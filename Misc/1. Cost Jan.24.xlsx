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omments1.xml" ContentType="application/vnd.openxmlformats-officedocument.spreadsheetml.comments+xml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omments2.xml" ContentType="application/vnd.openxmlformats-officedocument.spreadsheetml.comments+xml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ustomProperty23.bin" ContentType="application/vnd.openxmlformats-officedocument.spreadsheetml.customProperty"/>
  <Override PartName="/xl/customProperty24.bin" ContentType="application/vnd.openxmlformats-officedocument.spreadsheetml.customProperty"/>
  <Override PartName="/xl/customProperty25.bin" ContentType="application/vnd.openxmlformats-officedocument.spreadsheetml.customProperty"/>
  <Override PartName="/xl/customProperty26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fileSharing readOnlyRecommended="1" userName="Pham Thi Phuong Mai" algorithmName="SHA-512" hashValue="MM3DzRF55s3lgikVB4D56hW5+rbLEneED2M/ZdYM+s0tmaiqjSnVTYj46vWdShSsDPdQlkp62/bd2OTgZMcltg==" saltValue="Fi7lb9B2/2hOxCTLK+A2ug==" spinCount="10000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18.29.7\BTMV-Data\4-ACCOUNTING\71.Costing\1. Costing calculation\2024\"/>
    </mc:Choice>
  </mc:AlternateContent>
  <xr:revisionPtr revIDLastSave="0" documentId="14_{C7CA0B0B-1BED-4F3A-AFBA-DBFC18C1197B}" xr6:coauthVersionLast="47" xr6:coauthVersionMax="47" xr10:uidLastSave="{00000000-0000-0000-0000-000000000000}"/>
  <bookViews>
    <workbookView xWindow="-120" yWindow="-120" windowWidth="20730" windowHeight="11160" tabRatio="803" firstSheet="1" activeTab="22" xr2:uid="{00000000-000D-0000-FFFF-FFFF00000000}"/>
  </bookViews>
  <sheets>
    <sheet name="Guideline" sheetId="22" r:id="rId1"/>
    <sheet name="Data" sheetId="20" r:id="rId2"/>
    <sheet name="STD" sheetId="1" r:id="rId3"/>
    <sheet name="Jan" sheetId="2" r:id="rId4"/>
    <sheet name="Feb" sheetId="3" state="hidden" r:id="rId5"/>
    <sheet name="Mar" sheetId="4" state="hidden" r:id="rId6"/>
    <sheet name="Apr" sheetId="5" state="hidden" r:id="rId7"/>
    <sheet name="May" sheetId="6" state="hidden" r:id="rId8"/>
    <sheet name="Jun" sheetId="7" state="hidden" r:id="rId9"/>
    <sheet name="Jul" sheetId="8" state="hidden" r:id="rId10"/>
    <sheet name="Aug" sheetId="9" state="hidden" r:id="rId11"/>
    <sheet name="Sep" sheetId="10" state="hidden" r:id="rId12"/>
    <sheet name="Oct" sheetId="11" state="hidden" r:id="rId13"/>
    <sheet name="Nov" sheetId="12" state="hidden" r:id="rId14"/>
    <sheet name="Dec" sheetId="13" state="hidden" r:id="rId15"/>
    <sheet name="Tire Weight" sheetId="30" r:id="rId16"/>
    <sheet name="DM-Sum" sheetId="15" r:id="rId17"/>
    <sheet name="Rework" sheetId="23" r:id="rId18"/>
    <sheet name="Cured tire BSTVN" sheetId="24" state="hidden" r:id="rId19"/>
    <sheet name="Budget" sheetId="19" state="hidden" r:id="rId20"/>
    <sheet name="Result" sheetId="21" r:id="rId21"/>
    <sheet name="FACTORY COST" sheetId="16" r:id="rId22"/>
    <sheet name="MFG COST SUMMARY" sheetId="17" r:id="rId23"/>
    <sheet name="COGM upload" sheetId="18" r:id="rId24"/>
    <sheet name="Report" sheetId="29" r:id="rId25"/>
  </sheets>
  <definedNames>
    <definedName name="__123Graph_A" hidden="1">#REF!</definedName>
    <definedName name="__123Graph_B" hidden="1">#REF!</definedName>
    <definedName name="__123Graph_X" hidden="1">#REF!</definedName>
    <definedName name="_20e11_" hidden="1">{"'部署一覧'!$A$1384:$G$1490"}</definedName>
    <definedName name="_21e12_" hidden="1">{"'部署一覧'!$A$1384:$G$1490"}</definedName>
    <definedName name="_xlnm._FilterDatabase" localSheetId="6" hidden="1">Apr!$A$2:$BN$255</definedName>
    <definedName name="_xlnm._FilterDatabase" localSheetId="10" hidden="1">Aug!$A$2:$BN$218</definedName>
    <definedName name="_xlnm._FilterDatabase" localSheetId="23" hidden="1">'COGM upload'!$A$2:$K$119</definedName>
    <definedName name="_xlnm._FilterDatabase" localSheetId="14" hidden="1">Dec!$A$2:$BN$235</definedName>
    <definedName name="_xlnm._FilterDatabase" localSheetId="16" hidden="1">'DM-Sum'!$B$5:$N$122</definedName>
    <definedName name="_xlnm._FilterDatabase" localSheetId="21" hidden="1">'FACTORY COST'!$A$7:$BU$83</definedName>
    <definedName name="_xlnm._FilterDatabase" localSheetId="4" hidden="1">Feb!$A$2:$BN$235</definedName>
    <definedName name="_xlnm._FilterDatabase" localSheetId="3" hidden="1">Jan!$A$2:$BO$196</definedName>
    <definedName name="_xlnm._FilterDatabase" localSheetId="9" hidden="1">Jul!$A$2:$BN$235</definedName>
    <definedName name="_xlnm._FilterDatabase" localSheetId="8" hidden="1">Jun!$A$2:$BN$235</definedName>
    <definedName name="_xlnm._FilterDatabase" localSheetId="5" hidden="1">Mar!$A$2:$BN$235</definedName>
    <definedName name="_xlnm._FilterDatabase" localSheetId="7" hidden="1">May!$A$2:$BN$235</definedName>
    <definedName name="_xlnm._FilterDatabase" localSheetId="22" hidden="1">'MFG COST SUMMARY'!$C$18:$BR$130</definedName>
    <definedName name="_xlnm._FilterDatabase" localSheetId="13" hidden="1">Nov!$A$2:$BN$235</definedName>
    <definedName name="_xlnm._FilterDatabase" localSheetId="12" hidden="1">Oct!$A$2:$BN$235</definedName>
    <definedName name="_xlnm._FilterDatabase" localSheetId="17" hidden="1">Rework!$A$6:$CU$43</definedName>
    <definedName name="_xlnm._FilterDatabase" localSheetId="11" hidden="1">Sep!$A$2:$BN$235</definedName>
    <definedName name="_xlnm._FilterDatabase" localSheetId="2" hidden="1">STD!$B$5:$AD$230</definedName>
    <definedName name="_Order1" hidden="1">1</definedName>
    <definedName name="_Order2" hidden="1">255</definedName>
    <definedName name="_Regression_Int" hidden="1">1</definedName>
    <definedName name="Access_Button" hidden="1">"Primark_SUMMER_1998_SUMMARY_List"</definedName>
    <definedName name="AS2DocOpenMode" hidden="1">"AS2DocumentEdit"</definedName>
    <definedName name="CurMonth">'FACTORY COST'!$G$2</definedName>
    <definedName name="CurYear">'FACTORY COST'!$BW$7</definedName>
    <definedName name="EPMWorkbookOptions_2" hidden="1">"B53gxoaLsBPrboMArFtRuwxmcHW19ysFcDZ/9uzwUoYPPdWDE4jGG8MKCqjcHHXVwailSvItTY3u104WXFiTx6lFUVWGu2hQFEX6YE6a8zH5MLrXRHVkaFci+tPu3KAGFI7vTm0LLCNC/0/A1IcPArkM5yM4cT6f2mMQAbl3kJsx8FEizet7b2KRbAWwIvcBs0Qmdl3blgWdtj2Djh+Gm2z6EaqP2SAr7cldvI8huVPXawbeMxTImI7PXMO7"</definedName>
    <definedName name="EPMWorkbookOptions_3" hidden="1">"iPHcubu1I4IQwNegC15czw5QXOH3sXLe6dvDv2t7fhAJIL5/a6D3KJMB7WsVtTMc+88zDO9clCTFkHVNION6PxtkhRyJvEbRTIOODBD3ZYS+imdBr0kJ5OpD7Oj+fAreVM+dQy94a9I1rjaB5oSocRZLsNUJTzRqEBIUgFXWMuts3WSWV8a9YgbuAz/Q4BTpHVoDODNR2Yoxw7My1gCZrPwjmO43FB8q96o47Mj6NY0+ilWepygk4R2HhIGv"</definedName>
    <definedName name="EPMWorkbookOptions_4" hidden="1">"begBb/z09mFaQmXywrGnl+Vl6pS3NPT5l7ufr0D+7ZZTZTIS+/0CCYaE5lGeZJ2JQO4jsUiV+P9KmtHu6b321ysaRbFott6/oNE5LGgrhnii/jNCn0a6ovdk1dCznrApoznnspacLH0pF7lyOsWtZWg9uaN9fb3GMLUay7L7V7dq/qrbBiKesa1z1nASElmRO1lncjrqlUS9c6UM776sXq5OU41GfX/1MvlT7wYinqrtkShlfp5JHUn2C9oJ"</definedName>
    <definedName name="EPMWorkbookOptions_5" hidden="1">"ifdalOVO/7/sKziOYQ7YWLA5FO8KIp6od3lI1JSJFBNvqtpVNF1CcDvDIz7orOVQvu8c8Xz9ddYKToRSiDhNESOuPf3ra+fDBcwdIGAAeZPnWZ6wTJMh2BrdIMxJHRCAsxiTZ2rV6sQ6AQGvGOJ52hm1NFE928VzEpLu+e4nkpBc6wUSDIne0oos2c4SSVSzjuR0Jr1uX7k94pRXz9+adUkQT9LuOa9W43DwPJ91HKej2N5yJyApRxRt4wDR"</definedName>
    <definedName name="EPMWorkbookOptions_6" hidden="1">"snWeqU5YjjDrJo1ES9UJk+MZwuLRapVuAADgKaxT1xDxRO2d90I1gckZ17LELDnjtXsikzNevCcwycXq/XQmPnWotA1JvxoqhnrE2Y/P31OaKEk8adVzLvefYSketaYp5aGqS8YQ4ZWO+byVPuTV8IxIOUIST9m+lPV0TR2JJN8VTLaYGFq7YLLFJAdT4OmUek1S1M4xi3wOX5cPGeI5epWLFUmqQHIg21R5oN2nXGw/48P8QiHTe4Oj1rFD"</definedName>
    <definedName name="EPMWorkbookOptions_7" hidden="1">"XozPyGJ1iRDP0ipFsxW6mvUsTRVIvQCCA6lVKLoAEgHCFUBwIExFV3Qx89P/6Ux2g46oGcPOMX+3T+fwtyQbjChLl29d65nfa6eYoXsYYdHEGwlk3GEjWOvGHI22eyRLtHH3GBdhCCce9J8UR5lDZ3NGB94Y2klTCLzloIqjgRe4sdxuDm0359WgtAxCjOtjO3bbcfOF1QxffmqpUsR4sTbr+TfAs4E5hQPoPSLndQg77d+/fXivj8xp/gvD"</definedName>
    <definedName name="EPMWorkbookOptions_8" hidden="1">"zpr0bUcAAA=="</definedName>
    <definedName name="HTML_CodePage" hidden="1">932</definedName>
    <definedName name="HTML_Control" hidden="1">{"'部署一覧'!$A$1384:$G$1490"}</definedName>
    <definedName name="HTML_Description" hidden="1">""</definedName>
    <definedName name="HTML_Email" hidden="1">""</definedName>
    <definedName name="HTML_Header" hidden="1">"部署番号表『化工品』"</definedName>
    <definedName name="HTML_LastUpdate" hidden="1">"2004/01/20"</definedName>
    <definedName name="HTML_LineAfter" hidden="1">FALSE</definedName>
    <definedName name="HTML_LineBefore" hidden="1">FALSE</definedName>
    <definedName name="HTML_Name" hidden="1">"(株)ブリヂストン"</definedName>
    <definedName name="HTML_OBDlg2" hidden="1">TRUE</definedName>
    <definedName name="HTML_OBDlg4" hidden="1">TRUE</definedName>
    <definedName name="HTML_OS" hidden="1">0</definedName>
    <definedName name="HTML_Title" hidden="1">"部署番号表"</definedName>
    <definedName name="HTML1_1" hidden="1">"'[職制2000年4月.XLS]全体(0001)'!$K$8"</definedName>
    <definedName name="HTML1_10" hidden="1">""</definedName>
    <definedName name="HTML1_11" hidden="1">1</definedName>
    <definedName name="HTML1_12" hidden="1">"E:SH0004.htm"</definedName>
    <definedName name="HTML1_2" hidden="1">1</definedName>
    <definedName name="HTML1_3" hidden="1">"職制図（2000/4/1)"</definedName>
    <definedName name="HTML1_4" hidden="1">"職制図（2000/4/1)"</definedName>
    <definedName name="HTML1_5" hidden="1">""</definedName>
    <definedName name="HTML1_6" hidden="1">-4146</definedName>
    <definedName name="HTML1_7" hidden="1">-4146</definedName>
    <definedName name="HTML1_8" hidden="1">"2000/04/27"</definedName>
    <definedName name="HTML1_9" hidden="1">"株式会社ブリヂストン"</definedName>
    <definedName name="HTML10_10" hidden="1">""</definedName>
    <definedName name="HTML10_11" hidden="1">1</definedName>
    <definedName name="HTML10_2" hidden="1">1</definedName>
    <definedName name="HTML10_3" hidden="1">"部署番号表"</definedName>
    <definedName name="HTML10_4" hidden="1">"部署番号表『化工品』"</definedName>
    <definedName name="HTML10_5" hidden="1">""</definedName>
    <definedName name="HTML10_6" hidden="1">-4146</definedName>
    <definedName name="HTML10_7" hidden="1">-4146</definedName>
    <definedName name="HTML10_8" hidden="1">"2000/02/03"</definedName>
    <definedName name="HTML10_9" hidden="1">"株式会社ブリヂストン"</definedName>
    <definedName name="HTML100_10" hidden="1">""</definedName>
    <definedName name="HTML100_11" hidden="1">1</definedName>
    <definedName name="HTML100_2" hidden="1">1</definedName>
    <definedName name="HTML100_3" hidden="1">"部署番号表"</definedName>
    <definedName name="HTML100_4" hidden="1">"部署番号表『工場』"</definedName>
    <definedName name="HTML100_5" hidden="1">""</definedName>
    <definedName name="HTML100_6" hidden="1">-4146</definedName>
    <definedName name="HTML100_7" hidden="1">-4146</definedName>
    <definedName name="HTML100_8" hidden="1">"2000/11/17"</definedName>
    <definedName name="HTML100_9" hidden="1">"株式会社ブリヂストン"</definedName>
    <definedName name="HTML101_10" hidden="1">""</definedName>
    <definedName name="HTML101_11" hidden="1">1</definedName>
    <definedName name="HTML101_2" hidden="1">1</definedName>
    <definedName name="HTML101_3" hidden="1">"部署番号表"</definedName>
    <definedName name="HTML101_4" hidden="1">"部署番号表『化工品』"</definedName>
    <definedName name="HTML101_5" hidden="1">""</definedName>
    <definedName name="HTML101_6" hidden="1">-4146</definedName>
    <definedName name="HTML101_7" hidden="1">-4146</definedName>
    <definedName name="HTML101_8" hidden="1">"2000/11/17"</definedName>
    <definedName name="HTML101_9" hidden="1">"株式会社ブリヂストン"</definedName>
    <definedName name="HTML102_10" hidden="1">""</definedName>
    <definedName name="HTML102_11" hidden="1">1</definedName>
    <definedName name="HTML102_2" hidden="1">1</definedName>
    <definedName name="HTML102_3" hidden="1">"部署番号表"</definedName>
    <definedName name="HTML102_4" hidden="1">"部署番号表『化工品』"</definedName>
    <definedName name="HTML102_5" hidden="1">""</definedName>
    <definedName name="HTML102_6" hidden="1">-4146</definedName>
    <definedName name="HTML102_7" hidden="1">-4146</definedName>
    <definedName name="HTML102_8" hidden="1">"2000/11/17"</definedName>
    <definedName name="HTML102_9" hidden="1">"株式会社ブリヂストン"</definedName>
    <definedName name="HTML103_10" hidden="1">""</definedName>
    <definedName name="HTML103_11" hidden="1">1</definedName>
    <definedName name="HTML103_2" hidden="1">1</definedName>
    <definedName name="HTML103_3" hidden="1">"部署番号表"</definedName>
    <definedName name="HTML103_4" hidden="1">"部署番号表『本社』"</definedName>
    <definedName name="HTML103_5" hidden="1">""</definedName>
    <definedName name="HTML103_6" hidden="1">-4146</definedName>
    <definedName name="HTML103_7" hidden="1">-4146</definedName>
    <definedName name="HTML103_8" hidden="1">"2000/12/05"</definedName>
    <definedName name="HTML103_9" hidden="1">"株式会社ブリヂストン"</definedName>
    <definedName name="HTML104_10" hidden="1">""</definedName>
    <definedName name="HTML104_11" hidden="1">1</definedName>
    <definedName name="HTML104_2" hidden="1">1</definedName>
    <definedName name="HTML104_3" hidden="1">"部署番号表"</definedName>
    <definedName name="HTML104_4" hidden="1">"部署番号表『本社』"</definedName>
    <definedName name="HTML104_5" hidden="1">""</definedName>
    <definedName name="HTML104_6" hidden="1">-4146</definedName>
    <definedName name="HTML104_7" hidden="1">-4146</definedName>
    <definedName name="HTML104_8" hidden="1">"2000/12/05"</definedName>
    <definedName name="HTML104_9" hidden="1">"株式会社ブリヂストン"</definedName>
    <definedName name="HTML105_10" hidden="1">""</definedName>
    <definedName name="HTML105_11" hidden="1">1</definedName>
    <definedName name="HTML105_2" hidden="1">1</definedName>
    <definedName name="HTML105_3" hidden="1">"部署番号表"</definedName>
    <definedName name="HTML105_4" hidden="1">"部署番号表『小平』"</definedName>
    <definedName name="HTML105_5" hidden="1">""</definedName>
    <definedName name="HTML105_6" hidden="1">-4146</definedName>
    <definedName name="HTML105_7" hidden="1">-4146</definedName>
    <definedName name="HTML105_8" hidden="1">"2000/12/05"</definedName>
    <definedName name="HTML105_9" hidden="1">"株式会社ブリヂストン"</definedName>
    <definedName name="HTML106_10" hidden="1">""</definedName>
    <definedName name="HTML106_11" hidden="1">1</definedName>
    <definedName name="HTML106_2" hidden="1">1</definedName>
    <definedName name="HTML106_3" hidden="1">"部署番号表"</definedName>
    <definedName name="HTML106_4" hidden="1">"部署番号表『小平』"</definedName>
    <definedName name="HTML106_5" hidden="1">""</definedName>
    <definedName name="HTML106_6" hidden="1">-4146</definedName>
    <definedName name="HTML106_7" hidden="1">-4146</definedName>
    <definedName name="HTML106_8" hidden="1">"2000/12/05"</definedName>
    <definedName name="HTML106_9" hidden="1">"株式会社ブリヂストン"</definedName>
    <definedName name="HTML107_10" hidden="1">""</definedName>
    <definedName name="HTML107_11" hidden="1">1</definedName>
    <definedName name="HTML107_2" hidden="1">1</definedName>
    <definedName name="HTML107_3" hidden="1">"部署番号表"</definedName>
    <definedName name="HTML107_4" hidden="1">"部署番号表『工場』"</definedName>
    <definedName name="HTML107_5" hidden="1">""</definedName>
    <definedName name="HTML107_6" hidden="1">-4146</definedName>
    <definedName name="HTML107_7" hidden="1">-4146</definedName>
    <definedName name="HTML107_8" hidden="1">"2000/12/05"</definedName>
    <definedName name="HTML107_9" hidden="1">"株式会社ブリヂストン"</definedName>
    <definedName name="HTML108_10" hidden="1">""</definedName>
    <definedName name="HTML108_11" hidden="1">1</definedName>
    <definedName name="HTML108_2" hidden="1">1</definedName>
    <definedName name="HTML108_3" hidden="1">"部署番号表"</definedName>
    <definedName name="HTML108_4" hidden="1">"部署番号表『工場』"</definedName>
    <definedName name="HTML108_5" hidden="1">""</definedName>
    <definedName name="HTML108_6" hidden="1">-4146</definedName>
    <definedName name="HTML108_7" hidden="1">-4146</definedName>
    <definedName name="HTML108_8" hidden="1">"2000/12/05"</definedName>
    <definedName name="HTML108_9" hidden="1">"株式会社ブリヂストン"</definedName>
    <definedName name="HTML109_10" hidden="1">""</definedName>
    <definedName name="HTML109_11" hidden="1">1</definedName>
    <definedName name="HTML109_2" hidden="1">1</definedName>
    <definedName name="HTML109_3" hidden="1">"部署番号表"</definedName>
    <definedName name="HTML109_4" hidden="1">"部署番号表『工場』"</definedName>
    <definedName name="HTML109_5" hidden="1">""</definedName>
    <definedName name="HTML109_6" hidden="1">-4146</definedName>
    <definedName name="HTML109_7" hidden="1">-4146</definedName>
    <definedName name="HTML109_8" hidden="1">"2000/12/05"</definedName>
    <definedName name="HTML109_9" hidden="1">"株式会社ブリヂストン"</definedName>
    <definedName name="HTML11_10" hidden="1">""</definedName>
    <definedName name="HTML11_11" hidden="1">1</definedName>
    <definedName name="HTML11_2" hidden="1">1</definedName>
    <definedName name="HTML11_3" hidden="1">"部署番号表"</definedName>
    <definedName name="HTML11_4" hidden="1">"部署番号表『化工品』"</definedName>
    <definedName name="HTML11_5" hidden="1">""</definedName>
    <definedName name="HTML11_6" hidden="1">-4146</definedName>
    <definedName name="HTML11_7" hidden="1">-4146</definedName>
    <definedName name="HTML11_8" hidden="1">"2000/02/03"</definedName>
    <definedName name="HTML11_9" hidden="1">"株式会社ブリヂストン"</definedName>
    <definedName name="HTML110_10" hidden="1">""</definedName>
    <definedName name="HTML110_11" hidden="1">1</definedName>
    <definedName name="HTML110_2" hidden="1">1</definedName>
    <definedName name="HTML110_3" hidden="1">"部署番号表"</definedName>
    <definedName name="HTML110_4" hidden="1">"部署番号表『化工品』"</definedName>
    <definedName name="HTML110_5" hidden="1">""</definedName>
    <definedName name="HTML110_6" hidden="1">-4146</definedName>
    <definedName name="HTML110_7" hidden="1">-4146</definedName>
    <definedName name="HTML110_8" hidden="1">"2000/12/05"</definedName>
    <definedName name="HTML110_9" hidden="1">"株式会社ブリヂストン"</definedName>
    <definedName name="HTML111_10" hidden="1">""</definedName>
    <definedName name="HTML111_11" hidden="1">1</definedName>
    <definedName name="HTML111_2" hidden="1">1</definedName>
    <definedName name="HTML111_3" hidden="1">"部署番号表"</definedName>
    <definedName name="HTML111_4" hidden="1">"部署番号表『化工品』"</definedName>
    <definedName name="HTML111_5" hidden="1">""</definedName>
    <definedName name="HTML111_6" hidden="1">-4146</definedName>
    <definedName name="HTML111_7" hidden="1">-4146</definedName>
    <definedName name="HTML111_8" hidden="1">"2000/12/05"</definedName>
    <definedName name="HTML111_9" hidden="1">"株式会社ブリヂストン"</definedName>
    <definedName name="HTML112_10" hidden="1">""</definedName>
    <definedName name="HTML112_11" hidden="1">1</definedName>
    <definedName name="HTML112_2" hidden="1">1</definedName>
    <definedName name="HTML112_3" hidden="1">"部署番号表"</definedName>
    <definedName name="HTML112_4" hidden="1">"部署番号表『本社』"</definedName>
    <definedName name="HTML112_5" hidden="1">""</definedName>
    <definedName name="HTML112_6" hidden="1">-4146</definedName>
    <definedName name="HTML112_7" hidden="1">-4146</definedName>
    <definedName name="HTML112_8" hidden="1">"2001/01/12"</definedName>
    <definedName name="HTML112_9" hidden="1">"株式会社ブリヂストン"</definedName>
    <definedName name="HTML113_10" hidden="1">""</definedName>
    <definedName name="HTML113_11" hidden="1">1</definedName>
    <definedName name="HTML113_2" hidden="1">1</definedName>
    <definedName name="HTML113_3" hidden="1">"部署番号表"</definedName>
    <definedName name="HTML113_4" hidden="1">"部署番号表『本社』"</definedName>
    <definedName name="HTML113_5" hidden="1">""</definedName>
    <definedName name="HTML113_6" hidden="1">-4146</definedName>
    <definedName name="HTML113_7" hidden="1">-4146</definedName>
    <definedName name="HTML113_8" hidden="1">"2001/01/12"</definedName>
    <definedName name="HTML113_9" hidden="1">"株式会社ブリヂストン"</definedName>
    <definedName name="HTML114_10" hidden="1">""</definedName>
    <definedName name="HTML114_11" hidden="1">1</definedName>
    <definedName name="HTML114_2" hidden="1">1</definedName>
    <definedName name="HTML114_3" hidden="1">"部署番号表"</definedName>
    <definedName name="HTML114_4" hidden="1">"部署番号表『小平』"</definedName>
    <definedName name="HTML114_5" hidden="1">""</definedName>
    <definedName name="HTML114_6" hidden="1">-4146</definedName>
    <definedName name="HTML114_7" hidden="1">-4146</definedName>
    <definedName name="HTML114_8" hidden="1">"2001/01/12"</definedName>
    <definedName name="HTML114_9" hidden="1">"株式会社ブリヂストン"</definedName>
    <definedName name="HTML115_10" hidden="1">""</definedName>
    <definedName name="HTML115_11" hidden="1">1</definedName>
    <definedName name="HTML115_2" hidden="1">1</definedName>
    <definedName name="HTML115_3" hidden="1">"部署番号表"</definedName>
    <definedName name="HTML115_4" hidden="1">"部署番号表『小平』"</definedName>
    <definedName name="HTML115_5" hidden="1">""</definedName>
    <definedName name="HTML115_6" hidden="1">-4146</definedName>
    <definedName name="HTML115_7" hidden="1">-4146</definedName>
    <definedName name="HTML115_8" hidden="1">"2001/01/12"</definedName>
    <definedName name="HTML115_9" hidden="1">"株式会社ブリヂストン"</definedName>
    <definedName name="HTML116_10" hidden="1">""</definedName>
    <definedName name="HTML116_11" hidden="1">1</definedName>
    <definedName name="HTML116_2" hidden="1">1</definedName>
    <definedName name="HTML116_3" hidden="1">"部署番号表"</definedName>
    <definedName name="HTML116_4" hidden="1">"部署番号表『工場』"</definedName>
    <definedName name="HTML116_5" hidden="1">""</definedName>
    <definedName name="HTML116_6" hidden="1">-4146</definedName>
    <definedName name="HTML116_7" hidden="1">-4146</definedName>
    <definedName name="HTML116_8" hidden="1">"2001/01/12"</definedName>
    <definedName name="HTML116_9" hidden="1">"株式会社ブリヂストン"</definedName>
    <definedName name="HTML117_10" hidden="1">""</definedName>
    <definedName name="HTML117_11" hidden="1">1</definedName>
    <definedName name="HTML117_2" hidden="1">1</definedName>
    <definedName name="HTML117_3" hidden="1">"部署番号表"</definedName>
    <definedName name="HTML117_4" hidden="1">"部署番号表『工場』"</definedName>
    <definedName name="HTML117_5" hidden="1">""</definedName>
    <definedName name="HTML117_6" hidden="1">-4146</definedName>
    <definedName name="HTML117_7" hidden="1">-4146</definedName>
    <definedName name="HTML117_8" hidden="1">"2001/01/12"</definedName>
    <definedName name="HTML117_9" hidden="1">"株式会社ブリヂストン"</definedName>
    <definedName name="HTML118_10" hidden="1">""</definedName>
    <definedName name="HTML118_11" hidden="1">1</definedName>
    <definedName name="HTML118_2" hidden="1">1</definedName>
    <definedName name="HTML118_3" hidden="1">"部署番号表"</definedName>
    <definedName name="HTML118_4" hidden="1">"部署番号表『工場』"</definedName>
    <definedName name="HTML118_5" hidden="1">""</definedName>
    <definedName name="HTML118_6" hidden="1">-4146</definedName>
    <definedName name="HTML118_7" hidden="1">-4146</definedName>
    <definedName name="HTML118_8" hidden="1">"2001/01/12"</definedName>
    <definedName name="HTML118_9" hidden="1">"株式会社ブリヂストン"</definedName>
    <definedName name="HTML119_10" hidden="1">""</definedName>
    <definedName name="HTML119_11" hidden="1">1</definedName>
    <definedName name="HTML119_2" hidden="1">1</definedName>
    <definedName name="HTML119_3" hidden="1">"部署番号表"</definedName>
    <definedName name="HTML119_4" hidden="1">"部署番号表『化工品』"</definedName>
    <definedName name="HTML119_5" hidden="1">""</definedName>
    <definedName name="HTML119_6" hidden="1">-4146</definedName>
    <definedName name="HTML119_7" hidden="1">-4146</definedName>
    <definedName name="HTML119_8" hidden="1">"2001/01/12"</definedName>
    <definedName name="HTML119_9" hidden="1">"株式会社ブリヂストン"</definedName>
    <definedName name="HTML12_10" hidden="1">""</definedName>
    <definedName name="HTML12_11" hidden="1">1</definedName>
    <definedName name="HTML12_2" hidden="1">1</definedName>
    <definedName name="HTML12_3" hidden="1">"部署番号表"</definedName>
    <definedName name="HTML12_4" hidden="1">"部署番号表『本社』"</definedName>
    <definedName name="HTML12_5" hidden="1">""</definedName>
    <definedName name="HTML12_6" hidden="1">-4146</definedName>
    <definedName name="HTML12_7" hidden="1">-4146</definedName>
    <definedName name="HTML12_8" hidden="1">"2000/03/03"</definedName>
    <definedName name="HTML12_9" hidden="1">"株式会社ブリヂストン"</definedName>
    <definedName name="HTML120_10" hidden="1">""</definedName>
    <definedName name="HTML120_11" hidden="1">1</definedName>
    <definedName name="HTML120_2" hidden="1">1</definedName>
    <definedName name="HTML120_3" hidden="1">"部署番号表"</definedName>
    <definedName name="HTML120_4" hidden="1">"部署番号表『化工品』"</definedName>
    <definedName name="HTML120_5" hidden="1">""</definedName>
    <definedName name="HTML120_6" hidden="1">-4146</definedName>
    <definedName name="HTML120_7" hidden="1">-4146</definedName>
    <definedName name="HTML120_8" hidden="1">"2001/01/12"</definedName>
    <definedName name="HTML120_9" hidden="1">"株式会社ブリヂストン"</definedName>
    <definedName name="HTML121_10" hidden="1">""</definedName>
    <definedName name="HTML121_11" hidden="1">1</definedName>
    <definedName name="HTML121_2" hidden="1">1</definedName>
    <definedName name="HTML121_3" hidden="1">"部署番号表"</definedName>
    <definedName name="HTML121_4" hidden="1">"部署番号表『小平』"</definedName>
    <definedName name="HTML121_5" hidden="1">""</definedName>
    <definedName name="HTML121_6" hidden="1">-4146</definedName>
    <definedName name="HTML121_7" hidden="1">-4146</definedName>
    <definedName name="HTML121_8" hidden="1">"2001/02/06"</definedName>
    <definedName name="HTML121_9" hidden="1">"株式会社ブリヂストン"</definedName>
    <definedName name="HTML122_10" hidden="1">""</definedName>
    <definedName name="HTML122_11" hidden="1">1</definedName>
    <definedName name="HTML122_2" hidden="1">1</definedName>
    <definedName name="HTML122_3" hidden="1">"部署番号表"</definedName>
    <definedName name="HTML122_4" hidden="1">"部署番号表『本社』"</definedName>
    <definedName name="HTML122_5" hidden="1">""</definedName>
    <definedName name="HTML122_6" hidden="1">-4146</definedName>
    <definedName name="HTML122_7" hidden="1">-4146</definedName>
    <definedName name="HTML122_8" hidden="1">"2001/03/06"</definedName>
    <definedName name="HTML122_9" hidden="1">"株式会社ブリヂストン"</definedName>
    <definedName name="HTML123_10" hidden="1">""</definedName>
    <definedName name="HTML123_11" hidden="1">1</definedName>
    <definedName name="HTML123_2" hidden="1">1</definedName>
    <definedName name="HTML123_3" hidden="1">"部署番号表"</definedName>
    <definedName name="HTML123_4" hidden="1">"部署番号表『本社』"</definedName>
    <definedName name="HTML123_5" hidden="1">""</definedName>
    <definedName name="HTML123_6" hidden="1">-4146</definedName>
    <definedName name="HTML123_7" hidden="1">-4146</definedName>
    <definedName name="HTML123_8" hidden="1">"2001/03/06"</definedName>
    <definedName name="HTML123_9" hidden="1">"株式会社ブリヂストン"</definedName>
    <definedName name="HTML124_10" hidden="1">""</definedName>
    <definedName name="HTML124_11" hidden="1">1</definedName>
    <definedName name="HTML124_2" hidden="1">1</definedName>
    <definedName name="HTML124_3" hidden="1">"部署番号表"</definedName>
    <definedName name="HTML124_4" hidden="1">"部署番号表『小平』"</definedName>
    <definedName name="HTML124_5" hidden="1">""</definedName>
    <definedName name="HTML124_6" hidden="1">-4146</definedName>
    <definedName name="HTML124_7" hidden="1">-4146</definedName>
    <definedName name="HTML124_8" hidden="1">"2001/03/06"</definedName>
    <definedName name="HTML124_9" hidden="1">"株式会社ブリヂストン"</definedName>
    <definedName name="HTML125_10" hidden="1">""</definedName>
    <definedName name="HTML125_11" hidden="1">1</definedName>
    <definedName name="HTML125_2" hidden="1">1</definedName>
    <definedName name="HTML125_3" hidden="1">"部署番号表"</definedName>
    <definedName name="HTML125_4" hidden="1">"部署番号表『小平』"</definedName>
    <definedName name="HTML125_5" hidden="1">""</definedName>
    <definedName name="HTML125_6" hidden="1">-4146</definedName>
    <definedName name="HTML125_7" hidden="1">-4146</definedName>
    <definedName name="HTML125_8" hidden="1">"2001/03/06"</definedName>
    <definedName name="HTML125_9" hidden="1">"株式会社ブリヂストン"</definedName>
    <definedName name="HTML126_10" hidden="1">""</definedName>
    <definedName name="HTML126_11" hidden="1">1</definedName>
    <definedName name="HTML126_2" hidden="1">1</definedName>
    <definedName name="HTML126_3" hidden="1">"部署番号表"</definedName>
    <definedName name="HTML126_4" hidden="1">"部署番号表『工場』"</definedName>
    <definedName name="HTML126_5" hidden="1">""</definedName>
    <definedName name="HTML126_6" hidden="1">-4146</definedName>
    <definedName name="HTML126_7" hidden="1">-4146</definedName>
    <definedName name="HTML126_8" hidden="1">"2001/03/06"</definedName>
    <definedName name="HTML126_9" hidden="1">"株式会社ブリヂストン"</definedName>
    <definedName name="HTML127_10" hidden="1">""</definedName>
    <definedName name="HTML127_11" hidden="1">1</definedName>
    <definedName name="HTML127_2" hidden="1">1</definedName>
    <definedName name="HTML127_3" hidden="1">"部署番号表"</definedName>
    <definedName name="HTML127_4" hidden="1">"部署番号表『工場』"</definedName>
    <definedName name="HTML127_5" hidden="1">""</definedName>
    <definedName name="HTML127_6" hidden="1">-4146</definedName>
    <definedName name="HTML127_7" hidden="1">-4146</definedName>
    <definedName name="HTML127_8" hidden="1">"2001/03/06"</definedName>
    <definedName name="HTML127_9" hidden="1">"株式会社ブリヂストン"</definedName>
    <definedName name="HTML128_10" hidden="1">""</definedName>
    <definedName name="HTML128_11" hidden="1">1</definedName>
    <definedName name="HTML128_2" hidden="1">1</definedName>
    <definedName name="HTML128_3" hidden="1">"部署番号表"</definedName>
    <definedName name="HTML128_4" hidden="1">"部署番号表『工場』"</definedName>
    <definedName name="HTML128_5" hidden="1">""</definedName>
    <definedName name="HTML128_6" hidden="1">-4146</definedName>
    <definedName name="HTML128_7" hidden="1">-4146</definedName>
    <definedName name="HTML128_8" hidden="1">"2001/03/06"</definedName>
    <definedName name="HTML128_9" hidden="1">"株式会社ブリヂストン"</definedName>
    <definedName name="HTML129_10" hidden="1">""</definedName>
    <definedName name="HTML129_11" hidden="1">1</definedName>
    <definedName name="HTML129_2" hidden="1">1</definedName>
    <definedName name="HTML129_3" hidden="1">"部署番号表"</definedName>
    <definedName name="HTML129_4" hidden="1">"部署番号表『化工品』"</definedName>
    <definedName name="HTML129_5" hidden="1">""</definedName>
    <definedName name="HTML129_6" hidden="1">-4146</definedName>
    <definedName name="HTML129_7" hidden="1">-4146</definedName>
    <definedName name="HTML129_8" hidden="1">"2001/03/06"</definedName>
    <definedName name="HTML129_9" hidden="1">"株式会社ブリヂストン"</definedName>
    <definedName name="HTML13_10" hidden="1">""</definedName>
    <definedName name="HTML13_11" hidden="1">1</definedName>
    <definedName name="HTML13_2" hidden="1">1</definedName>
    <definedName name="HTML13_3" hidden="1">"部署番号表"</definedName>
    <definedName name="HTML13_4" hidden="1">"部署番号表『本社』"</definedName>
    <definedName name="HTML13_5" hidden="1">""</definedName>
    <definedName name="HTML13_6" hidden="1">-4146</definedName>
    <definedName name="HTML13_7" hidden="1">-4146</definedName>
    <definedName name="HTML13_8" hidden="1">"2000/03/03"</definedName>
    <definedName name="HTML13_9" hidden="1">"株式会社ブリヂストン"</definedName>
    <definedName name="HTML130_10" hidden="1">""</definedName>
    <definedName name="HTML130_11" hidden="1">1</definedName>
    <definedName name="HTML130_2" hidden="1">1</definedName>
    <definedName name="HTML130_3" hidden="1">"部署番号表"</definedName>
    <definedName name="HTML130_4" hidden="1">"部署番号表『化工品』"</definedName>
    <definedName name="HTML130_5" hidden="1">""</definedName>
    <definedName name="HTML130_6" hidden="1">-4146</definedName>
    <definedName name="HTML130_7" hidden="1">-4146</definedName>
    <definedName name="HTML130_8" hidden="1">"2001/03/06"</definedName>
    <definedName name="HTML130_9" hidden="1">"株式会社ブリヂストン"</definedName>
    <definedName name="HTML131_10" hidden="1">""</definedName>
    <definedName name="HTML131_11" hidden="1">1</definedName>
    <definedName name="HTML131_2" hidden="1">1</definedName>
    <definedName name="HTML131_3" hidden="1">"部署番号表"</definedName>
    <definedName name="HTML131_4" hidden="1">"部署番号表『本社』"</definedName>
    <definedName name="HTML131_5" hidden="1">""</definedName>
    <definedName name="HTML131_6" hidden="1">-4146</definedName>
    <definedName name="HTML131_7" hidden="1">-4146</definedName>
    <definedName name="HTML131_8" hidden="1">"2001/04/09"</definedName>
    <definedName name="HTML131_9" hidden="1">"株式会社ブリヂストン"</definedName>
    <definedName name="HTML132_10" hidden="1">""</definedName>
    <definedName name="HTML132_11" hidden="1">1</definedName>
    <definedName name="HTML132_2" hidden="1">1</definedName>
    <definedName name="HTML132_3" hidden="1">"部署番号表"</definedName>
    <definedName name="HTML132_4" hidden="1">"部署番号表『本社』"</definedName>
    <definedName name="HTML132_5" hidden="1">""</definedName>
    <definedName name="HTML132_6" hidden="1">-4146</definedName>
    <definedName name="HTML132_7" hidden="1">-4146</definedName>
    <definedName name="HTML132_8" hidden="1">"2001/04/09"</definedName>
    <definedName name="HTML132_9" hidden="1">"株式会社ブリヂストン"</definedName>
    <definedName name="HTML133_10" hidden="1">""</definedName>
    <definedName name="HTML133_11" hidden="1">1</definedName>
    <definedName name="HTML133_2" hidden="1">1</definedName>
    <definedName name="HTML133_3" hidden="1">"部署番号表"</definedName>
    <definedName name="HTML133_4" hidden="1">"部署番号表『小平』"</definedName>
    <definedName name="HTML133_5" hidden="1">""</definedName>
    <definedName name="HTML133_6" hidden="1">-4146</definedName>
    <definedName name="HTML133_7" hidden="1">-4146</definedName>
    <definedName name="HTML133_8" hidden="1">"2001/04/09"</definedName>
    <definedName name="HTML133_9" hidden="1">"株式会社ブリヂストン"</definedName>
    <definedName name="HTML134_10" hidden="1">""</definedName>
    <definedName name="HTML134_11" hidden="1">1</definedName>
    <definedName name="HTML134_2" hidden="1">1</definedName>
    <definedName name="HTML134_3" hidden="1">"部署番号表"</definedName>
    <definedName name="HTML134_4" hidden="1">"部署番号表『小平』"</definedName>
    <definedName name="HTML134_5" hidden="1">""</definedName>
    <definedName name="HTML134_6" hidden="1">-4146</definedName>
    <definedName name="HTML134_7" hidden="1">-4146</definedName>
    <definedName name="HTML134_8" hidden="1">"2001/04/09"</definedName>
    <definedName name="HTML134_9" hidden="1">"株式会社ブリヂストン"</definedName>
    <definedName name="HTML135_10" hidden="1">""</definedName>
    <definedName name="HTML135_11" hidden="1">1</definedName>
    <definedName name="HTML135_2" hidden="1">1</definedName>
    <definedName name="HTML135_3" hidden="1">"部署番号表"</definedName>
    <definedName name="HTML135_4" hidden="1">"部署番号表『工場』"</definedName>
    <definedName name="HTML135_5" hidden="1">""</definedName>
    <definedName name="HTML135_6" hidden="1">-4146</definedName>
    <definedName name="HTML135_7" hidden="1">-4146</definedName>
    <definedName name="HTML135_8" hidden="1">"2001/04/09"</definedName>
    <definedName name="HTML135_9" hidden="1">"株式会社ブリヂストン"</definedName>
    <definedName name="HTML136_10" hidden="1">""</definedName>
    <definedName name="HTML136_11" hidden="1">1</definedName>
    <definedName name="HTML136_2" hidden="1">1</definedName>
    <definedName name="HTML136_3" hidden="1">"部署番号表"</definedName>
    <definedName name="HTML136_4" hidden="1">"部署番号表『工場』"</definedName>
    <definedName name="HTML136_5" hidden="1">""</definedName>
    <definedName name="HTML136_6" hidden="1">-4146</definedName>
    <definedName name="HTML136_7" hidden="1">-4146</definedName>
    <definedName name="HTML136_8" hidden="1">"2001/04/09"</definedName>
    <definedName name="HTML136_9" hidden="1">"株式会社ブリヂストン"</definedName>
    <definedName name="HTML137_10" hidden="1">""</definedName>
    <definedName name="HTML137_11" hidden="1">1</definedName>
    <definedName name="HTML137_2" hidden="1">1</definedName>
    <definedName name="HTML137_3" hidden="1">"部署番号表"</definedName>
    <definedName name="HTML137_4" hidden="1">"部署番号表『工場』"</definedName>
    <definedName name="HTML137_5" hidden="1">""</definedName>
    <definedName name="HTML137_6" hidden="1">-4146</definedName>
    <definedName name="HTML137_7" hidden="1">-4146</definedName>
    <definedName name="HTML137_8" hidden="1">"2001/04/09"</definedName>
    <definedName name="HTML137_9" hidden="1">"株式会社ブリヂストン"</definedName>
    <definedName name="HTML138_10" hidden="1">""</definedName>
    <definedName name="HTML138_11" hidden="1">1</definedName>
    <definedName name="HTML138_2" hidden="1">1</definedName>
    <definedName name="HTML138_3" hidden="1">"部署番号表"</definedName>
    <definedName name="HTML138_4" hidden="1">"部署番号表『化工品』"</definedName>
    <definedName name="HTML138_5" hidden="1">""</definedName>
    <definedName name="HTML138_6" hidden="1">-4146</definedName>
    <definedName name="HTML138_7" hidden="1">-4146</definedName>
    <definedName name="HTML138_8" hidden="1">"2001/04/09"</definedName>
    <definedName name="HTML138_9" hidden="1">"株式会社ブリヂストン"</definedName>
    <definedName name="HTML139_10" hidden="1">""</definedName>
    <definedName name="HTML139_11" hidden="1">1</definedName>
    <definedName name="HTML139_2" hidden="1">1</definedName>
    <definedName name="HTML139_3" hidden="1">"部署番号表"</definedName>
    <definedName name="HTML139_4" hidden="1">"部署番号表『化工品』"</definedName>
    <definedName name="HTML139_5" hidden="1">""</definedName>
    <definedName name="HTML139_6" hidden="1">-4146</definedName>
    <definedName name="HTML139_7" hidden="1">-4146</definedName>
    <definedName name="HTML139_8" hidden="1">"2001/04/09"</definedName>
    <definedName name="HTML139_9" hidden="1">"株式会社ブリヂストン"</definedName>
    <definedName name="HTML14_10" hidden="1">""</definedName>
    <definedName name="HTML14_11" hidden="1">1</definedName>
    <definedName name="HTML14_2" hidden="1">1</definedName>
    <definedName name="HTML14_3" hidden="1">"部署番号表"</definedName>
    <definedName name="HTML14_4" hidden="1">"部署番号表『小平』"</definedName>
    <definedName name="HTML14_5" hidden="1">""</definedName>
    <definedName name="HTML14_6" hidden="1">-4146</definedName>
    <definedName name="HTML14_7" hidden="1">-4146</definedName>
    <definedName name="HTML14_8" hidden="1">"2000/03/03"</definedName>
    <definedName name="HTML14_9" hidden="1">"株式会社ブリヂストン"</definedName>
    <definedName name="HTML140_10" hidden="1">""</definedName>
    <definedName name="HTML140_11" hidden="1">1</definedName>
    <definedName name="HTML140_2" hidden="1">1</definedName>
    <definedName name="HTML140_3" hidden="1">"部署番号表"</definedName>
    <definedName name="HTML140_4" hidden="1">"部署番号表『本社』"</definedName>
    <definedName name="HTML140_5" hidden="1">""</definedName>
    <definedName name="HTML140_6" hidden="1">-4146</definedName>
    <definedName name="HTML140_7" hidden="1">-4146</definedName>
    <definedName name="HTML140_8" hidden="1">"2001/10/09"</definedName>
    <definedName name="HTML140_9" hidden="1">"株式会社ブリヂストン"</definedName>
    <definedName name="HTML141_10" hidden="1">""</definedName>
    <definedName name="HTML141_11" hidden="1">1</definedName>
    <definedName name="HTML141_2" hidden="1">1</definedName>
    <definedName name="HTML141_3" hidden="1">"部署番号表"</definedName>
    <definedName name="HTML141_4" hidden="1">"部署番号表『本社』"</definedName>
    <definedName name="HTML141_5" hidden="1">""</definedName>
    <definedName name="HTML141_6" hidden="1">-4146</definedName>
    <definedName name="HTML141_7" hidden="1">-4146</definedName>
    <definedName name="HTML141_8" hidden="1">"2001/10/09"</definedName>
    <definedName name="HTML141_9" hidden="1">"株式会社ブリヂストン"</definedName>
    <definedName name="HTML142_10" hidden="1">""</definedName>
    <definedName name="HTML142_11" hidden="1">1</definedName>
    <definedName name="HTML142_2" hidden="1">1</definedName>
    <definedName name="HTML142_3" hidden="1">"部署番号表"</definedName>
    <definedName name="HTML142_4" hidden="1">"部署番号表『小平』"</definedName>
    <definedName name="HTML142_5" hidden="1">""</definedName>
    <definedName name="HTML142_6" hidden="1">-4146</definedName>
    <definedName name="HTML142_7" hidden="1">-4146</definedName>
    <definedName name="HTML142_8" hidden="1">"2001/10/09"</definedName>
    <definedName name="HTML142_9" hidden="1">"株式会社ブリヂストン"</definedName>
    <definedName name="HTML143_10" hidden="1">""</definedName>
    <definedName name="HTML143_11" hidden="1">1</definedName>
    <definedName name="HTML143_2" hidden="1">1</definedName>
    <definedName name="HTML143_3" hidden="1">"部署番号表"</definedName>
    <definedName name="HTML143_4" hidden="1">"部署番号表『小平』"</definedName>
    <definedName name="HTML143_5" hidden="1">""</definedName>
    <definedName name="HTML143_6" hidden="1">-4146</definedName>
    <definedName name="HTML143_7" hidden="1">-4146</definedName>
    <definedName name="HTML143_8" hidden="1">"2001/10/09"</definedName>
    <definedName name="HTML143_9" hidden="1">"株式会社ブリヂストン"</definedName>
    <definedName name="HTML144_10" hidden="1">""</definedName>
    <definedName name="HTML144_11" hidden="1">1</definedName>
    <definedName name="HTML144_2" hidden="1">1</definedName>
    <definedName name="HTML144_3" hidden="1">"部署番号表"</definedName>
    <definedName name="HTML144_4" hidden="1">"部署番号表『工場』"</definedName>
    <definedName name="HTML144_5" hidden="1">""</definedName>
    <definedName name="HTML144_6" hidden="1">-4146</definedName>
    <definedName name="HTML144_7" hidden="1">-4146</definedName>
    <definedName name="HTML144_8" hidden="1">"2001/10/09"</definedName>
    <definedName name="HTML144_9" hidden="1">"株式会社ブリヂストン"</definedName>
    <definedName name="HTML145_10" hidden="1">""</definedName>
    <definedName name="HTML145_11" hidden="1">1</definedName>
    <definedName name="HTML145_2" hidden="1">1</definedName>
    <definedName name="HTML145_3" hidden="1">"部署番号表"</definedName>
    <definedName name="HTML145_4" hidden="1">"部署番号表『工場』"</definedName>
    <definedName name="HTML145_5" hidden="1">""</definedName>
    <definedName name="HTML145_6" hidden="1">-4146</definedName>
    <definedName name="HTML145_7" hidden="1">-4146</definedName>
    <definedName name="HTML145_8" hidden="1">"2001/10/09"</definedName>
    <definedName name="HTML145_9" hidden="1">"株式会社ブリヂストン"</definedName>
    <definedName name="HTML146_10" hidden="1">""</definedName>
    <definedName name="HTML146_11" hidden="1">1</definedName>
    <definedName name="HTML146_2" hidden="1">1</definedName>
    <definedName name="HTML146_3" hidden="1">"部署番号表"</definedName>
    <definedName name="HTML146_4" hidden="1">"部署番号表『工場』"</definedName>
    <definedName name="HTML146_5" hidden="1">""</definedName>
    <definedName name="HTML146_6" hidden="1">-4146</definedName>
    <definedName name="HTML146_7" hidden="1">-4146</definedName>
    <definedName name="HTML146_8" hidden="1">"2001/10/09"</definedName>
    <definedName name="HTML146_9" hidden="1">"株式会社ブリヂストン"</definedName>
    <definedName name="HTML147_10" hidden="1">""</definedName>
    <definedName name="HTML147_11" hidden="1">1</definedName>
    <definedName name="HTML147_2" hidden="1">1</definedName>
    <definedName name="HTML147_3" hidden="1">"部署番号表"</definedName>
    <definedName name="HTML147_4" hidden="1">"部署番号表『化工品』"</definedName>
    <definedName name="HTML147_5" hidden="1">""</definedName>
    <definedName name="HTML147_6" hidden="1">-4146</definedName>
    <definedName name="HTML147_7" hidden="1">-4146</definedName>
    <definedName name="HTML147_8" hidden="1">"2001/10/09"</definedName>
    <definedName name="HTML147_9" hidden="1">"株式会社ブリヂストン"</definedName>
    <definedName name="HTML148_10" hidden="1">""</definedName>
    <definedName name="HTML148_11" hidden="1">1</definedName>
    <definedName name="HTML148_2" hidden="1">1</definedName>
    <definedName name="HTML148_3" hidden="1">"部署番号表"</definedName>
    <definedName name="HTML148_4" hidden="1">"部署番号表『化工品』"</definedName>
    <definedName name="HTML148_5" hidden="1">""</definedName>
    <definedName name="HTML148_6" hidden="1">-4146</definedName>
    <definedName name="HTML148_7" hidden="1">-4146</definedName>
    <definedName name="HTML148_8" hidden="1">"2001/10/09"</definedName>
    <definedName name="HTML148_9" hidden="1">"株式会社ブリヂストン"</definedName>
    <definedName name="HTML149_10" hidden="1">""</definedName>
    <definedName name="HTML149_11" hidden="1">1</definedName>
    <definedName name="HTML149_2" hidden="1">1</definedName>
    <definedName name="HTML149_3" hidden="1">"部署番号表"</definedName>
    <definedName name="HTML149_4" hidden="1">"部署番号表『本社』"</definedName>
    <definedName name="HTML149_5" hidden="1">""</definedName>
    <definedName name="HTML149_6" hidden="1">-4146</definedName>
    <definedName name="HTML149_7" hidden="1">-4146</definedName>
    <definedName name="HTML149_8" hidden="1">"2001/11/01"</definedName>
    <definedName name="HTML149_9" hidden="1">"株式会社ブリヂストン"</definedName>
    <definedName name="HTML15_10" hidden="1">""</definedName>
    <definedName name="HTML15_11" hidden="1">1</definedName>
    <definedName name="HTML15_2" hidden="1">1</definedName>
    <definedName name="HTML15_3" hidden="1">"部署番号表"</definedName>
    <definedName name="HTML15_4" hidden="1">"部署番号表『小平』"</definedName>
    <definedName name="HTML15_5" hidden="1">""</definedName>
    <definedName name="HTML15_6" hidden="1">-4146</definedName>
    <definedName name="HTML15_7" hidden="1">-4146</definedName>
    <definedName name="HTML15_8" hidden="1">"2000/03/03"</definedName>
    <definedName name="HTML15_9" hidden="1">"株式会社ブリヂストン"</definedName>
    <definedName name="HTML16_10" hidden="1">""</definedName>
    <definedName name="HTML16_11" hidden="1">1</definedName>
    <definedName name="HTML16_2" hidden="1">1</definedName>
    <definedName name="HTML16_3" hidden="1">"部署番号表"</definedName>
    <definedName name="HTML16_4" hidden="1">"部署番号表『工場』"</definedName>
    <definedName name="HTML16_5" hidden="1">""</definedName>
    <definedName name="HTML16_6" hidden="1">-4146</definedName>
    <definedName name="HTML16_7" hidden="1">-4146</definedName>
    <definedName name="HTML16_8" hidden="1">"2000/03/03"</definedName>
    <definedName name="HTML16_9" hidden="1">"株式会社ブリヂストン"</definedName>
    <definedName name="HTML17_10" hidden="1">""</definedName>
    <definedName name="HTML17_11" hidden="1">1</definedName>
    <definedName name="HTML17_2" hidden="1">1</definedName>
    <definedName name="HTML17_3" hidden="1">"部署番号表"</definedName>
    <definedName name="HTML17_4" hidden="1">"部署番号表『工場』"</definedName>
    <definedName name="HTML17_5" hidden="1">""</definedName>
    <definedName name="HTML17_6" hidden="1">-4146</definedName>
    <definedName name="HTML17_7" hidden="1">-4146</definedName>
    <definedName name="HTML17_8" hidden="1">"2000/03/03"</definedName>
    <definedName name="HTML17_9" hidden="1">"株式会社ブリヂストン"</definedName>
    <definedName name="HTML18_10" hidden="1">""</definedName>
    <definedName name="HTML18_11" hidden="1">1</definedName>
    <definedName name="HTML18_2" hidden="1">1</definedName>
    <definedName name="HTML18_3" hidden="1">"部署番号表"</definedName>
    <definedName name="HTML18_4" hidden="1">"部署番号表『工場』"</definedName>
    <definedName name="HTML18_5" hidden="1">""</definedName>
    <definedName name="HTML18_6" hidden="1">-4146</definedName>
    <definedName name="HTML18_7" hidden="1">-4146</definedName>
    <definedName name="HTML18_8" hidden="1">"2000/03/03"</definedName>
    <definedName name="HTML18_9" hidden="1">"株式会社ブリヂストン"</definedName>
    <definedName name="HTML19_10" hidden="1">""</definedName>
    <definedName name="HTML19_11" hidden="1">1</definedName>
    <definedName name="HTML19_2" hidden="1">1</definedName>
    <definedName name="HTML19_3" hidden="1">"部署番号表"</definedName>
    <definedName name="HTML19_4" hidden="1">"部署番号表『工場』"</definedName>
    <definedName name="HTML19_5" hidden="1">""</definedName>
    <definedName name="HTML19_6" hidden="1">-4146</definedName>
    <definedName name="HTML19_7" hidden="1">-4146</definedName>
    <definedName name="HTML19_8" hidden="1">"2000/03/03"</definedName>
    <definedName name="HTML19_9" hidden="1">"株式会社ブリヂストン"</definedName>
    <definedName name="HTML2_10" hidden="1">""</definedName>
    <definedName name="HTML2_11" hidden="1">1</definedName>
    <definedName name="HTML2_2" hidden="1">1</definedName>
    <definedName name="HTML2_3" hidden="1">"部署番号表"</definedName>
    <definedName name="HTML2_4" hidden="1">"部署番号表『本社』"</definedName>
    <definedName name="HTML2_5" hidden="1">""</definedName>
    <definedName name="HTML2_6" hidden="1">-4146</definedName>
    <definedName name="HTML2_7" hidden="1">-4146</definedName>
    <definedName name="HTML2_8" hidden="1">"1999/08/30"</definedName>
    <definedName name="HTML2_9" hidden="1">"株式会社ブリヂストン"</definedName>
    <definedName name="HTML20_10" hidden="1">""</definedName>
    <definedName name="HTML20_11" hidden="1">1</definedName>
    <definedName name="HTML20_2" hidden="1">1</definedName>
    <definedName name="HTML20_3" hidden="1">"部署番号表"</definedName>
    <definedName name="HTML20_4" hidden="1">"部署番号表『化工品』"</definedName>
    <definedName name="HTML20_5" hidden="1">""</definedName>
    <definedName name="HTML20_6" hidden="1">-4146</definedName>
    <definedName name="HTML20_7" hidden="1">-4146</definedName>
    <definedName name="HTML20_8" hidden="1">"2000/03/03"</definedName>
    <definedName name="HTML20_9" hidden="1">"株式会社ブリヂストン"</definedName>
    <definedName name="HTML21_10" hidden="1">""</definedName>
    <definedName name="HTML21_11" hidden="1">1</definedName>
    <definedName name="HTML21_2" hidden="1">1</definedName>
    <definedName name="HTML21_3" hidden="1">"部署番号表"</definedName>
    <definedName name="HTML21_4" hidden="1">"部署番号表『化工品』"</definedName>
    <definedName name="HTML21_5" hidden="1">""</definedName>
    <definedName name="HTML21_6" hidden="1">-4146</definedName>
    <definedName name="HTML21_7" hidden="1">-4146</definedName>
    <definedName name="HTML21_8" hidden="1">"2000/03/03"</definedName>
    <definedName name="HTML21_9" hidden="1">"株式会社ブリヂストン"</definedName>
    <definedName name="HTML22_10" hidden="1">""</definedName>
    <definedName name="HTML22_11" hidden="1">1</definedName>
    <definedName name="HTML22_2" hidden="1">1</definedName>
    <definedName name="HTML22_3" hidden="1">"部署番号表"</definedName>
    <definedName name="HTML22_4" hidden="1">"部署番号表『本社』"</definedName>
    <definedName name="HTML22_5" hidden="1">""</definedName>
    <definedName name="HTML22_6" hidden="1">-4146</definedName>
    <definedName name="HTML22_7" hidden="1">-4146</definedName>
    <definedName name="HTML22_8" hidden="1">"2000/03/17"</definedName>
    <definedName name="HTML22_9" hidden="1">"株式会社ブリヂストン"</definedName>
    <definedName name="HTML23_10" hidden="1">""</definedName>
    <definedName name="HTML23_11" hidden="1">1</definedName>
    <definedName name="HTML23_2" hidden="1">1</definedName>
    <definedName name="HTML23_3" hidden="1">"部署番号表"</definedName>
    <definedName name="HTML23_4" hidden="1">"部署番号表『本社』"</definedName>
    <definedName name="HTML23_5" hidden="1">""</definedName>
    <definedName name="HTML23_6" hidden="1">-4146</definedName>
    <definedName name="HTML23_7" hidden="1">-4146</definedName>
    <definedName name="HTML23_8" hidden="1">"2000/03/17"</definedName>
    <definedName name="HTML23_9" hidden="1">"株式会社ブリヂストン"</definedName>
    <definedName name="HTML24_10" hidden="1">""</definedName>
    <definedName name="HTML24_11" hidden="1">1</definedName>
    <definedName name="HTML24_2" hidden="1">1</definedName>
    <definedName name="HTML24_3" hidden="1">"部署番号表"</definedName>
    <definedName name="HTML24_4" hidden="1">"部署番号表『小平』"</definedName>
    <definedName name="HTML24_5" hidden="1">""</definedName>
    <definedName name="HTML24_6" hidden="1">-4146</definedName>
    <definedName name="HTML24_7" hidden="1">-4146</definedName>
    <definedName name="HTML24_8" hidden="1">"2000/03/17"</definedName>
    <definedName name="HTML24_9" hidden="1">"株式会社ブリヂストン"</definedName>
    <definedName name="HTML25_10" hidden="1">""</definedName>
    <definedName name="HTML25_11" hidden="1">1</definedName>
    <definedName name="HTML25_2" hidden="1">1</definedName>
    <definedName name="HTML25_3" hidden="1">"部署番号表"</definedName>
    <definedName name="HTML25_4" hidden="1">"部署番号表『小平』"</definedName>
    <definedName name="HTML25_5" hidden="1">""</definedName>
    <definedName name="HTML25_6" hidden="1">-4146</definedName>
    <definedName name="HTML25_7" hidden="1">-4146</definedName>
    <definedName name="HTML25_8" hidden="1">"2000/03/23"</definedName>
    <definedName name="HTML25_9" hidden="1">"株式会社ブリヂストン"</definedName>
    <definedName name="HTML26_10" hidden="1">""</definedName>
    <definedName name="HTML26_11" hidden="1">1</definedName>
    <definedName name="HTML26_2" hidden="1">1</definedName>
    <definedName name="HTML26_3" hidden="1">"部署番号表"</definedName>
    <definedName name="HTML26_4" hidden="1">"部署番号表『工場』"</definedName>
    <definedName name="HTML26_5" hidden="1">""</definedName>
    <definedName name="HTML26_6" hidden="1">-4146</definedName>
    <definedName name="HTML26_7" hidden="1">-4146</definedName>
    <definedName name="HTML26_8" hidden="1">"2000/03/17"</definedName>
    <definedName name="HTML26_9" hidden="1">"株式会社ブリヂストン"</definedName>
    <definedName name="HTML27_10" hidden="1">""</definedName>
    <definedName name="HTML27_11" hidden="1">1</definedName>
    <definedName name="HTML27_2" hidden="1">1</definedName>
    <definedName name="HTML27_3" hidden="1">"部署番号表"</definedName>
    <definedName name="HTML27_4" hidden="1">"部署番号表『工場』"</definedName>
    <definedName name="HTML27_5" hidden="1">""</definedName>
    <definedName name="HTML27_6" hidden="1">-4146</definedName>
    <definedName name="HTML27_7" hidden="1">-4146</definedName>
    <definedName name="HTML27_8" hidden="1">"2000/03/17"</definedName>
    <definedName name="HTML27_9" hidden="1">"株式会社ブリヂストン"</definedName>
    <definedName name="HTML28_10" hidden="1">""</definedName>
    <definedName name="HTML28_11" hidden="1">1</definedName>
    <definedName name="HTML28_2" hidden="1">1</definedName>
    <definedName name="HTML28_3" hidden="1">"部署番号表"</definedName>
    <definedName name="HTML28_4" hidden="1">"部署番号表『工場』"</definedName>
    <definedName name="HTML28_5" hidden="1">""</definedName>
    <definedName name="HTML28_6" hidden="1">-4146</definedName>
    <definedName name="HTML28_7" hidden="1">-4146</definedName>
    <definedName name="HTML28_8" hidden="1">"2000/03/17"</definedName>
    <definedName name="HTML28_9" hidden="1">"株式会社ブリヂストン"</definedName>
    <definedName name="HTML29_10" hidden="1">""</definedName>
    <definedName name="HTML29_11" hidden="1">1</definedName>
    <definedName name="HTML29_2" hidden="1">1</definedName>
    <definedName name="HTML29_3" hidden="1">"部署番号表"</definedName>
    <definedName name="HTML29_4" hidden="1">"部署番号表『化工品』"</definedName>
    <definedName name="HTML29_5" hidden="1">""</definedName>
    <definedName name="HTML29_6" hidden="1">-4146</definedName>
    <definedName name="HTML29_7" hidden="1">-4146</definedName>
    <definedName name="HTML29_8" hidden="1">"2000/03/17"</definedName>
    <definedName name="HTML29_9" hidden="1">"株式会社ブリヂストン"</definedName>
    <definedName name="HTML3_10" hidden="1">""</definedName>
    <definedName name="HTML3_11" hidden="1">1</definedName>
    <definedName name="HTML3_2" hidden="1">1</definedName>
    <definedName name="HTML3_3" hidden="1">"部署番号表"</definedName>
    <definedName name="HTML3_4" hidden="1">"部署番号表『本社』"</definedName>
    <definedName name="HTML3_5" hidden="1">""</definedName>
    <definedName name="HTML3_6" hidden="1">-4146</definedName>
    <definedName name="HTML3_7" hidden="1">-4146</definedName>
    <definedName name="HTML3_8" hidden="1">"2000/02/03"</definedName>
    <definedName name="HTML3_9" hidden="1">"株式会社ブリヂストン"</definedName>
    <definedName name="HTML30_10" hidden="1">""</definedName>
    <definedName name="HTML30_11" hidden="1">1</definedName>
    <definedName name="HTML30_2" hidden="1">1</definedName>
    <definedName name="HTML30_3" hidden="1">"部署番号表"</definedName>
    <definedName name="HTML30_4" hidden="1">"部署番号表『化工品』"</definedName>
    <definedName name="HTML30_5" hidden="1">""</definedName>
    <definedName name="HTML30_6" hidden="1">-4146</definedName>
    <definedName name="HTML30_7" hidden="1">-4146</definedName>
    <definedName name="HTML30_8" hidden="1">"2000/03/17"</definedName>
    <definedName name="HTML30_9" hidden="1">"株式会社ブリヂストン"</definedName>
    <definedName name="HTML31_10" hidden="1">""</definedName>
    <definedName name="HTML31_11" hidden="1">1</definedName>
    <definedName name="HTML31_2" hidden="1">1</definedName>
    <definedName name="HTML31_3" hidden="1">"部署番号表"</definedName>
    <definedName name="HTML31_4" hidden="1">"部署番号表『本社』"</definedName>
    <definedName name="HTML31_5" hidden="1">""</definedName>
    <definedName name="HTML31_6" hidden="1">-4146</definedName>
    <definedName name="HTML31_7" hidden="1">-4146</definedName>
    <definedName name="HTML31_8" hidden="1">"2000/04/07"</definedName>
    <definedName name="HTML31_9" hidden="1">"株式会社ブリヂストン"</definedName>
    <definedName name="HTML32_10" hidden="1">""</definedName>
    <definedName name="HTML32_11" hidden="1">1</definedName>
    <definedName name="HTML32_2" hidden="1">1</definedName>
    <definedName name="HTML32_3" hidden="1">"部署番号表"</definedName>
    <definedName name="HTML32_4" hidden="1">"部署番号表『本社』"</definedName>
    <definedName name="HTML32_5" hidden="1">""</definedName>
    <definedName name="HTML32_6" hidden="1">-4146</definedName>
    <definedName name="HTML32_7" hidden="1">-4146</definedName>
    <definedName name="HTML32_8" hidden="1">"2000/04/07"</definedName>
    <definedName name="HTML32_9" hidden="1">"株式会社ブリヂストン"</definedName>
    <definedName name="HTML33_10" hidden="1">""</definedName>
    <definedName name="HTML33_11" hidden="1">1</definedName>
    <definedName name="HTML33_2" hidden="1">1</definedName>
    <definedName name="HTML33_3" hidden="1">"部署番号表"</definedName>
    <definedName name="HTML33_4" hidden="1">"部署番号表『小平』"</definedName>
    <definedName name="HTML33_5" hidden="1">""</definedName>
    <definedName name="HTML33_6" hidden="1">-4146</definedName>
    <definedName name="HTML33_7" hidden="1">-4146</definedName>
    <definedName name="HTML33_8" hidden="1">"2000/04/07"</definedName>
    <definedName name="HTML33_9" hidden="1">"株式会社ブリヂストン"</definedName>
    <definedName name="HTML34_10" hidden="1">""</definedName>
    <definedName name="HTML34_11" hidden="1">1</definedName>
    <definedName name="HTML34_2" hidden="1">1</definedName>
    <definedName name="HTML34_3" hidden="1">"部署番号表"</definedName>
    <definedName name="HTML34_4" hidden="1">"部署番号表『小平』"</definedName>
    <definedName name="HTML34_5" hidden="1">""</definedName>
    <definedName name="HTML34_6" hidden="1">-4146</definedName>
    <definedName name="HTML34_7" hidden="1">-4146</definedName>
    <definedName name="HTML34_8" hidden="1">"2000/04/07"</definedName>
    <definedName name="HTML34_9" hidden="1">"株式会社ブリヂストン"</definedName>
    <definedName name="HTML35_10" hidden="1">""</definedName>
    <definedName name="HTML35_11" hidden="1">1</definedName>
    <definedName name="HTML35_2" hidden="1">1</definedName>
    <definedName name="HTML35_3" hidden="1">"部署番号表"</definedName>
    <definedName name="HTML35_4" hidden="1">"部署番号表『工場』"</definedName>
    <definedName name="HTML35_5" hidden="1">""</definedName>
    <definedName name="HTML35_6" hidden="1">-4146</definedName>
    <definedName name="HTML35_7" hidden="1">-4146</definedName>
    <definedName name="HTML35_8" hidden="1">"2000/04/07"</definedName>
    <definedName name="HTML35_9" hidden="1">"株式会社ブリヂストン"</definedName>
    <definedName name="HTML36_10" hidden="1">""</definedName>
    <definedName name="HTML36_11" hidden="1">1</definedName>
    <definedName name="HTML36_2" hidden="1">1</definedName>
    <definedName name="HTML36_3" hidden="1">"部署番号表"</definedName>
    <definedName name="HTML36_4" hidden="1">"部署番号表『工場』"</definedName>
    <definedName name="HTML36_5" hidden="1">""</definedName>
    <definedName name="HTML36_6" hidden="1">-4146</definedName>
    <definedName name="HTML36_7" hidden="1">-4146</definedName>
    <definedName name="HTML36_8" hidden="1">"2000/04/07"</definedName>
    <definedName name="HTML36_9" hidden="1">"株式会社ブリヂストン"</definedName>
    <definedName name="HTML37_10" hidden="1">""</definedName>
    <definedName name="HTML37_11" hidden="1">1</definedName>
    <definedName name="HTML37_2" hidden="1">1</definedName>
    <definedName name="HTML37_3" hidden="1">"部署番号表"</definedName>
    <definedName name="HTML37_4" hidden="1">"部署番号表『工場』"</definedName>
    <definedName name="HTML37_5" hidden="1">""</definedName>
    <definedName name="HTML37_6" hidden="1">-4146</definedName>
    <definedName name="HTML37_7" hidden="1">-4146</definedName>
    <definedName name="HTML37_8" hidden="1">"2000/04/07"</definedName>
    <definedName name="HTML37_9" hidden="1">"株式会社ブリヂストン"</definedName>
    <definedName name="HTML38_10" hidden="1">""</definedName>
    <definedName name="HTML38_11" hidden="1">1</definedName>
    <definedName name="HTML38_2" hidden="1">1</definedName>
    <definedName name="HTML38_3" hidden="1">"部署番号表"</definedName>
    <definedName name="HTML38_4" hidden="1">"部署番号表『化工品』"</definedName>
    <definedName name="HTML38_5" hidden="1">""</definedName>
    <definedName name="HTML38_6" hidden="1">-4146</definedName>
    <definedName name="HTML38_7" hidden="1">-4146</definedName>
    <definedName name="HTML38_8" hidden="1">"2000/04/07"</definedName>
    <definedName name="HTML38_9" hidden="1">"株式会社ブリヂストン"</definedName>
    <definedName name="HTML39_10" hidden="1">""</definedName>
    <definedName name="HTML39_11" hidden="1">1</definedName>
    <definedName name="HTML39_2" hidden="1">1</definedName>
    <definedName name="HTML39_3" hidden="1">"部署番号表"</definedName>
    <definedName name="HTML39_4" hidden="1">"部署番号表『化工品』"</definedName>
    <definedName name="HTML39_5" hidden="1">""</definedName>
    <definedName name="HTML39_6" hidden="1">-4146</definedName>
    <definedName name="HTML39_7" hidden="1">-4146</definedName>
    <definedName name="HTML39_8" hidden="1">"2000/04/07"</definedName>
    <definedName name="HTML39_9" hidden="1">"株式会社ブリヂストン"</definedName>
    <definedName name="HTML4_10" hidden="1">""</definedName>
    <definedName name="HTML4_11" hidden="1">1</definedName>
    <definedName name="HTML4_2" hidden="1">1</definedName>
    <definedName name="HTML4_3" hidden="1">"部署番号表"</definedName>
    <definedName name="HTML4_4" hidden="1">"部署番号表『本社』"</definedName>
    <definedName name="HTML4_5" hidden="1">""</definedName>
    <definedName name="HTML4_6" hidden="1">-4146</definedName>
    <definedName name="HTML4_7" hidden="1">-4146</definedName>
    <definedName name="HTML4_8" hidden="1">"2000/02/03"</definedName>
    <definedName name="HTML4_9" hidden="1">"株式会社ブリヂストン"</definedName>
    <definedName name="HTML40_10" hidden="1">""</definedName>
    <definedName name="HTML40_11" hidden="1">1</definedName>
    <definedName name="HTML40_2" hidden="1">1</definedName>
    <definedName name="HTML40_3" hidden="1">"部署番号表"</definedName>
    <definedName name="HTML40_4" hidden="1">"部署番号表『本社』"</definedName>
    <definedName name="HTML40_5" hidden="1">""</definedName>
    <definedName name="HTML40_6" hidden="1">-4146</definedName>
    <definedName name="HTML40_7" hidden="1">-4146</definedName>
    <definedName name="HTML40_8" hidden="1">"2000/04/19"</definedName>
    <definedName name="HTML40_9" hidden="1">"株式会社ブリヂストン"</definedName>
    <definedName name="HTML41_10" hidden="1">""</definedName>
    <definedName name="HTML41_11" hidden="1">1</definedName>
    <definedName name="HTML41_2" hidden="1">1</definedName>
    <definedName name="HTML41_3" hidden="1">"部署番号表"</definedName>
    <definedName name="HTML41_4" hidden="1">"部署番号表『本社』"</definedName>
    <definedName name="HTML41_5" hidden="1">""</definedName>
    <definedName name="HTML41_6" hidden="1">-4146</definedName>
    <definedName name="HTML41_7" hidden="1">-4146</definedName>
    <definedName name="HTML41_8" hidden="1">"2000/04/19"</definedName>
    <definedName name="HTML41_9" hidden="1">"株式会社ブリヂストン"</definedName>
    <definedName name="HTML42_10" hidden="1">""</definedName>
    <definedName name="HTML42_11" hidden="1">1</definedName>
    <definedName name="HTML42_2" hidden="1">1</definedName>
    <definedName name="HTML42_3" hidden="1">"部署番号表"</definedName>
    <definedName name="HTML42_4" hidden="1">"部署番号表『小平』"</definedName>
    <definedName name="HTML42_5" hidden="1">""</definedName>
    <definedName name="HTML42_6" hidden="1">-4146</definedName>
    <definedName name="HTML42_7" hidden="1">-4146</definedName>
    <definedName name="HTML42_8" hidden="1">"2000/04/19"</definedName>
    <definedName name="HTML42_9" hidden="1">"株式会社ブリヂストン"</definedName>
    <definedName name="HTML43_10" hidden="1">""</definedName>
    <definedName name="HTML43_11" hidden="1">1</definedName>
    <definedName name="HTML43_2" hidden="1">1</definedName>
    <definedName name="HTML43_3" hidden="1">"部署番号表"</definedName>
    <definedName name="HTML43_4" hidden="1">"部署番号表『小平』"</definedName>
    <definedName name="HTML43_5" hidden="1">""</definedName>
    <definedName name="HTML43_6" hidden="1">-4146</definedName>
    <definedName name="HTML43_7" hidden="1">-4146</definedName>
    <definedName name="HTML43_8" hidden="1">"2000/04/19"</definedName>
    <definedName name="HTML43_9" hidden="1">"株式会社ブリヂストン"</definedName>
    <definedName name="HTML44_10" hidden="1">""</definedName>
    <definedName name="HTML44_11" hidden="1">1</definedName>
    <definedName name="HTML44_2" hidden="1">1</definedName>
    <definedName name="HTML44_3" hidden="1">"部署番号表"</definedName>
    <definedName name="HTML44_4" hidden="1">"部署番号表『工場』"</definedName>
    <definedName name="HTML44_5" hidden="1">""</definedName>
    <definedName name="HTML44_6" hidden="1">-4146</definedName>
    <definedName name="HTML44_7" hidden="1">-4146</definedName>
    <definedName name="HTML44_8" hidden="1">"2000/04/19"</definedName>
    <definedName name="HTML44_9" hidden="1">"株式会社ブリヂストン"</definedName>
    <definedName name="HTML45_10" hidden="1">""</definedName>
    <definedName name="HTML45_11" hidden="1">1</definedName>
    <definedName name="HTML45_2" hidden="1">1</definedName>
    <definedName name="HTML45_3" hidden="1">"部署番号表"</definedName>
    <definedName name="HTML45_4" hidden="1">"部署番号表『工場』"</definedName>
    <definedName name="HTML45_5" hidden="1">""</definedName>
    <definedName name="HTML45_6" hidden="1">-4146</definedName>
    <definedName name="HTML45_7" hidden="1">-4146</definedName>
    <definedName name="HTML45_8" hidden="1">"2000/04/19"</definedName>
    <definedName name="HTML45_9" hidden="1">"株式会社ブリヂストン"</definedName>
    <definedName name="HTML46_10" hidden="1">""</definedName>
    <definedName name="HTML46_11" hidden="1">1</definedName>
    <definedName name="HTML46_2" hidden="1">1</definedName>
    <definedName name="HTML46_3" hidden="1">"部署番号表"</definedName>
    <definedName name="HTML46_4" hidden="1">"部署番号表『工場』"</definedName>
    <definedName name="HTML46_5" hidden="1">""</definedName>
    <definedName name="HTML46_6" hidden="1">-4146</definedName>
    <definedName name="HTML46_7" hidden="1">-4146</definedName>
    <definedName name="HTML46_8" hidden="1">"2000/04/19"</definedName>
    <definedName name="HTML46_9" hidden="1">"株式会社ブリヂストン"</definedName>
    <definedName name="HTML47_10" hidden="1">""</definedName>
    <definedName name="HTML47_11" hidden="1">1</definedName>
    <definedName name="HTML47_2" hidden="1">1</definedName>
    <definedName name="HTML47_3" hidden="1">"部署番号表"</definedName>
    <definedName name="HTML47_4" hidden="1">"部署番号表『化工品』"</definedName>
    <definedName name="HTML47_5" hidden="1">""</definedName>
    <definedName name="HTML47_6" hidden="1">-4146</definedName>
    <definedName name="HTML47_7" hidden="1">-4146</definedName>
    <definedName name="HTML47_8" hidden="1">"2000/04/19"</definedName>
    <definedName name="HTML47_9" hidden="1">"株式会社ブリヂストン"</definedName>
    <definedName name="HTML48_10" hidden="1">""</definedName>
    <definedName name="HTML48_11" hidden="1">1</definedName>
    <definedName name="HTML48_2" hidden="1">1</definedName>
    <definedName name="HTML48_3" hidden="1">"部署番号表"</definedName>
    <definedName name="HTML48_4" hidden="1">"部署番号表『化工品』"</definedName>
    <definedName name="HTML48_5" hidden="1">""</definedName>
    <definedName name="HTML48_6" hidden="1">-4146</definedName>
    <definedName name="HTML48_7" hidden="1">-4146</definedName>
    <definedName name="HTML48_8" hidden="1">"2000/04/19"</definedName>
    <definedName name="HTML48_9" hidden="1">"株式会社ブリヂストン"</definedName>
    <definedName name="HTML49_10" hidden="1">""</definedName>
    <definedName name="HTML49_11" hidden="1">1</definedName>
    <definedName name="HTML49_2" hidden="1">1</definedName>
    <definedName name="HTML49_3" hidden="1">"部署番号表"</definedName>
    <definedName name="HTML49_4" hidden="1">"部署番号表『本社』"</definedName>
    <definedName name="HTML49_5" hidden="1">""</definedName>
    <definedName name="HTML49_6" hidden="1">-4146</definedName>
    <definedName name="HTML49_7" hidden="1">-4146</definedName>
    <definedName name="HTML49_8" hidden="1">"2000/05/01"</definedName>
    <definedName name="HTML49_9" hidden="1">"株式会社ブリヂストン"</definedName>
    <definedName name="HTML5_10" hidden="1">""</definedName>
    <definedName name="HTML5_11" hidden="1">1</definedName>
    <definedName name="HTML5_2" hidden="1">1</definedName>
    <definedName name="HTML5_3" hidden="1">"部署番号表"</definedName>
    <definedName name="HTML5_4" hidden="1">"部署番号表『小平』"</definedName>
    <definedName name="HTML5_5" hidden="1">""</definedName>
    <definedName name="HTML5_6" hidden="1">-4146</definedName>
    <definedName name="HTML5_7" hidden="1">-4146</definedName>
    <definedName name="HTML5_8" hidden="1">"2000/02/03"</definedName>
    <definedName name="HTML5_9" hidden="1">"株式会社ブリヂストン"</definedName>
    <definedName name="HTML50_10" hidden="1">""</definedName>
    <definedName name="HTML50_11" hidden="1">1</definedName>
    <definedName name="HTML50_2" hidden="1">1</definedName>
    <definedName name="HTML50_3" hidden="1">"部署番号表"</definedName>
    <definedName name="HTML50_4" hidden="1">"部署番号表『本社』"</definedName>
    <definedName name="HTML50_5" hidden="1">""</definedName>
    <definedName name="HTML50_6" hidden="1">-4146</definedName>
    <definedName name="HTML50_7" hidden="1">-4146</definedName>
    <definedName name="HTML50_8" hidden="1">"2000/05/01"</definedName>
    <definedName name="HTML50_9" hidden="1">"株式会社ブリヂストン"</definedName>
    <definedName name="HTML51_10" hidden="1">""</definedName>
    <definedName name="HTML51_11" hidden="1">1</definedName>
    <definedName name="HTML51_2" hidden="1">1</definedName>
    <definedName name="HTML51_3" hidden="1">"部署番号表"</definedName>
    <definedName name="HTML51_4" hidden="1">"部署番号表『小平』"</definedName>
    <definedName name="HTML51_5" hidden="1">""</definedName>
    <definedName name="HTML51_6" hidden="1">-4146</definedName>
    <definedName name="HTML51_7" hidden="1">-4146</definedName>
    <definedName name="HTML51_8" hidden="1">"2000/05/01"</definedName>
    <definedName name="HTML51_9" hidden="1">"株式会社ブリヂストン"</definedName>
    <definedName name="HTML52_10" hidden="1">""</definedName>
    <definedName name="HTML52_11" hidden="1">1</definedName>
    <definedName name="HTML52_2" hidden="1">1</definedName>
    <definedName name="HTML52_3" hidden="1">"部署番号表"</definedName>
    <definedName name="HTML52_4" hidden="1">"部署番号表『小平』"</definedName>
    <definedName name="HTML52_5" hidden="1">""</definedName>
    <definedName name="HTML52_6" hidden="1">-4146</definedName>
    <definedName name="HTML52_7" hidden="1">-4146</definedName>
    <definedName name="HTML52_8" hidden="1">"2000/05/01"</definedName>
    <definedName name="HTML52_9" hidden="1">"株式会社ブリヂストン"</definedName>
    <definedName name="HTML53_10" hidden="1">""</definedName>
    <definedName name="HTML53_11" hidden="1">1</definedName>
    <definedName name="HTML53_2" hidden="1">1</definedName>
    <definedName name="HTML53_3" hidden="1">"部署番号表"</definedName>
    <definedName name="HTML53_4" hidden="1">"部署番号表『工場』"</definedName>
    <definedName name="HTML53_5" hidden="1">""</definedName>
    <definedName name="HTML53_6" hidden="1">-4146</definedName>
    <definedName name="HTML53_7" hidden="1">-4146</definedName>
    <definedName name="HTML53_8" hidden="1">"2000/05/01"</definedName>
    <definedName name="HTML53_9" hidden="1">"株式会社ブリヂストン"</definedName>
    <definedName name="HTML54_10" hidden="1">""</definedName>
    <definedName name="HTML54_11" hidden="1">1</definedName>
    <definedName name="HTML54_2" hidden="1">1</definedName>
    <definedName name="HTML54_3" hidden="1">"部署番号表"</definedName>
    <definedName name="HTML54_4" hidden="1">"部署番号表『工場』"</definedName>
    <definedName name="HTML54_5" hidden="1">""</definedName>
    <definedName name="HTML54_6" hidden="1">-4146</definedName>
    <definedName name="HTML54_7" hidden="1">-4146</definedName>
    <definedName name="HTML54_8" hidden="1">"2000/05/01"</definedName>
    <definedName name="HTML54_9" hidden="1">"株式会社ブリヂストン"</definedName>
    <definedName name="HTML55_10" hidden="1">""</definedName>
    <definedName name="HTML55_11" hidden="1">1</definedName>
    <definedName name="HTML55_2" hidden="1">1</definedName>
    <definedName name="HTML55_3" hidden="1">"部署番号表"</definedName>
    <definedName name="HTML55_4" hidden="1">"部署番号表『工場』"</definedName>
    <definedName name="HTML55_5" hidden="1">""</definedName>
    <definedName name="HTML55_6" hidden="1">-4146</definedName>
    <definedName name="HTML55_7" hidden="1">-4146</definedName>
    <definedName name="HTML55_8" hidden="1">"2000/05/01"</definedName>
    <definedName name="HTML55_9" hidden="1">"株式会社ブリヂストン"</definedName>
    <definedName name="HTML56_10" hidden="1">""</definedName>
    <definedName name="HTML56_11" hidden="1">1</definedName>
    <definedName name="HTML56_2" hidden="1">1</definedName>
    <definedName name="HTML56_3" hidden="1">"部署番号表"</definedName>
    <definedName name="HTML56_4" hidden="1">"部署番号表『化工品』"</definedName>
    <definedName name="HTML56_5" hidden="1">""</definedName>
    <definedName name="HTML56_6" hidden="1">-4146</definedName>
    <definedName name="HTML56_7" hidden="1">-4146</definedName>
    <definedName name="HTML56_8" hidden="1">"2000/05/01"</definedName>
    <definedName name="HTML56_9" hidden="1">"株式会社ブリヂストン"</definedName>
    <definedName name="HTML57_10" hidden="1">""</definedName>
    <definedName name="HTML57_11" hidden="1">1</definedName>
    <definedName name="HTML57_2" hidden="1">1</definedName>
    <definedName name="HTML57_3" hidden="1">"部署番号表"</definedName>
    <definedName name="HTML57_4" hidden="1">"部署番号表『化工品』"</definedName>
    <definedName name="HTML57_5" hidden="1">""</definedName>
    <definedName name="HTML57_6" hidden="1">-4146</definedName>
    <definedName name="HTML57_7" hidden="1">-4146</definedName>
    <definedName name="HTML57_8" hidden="1">"2000/05/01"</definedName>
    <definedName name="HTML57_9" hidden="1">"株式会社ブリヂストン"</definedName>
    <definedName name="HTML58_10" hidden="1">""</definedName>
    <definedName name="HTML58_11" hidden="1">1</definedName>
    <definedName name="HTML58_2" hidden="1">1</definedName>
    <definedName name="HTML58_3" hidden="1">"部署番号表"</definedName>
    <definedName name="HTML58_4" hidden="1">"部署番号表『本社』"</definedName>
    <definedName name="HTML58_5" hidden="1">""</definedName>
    <definedName name="HTML58_6" hidden="1">-4146</definedName>
    <definedName name="HTML58_7" hidden="1">-4146</definedName>
    <definedName name="HTML58_8" hidden="1">"2000/05/19"</definedName>
    <definedName name="HTML58_9" hidden="1">"株式会社ブリヂストン"</definedName>
    <definedName name="HTML59_10" hidden="1">""</definedName>
    <definedName name="HTML59_11" hidden="1">1</definedName>
    <definedName name="HTML59_2" hidden="1">1</definedName>
    <definedName name="HTML59_3" hidden="1">"部署番号表"</definedName>
    <definedName name="HTML59_4" hidden="1">"部署番号表『本社』"</definedName>
    <definedName name="HTML59_5" hidden="1">""</definedName>
    <definedName name="HTML59_6" hidden="1">-4146</definedName>
    <definedName name="HTML59_7" hidden="1">-4146</definedName>
    <definedName name="HTML59_8" hidden="1">"2000/05/19"</definedName>
    <definedName name="HTML59_9" hidden="1">"株式会社ブリヂストン"</definedName>
    <definedName name="HTML6_10" hidden="1">""</definedName>
    <definedName name="HTML6_11" hidden="1">1</definedName>
    <definedName name="HTML6_2" hidden="1">1</definedName>
    <definedName name="HTML6_3" hidden="1">"部署番号表"</definedName>
    <definedName name="HTML6_4" hidden="1">"部署番号表『小平』"</definedName>
    <definedName name="HTML6_5" hidden="1">""</definedName>
    <definedName name="HTML6_6" hidden="1">-4146</definedName>
    <definedName name="HTML6_7" hidden="1">-4146</definedName>
    <definedName name="HTML6_8" hidden="1">"2000/02/03"</definedName>
    <definedName name="HTML6_9" hidden="1">"株式会社ブリヂストン"</definedName>
    <definedName name="HTML60_10" hidden="1">""</definedName>
    <definedName name="HTML60_11" hidden="1">1</definedName>
    <definedName name="HTML60_2" hidden="1">1</definedName>
    <definedName name="HTML60_3" hidden="1">"部署番号表"</definedName>
    <definedName name="HTML60_4" hidden="1">"部署番号表『小平』"</definedName>
    <definedName name="HTML60_5" hidden="1">""</definedName>
    <definedName name="HTML60_6" hidden="1">-4146</definedName>
    <definedName name="HTML60_7" hidden="1">-4146</definedName>
    <definedName name="HTML60_8" hidden="1">"2000/05/19"</definedName>
    <definedName name="HTML60_9" hidden="1">"株式会社ブリヂストン"</definedName>
    <definedName name="HTML61_10" hidden="1">""</definedName>
    <definedName name="HTML61_11" hidden="1">1</definedName>
    <definedName name="HTML61_2" hidden="1">1</definedName>
    <definedName name="HTML61_3" hidden="1">"部署番号表"</definedName>
    <definedName name="HTML61_4" hidden="1">"部署番号表『小平』"</definedName>
    <definedName name="HTML61_5" hidden="1">""</definedName>
    <definedName name="HTML61_6" hidden="1">-4146</definedName>
    <definedName name="HTML61_7" hidden="1">-4146</definedName>
    <definedName name="HTML61_8" hidden="1">"2000/05/19"</definedName>
    <definedName name="HTML61_9" hidden="1">"株式会社ブリヂストン"</definedName>
    <definedName name="HTML62_10" hidden="1">""</definedName>
    <definedName name="HTML62_11" hidden="1">1</definedName>
    <definedName name="HTML62_2" hidden="1">1</definedName>
    <definedName name="HTML62_3" hidden="1">"部署番号表"</definedName>
    <definedName name="HTML62_4" hidden="1">"部署番号表『工場』"</definedName>
    <definedName name="HTML62_5" hidden="1">""</definedName>
    <definedName name="HTML62_6" hidden="1">-4146</definedName>
    <definedName name="HTML62_7" hidden="1">-4146</definedName>
    <definedName name="HTML62_8" hidden="1">"2000/05/19"</definedName>
    <definedName name="HTML62_9" hidden="1">"株式会社ブリヂストン"</definedName>
    <definedName name="HTML63_10" hidden="1">""</definedName>
    <definedName name="HTML63_11" hidden="1">1</definedName>
    <definedName name="HTML63_2" hidden="1">1</definedName>
    <definedName name="HTML63_3" hidden="1">"部署番号表"</definedName>
    <definedName name="HTML63_4" hidden="1">"部署番号表『工場』"</definedName>
    <definedName name="HTML63_5" hidden="1">""</definedName>
    <definedName name="HTML63_6" hidden="1">-4146</definedName>
    <definedName name="HTML63_7" hidden="1">-4146</definedName>
    <definedName name="HTML63_8" hidden="1">"2000/05/19"</definedName>
    <definedName name="HTML63_9" hidden="1">"株式会社ブリヂストン"</definedName>
    <definedName name="HTML64_10" hidden="1">""</definedName>
    <definedName name="HTML64_11" hidden="1">1</definedName>
    <definedName name="HTML64_2" hidden="1">1</definedName>
    <definedName name="HTML64_3" hidden="1">"部署番号表"</definedName>
    <definedName name="HTML64_4" hidden="1">"部署番号表『工場』"</definedName>
    <definedName name="HTML64_5" hidden="1">""</definedName>
    <definedName name="HTML64_6" hidden="1">-4146</definedName>
    <definedName name="HTML64_7" hidden="1">-4146</definedName>
    <definedName name="HTML64_8" hidden="1">"2000/05/19"</definedName>
    <definedName name="HTML64_9" hidden="1">"株式会社ブリヂストン"</definedName>
    <definedName name="HTML65_10" hidden="1">""</definedName>
    <definedName name="HTML65_11" hidden="1">1</definedName>
    <definedName name="HTML65_2" hidden="1">1</definedName>
    <definedName name="HTML65_3" hidden="1">"部署番号表"</definedName>
    <definedName name="HTML65_4" hidden="1">"部署番号表『化工品』"</definedName>
    <definedName name="HTML65_5" hidden="1">""</definedName>
    <definedName name="HTML65_6" hidden="1">-4146</definedName>
    <definedName name="HTML65_7" hidden="1">-4146</definedName>
    <definedName name="HTML65_8" hidden="1">"2000/05/19"</definedName>
    <definedName name="HTML65_9" hidden="1">"株式会社ブリヂストン"</definedName>
    <definedName name="HTML66_10" hidden="1">""</definedName>
    <definedName name="HTML66_11" hidden="1">1</definedName>
    <definedName name="HTML66_2" hidden="1">1</definedName>
    <definedName name="HTML66_3" hidden="1">"部署番号表"</definedName>
    <definedName name="HTML66_4" hidden="1">"部署番号表『化工品』"</definedName>
    <definedName name="HTML66_5" hidden="1">""</definedName>
    <definedName name="HTML66_6" hidden="1">-4146</definedName>
    <definedName name="HTML66_7" hidden="1">-4146</definedName>
    <definedName name="HTML66_8" hidden="1">"2000/05/19"</definedName>
    <definedName name="HTML66_9" hidden="1">"株式会社ブリヂストン"</definedName>
    <definedName name="HTML67_10" hidden="1">""</definedName>
    <definedName name="HTML67_11" hidden="1">1</definedName>
    <definedName name="HTML67_2" hidden="1">1</definedName>
    <definedName name="HTML67_3" hidden="1">"部署番号表"</definedName>
    <definedName name="HTML67_4" hidden="1">"部署番号表『本社』"</definedName>
    <definedName name="HTML67_5" hidden="1">""</definedName>
    <definedName name="HTML67_6" hidden="1">-4146</definedName>
    <definedName name="HTML67_7" hidden="1">-4146</definedName>
    <definedName name="HTML67_8" hidden="1">"2000/06/20"</definedName>
    <definedName name="HTML67_9" hidden="1">"株式会社ブリヂストン"</definedName>
    <definedName name="HTML68_10" hidden="1">""</definedName>
    <definedName name="HTML68_11" hidden="1">1</definedName>
    <definedName name="HTML68_2" hidden="1">1</definedName>
    <definedName name="HTML68_3" hidden="1">"部署番号表"</definedName>
    <definedName name="HTML68_4" hidden="1">"部署番号表『本社』"</definedName>
    <definedName name="HTML68_5" hidden="1">""</definedName>
    <definedName name="HTML68_6" hidden="1">-4146</definedName>
    <definedName name="HTML68_7" hidden="1">-4146</definedName>
    <definedName name="HTML68_8" hidden="1">"2000/06/20"</definedName>
    <definedName name="HTML68_9" hidden="1">"株式会社ブリヂストン"</definedName>
    <definedName name="HTML69_10" hidden="1">""</definedName>
    <definedName name="HTML69_11" hidden="1">1</definedName>
    <definedName name="HTML69_2" hidden="1">1</definedName>
    <definedName name="HTML69_3" hidden="1">"部署番号表"</definedName>
    <definedName name="HTML69_4" hidden="1">"部署番号表『小平』"</definedName>
    <definedName name="HTML69_5" hidden="1">""</definedName>
    <definedName name="HTML69_6" hidden="1">-4146</definedName>
    <definedName name="HTML69_7" hidden="1">-4146</definedName>
    <definedName name="HTML69_8" hidden="1">"2000/06/20"</definedName>
    <definedName name="HTML69_9" hidden="1">"株式会社ブリヂストン"</definedName>
    <definedName name="HTML7_10" hidden="1">""</definedName>
    <definedName name="HTML7_11" hidden="1">1</definedName>
    <definedName name="HTML7_2" hidden="1">1</definedName>
    <definedName name="HTML7_3" hidden="1">"部署番号表"</definedName>
    <definedName name="HTML7_4" hidden="1">"部署番号表『工場』"</definedName>
    <definedName name="HTML7_5" hidden="1">""</definedName>
    <definedName name="HTML7_6" hidden="1">-4146</definedName>
    <definedName name="HTML7_7" hidden="1">-4146</definedName>
    <definedName name="HTML7_8" hidden="1">"2000/02/03"</definedName>
    <definedName name="HTML7_9" hidden="1">"株式会社ブリヂストン"</definedName>
    <definedName name="HTML70_10" hidden="1">""</definedName>
    <definedName name="HTML70_11" hidden="1">1</definedName>
    <definedName name="HTML70_2" hidden="1">1</definedName>
    <definedName name="HTML70_3" hidden="1">"部署番号表"</definedName>
    <definedName name="HTML70_4" hidden="1">"部署番号表『小平』"</definedName>
    <definedName name="HTML70_5" hidden="1">""</definedName>
    <definedName name="HTML70_6" hidden="1">-4146</definedName>
    <definedName name="HTML70_7" hidden="1">-4146</definedName>
    <definedName name="HTML70_8" hidden="1">"2000/06/20"</definedName>
    <definedName name="HTML70_9" hidden="1">"株式会社ブリヂストン"</definedName>
    <definedName name="HTML71_10" hidden="1">""</definedName>
    <definedName name="HTML71_11" hidden="1">1</definedName>
    <definedName name="HTML71_2" hidden="1">1</definedName>
    <definedName name="HTML71_3" hidden="1">"部署番号表"</definedName>
    <definedName name="HTML71_4" hidden="1">"部署番号表『工場』"</definedName>
    <definedName name="HTML71_5" hidden="1">""</definedName>
    <definedName name="HTML71_6" hidden="1">-4146</definedName>
    <definedName name="HTML71_7" hidden="1">-4146</definedName>
    <definedName name="HTML71_8" hidden="1">"2000/06/20"</definedName>
    <definedName name="HTML71_9" hidden="1">"株式会社ブリヂストン"</definedName>
    <definedName name="HTML72_10" hidden="1">""</definedName>
    <definedName name="HTML72_11" hidden="1">1</definedName>
    <definedName name="HTML72_2" hidden="1">1</definedName>
    <definedName name="HTML72_3" hidden="1">"部署番号表"</definedName>
    <definedName name="HTML72_4" hidden="1">"部署番号表『工場』"</definedName>
    <definedName name="HTML72_5" hidden="1">""</definedName>
    <definedName name="HTML72_6" hidden="1">-4146</definedName>
    <definedName name="HTML72_7" hidden="1">-4146</definedName>
    <definedName name="HTML72_8" hidden="1">"2000/06/20"</definedName>
    <definedName name="HTML72_9" hidden="1">"株式会社ブリヂストン"</definedName>
    <definedName name="HTML73_10" hidden="1">""</definedName>
    <definedName name="HTML73_11" hidden="1">1</definedName>
    <definedName name="HTML73_2" hidden="1">1</definedName>
    <definedName name="HTML73_3" hidden="1">"部署番号表"</definedName>
    <definedName name="HTML73_4" hidden="1">"部署番号表『工場』"</definedName>
    <definedName name="HTML73_5" hidden="1">""</definedName>
    <definedName name="HTML73_6" hidden="1">-4146</definedName>
    <definedName name="HTML73_7" hidden="1">-4146</definedName>
    <definedName name="HTML73_8" hidden="1">"2000/06/20"</definedName>
    <definedName name="HTML73_9" hidden="1">"株式会社ブリヂストン"</definedName>
    <definedName name="HTML74_10" hidden="1">""</definedName>
    <definedName name="HTML74_11" hidden="1">1</definedName>
    <definedName name="HTML74_2" hidden="1">1</definedName>
    <definedName name="HTML74_3" hidden="1">"部署番号表"</definedName>
    <definedName name="HTML74_4" hidden="1">"部署番号表『化工品』"</definedName>
    <definedName name="HTML74_5" hidden="1">""</definedName>
    <definedName name="HTML74_6" hidden="1">-4146</definedName>
    <definedName name="HTML74_7" hidden="1">-4146</definedName>
    <definedName name="HTML74_8" hidden="1">"2000/06/20"</definedName>
    <definedName name="HTML74_9" hidden="1">"株式会社ブリヂストン"</definedName>
    <definedName name="HTML75_10" hidden="1">""</definedName>
    <definedName name="HTML75_11" hidden="1">1</definedName>
    <definedName name="HTML75_2" hidden="1">1</definedName>
    <definedName name="HTML75_3" hidden="1">"部署番号表"</definedName>
    <definedName name="HTML75_4" hidden="1">"部署番号表『化工品』"</definedName>
    <definedName name="HTML75_5" hidden="1">""</definedName>
    <definedName name="HTML75_6" hidden="1">-4146</definedName>
    <definedName name="HTML75_7" hidden="1">-4146</definedName>
    <definedName name="HTML75_8" hidden="1">"2000/06/20"</definedName>
    <definedName name="HTML75_9" hidden="1">"株式会社ブリヂストン"</definedName>
    <definedName name="HTML76_10" hidden="1">""</definedName>
    <definedName name="HTML76_11" hidden="1">1</definedName>
    <definedName name="HTML76_2" hidden="1">1</definedName>
    <definedName name="HTML76_3" hidden="1">"部署番号表"</definedName>
    <definedName name="HTML76_4" hidden="1">"部署番号表『本社』"</definedName>
    <definedName name="HTML76_5" hidden="1">""</definedName>
    <definedName name="HTML76_6" hidden="1">-4146</definedName>
    <definedName name="HTML76_7" hidden="1">-4146</definedName>
    <definedName name="HTML76_8" hidden="1">"2000/08/22"</definedName>
    <definedName name="HTML76_9" hidden="1">"株式会社ブリヂストン"</definedName>
    <definedName name="HTML77_10" hidden="1">""</definedName>
    <definedName name="HTML77_11" hidden="1">1</definedName>
    <definedName name="HTML77_2" hidden="1">1</definedName>
    <definedName name="HTML77_3" hidden="1">"部署番号表"</definedName>
    <definedName name="HTML77_4" hidden="1">"部署番号表『本社』"</definedName>
    <definedName name="HTML77_5" hidden="1">""</definedName>
    <definedName name="HTML77_6" hidden="1">-4146</definedName>
    <definedName name="HTML77_7" hidden="1">-4146</definedName>
    <definedName name="HTML77_8" hidden="1">"2000/08/22"</definedName>
    <definedName name="HTML77_9" hidden="1">"株式会社ブリヂストン"</definedName>
    <definedName name="HTML78_10" hidden="1">""</definedName>
    <definedName name="HTML78_11" hidden="1">1</definedName>
    <definedName name="HTML78_2" hidden="1">1</definedName>
    <definedName name="HTML78_3" hidden="1">"部署番号表"</definedName>
    <definedName name="HTML78_4" hidden="1">"部署番号表『小平』"</definedName>
    <definedName name="HTML78_5" hidden="1">""</definedName>
    <definedName name="HTML78_6" hidden="1">-4146</definedName>
    <definedName name="HTML78_7" hidden="1">-4146</definedName>
    <definedName name="HTML78_8" hidden="1">"2000/08/22"</definedName>
    <definedName name="HTML78_9" hidden="1">"株式会社ブリヂストン"</definedName>
    <definedName name="HTML79_10" hidden="1">""</definedName>
    <definedName name="HTML79_11" hidden="1">1</definedName>
    <definedName name="HTML79_2" hidden="1">1</definedName>
    <definedName name="HTML79_3" hidden="1">"部署番号表"</definedName>
    <definedName name="HTML79_4" hidden="1">"部署番号表『小平』"</definedName>
    <definedName name="HTML79_5" hidden="1">""</definedName>
    <definedName name="HTML79_6" hidden="1">-4146</definedName>
    <definedName name="HTML79_7" hidden="1">-4146</definedName>
    <definedName name="HTML79_8" hidden="1">"2000/08/22"</definedName>
    <definedName name="HTML79_9" hidden="1">"株式会社ブリヂストン"</definedName>
    <definedName name="HTML8_10" hidden="1">""</definedName>
    <definedName name="HTML8_11" hidden="1">1</definedName>
    <definedName name="HTML8_2" hidden="1">1</definedName>
    <definedName name="HTML8_3" hidden="1">"部署番号表"</definedName>
    <definedName name="HTML8_4" hidden="1">"部署番号表『工場』"</definedName>
    <definedName name="HTML8_5" hidden="1">""</definedName>
    <definedName name="HTML8_6" hidden="1">-4146</definedName>
    <definedName name="HTML8_7" hidden="1">-4146</definedName>
    <definedName name="HTML8_8" hidden="1">"2000/02/03"</definedName>
    <definedName name="HTML8_9" hidden="1">"株式会社ブリヂストン"</definedName>
    <definedName name="HTML80_10" hidden="1">""</definedName>
    <definedName name="HTML80_11" hidden="1">1</definedName>
    <definedName name="HTML80_2" hidden="1">1</definedName>
    <definedName name="HTML80_3" hidden="1">"部署番号表"</definedName>
    <definedName name="HTML80_4" hidden="1">"部署番号表『工場』"</definedName>
    <definedName name="HTML80_5" hidden="1">""</definedName>
    <definedName name="HTML80_6" hidden="1">-4146</definedName>
    <definedName name="HTML80_7" hidden="1">-4146</definedName>
    <definedName name="HTML80_8" hidden="1">"2000/08/22"</definedName>
    <definedName name="HTML80_9" hidden="1">"株式会社ブリヂストン"</definedName>
    <definedName name="HTML81_10" hidden="1">""</definedName>
    <definedName name="HTML81_11" hidden="1">1</definedName>
    <definedName name="HTML81_2" hidden="1">1</definedName>
    <definedName name="HTML81_3" hidden="1">"部署番号表"</definedName>
    <definedName name="HTML81_4" hidden="1">"部署番号表『工場』"</definedName>
    <definedName name="HTML81_5" hidden="1">""</definedName>
    <definedName name="HTML81_6" hidden="1">-4146</definedName>
    <definedName name="HTML81_7" hidden="1">-4146</definedName>
    <definedName name="HTML81_8" hidden="1">"2000/08/22"</definedName>
    <definedName name="HTML81_9" hidden="1">"株式会社ブリヂストン"</definedName>
    <definedName name="HTML82_10" hidden="1">""</definedName>
    <definedName name="HTML82_11" hidden="1">1</definedName>
    <definedName name="HTML82_2" hidden="1">1</definedName>
    <definedName name="HTML82_3" hidden="1">"部署番号表"</definedName>
    <definedName name="HTML82_4" hidden="1">"部署番号表『工場』"</definedName>
    <definedName name="HTML82_5" hidden="1">""</definedName>
    <definedName name="HTML82_6" hidden="1">-4146</definedName>
    <definedName name="HTML82_7" hidden="1">-4146</definedName>
    <definedName name="HTML82_8" hidden="1">"2000/08/22"</definedName>
    <definedName name="HTML82_9" hidden="1">"株式会社ブリヂストン"</definedName>
    <definedName name="HTML83_10" hidden="1">""</definedName>
    <definedName name="HTML83_11" hidden="1">1</definedName>
    <definedName name="HTML83_2" hidden="1">1</definedName>
    <definedName name="HTML83_3" hidden="1">"部署番号表"</definedName>
    <definedName name="HTML83_4" hidden="1">"部署番号表『化工品』"</definedName>
    <definedName name="HTML83_5" hidden="1">""</definedName>
    <definedName name="HTML83_6" hidden="1">-4146</definedName>
    <definedName name="HTML83_7" hidden="1">-4146</definedName>
    <definedName name="HTML83_8" hidden="1">"2000/08/22"</definedName>
    <definedName name="HTML83_9" hidden="1">"株式会社ブリヂストン"</definedName>
    <definedName name="HTML84_10" hidden="1">""</definedName>
    <definedName name="HTML84_11" hidden="1">1</definedName>
    <definedName name="HTML84_2" hidden="1">1</definedName>
    <definedName name="HTML84_3" hidden="1">"部署番号表"</definedName>
    <definedName name="HTML84_4" hidden="1">"部署番号表『化工品』"</definedName>
    <definedName name="HTML84_5" hidden="1">""</definedName>
    <definedName name="HTML84_6" hidden="1">-4146</definedName>
    <definedName name="HTML84_7" hidden="1">-4146</definedName>
    <definedName name="HTML84_8" hidden="1">"2000/08/22"</definedName>
    <definedName name="HTML84_9" hidden="1">"株式会社ブリヂストン"</definedName>
    <definedName name="HTML85_10" hidden="1">""</definedName>
    <definedName name="HTML85_11" hidden="1">1</definedName>
    <definedName name="HTML85_2" hidden="1">1</definedName>
    <definedName name="HTML85_3" hidden="1">"部署番号表"</definedName>
    <definedName name="HTML85_4" hidden="1">"部署番号表『本社』"</definedName>
    <definedName name="HTML85_5" hidden="1">""</definedName>
    <definedName name="HTML85_6" hidden="1">-4146</definedName>
    <definedName name="HTML85_7" hidden="1">-4146</definedName>
    <definedName name="HTML85_8" hidden="1">"2000/09/05"</definedName>
    <definedName name="HTML85_9" hidden="1">"株式会社ブリヂストン"</definedName>
    <definedName name="HTML86_10" hidden="1">""</definedName>
    <definedName name="HTML86_11" hidden="1">1</definedName>
    <definedName name="HTML86_2" hidden="1">1</definedName>
    <definedName name="HTML86_3" hidden="1">"部署番号表"</definedName>
    <definedName name="HTML86_4" hidden="1">"部署番号表『本社』"</definedName>
    <definedName name="HTML86_5" hidden="1">""</definedName>
    <definedName name="HTML86_6" hidden="1">-4146</definedName>
    <definedName name="HTML86_7" hidden="1">-4146</definedName>
    <definedName name="HTML86_8" hidden="1">"2000/09/05"</definedName>
    <definedName name="HTML86_9" hidden="1">"株式会社ブリヂストン"</definedName>
    <definedName name="HTML87_10" hidden="1">""</definedName>
    <definedName name="HTML87_11" hidden="1">1</definedName>
    <definedName name="HTML87_2" hidden="1">1</definedName>
    <definedName name="HTML87_3" hidden="1">"部署番号表"</definedName>
    <definedName name="HTML87_4" hidden="1">"部署番号表『小平』"</definedName>
    <definedName name="HTML87_5" hidden="1">""</definedName>
    <definedName name="HTML87_6" hidden="1">-4146</definedName>
    <definedName name="HTML87_7" hidden="1">-4146</definedName>
    <definedName name="HTML87_8" hidden="1">"2000/09/05"</definedName>
    <definedName name="HTML87_9" hidden="1">"株式会社ブリヂストン"</definedName>
    <definedName name="HTML88_10" hidden="1">""</definedName>
    <definedName name="HTML88_11" hidden="1">1</definedName>
    <definedName name="HTML88_2" hidden="1">1</definedName>
    <definedName name="HTML88_3" hidden="1">"部署番号表"</definedName>
    <definedName name="HTML88_4" hidden="1">"部署番号表『小平』"</definedName>
    <definedName name="HTML88_5" hidden="1">""</definedName>
    <definedName name="HTML88_6" hidden="1">-4146</definedName>
    <definedName name="HTML88_7" hidden="1">-4146</definedName>
    <definedName name="HTML88_8" hidden="1">"2000/09/05"</definedName>
    <definedName name="HTML88_9" hidden="1">"株式会社ブリヂストン"</definedName>
    <definedName name="HTML89_10" hidden="1">""</definedName>
    <definedName name="HTML89_11" hidden="1">1</definedName>
    <definedName name="HTML89_2" hidden="1">1</definedName>
    <definedName name="HTML89_3" hidden="1">"部署番号表"</definedName>
    <definedName name="HTML89_4" hidden="1">"部署番号表『工場』"</definedName>
    <definedName name="HTML89_5" hidden="1">""</definedName>
    <definedName name="HTML89_6" hidden="1">-4146</definedName>
    <definedName name="HTML89_7" hidden="1">-4146</definedName>
    <definedName name="HTML89_8" hidden="1">"2000/09/05"</definedName>
    <definedName name="HTML89_9" hidden="1">"株式会社ブリヂストン"</definedName>
    <definedName name="HTML9_10" hidden="1">""</definedName>
    <definedName name="HTML9_11" hidden="1">1</definedName>
    <definedName name="HTML9_2" hidden="1">1</definedName>
    <definedName name="HTML9_3" hidden="1">"部署番号表"</definedName>
    <definedName name="HTML9_4" hidden="1">"部署番号表『工場』"</definedName>
    <definedName name="HTML9_5" hidden="1">""</definedName>
    <definedName name="HTML9_6" hidden="1">-4146</definedName>
    <definedName name="HTML9_7" hidden="1">-4146</definedName>
    <definedName name="HTML9_8" hidden="1">"2000/02/03"</definedName>
    <definedName name="HTML9_9" hidden="1">"株式会社ブリヂストン"</definedName>
    <definedName name="HTML90_10" hidden="1">""</definedName>
    <definedName name="HTML90_11" hidden="1">1</definedName>
    <definedName name="HTML90_2" hidden="1">1</definedName>
    <definedName name="HTML90_3" hidden="1">"部署番号表"</definedName>
    <definedName name="HTML90_4" hidden="1">"部署番号表『工場』"</definedName>
    <definedName name="HTML90_5" hidden="1">""</definedName>
    <definedName name="HTML90_6" hidden="1">-4146</definedName>
    <definedName name="HTML90_7" hidden="1">-4146</definedName>
    <definedName name="HTML90_8" hidden="1">"2000/09/05"</definedName>
    <definedName name="HTML90_9" hidden="1">"株式会社ブリヂストン"</definedName>
    <definedName name="HTML91_10" hidden="1">""</definedName>
    <definedName name="HTML91_11" hidden="1">1</definedName>
    <definedName name="HTML91_2" hidden="1">1</definedName>
    <definedName name="HTML91_3" hidden="1">"部署番号表"</definedName>
    <definedName name="HTML91_4" hidden="1">"部署番号表『工場』"</definedName>
    <definedName name="HTML91_5" hidden="1">""</definedName>
    <definedName name="HTML91_6" hidden="1">-4146</definedName>
    <definedName name="HTML91_7" hidden="1">-4146</definedName>
    <definedName name="HTML91_8" hidden="1">"2000/09/05"</definedName>
    <definedName name="HTML91_9" hidden="1">"株式会社ブリヂストン"</definedName>
    <definedName name="HTML92_10" hidden="1">""</definedName>
    <definedName name="HTML92_11" hidden="1">1</definedName>
    <definedName name="HTML92_2" hidden="1">1</definedName>
    <definedName name="HTML92_3" hidden="1">"部署番号表"</definedName>
    <definedName name="HTML92_4" hidden="1">"部署番号表『化工品』"</definedName>
    <definedName name="HTML92_5" hidden="1">""</definedName>
    <definedName name="HTML92_6" hidden="1">-4146</definedName>
    <definedName name="HTML92_7" hidden="1">-4146</definedName>
    <definedName name="HTML92_8" hidden="1">"2000/09/05"</definedName>
    <definedName name="HTML92_9" hidden="1">"株式会社ブリヂストン"</definedName>
    <definedName name="HTML93_10" hidden="1">""</definedName>
    <definedName name="HTML93_11" hidden="1">1</definedName>
    <definedName name="HTML93_2" hidden="1">1</definedName>
    <definedName name="HTML93_3" hidden="1">"部署番号表"</definedName>
    <definedName name="HTML93_4" hidden="1">"部署番号表『化工品』"</definedName>
    <definedName name="HTML93_5" hidden="1">""</definedName>
    <definedName name="HTML93_6" hidden="1">-4146</definedName>
    <definedName name="HTML93_7" hidden="1">-4146</definedName>
    <definedName name="HTML93_8" hidden="1">"2000/09/05"</definedName>
    <definedName name="HTML93_9" hidden="1">"株式会社ブリヂストン"</definedName>
    <definedName name="HTML94_10" hidden="1">""</definedName>
    <definedName name="HTML94_11" hidden="1">1</definedName>
    <definedName name="HTML94_2" hidden="1">1</definedName>
    <definedName name="HTML94_3" hidden="1">"部署番号表"</definedName>
    <definedName name="HTML94_4" hidden="1">"部署番号表『本社』"</definedName>
    <definedName name="HTML94_5" hidden="1">""</definedName>
    <definedName name="HTML94_6" hidden="1">-4146</definedName>
    <definedName name="HTML94_7" hidden="1">-4146</definedName>
    <definedName name="HTML94_8" hidden="1">"2000/11/17"</definedName>
    <definedName name="HTML94_9" hidden="1">"株式会社ブリヂストン"</definedName>
    <definedName name="HTML95_10" hidden="1">""</definedName>
    <definedName name="HTML95_11" hidden="1">1</definedName>
    <definedName name="HTML95_2" hidden="1">1</definedName>
    <definedName name="HTML95_3" hidden="1">"部署番号表"</definedName>
    <definedName name="HTML95_4" hidden="1">"部署番号表『本社』"</definedName>
    <definedName name="HTML95_5" hidden="1">""</definedName>
    <definedName name="HTML95_6" hidden="1">-4146</definedName>
    <definedName name="HTML95_7" hidden="1">-4146</definedName>
    <definedName name="HTML95_8" hidden="1">"2000/11/17"</definedName>
    <definedName name="HTML95_9" hidden="1">"株式会社ブリヂストン"</definedName>
    <definedName name="HTML96_10" hidden="1">""</definedName>
    <definedName name="HTML96_11" hidden="1">1</definedName>
    <definedName name="HTML96_2" hidden="1">1</definedName>
    <definedName name="HTML96_3" hidden="1">"部署番号表"</definedName>
    <definedName name="HTML96_4" hidden="1">"部署番号表『小平』"</definedName>
    <definedName name="HTML96_5" hidden="1">""</definedName>
    <definedName name="HTML96_6" hidden="1">-4146</definedName>
    <definedName name="HTML96_7" hidden="1">-4146</definedName>
    <definedName name="HTML96_8" hidden="1">"2000/11/17"</definedName>
    <definedName name="HTML96_9" hidden="1">"株式会社ブリヂストン"</definedName>
    <definedName name="HTML97_10" hidden="1">""</definedName>
    <definedName name="HTML97_11" hidden="1">1</definedName>
    <definedName name="HTML97_2" hidden="1">1</definedName>
    <definedName name="HTML97_3" hidden="1">"部署番号表"</definedName>
    <definedName name="HTML97_4" hidden="1">"部署番号表『小平』"</definedName>
    <definedName name="HTML97_5" hidden="1">""</definedName>
    <definedName name="HTML97_6" hidden="1">-4146</definedName>
    <definedName name="HTML97_7" hidden="1">-4146</definedName>
    <definedName name="HTML97_8" hidden="1">"2000/11/17"</definedName>
    <definedName name="HTML97_9" hidden="1">"株式会社ブリヂストン"</definedName>
    <definedName name="HTML98_10" hidden="1">""</definedName>
    <definedName name="HTML98_11" hidden="1">1</definedName>
    <definedName name="HTML98_2" hidden="1">1</definedName>
    <definedName name="HTML98_3" hidden="1">"部署番号表"</definedName>
    <definedName name="HTML98_4" hidden="1">"部署番号表『工場』"</definedName>
    <definedName name="HTML98_5" hidden="1">""</definedName>
    <definedName name="HTML98_6" hidden="1">-4146</definedName>
    <definedName name="HTML98_7" hidden="1">-4146</definedName>
    <definedName name="HTML98_8" hidden="1">"2000/11/17"</definedName>
    <definedName name="HTML98_9" hidden="1">"株式会社ブリヂストン"</definedName>
    <definedName name="HTML99_10" hidden="1">""</definedName>
    <definedName name="HTML99_11" hidden="1">1</definedName>
    <definedName name="HTML99_2" hidden="1">1</definedName>
    <definedName name="HTML99_3" hidden="1">"部署番号表"</definedName>
    <definedName name="HTML99_4" hidden="1">"部署番号表『工場』"</definedName>
    <definedName name="HTML99_5" hidden="1">""</definedName>
    <definedName name="HTML99_6" hidden="1">-4146</definedName>
    <definedName name="HTML99_7" hidden="1">-4146</definedName>
    <definedName name="HTML99_8" hidden="1">"2000/11/17"</definedName>
    <definedName name="HTML99_9" hidden="1">"株式会社ブリヂストン"</definedName>
    <definedName name="HTMLCount" hidden="1">1</definedName>
    <definedName name="ProductionRRT">'MFG COST SUMMARY'!$J$134</definedName>
    <definedName name="ProductionVolume">'MFG COST SUMMARY'!$F$134</definedName>
    <definedName name="PrvMonthProductionRRT">'FACTORY COST'!$AI$3</definedName>
    <definedName name="SAPBEXdnldView" hidden="1">"45Z28K1PMEEMIF1YSW6Z9BA56"</definedName>
    <definedName name="SAPBEXsysID" hidden="1">"PSB"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TextRefCopyRangeCount" hidden="1">5</definedName>
    <definedName name="XRefCopyRangeCount" hidden="1">1</definedName>
    <definedName name="Z_0D7E6652_A3D1_4B53_A2C9_25E369136ACB_.wvu.FilterData" localSheetId="21" hidden="1">'FACTORY COST'!$A$7:$BU$83</definedName>
    <definedName name="Z_2A86F2B7_8AF2_48BC_9B1C_A8BB35721173_.wvu.FilterData" localSheetId="21" hidden="1">'FACTORY COST'!$A$7:$U$83</definedName>
    <definedName name="Z_367C476A_8046_45E5_9635_434BC64F0E79_.wvu.FilterData" localSheetId="21" hidden="1">'FACTORY COST'!$A$7:$U$83</definedName>
    <definedName name="Z_9406CC85_F8A2_4620_87CB_23C0B1FE91B3_.wvu.FilterData" localSheetId="21" hidden="1">'FACTORY COST'!$A$7:$BU$83</definedName>
    <definedName name="Z_9406CC85_F8A2_4620_87CB_23C0B1FE91B3_.wvu.FilterData" localSheetId="22" hidden="1">'MFG COST SUMMARY'!$C$18:$BM$130</definedName>
    <definedName name="Z_E3F778A0_8637_4650_AED3_4EC5B694D9F0_.wvu.Cols" localSheetId="21" hidden="1">'FACTORY COST'!$A:$D</definedName>
    <definedName name="Z_E3F778A0_8637_4650_AED3_4EC5B694D9F0_.wvu.FilterData" localSheetId="6" hidden="1">Apr!$A$2:$BN$183</definedName>
    <definedName name="Z_E3F778A0_8637_4650_AED3_4EC5B694D9F0_.wvu.FilterData" localSheetId="10" hidden="1">Aug!$A$2:$BN$183</definedName>
    <definedName name="Z_E3F778A0_8637_4650_AED3_4EC5B694D9F0_.wvu.FilterData" localSheetId="23" hidden="1">'COGM upload'!$B$2:$J$2</definedName>
    <definedName name="Z_E3F778A0_8637_4650_AED3_4EC5B694D9F0_.wvu.FilterData" localSheetId="14" hidden="1">Dec!$A$2:$BN$183</definedName>
    <definedName name="Z_E3F778A0_8637_4650_AED3_4EC5B694D9F0_.wvu.FilterData" localSheetId="16" hidden="1">'DM-Sum'!$B$5:$I$120</definedName>
    <definedName name="Z_E3F778A0_8637_4650_AED3_4EC5B694D9F0_.wvu.FilterData" localSheetId="21" hidden="1">'FACTORY COST'!$A$7:$U$83</definedName>
    <definedName name="Z_E3F778A0_8637_4650_AED3_4EC5B694D9F0_.wvu.FilterData" localSheetId="4" hidden="1">Feb!$A$2:$BN$183</definedName>
    <definedName name="Z_E3F778A0_8637_4650_AED3_4EC5B694D9F0_.wvu.FilterData" localSheetId="3" hidden="1">Jan!$A$2:$BN$183</definedName>
    <definedName name="Z_E3F778A0_8637_4650_AED3_4EC5B694D9F0_.wvu.FilterData" localSheetId="9" hidden="1">Jul!$A$2:$BN$183</definedName>
    <definedName name="Z_E3F778A0_8637_4650_AED3_4EC5B694D9F0_.wvu.FilterData" localSheetId="8" hidden="1">Jun!$A$2:$BN$183</definedName>
    <definedName name="Z_E3F778A0_8637_4650_AED3_4EC5B694D9F0_.wvu.FilterData" localSheetId="5" hidden="1">Mar!$A$2:$BN$183</definedName>
    <definedName name="Z_E3F778A0_8637_4650_AED3_4EC5B694D9F0_.wvu.FilterData" localSheetId="7" hidden="1">May!$A$2:$BN$183</definedName>
    <definedName name="Z_E3F778A0_8637_4650_AED3_4EC5B694D9F0_.wvu.FilterData" localSheetId="22" hidden="1">'MFG COST SUMMARY'!$B$18:$BE$130</definedName>
    <definedName name="Z_E3F778A0_8637_4650_AED3_4EC5B694D9F0_.wvu.FilterData" localSheetId="13" hidden="1">Nov!$A$2:$BN$183</definedName>
    <definedName name="Z_E3F778A0_8637_4650_AED3_4EC5B694D9F0_.wvu.FilterData" localSheetId="12" hidden="1">Oct!$A$2:$BN$183</definedName>
    <definedName name="Z_E3F778A0_8637_4650_AED3_4EC5B694D9F0_.wvu.FilterData" localSheetId="11" hidden="1">Sep!$A$2:$BN$183</definedName>
    <definedName name="Z_E6B00A95_BB65_4FB5_9392_F4C9A9557C0E_.wvu.Cols" localSheetId="16" hidden="1">'DM-Sum'!$I:$J</definedName>
    <definedName name="Z_E6B00A95_BB65_4FB5_9392_F4C9A9557C0E_.wvu.Cols" localSheetId="21" hidden="1">'FACTORY COST'!$A:$D,'FACTORY COST'!$T:$T,'FACTORY COST'!$AT:$BE,'FACTORY COST'!$BG:$BQ,'FACTORY COST'!$BS:$BU</definedName>
    <definedName name="Z_E6B00A95_BB65_4FB5_9392_F4C9A9557C0E_.wvu.Cols" localSheetId="2" hidden="1">STD!#REF!,STD!#REF!,STD!#REF!,STD!#REF!</definedName>
    <definedName name="Z_E6B00A95_BB65_4FB5_9392_F4C9A9557C0E_.wvu.FilterData" localSheetId="6" hidden="1">Apr!$A$2:$BN$255</definedName>
    <definedName name="Z_E6B00A95_BB65_4FB5_9392_F4C9A9557C0E_.wvu.FilterData" localSheetId="10" hidden="1">Aug!$A$2:$BN$218</definedName>
    <definedName name="Z_E6B00A95_BB65_4FB5_9392_F4C9A9557C0E_.wvu.FilterData" localSheetId="23" hidden="1">'COGM upload'!$B$2:$J$121</definedName>
    <definedName name="Z_E6B00A95_BB65_4FB5_9392_F4C9A9557C0E_.wvu.FilterData" localSheetId="14" hidden="1">Dec!$A$2:$BN$235</definedName>
    <definedName name="Z_E6B00A95_BB65_4FB5_9392_F4C9A9557C0E_.wvu.FilterData" localSheetId="16" hidden="1">'DM-Sum'!$B$5:$N$120</definedName>
    <definedName name="Z_E6B00A95_BB65_4FB5_9392_F4C9A9557C0E_.wvu.FilterData" localSheetId="21" hidden="1">'FACTORY COST'!$A$7:$BU$83</definedName>
    <definedName name="Z_E6B00A95_BB65_4FB5_9392_F4C9A9557C0E_.wvu.FilterData" localSheetId="4" hidden="1">Feb!$A$2:$BN$235</definedName>
    <definedName name="Z_E6B00A95_BB65_4FB5_9392_F4C9A9557C0E_.wvu.FilterData" localSheetId="3" hidden="1">Jan!$A$2:$BN$235</definedName>
    <definedName name="Z_E6B00A95_BB65_4FB5_9392_F4C9A9557C0E_.wvu.FilterData" localSheetId="9" hidden="1">Jul!$A$2:$BN$235</definedName>
    <definedName name="Z_E6B00A95_BB65_4FB5_9392_F4C9A9557C0E_.wvu.FilterData" localSheetId="8" hidden="1">Jun!$A$2:$BN$235</definedName>
    <definedName name="Z_E6B00A95_BB65_4FB5_9392_F4C9A9557C0E_.wvu.FilterData" localSheetId="5" hidden="1">Mar!$A$2:$BN$235</definedName>
    <definedName name="Z_E6B00A95_BB65_4FB5_9392_F4C9A9557C0E_.wvu.FilterData" localSheetId="7" hidden="1">May!$A$2:$BN$235</definedName>
    <definedName name="Z_E6B00A95_BB65_4FB5_9392_F4C9A9557C0E_.wvu.FilterData" localSheetId="22" hidden="1">'MFG COST SUMMARY'!$C$18:$BM$130</definedName>
    <definedName name="Z_E6B00A95_BB65_4FB5_9392_F4C9A9557C0E_.wvu.FilterData" localSheetId="13" hidden="1">Nov!$A$2:$BN$235</definedName>
    <definedName name="Z_E6B00A95_BB65_4FB5_9392_F4C9A9557C0E_.wvu.FilterData" localSheetId="12" hidden="1">Oct!$A$2:$BN$235</definedName>
    <definedName name="Z_E6B00A95_BB65_4FB5_9392_F4C9A9557C0E_.wvu.FilterData" localSheetId="11" hidden="1">Sep!$A$2:$BN$235</definedName>
    <definedName name="Z_E6B00A95_BB65_4FB5_9392_F4C9A9557C0E_.wvu.FilterData" localSheetId="2" hidden="1">STD!$B$5:$AC$272</definedName>
    <definedName name="Z_F2A3B428_09FA_4094_83F2_D6076B6D1BAF_.wvu.FilterData" localSheetId="6" hidden="1">Apr!$A$2:$BN$183</definedName>
    <definedName name="Z_F2A3B428_09FA_4094_83F2_D6076B6D1BAF_.wvu.FilterData" localSheetId="10" hidden="1">Aug!$A$2:$BN$183</definedName>
    <definedName name="Z_F2A3B428_09FA_4094_83F2_D6076B6D1BAF_.wvu.FilterData" localSheetId="23" hidden="1">'COGM upload'!$B$2:$J$2</definedName>
    <definedName name="Z_F2A3B428_09FA_4094_83F2_D6076B6D1BAF_.wvu.FilterData" localSheetId="14" hidden="1">Dec!$A$2:$BN$183</definedName>
    <definedName name="Z_F2A3B428_09FA_4094_83F2_D6076B6D1BAF_.wvu.FilterData" localSheetId="16" hidden="1">'DM-Sum'!$B$5:$I$120</definedName>
    <definedName name="Z_F2A3B428_09FA_4094_83F2_D6076B6D1BAF_.wvu.FilterData" localSheetId="21" hidden="1">'FACTORY COST'!$A$7:$U$83</definedName>
    <definedName name="Z_F2A3B428_09FA_4094_83F2_D6076B6D1BAF_.wvu.FilterData" localSheetId="4" hidden="1">Feb!$A$2:$BN$183</definedName>
    <definedName name="Z_F2A3B428_09FA_4094_83F2_D6076B6D1BAF_.wvu.FilterData" localSheetId="3" hidden="1">Jan!$A$2:$BN$183</definedName>
    <definedName name="Z_F2A3B428_09FA_4094_83F2_D6076B6D1BAF_.wvu.FilterData" localSheetId="9" hidden="1">Jul!$A$2:$BN$183</definedName>
    <definedName name="Z_F2A3B428_09FA_4094_83F2_D6076B6D1BAF_.wvu.FilterData" localSheetId="8" hidden="1">Jun!$A$2:$BN$183</definedName>
    <definedName name="Z_F2A3B428_09FA_4094_83F2_D6076B6D1BAF_.wvu.FilterData" localSheetId="5" hidden="1">Mar!$A$2:$BN$183</definedName>
    <definedName name="Z_F2A3B428_09FA_4094_83F2_D6076B6D1BAF_.wvu.FilterData" localSheetId="7" hidden="1">May!$A$2:$BN$183</definedName>
    <definedName name="Z_F2A3B428_09FA_4094_83F2_D6076B6D1BAF_.wvu.FilterData" localSheetId="22" hidden="1">'MFG COST SUMMARY'!$B$18:$BE$130</definedName>
    <definedName name="Z_F2A3B428_09FA_4094_83F2_D6076B6D1BAF_.wvu.FilterData" localSheetId="13" hidden="1">Nov!$A$2:$BN$183</definedName>
    <definedName name="Z_F2A3B428_09FA_4094_83F2_D6076B6D1BAF_.wvu.FilterData" localSheetId="12" hidden="1">Oct!$A$2:$BN$183</definedName>
    <definedName name="Z_F2A3B428_09FA_4094_83F2_D6076B6D1BAF_.wvu.FilterData" localSheetId="11" hidden="1">Sep!$A$2:$BN$183</definedName>
  </definedNames>
  <calcPr calcId="191029" concurrentManualCount="4"/>
  <customWorkbookViews>
    <customWorkbookView name="Do Thi Thao - Personal View" guid="{E6B00A95-BB65-4FB5-9392-F4C9A9557C0E}" mergeInterval="0" personalView="1" maximized="1" xWindow="-8" yWindow="-8" windowWidth="1382" windowHeight="744" tabRatio="690" activeSheetId="16"/>
    <customWorkbookView name="Khoa Nang Thanh - Personal View" guid="{F2A3B428-09FA-4094-83F2-D6076B6D1BAF}" mergeInterval="0" personalView="1" maximized="1" windowWidth="1362" windowHeight="509" tabRatio="758" activeSheetId="2"/>
    <customWorkbookView name="Pham Tran Nhat - Personal View" guid="{E3F778A0-8637-4650-AED3-4EC5B694D9F0}" mergeInterval="0" personalView="1" maximized="1" windowWidth="1362" windowHeight="489" tabRatio="758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6" i="15" l="1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L1659" i="30"/>
  <c r="L1660" i="30"/>
  <c r="L1661" i="30"/>
  <c r="L1662" i="30"/>
  <c r="L1663" i="30"/>
  <c r="L1664" i="30"/>
  <c r="L1665" i="30"/>
  <c r="L1666" i="30"/>
  <c r="L1667" i="30"/>
  <c r="L1668" i="30"/>
  <c r="L1669" i="30"/>
  <c r="L1670" i="30"/>
  <c r="L1671" i="30"/>
  <c r="L1672" i="30"/>
  <c r="L1673" i="30"/>
  <c r="L1674" i="30"/>
  <c r="L1675" i="30"/>
  <c r="L1676" i="30"/>
  <c r="L1677" i="30"/>
  <c r="L1678" i="30"/>
  <c r="L1679" i="30"/>
  <c r="L1680" i="30"/>
  <c r="L1681" i="30"/>
  <c r="L1682" i="30"/>
  <c r="L1683" i="30"/>
  <c r="L1684" i="30"/>
  <c r="L1685" i="30"/>
  <c r="L1686" i="30"/>
  <c r="L1687" i="30"/>
  <c r="L1688" i="30"/>
  <c r="L1689" i="30"/>
  <c r="L1690" i="30"/>
  <c r="L1691" i="30"/>
  <c r="L1692" i="30"/>
  <c r="L1693" i="30"/>
  <c r="L1694" i="30"/>
  <c r="L1695" i="30"/>
  <c r="L1696" i="30"/>
  <c r="L1697" i="30"/>
  <c r="L1698" i="30"/>
  <c r="L1699" i="30"/>
  <c r="L1700" i="30"/>
  <c r="L1701" i="30"/>
  <c r="L1702" i="30"/>
  <c r="L1703" i="30"/>
  <c r="L1704" i="30"/>
  <c r="L1705" i="30"/>
  <c r="L1706" i="30"/>
  <c r="L1707" i="30"/>
  <c r="L1708" i="30"/>
  <c r="L1709" i="30"/>
  <c r="L1710" i="30"/>
  <c r="L1711" i="30"/>
  <c r="L1712" i="30"/>
  <c r="L1713" i="30"/>
  <c r="L1714" i="30"/>
  <c r="L1715" i="30"/>
  <c r="L1716" i="30"/>
  <c r="L1717" i="30"/>
  <c r="L1718" i="30"/>
  <c r="L1719" i="30"/>
  <c r="L1720" i="30"/>
  <c r="L1721" i="30"/>
  <c r="L1722" i="30"/>
  <c r="L1723" i="30"/>
  <c r="L1724" i="30"/>
  <c r="L1725" i="30"/>
  <c r="L1726" i="30"/>
  <c r="L1727" i="30"/>
  <c r="L1728" i="30"/>
  <c r="L1729" i="30"/>
  <c r="L1730" i="30"/>
  <c r="L1731" i="30"/>
  <c r="L1732" i="30"/>
  <c r="L1733" i="30"/>
  <c r="L1734" i="30"/>
  <c r="L1735" i="30"/>
  <c r="L1736" i="30"/>
  <c r="L1737" i="30"/>
  <c r="L1738" i="30"/>
  <c r="L1739" i="30"/>
  <c r="L1740" i="30"/>
  <c r="L1741" i="30"/>
  <c r="L1742" i="30"/>
  <c r="L1743" i="30"/>
  <c r="L1744" i="30"/>
  <c r="L1745" i="30"/>
  <c r="L1746" i="30"/>
  <c r="L1747" i="30"/>
  <c r="L1748" i="30"/>
  <c r="L1749" i="30"/>
  <c r="L1750" i="30"/>
  <c r="L1751" i="30"/>
  <c r="L1752" i="30"/>
  <c r="L1753" i="30"/>
  <c r="L1754" i="30"/>
  <c r="L1755" i="30"/>
  <c r="L1756" i="30"/>
  <c r="L1757" i="30"/>
  <c r="L1758" i="30"/>
  <c r="L1759" i="30"/>
  <c r="L1760" i="30"/>
  <c r="L1761" i="30"/>
  <c r="L1762" i="30"/>
  <c r="L1763" i="30"/>
  <c r="L1764" i="30"/>
  <c r="L1765" i="30"/>
  <c r="L1766" i="30"/>
  <c r="L1767" i="30"/>
  <c r="L1768" i="30"/>
  <c r="L1769" i="30"/>
  <c r="L1770" i="30"/>
  <c r="L1771" i="30"/>
  <c r="L1772" i="30"/>
  <c r="L1773" i="30"/>
  <c r="L1774" i="30"/>
  <c r="L1775" i="30"/>
  <c r="L1776" i="30"/>
  <c r="L1777" i="30"/>
  <c r="L1778" i="30"/>
  <c r="L1779" i="30"/>
  <c r="L1780" i="30"/>
  <c r="L1781" i="30"/>
  <c r="L1782" i="30"/>
  <c r="L1783" i="30"/>
  <c r="L1784" i="30"/>
  <c r="L1785" i="30"/>
  <c r="L1786" i="30"/>
  <c r="L1787" i="30"/>
  <c r="L1788" i="30"/>
  <c r="L1789" i="30"/>
  <c r="L1790" i="30"/>
  <c r="L1791" i="30"/>
  <c r="L1792" i="30"/>
  <c r="L1793" i="30"/>
  <c r="L1794" i="30"/>
  <c r="L1795" i="30"/>
  <c r="L1796" i="30"/>
  <c r="L1797" i="30"/>
  <c r="L1798" i="30"/>
  <c r="L1799" i="30"/>
  <c r="L1800" i="30"/>
  <c r="L1801" i="30"/>
  <c r="L1802" i="30"/>
  <c r="L1803" i="30"/>
  <c r="L1804" i="30"/>
  <c r="L1805" i="30"/>
  <c r="L1806" i="30"/>
  <c r="L1807" i="30"/>
  <c r="L1808" i="30"/>
  <c r="L1809" i="30"/>
  <c r="L1810" i="30"/>
  <c r="L1811" i="30"/>
  <c r="L1812" i="30"/>
  <c r="L1813" i="30"/>
  <c r="L1814" i="30"/>
  <c r="L1815" i="30"/>
  <c r="L1816" i="30"/>
  <c r="L1817" i="30"/>
  <c r="L1818" i="30"/>
  <c r="L1819" i="30"/>
  <c r="L1820" i="30"/>
  <c r="L1821" i="30"/>
  <c r="L1822" i="30"/>
  <c r="L1823" i="30"/>
  <c r="L1824" i="30"/>
  <c r="L1825" i="30"/>
  <c r="L1826" i="30"/>
  <c r="L1827" i="30"/>
  <c r="L1828" i="30"/>
  <c r="L1829" i="30"/>
  <c r="L1830" i="30"/>
  <c r="L1831" i="30"/>
  <c r="L1832" i="30"/>
  <c r="L1833" i="30"/>
  <c r="L1834" i="30"/>
  <c r="L1835" i="30"/>
  <c r="L1836" i="30"/>
  <c r="L1837" i="30"/>
  <c r="L1838" i="30"/>
  <c r="L1839" i="30"/>
  <c r="L1840" i="30"/>
  <c r="L1841" i="30"/>
  <c r="L1842" i="30"/>
  <c r="L1843" i="30"/>
  <c r="L1844" i="30"/>
  <c r="L1845" i="30"/>
  <c r="L1846" i="30"/>
  <c r="L1847" i="30"/>
  <c r="L1848" i="30"/>
  <c r="L1849" i="30"/>
  <c r="L1850" i="30"/>
  <c r="L1851" i="30"/>
  <c r="L1852" i="30"/>
  <c r="L1853" i="30"/>
  <c r="L1854" i="30"/>
  <c r="L1855" i="30"/>
  <c r="L1856" i="30"/>
  <c r="L1857" i="30"/>
  <c r="L1858" i="30"/>
  <c r="L1859" i="30"/>
  <c r="L1860" i="30"/>
  <c r="L1861" i="30"/>
  <c r="L1862" i="30"/>
  <c r="L1863" i="30"/>
  <c r="L1864" i="30"/>
  <c r="L1865" i="30"/>
  <c r="L1866" i="30"/>
  <c r="L1867" i="30"/>
  <c r="L1868" i="30"/>
  <c r="L1869" i="30"/>
  <c r="L1870" i="30"/>
  <c r="L1871" i="30"/>
  <c r="L1872" i="30"/>
  <c r="L1873" i="30"/>
  <c r="L1874" i="30"/>
  <c r="L1875" i="30"/>
  <c r="L1876" i="30"/>
  <c r="L1877" i="30"/>
  <c r="L1878" i="30"/>
  <c r="L1879" i="30"/>
  <c r="L1880" i="30"/>
  <c r="L1881" i="30"/>
  <c r="L1882" i="30"/>
  <c r="L1883" i="30"/>
  <c r="L1884" i="30"/>
  <c r="L1885" i="30"/>
  <c r="L1886" i="30"/>
  <c r="L1887" i="30"/>
  <c r="L1888" i="30"/>
  <c r="L1889" i="30"/>
  <c r="L1890" i="30"/>
  <c r="L1891" i="30"/>
  <c r="L1892" i="30"/>
  <c r="L1893" i="30"/>
  <c r="L1894" i="30"/>
  <c r="L1895" i="30"/>
  <c r="L1896" i="30"/>
  <c r="L1897" i="30"/>
  <c r="L1898" i="30"/>
  <c r="L1899" i="30"/>
  <c r="L1900" i="30"/>
  <c r="L1901" i="30"/>
  <c r="L1902" i="30"/>
  <c r="L1903" i="30"/>
  <c r="L1904" i="30"/>
  <c r="L1905" i="30"/>
  <c r="L1906" i="30"/>
  <c r="L1907" i="30"/>
  <c r="L1908" i="30"/>
  <c r="L1909" i="30"/>
  <c r="L1910" i="30"/>
  <c r="L1911" i="30"/>
  <c r="L1912" i="30"/>
  <c r="L1913" i="30"/>
  <c r="L1914" i="30"/>
  <c r="L1915" i="30"/>
  <c r="L1916" i="30"/>
  <c r="L1917" i="30"/>
  <c r="L1918" i="30"/>
  <c r="L1919" i="30"/>
  <c r="L1920" i="30"/>
  <c r="L1921" i="30"/>
  <c r="L1922" i="30"/>
  <c r="L1923" i="30"/>
  <c r="L1924" i="30"/>
  <c r="L1925" i="30"/>
  <c r="L1926" i="30"/>
  <c r="L1927" i="30"/>
  <c r="L1928" i="30"/>
  <c r="L1929" i="30"/>
  <c r="L1930" i="30"/>
  <c r="L1931" i="30"/>
  <c r="L1932" i="30"/>
  <c r="L1933" i="30"/>
  <c r="L1934" i="30"/>
  <c r="L1935" i="30"/>
  <c r="L1936" i="30"/>
  <c r="L1937" i="30"/>
  <c r="L1938" i="30"/>
  <c r="L1939" i="30"/>
  <c r="L1940" i="30"/>
  <c r="L1941" i="30"/>
  <c r="L1942" i="30"/>
  <c r="L1943" i="30"/>
  <c r="L1944" i="30"/>
  <c r="L1945" i="30"/>
  <c r="L1946" i="30"/>
  <c r="L1947" i="30"/>
  <c r="L1948" i="30"/>
  <c r="L1949" i="30"/>
  <c r="L1950" i="30"/>
  <c r="L1951" i="30"/>
  <c r="L1952" i="30"/>
  <c r="L1953" i="30"/>
  <c r="L1954" i="30"/>
  <c r="L1955" i="30"/>
  <c r="L1956" i="30"/>
  <c r="L1957" i="30"/>
  <c r="L1958" i="30"/>
  <c r="L1959" i="30"/>
  <c r="L1960" i="30"/>
  <c r="L1961" i="30"/>
  <c r="L1962" i="30"/>
  <c r="L1963" i="30"/>
  <c r="L1964" i="30"/>
  <c r="L1965" i="30"/>
  <c r="L1966" i="30"/>
  <c r="L1967" i="30"/>
  <c r="L1968" i="30"/>
  <c r="L1969" i="30"/>
  <c r="L1970" i="30"/>
  <c r="L1971" i="30"/>
  <c r="L1972" i="30"/>
  <c r="L1973" i="30"/>
  <c r="L1974" i="30"/>
  <c r="L1975" i="30"/>
  <c r="L1976" i="30"/>
  <c r="L1977" i="30"/>
  <c r="L1978" i="30"/>
  <c r="L1979" i="30"/>
  <c r="L1980" i="30"/>
  <c r="L1981" i="30"/>
  <c r="L1982" i="30"/>
  <c r="L1983" i="30"/>
  <c r="L1984" i="30"/>
  <c r="L1985" i="30"/>
  <c r="L1986" i="30"/>
  <c r="L1987" i="30"/>
  <c r="L1988" i="30"/>
  <c r="L1989" i="30"/>
  <c r="L1990" i="30"/>
  <c r="L1991" i="30"/>
  <c r="L1992" i="30"/>
  <c r="L1993" i="30"/>
  <c r="L1994" i="30"/>
  <c r="L1995" i="30"/>
  <c r="L1996" i="30"/>
  <c r="L1997" i="30"/>
  <c r="L1998" i="30"/>
  <c r="L1999" i="30"/>
  <c r="L2000" i="30"/>
  <c r="L2001" i="30"/>
  <c r="L2002" i="30"/>
  <c r="L2003" i="30"/>
  <c r="L2004" i="30"/>
  <c r="L2005" i="30"/>
  <c r="L2006" i="30"/>
  <c r="L2007" i="30"/>
  <c r="L2008" i="30"/>
  <c r="L2009" i="30"/>
  <c r="L2010" i="30"/>
  <c r="L2011" i="30"/>
  <c r="L2012" i="30"/>
  <c r="L2013" i="30"/>
  <c r="L2014" i="30"/>
  <c r="L2015" i="30"/>
  <c r="L2016" i="30"/>
  <c r="L2017" i="30"/>
  <c r="L2018" i="30"/>
  <c r="L2019" i="30"/>
  <c r="L2020" i="30"/>
  <c r="L2021" i="30"/>
  <c r="L2022" i="30"/>
  <c r="L2023" i="30"/>
  <c r="L2024" i="30"/>
  <c r="L2025" i="30"/>
  <c r="L2026" i="30"/>
  <c r="L2027" i="30"/>
  <c r="L2028" i="30"/>
  <c r="L2029" i="30"/>
  <c r="L2030" i="30"/>
  <c r="L2031" i="30"/>
  <c r="L2032" i="30"/>
  <c r="L2033" i="30"/>
  <c r="L2034" i="30"/>
  <c r="L2035" i="30"/>
  <c r="L2036" i="30"/>
  <c r="L2037" i="30"/>
  <c r="L2038" i="30"/>
  <c r="L2039" i="30"/>
  <c r="L2040" i="30"/>
  <c r="L2041" i="30"/>
  <c r="L2042" i="30"/>
  <c r="L2043" i="30"/>
  <c r="L2044" i="30"/>
  <c r="L2045" i="30"/>
  <c r="L2046" i="30"/>
  <c r="L2047" i="30"/>
  <c r="L2048" i="30"/>
  <c r="L2049" i="30"/>
  <c r="L2050" i="30"/>
  <c r="L2051" i="30"/>
  <c r="L2052" i="30"/>
  <c r="L2053" i="30"/>
  <c r="L2054" i="30"/>
  <c r="L2055" i="30"/>
  <c r="L2056" i="30"/>
  <c r="L2057" i="30"/>
  <c r="L2058" i="30"/>
  <c r="L2059" i="30"/>
  <c r="L2060" i="30"/>
  <c r="L2061" i="30"/>
  <c r="L2062" i="30"/>
  <c r="L2063" i="30"/>
  <c r="K116" i="15" l="1"/>
  <c r="L116" i="15" s="1"/>
  <c r="H116" i="15"/>
  <c r="F116" i="15"/>
  <c r="K115" i="15"/>
  <c r="L115" i="15" s="1"/>
  <c r="H115" i="15"/>
  <c r="J115" i="15" s="1"/>
  <c r="F115" i="15"/>
  <c r="K114" i="15"/>
  <c r="L114" i="15" s="1"/>
  <c r="H114" i="15"/>
  <c r="F114" i="15"/>
  <c r="H113" i="15"/>
  <c r="F113" i="15"/>
  <c r="K112" i="15"/>
  <c r="L112" i="15" s="1"/>
  <c r="H112" i="15"/>
  <c r="F112" i="15"/>
  <c r="K111" i="15"/>
  <c r="L111" i="15" s="1"/>
  <c r="H111" i="15"/>
  <c r="F111" i="15"/>
  <c r="H110" i="15"/>
  <c r="F110" i="15"/>
  <c r="K109" i="15"/>
  <c r="L109" i="15" s="1"/>
  <c r="H109" i="15"/>
  <c r="F109" i="15"/>
  <c r="H108" i="15"/>
  <c r="F108" i="15"/>
  <c r="K107" i="15"/>
  <c r="L107" i="15" s="1"/>
  <c r="H107" i="15"/>
  <c r="F107" i="15"/>
  <c r="K106" i="15"/>
  <c r="L106" i="15" s="1"/>
  <c r="H106" i="15"/>
  <c r="F106" i="15"/>
  <c r="H105" i="15"/>
  <c r="F105" i="15"/>
  <c r="K104" i="15"/>
  <c r="L104" i="15" s="1"/>
  <c r="H104" i="15"/>
  <c r="F104" i="15"/>
  <c r="K103" i="15"/>
  <c r="L103" i="15" s="1"/>
  <c r="H103" i="15"/>
  <c r="F103" i="15"/>
  <c r="H102" i="15"/>
  <c r="F102" i="15"/>
  <c r="H101" i="15"/>
  <c r="F101" i="15"/>
  <c r="H100" i="15"/>
  <c r="F100" i="15"/>
  <c r="H99" i="15"/>
  <c r="F99" i="15"/>
  <c r="K98" i="15"/>
  <c r="L98" i="15" s="1"/>
  <c r="H98" i="15"/>
  <c r="F98" i="15"/>
  <c r="H97" i="15"/>
  <c r="F97" i="15"/>
  <c r="H96" i="15"/>
  <c r="F96" i="15"/>
  <c r="H95" i="15"/>
  <c r="F95" i="15"/>
  <c r="H94" i="15"/>
  <c r="F94" i="15"/>
  <c r="H93" i="15"/>
  <c r="F93" i="15"/>
  <c r="K92" i="15"/>
  <c r="L92" i="15" s="1"/>
  <c r="H92" i="15"/>
  <c r="F92" i="15"/>
  <c r="H91" i="15"/>
  <c r="F91" i="15"/>
  <c r="H90" i="15"/>
  <c r="F90" i="15"/>
  <c r="H89" i="15"/>
  <c r="F89" i="15"/>
  <c r="H88" i="15"/>
  <c r="F88" i="15"/>
  <c r="K87" i="15"/>
  <c r="L87" i="15" s="1"/>
  <c r="H87" i="15"/>
  <c r="F87" i="15"/>
  <c r="H86" i="15"/>
  <c r="F86" i="15"/>
  <c r="K85" i="15"/>
  <c r="L85" i="15" s="1"/>
  <c r="H85" i="15"/>
  <c r="F85" i="15"/>
  <c r="K84" i="15"/>
  <c r="L84" i="15" s="1"/>
  <c r="H84" i="15"/>
  <c r="F84" i="15"/>
  <c r="K83" i="15"/>
  <c r="L83" i="15" s="1"/>
  <c r="H83" i="15"/>
  <c r="F83" i="15"/>
  <c r="K82" i="15"/>
  <c r="L82" i="15" s="1"/>
  <c r="H82" i="15"/>
  <c r="F82" i="15"/>
  <c r="K81" i="15"/>
  <c r="L81" i="15" s="1"/>
  <c r="H81" i="15"/>
  <c r="F81" i="15"/>
  <c r="H80" i="15"/>
  <c r="F80" i="15"/>
  <c r="H79" i="15"/>
  <c r="F79" i="15"/>
  <c r="H78" i="15"/>
  <c r="F78" i="15"/>
  <c r="H77" i="15"/>
  <c r="F77" i="15"/>
  <c r="K76" i="15"/>
  <c r="L76" i="15" s="1"/>
  <c r="H76" i="15"/>
  <c r="F76" i="15"/>
  <c r="K75" i="15"/>
  <c r="L75" i="15" s="1"/>
  <c r="H75" i="15"/>
  <c r="F75" i="15"/>
  <c r="K74" i="15"/>
  <c r="L74" i="15" s="1"/>
  <c r="H74" i="15"/>
  <c r="F74" i="15"/>
  <c r="H73" i="15"/>
  <c r="F73" i="15"/>
  <c r="H72" i="15"/>
  <c r="F72" i="15"/>
  <c r="K71" i="15"/>
  <c r="L71" i="15" s="1"/>
  <c r="H71" i="15"/>
  <c r="F71" i="15"/>
  <c r="K70" i="15"/>
  <c r="L70" i="15" s="1"/>
  <c r="H70" i="15"/>
  <c r="F70" i="15"/>
  <c r="K69" i="15"/>
  <c r="L69" i="15" s="1"/>
  <c r="H69" i="15"/>
  <c r="F69" i="15"/>
  <c r="J82" i="15" l="1"/>
  <c r="J104" i="15"/>
  <c r="J108" i="15"/>
  <c r="J112" i="15"/>
  <c r="J69" i="15"/>
  <c r="J73" i="15"/>
  <c r="J77" i="15"/>
  <c r="J81" i="15"/>
  <c r="J85" i="15"/>
  <c r="J103" i="15"/>
  <c r="J107" i="15"/>
  <c r="J111" i="15"/>
  <c r="J71" i="15"/>
  <c r="J116" i="15"/>
  <c r="J72" i="15"/>
  <c r="J76" i="15"/>
  <c r="J80" i="15"/>
  <c r="J84" i="15"/>
  <c r="J75" i="15"/>
  <c r="J79" i="15"/>
  <c r="J83" i="15"/>
  <c r="J70" i="15"/>
  <c r="J74" i="15"/>
  <c r="J78" i="15"/>
  <c r="J86" i="15"/>
  <c r="M87" i="15"/>
  <c r="N87" i="15" s="1"/>
  <c r="I69" i="15"/>
  <c r="M69" i="15"/>
  <c r="N69" i="15" s="1"/>
  <c r="I70" i="15"/>
  <c r="M70" i="15"/>
  <c r="N70" i="15" s="1"/>
  <c r="I71" i="15"/>
  <c r="M71" i="15"/>
  <c r="N71" i="15" s="1"/>
  <c r="I72" i="15"/>
  <c r="I73" i="15"/>
  <c r="I74" i="15"/>
  <c r="M74" i="15"/>
  <c r="N74" i="15" s="1"/>
  <c r="I75" i="15"/>
  <c r="M75" i="15"/>
  <c r="N75" i="15" s="1"/>
  <c r="I76" i="15"/>
  <c r="M76" i="15"/>
  <c r="N76" i="15" s="1"/>
  <c r="I77" i="15"/>
  <c r="I78" i="15"/>
  <c r="I79" i="15"/>
  <c r="I80" i="15"/>
  <c r="I81" i="15"/>
  <c r="M81" i="15"/>
  <c r="N81" i="15" s="1"/>
  <c r="I82" i="15"/>
  <c r="M82" i="15"/>
  <c r="N82" i="15" s="1"/>
  <c r="I83" i="15"/>
  <c r="M83" i="15"/>
  <c r="N83" i="15" s="1"/>
  <c r="I84" i="15"/>
  <c r="M84" i="15"/>
  <c r="N84" i="15" s="1"/>
  <c r="I85" i="15"/>
  <c r="M85" i="15"/>
  <c r="N85" i="15" s="1"/>
  <c r="I86" i="15"/>
  <c r="I87" i="15"/>
  <c r="J102" i="15"/>
  <c r="J106" i="15"/>
  <c r="J110" i="15"/>
  <c r="J114" i="15"/>
  <c r="J87" i="15"/>
  <c r="J88" i="15"/>
  <c r="I88" i="15"/>
  <c r="J89" i="15"/>
  <c r="I89" i="15"/>
  <c r="J90" i="15"/>
  <c r="I90" i="15"/>
  <c r="J91" i="15"/>
  <c r="I91" i="15"/>
  <c r="J92" i="15"/>
  <c r="M92" i="15"/>
  <c r="N92" i="15" s="1"/>
  <c r="I92" i="15"/>
  <c r="J93" i="15"/>
  <c r="I93" i="15"/>
  <c r="J94" i="15"/>
  <c r="I94" i="15"/>
  <c r="J95" i="15"/>
  <c r="I95" i="15"/>
  <c r="J96" i="15"/>
  <c r="I96" i="15"/>
  <c r="J97" i="15"/>
  <c r="I97" i="15"/>
  <c r="J98" i="15"/>
  <c r="M98" i="15"/>
  <c r="N98" i="15" s="1"/>
  <c r="I98" i="15"/>
  <c r="J99" i="15"/>
  <c r="I99" i="15"/>
  <c r="J100" i="15"/>
  <c r="I100" i="15"/>
  <c r="J101" i="15"/>
  <c r="J105" i="15"/>
  <c r="J109" i="15"/>
  <c r="J113" i="15"/>
  <c r="I101" i="15"/>
  <c r="I102" i="15"/>
  <c r="I103" i="15"/>
  <c r="M103" i="15"/>
  <c r="N103" i="15" s="1"/>
  <c r="I104" i="15"/>
  <c r="M104" i="15"/>
  <c r="N104" i="15" s="1"/>
  <c r="I105" i="15"/>
  <c r="I106" i="15"/>
  <c r="M106" i="15"/>
  <c r="N106" i="15" s="1"/>
  <c r="I107" i="15"/>
  <c r="M107" i="15"/>
  <c r="N107" i="15" s="1"/>
  <c r="I108" i="15"/>
  <c r="I109" i="15"/>
  <c r="M109" i="15"/>
  <c r="N109" i="15" s="1"/>
  <c r="I110" i="15"/>
  <c r="I111" i="15"/>
  <c r="M111" i="15"/>
  <c r="N111" i="15" s="1"/>
  <c r="I112" i="15"/>
  <c r="M112" i="15"/>
  <c r="N112" i="15" s="1"/>
  <c r="I113" i="15"/>
  <c r="I114" i="15"/>
  <c r="M114" i="15"/>
  <c r="N114" i="15" s="1"/>
  <c r="I115" i="15"/>
  <c r="M115" i="15"/>
  <c r="N115" i="15" s="1"/>
  <c r="I116" i="15"/>
  <c r="M116" i="15"/>
  <c r="N116" i="15" s="1"/>
  <c r="E118" i="18" l="1"/>
  <c r="D118" i="18" s="1"/>
  <c r="C118" i="18"/>
  <c r="E117" i="18"/>
  <c r="C117" i="18"/>
  <c r="E116" i="18"/>
  <c r="C116" i="18"/>
  <c r="E115" i="18"/>
  <c r="C115" i="18"/>
  <c r="E114" i="18"/>
  <c r="C114" i="18"/>
  <c r="H118" i="18"/>
  <c r="F118" i="18"/>
  <c r="D114" i="18" l="1"/>
  <c r="D115" i="18"/>
  <c r="D116" i="18"/>
  <c r="D117" i="18"/>
  <c r="J118" i="18"/>
  <c r="I118" i="18"/>
  <c r="G118" i="18"/>
  <c r="BN64" i="17" l="1"/>
  <c r="AO64" i="17"/>
  <c r="I64" i="17"/>
  <c r="J64" i="17" s="1"/>
  <c r="G64" i="17"/>
  <c r="H64" i="17" s="1"/>
  <c r="D64" i="17"/>
  <c r="BK64" i="17" s="1"/>
  <c r="BN63" i="17"/>
  <c r="AO63" i="17"/>
  <c r="T63" i="17" s="1"/>
  <c r="I63" i="17"/>
  <c r="J63" i="17" s="1"/>
  <c r="G63" i="17"/>
  <c r="H63" i="17" s="1"/>
  <c r="D63" i="17"/>
  <c r="BK63" i="17" s="1"/>
  <c r="BN62" i="17"/>
  <c r="AO62" i="17"/>
  <c r="I62" i="17"/>
  <c r="J62" i="17" s="1"/>
  <c r="G62" i="17"/>
  <c r="H62" i="17" s="1"/>
  <c r="D62" i="17"/>
  <c r="BK62" i="17" s="1"/>
  <c r="BN61" i="17"/>
  <c r="AO61" i="17"/>
  <c r="T61" i="17" s="1"/>
  <c r="I61" i="17"/>
  <c r="J61" i="17" s="1"/>
  <c r="G61" i="17"/>
  <c r="H61" i="17" s="1"/>
  <c r="D61" i="17"/>
  <c r="BK61" i="17" s="1"/>
  <c r="BN60" i="17"/>
  <c r="AO60" i="17"/>
  <c r="I60" i="17"/>
  <c r="J60" i="17" s="1"/>
  <c r="G60" i="17"/>
  <c r="H60" i="17" s="1"/>
  <c r="D60" i="17"/>
  <c r="BK60" i="17" s="1"/>
  <c r="BN59" i="17"/>
  <c r="AO59" i="17"/>
  <c r="T59" i="17" s="1"/>
  <c r="I59" i="17"/>
  <c r="J59" i="17" s="1"/>
  <c r="G59" i="17"/>
  <c r="H59" i="17" s="1"/>
  <c r="D59" i="17"/>
  <c r="BK59" i="17" s="1"/>
  <c r="BN58" i="17"/>
  <c r="AO58" i="17"/>
  <c r="I58" i="17"/>
  <c r="J58" i="17" s="1"/>
  <c r="G58" i="17"/>
  <c r="H58" i="17" s="1"/>
  <c r="D58" i="17"/>
  <c r="BK58" i="17" s="1"/>
  <c r="BN57" i="17"/>
  <c r="AO57" i="17"/>
  <c r="I57" i="17"/>
  <c r="J57" i="17" s="1"/>
  <c r="G57" i="17"/>
  <c r="H57" i="17" s="1"/>
  <c r="D57" i="17"/>
  <c r="BK57" i="17" s="1"/>
  <c r="BN56" i="17"/>
  <c r="AO56" i="17"/>
  <c r="T56" i="17" s="1"/>
  <c r="I56" i="17"/>
  <c r="J56" i="17" s="1"/>
  <c r="G56" i="17"/>
  <c r="H56" i="17" s="1"/>
  <c r="D56" i="17"/>
  <c r="BK56" i="17" s="1"/>
  <c r="BN55" i="17"/>
  <c r="AO55" i="17"/>
  <c r="I55" i="17"/>
  <c r="J55" i="17" s="1"/>
  <c r="G55" i="17"/>
  <c r="H55" i="17" s="1"/>
  <c r="D55" i="17"/>
  <c r="BK55" i="17" s="1"/>
  <c r="BN54" i="17"/>
  <c r="AO54" i="17"/>
  <c r="T54" i="17" s="1"/>
  <c r="I54" i="17"/>
  <c r="J54" i="17" s="1"/>
  <c r="G54" i="17"/>
  <c r="H54" i="17" s="1"/>
  <c r="D54" i="17"/>
  <c r="BK54" i="17" s="1"/>
  <c r="BN53" i="17"/>
  <c r="AO53" i="17"/>
  <c r="I53" i="17"/>
  <c r="J53" i="17" s="1"/>
  <c r="G53" i="17"/>
  <c r="H53" i="17" s="1"/>
  <c r="D53" i="17"/>
  <c r="BK53" i="17" s="1"/>
  <c r="BN52" i="17"/>
  <c r="AO52" i="17"/>
  <c r="T52" i="17" s="1"/>
  <c r="I52" i="17"/>
  <c r="J52" i="17" s="1"/>
  <c r="G52" i="17"/>
  <c r="H52" i="17" s="1"/>
  <c r="D52" i="17"/>
  <c r="BK52" i="17" s="1"/>
  <c r="BN51" i="17"/>
  <c r="AO51" i="17"/>
  <c r="I51" i="17"/>
  <c r="J51" i="17" s="1"/>
  <c r="G51" i="17"/>
  <c r="H51" i="17" s="1"/>
  <c r="D51" i="17"/>
  <c r="BK51" i="17" s="1"/>
  <c r="BN50" i="17"/>
  <c r="AO50" i="17"/>
  <c r="T50" i="17" s="1"/>
  <c r="I50" i="17"/>
  <c r="J50" i="17" s="1"/>
  <c r="G50" i="17"/>
  <c r="H50" i="17" s="1"/>
  <c r="D50" i="17"/>
  <c r="BK50" i="17" s="1"/>
  <c r="BN49" i="17"/>
  <c r="AO49" i="17"/>
  <c r="I49" i="17"/>
  <c r="J49" i="17" s="1"/>
  <c r="G49" i="17"/>
  <c r="H49" i="17" s="1"/>
  <c r="D49" i="17"/>
  <c r="BK49" i="17" s="1"/>
  <c r="BN48" i="17"/>
  <c r="AO48" i="17"/>
  <c r="T48" i="17" s="1"/>
  <c r="I48" i="17"/>
  <c r="J48" i="17" s="1"/>
  <c r="G48" i="17"/>
  <c r="H48" i="17" s="1"/>
  <c r="D48" i="17"/>
  <c r="BK48" i="17" s="1"/>
  <c r="BN47" i="17"/>
  <c r="AO47" i="17"/>
  <c r="I47" i="17"/>
  <c r="J47" i="17" s="1"/>
  <c r="G47" i="17"/>
  <c r="H47" i="17" s="1"/>
  <c r="D47" i="17"/>
  <c r="BK47" i="17" s="1"/>
  <c r="BN46" i="17"/>
  <c r="AO46" i="17"/>
  <c r="I46" i="17"/>
  <c r="J46" i="17" s="1"/>
  <c r="G46" i="17"/>
  <c r="H46" i="17" s="1"/>
  <c r="D46" i="17"/>
  <c r="BK46" i="17" s="1"/>
  <c r="BN45" i="17"/>
  <c r="AO45" i="17"/>
  <c r="T45" i="17" s="1"/>
  <c r="I45" i="17"/>
  <c r="J45" i="17" s="1"/>
  <c r="G45" i="17"/>
  <c r="H45" i="17" s="1"/>
  <c r="D45" i="17"/>
  <c r="BK45" i="17" s="1"/>
  <c r="BN44" i="17"/>
  <c r="AO44" i="17"/>
  <c r="I44" i="17"/>
  <c r="J44" i="17" s="1"/>
  <c r="G44" i="17"/>
  <c r="H44" i="17" s="1"/>
  <c r="D44" i="17"/>
  <c r="BK44" i="17" s="1"/>
  <c r="BN75" i="17"/>
  <c r="AO75" i="17"/>
  <c r="I75" i="17"/>
  <c r="J75" i="17" s="1"/>
  <c r="G75" i="17"/>
  <c r="H75" i="17" s="1"/>
  <c r="D75" i="17"/>
  <c r="BK75" i="17" s="1"/>
  <c r="BN74" i="17"/>
  <c r="AO74" i="17"/>
  <c r="T74" i="17" s="1"/>
  <c r="I74" i="17"/>
  <c r="J74" i="17" s="1"/>
  <c r="G74" i="17"/>
  <c r="H74" i="17" s="1"/>
  <c r="D74" i="17"/>
  <c r="BK74" i="17" s="1"/>
  <c r="BN73" i="17"/>
  <c r="AO73" i="17"/>
  <c r="I73" i="17"/>
  <c r="J73" i="17" s="1"/>
  <c r="G73" i="17"/>
  <c r="H73" i="17" s="1"/>
  <c r="D73" i="17"/>
  <c r="BK73" i="17" s="1"/>
  <c r="BN72" i="17"/>
  <c r="AO72" i="17"/>
  <c r="T72" i="17" s="1"/>
  <c r="I72" i="17"/>
  <c r="J72" i="17" s="1"/>
  <c r="G72" i="17"/>
  <c r="H72" i="17" s="1"/>
  <c r="D72" i="17"/>
  <c r="BK72" i="17" s="1"/>
  <c r="BN71" i="17"/>
  <c r="AO71" i="17"/>
  <c r="I71" i="17"/>
  <c r="J71" i="17" s="1"/>
  <c r="G71" i="17"/>
  <c r="H71" i="17" s="1"/>
  <c r="D71" i="17"/>
  <c r="BK71" i="17" s="1"/>
  <c r="BN70" i="17"/>
  <c r="AO70" i="17"/>
  <c r="T70" i="17" s="1"/>
  <c r="I70" i="17"/>
  <c r="J70" i="17" s="1"/>
  <c r="G70" i="17"/>
  <c r="H70" i="17" s="1"/>
  <c r="D70" i="17"/>
  <c r="BK70" i="17" s="1"/>
  <c r="BN69" i="17"/>
  <c r="AO69" i="17"/>
  <c r="I69" i="17"/>
  <c r="J69" i="17" s="1"/>
  <c r="G69" i="17"/>
  <c r="H69" i="17" s="1"/>
  <c r="D69" i="17"/>
  <c r="BK69" i="17" s="1"/>
  <c r="BN68" i="17"/>
  <c r="AO68" i="17"/>
  <c r="T68" i="17" s="1"/>
  <c r="I68" i="17"/>
  <c r="J68" i="17" s="1"/>
  <c r="G68" i="17"/>
  <c r="H68" i="17" s="1"/>
  <c r="D68" i="17"/>
  <c r="BK68" i="17" s="1"/>
  <c r="BN67" i="17"/>
  <c r="AO67" i="17"/>
  <c r="I67" i="17"/>
  <c r="J67" i="17" s="1"/>
  <c r="G67" i="17"/>
  <c r="H67" i="17" s="1"/>
  <c r="D67" i="17"/>
  <c r="BK67" i="17" s="1"/>
  <c r="BN66" i="17"/>
  <c r="AO66" i="17"/>
  <c r="I66" i="17"/>
  <c r="J66" i="17" s="1"/>
  <c r="G66" i="17"/>
  <c r="H66" i="17" s="1"/>
  <c r="D66" i="17"/>
  <c r="BK66" i="17" s="1"/>
  <c r="BN65" i="17"/>
  <c r="AO65" i="17"/>
  <c r="T65" i="17" s="1"/>
  <c r="I65" i="17"/>
  <c r="J65" i="17" s="1"/>
  <c r="G65" i="17"/>
  <c r="H65" i="17" s="1"/>
  <c r="D65" i="17"/>
  <c r="BK65" i="17" s="1"/>
  <c r="BN43" i="17"/>
  <c r="AO43" i="17"/>
  <c r="I43" i="17"/>
  <c r="J43" i="17" s="1"/>
  <c r="G43" i="17"/>
  <c r="H43" i="17" s="1"/>
  <c r="D43" i="17"/>
  <c r="BK43" i="17" s="1"/>
  <c r="BN42" i="17"/>
  <c r="AO42" i="17"/>
  <c r="T42" i="17" s="1"/>
  <c r="I42" i="17"/>
  <c r="J42" i="17" s="1"/>
  <c r="G42" i="17"/>
  <c r="H42" i="17" s="1"/>
  <c r="D42" i="17"/>
  <c r="BK42" i="17" s="1"/>
  <c r="BN41" i="17"/>
  <c r="AO41" i="17"/>
  <c r="I41" i="17"/>
  <c r="J41" i="17" s="1"/>
  <c r="G41" i="17"/>
  <c r="H41" i="17" s="1"/>
  <c r="D41" i="17"/>
  <c r="BK41" i="17" s="1"/>
  <c r="T47" i="17" l="1"/>
  <c r="T51" i="17"/>
  <c r="T49" i="17"/>
  <c r="T44" i="17"/>
  <c r="T46" i="17"/>
  <c r="T53" i="17"/>
  <c r="T57" i="17"/>
  <c r="T58" i="17"/>
  <c r="T55" i="17"/>
  <c r="T64" i="17"/>
  <c r="T62" i="17"/>
  <c r="T60" i="17"/>
  <c r="T66" i="17"/>
  <c r="T41" i="17"/>
  <c r="T43" i="17"/>
  <c r="T67" i="17"/>
  <c r="T69" i="17"/>
  <c r="T71" i="17"/>
  <c r="T73" i="17"/>
  <c r="T75" i="17"/>
  <c r="AI59" i="16" l="1"/>
  <c r="AI58" i="16"/>
  <c r="AI57" i="16"/>
  <c r="AI56" i="16"/>
  <c r="AI55" i="16"/>
  <c r="AI54" i="16"/>
  <c r="AI53" i="16"/>
  <c r="AI52" i="16"/>
  <c r="AI51" i="16"/>
  <c r="AI50" i="16"/>
  <c r="AI49" i="16"/>
  <c r="AI48" i="16"/>
  <c r="AI47" i="16"/>
  <c r="AI46" i="16"/>
  <c r="AI45" i="16"/>
  <c r="AI44" i="16"/>
  <c r="AI43" i="16"/>
  <c r="AI42" i="16"/>
  <c r="AI41" i="16"/>
  <c r="AI40" i="16"/>
  <c r="AI39" i="16"/>
  <c r="AI38" i="16"/>
  <c r="AI37" i="16"/>
  <c r="AI36" i="16"/>
  <c r="AI9" i="16"/>
  <c r="AI8" i="16"/>
  <c r="BE3" i="16" l="1"/>
  <c r="BD3" i="16"/>
  <c r="BC3" i="16"/>
  <c r="BB3" i="16"/>
  <c r="BA3" i="16"/>
  <c r="AZ3" i="16"/>
  <c r="AY3" i="16"/>
  <c r="AX3" i="16"/>
  <c r="AW3" i="16"/>
  <c r="AV3" i="16"/>
  <c r="AU3" i="16"/>
  <c r="AT3" i="16"/>
  <c r="C2" i="17" l="1"/>
  <c r="L75" i="30"/>
  <c r="L76" i="30"/>
  <c r="L77" i="30"/>
  <c r="L78" i="30"/>
  <c r="L74" i="30"/>
  <c r="L73" i="30"/>
  <c r="L72" i="30"/>
  <c r="L71" i="30"/>
  <c r="L70" i="30"/>
  <c r="L69" i="30"/>
  <c r="L68" i="30"/>
  <c r="L67" i="30"/>
  <c r="L66" i="30"/>
  <c r="L65" i="30"/>
  <c r="L64" i="30"/>
  <c r="L63" i="30"/>
  <c r="L62" i="30"/>
  <c r="L61" i="30"/>
  <c r="L60" i="30"/>
  <c r="L59" i="30"/>
  <c r="L58" i="30"/>
  <c r="L57" i="30"/>
  <c r="L56" i="30"/>
  <c r="L55" i="30"/>
  <c r="L54" i="30"/>
  <c r="L53" i="30"/>
  <c r="L52" i="30"/>
  <c r="L51" i="30"/>
  <c r="L50" i="30"/>
  <c r="L49" i="30"/>
  <c r="L48" i="30"/>
  <c r="L47" i="30"/>
  <c r="L46" i="30"/>
  <c r="L45" i="30"/>
  <c r="L44" i="30"/>
  <c r="L43" i="30"/>
  <c r="L42" i="30"/>
  <c r="L41" i="30"/>
  <c r="L40" i="30"/>
  <c r="L39" i="30"/>
  <c r="L38" i="30"/>
  <c r="L37" i="30"/>
  <c r="L36" i="30"/>
  <c r="L35" i="30"/>
  <c r="L34" i="30"/>
  <c r="L33" i="30"/>
  <c r="L32" i="30"/>
  <c r="L31" i="30"/>
  <c r="L30" i="30"/>
  <c r="L29" i="30"/>
  <c r="L28" i="30"/>
  <c r="L27" i="30"/>
  <c r="L26" i="30"/>
  <c r="L25" i="30"/>
  <c r="L24" i="30"/>
  <c r="L23" i="30"/>
  <c r="L22" i="30"/>
  <c r="L21" i="30"/>
  <c r="L20" i="30"/>
  <c r="L19" i="30"/>
  <c r="L18" i="30"/>
  <c r="L17" i="30"/>
  <c r="L16" i="30"/>
  <c r="L15" i="30"/>
  <c r="L14" i="30"/>
  <c r="L13" i="30"/>
  <c r="L12" i="30"/>
  <c r="L11" i="30"/>
  <c r="L10" i="30"/>
  <c r="L9" i="30"/>
  <c r="L8" i="30"/>
  <c r="L7" i="30"/>
  <c r="D117" i="15"/>
  <c r="D120" i="15" s="1"/>
  <c r="AB249" i="1"/>
  <c r="AC249" i="1"/>
  <c r="AB250" i="1"/>
  <c r="AC250" i="1"/>
  <c r="AB251" i="1"/>
  <c r="AC251" i="1"/>
  <c r="AB252" i="1"/>
  <c r="AC252" i="1"/>
  <c r="AB253" i="1"/>
  <c r="AC253" i="1"/>
  <c r="AB254" i="1"/>
  <c r="AC254" i="1"/>
  <c r="AB255" i="1"/>
  <c r="AC255" i="1"/>
  <c r="AB256" i="1"/>
  <c r="AC256" i="1"/>
  <c r="AB257" i="1"/>
  <c r="AC257" i="1"/>
  <c r="AB258" i="1"/>
  <c r="AC258" i="1"/>
  <c r="AB259" i="1"/>
  <c r="AC259" i="1"/>
  <c r="AB260" i="1"/>
  <c r="AC260" i="1"/>
  <c r="AB261" i="1"/>
  <c r="AC261" i="1"/>
  <c r="AB262" i="1"/>
  <c r="AC262" i="1"/>
  <c r="AB263" i="1"/>
  <c r="AC263" i="1"/>
  <c r="AB264" i="1"/>
  <c r="AC264" i="1"/>
  <c r="AB265" i="1"/>
  <c r="AC265" i="1"/>
  <c r="AB266" i="1"/>
  <c r="AC266" i="1"/>
  <c r="AB267" i="1"/>
  <c r="AC267" i="1"/>
  <c r="AB268" i="1"/>
  <c r="AC268" i="1"/>
  <c r="AB269" i="1"/>
  <c r="AC269" i="1"/>
  <c r="AB270" i="1"/>
  <c r="AC270" i="1"/>
  <c r="AB271" i="1"/>
  <c r="AC271" i="1"/>
  <c r="AB272" i="1"/>
  <c r="AC272" i="1"/>
  <c r="AB273" i="1"/>
  <c r="AC273" i="1"/>
  <c r="AB274" i="1"/>
  <c r="AC274" i="1"/>
  <c r="AB275" i="1"/>
  <c r="AC275" i="1"/>
  <c r="AB276" i="1"/>
  <c r="AC276" i="1"/>
  <c r="AB277" i="1"/>
  <c r="AC277" i="1"/>
  <c r="AB278" i="1"/>
  <c r="AC278" i="1"/>
  <c r="AB243" i="1"/>
  <c r="AC243" i="1"/>
  <c r="AB244" i="1"/>
  <c r="AC244" i="1"/>
  <c r="AB245" i="1"/>
  <c r="AC245" i="1"/>
  <c r="AB246" i="1"/>
  <c r="AC246" i="1"/>
  <c r="AB247" i="1"/>
  <c r="AC247" i="1"/>
  <c r="AB248" i="1"/>
  <c r="AC248" i="1"/>
  <c r="AC242" i="1"/>
  <c r="AB242" i="1"/>
  <c r="U5" i="16"/>
  <c r="I4" i="16"/>
  <c r="A327" i="30"/>
  <c r="A326" i="30"/>
  <c r="A325" i="30"/>
  <c r="A324" i="30"/>
  <c r="A323" i="30"/>
  <c r="A322" i="30"/>
  <c r="A321" i="30"/>
  <c r="A320" i="30"/>
  <c r="A319" i="30"/>
  <c r="A318" i="30"/>
  <c r="A317" i="30"/>
  <c r="A316" i="30"/>
  <c r="A315" i="30"/>
  <c r="A314" i="30"/>
  <c r="A313" i="30"/>
  <c r="A312" i="30"/>
  <c r="A311" i="30"/>
  <c r="A310" i="30"/>
  <c r="A309" i="30"/>
  <c r="A308" i="30"/>
  <c r="A307" i="30"/>
  <c r="A306" i="30"/>
  <c r="A305" i="30"/>
  <c r="A304" i="30"/>
  <c r="A303" i="30"/>
  <c r="A302" i="30"/>
  <c r="A301" i="30"/>
  <c r="A300" i="30"/>
  <c r="A299" i="30"/>
  <c r="A298" i="30"/>
  <c r="A297" i="30"/>
  <c r="A296" i="30"/>
  <c r="A295" i="30"/>
  <c r="A294" i="30"/>
  <c r="A293" i="30"/>
  <c r="A292" i="30"/>
  <c r="A291" i="30"/>
  <c r="A290" i="30"/>
  <c r="A289" i="30"/>
  <c r="A288" i="30"/>
  <c r="A287" i="30"/>
  <c r="A286" i="30"/>
  <c r="A285" i="30"/>
  <c r="A284" i="30"/>
  <c r="A283" i="30"/>
  <c r="A282" i="30"/>
  <c r="A281" i="30"/>
  <c r="A280" i="30"/>
  <c r="A279" i="30"/>
  <c r="A278" i="30"/>
  <c r="A277" i="30"/>
  <c r="A276" i="30"/>
  <c r="A275" i="30"/>
  <c r="A274" i="30"/>
  <c r="A273" i="30"/>
  <c r="A272" i="30"/>
  <c r="A271" i="30"/>
  <c r="A270" i="30"/>
  <c r="A269" i="30"/>
  <c r="A268" i="30"/>
  <c r="A267" i="30"/>
  <c r="A266" i="30"/>
  <c r="A265" i="30"/>
  <c r="A264" i="30"/>
  <c r="A263" i="30"/>
  <c r="A262" i="30"/>
  <c r="A261" i="30"/>
  <c r="A260" i="30"/>
  <c r="A259" i="30"/>
  <c r="A258" i="30"/>
  <c r="A257" i="30"/>
  <c r="A256" i="30"/>
  <c r="A255" i="30"/>
  <c r="A254" i="30"/>
  <c r="A253" i="30"/>
  <c r="A252" i="30"/>
  <c r="A251" i="30"/>
  <c r="A250" i="30"/>
  <c r="A249" i="30"/>
  <c r="A248" i="30"/>
  <c r="A247" i="30"/>
  <c r="A246" i="30"/>
  <c r="A245" i="30"/>
  <c r="A244" i="30"/>
  <c r="A243" i="30"/>
  <c r="A242" i="30"/>
  <c r="A241" i="30"/>
  <c r="A240" i="30"/>
  <c r="A239" i="30"/>
  <c r="A238" i="30"/>
  <c r="A237" i="30"/>
  <c r="A236" i="30"/>
  <c r="A235" i="30"/>
  <c r="A234" i="30"/>
  <c r="A233" i="30"/>
  <c r="A232" i="30"/>
  <c r="A231" i="30"/>
  <c r="A230" i="30"/>
  <c r="A229" i="30"/>
  <c r="A228" i="30"/>
  <c r="A227" i="30"/>
  <c r="A226" i="30"/>
  <c r="A225" i="30"/>
  <c r="A224" i="30"/>
  <c r="A223" i="30"/>
  <c r="A222" i="30"/>
  <c r="A221" i="30"/>
  <c r="A220" i="30"/>
  <c r="A219" i="30"/>
  <c r="A218" i="30"/>
  <c r="A217" i="30"/>
  <c r="A216" i="30"/>
  <c r="A215" i="30"/>
  <c r="A214" i="30"/>
  <c r="A213" i="30"/>
  <c r="A212" i="30"/>
  <c r="A211" i="30"/>
  <c r="A210" i="30"/>
  <c r="A209" i="30"/>
  <c r="A208" i="30"/>
  <c r="A207" i="30"/>
  <c r="A206" i="30"/>
  <c r="A205" i="30"/>
  <c r="A204" i="30"/>
  <c r="A203" i="30"/>
  <c r="A202" i="30"/>
  <c r="A201" i="30"/>
  <c r="A200" i="30"/>
  <c r="A199" i="30"/>
  <c r="A198" i="30"/>
  <c r="A197" i="30"/>
  <c r="A196" i="30"/>
  <c r="A195" i="30"/>
  <c r="A194" i="30"/>
  <c r="A193" i="30"/>
  <c r="A192" i="30"/>
  <c r="A191" i="30"/>
  <c r="A190" i="30"/>
  <c r="A189" i="30"/>
  <c r="A188" i="30"/>
  <c r="A187" i="30"/>
  <c r="A186" i="30"/>
  <c r="A185" i="30"/>
  <c r="A184" i="30"/>
  <c r="A183" i="30"/>
  <c r="A182" i="30"/>
  <c r="A181" i="30"/>
  <c r="A180" i="30"/>
  <c r="A179" i="30"/>
  <c r="A178" i="30"/>
  <c r="A177" i="30"/>
  <c r="A176" i="30"/>
  <c r="A175" i="30"/>
  <c r="A174" i="30"/>
  <c r="A173" i="30"/>
  <c r="A172" i="30"/>
  <c r="A171" i="30"/>
  <c r="A170" i="30"/>
  <c r="A169" i="30"/>
  <c r="A168" i="30"/>
  <c r="A167" i="30"/>
  <c r="A166" i="30"/>
  <c r="A165" i="30"/>
  <c r="A164" i="30"/>
  <c r="A163" i="30"/>
  <c r="A162" i="30"/>
  <c r="A161" i="30"/>
  <c r="A160" i="30"/>
  <c r="A159" i="30"/>
  <c r="A158" i="30"/>
  <c r="A157" i="30"/>
  <c r="A156" i="30"/>
  <c r="A155" i="30"/>
  <c r="A154" i="30"/>
  <c r="A153" i="30"/>
  <c r="A152" i="30"/>
  <c r="A151" i="30"/>
  <c r="A150" i="30"/>
  <c r="A149" i="30"/>
  <c r="A148" i="30"/>
  <c r="A147" i="30"/>
  <c r="A146" i="30"/>
  <c r="A145" i="30"/>
  <c r="A144" i="30"/>
  <c r="A143" i="30"/>
  <c r="A142" i="30"/>
  <c r="A141" i="30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6" i="30"/>
  <c r="A125" i="30"/>
  <c r="A124" i="30"/>
  <c r="A123" i="30"/>
  <c r="A122" i="30"/>
  <c r="A121" i="30"/>
  <c r="A120" i="30"/>
  <c r="A119" i="30"/>
  <c r="A118" i="30"/>
  <c r="A117" i="30"/>
  <c r="A116" i="30"/>
  <c r="A115" i="30"/>
  <c r="A114" i="30"/>
  <c r="A113" i="30"/>
  <c r="A112" i="30"/>
  <c r="A111" i="30"/>
  <c r="A110" i="30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C241" i="1"/>
  <c r="AB241" i="1"/>
  <c r="F116" i="18"/>
  <c r="H116" i="18"/>
  <c r="F117" i="18"/>
  <c r="I117" i="18" s="1"/>
  <c r="H117" i="18"/>
  <c r="L159" i="30"/>
  <c r="L158" i="30"/>
  <c r="L157" i="30"/>
  <c r="L156" i="30"/>
  <c r="L155" i="30"/>
  <c r="K96" i="15" s="1"/>
  <c r="L154" i="30"/>
  <c r="L153" i="30"/>
  <c r="L152" i="30"/>
  <c r="K100" i="15" s="1"/>
  <c r="L151" i="30"/>
  <c r="L150" i="30"/>
  <c r="L149" i="30"/>
  <c r="K24" i="15"/>
  <c r="L24" i="15" s="1"/>
  <c r="L148" i="30"/>
  <c r="L147" i="30"/>
  <c r="K35" i="15"/>
  <c r="L35" i="15" s="1"/>
  <c r="L146" i="30"/>
  <c r="L145" i="30"/>
  <c r="L144" i="30"/>
  <c r="L143" i="30"/>
  <c r="K34" i="15"/>
  <c r="L34" i="15" s="1"/>
  <c r="L142" i="30"/>
  <c r="K99" i="15" s="1"/>
  <c r="L141" i="30"/>
  <c r="L140" i="30"/>
  <c r="K33" i="15"/>
  <c r="L139" i="30"/>
  <c r="L138" i="30"/>
  <c r="L137" i="30"/>
  <c r="L136" i="30"/>
  <c r="L135" i="30"/>
  <c r="K101" i="15" s="1"/>
  <c r="K28" i="15"/>
  <c r="L28" i="15" s="1"/>
  <c r="L134" i="30"/>
  <c r="L133" i="30"/>
  <c r="L132" i="30"/>
  <c r="L131" i="30"/>
  <c r="K29" i="15"/>
  <c r="L29" i="15" s="1"/>
  <c r="L130" i="30"/>
  <c r="L129" i="30"/>
  <c r="L128" i="30"/>
  <c r="L127" i="30"/>
  <c r="K110" i="15" s="1"/>
  <c r="K49" i="15"/>
  <c r="L49" i="15" s="1"/>
  <c r="L126" i="30"/>
  <c r="L125" i="30"/>
  <c r="L124" i="30"/>
  <c r="L123" i="30"/>
  <c r="L122" i="30"/>
  <c r="L121" i="30"/>
  <c r="L120" i="30"/>
  <c r="L119" i="30"/>
  <c r="L118" i="30"/>
  <c r="L117" i="30"/>
  <c r="L116" i="30"/>
  <c r="K13" i="15"/>
  <c r="L13" i="15" s="1"/>
  <c r="L115" i="30"/>
  <c r="L114" i="30"/>
  <c r="L113" i="30"/>
  <c r="K90" i="15" s="1"/>
  <c r="L112" i="30"/>
  <c r="L111" i="30"/>
  <c r="K108" i="15" s="1"/>
  <c r="L110" i="30"/>
  <c r="L109" i="30"/>
  <c r="L108" i="30"/>
  <c r="K105" i="15" s="1"/>
  <c r="L107" i="30"/>
  <c r="K102" i="15" s="1"/>
  <c r="L106" i="30"/>
  <c r="L105" i="30"/>
  <c r="L104" i="30"/>
  <c r="L103" i="30"/>
  <c r="L102" i="30"/>
  <c r="L101" i="30"/>
  <c r="L100" i="30"/>
  <c r="L99" i="30"/>
  <c r="L98" i="30"/>
  <c r="L97" i="30"/>
  <c r="L96" i="30"/>
  <c r="L95" i="30"/>
  <c r="K67" i="15"/>
  <c r="L67" i="15" s="1"/>
  <c r="L94" i="30"/>
  <c r="L93" i="30"/>
  <c r="L92" i="30"/>
  <c r="L91" i="30"/>
  <c r="L90" i="30"/>
  <c r="L89" i="30"/>
  <c r="L88" i="30"/>
  <c r="L87" i="30"/>
  <c r="L86" i="30"/>
  <c r="L85" i="30"/>
  <c r="K30" i="15"/>
  <c r="L84" i="30"/>
  <c r="L83" i="30"/>
  <c r="L82" i="30"/>
  <c r="L81" i="30"/>
  <c r="L80" i="30"/>
  <c r="L79" i="30"/>
  <c r="AB236" i="1"/>
  <c r="AC236" i="1"/>
  <c r="AB237" i="1"/>
  <c r="AC237" i="1"/>
  <c r="AB238" i="1"/>
  <c r="AC238" i="1"/>
  <c r="AB239" i="1"/>
  <c r="AC239" i="1"/>
  <c r="AB240" i="1"/>
  <c r="AC240" i="1"/>
  <c r="D19" i="17"/>
  <c r="D20" i="17"/>
  <c r="BK20" i="17" s="1"/>
  <c r="D21" i="17"/>
  <c r="BK21" i="17" s="1"/>
  <c r="D22" i="17"/>
  <c r="BK22" i="17" s="1"/>
  <c r="D23" i="17"/>
  <c r="BK23" i="17" s="1"/>
  <c r="D24" i="17"/>
  <c r="BK24" i="17" s="1"/>
  <c r="D25" i="17"/>
  <c r="BK25" i="17" s="1"/>
  <c r="D26" i="17"/>
  <c r="BK26" i="17" s="1"/>
  <c r="D27" i="17"/>
  <c r="D28" i="17"/>
  <c r="BK28" i="17" s="1"/>
  <c r="D29" i="17"/>
  <c r="BK29" i="17" s="1"/>
  <c r="D30" i="17"/>
  <c r="BK30" i="17" s="1"/>
  <c r="D31" i="17"/>
  <c r="BK31" i="17" s="1"/>
  <c r="D32" i="17"/>
  <c r="BK32" i="17" s="1"/>
  <c r="D33" i="17"/>
  <c r="BK33" i="17" s="1"/>
  <c r="D34" i="17"/>
  <c r="BK34" i="17" s="1"/>
  <c r="D35" i="17"/>
  <c r="D36" i="17"/>
  <c r="BK36" i="17" s="1"/>
  <c r="D37" i="17"/>
  <c r="BK37" i="17" s="1"/>
  <c r="D38" i="17"/>
  <c r="BK38" i="17" s="1"/>
  <c r="D39" i="17"/>
  <c r="BK39" i="17" s="1"/>
  <c r="D40" i="17"/>
  <c r="BK40" i="17" s="1"/>
  <c r="D76" i="17"/>
  <c r="BK76" i="17" s="1"/>
  <c r="D77" i="17"/>
  <c r="BK77" i="17" s="1"/>
  <c r="D78" i="17"/>
  <c r="D79" i="17"/>
  <c r="BK79" i="17" s="1"/>
  <c r="D80" i="17"/>
  <c r="BK80" i="17" s="1"/>
  <c r="D81" i="17"/>
  <c r="BK81" i="17" s="1"/>
  <c r="D82" i="17"/>
  <c r="BK82" i="17" s="1"/>
  <c r="D83" i="17"/>
  <c r="BK83" i="17" s="1"/>
  <c r="D84" i="17"/>
  <c r="BK84" i="17" s="1"/>
  <c r="D85" i="17"/>
  <c r="BK85" i="17" s="1"/>
  <c r="D86" i="17"/>
  <c r="D87" i="17"/>
  <c r="BK87" i="17" s="1"/>
  <c r="D88" i="17"/>
  <c r="BK88" i="17" s="1"/>
  <c r="D89" i="17"/>
  <c r="BK89" i="17" s="1"/>
  <c r="D90" i="17"/>
  <c r="D91" i="17"/>
  <c r="BK91" i="17" s="1"/>
  <c r="D92" i="17"/>
  <c r="BK92" i="17" s="1"/>
  <c r="D93" i="17"/>
  <c r="BK93" i="17" s="1"/>
  <c r="D94" i="17"/>
  <c r="D95" i="17"/>
  <c r="BK95" i="17" s="1"/>
  <c r="D96" i="17"/>
  <c r="BK96" i="17" s="1"/>
  <c r="D97" i="17"/>
  <c r="BK97" i="17" s="1"/>
  <c r="D98" i="17"/>
  <c r="BK98" i="17" s="1"/>
  <c r="D99" i="17"/>
  <c r="BK99" i="17" s="1"/>
  <c r="D100" i="17"/>
  <c r="BK100" i="17" s="1"/>
  <c r="D101" i="17"/>
  <c r="BK101" i="17" s="1"/>
  <c r="D102" i="17"/>
  <c r="D103" i="17"/>
  <c r="BK103" i="17" s="1"/>
  <c r="D104" i="17"/>
  <c r="BK104" i="17" s="1"/>
  <c r="D105" i="17"/>
  <c r="BK105" i="17" s="1"/>
  <c r="D106" i="17"/>
  <c r="BK106" i="17" s="1"/>
  <c r="D107" i="17"/>
  <c r="BK107" i="17" s="1"/>
  <c r="D108" i="17"/>
  <c r="BK108" i="17" s="1"/>
  <c r="D109" i="17"/>
  <c r="BK109" i="17" s="1"/>
  <c r="D110" i="17"/>
  <c r="D111" i="17"/>
  <c r="BK111" i="17" s="1"/>
  <c r="D112" i="17"/>
  <c r="BK112" i="17" s="1"/>
  <c r="D113" i="17"/>
  <c r="BK113" i="17" s="1"/>
  <c r="D114" i="17"/>
  <c r="BK114" i="17" s="1"/>
  <c r="D115" i="17"/>
  <c r="BK115" i="17" s="1"/>
  <c r="D116" i="17"/>
  <c r="BK116" i="17" s="1"/>
  <c r="D117" i="17"/>
  <c r="BK117" i="17" s="1"/>
  <c r="D118" i="17"/>
  <c r="D119" i="17"/>
  <c r="BK119" i="17" s="1"/>
  <c r="D120" i="17"/>
  <c r="BK120" i="17" s="1"/>
  <c r="D121" i="17"/>
  <c r="BK121" i="17" s="1"/>
  <c r="D122" i="17"/>
  <c r="D123" i="17"/>
  <c r="BK123" i="17" s="1"/>
  <c r="D124" i="17"/>
  <c r="BK124" i="17" s="1"/>
  <c r="D125" i="17"/>
  <c r="BK125" i="17" s="1"/>
  <c r="D126" i="17"/>
  <c r="D127" i="17"/>
  <c r="BK127" i="17" s="1"/>
  <c r="D128" i="17"/>
  <c r="BK128" i="17" s="1"/>
  <c r="D129" i="17"/>
  <c r="BK129" i="17" s="1"/>
  <c r="A671" i="30"/>
  <c r="A670" i="30"/>
  <c r="A669" i="30"/>
  <c r="A668" i="30"/>
  <c r="A667" i="30"/>
  <c r="A666" i="30"/>
  <c r="A665" i="30"/>
  <c r="A664" i="30"/>
  <c r="A663" i="30"/>
  <c r="A662" i="30"/>
  <c r="A661" i="30"/>
  <c r="A660" i="30"/>
  <c r="A659" i="30"/>
  <c r="A658" i="30"/>
  <c r="A657" i="30"/>
  <c r="A656" i="30"/>
  <c r="A655" i="30"/>
  <c r="A654" i="30"/>
  <c r="A653" i="30"/>
  <c r="A652" i="30"/>
  <c r="A651" i="30"/>
  <c r="A650" i="30"/>
  <c r="A649" i="30"/>
  <c r="A648" i="30"/>
  <c r="A647" i="30"/>
  <c r="A646" i="30"/>
  <c r="A645" i="30"/>
  <c r="A644" i="30"/>
  <c r="A643" i="30"/>
  <c r="A642" i="30"/>
  <c r="A641" i="30"/>
  <c r="A640" i="30"/>
  <c r="A639" i="30"/>
  <c r="A638" i="30"/>
  <c r="A637" i="30"/>
  <c r="A636" i="30"/>
  <c r="A635" i="30"/>
  <c r="A634" i="30"/>
  <c r="A633" i="30"/>
  <c r="A632" i="30"/>
  <c r="A631" i="30"/>
  <c r="A630" i="30"/>
  <c r="A629" i="30"/>
  <c r="A628" i="30"/>
  <c r="A627" i="30"/>
  <c r="A626" i="30"/>
  <c r="A625" i="30"/>
  <c r="A624" i="30"/>
  <c r="A623" i="30"/>
  <c r="A622" i="30"/>
  <c r="A621" i="30"/>
  <c r="A620" i="30"/>
  <c r="A619" i="30"/>
  <c r="A618" i="30"/>
  <c r="A617" i="30"/>
  <c r="A616" i="30"/>
  <c r="A615" i="30"/>
  <c r="A614" i="30"/>
  <c r="A613" i="30"/>
  <c r="A612" i="30"/>
  <c r="A611" i="30"/>
  <c r="A610" i="30"/>
  <c r="A609" i="30"/>
  <c r="A608" i="30"/>
  <c r="A607" i="30"/>
  <c r="A606" i="30"/>
  <c r="A605" i="30"/>
  <c r="A604" i="30"/>
  <c r="A603" i="30"/>
  <c r="A602" i="30"/>
  <c r="A601" i="30"/>
  <c r="A600" i="30"/>
  <c r="A599" i="30"/>
  <c r="A598" i="30"/>
  <c r="A597" i="30"/>
  <c r="A596" i="30"/>
  <c r="A595" i="30"/>
  <c r="A594" i="30"/>
  <c r="A593" i="30"/>
  <c r="A592" i="30"/>
  <c r="A591" i="30"/>
  <c r="A590" i="30"/>
  <c r="A589" i="30"/>
  <c r="A588" i="30"/>
  <c r="A587" i="30"/>
  <c r="A586" i="30"/>
  <c r="A585" i="30"/>
  <c r="A584" i="30"/>
  <c r="A583" i="30"/>
  <c r="A582" i="30"/>
  <c r="A581" i="30"/>
  <c r="A580" i="30"/>
  <c r="A579" i="30"/>
  <c r="A578" i="30"/>
  <c r="A577" i="30"/>
  <c r="A576" i="30"/>
  <c r="A575" i="30"/>
  <c r="A574" i="30"/>
  <c r="A573" i="30"/>
  <c r="A572" i="30"/>
  <c r="A571" i="30"/>
  <c r="A570" i="30"/>
  <c r="A569" i="30"/>
  <c r="A568" i="30"/>
  <c r="A567" i="30"/>
  <c r="A566" i="30"/>
  <c r="A565" i="30"/>
  <c r="A564" i="30"/>
  <c r="A563" i="30"/>
  <c r="A562" i="30"/>
  <c r="A561" i="30"/>
  <c r="A560" i="30"/>
  <c r="A559" i="30"/>
  <c r="A558" i="30"/>
  <c r="A557" i="30"/>
  <c r="A556" i="30"/>
  <c r="A555" i="30"/>
  <c r="A554" i="30"/>
  <c r="A553" i="30"/>
  <c r="A552" i="30"/>
  <c r="A551" i="30"/>
  <c r="A550" i="30"/>
  <c r="A549" i="30"/>
  <c r="A548" i="30"/>
  <c r="A547" i="30"/>
  <c r="A546" i="30"/>
  <c r="A545" i="30"/>
  <c r="A544" i="30"/>
  <c r="A543" i="30"/>
  <c r="A542" i="30"/>
  <c r="A541" i="30"/>
  <c r="A540" i="30"/>
  <c r="A539" i="30"/>
  <c r="A538" i="30"/>
  <c r="A537" i="30"/>
  <c r="A536" i="30"/>
  <c r="A535" i="30"/>
  <c r="A534" i="30"/>
  <c r="A533" i="30"/>
  <c r="A532" i="30"/>
  <c r="A531" i="30"/>
  <c r="A530" i="30"/>
  <c r="A529" i="30"/>
  <c r="A528" i="30"/>
  <c r="A527" i="30"/>
  <c r="A526" i="30"/>
  <c r="A525" i="30"/>
  <c r="A524" i="30"/>
  <c r="A523" i="30"/>
  <c r="A522" i="30"/>
  <c r="A521" i="30"/>
  <c r="A520" i="30"/>
  <c r="A519" i="30"/>
  <c r="A518" i="30"/>
  <c r="A517" i="30"/>
  <c r="A516" i="30"/>
  <c r="A515" i="30"/>
  <c r="A514" i="30"/>
  <c r="A513" i="30"/>
  <c r="A512" i="30"/>
  <c r="A511" i="30"/>
  <c r="A510" i="30"/>
  <c r="A509" i="30"/>
  <c r="A508" i="30"/>
  <c r="A507" i="30"/>
  <c r="A506" i="30"/>
  <c r="A505" i="30"/>
  <c r="A504" i="30"/>
  <c r="A503" i="30"/>
  <c r="A502" i="30"/>
  <c r="A501" i="30"/>
  <c r="A500" i="30"/>
  <c r="A499" i="30"/>
  <c r="A498" i="30"/>
  <c r="A497" i="30"/>
  <c r="A496" i="30"/>
  <c r="A495" i="30"/>
  <c r="A494" i="30"/>
  <c r="A493" i="30"/>
  <c r="A492" i="30"/>
  <c r="A491" i="30"/>
  <c r="A490" i="30"/>
  <c r="A489" i="30"/>
  <c r="A488" i="30"/>
  <c r="A487" i="30"/>
  <c r="A486" i="30"/>
  <c r="A485" i="30"/>
  <c r="A484" i="30"/>
  <c r="A483" i="30"/>
  <c r="A482" i="30"/>
  <c r="A481" i="30"/>
  <c r="A480" i="30"/>
  <c r="A479" i="30"/>
  <c r="A478" i="30"/>
  <c r="A477" i="30"/>
  <c r="A476" i="30"/>
  <c r="A475" i="30"/>
  <c r="A474" i="30"/>
  <c r="A473" i="30"/>
  <c r="A472" i="30"/>
  <c r="A471" i="30"/>
  <c r="A470" i="30"/>
  <c r="A469" i="30"/>
  <c r="A468" i="30"/>
  <c r="A467" i="30"/>
  <c r="A466" i="30"/>
  <c r="A465" i="30"/>
  <c r="A464" i="30"/>
  <c r="A463" i="30"/>
  <c r="A462" i="30"/>
  <c r="A461" i="30"/>
  <c r="A460" i="30"/>
  <c r="A459" i="30"/>
  <c r="A458" i="30"/>
  <c r="A457" i="30"/>
  <c r="A456" i="30"/>
  <c r="A455" i="30"/>
  <c r="A454" i="30"/>
  <c r="A453" i="30"/>
  <c r="A452" i="30"/>
  <c r="A451" i="30"/>
  <c r="A450" i="30"/>
  <c r="A449" i="30"/>
  <c r="A448" i="30"/>
  <c r="A447" i="30"/>
  <c r="A446" i="30"/>
  <c r="A445" i="30"/>
  <c r="A444" i="30"/>
  <c r="A443" i="30"/>
  <c r="A442" i="30"/>
  <c r="A441" i="30"/>
  <c r="A440" i="30"/>
  <c r="A439" i="30"/>
  <c r="A438" i="30"/>
  <c r="A437" i="30"/>
  <c r="A436" i="30"/>
  <c r="A435" i="30"/>
  <c r="A434" i="30"/>
  <c r="A433" i="30"/>
  <c r="A432" i="30"/>
  <c r="A431" i="30"/>
  <c r="A430" i="30"/>
  <c r="A429" i="30"/>
  <c r="A428" i="30"/>
  <c r="A427" i="30"/>
  <c r="A426" i="30"/>
  <c r="A425" i="30"/>
  <c r="A424" i="30"/>
  <c r="A423" i="30"/>
  <c r="A422" i="30"/>
  <c r="A421" i="30"/>
  <c r="A420" i="30"/>
  <c r="A419" i="30"/>
  <c r="A418" i="30"/>
  <c r="A417" i="30"/>
  <c r="A416" i="30"/>
  <c r="A415" i="30"/>
  <c r="A414" i="30"/>
  <c r="A413" i="30"/>
  <c r="A412" i="30"/>
  <c r="A411" i="30"/>
  <c r="A410" i="30"/>
  <c r="A409" i="30"/>
  <c r="A408" i="30"/>
  <c r="A407" i="30"/>
  <c r="A406" i="30"/>
  <c r="A405" i="30"/>
  <c r="A404" i="30"/>
  <c r="A403" i="30"/>
  <c r="A402" i="30"/>
  <c r="A401" i="30"/>
  <c r="A400" i="30"/>
  <c r="A399" i="30"/>
  <c r="A398" i="30"/>
  <c r="A397" i="30"/>
  <c r="A396" i="30"/>
  <c r="A395" i="30"/>
  <c r="A394" i="30"/>
  <c r="A393" i="30"/>
  <c r="A392" i="30"/>
  <c r="A391" i="30"/>
  <c r="A390" i="30"/>
  <c r="A389" i="30"/>
  <c r="A388" i="30"/>
  <c r="A387" i="30"/>
  <c r="A386" i="30"/>
  <c r="A385" i="30"/>
  <c r="A384" i="30"/>
  <c r="A383" i="30"/>
  <c r="A382" i="30"/>
  <c r="A381" i="30"/>
  <c r="A380" i="30"/>
  <c r="A379" i="30"/>
  <c r="A378" i="30"/>
  <c r="A377" i="30"/>
  <c r="A376" i="30"/>
  <c r="A375" i="30"/>
  <c r="A374" i="30"/>
  <c r="A373" i="30"/>
  <c r="A372" i="30"/>
  <c r="A371" i="30"/>
  <c r="A370" i="30"/>
  <c r="A369" i="30"/>
  <c r="A368" i="30"/>
  <c r="A367" i="30"/>
  <c r="A366" i="30"/>
  <c r="A365" i="30"/>
  <c r="A364" i="30"/>
  <c r="A363" i="30"/>
  <c r="A362" i="30"/>
  <c r="A361" i="30"/>
  <c r="A360" i="30"/>
  <c r="A359" i="30"/>
  <c r="A358" i="30"/>
  <c r="A357" i="30"/>
  <c r="A356" i="30"/>
  <c r="A355" i="30"/>
  <c r="A354" i="30"/>
  <c r="A353" i="30"/>
  <c r="A352" i="30"/>
  <c r="A351" i="30"/>
  <c r="A350" i="30"/>
  <c r="A349" i="30"/>
  <c r="A348" i="30"/>
  <c r="A347" i="30"/>
  <c r="A346" i="30"/>
  <c r="A345" i="30"/>
  <c r="A344" i="30"/>
  <c r="A343" i="30"/>
  <c r="A342" i="30"/>
  <c r="A341" i="30"/>
  <c r="A340" i="30"/>
  <c r="A339" i="30"/>
  <c r="A338" i="30"/>
  <c r="A337" i="30"/>
  <c r="A336" i="30"/>
  <c r="A335" i="30"/>
  <c r="A334" i="30"/>
  <c r="A333" i="30"/>
  <c r="A332" i="30"/>
  <c r="A331" i="30"/>
  <c r="A330" i="30"/>
  <c r="A329" i="30"/>
  <c r="A328" i="30"/>
  <c r="H115" i="18"/>
  <c r="J115" i="18" s="1"/>
  <c r="F115" i="18"/>
  <c r="F114" i="18"/>
  <c r="I114" i="18" s="1"/>
  <c r="L239" i="30"/>
  <c r="L238" i="30"/>
  <c r="L237" i="30"/>
  <c r="L236" i="30"/>
  <c r="K18" i="15"/>
  <c r="L18" i="15" s="1"/>
  <c r="L235" i="30"/>
  <c r="L234" i="30"/>
  <c r="L233" i="30"/>
  <c r="L232" i="30"/>
  <c r="L231" i="30"/>
  <c r="L230" i="30"/>
  <c r="L229" i="30"/>
  <c r="L228" i="30"/>
  <c r="L227" i="30"/>
  <c r="L226" i="30"/>
  <c r="L225" i="30"/>
  <c r="L224" i="30"/>
  <c r="L223" i="30"/>
  <c r="L222" i="30"/>
  <c r="L221" i="30"/>
  <c r="L220" i="30"/>
  <c r="L219" i="30"/>
  <c r="L218" i="30"/>
  <c r="L217" i="30"/>
  <c r="L216" i="30"/>
  <c r="L215" i="30"/>
  <c r="L214" i="30"/>
  <c r="L213" i="30"/>
  <c r="L212" i="30"/>
  <c r="L211" i="30"/>
  <c r="L210" i="30"/>
  <c r="L209" i="30"/>
  <c r="L208" i="30"/>
  <c r="L207" i="30"/>
  <c r="L206" i="30"/>
  <c r="L205" i="30"/>
  <c r="L204" i="30"/>
  <c r="L203" i="30"/>
  <c r="L202" i="30"/>
  <c r="L201" i="30"/>
  <c r="L200" i="30"/>
  <c r="L199" i="30"/>
  <c r="L198" i="30"/>
  <c r="L197" i="30"/>
  <c r="K39" i="15"/>
  <c r="L39" i="15" s="1"/>
  <c r="L196" i="30"/>
  <c r="L195" i="30"/>
  <c r="L194" i="30"/>
  <c r="L193" i="30"/>
  <c r="L192" i="30"/>
  <c r="L191" i="30"/>
  <c r="L190" i="30"/>
  <c r="L189" i="30"/>
  <c r="L188" i="30"/>
  <c r="L187" i="30"/>
  <c r="L186" i="30"/>
  <c r="L185" i="30"/>
  <c r="L184" i="30"/>
  <c r="L183" i="30"/>
  <c r="L182" i="30"/>
  <c r="L181" i="30"/>
  <c r="L180" i="30"/>
  <c r="L179" i="30"/>
  <c r="L178" i="30"/>
  <c r="L177" i="30"/>
  <c r="L176" i="30"/>
  <c r="L175" i="30"/>
  <c r="L174" i="30"/>
  <c r="L173" i="30"/>
  <c r="L172" i="30"/>
  <c r="L171" i="30"/>
  <c r="L170" i="30"/>
  <c r="L169" i="30"/>
  <c r="L168" i="30"/>
  <c r="L167" i="30"/>
  <c r="L166" i="30"/>
  <c r="L165" i="30"/>
  <c r="L164" i="30"/>
  <c r="L163" i="30"/>
  <c r="L162" i="30"/>
  <c r="L161" i="30"/>
  <c r="L1658" i="30"/>
  <c r="L1657" i="30"/>
  <c r="L1656" i="30"/>
  <c r="L1655" i="30"/>
  <c r="L1654" i="30"/>
  <c r="L1653" i="30"/>
  <c r="L1652" i="30"/>
  <c r="L1651" i="30"/>
  <c r="L1650" i="30"/>
  <c r="L1649" i="30"/>
  <c r="L1648" i="30"/>
  <c r="L1647" i="30"/>
  <c r="L1646" i="30"/>
  <c r="L1645" i="30"/>
  <c r="L1644" i="30"/>
  <c r="L1643" i="30"/>
  <c r="L1642" i="30"/>
  <c r="L1641" i="30"/>
  <c r="L1640" i="30"/>
  <c r="L1639" i="30"/>
  <c r="L1638" i="30"/>
  <c r="L1637" i="30"/>
  <c r="L1636" i="30"/>
  <c r="L1635" i="30"/>
  <c r="L1634" i="30"/>
  <c r="L1633" i="30"/>
  <c r="L1632" i="30"/>
  <c r="L1631" i="30"/>
  <c r="L1630" i="30"/>
  <c r="L1629" i="30"/>
  <c r="L1628" i="30"/>
  <c r="L1627" i="30"/>
  <c r="L1626" i="30"/>
  <c r="L1625" i="30"/>
  <c r="L1624" i="30"/>
  <c r="L1623" i="30"/>
  <c r="L1622" i="30"/>
  <c r="L1621" i="30"/>
  <c r="L1620" i="30"/>
  <c r="L1619" i="30"/>
  <c r="L1618" i="30"/>
  <c r="L1617" i="30"/>
  <c r="L1616" i="30"/>
  <c r="L1615" i="30"/>
  <c r="L1614" i="30"/>
  <c r="L1613" i="30"/>
  <c r="L1612" i="30"/>
  <c r="L1611" i="30"/>
  <c r="L1610" i="30"/>
  <c r="L1609" i="30"/>
  <c r="L1608" i="30"/>
  <c r="L1607" i="30"/>
  <c r="L1606" i="30"/>
  <c r="L1605" i="30"/>
  <c r="L1604" i="30"/>
  <c r="L1603" i="30"/>
  <c r="L1602" i="30"/>
  <c r="L1601" i="30"/>
  <c r="L1600" i="30"/>
  <c r="L1599" i="30"/>
  <c r="L1598" i="30"/>
  <c r="L1597" i="30"/>
  <c r="L1596" i="30"/>
  <c r="L1595" i="30"/>
  <c r="L1594" i="30"/>
  <c r="L1593" i="30"/>
  <c r="L1592" i="30"/>
  <c r="L1591" i="30"/>
  <c r="L1590" i="30"/>
  <c r="L1589" i="30"/>
  <c r="L1588" i="30"/>
  <c r="L1587" i="30"/>
  <c r="L1586" i="30"/>
  <c r="L1585" i="30"/>
  <c r="L1584" i="30"/>
  <c r="L1583" i="30"/>
  <c r="L1582" i="30"/>
  <c r="L1581" i="30"/>
  <c r="L1580" i="30"/>
  <c r="L1579" i="30"/>
  <c r="L1578" i="30"/>
  <c r="L1577" i="30"/>
  <c r="L1576" i="30"/>
  <c r="L1575" i="30"/>
  <c r="L1574" i="30"/>
  <c r="L1573" i="30"/>
  <c r="L1572" i="30"/>
  <c r="L1571" i="30"/>
  <c r="L1570" i="30"/>
  <c r="L1569" i="30"/>
  <c r="L1568" i="30"/>
  <c r="L1567" i="30"/>
  <c r="L1566" i="30"/>
  <c r="L1565" i="30"/>
  <c r="L1564" i="30"/>
  <c r="L1563" i="30"/>
  <c r="L1562" i="30"/>
  <c r="L1561" i="30"/>
  <c r="L1560" i="30"/>
  <c r="L1559" i="30"/>
  <c r="L1558" i="30"/>
  <c r="L1557" i="30"/>
  <c r="L1556" i="30"/>
  <c r="L1555" i="30"/>
  <c r="L1554" i="30"/>
  <c r="L1553" i="30"/>
  <c r="L1552" i="30"/>
  <c r="L1551" i="30"/>
  <c r="L1550" i="30"/>
  <c r="L1549" i="30"/>
  <c r="L1548" i="30"/>
  <c r="L1547" i="30"/>
  <c r="L1546" i="30"/>
  <c r="L1545" i="30"/>
  <c r="L1544" i="30"/>
  <c r="L1543" i="30"/>
  <c r="L1542" i="30"/>
  <c r="L1541" i="30"/>
  <c r="L1540" i="30"/>
  <c r="L1539" i="30"/>
  <c r="L1538" i="30"/>
  <c r="L1537" i="30"/>
  <c r="L1536" i="30"/>
  <c r="L1535" i="30"/>
  <c r="L1534" i="30"/>
  <c r="L1533" i="30"/>
  <c r="L1532" i="30"/>
  <c r="L1531" i="30"/>
  <c r="L1530" i="30"/>
  <c r="L1529" i="30"/>
  <c r="L1528" i="30"/>
  <c r="L1527" i="30"/>
  <c r="L1526" i="30"/>
  <c r="L1525" i="30"/>
  <c r="L1524" i="30"/>
  <c r="L1523" i="30"/>
  <c r="L1522" i="30"/>
  <c r="L1521" i="30"/>
  <c r="L1520" i="30"/>
  <c r="L1519" i="30"/>
  <c r="L1518" i="30"/>
  <c r="L1517" i="30"/>
  <c r="L1516" i="30"/>
  <c r="L1515" i="30"/>
  <c r="L1514" i="30"/>
  <c r="L1513" i="30"/>
  <c r="L1512" i="30"/>
  <c r="L1511" i="30"/>
  <c r="L1510" i="30"/>
  <c r="L1509" i="30"/>
  <c r="L1508" i="30"/>
  <c r="L1507" i="30"/>
  <c r="L1506" i="30"/>
  <c r="L1505" i="30"/>
  <c r="L1504" i="30"/>
  <c r="L1503" i="30"/>
  <c r="L1502" i="30"/>
  <c r="L1501" i="30"/>
  <c r="L1500" i="30"/>
  <c r="L1499" i="30"/>
  <c r="L1498" i="30"/>
  <c r="L1497" i="30"/>
  <c r="L1496" i="30"/>
  <c r="L1495" i="30"/>
  <c r="L1494" i="30"/>
  <c r="L1493" i="30"/>
  <c r="L1492" i="30"/>
  <c r="L1491" i="30"/>
  <c r="L1490" i="30"/>
  <c r="L1489" i="30"/>
  <c r="L1488" i="30"/>
  <c r="L1487" i="30"/>
  <c r="L1486" i="30"/>
  <c r="L1485" i="30"/>
  <c r="L1484" i="30"/>
  <c r="L1483" i="30"/>
  <c r="L1482" i="30"/>
  <c r="L1481" i="30"/>
  <c r="L1480" i="30"/>
  <c r="L1479" i="30"/>
  <c r="L1478" i="30"/>
  <c r="L1477" i="30"/>
  <c r="L1476" i="30"/>
  <c r="L1475" i="30"/>
  <c r="L1474" i="30"/>
  <c r="L1473" i="30"/>
  <c r="L1472" i="30"/>
  <c r="L1471" i="30"/>
  <c r="L1470" i="30"/>
  <c r="L1469" i="30"/>
  <c r="L1468" i="30"/>
  <c r="L1467" i="30"/>
  <c r="L1466" i="30"/>
  <c r="L1465" i="30"/>
  <c r="L1464" i="30"/>
  <c r="L1463" i="30"/>
  <c r="L1462" i="30"/>
  <c r="L1461" i="30"/>
  <c r="L1460" i="30"/>
  <c r="L1459" i="30"/>
  <c r="L1458" i="30"/>
  <c r="L1457" i="30"/>
  <c r="L1456" i="30"/>
  <c r="L1455" i="30"/>
  <c r="L1454" i="30"/>
  <c r="L1453" i="30"/>
  <c r="L1452" i="30"/>
  <c r="L1451" i="30"/>
  <c r="L1450" i="30"/>
  <c r="L1449" i="30"/>
  <c r="L1448" i="30"/>
  <c r="L1447" i="30"/>
  <c r="L1446" i="30"/>
  <c r="L1445" i="30"/>
  <c r="L1444" i="30"/>
  <c r="L1443" i="30"/>
  <c r="L1442" i="30"/>
  <c r="L1441" i="30"/>
  <c r="L1440" i="30"/>
  <c r="L1439" i="30"/>
  <c r="L1438" i="30"/>
  <c r="L1437" i="30"/>
  <c r="L1436" i="30"/>
  <c r="L1435" i="30"/>
  <c r="L1434" i="30"/>
  <c r="L1433" i="30"/>
  <c r="L1432" i="30"/>
  <c r="L1431" i="30"/>
  <c r="L1430" i="30"/>
  <c r="L1429" i="30"/>
  <c r="L1428" i="30"/>
  <c r="L1427" i="30"/>
  <c r="L1426" i="30"/>
  <c r="L1425" i="30"/>
  <c r="L1424" i="30"/>
  <c r="L1423" i="30"/>
  <c r="L1422" i="30"/>
  <c r="L1421" i="30"/>
  <c r="L1420" i="30"/>
  <c r="L1419" i="30"/>
  <c r="L1418" i="30"/>
  <c r="L1417" i="30"/>
  <c r="L1416" i="30"/>
  <c r="L1415" i="30"/>
  <c r="L1414" i="30"/>
  <c r="L1413" i="30"/>
  <c r="L1412" i="30"/>
  <c r="L1411" i="30"/>
  <c r="L1410" i="30"/>
  <c r="L1409" i="30"/>
  <c r="L1408" i="30"/>
  <c r="L1407" i="30"/>
  <c r="L1406" i="30"/>
  <c r="L1405" i="30"/>
  <c r="L1404" i="30"/>
  <c r="L1403" i="30"/>
  <c r="L1402" i="30"/>
  <c r="L1401" i="30"/>
  <c r="L1400" i="30"/>
  <c r="L1399" i="30"/>
  <c r="L1398" i="30"/>
  <c r="L1397" i="30"/>
  <c r="L1396" i="30"/>
  <c r="L1395" i="30"/>
  <c r="L1394" i="30"/>
  <c r="L1393" i="30"/>
  <c r="L1392" i="30"/>
  <c r="L1391" i="30"/>
  <c r="L1390" i="30"/>
  <c r="L1389" i="30"/>
  <c r="L1388" i="30"/>
  <c r="L1387" i="30"/>
  <c r="L1386" i="30"/>
  <c r="L1385" i="30"/>
  <c r="L1384" i="30"/>
  <c r="L1383" i="30"/>
  <c r="L1382" i="30"/>
  <c r="L1381" i="30"/>
  <c r="L1380" i="30"/>
  <c r="L1379" i="30"/>
  <c r="L1378" i="30"/>
  <c r="L1377" i="30"/>
  <c r="L1376" i="30"/>
  <c r="L1375" i="30"/>
  <c r="L1374" i="30"/>
  <c r="L1373" i="30"/>
  <c r="L1372" i="30"/>
  <c r="L1371" i="30"/>
  <c r="L1370" i="30"/>
  <c r="L1369" i="30"/>
  <c r="L1368" i="30"/>
  <c r="L1367" i="30"/>
  <c r="L1366" i="30"/>
  <c r="L1365" i="30"/>
  <c r="L1364" i="30"/>
  <c r="L1363" i="30"/>
  <c r="L1362" i="30"/>
  <c r="L1361" i="30"/>
  <c r="L1360" i="30"/>
  <c r="L1359" i="30"/>
  <c r="L1358" i="30"/>
  <c r="L1357" i="30"/>
  <c r="L1356" i="30"/>
  <c r="L1355" i="30"/>
  <c r="L1354" i="30"/>
  <c r="L1353" i="30"/>
  <c r="L1352" i="30"/>
  <c r="L1351" i="30"/>
  <c r="L1350" i="30"/>
  <c r="L1349" i="30"/>
  <c r="L1348" i="30"/>
  <c r="L1347" i="30"/>
  <c r="L1346" i="30"/>
  <c r="L1345" i="30"/>
  <c r="L1344" i="30"/>
  <c r="L1343" i="30"/>
  <c r="L1342" i="30"/>
  <c r="L1341" i="30"/>
  <c r="L1340" i="30"/>
  <c r="L1339" i="30"/>
  <c r="L1338" i="30"/>
  <c r="L1337" i="30"/>
  <c r="L1336" i="30"/>
  <c r="L1335" i="30"/>
  <c r="L1334" i="30"/>
  <c r="L1333" i="30"/>
  <c r="L1332" i="30"/>
  <c r="L1331" i="30"/>
  <c r="L1330" i="30"/>
  <c r="L1329" i="30"/>
  <c r="L1328" i="30"/>
  <c r="L1327" i="30"/>
  <c r="L1326" i="30"/>
  <c r="L1325" i="30"/>
  <c r="L1324" i="30"/>
  <c r="L1323" i="30"/>
  <c r="L1322" i="30"/>
  <c r="L1321" i="30"/>
  <c r="L1320" i="30"/>
  <c r="L1319" i="30"/>
  <c r="L1318" i="30"/>
  <c r="L1317" i="30"/>
  <c r="L1316" i="30"/>
  <c r="L1315" i="30"/>
  <c r="L1314" i="30"/>
  <c r="L1313" i="30"/>
  <c r="L1312" i="30"/>
  <c r="L1311" i="30"/>
  <c r="L1310" i="30"/>
  <c r="L1309" i="30"/>
  <c r="L1308" i="30"/>
  <c r="L1307" i="30"/>
  <c r="L1306" i="30"/>
  <c r="L1305" i="30"/>
  <c r="L1304" i="30"/>
  <c r="L1303" i="30"/>
  <c r="L1302" i="30"/>
  <c r="L1301" i="30"/>
  <c r="L1300" i="30"/>
  <c r="L1299" i="30"/>
  <c r="L1298" i="30"/>
  <c r="L1297" i="30"/>
  <c r="L1296" i="30"/>
  <c r="L1295" i="30"/>
  <c r="L1294" i="30"/>
  <c r="L1293" i="30"/>
  <c r="L1292" i="30"/>
  <c r="L1291" i="30"/>
  <c r="L1290" i="30"/>
  <c r="L1289" i="30"/>
  <c r="L1288" i="30"/>
  <c r="L1287" i="30"/>
  <c r="L1286" i="30"/>
  <c r="L1285" i="30"/>
  <c r="L1284" i="30"/>
  <c r="L1283" i="30"/>
  <c r="L1282" i="30"/>
  <c r="L1281" i="30"/>
  <c r="L1280" i="30"/>
  <c r="L1279" i="30"/>
  <c r="L1278" i="30"/>
  <c r="L1277" i="30"/>
  <c r="L1276" i="30"/>
  <c r="L1275" i="30"/>
  <c r="L1274" i="30"/>
  <c r="L1273" i="30"/>
  <c r="L1272" i="30"/>
  <c r="L1271" i="30"/>
  <c r="L1270" i="30"/>
  <c r="L1269" i="30"/>
  <c r="L1268" i="30"/>
  <c r="L1267" i="30"/>
  <c r="L1266" i="30"/>
  <c r="L1265" i="30"/>
  <c r="L1264" i="30"/>
  <c r="L1263" i="30"/>
  <c r="L1262" i="30"/>
  <c r="L1261" i="30"/>
  <c r="L1260" i="30"/>
  <c r="L1259" i="30"/>
  <c r="L1258" i="30"/>
  <c r="L1257" i="30"/>
  <c r="L1256" i="30"/>
  <c r="L1255" i="30"/>
  <c r="L1254" i="30"/>
  <c r="L1253" i="30"/>
  <c r="L1252" i="30"/>
  <c r="L1251" i="30"/>
  <c r="L1250" i="30"/>
  <c r="L1249" i="30"/>
  <c r="L1248" i="30"/>
  <c r="L1247" i="30"/>
  <c r="L1246" i="30"/>
  <c r="L1245" i="30"/>
  <c r="L1244" i="30"/>
  <c r="L1243" i="30"/>
  <c r="L1242" i="30"/>
  <c r="L1241" i="30"/>
  <c r="L1240" i="30"/>
  <c r="L1239" i="30"/>
  <c r="L1238" i="30"/>
  <c r="L1237" i="30"/>
  <c r="L1236" i="30"/>
  <c r="L1235" i="30"/>
  <c r="L1234" i="30"/>
  <c r="L1233" i="30"/>
  <c r="L1232" i="30"/>
  <c r="L1231" i="30"/>
  <c r="L1230" i="30"/>
  <c r="L1229" i="30"/>
  <c r="L1228" i="30"/>
  <c r="L1227" i="30"/>
  <c r="L1226" i="30"/>
  <c r="L1225" i="30"/>
  <c r="L1224" i="30"/>
  <c r="L1223" i="30"/>
  <c r="L1222" i="30"/>
  <c r="L1221" i="30"/>
  <c r="L1220" i="30"/>
  <c r="L1219" i="30"/>
  <c r="L1218" i="30"/>
  <c r="L1217" i="30"/>
  <c r="L1216" i="30"/>
  <c r="L1215" i="30"/>
  <c r="L1214" i="30"/>
  <c r="L1213" i="30"/>
  <c r="L1212" i="30"/>
  <c r="L1211" i="30"/>
  <c r="L1210" i="30"/>
  <c r="L1209" i="30"/>
  <c r="L1208" i="30"/>
  <c r="L1207" i="30"/>
  <c r="L1206" i="30"/>
  <c r="L1205" i="30"/>
  <c r="L1204" i="30"/>
  <c r="L1203" i="30"/>
  <c r="L1202" i="30"/>
  <c r="L1201" i="30"/>
  <c r="L1200" i="30"/>
  <c r="L1199" i="30"/>
  <c r="L1198" i="30"/>
  <c r="L1197" i="30"/>
  <c r="L1196" i="30"/>
  <c r="L1195" i="30"/>
  <c r="L1194" i="30"/>
  <c r="L1193" i="30"/>
  <c r="L1192" i="30"/>
  <c r="L1191" i="30"/>
  <c r="L1190" i="30"/>
  <c r="L1189" i="30"/>
  <c r="L1188" i="30"/>
  <c r="L1187" i="30"/>
  <c r="L1186" i="30"/>
  <c r="L1185" i="30"/>
  <c r="L1184" i="30"/>
  <c r="L1183" i="30"/>
  <c r="L1182" i="30"/>
  <c r="L1181" i="30"/>
  <c r="L1180" i="30"/>
  <c r="L1179" i="30"/>
  <c r="L1178" i="30"/>
  <c r="L1177" i="30"/>
  <c r="L1176" i="30"/>
  <c r="L1175" i="30"/>
  <c r="L1174" i="30"/>
  <c r="L1173" i="30"/>
  <c r="L1172" i="30"/>
  <c r="L1171" i="30"/>
  <c r="L1170" i="30"/>
  <c r="L1169" i="30"/>
  <c r="L1168" i="30"/>
  <c r="L1167" i="30"/>
  <c r="L1166" i="30"/>
  <c r="L1165" i="30"/>
  <c r="L1164" i="30"/>
  <c r="L1163" i="30"/>
  <c r="L1162" i="30"/>
  <c r="L1161" i="30"/>
  <c r="L1160" i="30"/>
  <c r="L1159" i="30"/>
  <c r="L1158" i="30"/>
  <c r="L1157" i="30"/>
  <c r="L1156" i="30"/>
  <c r="L1155" i="30"/>
  <c r="L1154" i="30"/>
  <c r="L1153" i="30"/>
  <c r="L1152" i="30"/>
  <c r="L1151" i="30"/>
  <c r="L1150" i="30"/>
  <c r="L1149" i="30"/>
  <c r="L1148" i="30"/>
  <c r="L1147" i="30"/>
  <c r="L1146" i="30"/>
  <c r="L1145" i="30"/>
  <c r="L1144" i="30"/>
  <c r="L1143" i="30"/>
  <c r="L1142" i="30"/>
  <c r="L1141" i="30"/>
  <c r="L1140" i="30"/>
  <c r="L1139" i="30"/>
  <c r="L1138" i="30"/>
  <c r="L1137" i="30"/>
  <c r="L1136" i="30"/>
  <c r="L1135" i="30"/>
  <c r="L1134" i="30"/>
  <c r="L1133" i="30"/>
  <c r="L1132" i="30"/>
  <c r="L1131" i="30"/>
  <c r="L1130" i="30"/>
  <c r="L1129" i="30"/>
  <c r="L1128" i="30"/>
  <c r="L1127" i="30"/>
  <c r="L1126" i="30"/>
  <c r="L1125" i="30"/>
  <c r="L1124" i="30"/>
  <c r="L1123" i="30"/>
  <c r="L1122" i="30"/>
  <c r="L1121" i="30"/>
  <c r="L1120" i="30"/>
  <c r="L1119" i="30"/>
  <c r="L1118" i="30"/>
  <c r="L1117" i="30"/>
  <c r="L1116" i="30"/>
  <c r="L1115" i="30"/>
  <c r="L1114" i="30"/>
  <c r="L1113" i="30"/>
  <c r="L1112" i="30"/>
  <c r="L1111" i="30"/>
  <c r="L1110" i="30"/>
  <c r="L1109" i="30"/>
  <c r="L1108" i="30"/>
  <c r="L1107" i="30"/>
  <c r="L1106" i="30"/>
  <c r="L1105" i="30"/>
  <c r="L1104" i="30"/>
  <c r="L1103" i="30"/>
  <c r="L1102" i="30"/>
  <c r="L1101" i="30"/>
  <c r="L1100" i="30"/>
  <c r="L1099" i="30"/>
  <c r="L1098" i="30"/>
  <c r="L1097" i="30"/>
  <c r="L1096" i="30"/>
  <c r="L1095" i="30"/>
  <c r="L1094" i="30"/>
  <c r="L1093" i="30"/>
  <c r="L1092" i="30"/>
  <c r="L1091" i="30"/>
  <c r="L1090" i="30"/>
  <c r="L1089" i="30"/>
  <c r="L1088" i="30"/>
  <c r="L1087" i="30"/>
  <c r="L1086" i="30"/>
  <c r="L1085" i="30"/>
  <c r="L1084" i="30"/>
  <c r="L1083" i="30"/>
  <c r="L1082" i="30"/>
  <c r="L1081" i="30"/>
  <c r="L1080" i="30"/>
  <c r="L1079" i="30"/>
  <c r="L1078" i="30"/>
  <c r="L1077" i="30"/>
  <c r="L1076" i="30"/>
  <c r="L1075" i="30"/>
  <c r="L1074" i="30"/>
  <c r="L1073" i="30"/>
  <c r="L1072" i="30"/>
  <c r="L1071" i="30"/>
  <c r="L1070" i="30"/>
  <c r="L1069" i="30"/>
  <c r="L1068" i="30"/>
  <c r="L1067" i="30"/>
  <c r="L1066" i="30"/>
  <c r="L1065" i="30"/>
  <c r="L1064" i="30"/>
  <c r="L1063" i="30"/>
  <c r="L1062" i="30"/>
  <c r="L1061" i="30"/>
  <c r="L1060" i="30"/>
  <c r="L1059" i="30"/>
  <c r="L1058" i="30"/>
  <c r="L1057" i="30"/>
  <c r="L1056" i="30"/>
  <c r="L1055" i="30"/>
  <c r="L1054" i="30"/>
  <c r="L1053" i="30"/>
  <c r="L1052" i="30"/>
  <c r="L1051" i="30"/>
  <c r="L1050" i="30"/>
  <c r="L1049" i="30"/>
  <c r="L1048" i="30"/>
  <c r="L1047" i="30"/>
  <c r="L1046" i="30"/>
  <c r="L1045" i="30"/>
  <c r="L1044" i="30"/>
  <c r="L1043" i="30"/>
  <c r="L1042" i="30"/>
  <c r="L1041" i="30"/>
  <c r="L1040" i="30"/>
  <c r="L1039" i="30"/>
  <c r="L1038" i="30"/>
  <c r="L1037" i="30"/>
  <c r="L1036" i="30"/>
  <c r="L1035" i="30"/>
  <c r="L1034" i="30"/>
  <c r="L1033" i="30"/>
  <c r="L1032" i="30"/>
  <c r="L1031" i="30"/>
  <c r="L1030" i="30"/>
  <c r="L1029" i="30"/>
  <c r="L1028" i="30"/>
  <c r="L1027" i="30"/>
  <c r="L1026" i="30"/>
  <c r="L1025" i="30"/>
  <c r="L1024" i="30"/>
  <c r="L1023" i="30"/>
  <c r="L1022" i="30"/>
  <c r="L1021" i="30"/>
  <c r="L1020" i="30"/>
  <c r="L1019" i="30"/>
  <c r="L1018" i="30"/>
  <c r="L1017" i="30"/>
  <c r="L1016" i="30"/>
  <c r="L1015" i="30"/>
  <c r="L1014" i="30"/>
  <c r="L1013" i="30"/>
  <c r="L1012" i="30"/>
  <c r="L1011" i="30"/>
  <c r="L1010" i="30"/>
  <c r="L1009" i="30"/>
  <c r="L1008" i="30"/>
  <c r="L1007" i="30"/>
  <c r="L1006" i="30"/>
  <c r="L1005" i="30"/>
  <c r="L1004" i="30"/>
  <c r="L1003" i="30"/>
  <c r="L1002" i="30"/>
  <c r="L1001" i="30"/>
  <c r="L1000" i="30"/>
  <c r="L999" i="30"/>
  <c r="L998" i="30"/>
  <c r="L997" i="30"/>
  <c r="L996" i="30"/>
  <c r="L995" i="30"/>
  <c r="L994" i="30"/>
  <c r="L993" i="30"/>
  <c r="L992" i="30"/>
  <c r="L991" i="30"/>
  <c r="L990" i="30"/>
  <c r="L989" i="30"/>
  <c r="L988" i="30"/>
  <c r="L987" i="30"/>
  <c r="L986" i="30"/>
  <c r="L985" i="30"/>
  <c r="L984" i="30"/>
  <c r="L983" i="30"/>
  <c r="L982" i="30"/>
  <c r="L981" i="30"/>
  <c r="L980" i="30"/>
  <c r="L979" i="30"/>
  <c r="L978" i="30"/>
  <c r="L977" i="30"/>
  <c r="L976" i="30"/>
  <c r="L975" i="30"/>
  <c r="L974" i="30"/>
  <c r="L973" i="30"/>
  <c r="L972" i="30"/>
  <c r="L971" i="30"/>
  <c r="L970" i="30"/>
  <c r="L969" i="30"/>
  <c r="L968" i="30"/>
  <c r="L967" i="30"/>
  <c r="L966" i="30"/>
  <c r="L965" i="30"/>
  <c r="L964" i="30"/>
  <c r="L963" i="30"/>
  <c r="L962" i="30"/>
  <c r="L961" i="30"/>
  <c r="L960" i="30"/>
  <c r="L959" i="30"/>
  <c r="L958" i="30"/>
  <c r="L957" i="30"/>
  <c r="L956" i="30"/>
  <c r="L955" i="30"/>
  <c r="L954" i="30"/>
  <c r="L953" i="30"/>
  <c r="L952" i="30"/>
  <c r="L951" i="30"/>
  <c r="L950" i="30"/>
  <c r="L949" i="30"/>
  <c r="L948" i="30"/>
  <c r="L947" i="30"/>
  <c r="L946" i="30"/>
  <c r="L945" i="30"/>
  <c r="L944" i="30"/>
  <c r="L943" i="30"/>
  <c r="L942" i="30"/>
  <c r="L941" i="30"/>
  <c r="L940" i="30"/>
  <c r="L939" i="30"/>
  <c r="L938" i="30"/>
  <c r="L937" i="30"/>
  <c r="L936" i="30"/>
  <c r="L935" i="30"/>
  <c r="L934" i="30"/>
  <c r="L933" i="30"/>
  <c r="L932" i="30"/>
  <c r="L931" i="30"/>
  <c r="L930" i="30"/>
  <c r="L929" i="30"/>
  <c r="L928" i="30"/>
  <c r="L927" i="30"/>
  <c r="L926" i="30"/>
  <c r="L925" i="30"/>
  <c r="L924" i="30"/>
  <c r="L923" i="30"/>
  <c r="L922" i="30"/>
  <c r="L921" i="30"/>
  <c r="L920" i="30"/>
  <c r="L919" i="30"/>
  <c r="L918" i="30"/>
  <c r="L917" i="30"/>
  <c r="L916" i="30"/>
  <c r="L915" i="30"/>
  <c r="L914" i="30"/>
  <c r="L913" i="30"/>
  <c r="L912" i="30"/>
  <c r="L911" i="30"/>
  <c r="L910" i="30"/>
  <c r="L909" i="30"/>
  <c r="L908" i="30"/>
  <c r="L907" i="30"/>
  <c r="L906" i="30"/>
  <c r="L905" i="30"/>
  <c r="L904" i="30"/>
  <c r="L903" i="30"/>
  <c r="L902" i="30"/>
  <c r="L901" i="30"/>
  <c r="L900" i="30"/>
  <c r="L899" i="30"/>
  <c r="L898" i="30"/>
  <c r="L897" i="30"/>
  <c r="L896" i="30"/>
  <c r="L895" i="30"/>
  <c r="L894" i="30"/>
  <c r="L893" i="30"/>
  <c r="L892" i="30"/>
  <c r="L891" i="30"/>
  <c r="L890" i="30"/>
  <c r="L889" i="30"/>
  <c r="L888" i="30"/>
  <c r="L887" i="30"/>
  <c r="L886" i="30"/>
  <c r="L885" i="30"/>
  <c r="L884" i="30"/>
  <c r="L883" i="30"/>
  <c r="L882" i="30"/>
  <c r="L881" i="30"/>
  <c r="L880" i="30"/>
  <c r="L879" i="30"/>
  <c r="L878" i="30"/>
  <c r="L877" i="30"/>
  <c r="L876" i="30"/>
  <c r="L875" i="30"/>
  <c r="L874" i="30"/>
  <c r="L873" i="30"/>
  <c r="L872" i="30"/>
  <c r="L871" i="30"/>
  <c r="L870" i="30"/>
  <c r="L869" i="30"/>
  <c r="L868" i="30"/>
  <c r="L867" i="30"/>
  <c r="L866" i="30"/>
  <c r="L865" i="30"/>
  <c r="L864" i="30"/>
  <c r="L863" i="30"/>
  <c r="L862" i="30"/>
  <c r="L861" i="30"/>
  <c r="L860" i="30"/>
  <c r="L859" i="30"/>
  <c r="L858" i="30"/>
  <c r="L857" i="30"/>
  <c r="L856" i="30"/>
  <c r="L855" i="30"/>
  <c r="L854" i="30"/>
  <c r="L853" i="30"/>
  <c r="L852" i="30"/>
  <c r="L851" i="30"/>
  <c r="L850" i="30"/>
  <c r="L849" i="30"/>
  <c r="L848" i="30"/>
  <c r="L847" i="30"/>
  <c r="L846" i="30"/>
  <c r="L845" i="30"/>
  <c r="L844" i="30"/>
  <c r="L843" i="30"/>
  <c r="L842" i="30"/>
  <c r="L841" i="30"/>
  <c r="L840" i="30"/>
  <c r="L839" i="30"/>
  <c r="L838" i="30"/>
  <c r="L837" i="30"/>
  <c r="L836" i="30"/>
  <c r="L835" i="30"/>
  <c r="L834" i="30"/>
  <c r="L833" i="30"/>
  <c r="L832" i="30"/>
  <c r="L831" i="30"/>
  <c r="L830" i="30"/>
  <c r="L829" i="30"/>
  <c r="L828" i="30"/>
  <c r="L827" i="30"/>
  <c r="L826" i="30"/>
  <c r="L825" i="30"/>
  <c r="L824" i="30"/>
  <c r="L823" i="30"/>
  <c r="L822" i="30"/>
  <c r="L821" i="30"/>
  <c r="L820" i="30"/>
  <c r="L819" i="30"/>
  <c r="L818" i="30"/>
  <c r="L817" i="30"/>
  <c r="L816" i="30"/>
  <c r="L815" i="30"/>
  <c r="L814" i="30"/>
  <c r="L813" i="30"/>
  <c r="L812" i="30"/>
  <c r="L811" i="30"/>
  <c r="L810" i="30"/>
  <c r="L809" i="30"/>
  <c r="L808" i="30"/>
  <c r="L807" i="30"/>
  <c r="L806" i="30"/>
  <c r="L805" i="30"/>
  <c r="L804" i="30"/>
  <c r="L803" i="30"/>
  <c r="L802" i="30"/>
  <c r="L801" i="30"/>
  <c r="L800" i="30"/>
  <c r="L799" i="30"/>
  <c r="L798" i="30"/>
  <c r="L797" i="30"/>
  <c r="L796" i="30"/>
  <c r="L795" i="30"/>
  <c r="L794" i="30"/>
  <c r="L793" i="30"/>
  <c r="L792" i="30"/>
  <c r="L791" i="30"/>
  <c r="L790" i="30"/>
  <c r="L789" i="30"/>
  <c r="L788" i="30"/>
  <c r="L787" i="30"/>
  <c r="L786" i="30"/>
  <c r="L785" i="30"/>
  <c r="L784" i="30"/>
  <c r="L783" i="30"/>
  <c r="L782" i="30"/>
  <c r="L781" i="30"/>
  <c r="L780" i="30"/>
  <c r="L779" i="30"/>
  <c r="L778" i="30"/>
  <c r="L777" i="30"/>
  <c r="L776" i="30"/>
  <c r="L775" i="30"/>
  <c r="L774" i="30"/>
  <c r="L773" i="30"/>
  <c r="L772" i="30"/>
  <c r="L771" i="30"/>
  <c r="L770" i="30"/>
  <c r="L769" i="30"/>
  <c r="L768" i="30"/>
  <c r="L767" i="30"/>
  <c r="L766" i="30"/>
  <c r="L765" i="30"/>
  <c r="L764" i="30"/>
  <c r="L763" i="30"/>
  <c r="L762" i="30"/>
  <c r="L761" i="30"/>
  <c r="L760" i="30"/>
  <c r="L759" i="30"/>
  <c r="L758" i="30"/>
  <c r="L757" i="30"/>
  <c r="L756" i="30"/>
  <c r="L755" i="30"/>
  <c r="L754" i="30"/>
  <c r="L753" i="30"/>
  <c r="L752" i="30"/>
  <c r="L751" i="30"/>
  <c r="L750" i="30"/>
  <c r="L749" i="30"/>
  <c r="L748" i="30"/>
  <c r="L747" i="30"/>
  <c r="L746" i="30"/>
  <c r="L745" i="30"/>
  <c r="L744" i="30"/>
  <c r="L743" i="30"/>
  <c r="L742" i="30"/>
  <c r="L741" i="30"/>
  <c r="L740" i="30"/>
  <c r="L739" i="30"/>
  <c r="L738" i="30"/>
  <c r="L737" i="30"/>
  <c r="L736" i="30"/>
  <c r="L735" i="30"/>
  <c r="L734" i="30"/>
  <c r="L733" i="30"/>
  <c r="L732" i="30"/>
  <c r="L731" i="30"/>
  <c r="L730" i="30"/>
  <c r="L729" i="30"/>
  <c r="L728" i="30"/>
  <c r="L727" i="30"/>
  <c r="L726" i="30"/>
  <c r="L725" i="30"/>
  <c r="L724" i="30"/>
  <c r="L723" i="30"/>
  <c r="L722" i="30"/>
  <c r="L721" i="30"/>
  <c r="L720" i="30"/>
  <c r="L719" i="30"/>
  <c r="L718" i="30"/>
  <c r="L717" i="30"/>
  <c r="L716" i="30"/>
  <c r="K73" i="15" s="1"/>
  <c r="L715" i="30"/>
  <c r="L714" i="30"/>
  <c r="L713" i="30"/>
  <c r="L712" i="30"/>
  <c r="L711" i="30"/>
  <c r="L710" i="30"/>
  <c r="L709" i="30"/>
  <c r="L708" i="30"/>
  <c r="L707" i="30"/>
  <c r="L706" i="30"/>
  <c r="L705" i="30"/>
  <c r="L704" i="30"/>
  <c r="L703" i="30"/>
  <c r="L702" i="30"/>
  <c r="L701" i="30"/>
  <c r="L700" i="30"/>
  <c r="L699" i="30"/>
  <c r="L698" i="30"/>
  <c r="L697" i="30"/>
  <c r="L696" i="30"/>
  <c r="K89" i="15" s="1"/>
  <c r="L695" i="30"/>
  <c r="L694" i="30"/>
  <c r="L693" i="30"/>
  <c r="L692" i="30"/>
  <c r="L691" i="30"/>
  <c r="L690" i="30"/>
  <c r="L689" i="30"/>
  <c r="L688" i="30"/>
  <c r="L687" i="30"/>
  <c r="L686" i="30"/>
  <c r="L685" i="30"/>
  <c r="L684" i="30"/>
  <c r="L683" i="30"/>
  <c r="L682" i="30"/>
  <c r="L681" i="30"/>
  <c r="L680" i="30"/>
  <c r="K113" i="15" s="1"/>
  <c r="L679" i="30"/>
  <c r="L678" i="30"/>
  <c r="L677" i="30"/>
  <c r="L676" i="30"/>
  <c r="L675" i="30"/>
  <c r="L674" i="30"/>
  <c r="L673" i="30"/>
  <c r="L672" i="30"/>
  <c r="L671" i="30"/>
  <c r="L670" i="30"/>
  <c r="L669" i="30"/>
  <c r="L668" i="30"/>
  <c r="L667" i="30"/>
  <c r="L666" i="30"/>
  <c r="L665" i="30"/>
  <c r="L664" i="30"/>
  <c r="L663" i="30"/>
  <c r="L662" i="30"/>
  <c r="L661" i="30"/>
  <c r="L660" i="30"/>
  <c r="L659" i="30"/>
  <c r="L658" i="30"/>
  <c r="L657" i="30"/>
  <c r="L656" i="30"/>
  <c r="L655" i="30"/>
  <c r="L654" i="30"/>
  <c r="L653" i="30"/>
  <c r="L652" i="30"/>
  <c r="L651" i="30"/>
  <c r="L650" i="30"/>
  <c r="L649" i="30"/>
  <c r="L648" i="30"/>
  <c r="L647" i="30"/>
  <c r="L646" i="30"/>
  <c r="L645" i="30"/>
  <c r="L644" i="30"/>
  <c r="L643" i="30"/>
  <c r="L642" i="30"/>
  <c r="L641" i="30"/>
  <c r="L640" i="30"/>
  <c r="L639" i="30"/>
  <c r="L638" i="30"/>
  <c r="L637" i="30"/>
  <c r="L636" i="30"/>
  <c r="L635" i="30"/>
  <c r="L634" i="30"/>
  <c r="L633" i="30"/>
  <c r="L632" i="30"/>
  <c r="L631" i="30"/>
  <c r="L630" i="30"/>
  <c r="L629" i="30"/>
  <c r="L628" i="30"/>
  <c r="L627" i="30"/>
  <c r="L626" i="30"/>
  <c r="L625" i="30"/>
  <c r="L624" i="30"/>
  <c r="L623" i="30"/>
  <c r="L622" i="30"/>
  <c r="L621" i="30"/>
  <c r="L620" i="30"/>
  <c r="L619" i="30"/>
  <c r="L618" i="30"/>
  <c r="L617" i="30"/>
  <c r="L616" i="30"/>
  <c r="L615" i="30"/>
  <c r="L614" i="30"/>
  <c r="L613" i="30"/>
  <c r="L612" i="30"/>
  <c r="L611" i="30"/>
  <c r="L610" i="30"/>
  <c r="L609" i="30"/>
  <c r="L608" i="30"/>
  <c r="L607" i="30"/>
  <c r="L606" i="30"/>
  <c r="L605" i="30"/>
  <c r="L604" i="30"/>
  <c r="L603" i="30"/>
  <c r="L602" i="30"/>
  <c r="L601" i="30"/>
  <c r="L600" i="30"/>
  <c r="L599" i="30"/>
  <c r="L598" i="30"/>
  <c r="L597" i="30"/>
  <c r="L596" i="30"/>
  <c r="L595" i="30"/>
  <c r="L594" i="30"/>
  <c r="L593" i="30"/>
  <c r="L592" i="30"/>
  <c r="L591" i="30"/>
  <c r="L590" i="30"/>
  <c r="L589" i="30"/>
  <c r="L588" i="30"/>
  <c r="L587" i="30"/>
  <c r="L586" i="30"/>
  <c r="L585" i="30"/>
  <c r="L584" i="30"/>
  <c r="L583" i="30"/>
  <c r="L582" i="30"/>
  <c r="L581" i="30"/>
  <c r="L580" i="30"/>
  <c r="L579" i="30"/>
  <c r="L578" i="30"/>
  <c r="K77" i="15" s="1"/>
  <c r="L577" i="30"/>
  <c r="L576" i="30"/>
  <c r="L575" i="30"/>
  <c r="L574" i="30"/>
  <c r="L573" i="30"/>
  <c r="L572" i="30"/>
  <c r="L571" i="30"/>
  <c r="L570" i="30"/>
  <c r="L569" i="30"/>
  <c r="K79" i="15" s="1"/>
  <c r="L568" i="30"/>
  <c r="L567" i="30"/>
  <c r="L566" i="30"/>
  <c r="L565" i="30"/>
  <c r="L564" i="30"/>
  <c r="L563" i="30"/>
  <c r="L562" i="30"/>
  <c r="L561" i="30"/>
  <c r="L560" i="30"/>
  <c r="L559" i="30"/>
  <c r="L558" i="30"/>
  <c r="L557" i="30"/>
  <c r="L556" i="30"/>
  <c r="L555" i="30"/>
  <c r="L554" i="30"/>
  <c r="L553" i="30"/>
  <c r="L552" i="30"/>
  <c r="L551" i="30"/>
  <c r="L550" i="30"/>
  <c r="L549" i="30"/>
  <c r="L548" i="30"/>
  <c r="L547" i="30"/>
  <c r="L546" i="30"/>
  <c r="L545" i="30"/>
  <c r="L544" i="30"/>
  <c r="L543" i="30"/>
  <c r="L542" i="30"/>
  <c r="L541" i="30"/>
  <c r="L540" i="30"/>
  <c r="L539" i="30"/>
  <c r="L538" i="30"/>
  <c r="K95" i="15" s="1"/>
  <c r="L537" i="30"/>
  <c r="L536" i="30"/>
  <c r="K44" i="15" s="1"/>
  <c r="L535" i="30"/>
  <c r="L534" i="30"/>
  <c r="L533" i="30"/>
  <c r="L532" i="30"/>
  <c r="L531" i="30"/>
  <c r="L530" i="30"/>
  <c r="L529" i="30"/>
  <c r="L528" i="30"/>
  <c r="L527" i="30"/>
  <c r="L526" i="30"/>
  <c r="L525" i="30"/>
  <c r="L524" i="30"/>
  <c r="K86" i="15" s="1"/>
  <c r="L523" i="30"/>
  <c r="L522" i="30"/>
  <c r="L521" i="30"/>
  <c r="L520" i="30"/>
  <c r="L519" i="30"/>
  <c r="L518" i="30"/>
  <c r="L517" i="30"/>
  <c r="L516" i="30"/>
  <c r="L515" i="30"/>
  <c r="L514" i="30"/>
  <c r="L513" i="30"/>
  <c r="L512" i="30"/>
  <c r="L511" i="30"/>
  <c r="L510" i="30"/>
  <c r="L509" i="30"/>
  <c r="L508" i="30"/>
  <c r="L507" i="30"/>
  <c r="L506" i="30"/>
  <c r="L505" i="30"/>
  <c r="L504" i="30"/>
  <c r="L503" i="30"/>
  <c r="K78" i="15" s="1"/>
  <c r="L502" i="30"/>
  <c r="L501" i="30"/>
  <c r="K72" i="15" s="1"/>
  <c r="L500" i="30"/>
  <c r="L499" i="30"/>
  <c r="L498" i="30"/>
  <c r="L497" i="30"/>
  <c r="L496" i="30"/>
  <c r="L495" i="30"/>
  <c r="L494" i="30"/>
  <c r="L493" i="30"/>
  <c r="L492" i="30"/>
  <c r="L491" i="30"/>
  <c r="L490" i="30"/>
  <c r="L489" i="30"/>
  <c r="L488" i="30"/>
  <c r="L487" i="30"/>
  <c r="L486" i="30"/>
  <c r="L485" i="30"/>
  <c r="L484" i="30"/>
  <c r="L483" i="30"/>
  <c r="L482" i="30"/>
  <c r="L481" i="30"/>
  <c r="L480" i="30"/>
  <c r="L479" i="30"/>
  <c r="L478" i="30"/>
  <c r="L477" i="30"/>
  <c r="L476" i="30"/>
  <c r="L475" i="30"/>
  <c r="L474" i="30"/>
  <c r="L473" i="30"/>
  <c r="L472" i="30"/>
  <c r="K88" i="15" s="1"/>
  <c r="L471" i="30"/>
  <c r="L470" i="30"/>
  <c r="L469" i="30"/>
  <c r="L468" i="30"/>
  <c r="K16" i="15" s="1"/>
  <c r="L467" i="30"/>
  <c r="L466" i="30"/>
  <c r="L465" i="30"/>
  <c r="L464" i="30"/>
  <c r="L463" i="30"/>
  <c r="L462" i="30"/>
  <c r="L461" i="30"/>
  <c r="L460" i="30"/>
  <c r="L459" i="30"/>
  <c r="L458" i="30"/>
  <c r="L457" i="30"/>
  <c r="L456" i="30"/>
  <c r="L455" i="30"/>
  <c r="L454" i="30"/>
  <c r="L453" i="30"/>
  <c r="L452" i="30"/>
  <c r="L451" i="30"/>
  <c r="L450" i="30"/>
  <c r="L449" i="30"/>
  <c r="L448" i="30"/>
  <c r="L447" i="30"/>
  <c r="L446" i="30"/>
  <c r="L445" i="30"/>
  <c r="L444" i="30"/>
  <c r="L443" i="30"/>
  <c r="L442" i="30"/>
  <c r="L441" i="30"/>
  <c r="L440" i="30"/>
  <c r="L439" i="30"/>
  <c r="K94" i="15" s="1"/>
  <c r="L438" i="30"/>
  <c r="K80" i="15" s="1"/>
  <c r="L437" i="30"/>
  <c r="L436" i="30"/>
  <c r="L435" i="30"/>
  <c r="L434" i="30"/>
  <c r="L433" i="30"/>
  <c r="L432" i="30"/>
  <c r="K93" i="15" s="1"/>
  <c r="L431" i="30"/>
  <c r="L430" i="30"/>
  <c r="L429" i="30"/>
  <c r="L428" i="30"/>
  <c r="L427" i="30"/>
  <c r="L426" i="30"/>
  <c r="L425" i="30"/>
  <c r="K97" i="15" s="1"/>
  <c r="L424" i="30"/>
  <c r="L423" i="30"/>
  <c r="L422" i="30"/>
  <c r="L421" i="30"/>
  <c r="L420" i="30"/>
  <c r="L419" i="30"/>
  <c r="L418" i="30"/>
  <c r="L417" i="30"/>
  <c r="L416" i="30"/>
  <c r="K91" i="15" s="1"/>
  <c r="L415" i="30"/>
  <c r="L414" i="30"/>
  <c r="L413" i="30"/>
  <c r="L412" i="30"/>
  <c r="L411" i="30"/>
  <c r="L410" i="30"/>
  <c r="L409" i="30"/>
  <c r="L408" i="30"/>
  <c r="L407" i="30"/>
  <c r="L406" i="30"/>
  <c r="L405" i="30"/>
  <c r="L404" i="30"/>
  <c r="L403" i="30"/>
  <c r="L402" i="30"/>
  <c r="L401" i="30"/>
  <c r="L400" i="30"/>
  <c r="L399" i="30"/>
  <c r="L398" i="30"/>
  <c r="L397" i="30"/>
  <c r="L396" i="30"/>
  <c r="L395" i="30"/>
  <c r="L394" i="30"/>
  <c r="L393" i="30"/>
  <c r="L392" i="30"/>
  <c r="L391" i="30"/>
  <c r="L389" i="30"/>
  <c r="L388" i="30"/>
  <c r="L387" i="30"/>
  <c r="L386" i="30"/>
  <c r="L385" i="30"/>
  <c r="L384" i="30"/>
  <c r="L383" i="30"/>
  <c r="L382" i="30"/>
  <c r="L381" i="30"/>
  <c r="L380" i="30"/>
  <c r="L379" i="30"/>
  <c r="L378" i="30"/>
  <c r="L377" i="30"/>
  <c r="L376" i="30"/>
  <c r="L375" i="30"/>
  <c r="L374" i="30"/>
  <c r="L373" i="30"/>
  <c r="L372" i="30"/>
  <c r="L371" i="30"/>
  <c r="L370" i="30"/>
  <c r="L369" i="30"/>
  <c r="L368" i="30"/>
  <c r="L367" i="30"/>
  <c r="L366" i="30"/>
  <c r="L365" i="30"/>
  <c r="L364" i="30"/>
  <c r="L363" i="30"/>
  <c r="L362" i="30"/>
  <c r="L361" i="30"/>
  <c r="L360" i="30"/>
  <c r="L359" i="30"/>
  <c r="L358" i="30"/>
  <c r="L357" i="30"/>
  <c r="L356" i="30"/>
  <c r="L355" i="30"/>
  <c r="L354" i="30"/>
  <c r="L353" i="30"/>
  <c r="L352" i="30"/>
  <c r="L351" i="30"/>
  <c r="L350" i="30"/>
  <c r="L349" i="30"/>
  <c r="L348" i="30"/>
  <c r="L347" i="30"/>
  <c r="L346" i="30"/>
  <c r="L345" i="30"/>
  <c r="L344" i="30"/>
  <c r="L343" i="30"/>
  <c r="L342" i="30"/>
  <c r="L341" i="30"/>
  <c r="L340" i="30"/>
  <c r="L339" i="30"/>
  <c r="L338" i="30"/>
  <c r="L337" i="30"/>
  <c r="L336" i="30"/>
  <c r="L335" i="30"/>
  <c r="L334" i="30"/>
  <c r="L333" i="30"/>
  <c r="L332" i="30"/>
  <c r="L331" i="30"/>
  <c r="L330" i="30"/>
  <c r="L329" i="30"/>
  <c r="L328" i="30"/>
  <c r="L327" i="30"/>
  <c r="L326" i="30"/>
  <c r="L325" i="30"/>
  <c r="L324" i="30"/>
  <c r="L323" i="30"/>
  <c r="L322" i="30"/>
  <c r="L321" i="30"/>
  <c r="L320" i="30"/>
  <c r="L319" i="30"/>
  <c r="L318" i="30"/>
  <c r="L317" i="30"/>
  <c r="L316" i="30"/>
  <c r="L314" i="30"/>
  <c r="L313" i="30"/>
  <c r="L312" i="30"/>
  <c r="L311" i="30"/>
  <c r="L310" i="30"/>
  <c r="L309" i="30"/>
  <c r="L308" i="30"/>
  <c r="L307" i="30"/>
  <c r="L306" i="30"/>
  <c r="L305" i="30"/>
  <c r="L304" i="30"/>
  <c r="L303" i="30"/>
  <c r="L302" i="30"/>
  <c r="L301" i="30"/>
  <c r="L300" i="30"/>
  <c r="L299" i="30"/>
  <c r="L298" i="30"/>
  <c r="L297" i="30"/>
  <c r="L296" i="30"/>
  <c r="L295" i="30"/>
  <c r="L294" i="30"/>
  <c r="L293" i="30"/>
  <c r="L292" i="30"/>
  <c r="L291" i="30"/>
  <c r="L290" i="30"/>
  <c r="L289" i="30"/>
  <c r="L288" i="30"/>
  <c r="L287" i="30"/>
  <c r="L286" i="30"/>
  <c r="L285" i="30"/>
  <c r="L284" i="30"/>
  <c r="L283" i="30"/>
  <c r="L282" i="30"/>
  <c r="L281" i="30"/>
  <c r="L280" i="30"/>
  <c r="L279" i="30"/>
  <c r="L278" i="30"/>
  <c r="L277" i="30"/>
  <c r="L276" i="30"/>
  <c r="L275" i="30"/>
  <c r="L274" i="30"/>
  <c r="L273" i="30"/>
  <c r="L272" i="30"/>
  <c r="L271" i="30"/>
  <c r="L270" i="30"/>
  <c r="L269" i="30"/>
  <c r="L268" i="30"/>
  <c r="L267" i="30"/>
  <c r="L266" i="30"/>
  <c r="L265" i="30"/>
  <c r="L264" i="30"/>
  <c r="L263" i="30"/>
  <c r="L262" i="30"/>
  <c r="L261" i="30"/>
  <c r="L260" i="30"/>
  <c r="L259" i="30"/>
  <c r="L258" i="30"/>
  <c r="L257" i="30"/>
  <c r="L256" i="30"/>
  <c r="L255" i="30"/>
  <c r="L254" i="30"/>
  <c r="L253" i="30"/>
  <c r="L252" i="30"/>
  <c r="L251" i="30"/>
  <c r="L250" i="30"/>
  <c r="L249" i="30"/>
  <c r="L248" i="30"/>
  <c r="L247" i="30"/>
  <c r="L246" i="30"/>
  <c r="L245" i="30"/>
  <c r="L244" i="30"/>
  <c r="L243" i="30"/>
  <c r="L242" i="30"/>
  <c r="L241" i="30"/>
  <c r="L240" i="30"/>
  <c r="BN20" i="17"/>
  <c r="BN21" i="17"/>
  <c r="BN22" i="17"/>
  <c r="BN23" i="17"/>
  <c r="BN24" i="17"/>
  <c r="BN25" i="17"/>
  <c r="BN26" i="17"/>
  <c r="A672" i="30"/>
  <c r="A1038" i="30"/>
  <c r="A1037" i="30"/>
  <c r="A1036" i="30"/>
  <c r="A1035" i="30"/>
  <c r="A1034" i="30"/>
  <c r="A1033" i="30"/>
  <c r="A1032" i="30"/>
  <c r="A1031" i="30"/>
  <c r="A1030" i="30"/>
  <c r="A1029" i="30"/>
  <c r="A1028" i="30"/>
  <c r="A1027" i="30"/>
  <c r="A1026" i="30"/>
  <c r="A1025" i="30"/>
  <c r="A1024" i="30"/>
  <c r="A1023" i="30"/>
  <c r="A1022" i="30"/>
  <c r="A1021" i="30"/>
  <c r="A1020" i="30"/>
  <c r="A1019" i="30"/>
  <c r="A1018" i="30"/>
  <c r="A1017" i="30"/>
  <c r="A1016" i="30"/>
  <c r="A1015" i="30"/>
  <c r="A1014" i="30"/>
  <c r="A1013" i="30"/>
  <c r="A1012" i="30"/>
  <c r="A1011" i="30"/>
  <c r="A1010" i="30"/>
  <c r="A1009" i="30"/>
  <c r="A1008" i="30"/>
  <c r="A1007" i="30"/>
  <c r="A1006" i="30"/>
  <c r="A1005" i="30"/>
  <c r="A1004" i="30"/>
  <c r="A1003" i="30"/>
  <c r="A1002" i="30"/>
  <c r="A1001" i="30"/>
  <c r="A1000" i="30"/>
  <c r="A999" i="30"/>
  <c r="A998" i="30"/>
  <c r="A997" i="30"/>
  <c r="A996" i="30"/>
  <c r="A995" i="30"/>
  <c r="A994" i="30"/>
  <c r="A993" i="30"/>
  <c r="A992" i="30"/>
  <c r="A991" i="30"/>
  <c r="A990" i="30"/>
  <c r="A989" i="30"/>
  <c r="A988" i="30"/>
  <c r="A987" i="30"/>
  <c r="A986" i="30"/>
  <c r="A985" i="30"/>
  <c r="A984" i="30"/>
  <c r="A983" i="30"/>
  <c r="A982" i="30"/>
  <c r="A981" i="30"/>
  <c r="A980" i="30"/>
  <c r="A979" i="30"/>
  <c r="A978" i="30"/>
  <c r="A977" i="30"/>
  <c r="A976" i="30"/>
  <c r="A975" i="30"/>
  <c r="A974" i="30"/>
  <c r="A973" i="30"/>
  <c r="A972" i="30"/>
  <c r="A971" i="30"/>
  <c r="A970" i="30"/>
  <c r="A969" i="30"/>
  <c r="A968" i="30"/>
  <c r="A967" i="30"/>
  <c r="A966" i="30"/>
  <c r="A965" i="30"/>
  <c r="A964" i="30"/>
  <c r="A963" i="30"/>
  <c r="A962" i="30"/>
  <c r="A961" i="30"/>
  <c r="A960" i="30"/>
  <c r="A959" i="30"/>
  <c r="A958" i="30"/>
  <c r="A957" i="30"/>
  <c r="A956" i="30"/>
  <c r="A955" i="30"/>
  <c r="A954" i="30"/>
  <c r="A953" i="30"/>
  <c r="A952" i="30"/>
  <c r="A951" i="30"/>
  <c r="A950" i="30"/>
  <c r="A949" i="30"/>
  <c r="A948" i="30"/>
  <c r="A947" i="30"/>
  <c r="A946" i="30"/>
  <c r="A945" i="30"/>
  <c r="A944" i="30"/>
  <c r="A943" i="30"/>
  <c r="A942" i="30"/>
  <c r="A941" i="30"/>
  <c r="A940" i="30"/>
  <c r="A939" i="30"/>
  <c r="A938" i="30"/>
  <c r="A937" i="30"/>
  <c r="A936" i="30"/>
  <c r="A935" i="30"/>
  <c r="A934" i="30"/>
  <c r="A933" i="30"/>
  <c r="A932" i="30"/>
  <c r="A931" i="30"/>
  <c r="A930" i="30"/>
  <c r="A929" i="30"/>
  <c r="A928" i="30"/>
  <c r="A927" i="30"/>
  <c r="A926" i="30"/>
  <c r="A925" i="30"/>
  <c r="A924" i="30"/>
  <c r="A923" i="30"/>
  <c r="A922" i="30"/>
  <c r="A921" i="30"/>
  <c r="A920" i="30"/>
  <c r="A919" i="30"/>
  <c r="A918" i="30"/>
  <c r="A917" i="30"/>
  <c r="A916" i="30"/>
  <c r="A915" i="30"/>
  <c r="A914" i="30"/>
  <c r="A913" i="30"/>
  <c r="A912" i="30"/>
  <c r="A911" i="30"/>
  <c r="A910" i="30"/>
  <c r="A909" i="30"/>
  <c r="A908" i="30"/>
  <c r="A907" i="30"/>
  <c r="A906" i="30"/>
  <c r="A905" i="30"/>
  <c r="A904" i="30"/>
  <c r="A903" i="30"/>
  <c r="A902" i="30"/>
  <c r="A901" i="30"/>
  <c r="A900" i="30"/>
  <c r="A899" i="30"/>
  <c r="A898" i="30"/>
  <c r="A897" i="30"/>
  <c r="A896" i="30"/>
  <c r="A895" i="30"/>
  <c r="A894" i="30"/>
  <c r="A893" i="30"/>
  <c r="A892" i="30"/>
  <c r="A891" i="30"/>
  <c r="A890" i="30"/>
  <c r="A889" i="30"/>
  <c r="A888" i="30"/>
  <c r="A887" i="30"/>
  <c r="A886" i="30"/>
  <c r="A885" i="30"/>
  <c r="A884" i="30"/>
  <c r="A883" i="30"/>
  <c r="A882" i="30"/>
  <c r="A881" i="30"/>
  <c r="A880" i="30"/>
  <c r="A879" i="30"/>
  <c r="A878" i="30"/>
  <c r="A877" i="30"/>
  <c r="A876" i="30"/>
  <c r="A875" i="30"/>
  <c r="A874" i="30"/>
  <c r="A873" i="30"/>
  <c r="A872" i="30"/>
  <c r="A871" i="30"/>
  <c r="A870" i="30"/>
  <c r="A869" i="30"/>
  <c r="A868" i="30"/>
  <c r="A867" i="30"/>
  <c r="A866" i="30"/>
  <c r="A865" i="30"/>
  <c r="A864" i="30"/>
  <c r="A863" i="30"/>
  <c r="A862" i="30"/>
  <c r="A861" i="30"/>
  <c r="A860" i="30"/>
  <c r="A859" i="30"/>
  <c r="A858" i="30"/>
  <c r="A857" i="30"/>
  <c r="A856" i="30"/>
  <c r="A855" i="30"/>
  <c r="A854" i="30"/>
  <c r="A853" i="30"/>
  <c r="A852" i="30"/>
  <c r="A851" i="30"/>
  <c r="A850" i="30"/>
  <c r="A849" i="30"/>
  <c r="A848" i="30"/>
  <c r="A847" i="30"/>
  <c r="A846" i="30"/>
  <c r="A845" i="30"/>
  <c r="A844" i="30"/>
  <c r="A843" i="30"/>
  <c r="A842" i="30"/>
  <c r="A841" i="30"/>
  <c r="A840" i="30"/>
  <c r="A839" i="30"/>
  <c r="A838" i="30"/>
  <c r="A837" i="30"/>
  <c r="A836" i="30"/>
  <c r="A835" i="30"/>
  <c r="A834" i="30"/>
  <c r="A833" i="30"/>
  <c r="A832" i="30"/>
  <c r="A831" i="30"/>
  <c r="A830" i="30"/>
  <c r="A829" i="30"/>
  <c r="A828" i="30"/>
  <c r="A827" i="30"/>
  <c r="A826" i="30"/>
  <c r="A825" i="30"/>
  <c r="A824" i="30"/>
  <c r="A823" i="30"/>
  <c r="A822" i="30"/>
  <c r="A821" i="30"/>
  <c r="A820" i="30"/>
  <c r="A819" i="30"/>
  <c r="A818" i="30"/>
  <c r="A817" i="30"/>
  <c r="A816" i="30"/>
  <c r="A815" i="30"/>
  <c r="A814" i="30"/>
  <c r="A813" i="30"/>
  <c r="A812" i="30"/>
  <c r="A811" i="30"/>
  <c r="A810" i="30"/>
  <c r="A809" i="30"/>
  <c r="A808" i="30"/>
  <c r="A807" i="30"/>
  <c r="A806" i="30"/>
  <c r="A805" i="30"/>
  <c r="A804" i="30"/>
  <c r="A803" i="30"/>
  <c r="A802" i="30"/>
  <c r="A801" i="30"/>
  <c r="A800" i="30"/>
  <c r="A799" i="30"/>
  <c r="A798" i="30"/>
  <c r="A797" i="30"/>
  <c r="A796" i="30"/>
  <c r="A795" i="30"/>
  <c r="A794" i="30"/>
  <c r="A793" i="30"/>
  <c r="A792" i="30"/>
  <c r="A791" i="30"/>
  <c r="A790" i="30"/>
  <c r="A789" i="30"/>
  <c r="A788" i="30"/>
  <c r="A787" i="30"/>
  <c r="A786" i="30"/>
  <c r="A785" i="30"/>
  <c r="A784" i="30"/>
  <c r="A783" i="30"/>
  <c r="A782" i="30"/>
  <c r="A781" i="30"/>
  <c r="A780" i="30"/>
  <c r="A779" i="30"/>
  <c r="A778" i="30"/>
  <c r="A777" i="30"/>
  <c r="A776" i="30"/>
  <c r="A775" i="30"/>
  <c r="A774" i="30"/>
  <c r="A773" i="30"/>
  <c r="A772" i="30"/>
  <c r="A771" i="30"/>
  <c r="A770" i="30"/>
  <c r="A769" i="30"/>
  <c r="A768" i="30"/>
  <c r="A767" i="30"/>
  <c r="A766" i="30"/>
  <c r="A765" i="30"/>
  <c r="A764" i="30"/>
  <c r="A763" i="30"/>
  <c r="A762" i="30"/>
  <c r="A761" i="30"/>
  <c r="A760" i="30"/>
  <c r="A759" i="30"/>
  <c r="A758" i="30"/>
  <c r="A757" i="30"/>
  <c r="A756" i="30"/>
  <c r="A755" i="30"/>
  <c r="A754" i="30"/>
  <c r="A753" i="30"/>
  <c r="A752" i="30"/>
  <c r="A751" i="30"/>
  <c r="A750" i="30"/>
  <c r="A749" i="30"/>
  <c r="A748" i="30"/>
  <c r="A747" i="30"/>
  <c r="A746" i="30"/>
  <c r="A745" i="30"/>
  <c r="A744" i="30"/>
  <c r="A743" i="30"/>
  <c r="A742" i="30"/>
  <c r="A741" i="30"/>
  <c r="A740" i="30"/>
  <c r="A739" i="30"/>
  <c r="A738" i="30"/>
  <c r="A737" i="30"/>
  <c r="A736" i="30"/>
  <c r="A735" i="30"/>
  <c r="A734" i="30"/>
  <c r="A733" i="30"/>
  <c r="A732" i="30"/>
  <c r="A731" i="30"/>
  <c r="A730" i="30"/>
  <c r="A729" i="30"/>
  <c r="A728" i="30"/>
  <c r="A727" i="30"/>
  <c r="A726" i="30"/>
  <c r="A725" i="30"/>
  <c r="A724" i="30"/>
  <c r="A723" i="30"/>
  <c r="A722" i="30"/>
  <c r="A721" i="30"/>
  <c r="A720" i="30"/>
  <c r="A719" i="30"/>
  <c r="A718" i="30"/>
  <c r="A717" i="30"/>
  <c r="A716" i="30"/>
  <c r="A715" i="30"/>
  <c r="A714" i="30"/>
  <c r="A713" i="30"/>
  <c r="A712" i="30"/>
  <c r="A711" i="30"/>
  <c r="A710" i="30"/>
  <c r="A709" i="30"/>
  <c r="A708" i="30"/>
  <c r="A707" i="30"/>
  <c r="A706" i="30"/>
  <c r="A705" i="30"/>
  <c r="A704" i="30"/>
  <c r="A703" i="30"/>
  <c r="A702" i="30"/>
  <c r="A701" i="30"/>
  <c r="A700" i="30"/>
  <c r="A699" i="30"/>
  <c r="A698" i="30"/>
  <c r="A697" i="30"/>
  <c r="A696" i="30"/>
  <c r="A695" i="30"/>
  <c r="A694" i="30"/>
  <c r="A693" i="30"/>
  <c r="A692" i="30"/>
  <c r="A691" i="30"/>
  <c r="A690" i="30"/>
  <c r="A689" i="30"/>
  <c r="A688" i="30"/>
  <c r="A687" i="30"/>
  <c r="A686" i="30"/>
  <c r="A685" i="30"/>
  <c r="A684" i="30"/>
  <c r="A683" i="30"/>
  <c r="A682" i="30"/>
  <c r="A681" i="30"/>
  <c r="A680" i="30"/>
  <c r="A679" i="30"/>
  <c r="A678" i="30"/>
  <c r="A677" i="30"/>
  <c r="A676" i="30"/>
  <c r="A675" i="30"/>
  <c r="A674" i="30"/>
  <c r="A673" i="30"/>
  <c r="AC235" i="1"/>
  <c r="AC234" i="1"/>
  <c r="AB235" i="1"/>
  <c r="AB234" i="1"/>
  <c r="K10" i="15"/>
  <c r="L10" i="15" s="1"/>
  <c r="K56" i="15"/>
  <c r="L56" i="15" s="1"/>
  <c r="K40" i="15"/>
  <c r="L40" i="15" s="1"/>
  <c r="A1370" i="30"/>
  <c r="A2" i="18"/>
  <c r="AJ3" i="16" a="1"/>
  <c r="AJ3" i="16" s="1"/>
  <c r="A1398" i="30"/>
  <c r="A1397" i="30"/>
  <c r="A1396" i="30"/>
  <c r="A1395" i="30"/>
  <c r="A1394" i="30"/>
  <c r="A1393" i="30"/>
  <c r="A1392" i="30"/>
  <c r="A1391" i="30"/>
  <c r="A1390" i="30"/>
  <c r="A1389" i="30"/>
  <c r="A1388" i="30"/>
  <c r="A1387" i="30"/>
  <c r="A1386" i="30"/>
  <c r="A1385" i="30"/>
  <c r="A1384" i="30"/>
  <c r="A1383" i="30"/>
  <c r="A1382" i="30"/>
  <c r="A1381" i="30"/>
  <c r="A1380" i="30"/>
  <c r="A1379" i="30"/>
  <c r="A1378" i="30"/>
  <c r="A1377" i="30"/>
  <c r="A1376" i="30"/>
  <c r="A1375" i="30"/>
  <c r="A1374" i="30"/>
  <c r="A1373" i="30"/>
  <c r="A1372" i="30"/>
  <c r="A1371" i="30"/>
  <c r="A1369" i="30"/>
  <c r="A1368" i="30"/>
  <c r="A1367" i="30"/>
  <c r="A1366" i="30"/>
  <c r="A1365" i="30"/>
  <c r="A1364" i="30"/>
  <c r="A1363" i="30"/>
  <c r="A1362" i="30"/>
  <c r="A1361" i="30"/>
  <c r="A1360" i="30"/>
  <c r="A1359" i="30"/>
  <c r="A1358" i="30"/>
  <c r="A1357" i="30"/>
  <c r="A1356" i="30"/>
  <c r="A1355" i="30"/>
  <c r="A1354" i="30"/>
  <c r="A1353" i="30"/>
  <c r="A1352" i="30"/>
  <c r="A1351" i="30"/>
  <c r="A1350" i="30"/>
  <c r="A1349" i="30"/>
  <c r="A1348" i="30"/>
  <c r="A1347" i="30"/>
  <c r="A1346" i="30"/>
  <c r="A1345" i="30"/>
  <c r="A1344" i="30"/>
  <c r="A1343" i="30"/>
  <c r="A1342" i="30"/>
  <c r="A1341" i="30"/>
  <c r="A1340" i="30"/>
  <c r="A1339" i="30"/>
  <c r="A1338" i="30"/>
  <c r="A1337" i="30"/>
  <c r="A1336" i="30"/>
  <c r="A1335" i="30"/>
  <c r="A1334" i="30"/>
  <c r="A1333" i="30"/>
  <c r="A1332" i="30"/>
  <c r="A1331" i="30"/>
  <c r="A1330" i="30"/>
  <c r="A1329" i="30"/>
  <c r="A1328" i="30"/>
  <c r="A1327" i="30"/>
  <c r="A1326" i="30"/>
  <c r="A1325" i="30"/>
  <c r="A1324" i="30"/>
  <c r="A1323" i="30"/>
  <c r="A1322" i="30"/>
  <c r="A1321" i="30"/>
  <c r="A1320" i="30"/>
  <c r="A1319" i="30"/>
  <c r="A1318" i="30"/>
  <c r="A1317" i="30"/>
  <c r="A1316" i="30"/>
  <c r="A1315" i="30"/>
  <c r="A1314" i="30"/>
  <c r="A1313" i="30"/>
  <c r="A1312" i="30"/>
  <c r="A1311" i="30"/>
  <c r="A1310" i="30"/>
  <c r="A1309" i="30"/>
  <c r="A1308" i="30"/>
  <c r="A1307" i="30"/>
  <c r="A1306" i="30"/>
  <c r="A1305" i="30"/>
  <c r="A1304" i="30"/>
  <c r="A1303" i="30"/>
  <c r="A1302" i="30"/>
  <c r="A1301" i="30"/>
  <c r="A1300" i="30"/>
  <c r="A1299" i="30"/>
  <c r="A1298" i="30"/>
  <c r="A1297" i="30"/>
  <c r="A1296" i="30"/>
  <c r="A1295" i="30"/>
  <c r="A1294" i="30"/>
  <c r="A1293" i="30"/>
  <c r="A1292" i="30"/>
  <c r="A1291" i="30"/>
  <c r="A1290" i="30"/>
  <c r="A1289" i="30"/>
  <c r="A1288" i="30"/>
  <c r="A1287" i="30"/>
  <c r="A1286" i="30"/>
  <c r="A1285" i="30"/>
  <c r="A1284" i="30"/>
  <c r="A1283" i="30"/>
  <c r="A1282" i="30"/>
  <c r="A1281" i="30"/>
  <c r="A1280" i="30"/>
  <c r="A1279" i="30"/>
  <c r="A1278" i="30"/>
  <c r="A1277" i="30"/>
  <c r="A1276" i="30"/>
  <c r="A1275" i="30"/>
  <c r="A1274" i="30"/>
  <c r="A1273" i="30"/>
  <c r="A1272" i="30"/>
  <c r="A1271" i="30"/>
  <c r="A1270" i="30"/>
  <c r="A1269" i="30"/>
  <c r="A1268" i="30"/>
  <c r="A1267" i="30"/>
  <c r="A1266" i="30"/>
  <c r="A1265" i="30"/>
  <c r="A1264" i="30"/>
  <c r="A1263" i="30"/>
  <c r="A1262" i="30"/>
  <c r="A1261" i="30"/>
  <c r="A1260" i="30"/>
  <c r="A1259" i="30"/>
  <c r="A1258" i="30"/>
  <c r="A1257" i="30"/>
  <c r="A1256" i="30"/>
  <c r="A1255" i="30"/>
  <c r="A1254" i="30"/>
  <c r="A1253" i="30"/>
  <c r="A1252" i="30"/>
  <c r="A1251" i="30"/>
  <c r="A1250" i="30"/>
  <c r="A1249" i="30"/>
  <c r="A1248" i="30"/>
  <c r="A1247" i="30"/>
  <c r="A1246" i="30"/>
  <c r="A1245" i="30"/>
  <c r="A1244" i="30"/>
  <c r="A1243" i="30"/>
  <c r="A1242" i="30"/>
  <c r="A1241" i="30"/>
  <c r="A1240" i="30"/>
  <c r="A1239" i="30"/>
  <c r="A1238" i="30"/>
  <c r="A1237" i="30"/>
  <c r="A1236" i="30"/>
  <c r="A1235" i="30"/>
  <c r="A1234" i="30"/>
  <c r="A1233" i="30"/>
  <c r="A1232" i="30"/>
  <c r="A1231" i="30"/>
  <c r="A1230" i="30"/>
  <c r="A1229" i="30"/>
  <c r="A1228" i="30"/>
  <c r="A1227" i="30"/>
  <c r="A1226" i="30"/>
  <c r="A1225" i="30"/>
  <c r="A1224" i="30"/>
  <c r="A1223" i="30"/>
  <c r="A1222" i="30"/>
  <c r="A1221" i="30"/>
  <c r="A1220" i="30"/>
  <c r="A1219" i="30"/>
  <c r="A1218" i="30"/>
  <c r="A1217" i="30"/>
  <c r="A1216" i="30"/>
  <c r="A1215" i="30"/>
  <c r="A1214" i="30"/>
  <c r="A1213" i="30"/>
  <c r="A1212" i="30"/>
  <c r="A1211" i="30"/>
  <c r="A1210" i="30"/>
  <c r="A1209" i="30"/>
  <c r="A1208" i="30"/>
  <c r="A1207" i="30"/>
  <c r="A1206" i="30"/>
  <c r="A1205" i="30"/>
  <c r="A1204" i="30"/>
  <c r="A1203" i="30"/>
  <c r="A1202" i="30"/>
  <c r="A1201" i="30"/>
  <c r="A1200" i="30"/>
  <c r="A1199" i="30"/>
  <c r="A1198" i="30"/>
  <c r="A1197" i="30"/>
  <c r="A1196" i="30"/>
  <c r="A1195" i="30"/>
  <c r="A1194" i="30"/>
  <c r="A1193" i="30"/>
  <c r="A1192" i="30"/>
  <c r="A1191" i="30"/>
  <c r="A1190" i="30"/>
  <c r="A1189" i="30"/>
  <c r="A1188" i="30"/>
  <c r="A1187" i="30"/>
  <c r="A1186" i="30"/>
  <c r="A1185" i="30"/>
  <c r="A1184" i="30"/>
  <c r="A1183" i="30"/>
  <c r="A1182" i="30"/>
  <c r="A1181" i="30"/>
  <c r="A1180" i="30"/>
  <c r="A1179" i="30"/>
  <c r="A1178" i="30"/>
  <c r="A1177" i="30"/>
  <c r="A1176" i="30"/>
  <c r="A1175" i="30"/>
  <c r="A1174" i="30"/>
  <c r="A1173" i="30"/>
  <c r="A1172" i="30"/>
  <c r="A1171" i="30"/>
  <c r="A1170" i="30"/>
  <c r="A1169" i="30"/>
  <c r="A1168" i="30"/>
  <c r="A1167" i="30"/>
  <c r="A1166" i="30"/>
  <c r="A1165" i="30"/>
  <c r="A1164" i="30"/>
  <c r="A1163" i="30"/>
  <c r="A1162" i="30"/>
  <c r="A1161" i="30"/>
  <c r="A1160" i="30"/>
  <c r="A1159" i="30"/>
  <c r="A1158" i="30"/>
  <c r="A1157" i="30"/>
  <c r="A1156" i="30"/>
  <c r="A1155" i="30"/>
  <c r="A1154" i="30"/>
  <c r="A1153" i="30"/>
  <c r="A1152" i="30"/>
  <c r="A1151" i="30"/>
  <c r="A1150" i="30"/>
  <c r="A1149" i="30"/>
  <c r="A1148" i="30"/>
  <c r="A1147" i="30"/>
  <c r="A1146" i="30"/>
  <c r="A1145" i="30"/>
  <c r="A1144" i="30"/>
  <c r="A1143" i="30"/>
  <c r="A1142" i="30"/>
  <c r="A1141" i="30"/>
  <c r="A1140" i="30"/>
  <c r="A1139" i="30"/>
  <c r="A1138" i="30"/>
  <c r="A1137" i="30"/>
  <c r="A1136" i="30"/>
  <c r="A1135" i="30"/>
  <c r="A1134" i="30"/>
  <c r="A1133" i="30"/>
  <c r="A1132" i="30"/>
  <c r="A1131" i="30"/>
  <c r="A1130" i="30"/>
  <c r="A1129" i="30"/>
  <c r="A1128" i="30"/>
  <c r="A1127" i="30"/>
  <c r="A1126" i="30"/>
  <c r="A1125" i="30"/>
  <c r="A1124" i="30"/>
  <c r="A1123" i="30"/>
  <c r="A1122" i="30"/>
  <c r="A1121" i="30"/>
  <c r="A1120" i="30"/>
  <c r="A1119" i="30"/>
  <c r="A1118" i="30"/>
  <c r="A1117" i="30"/>
  <c r="A1116" i="30"/>
  <c r="A1115" i="30"/>
  <c r="A1114" i="30"/>
  <c r="A1113" i="30"/>
  <c r="A1112" i="30"/>
  <c r="A1111" i="30"/>
  <c r="A1110" i="30"/>
  <c r="A1109" i="30"/>
  <c r="A1108" i="30"/>
  <c r="A1107" i="30"/>
  <c r="A1106" i="30"/>
  <c r="A1105" i="30"/>
  <c r="A1104" i="30"/>
  <c r="A1103" i="30"/>
  <c r="A1102" i="30"/>
  <c r="A1101" i="30"/>
  <c r="A1100" i="30"/>
  <c r="A1099" i="30"/>
  <c r="A1098" i="30"/>
  <c r="A1097" i="30"/>
  <c r="A1096" i="30"/>
  <c r="A1095" i="30"/>
  <c r="A1094" i="30"/>
  <c r="A1093" i="30"/>
  <c r="A1092" i="30"/>
  <c r="A1091" i="30"/>
  <c r="A1090" i="30"/>
  <c r="A1089" i="30"/>
  <c r="A1088" i="30"/>
  <c r="A1087" i="30"/>
  <c r="A1086" i="30"/>
  <c r="A1085" i="30"/>
  <c r="A1084" i="30"/>
  <c r="A1083" i="30"/>
  <c r="A1082" i="30"/>
  <c r="A1081" i="30"/>
  <c r="A1080" i="30"/>
  <c r="A1079" i="30"/>
  <c r="A1078" i="30"/>
  <c r="A1077" i="30"/>
  <c r="A1076" i="30"/>
  <c r="A1075" i="30"/>
  <c r="A1074" i="30"/>
  <c r="A1073" i="30"/>
  <c r="A1072" i="30"/>
  <c r="A1071" i="30"/>
  <c r="A1070" i="30"/>
  <c r="A1069" i="30"/>
  <c r="A1068" i="30"/>
  <c r="A1067" i="30"/>
  <c r="A1066" i="30"/>
  <c r="A1065" i="30"/>
  <c r="A1064" i="30"/>
  <c r="A1063" i="30"/>
  <c r="A1062" i="30"/>
  <c r="A1061" i="30"/>
  <c r="A1060" i="30"/>
  <c r="A1059" i="30"/>
  <c r="A1058" i="30"/>
  <c r="A1057" i="30"/>
  <c r="A1056" i="30"/>
  <c r="A1055" i="30"/>
  <c r="A1054" i="30"/>
  <c r="A1053" i="30"/>
  <c r="A1052" i="30"/>
  <c r="A1051" i="30"/>
  <c r="A1050" i="30"/>
  <c r="A1049" i="30"/>
  <c r="A1048" i="30"/>
  <c r="A1047" i="30"/>
  <c r="A1046" i="30"/>
  <c r="A1045" i="30"/>
  <c r="A1044" i="30"/>
  <c r="A1043" i="30"/>
  <c r="A1042" i="30"/>
  <c r="A1041" i="30"/>
  <c r="A1040" i="30"/>
  <c r="A1039" i="30"/>
  <c r="D6" i="29"/>
  <c r="D18" i="29"/>
  <c r="D17" i="29"/>
  <c r="K6" i="15"/>
  <c r="L6" i="15" s="1"/>
  <c r="K55" i="15"/>
  <c r="L55" i="15" s="1"/>
  <c r="A2895" i="30"/>
  <c r="A2894" i="30"/>
  <c r="A2893" i="30"/>
  <c r="A2892" i="30"/>
  <c r="A2891" i="30"/>
  <c r="A2890" i="30"/>
  <c r="A2889" i="30"/>
  <c r="A2888" i="30"/>
  <c r="A2887" i="30"/>
  <c r="A2886" i="30"/>
  <c r="A2885" i="30"/>
  <c r="A2884" i="30"/>
  <c r="A2883" i="30"/>
  <c r="A2882" i="30"/>
  <c r="A2881" i="30"/>
  <c r="A2880" i="30"/>
  <c r="A2879" i="30"/>
  <c r="A2878" i="30"/>
  <c r="A2877" i="30"/>
  <c r="A2876" i="30"/>
  <c r="A2875" i="30"/>
  <c r="A2874" i="30"/>
  <c r="A2873" i="30"/>
  <c r="A2872" i="30"/>
  <c r="A2871" i="30"/>
  <c r="A2870" i="30"/>
  <c r="A2869" i="30"/>
  <c r="A2868" i="30"/>
  <c r="A2867" i="30"/>
  <c r="A2866" i="30"/>
  <c r="A2865" i="30"/>
  <c r="A2864" i="30"/>
  <c r="A2863" i="30"/>
  <c r="A2862" i="30"/>
  <c r="A2861" i="30"/>
  <c r="A2860" i="30"/>
  <c r="A2859" i="30"/>
  <c r="A2858" i="30"/>
  <c r="A2857" i="30"/>
  <c r="A2856" i="30"/>
  <c r="A2855" i="30"/>
  <c r="A2854" i="30"/>
  <c r="A2853" i="30"/>
  <c r="A2852" i="30"/>
  <c r="A2851" i="30"/>
  <c r="A2850" i="30"/>
  <c r="A2849" i="30"/>
  <c r="A2848" i="30"/>
  <c r="A2847" i="30"/>
  <c r="A2846" i="30"/>
  <c r="A2845" i="30"/>
  <c r="A2844" i="30"/>
  <c r="A2843" i="30"/>
  <c r="A2842" i="30"/>
  <c r="A2841" i="30"/>
  <c r="A2840" i="30"/>
  <c r="A2839" i="30"/>
  <c r="A2838" i="30"/>
  <c r="A2837" i="30"/>
  <c r="A2836" i="30"/>
  <c r="A2835" i="30"/>
  <c r="A2834" i="30"/>
  <c r="A2833" i="30"/>
  <c r="A2832" i="30"/>
  <c r="A2831" i="30"/>
  <c r="A2830" i="30"/>
  <c r="A2829" i="30"/>
  <c r="A2828" i="30"/>
  <c r="A2827" i="30"/>
  <c r="A2826" i="30"/>
  <c r="A2825" i="30"/>
  <c r="A2824" i="30"/>
  <c r="A2823" i="30"/>
  <c r="A2822" i="30"/>
  <c r="A2821" i="30"/>
  <c r="A2820" i="30"/>
  <c r="A2819" i="30"/>
  <c r="A2818" i="30"/>
  <c r="A2817" i="30"/>
  <c r="A2816" i="30"/>
  <c r="A2815" i="30"/>
  <c r="A2814" i="30"/>
  <c r="A2813" i="30"/>
  <c r="A2812" i="30"/>
  <c r="A2811" i="30"/>
  <c r="A2810" i="30"/>
  <c r="A2809" i="30"/>
  <c r="A2808" i="30"/>
  <c r="A2807" i="30"/>
  <c r="A2806" i="30"/>
  <c r="A2805" i="30"/>
  <c r="A2804" i="30"/>
  <c r="A2803" i="30"/>
  <c r="A2802" i="30"/>
  <c r="A2801" i="30"/>
  <c r="A2800" i="30"/>
  <c r="A2799" i="30"/>
  <c r="A2798" i="30"/>
  <c r="A2797" i="30"/>
  <c r="A2796" i="30"/>
  <c r="A2795" i="30"/>
  <c r="A2794" i="30"/>
  <c r="A2793" i="30"/>
  <c r="A2792" i="30"/>
  <c r="A2791" i="30"/>
  <c r="A2790" i="30"/>
  <c r="A2789" i="30"/>
  <c r="A2788" i="30"/>
  <c r="A2787" i="30"/>
  <c r="A2786" i="30"/>
  <c r="A2785" i="30"/>
  <c r="A2784" i="30"/>
  <c r="A2783" i="30"/>
  <c r="A2782" i="30"/>
  <c r="A2781" i="30"/>
  <c r="A2780" i="30"/>
  <c r="A2779" i="30"/>
  <c r="A2778" i="30"/>
  <c r="A2777" i="30"/>
  <c r="A2776" i="30"/>
  <c r="A2775" i="30"/>
  <c r="A2774" i="30"/>
  <c r="A2773" i="30"/>
  <c r="A2772" i="30"/>
  <c r="A2771" i="30"/>
  <c r="A2770" i="30"/>
  <c r="A2769" i="30"/>
  <c r="A2768" i="30"/>
  <c r="A2767" i="30"/>
  <c r="A2766" i="30"/>
  <c r="A2765" i="30"/>
  <c r="A2764" i="30"/>
  <c r="A2763" i="30"/>
  <c r="A2762" i="30"/>
  <c r="A2761" i="30"/>
  <c r="A2760" i="30"/>
  <c r="A2759" i="30"/>
  <c r="A2758" i="30"/>
  <c r="A2757" i="30"/>
  <c r="A2756" i="30"/>
  <c r="A2755" i="30"/>
  <c r="A2754" i="30"/>
  <c r="A2753" i="30"/>
  <c r="A2752" i="30"/>
  <c r="A2751" i="30"/>
  <c r="A2750" i="30"/>
  <c r="A2749" i="30"/>
  <c r="A2748" i="30"/>
  <c r="A2747" i="30"/>
  <c r="A2746" i="30"/>
  <c r="A2745" i="30"/>
  <c r="A2744" i="30"/>
  <c r="A2743" i="30"/>
  <c r="A2742" i="30"/>
  <c r="A2741" i="30"/>
  <c r="A2740" i="30"/>
  <c r="A2739" i="30"/>
  <c r="A2738" i="30"/>
  <c r="A2737" i="30"/>
  <c r="A2736" i="30"/>
  <c r="A2735" i="30"/>
  <c r="A2734" i="30"/>
  <c r="A2733" i="30"/>
  <c r="A2732" i="30"/>
  <c r="A2731" i="30"/>
  <c r="A2730" i="30"/>
  <c r="A2729" i="30"/>
  <c r="A2728" i="30"/>
  <c r="A2727" i="30"/>
  <c r="A2726" i="30"/>
  <c r="A2725" i="30"/>
  <c r="A2724" i="30"/>
  <c r="A2723" i="30"/>
  <c r="A2722" i="30"/>
  <c r="A2721" i="30"/>
  <c r="A2720" i="30"/>
  <c r="A2719" i="30"/>
  <c r="A2718" i="30"/>
  <c r="A2717" i="30"/>
  <c r="A2716" i="30"/>
  <c r="A2715" i="30"/>
  <c r="A2714" i="30"/>
  <c r="A2713" i="30"/>
  <c r="A2712" i="30"/>
  <c r="A2711" i="30"/>
  <c r="A2710" i="30"/>
  <c r="A2709" i="30"/>
  <c r="A2708" i="30"/>
  <c r="A2707" i="30"/>
  <c r="A2706" i="30"/>
  <c r="A2705" i="30"/>
  <c r="A2704" i="30"/>
  <c r="A2703" i="30"/>
  <c r="A2702" i="30"/>
  <c r="A2701" i="30"/>
  <c r="A2700" i="30"/>
  <c r="A2699" i="30"/>
  <c r="A2698" i="30"/>
  <c r="A2697" i="30"/>
  <c r="A2696" i="30"/>
  <c r="A2695" i="30"/>
  <c r="A2694" i="30"/>
  <c r="A2693" i="30"/>
  <c r="A2692" i="30"/>
  <c r="A2691" i="30"/>
  <c r="A2690" i="30"/>
  <c r="A2689" i="30"/>
  <c r="A2688" i="30"/>
  <c r="A2687" i="30"/>
  <c r="A2686" i="30"/>
  <c r="A2685" i="30"/>
  <c r="A2684" i="30"/>
  <c r="A2683" i="30"/>
  <c r="A2682" i="30"/>
  <c r="A2681" i="30"/>
  <c r="A2680" i="30"/>
  <c r="A2679" i="30"/>
  <c r="A2678" i="30"/>
  <c r="A2677" i="30"/>
  <c r="A2676" i="30"/>
  <c r="A2675" i="30"/>
  <c r="A2674" i="30"/>
  <c r="A2673" i="30"/>
  <c r="A2672" i="30"/>
  <c r="A2671" i="30"/>
  <c r="A2670" i="30"/>
  <c r="A2669" i="30"/>
  <c r="A2668" i="30"/>
  <c r="A2667" i="30"/>
  <c r="A2666" i="30"/>
  <c r="A2665" i="30"/>
  <c r="A2664" i="30"/>
  <c r="A2663" i="30"/>
  <c r="A2662" i="30"/>
  <c r="A2661" i="30"/>
  <c r="A2660" i="30"/>
  <c r="A2659" i="30"/>
  <c r="A2658" i="30"/>
  <c r="A2657" i="30"/>
  <c r="A2656" i="30"/>
  <c r="A2655" i="30"/>
  <c r="A2654" i="30"/>
  <c r="A2653" i="30"/>
  <c r="A2652" i="30"/>
  <c r="A2651" i="30"/>
  <c r="A2650" i="30"/>
  <c r="A2649" i="30"/>
  <c r="A2648" i="30"/>
  <c r="A2647" i="30"/>
  <c r="A2646" i="30"/>
  <c r="A2645" i="30"/>
  <c r="A2644" i="30"/>
  <c r="A2643" i="30"/>
  <c r="A2642" i="30"/>
  <c r="A2641" i="30"/>
  <c r="A2640" i="30"/>
  <c r="A2639" i="30"/>
  <c r="A2638" i="30"/>
  <c r="A2637" i="30"/>
  <c r="A2636" i="30"/>
  <c r="A2635" i="30"/>
  <c r="A2634" i="30"/>
  <c r="A2633" i="30"/>
  <c r="A2632" i="30"/>
  <c r="A2631" i="30"/>
  <c r="A2630" i="30"/>
  <c r="A2629" i="30"/>
  <c r="A2628" i="30"/>
  <c r="A2627" i="30"/>
  <c r="A2626" i="30"/>
  <c r="A2625" i="30"/>
  <c r="A2624" i="30"/>
  <c r="A2623" i="30"/>
  <c r="A2622" i="30"/>
  <c r="A2621" i="30"/>
  <c r="A2620" i="30"/>
  <c r="A2619" i="30"/>
  <c r="A2618" i="30"/>
  <c r="A2617" i="30"/>
  <c r="A2616" i="30"/>
  <c r="A2615" i="30"/>
  <c r="A2614" i="30"/>
  <c r="A2613" i="30"/>
  <c r="A2612" i="30"/>
  <c r="A2611" i="30"/>
  <c r="A2610" i="30"/>
  <c r="A2609" i="30"/>
  <c r="A2608" i="30"/>
  <c r="A2607" i="30"/>
  <c r="A2606" i="30"/>
  <c r="A2605" i="30"/>
  <c r="A2604" i="30"/>
  <c r="A2603" i="30"/>
  <c r="A2602" i="30"/>
  <c r="A2601" i="30"/>
  <c r="A2600" i="30"/>
  <c r="A2599" i="30"/>
  <c r="A2598" i="30"/>
  <c r="A2597" i="30"/>
  <c r="A2596" i="30"/>
  <c r="A2595" i="30"/>
  <c r="A2594" i="30"/>
  <c r="A2593" i="30"/>
  <c r="A2592" i="30"/>
  <c r="A2591" i="30"/>
  <c r="A2590" i="30"/>
  <c r="A2589" i="30"/>
  <c r="A2588" i="30"/>
  <c r="A2587" i="30"/>
  <c r="A2586" i="30"/>
  <c r="A2585" i="30"/>
  <c r="A2584" i="30"/>
  <c r="A2583" i="30"/>
  <c r="A2582" i="30"/>
  <c r="A2581" i="30"/>
  <c r="A2580" i="30"/>
  <c r="A2579" i="30"/>
  <c r="A2578" i="30"/>
  <c r="A2577" i="30"/>
  <c r="A2576" i="30"/>
  <c r="A2575" i="30"/>
  <c r="A2574" i="30"/>
  <c r="A2573" i="30"/>
  <c r="A2572" i="30"/>
  <c r="A2571" i="30"/>
  <c r="A2570" i="30"/>
  <c r="A2569" i="30"/>
  <c r="A2568" i="30"/>
  <c r="A2567" i="30"/>
  <c r="A2566" i="30"/>
  <c r="A2565" i="30"/>
  <c r="A2564" i="30"/>
  <c r="A2563" i="30"/>
  <c r="A2562" i="30"/>
  <c r="A2561" i="30"/>
  <c r="A2560" i="30"/>
  <c r="A2559" i="30"/>
  <c r="A2558" i="30"/>
  <c r="A2557" i="30"/>
  <c r="A2556" i="30"/>
  <c r="A2555" i="30"/>
  <c r="A2554" i="30"/>
  <c r="A2553" i="30"/>
  <c r="A2552" i="30"/>
  <c r="A2551" i="30"/>
  <c r="A2550" i="30"/>
  <c r="A2549" i="30"/>
  <c r="A2548" i="30"/>
  <c r="A2547" i="30"/>
  <c r="A2546" i="30"/>
  <c r="A2545" i="30"/>
  <c r="A2544" i="30"/>
  <c r="A2543" i="30"/>
  <c r="A2542" i="30"/>
  <c r="A2541" i="30"/>
  <c r="A2540" i="30"/>
  <c r="A2539" i="30"/>
  <c r="A2538" i="30"/>
  <c r="A2537" i="30"/>
  <c r="A2536" i="30"/>
  <c r="A2535" i="30"/>
  <c r="A2534" i="30"/>
  <c r="A2533" i="30"/>
  <c r="A2532" i="30"/>
  <c r="A2531" i="30"/>
  <c r="A2530" i="30"/>
  <c r="A2529" i="30"/>
  <c r="A2528" i="30"/>
  <c r="A2527" i="30"/>
  <c r="A2526" i="30"/>
  <c r="A2525" i="30"/>
  <c r="A2524" i="30"/>
  <c r="A2523" i="30"/>
  <c r="A2522" i="30"/>
  <c r="A2521" i="30"/>
  <c r="A2520" i="30"/>
  <c r="A2519" i="30"/>
  <c r="A2518" i="30"/>
  <c r="A2517" i="30"/>
  <c r="A2516" i="30"/>
  <c r="A2515" i="30"/>
  <c r="A2514" i="30"/>
  <c r="A2513" i="30"/>
  <c r="A2512" i="30"/>
  <c r="A2511" i="30"/>
  <c r="A2510" i="30"/>
  <c r="A2509" i="30"/>
  <c r="A2508" i="30"/>
  <c r="A2507" i="30"/>
  <c r="A2506" i="30"/>
  <c r="A2505" i="30"/>
  <c r="A2504" i="30"/>
  <c r="A2503" i="30"/>
  <c r="A2502" i="30"/>
  <c r="A2501" i="30"/>
  <c r="A2500" i="30"/>
  <c r="A2499" i="30"/>
  <c r="A2498" i="30"/>
  <c r="A2497" i="30"/>
  <c r="A2496" i="30"/>
  <c r="A2495" i="30"/>
  <c r="A2494" i="30"/>
  <c r="A2493" i="30"/>
  <c r="A2492" i="30"/>
  <c r="A2491" i="30"/>
  <c r="A2490" i="30"/>
  <c r="A2489" i="30"/>
  <c r="A2488" i="30"/>
  <c r="A2487" i="30"/>
  <c r="A2486" i="30"/>
  <c r="A2485" i="30"/>
  <c r="A2484" i="30"/>
  <c r="A2483" i="30"/>
  <c r="A2482" i="30"/>
  <c r="A2481" i="30"/>
  <c r="A2480" i="30"/>
  <c r="A2479" i="30"/>
  <c r="A2478" i="30"/>
  <c r="A2477" i="30"/>
  <c r="A2476" i="30"/>
  <c r="A2475" i="30"/>
  <c r="A2474" i="30"/>
  <c r="A2473" i="30"/>
  <c r="A2472" i="30"/>
  <c r="A2471" i="30"/>
  <c r="A2470" i="30"/>
  <c r="A2469" i="30"/>
  <c r="A2468" i="30"/>
  <c r="A2467" i="30"/>
  <c r="A2466" i="30"/>
  <c r="A2465" i="30"/>
  <c r="A2464" i="30"/>
  <c r="A2463" i="30"/>
  <c r="A2462" i="30"/>
  <c r="A2461" i="30"/>
  <c r="A2460" i="30"/>
  <c r="A2459" i="30"/>
  <c r="A2458" i="30"/>
  <c r="A2457" i="30"/>
  <c r="A2456" i="30"/>
  <c r="A2455" i="30"/>
  <c r="A2454" i="30"/>
  <c r="A2453" i="30"/>
  <c r="A2452" i="30"/>
  <c r="A2451" i="30"/>
  <c r="A2450" i="30"/>
  <c r="A2449" i="30"/>
  <c r="A2448" i="30"/>
  <c r="A2447" i="30"/>
  <c r="A2446" i="30"/>
  <c r="A2445" i="30"/>
  <c r="A2444" i="30"/>
  <c r="A2443" i="30"/>
  <c r="A2442" i="30"/>
  <c r="A2441" i="30"/>
  <c r="A2440" i="30"/>
  <c r="A2439" i="30"/>
  <c r="A2438" i="30"/>
  <c r="A2437" i="30"/>
  <c r="A2436" i="30"/>
  <c r="A2435" i="30"/>
  <c r="A2434" i="30"/>
  <c r="A2433" i="30"/>
  <c r="A2432" i="30"/>
  <c r="A2431" i="30"/>
  <c r="A2430" i="30"/>
  <c r="A2429" i="30"/>
  <c r="A2428" i="30"/>
  <c r="A2427" i="30"/>
  <c r="A2426" i="30"/>
  <c r="A2425" i="30"/>
  <c r="A2424" i="30"/>
  <c r="A2423" i="30"/>
  <c r="A2422" i="30"/>
  <c r="A2421" i="30"/>
  <c r="A2420" i="30"/>
  <c r="A2419" i="30"/>
  <c r="A2418" i="30"/>
  <c r="A2417" i="30"/>
  <c r="A2416" i="30"/>
  <c r="A2415" i="30"/>
  <c r="A2414" i="30"/>
  <c r="A2413" i="30"/>
  <c r="A2412" i="30"/>
  <c r="A2411" i="30"/>
  <c r="A2410" i="30"/>
  <c r="A2409" i="30"/>
  <c r="A2408" i="30"/>
  <c r="A2407" i="30"/>
  <c r="A2406" i="30"/>
  <c r="A2405" i="30"/>
  <c r="A2404" i="30"/>
  <c r="A2403" i="30"/>
  <c r="A2402" i="30"/>
  <c r="A2401" i="30"/>
  <c r="A2400" i="30"/>
  <c r="A2399" i="30"/>
  <c r="A2398" i="30"/>
  <c r="A2397" i="30"/>
  <c r="A2396" i="30"/>
  <c r="A2395" i="30"/>
  <c r="A2394" i="30"/>
  <c r="A2393" i="30"/>
  <c r="A2392" i="30"/>
  <c r="A2391" i="30"/>
  <c r="A2390" i="30"/>
  <c r="A2389" i="30"/>
  <c r="A2388" i="30"/>
  <c r="A2387" i="30"/>
  <c r="A2386" i="30"/>
  <c r="A2385" i="30"/>
  <c r="A2384" i="30"/>
  <c r="A2383" i="30"/>
  <c r="A2382" i="30"/>
  <c r="A2381" i="30"/>
  <c r="A2380" i="30"/>
  <c r="A2379" i="30"/>
  <c r="A2378" i="30"/>
  <c r="A2377" i="30"/>
  <c r="A2376" i="30"/>
  <c r="A2375" i="30"/>
  <c r="A2374" i="30"/>
  <c r="A2373" i="30"/>
  <c r="A2372" i="30"/>
  <c r="A2371" i="30"/>
  <c r="A2370" i="30"/>
  <c r="A2369" i="30"/>
  <c r="A2368" i="30"/>
  <c r="A2367" i="30"/>
  <c r="A2366" i="30"/>
  <c r="A2365" i="30"/>
  <c r="A2364" i="30"/>
  <c r="A2363" i="30"/>
  <c r="A2362" i="30"/>
  <c r="A2361" i="30"/>
  <c r="A2360" i="30"/>
  <c r="A2359" i="30"/>
  <c r="A2358" i="30"/>
  <c r="A2357" i="30"/>
  <c r="A2356" i="30"/>
  <c r="A2355" i="30"/>
  <c r="A2354" i="30"/>
  <c r="A2353" i="30"/>
  <c r="A2352" i="30"/>
  <c r="A2351" i="30"/>
  <c r="A2350" i="30"/>
  <c r="A2349" i="30"/>
  <c r="A2348" i="30"/>
  <c r="A2347" i="30"/>
  <c r="A2346" i="30"/>
  <c r="A2345" i="30"/>
  <c r="A2344" i="30"/>
  <c r="A2343" i="30"/>
  <c r="A2342" i="30"/>
  <c r="A2341" i="30"/>
  <c r="A2340" i="30"/>
  <c r="A2339" i="30"/>
  <c r="A2338" i="30"/>
  <c r="A2337" i="30"/>
  <c r="A2336" i="30"/>
  <c r="A2335" i="30"/>
  <c r="A2334" i="30"/>
  <c r="A2333" i="30"/>
  <c r="A2332" i="30"/>
  <c r="A2331" i="30"/>
  <c r="A2330" i="30"/>
  <c r="A2329" i="30"/>
  <c r="A2328" i="30"/>
  <c r="A2327" i="30"/>
  <c r="A2326" i="30"/>
  <c r="A2325" i="30"/>
  <c r="A2324" i="30"/>
  <c r="A2323" i="30"/>
  <c r="A2322" i="30"/>
  <c r="A2321" i="30"/>
  <c r="A2320" i="30"/>
  <c r="A2319" i="30"/>
  <c r="A2318" i="30"/>
  <c r="A2317" i="30"/>
  <c r="A2316" i="30"/>
  <c r="A2315" i="30"/>
  <c r="A2314" i="30"/>
  <c r="A2313" i="30"/>
  <c r="A2312" i="30"/>
  <c r="A2311" i="30"/>
  <c r="A2310" i="30"/>
  <c r="A2309" i="30"/>
  <c r="A2308" i="30"/>
  <c r="A2307" i="30"/>
  <c r="A2306" i="30"/>
  <c r="A2305" i="30"/>
  <c r="A2304" i="30"/>
  <c r="A2303" i="30"/>
  <c r="A2302" i="30"/>
  <c r="A2301" i="30"/>
  <c r="A2300" i="30"/>
  <c r="A2299" i="30"/>
  <c r="A2298" i="30"/>
  <c r="A2297" i="30"/>
  <c r="A2296" i="30"/>
  <c r="A2295" i="30"/>
  <c r="A2294" i="30"/>
  <c r="A2293" i="30"/>
  <c r="A2292" i="30"/>
  <c r="A2291" i="30"/>
  <c r="A2290" i="30"/>
  <c r="A2289" i="30"/>
  <c r="A2288" i="30"/>
  <c r="A2287" i="30"/>
  <c r="A2286" i="30"/>
  <c r="A2285" i="30"/>
  <c r="A2284" i="30"/>
  <c r="A2283" i="30"/>
  <c r="A2282" i="30"/>
  <c r="A2281" i="30"/>
  <c r="A2280" i="30"/>
  <c r="A2279" i="30"/>
  <c r="A2278" i="30"/>
  <c r="A2277" i="30"/>
  <c r="A2276" i="30"/>
  <c r="A2275" i="30"/>
  <c r="A2274" i="30"/>
  <c r="A2273" i="30"/>
  <c r="A2272" i="30"/>
  <c r="A2271" i="30"/>
  <c r="A2270" i="30"/>
  <c r="A2269" i="30"/>
  <c r="A2268" i="30"/>
  <c r="A2267" i="30"/>
  <c r="A2266" i="30"/>
  <c r="A2265" i="30"/>
  <c r="A2264" i="30"/>
  <c r="A2263" i="30"/>
  <c r="A2262" i="30"/>
  <c r="A2261" i="30"/>
  <c r="A2260" i="30"/>
  <c r="A2259" i="30"/>
  <c r="A2258" i="30"/>
  <c r="A2257" i="30"/>
  <c r="A2256" i="30"/>
  <c r="A2255" i="30"/>
  <c r="A2254" i="30"/>
  <c r="A2253" i="30"/>
  <c r="A2252" i="30"/>
  <c r="A2251" i="30"/>
  <c r="A2250" i="30"/>
  <c r="A2249" i="30"/>
  <c r="A2248" i="30"/>
  <c r="A2247" i="30"/>
  <c r="A2246" i="30"/>
  <c r="A2245" i="30"/>
  <c r="A2244" i="30"/>
  <c r="A2243" i="30"/>
  <c r="A2242" i="30"/>
  <c r="A2241" i="30"/>
  <c r="A2240" i="30"/>
  <c r="A2239" i="30"/>
  <c r="A2238" i="30"/>
  <c r="A2237" i="30"/>
  <c r="A2236" i="30"/>
  <c r="A2235" i="30"/>
  <c r="A2234" i="30"/>
  <c r="A2233" i="30"/>
  <c r="A2232" i="30"/>
  <c r="A2231" i="30"/>
  <c r="A2230" i="30"/>
  <c r="A2229" i="30"/>
  <c r="A2228" i="30"/>
  <c r="A2227" i="30"/>
  <c r="A2226" i="30"/>
  <c r="A2225" i="30"/>
  <c r="A2224" i="30"/>
  <c r="A2223" i="30"/>
  <c r="A2222" i="30"/>
  <c r="A2221" i="30"/>
  <c r="A2220" i="30"/>
  <c r="A2219" i="30"/>
  <c r="A2218" i="30"/>
  <c r="A2217" i="30"/>
  <c r="A2216" i="30"/>
  <c r="A2215" i="30"/>
  <c r="A2214" i="30"/>
  <c r="A2213" i="30"/>
  <c r="A2212" i="30"/>
  <c r="A2211" i="30"/>
  <c r="A2210" i="30"/>
  <c r="A2209" i="30"/>
  <c r="A2208" i="30"/>
  <c r="A2207" i="30"/>
  <c r="A2206" i="30"/>
  <c r="A2205" i="30"/>
  <c r="A2204" i="30"/>
  <c r="A2203" i="30"/>
  <c r="A2202" i="30"/>
  <c r="A2201" i="30"/>
  <c r="A2200" i="30"/>
  <c r="A2199" i="30"/>
  <c r="A2198" i="30"/>
  <c r="A2197" i="30"/>
  <c r="A2196" i="30"/>
  <c r="A2195" i="30"/>
  <c r="A2194" i="30"/>
  <c r="A2193" i="30"/>
  <c r="A2192" i="30"/>
  <c r="A2191" i="30"/>
  <c r="A2190" i="30"/>
  <c r="A2189" i="30"/>
  <c r="A2188" i="30"/>
  <c r="A2187" i="30"/>
  <c r="A2186" i="30"/>
  <c r="A2185" i="30"/>
  <c r="A2184" i="30"/>
  <c r="A2183" i="30"/>
  <c r="A2182" i="30"/>
  <c r="A2181" i="30"/>
  <c r="A2180" i="30"/>
  <c r="A2179" i="30"/>
  <c r="A2178" i="30"/>
  <c r="A2177" i="30"/>
  <c r="A2176" i="30"/>
  <c r="A2175" i="30"/>
  <c r="A2174" i="30"/>
  <c r="A2173" i="30"/>
  <c r="A2172" i="30"/>
  <c r="A2171" i="30"/>
  <c r="A2170" i="30"/>
  <c r="A2169" i="30"/>
  <c r="A2168" i="30"/>
  <c r="A2167" i="30"/>
  <c r="A2166" i="30"/>
  <c r="A2165" i="30"/>
  <c r="A2164" i="30"/>
  <c r="A2163" i="30"/>
  <c r="A2162" i="30"/>
  <c r="A2161" i="30"/>
  <c r="A2160" i="30"/>
  <c r="A2159" i="30"/>
  <c r="A2158" i="30"/>
  <c r="A2157" i="30"/>
  <c r="A2156" i="30"/>
  <c r="A2155" i="30"/>
  <c r="A2154" i="30"/>
  <c r="A2153" i="30"/>
  <c r="A2152" i="30"/>
  <c r="A2151" i="30"/>
  <c r="A2150" i="30"/>
  <c r="A2149" i="30"/>
  <c r="A2148" i="30"/>
  <c r="A2147" i="30"/>
  <c r="A2146" i="30"/>
  <c r="A2145" i="30"/>
  <c r="A2144" i="30"/>
  <c r="A2143" i="30"/>
  <c r="A2142" i="30"/>
  <c r="A2141" i="30"/>
  <c r="A2140" i="30"/>
  <c r="A2139" i="30"/>
  <c r="A2138" i="30"/>
  <c r="A2137" i="30"/>
  <c r="A2136" i="30"/>
  <c r="A2135" i="30"/>
  <c r="A2134" i="30"/>
  <c r="A2133" i="30"/>
  <c r="A2132" i="30"/>
  <c r="A2131" i="30"/>
  <c r="A2130" i="30"/>
  <c r="A2129" i="30"/>
  <c r="A2128" i="30"/>
  <c r="A2127" i="30"/>
  <c r="A2126" i="30"/>
  <c r="A2125" i="30"/>
  <c r="A2124" i="30"/>
  <c r="A2123" i="30"/>
  <c r="A2122" i="30"/>
  <c r="A2121" i="30"/>
  <c r="A2120" i="30"/>
  <c r="A2119" i="30"/>
  <c r="A2118" i="30"/>
  <c r="A2117" i="30"/>
  <c r="A2116" i="30"/>
  <c r="A2115" i="30"/>
  <c r="A2114" i="30"/>
  <c r="A2113" i="30"/>
  <c r="A2112" i="30"/>
  <c r="A2111" i="30"/>
  <c r="A2110" i="30"/>
  <c r="A2109" i="30"/>
  <c r="A2108" i="30"/>
  <c r="A2107" i="30"/>
  <c r="A2106" i="30"/>
  <c r="A2105" i="30"/>
  <c r="A2104" i="30"/>
  <c r="A2103" i="30"/>
  <c r="A2102" i="30"/>
  <c r="A2101" i="30"/>
  <c r="A2100" i="30"/>
  <c r="A2099" i="30"/>
  <c r="A2098" i="30"/>
  <c r="A2097" i="30"/>
  <c r="A2096" i="30"/>
  <c r="A2095" i="30"/>
  <c r="A2094" i="30"/>
  <c r="A2093" i="30"/>
  <c r="A2092" i="30"/>
  <c r="A2091" i="30"/>
  <c r="A2090" i="30"/>
  <c r="A2089" i="30"/>
  <c r="A2088" i="30"/>
  <c r="A2087" i="30"/>
  <c r="A2086" i="30"/>
  <c r="A2085" i="30"/>
  <c r="A2084" i="30"/>
  <c r="A2083" i="30"/>
  <c r="A2082" i="30"/>
  <c r="A2081" i="30"/>
  <c r="A2080" i="30"/>
  <c r="A2079" i="30"/>
  <c r="A2078" i="30"/>
  <c r="A2077" i="30"/>
  <c r="A2076" i="30"/>
  <c r="A2075" i="30"/>
  <c r="A2074" i="30"/>
  <c r="A2073" i="30"/>
  <c r="A2072" i="30"/>
  <c r="A2071" i="30"/>
  <c r="A2070" i="30"/>
  <c r="A2069" i="30"/>
  <c r="A2068" i="30"/>
  <c r="A2067" i="30"/>
  <c r="A2066" i="30"/>
  <c r="A2065" i="30"/>
  <c r="A2064" i="30"/>
  <c r="A2063" i="30"/>
  <c r="A2062" i="30"/>
  <c r="A2061" i="30"/>
  <c r="A2060" i="30"/>
  <c r="A2059" i="30"/>
  <c r="A2058" i="30"/>
  <c r="A2057" i="30"/>
  <c r="A2056" i="30"/>
  <c r="A2055" i="30"/>
  <c r="A2054" i="30"/>
  <c r="A2053" i="30"/>
  <c r="A2052" i="30"/>
  <c r="A2051" i="30"/>
  <c r="A2050" i="30"/>
  <c r="A2049" i="30"/>
  <c r="A2048" i="30"/>
  <c r="A2047" i="30"/>
  <c r="A2046" i="30"/>
  <c r="A2045" i="30"/>
  <c r="A2044" i="30"/>
  <c r="A2043" i="30"/>
  <c r="A2042" i="30"/>
  <c r="A2041" i="30"/>
  <c r="A2040" i="30"/>
  <c r="A2039" i="30"/>
  <c r="A2038" i="30"/>
  <c r="A2037" i="30"/>
  <c r="A2036" i="30"/>
  <c r="A2035" i="30"/>
  <c r="A2034" i="30"/>
  <c r="A2033" i="30"/>
  <c r="A2032" i="30"/>
  <c r="A2031" i="30"/>
  <c r="A2030" i="30"/>
  <c r="A2029" i="30"/>
  <c r="A2028" i="30"/>
  <c r="A2027" i="30"/>
  <c r="A2026" i="30"/>
  <c r="A2025" i="30"/>
  <c r="A2024" i="30"/>
  <c r="A2023" i="30"/>
  <c r="A2022" i="30"/>
  <c r="A2021" i="30"/>
  <c r="A2020" i="30"/>
  <c r="A2019" i="30"/>
  <c r="A2018" i="30"/>
  <c r="A2017" i="30"/>
  <c r="A2016" i="30"/>
  <c r="A2015" i="30"/>
  <c r="A2014" i="30"/>
  <c r="A2013" i="30"/>
  <c r="A2012" i="30"/>
  <c r="A2011" i="30"/>
  <c r="A2010" i="30"/>
  <c r="A2009" i="30"/>
  <c r="A2008" i="30"/>
  <c r="A2007" i="30"/>
  <c r="A2006" i="30"/>
  <c r="A2005" i="30"/>
  <c r="A2004" i="30"/>
  <c r="A2003" i="30"/>
  <c r="A2002" i="30"/>
  <c r="A2001" i="30"/>
  <c r="A2000" i="30"/>
  <c r="A1999" i="30"/>
  <c r="A1998" i="30"/>
  <c r="A1997" i="30"/>
  <c r="A1996" i="30"/>
  <c r="A1995" i="30"/>
  <c r="A1994" i="30"/>
  <c r="A1993" i="30"/>
  <c r="A1992" i="30"/>
  <c r="A1991" i="30"/>
  <c r="A1990" i="30"/>
  <c r="A1989" i="30"/>
  <c r="A1988" i="30"/>
  <c r="A1987" i="30"/>
  <c r="A1986" i="30"/>
  <c r="A1985" i="30"/>
  <c r="A1984" i="30"/>
  <c r="A1983" i="30"/>
  <c r="A1982" i="30"/>
  <c r="A1981" i="30"/>
  <c r="A1980" i="30"/>
  <c r="A1979" i="30"/>
  <c r="A1978" i="30"/>
  <c r="A1977" i="30"/>
  <c r="A1976" i="30"/>
  <c r="A1975" i="30"/>
  <c r="A1974" i="30"/>
  <c r="A1973" i="30"/>
  <c r="A1972" i="30"/>
  <c r="A1971" i="30"/>
  <c r="A1970" i="30"/>
  <c r="A1969" i="30"/>
  <c r="A1968" i="30"/>
  <c r="A1967" i="30"/>
  <c r="A1966" i="30"/>
  <c r="A1965" i="30"/>
  <c r="A1964" i="30"/>
  <c r="A1963" i="30"/>
  <c r="A1962" i="30"/>
  <c r="A1961" i="30"/>
  <c r="A1960" i="30"/>
  <c r="A1959" i="30"/>
  <c r="A1958" i="30"/>
  <c r="A1957" i="30"/>
  <c r="A1956" i="30"/>
  <c r="A1955" i="30"/>
  <c r="A1954" i="30"/>
  <c r="A1953" i="30"/>
  <c r="A1952" i="30"/>
  <c r="A1951" i="30"/>
  <c r="A1950" i="30"/>
  <c r="A1949" i="30"/>
  <c r="A1948" i="30"/>
  <c r="A1947" i="30"/>
  <c r="A1946" i="30"/>
  <c r="A1945" i="30"/>
  <c r="A1944" i="30"/>
  <c r="A1943" i="30"/>
  <c r="A1942" i="30"/>
  <c r="A1941" i="30"/>
  <c r="A1940" i="30"/>
  <c r="A1939" i="30"/>
  <c r="A1938" i="30"/>
  <c r="A1937" i="30"/>
  <c r="A1936" i="30"/>
  <c r="A1935" i="30"/>
  <c r="A1934" i="30"/>
  <c r="A1933" i="30"/>
  <c r="A1932" i="30"/>
  <c r="A1931" i="30"/>
  <c r="A1930" i="30"/>
  <c r="A1929" i="30"/>
  <c r="A1928" i="30"/>
  <c r="A1927" i="30"/>
  <c r="A1926" i="30"/>
  <c r="A1925" i="30"/>
  <c r="A1924" i="30"/>
  <c r="A1923" i="30"/>
  <c r="A1922" i="30"/>
  <c r="A1921" i="30"/>
  <c r="A1920" i="30"/>
  <c r="A1919" i="30"/>
  <c r="A1918" i="30"/>
  <c r="A1917" i="30"/>
  <c r="A1916" i="30"/>
  <c r="A1915" i="30"/>
  <c r="A1914" i="30"/>
  <c r="A1913" i="30"/>
  <c r="A1912" i="30"/>
  <c r="A1911" i="30"/>
  <c r="A1910" i="30"/>
  <c r="A1909" i="30"/>
  <c r="A1908" i="30"/>
  <c r="A1907" i="30"/>
  <c r="A1906" i="30"/>
  <c r="A1905" i="30"/>
  <c r="A1904" i="30"/>
  <c r="A1903" i="30"/>
  <c r="A1902" i="30"/>
  <c r="A1901" i="30"/>
  <c r="A1900" i="30"/>
  <c r="A1899" i="30"/>
  <c r="A1898" i="30"/>
  <c r="A1897" i="30"/>
  <c r="A1896" i="30"/>
  <c r="A1895" i="30"/>
  <c r="A1894" i="30"/>
  <c r="A1893" i="30"/>
  <c r="A1892" i="30"/>
  <c r="A1891" i="30"/>
  <c r="A1890" i="30"/>
  <c r="A1889" i="30"/>
  <c r="A1888" i="30"/>
  <c r="A1887" i="30"/>
  <c r="A1886" i="30"/>
  <c r="A1885" i="30"/>
  <c r="A1884" i="30"/>
  <c r="A1883" i="30"/>
  <c r="A1882" i="30"/>
  <c r="A1881" i="30"/>
  <c r="A1880" i="30"/>
  <c r="A1879" i="30"/>
  <c r="A1878" i="30"/>
  <c r="A1877" i="30"/>
  <c r="A1876" i="30"/>
  <c r="A1875" i="30"/>
  <c r="A1874" i="30"/>
  <c r="A1873" i="30"/>
  <c r="A1872" i="30"/>
  <c r="A1871" i="30"/>
  <c r="A1870" i="30"/>
  <c r="A1869" i="30"/>
  <c r="A1868" i="30"/>
  <c r="A1867" i="30"/>
  <c r="A1866" i="30"/>
  <c r="A1865" i="30"/>
  <c r="A1864" i="30"/>
  <c r="A1863" i="30"/>
  <c r="A1862" i="30"/>
  <c r="A1861" i="30"/>
  <c r="A1860" i="30"/>
  <c r="A1859" i="30"/>
  <c r="A1858" i="30"/>
  <c r="A1857" i="30"/>
  <c r="A1856" i="30"/>
  <c r="A1855" i="30"/>
  <c r="A1854" i="30"/>
  <c r="A1853" i="30"/>
  <c r="A1852" i="30"/>
  <c r="A1851" i="30"/>
  <c r="A1850" i="30"/>
  <c r="A1849" i="30"/>
  <c r="A1848" i="30"/>
  <c r="A1847" i="30"/>
  <c r="A1846" i="30"/>
  <c r="A1845" i="30"/>
  <c r="A1844" i="30"/>
  <c r="A1843" i="30"/>
  <c r="A1842" i="30"/>
  <c r="A1841" i="30"/>
  <c r="A1840" i="30"/>
  <c r="A1839" i="30"/>
  <c r="A1838" i="30"/>
  <c r="A1837" i="30"/>
  <c r="A1836" i="30"/>
  <c r="A1835" i="30"/>
  <c r="A1834" i="30"/>
  <c r="A1833" i="30"/>
  <c r="A1832" i="30"/>
  <c r="A1831" i="30"/>
  <c r="A1830" i="30"/>
  <c r="A1829" i="30"/>
  <c r="A1828" i="30"/>
  <c r="A1827" i="30"/>
  <c r="A1826" i="30"/>
  <c r="A1825" i="30"/>
  <c r="A1824" i="30"/>
  <c r="A1823" i="30"/>
  <c r="A1822" i="30"/>
  <c r="A1821" i="30"/>
  <c r="A1820" i="30"/>
  <c r="A1819" i="30"/>
  <c r="A1818" i="30"/>
  <c r="A1817" i="30"/>
  <c r="A1816" i="30"/>
  <c r="A1815" i="30"/>
  <c r="A1814" i="30"/>
  <c r="A1813" i="30"/>
  <c r="A1812" i="30"/>
  <c r="A1811" i="30"/>
  <c r="A1810" i="30"/>
  <c r="A1809" i="30"/>
  <c r="A1808" i="30"/>
  <c r="A1807" i="30"/>
  <c r="A1806" i="30"/>
  <c r="A1805" i="30"/>
  <c r="A1804" i="30"/>
  <c r="A1803" i="30"/>
  <c r="A1802" i="30"/>
  <c r="A1801" i="30"/>
  <c r="A1800" i="30"/>
  <c r="A1799" i="30"/>
  <c r="A1798" i="30"/>
  <c r="A1797" i="30"/>
  <c r="A1796" i="30"/>
  <c r="A1795" i="30"/>
  <c r="A1794" i="30"/>
  <c r="A1793" i="30"/>
  <c r="A1792" i="30"/>
  <c r="A1791" i="30"/>
  <c r="A1790" i="30"/>
  <c r="A1789" i="30"/>
  <c r="A1788" i="30"/>
  <c r="A1787" i="30"/>
  <c r="A1786" i="30"/>
  <c r="A1785" i="30"/>
  <c r="A1784" i="30"/>
  <c r="A1783" i="30"/>
  <c r="A1782" i="30"/>
  <c r="A1781" i="30"/>
  <c r="A1780" i="30"/>
  <c r="A1779" i="30"/>
  <c r="A1778" i="30"/>
  <c r="A1777" i="30"/>
  <c r="A1776" i="30"/>
  <c r="A1775" i="30"/>
  <c r="A1774" i="30"/>
  <c r="A1773" i="30"/>
  <c r="A1772" i="30"/>
  <c r="A1771" i="30"/>
  <c r="A1770" i="30"/>
  <c r="A1769" i="30"/>
  <c r="A1768" i="30"/>
  <c r="A1767" i="30"/>
  <c r="A1766" i="30"/>
  <c r="A1765" i="30"/>
  <c r="A1764" i="30"/>
  <c r="A1763" i="30"/>
  <c r="A1762" i="30"/>
  <c r="A1761" i="30"/>
  <c r="A1760" i="30"/>
  <c r="A1759" i="30"/>
  <c r="A1758" i="30"/>
  <c r="A1757" i="30"/>
  <c r="A1756" i="30"/>
  <c r="A1755" i="30"/>
  <c r="A1754" i="30"/>
  <c r="A1753" i="30"/>
  <c r="A1752" i="30"/>
  <c r="A1751" i="30"/>
  <c r="A1750" i="30"/>
  <c r="A1749" i="30"/>
  <c r="A1748" i="30"/>
  <c r="A1747" i="30"/>
  <c r="A1746" i="30"/>
  <c r="A1745" i="30"/>
  <c r="A1744" i="30"/>
  <c r="A1743" i="30"/>
  <c r="A1742" i="30"/>
  <c r="A1741" i="30"/>
  <c r="A1740" i="30"/>
  <c r="A1739" i="30"/>
  <c r="A1738" i="30"/>
  <c r="A1737" i="30"/>
  <c r="A1736" i="30"/>
  <c r="A1735" i="30"/>
  <c r="A1734" i="30"/>
  <c r="A1733" i="30"/>
  <c r="A1732" i="30"/>
  <c r="A1731" i="30"/>
  <c r="A1730" i="30"/>
  <c r="A1729" i="30"/>
  <c r="A1728" i="30"/>
  <c r="A1727" i="30"/>
  <c r="A1726" i="30"/>
  <c r="A1725" i="30"/>
  <c r="A1724" i="30"/>
  <c r="A1723" i="30"/>
  <c r="A1722" i="30"/>
  <c r="A1721" i="30"/>
  <c r="A1720" i="30"/>
  <c r="A1719" i="30"/>
  <c r="A1718" i="30"/>
  <c r="A1717" i="30"/>
  <c r="A1716" i="30"/>
  <c r="A1715" i="30"/>
  <c r="A1714" i="30"/>
  <c r="A1713" i="30"/>
  <c r="A1712" i="30"/>
  <c r="A1711" i="30"/>
  <c r="A1710" i="30"/>
  <c r="A1709" i="30"/>
  <c r="A1708" i="30"/>
  <c r="A1707" i="30"/>
  <c r="A1706" i="30"/>
  <c r="A1705" i="30"/>
  <c r="A1704" i="30"/>
  <c r="A1703" i="30"/>
  <c r="A1702" i="30"/>
  <c r="A1701" i="30"/>
  <c r="A1700" i="30"/>
  <c r="A1699" i="30"/>
  <c r="A1698" i="30"/>
  <c r="A1697" i="30"/>
  <c r="A1696" i="30"/>
  <c r="A1695" i="30"/>
  <c r="A1694" i="30"/>
  <c r="A1693" i="30"/>
  <c r="A1692" i="30"/>
  <c r="A1691" i="30"/>
  <c r="A1690" i="30"/>
  <c r="A1689" i="30"/>
  <c r="A1688" i="30"/>
  <c r="A1687" i="30"/>
  <c r="A1686" i="30"/>
  <c r="A1685" i="30"/>
  <c r="A1684" i="30"/>
  <c r="A1683" i="30"/>
  <c r="A1682" i="30"/>
  <c r="A1681" i="30"/>
  <c r="A1680" i="30"/>
  <c r="A1679" i="30"/>
  <c r="A1678" i="30"/>
  <c r="A1677" i="30"/>
  <c r="A1676" i="30"/>
  <c r="A1675" i="30"/>
  <c r="A1674" i="30"/>
  <c r="A1673" i="30"/>
  <c r="A1672" i="30"/>
  <c r="A1671" i="30"/>
  <c r="A1670" i="30"/>
  <c r="A1669" i="30"/>
  <c r="A1668" i="30"/>
  <c r="A1667" i="30"/>
  <c r="A1666" i="30"/>
  <c r="A1665" i="30"/>
  <c r="A1664" i="30"/>
  <c r="A1663" i="30"/>
  <c r="A1662" i="30"/>
  <c r="A1661" i="30"/>
  <c r="A1660" i="30"/>
  <c r="A1659" i="30"/>
  <c r="A1658" i="30"/>
  <c r="A1657" i="30"/>
  <c r="A1656" i="30"/>
  <c r="A1655" i="30"/>
  <c r="A1654" i="30"/>
  <c r="A1653" i="30"/>
  <c r="A1652" i="30"/>
  <c r="A1651" i="30"/>
  <c r="A1650" i="30"/>
  <c r="A1649" i="30"/>
  <c r="A1648" i="30"/>
  <c r="A1647" i="30"/>
  <c r="A1646" i="30"/>
  <c r="A1645" i="30"/>
  <c r="A1644" i="30"/>
  <c r="A1643" i="30"/>
  <c r="A1642" i="30"/>
  <c r="A1641" i="30"/>
  <c r="A1640" i="30"/>
  <c r="A1639" i="30"/>
  <c r="A1638" i="30"/>
  <c r="A1637" i="30"/>
  <c r="A1636" i="30"/>
  <c r="A1635" i="30"/>
  <c r="A1634" i="30"/>
  <c r="A1633" i="30"/>
  <c r="A1632" i="30"/>
  <c r="A1631" i="30"/>
  <c r="A1630" i="30"/>
  <c r="A1629" i="30"/>
  <c r="A1628" i="30"/>
  <c r="A1627" i="30"/>
  <c r="A1626" i="30"/>
  <c r="A1625" i="30"/>
  <c r="A1624" i="30"/>
  <c r="A1623" i="30"/>
  <c r="A1622" i="30"/>
  <c r="A1621" i="30"/>
  <c r="A1620" i="30"/>
  <c r="A1619" i="30"/>
  <c r="A1618" i="30"/>
  <c r="A1617" i="30"/>
  <c r="A1616" i="30"/>
  <c r="A1615" i="30"/>
  <c r="A1614" i="30"/>
  <c r="A1613" i="30"/>
  <c r="A1612" i="30"/>
  <c r="A1611" i="30"/>
  <c r="A1610" i="30"/>
  <c r="A1609" i="30"/>
  <c r="A1608" i="30"/>
  <c r="A1607" i="30"/>
  <c r="A1606" i="30"/>
  <c r="A1605" i="30"/>
  <c r="A1604" i="30"/>
  <c r="A1603" i="30"/>
  <c r="A1602" i="30"/>
  <c r="A1601" i="30"/>
  <c r="A1600" i="30"/>
  <c r="A1599" i="30"/>
  <c r="A1598" i="30"/>
  <c r="A1597" i="30"/>
  <c r="A1596" i="30"/>
  <c r="A1595" i="30"/>
  <c r="A1594" i="30"/>
  <c r="A1593" i="30"/>
  <c r="A1592" i="30"/>
  <c r="A1591" i="30"/>
  <c r="A1590" i="30"/>
  <c r="A1589" i="30"/>
  <c r="A1588" i="30"/>
  <c r="A1587" i="30"/>
  <c r="A1586" i="30"/>
  <c r="A1585" i="30"/>
  <c r="A1584" i="30"/>
  <c r="A1583" i="30"/>
  <c r="A1582" i="30"/>
  <c r="A1581" i="30"/>
  <c r="A1580" i="30"/>
  <c r="A1579" i="30"/>
  <c r="A1578" i="30"/>
  <c r="A1577" i="30"/>
  <c r="A1576" i="30"/>
  <c r="A1575" i="30"/>
  <c r="A1574" i="30"/>
  <c r="A1573" i="30"/>
  <c r="A1572" i="30"/>
  <c r="A1571" i="30"/>
  <c r="A1570" i="30"/>
  <c r="A1569" i="30"/>
  <c r="A1568" i="30"/>
  <c r="A1567" i="30"/>
  <c r="A1566" i="30"/>
  <c r="A1565" i="30"/>
  <c r="A1564" i="30"/>
  <c r="A1563" i="30"/>
  <c r="A1562" i="30"/>
  <c r="A1561" i="30"/>
  <c r="A1560" i="30"/>
  <c r="A1559" i="30"/>
  <c r="A1558" i="30"/>
  <c r="A1557" i="30"/>
  <c r="A1556" i="30"/>
  <c r="A1555" i="30"/>
  <c r="A1554" i="30"/>
  <c r="A1553" i="30"/>
  <c r="A1552" i="30"/>
  <c r="A1551" i="30"/>
  <c r="A1550" i="30"/>
  <c r="A1549" i="30"/>
  <c r="A1548" i="30"/>
  <c r="A1547" i="30"/>
  <c r="A1546" i="30"/>
  <c r="A1545" i="30"/>
  <c r="A1544" i="30"/>
  <c r="A1543" i="30"/>
  <c r="A1542" i="30"/>
  <c r="A1541" i="30"/>
  <c r="A1540" i="30"/>
  <c r="A1539" i="30"/>
  <c r="A1538" i="30"/>
  <c r="A1537" i="30"/>
  <c r="A1536" i="30"/>
  <c r="A1535" i="30"/>
  <c r="A1534" i="30"/>
  <c r="A1533" i="30"/>
  <c r="A1532" i="30"/>
  <c r="A1531" i="30"/>
  <c r="A1530" i="30"/>
  <c r="A1529" i="30"/>
  <c r="A1528" i="30"/>
  <c r="A1527" i="30"/>
  <c r="A1526" i="30"/>
  <c r="A1525" i="30"/>
  <c r="A1524" i="30"/>
  <c r="A1523" i="30"/>
  <c r="A1522" i="30"/>
  <c r="A1521" i="30"/>
  <c r="A1520" i="30"/>
  <c r="A1519" i="30"/>
  <c r="A1518" i="30"/>
  <c r="A1517" i="30"/>
  <c r="A1516" i="30"/>
  <c r="A1515" i="30"/>
  <c r="A1514" i="30"/>
  <c r="A1513" i="30"/>
  <c r="A1512" i="30"/>
  <c r="A1511" i="30"/>
  <c r="A1510" i="30"/>
  <c r="A1509" i="30"/>
  <c r="A1508" i="30"/>
  <c r="A1507" i="30"/>
  <c r="A1506" i="30"/>
  <c r="A1505" i="30"/>
  <c r="A1504" i="30"/>
  <c r="A1503" i="30"/>
  <c r="A1502" i="30"/>
  <c r="A1501" i="30"/>
  <c r="A1500" i="30"/>
  <c r="A1499" i="30"/>
  <c r="A1498" i="30"/>
  <c r="A1497" i="30"/>
  <c r="A1496" i="30"/>
  <c r="A1495" i="30"/>
  <c r="A1494" i="30"/>
  <c r="A1493" i="30"/>
  <c r="A1492" i="30"/>
  <c r="A1491" i="30"/>
  <c r="A1490" i="30"/>
  <c r="A1489" i="30"/>
  <c r="A1488" i="30"/>
  <c r="A1487" i="30"/>
  <c r="A1486" i="30"/>
  <c r="A1485" i="30"/>
  <c r="A1484" i="30"/>
  <c r="A1483" i="30"/>
  <c r="A1482" i="30"/>
  <c r="A1481" i="30"/>
  <c r="A1480" i="30"/>
  <c r="A1479" i="30"/>
  <c r="A1478" i="30"/>
  <c r="A1477" i="30"/>
  <c r="A1476" i="30"/>
  <c r="A1475" i="30"/>
  <c r="A1474" i="30"/>
  <c r="A1473" i="30"/>
  <c r="A1472" i="30"/>
  <c r="A1471" i="30"/>
  <c r="A1470" i="30"/>
  <c r="A1469" i="30"/>
  <c r="A1468" i="30"/>
  <c r="A1467" i="30"/>
  <c r="A1466" i="30"/>
  <c r="A1465" i="30"/>
  <c r="A1464" i="30"/>
  <c r="A1463" i="30"/>
  <c r="A1462" i="30"/>
  <c r="A1461" i="30"/>
  <c r="A1460" i="30"/>
  <c r="A1459" i="30"/>
  <c r="A1458" i="30"/>
  <c r="A1457" i="30"/>
  <c r="A1456" i="30"/>
  <c r="A1455" i="30"/>
  <c r="A1454" i="30"/>
  <c r="A1453" i="30"/>
  <c r="A1452" i="30"/>
  <c r="A1451" i="30"/>
  <c r="A1450" i="30"/>
  <c r="A1449" i="30"/>
  <c r="A1448" i="30"/>
  <c r="A1447" i="30"/>
  <c r="A1446" i="30"/>
  <c r="A1445" i="30"/>
  <c r="A1444" i="30"/>
  <c r="A1443" i="30"/>
  <c r="A1442" i="30"/>
  <c r="A1441" i="30"/>
  <c r="A1440" i="30"/>
  <c r="A1439" i="30"/>
  <c r="A1438" i="30"/>
  <c r="A1437" i="30"/>
  <c r="A1436" i="30"/>
  <c r="A1435" i="30"/>
  <c r="A1434" i="30"/>
  <c r="A1433" i="30"/>
  <c r="A1432" i="30"/>
  <c r="A1431" i="30"/>
  <c r="A1430" i="30"/>
  <c r="A1429" i="30"/>
  <c r="A1428" i="30"/>
  <c r="A1427" i="30"/>
  <c r="A1426" i="30"/>
  <c r="A1425" i="30"/>
  <c r="A1424" i="30"/>
  <c r="A1423" i="30"/>
  <c r="A1422" i="30"/>
  <c r="A1421" i="30"/>
  <c r="A1420" i="30"/>
  <c r="A1419" i="30"/>
  <c r="A1418" i="30"/>
  <c r="A1417" i="30"/>
  <c r="A1416" i="30"/>
  <c r="A1415" i="30"/>
  <c r="A1414" i="30"/>
  <c r="A1413" i="30"/>
  <c r="A1412" i="30"/>
  <c r="A1411" i="30"/>
  <c r="A1410" i="30"/>
  <c r="A1409" i="30"/>
  <c r="A1408" i="30"/>
  <c r="A1407" i="30"/>
  <c r="A1406" i="30"/>
  <c r="A1405" i="30"/>
  <c r="A1404" i="30"/>
  <c r="A1403" i="30"/>
  <c r="A1402" i="30"/>
  <c r="A1401" i="30"/>
  <c r="A1400" i="30"/>
  <c r="A1399" i="30"/>
  <c r="I124" i="17" s="1"/>
  <c r="J124" i="17" s="1"/>
  <c r="BP17" i="17" a="1"/>
  <c r="BP17" i="17" s="1"/>
  <c r="BP57" i="17" s="1"/>
  <c r="BR57" i="17" s="1"/>
  <c r="BO17" i="17" a="1"/>
  <c r="BO17" i="17" s="1"/>
  <c r="BO57" i="17" s="1"/>
  <c r="BQ57" i="17" s="1"/>
  <c r="R14" i="17" a="1"/>
  <c r="R14" i="17" s="1"/>
  <c r="P14" i="17" a="1"/>
  <c r="P14" i="17" s="1"/>
  <c r="P57" i="17" s="1"/>
  <c r="AL57" i="17" s="1"/>
  <c r="O14" i="17" a="1"/>
  <c r="O14" i="17" s="1"/>
  <c r="N14" i="17" a="1"/>
  <c r="N14" i="17" s="1"/>
  <c r="N57" i="17" s="1"/>
  <c r="AJ57" i="17" s="1"/>
  <c r="M14" i="17" a="1"/>
  <c r="M14" i="17" s="1"/>
  <c r="M84" i="17" s="1"/>
  <c r="AI84" i="17" s="1"/>
  <c r="L14" i="17" a="1"/>
  <c r="L14" i="17" s="1"/>
  <c r="L57" i="17" s="1"/>
  <c r="BP30" i="17"/>
  <c r="BK126" i="17"/>
  <c r="BK122" i="17"/>
  <c r="BK118" i="17"/>
  <c r="BK110" i="17"/>
  <c r="BK102" i="17"/>
  <c r="BK94" i="17"/>
  <c r="BK90" i="17"/>
  <c r="BK86" i="17"/>
  <c r="BK78" i="17"/>
  <c r="BK35" i="17"/>
  <c r="BK27" i="17"/>
  <c r="BK19" i="17"/>
  <c r="BN129" i="17"/>
  <c r="BN128" i="17"/>
  <c r="BN127" i="17"/>
  <c r="BN126" i="17"/>
  <c r="BN125" i="17"/>
  <c r="BN124" i="17"/>
  <c r="BN123" i="17"/>
  <c r="BN122" i="17"/>
  <c r="BN121" i="17"/>
  <c r="BN120" i="17"/>
  <c r="BN119" i="17"/>
  <c r="BN118" i="17"/>
  <c r="BN117" i="17"/>
  <c r="BN116" i="17"/>
  <c r="BN115" i="17"/>
  <c r="BN114" i="17"/>
  <c r="BN113" i="17"/>
  <c r="BN112" i="17"/>
  <c r="BN111" i="17"/>
  <c r="BN110" i="17"/>
  <c r="BN109" i="17"/>
  <c r="BN108" i="17"/>
  <c r="BN107" i="17"/>
  <c r="BN106" i="17"/>
  <c r="BN105" i="17"/>
  <c r="BN104" i="17"/>
  <c r="BN103" i="17"/>
  <c r="BN102" i="17"/>
  <c r="BN101" i="17"/>
  <c r="BN100" i="17"/>
  <c r="BN99" i="17"/>
  <c r="BN98" i="17"/>
  <c r="BN97" i="17"/>
  <c r="BN96" i="17"/>
  <c r="BN95" i="17"/>
  <c r="BN94" i="17"/>
  <c r="BN93" i="17"/>
  <c r="BN92" i="17"/>
  <c r="BN91" i="17"/>
  <c r="BN90" i="17"/>
  <c r="BN89" i="17"/>
  <c r="BN88" i="17"/>
  <c r="BN87" i="17"/>
  <c r="BN86" i="17"/>
  <c r="BN85" i="17"/>
  <c r="BN84" i="17"/>
  <c r="BN83" i="17"/>
  <c r="BN82" i="17"/>
  <c r="BN81" i="17"/>
  <c r="BN80" i="17"/>
  <c r="BN79" i="17"/>
  <c r="BN78" i="17"/>
  <c r="BN77" i="17"/>
  <c r="BN76" i="17"/>
  <c r="BN40" i="17"/>
  <c r="BN39" i="17"/>
  <c r="BN38" i="17"/>
  <c r="BN37" i="17"/>
  <c r="BN36" i="17"/>
  <c r="BN35" i="17"/>
  <c r="BN34" i="17"/>
  <c r="BN33" i="17"/>
  <c r="BN32" i="17"/>
  <c r="BN31" i="17"/>
  <c r="BN30" i="17"/>
  <c r="BN29" i="17"/>
  <c r="BN28" i="17"/>
  <c r="BN27" i="17"/>
  <c r="BN19" i="17"/>
  <c r="AD4" i="16"/>
  <c r="AJ5" i="16"/>
  <c r="BG4" i="16"/>
  <c r="AN5" i="16"/>
  <c r="AR4" i="16"/>
  <c r="U2" i="16"/>
  <c r="AB232" i="1"/>
  <c r="AC232" i="1"/>
  <c r="AB233" i="1"/>
  <c r="AC233" i="1"/>
  <c r="H68" i="15"/>
  <c r="F68" i="15"/>
  <c r="H67" i="15"/>
  <c r="F67" i="15"/>
  <c r="H66" i="15"/>
  <c r="F66" i="15"/>
  <c r="H65" i="15"/>
  <c r="F65" i="15"/>
  <c r="H64" i="15"/>
  <c r="F64" i="15"/>
  <c r="H63" i="15"/>
  <c r="F63" i="15"/>
  <c r="H62" i="15"/>
  <c r="F62" i="15"/>
  <c r="H61" i="15"/>
  <c r="F61" i="15"/>
  <c r="H60" i="15"/>
  <c r="F60" i="15"/>
  <c r="H59" i="15"/>
  <c r="F59" i="15"/>
  <c r="H58" i="15"/>
  <c r="F58" i="15"/>
  <c r="H57" i="15"/>
  <c r="F57" i="15"/>
  <c r="H56" i="15"/>
  <c r="F56" i="15"/>
  <c r="H55" i="15"/>
  <c r="F55" i="15"/>
  <c r="H54" i="15"/>
  <c r="F54" i="15"/>
  <c r="H53" i="15"/>
  <c r="F53" i="15"/>
  <c r="H52" i="15"/>
  <c r="F52" i="15"/>
  <c r="H51" i="15"/>
  <c r="F51" i="15"/>
  <c r="H50" i="15"/>
  <c r="F50" i="15"/>
  <c r="H49" i="15"/>
  <c r="F49" i="15"/>
  <c r="H48" i="15"/>
  <c r="F48" i="15"/>
  <c r="H47" i="15"/>
  <c r="F47" i="15"/>
  <c r="H46" i="15"/>
  <c r="F46" i="15"/>
  <c r="H45" i="15"/>
  <c r="F45" i="15"/>
  <c r="H44" i="15"/>
  <c r="F44" i="15"/>
  <c r="H43" i="15"/>
  <c r="F43" i="15"/>
  <c r="H42" i="15"/>
  <c r="F42" i="15"/>
  <c r="H41" i="15"/>
  <c r="F41" i="15"/>
  <c r="H40" i="15"/>
  <c r="F40" i="15"/>
  <c r="H39" i="15"/>
  <c r="F39" i="15"/>
  <c r="H38" i="15"/>
  <c r="F38" i="15"/>
  <c r="H37" i="15"/>
  <c r="F37" i="15"/>
  <c r="H36" i="15"/>
  <c r="F36" i="15"/>
  <c r="H35" i="15"/>
  <c r="F35" i="15"/>
  <c r="H34" i="15"/>
  <c r="F34" i="15"/>
  <c r="H33" i="15"/>
  <c r="F33" i="15"/>
  <c r="H32" i="15"/>
  <c r="F32" i="15"/>
  <c r="H31" i="15"/>
  <c r="F31" i="15"/>
  <c r="H30" i="15"/>
  <c r="F30" i="15"/>
  <c r="H29" i="15"/>
  <c r="F29" i="15"/>
  <c r="H28" i="15"/>
  <c r="F28" i="15"/>
  <c r="H27" i="15"/>
  <c r="F27" i="15"/>
  <c r="H26" i="15"/>
  <c r="F26" i="15"/>
  <c r="H25" i="15"/>
  <c r="F25" i="15"/>
  <c r="H24" i="15"/>
  <c r="F24" i="15"/>
  <c r="H23" i="15"/>
  <c r="F23" i="15"/>
  <c r="H22" i="15"/>
  <c r="F22" i="15"/>
  <c r="H21" i="15"/>
  <c r="F21" i="15"/>
  <c r="H20" i="15"/>
  <c r="F20" i="15"/>
  <c r="H19" i="15"/>
  <c r="F19" i="15"/>
  <c r="H18" i="15"/>
  <c r="M18" i="15" s="1"/>
  <c r="AO31" i="17" s="1"/>
  <c r="F18" i="15"/>
  <c r="H17" i="15"/>
  <c r="F17" i="15"/>
  <c r="H16" i="15"/>
  <c r="F16" i="15"/>
  <c r="H15" i="15"/>
  <c r="F15" i="15"/>
  <c r="H14" i="15"/>
  <c r="F14" i="15"/>
  <c r="H13" i="15"/>
  <c r="F13" i="15"/>
  <c r="H12" i="15"/>
  <c r="F12" i="15"/>
  <c r="H11" i="15"/>
  <c r="F11" i="15"/>
  <c r="H10" i="15"/>
  <c r="F10" i="15"/>
  <c r="H9" i="15"/>
  <c r="F9" i="15"/>
  <c r="H8" i="15"/>
  <c r="F8" i="15"/>
  <c r="H7" i="15"/>
  <c r="F7" i="15"/>
  <c r="K36" i="15"/>
  <c r="L36" i="15" s="1"/>
  <c r="K20" i="15"/>
  <c r="L20" i="15" s="1"/>
  <c r="K21" i="15"/>
  <c r="L21" i="15" s="1"/>
  <c r="K26" i="15"/>
  <c r="L26" i="15" s="1"/>
  <c r="K11" i="15"/>
  <c r="L11" i="15" s="1"/>
  <c r="K68" i="15"/>
  <c r="L68" i="15" s="1"/>
  <c r="K7" i="15"/>
  <c r="K27" i="15"/>
  <c r="L27" i="15" s="1"/>
  <c r="K60" i="15"/>
  <c r="L60" i="15" s="1"/>
  <c r="K64" i="15"/>
  <c r="L64" i="15" s="1"/>
  <c r="K52" i="15"/>
  <c r="L52" i="15" s="1"/>
  <c r="K66" i="15"/>
  <c r="L66" i="15" s="1"/>
  <c r="K15" i="15"/>
  <c r="L15" i="15" s="1"/>
  <c r="K62" i="15"/>
  <c r="L62" i="15" s="1"/>
  <c r="K65" i="15"/>
  <c r="L65" i="15" s="1"/>
  <c r="K48" i="15"/>
  <c r="L48" i="15" s="1"/>
  <c r="AC231" i="1"/>
  <c r="AB231" i="1"/>
  <c r="BW19" i="16"/>
  <c r="BW18" i="16"/>
  <c r="BW17" i="16"/>
  <c r="BW16" i="16"/>
  <c r="BW15" i="16"/>
  <c r="BW14" i="16"/>
  <c r="BW13" i="16"/>
  <c r="BW12" i="16"/>
  <c r="BW11" i="16"/>
  <c r="BW10" i="16"/>
  <c r="BW9" i="16"/>
  <c r="BW8" i="16"/>
  <c r="J43" i="23"/>
  <c r="R43" i="23"/>
  <c r="Z43" i="23"/>
  <c r="AH43" i="23"/>
  <c r="AP43" i="23"/>
  <c r="AX43" i="23"/>
  <c r="BF43" i="23"/>
  <c r="BN43" i="23"/>
  <c r="BV43" i="23"/>
  <c r="CD43" i="23"/>
  <c r="CL43" i="23"/>
  <c r="K43" i="23"/>
  <c r="S43" i="23"/>
  <c r="AA43" i="23"/>
  <c r="AI43" i="23"/>
  <c r="AQ43" i="23"/>
  <c r="AY43" i="23"/>
  <c r="BG43" i="23"/>
  <c r="BO43" i="23"/>
  <c r="BW43" i="23"/>
  <c r="CE43" i="23"/>
  <c r="CM43" i="23"/>
  <c r="AB196" i="1"/>
  <c r="AC196" i="1"/>
  <c r="AB197" i="1"/>
  <c r="AC197" i="1"/>
  <c r="AB198" i="1"/>
  <c r="AC198" i="1"/>
  <c r="AB199" i="1"/>
  <c r="AC199" i="1"/>
  <c r="AB200" i="1"/>
  <c r="AC200" i="1"/>
  <c r="AB201" i="1"/>
  <c r="AC201" i="1"/>
  <c r="AB202" i="1"/>
  <c r="AC202" i="1"/>
  <c r="AB203" i="1"/>
  <c r="AC203" i="1"/>
  <c r="AB204" i="1"/>
  <c r="AC204" i="1"/>
  <c r="AB205" i="1"/>
  <c r="AC205" i="1"/>
  <c r="AB206" i="1"/>
  <c r="AC206" i="1"/>
  <c r="AB207" i="1"/>
  <c r="AC207" i="1"/>
  <c r="AB208" i="1"/>
  <c r="AC208" i="1"/>
  <c r="AB209" i="1"/>
  <c r="AC209" i="1"/>
  <c r="AB210" i="1"/>
  <c r="AC210" i="1"/>
  <c r="AB211" i="1"/>
  <c r="AC211" i="1"/>
  <c r="AB212" i="1"/>
  <c r="AC212" i="1"/>
  <c r="AB213" i="1"/>
  <c r="AC213" i="1"/>
  <c r="AB214" i="1"/>
  <c r="AC214" i="1"/>
  <c r="AB215" i="1"/>
  <c r="AC215" i="1"/>
  <c r="AB216" i="1"/>
  <c r="AC216" i="1"/>
  <c r="AB217" i="1"/>
  <c r="AC217" i="1"/>
  <c r="AB218" i="1"/>
  <c r="AC218" i="1"/>
  <c r="AB219" i="1"/>
  <c r="AC219" i="1"/>
  <c r="AB220" i="1"/>
  <c r="AC220" i="1"/>
  <c r="AB221" i="1"/>
  <c r="AC221" i="1"/>
  <c r="AB222" i="1"/>
  <c r="AC222" i="1"/>
  <c r="AB223" i="1"/>
  <c r="AC223" i="1"/>
  <c r="AB224" i="1"/>
  <c r="AC224" i="1"/>
  <c r="AB225" i="1"/>
  <c r="AC225" i="1"/>
  <c r="AB226" i="1"/>
  <c r="AC226" i="1"/>
  <c r="AB227" i="1"/>
  <c r="AC227" i="1"/>
  <c r="AB228" i="1"/>
  <c r="AC228" i="1"/>
  <c r="AB229" i="1"/>
  <c r="AC229" i="1"/>
  <c r="AB230" i="1"/>
  <c r="AC230" i="1"/>
  <c r="F136" i="17"/>
  <c r="J44" i="23"/>
  <c r="AB163" i="1"/>
  <c r="AC163" i="1"/>
  <c r="AB164" i="1"/>
  <c r="AC164" i="1"/>
  <c r="AB165" i="1"/>
  <c r="AC165" i="1"/>
  <c r="AB166" i="1"/>
  <c r="AC166" i="1"/>
  <c r="AB167" i="1"/>
  <c r="AC167" i="1"/>
  <c r="AB168" i="1"/>
  <c r="AC168" i="1"/>
  <c r="AB169" i="1"/>
  <c r="AC169" i="1"/>
  <c r="AB170" i="1"/>
  <c r="AC170" i="1"/>
  <c r="AB171" i="1"/>
  <c r="AC171" i="1"/>
  <c r="AB172" i="1"/>
  <c r="AC172" i="1"/>
  <c r="AB173" i="1"/>
  <c r="AC173" i="1"/>
  <c r="AB174" i="1"/>
  <c r="AC174" i="1"/>
  <c r="AB175" i="1"/>
  <c r="AC175" i="1"/>
  <c r="AB176" i="1"/>
  <c r="AC176" i="1"/>
  <c r="AB177" i="1"/>
  <c r="AC177" i="1"/>
  <c r="AB178" i="1"/>
  <c r="AC178" i="1"/>
  <c r="AB179" i="1"/>
  <c r="AC179" i="1"/>
  <c r="AB180" i="1"/>
  <c r="AC180" i="1"/>
  <c r="AB183" i="1"/>
  <c r="AC183" i="1"/>
  <c r="AB184" i="1"/>
  <c r="AC184" i="1"/>
  <c r="AB185" i="1"/>
  <c r="AC185" i="1"/>
  <c r="AB186" i="1"/>
  <c r="AC186" i="1"/>
  <c r="AB187" i="1"/>
  <c r="AC187" i="1"/>
  <c r="AB188" i="1"/>
  <c r="AC188" i="1"/>
  <c r="AB189" i="1"/>
  <c r="AC189" i="1"/>
  <c r="AB190" i="1"/>
  <c r="AC190" i="1"/>
  <c r="AB191" i="1"/>
  <c r="AC191" i="1"/>
  <c r="AB192" i="1"/>
  <c r="AC192" i="1"/>
  <c r="AB193" i="1"/>
  <c r="AC193" i="1"/>
  <c r="AB194" i="1"/>
  <c r="AC194" i="1"/>
  <c r="AB195" i="1"/>
  <c r="AC195" i="1"/>
  <c r="J136" i="17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BQ36" i="16"/>
  <c r="BP36" i="16"/>
  <c r="BO36" i="16"/>
  <c r="BN36" i="16"/>
  <c r="BM36" i="16"/>
  <c r="BL36" i="16"/>
  <c r="BK36" i="16"/>
  <c r="BJ36" i="16"/>
  <c r="BI36" i="16"/>
  <c r="BH36" i="16"/>
  <c r="BG36" i="16"/>
  <c r="W7" i="16"/>
  <c r="V7" i="16"/>
  <c r="P8" i="24"/>
  <c r="BG78" i="16"/>
  <c r="BH78" i="16"/>
  <c r="BG79" i="16"/>
  <c r="BH79" i="16"/>
  <c r="BG80" i="16"/>
  <c r="BH80" i="16"/>
  <c r="BG81" i="16"/>
  <c r="BH81" i="16"/>
  <c r="BG82" i="16"/>
  <c r="BH82" i="16"/>
  <c r="BG83" i="16"/>
  <c r="BH83" i="16"/>
  <c r="O8" i="24"/>
  <c r="S8" i="24"/>
  <c r="Q8" i="24"/>
  <c r="R8" i="24"/>
  <c r="T8" i="24"/>
  <c r="AO44" i="23"/>
  <c r="CS44" i="23"/>
  <c r="CR44" i="23"/>
  <c r="CQ44" i="23"/>
  <c r="CP44" i="23"/>
  <c r="CO44" i="23"/>
  <c r="CN44" i="23"/>
  <c r="CK44" i="23"/>
  <c r="CJ44" i="23"/>
  <c r="CI44" i="23"/>
  <c r="CH44" i="23"/>
  <c r="CG44" i="23"/>
  <c r="CI45" i="23" s="1"/>
  <c r="CF44" i="23"/>
  <c r="CH45" i="23" s="1"/>
  <c r="CC44" i="23"/>
  <c r="CB44" i="23"/>
  <c r="CA44" i="23"/>
  <c r="BZ44" i="23"/>
  <c r="BY44" i="23"/>
  <c r="BX44" i="23"/>
  <c r="BU44" i="23"/>
  <c r="BT44" i="23"/>
  <c r="BS44" i="23"/>
  <c r="BR44" i="23"/>
  <c r="BQ44" i="23"/>
  <c r="BP44" i="23"/>
  <c r="BM44" i="23"/>
  <c r="BL44" i="23"/>
  <c r="BK44" i="23"/>
  <c r="BJ44" i="23"/>
  <c r="BI44" i="23"/>
  <c r="BH44" i="23"/>
  <c r="BD44" i="23"/>
  <c r="BC44" i="23"/>
  <c r="BB44" i="23"/>
  <c r="BA44" i="23"/>
  <c r="AZ44" i="23"/>
  <c r="AV44" i="23"/>
  <c r="AU44" i="23"/>
  <c r="AT44" i="23"/>
  <c r="AS44" i="23"/>
  <c r="AR44" i="23"/>
  <c r="AN44" i="23"/>
  <c r="AM44" i="23"/>
  <c r="AL44" i="23"/>
  <c r="AK44" i="23"/>
  <c r="AJ44" i="23"/>
  <c r="AG44" i="23"/>
  <c r="AF44" i="23"/>
  <c r="AE44" i="23"/>
  <c r="AD44" i="23"/>
  <c r="AC44" i="23"/>
  <c r="AB44" i="23"/>
  <c r="X44" i="23"/>
  <c r="W44" i="23"/>
  <c r="V44" i="23"/>
  <c r="U44" i="23"/>
  <c r="T44" i="23"/>
  <c r="P44" i="23"/>
  <c r="O44" i="23"/>
  <c r="N44" i="23"/>
  <c r="M44" i="23"/>
  <c r="L44" i="23"/>
  <c r="I44" i="23"/>
  <c r="H44" i="23"/>
  <c r="G44" i="23"/>
  <c r="F44" i="23"/>
  <c r="E44" i="23"/>
  <c r="D44" i="23"/>
  <c r="C44" i="23"/>
  <c r="B44" i="23"/>
  <c r="F130" i="17"/>
  <c r="D121" i="15" s="1"/>
  <c r="D122" i="15" s="1"/>
  <c r="BH77" i="16"/>
  <c r="BG77" i="16"/>
  <c r="BH76" i="16"/>
  <c r="BG76" i="16"/>
  <c r="BH75" i="16"/>
  <c r="BG75" i="16"/>
  <c r="BH74" i="16"/>
  <c r="BG74" i="16"/>
  <c r="BH73" i="16"/>
  <c r="BG73" i="16"/>
  <c r="BH72" i="16"/>
  <c r="BG72" i="16"/>
  <c r="BH71" i="16"/>
  <c r="BG71" i="16"/>
  <c r="BH70" i="16"/>
  <c r="BG70" i="16"/>
  <c r="BH69" i="16"/>
  <c r="BG69" i="16"/>
  <c r="BH68" i="16"/>
  <c r="BG68" i="16"/>
  <c r="BH67" i="16"/>
  <c r="BG67" i="16"/>
  <c r="BH66" i="16"/>
  <c r="BG66" i="16"/>
  <c r="BH65" i="16"/>
  <c r="BG65" i="16"/>
  <c r="BH64" i="16"/>
  <c r="BG64" i="16"/>
  <c r="BH63" i="16"/>
  <c r="BG63" i="16"/>
  <c r="BH62" i="16"/>
  <c r="BG62" i="16"/>
  <c r="BH61" i="16"/>
  <c r="BG61" i="16"/>
  <c r="BH60" i="16"/>
  <c r="BG60" i="16"/>
  <c r="BH59" i="16"/>
  <c r="BG59" i="16"/>
  <c r="BH58" i="16"/>
  <c r="BG58" i="16"/>
  <c r="BH57" i="16"/>
  <c r="BG57" i="16"/>
  <c r="BH56" i="16"/>
  <c r="BG56" i="16"/>
  <c r="BH55" i="16"/>
  <c r="BG55" i="16"/>
  <c r="BH54" i="16"/>
  <c r="BG54" i="16"/>
  <c r="BH53" i="16"/>
  <c r="BG53" i="16"/>
  <c r="BH52" i="16"/>
  <c r="BG52" i="16"/>
  <c r="BH51" i="16"/>
  <c r="BG51" i="16"/>
  <c r="BH50" i="16"/>
  <c r="BG50" i="16"/>
  <c r="BH49" i="16"/>
  <c r="BG49" i="16"/>
  <c r="BH48" i="16"/>
  <c r="BG48" i="16"/>
  <c r="BH47" i="16"/>
  <c r="BG47" i="16"/>
  <c r="BH46" i="16"/>
  <c r="BG46" i="16"/>
  <c r="BH45" i="16"/>
  <c r="BG45" i="16"/>
  <c r="BH44" i="16"/>
  <c r="BG44" i="16"/>
  <c r="BH43" i="16"/>
  <c r="BG43" i="16"/>
  <c r="BH42" i="16"/>
  <c r="BG42" i="16"/>
  <c r="BH41" i="16"/>
  <c r="BG41" i="16"/>
  <c r="BH40" i="16"/>
  <c r="BG40" i="16"/>
  <c r="BH39" i="16"/>
  <c r="BG39" i="16"/>
  <c r="BH38" i="16"/>
  <c r="BG38" i="16"/>
  <c r="BH37" i="16"/>
  <c r="BG37" i="16"/>
  <c r="BH35" i="16"/>
  <c r="BG35" i="16"/>
  <c r="BH34" i="16"/>
  <c r="BG34" i="16"/>
  <c r="BH33" i="16"/>
  <c r="BG33" i="16"/>
  <c r="BH32" i="16"/>
  <c r="BG32" i="16"/>
  <c r="BH31" i="16"/>
  <c r="BG31" i="16"/>
  <c r="BH30" i="16"/>
  <c r="BG30" i="16"/>
  <c r="BH29" i="16"/>
  <c r="BG29" i="16"/>
  <c r="BH28" i="16"/>
  <c r="BG28" i="16"/>
  <c r="BH27" i="16"/>
  <c r="BG27" i="16"/>
  <c r="BH26" i="16"/>
  <c r="BG26" i="16"/>
  <c r="BH25" i="16"/>
  <c r="BG25" i="16"/>
  <c r="BH24" i="16"/>
  <c r="BG24" i="16"/>
  <c r="BH23" i="16"/>
  <c r="BG23" i="16"/>
  <c r="BH22" i="16"/>
  <c r="BG22" i="16"/>
  <c r="BH21" i="16"/>
  <c r="BG21" i="16"/>
  <c r="BH20" i="16"/>
  <c r="BG20" i="16"/>
  <c r="BH19" i="16"/>
  <c r="BG19" i="16"/>
  <c r="BH18" i="16"/>
  <c r="BG18" i="16"/>
  <c r="BH17" i="16"/>
  <c r="BG17" i="16"/>
  <c r="BH16" i="16"/>
  <c r="BG16" i="16"/>
  <c r="BH15" i="16"/>
  <c r="BG15" i="16"/>
  <c r="BH14" i="16"/>
  <c r="BG14" i="16"/>
  <c r="BH13" i="16"/>
  <c r="BG13" i="16"/>
  <c r="BH12" i="16"/>
  <c r="BG12" i="16"/>
  <c r="BH11" i="16"/>
  <c r="BG11" i="16"/>
  <c r="BH10" i="16"/>
  <c r="BG10" i="16"/>
  <c r="BH9" i="16"/>
  <c r="BG9" i="16"/>
  <c r="BH8" i="16"/>
  <c r="BG8" i="16"/>
  <c r="AV7" i="16"/>
  <c r="AU7" i="16"/>
  <c r="AT7" i="16"/>
  <c r="AB25" i="1"/>
  <c r="AB87" i="1"/>
  <c r="AB22" i="1"/>
  <c r="AB132" i="1"/>
  <c r="AB54" i="1"/>
  <c r="AB24" i="1"/>
  <c r="AB122" i="1"/>
  <c r="AB119" i="1"/>
  <c r="AB44" i="1"/>
  <c r="AB32" i="1"/>
  <c r="AB86" i="1"/>
  <c r="AB152" i="1"/>
  <c r="AB83" i="1"/>
  <c r="AB105" i="1"/>
  <c r="AB118" i="1"/>
  <c r="AB103" i="1"/>
  <c r="AB28" i="1"/>
  <c r="AB155" i="1"/>
  <c r="AB14" i="1"/>
  <c r="AB30" i="1"/>
  <c r="AB46" i="1"/>
  <c r="AB50" i="1"/>
  <c r="AB133" i="1"/>
  <c r="AB48" i="1"/>
  <c r="AB77" i="1"/>
  <c r="AB13" i="1"/>
  <c r="AB17" i="1"/>
  <c r="AB21" i="1"/>
  <c r="AB37" i="1"/>
  <c r="AB7" i="1"/>
  <c r="AB15" i="1"/>
  <c r="AB39" i="1"/>
  <c r="AB47" i="1"/>
  <c r="AB55" i="1"/>
  <c r="AB63" i="1"/>
  <c r="AB58" i="1"/>
  <c r="AB90" i="1"/>
  <c r="AB88" i="1"/>
  <c r="AB89" i="1"/>
  <c r="AB96" i="1"/>
  <c r="AB149" i="1"/>
  <c r="AB108" i="1"/>
  <c r="AB112" i="1"/>
  <c r="AB116" i="1"/>
  <c r="AB120" i="1"/>
  <c r="AB124" i="1"/>
  <c r="AB136" i="1"/>
  <c r="AB94" i="1"/>
  <c r="AB110" i="1"/>
  <c r="AB114" i="1"/>
  <c r="AB115" i="1"/>
  <c r="AB126" i="1"/>
  <c r="AB131" i="1"/>
  <c r="AB135" i="1"/>
  <c r="AB147" i="1"/>
  <c r="AB128" i="1"/>
  <c r="AB62" i="1"/>
  <c r="AB127" i="1"/>
  <c r="AB81" i="1"/>
  <c r="AB157" i="1"/>
  <c r="AB107" i="1"/>
  <c r="AB66" i="1"/>
  <c r="AB20" i="1"/>
  <c r="AB151" i="1"/>
  <c r="AB139" i="1"/>
  <c r="AB113" i="1"/>
  <c r="AB16" i="1"/>
  <c r="AB129" i="1"/>
  <c r="AB69" i="1"/>
  <c r="AB156" i="1"/>
  <c r="AB70" i="1"/>
  <c r="AB49" i="1"/>
  <c r="AB10" i="1"/>
  <c r="AB71" i="1"/>
  <c r="AB75" i="1"/>
  <c r="AB101" i="1"/>
  <c r="AB18" i="1"/>
  <c r="AB8" i="1"/>
  <c r="AB160" i="1"/>
  <c r="AB99" i="1"/>
  <c r="AB95" i="1"/>
  <c r="AB40" i="1"/>
  <c r="AB158" i="1"/>
  <c r="AB150" i="1"/>
  <c r="AB138" i="1"/>
  <c r="AB100" i="1"/>
  <c r="AB92" i="1"/>
  <c r="AB59" i="1"/>
  <c r="AB27" i="1"/>
  <c r="AB11" i="1"/>
  <c r="BI9" i="16"/>
  <c r="BI30" i="16"/>
  <c r="BQ30" i="16"/>
  <c r="BP30" i="16"/>
  <c r="BO30" i="16"/>
  <c r="BN30" i="16"/>
  <c r="BJ30" i="16"/>
  <c r="BM30" i="16"/>
  <c r="BL30" i="16"/>
  <c r="BK30" i="16"/>
  <c r="BI29" i="16"/>
  <c r="BQ29" i="16"/>
  <c r="BP29" i="16"/>
  <c r="BO29" i="16"/>
  <c r="BN29" i="16"/>
  <c r="BM29" i="16"/>
  <c r="BL29" i="16"/>
  <c r="BK29" i="16"/>
  <c r="BJ29" i="16"/>
  <c r="BQ17" i="16"/>
  <c r="BP17" i="16"/>
  <c r="BO17" i="16"/>
  <c r="BN17" i="16"/>
  <c r="BM17" i="16"/>
  <c r="BL17" i="16"/>
  <c r="BI17" i="16"/>
  <c r="BK17" i="16"/>
  <c r="BJ17" i="16"/>
  <c r="BQ18" i="16"/>
  <c r="BI18" i="16"/>
  <c r="BP18" i="16"/>
  <c r="BO18" i="16"/>
  <c r="BJ18" i="16"/>
  <c r="BN18" i="16"/>
  <c r="BM18" i="16"/>
  <c r="BL18" i="16"/>
  <c r="BK18" i="16"/>
  <c r="BI31" i="16"/>
  <c r="BK31" i="16"/>
  <c r="BQ31" i="16"/>
  <c r="BP31" i="16"/>
  <c r="BO31" i="16"/>
  <c r="BJ31" i="16"/>
  <c r="BN31" i="16"/>
  <c r="BM31" i="16"/>
  <c r="BL31" i="16"/>
  <c r="C2" i="15"/>
  <c r="H7" i="16"/>
  <c r="AH5" i="16"/>
  <c r="BK33" i="16"/>
  <c r="BJ33" i="16"/>
  <c r="BI33" i="16"/>
  <c r="BL33" i="16"/>
  <c r="BQ33" i="16"/>
  <c r="BP33" i="16"/>
  <c r="BO33" i="16"/>
  <c r="BM33" i="16"/>
  <c r="BN33" i="16"/>
  <c r="BL34" i="16"/>
  <c r="BK34" i="16"/>
  <c r="BJ34" i="16"/>
  <c r="BI34" i="16"/>
  <c r="BM34" i="16"/>
  <c r="BN34" i="16"/>
  <c r="BQ34" i="16"/>
  <c r="BP34" i="16"/>
  <c r="BO34" i="16"/>
  <c r="BI19" i="16"/>
  <c r="BJ19" i="16"/>
  <c r="BK19" i="16"/>
  <c r="BQ19" i="16"/>
  <c r="BP19" i="16"/>
  <c r="BO19" i="16"/>
  <c r="BN19" i="16"/>
  <c r="BM19" i="16"/>
  <c r="BL19" i="16"/>
  <c r="BL82" i="16"/>
  <c r="BM82" i="16"/>
  <c r="BN82" i="16"/>
  <c r="BO82" i="16"/>
  <c r="BK82" i="16"/>
  <c r="BP82" i="16"/>
  <c r="BQ82" i="16"/>
  <c r="BJ82" i="16"/>
  <c r="BI82" i="16"/>
  <c r="BJ20" i="16"/>
  <c r="BI20" i="16"/>
  <c r="BQ20" i="16"/>
  <c r="BP20" i="16"/>
  <c r="BL20" i="16"/>
  <c r="BK20" i="16"/>
  <c r="BO20" i="16"/>
  <c r="BN20" i="16"/>
  <c r="BM20" i="16"/>
  <c r="BO37" i="16"/>
  <c r="BQ37" i="16"/>
  <c r="BN37" i="16"/>
  <c r="BM37" i="16"/>
  <c r="BL37" i="16"/>
  <c r="BK37" i="16"/>
  <c r="BJ37" i="16"/>
  <c r="BI37" i="16"/>
  <c r="BP37" i="16"/>
  <c r="BM83" i="16"/>
  <c r="BN83" i="16"/>
  <c r="BO83" i="16"/>
  <c r="BI83" i="16"/>
  <c r="BL83" i="16"/>
  <c r="BP83" i="16"/>
  <c r="BQ83" i="16"/>
  <c r="BJ83" i="16"/>
  <c r="BK83" i="16"/>
  <c r="BI78" i="16"/>
  <c r="BN78" i="16"/>
  <c r="BP78" i="16"/>
  <c r="BK78" i="16"/>
  <c r="BL78" i="16"/>
  <c r="BO78" i="16"/>
  <c r="BQ78" i="16"/>
  <c r="BJ78" i="16"/>
  <c r="BM78" i="16"/>
  <c r="BN60" i="16"/>
  <c r="BM60" i="16"/>
  <c r="BL60" i="16"/>
  <c r="BK60" i="16"/>
  <c r="BJ60" i="16"/>
  <c r="BP60" i="16"/>
  <c r="BI60" i="16"/>
  <c r="BO60" i="16"/>
  <c r="BQ60" i="16"/>
  <c r="BQ53" i="16"/>
  <c r="BP53" i="16"/>
  <c r="BO53" i="16"/>
  <c r="BN53" i="16"/>
  <c r="BM53" i="16"/>
  <c r="BL53" i="16"/>
  <c r="BK53" i="16"/>
  <c r="BI53" i="16"/>
  <c r="BJ53" i="16"/>
  <c r="BO25" i="16"/>
  <c r="BN25" i="16"/>
  <c r="BM25" i="16"/>
  <c r="BP25" i="16"/>
  <c r="BL25" i="16"/>
  <c r="BK25" i="16"/>
  <c r="BQ25" i="16"/>
  <c r="BJ25" i="16"/>
  <c r="BI25" i="16"/>
  <c r="BM35" i="16"/>
  <c r="BL35" i="16"/>
  <c r="BK35" i="16"/>
  <c r="BO35" i="16"/>
  <c r="BN35" i="16"/>
  <c r="BJ35" i="16"/>
  <c r="BI35" i="16"/>
  <c r="BQ35" i="16"/>
  <c r="BP35" i="16"/>
  <c r="BQ76" i="16"/>
  <c r="BP76" i="16"/>
  <c r="BO76" i="16"/>
  <c r="BN76" i="16"/>
  <c r="BM76" i="16"/>
  <c r="BL76" i="16"/>
  <c r="BK76" i="16"/>
  <c r="BJ76" i="16"/>
  <c r="BI76" i="16"/>
  <c r="BQ63" i="16"/>
  <c r="BP63" i="16"/>
  <c r="BO63" i="16"/>
  <c r="BN63" i="16"/>
  <c r="BM63" i="16"/>
  <c r="BL63" i="16"/>
  <c r="BK63" i="16"/>
  <c r="BJ63" i="16"/>
  <c r="BI63" i="16"/>
  <c r="BQ65" i="16"/>
  <c r="BP65" i="16"/>
  <c r="BO65" i="16"/>
  <c r="BN65" i="16"/>
  <c r="BM65" i="16"/>
  <c r="BI65" i="16"/>
  <c r="BL65" i="16"/>
  <c r="BK65" i="16"/>
  <c r="BJ65" i="16"/>
  <c r="BO13" i="16"/>
  <c r="BN13" i="16"/>
  <c r="BM13" i="16"/>
  <c r="BQ13" i="16"/>
  <c r="BP13" i="16"/>
  <c r="BL13" i="16"/>
  <c r="BK13" i="16"/>
  <c r="BJ13" i="16"/>
  <c r="BI13" i="16"/>
  <c r="BQ54" i="16"/>
  <c r="BI54" i="16"/>
  <c r="BP54" i="16"/>
  <c r="BO54" i="16"/>
  <c r="BN54" i="16"/>
  <c r="BJ54" i="16"/>
  <c r="BM54" i="16"/>
  <c r="BL54" i="16"/>
  <c r="BK54" i="16"/>
  <c r="AZ7" i="16"/>
  <c r="BQ42" i="16"/>
  <c r="BJ42" i="16"/>
  <c r="BP42" i="16"/>
  <c r="BO42" i="16"/>
  <c r="BN42" i="16"/>
  <c r="BI42" i="16"/>
  <c r="BM42" i="16"/>
  <c r="BL42" i="16"/>
  <c r="BK42" i="16"/>
  <c r="BQ52" i="16"/>
  <c r="BP52" i="16"/>
  <c r="BO52" i="16"/>
  <c r="BN52" i="16"/>
  <c r="BM52" i="16"/>
  <c r="BL52" i="16"/>
  <c r="BK52" i="16"/>
  <c r="BJ52" i="16"/>
  <c r="BI52" i="16"/>
  <c r="BK45" i="16"/>
  <c r="BM45" i="16"/>
  <c r="BJ45" i="16"/>
  <c r="BL45" i="16"/>
  <c r="BI45" i="16"/>
  <c r="BQ45" i="16"/>
  <c r="BP45" i="16"/>
  <c r="BO45" i="16"/>
  <c r="BN45" i="16"/>
  <c r="BQ39" i="16"/>
  <c r="BP39" i="16"/>
  <c r="BO39" i="16"/>
  <c r="BN39" i="16"/>
  <c r="BM39" i="16"/>
  <c r="BL39" i="16"/>
  <c r="BK39" i="16"/>
  <c r="BJ39" i="16"/>
  <c r="BI39" i="16"/>
  <c r="BC7" i="16"/>
  <c r="BN12" i="16"/>
  <c r="BM12" i="16"/>
  <c r="BL12" i="16"/>
  <c r="BK12" i="16"/>
  <c r="BJ12" i="16"/>
  <c r="BO12" i="16"/>
  <c r="BI12" i="16"/>
  <c r="BP12" i="16"/>
  <c r="BQ12" i="16"/>
  <c r="AY7" i="16"/>
  <c r="BL10" i="16"/>
  <c r="BK10" i="16"/>
  <c r="BN10" i="16"/>
  <c r="BJ10" i="16"/>
  <c r="BI10" i="16"/>
  <c r="BP10" i="16"/>
  <c r="BQ10" i="16"/>
  <c r="BM10" i="16"/>
  <c r="BO10" i="16"/>
  <c r="BL58" i="16"/>
  <c r="BM58" i="16"/>
  <c r="BK58" i="16"/>
  <c r="BJ58" i="16"/>
  <c r="BN58" i="16"/>
  <c r="BI58" i="16"/>
  <c r="BQ58" i="16"/>
  <c r="BP58" i="16"/>
  <c r="BO58" i="16"/>
  <c r="BA7" i="16"/>
  <c r="BQ27" i="16"/>
  <c r="BP27" i="16"/>
  <c r="BO27" i="16"/>
  <c r="BN27" i="16"/>
  <c r="BM27" i="16"/>
  <c r="BL27" i="16"/>
  <c r="BK27" i="16"/>
  <c r="BJ27" i="16"/>
  <c r="BI27" i="16"/>
  <c r="BJ32" i="16"/>
  <c r="BK32" i="16"/>
  <c r="BI32" i="16"/>
  <c r="BL32" i="16"/>
  <c r="BQ32" i="16"/>
  <c r="BP32" i="16"/>
  <c r="BO32" i="16"/>
  <c r="BN32" i="16"/>
  <c r="BM32" i="16"/>
  <c r="BM81" i="16"/>
  <c r="BN81" i="16"/>
  <c r="BP81" i="16"/>
  <c r="BQ81" i="16"/>
  <c r="BO81" i="16"/>
  <c r="BK81" i="16"/>
  <c r="BL81" i="16"/>
  <c r="BJ81" i="16"/>
  <c r="BI81" i="16"/>
  <c r="BJ56" i="16"/>
  <c r="BI56" i="16"/>
  <c r="BQ56" i="16"/>
  <c r="BP56" i="16"/>
  <c r="BK56" i="16"/>
  <c r="BO56" i="16"/>
  <c r="BN56" i="16"/>
  <c r="BM56" i="16"/>
  <c r="BL56" i="16"/>
  <c r="BQ16" i="16"/>
  <c r="BP16" i="16"/>
  <c r="BO16" i="16"/>
  <c r="BN16" i="16"/>
  <c r="BM16" i="16"/>
  <c r="BL16" i="16"/>
  <c r="BK16" i="16"/>
  <c r="BJ16" i="16"/>
  <c r="BI16" i="16"/>
  <c r="BB7" i="16"/>
  <c r="BD7" i="16"/>
  <c r="BK57" i="16"/>
  <c r="BJ57" i="16"/>
  <c r="BM57" i="16"/>
  <c r="BI57" i="16"/>
  <c r="BL57" i="16"/>
  <c r="BQ57" i="16"/>
  <c r="BP57" i="16"/>
  <c r="BO57" i="16"/>
  <c r="BN57" i="16"/>
  <c r="BI43" i="16"/>
  <c r="BJ43" i="16"/>
  <c r="BK43" i="16"/>
  <c r="BQ43" i="16"/>
  <c r="BP43" i="16"/>
  <c r="BO43" i="16"/>
  <c r="BN43" i="16"/>
  <c r="BM43" i="16"/>
  <c r="BL43" i="16"/>
  <c r="BI67" i="16"/>
  <c r="BJ67" i="16"/>
  <c r="BQ67" i="16"/>
  <c r="BP67" i="16"/>
  <c r="BO67" i="16"/>
  <c r="BN67" i="16"/>
  <c r="BM67" i="16"/>
  <c r="BK67" i="16"/>
  <c r="BL67" i="16"/>
  <c r="BL22" i="16"/>
  <c r="BK22" i="16"/>
  <c r="BN22" i="16"/>
  <c r="BM22" i="16"/>
  <c r="BJ22" i="16"/>
  <c r="BI22" i="16"/>
  <c r="BQ22" i="16"/>
  <c r="BP22" i="16"/>
  <c r="BO22" i="16"/>
  <c r="BP74" i="16"/>
  <c r="BO74" i="16"/>
  <c r="BN74" i="16"/>
  <c r="BM74" i="16"/>
  <c r="BL74" i="16"/>
  <c r="BK74" i="16"/>
  <c r="BJ74" i="16"/>
  <c r="BI74" i="16"/>
  <c r="BQ74" i="16"/>
  <c r="BM11" i="16"/>
  <c r="BQ11" i="16"/>
  <c r="BO11" i="16"/>
  <c r="BL11" i="16"/>
  <c r="BK11" i="16"/>
  <c r="BJ11" i="16"/>
  <c r="BN11" i="16"/>
  <c r="BI11" i="16"/>
  <c r="BP11" i="16"/>
  <c r="BO49" i="16"/>
  <c r="BN49" i="16"/>
  <c r="BM49" i="16"/>
  <c r="BL49" i="16"/>
  <c r="BP49" i="16"/>
  <c r="BK49" i="16"/>
  <c r="BJ49" i="16"/>
  <c r="BI49" i="16"/>
  <c r="BQ49" i="16"/>
  <c r="AX7" i="16"/>
  <c r="BL46" i="16"/>
  <c r="BK46" i="16"/>
  <c r="BJ46" i="16"/>
  <c r="BI46" i="16"/>
  <c r="BN46" i="16"/>
  <c r="BQ46" i="16"/>
  <c r="BP46" i="16"/>
  <c r="BM46" i="16"/>
  <c r="BO46" i="16"/>
  <c r="BQ66" i="16"/>
  <c r="BJ66" i="16"/>
  <c r="BI66" i="16"/>
  <c r="BP66" i="16"/>
  <c r="BO66" i="16"/>
  <c r="BN66" i="16"/>
  <c r="BM66" i="16"/>
  <c r="BL66" i="16"/>
  <c r="BK66" i="16"/>
  <c r="BP50" i="16"/>
  <c r="BO50" i="16"/>
  <c r="BN50" i="16"/>
  <c r="BM50" i="16"/>
  <c r="BL50" i="16"/>
  <c r="BK50" i="16"/>
  <c r="BQ50" i="16"/>
  <c r="BJ50" i="16"/>
  <c r="BI50" i="16"/>
  <c r="BQ51" i="16"/>
  <c r="BP51" i="16"/>
  <c r="BO51" i="16"/>
  <c r="BN51" i="16"/>
  <c r="BM51" i="16"/>
  <c r="BL51" i="16"/>
  <c r="BK51" i="16"/>
  <c r="BJ51" i="16"/>
  <c r="BI51" i="16"/>
  <c r="BK21" i="16"/>
  <c r="BM21" i="16"/>
  <c r="BJ21" i="16"/>
  <c r="BI21" i="16"/>
  <c r="BQ21" i="16"/>
  <c r="BP21" i="16"/>
  <c r="BL21" i="16"/>
  <c r="BO21" i="16"/>
  <c r="BN21" i="16"/>
  <c r="BQ64" i="16"/>
  <c r="BP64" i="16"/>
  <c r="BO64" i="16"/>
  <c r="BN64" i="16"/>
  <c r="BM64" i="16"/>
  <c r="BL64" i="16"/>
  <c r="BK64" i="16"/>
  <c r="BJ64" i="16"/>
  <c r="BI64" i="16"/>
  <c r="BM23" i="16"/>
  <c r="BL23" i="16"/>
  <c r="BK23" i="16"/>
  <c r="BJ23" i="16"/>
  <c r="BN23" i="16"/>
  <c r="BI23" i="16"/>
  <c r="BQ23" i="16"/>
  <c r="BO23" i="16"/>
  <c r="BP23" i="16"/>
  <c r="BQ41" i="16"/>
  <c r="BP41" i="16"/>
  <c r="BO41" i="16"/>
  <c r="BN41" i="16"/>
  <c r="BM41" i="16"/>
  <c r="BL41" i="16"/>
  <c r="BK41" i="16"/>
  <c r="BJ41" i="16"/>
  <c r="BI41" i="16"/>
  <c r="BK69" i="16"/>
  <c r="BM69" i="16"/>
  <c r="BJ69" i="16"/>
  <c r="BI69" i="16"/>
  <c r="BL69" i="16"/>
  <c r="BQ69" i="16"/>
  <c r="BP69" i="16"/>
  <c r="BO69" i="16"/>
  <c r="BN69" i="16"/>
  <c r="BP62" i="16"/>
  <c r="BO62" i="16"/>
  <c r="BN62" i="16"/>
  <c r="BM62" i="16"/>
  <c r="BL62" i="16"/>
  <c r="BK62" i="16"/>
  <c r="BJ62" i="16"/>
  <c r="BI62" i="16"/>
  <c r="BQ62" i="16"/>
  <c r="BM47" i="16"/>
  <c r="BL47" i="16"/>
  <c r="BK47" i="16"/>
  <c r="BO47" i="16"/>
  <c r="BN47" i="16"/>
  <c r="BJ47" i="16"/>
  <c r="BI47" i="16"/>
  <c r="BQ47" i="16"/>
  <c r="BP47" i="16"/>
  <c r="BP14" i="16"/>
  <c r="BO14" i="16"/>
  <c r="BN14" i="16"/>
  <c r="BM14" i="16"/>
  <c r="BL14" i="16"/>
  <c r="BK14" i="16"/>
  <c r="BQ14" i="16"/>
  <c r="BJ14" i="16"/>
  <c r="BI14" i="16"/>
  <c r="BN72" i="16"/>
  <c r="BM72" i="16"/>
  <c r="BO72" i="16"/>
  <c r="BL72" i="16"/>
  <c r="BK72" i="16"/>
  <c r="BJ72" i="16"/>
  <c r="BP72" i="16"/>
  <c r="BI72" i="16"/>
  <c r="BQ72" i="16"/>
  <c r="BM59" i="16"/>
  <c r="BL59" i="16"/>
  <c r="BK59" i="16"/>
  <c r="BJ59" i="16"/>
  <c r="BO59" i="16"/>
  <c r="BI59" i="16"/>
  <c r="BN59" i="16"/>
  <c r="BQ59" i="16"/>
  <c r="BP59" i="16"/>
  <c r="BN24" i="16"/>
  <c r="BM24" i="16"/>
  <c r="BL24" i="16"/>
  <c r="BP24" i="16"/>
  <c r="BK24" i="16"/>
  <c r="BJ24" i="16"/>
  <c r="BO24" i="16"/>
  <c r="BI24" i="16"/>
  <c r="BQ24" i="16"/>
  <c r="BJ68" i="16"/>
  <c r="BI68" i="16"/>
  <c r="BL68" i="16"/>
  <c r="BQ68" i="16"/>
  <c r="BP68" i="16"/>
  <c r="BO68" i="16"/>
  <c r="BN68" i="16"/>
  <c r="BK68" i="16"/>
  <c r="BM68" i="16"/>
  <c r="BK9" i="16"/>
  <c r="BJ9" i="16"/>
  <c r="BL9" i="16"/>
  <c r="BO9" i="16"/>
  <c r="BQ9" i="16"/>
  <c r="BP9" i="16"/>
  <c r="BM9" i="16"/>
  <c r="BN9" i="16"/>
  <c r="BE7" i="16"/>
  <c r="BJ44" i="16"/>
  <c r="BI44" i="16"/>
  <c r="BQ44" i="16"/>
  <c r="BP44" i="16"/>
  <c r="BO44" i="16"/>
  <c r="BK44" i="16"/>
  <c r="BN44" i="16"/>
  <c r="BL44" i="16"/>
  <c r="BM44" i="16"/>
  <c r="BL70" i="16"/>
  <c r="BK70" i="16"/>
  <c r="BJ70" i="16"/>
  <c r="BM70" i="16"/>
  <c r="BI70" i="16"/>
  <c r="BN70" i="16"/>
  <c r="BQ70" i="16"/>
  <c r="BP70" i="16"/>
  <c r="BO70" i="16"/>
  <c r="BQ15" i="16"/>
  <c r="BP15" i="16"/>
  <c r="BO15" i="16"/>
  <c r="BN15" i="16"/>
  <c r="BM15" i="16"/>
  <c r="BL15" i="16"/>
  <c r="BK15" i="16"/>
  <c r="BJ15" i="16"/>
  <c r="BI15" i="16"/>
  <c r="BN48" i="16"/>
  <c r="BM48" i="16"/>
  <c r="BL48" i="16"/>
  <c r="BK48" i="16"/>
  <c r="BJ48" i="16"/>
  <c r="BP48" i="16"/>
  <c r="BO48" i="16"/>
  <c r="BI48" i="16"/>
  <c r="BQ48" i="16"/>
  <c r="BQ75" i="16"/>
  <c r="BP75" i="16"/>
  <c r="BO75" i="16"/>
  <c r="BN75" i="16"/>
  <c r="BM75" i="16"/>
  <c r="BL75" i="16"/>
  <c r="BK75" i="16"/>
  <c r="BJ75" i="16"/>
  <c r="BI75" i="16"/>
  <c r="BO61" i="16"/>
  <c r="BQ61" i="16"/>
  <c r="BN61" i="16"/>
  <c r="BM61" i="16"/>
  <c r="BL61" i="16"/>
  <c r="BP61" i="16"/>
  <c r="BK61" i="16"/>
  <c r="BJ61" i="16"/>
  <c r="BI61" i="16"/>
  <c r="BP38" i="16"/>
  <c r="BO38" i="16"/>
  <c r="BQ38" i="16"/>
  <c r="BN38" i="16"/>
  <c r="BM38" i="16"/>
  <c r="BL38" i="16"/>
  <c r="BK38" i="16"/>
  <c r="BJ38" i="16"/>
  <c r="BI38" i="16"/>
  <c r="BQ77" i="16"/>
  <c r="BP77" i="16"/>
  <c r="BO77" i="16"/>
  <c r="BN77" i="16"/>
  <c r="BM77" i="16"/>
  <c r="BL77" i="16"/>
  <c r="BK77" i="16"/>
  <c r="BJ77" i="16"/>
  <c r="BI77" i="16"/>
  <c r="BJ80" i="16"/>
  <c r="BN80" i="16"/>
  <c r="BK80" i="16"/>
  <c r="BL80" i="16"/>
  <c r="BM80" i="16"/>
  <c r="BP80" i="16"/>
  <c r="BQ80" i="16"/>
  <c r="BO80" i="16"/>
  <c r="BI80" i="16"/>
  <c r="BO73" i="16"/>
  <c r="BN73" i="16"/>
  <c r="BM73" i="16"/>
  <c r="BQ73" i="16"/>
  <c r="BL73" i="16"/>
  <c r="BK73" i="16"/>
  <c r="BJ73" i="16"/>
  <c r="BI73" i="16"/>
  <c r="BP73" i="16"/>
  <c r="BQ40" i="16"/>
  <c r="BP40" i="16"/>
  <c r="BO40" i="16"/>
  <c r="BN40" i="16"/>
  <c r="BM40" i="16"/>
  <c r="BL40" i="16"/>
  <c r="BK40" i="16"/>
  <c r="BJ40" i="16"/>
  <c r="BI40" i="16"/>
  <c r="BI55" i="16"/>
  <c r="BQ55" i="16"/>
  <c r="BP55" i="16"/>
  <c r="BK55" i="16"/>
  <c r="BO55" i="16"/>
  <c r="BN55" i="16"/>
  <c r="BM55" i="16"/>
  <c r="BJ55" i="16"/>
  <c r="BL55" i="16"/>
  <c r="BM71" i="16"/>
  <c r="BL71" i="16"/>
  <c r="BK71" i="16"/>
  <c r="BJ71" i="16"/>
  <c r="BI71" i="16"/>
  <c r="BN71" i="16"/>
  <c r="BO71" i="16"/>
  <c r="BQ71" i="16"/>
  <c r="BP71" i="16"/>
  <c r="BO79" i="16"/>
  <c r="BQ79" i="16"/>
  <c r="BK79" i="16"/>
  <c r="BM79" i="16"/>
  <c r="BI79" i="16"/>
  <c r="BL79" i="16"/>
  <c r="BP79" i="16"/>
  <c r="BN79" i="16"/>
  <c r="BJ79" i="16"/>
  <c r="BP26" i="16"/>
  <c r="BO26" i="16"/>
  <c r="BN26" i="16"/>
  <c r="BM26" i="16"/>
  <c r="BL26" i="16"/>
  <c r="BK26" i="16"/>
  <c r="BQ26" i="16"/>
  <c r="BJ26" i="16"/>
  <c r="BI26" i="16"/>
  <c r="BQ28" i="16"/>
  <c r="BP28" i="16"/>
  <c r="BO28" i="16"/>
  <c r="BN28" i="16"/>
  <c r="BM28" i="16"/>
  <c r="BL28" i="16"/>
  <c r="BK28" i="16"/>
  <c r="BJ28" i="16"/>
  <c r="BI28" i="16"/>
  <c r="BJ8" i="16"/>
  <c r="BI8" i="16"/>
  <c r="BQ8" i="16"/>
  <c r="BL8" i="16"/>
  <c r="BN8" i="16"/>
  <c r="BP8" i="16"/>
  <c r="BO8" i="16"/>
  <c r="BK8" i="16"/>
  <c r="BM8" i="16"/>
  <c r="AW7" i="16"/>
  <c r="F6" i="15"/>
  <c r="AB109" i="1"/>
  <c r="AB159" i="1"/>
  <c r="AB123" i="1"/>
  <c r="AB80" i="1"/>
  <c r="AB72" i="1"/>
  <c r="AB98" i="1"/>
  <c r="AB53" i="1"/>
  <c r="AB19" i="1"/>
  <c r="AB130" i="1"/>
  <c r="AB146" i="1"/>
  <c r="AB117" i="1"/>
  <c r="AB56" i="1"/>
  <c r="AB144" i="1"/>
  <c r="AB137" i="1"/>
  <c r="AB85" i="1"/>
  <c r="AB68" i="1"/>
  <c r="AB106" i="1"/>
  <c r="AB23" i="1"/>
  <c r="AB65" i="1"/>
  <c r="AB73" i="1"/>
  <c r="AB104" i="1"/>
  <c r="AB134" i="1"/>
  <c r="AB26" i="1"/>
  <c r="AB161" i="1"/>
  <c r="AB61" i="1"/>
  <c r="AB78" i="1"/>
  <c r="AB43" i="1"/>
  <c r="AB153" i="1"/>
  <c r="AB67" i="1"/>
  <c r="AB145" i="1"/>
  <c r="AB60" i="1"/>
  <c r="AB125" i="1"/>
  <c r="AB140" i="1"/>
  <c r="AB143" i="1"/>
  <c r="AB102" i="1"/>
  <c r="AB141" i="1"/>
  <c r="AB84" i="1"/>
  <c r="AB76" i="1"/>
  <c r="AB64" i="1"/>
  <c r="AB42" i="1"/>
  <c r="AB41" i="1"/>
  <c r="AB9" i="1"/>
  <c r="AB79" i="1"/>
  <c r="AB97" i="1"/>
  <c r="AB45" i="1"/>
  <c r="AB93" i="1"/>
  <c r="AB52" i="1"/>
  <c r="AB82" i="1"/>
  <c r="AB74" i="1"/>
  <c r="AB35" i="1"/>
  <c r="AB51" i="1"/>
  <c r="AB142" i="1"/>
  <c r="AB154" i="1"/>
  <c r="AB121" i="1"/>
  <c r="AB162" i="1"/>
  <c r="AB91" i="1"/>
  <c r="AB12" i="1"/>
  <c r="AB36" i="1"/>
  <c r="AB34" i="1"/>
  <c r="AB111" i="1"/>
  <c r="AB38" i="1"/>
  <c r="AB33" i="1"/>
  <c r="AB29" i="1"/>
  <c r="AB148" i="1"/>
  <c r="AB6" i="1"/>
  <c r="AB57" i="1"/>
  <c r="AB31" i="1"/>
  <c r="H6" i="15"/>
  <c r="J6" i="15" s="1"/>
  <c r="Q44" i="23"/>
  <c r="U8" i="24"/>
  <c r="Y44" i="23"/>
  <c r="CU43" i="23"/>
  <c r="CT43" i="23"/>
  <c r="K44" i="23"/>
  <c r="BP20" i="17"/>
  <c r="BO30" i="17"/>
  <c r="BQ30" i="17" s="1"/>
  <c r="K41" i="15"/>
  <c r="L41" i="15" s="1"/>
  <c r="K17" i="15"/>
  <c r="L17" i="15" s="1"/>
  <c r="K9" i="15"/>
  <c r="L9" i="15" s="1"/>
  <c r="K63" i="15"/>
  <c r="L63" i="15" s="1"/>
  <c r="K61" i="15"/>
  <c r="K47" i="15"/>
  <c r="M47" i="15" s="1"/>
  <c r="N47" i="15" s="1"/>
  <c r="K51" i="15"/>
  <c r="L51" i="15" s="1"/>
  <c r="K57" i="15"/>
  <c r="K50" i="15"/>
  <c r="L50" i="15" s="1"/>
  <c r="K53" i="15"/>
  <c r="L53" i="15" s="1"/>
  <c r="K43" i="15"/>
  <c r="K8" i="15"/>
  <c r="L8" i="15" s="1"/>
  <c r="K42" i="15"/>
  <c r="L42" i="15" s="1"/>
  <c r="L112" i="17"/>
  <c r="AH112" i="17" s="1"/>
  <c r="L99" i="17"/>
  <c r="L97" i="17"/>
  <c r="AH97" i="17" s="1"/>
  <c r="BO122" i="17"/>
  <c r="BQ122" i="17" s="1"/>
  <c r="BO95" i="17"/>
  <c r="BQ95" i="17" s="1"/>
  <c r="BO91" i="17"/>
  <c r="BQ91" i="17" s="1"/>
  <c r="BO129" i="17"/>
  <c r="BQ129" i="17" s="1"/>
  <c r="BO39" i="17"/>
  <c r="BQ39" i="17" s="1"/>
  <c r="BO118" i="17"/>
  <c r="BQ118" i="17" s="1"/>
  <c r="BO32" i="17"/>
  <c r="BQ32" i="17" s="1"/>
  <c r="BO37" i="17"/>
  <c r="BQ37" i="17" s="1"/>
  <c r="BO85" i="17"/>
  <c r="BQ85" i="17" s="1"/>
  <c r="BO29" i="17"/>
  <c r="BQ29" i="17" s="1"/>
  <c r="BO96" i="17"/>
  <c r="BQ96" i="17" s="1"/>
  <c r="BO111" i="17"/>
  <c r="BQ111" i="17" s="1"/>
  <c r="BO94" i="17"/>
  <c r="BQ94" i="17" s="1"/>
  <c r="BO106" i="17"/>
  <c r="BQ106" i="17" s="1"/>
  <c r="BO121" i="17"/>
  <c r="BQ121" i="17" s="1"/>
  <c r="BO110" i="17"/>
  <c r="BQ110" i="17" s="1"/>
  <c r="BO128" i="17"/>
  <c r="BQ128" i="17" s="1"/>
  <c r="BO127" i="17"/>
  <c r="BQ127" i="17" s="1"/>
  <c r="BO123" i="17"/>
  <c r="BQ123" i="17" s="1"/>
  <c r="BO112" i="17"/>
  <c r="BQ112" i="17" s="1"/>
  <c r="BO124" i="17"/>
  <c r="BQ124" i="17" s="1"/>
  <c r="BO19" i="17"/>
  <c r="BQ19" i="17" s="1"/>
  <c r="BO35" i="17"/>
  <c r="BQ35" i="17" s="1"/>
  <c r="BO93" i="17"/>
  <c r="BQ93" i="17" s="1"/>
  <c r="BO109" i="17"/>
  <c r="BQ109" i="17" s="1"/>
  <c r="BO126" i="17"/>
  <c r="BQ126" i="17" s="1"/>
  <c r="BO99" i="17"/>
  <c r="BQ99" i="17" s="1"/>
  <c r="BP122" i="17"/>
  <c r="BR122" i="17" s="1"/>
  <c r="BP39" i="17"/>
  <c r="BP90" i="17"/>
  <c r="BR90" i="17" s="1"/>
  <c r="K25" i="15"/>
  <c r="L25" i="15" s="1"/>
  <c r="K19" i="15"/>
  <c r="L19" i="15" s="1"/>
  <c r="K45" i="15"/>
  <c r="L45" i="15" s="1"/>
  <c r="K38" i="15"/>
  <c r="L38" i="15" s="1"/>
  <c r="K14" i="15"/>
  <c r="A6" i="18"/>
  <c r="A82" i="18"/>
  <c r="R44" i="23"/>
  <c r="S44" i="23"/>
  <c r="AA44" i="23"/>
  <c r="AO127" i="17"/>
  <c r="T127" i="17" s="1"/>
  <c r="K32" i="15"/>
  <c r="L32" i="15" s="1"/>
  <c r="K12" i="15"/>
  <c r="K54" i="15"/>
  <c r="L54" i="15" s="1"/>
  <c r="K58" i="15"/>
  <c r="L58" i="15" s="1"/>
  <c r="K59" i="15"/>
  <c r="L59" i="15" s="1"/>
  <c r="K31" i="15"/>
  <c r="L31" i="15" s="1"/>
  <c r="K23" i="15"/>
  <c r="K22" i="15"/>
  <c r="L22" i="15" s="1"/>
  <c r="K46" i="15"/>
  <c r="K37" i="15"/>
  <c r="L37" i="15" s="1"/>
  <c r="AO20" i="17"/>
  <c r="T20" i="17" s="1"/>
  <c r="AO80" i="17"/>
  <c r="T80" i="17" s="1"/>
  <c r="AO77" i="17"/>
  <c r="T77" i="17" s="1"/>
  <c r="M40" i="15"/>
  <c r="N40" i="15" s="1"/>
  <c r="L116" i="17"/>
  <c r="AH116" i="17" s="1"/>
  <c r="L30" i="17"/>
  <c r="L98" i="17"/>
  <c r="AH98" i="17" s="1"/>
  <c r="A15" i="18"/>
  <c r="A40" i="18"/>
  <c r="A62" i="18"/>
  <c r="L104" i="17"/>
  <c r="AH104" i="17" s="1"/>
  <c r="L115" i="17"/>
  <c r="AH115" i="17" s="1"/>
  <c r="L92" i="17"/>
  <c r="AH92" i="17" s="1"/>
  <c r="A18" i="18"/>
  <c r="A83" i="18"/>
  <c r="A14" i="18"/>
  <c r="L106" i="17"/>
  <c r="AH106" i="17" s="1"/>
  <c r="L111" i="17"/>
  <c r="AH111" i="17" s="1"/>
  <c r="L109" i="17"/>
  <c r="AH109" i="17" s="1"/>
  <c r="L102" i="17"/>
  <c r="AH102" i="17" s="1"/>
  <c r="A66" i="18"/>
  <c r="A45" i="18"/>
  <c r="A91" i="18"/>
  <c r="L30" i="15"/>
  <c r="BP100" i="17"/>
  <c r="BP21" i="17"/>
  <c r="BR21" i="17" s="1"/>
  <c r="BP96" i="17"/>
  <c r="BP112" i="17"/>
  <c r="BP128" i="17"/>
  <c r="BP127" i="17"/>
  <c r="BP27" i="17"/>
  <c r="BR27" i="17" s="1"/>
  <c r="BP25" i="17"/>
  <c r="BP81" i="17"/>
  <c r="BP97" i="17"/>
  <c r="BP113" i="17"/>
  <c r="BP121" i="17"/>
  <c r="A89" i="18"/>
  <c r="A87" i="18"/>
  <c r="A72" i="18"/>
  <c r="A54" i="18"/>
  <c r="A63" i="18"/>
  <c r="A75" i="18"/>
  <c r="A78" i="18"/>
  <c r="A7" i="18"/>
  <c r="A77" i="18"/>
  <c r="A25" i="18"/>
  <c r="A49" i="18"/>
  <c r="BP110" i="17"/>
  <c r="BO33" i="17"/>
  <c r="BQ33" i="17" s="1"/>
  <c r="BO125" i="17"/>
  <c r="BQ125" i="17" s="1"/>
  <c r="BO38" i="17"/>
  <c r="BQ38" i="17" s="1"/>
  <c r="BO100" i="17"/>
  <c r="BQ100" i="17" s="1"/>
  <c r="BO114" i="17"/>
  <c r="BQ114" i="17" s="1"/>
  <c r="BO27" i="17"/>
  <c r="BQ27" i="17" s="1"/>
  <c r="BO28" i="17"/>
  <c r="BQ28" i="17" s="1"/>
  <c r="BO36" i="17"/>
  <c r="BQ36" i="17" s="1"/>
  <c r="BO115" i="17"/>
  <c r="BQ115" i="17" s="1"/>
  <c r="BO119" i="17"/>
  <c r="BQ119" i="17" s="1"/>
  <c r="BO108" i="17"/>
  <c r="BQ108" i="17" s="1"/>
  <c r="BO89" i="17"/>
  <c r="BQ89" i="17" s="1"/>
  <c r="BO77" i="17"/>
  <c r="BQ77" i="17" s="1"/>
  <c r="BO92" i="17"/>
  <c r="BQ92" i="17" s="1"/>
  <c r="BO76" i="17"/>
  <c r="BQ76" i="17" s="1"/>
  <c r="BO79" i="17"/>
  <c r="BQ79" i="17" s="1"/>
  <c r="BO83" i="17"/>
  <c r="BQ83" i="17" s="1"/>
  <c r="BO104" i="17"/>
  <c r="BQ104" i="17" s="1"/>
  <c r="BO31" i="17"/>
  <c r="BQ31" i="17" s="1"/>
  <c r="BO102" i="17"/>
  <c r="BQ102" i="17" s="1"/>
  <c r="BO88" i="17"/>
  <c r="BQ88" i="17" s="1"/>
  <c r="BO34" i="17"/>
  <c r="BQ34" i="17" s="1"/>
  <c r="BO98" i="17"/>
  <c r="BQ98" i="17" s="1"/>
  <c r="BO103" i="17"/>
  <c r="BQ103" i="17" s="1"/>
  <c r="BO117" i="17"/>
  <c r="BQ117" i="17" s="1"/>
  <c r="BO113" i="17"/>
  <c r="BQ113" i="17" s="1"/>
  <c r="BO81" i="17"/>
  <c r="BQ81" i="17" s="1"/>
  <c r="BO84" i="17"/>
  <c r="BQ84" i="17" s="1"/>
  <c r="BO105" i="17"/>
  <c r="BQ105" i="17" s="1"/>
  <c r="BO82" i="17"/>
  <c r="BQ82" i="17" s="1"/>
  <c r="BO90" i="17"/>
  <c r="BQ90" i="17" s="1"/>
  <c r="BO87" i="17"/>
  <c r="BQ87" i="17" s="1"/>
  <c r="BO40" i="17"/>
  <c r="BQ40" i="17" s="1"/>
  <c r="BO97" i="17"/>
  <c r="BQ97" i="17" s="1"/>
  <c r="BO86" i="17"/>
  <c r="BQ86" i="17" s="1"/>
  <c r="BO107" i="17"/>
  <c r="BQ107" i="17" s="1"/>
  <c r="BO116" i="17"/>
  <c r="BQ116" i="17" s="1"/>
  <c r="I110" i="17"/>
  <c r="J110" i="17" s="1"/>
  <c r="P24" i="17"/>
  <c r="AL24" i="17" s="1"/>
  <c r="P26" i="17"/>
  <c r="AL26" i="17" s="1"/>
  <c r="P120" i="17"/>
  <c r="AL120" i="17" s="1"/>
  <c r="P78" i="17"/>
  <c r="AL78" i="17" s="1"/>
  <c r="P86" i="17"/>
  <c r="AL86" i="17" s="1"/>
  <c r="P79" i="17"/>
  <c r="AL79" i="17" s="1"/>
  <c r="P114" i="17"/>
  <c r="AL114" i="17" s="1"/>
  <c r="P92" i="17"/>
  <c r="AL92" i="17" s="1"/>
  <c r="P31" i="17"/>
  <c r="AL31" i="17" s="1"/>
  <c r="P93" i="17"/>
  <c r="AL93" i="17" s="1"/>
  <c r="P126" i="17"/>
  <c r="AL126" i="17" s="1"/>
  <c r="P83" i="17"/>
  <c r="AL83" i="17" s="1"/>
  <c r="P94" i="17"/>
  <c r="AL94" i="17" s="1"/>
  <c r="P40" i="17"/>
  <c r="AL40" i="17" s="1"/>
  <c r="P19" i="17"/>
  <c r="AL19" i="17" s="1"/>
  <c r="P87" i="17"/>
  <c r="AL87" i="17" s="1"/>
  <c r="P108" i="17"/>
  <c r="AL108" i="17" s="1"/>
  <c r="P37" i="17"/>
  <c r="AL37" i="17" s="1"/>
  <c r="P107" i="17"/>
  <c r="AL107" i="17" s="1"/>
  <c r="P22" i="17"/>
  <c r="AL22" i="17" s="1"/>
  <c r="P23" i="17"/>
  <c r="AL23" i="17" s="1"/>
  <c r="P124" i="17"/>
  <c r="AL124" i="17" s="1"/>
  <c r="P105" i="17"/>
  <c r="AL105" i="17" s="1"/>
  <c r="P35" i="17"/>
  <c r="AL35" i="17" s="1"/>
  <c r="P81" i="17"/>
  <c r="AL81" i="17" s="1"/>
  <c r="P39" i="17"/>
  <c r="AL39" i="17" s="1"/>
  <c r="P91" i="17"/>
  <c r="AL91" i="17" s="1"/>
  <c r="P99" i="17"/>
  <c r="AL99" i="17" s="1"/>
  <c r="P104" i="17"/>
  <c r="AL104" i="17" s="1"/>
  <c r="P25" i="17"/>
  <c r="AL25" i="17" s="1"/>
  <c r="P20" i="17"/>
  <c r="AL20" i="17" s="1"/>
  <c r="P28" i="17"/>
  <c r="AL28" i="17" s="1"/>
  <c r="P32" i="17"/>
  <c r="AL32" i="17" s="1"/>
  <c r="P115" i="17"/>
  <c r="AL115" i="17" s="1"/>
  <c r="P102" i="17"/>
  <c r="AL102" i="17" s="1"/>
  <c r="P88" i="17"/>
  <c r="AL88" i="17" s="1"/>
  <c r="P118" i="17"/>
  <c r="AL118" i="17" s="1"/>
  <c r="P122" i="17"/>
  <c r="AL122" i="17" s="1"/>
  <c r="P30" i="17"/>
  <c r="AL30" i="17" s="1"/>
  <c r="P89" i="17"/>
  <c r="AL89" i="17" s="1"/>
  <c r="P27" i="17"/>
  <c r="AL27" i="17" s="1"/>
  <c r="P38" i="17"/>
  <c r="AL38" i="17" s="1"/>
  <c r="P121" i="17"/>
  <c r="AL121" i="17" s="1"/>
  <c r="P76" i="17"/>
  <c r="AL76" i="17" s="1"/>
  <c r="P113" i="17"/>
  <c r="AL113" i="17" s="1"/>
  <c r="P127" i="17"/>
  <c r="AL127" i="17" s="1"/>
  <c r="P116" i="17"/>
  <c r="AL116" i="17" s="1"/>
  <c r="P103" i="17"/>
  <c r="AL103" i="17" s="1"/>
  <c r="P34" i="17"/>
  <c r="AL34" i="17" s="1"/>
  <c r="P82" i="17"/>
  <c r="AL82" i="17" s="1"/>
  <c r="P123" i="17"/>
  <c r="AL123" i="17" s="1"/>
  <c r="P111" i="17"/>
  <c r="P97" i="17"/>
  <c r="AL97" i="17" s="1"/>
  <c r="P112" i="17"/>
  <c r="AL112" i="17" s="1"/>
  <c r="P125" i="17"/>
  <c r="AL125" i="17" s="1"/>
  <c r="P21" i="17"/>
  <c r="AL21" i="17" s="1"/>
  <c r="P128" i="17"/>
  <c r="AL128" i="17" s="1"/>
  <c r="P33" i="17"/>
  <c r="AL33" i="17" s="1"/>
  <c r="P36" i="17"/>
  <c r="P106" i="17"/>
  <c r="AL106" i="17" s="1"/>
  <c r="P100" i="17"/>
  <c r="AL100" i="17" s="1"/>
  <c r="P119" i="17"/>
  <c r="AL119" i="17" s="1"/>
  <c r="P109" i="17"/>
  <c r="AL109" i="17" s="1"/>
  <c r="P90" i="17"/>
  <c r="AL90" i="17" s="1"/>
  <c r="P101" i="17"/>
  <c r="AL101" i="17" s="1"/>
  <c r="P29" i="17"/>
  <c r="AL29" i="17" s="1"/>
  <c r="P129" i="17"/>
  <c r="AL129" i="17" s="1"/>
  <c r="P85" i="17"/>
  <c r="AL85" i="17" s="1"/>
  <c r="P77" i="17"/>
  <c r="AL77" i="17" s="1"/>
  <c r="P96" i="17"/>
  <c r="AL96" i="17" s="1"/>
  <c r="P80" i="17"/>
  <c r="AL80" i="17" s="1"/>
  <c r="P117" i="17"/>
  <c r="AL117" i="17" s="1"/>
  <c r="P95" i="17"/>
  <c r="AL95" i="17" s="1"/>
  <c r="P84" i="17"/>
  <c r="AL84" i="17" s="1"/>
  <c r="P110" i="17"/>
  <c r="AL110" i="17" s="1"/>
  <c r="P98" i="17"/>
  <c r="AL98" i="17" s="1"/>
  <c r="N86" i="17"/>
  <c r="AJ86" i="17" s="1"/>
  <c r="N23" i="17"/>
  <c r="AJ23" i="17" s="1"/>
  <c r="N22" i="17"/>
  <c r="AJ22" i="17" s="1"/>
  <c r="N127" i="17"/>
  <c r="AJ127" i="17" s="1"/>
  <c r="N91" i="17"/>
  <c r="AJ91" i="17" s="1"/>
  <c r="N114" i="17"/>
  <c r="AJ114" i="17" s="1"/>
  <c r="N129" i="17"/>
  <c r="AJ129" i="17" s="1"/>
  <c r="N128" i="17"/>
  <c r="AJ128" i="17" s="1"/>
  <c r="N102" i="17"/>
  <c r="AJ102" i="17" s="1"/>
  <c r="N83" i="17"/>
  <c r="AJ83" i="17" s="1"/>
  <c r="N89" i="17"/>
  <c r="AJ89" i="17" s="1"/>
  <c r="N87" i="17"/>
  <c r="AJ87" i="17" s="1"/>
  <c r="N123" i="17"/>
  <c r="AJ123" i="17" s="1"/>
  <c r="N40" i="17"/>
  <c r="AJ40" i="17" s="1"/>
  <c r="N118" i="17"/>
  <c r="N103" i="17"/>
  <c r="AJ103" i="17" s="1"/>
  <c r="N25" i="17"/>
  <c r="AJ25" i="17" s="1"/>
  <c r="N104" i="17"/>
  <c r="AJ104" i="17" s="1"/>
  <c r="N77" i="17"/>
  <c r="AJ77" i="17" s="1"/>
  <c r="N79" i="17"/>
  <c r="AJ79" i="17" s="1"/>
  <c r="N92" i="17"/>
  <c r="AJ92" i="17" s="1"/>
  <c r="N96" i="17"/>
  <c r="AJ96" i="17" s="1"/>
  <c r="N39" i="17"/>
  <c r="AJ39" i="17" s="1"/>
  <c r="N121" i="17"/>
  <c r="AJ121" i="17" s="1"/>
  <c r="N26" i="17"/>
  <c r="AJ26" i="17" s="1"/>
  <c r="N24" i="17"/>
  <c r="AJ24" i="17" s="1"/>
  <c r="N78" i="17"/>
  <c r="AJ78" i="17" s="1"/>
  <c r="N113" i="17"/>
  <c r="N108" i="17"/>
  <c r="AJ108" i="17" s="1"/>
  <c r="N124" i="17"/>
  <c r="AJ124" i="17" s="1"/>
  <c r="N31" i="17"/>
  <c r="AJ31" i="17" s="1"/>
  <c r="N37" i="17"/>
  <c r="AJ37" i="17" s="1"/>
  <c r="N115" i="17"/>
  <c r="N109" i="17"/>
  <c r="AJ109" i="17" s="1"/>
  <c r="N85" i="17"/>
  <c r="AJ85" i="17" s="1"/>
  <c r="N117" i="17"/>
  <c r="AJ117" i="17" s="1"/>
  <c r="N111" i="17"/>
  <c r="AJ111" i="17" s="1"/>
  <c r="N81" i="17"/>
  <c r="AJ81" i="17" s="1"/>
  <c r="N19" i="17"/>
  <c r="AJ19" i="17" s="1"/>
  <c r="N36" i="17"/>
  <c r="AJ36" i="17" s="1"/>
  <c r="N95" i="17"/>
  <c r="N99" i="17"/>
  <c r="AJ99" i="17" s="1"/>
  <c r="N21" i="17"/>
  <c r="AJ21" i="17" s="1"/>
  <c r="N35" i="17"/>
  <c r="AJ35" i="17" s="1"/>
  <c r="N112" i="17"/>
  <c r="AJ112" i="17" s="1"/>
  <c r="N88" i="17"/>
  <c r="N38" i="17"/>
  <c r="AJ38" i="17" s="1"/>
  <c r="N93" i="17"/>
  <c r="AJ93" i="17" s="1"/>
  <c r="N84" i="17"/>
  <c r="N105" i="17"/>
  <c r="AJ105" i="17" s="1"/>
  <c r="N97" i="17"/>
  <c r="AJ97" i="17" s="1"/>
  <c r="N125" i="17"/>
  <c r="AJ125" i="17" s="1"/>
  <c r="N90" i="17"/>
  <c r="AJ90" i="17" s="1"/>
  <c r="N29" i="17"/>
  <c r="N106" i="17"/>
  <c r="AJ106" i="17" s="1"/>
  <c r="N32" i="17"/>
  <c r="AJ32" i="17" s="1"/>
  <c r="N34" i="17"/>
  <c r="N110" i="17"/>
  <c r="AJ110" i="17" s="1"/>
  <c r="N122" i="17"/>
  <c r="AJ122" i="17" s="1"/>
  <c r="N33" i="17"/>
  <c r="AJ33" i="17" s="1"/>
  <c r="N119" i="17"/>
  <c r="AJ119" i="17" s="1"/>
  <c r="N126" i="17"/>
  <c r="AJ126" i="17" s="1"/>
  <c r="L79" i="17"/>
  <c r="L121" i="17"/>
  <c r="L123" i="17"/>
  <c r="AH123" i="17" s="1"/>
  <c r="L85" i="17"/>
  <c r="L40" i="17"/>
  <c r="AH40" i="17" s="1"/>
  <c r="L129" i="17"/>
  <c r="L37" i="17"/>
  <c r="AH37" i="17" s="1"/>
  <c r="L118" i="17"/>
  <c r="AH118" i="17" s="1"/>
  <c r="L25" i="17"/>
  <c r="L108" i="17"/>
  <c r="AH108" i="17" s="1"/>
  <c r="L86" i="17"/>
  <c r="AH86" i="17" s="1"/>
  <c r="L114" i="17"/>
  <c r="L29" i="17"/>
  <c r="AH29" i="17" s="1"/>
  <c r="L83" i="17"/>
  <c r="AH83" i="17" s="1"/>
  <c r="L95" i="17"/>
  <c r="AH95" i="17" s="1"/>
  <c r="L105" i="17"/>
  <c r="L100" i="17"/>
  <c r="L90" i="17"/>
  <c r="AH90" i="17" s="1"/>
  <c r="L28" i="17"/>
  <c r="L34" i="17"/>
  <c r="L80" i="17"/>
  <c r="L119" i="17"/>
  <c r="L81" i="17"/>
  <c r="AH81" i="17" s="1"/>
  <c r="L20" i="17"/>
  <c r="AH20" i="17" s="1"/>
  <c r="L33" i="17"/>
  <c r="AH33" i="17" s="1"/>
  <c r="L32" i="17"/>
  <c r="AH32" i="17" s="1"/>
  <c r="L107" i="17"/>
  <c r="AH107" i="17" s="1"/>
  <c r="L93" i="17"/>
  <c r="L120" i="17"/>
  <c r="L31" i="17"/>
  <c r="AH31" i="17" s="1"/>
  <c r="L127" i="17"/>
  <c r="AH127" i="17" s="1"/>
  <c r="L124" i="17"/>
  <c r="L39" i="17"/>
  <c r="AH39" i="17" s="1"/>
  <c r="L122" i="17"/>
  <c r="L84" i="17"/>
  <c r="AH84" i="17" s="1"/>
  <c r="L88" i="17"/>
  <c r="AH88" i="17" s="1"/>
  <c r="L89" i="17"/>
  <c r="L82" i="17"/>
  <c r="AH82" i="17" s="1"/>
  <c r="L125" i="17"/>
  <c r="AH125" i="17" s="1"/>
  <c r="L110" i="17"/>
  <c r="AH110" i="17" s="1"/>
  <c r="L35" i="17"/>
  <c r="L23" i="17"/>
  <c r="L96" i="17"/>
  <c r="L76" i="17"/>
  <c r="L78" i="17"/>
  <c r="L94" i="17"/>
  <c r="L19" i="17"/>
  <c r="AH19" i="17" s="1"/>
  <c r="L38" i="17"/>
  <c r="AH38" i="17" s="1"/>
  <c r="L27" i="17"/>
  <c r="AH27" i="17" s="1"/>
  <c r="L117" i="17"/>
  <c r="AH117" i="17" s="1"/>
  <c r="L128" i="17"/>
  <c r="AH128" i="17" s="1"/>
  <c r="L87" i="17"/>
  <c r="AH87" i="17" s="1"/>
  <c r="L101" i="17"/>
  <c r="AH101" i="17" s="1"/>
  <c r="L103" i="17"/>
  <c r="L77" i="17"/>
  <c r="AH77" i="17" s="1"/>
  <c r="L91" i="17"/>
  <c r="AH91" i="17" s="1"/>
  <c r="BP35" i="17"/>
  <c r="BR35" i="17" s="1"/>
  <c r="BP28" i="17"/>
  <c r="L24" i="17"/>
  <c r="AH24" i="17" s="1"/>
  <c r="BP93" i="17"/>
  <c r="BP37" i="17"/>
  <c r="BP34" i="17"/>
  <c r="N107" i="17"/>
  <c r="AJ107" i="17" s="1"/>
  <c r="N100" i="17"/>
  <c r="AJ100" i="17" s="1"/>
  <c r="N98" i="17"/>
  <c r="AJ98" i="17" s="1"/>
  <c r="BP26" i="17"/>
  <c r="L26" i="17"/>
  <c r="L21" i="17"/>
  <c r="AH21" i="17" s="1"/>
  <c r="N20" i="17"/>
  <c r="AJ20" i="17" s="1"/>
  <c r="N80" i="17"/>
  <c r="AJ80" i="17" s="1"/>
  <c r="BP83" i="17"/>
  <c r="BP29" i="17"/>
  <c r="BP124" i="17"/>
  <c r="BP98" i="17"/>
  <c r="BR98" i="17" s="1"/>
  <c r="BP99" i="17"/>
  <c r="M109" i="17"/>
  <c r="AI109" i="17" s="1"/>
  <c r="N101" i="17"/>
  <c r="AJ101" i="17" s="1"/>
  <c r="N30" i="17"/>
  <c r="AJ30" i="17" s="1"/>
  <c r="N82" i="17"/>
  <c r="AJ82" i="17" s="1"/>
  <c r="N27" i="17"/>
  <c r="AJ27" i="17" s="1"/>
  <c r="N76" i="17"/>
  <c r="AJ76" i="17" s="1"/>
  <c r="N116" i="17"/>
  <c r="AJ116" i="17" s="1"/>
  <c r="N120" i="17"/>
  <c r="AJ120" i="17" s="1"/>
  <c r="N94" i="17"/>
  <c r="AJ94" i="17" s="1"/>
  <c r="N28" i="17"/>
  <c r="AJ28" i="17" s="1"/>
  <c r="BP129" i="17"/>
  <c r="BP40" i="17"/>
  <c r="BR40" i="17" s="1"/>
  <c r="BP116" i="17"/>
  <c r="BP85" i="17"/>
  <c r="BP126" i="17"/>
  <c r="BR126" i="17" s="1"/>
  <c r="BP115" i="17"/>
  <c r="BR115" i="17" s="1"/>
  <c r="BP88" i="17"/>
  <c r="BP38" i="17"/>
  <c r="BP114" i="17"/>
  <c r="BR114" i="17" s="1"/>
  <c r="BP107" i="17"/>
  <c r="BP87" i="17"/>
  <c r="BP76" i="17"/>
  <c r="BP109" i="17"/>
  <c r="BR109" i="17" s="1"/>
  <c r="BP86" i="17"/>
  <c r="BR86" i="17" s="1"/>
  <c r="BP36" i="17"/>
  <c r="BP80" i="17"/>
  <c r="BP32" i="17"/>
  <c r="BP24" i="17"/>
  <c r="BP23" i="17"/>
  <c r="BR23" i="17" s="1"/>
  <c r="BP106" i="17"/>
  <c r="BR106" i="17" s="1"/>
  <c r="BP95" i="17"/>
  <c r="BP33" i="17"/>
  <c r="BP101" i="17"/>
  <c r="BP78" i="17"/>
  <c r="BR78" i="17" s="1"/>
  <c r="BP104" i="17"/>
  <c r="BP89" i="17"/>
  <c r="BP31" i="17"/>
  <c r="BP103" i="17"/>
  <c r="BP92" i="17"/>
  <c r="BP19" i="17"/>
  <c r="BP125" i="17"/>
  <c r="BP102" i="17"/>
  <c r="BR102" i="17" s="1"/>
  <c r="BP91" i="17"/>
  <c r="BP111" i="17"/>
  <c r="BR111" i="17" s="1"/>
  <c r="BP84" i="17"/>
  <c r="BP117" i="17"/>
  <c r="BP94" i="17"/>
  <c r="BR94" i="17" s="1"/>
  <c r="BP79" i="17"/>
  <c r="BR79" i="17" s="1"/>
  <c r="BP120" i="17"/>
  <c r="BP105" i="17"/>
  <c r="BP82" i="17"/>
  <c r="BR82" i="17" s="1"/>
  <c r="BP119" i="17"/>
  <c r="BP108" i="17"/>
  <c r="BP77" i="17"/>
  <c r="BP118" i="17"/>
  <c r="BR118" i="17" s="1"/>
  <c r="BP123" i="17"/>
  <c r="BO80" i="17"/>
  <c r="BQ80" i="17" s="1"/>
  <c r="BO21" i="17"/>
  <c r="BQ21" i="17" s="1"/>
  <c r="BO22" i="17"/>
  <c r="BQ22" i="17" s="1"/>
  <c r="BO25" i="17"/>
  <c r="BQ25" i="17" s="1"/>
  <c r="BO120" i="17"/>
  <c r="BQ120" i="17" s="1"/>
  <c r="BO23" i="17"/>
  <c r="BQ23" i="17" s="1"/>
  <c r="BO20" i="17"/>
  <c r="BQ20" i="17" s="1"/>
  <c r="BO26" i="17"/>
  <c r="BQ26" i="17" s="1"/>
  <c r="BO24" i="17"/>
  <c r="BQ24" i="17" s="1"/>
  <c r="BO101" i="17"/>
  <c r="BQ101" i="17" s="1"/>
  <c r="BO78" i="17"/>
  <c r="BQ78" i="17" s="1"/>
  <c r="AW44" i="23"/>
  <c r="Z44" i="23"/>
  <c r="AI44" i="23"/>
  <c r="AO100" i="17"/>
  <c r="T100" i="17" s="1"/>
  <c r="AO119" i="17"/>
  <c r="T119" i="17" s="1"/>
  <c r="AO110" i="17"/>
  <c r="T110" i="17" s="1"/>
  <c r="AO95" i="17"/>
  <c r="T95" i="17" s="1"/>
  <c r="AO99" i="17"/>
  <c r="T99" i="17" s="1"/>
  <c r="AO23" i="17"/>
  <c r="AO108" i="17"/>
  <c r="T108" i="17" s="1"/>
  <c r="AO28" i="17"/>
  <c r="AO88" i="17"/>
  <c r="T88" i="17" s="1"/>
  <c r="AO112" i="17"/>
  <c r="AO19" i="17"/>
  <c r="AO24" i="17"/>
  <c r="T24" i="17" s="1"/>
  <c r="AO101" i="17"/>
  <c r="T101" i="17" s="1"/>
  <c r="AO103" i="17"/>
  <c r="T103" i="17" s="1"/>
  <c r="AO129" i="17"/>
  <c r="T129" i="17" s="1"/>
  <c r="AO26" i="17"/>
  <c r="T26" i="17" s="1"/>
  <c r="AO124" i="17"/>
  <c r="T124" i="17" s="1"/>
  <c r="AO85" i="17"/>
  <c r="T85" i="17" s="1"/>
  <c r="AO79" i="17"/>
  <c r="T79" i="17" s="1"/>
  <c r="AO102" i="17"/>
  <c r="AO96" i="17"/>
  <c r="T96" i="17" s="1"/>
  <c r="AO128" i="17"/>
  <c r="T128" i="17" s="1"/>
  <c r="AO97" i="17"/>
  <c r="AO104" i="17"/>
  <c r="T104" i="17" s="1"/>
  <c r="AO115" i="17"/>
  <c r="T115" i="17" s="1"/>
  <c r="AO86" i="17"/>
  <c r="T86" i="17" s="1"/>
  <c r="AO84" i="17"/>
  <c r="T84" i="17" s="1"/>
  <c r="AO87" i="17"/>
  <c r="AO123" i="17"/>
  <c r="AO82" i="17"/>
  <c r="T82" i="17" s="1"/>
  <c r="AO81" i="17"/>
  <c r="T81" i="17" s="1"/>
  <c r="AO83" i="17"/>
  <c r="T83" i="17" s="1"/>
  <c r="AO121" i="17"/>
  <c r="AO90" i="17"/>
  <c r="T90" i="17" s="1"/>
  <c r="AO40" i="17"/>
  <c r="T40" i="17" s="1"/>
  <c r="AO111" i="17"/>
  <c r="T111" i="17" s="1"/>
  <c r="AH44" i="23"/>
  <c r="AQ44" i="23"/>
  <c r="BE44" i="23"/>
  <c r="AO107" i="17"/>
  <c r="AY44" i="23"/>
  <c r="AP44" i="23"/>
  <c r="AX44" i="23"/>
  <c r="BG44" i="23"/>
  <c r="BO44" i="23"/>
  <c r="BF44" i="23"/>
  <c r="BN44" i="23"/>
  <c r="BW44" i="23"/>
  <c r="BV44" i="23"/>
  <c r="CE44" i="23"/>
  <c r="CU44" i="23"/>
  <c r="CM44" i="23"/>
  <c r="CD44" i="23"/>
  <c r="H114" i="18"/>
  <c r="CT44" i="23"/>
  <c r="CL44" i="23"/>
  <c r="I6" i="15" l="1"/>
  <c r="M12" i="15"/>
  <c r="M14" i="15"/>
  <c r="I53" i="15"/>
  <c r="I20" i="15"/>
  <c r="J39" i="15"/>
  <c r="J49" i="15"/>
  <c r="I51" i="15"/>
  <c r="J53" i="15"/>
  <c r="J55" i="15"/>
  <c r="I57" i="15"/>
  <c r="J59" i="15"/>
  <c r="J61" i="15"/>
  <c r="J63" i="15"/>
  <c r="I65" i="15"/>
  <c r="I67" i="15"/>
  <c r="L16" i="15"/>
  <c r="M16" i="15"/>
  <c r="N16" i="15" s="1"/>
  <c r="L94" i="15"/>
  <c r="M94" i="15"/>
  <c r="N94" i="15" s="1"/>
  <c r="L78" i="15"/>
  <c r="M78" i="15"/>
  <c r="N78" i="15" s="1"/>
  <c r="L91" i="15"/>
  <c r="M91" i="15"/>
  <c r="N91" i="15" s="1"/>
  <c r="L93" i="15"/>
  <c r="M93" i="15"/>
  <c r="N93" i="15" s="1"/>
  <c r="L88" i="15"/>
  <c r="M88" i="15"/>
  <c r="N88" i="15" s="1"/>
  <c r="L86" i="15"/>
  <c r="M86" i="15"/>
  <c r="N86" i="15" s="1"/>
  <c r="L113" i="15"/>
  <c r="M113" i="15"/>
  <c r="N113" i="15" s="1"/>
  <c r="L89" i="15"/>
  <c r="M89" i="15"/>
  <c r="N89" i="15" s="1"/>
  <c r="L73" i="15"/>
  <c r="M73" i="15"/>
  <c r="N73" i="15" s="1"/>
  <c r="L102" i="15"/>
  <c r="M102" i="15"/>
  <c r="N102" i="15" s="1"/>
  <c r="L108" i="15"/>
  <c r="M108" i="15"/>
  <c r="N108" i="15" s="1"/>
  <c r="L101" i="15"/>
  <c r="M101" i="15"/>
  <c r="N101" i="15" s="1"/>
  <c r="L97" i="15"/>
  <c r="M97" i="15"/>
  <c r="N97" i="15" s="1"/>
  <c r="L72" i="15"/>
  <c r="M72" i="15"/>
  <c r="N72" i="15" s="1"/>
  <c r="L79" i="15"/>
  <c r="M79" i="15"/>
  <c r="N79" i="15" s="1"/>
  <c r="L105" i="15"/>
  <c r="M105" i="15"/>
  <c r="N105" i="15" s="1"/>
  <c r="L99" i="15"/>
  <c r="M99" i="15"/>
  <c r="N99" i="15" s="1"/>
  <c r="L96" i="15"/>
  <c r="M96" i="15"/>
  <c r="N96" i="15" s="1"/>
  <c r="M27" i="15"/>
  <c r="N27" i="15" s="1"/>
  <c r="L80" i="15"/>
  <c r="M80" i="15"/>
  <c r="N80" i="15" s="1"/>
  <c r="L95" i="15"/>
  <c r="M95" i="15"/>
  <c r="N95" i="15" s="1"/>
  <c r="L77" i="15"/>
  <c r="M77" i="15"/>
  <c r="N77" i="15" s="1"/>
  <c r="L90" i="15"/>
  <c r="M90" i="15"/>
  <c r="N90" i="15" s="1"/>
  <c r="L110" i="15"/>
  <c r="M110" i="15"/>
  <c r="N110" i="15" s="1"/>
  <c r="L100" i="15"/>
  <c r="M100" i="15"/>
  <c r="N100" i="15" s="1"/>
  <c r="J57" i="15"/>
  <c r="M64" i="15"/>
  <c r="N64" i="15" s="1"/>
  <c r="M48" i="15"/>
  <c r="N48" i="15" s="1"/>
  <c r="I10" i="15"/>
  <c r="M31" i="15"/>
  <c r="N31" i="15" s="1"/>
  <c r="M61" i="15"/>
  <c r="AO109" i="17" s="1"/>
  <c r="T109" i="17" s="1"/>
  <c r="BD109" i="17" s="1"/>
  <c r="J8" i="15"/>
  <c r="J10" i="15"/>
  <c r="I12" i="15"/>
  <c r="I18" i="15"/>
  <c r="I22" i="15"/>
  <c r="I32" i="15"/>
  <c r="I36" i="15"/>
  <c r="I38" i="15"/>
  <c r="J40" i="15"/>
  <c r="I62" i="15"/>
  <c r="J51" i="15"/>
  <c r="J65" i="15"/>
  <c r="J67" i="15"/>
  <c r="I59" i="15"/>
  <c r="M10" i="15"/>
  <c r="N10" i="15" s="1"/>
  <c r="M20" i="15"/>
  <c r="AO33" i="17" s="1"/>
  <c r="T33" i="17" s="1"/>
  <c r="BD33" i="17" s="1"/>
  <c r="M35" i="15"/>
  <c r="N35" i="15" s="1"/>
  <c r="J14" i="15"/>
  <c r="J16" i="15"/>
  <c r="J18" i="15"/>
  <c r="J20" i="15"/>
  <c r="J22" i="15"/>
  <c r="I26" i="15"/>
  <c r="J42" i="15"/>
  <c r="I48" i="15"/>
  <c r="J66" i="15"/>
  <c r="J23" i="15"/>
  <c r="I35" i="15"/>
  <c r="I16" i="15"/>
  <c r="J12" i="15"/>
  <c r="I14" i="15"/>
  <c r="I24" i="15"/>
  <c r="J26" i="15"/>
  <c r="I28" i="15"/>
  <c r="I30" i="15"/>
  <c r="J32" i="15"/>
  <c r="J34" i="15"/>
  <c r="J36" i="15"/>
  <c r="J38" i="15"/>
  <c r="I40" i="15"/>
  <c r="I42" i="15"/>
  <c r="I44" i="15"/>
  <c r="J46" i="15"/>
  <c r="J48" i="15"/>
  <c r="I50" i="15"/>
  <c r="J54" i="15"/>
  <c r="J56" i="15"/>
  <c r="J58" i="15"/>
  <c r="I60" i="15"/>
  <c r="I64" i="15"/>
  <c r="I66" i="15"/>
  <c r="J68" i="15"/>
  <c r="I8" i="15"/>
  <c r="M7" i="15"/>
  <c r="N7" i="15" s="1"/>
  <c r="J7" i="15"/>
  <c r="I23" i="15"/>
  <c r="M52" i="15"/>
  <c r="N52" i="15" s="1"/>
  <c r="M68" i="15"/>
  <c r="AO116" i="17" s="1"/>
  <c r="T116" i="17" s="1"/>
  <c r="M56" i="15"/>
  <c r="N56" i="15" s="1"/>
  <c r="M34" i="15"/>
  <c r="N34" i="15" s="1"/>
  <c r="J64" i="15"/>
  <c r="J44" i="15"/>
  <c r="I52" i="15"/>
  <c r="J28" i="15"/>
  <c r="J60" i="15"/>
  <c r="I34" i="15"/>
  <c r="J24" i="15"/>
  <c r="M26" i="15"/>
  <c r="AO39" i="17" s="1"/>
  <c r="T39" i="17" s="1"/>
  <c r="I7" i="15"/>
  <c r="J11" i="15"/>
  <c r="I13" i="15"/>
  <c r="J15" i="15"/>
  <c r="I21" i="15"/>
  <c r="F117" i="15"/>
  <c r="F120" i="15" s="1"/>
  <c r="J27" i="15"/>
  <c r="J29" i="15"/>
  <c r="J31" i="15"/>
  <c r="J35" i="15"/>
  <c r="J37" i="15"/>
  <c r="I39" i="15"/>
  <c r="J41" i="15"/>
  <c r="J43" i="15"/>
  <c r="I47" i="15"/>
  <c r="M38" i="15"/>
  <c r="N38" i="15" s="1"/>
  <c r="M30" i="15"/>
  <c r="AO78" i="17" s="1"/>
  <c r="T78" i="17" s="1"/>
  <c r="BD78" i="17" s="1"/>
  <c r="L7" i="15"/>
  <c r="I56" i="15"/>
  <c r="I54" i="15"/>
  <c r="J30" i="15"/>
  <c r="J52" i="15"/>
  <c r="M66" i="15"/>
  <c r="N66" i="15" s="1"/>
  <c r="M24" i="15"/>
  <c r="AO37" i="17" s="1"/>
  <c r="T37" i="17" s="1"/>
  <c r="BD37" i="17" s="1"/>
  <c r="M28" i="15"/>
  <c r="N28" i="15" s="1"/>
  <c r="I68" i="15"/>
  <c r="I46" i="15"/>
  <c r="AO120" i="17"/>
  <c r="T120" i="17" s="1"/>
  <c r="AA120" i="17" s="1"/>
  <c r="A110" i="18"/>
  <c r="A106" i="18"/>
  <c r="A102" i="18"/>
  <c r="A111" i="18"/>
  <c r="A107" i="18"/>
  <c r="A103" i="18"/>
  <c r="A113" i="18"/>
  <c r="A109" i="18"/>
  <c r="A112" i="18"/>
  <c r="A108" i="18"/>
  <c r="A104" i="18"/>
  <c r="A105" i="18"/>
  <c r="A26" i="18"/>
  <c r="A99" i="18"/>
  <c r="A95" i="18"/>
  <c r="A100" i="18"/>
  <c r="A96" i="18"/>
  <c r="A98" i="18"/>
  <c r="A94" i="18"/>
  <c r="A101" i="18"/>
  <c r="A97" i="18"/>
  <c r="J117" i="18"/>
  <c r="A56" i="18"/>
  <c r="A41" i="18"/>
  <c r="A3" i="18"/>
  <c r="A28" i="18"/>
  <c r="A86" i="18"/>
  <c r="A53" i="18"/>
  <c r="A60" i="18"/>
  <c r="A35" i="18"/>
  <c r="A37" i="18"/>
  <c r="A19" i="18"/>
  <c r="A47" i="18"/>
  <c r="A71" i="18"/>
  <c r="A13" i="18"/>
  <c r="A4" i="18"/>
  <c r="A10" i="18"/>
  <c r="A64" i="18"/>
  <c r="A81" i="18"/>
  <c r="A93" i="18"/>
  <c r="A70" i="18"/>
  <c r="A92" i="18"/>
  <c r="A44" i="18"/>
  <c r="A38" i="18"/>
  <c r="A29" i="18"/>
  <c r="A69" i="18"/>
  <c r="A57" i="18"/>
  <c r="A5" i="18"/>
  <c r="A12" i="18"/>
  <c r="A73" i="18"/>
  <c r="A50" i="18"/>
  <c r="A68" i="18"/>
  <c r="A67" i="18"/>
  <c r="A74" i="18"/>
  <c r="A27" i="18"/>
  <c r="A80" i="18"/>
  <c r="A46" i="18"/>
  <c r="A65" i="18"/>
  <c r="A84" i="18"/>
  <c r="A16" i="18"/>
  <c r="A90" i="18"/>
  <c r="A36" i="18"/>
  <c r="A55" i="18"/>
  <c r="A22" i="18"/>
  <c r="A32" i="18"/>
  <c r="A17" i="18"/>
  <c r="A11" i="18"/>
  <c r="A34" i="18"/>
  <c r="A52" i="18"/>
  <c r="A51" i="18"/>
  <c r="A58" i="18"/>
  <c r="A76" i="18"/>
  <c r="A59" i="18"/>
  <c r="A85" i="18"/>
  <c r="A9" i="18"/>
  <c r="A8" i="18"/>
  <c r="A23" i="18"/>
  <c r="A43" i="18"/>
  <c r="A33" i="18"/>
  <c r="A61" i="18"/>
  <c r="A21" i="18"/>
  <c r="A79" i="18"/>
  <c r="A30" i="18"/>
  <c r="A88" i="18"/>
  <c r="A31" i="18"/>
  <c r="A42" i="18"/>
  <c r="A20" i="18"/>
  <c r="A24" i="18"/>
  <c r="A39" i="18"/>
  <c r="A48" i="18"/>
  <c r="BR30" i="17"/>
  <c r="M39" i="17"/>
  <c r="AI39" i="17" s="1"/>
  <c r="AV112" i="17"/>
  <c r="L126" i="17"/>
  <c r="AH126" i="17" s="1"/>
  <c r="L113" i="17"/>
  <c r="AH113" i="17" s="1"/>
  <c r="L36" i="17"/>
  <c r="AH36" i="17" s="1"/>
  <c r="M79" i="17"/>
  <c r="AI79" i="17" s="1"/>
  <c r="M115" i="17"/>
  <c r="AI115" i="17" s="1"/>
  <c r="M21" i="17"/>
  <c r="AI21" i="17" s="1"/>
  <c r="L22" i="17"/>
  <c r="AH22" i="17" s="1"/>
  <c r="M111" i="17"/>
  <c r="AI111" i="17" s="1"/>
  <c r="M57" i="17"/>
  <c r="AI57" i="17" s="1"/>
  <c r="M128" i="17"/>
  <c r="AI128" i="17" s="1"/>
  <c r="M89" i="17"/>
  <c r="AI89" i="17" s="1"/>
  <c r="M120" i="17"/>
  <c r="AI120" i="17" s="1"/>
  <c r="M23" i="17"/>
  <c r="AI23" i="17" s="1"/>
  <c r="M123" i="17"/>
  <c r="AI123" i="17" s="1"/>
  <c r="M34" i="17"/>
  <c r="AI34" i="17" s="1"/>
  <c r="M107" i="17"/>
  <c r="AI107" i="17" s="1"/>
  <c r="M81" i="17"/>
  <c r="AI81" i="17" s="1"/>
  <c r="M86" i="17"/>
  <c r="AI86" i="17" s="1"/>
  <c r="M121" i="17"/>
  <c r="AI121" i="17" s="1"/>
  <c r="M20" i="17"/>
  <c r="AI20" i="17" s="1"/>
  <c r="M129" i="17"/>
  <c r="AI129" i="17" s="1"/>
  <c r="M87" i="17"/>
  <c r="AI87" i="17" s="1"/>
  <c r="M92" i="17"/>
  <c r="AI92" i="17" s="1"/>
  <c r="M96" i="17"/>
  <c r="AI96" i="17" s="1"/>
  <c r="M77" i="17"/>
  <c r="AI77" i="17" s="1"/>
  <c r="M113" i="17"/>
  <c r="AI113" i="17" s="1"/>
  <c r="M35" i="17"/>
  <c r="AI35" i="17" s="1"/>
  <c r="M76" i="17"/>
  <c r="AI76" i="17" s="1"/>
  <c r="AH57" i="17"/>
  <c r="BD57" i="17"/>
  <c r="AA57" i="17"/>
  <c r="BR81" i="17"/>
  <c r="BR31" i="17"/>
  <c r="BR110" i="17"/>
  <c r="BR25" i="17"/>
  <c r="BR39" i="17"/>
  <c r="BR19" i="17"/>
  <c r="BR26" i="17"/>
  <c r="BR34" i="17"/>
  <c r="G116" i="18"/>
  <c r="M29" i="17"/>
  <c r="AI29" i="17" s="1"/>
  <c r="M27" i="17"/>
  <c r="AI27" i="17" s="1"/>
  <c r="M110" i="17"/>
  <c r="AI110" i="17" s="1"/>
  <c r="M127" i="17"/>
  <c r="AI127" i="17" s="1"/>
  <c r="M30" i="17"/>
  <c r="AI30" i="17" s="1"/>
  <c r="M33" i="17"/>
  <c r="AI33" i="17" s="1"/>
  <c r="M114" i="17"/>
  <c r="AI114" i="17" s="1"/>
  <c r="M118" i="17"/>
  <c r="AI118" i="17" s="1"/>
  <c r="M106" i="17"/>
  <c r="AI106" i="17" s="1"/>
  <c r="M117" i="17"/>
  <c r="AI117" i="17" s="1"/>
  <c r="M36" i="17"/>
  <c r="AI36" i="17" s="1"/>
  <c r="M103" i="17"/>
  <c r="AI103" i="17" s="1"/>
  <c r="M26" i="17"/>
  <c r="AI26" i="17" s="1"/>
  <c r="M104" i="17"/>
  <c r="AI104" i="17" s="1"/>
  <c r="N61" i="17"/>
  <c r="AJ61" i="17" s="1"/>
  <c r="N50" i="17"/>
  <c r="AJ50" i="17" s="1"/>
  <c r="N73" i="17"/>
  <c r="AJ73" i="17" s="1"/>
  <c r="N67" i="17"/>
  <c r="AJ67" i="17" s="1"/>
  <c r="N42" i="17"/>
  <c r="AJ42" i="17" s="1"/>
  <c r="N74" i="17"/>
  <c r="AJ74" i="17" s="1"/>
  <c r="N54" i="17"/>
  <c r="AJ54" i="17" s="1"/>
  <c r="N64" i="17"/>
  <c r="AJ64" i="17" s="1"/>
  <c r="N47" i="17"/>
  <c r="AJ47" i="17" s="1"/>
  <c r="N46" i="17"/>
  <c r="AJ46" i="17" s="1"/>
  <c r="N68" i="17"/>
  <c r="AJ68" i="17" s="1"/>
  <c r="N43" i="17"/>
  <c r="AJ43" i="17" s="1"/>
  <c r="N69" i="17"/>
  <c r="AJ69" i="17" s="1"/>
  <c r="N65" i="17"/>
  <c r="AJ65" i="17" s="1"/>
  <c r="N41" i="17"/>
  <c r="AJ41" i="17" s="1"/>
  <c r="N63" i="17"/>
  <c r="AJ63" i="17" s="1"/>
  <c r="N62" i="17"/>
  <c r="AJ62" i="17" s="1"/>
  <c r="N60" i="17"/>
  <c r="AJ60" i="17" s="1"/>
  <c r="N59" i="17"/>
  <c r="AJ59" i="17" s="1"/>
  <c r="N56" i="17"/>
  <c r="AJ56" i="17" s="1"/>
  <c r="N53" i="17"/>
  <c r="AJ53" i="17" s="1"/>
  <c r="N51" i="17"/>
  <c r="AJ51" i="17" s="1"/>
  <c r="N48" i="17"/>
  <c r="AJ48" i="17" s="1"/>
  <c r="N45" i="17"/>
  <c r="AJ45" i="17" s="1"/>
  <c r="N75" i="17"/>
  <c r="AJ75" i="17" s="1"/>
  <c r="N71" i="17"/>
  <c r="AJ71" i="17" s="1"/>
  <c r="N58" i="17"/>
  <c r="AJ58" i="17" s="1"/>
  <c r="N55" i="17"/>
  <c r="AJ55" i="17" s="1"/>
  <c r="N52" i="17"/>
  <c r="AJ52" i="17" s="1"/>
  <c r="N49" i="17"/>
  <c r="AJ49" i="17" s="1"/>
  <c r="N44" i="17"/>
  <c r="AJ44" i="17" s="1"/>
  <c r="N72" i="17"/>
  <c r="AJ72" i="17" s="1"/>
  <c r="N70" i="17"/>
  <c r="AJ70" i="17" s="1"/>
  <c r="N66" i="17"/>
  <c r="AJ66" i="17" s="1"/>
  <c r="BO54" i="17"/>
  <c r="BQ54" i="17" s="1"/>
  <c r="BO46" i="17"/>
  <c r="BQ46" i="17" s="1"/>
  <c r="BO73" i="17"/>
  <c r="BQ73" i="17" s="1"/>
  <c r="BO67" i="17"/>
  <c r="BQ67" i="17" s="1"/>
  <c r="BO42" i="17"/>
  <c r="BQ42" i="17" s="1"/>
  <c r="BO74" i="17"/>
  <c r="BQ74" i="17" s="1"/>
  <c r="BO70" i="17"/>
  <c r="BQ70" i="17" s="1"/>
  <c r="BO64" i="17"/>
  <c r="BQ64" i="17" s="1"/>
  <c r="BO63" i="17"/>
  <c r="BQ63" i="17" s="1"/>
  <c r="BO60" i="17"/>
  <c r="BQ60" i="17" s="1"/>
  <c r="BO58" i="17"/>
  <c r="BQ58" i="17" s="1"/>
  <c r="BO53" i="17"/>
  <c r="BQ53" i="17" s="1"/>
  <c r="BO52" i="17"/>
  <c r="BQ52" i="17" s="1"/>
  <c r="BO50" i="17"/>
  <c r="BQ50" i="17" s="1"/>
  <c r="BO47" i="17"/>
  <c r="BQ47" i="17" s="1"/>
  <c r="BO45" i="17"/>
  <c r="BQ45" i="17" s="1"/>
  <c r="BO44" i="17"/>
  <c r="BQ44" i="17" s="1"/>
  <c r="BO68" i="17"/>
  <c r="BQ68" i="17" s="1"/>
  <c r="BO43" i="17"/>
  <c r="BQ43" i="17" s="1"/>
  <c r="BO69" i="17"/>
  <c r="BQ69" i="17" s="1"/>
  <c r="BO65" i="17"/>
  <c r="BQ65" i="17" s="1"/>
  <c r="BO41" i="17"/>
  <c r="BQ41" i="17" s="1"/>
  <c r="BO62" i="17"/>
  <c r="BQ62" i="17" s="1"/>
  <c r="BO59" i="17"/>
  <c r="BQ59" i="17" s="1"/>
  <c r="BO55" i="17"/>
  <c r="BQ55" i="17" s="1"/>
  <c r="BO51" i="17"/>
  <c r="BQ51" i="17" s="1"/>
  <c r="BO75" i="17"/>
  <c r="BQ75" i="17" s="1"/>
  <c r="BO71" i="17"/>
  <c r="BQ71" i="17" s="1"/>
  <c r="BO61" i="17"/>
  <c r="BQ61" i="17" s="1"/>
  <c r="BO56" i="17"/>
  <c r="BQ56" i="17" s="1"/>
  <c r="BO49" i="17"/>
  <c r="BQ49" i="17" s="1"/>
  <c r="BO48" i="17"/>
  <c r="BQ48" i="17" s="1"/>
  <c r="BO72" i="17"/>
  <c r="BQ72" i="17" s="1"/>
  <c r="BO66" i="17"/>
  <c r="BQ66" i="17" s="1"/>
  <c r="M58" i="17"/>
  <c r="AI58" i="17" s="1"/>
  <c r="M55" i="17"/>
  <c r="AI55" i="17" s="1"/>
  <c r="M52" i="17"/>
  <c r="AI52" i="17" s="1"/>
  <c r="M49" i="17"/>
  <c r="AI49" i="17" s="1"/>
  <c r="M44" i="17"/>
  <c r="AI44" i="17" s="1"/>
  <c r="M72" i="17"/>
  <c r="AI72" i="17" s="1"/>
  <c r="M70" i="17"/>
  <c r="AI70" i="17" s="1"/>
  <c r="M66" i="17"/>
  <c r="AI66" i="17" s="1"/>
  <c r="M41" i="17"/>
  <c r="AI41" i="17" s="1"/>
  <c r="M67" i="17"/>
  <c r="AI67" i="17" s="1"/>
  <c r="M42" i="17"/>
  <c r="AI42" i="17" s="1"/>
  <c r="M61" i="17"/>
  <c r="AI61" i="17" s="1"/>
  <c r="M50" i="17"/>
  <c r="AI50" i="17" s="1"/>
  <c r="M73" i="17"/>
  <c r="AI73" i="17" s="1"/>
  <c r="M68" i="17"/>
  <c r="AI68" i="17" s="1"/>
  <c r="M43" i="17"/>
  <c r="AI43" i="17" s="1"/>
  <c r="M64" i="17"/>
  <c r="AI64" i="17" s="1"/>
  <c r="M47" i="17"/>
  <c r="AI47" i="17" s="1"/>
  <c r="M46" i="17"/>
  <c r="AI46" i="17" s="1"/>
  <c r="M74" i="17"/>
  <c r="AI74" i="17" s="1"/>
  <c r="M63" i="17"/>
  <c r="AI63" i="17" s="1"/>
  <c r="M62" i="17"/>
  <c r="AI62" i="17" s="1"/>
  <c r="M60" i="17"/>
  <c r="AI60" i="17" s="1"/>
  <c r="M59" i="17"/>
  <c r="AI59" i="17" s="1"/>
  <c r="M56" i="17"/>
  <c r="AI56" i="17" s="1"/>
  <c r="M54" i="17"/>
  <c r="AI54" i="17" s="1"/>
  <c r="M53" i="17"/>
  <c r="AI53" i="17" s="1"/>
  <c r="M51" i="17"/>
  <c r="AI51" i="17" s="1"/>
  <c r="M48" i="17"/>
  <c r="AI48" i="17" s="1"/>
  <c r="M45" i="17"/>
  <c r="AI45" i="17" s="1"/>
  <c r="M75" i="17"/>
  <c r="AI75" i="17" s="1"/>
  <c r="M71" i="17"/>
  <c r="AI71" i="17" s="1"/>
  <c r="M69" i="17"/>
  <c r="AI69" i="17" s="1"/>
  <c r="M65" i="17"/>
  <c r="AI65" i="17" s="1"/>
  <c r="M91" i="17"/>
  <c r="AI91" i="17" s="1"/>
  <c r="M99" i="17"/>
  <c r="AI99" i="17" s="1"/>
  <c r="M85" i="17"/>
  <c r="AI85" i="17" s="1"/>
  <c r="M119" i="17"/>
  <c r="AI119" i="17" s="1"/>
  <c r="M98" i="17"/>
  <c r="AI98" i="17" s="1"/>
  <c r="M94" i="17"/>
  <c r="AI94" i="17" s="1"/>
  <c r="M78" i="17"/>
  <c r="AI78" i="17" s="1"/>
  <c r="M108" i="17"/>
  <c r="AI108" i="17" s="1"/>
  <c r="M124" i="17"/>
  <c r="AI124" i="17" s="1"/>
  <c r="M88" i="17"/>
  <c r="AI88" i="17" s="1"/>
  <c r="M116" i="17"/>
  <c r="AI116" i="17" s="1"/>
  <c r="M28" i="17"/>
  <c r="AI28" i="17" s="1"/>
  <c r="M100" i="17"/>
  <c r="AI100" i="17" s="1"/>
  <c r="M80" i="17"/>
  <c r="AI80" i="17" s="1"/>
  <c r="M95" i="17"/>
  <c r="AI95" i="17" s="1"/>
  <c r="M32" i="17"/>
  <c r="AI32" i="17" s="1"/>
  <c r="M122" i="17"/>
  <c r="AI122" i="17" s="1"/>
  <c r="BP64" i="17"/>
  <c r="BR64" i="17" s="1"/>
  <c r="BP63" i="17"/>
  <c r="BR63" i="17" s="1"/>
  <c r="BP60" i="17"/>
  <c r="BR60" i="17" s="1"/>
  <c r="BP58" i="17"/>
  <c r="BR58" i="17" s="1"/>
  <c r="BP53" i="17"/>
  <c r="BR53" i="17" s="1"/>
  <c r="BP52" i="17"/>
  <c r="BR52" i="17" s="1"/>
  <c r="BP50" i="17"/>
  <c r="BR50" i="17" s="1"/>
  <c r="BP47" i="17"/>
  <c r="BR47" i="17" s="1"/>
  <c r="BP45" i="17"/>
  <c r="BR45" i="17" s="1"/>
  <c r="BP44" i="17"/>
  <c r="BR44" i="17" s="1"/>
  <c r="BP74" i="17"/>
  <c r="BR74" i="17" s="1"/>
  <c r="BP70" i="17"/>
  <c r="BR70" i="17" s="1"/>
  <c r="BP68" i="17"/>
  <c r="BR68" i="17" s="1"/>
  <c r="BP43" i="17"/>
  <c r="BR43" i="17" s="1"/>
  <c r="BP69" i="17"/>
  <c r="BR69" i="17" s="1"/>
  <c r="BP65" i="17"/>
  <c r="BR65" i="17" s="1"/>
  <c r="BP62" i="17"/>
  <c r="BR62" i="17" s="1"/>
  <c r="BP59" i="17"/>
  <c r="BR59" i="17" s="1"/>
  <c r="BP55" i="17"/>
  <c r="BR55" i="17" s="1"/>
  <c r="BP51" i="17"/>
  <c r="BR51" i="17" s="1"/>
  <c r="BP75" i="17"/>
  <c r="BR75" i="17" s="1"/>
  <c r="BP71" i="17"/>
  <c r="BR71" i="17" s="1"/>
  <c r="BP66" i="17"/>
  <c r="BR66" i="17" s="1"/>
  <c r="BP41" i="17"/>
  <c r="BR41" i="17" s="1"/>
  <c r="BP61" i="17"/>
  <c r="BR61" i="17" s="1"/>
  <c r="BP56" i="17"/>
  <c r="BR56" i="17" s="1"/>
  <c r="BP49" i="17"/>
  <c r="BR49" i="17" s="1"/>
  <c r="BP48" i="17"/>
  <c r="BR48" i="17" s="1"/>
  <c r="BP72" i="17"/>
  <c r="BR72" i="17" s="1"/>
  <c r="BP54" i="17"/>
  <c r="BR54" i="17" s="1"/>
  <c r="BP46" i="17"/>
  <c r="BR46" i="17" s="1"/>
  <c r="BP73" i="17"/>
  <c r="BR73" i="17" s="1"/>
  <c r="BP67" i="17"/>
  <c r="BR67" i="17" s="1"/>
  <c r="BP42" i="17"/>
  <c r="BR42" i="17" s="1"/>
  <c r="M101" i="17"/>
  <c r="AI101" i="17" s="1"/>
  <c r="M38" i="17"/>
  <c r="AI38" i="17" s="1"/>
  <c r="M19" i="17"/>
  <c r="AI19" i="17" s="1"/>
  <c r="M93" i="17"/>
  <c r="AI93" i="17" s="1"/>
  <c r="M83" i="17"/>
  <c r="AI83" i="17" s="1"/>
  <c r="M31" i="17"/>
  <c r="O31" i="17" s="1"/>
  <c r="AK31" i="17" s="1"/>
  <c r="M112" i="17"/>
  <c r="AI112" i="17" s="1"/>
  <c r="M105" i="17"/>
  <c r="AI105" i="17" s="1"/>
  <c r="M82" i="17"/>
  <c r="AI82" i="17" s="1"/>
  <c r="M40" i="17"/>
  <c r="AI40" i="17" s="1"/>
  <c r="M37" i="17"/>
  <c r="AI37" i="17" s="1"/>
  <c r="M125" i="17"/>
  <c r="AI125" i="17" s="1"/>
  <c r="M25" i="17"/>
  <c r="AI25" i="17" s="1"/>
  <c r="M24" i="17"/>
  <c r="AI24" i="17" s="1"/>
  <c r="M90" i="17"/>
  <c r="AI90" i="17" s="1"/>
  <c r="M97" i="17"/>
  <c r="AI97" i="17" s="1"/>
  <c r="M102" i="17"/>
  <c r="AI102" i="17" s="1"/>
  <c r="L63" i="17"/>
  <c r="L62" i="17"/>
  <c r="L60" i="17"/>
  <c r="L59" i="17"/>
  <c r="L56" i="17"/>
  <c r="L54" i="17"/>
  <c r="L53" i="17"/>
  <c r="L51" i="17"/>
  <c r="L48" i="17"/>
  <c r="L45" i="17"/>
  <c r="L75" i="17"/>
  <c r="L71" i="17"/>
  <c r="L69" i="17"/>
  <c r="L65" i="17"/>
  <c r="L70" i="17"/>
  <c r="L66" i="17"/>
  <c r="L41" i="17"/>
  <c r="L58" i="17"/>
  <c r="L55" i="17"/>
  <c r="L52" i="17"/>
  <c r="L49" i="17"/>
  <c r="L44" i="17"/>
  <c r="L72" i="17"/>
  <c r="L67" i="17"/>
  <c r="L42" i="17"/>
  <c r="L61" i="17"/>
  <c r="L50" i="17"/>
  <c r="L73" i="17"/>
  <c r="L64" i="17"/>
  <c r="L47" i="17"/>
  <c r="L46" i="17"/>
  <c r="L74" i="17"/>
  <c r="L68" i="17"/>
  <c r="L43" i="17"/>
  <c r="P64" i="17"/>
  <c r="AL64" i="17" s="1"/>
  <c r="P47" i="17"/>
  <c r="AL47" i="17" s="1"/>
  <c r="P46" i="17"/>
  <c r="AL46" i="17" s="1"/>
  <c r="P74" i="17"/>
  <c r="AL74" i="17" s="1"/>
  <c r="P68" i="17"/>
  <c r="AL68" i="17" s="1"/>
  <c r="P43" i="17"/>
  <c r="AL43" i="17" s="1"/>
  <c r="P71" i="17"/>
  <c r="AL71" i="17" s="1"/>
  <c r="P69" i="17"/>
  <c r="AL69" i="17" s="1"/>
  <c r="P65" i="17"/>
  <c r="AL65" i="17" s="1"/>
  <c r="P63" i="17"/>
  <c r="AL63" i="17" s="1"/>
  <c r="P62" i="17"/>
  <c r="AL62" i="17" s="1"/>
  <c r="P60" i="17"/>
  <c r="AL60" i="17" s="1"/>
  <c r="P59" i="17"/>
  <c r="AL59" i="17" s="1"/>
  <c r="P56" i="17"/>
  <c r="AL56" i="17" s="1"/>
  <c r="P54" i="17"/>
  <c r="AL54" i="17" s="1"/>
  <c r="P53" i="17"/>
  <c r="AL53" i="17" s="1"/>
  <c r="P51" i="17"/>
  <c r="AL51" i="17" s="1"/>
  <c r="P48" i="17"/>
  <c r="AL48" i="17" s="1"/>
  <c r="P45" i="17"/>
  <c r="AL45" i="17" s="1"/>
  <c r="P75" i="17"/>
  <c r="AL75" i="17" s="1"/>
  <c r="P70" i="17"/>
  <c r="AL70" i="17" s="1"/>
  <c r="P66" i="17"/>
  <c r="AL66" i="17" s="1"/>
  <c r="P41" i="17"/>
  <c r="AL41" i="17" s="1"/>
  <c r="P58" i="17"/>
  <c r="AL58" i="17" s="1"/>
  <c r="P55" i="17"/>
  <c r="AL55" i="17" s="1"/>
  <c r="P52" i="17"/>
  <c r="AL52" i="17" s="1"/>
  <c r="P49" i="17"/>
  <c r="AL49" i="17" s="1"/>
  <c r="P44" i="17"/>
  <c r="AL44" i="17" s="1"/>
  <c r="P72" i="17"/>
  <c r="AL72" i="17" s="1"/>
  <c r="P61" i="17"/>
  <c r="AL61" i="17" s="1"/>
  <c r="P50" i="17"/>
  <c r="AL50" i="17" s="1"/>
  <c r="P73" i="17"/>
  <c r="AL73" i="17" s="1"/>
  <c r="P67" i="17"/>
  <c r="AL67" i="17" s="1"/>
  <c r="P42" i="17"/>
  <c r="AL42" i="17" s="1"/>
  <c r="G117" i="18"/>
  <c r="BR20" i="17"/>
  <c r="BR33" i="17"/>
  <c r="BR24" i="17"/>
  <c r="G115" i="18"/>
  <c r="BR125" i="17"/>
  <c r="BR97" i="17"/>
  <c r="T112" i="17"/>
  <c r="AA112" i="17" s="1"/>
  <c r="BR77" i="17"/>
  <c r="BR89" i="17"/>
  <c r="BR101" i="17"/>
  <c r="BR129" i="17"/>
  <c r="BR121" i="17"/>
  <c r="BR105" i="17"/>
  <c r="BR117" i="17"/>
  <c r="BR38" i="17"/>
  <c r="BR85" i="17"/>
  <c r="BR93" i="17"/>
  <c r="BR113" i="17"/>
  <c r="M36" i="15"/>
  <c r="N36" i="15" s="1"/>
  <c r="M32" i="15"/>
  <c r="N32" i="15" s="1"/>
  <c r="AV127" i="17"/>
  <c r="L47" i="15"/>
  <c r="M6" i="15"/>
  <c r="N6" i="15" s="1"/>
  <c r="M53" i="15"/>
  <c r="N53" i="15" s="1"/>
  <c r="N18" i="15"/>
  <c r="M29" i="15"/>
  <c r="N29" i="15" s="1"/>
  <c r="M39" i="15"/>
  <c r="N39" i="15" s="1"/>
  <c r="M25" i="15"/>
  <c r="N25" i="15" s="1"/>
  <c r="M37" i="15"/>
  <c r="N37" i="15" s="1"/>
  <c r="M45" i="15"/>
  <c r="N45" i="15" s="1"/>
  <c r="M59" i="15"/>
  <c r="N59" i="15" s="1"/>
  <c r="M22" i="15"/>
  <c r="N22" i="15" s="1"/>
  <c r="M42" i="15"/>
  <c r="N42" i="15" s="1"/>
  <c r="L14" i="15"/>
  <c r="L12" i="15"/>
  <c r="I98" i="17"/>
  <c r="J98" i="17" s="1"/>
  <c r="I83" i="17"/>
  <c r="J83" i="17" s="1"/>
  <c r="I91" i="17"/>
  <c r="J91" i="17" s="1"/>
  <c r="G29" i="17"/>
  <c r="H29" i="17" s="1"/>
  <c r="I85" i="17"/>
  <c r="J85" i="17" s="1"/>
  <c r="I103" i="17"/>
  <c r="J103" i="17" s="1"/>
  <c r="G85" i="17"/>
  <c r="H85" i="17" s="1"/>
  <c r="G31" i="17"/>
  <c r="H31" i="17" s="1"/>
  <c r="G96" i="17"/>
  <c r="H96" i="17" s="1"/>
  <c r="I28" i="17"/>
  <c r="J28" i="17" s="1"/>
  <c r="G107" i="17"/>
  <c r="H107" i="17" s="1"/>
  <c r="G89" i="17"/>
  <c r="H89" i="17" s="1"/>
  <c r="G87" i="17"/>
  <c r="H87" i="17" s="1"/>
  <c r="I121" i="17"/>
  <c r="J121" i="17" s="1"/>
  <c r="G110" i="17"/>
  <c r="H110" i="17" s="1"/>
  <c r="I34" i="17"/>
  <c r="J34" i="17" s="1"/>
  <c r="G20" i="17"/>
  <c r="H20" i="17" s="1"/>
  <c r="G106" i="17"/>
  <c r="H106" i="17" s="1"/>
  <c r="I84" i="17"/>
  <c r="J84" i="17" s="1"/>
  <c r="I27" i="17"/>
  <c r="J27" i="17" s="1"/>
  <c r="I29" i="17"/>
  <c r="J29" i="17" s="1"/>
  <c r="G113" i="17"/>
  <c r="H113" i="17" s="1"/>
  <c r="G32" i="17"/>
  <c r="H32" i="17" s="1"/>
  <c r="G111" i="17"/>
  <c r="H111" i="17" s="1"/>
  <c r="I93" i="17"/>
  <c r="J93" i="17" s="1"/>
  <c r="G33" i="17"/>
  <c r="H33" i="17" s="1"/>
  <c r="G88" i="17"/>
  <c r="H88" i="17" s="1"/>
  <c r="G112" i="17"/>
  <c r="H112" i="17" s="1"/>
  <c r="I128" i="17"/>
  <c r="J128" i="17" s="1"/>
  <c r="I106" i="17"/>
  <c r="J106" i="17" s="1"/>
  <c r="G77" i="17"/>
  <c r="H77" i="17" s="1"/>
  <c r="I88" i="17"/>
  <c r="J88" i="17" s="1"/>
  <c r="G100" i="17"/>
  <c r="H100" i="17" s="1"/>
  <c r="I38" i="17"/>
  <c r="J38" i="17" s="1"/>
  <c r="G126" i="17"/>
  <c r="H126" i="17" s="1"/>
  <c r="G76" i="17"/>
  <c r="H76" i="17" s="1"/>
  <c r="I115" i="17"/>
  <c r="J115" i="17" s="1"/>
  <c r="G19" i="17"/>
  <c r="H19" i="17" s="1"/>
  <c r="G127" i="17"/>
  <c r="H127" i="17" s="1"/>
  <c r="G124" i="17"/>
  <c r="H124" i="17" s="1"/>
  <c r="I97" i="17"/>
  <c r="J97" i="17" s="1"/>
  <c r="I82" i="17"/>
  <c r="J82" i="17" s="1"/>
  <c r="G24" i="17"/>
  <c r="H24" i="17" s="1"/>
  <c r="G99" i="17"/>
  <c r="H99" i="17" s="1"/>
  <c r="I76" i="17"/>
  <c r="J76" i="17" s="1"/>
  <c r="I77" i="17"/>
  <c r="J77" i="17" s="1"/>
  <c r="G28" i="17"/>
  <c r="H28" i="17" s="1"/>
  <c r="G37" i="17"/>
  <c r="H37" i="17" s="1"/>
  <c r="G92" i="17"/>
  <c r="H92" i="17" s="1"/>
  <c r="I40" i="17"/>
  <c r="J40" i="17" s="1"/>
  <c r="G123" i="17"/>
  <c r="H123" i="17" s="1"/>
  <c r="I100" i="17"/>
  <c r="J100" i="17" s="1"/>
  <c r="I81" i="17"/>
  <c r="J81" i="17" s="1"/>
  <c r="G93" i="17"/>
  <c r="H93" i="17" s="1"/>
  <c r="I122" i="17"/>
  <c r="J122" i="17" s="1"/>
  <c r="I22" i="17"/>
  <c r="J22" i="17" s="1"/>
  <c r="I102" i="17"/>
  <c r="J102" i="17" s="1"/>
  <c r="I112" i="17"/>
  <c r="J112" i="17" s="1"/>
  <c r="I119" i="17"/>
  <c r="J119" i="17" s="1"/>
  <c r="G120" i="17"/>
  <c r="H120" i="17" s="1"/>
  <c r="I95" i="17"/>
  <c r="J95" i="17" s="1"/>
  <c r="G40" i="17"/>
  <c r="H40" i="17" s="1"/>
  <c r="G90" i="17"/>
  <c r="H90" i="17" s="1"/>
  <c r="G38" i="17"/>
  <c r="H38" i="17" s="1"/>
  <c r="G39" i="17"/>
  <c r="H39" i="17" s="1"/>
  <c r="I116" i="17"/>
  <c r="J116" i="17" s="1"/>
  <c r="I117" i="17"/>
  <c r="J117" i="17" s="1"/>
  <c r="G121" i="17"/>
  <c r="H121" i="17" s="1"/>
  <c r="I94" i="17"/>
  <c r="J94" i="17" s="1"/>
  <c r="G119" i="17"/>
  <c r="H119" i="17" s="1"/>
  <c r="I96" i="17"/>
  <c r="J96" i="17" s="1"/>
  <c r="G104" i="17"/>
  <c r="H104" i="17" s="1"/>
  <c r="I89" i="17"/>
  <c r="J89" i="17" s="1"/>
  <c r="G81" i="17"/>
  <c r="H81" i="17" s="1"/>
  <c r="I39" i="17"/>
  <c r="J39" i="17" s="1"/>
  <c r="G98" i="17"/>
  <c r="H98" i="17" s="1"/>
  <c r="G82" i="17"/>
  <c r="H82" i="17" s="1"/>
  <c r="I99" i="17"/>
  <c r="J99" i="17" s="1"/>
  <c r="I111" i="17"/>
  <c r="J111" i="17" s="1"/>
  <c r="G122" i="17"/>
  <c r="H122" i="17" s="1"/>
  <c r="G30" i="17"/>
  <c r="H30" i="17" s="1"/>
  <c r="G79" i="17"/>
  <c r="H79" i="17" s="1"/>
  <c r="I120" i="17"/>
  <c r="J120" i="17" s="1"/>
  <c r="G128" i="17"/>
  <c r="H128" i="17" s="1"/>
  <c r="I101" i="17"/>
  <c r="J101" i="17" s="1"/>
  <c r="G105" i="17"/>
  <c r="H105" i="17" s="1"/>
  <c r="I78" i="17"/>
  <c r="J78" i="17" s="1"/>
  <c r="G21" i="17"/>
  <c r="H21" i="17" s="1"/>
  <c r="I123" i="17"/>
  <c r="J123" i="17" s="1"/>
  <c r="I26" i="17"/>
  <c r="J26" i="17" s="1"/>
  <c r="I127" i="17"/>
  <c r="J127" i="17" s="1"/>
  <c r="I104" i="17"/>
  <c r="J104" i="17" s="1"/>
  <c r="G109" i="17"/>
  <c r="H109" i="17" s="1"/>
  <c r="G78" i="17"/>
  <c r="H78" i="17" s="1"/>
  <c r="I32" i="17"/>
  <c r="J32" i="17" s="1"/>
  <c r="G36" i="17"/>
  <c r="H36" i="17" s="1"/>
  <c r="G108" i="17"/>
  <c r="H108" i="17" s="1"/>
  <c r="I31" i="17"/>
  <c r="J31" i="17" s="1"/>
  <c r="G115" i="17"/>
  <c r="H115" i="17" s="1"/>
  <c r="G129" i="17"/>
  <c r="H129" i="17" s="1"/>
  <c r="I92" i="17"/>
  <c r="J92" i="17" s="1"/>
  <c r="I24" i="17"/>
  <c r="J24" i="17" s="1"/>
  <c r="G118" i="17"/>
  <c r="H118" i="17" s="1"/>
  <c r="G80" i="17"/>
  <c r="H80" i="17" s="1"/>
  <c r="G84" i="17"/>
  <c r="H84" i="17" s="1"/>
  <c r="I87" i="17"/>
  <c r="J87" i="17" s="1"/>
  <c r="G94" i="17"/>
  <c r="H94" i="17" s="1"/>
  <c r="G95" i="17"/>
  <c r="H95" i="17" s="1"/>
  <c r="I37" i="17"/>
  <c r="J37" i="17" s="1"/>
  <c r="I30" i="17"/>
  <c r="J30" i="17" s="1"/>
  <c r="I129" i="17"/>
  <c r="J129" i="17" s="1"/>
  <c r="I114" i="17"/>
  <c r="J114" i="17" s="1"/>
  <c r="G114" i="17"/>
  <c r="H114" i="17" s="1"/>
  <c r="I107" i="17"/>
  <c r="J107" i="17" s="1"/>
  <c r="I108" i="17"/>
  <c r="J108" i="17" s="1"/>
  <c r="G116" i="17"/>
  <c r="H116" i="17" s="1"/>
  <c r="I109" i="17"/>
  <c r="J109" i="17" s="1"/>
  <c r="G101" i="17"/>
  <c r="H101" i="17" s="1"/>
  <c r="I86" i="17"/>
  <c r="J86" i="17" s="1"/>
  <c r="I79" i="17"/>
  <c r="J79" i="17" s="1"/>
  <c r="G102" i="17"/>
  <c r="H102" i="17" s="1"/>
  <c r="G34" i="17"/>
  <c r="H34" i="17" s="1"/>
  <c r="I36" i="17"/>
  <c r="J36" i="17" s="1"/>
  <c r="G35" i="17"/>
  <c r="H35" i="17" s="1"/>
  <c r="G91" i="17"/>
  <c r="H91" i="17" s="1"/>
  <c r="I33" i="17"/>
  <c r="J33" i="17" s="1"/>
  <c r="I113" i="17"/>
  <c r="J113" i="17" s="1"/>
  <c r="G125" i="17"/>
  <c r="H125" i="17" s="1"/>
  <c r="AH30" i="17"/>
  <c r="AH105" i="17"/>
  <c r="AA111" i="17"/>
  <c r="BD90" i="17"/>
  <c r="AA79" i="17"/>
  <c r="AH124" i="17"/>
  <c r="AV124" i="17" s="1"/>
  <c r="O23" i="17"/>
  <c r="AK23" i="17" s="1"/>
  <c r="AH34" i="17"/>
  <c r="AH93" i="17"/>
  <c r="AA83" i="17"/>
  <c r="O122" i="17"/>
  <c r="AK122" i="17" s="1"/>
  <c r="BD115" i="17"/>
  <c r="AH23" i="17"/>
  <c r="AA103" i="17"/>
  <c r="BD127" i="17"/>
  <c r="AH94" i="17"/>
  <c r="BD95" i="17"/>
  <c r="O20" i="17"/>
  <c r="AK20" i="17" s="1"/>
  <c r="AM20" i="17" s="1"/>
  <c r="AH78" i="17"/>
  <c r="AA104" i="17"/>
  <c r="AH35" i="17"/>
  <c r="AH122" i="17"/>
  <c r="BR80" i="17"/>
  <c r="O109" i="17"/>
  <c r="AK109" i="17" s="1"/>
  <c r="AM109" i="17" s="1"/>
  <c r="AA119" i="17"/>
  <c r="I115" i="18"/>
  <c r="J114" i="18"/>
  <c r="J116" i="18"/>
  <c r="O111" i="17"/>
  <c r="AK111" i="17" s="1"/>
  <c r="AV107" i="17"/>
  <c r="BR88" i="17"/>
  <c r="O77" i="17"/>
  <c r="AK77" i="17" s="1"/>
  <c r="AM77" i="17" s="1"/>
  <c r="BR108" i="17"/>
  <c r="BR92" i="17"/>
  <c r="BR116" i="17"/>
  <c r="BR37" i="17"/>
  <c r="O35" i="17"/>
  <c r="AK35" i="17" s="1"/>
  <c r="AH99" i="17"/>
  <c r="BR128" i="17"/>
  <c r="G114" i="18"/>
  <c r="O116" i="17"/>
  <c r="AK116" i="17" s="1"/>
  <c r="AM116" i="17" s="1"/>
  <c r="AH85" i="17"/>
  <c r="BR120" i="17"/>
  <c r="BR84" i="17"/>
  <c r="BR104" i="17"/>
  <c r="BR124" i="17"/>
  <c r="O82" i="17"/>
  <c r="AK82" i="17" s="1"/>
  <c r="AM82" i="17" s="1"/>
  <c r="O120" i="17"/>
  <c r="AK120" i="17" s="1"/>
  <c r="BR112" i="17"/>
  <c r="BR100" i="17"/>
  <c r="O102" i="17"/>
  <c r="AK102" i="17" s="1"/>
  <c r="AM102" i="17" s="1"/>
  <c r="AA90" i="17"/>
  <c r="AA128" i="17"/>
  <c r="AA26" i="17"/>
  <c r="BR76" i="17"/>
  <c r="O83" i="17"/>
  <c r="AK83" i="17" s="1"/>
  <c r="AM83" i="17" s="1"/>
  <c r="BR29" i="17"/>
  <c r="BR96" i="17"/>
  <c r="F134" i="17"/>
  <c r="C7" i="29" s="1"/>
  <c r="BR87" i="17"/>
  <c r="BR91" i="17"/>
  <c r="BR36" i="17"/>
  <c r="AV20" i="17"/>
  <c r="BR123" i="17"/>
  <c r="BR95" i="17"/>
  <c r="BR32" i="17"/>
  <c r="BR99" i="17"/>
  <c r="BR83" i="17"/>
  <c r="BR127" i="17"/>
  <c r="D7" i="29"/>
  <c r="AV101" i="17"/>
  <c r="AV81" i="17"/>
  <c r="BR119" i="17"/>
  <c r="BR103" i="17"/>
  <c r="BR107" i="17"/>
  <c r="BR28" i="17"/>
  <c r="AA95" i="17"/>
  <c r="AH120" i="17"/>
  <c r="AH96" i="17"/>
  <c r="AV96" i="17" s="1"/>
  <c r="O39" i="17"/>
  <c r="AK39" i="17" s="1"/>
  <c r="AM39" i="17" s="1"/>
  <c r="BD24" i="17"/>
  <c r="AH119" i="17"/>
  <c r="AV119" i="17" s="1"/>
  <c r="AH28" i="17"/>
  <c r="AJ95" i="17"/>
  <c r="AJ115" i="17"/>
  <c r="AL111" i="17"/>
  <c r="AV95" i="17"/>
  <c r="AJ34" i="17"/>
  <c r="BD77" i="17"/>
  <c r="BD103" i="17"/>
  <c r="AH80" i="17"/>
  <c r="AH103" i="17"/>
  <c r="BD96" i="17"/>
  <c r="O79" i="17"/>
  <c r="AK79" i="17" s="1"/>
  <c r="AH79" i="17"/>
  <c r="AL36" i="17"/>
  <c r="O36" i="17"/>
  <c r="BD80" i="17"/>
  <c r="I116" i="18"/>
  <c r="AV97" i="17"/>
  <c r="AV102" i="17"/>
  <c r="BD129" i="17"/>
  <c r="BD88" i="17"/>
  <c r="BD110" i="17"/>
  <c r="AJ59" i="16" a="1"/>
  <c r="AJ59" i="16" s="1"/>
  <c r="AJ37" i="16" a="1"/>
  <c r="AJ37" i="16" s="1"/>
  <c r="AJ8" i="16" a="1"/>
  <c r="AJ8" i="16" s="1"/>
  <c r="AJ36" i="16" a="1"/>
  <c r="AJ36" i="16" s="1"/>
  <c r="AJ9" i="16" a="1"/>
  <c r="AJ9" i="16" s="1"/>
  <c r="AA115" i="17"/>
  <c r="AA129" i="17"/>
  <c r="AA24" i="17"/>
  <c r="AV24" i="17"/>
  <c r="AA80" i="17"/>
  <c r="AA127" i="17"/>
  <c r="M63" i="15"/>
  <c r="N63" i="15" s="1"/>
  <c r="M49" i="15"/>
  <c r="N49" i="15" s="1"/>
  <c r="M67" i="15"/>
  <c r="N67" i="15" s="1"/>
  <c r="M51" i="15"/>
  <c r="N51" i="15" s="1"/>
  <c r="I61" i="15"/>
  <c r="I63" i="15"/>
  <c r="I37" i="15"/>
  <c r="I49" i="15"/>
  <c r="AV104" i="17"/>
  <c r="BD104" i="17"/>
  <c r="AV83" i="17"/>
  <c r="AA110" i="17"/>
  <c r="T97" i="17"/>
  <c r="AA97" i="17" s="1"/>
  <c r="M65" i="15"/>
  <c r="M55" i="15"/>
  <c r="N55" i="15" s="1"/>
  <c r="I55" i="15"/>
  <c r="T23" i="17"/>
  <c r="AA23" i="17" s="1"/>
  <c r="I9" i="15"/>
  <c r="M9" i="15"/>
  <c r="N9" i="15" s="1"/>
  <c r="I15" i="15"/>
  <c r="M15" i="15"/>
  <c r="N15" i="15" s="1"/>
  <c r="I19" i="15"/>
  <c r="J19" i="15"/>
  <c r="J33" i="15"/>
  <c r="I33" i="15"/>
  <c r="I45" i="15"/>
  <c r="J45" i="15"/>
  <c r="L33" i="15"/>
  <c r="M33" i="15"/>
  <c r="N33" i="15" s="1"/>
  <c r="T107" i="17"/>
  <c r="BD107" i="17" s="1"/>
  <c r="T102" i="17"/>
  <c r="AA102" i="17" s="1"/>
  <c r="AO114" i="17"/>
  <c r="T114" i="17" s="1"/>
  <c r="AA114" i="17" s="1"/>
  <c r="M13" i="15"/>
  <c r="N13" i="15" s="1"/>
  <c r="M11" i="15"/>
  <c r="N11" i="15" s="1"/>
  <c r="I11" i="15"/>
  <c r="H117" i="15"/>
  <c r="I31" i="15"/>
  <c r="J13" i="15"/>
  <c r="AO25" i="17"/>
  <c r="T25" i="17" s="1"/>
  <c r="BD25" i="17" s="1"/>
  <c r="N12" i="15"/>
  <c r="I29" i="15"/>
  <c r="M19" i="15"/>
  <c r="N19" i="15" s="1"/>
  <c r="J47" i="15"/>
  <c r="AV90" i="17"/>
  <c r="AV111" i="17"/>
  <c r="BD79" i="17"/>
  <c r="M60" i="15"/>
  <c r="N60" i="15" s="1"/>
  <c r="J21" i="15"/>
  <c r="I43" i="15"/>
  <c r="I25" i="15"/>
  <c r="T87" i="17"/>
  <c r="AA87" i="17" s="1"/>
  <c r="AV87" i="17"/>
  <c r="T19" i="17"/>
  <c r="AA19" i="17" s="1"/>
  <c r="AV19" i="17"/>
  <c r="AO38" i="17"/>
  <c r="T38" i="17" s="1"/>
  <c r="BD38" i="17" s="1"/>
  <c r="I17" i="15"/>
  <c r="J17" i="15"/>
  <c r="AA77" i="17"/>
  <c r="M21" i="15"/>
  <c r="AO76" i="17"/>
  <c r="T76" i="17" s="1"/>
  <c r="I41" i="15"/>
  <c r="I27" i="15"/>
  <c r="M17" i="15"/>
  <c r="J9" i="15"/>
  <c r="M50" i="15"/>
  <c r="J50" i="15"/>
  <c r="I58" i="15"/>
  <c r="M58" i="15"/>
  <c r="J62" i="15"/>
  <c r="M62" i="15"/>
  <c r="N62" i="15" s="1"/>
  <c r="J25" i="15"/>
  <c r="AV110" i="17"/>
  <c r="AV77" i="17"/>
  <c r="M54" i="15"/>
  <c r="N54" i="15" s="1"/>
  <c r="BD82" i="17"/>
  <c r="AA82" i="17"/>
  <c r="BD101" i="17"/>
  <c r="AA101" i="17"/>
  <c r="BD84" i="17"/>
  <c r="AA84" i="17"/>
  <c r="BD85" i="17"/>
  <c r="AA85" i="17"/>
  <c r="AO22" i="17"/>
  <c r="AV22" i="17" s="1"/>
  <c r="AV31" i="17"/>
  <c r="T31" i="17"/>
  <c r="M46" i="15"/>
  <c r="L46" i="15"/>
  <c r="AO32" i="17"/>
  <c r="M43" i="15"/>
  <c r="L43" i="15"/>
  <c r="T28" i="17"/>
  <c r="AA28" i="17" s="1"/>
  <c r="AA108" i="17"/>
  <c r="BD108" i="17"/>
  <c r="M44" i="15"/>
  <c r="L44" i="15"/>
  <c r="BD111" i="17"/>
  <c r="BD128" i="17"/>
  <c r="AV84" i="17"/>
  <c r="AO29" i="17"/>
  <c r="T29" i="17" s="1"/>
  <c r="AA29" i="17" s="1"/>
  <c r="AO93" i="17"/>
  <c r="T93" i="17" s="1"/>
  <c r="AA93" i="17" s="1"/>
  <c r="N20" i="15"/>
  <c r="AV128" i="17"/>
  <c r="T123" i="17"/>
  <c r="AA123" i="17" s="1"/>
  <c r="AV123" i="17"/>
  <c r="AO35" i="17"/>
  <c r="AO27" i="17"/>
  <c r="N14" i="15"/>
  <c r="M23" i="15"/>
  <c r="L23" i="15"/>
  <c r="M57" i="15"/>
  <c r="L57" i="15"/>
  <c r="L61" i="15"/>
  <c r="M41" i="15"/>
  <c r="M8" i="15"/>
  <c r="AV88" i="17"/>
  <c r="I126" i="17"/>
  <c r="J126" i="17" s="1"/>
  <c r="G26" i="17"/>
  <c r="H26" i="17" s="1"/>
  <c r="I23" i="17"/>
  <c r="J23" i="17" s="1"/>
  <c r="I90" i="17"/>
  <c r="J90" i="17" s="1"/>
  <c r="G25" i="17"/>
  <c r="H25" i="17" s="1"/>
  <c r="I20" i="17"/>
  <c r="J20" i="17" s="1"/>
  <c r="I35" i="17"/>
  <c r="J35" i="17" s="1"/>
  <c r="G97" i="17"/>
  <c r="H97" i="17" s="1"/>
  <c r="G22" i="17"/>
  <c r="H22" i="17" s="1"/>
  <c r="I25" i="17"/>
  <c r="J25" i="17" s="1"/>
  <c r="G86" i="17"/>
  <c r="H86" i="17" s="1"/>
  <c r="I105" i="17"/>
  <c r="J105" i="17" s="1"/>
  <c r="I118" i="17"/>
  <c r="J118" i="17" s="1"/>
  <c r="I21" i="17"/>
  <c r="J21" i="17" s="1"/>
  <c r="G23" i="17"/>
  <c r="H23" i="17" s="1"/>
  <c r="G103" i="17"/>
  <c r="H103" i="17" s="1"/>
  <c r="G27" i="17"/>
  <c r="H27" i="17" s="1"/>
  <c r="G83" i="17"/>
  <c r="H83" i="17" s="1"/>
  <c r="I80" i="17"/>
  <c r="J80" i="17" s="1"/>
  <c r="I19" i="17"/>
  <c r="J19" i="17" s="1"/>
  <c r="I125" i="17"/>
  <c r="J125" i="17" s="1"/>
  <c r="G117" i="17"/>
  <c r="H117" i="17" s="1"/>
  <c r="AV86" i="17"/>
  <c r="AJ113" i="17"/>
  <c r="AH129" i="17"/>
  <c r="AV129" i="17" s="1"/>
  <c r="BD83" i="17"/>
  <c r="AA88" i="17"/>
  <c r="O107" i="17"/>
  <c r="AK107" i="17" s="1"/>
  <c r="AM107" i="17" s="1"/>
  <c r="O96" i="17"/>
  <c r="AK96" i="17" s="1"/>
  <c r="O25" i="17"/>
  <c r="AK25" i="17" s="1"/>
  <c r="AJ29" i="17"/>
  <c r="AJ118" i="17"/>
  <c r="O114" i="17"/>
  <c r="AK114" i="17" s="1"/>
  <c r="AH114" i="17"/>
  <c r="AV40" i="17"/>
  <c r="AH26" i="17"/>
  <c r="AH76" i="17"/>
  <c r="O76" i="17"/>
  <c r="AK76" i="17" s="1"/>
  <c r="AH89" i="17"/>
  <c r="AJ88" i="17"/>
  <c r="AH100" i="17"/>
  <c r="AH25" i="17"/>
  <c r="AH121" i="17"/>
  <c r="AJ84" i="17"/>
  <c r="O84" i="17"/>
  <c r="AK84" i="17" s="1"/>
  <c r="M126" i="17"/>
  <c r="M22" i="17"/>
  <c r="AV82" i="17"/>
  <c r="AV115" i="17"/>
  <c r="BD26" i="17"/>
  <c r="BP22" i="17"/>
  <c r="BR22" i="17" s="1"/>
  <c r="BD119" i="17"/>
  <c r="AM45" i="16" a="1"/>
  <c r="AM45" i="16" s="1"/>
  <c r="BH7" i="16"/>
  <c r="BI7" i="16"/>
  <c r="BQ7" i="16"/>
  <c r="BG7" i="16"/>
  <c r="AM51" i="16" a="1"/>
  <c r="AM51" i="16" s="1"/>
  <c r="AM53" i="16" a="1"/>
  <c r="AM53" i="16" s="1"/>
  <c r="AM10" i="16" a="1"/>
  <c r="AM10" i="16" s="1"/>
  <c r="AM24" i="16" a="1"/>
  <c r="AM24" i="16" s="1"/>
  <c r="AM26" i="16" a="1"/>
  <c r="AM26" i="16" s="1"/>
  <c r="AM17" i="16" a="1"/>
  <c r="AM17" i="16" s="1"/>
  <c r="AM18" i="16" a="1"/>
  <c r="AM18" i="16" s="1"/>
  <c r="AM65" i="16" a="1"/>
  <c r="AM65" i="16" s="1"/>
  <c r="AM12" i="16" a="1"/>
  <c r="AM12" i="16" s="1"/>
  <c r="AM8" i="16" a="1"/>
  <c r="AM8" i="16" s="1"/>
  <c r="AM73" i="16" a="1"/>
  <c r="AM73" i="16" s="1"/>
  <c r="AM75" i="16" a="1"/>
  <c r="AM75" i="16" s="1"/>
  <c r="BL7" i="16"/>
  <c r="AM47" i="16" a="1"/>
  <c r="AM47" i="16" s="1"/>
  <c r="AM46" i="16" a="1"/>
  <c r="AM46" i="16" s="1"/>
  <c r="AM49" i="16" a="1"/>
  <c r="AM49" i="16" s="1"/>
  <c r="AM27" i="16" a="1"/>
  <c r="AM27" i="16" s="1"/>
  <c r="BK7" i="16"/>
  <c r="AM76" i="16" a="1"/>
  <c r="AM76" i="16" s="1"/>
  <c r="AM25" i="16" a="1"/>
  <c r="AM25" i="16" s="1"/>
  <c r="AM60" i="16" a="1"/>
  <c r="AM60" i="16" s="1"/>
  <c r="AM33" i="16" a="1"/>
  <c r="AM33" i="16" s="1"/>
  <c r="AM30" i="16" a="1"/>
  <c r="AM30" i="16" s="1"/>
  <c r="AM59" i="16" a="1"/>
  <c r="AM59" i="16" s="1"/>
  <c r="AM55" i="16" a="1"/>
  <c r="AM55" i="16" s="1"/>
  <c r="AM80" i="16" a="1"/>
  <c r="AM80" i="16" s="1"/>
  <c r="BM7" i="16"/>
  <c r="AM72" i="16" a="1"/>
  <c r="AM72" i="16" s="1"/>
  <c r="AM23" i="16" a="1"/>
  <c r="AM23" i="16" s="1"/>
  <c r="AM64" i="16" a="1"/>
  <c r="AM64" i="16" s="1"/>
  <c r="BJ7" i="16"/>
  <c r="AM22" i="16" a="1"/>
  <c r="AM22" i="16" s="1"/>
  <c r="AM57" i="16" a="1"/>
  <c r="AM57" i="16" s="1"/>
  <c r="BO7" i="16"/>
  <c r="AM31" i="16" a="1"/>
  <c r="AM31" i="16" s="1"/>
  <c r="AM34" i="16" a="1"/>
  <c r="AM34" i="16" s="1"/>
  <c r="AM19" i="16" a="1"/>
  <c r="AM19" i="16" s="1"/>
  <c r="AM32" i="16" a="1"/>
  <c r="AM32" i="16" s="1"/>
  <c r="AM78" i="16" a="1"/>
  <c r="AM78" i="16" s="1"/>
  <c r="AM15" i="16" a="1"/>
  <c r="AM15" i="16" s="1"/>
  <c r="AM37" i="16" a="1"/>
  <c r="AM37" i="16" s="1"/>
  <c r="AM61" i="16" a="1"/>
  <c r="AM61" i="16" s="1"/>
  <c r="AM62" i="16" a="1"/>
  <c r="AM62" i="16" s="1"/>
  <c r="AM20" i="16" a="1"/>
  <c r="AM20" i="16" s="1"/>
  <c r="AL5" i="16"/>
  <c r="AM82" i="16" a="1"/>
  <c r="AM82" i="16" s="1"/>
  <c r="AM40" i="16" a="1"/>
  <c r="AM40" i="16" s="1"/>
  <c r="AM79" i="16" a="1"/>
  <c r="AM79" i="16" s="1"/>
  <c r="AM29" i="16" a="1"/>
  <c r="AM29" i="16" s="1"/>
  <c r="AM63" i="16" a="1"/>
  <c r="AM63" i="16" s="1"/>
  <c r="AM13" i="16" a="1"/>
  <c r="AM13" i="16" s="1"/>
  <c r="AM41" i="16" a="1"/>
  <c r="AM41" i="16" s="1"/>
  <c r="AM11" i="16" a="1"/>
  <c r="AM11" i="16" s="1"/>
  <c r="AM21" i="16" a="1"/>
  <c r="AM21" i="16" s="1"/>
  <c r="AM83" i="16" a="1"/>
  <c r="AM83" i="16" s="1"/>
  <c r="AM70" i="16" a="1"/>
  <c r="AM70" i="16" s="1"/>
  <c r="AM48" i="16" a="1"/>
  <c r="AM48" i="16" s="1"/>
  <c r="AM81" i="16" a="1"/>
  <c r="AM81" i="16" s="1"/>
  <c r="AM36" i="16" a="1"/>
  <c r="AM36" i="16" s="1"/>
  <c r="AM69" i="16" a="1"/>
  <c r="AM69" i="16" s="1"/>
  <c r="AM67" i="16" a="1"/>
  <c r="AM67" i="16" s="1"/>
  <c r="AM77" i="16" a="1"/>
  <c r="AM77" i="16" s="1"/>
  <c r="AM54" i="16" a="1"/>
  <c r="AM54" i="16" s="1"/>
  <c r="AM28" i="16" a="1"/>
  <c r="AM28" i="16" s="1"/>
  <c r="BN7" i="16"/>
  <c r="AM50" i="16" a="1"/>
  <c r="AM50" i="16" s="1"/>
  <c r="AM44" i="16" a="1"/>
  <c r="AM44" i="16" s="1"/>
  <c r="AM9" i="16" a="1"/>
  <c r="AM9" i="16" s="1"/>
  <c r="AM38" i="16" a="1"/>
  <c r="AM38" i="16" s="1"/>
  <c r="AM58" i="16" a="1"/>
  <c r="AM58" i="16" s="1"/>
  <c r="AM74" i="16" a="1"/>
  <c r="AM74" i="16" s="1"/>
  <c r="AM42" i="16" a="1"/>
  <c r="AM42" i="16" s="1"/>
  <c r="AM39" i="16" a="1"/>
  <c r="AM39" i="16" s="1"/>
  <c r="AM71" i="16" a="1"/>
  <c r="AM71" i="16" s="1"/>
  <c r="AM68" i="16" a="1"/>
  <c r="AM68" i="16" s="1"/>
  <c r="AM35" i="16" a="1"/>
  <c r="AM35" i="16" s="1"/>
  <c r="AM56" i="16" a="1"/>
  <c r="AM56" i="16" s="1"/>
  <c r="AM66" i="16" a="1"/>
  <c r="AM66" i="16" s="1"/>
  <c r="AM14" i="16" a="1"/>
  <c r="AM14" i="16" s="1"/>
  <c r="AM16" i="16" a="1"/>
  <c r="AM16" i="16" s="1"/>
  <c r="AM43" i="16" a="1"/>
  <c r="AM43" i="16" s="1"/>
  <c r="AM52" i="16" a="1"/>
  <c r="AM52" i="16" s="1"/>
  <c r="BP7" i="16"/>
  <c r="AA81" i="17"/>
  <c r="BD81" i="17"/>
  <c r="AA86" i="17"/>
  <c r="BD86" i="17"/>
  <c r="AA109" i="17"/>
  <c r="AA40" i="17"/>
  <c r="BD40" i="17"/>
  <c r="T121" i="17"/>
  <c r="BD124" i="17"/>
  <c r="AA124" i="17"/>
  <c r="BD100" i="17"/>
  <c r="AA100" i="17"/>
  <c r="BD99" i="17"/>
  <c r="AA99" i="17"/>
  <c r="BD20" i="17"/>
  <c r="AA20" i="17"/>
  <c r="AV108" i="17"/>
  <c r="AA96" i="17"/>
  <c r="B100" i="18" a="1"/>
  <c r="B97" i="18" a="1"/>
  <c r="B98" i="18" a="1"/>
  <c r="B105" i="18" a="1"/>
  <c r="B95" i="18" a="1"/>
  <c r="B107" i="18" a="1"/>
  <c r="B113" i="18" a="1"/>
  <c r="B96" i="18" a="1"/>
  <c r="B94" i="18" a="1"/>
  <c r="B106" i="18" a="1"/>
  <c r="B110" i="18" a="1"/>
  <c r="B104" i="18" a="1"/>
  <c r="B101" i="18" a="1"/>
  <c r="B108" i="18" a="1"/>
  <c r="B103" i="18" a="1"/>
  <c r="B111" i="18" a="1"/>
  <c r="B102" i="18" a="1"/>
  <c r="B99" i="18" a="1"/>
  <c r="B112" i="18" a="1"/>
  <c r="B109" i="18" a="1"/>
  <c r="AA33" i="17" l="1"/>
  <c r="N61" i="15"/>
  <c r="AV33" i="17"/>
  <c r="AV109" i="17"/>
  <c r="N30" i="15"/>
  <c r="AA78" i="17"/>
  <c r="AV39" i="17"/>
  <c r="N68" i="15"/>
  <c r="AV116" i="17"/>
  <c r="N26" i="15"/>
  <c r="I117" i="15"/>
  <c r="BD120" i="17"/>
  <c r="AV37" i="17"/>
  <c r="AA37" i="17"/>
  <c r="N24" i="15"/>
  <c r="B102" i="18"/>
  <c r="B105" i="18"/>
  <c r="B107" i="18"/>
  <c r="B106" i="18"/>
  <c r="B103" i="18"/>
  <c r="B104" i="18"/>
  <c r="B109" i="18"/>
  <c r="B111" i="18"/>
  <c r="B110" i="18"/>
  <c r="B112" i="18"/>
  <c r="B108" i="18"/>
  <c r="B113" i="18"/>
  <c r="B100" i="18"/>
  <c r="B94" i="18"/>
  <c r="B95" i="18"/>
  <c r="B101" i="18"/>
  <c r="B98" i="18"/>
  <c r="B99" i="18"/>
  <c r="B97" i="18"/>
  <c r="B96" i="18"/>
  <c r="BD112" i="17"/>
  <c r="O101" i="17"/>
  <c r="AK101" i="17" s="1"/>
  <c r="O81" i="17"/>
  <c r="AK81" i="17" s="1"/>
  <c r="AM81" i="17" s="1"/>
  <c r="O129" i="17"/>
  <c r="AK129" i="17" s="1"/>
  <c r="AM129" i="17" s="1"/>
  <c r="O90" i="17"/>
  <c r="AK90" i="17" s="1"/>
  <c r="AM90" i="17" s="1"/>
  <c r="Q23" i="17"/>
  <c r="R23" i="17" s="1"/>
  <c r="O115" i="17"/>
  <c r="AK115" i="17" s="1"/>
  <c r="AM115" i="17" s="1"/>
  <c r="O80" i="17"/>
  <c r="AK80" i="17" s="1"/>
  <c r="AM80" i="17" s="1"/>
  <c r="O123" i="17"/>
  <c r="AK123" i="17" s="1"/>
  <c r="AM123" i="17" s="1"/>
  <c r="AM23" i="17"/>
  <c r="O33" i="17"/>
  <c r="AK33" i="17" s="1"/>
  <c r="AM33" i="17" s="1"/>
  <c r="O86" i="17"/>
  <c r="AK86" i="17" s="1"/>
  <c r="AM86" i="17" s="1"/>
  <c r="O112" i="17"/>
  <c r="AK112" i="17" s="1"/>
  <c r="AM112" i="17" s="1"/>
  <c r="O37" i="17"/>
  <c r="AK37" i="17" s="1"/>
  <c r="AM37" i="17" s="1"/>
  <c r="O19" i="17"/>
  <c r="AK19" i="17" s="1"/>
  <c r="AM19" i="17" s="1"/>
  <c r="O21" i="17"/>
  <c r="AK21" i="17" s="1"/>
  <c r="AM21" i="17" s="1"/>
  <c r="O88" i="17"/>
  <c r="AK88" i="17" s="1"/>
  <c r="AM88" i="17" s="1"/>
  <c r="O128" i="17"/>
  <c r="AK128" i="17" s="1"/>
  <c r="AM128" i="17" s="1"/>
  <c r="O87" i="17"/>
  <c r="AK87" i="17" s="1"/>
  <c r="AM87" i="17" s="1"/>
  <c r="O99" i="17"/>
  <c r="AK99" i="17" s="1"/>
  <c r="AM99" i="17" s="1"/>
  <c r="O94" i="17"/>
  <c r="AK94" i="17" s="1"/>
  <c r="AM94" i="17" s="1"/>
  <c r="O117" i="17"/>
  <c r="AK117" i="17" s="1"/>
  <c r="AM117" i="17" s="1"/>
  <c r="O27" i="17"/>
  <c r="AK27" i="17" s="1"/>
  <c r="AM27" i="17" s="1"/>
  <c r="O104" i="17"/>
  <c r="AK104" i="17" s="1"/>
  <c r="AM104" i="17" s="1"/>
  <c r="O93" i="17"/>
  <c r="AK93" i="17" s="1"/>
  <c r="AM93" i="17" s="1"/>
  <c r="O95" i="17"/>
  <c r="AK95" i="17" s="1"/>
  <c r="AL130" i="17"/>
  <c r="O125" i="17"/>
  <c r="AK125" i="17" s="1"/>
  <c r="AM125" i="17" s="1"/>
  <c r="O110" i="17"/>
  <c r="AK110" i="17" s="1"/>
  <c r="AM110" i="17" s="1"/>
  <c r="O92" i="17"/>
  <c r="AK92" i="17" s="1"/>
  <c r="AM92" i="17" s="1"/>
  <c r="O97" i="17"/>
  <c r="AK97" i="17" s="1"/>
  <c r="AM97" i="17" s="1"/>
  <c r="O105" i="17"/>
  <c r="AK105" i="17" s="1"/>
  <c r="AM105" i="17" s="1"/>
  <c r="O34" i="17"/>
  <c r="AK34" i="17" s="1"/>
  <c r="O85" i="17"/>
  <c r="AK85" i="17" s="1"/>
  <c r="O78" i="17"/>
  <c r="AK78" i="17" s="1"/>
  <c r="AM78" i="17" s="1"/>
  <c r="O68" i="17"/>
  <c r="AK68" i="17" s="1"/>
  <c r="O57" i="17"/>
  <c r="AJ130" i="17"/>
  <c r="O74" i="17"/>
  <c r="AK74" i="17" s="1"/>
  <c r="Q107" i="17"/>
  <c r="R107" i="17" s="1"/>
  <c r="O89" i="17"/>
  <c r="AK89" i="17" s="1"/>
  <c r="O113" i="17"/>
  <c r="AK113" i="17" s="1"/>
  <c r="AM113" i="17" s="1"/>
  <c r="O106" i="17"/>
  <c r="AK106" i="17" s="1"/>
  <c r="AM106" i="17" s="1"/>
  <c r="O67" i="17"/>
  <c r="AK67" i="17" s="1"/>
  <c r="O52" i="17"/>
  <c r="AK52" i="17" s="1"/>
  <c r="AV57" i="17"/>
  <c r="O100" i="17"/>
  <c r="AK100" i="17" s="1"/>
  <c r="AM100" i="17" s="1"/>
  <c r="O26" i="17"/>
  <c r="AK26" i="17" s="1"/>
  <c r="AM26" i="17" s="1"/>
  <c r="AM95" i="17"/>
  <c r="O98" i="17"/>
  <c r="AK98" i="17" s="1"/>
  <c r="AM98" i="17" s="1"/>
  <c r="O38" i="17"/>
  <c r="AK38" i="17" s="1"/>
  <c r="AM38" i="17" s="1"/>
  <c r="O30" i="17"/>
  <c r="AK30" i="17" s="1"/>
  <c r="AM30" i="17" s="1"/>
  <c r="O91" i="17"/>
  <c r="AK91" i="17" s="1"/>
  <c r="AM91" i="17" s="1"/>
  <c r="O75" i="17"/>
  <c r="AK75" i="17" s="1"/>
  <c r="O121" i="17"/>
  <c r="AK121" i="17" s="1"/>
  <c r="AM121" i="17" s="1"/>
  <c r="O29" i="17"/>
  <c r="AK29" i="17" s="1"/>
  <c r="AM29" i="17" s="1"/>
  <c r="O124" i="17"/>
  <c r="AK124" i="17" s="1"/>
  <c r="AM124" i="17" s="1"/>
  <c r="O43" i="17"/>
  <c r="AK43" i="17" s="1"/>
  <c r="O47" i="17"/>
  <c r="AK47" i="17" s="1"/>
  <c r="O44" i="17"/>
  <c r="AK44" i="17" s="1"/>
  <c r="O61" i="17"/>
  <c r="AK61" i="17" s="1"/>
  <c r="O58" i="17"/>
  <c r="AK58" i="17" s="1"/>
  <c r="O54" i="17"/>
  <c r="AK54" i="17" s="1"/>
  <c r="Q77" i="17"/>
  <c r="R77" i="17" s="1"/>
  <c r="O41" i="17"/>
  <c r="AK41" i="17" s="1"/>
  <c r="O56" i="17"/>
  <c r="AK56" i="17" s="1"/>
  <c r="O55" i="17"/>
  <c r="AK55" i="17" s="1"/>
  <c r="AA107" i="17"/>
  <c r="AH64" i="17"/>
  <c r="AV64" i="17" s="1"/>
  <c r="BD64" i="17"/>
  <c r="AA64" i="17"/>
  <c r="AH69" i="17"/>
  <c r="BD69" i="17"/>
  <c r="AA69" i="17"/>
  <c r="AH63" i="17"/>
  <c r="BD63" i="17"/>
  <c r="AA63" i="17"/>
  <c r="BD74" i="17"/>
  <c r="AA74" i="17"/>
  <c r="AH74" i="17"/>
  <c r="AH73" i="17"/>
  <c r="AV73" i="17" s="1"/>
  <c r="AA73" i="17"/>
  <c r="BD73" i="17"/>
  <c r="AH67" i="17"/>
  <c r="AA67" i="17"/>
  <c r="BD67" i="17"/>
  <c r="AH52" i="17"/>
  <c r="AA52" i="17"/>
  <c r="BD52" i="17"/>
  <c r="AH66" i="17"/>
  <c r="AV66" i="17" s="1"/>
  <c r="AA66" i="17"/>
  <c r="BD66" i="17"/>
  <c r="AH71" i="17"/>
  <c r="BD71" i="17"/>
  <c r="AA71" i="17"/>
  <c r="AH51" i="17"/>
  <c r="AV51" i="17" s="1"/>
  <c r="AA51" i="17"/>
  <c r="BD51" i="17"/>
  <c r="AA59" i="17"/>
  <c r="AH59" i="17"/>
  <c r="BD59" i="17"/>
  <c r="O63" i="17"/>
  <c r="AK63" i="17" s="1"/>
  <c r="O69" i="17"/>
  <c r="AK69" i="17" s="1"/>
  <c r="O59" i="17"/>
  <c r="AK59" i="17" s="1"/>
  <c r="O71" i="17"/>
  <c r="AK71" i="17" s="1"/>
  <c r="O64" i="17"/>
  <c r="AK64" i="17" s="1"/>
  <c r="BD42" i="17"/>
  <c r="AH42" i="17"/>
  <c r="AA42" i="17"/>
  <c r="AH49" i="17"/>
  <c r="AA49" i="17"/>
  <c r="BD49" i="17"/>
  <c r="BD48" i="17"/>
  <c r="AH48" i="17"/>
  <c r="AA48" i="17"/>
  <c r="O118" i="17"/>
  <c r="AK118" i="17" s="1"/>
  <c r="AM118" i="17" s="1"/>
  <c r="O28" i="17"/>
  <c r="AK28" i="17" s="1"/>
  <c r="AM28" i="17" s="1"/>
  <c r="O32" i="17"/>
  <c r="AK32" i="17" s="1"/>
  <c r="AM32" i="17" s="1"/>
  <c r="AI31" i="17"/>
  <c r="O103" i="17"/>
  <c r="AK103" i="17" s="1"/>
  <c r="AM103" i="17" s="1"/>
  <c r="O108" i="17"/>
  <c r="AK108" i="17" s="1"/>
  <c r="AM108" i="17" s="1"/>
  <c r="AH46" i="17"/>
  <c r="BD46" i="17"/>
  <c r="AA46" i="17"/>
  <c r="AH50" i="17"/>
  <c r="BD50" i="17"/>
  <c r="AA50" i="17"/>
  <c r="AH72" i="17"/>
  <c r="BD72" i="17"/>
  <c r="AA72" i="17"/>
  <c r="AH55" i="17"/>
  <c r="AV55" i="17" s="1"/>
  <c r="BD55" i="17"/>
  <c r="AA55" i="17"/>
  <c r="AH70" i="17"/>
  <c r="AA70" i="17"/>
  <c r="BD70" i="17"/>
  <c r="AH75" i="17"/>
  <c r="AV75" i="17" s="1"/>
  <c r="BD75" i="17"/>
  <c r="AA75" i="17"/>
  <c r="AH53" i="17"/>
  <c r="AV53" i="17" s="1"/>
  <c r="BD53" i="17"/>
  <c r="AA53" i="17"/>
  <c r="AH60" i="17"/>
  <c r="AA60" i="17"/>
  <c r="BD60" i="17"/>
  <c r="O53" i="17"/>
  <c r="AK53" i="17" s="1"/>
  <c r="O49" i="17"/>
  <c r="AK49" i="17" s="1"/>
  <c r="O50" i="17"/>
  <c r="AK50" i="17" s="1"/>
  <c r="O70" i="17"/>
  <c r="AK70" i="17" s="1"/>
  <c r="O60" i="17"/>
  <c r="AK60" i="17" s="1"/>
  <c r="BD68" i="17"/>
  <c r="AH68" i="17"/>
  <c r="AA68" i="17"/>
  <c r="AH41" i="17"/>
  <c r="AV41" i="17" s="1"/>
  <c r="BD41" i="17"/>
  <c r="Q41" i="17"/>
  <c r="AA41" i="17"/>
  <c r="AH56" i="17"/>
  <c r="BD56" i="17"/>
  <c r="AA56" i="17"/>
  <c r="O62" i="17"/>
  <c r="AK62" i="17" s="1"/>
  <c r="O45" i="17"/>
  <c r="AK45" i="17" s="1"/>
  <c r="O24" i="17"/>
  <c r="AK24" i="17" s="1"/>
  <c r="AM24" i="17" s="1"/>
  <c r="O119" i="17"/>
  <c r="AK119" i="17" s="1"/>
  <c r="AM119" i="17" s="1"/>
  <c r="O127" i="17"/>
  <c r="AK127" i="17" s="1"/>
  <c r="AM127" i="17" s="1"/>
  <c r="O40" i="17"/>
  <c r="AK40" i="17" s="1"/>
  <c r="AM40" i="17" s="1"/>
  <c r="AH43" i="17"/>
  <c r="AV43" i="17" s="1"/>
  <c r="BD43" i="17"/>
  <c r="AA43" i="17"/>
  <c r="AH47" i="17"/>
  <c r="AV47" i="17" s="1"/>
  <c r="BD47" i="17"/>
  <c r="AA47" i="17"/>
  <c r="AA61" i="17"/>
  <c r="BD61" i="17"/>
  <c r="AH61" i="17"/>
  <c r="Q61" i="17"/>
  <c r="AH44" i="17"/>
  <c r="BD44" i="17"/>
  <c r="AA44" i="17"/>
  <c r="AH58" i="17"/>
  <c r="BD58" i="17"/>
  <c r="AA58" i="17"/>
  <c r="AA65" i="17"/>
  <c r="AH65" i="17"/>
  <c r="BD65" i="17"/>
  <c r="AA45" i="17"/>
  <c r="AH45" i="17"/>
  <c r="BD45" i="17"/>
  <c r="AH54" i="17"/>
  <c r="AA54" i="17"/>
  <c r="BD54" i="17"/>
  <c r="AH62" i="17"/>
  <c r="AV62" i="17" s="1"/>
  <c r="AA62" i="17"/>
  <c r="BD62" i="17"/>
  <c r="O48" i="17"/>
  <c r="AK48" i="17" s="1"/>
  <c r="O65" i="17"/>
  <c r="AK65" i="17" s="1"/>
  <c r="O72" i="17"/>
  <c r="AK72" i="17" s="1"/>
  <c r="O51" i="17"/>
  <c r="AK51" i="17" s="1"/>
  <c r="O73" i="17"/>
  <c r="AK73" i="17" s="1"/>
  <c r="O66" i="17"/>
  <c r="AK66" i="17" s="1"/>
  <c r="AM66" i="17" s="1"/>
  <c r="O42" i="17"/>
  <c r="AK42" i="17" s="1"/>
  <c r="O46" i="17"/>
  <c r="AK46" i="17" s="1"/>
  <c r="BD23" i="17"/>
  <c r="AM84" i="17"/>
  <c r="Q122" i="17"/>
  <c r="R122" i="17" s="1"/>
  <c r="Q25" i="17"/>
  <c r="R25" i="17" s="1"/>
  <c r="AM111" i="17"/>
  <c r="AM101" i="17"/>
  <c r="Q92" i="17"/>
  <c r="R92" i="17" s="1"/>
  <c r="AM35" i="17"/>
  <c r="Q117" i="17"/>
  <c r="R117" i="17" s="1"/>
  <c r="AM31" i="17"/>
  <c r="Q82" i="17"/>
  <c r="R82" i="17" s="1"/>
  <c r="Q90" i="17"/>
  <c r="R90" i="17" s="1"/>
  <c r="Q84" i="17"/>
  <c r="R84" i="17" s="1"/>
  <c r="Q115" i="17"/>
  <c r="R115" i="17" s="1"/>
  <c r="Q116" i="17"/>
  <c r="R116" i="17" s="1"/>
  <c r="Q76" i="17"/>
  <c r="R76" i="17" s="1"/>
  <c r="Q96" i="17"/>
  <c r="R96" i="17" s="1"/>
  <c r="Q81" i="17"/>
  <c r="R81" i="17" s="1"/>
  <c r="Q114" i="17"/>
  <c r="R114" i="17" s="1"/>
  <c r="Q34" i="17"/>
  <c r="R34" i="17" s="1"/>
  <c r="Q120" i="17"/>
  <c r="R120" i="17" s="1"/>
  <c r="Q79" i="17"/>
  <c r="R79" i="17" s="1"/>
  <c r="AV78" i="17"/>
  <c r="AK36" i="17"/>
  <c r="AM36" i="17" s="1"/>
  <c r="Q36" i="17"/>
  <c r="R36" i="17" s="1"/>
  <c r="Q102" i="17"/>
  <c r="R102" i="17" s="1"/>
  <c r="Q39" i="17"/>
  <c r="R39" i="17" s="1"/>
  <c r="Q83" i="17"/>
  <c r="R83" i="17" s="1"/>
  <c r="Q95" i="17"/>
  <c r="R95" i="17" s="1"/>
  <c r="Q123" i="17"/>
  <c r="R123" i="17" s="1"/>
  <c r="AM96" i="17"/>
  <c r="Q97" i="17"/>
  <c r="R97" i="17" s="1"/>
  <c r="Q20" i="17"/>
  <c r="R20" i="17" s="1"/>
  <c r="Q111" i="17"/>
  <c r="R111" i="17" s="1"/>
  <c r="AM34" i="17"/>
  <c r="Q128" i="17"/>
  <c r="R128" i="17" s="1"/>
  <c r="AM76" i="17"/>
  <c r="AM120" i="17"/>
  <c r="AM85" i="17"/>
  <c r="Q31" i="17"/>
  <c r="R31" i="17" s="1"/>
  <c r="Q113" i="17"/>
  <c r="R113" i="17" s="1"/>
  <c r="Q109" i="17"/>
  <c r="R109" i="17" s="1"/>
  <c r="AM122" i="17"/>
  <c r="Q32" i="17"/>
  <c r="R32" i="17" s="1"/>
  <c r="Q37" i="17"/>
  <c r="R37" i="17" s="1"/>
  <c r="Q101" i="17"/>
  <c r="R101" i="17" s="1"/>
  <c r="Q35" i="17"/>
  <c r="R35" i="17" s="1"/>
  <c r="Q85" i="17"/>
  <c r="R85" i="17" s="1"/>
  <c r="Q89" i="17"/>
  <c r="R89" i="17" s="1"/>
  <c r="AO122" i="17"/>
  <c r="T122" i="17" s="1"/>
  <c r="BD122" i="17" s="1"/>
  <c r="T22" i="17"/>
  <c r="BD22" i="17" s="1"/>
  <c r="AA38" i="17"/>
  <c r="AV80" i="17"/>
  <c r="AV85" i="17"/>
  <c r="AV23" i="17"/>
  <c r="AV99" i="17"/>
  <c r="AA25" i="17"/>
  <c r="H130" i="17"/>
  <c r="G137" i="17"/>
  <c r="G136" i="17"/>
  <c r="BD97" i="17"/>
  <c r="AV103" i="17"/>
  <c r="BD87" i="17"/>
  <c r="J130" i="17"/>
  <c r="J132" i="17" s="1"/>
  <c r="J134" i="17" s="1"/>
  <c r="BD102" i="17"/>
  <c r="AV28" i="17"/>
  <c r="BD28" i="17"/>
  <c r="AV120" i="17"/>
  <c r="AV76" i="17"/>
  <c r="AM79" i="17"/>
  <c r="AV79" i="17"/>
  <c r="AO113" i="17"/>
  <c r="N65" i="15"/>
  <c r="AA116" i="17"/>
  <c r="BD116" i="17"/>
  <c r="BD114" i="17"/>
  <c r="BD123" i="17"/>
  <c r="BD93" i="17"/>
  <c r="BD19" i="17"/>
  <c r="AV93" i="17"/>
  <c r="H120" i="15"/>
  <c r="J117" i="15"/>
  <c r="H118" i="15"/>
  <c r="AO106" i="17"/>
  <c r="N58" i="15"/>
  <c r="AV38" i="17"/>
  <c r="AO117" i="17"/>
  <c r="AO30" i="17"/>
  <c r="N17" i="15"/>
  <c r="AO98" i="17"/>
  <c r="N50" i="15"/>
  <c r="BD29" i="17"/>
  <c r="AV29" i="17"/>
  <c r="AO126" i="17"/>
  <c r="AO34" i="17"/>
  <c r="N21" i="15"/>
  <c r="AV27" i="17"/>
  <c r="T27" i="17"/>
  <c r="BD31" i="17"/>
  <c r="AA31" i="17"/>
  <c r="AO125" i="17"/>
  <c r="AO92" i="17"/>
  <c r="N44" i="15"/>
  <c r="AO91" i="17"/>
  <c r="N43" i="15"/>
  <c r="N46" i="15"/>
  <c r="AO94" i="17"/>
  <c r="AO89" i="17"/>
  <c r="T89" i="17" s="1"/>
  <c r="N41" i="15"/>
  <c r="AO105" i="17"/>
  <c r="N57" i="15"/>
  <c r="AO36" i="17"/>
  <c r="N23" i="15"/>
  <c r="T35" i="17"/>
  <c r="AV35" i="17"/>
  <c r="BD39" i="17"/>
  <c r="AA39" i="17"/>
  <c r="AO21" i="17"/>
  <c r="N8" i="15"/>
  <c r="M117" i="15"/>
  <c r="AO118" i="17"/>
  <c r="T32" i="17"/>
  <c r="AV32" i="17"/>
  <c r="AV25" i="17"/>
  <c r="AM25" i="17"/>
  <c r="AV26" i="17"/>
  <c r="AM114" i="17"/>
  <c r="AV114" i="17"/>
  <c r="AV121" i="17"/>
  <c r="AI22" i="17"/>
  <c r="O22" i="17"/>
  <c r="AK22" i="17" s="1"/>
  <c r="AI126" i="17"/>
  <c r="O126" i="17"/>
  <c r="AK126" i="17" s="1"/>
  <c r="AV100" i="17"/>
  <c r="AM89" i="17"/>
  <c r="AL7" i="16"/>
  <c r="AM7" i="16"/>
  <c r="AA76" i="17"/>
  <c r="BD76" i="17"/>
  <c r="BD121" i="17"/>
  <c r="AA121" i="17"/>
  <c r="E107" i="18" l="1"/>
  <c r="F107" i="18"/>
  <c r="C107" i="18"/>
  <c r="F112" i="18"/>
  <c r="E112" i="18"/>
  <c r="C112" i="18"/>
  <c r="F104" i="18"/>
  <c r="E104" i="18"/>
  <c r="C104" i="18"/>
  <c r="C109" i="18"/>
  <c r="F109" i="18"/>
  <c r="E109" i="18"/>
  <c r="C110" i="18"/>
  <c r="F110" i="18"/>
  <c r="E110" i="18"/>
  <c r="E103" i="18"/>
  <c r="F103" i="18"/>
  <c r="C103" i="18"/>
  <c r="C105" i="18"/>
  <c r="F105" i="18"/>
  <c r="E105" i="18"/>
  <c r="F108" i="18"/>
  <c r="E108" i="18"/>
  <c r="C108" i="18"/>
  <c r="C113" i="18"/>
  <c r="F113" i="18"/>
  <c r="E113" i="18"/>
  <c r="E111" i="18"/>
  <c r="C111" i="18"/>
  <c r="F111" i="18"/>
  <c r="C106" i="18"/>
  <c r="E106" i="18"/>
  <c r="F106" i="18"/>
  <c r="C102" i="18"/>
  <c r="E102" i="18"/>
  <c r="F102" i="18"/>
  <c r="F101" i="18"/>
  <c r="E101" i="18"/>
  <c r="C101" i="18"/>
  <c r="F97" i="18"/>
  <c r="E97" i="18"/>
  <c r="C97" i="18"/>
  <c r="C95" i="18"/>
  <c r="E95" i="18"/>
  <c r="F95" i="18"/>
  <c r="E96" i="18"/>
  <c r="F96" i="18"/>
  <c r="C96" i="18"/>
  <c r="C99" i="18"/>
  <c r="F99" i="18"/>
  <c r="E99" i="18"/>
  <c r="C94" i="18"/>
  <c r="F94" i="18"/>
  <c r="E94" i="18"/>
  <c r="C98" i="18"/>
  <c r="F98" i="18"/>
  <c r="E98" i="18"/>
  <c r="E100" i="18"/>
  <c r="C100" i="18"/>
  <c r="F100" i="18"/>
  <c r="Q129" i="17"/>
  <c r="R129" i="17" s="1"/>
  <c r="Q30" i="17"/>
  <c r="R30" i="17" s="1"/>
  <c r="Q44" i="17"/>
  <c r="Q29" i="17"/>
  <c r="R29" i="17" s="1"/>
  <c r="Q27" i="17"/>
  <c r="R27" i="17" s="1"/>
  <c r="Q124" i="17"/>
  <c r="R124" i="17" s="1"/>
  <c r="Q91" i="17"/>
  <c r="R91" i="17" s="1"/>
  <c r="AM64" i="17"/>
  <c r="Q78" i="17"/>
  <c r="R78" i="17" s="1"/>
  <c r="Q87" i="17"/>
  <c r="R87" i="17" s="1"/>
  <c r="Q33" i="17"/>
  <c r="R33" i="17" s="1"/>
  <c r="Q19" i="17"/>
  <c r="R19" i="17" s="1"/>
  <c r="Q52" i="17"/>
  <c r="AA122" i="17"/>
  <c r="Q68" i="17"/>
  <c r="Q21" i="17"/>
  <c r="R21" i="17" s="1"/>
  <c r="Q108" i="17"/>
  <c r="R108" i="17" s="1"/>
  <c r="Q62" i="17"/>
  <c r="Q80" i="17"/>
  <c r="R80" i="17" s="1"/>
  <c r="Q28" i="17"/>
  <c r="R28" i="17" s="1"/>
  <c r="Q105" i="17"/>
  <c r="R105" i="17" s="1"/>
  <c r="Q125" i="17"/>
  <c r="R125" i="17" s="1"/>
  <c r="Q106" i="17"/>
  <c r="R106" i="17" s="1"/>
  <c r="Q74" i="17"/>
  <c r="R74" i="17" s="1"/>
  <c r="Q119" i="17"/>
  <c r="R119" i="17" s="1"/>
  <c r="Q104" i="17"/>
  <c r="R104" i="17" s="1"/>
  <c r="Q86" i="17"/>
  <c r="R86" i="17" s="1"/>
  <c r="Q58" i="17"/>
  <c r="R58" i="17" s="1"/>
  <c r="Q99" i="17"/>
  <c r="R99" i="17" s="1"/>
  <c r="Q88" i="17"/>
  <c r="R88" i="17" s="1"/>
  <c r="AM53" i="17"/>
  <c r="Q67" i="17"/>
  <c r="R67" i="17" s="1"/>
  <c r="Q26" i="17"/>
  <c r="R26" i="17" s="1"/>
  <c r="Q112" i="17"/>
  <c r="R112" i="17" s="1"/>
  <c r="Q38" i="17"/>
  <c r="R38" i="17" s="1"/>
  <c r="Q110" i="17"/>
  <c r="R110" i="17" s="1"/>
  <c r="Q93" i="17"/>
  <c r="R93" i="17" s="1"/>
  <c r="Q94" i="17"/>
  <c r="R94" i="17" s="1"/>
  <c r="Q121" i="17"/>
  <c r="R121" i="17" s="1"/>
  <c r="Q40" i="17"/>
  <c r="R40" i="17" s="1"/>
  <c r="AM51" i="17"/>
  <c r="Q54" i="17"/>
  <c r="R54" i="17" s="1"/>
  <c r="Q47" i="17"/>
  <c r="R47" i="17" s="1"/>
  <c r="Q55" i="17"/>
  <c r="R55" i="17" s="1"/>
  <c r="AK57" i="17"/>
  <c r="AM57" i="17" s="1"/>
  <c r="Q57" i="17"/>
  <c r="R57" i="17" s="1"/>
  <c r="Q24" i="17"/>
  <c r="R24" i="17" s="1"/>
  <c r="Q100" i="17"/>
  <c r="R100" i="17" s="1"/>
  <c r="AI130" i="17"/>
  <c r="Q98" i="17"/>
  <c r="R98" i="17" s="1"/>
  <c r="AM73" i="17"/>
  <c r="Q75" i="17"/>
  <c r="AH130" i="17"/>
  <c r="Q43" i="17"/>
  <c r="R43" i="17" s="1"/>
  <c r="Q56" i="17"/>
  <c r="Q59" i="17"/>
  <c r="R59" i="17" s="1"/>
  <c r="Q51" i="17"/>
  <c r="R51" i="17" s="1"/>
  <c r="Q64" i="17"/>
  <c r="R64" i="17" s="1"/>
  <c r="Q53" i="17"/>
  <c r="Q63" i="17"/>
  <c r="AM55" i="17"/>
  <c r="AM62" i="17"/>
  <c r="AM41" i="17"/>
  <c r="Q103" i="17"/>
  <c r="R103" i="17" s="1"/>
  <c r="AM45" i="17"/>
  <c r="AV45" i="17"/>
  <c r="AM65" i="17"/>
  <c r="AV65" i="17"/>
  <c r="AM58" i="17"/>
  <c r="AV58" i="17"/>
  <c r="AM56" i="17"/>
  <c r="AV56" i="17"/>
  <c r="Q60" i="17"/>
  <c r="Q70" i="17"/>
  <c r="AV48" i="17"/>
  <c r="AM48" i="17"/>
  <c r="Q49" i="17"/>
  <c r="AV42" i="17"/>
  <c r="AM42" i="17"/>
  <c r="Q71" i="17"/>
  <c r="Q66" i="17"/>
  <c r="AV74" i="17"/>
  <c r="AM74" i="17"/>
  <c r="Q69" i="17"/>
  <c r="R68" i="17"/>
  <c r="R63" i="17"/>
  <c r="AM54" i="17"/>
  <c r="AV54" i="17"/>
  <c r="AV44" i="17"/>
  <c r="AM44" i="17"/>
  <c r="R56" i="17"/>
  <c r="AV60" i="17"/>
  <c r="AM60" i="17"/>
  <c r="AV70" i="17"/>
  <c r="AM70" i="17"/>
  <c r="AM72" i="17"/>
  <c r="AV72" i="17"/>
  <c r="AV50" i="17"/>
  <c r="AM50" i="17"/>
  <c r="AM46" i="17"/>
  <c r="AV46" i="17"/>
  <c r="AM75" i="17"/>
  <c r="AV49" i="17"/>
  <c r="AM49" i="17"/>
  <c r="AM59" i="17"/>
  <c r="AV59" i="17"/>
  <c r="Q73" i="17"/>
  <c r="AM47" i="17"/>
  <c r="R62" i="17"/>
  <c r="R44" i="17"/>
  <c r="AV61" i="17"/>
  <c r="AM61" i="17"/>
  <c r="R53" i="17"/>
  <c r="R52" i="17"/>
  <c r="Q127" i="17"/>
  <c r="R127" i="17" s="1"/>
  <c r="Q118" i="17"/>
  <c r="R118" i="17" s="1"/>
  <c r="Q45" i="17"/>
  <c r="Q65" i="17"/>
  <c r="R61" i="17"/>
  <c r="R41" i="17"/>
  <c r="AV68" i="17"/>
  <c r="AM68" i="17"/>
  <c r="R75" i="17"/>
  <c r="Q72" i="17"/>
  <c r="Q50" i="17"/>
  <c r="Q46" i="17"/>
  <c r="Q48" i="17"/>
  <c r="Q42" i="17"/>
  <c r="AM71" i="17"/>
  <c r="AV71" i="17"/>
  <c r="AM52" i="17"/>
  <c r="AV52" i="17"/>
  <c r="AM67" i="17"/>
  <c r="AV67" i="17"/>
  <c r="AM63" i="17"/>
  <c r="AV63" i="17"/>
  <c r="AV69" i="17"/>
  <c r="AM69" i="17"/>
  <c r="AM43" i="17"/>
  <c r="AA22" i="17"/>
  <c r="AM126" i="17"/>
  <c r="AV122" i="17"/>
  <c r="AV89" i="17"/>
  <c r="T113" i="17"/>
  <c r="AV113" i="17"/>
  <c r="T34" i="17"/>
  <c r="AV34" i="17"/>
  <c r="T30" i="17"/>
  <c r="AV30" i="17"/>
  <c r="T106" i="17"/>
  <c r="AV106" i="17"/>
  <c r="T126" i="17"/>
  <c r="AV126" i="17"/>
  <c r="T98" i="17"/>
  <c r="AV98" i="17"/>
  <c r="T117" i="17"/>
  <c r="AV117" i="17"/>
  <c r="BD32" i="17"/>
  <c r="AA32" i="17"/>
  <c r="N117" i="15"/>
  <c r="T94" i="17"/>
  <c r="AV94" i="17"/>
  <c r="AV21" i="17"/>
  <c r="AO130" i="17"/>
  <c r="T21" i="17"/>
  <c r="BD35" i="17"/>
  <c r="AA35" i="17"/>
  <c r="T105" i="17"/>
  <c r="AV105" i="17"/>
  <c r="T92" i="17"/>
  <c r="AV92" i="17"/>
  <c r="T118" i="17"/>
  <c r="AV118" i="17"/>
  <c r="T125" i="17"/>
  <c r="AV125" i="17"/>
  <c r="BD27" i="17"/>
  <c r="AA27" i="17"/>
  <c r="M118" i="15"/>
  <c r="M119" i="15"/>
  <c r="F5" i="17"/>
  <c r="T36" i="17"/>
  <c r="AV36" i="17"/>
  <c r="BD89" i="17"/>
  <c r="AA89" i="17"/>
  <c r="T91" i="17"/>
  <c r="AV91" i="17"/>
  <c r="C8" i="29"/>
  <c r="AH3" i="16"/>
  <c r="D8" i="29"/>
  <c r="L136" i="17"/>
  <c r="L137" i="17"/>
  <c r="Q22" i="17"/>
  <c r="R22" i="17" s="1"/>
  <c r="Q126" i="17"/>
  <c r="R126" i="17" s="1"/>
  <c r="AM22" i="17"/>
  <c r="D113" i="18" l="1"/>
  <c r="I113" i="18"/>
  <c r="I105" i="18"/>
  <c r="I110" i="18"/>
  <c r="I99" i="18"/>
  <c r="D99" i="18"/>
  <c r="D104" i="18"/>
  <c r="I112" i="18"/>
  <c r="D103" i="18"/>
  <c r="D109" i="18"/>
  <c r="I107" i="18"/>
  <c r="D107" i="18"/>
  <c r="I109" i="18"/>
  <c r="I104" i="18"/>
  <c r="D94" i="18"/>
  <c r="I103" i="18"/>
  <c r="D112" i="18"/>
  <c r="I100" i="18"/>
  <c r="D95" i="18"/>
  <c r="I97" i="18"/>
  <c r="I102" i="18"/>
  <c r="I106" i="18"/>
  <c r="I111" i="18"/>
  <c r="D105" i="18"/>
  <c r="D110" i="18"/>
  <c r="D102" i="18"/>
  <c r="D106" i="18"/>
  <c r="D108" i="18"/>
  <c r="D98" i="18"/>
  <c r="I95" i="18"/>
  <c r="D111" i="18"/>
  <c r="I108" i="18"/>
  <c r="I96" i="18"/>
  <c r="I98" i="18"/>
  <c r="I94" i="18"/>
  <c r="D97" i="18"/>
  <c r="D101" i="18"/>
  <c r="D100" i="18"/>
  <c r="D96" i="18"/>
  <c r="I101" i="18"/>
  <c r="AM130" i="17"/>
  <c r="AK130" i="17"/>
  <c r="AV130" i="17"/>
  <c r="R50" i="17"/>
  <c r="R66" i="17"/>
  <c r="R49" i="17"/>
  <c r="R60" i="17"/>
  <c r="R42" i="17"/>
  <c r="R72" i="17"/>
  <c r="R65" i="17"/>
  <c r="R69" i="17"/>
  <c r="R71" i="17"/>
  <c r="R48" i="17"/>
  <c r="R45" i="17"/>
  <c r="R73" i="17"/>
  <c r="R46" i="17"/>
  <c r="R70" i="17"/>
  <c r="AA113" i="17"/>
  <c r="BD113" i="17"/>
  <c r="BD117" i="17"/>
  <c r="AA117" i="17"/>
  <c r="AA126" i="17"/>
  <c r="BD126" i="17"/>
  <c r="AA30" i="17"/>
  <c r="BD30" i="17"/>
  <c r="AA98" i="17"/>
  <c r="BD98" i="17"/>
  <c r="AA106" i="17"/>
  <c r="BD106" i="17"/>
  <c r="BD34" i="17"/>
  <c r="AA34" i="17"/>
  <c r="BD91" i="17"/>
  <c r="AA91" i="17"/>
  <c r="AA36" i="17"/>
  <c r="BD36" i="17"/>
  <c r="BD21" i="17"/>
  <c r="AA21" i="17"/>
  <c r="AA94" i="17"/>
  <c r="BD94" i="17"/>
  <c r="C9" i="29"/>
  <c r="D9" i="29" s="1"/>
  <c r="AO15" i="17"/>
  <c r="AO131" i="17" s="1"/>
  <c r="AA118" i="17"/>
  <c r="BD118" i="17"/>
  <c r="BD105" i="17"/>
  <c r="AA105" i="17"/>
  <c r="BD125" i="17"/>
  <c r="AA125" i="17"/>
  <c r="AA92" i="17"/>
  <c r="BD92" i="17"/>
  <c r="AI2" i="16"/>
  <c r="AJ2" i="16"/>
  <c r="P31" i="16"/>
  <c r="N64" i="16"/>
  <c r="B71" i="18" a="1"/>
  <c r="O38" i="16"/>
  <c r="R40" i="16"/>
  <c r="R41" i="16"/>
  <c r="M19" i="16"/>
  <c r="Q10" i="16"/>
  <c r="L44" i="16"/>
  <c r="S58" i="16"/>
  <c r="B58" i="18" a="1"/>
  <c r="T32" i="16"/>
  <c r="L12" i="16"/>
  <c r="O30" i="16"/>
  <c r="N36" i="16"/>
  <c r="J37" i="16"/>
  <c r="J55" i="16"/>
  <c r="M10" i="16"/>
  <c r="S26" i="16"/>
  <c r="S55" i="16"/>
  <c r="R33" i="16"/>
  <c r="T58" i="16"/>
  <c r="K34" i="16"/>
  <c r="P64" i="16"/>
  <c r="L33" i="16"/>
  <c r="O21" i="16"/>
  <c r="R39" i="16"/>
  <c r="B17" i="18" a="1"/>
  <c r="Q73" i="16"/>
  <c r="T33" i="16"/>
  <c r="S13" i="16"/>
  <c r="N66" i="16"/>
  <c r="N43" i="16"/>
  <c r="T48" i="16"/>
  <c r="K36" i="16"/>
  <c r="J62" i="16"/>
  <c r="R56" i="16"/>
  <c r="B46" i="18" a="1"/>
  <c r="O51" i="16"/>
  <c r="J53" i="16"/>
  <c r="M64" i="16"/>
  <c r="K28" i="16"/>
  <c r="M57" i="16"/>
  <c r="N57" i="16"/>
  <c r="K67" i="16"/>
  <c r="B89" i="18" a="1"/>
  <c r="M54" i="16"/>
  <c r="M14" i="16"/>
  <c r="O26" i="16"/>
  <c r="S50" i="16"/>
  <c r="T69" i="16"/>
  <c r="S67" i="16"/>
  <c r="S82" i="16"/>
  <c r="K72" i="16"/>
  <c r="O32" i="16"/>
  <c r="Q22" i="16"/>
  <c r="T43" i="16"/>
  <c r="N65" i="16"/>
  <c r="J32" i="16"/>
  <c r="B82" i="18" a="1"/>
  <c r="P60" i="16"/>
  <c r="N8" i="16"/>
  <c r="O27" i="16"/>
  <c r="B59" i="18" a="1"/>
  <c r="L81" i="16"/>
  <c r="R44" i="16"/>
  <c r="Q82" i="16"/>
  <c r="N79" i="16"/>
  <c r="Q8" i="16"/>
  <c r="N15" i="16"/>
  <c r="R75" i="16"/>
  <c r="L36" i="16"/>
  <c r="J80" i="16"/>
  <c r="M27" i="16"/>
  <c r="B14" i="18" a="1"/>
  <c r="L58" i="16"/>
  <c r="I69" i="16"/>
  <c r="Q78" i="16"/>
  <c r="K59" i="16"/>
  <c r="J57" i="16"/>
  <c r="R32" i="16"/>
  <c r="L61" i="16"/>
  <c r="L8" i="16"/>
  <c r="Q56" i="16"/>
  <c r="J10" i="16"/>
  <c r="L38" i="16"/>
  <c r="L71" i="16"/>
  <c r="O72" i="16"/>
  <c r="L52" i="16"/>
  <c r="B18" i="18" a="1"/>
  <c r="J17" i="16"/>
  <c r="M41" i="16"/>
  <c r="R20" i="16"/>
  <c r="R9" i="16"/>
  <c r="P51" i="16"/>
  <c r="S79" i="16"/>
  <c r="L63" i="16"/>
  <c r="J63" i="16"/>
  <c r="B77" i="18" a="1"/>
  <c r="J36" i="16"/>
  <c r="J56" i="16"/>
  <c r="B6" i="18" a="1"/>
  <c r="B68" i="18" a="1"/>
  <c r="P36" i="16"/>
  <c r="N62" i="16"/>
  <c r="B19" i="18" a="1"/>
  <c r="S35" i="16"/>
  <c r="I55" i="16"/>
  <c r="R74" i="16"/>
  <c r="O28" i="16"/>
  <c r="L23" i="16"/>
  <c r="L59" i="16"/>
  <c r="M78" i="16"/>
  <c r="K37" i="16"/>
  <c r="T62" i="16"/>
  <c r="I46" i="16"/>
  <c r="J82" i="16"/>
  <c r="J67" i="16"/>
  <c r="O83" i="16"/>
  <c r="R58" i="16"/>
  <c r="T50" i="16"/>
  <c r="N40" i="16"/>
  <c r="M67" i="16"/>
  <c r="N32" i="16"/>
  <c r="Q72" i="16"/>
  <c r="R65" i="16"/>
  <c r="P68" i="16"/>
  <c r="S37" i="16"/>
  <c r="Q19" i="16"/>
  <c r="T41" i="16"/>
  <c r="B56" i="18" a="1"/>
  <c r="R13" i="16"/>
  <c r="N34" i="16"/>
  <c r="Q42" i="16"/>
  <c r="J27" i="16"/>
  <c r="N49" i="16"/>
  <c r="P70" i="16"/>
  <c r="S62" i="16"/>
  <c r="N52" i="16"/>
  <c r="I26" i="16"/>
  <c r="S46" i="16"/>
  <c r="M71" i="16"/>
  <c r="S76" i="16"/>
  <c r="R17" i="16"/>
  <c r="L37" i="16"/>
  <c r="O56" i="16"/>
  <c r="Q39" i="16"/>
  <c r="Q31" i="16"/>
  <c r="S17" i="16"/>
  <c r="B29" i="18" a="1"/>
  <c r="P78" i="16"/>
  <c r="S75" i="16"/>
  <c r="R43" i="16"/>
  <c r="T80" i="16"/>
  <c r="K76" i="16"/>
  <c r="I10" i="16"/>
  <c r="I15" i="16"/>
  <c r="N12" i="16"/>
  <c r="N42" i="16"/>
  <c r="K62" i="16"/>
  <c r="N38" i="16"/>
  <c r="I74" i="16"/>
  <c r="N53" i="16"/>
  <c r="B10" i="18" a="1"/>
  <c r="K65" i="16"/>
  <c r="O15" i="16"/>
  <c r="I61" i="16"/>
  <c r="J65" i="16"/>
  <c r="K11" i="16"/>
  <c r="N58" i="16"/>
  <c r="L13" i="16"/>
  <c r="S54" i="16"/>
  <c r="S9" i="16"/>
  <c r="L50" i="16"/>
  <c r="Q33" i="16"/>
  <c r="S78" i="16"/>
  <c r="T19" i="16"/>
  <c r="Q70" i="16"/>
  <c r="J23" i="16"/>
  <c r="T76" i="16"/>
  <c r="L45" i="16"/>
  <c r="S64" i="16"/>
  <c r="R34" i="16"/>
  <c r="M30" i="16"/>
  <c r="I62" i="16"/>
  <c r="Q26" i="16"/>
  <c r="J52" i="16"/>
  <c r="S42" i="16"/>
  <c r="P46" i="16"/>
  <c r="N50" i="16"/>
  <c r="P82" i="16"/>
  <c r="K56" i="16"/>
  <c r="O81" i="16"/>
  <c r="J70" i="16"/>
  <c r="I63" i="16"/>
  <c r="B52" i="18" a="1"/>
  <c r="Q47" i="16"/>
  <c r="P37" i="16"/>
  <c r="P10" i="16"/>
  <c r="I35" i="16"/>
  <c r="T30" i="16"/>
  <c r="L46" i="16"/>
  <c r="T46" i="16"/>
  <c r="O61" i="16"/>
  <c r="N10" i="16"/>
  <c r="O80" i="16"/>
  <c r="P62" i="16"/>
  <c r="B39" i="18" a="1"/>
  <c r="O52" i="16"/>
  <c r="J30" i="16"/>
  <c r="B57" i="18" a="1"/>
  <c r="M70" i="16"/>
  <c r="J39" i="16"/>
  <c r="R57" i="16"/>
  <c r="L42" i="16"/>
  <c r="B9" i="18" a="1"/>
  <c r="T25" i="16"/>
  <c r="J11" i="16"/>
  <c r="M12" i="16"/>
  <c r="M9" i="16"/>
  <c r="M81" i="16"/>
  <c r="M66" i="16"/>
  <c r="R37" i="16"/>
  <c r="R49" i="16"/>
  <c r="I27" i="16"/>
  <c r="K13" i="16"/>
  <c r="J47" i="16"/>
  <c r="S21" i="16"/>
  <c r="L78" i="16"/>
  <c r="L25" i="16"/>
  <c r="B66" i="18" a="1"/>
  <c r="R72" i="16"/>
  <c r="T12" i="16"/>
  <c r="R24" i="16"/>
  <c r="M28" i="16"/>
  <c r="P16" i="16"/>
  <c r="N75" i="16"/>
  <c r="Q66" i="16"/>
  <c r="B84" i="18" a="1"/>
  <c r="M74" i="16"/>
  <c r="L40" i="16"/>
  <c r="O43" i="16"/>
  <c r="Q29" i="16"/>
  <c r="Q69" i="16"/>
  <c r="S39" i="16"/>
  <c r="O37" i="16"/>
  <c r="J25" i="16"/>
  <c r="L49" i="16"/>
  <c r="B25" i="18" a="1"/>
  <c r="L64" i="16"/>
  <c r="K22" i="16"/>
  <c r="N46" i="16"/>
  <c r="R30" i="16"/>
  <c r="M83" i="16"/>
  <c r="I11" i="16"/>
  <c r="I73" i="16"/>
  <c r="M35" i="16"/>
  <c r="J18" i="16"/>
  <c r="M18" i="16"/>
  <c r="B53" i="18" a="1"/>
  <c r="L60" i="16"/>
  <c r="R82" i="16"/>
  <c r="P25" i="16"/>
  <c r="N83" i="16"/>
  <c r="L69" i="16"/>
  <c r="K43" i="16"/>
  <c r="Q64" i="16"/>
  <c r="P13" i="16"/>
  <c r="T52" i="16"/>
  <c r="R61" i="16"/>
  <c r="S20" i="16"/>
  <c r="I18" i="16"/>
  <c r="M17" i="16"/>
  <c r="K70" i="16"/>
  <c r="R62" i="16"/>
  <c r="B72" i="18" a="1"/>
  <c r="Q13" i="16"/>
  <c r="N28" i="16"/>
  <c r="Q74" i="16"/>
  <c r="B75" i="18" a="1"/>
  <c r="T65" i="16"/>
  <c r="I21" i="16"/>
  <c r="M68" i="16"/>
  <c r="O13" i="16"/>
  <c r="B80" i="18" a="1"/>
  <c r="P42" i="16"/>
  <c r="Q60" i="16"/>
  <c r="J51" i="16"/>
  <c r="Q16" i="16"/>
  <c r="B85" i="18" a="1"/>
  <c r="Q67" i="16"/>
  <c r="R11" i="16"/>
  <c r="B61" i="18" a="1"/>
  <c r="S51" i="16"/>
  <c r="R50" i="16"/>
  <c r="O25" i="16"/>
  <c r="L32" i="16"/>
  <c r="R8" i="16"/>
  <c r="B4" i="18" a="1"/>
  <c r="T82" i="16"/>
  <c r="B35" i="18" a="1"/>
  <c r="T31" i="16"/>
  <c r="N14" i="16"/>
  <c r="N39" i="16"/>
  <c r="R15" i="16"/>
  <c r="T51" i="16"/>
  <c r="J16" i="16"/>
  <c r="R21" i="16"/>
  <c r="L51" i="16"/>
  <c r="K53" i="16"/>
  <c r="O60" i="16"/>
  <c r="M42" i="16"/>
  <c r="P80" i="16"/>
  <c r="S71" i="16"/>
  <c r="L57" i="16"/>
  <c r="K75" i="16"/>
  <c r="Q79" i="16"/>
  <c r="T45" i="16"/>
  <c r="T74" i="16"/>
  <c r="K48" i="16"/>
  <c r="O20" i="16"/>
  <c r="S59" i="16"/>
  <c r="K50" i="16"/>
  <c r="N61" i="16"/>
  <c r="I25" i="16"/>
  <c r="L79" i="16"/>
  <c r="O45" i="16"/>
  <c r="R67" i="16"/>
  <c r="P11" i="16"/>
  <c r="T40" i="16"/>
  <c r="T55" i="16"/>
  <c r="P41" i="16"/>
  <c r="Q71" i="16"/>
  <c r="N51" i="16"/>
  <c r="M79" i="16"/>
  <c r="K23" i="16"/>
  <c r="K29" i="16"/>
  <c r="I37" i="16"/>
  <c r="N81" i="16"/>
  <c r="K79" i="16"/>
  <c r="T21" i="16"/>
  <c r="Q25" i="16"/>
  <c r="P9" i="16"/>
  <c r="J50" i="16"/>
  <c r="I12" i="16"/>
  <c r="P76" i="16"/>
  <c r="M72" i="16"/>
  <c r="S38" i="16"/>
  <c r="K12" i="16"/>
  <c r="P15" i="16"/>
  <c r="J54" i="16"/>
  <c r="M39" i="16"/>
  <c r="P18" i="16"/>
  <c r="S70" i="16"/>
  <c r="Q40" i="16"/>
  <c r="J59" i="16"/>
  <c r="M56" i="16"/>
  <c r="B7" i="18" a="1"/>
  <c r="M55" i="16"/>
  <c r="O55" i="16"/>
  <c r="P75" i="16"/>
  <c r="P28" i="16"/>
  <c r="K24" i="16"/>
  <c r="B43" i="18" a="1"/>
  <c r="P24" i="16"/>
  <c r="J15" i="16"/>
  <c r="R59" i="16"/>
  <c r="L54" i="16"/>
  <c r="N27" i="16"/>
  <c r="N16" i="16"/>
  <c r="Q34" i="16"/>
  <c r="P58" i="16"/>
  <c r="O57" i="16"/>
  <c r="L30" i="16"/>
  <c r="K66" i="16"/>
  <c r="P79" i="16"/>
  <c r="B31" i="18" a="1"/>
  <c r="I17" i="16"/>
  <c r="M44" i="16"/>
  <c r="K55" i="16"/>
  <c r="Q52" i="16"/>
  <c r="B51" i="18" a="1"/>
  <c r="B11" i="18" a="1"/>
  <c r="T37" i="16"/>
  <c r="O42" i="16"/>
  <c r="S44" i="16"/>
  <c r="S22" i="16"/>
  <c r="P63" i="16"/>
  <c r="S11" i="16"/>
  <c r="J31" i="16"/>
  <c r="M52" i="16"/>
  <c r="O66" i="16"/>
  <c r="R46" i="16"/>
  <c r="P59" i="16"/>
  <c r="N69" i="16"/>
  <c r="L62" i="16"/>
  <c r="R10" i="16"/>
  <c r="L15" i="16"/>
  <c r="S45" i="16"/>
  <c r="K16" i="16"/>
  <c r="I51" i="16"/>
  <c r="B86" i="18" a="1"/>
  <c r="R68" i="16"/>
  <c r="L11" i="16"/>
  <c r="O76" i="16"/>
  <c r="J44" i="16"/>
  <c r="N54" i="16"/>
  <c r="P48" i="16"/>
  <c r="R51" i="16"/>
  <c r="I50" i="16"/>
  <c r="P38" i="16"/>
  <c r="B88" i="18" a="1"/>
  <c r="N76" i="16"/>
  <c r="T53" i="16"/>
  <c r="Q53" i="16"/>
  <c r="O77" i="16"/>
  <c r="I43" i="16"/>
  <c r="Q44" i="16"/>
  <c r="Q17" i="16"/>
  <c r="O67" i="16"/>
  <c r="T13" i="16"/>
  <c r="M40" i="16"/>
  <c r="S66" i="16"/>
  <c r="I78" i="16"/>
  <c r="K42" i="16"/>
  <c r="P23" i="16"/>
  <c r="S14" i="16"/>
  <c r="I77" i="16"/>
  <c r="K41" i="16"/>
  <c r="T14" i="16"/>
  <c r="O8" i="16"/>
  <c r="M49" i="16"/>
  <c r="I54" i="16"/>
  <c r="P21" i="16"/>
  <c r="Q27" i="16"/>
  <c r="J41" i="16"/>
  <c r="L67" i="16"/>
  <c r="Q49" i="16"/>
  <c r="O9" i="16"/>
  <c r="B54" i="18" a="1"/>
  <c r="M82" i="16"/>
  <c r="Q80" i="16"/>
  <c r="L29" i="16"/>
  <c r="R73" i="16"/>
  <c r="L26" i="16"/>
  <c r="B48" i="18" a="1"/>
  <c r="J45" i="16"/>
  <c r="J26" i="16"/>
  <c r="J9" i="16"/>
  <c r="S31" i="16"/>
  <c r="J19" i="16"/>
  <c r="K33" i="16"/>
  <c r="J35" i="16"/>
  <c r="L74" i="16"/>
  <c r="B5" i="18" a="1"/>
  <c r="K81" i="16"/>
  <c r="M23" i="16"/>
  <c r="N77" i="16"/>
  <c r="I72" i="16"/>
  <c r="Q18" i="16"/>
  <c r="M48" i="16"/>
  <c r="B78" i="18" a="1"/>
  <c r="O62" i="16"/>
  <c r="N31" i="16"/>
  <c r="O71" i="16"/>
  <c r="I48" i="16"/>
  <c r="I36" i="16"/>
  <c r="M62" i="16"/>
  <c r="P61" i="16"/>
  <c r="S16" i="16"/>
  <c r="L72" i="16"/>
  <c r="R18" i="16"/>
  <c r="T9" i="16"/>
  <c r="R60" i="16"/>
  <c r="B87" i="18" a="1"/>
  <c r="K46" i="16"/>
  <c r="J79" i="16"/>
  <c r="K71" i="16"/>
  <c r="T36" i="16"/>
  <c r="Q77" i="16"/>
  <c r="K52" i="16"/>
  <c r="M11" i="16"/>
  <c r="B79" i="18" a="1"/>
  <c r="I83" i="16"/>
  <c r="S15" i="16"/>
  <c r="B28" i="18" a="1"/>
  <c r="M46" i="16"/>
  <c r="K19" i="16"/>
  <c r="M13" i="16"/>
  <c r="J60" i="16"/>
  <c r="J40" i="16"/>
  <c r="I22" i="16"/>
  <c r="R55" i="16"/>
  <c r="K58" i="16"/>
  <c r="S23" i="16"/>
  <c r="L55" i="16"/>
  <c r="L19" i="16"/>
  <c r="O34" i="16"/>
  <c r="Q65" i="16"/>
  <c r="N22" i="16"/>
  <c r="Q51" i="16"/>
  <c r="R47" i="16"/>
  <c r="O14" i="16"/>
  <c r="N17" i="16"/>
  <c r="B70" i="18" a="1"/>
  <c r="Q46" i="16"/>
  <c r="I32" i="16"/>
  <c r="N63" i="16"/>
  <c r="O22" i="16"/>
  <c r="O65" i="16"/>
  <c r="L66" i="16"/>
  <c r="B24" i="18" a="1"/>
  <c r="R53" i="16"/>
  <c r="J24" i="16"/>
  <c r="I75" i="16"/>
  <c r="J12" i="16"/>
  <c r="I57" i="16"/>
  <c r="R45" i="16"/>
  <c r="S12" i="16"/>
  <c r="B23" i="18" a="1"/>
  <c r="Q75" i="16"/>
  <c r="B64" i="18" a="1"/>
  <c r="B33" i="18" a="1"/>
  <c r="P44" i="16"/>
  <c r="B45" i="18" a="1"/>
  <c r="P67" i="16"/>
  <c r="L65" i="16"/>
  <c r="M34" i="16"/>
  <c r="O31" i="16"/>
  <c r="Q41" i="16"/>
  <c r="J72" i="16"/>
  <c r="Q35" i="16"/>
  <c r="P35" i="16"/>
  <c r="R29" i="16"/>
  <c r="L43" i="16"/>
  <c r="I19" i="16"/>
  <c r="S49" i="16"/>
  <c r="I16" i="16"/>
  <c r="N19" i="16"/>
  <c r="B91" i="18" a="1"/>
  <c r="T29" i="16"/>
  <c r="L83" i="16"/>
  <c r="J22" i="16"/>
  <c r="Q20" i="16"/>
  <c r="N37" i="16"/>
  <c r="R78" i="16"/>
  <c r="O23" i="16"/>
  <c r="P72" i="16"/>
  <c r="L17" i="16"/>
  <c r="T22" i="16"/>
  <c r="L27" i="16"/>
  <c r="I68" i="16"/>
  <c r="N82" i="16"/>
  <c r="M8" i="16"/>
  <c r="Q37" i="16"/>
  <c r="I76" i="16"/>
  <c r="P27" i="16"/>
  <c r="T38" i="16"/>
  <c r="L34" i="16"/>
  <c r="R12" i="16"/>
  <c r="T24" i="16"/>
  <c r="R83" i="16"/>
  <c r="J68" i="16"/>
  <c r="K38" i="16"/>
  <c r="B30" i="18" a="1"/>
  <c r="S56" i="16"/>
  <c r="M61" i="16"/>
  <c r="Q43" i="16"/>
  <c r="T23" i="16"/>
  <c r="O47" i="16"/>
  <c r="M29" i="16"/>
  <c r="L14" i="16"/>
  <c r="S33" i="16"/>
  <c r="P22" i="16"/>
  <c r="T63" i="16"/>
  <c r="M60" i="16"/>
  <c r="I23" i="16"/>
  <c r="N23" i="16"/>
  <c r="K45" i="16"/>
  <c r="T47" i="16"/>
  <c r="S8" i="16"/>
  <c r="S27" i="16"/>
  <c r="J77" i="16"/>
  <c r="P32" i="16"/>
  <c r="T15" i="16"/>
  <c r="T83" i="16"/>
  <c r="O16" i="16"/>
  <c r="N45" i="16"/>
  <c r="J69" i="16"/>
  <c r="I60" i="16"/>
  <c r="K27" i="16"/>
  <c r="R63" i="16"/>
  <c r="B42" i="18" a="1"/>
  <c r="I67" i="16"/>
  <c r="P20" i="16"/>
  <c r="K44" i="16"/>
  <c r="B32" i="18" a="1"/>
  <c r="I9" i="16"/>
  <c r="O50" i="16"/>
  <c r="I53" i="16"/>
  <c r="O18" i="16"/>
  <c r="N11" i="16"/>
  <c r="K18" i="16"/>
  <c r="P54" i="16"/>
  <c r="J28" i="16"/>
  <c r="B47" i="18" a="1"/>
  <c r="B76" i="18" a="1"/>
  <c r="I79" i="16"/>
  <c r="O12" i="16"/>
  <c r="B8" i="18" a="1"/>
  <c r="B69" i="18" a="1"/>
  <c r="R71" i="16"/>
  <c r="T77" i="16"/>
  <c r="P74" i="16"/>
  <c r="L39" i="16"/>
  <c r="R80" i="16"/>
  <c r="K21" i="16"/>
  <c r="M32" i="16"/>
  <c r="R36" i="16"/>
  <c r="K8" i="16"/>
  <c r="T56" i="16"/>
  <c r="I38" i="16"/>
  <c r="Q38" i="16"/>
  <c r="N20" i="16"/>
  <c r="P71" i="16"/>
  <c r="K54" i="16"/>
  <c r="P49" i="16"/>
  <c r="R54" i="16"/>
  <c r="N30" i="16"/>
  <c r="M22" i="16"/>
  <c r="T72" i="16"/>
  <c r="I42" i="16"/>
  <c r="S34" i="16"/>
  <c r="R25" i="16"/>
  <c r="P53" i="16"/>
  <c r="Q30" i="16"/>
  <c r="T26" i="16"/>
  <c r="T59" i="16"/>
  <c r="M63" i="16"/>
  <c r="O17" i="16"/>
  <c r="K9" i="16"/>
  <c r="L68" i="16"/>
  <c r="M33" i="16"/>
  <c r="L73" i="16"/>
  <c r="Q50" i="16"/>
  <c r="Q14" i="16"/>
  <c r="K25" i="16"/>
  <c r="T49" i="16"/>
  <c r="J66" i="16"/>
  <c r="L9" i="16"/>
  <c r="M36" i="16"/>
  <c r="I59" i="16"/>
  <c r="S77" i="16"/>
  <c r="I56" i="16"/>
  <c r="O58" i="16"/>
  <c r="M53" i="16"/>
  <c r="J38" i="16"/>
  <c r="I80" i="16"/>
  <c r="M47" i="16"/>
  <c r="O54" i="16"/>
  <c r="K40" i="16"/>
  <c r="B34" i="18" a="1"/>
  <c r="N70" i="16"/>
  <c r="O40" i="16"/>
  <c r="Q62" i="16"/>
  <c r="I45" i="16"/>
  <c r="P33" i="16"/>
  <c r="I30" i="16"/>
  <c r="R64" i="16"/>
  <c r="L35" i="16"/>
  <c r="B13" i="18" a="1"/>
  <c r="O64" i="16"/>
  <c r="P29" i="16"/>
  <c r="N24" i="16"/>
  <c r="N35" i="16"/>
  <c r="M50" i="16"/>
  <c r="O82" i="16"/>
  <c r="J20" i="16"/>
  <c r="B90" i="18" a="1"/>
  <c r="R48" i="16"/>
  <c r="L77" i="16"/>
  <c r="M59" i="16"/>
  <c r="O79" i="16"/>
  <c r="N47" i="16"/>
  <c r="K57" i="16"/>
  <c r="T39" i="16"/>
  <c r="L75" i="16"/>
  <c r="Q21" i="16"/>
  <c r="T28" i="16"/>
  <c r="T78" i="16"/>
  <c r="R77" i="16"/>
  <c r="B67" i="18" a="1"/>
  <c r="O69" i="16"/>
  <c r="S48" i="16"/>
  <c r="S69" i="16"/>
  <c r="Q63" i="16"/>
  <c r="R35" i="16"/>
  <c r="O19" i="16"/>
  <c r="O74" i="16"/>
  <c r="T44" i="16"/>
  <c r="O44" i="16"/>
  <c r="M31" i="16"/>
  <c r="L82" i="16"/>
  <c r="T73" i="16"/>
  <c r="Q58" i="16"/>
  <c r="T18" i="16"/>
  <c r="I70" i="16"/>
  <c r="I20" i="16"/>
  <c r="Q9" i="16"/>
  <c r="M15" i="16"/>
  <c r="R14" i="16"/>
  <c r="S29" i="16"/>
  <c r="K32" i="16"/>
  <c r="B92" i="18" a="1"/>
  <c r="J34" i="16"/>
  <c r="O29" i="16"/>
  <c r="I31" i="16"/>
  <c r="O24" i="16"/>
  <c r="K68" i="16"/>
  <c r="I40" i="16"/>
  <c r="J13" i="16"/>
  <c r="P14" i="16"/>
  <c r="P12" i="16"/>
  <c r="K20" i="16"/>
  <c r="O39" i="16"/>
  <c r="K78" i="16"/>
  <c r="Q28" i="16"/>
  <c r="J83" i="16"/>
  <c r="P81" i="16"/>
  <c r="Q83" i="16"/>
  <c r="Q61" i="16"/>
  <c r="O48" i="16"/>
  <c r="I29" i="16"/>
  <c r="P52" i="16"/>
  <c r="N60" i="16"/>
  <c r="P73" i="16"/>
  <c r="M58" i="16"/>
  <c r="B81" i="18" a="1"/>
  <c r="N44" i="16"/>
  <c r="B50" i="18" a="1"/>
  <c r="P40" i="16"/>
  <c r="L53" i="16"/>
  <c r="T35" i="16"/>
  <c r="S18" i="16"/>
  <c r="S10" i="16"/>
  <c r="J64" i="16"/>
  <c r="S24" i="16"/>
  <c r="L22" i="16"/>
  <c r="L21" i="16"/>
  <c r="B44" i="18" a="1"/>
  <c r="P65" i="16"/>
  <c r="K83" i="16"/>
  <c r="L70" i="16"/>
  <c r="S47" i="16"/>
  <c r="Q12" i="16"/>
  <c r="B27" i="18" a="1"/>
  <c r="O33" i="16"/>
  <c r="I33" i="16"/>
  <c r="M73" i="16"/>
  <c r="M80" i="16"/>
  <c r="P30" i="16"/>
  <c r="R31" i="16"/>
  <c r="J49" i="16"/>
  <c r="P77" i="16"/>
  <c r="N68" i="16"/>
  <c r="K26" i="16"/>
  <c r="L80" i="16"/>
  <c r="R70" i="16"/>
  <c r="I58" i="16"/>
  <c r="B3" i="18" a="1"/>
  <c r="T67" i="16"/>
  <c r="R42" i="16"/>
  <c r="B16" i="18" a="1"/>
  <c r="T17" i="16"/>
  <c r="J73" i="16"/>
  <c r="Q48" i="16"/>
  <c r="P57" i="16"/>
  <c r="N80" i="16"/>
  <c r="R26" i="16"/>
  <c r="J58" i="16"/>
  <c r="I47" i="16"/>
  <c r="M16" i="16"/>
  <c r="K30" i="16"/>
  <c r="K35" i="16"/>
  <c r="R52" i="16"/>
  <c r="T11" i="16"/>
  <c r="S52" i="16"/>
  <c r="K31" i="16"/>
  <c r="Q57" i="16"/>
  <c r="L47" i="16"/>
  <c r="Q76" i="16"/>
  <c r="J14" i="16"/>
  <c r="B60" i="18" a="1"/>
  <c r="S43" i="16"/>
  <c r="O36" i="16"/>
  <c r="N18" i="16"/>
  <c r="N56" i="16"/>
  <c r="J74" i="16"/>
  <c r="I66" i="16"/>
  <c r="P47" i="16"/>
  <c r="B37" i="18" a="1"/>
  <c r="T10" i="16"/>
  <c r="B21" i="18" a="1"/>
  <c r="B74" i="18" a="1"/>
  <c r="M65" i="16"/>
  <c r="T64" i="16"/>
  <c r="T79" i="16"/>
  <c r="I39" i="16"/>
  <c r="N29" i="16"/>
  <c r="J71" i="16"/>
  <c r="K63" i="16"/>
  <c r="N74" i="16"/>
  <c r="B63" i="18" a="1"/>
  <c r="R19" i="16"/>
  <c r="N73" i="16"/>
  <c r="O11" i="16"/>
  <c r="L16" i="16"/>
  <c r="I71" i="16"/>
  <c r="P17" i="16"/>
  <c r="Q15" i="16"/>
  <c r="B83" i="18" a="1"/>
  <c r="O75" i="16"/>
  <c r="K51" i="16"/>
  <c r="Q23" i="16"/>
  <c r="P34" i="16"/>
  <c r="N9" i="16"/>
  <c r="S68" i="16"/>
  <c r="J75" i="16"/>
  <c r="B36" i="18" a="1"/>
  <c r="O46" i="16"/>
  <c r="M76" i="16"/>
  <c r="J42" i="16"/>
  <c r="B49" i="18" a="1"/>
  <c r="S57" i="16"/>
  <c r="I49" i="16"/>
  <c r="T42" i="16"/>
  <c r="T61" i="16"/>
  <c r="K14" i="16"/>
  <c r="K80" i="16"/>
  <c r="L76" i="16"/>
  <c r="Q59" i="16"/>
  <c r="S65" i="16"/>
  <c r="P8" i="16"/>
  <c r="K82" i="16"/>
  <c r="T20" i="16"/>
  <c r="J29" i="16"/>
  <c r="Q24" i="16"/>
  <c r="B55" i="18" a="1"/>
  <c r="B40" i="18" a="1"/>
  <c r="B93" i="18" a="1"/>
  <c r="O10" i="16"/>
  <c r="T60" i="16"/>
  <c r="T27" i="16"/>
  <c r="K74" i="16"/>
  <c r="T34" i="16"/>
  <c r="P26" i="16"/>
  <c r="Q11" i="16"/>
  <c r="R81" i="16"/>
  <c r="O59" i="16"/>
  <c r="I34" i="16"/>
  <c r="K64" i="16"/>
  <c r="J33" i="16"/>
  <c r="O78" i="16"/>
  <c r="S60" i="16"/>
  <c r="R69" i="16"/>
  <c r="N59" i="16"/>
  <c r="B65" i="18" a="1"/>
  <c r="M37" i="16"/>
  <c r="M45" i="16"/>
  <c r="P83" i="16"/>
  <c r="P55" i="16"/>
  <c r="L56" i="16"/>
  <c r="I41" i="16"/>
  <c r="O73" i="16"/>
  <c r="T81" i="16"/>
  <c r="P56" i="16"/>
  <c r="J21" i="16"/>
  <c r="R16" i="16"/>
  <c r="L24" i="16"/>
  <c r="O63" i="16"/>
  <c r="S61" i="16"/>
  <c r="M75" i="16"/>
  <c r="Q45" i="16"/>
  <c r="R76" i="16"/>
  <c r="I28" i="16"/>
  <c r="I81" i="16"/>
  <c r="S40" i="16"/>
  <c r="K61" i="16"/>
  <c r="P45" i="16"/>
  <c r="J43" i="16"/>
  <c r="I82" i="16"/>
  <c r="S32" i="16"/>
  <c r="P43" i="16"/>
  <c r="N78" i="16"/>
  <c r="M69" i="16"/>
  <c r="N67" i="16"/>
  <c r="R38" i="16"/>
  <c r="J81" i="16"/>
  <c r="I14" i="16"/>
  <c r="K73" i="16"/>
  <c r="L28" i="16"/>
  <c r="Q55" i="16"/>
  <c r="L48" i="16"/>
  <c r="R23" i="16"/>
  <c r="L41" i="16"/>
  <c r="S63" i="16"/>
  <c r="N48" i="16"/>
  <c r="I64" i="16"/>
  <c r="P50" i="16"/>
  <c r="K39" i="16"/>
  <c r="T66" i="16"/>
  <c r="S74" i="16"/>
  <c r="K15" i="16"/>
  <c r="Q32" i="16"/>
  <c r="T8" i="16"/>
  <c r="S80" i="16"/>
  <c r="P39" i="16"/>
  <c r="S83" i="16"/>
  <c r="O68" i="16"/>
  <c r="S28" i="16"/>
  <c r="N26" i="16"/>
  <c r="K77" i="16"/>
  <c r="S19" i="16"/>
  <c r="B73" i="18" a="1"/>
  <c r="K17" i="16"/>
  <c r="B15" i="18" a="1"/>
  <c r="M77" i="16"/>
  <c r="O53" i="16"/>
  <c r="B20" i="18" a="1"/>
  <c r="B38" i="18" a="1"/>
  <c r="B12" i="18" a="1"/>
  <c r="N55" i="16"/>
  <c r="L10" i="16"/>
  <c r="R79" i="16"/>
  <c r="K69" i="16"/>
  <c r="J8" i="16"/>
  <c r="M38" i="16"/>
  <c r="T70" i="16"/>
  <c r="K47" i="16"/>
  <c r="Q54" i="16"/>
  <c r="L31" i="16"/>
  <c r="S53" i="16"/>
  <c r="M51" i="16"/>
  <c r="N21" i="16"/>
  <c r="P69" i="16"/>
  <c r="T54" i="16"/>
  <c r="M43" i="16"/>
  <c r="S25" i="16"/>
  <c r="P66" i="16"/>
  <c r="J48" i="16"/>
  <c r="N41" i="16"/>
  <c r="S81" i="16"/>
  <c r="N25" i="16"/>
  <c r="R66" i="16"/>
  <c r="Q81" i="16"/>
  <c r="K49" i="16"/>
  <c r="I13" i="16"/>
  <c r="S72" i="16"/>
  <c r="L18" i="16"/>
  <c r="B22" i="18" a="1"/>
  <c r="M21" i="16"/>
  <c r="Q36" i="16"/>
  <c r="I65" i="16"/>
  <c r="M25" i="16"/>
  <c r="J76" i="16"/>
  <c r="Q68" i="16"/>
  <c r="N33" i="16"/>
  <c r="T71" i="16"/>
  <c r="J61" i="16"/>
  <c r="K10" i="16"/>
  <c r="I8" i="16"/>
  <c r="T75" i="16"/>
  <c r="B62" i="18" a="1"/>
  <c r="M26" i="16"/>
  <c r="I52" i="16"/>
  <c r="L20" i="16"/>
  <c r="T57" i="16"/>
  <c r="B41" i="18" a="1"/>
  <c r="S73" i="16"/>
  <c r="J46" i="16"/>
  <c r="O41" i="16"/>
  <c r="I44" i="16"/>
  <c r="R28" i="16"/>
  <c r="B26" i="18" a="1"/>
  <c r="M20" i="16"/>
  <c r="O35" i="16"/>
  <c r="O49" i="16"/>
  <c r="N72" i="16"/>
  <c r="R27" i="16"/>
  <c r="N71" i="16"/>
  <c r="N13" i="16"/>
  <c r="I24" i="16"/>
  <c r="S41" i="16"/>
  <c r="J78" i="16"/>
  <c r="T16" i="16"/>
  <c r="T68" i="16"/>
  <c r="S30" i="16"/>
  <c r="M24" i="16"/>
  <c r="O70" i="16"/>
  <c r="K60" i="16"/>
  <c r="P19" i="16"/>
  <c r="S36" i="16"/>
  <c r="R22" i="16"/>
  <c r="AL24" i="16" l="1"/>
  <c r="U24" i="16" a="1"/>
  <c r="U24" i="16" s="1"/>
  <c r="B26" i="18"/>
  <c r="AL44" i="16"/>
  <c r="U44" i="16" a="1"/>
  <c r="U44" i="16" s="1"/>
  <c r="B41" i="18"/>
  <c r="AL52" i="16"/>
  <c r="U52" i="16" a="1"/>
  <c r="U52" i="16" s="1"/>
  <c r="B62" i="18"/>
  <c r="I7" i="16"/>
  <c r="AL8" i="16"/>
  <c r="AR8" i="16" s="1"/>
  <c r="U8" i="16" a="1"/>
  <c r="U8" i="16" s="1"/>
  <c r="AH8" i="16" a="1"/>
  <c r="AH8" i="16" s="1"/>
  <c r="U65" i="16" a="1"/>
  <c r="U65" i="16" s="1"/>
  <c r="AL65" i="16"/>
  <c r="B22" i="18"/>
  <c r="AL13" i="16"/>
  <c r="U13" i="16" a="1"/>
  <c r="U13" i="16" s="1"/>
  <c r="J7" i="16"/>
  <c r="B12" i="18"/>
  <c r="B38" i="18"/>
  <c r="B20" i="18"/>
  <c r="B15" i="18"/>
  <c r="B73" i="18"/>
  <c r="T7" i="16"/>
  <c r="U64" i="16" a="1"/>
  <c r="U64" i="16" s="1"/>
  <c r="AL64" i="16"/>
  <c r="AN64" i="16" s="1"/>
  <c r="U14" i="16" a="1"/>
  <c r="U14" i="16" s="1"/>
  <c r="AL14" i="16"/>
  <c r="U82" i="16" a="1"/>
  <c r="U82" i="16" s="1"/>
  <c r="AL82" i="16"/>
  <c r="U81" i="16" a="1"/>
  <c r="U81" i="16" s="1"/>
  <c r="AL81" i="16"/>
  <c r="AL28" i="16"/>
  <c r="U28" i="16" a="1"/>
  <c r="U28" i="16" s="1"/>
  <c r="AA28" i="16" s="1" a="1"/>
  <c r="AA28" i="16" s="1"/>
  <c r="AL41" i="16"/>
  <c r="U41" i="16" a="1"/>
  <c r="U41" i="16" s="1"/>
  <c r="AD41" i="16" s="1" a="1"/>
  <c r="AD41" i="16" s="1"/>
  <c r="B65" i="18"/>
  <c r="AL34" i="16"/>
  <c r="U34" i="16" a="1"/>
  <c r="U34" i="16" s="1"/>
  <c r="B93" i="18"/>
  <c r="B40" i="18"/>
  <c r="B55" i="18"/>
  <c r="P7" i="16"/>
  <c r="U49" i="16" a="1"/>
  <c r="U49" i="16" s="1"/>
  <c r="AL49" i="16"/>
  <c r="B49" i="18"/>
  <c r="B36" i="18"/>
  <c r="N3" i="16"/>
  <c r="B83" i="18"/>
  <c r="U71" i="16" a="1"/>
  <c r="U71" i="16" s="1"/>
  <c r="AL71" i="16"/>
  <c r="B63" i="18"/>
  <c r="AL39" i="16"/>
  <c r="U39" i="16" a="1"/>
  <c r="U39" i="16" s="1"/>
  <c r="B74" i="18"/>
  <c r="C74" i="18" s="1"/>
  <c r="B21" i="18"/>
  <c r="B37" i="18"/>
  <c r="U66" i="16" a="1"/>
  <c r="U66" i="16" s="1"/>
  <c r="AL66" i="16"/>
  <c r="B60" i="18"/>
  <c r="AL47" i="16"/>
  <c r="U47" i="16" a="1"/>
  <c r="U47" i="16" s="1"/>
  <c r="B16" i="18"/>
  <c r="B3" i="18"/>
  <c r="AL58" i="16"/>
  <c r="U58" i="16" a="1"/>
  <c r="U58" i="16" s="1"/>
  <c r="Z58" i="16" s="1" a="1"/>
  <c r="Z58" i="16" s="1"/>
  <c r="AL33" i="16"/>
  <c r="U33" i="16" a="1"/>
  <c r="U33" i="16" s="1"/>
  <c r="B27" i="18"/>
  <c r="B44" i="18"/>
  <c r="B50" i="18"/>
  <c r="B81" i="18"/>
  <c r="AL29" i="16"/>
  <c r="U29" i="16" a="1"/>
  <c r="U29" i="16" s="1"/>
  <c r="AL40" i="16"/>
  <c r="U40" i="16" a="1"/>
  <c r="U40" i="16" s="1"/>
  <c r="U31" i="16" a="1"/>
  <c r="U31" i="16" s="1"/>
  <c r="AL31" i="16"/>
  <c r="B92" i="18"/>
  <c r="Q3" i="16"/>
  <c r="AL20" i="16"/>
  <c r="U20" i="16" a="1"/>
  <c r="U20" i="16" s="1"/>
  <c r="U70" i="16" a="1"/>
  <c r="U70" i="16" s="1"/>
  <c r="AL70" i="16"/>
  <c r="AO70" i="16" s="1"/>
  <c r="B67" i="18"/>
  <c r="B90" i="18"/>
  <c r="B13" i="18"/>
  <c r="AL30" i="16"/>
  <c r="U30" i="16" a="1"/>
  <c r="U30" i="16" s="1"/>
  <c r="AL45" i="16"/>
  <c r="AN45" i="16" s="1"/>
  <c r="U45" i="16" a="1"/>
  <c r="U45" i="16" s="1"/>
  <c r="X45" i="16" s="1"/>
  <c r="B34" i="18"/>
  <c r="AL80" i="16"/>
  <c r="U80" i="16" a="1"/>
  <c r="U80" i="16" s="1"/>
  <c r="U56" i="16" a="1"/>
  <c r="U56" i="16" s="1"/>
  <c r="AL56" i="16"/>
  <c r="U59" i="16" a="1"/>
  <c r="U59" i="16" s="1"/>
  <c r="AL59" i="16"/>
  <c r="AH59" i="16" a="1"/>
  <c r="AH59" i="16" s="1"/>
  <c r="L3" i="16"/>
  <c r="K3" i="16"/>
  <c r="AL42" i="16"/>
  <c r="U42" i="16" a="1"/>
  <c r="U42" i="16" s="1"/>
  <c r="U38" i="16" a="1"/>
  <c r="U38" i="16" s="1"/>
  <c r="AL38" i="16"/>
  <c r="K7" i="16"/>
  <c r="B69" i="18"/>
  <c r="B8" i="18"/>
  <c r="AL79" i="16"/>
  <c r="U79" i="16" a="1"/>
  <c r="U79" i="16" s="1"/>
  <c r="B76" i="18"/>
  <c r="B47" i="18"/>
  <c r="U53" i="16" a="1"/>
  <c r="U53" i="16" s="1"/>
  <c r="AL53" i="16"/>
  <c r="AO53" i="16" s="1"/>
  <c r="I3" i="16"/>
  <c r="AL9" i="16"/>
  <c r="U9" i="16" a="1"/>
  <c r="U9" i="16" s="1"/>
  <c r="AH9" i="16" a="1"/>
  <c r="AH9" i="16" s="1"/>
  <c r="B32" i="18"/>
  <c r="AL67" i="16"/>
  <c r="AR67" i="16" s="1"/>
  <c r="U67" i="16" a="1"/>
  <c r="U67" i="16" s="1"/>
  <c r="B42" i="18"/>
  <c r="U60" i="16" a="1"/>
  <c r="U60" i="16" s="1"/>
  <c r="AL60" i="16"/>
  <c r="AR60" i="16" s="1"/>
  <c r="S7" i="16"/>
  <c r="U23" i="16" a="1"/>
  <c r="U23" i="16" s="1"/>
  <c r="AL23" i="16"/>
  <c r="B30" i="18"/>
  <c r="AL76" i="16"/>
  <c r="U76" i="16" a="1"/>
  <c r="U76" i="16" s="1"/>
  <c r="M7" i="16"/>
  <c r="AL68" i="16"/>
  <c r="U68" i="16" a="1"/>
  <c r="U68" i="16" s="1"/>
  <c r="B91" i="18"/>
  <c r="AL16" i="16"/>
  <c r="U16" i="16" a="1"/>
  <c r="U16" i="16" s="1"/>
  <c r="AL19" i="16"/>
  <c r="U19" i="16" a="1"/>
  <c r="U19" i="16" s="1"/>
  <c r="B45" i="18"/>
  <c r="B33" i="18"/>
  <c r="B64" i="18"/>
  <c r="F64" i="18" s="1"/>
  <c r="B23" i="18"/>
  <c r="AL57" i="16"/>
  <c r="U57" i="16" a="1"/>
  <c r="U57" i="16" s="1"/>
  <c r="AE57" i="16" s="1" a="1"/>
  <c r="AE57" i="16" s="1"/>
  <c r="U75" i="16" a="1"/>
  <c r="U75" i="16" s="1"/>
  <c r="AL75" i="16"/>
  <c r="B24" i="18"/>
  <c r="U32" i="16" a="1"/>
  <c r="U32" i="16" s="1"/>
  <c r="AL32" i="16"/>
  <c r="AN32" i="16" s="1"/>
  <c r="B70" i="18"/>
  <c r="C70" i="18" s="1"/>
  <c r="AL22" i="16"/>
  <c r="U22" i="16" a="1"/>
  <c r="U22" i="16" s="1"/>
  <c r="B28" i="18"/>
  <c r="U83" i="16" a="1"/>
  <c r="U83" i="16" s="1"/>
  <c r="AL83" i="16"/>
  <c r="B79" i="18"/>
  <c r="B87" i="18"/>
  <c r="T3" i="16"/>
  <c r="U36" i="16" a="1"/>
  <c r="U36" i="16" s="1"/>
  <c r="AL36" i="16"/>
  <c r="AH36" i="16" a="1"/>
  <c r="AH36" i="16" s="1"/>
  <c r="AL48" i="16"/>
  <c r="U48" i="16" a="1"/>
  <c r="U48" i="16" s="1"/>
  <c r="B78" i="18"/>
  <c r="AL72" i="16"/>
  <c r="U72" i="16" a="1"/>
  <c r="U72" i="16" s="1"/>
  <c r="B5" i="18"/>
  <c r="J3" i="16"/>
  <c r="B48" i="18"/>
  <c r="B54" i="18"/>
  <c r="O3" i="16"/>
  <c r="U54" i="16" a="1"/>
  <c r="U54" i="16" s="1"/>
  <c r="AL54" i="16"/>
  <c r="AO54" i="16" s="1"/>
  <c r="O7" i="16"/>
  <c r="AL77" i="16"/>
  <c r="U77" i="16" a="1"/>
  <c r="U77" i="16" s="1"/>
  <c r="AL78" i="16"/>
  <c r="U78" i="16" a="1"/>
  <c r="U78" i="16" s="1"/>
  <c r="AL43" i="16"/>
  <c r="U43" i="16" a="1"/>
  <c r="U43" i="16" s="1"/>
  <c r="B88" i="18"/>
  <c r="F88" i="18" s="1"/>
  <c r="U50" i="16" a="1"/>
  <c r="U50" i="16" s="1"/>
  <c r="AL50" i="16"/>
  <c r="AO50" i="16" s="1"/>
  <c r="B86" i="18"/>
  <c r="AL51" i="16"/>
  <c r="U51" i="16" a="1"/>
  <c r="U51" i="16" s="1"/>
  <c r="B11" i="18"/>
  <c r="B51" i="18"/>
  <c r="U17" i="16" a="1"/>
  <c r="U17" i="16" s="1"/>
  <c r="AL17" i="16"/>
  <c r="AO17" i="16" s="1"/>
  <c r="B31" i="18"/>
  <c r="B43" i="18"/>
  <c r="B7" i="18"/>
  <c r="F7" i="18" s="1"/>
  <c r="U12" i="16" a="1"/>
  <c r="U12" i="16" s="1"/>
  <c r="AL12" i="16"/>
  <c r="P3" i="16"/>
  <c r="U37" i="16" a="1"/>
  <c r="U37" i="16" s="1"/>
  <c r="AL37" i="16"/>
  <c r="AH37" i="16" a="1"/>
  <c r="AH37" i="16" s="1"/>
  <c r="U25" i="16" a="1"/>
  <c r="U25" i="16" s="1"/>
  <c r="AL25" i="16"/>
  <c r="AO25" i="16" s="1"/>
  <c r="B35" i="18"/>
  <c r="B4" i="18"/>
  <c r="R7" i="16"/>
  <c r="B61" i="18"/>
  <c r="B85" i="18"/>
  <c r="E85" i="18" s="1"/>
  <c r="B80" i="18"/>
  <c r="U21" i="16" a="1"/>
  <c r="U21" i="16" s="1"/>
  <c r="AD21" i="16" s="1" a="1"/>
  <c r="AD21" i="16" s="1"/>
  <c r="AL21" i="16"/>
  <c r="AR21" i="16" s="1"/>
  <c r="B75" i="18"/>
  <c r="F75" i="18" s="1"/>
  <c r="B72" i="18"/>
  <c r="U18" i="16" a="1"/>
  <c r="U18" i="16" s="1"/>
  <c r="AL18" i="16"/>
  <c r="B53" i="18"/>
  <c r="U73" i="16" a="1"/>
  <c r="U73" i="16" s="1"/>
  <c r="AL73" i="16"/>
  <c r="AO73" i="16" s="1"/>
  <c r="AL11" i="16"/>
  <c r="U11" i="16" a="1"/>
  <c r="U11" i="16" s="1"/>
  <c r="B25" i="18"/>
  <c r="B84" i="18"/>
  <c r="B66" i="18"/>
  <c r="AL27" i="16"/>
  <c r="U27" i="16" a="1"/>
  <c r="U27" i="16" s="1"/>
  <c r="M3" i="16"/>
  <c r="B9" i="18"/>
  <c r="F9" i="18" s="1"/>
  <c r="B57" i="18"/>
  <c r="E57" i="18" s="1"/>
  <c r="B39" i="18"/>
  <c r="AL35" i="16"/>
  <c r="U35" i="16" a="1"/>
  <c r="U35" i="16" s="1"/>
  <c r="B52" i="18"/>
  <c r="AL63" i="16"/>
  <c r="U63" i="16" a="1"/>
  <c r="U63" i="16" s="1"/>
  <c r="U62" i="16" a="1"/>
  <c r="U62" i="16" s="1"/>
  <c r="X62" i="16" s="1"/>
  <c r="AL62" i="16"/>
  <c r="S3" i="16"/>
  <c r="AL61" i="16"/>
  <c r="U61" i="16" a="1"/>
  <c r="U61" i="16" s="1"/>
  <c r="B10" i="18"/>
  <c r="U74" i="16" a="1"/>
  <c r="U74" i="16" s="1"/>
  <c r="AL74" i="16"/>
  <c r="AL15" i="16"/>
  <c r="AR15" i="16" s="1"/>
  <c r="U15" i="16" a="1"/>
  <c r="U15" i="16" s="1"/>
  <c r="AL10" i="16"/>
  <c r="U10" i="16" a="1"/>
  <c r="U10" i="16" s="1"/>
  <c r="B29" i="18"/>
  <c r="U26" i="16" a="1"/>
  <c r="U26" i="16" s="1"/>
  <c r="AL26" i="16"/>
  <c r="B56" i="18"/>
  <c r="U46" i="16" a="1"/>
  <c r="U46" i="16" s="1"/>
  <c r="AL46" i="16"/>
  <c r="U55" i="16" a="1"/>
  <c r="U55" i="16" s="1"/>
  <c r="AL55" i="16"/>
  <c r="B19" i="18"/>
  <c r="B68" i="18"/>
  <c r="E68" i="18" s="1"/>
  <c r="B6" i="18"/>
  <c r="B77" i="18"/>
  <c r="R3" i="16"/>
  <c r="B18" i="18"/>
  <c r="L7" i="16"/>
  <c r="AL69" i="16"/>
  <c r="U69" i="16" a="1"/>
  <c r="U69" i="16" s="1"/>
  <c r="B14" i="18"/>
  <c r="Q7" i="16"/>
  <c r="B59" i="18"/>
  <c r="N7" i="16"/>
  <c r="B82" i="18"/>
  <c r="B89" i="18"/>
  <c r="B46" i="18"/>
  <c r="B17" i="18"/>
  <c r="E17" i="18" s="1"/>
  <c r="B58" i="18"/>
  <c r="B71" i="18"/>
  <c r="C85" i="18"/>
  <c r="AN15" i="16"/>
  <c r="Z10" i="16" a="1"/>
  <c r="Z10" i="16" s="1"/>
  <c r="AD10" i="16" a="1"/>
  <c r="AD10" i="16" s="1"/>
  <c r="D6" i="17"/>
  <c r="F6" i="17" s="1"/>
  <c r="AR64" i="16"/>
  <c r="AO64" i="16"/>
  <c r="E75" i="18"/>
  <c r="AN21" i="16"/>
  <c r="AO21" i="16"/>
  <c r="AN17" i="16"/>
  <c r="AR17" i="16"/>
  <c r="AD42" i="16" a="1"/>
  <c r="AD42" i="16" s="1"/>
  <c r="X42" i="16"/>
  <c r="AN36" i="16"/>
  <c r="AR36" i="16"/>
  <c r="AO36" i="16"/>
  <c r="E56" i="18"/>
  <c r="F56" i="18"/>
  <c r="C56" i="18"/>
  <c r="C88" i="18"/>
  <c r="AD11" i="16" a="1"/>
  <c r="AD11" i="16" s="1"/>
  <c r="Z11" i="16" a="1"/>
  <c r="Z11" i="16" s="1"/>
  <c r="X11" i="16"/>
  <c r="AN73" i="16"/>
  <c r="AR73" i="16"/>
  <c r="AA79" i="16" a="1"/>
  <c r="AA79" i="16" s="1"/>
  <c r="Z79" i="16" a="1"/>
  <c r="Z79" i="16" s="1"/>
  <c r="X79" i="16"/>
  <c r="AA61" i="16" a="1"/>
  <c r="AA61" i="16" s="1"/>
  <c r="AD61" i="16" a="1"/>
  <c r="AD61" i="16" s="1"/>
  <c r="Z61" i="16" a="1"/>
  <c r="Z61" i="16" s="1"/>
  <c r="X35" i="16"/>
  <c r="AE35" i="16" a="1"/>
  <c r="AE35" i="16" s="1"/>
  <c r="D9" i="17"/>
  <c r="F9" i="17" s="1"/>
  <c r="AR15" i="17" s="1"/>
  <c r="AR61" i="17" s="1"/>
  <c r="AO66" i="16"/>
  <c r="AR66" i="16"/>
  <c r="AN66" i="16"/>
  <c r="AR26" i="16"/>
  <c r="AN26" i="16"/>
  <c r="AO26" i="16"/>
  <c r="AN25" i="16"/>
  <c r="AA68" i="16" a="1"/>
  <c r="AA68" i="16" s="1"/>
  <c r="AD68" i="16" a="1"/>
  <c r="AD68" i="16" s="1"/>
  <c r="X68" i="16"/>
  <c r="Z41" i="16" a="1"/>
  <c r="Z41" i="16" s="1"/>
  <c r="AA41" i="16" a="1"/>
  <c r="AA41" i="16" s="1"/>
  <c r="X41" i="16"/>
  <c r="AE41" i="16" a="1"/>
  <c r="AE41" i="16" s="1"/>
  <c r="C12" i="29"/>
  <c r="D12" i="29" s="1"/>
  <c r="AO18" i="16"/>
  <c r="AN18" i="16"/>
  <c r="AR18" i="16"/>
  <c r="F17" i="18"/>
  <c r="C9" i="18"/>
  <c r="E9" i="18"/>
  <c r="Z57" i="16" a="1"/>
  <c r="Z57" i="16" s="1"/>
  <c r="X57" i="16"/>
  <c r="AD57" i="16" a="1"/>
  <c r="AD57" i="16" s="1"/>
  <c r="AA57" i="16" a="1"/>
  <c r="AA57" i="16" s="1"/>
  <c r="F69" i="18"/>
  <c r="E69" i="18"/>
  <c r="C69" i="18"/>
  <c r="AD27" i="16" a="1"/>
  <c r="AD27" i="16" s="1"/>
  <c r="Z27" i="16" a="1"/>
  <c r="Z27" i="16" s="1"/>
  <c r="AE27" i="16" a="1"/>
  <c r="AE27" i="16" s="1"/>
  <c r="C40" i="18"/>
  <c r="F40" i="18"/>
  <c r="C68" i="18"/>
  <c r="AE58" i="16" a="1"/>
  <c r="AE58" i="16" s="1"/>
  <c r="X58" i="16"/>
  <c r="AA58" i="16" a="1"/>
  <c r="AA58" i="16" s="1"/>
  <c r="AD58" i="16" a="1"/>
  <c r="AD58" i="16" s="1"/>
  <c r="AE67" i="16" a="1"/>
  <c r="AE67" i="16" s="1"/>
  <c r="AA67" i="16" a="1"/>
  <c r="AA67" i="16" s="1"/>
  <c r="Z67" i="16" a="1"/>
  <c r="Z67" i="16" s="1"/>
  <c r="AE45" i="16" a="1"/>
  <c r="AE45" i="16" s="1"/>
  <c r="AD45" i="16" a="1"/>
  <c r="AD45" i="16" s="1"/>
  <c r="Z45" i="16" a="1"/>
  <c r="Z45" i="16" s="1"/>
  <c r="AA45" i="16" a="1"/>
  <c r="AA45" i="16" s="1"/>
  <c r="AD28" i="16" a="1"/>
  <c r="AD28" i="16" s="1"/>
  <c r="X28" i="16"/>
  <c r="Z28" i="16" a="1"/>
  <c r="Z28" i="16" s="1"/>
  <c r="AE28" i="16" a="1"/>
  <c r="AE28" i="16" s="1"/>
  <c r="AO38" i="16"/>
  <c r="AR38" i="16"/>
  <c r="AN38" i="16"/>
  <c r="E7" i="18"/>
  <c r="C7" i="18"/>
  <c r="AE34" i="16" a="1"/>
  <c r="AE34" i="16" s="1"/>
  <c r="X34" i="16"/>
  <c r="Z34" i="16" a="1"/>
  <c r="Z34" i="16" s="1"/>
  <c r="AN59" i="16"/>
  <c r="AO59" i="16"/>
  <c r="AR59" i="16"/>
  <c r="AD29" i="16" a="1"/>
  <c r="AD29" i="16" s="1"/>
  <c r="X29" i="16"/>
  <c r="AA29" i="16" a="1"/>
  <c r="AA29" i="16" s="1"/>
  <c r="Z29" i="16" a="1"/>
  <c r="Z29" i="16" s="1"/>
  <c r="AE29" i="16" a="1"/>
  <c r="AE29" i="16" s="1"/>
  <c r="E70" i="18"/>
  <c r="F70" i="18"/>
  <c r="AO46" i="16"/>
  <c r="AR46" i="16"/>
  <c r="AN46" i="16"/>
  <c r="E74" i="18"/>
  <c r="F74" i="18"/>
  <c r="I74" i="18" s="1"/>
  <c r="AO32" i="16"/>
  <c r="AR32" i="16"/>
  <c r="D8" i="17"/>
  <c r="F8" i="17" s="1"/>
  <c r="AQ15" i="17" s="1"/>
  <c r="AE44" i="16" a="1"/>
  <c r="AE44" i="16" s="1"/>
  <c r="C14" i="29"/>
  <c r="D14" i="29" s="1"/>
  <c r="Z44" i="16" a="1"/>
  <c r="Z44" i="16" s="1"/>
  <c r="X24" i="16"/>
  <c r="AD24" i="16" a="1"/>
  <c r="AD24" i="16" s="1"/>
  <c r="AE24" i="16" a="1"/>
  <c r="AE24" i="16" s="1"/>
  <c r="Z30" i="16" a="1"/>
  <c r="Z30" i="16" s="1"/>
  <c r="AE30" i="16" a="1"/>
  <c r="AE30" i="16" s="1"/>
  <c r="AE9" i="16" a="1"/>
  <c r="AE9" i="16" s="1"/>
  <c r="D10" i="17"/>
  <c r="F10" i="17" s="1"/>
  <c r="AS15" i="17" s="1"/>
  <c r="C19" i="29"/>
  <c r="D19" i="29" s="1"/>
  <c r="D22" i="29" s="1"/>
  <c r="AD16" i="16" a="1"/>
  <c r="AD16" i="16" s="1"/>
  <c r="Z16" i="16" a="1"/>
  <c r="Z16" i="16" s="1"/>
  <c r="AA16" i="16" a="1"/>
  <c r="AA16" i="16" s="1"/>
  <c r="AD40" i="16" a="1"/>
  <c r="AD40" i="16" s="1"/>
  <c r="AE40" i="16" a="1"/>
  <c r="AE40" i="16" s="1"/>
  <c r="AN53" i="16"/>
  <c r="AR53" i="16"/>
  <c r="AE39" i="16" a="1"/>
  <c r="AE39" i="16" s="1"/>
  <c r="X39" i="16"/>
  <c r="E49" i="18"/>
  <c r="C49" i="18"/>
  <c r="F49" i="18"/>
  <c r="I49" i="18" s="1"/>
  <c r="AN70" i="16"/>
  <c r="AR70" i="16"/>
  <c r="AD20" i="16" a="1"/>
  <c r="AD20" i="16" s="1"/>
  <c r="X20" i="16"/>
  <c r="AE20" i="16" a="1"/>
  <c r="AE20" i="16" s="1"/>
  <c r="AO60" i="16"/>
  <c r="AN60" i="16"/>
  <c r="F62" i="18"/>
  <c r="C62" i="18"/>
  <c r="E62" i="18"/>
  <c r="D5" i="17"/>
  <c r="E5" i="17" s="1"/>
  <c r="E11" i="17" s="1"/>
  <c r="Z8" i="16" a="1"/>
  <c r="Z8" i="16" s="1"/>
  <c r="AE8" i="16" a="1"/>
  <c r="AE8" i="16" s="1"/>
  <c r="AA52" i="16" a="1"/>
  <c r="AA52" i="16" s="1"/>
  <c r="AD52" i="16" a="1"/>
  <c r="AD52" i="16" s="1"/>
  <c r="E40" i="18"/>
  <c r="E88" i="18"/>
  <c r="AE10" i="16" a="1"/>
  <c r="AE10" i="16" s="1"/>
  <c r="E77" i="18"/>
  <c r="AO61" i="16"/>
  <c r="Z66" i="16" a="1"/>
  <c r="Z66" i="16" s="1"/>
  <c r="AR82" i="16"/>
  <c r="Z36" i="16" a="1"/>
  <c r="Z36" i="16" s="1"/>
  <c r="F57" i="18"/>
  <c r="AO68" i="16"/>
  <c r="AN34" i="16"/>
  <c r="AN79" i="16"/>
  <c r="AA62" i="16" a="1"/>
  <c r="AA62" i="16" s="1"/>
  <c r="AO8" i="16"/>
  <c r="D7" i="17"/>
  <c r="F7" i="17" s="1"/>
  <c r="AR55" i="16"/>
  <c r="X22" i="16"/>
  <c r="AE12" i="16" a="1"/>
  <c r="AE12" i="16" s="1"/>
  <c r="F85" i="18"/>
  <c r="Z21" i="16" a="1"/>
  <c r="Z21" i="16" s="1"/>
  <c r="AR50" i="16"/>
  <c r="AR75" i="16"/>
  <c r="Z76" i="16" a="1"/>
  <c r="Z76" i="16" s="1"/>
  <c r="AE78" i="16" a="1"/>
  <c r="AE78" i="16" s="1"/>
  <c r="AA51" i="16" a="1"/>
  <c r="AA51" i="16" s="1"/>
  <c r="Z17" i="16" a="1"/>
  <c r="Z17" i="16" s="1"/>
  <c r="Z51" i="16" a="1"/>
  <c r="Z51" i="16" s="1"/>
  <c r="AA15" i="16" a="1"/>
  <c r="AA15" i="16" s="1"/>
  <c r="Z69" i="16" a="1"/>
  <c r="Z69" i="16" s="1"/>
  <c r="AE77" i="16" a="1"/>
  <c r="AE77" i="16" s="1"/>
  <c r="AE69" i="16" a="1"/>
  <c r="AE69" i="16" s="1"/>
  <c r="AD63" i="16" a="1"/>
  <c r="AD63" i="16" s="1"/>
  <c r="Z80" i="16" a="1"/>
  <c r="Z80" i="16" s="1"/>
  <c r="X26" i="16"/>
  <c r="Z78" i="16" a="1"/>
  <c r="Z78" i="16" s="1"/>
  <c r="X17" i="16"/>
  <c r="C26" i="18"/>
  <c r="E65" i="18"/>
  <c r="C76" i="18"/>
  <c r="C28" i="18"/>
  <c r="C57" i="18"/>
  <c r="D57" i="18" s="1"/>
  <c r="E10" i="18"/>
  <c r="E34" i="18"/>
  <c r="C64" i="18"/>
  <c r="I64" i="18" s="1"/>
  <c r="X37" i="16"/>
  <c r="AE37" i="16" a="1"/>
  <c r="AE37" i="16" s="1"/>
  <c r="AD77" i="16" a="1"/>
  <c r="AD77" i="16" s="1"/>
  <c r="AA77" i="16" a="1"/>
  <c r="AA77" i="16" s="1"/>
  <c r="AO67" i="16"/>
  <c r="AA26" i="16" a="1"/>
  <c r="AA26" i="16" s="1"/>
  <c r="AE33" i="16" a="1"/>
  <c r="AE33" i="16" s="1"/>
  <c r="AA19" i="16" a="1"/>
  <c r="AA19" i="16" s="1"/>
  <c r="Z48" i="16" a="1"/>
  <c r="Z48" i="16" s="1"/>
  <c r="AN67" i="16"/>
  <c r="Z26" i="16" a="1"/>
  <c r="Z26" i="16" s="1"/>
  <c r="Z33" i="16" a="1"/>
  <c r="Z33" i="16" s="1"/>
  <c r="X19" i="16"/>
  <c r="X80" i="16"/>
  <c r="X66" i="16"/>
  <c r="AD36" i="16" a="1"/>
  <c r="AD36" i="16" s="1"/>
  <c r="Z53" i="16" a="1"/>
  <c r="Z53" i="16" s="1"/>
  <c r="AD62" i="16" a="1"/>
  <c r="AD62" i="16" s="1"/>
  <c r="AN8" i="16"/>
  <c r="C11" i="29"/>
  <c r="D11" i="29" s="1"/>
  <c r="Z62" i="16" a="1"/>
  <c r="Z62" i="16" s="1"/>
  <c r="AE53" i="16" a="1"/>
  <c r="AE53" i="16" s="1"/>
  <c r="AE62" i="16" a="1"/>
  <c r="AE62" i="16" s="1"/>
  <c r="AN54" i="16"/>
  <c r="AR54" i="16"/>
  <c r="AE38" i="16" a="1"/>
  <c r="AE38" i="16" s="1"/>
  <c r="Z38" i="16" a="1"/>
  <c r="Z38" i="16" s="1"/>
  <c r="Z22" i="16" a="1"/>
  <c r="Z22" i="16" s="1"/>
  <c r="AO45" i="16"/>
  <c r="AR23" i="16"/>
  <c r="AR45" i="16"/>
  <c r="AO65" i="16"/>
  <c r="AE76" i="16" a="1"/>
  <c r="AE76" i="16" s="1"/>
  <c r="AA21" i="16" a="1"/>
  <c r="AA21" i="16" s="1"/>
  <c r="AE15" i="16" a="1"/>
  <c r="AE15" i="16" s="1"/>
  <c r="AO20" i="16"/>
  <c r="Z63" i="16" a="1"/>
  <c r="Z63" i="16" s="1"/>
  <c r="AE21" i="16" a="1"/>
  <c r="AE21" i="16" s="1"/>
  <c r="Z60" i="16" a="1"/>
  <c r="Z60" i="16" s="1"/>
  <c r="AD76" i="16" a="1"/>
  <c r="AD76" i="16" s="1"/>
  <c r="X63" i="16"/>
  <c r="X21" i="16"/>
  <c r="AN50" i="16"/>
  <c r="E78" i="18"/>
  <c r="E64" i="18"/>
  <c r="AO15" i="16"/>
  <c r="I7" i="18"/>
  <c r="I70" i="18"/>
  <c r="AP15" i="17"/>
  <c r="AP45" i="17" s="1"/>
  <c r="I85" i="18"/>
  <c r="I9" i="18"/>
  <c r="D56" i="18"/>
  <c r="D74" i="18"/>
  <c r="D70" i="18"/>
  <c r="D85" i="18"/>
  <c r="D7" i="18"/>
  <c r="D68" i="18"/>
  <c r="D69" i="18"/>
  <c r="D9" i="18"/>
  <c r="D40" i="18"/>
  <c r="D88" i="18"/>
  <c r="C22" i="29"/>
  <c r="AS60" i="17"/>
  <c r="AS47" i="17"/>
  <c r="AS48" i="17"/>
  <c r="AS63" i="17"/>
  <c r="AS46" i="17"/>
  <c r="AS64" i="17"/>
  <c r="AS55" i="17"/>
  <c r="AS50" i="17"/>
  <c r="AS53" i="17"/>
  <c r="AS45" i="17"/>
  <c r="AS44" i="17"/>
  <c r="AS57" i="17"/>
  <c r="AS61" i="17"/>
  <c r="AS52" i="17"/>
  <c r="AS51" i="17"/>
  <c r="AS58" i="17"/>
  <c r="AS49" i="17"/>
  <c r="AS54" i="17"/>
  <c r="AS59" i="17"/>
  <c r="AS62" i="17"/>
  <c r="AS56" i="17"/>
  <c r="AR64" i="17"/>
  <c r="AR56" i="17"/>
  <c r="AR50" i="17"/>
  <c r="AR44" i="17"/>
  <c r="AR54" i="17"/>
  <c r="AP69" i="17"/>
  <c r="AS71" i="17"/>
  <c r="AS70" i="17"/>
  <c r="AS74" i="17"/>
  <c r="AS43" i="17"/>
  <c r="AS69" i="17"/>
  <c r="AS67" i="17"/>
  <c r="AS68" i="17"/>
  <c r="AS66" i="17"/>
  <c r="AS42" i="17"/>
  <c r="AS73" i="17"/>
  <c r="AS65" i="17"/>
  <c r="AS75" i="17"/>
  <c r="AS41" i="17"/>
  <c r="AS72" i="17"/>
  <c r="AR82" i="17"/>
  <c r="W82" i="17" s="1"/>
  <c r="AR71" i="17"/>
  <c r="AR70" i="17"/>
  <c r="AR72" i="17"/>
  <c r="I56" i="18"/>
  <c r="AS99" i="17"/>
  <c r="AS124" i="17"/>
  <c r="AS104" i="17"/>
  <c r="AS19" i="17"/>
  <c r="AS23" i="17"/>
  <c r="AS25" i="17"/>
  <c r="AS77" i="17"/>
  <c r="AS40" i="17"/>
  <c r="AS96" i="17"/>
  <c r="AS92" i="17"/>
  <c r="AS81" i="17"/>
  <c r="AS108" i="17"/>
  <c r="AS123" i="17"/>
  <c r="AS105" i="17"/>
  <c r="AS24" i="17"/>
  <c r="AS32" i="17"/>
  <c r="AS121" i="17"/>
  <c r="AS83" i="17"/>
  <c r="AS118" i="17"/>
  <c r="AS34" i="17"/>
  <c r="AS30" i="17"/>
  <c r="AS91" i="17"/>
  <c r="AS127" i="17"/>
  <c r="AS87" i="17"/>
  <c r="AS84" i="17"/>
  <c r="AS98" i="17"/>
  <c r="AS79" i="17"/>
  <c r="AS21" i="17"/>
  <c r="AS115" i="17"/>
  <c r="AS82" i="17"/>
  <c r="AS38" i="17"/>
  <c r="AS129" i="17"/>
  <c r="AS26" i="17"/>
  <c r="AS102" i="17"/>
  <c r="AS120" i="17"/>
  <c r="AS95" i="17"/>
  <c r="AS27" i="17"/>
  <c r="AS109" i="17"/>
  <c r="AS107" i="17"/>
  <c r="AS119" i="17"/>
  <c r="AS39" i="17"/>
  <c r="AS110" i="17"/>
  <c r="AS100" i="17"/>
  <c r="AS113" i="17"/>
  <c r="AS33" i="17"/>
  <c r="AS37" i="17"/>
  <c r="AS90" i="17"/>
  <c r="AS78" i="17"/>
  <c r="AS126" i="17"/>
  <c r="AS125" i="17"/>
  <c r="AS80" i="17"/>
  <c r="AS85" i="17"/>
  <c r="AS117" i="17"/>
  <c r="AS114" i="17"/>
  <c r="AS86" i="17"/>
  <c r="AS97" i="17"/>
  <c r="AS128" i="17"/>
  <c r="AS36" i="17"/>
  <c r="AS101" i="17"/>
  <c r="AS89" i="17"/>
  <c r="AS28" i="17"/>
  <c r="AS111" i="17"/>
  <c r="AS22" i="17"/>
  <c r="AS29" i="17"/>
  <c r="AS93" i="17"/>
  <c r="AS76" i="17"/>
  <c r="AS116" i="17"/>
  <c r="AS20" i="17"/>
  <c r="AS88" i="17"/>
  <c r="AS103" i="17"/>
  <c r="AS31" i="17"/>
  <c r="AS94" i="17"/>
  <c r="AS106" i="17"/>
  <c r="AS122" i="17"/>
  <c r="AS35" i="17"/>
  <c r="AS112" i="17"/>
  <c r="I69" i="18"/>
  <c r="I40" i="18"/>
  <c r="AR108" i="17"/>
  <c r="AY108" i="17" s="1"/>
  <c r="AR119" i="17"/>
  <c r="AY119" i="17" s="1"/>
  <c r="AR84" i="17"/>
  <c r="AY84" i="17" s="1"/>
  <c r="AR19" i="17"/>
  <c r="W19" i="17" s="1"/>
  <c r="AR125" i="17"/>
  <c r="W125" i="17" s="1"/>
  <c r="AR120" i="17"/>
  <c r="W120" i="17" s="1"/>
  <c r="AR94" i="17"/>
  <c r="W94" i="17" s="1"/>
  <c r="AR26" i="17"/>
  <c r="AY26" i="17" s="1"/>
  <c r="AR88" i="17"/>
  <c r="AY88" i="17" s="1"/>
  <c r="AR81" i="17"/>
  <c r="W81" i="17" s="1"/>
  <c r="AR123" i="17"/>
  <c r="W123" i="17" s="1"/>
  <c r="AR90" i="17"/>
  <c r="AY90" i="17" s="1"/>
  <c r="AR116" i="17"/>
  <c r="W116" i="17" s="1"/>
  <c r="AR29" i="17"/>
  <c r="AY29" i="17" s="1"/>
  <c r="AR110" i="17"/>
  <c r="AY110" i="17" s="1"/>
  <c r="AR86" i="17"/>
  <c r="W86" i="17" s="1"/>
  <c r="AR89" i="17"/>
  <c r="AY89" i="17" s="1"/>
  <c r="AR95" i="17"/>
  <c r="AY95" i="17" s="1"/>
  <c r="I88" i="18" l="1"/>
  <c r="E71" i="18"/>
  <c r="C71" i="18"/>
  <c r="F71" i="18"/>
  <c r="I71" i="18" s="1"/>
  <c r="F89" i="18"/>
  <c r="C89" i="18"/>
  <c r="E89" i="18"/>
  <c r="D89" i="18" s="1"/>
  <c r="E6" i="18"/>
  <c r="D6" i="18" s="1"/>
  <c r="C6" i="18"/>
  <c r="F6" i="18"/>
  <c r="X55" i="16"/>
  <c r="AD55" i="16" a="1"/>
  <c r="AD55" i="16" s="1"/>
  <c r="AA55" i="16" a="1"/>
  <c r="AA55" i="16" s="1"/>
  <c r="Z55" i="16" a="1"/>
  <c r="Z55" i="16" s="1"/>
  <c r="AE55" i="16" a="1"/>
  <c r="AE55" i="16" s="1"/>
  <c r="AR10" i="16"/>
  <c r="AN10" i="16"/>
  <c r="AO10" i="16"/>
  <c r="X74" i="16"/>
  <c r="AA74" i="16" a="1"/>
  <c r="AA74" i="16" s="1"/>
  <c r="AD74" i="16" a="1"/>
  <c r="AD74" i="16" s="1"/>
  <c r="AE74" i="16" a="1"/>
  <c r="AE74" i="16" s="1"/>
  <c r="Z74" i="16" a="1"/>
  <c r="Z74" i="16" s="1"/>
  <c r="AR63" i="16"/>
  <c r="AN63" i="16"/>
  <c r="AO63" i="16"/>
  <c r="C39" i="18"/>
  <c r="E39" i="18"/>
  <c r="D39" i="18" s="1"/>
  <c r="F39" i="18"/>
  <c r="I39" i="18" s="1"/>
  <c r="X27" i="16"/>
  <c r="AA27" i="16" a="1"/>
  <c r="AA27" i="16" s="1"/>
  <c r="E25" i="18"/>
  <c r="C25" i="18"/>
  <c r="F25" i="18"/>
  <c r="X73" i="16"/>
  <c r="AE73" i="16" a="1"/>
  <c r="AE73" i="16" s="1"/>
  <c r="Z73" i="16" a="1"/>
  <c r="Z73" i="16" s="1"/>
  <c r="AD73" i="16" a="1"/>
  <c r="AD73" i="16" s="1"/>
  <c r="AA73" i="16" a="1"/>
  <c r="AA73" i="16" s="1"/>
  <c r="F72" i="18"/>
  <c r="I72" i="18" s="1"/>
  <c r="E72" i="18"/>
  <c r="D72" i="18" s="1"/>
  <c r="C72" i="18"/>
  <c r="E80" i="18"/>
  <c r="C80" i="18"/>
  <c r="F80" i="18"/>
  <c r="I80" i="18" s="1"/>
  <c r="C4" i="18"/>
  <c r="E4" i="18"/>
  <c r="D4" i="18" s="1"/>
  <c r="F4" i="18"/>
  <c r="I4" i="18" s="1"/>
  <c r="AR12" i="16"/>
  <c r="AO12" i="16"/>
  <c r="AN12" i="16"/>
  <c r="E31" i="18"/>
  <c r="D31" i="18" s="1"/>
  <c r="F31" i="18"/>
  <c r="I31" i="18" s="1"/>
  <c r="C31" i="18"/>
  <c r="C11" i="18"/>
  <c r="F11" i="18"/>
  <c r="I11" i="18" s="1"/>
  <c r="E11" i="18"/>
  <c r="D11" i="18" s="1"/>
  <c r="AN43" i="16"/>
  <c r="AO43" i="16"/>
  <c r="AR43" i="16"/>
  <c r="AN77" i="16"/>
  <c r="AO77" i="16"/>
  <c r="AR77" i="16"/>
  <c r="C5" i="18"/>
  <c r="E5" i="18"/>
  <c r="F5" i="18"/>
  <c r="X48" i="16"/>
  <c r="AE48" i="16" a="1"/>
  <c r="AE48" i="16" s="1"/>
  <c r="AA48" i="16" a="1"/>
  <c r="AA48" i="16" s="1"/>
  <c r="AD48" i="16" a="1"/>
  <c r="AD48" i="16" s="1"/>
  <c r="AA36" i="16" a="1"/>
  <c r="AA36" i="16" s="1"/>
  <c r="AE36" i="16" a="1"/>
  <c r="AE36" i="16" s="1"/>
  <c r="X36" i="16"/>
  <c r="AN83" i="16"/>
  <c r="AR83" i="16"/>
  <c r="AO83" i="16"/>
  <c r="AN22" i="16"/>
  <c r="AO22" i="16"/>
  <c r="AR22" i="16"/>
  <c r="E24" i="18"/>
  <c r="D24" i="18" s="1"/>
  <c r="C24" i="18"/>
  <c r="F24" i="18"/>
  <c r="AO57" i="16"/>
  <c r="AR57" i="16"/>
  <c r="AN57" i="16"/>
  <c r="E45" i="18"/>
  <c r="D45" i="18" s="1"/>
  <c r="C45" i="18"/>
  <c r="F45" i="18"/>
  <c r="I45" i="18" s="1"/>
  <c r="AO16" i="16"/>
  <c r="AN16" i="16"/>
  <c r="AR16" i="16"/>
  <c r="AO23" i="16"/>
  <c r="AN23" i="16"/>
  <c r="AD60" i="16" a="1"/>
  <c r="AD60" i="16" s="1"/>
  <c r="AA60" i="16" a="1"/>
  <c r="AA60" i="16" s="1"/>
  <c r="X60" i="16"/>
  <c r="AE60" i="16" a="1"/>
  <c r="AE60" i="16" s="1"/>
  <c r="E32" i="18"/>
  <c r="D32" i="18" s="1"/>
  <c r="C32" i="18"/>
  <c r="F32" i="18"/>
  <c r="I32" i="18" s="1"/>
  <c r="E76" i="18"/>
  <c r="D76" i="18" s="1"/>
  <c r="F76" i="18"/>
  <c r="Z42" i="16" a="1"/>
  <c r="Z42" i="16" s="1"/>
  <c r="AE42" i="16" a="1"/>
  <c r="AE42" i="16" s="1"/>
  <c r="AA42" i="16" a="1"/>
  <c r="AA42" i="16" s="1"/>
  <c r="AA56" i="16" a="1"/>
  <c r="AA56" i="16" s="1"/>
  <c r="AE56" i="16" a="1"/>
  <c r="AE56" i="16" s="1"/>
  <c r="X56" i="16"/>
  <c r="Z56" i="16" a="1"/>
  <c r="Z56" i="16" s="1"/>
  <c r="AD56" i="16" a="1"/>
  <c r="AD56" i="16" s="1"/>
  <c r="F13" i="18"/>
  <c r="E13" i="18"/>
  <c r="D13" i="18" s="1"/>
  <c r="C13" i="18"/>
  <c r="AE70" i="16" a="1"/>
  <c r="AE70" i="16" s="1"/>
  <c r="AD70" i="16" a="1"/>
  <c r="AD70" i="16" s="1"/>
  <c r="Z70" i="16" a="1"/>
  <c r="Z70" i="16" s="1"/>
  <c r="AA70" i="16" a="1"/>
  <c r="AA70" i="16" s="1"/>
  <c r="X70" i="16"/>
  <c r="E92" i="18"/>
  <c r="C92" i="18"/>
  <c r="F92" i="18"/>
  <c r="AN40" i="16"/>
  <c r="AO40" i="16"/>
  <c r="AR40" i="16"/>
  <c r="E50" i="18"/>
  <c r="D50" i="18" s="1"/>
  <c r="F50" i="18"/>
  <c r="I50" i="18" s="1"/>
  <c r="C50" i="18"/>
  <c r="AO33" i="16"/>
  <c r="AN33" i="16"/>
  <c r="AR33" i="16"/>
  <c r="C16" i="18"/>
  <c r="E16" i="18"/>
  <c r="D16" i="18" s="1"/>
  <c r="F16" i="18"/>
  <c r="I16" i="18" s="1"/>
  <c r="AO71" i="16"/>
  <c r="AN71" i="16"/>
  <c r="AR71" i="16"/>
  <c r="E36" i="18"/>
  <c r="D36" i="18" s="1"/>
  <c r="C36" i="18"/>
  <c r="F36" i="18"/>
  <c r="I36" i="18" s="1"/>
  <c r="AA34" i="16" a="1"/>
  <c r="AA34" i="16" s="1"/>
  <c r="AD34" i="16" a="1"/>
  <c r="AD34" i="16" s="1"/>
  <c r="AN41" i="16"/>
  <c r="AO41" i="16"/>
  <c r="AR41" i="16"/>
  <c r="AD81" i="16" a="1"/>
  <c r="AD81" i="16" s="1"/>
  <c r="X81" i="16"/>
  <c r="AE81" i="16" a="1"/>
  <c r="AE81" i="16" s="1"/>
  <c r="Z81" i="16" a="1"/>
  <c r="Z81" i="16" s="1"/>
  <c r="AA81" i="16" a="1"/>
  <c r="AA81" i="16" s="1"/>
  <c r="X14" i="16"/>
  <c r="AA14" i="16" a="1"/>
  <c r="AA14" i="16" s="1"/>
  <c r="AD14" i="16" a="1"/>
  <c r="AD14" i="16" s="1"/>
  <c r="Z14" i="16" a="1"/>
  <c r="Z14" i="16" s="1"/>
  <c r="AE14" i="16" a="1"/>
  <c r="AE14" i="16" s="1"/>
  <c r="C73" i="18"/>
  <c r="F73" i="18"/>
  <c r="I73" i="18" s="1"/>
  <c r="E73" i="18"/>
  <c r="D73" i="18" s="1"/>
  <c r="C12" i="18"/>
  <c r="F12" i="18"/>
  <c r="I12" i="18" s="1"/>
  <c r="E12" i="18"/>
  <c r="D12" i="18" s="1"/>
  <c r="C22" i="18"/>
  <c r="E22" i="18"/>
  <c r="F22" i="18"/>
  <c r="AD8" i="16" a="1"/>
  <c r="AD8" i="16" s="1"/>
  <c r="AA8" i="16" a="1"/>
  <c r="AA8" i="16" s="1"/>
  <c r="X8" i="16"/>
  <c r="U7" i="16"/>
  <c r="X52" i="16"/>
  <c r="Z52" i="16" a="1"/>
  <c r="Z52" i="16" s="1"/>
  <c r="AE52" i="16" a="1"/>
  <c r="AE52" i="16" s="1"/>
  <c r="AO44" i="16"/>
  <c r="AR44" i="16"/>
  <c r="AN44" i="16"/>
  <c r="E58" i="18"/>
  <c r="F58" i="18"/>
  <c r="I58" i="18" s="1"/>
  <c r="C58" i="18"/>
  <c r="E82" i="18"/>
  <c r="F82" i="18"/>
  <c r="C82" i="18"/>
  <c r="C14" i="18"/>
  <c r="E14" i="18"/>
  <c r="F14" i="18"/>
  <c r="F18" i="18"/>
  <c r="I18" i="18" s="1"/>
  <c r="C18" i="18"/>
  <c r="E18" i="18"/>
  <c r="AD26" i="16" a="1"/>
  <c r="AD26" i="16" s="1"/>
  <c r="AE26" i="16" a="1"/>
  <c r="AE26" i="16" s="1"/>
  <c r="X15" i="16"/>
  <c r="AD15" i="16" a="1"/>
  <c r="AD15" i="16" s="1"/>
  <c r="Z15" i="16" a="1"/>
  <c r="Z15" i="16" s="1"/>
  <c r="C10" i="18"/>
  <c r="D10" i="18" s="1"/>
  <c r="F10" i="18"/>
  <c r="AR62" i="16"/>
  <c r="AN62" i="16"/>
  <c r="AO62" i="16"/>
  <c r="F52" i="18"/>
  <c r="I52" i="18" s="1"/>
  <c r="E52" i="18"/>
  <c r="C52" i="18"/>
  <c r="AR27" i="16"/>
  <c r="AO27" i="16"/>
  <c r="AN27" i="16"/>
  <c r="AE11" i="16" a="1"/>
  <c r="AE11" i="16" s="1"/>
  <c r="AA11" i="16" a="1"/>
  <c r="AA11" i="16" s="1"/>
  <c r="E53" i="18"/>
  <c r="D53" i="18" s="1"/>
  <c r="C53" i="18"/>
  <c r="F53" i="18"/>
  <c r="I53" i="18" s="1"/>
  <c r="C35" i="18"/>
  <c r="F35" i="18"/>
  <c r="I35" i="18" s="1"/>
  <c r="E35" i="18"/>
  <c r="AN37" i="16"/>
  <c r="AR37" i="16"/>
  <c r="AO37" i="16"/>
  <c r="AA12" i="16" a="1"/>
  <c r="AA12" i="16" s="1"/>
  <c r="AD12" i="16" a="1"/>
  <c r="AD12" i="16" s="1"/>
  <c r="X12" i="16"/>
  <c r="Z12" i="16" a="1"/>
  <c r="Z12" i="16" s="1"/>
  <c r="AE51" i="16" a="1"/>
  <c r="AE51" i="16" s="1"/>
  <c r="X51" i="16"/>
  <c r="AD51" i="16" a="1"/>
  <c r="AD51" i="16" s="1"/>
  <c r="Z50" i="16" a="1"/>
  <c r="Z50" i="16" s="1"/>
  <c r="AA50" i="16" a="1"/>
  <c r="AA50" i="16" s="1"/>
  <c r="X50" i="16"/>
  <c r="AE50" i="16" a="1"/>
  <c r="AE50" i="16" s="1"/>
  <c r="AD50" i="16" a="1"/>
  <c r="AD50" i="16" s="1"/>
  <c r="AD78" i="16" a="1"/>
  <c r="AD78" i="16" s="1"/>
  <c r="AA78" i="16" a="1"/>
  <c r="AA78" i="16" s="1"/>
  <c r="X78" i="16"/>
  <c r="C54" i="18"/>
  <c r="E54" i="18"/>
  <c r="F54" i="18"/>
  <c r="AA72" i="16" a="1"/>
  <c r="AA72" i="16" s="1"/>
  <c r="AD72" i="16" a="1"/>
  <c r="AD72" i="16" s="1"/>
  <c r="X72" i="16"/>
  <c r="AE72" i="16" a="1"/>
  <c r="AE72" i="16" s="1"/>
  <c r="Z72" i="16" a="1"/>
  <c r="Z72" i="16" s="1"/>
  <c r="AR48" i="16"/>
  <c r="AO48" i="16"/>
  <c r="AN48" i="16"/>
  <c r="AD83" i="16" a="1"/>
  <c r="AD83" i="16" s="1"/>
  <c r="Z83" i="16" a="1"/>
  <c r="Z83" i="16" s="1"/>
  <c r="AA83" i="16" a="1"/>
  <c r="AA83" i="16" s="1"/>
  <c r="AE83" i="16" a="1"/>
  <c r="AE83" i="16" s="1"/>
  <c r="X83" i="16"/>
  <c r="AN75" i="16"/>
  <c r="AO75" i="16"/>
  <c r="E23" i="18"/>
  <c r="C23" i="18"/>
  <c r="F23" i="18"/>
  <c r="I23" i="18" s="1"/>
  <c r="AE19" i="16" a="1"/>
  <c r="AE19" i="16" s="1"/>
  <c r="Z19" i="16" a="1"/>
  <c r="Z19" i="16" s="1"/>
  <c r="AD19" i="16" a="1"/>
  <c r="AD19" i="16" s="1"/>
  <c r="E91" i="18"/>
  <c r="D91" i="18" s="1"/>
  <c r="C91" i="18"/>
  <c r="F91" i="18"/>
  <c r="I91" i="18" s="1"/>
  <c r="AA76" i="16" a="1"/>
  <c r="AA76" i="16" s="1"/>
  <c r="X76" i="16"/>
  <c r="AA23" i="16" a="1"/>
  <c r="AA23" i="16" s="1"/>
  <c r="X23" i="16"/>
  <c r="AE23" i="16" a="1"/>
  <c r="AE23" i="16" s="1"/>
  <c r="AD23" i="16" a="1"/>
  <c r="AD23" i="16" s="1"/>
  <c r="Z23" i="16" a="1"/>
  <c r="Z23" i="16" s="1"/>
  <c r="F42" i="18"/>
  <c r="C42" i="18"/>
  <c r="E42" i="18"/>
  <c r="D42" i="18" s="1"/>
  <c r="AD79" i="16" a="1"/>
  <c r="AD79" i="16" s="1"/>
  <c r="AE79" i="16" a="1"/>
  <c r="AE79" i="16" s="1"/>
  <c r="AN42" i="16"/>
  <c r="AO42" i="16"/>
  <c r="AR42" i="16"/>
  <c r="AA80" i="16" a="1"/>
  <c r="AA80" i="16" s="1"/>
  <c r="AD80" i="16" a="1"/>
  <c r="AD80" i="16" s="1"/>
  <c r="AE80" i="16" a="1"/>
  <c r="AE80" i="16" s="1"/>
  <c r="E90" i="18"/>
  <c r="F90" i="18"/>
  <c r="I90" i="18" s="1"/>
  <c r="C90" i="18"/>
  <c r="AA20" i="16" a="1"/>
  <c r="AA20" i="16" s="1"/>
  <c r="Z20" i="16" a="1"/>
  <c r="Z20" i="16" s="1"/>
  <c r="AO31" i="16"/>
  <c r="AR31" i="16"/>
  <c r="AN31" i="16"/>
  <c r="C44" i="18"/>
  <c r="E44" i="18"/>
  <c r="D44" i="18" s="1"/>
  <c r="F44" i="18"/>
  <c r="I44" i="18" s="1"/>
  <c r="AA47" i="16" a="1"/>
  <c r="AA47" i="16" s="1"/>
  <c r="AE47" i="16" a="1"/>
  <c r="AE47" i="16" s="1"/>
  <c r="AD47" i="16" a="1"/>
  <c r="AD47" i="16" s="1"/>
  <c r="Z47" i="16" a="1"/>
  <c r="Z47" i="16" s="1"/>
  <c r="X47" i="16"/>
  <c r="AE66" i="16" a="1"/>
  <c r="AE66" i="16" s="1"/>
  <c r="AD66" i="16" a="1"/>
  <c r="AD66" i="16" s="1"/>
  <c r="AA66" i="16" a="1"/>
  <c r="AA66" i="16" s="1"/>
  <c r="AD39" i="16" a="1"/>
  <c r="AD39" i="16" s="1"/>
  <c r="AA39" i="16" a="1"/>
  <c r="AA39" i="16" s="1"/>
  <c r="Z39" i="16" a="1"/>
  <c r="Z39" i="16" s="1"/>
  <c r="X71" i="16"/>
  <c r="AA71" i="16" a="1"/>
  <c r="AA71" i="16" s="1"/>
  <c r="AD71" i="16" a="1"/>
  <c r="AD71" i="16" s="1"/>
  <c r="AE71" i="16" a="1"/>
  <c r="AE71" i="16" s="1"/>
  <c r="Z71" i="16" a="1"/>
  <c r="Z71" i="16" s="1"/>
  <c r="C55" i="18"/>
  <c r="E55" i="18"/>
  <c r="F55" i="18"/>
  <c r="I55" i="18" s="1"/>
  <c r="AO34" i="16"/>
  <c r="AR34" i="16"/>
  <c r="AN82" i="16"/>
  <c r="AO82" i="16"/>
  <c r="C15" i="18"/>
  <c r="E15" i="18"/>
  <c r="D15" i="18" s="1"/>
  <c r="F15" i="18"/>
  <c r="AR65" i="16"/>
  <c r="AN65" i="16"/>
  <c r="AR52" i="16"/>
  <c r="AN52" i="16"/>
  <c r="AO52" i="16"/>
  <c r="F26" i="18"/>
  <c r="I26" i="18" s="1"/>
  <c r="E26" i="18"/>
  <c r="AD69" i="16" a="1"/>
  <c r="AD69" i="16" s="1"/>
  <c r="AA69" i="16" a="1"/>
  <c r="AA69" i="16" s="1"/>
  <c r="X69" i="16"/>
  <c r="C19" i="18"/>
  <c r="E19" i="18"/>
  <c r="F19" i="18"/>
  <c r="I19" i="18" s="1"/>
  <c r="Z46" i="16" a="1"/>
  <c r="Z46" i="16" s="1"/>
  <c r="AA46" i="16" a="1"/>
  <c r="AA46" i="16" s="1"/>
  <c r="AE46" i="16" a="1"/>
  <c r="AE46" i="16" s="1"/>
  <c r="AD46" i="16" a="1"/>
  <c r="AD46" i="16" s="1"/>
  <c r="X46" i="16"/>
  <c r="E29" i="18"/>
  <c r="D29" i="18" s="1"/>
  <c r="C29" i="18"/>
  <c r="F29" i="18"/>
  <c r="I29" i="18" s="1"/>
  <c r="AE61" i="16" a="1"/>
  <c r="AE61" i="16" s="1"/>
  <c r="X61" i="16"/>
  <c r="C15" i="29"/>
  <c r="D15" i="29" s="1"/>
  <c r="Z35" i="16" a="1"/>
  <c r="Z35" i="16" s="1"/>
  <c r="E66" i="18"/>
  <c r="C66" i="18"/>
  <c r="F66" i="18"/>
  <c r="AN11" i="16"/>
  <c r="AR11" i="16"/>
  <c r="AO11" i="16"/>
  <c r="C61" i="18"/>
  <c r="F61" i="18"/>
  <c r="I61" i="18" s="1"/>
  <c r="E61" i="18"/>
  <c r="D61" i="18" s="1"/>
  <c r="C13" i="29"/>
  <c r="D13" i="29" s="1"/>
  <c r="AD37" i="16" a="1"/>
  <c r="AD37" i="16" s="1"/>
  <c r="AA37" i="16" a="1"/>
  <c r="AA37" i="16" s="1"/>
  <c r="Z37" i="16" a="1"/>
  <c r="Z37" i="16" s="1"/>
  <c r="AE17" i="16" a="1"/>
  <c r="AE17" i="16" s="1"/>
  <c r="AD17" i="16" a="1"/>
  <c r="AD17" i="16" s="1"/>
  <c r="AA17" i="16" a="1"/>
  <c r="AA17" i="16" s="1"/>
  <c r="AR51" i="16"/>
  <c r="AO51" i="16"/>
  <c r="AN51" i="16"/>
  <c r="AO78" i="16"/>
  <c r="AR78" i="16"/>
  <c r="AN78" i="16"/>
  <c r="E48" i="18"/>
  <c r="F48" i="18"/>
  <c r="AN72" i="16"/>
  <c r="AO72" i="16"/>
  <c r="AR72" i="16"/>
  <c r="C87" i="18"/>
  <c r="E87" i="18"/>
  <c r="F87" i="18"/>
  <c r="E28" i="18"/>
  <c r="F28" i="18"/>
  <c r="X75" i="16"/>
  <c r="AD75" i="16" a="1"/>
  <c r="AD75" i="16" s="1"/>
  <c r="AE75" i="16" a="1"/>
  <c r="AE75" i="16" s="1"/>
  <c r="Z75" i="16" a="1"/>
  <c r="Z75" i="16" s="1"/>
  <c r="AA75" i="16" a="1"/>
  <c r="AA75" i="16" s="1"/>
  <c r="AR19" i="16"/>
  <c r="AO19" i="16"/>
  <c r="AN19" i="16"/>
  <c r="AE68" i="16" a="1"/>
  <c r="AE68" i="16" s="1"/>
  <c r="Z68" i="16" a="1"/>
  <c r="Z68" i="16" s="1"/>
  <c r="AO76" i="16"/>
  <c r="AR76" i="16"/>
  <c r="AN76" i="16"/>
  <c r="AD67" i="16" a="1"/>
  <c r="AD67" i="16" s="1"/>
  <c r="X67" i="16"/>
  <c r="X9" i="16"/>
  <c r="AD9" i="16" a="1"/>
  <c r="AD9" i="16" s="1"/>
  <c r="AA9" i="16" a="1"/>
  <c r="AA9" i="16" s="1"/>
  <c r="Z9" i="16" a="1"/>
  <c r="Z9" i="16" s="1"/>
  <c r="X53" i="16"/>
  <c r="AD53" i="16" a="1"/>
  <c r="AD53" i="16" s="1"/>
  <c r="AA53" i="16" a="1"/>
  <c r="AA53" i="16" s="1"/>
  <c r="AR79" i="16"/>
  <c r="AO79" i="16"/>
  <c r="AE59" i="16" a="1"/>
  <c r="AE59" i="16" s="1"/>
  <c r="Z59" i="16" a="1"/>
  <c r="Z59" i="16" s="1"/>
  <c r="AA59" i="16" a="1"/>
  <c r="AA59" i="16" s="1"/>
  <c r="AD59" i="16" a="1"/>
  <c r="AD59" i="16" s="1"/>
  <c r="X59" i="16"/>
  <c r="AN80" i="16"/>
  <c r="AO80" i="16"/>
  <c r="AR80" i="16"/>
  <c r="X30" i="16"/>
  <c r="AA30" i="16" a="1"/>
  <c r="AA30" i="16" s="1"/>
  <c r="AD30" i="16" a="1"/>
  <c r="AD30" i="16" s="1"/>
  <c r="C67" i="18"/>
  <c r="E67" i="18"/>
  <c r="F67" i="18"/>
  <c r="AN20" i="16"/>
  <c r="AR20" i="16"/>
  <c r="AA31" i="16" a="1"/>
  <c r="AA31" i="16" s="1"/>
  <c r="Z31" i="16" a="1"/>
  <c r="Z31" i="16" s="1"/>
  <c r="AD31" i="16" a="1"/>
  <c r="AD31" i="16" s="1"/>
  <c r="AE31" i="16" a="1"/>
  <c r="AE31" i="16" s="1"/>
  <c r="X31" i="16"/>
  <c r="AR29" i="16"/>
  <c r="AO29" i="16"/>
  <c r="AN29" i="16"/>
  <c r="C27" i="18"/>
  <c r="E27" i="18"/>
  <c r="D27" i="18" s="1"/>
  <c r="F27" i="18"/>
  <c r="AO58" i="16"/>
  <c r="AR58" i="16"/>
  <c r="AN58" i="16"/>
  <c r="AO47" i="16"/>
  <c r="AR47" i="16"/>
  <c r="AN47" i="16"/>
  <c r="E37" i="18"/>
  <c r="D37" i="18" s="1"/>
  <c r="C37" i="18"/>
  <c r="F37" i="18"/>
  <c r="I37" i="18" s="1"/>
  <c r="AN39" i="16"/>
  <c r="AR39" i="16"/>
  <c r="AO39" i="16"/>
  <c r="F83" i="18"/>
  <c r="I83" i="18" s="1"/>
  <c r="C83" i="18"/>
  <c r="E83" i="18"/>
  <c r="D83" i="18" s="1"/>
  <c r="AR49" i="16"/>
  <c r="AO49" i="16"/>
  <c r="AN49" i="16"/>
  <c r="F65" i="18"/>
  <c r="C65" i="18"/>
  <c r="D65" i="18" s="1"/>
  <c r="AO28" i="16"/>
  <c r="AR28" i="16"/>
  <c r="AN28" i="16"/>
  <c r="AA82" i="16" a="1"/>
  <c r="AA82" i="16" s="1"/>
  <c r="X82" i="16"/>
  <c r="Z82" i="16" a="1"/>
  <c r="Z82" i="16" s="1"/>
  <c r="AD82" i="16" a="1"/>
  <c r="AD82" i="16" s="1"/>
  <c r="AE82" i="16" a="1"/>
  <c r="AE82" i="16" s="1"/>
  <c r="AE64" i="16" a="1"/>
  <c r="AE64" i="16" s="1"/>
  <c r="AA64" i="16" a="1"/>
  <c r="AA64" i="16" s="1"/>
  <c r="AD64" i="16" a="1"/>
  <c r="AD64" i="16" s="1"/>
  <c r="Z64" i="16" a="1"/>
  <c r="Z64" i="16" s="1"/>
  <c r="X64" i="16"/>
  <c r="F20" i="18"/>
  <c r="I20" i="18" s="1"/>
  <c r="E20" i="18"/>
  <c r="D20" i="18" s="1"/>
  <c r="C20" i="18"/>
  <c r="AE13" i="16" a="1"/>
  <c r="AE13" i="16" s="1"/>
  <c r="X13" i="16"/>
  <c r="AD13" i="16" a="1"/>
  <c r="AD13" i="16" s="1"/>
  <c r="AA13" i="16" a="1"/>
  <c r="AA13" i="16" s="1"/>
  <c r="Z13" i="16" a="1"/>
  <c r="Z13" i="16" s="1"/>
  <c r="AD65" i="16" a="1"/>
  <c r="AD65" i="16" s="1"/>
  <c r="AE65" i="16" a="1"/>
  <c r="AE65" i="16" s="1"/>
  <c r="X65" i="16"/>
  <c r="Z65" i="16" a="1"/>
  <c r="Z65" i="16" s="1"/>
  <c r="AA65" i="16" a="1"/>
  <c r="AA65" i="16" s="1"/>
  <c r="C41" i="18"/>
  <c r="E41" i="18"/>
  <c r="F41" i="18"/>
  <c r="I41" i="18" s="1"/>
  <c r="Z24" i="16" a="1"/>
  <c r="Z24" i="16" s="1"/>
  <c r="AA24" i="16" a="1"/>
  <c r="AA24" i="16" s="1"/>
  <c r="I28" i="18"/>
  <c r="I76" i="18"/>
  <c r="F68" i="18"/>
  <c r="C17" i="18"/>
  <c r="AR25" i="16"/>
  <c r="AA35" i="16" a="1"/>
  <c r="AA35" i="16" s="1"/>
  <c r="AD35" i="16" a="1"/>
  <c r="AD35" i="16" s="1"/>
  <c r="C75" i="18"/>
  <c r="C48" i="18"/>
  <c r="C46" i="18"/>
  <c r="E46" i="18"/>
  <c r="D46" i="18" s="1"/>
  <c r="F46" i="18"/>
  <c r="I46" i="18" s="1"/>
  <c r="F59" i="18"/>
  <c r="E59" i="18"/>
  <c r="C59" i="18"/>
  <c r="AO69" i="16"/>
  <c r="AN69" i="16"/>
  <c r="AR69" i="16"/>
  <c r="C77" i="18"/>
  <c r="D77" i="18" s="1"/>
  <c r="F77" i="18"/>
  <c r="AN55" i="16"/>
  <c r="AO55" i="16"/>
  <c r="X10" i="16"/>
  <c r="C10" i="29"/>
  <c r="D10" i="29" s="1"/>
  <c r="D16" i="29" s="1"/>
  <c r="D20" i="29" s="1"/>
  <c r="AA10" i="16" a="1"/>
  <c r="AA10" i="16" s="1"/>
  <c r="AR74" i="16"/>
  <c r="AN74" i="16"/>
  <c r="AO74" i="16"/>
  <c r="AR61" i="16"/>
  <c r="AN61" i="16"/>
  <c r="AE63" i="16" a="1"/>
  <c r="AE63" i="16" s="1"/>
  <c r="AA63" i="16" a="1"/>
  <c r="AA63" i="16" s="1"/>
  <c r="AR35" i="16"/>
  <c r="AO35" i="16"/>
  <c r="AN35" i="16"/>
  <c r="E84" i="18"/>
  <c r="C84" i="18"/>
  <c r="F84" i="18"/>
  <c r="AE18" i="16" a="1"/>
  <c r="AE18" i="16" s="1"/>
  <c r="Z18" i="16" a="1"/>
  <c r="Z18" i="16" s="1"/>
  <c r="X18" i="16"/>
  <c r="AA18" i="16" a="1"/>
  <c r="AA18" i="16" s="1"/>
  <c r="AD18" i="16" a="1"/>
  <c r="AD18" i="16" s="1"/>
  <c r="Z25" i="16" a="1"/>
  <c r="Z25" i="16" s="1"/>
  <c r="AA25" i="16" a="1"/>
  <c r="AA25" i="16" s="1"/>
  <c r="AE25" i="16" a="1"/>
  <c r="AE25" i="16" s="1"/>
  <c r="X25" i="16"/>
  <c r="AD25" i="16" a="1"/>
  <c r="AD25" i="16" s="1"/>
  <c r="E43" i="18"/>
  <c r="F43" i="18"/>
  <c r="C43" i="18"/>
  <c r="E51" i="18"/>
  <c r="D51" i="18" s="1"/>
  <c r="F51" i="18"/>
  <c r="I51" i="18" s="1"/>
  <c r="C51" i="18"/>
  <c r="E86" i="18"/>
  <c r="D86" i="18" s="1"/>
  <c r="C86" i="18"/>
  <c r="F86" i="18"/>
  <c r="I86" i="18" s="1"/>
  <c r="X43" i="16"/>
  <c r="AD43" i="16" a="1"/>
  <c r="AD43" i="16" s="1"/>
  <c r="Z43" i="16" a="1"/>
  <c r="Z43" i="16" s="1"/>
  <c r="AA43" i="16" a="1"/>
  <c r="AA43" i="16" s="1"/>
  <c r="AE43" i="16" a="1"/>
  <c r="AE43" i="16" s="1"/>
  <c r="X77" i="16"/>
  <c r="Z77" i="16" a="1"/>
  <c r="Z77" i="16" s="1"/>
  <c r="AE54" i="16" a="1"/>
  <c r="AE54" i="16" s="1"/>
  <c r="X54" i="16"/>
  <c r="Z54" i="16" a="1"/>
  <c r="Z54" i="16" s="1"/>
  <c r="AA54" i="16" a="1"/>
  <c r="AA54" i="16" s="1"/>
  <c r="AD54" i="16" a="1"/>
  <c r="AD54" i="16" s="1"/>
  <c r="F78" i="18"/>
  <c r="C78" i="18"/>
  <c r="I78" i="18" s="1"/>
  <c r="C79" i="18"/>
  <c r="E79" i="18"/>
  <c r="D79" i="18" s="1"/>
  <c r="F79" i="18"/>
  <c r="AE22" i="16" a="1"/>
  <c r="AE22" i="16" s="1"/>
  <c r="AD22" i="16" a="1"/>
  <c r="AD22" i="16" s="1"/>
  <c r="AA22" i="16" a="1"/>
  <c r="AA22" i="16" s="1"/>
  <c r="AA32" i="16" a="1"/>
  <c r="AA32" i="16" s="1"/>
  <c r="X32" i="16"/>
  <c r="AD32" i="16" a="1"/>
  <c r="AD32" i="16" s="1"/>
  <c r="AE32" i="16" a="1"/>
  <c r="AE32" i="16" s="1"/>
  <c r="Z32" i="16" a="1"/>
  <c r="Z32" i="16" s="1"/>
  <c r="C33" i="18"/>
  <c r="E33" i="18"/>
  <c r="F33" i="18"/>
  <c r="I33" i="18" s="1"/>
  <c r="X16" i="16"/>
  <c r="AE16" i="16" a="1"/>
  <c r="AE16" i="16" s="1"/>
  <c r="AR68" i="16"/>
  <c r="AN68" i="16"/>
  <c r="C30" i="18"/>
  <c r="E30" i="18"/>
  <c r="D30" i="18" s="1"/>
  <c r="F30" i="18"/>
  <c r="I30" i="18" s="1"/>
  <c r="AO9" i="16"/>
  <c r="AR9" i="16"/>
  <c r="AN9" i="16"/>
  <c r="F47" i="18"/>
  <c r="C47" i="18"/>
  <c r="E47" i="18"/>
  <c r="E8" i="18"/>
  <c r="D8" i="18" s="1"/>
  <c r="C8" i="18"/>
  <c r="F8" i="18"/>
  <c r="I8" i="18" s="1"/>
  <c r="AD38" i="16" a="1"/>
  <c r="AD38" i="16" s="1"/>
  <c r="AA38" i="16" a="1"/>
  <c r="AA38" i="16" s="1"/>
  <c r="X38" i="16"/>
  <c r="AR56" i="16"/>
  <c r="AN56" i="16"/>
  <c r="AO56" i="16"/>
  <c r="C34" i="18"/>
  <c r="D34" i="18" s="1"/>
  <c r="F34" i="18"/>
  <c r="I34" i="18" s="1"/>
  <c r="AR30" i="16"/>
  <c r="AN30" i="16"/>
  <c r="AO30" i="16"/>
  <c r="Z40" i="16" a="1"/>
  <c r="Z40" i="16" s="1"/>
  <c r="X40" i="16"/>
  <c r="AA40" i="16" a="1"/>
  <c r="AA40" i="16" s="1"/>
  <c r="F81" i="18"/>
  <c r="I81" i="18" s="1"/>
  <c r="E81" i="18"/>
  <c r="D81" i="18" s="1"/>
  <c r="C81" i="18"/>
  <c r="AA33" i="16" a="1"/>
  <c r="AA33" i="16" s="1"/>
  <c r="X33" i="16"/>
  <c r="AD33" i="16" a="1"/>
  <c r="AD33" i="16" s="1"/>
  <c r="C3" i="18"/>
  <c r="F3" i="18"/>
  <c r="I3" i="18" s="1"/>
  <c r="E3" i="18"/>
  <c r="D3" i="18" s="1"/>
  <c r="E60" i="18"/>
  <c r="D60" i="18" s="1"/>
  <c r="C60" i="18"/>
  <c r="F60" i="18"/>
  <c r="I60" i="18" s="1"/>
  <c r="C21" i="18"/>
  <c r="F21" i="18"/>
  <c r="I21" i="18" s="1"/>
  <c r="E21" i="18"/>
  <c r="E63" i="18"/>
  <c r="F63" i="18"/>
  <c r="C63" i="18"/>
  <c r="C119" i="18" s="1"/>
  <c r="X49" i="16"/>
  <c r="AA49" i="16" a="1"/>
  <c r="AA49" i="16" s="1"/>
  <c r="Z49" i="16" a="1"/>
  <c r="Z49" i="16" s="1"/>
  <c r="AE49" i="16" a="1"/>
  <c r="AE49" i="16" s="1"/>
  <c r="AD49" i="16" a="1"/>
  <c r="AD49" i="16" s="1"/>
  <c r="E93" i="18"/>
  <c r="D93" i="18" s="1"/>
  <c r="C93" i="18"/>
  <c r="F93" i="18"/>
  <c r="I93" i="18" s="1"/>
  <c r="AR81" i="16"/>
  <c r="AN81" i="16"/>
  <c r="AO81" i="16"/>
  <c r="AR14" i="16"/>
  <c r="AO14" i="16"/>
  <c r="AN14" i="16"/>
  <c r="F38" i="18"/>
  <c r="I38" i="18" s="1"/>
  <c r="E38" i="18"/>
  <c r="D38" i="18" s="1"/>
  <c r="C38" i="18"/>
  <c r="AR13" i="16"/>
  <c r="AN13" i="16"/>
  <c r="AO13" i="16"/>
  <c r="AA44" i="16" a="1"/>
  <c r="AA44" i="16" s="1"/>
  <c r="AD44" i="16" a="1"/>
  <c r="AD44" i="16" s="1"/>
  <c r="X44" i="16"/>
  <c r="AO24" i="16"/>
  <c r="AN24" i="16"/>
  <c r="AR24" i="16"/>
  <c r="AR129" i="17"/>
  <c r="W129" i="17" s="1"/>
  <c r="AR83" i="17"/>
  <c r="W83" i="17" s="1"/>
  <c r="AR128" i="17"/>
  <c r="W128" i="17" s="1"/>
  <c r="AR107" i="17"/>
  <c r="AY107" i="17" s="1"/>
  <c r="AR92" i="17"/>
  <c r="AY92" i="17" s="1"/>
  <c r="AR78" i="17"/>
  <c r="AY78" i="17" s="1"/>
  <c r="AR87" i="17"/>
  <c r="W87" i="17" s="1"/>
  <c r="AR37" i="17"/>
  <c r="W37" i="17" s="1"/>
  <c r="BG37" i="17" s="1"/>
  <c r="AR103" i="17"/>
  <c r="AY103" i="17" s="1"/>
  <c r="AR118" i="17"/>
  <c r="AY118" i="17" s="1"/>
  <c r="AR25" i="17"/>
  <c r="AY25" i="17" s="1"/>
  <c r="AR101" i="17"/>
  <c r="W101" i="17" s="1"/>
  <c r="BG101" i="17" s="1"/>
  <c r="AR126" i="17"/>
  <c r="AY126" i="17" s="1"/>
  <c r="AR33" i="17"/>
  <c r="AY33" i="17" s="1"/>
  <c r="AR97" i="17"/>
  <c r="W97" i="17" s="1"/>
  <c r="AR40" i="17"/>
  <c r="W40" i="17" s="1"/>
  <c r="AD40" i="17" s="1"/>
  <c r="AR85" i="17"/>
  <c r="W85" i="17" s="1"/>
  <c r="AR121" i="17"/>
  <c r="AY121" i="17" s="1"/>
  <c r="AR113" i="17"/>
  <c r="AY113" i="17" s="1"/>
  <c r="AR73" i="17"/>
  <c r="AY73" i="17" s="1"/>
  <c r="AR65" i="17"/>
  <c r="AR67" i="17"/>
  <c r="W67" i="17" s="1"/>
  <c r="AR55" i="17"/>
  <c r="AR58" i="17"/>
  <c r="W58" i="17" s="1"/>
  <c r="AR48" i="17"/>
  <c r="AR47" i="17"/>
  <c r="AY47" i="17" s="1"/>
  <c r="AR49" i="17"/>
  <c r="AR100" i="17"/>
  <c r="AY100" i="17" s="1"/>
  <c r="AR32" i="17"/>
  <c r="W32" i="17" s="1"/>
  <c r="AR93" i="17"/>
  <c r="AY93" i="17" s="1"/>
  <c r="AR115" i="17"/>
  <c r="W115" i="17" s="1"/>
  <c r="AR102" i="17"/>
  <c r="AY102" i="17" s="1"/>
  <c r="AR21" i="17"/>
  <c r="W21" i="17" s="1"/>
  <c r="AR34" i="17"/>
  <c r="AY34" i="17" s="1"/>
  <c r="AR36" i="17"/>
  <c r="AY36" i="17" s="1"/>
  <c r="AR76" i="17"/>
  <c r="W76" i="17" s="1"/>
  <c r="AD76" i="17" s="1"/>
  <c r="AR27" i="17"/>
  <c r="W27" i="17" s="1"/>
  <c r="AR28" i="17"/>
  <c r="W28" i="17" s="1"/>
  <c r="AR79" i="17"/>
  <c r="W79" i="17" s="1"/>
  <c r="AR124" i="17"/>
  <c r="AY124" i="17" s="1"/>
  <c r="AR35" i="17"/>
  <c r="W35" i="17" s="1"/>
  <c r="AR106" i="17"/>
  <c r="W106" i="17" s="1"/>
  <c r="AR24" i="17"/>
  <c r="AY24" i="17" s="1"/>
  <c r="AR98" i="17"/>
  <c r="AY98" i="17" s="1"/>
  <c r="AR105" i="17"/>
  <c r="AY105" i="17" s="1"/>
  <c r="AR99" i="17"/>
  <c r="AY99" i="17" s="1"/>
  <c r="AR43" i="17"/>
  <c r="AR75" i="17"/>
  <c r="AY75" i="17" s="1"/>
  <c r="AR41" i="17"/>
  <c r="AR74" i="17"/>
  <c r="AY74" i="17" s="1"/>
  <c r="AR59" i="17"/>
  <c r="AR57" i="17"/>
  <c r="W57" i="17" s="1"/>
  <c r="AR51" i="17"/>
  <c r="W51" i="17" s="1"/>
  <c r="AR60" i="17"/>
  <c r="AR53" i="17"/>
  <c r="AR80" i="17"/>
  <c r="AY80" i="17" s="1"/>
  <c r="AR31" i="17"/>
  <c r="AY31" i="17" s="1"/>
  <c r="AR23" i="17"/>
  <c r="W23" i="17" s="1"/>
  <c r="AR114" i="17"/>
  <c r="AY114" i="17" s="1"/>
  <c r="AR117" i="17"/>
  <c r="AY117" i="17" s="1"/>
  <c r="AR38" i="17"/>
  <c r="W38" i="17" s="1"/>
  <c r="AR91" i="17"/>
  <c r="W91" i="17" s="1"/>
  <c r="AR112" i="17"/>
  <c r="AY112" i="17" s="1"/>
  <c r="AR127" i="17"/>
  <c r="AY127" i="17" s="1"/>
  <c r="AR104" i="17"/>
  <c r="AY104" i="17" s="1"/>
  <c r="AR111" i="17"/>
  <c r="AY111" i="17" s="1"/>
  <c r="AR22" i="17"/>
  <c r="AY22" i="17" s="1"/>
  <c r="AR122" i="17"/>
  <c r="AY122" i="17" s="1"/>
  <c r="AR77" i="17"/>
  <c r="W77" i="17" s="1"/>
  <c r="AR30" i="17"/>
  <c r="W30" i="17" s="1"/>
  <c r="AR96" i="17"/>
  <c r="AY96" i="17" s="1"/>
  <c r="AR109" i="17"/>
  <c r="W109" i="17" s="1"/>
  <c r="BG109" i="17" s="1"/>
  <c r="AR20" i="17"/>
  <c r="AY20" i="17" s="1"/>
  <c r="AR39" i="17"/>
  <c r="AY39" i="17" s="1"/>
  <c r="AR42" i="17"/>
  <c r="AR69" i="17"/>
  <c r="W69" i="17" s="1"/>
  <c r="AR68" i="17"/>
  <c r="AR66" i="17"/>
  <c r="AR62" i="17"/>
  <c r="AR52" i="17"/>
  <c r="W52" i="17" s="1"/>
  <c r="AR63" i="17"/>
  <c r="W63" i="17" s="1"/>
  <c r="AR46" i="17"/>
  <c r="AR45" i="17"/>
  <c r="F11" i="17"/>
  <c r="AT15" i="17" s="1"/>
  <c r="AP19" i="17"/>
  <c r="U19" i="17" s="1"/>
  <c r="D11" i="17"/>
  <c r="D62" i="18"/>
  <c r="D28" i="18"/>
  <c r="D49" i="18"/>
  <c r="AP32" i="17"/>
  <c r="AP124" i="17"/>
  <c r="AW124" i="17" s="1"/>
  <c r="D64" i="18"/>
  <c r="I57" i="18"/>
  <c r="I62" i="18"/>
  <c r="AA7" i="16"/>
  <c r="AP80" i="17"/>
  <c r="AW80" i="17" s="1"/>
  <c r="AP78" i="17"/>
  <c r="AW78" i="17" s="1"/>
  <c r="AP109" i="17"/>
  <c r="U109" i="17" s="1"/>
  <c r="AR7" i="16"/>
  <c r="AP108" i="17"/>
  <c r="AW108" i="17" s="1"/>
  <c r="AP123" i="17"/>
  <c r="U123" i="17" s="1"/>
  <c r="BE123" i="17" s="1"/>
  <c r="AP99" i="17"/>
  <c r="AW99" i="17" s="1"/>
  <c r="AP97" i="17"/>
  <c r="U97" i="17" s="1"/>
  <c r="BE97" i="17" s="1"/>
  <c r="AP34" i="17"/>
  <c r="U34" i="17" s="1"/>
  <c r="AE7" i="16"/>
  <c r="AP77" i="17"/>
  <c r="U77" i="17" s="1"/>
  <c r="AP24" i="17"/>
  <c r="U24" i="17" s="1"/>
  <c r="AB24" i="17" s="1"/>
  <c r="AP105" i="17"/>
  <c r="AW105" i="17" s="1"/>
  <c r="E119" i="18"/>
  <c r="AP106" i="17"/>
  <c r="AW106" i="17" s="1"/>
  <c r="AP33" i="17"/>
  <c r="U33" i="17" s="1"/>
  <c r="BE33" i="17" s="1"/>
  <c r="AP126" i="17"/>
  <c r="U126" i="17" s="1"/>
  <c r="AP104" i="17"/>
  <c r="AW104" i="17" s="1"/>
  <c r="AP107" i="17"/>
  <c r="U107" i="17" s="1"/>
  <c r="AP110" i="17"/>
  <c r="AP128" i="17"/>
  <c r="AP87" i="17"/>
  <c r="AW87" i="17" s="1"/>
  <c r="AP95" i="17"/>
  <c r="AW95" i="17" s="1"/>
  <c r="AP121" i="17"/>
  <c r="AW121" i="17" s="1"/>
  <c r="AP28" i="17"/>
  <c r="U28" i="17" s="1"/>
  <c r="AP85" i="17"/>
  <c r="U85" i="17" s="1"/>
  <c r="BE85" i="17" s="1"/>
  <c r="AP82" i="17"/>
  <c r="AW82" i="17" s="1"/>
  <c r="AP73" i="17"/>
  <c r="AW73" i="17" s="1"/>
  <c r="X7" i="16"/>
  <c r="AQ45" i="17"/>
  <c r="AT45" i="17" s="1"/>
  <c r="AQ50" i="17"/>
  <c r="AQ60" i="17"/>
  <c r="AQ61" i="17"/>
  <c r="AQ47" i="17"/>
  <c r="AQ43" i="17"/>
  <c r="AQ42" i="17"/>
  <c r="AQ71" i="17"/>
  <c r="AQ117" i="17"/>
  <c r="AQ115" i="17"/>
  <c r="AQ27" i="17"/>
  <c r="AQ102" i="17"/>
  <c r="AQ23" i="17"/>
  <c r="AQ76" i="17"/>
  <c r="AQ109" i="17"/>
  <c r="AQ19" i="17"/>
  <c r="AQ125" i="17"/>
  <c r="AQ116" i="17"/>
  <c r="AQ22" i="17"/>
  <c r="AQ30" i="17"/>
  <c r="AQ127" i="17"/>
  <c r="AQ97" i="17"/>
  <c r="AQ123" i="17"/>
  <c r="AQ83" i="17"/>
  <c r="AQ112" i="17"/>
  <c r="AQ110" i="17"/>
  <c r="AQ91" i="17"/>
  <c r="AQ95" i="17"/>
  <c r="AT95" i="17" s="1"/>
  <c r="AQ100" i="17"/>
  <c r="AQ94" i="17"/>
  <c r="AQ96" i="17"/>
  <c r="AQ82" i="17"/>
  <c r="AQ77" i="17"/>
  <c r="AQ111" i="17"/>
  <c r="AQ20" i="17"/>
  <c r="AQ78" i="17"/>
  <c r="AQ79" i="17"/>
  <c r="AQ80" i="17"/>
  <c r="AQ85" i="17"/>
  <c r="AQ21" i="17"/>
  <c r="AQ92" i="17"/>
  <c r="AQ99" i="17"/>
  <c r="AQ25" i="17"/>
  <c r="AQ34" i="17"/>
  <c r="AQ33" i="17"/>
  <c r="AQ58" i="17"/>
  <c r="AQ51" i="17"/>
  <c r="AQ53" i="17"/>
  <c r="AQ54" i="17"/>
  <c r="AQ49" i="17"/>
  <c r="AQ46" i="17"/>
  <c r="AQ69" i="17"/>
  <c r="AQ41" i="17"/>
  <c r="AQ73" i="17"/>
  <c r="AQ128" i="17"/>
  <c r="AT128" i="17" s="1"/>
  <c r="AQ55" i="17"/>
  <c r="AQ64" i="17"/>
  <c r="AQ66" i="17"/>
  <c r="AQ68" i="17"/>
  <c r="AQ87" i="17"/>
  <c r="AQ126" i="17"/>
  <c r="AT126" i="17" s="1"/>
  <c r="AQ114" i="17"/>
  <c r="AQ122" i="17"/>
  <c r="AQ37" i="17"/>
  <c r="AQ113" i="17"/>
  <c r="AQ98" i="17"/>
  <c r="AQ39" i="17"/>
  <c r="AQ89" i="17"/>
  <c r="AQ38" i="17"/>
  <c r="AQ101" i="17"/>
  <c r="AQ121" i="17"/>
  <c r="AQ81" i="17"/>
  <c r="AQ118" i="17"/>
  <c r="AQ29" i="17"/>
  <c r="AQ35" i="17"/>
  <c r="AQ120" i="17"/>
  <c r="AQ48" i="17"/>
  <c r="AQ56" i="17"/>
  <c r="AQ67" i="17"/>
  <c r="AQ74" i="17"/>
  <c r="AQ28" i="17"/>
  <c r="AT28" i="17" s="1"/>
  <c r="AQ108" i="17"/>
  <c r="AQ86" i="17"/>
  <c r="AQ40" i="17"/>
  <c r="AQ24" i="17"/>
  <c r="AQ90" i="17"/>
  <c r="AQ31" i="17"/>
  <c r="AQ119" i="17"/>
  <c r="AQ124" i="17"/>
  <c r="AQ106" i="17"/>
  <c r="AQ88" i="17"/>
  <c r="AQ36" i="17"/>
  <c r="AQ103" i="17"/>
  <c r="AQ104" i="17"/>
  <c r="AQ105" i="17"/>
  <c r="AT105" i="17" s="1"/>
  <c r="AQ93" i="17"/>
  <c r="AQ52" i="17"/>
  <c r="AQ44" i="17"/>
  <c r="AQ62" i="17"/>
  <c r="AQ72" i="17"/>
  <c r="AQ75" i="17"/>
  <c r="AQ32" i="17"/>
  <c r="AQ129" i="17"/>
  <c r="AQ26" i="17"/>
  <c r="AQ84" i="17"/>
  <c r="AQ63" i="17"/>
  <c r="AQ57" i="17"/>
  <c r="AQ59" i="17"/>
  <c r="AQ70" i="17"/>
  <c r="AQ65" i="17"/>
  <c r="AQ107" i="17"/>
  <c r="I68" i="18"/>
  <c r="AP27" i="17"/>
  <c r="AW27" i="17" s="1"/>
  <c r="C16" i="29"/>
  <c r="C20" i="29" s="1"/>
  <c r="C21" i="29" s="1"/>
  <c r="AP72" i="17"/>
  <c r="D26" i="18"/>
  <c r="AP42" i="17"/>
  <c r="AP62" i="17"/>
  <c r="AW62" i="17" s="1"/>
  <c r="AP44" i="17"/>
  <c r="AW44" i="17" s="1"/>
  <c r="AP84" i="17"/>
  <c r="U84" i="17" s="1"/>
  <c r="BE84" i="17" s="1"/>
  <c r="AP112" i="17"/>
  <c r="AW112" i="17" s="1"/>
  <c r="AP79" i="17"/>
  <c r="U79" i="17" s="1"/>
  <c r="AP81" i="17"/>
  <c r="U81" i="17" s="1"/>
  <c r="AP111" i="17"/>
  <c r="U111" i="17" s="1"/>
  <c r="BE111" i="17" s="1"/>
  <c r="AP93" i="17"/>
  <c r="AW93" i="17" s="1"/>
  <c r="AP23" i="17"/>
  <c r="U23" i="17" s="1"/>
  <c r="BE23" i="17" s="1"/>
  <c r="AP25" i="17"/>
  <c r="U25" i="17" s="1"/>
  <c r="AB25" i="17" s="1"/>
  <c r="AP35" i="17"/>
  <c r="AW35" i="17" s="1"/>
  <c r="AP39" i="17"/>
  <c r="AW39" i="17" s="1"/>
  <c r="AP119" i="17"/>
  <c r="AW119" i="17" s="1"/>
  <c r="AP115" i="17"/>
  <c r="U115" i="17" s="1"/>
  <c r="AP96" i="17"/>
  <c r="AP40" i="17"/>
  <c r="AW40" i="17" s="1"/>
  <c r="AP129" i="17"/>
  <c r="AW129" i="17" s="1"/>
  <c r="AP98" i="17"/>
  <c r="U98" i="17" s="1"/>
  <c r="AP125" i="17"/>
  <c r="U125" i="17" s="1"/>
  <c r="BE125" i="17" s="1"/>
  <c r="AP30" i="17"/>
  <c r="AW30" i="17" s="1"/>
  <c r="AP103" i="17"/>
  <c r="AW103" i="17" s="1"/>
  <c r="AP71" i="17"/>
  <c r="U71" i="17" s="1"/>
  <c r="AP68" i="17"/>
  <c r="AP67" i="17"/>
  <c r="U67" i="17" s="1"/>
  <c r="AP70" i="17"/>
  <c r="U70" i="17" s="1"/>
  <c r="AP48" i="17"/>
  <c r="AW48" i="17" s="1"/>
  <c r="AP63" i="17"/>
  <c r="U63" i="17" s="1"/>
  <c r="AP88" i="17"/>
  <c r="AW88" i="17" s="1"/>
  <c r="AP122" i="17"/>
  <c r="U122" i="17" s="1"/>
  <c r="BE122" i="17" s="1"/>
  <c r="AP101" i="17"/>
  <c r="U101" i="17" s="1"/>
  <c r="AP100" i="17"/>
  <c r="AP114" i="17"/>
  <c r="AW114" i="17" s="1"/>
  <c r="AP89" i="17"/>
  <c r="AW89" i="17" s="1"/>
  <c r="AP83" i="17"/>
  <c r="U83" i="17" s="1"/>
  <c r="AP102" i="17"/>
  <c r="AW102" i="17" s="1"/>
  <c r="AP29" i="17"/>
  <c r="AW29" i="17" s="1"/>
  <c r="AP127" i="17"/>
  <c r="U127" i="17" s="1"/>
  <c r="BE127" i="17" s="1"/>
  <c r="AP118" i="17"/>
  <c r="U118" i="17" s="1"/>
  <c r="AP37" i="17"/>
  <c r="AW37" i="17" s="1"/>
  <c r="AP91" i="17"/>
  <c r="AW91" i="17" s="1"/>
  <c r="AP116" i="17"/>
  <c r="AW116" i="17" s="1"/>
  <c r="AP26" i="17"/>
  <c r="AW26" i="17" s="1"/>
  <c r="AP94" i="17"/>
  <c r="U94" i="17" s="1"/>
  <c r="AB94" i="17" s="1"/>
  <c r="AP31" i="17"/>
  <c r="U31" i="17" s="1"/>
  <c r="BE31" i="17" s="1"/>
  <c r="AP21" i="17"/>
  <c r="AW21" i="17" s="1"/>
  <c r="AP65" i="17"/>
  <c r="U65" i="17" s="1"/>
  <c r="AP43" i="17"/>
  <c r="U43" i="17" s="1"/>
  <c r="AP41" i="17"/>
  <c r="AW41" i="17" s="1"/>
  <c r="AP54" i="17"/>
  <c r="U54" i="17" s="1"/>
  <c r="AP61" i="17"/>
  <c r="AW61" i="17" s="1"/>
  <c r="AP64" i="17"/>
  <c r="AW64" i="17" s="1"/>
  <c r="AP113" i="17"/>
  <c r="U113" i="17" s="1"/>
  <c r="BE113" i="17" s="1"/>
  <c r="AP90" i="17"/>
  <c r="U90" i="17" s="1"/>
  <c r="BE90" i="17" s="1"/>
  <c r="AP120" i="17"/>
  <c r="AW120" i="17" s="1"/>
  <c r="AP36" i="17"/>
  <c r="U36" i="17" s="1"/>
  <c r="AB36" i="17" s="1"/>
  <c r="AP86" i="17"/>
  <c r="AW86" i="17" s="1"/>
  <c r="AP76" i="17"/>
  <c r="AW76" i="17" s="1"/>
  <c r="AP22" i="17"/>
  <c r="U22" i="17" s="1"/>
  <c r="AP92" i="17"/>
  <c r="U92" i="17" s="1"/>
  <c r="AB92" i="17" s="1"/>
  <c r="AP38" i="17"/>
  <c r="AW38" i="17" s="1"/>
  <c r="AP117" i="17"/>
  <c r="U117" i="17" s="1"/>
  <c r="AB117" i="17" s="1"/>
  <c r="AP20" i="17"/>
  <c r="U20" i="17" s="1"/>
  <c r="BE20" i="17" s="1"/>
  <c r="AP66" i="17"/>
  <c r="U66" i="17" s="1"/>
  <c r="AP75" i="17"/>
  <c r="AW75" i="17" s="1"/>
  <c r="AP74" i="17"/>
  <c r="AW74" i="17" s="1"/>
  <c r="AP52" i="17"/>
  <c r="U52" i="17" s="1"/>
  <c r="AP50" i="17"/>
  <c r="AW50" i="17" s="1"/>
  <c r="AP59" i="17"/>
  <c r="AP58" i="17"/>
  <c r="AP56" i="17"/>
  <c r="U56" i="17" s="1"/>
  <c r="AP53" i="17"/>
  <c r="U53" i="17" s="1"/>
  <c r="AP46" i="17"/>
  <c r="AP51" i="17"/>
  <c r="AT51" i="17" s="1"/>
  <c r="AP55" i="17"/>
  <c r="AW55" i="17" s="1"/>
  <c r="AP60" i="17"/>
  <c r="AW60" i="17" s="1"/>
  <c r="AP49" i="17"/>
  <c r="AW49" i="17" s="1"/>
  <c r="AP47" i="17"/>
  <c r="AW47" i="17" s="1"/>
  <c r="AP57" i="17"/>
  <c r="AW92" i="17"/>
  <c r="W88" i="17"/>
  <c r="AD88" i="17" s="1"/>
  <c r="W84" i="17"/>
  <c r="BG84" i="17" s="1"/>
  <c r="AT99" i="17"/>
  <c r="AT120" i="17"/>
  <c r="W24" i="17"/>
  <c r="W124" i="17"/>
  <c r="BG124" i="17" s="1"/>
  <c r="U106" i="17"/>
  <c r="AB106" i="17" s="1"/>
  <c r="AW115" i="17"/>
  <c r="AY82" i="17"/>
  <c r="W78" i="17"/>
  <c r="BG78" i="17" s="1"/>
  <c r="AY62" i="17"/>
  <c r="W62" i="17"/>
  <c r="AY52" i="17"/>
  <c r="AY63" i="17"/>
  <c r="AY46" i="17"/>
  <c r="W46" i="17"/>
  <c r="AY45" i="17"/>
  <c r="W45" i="17"/>
  <c r="W61" i="17"/>
  <c r="AY61" i="17"/>
  <c r="U61" i="17"/>
  <c r="U44" i="17"/>
  <c r="AZ62" i="17"/>
  <c r="X62" i="17"/>
  <c r="AE62" i="17" s="1"/>
  <c r="AZ58" i="17"/>
  <c r="X58" i="17"/>
  <c r="AE58" i="17" s="1"/>
  <c r="AZ57" i="17"/>
  <c r="X57" i="17"/>
  <c r="AE57" i="17" s="1"/>
  <c r="X50" i="17"/>
  <c r="AE50" i="17" s="1"/>
  <c r="AZ50" i="17"/>
  <c r="AZ63" i="17"/>
  <c r="X63" i="17"/>
  <c r="AE63" i="17" s="1"/>
  <c r="AY54" i="17"/>
  <c r="W54" i="17"/>
  <c r="AY44" i="17"/>
  <c r="W44" i="17"/>
  <c r="AY50" i="17"/>
  <c r="W50" i="17"/>
  <c r="AY56" i="17"/>
  <c r="W56" i="17"/>
  <c r="AY64" i="17"/>
  <c r="W64" i="17"/>
  <c r="X59" i="17"/>
  <c r="AE59" i="17" s="1"/>
  <c r="AZ59" i="17"/>
  <c r="AZ51" i="17"/>
  <c r="X51" i="17"/>
  <c r="AE51" i="17" s="1"/>
  <c r="AZ44" i="17"/>
  <c r="X44" i="17"/>
  <c r="AE44" i="17" s="1"/>
  <c r="AZ55" i="17"/>
  <c r="X55" i="17"/>
  <c r="AE55" i="17" s="1"/>
  <c r="AZ48" i="17"/>
  <c r="X48" i="17"/>
  <c r="AE48" i="17" s="1"/>
  <c r="AY55" i="17"/>
  <c r="W55" i="17"/>
  <c r="W48" i="17"/>
  <c r="AY48" i="17"/>
  <c r="W47" i="17"/>
  <c r="W49" i="17"/>
  <c r="AY49" i="17"/>
  <c r="U48" i="17"/>
  <c r="AZ54" i="17"/>
  <c r="X54" i="17"/>
  <c r="AE54" i="17" s="1"/>
  <c r="AZ52" i="17"/>
  <c r="X52" i="17"/>
  <c r="AE52" i="17" s="1"/>
  <c r="AZ45" i="17"/>
  <c r="X45" i="17"/>
  <c r="AE45" i="17" s="1"/>
  <c r="AZ64" i="17"/>
  <c r="X64" i="17"/>
  <c r="AE64" i="17" s="1"/>
  <c r="AZ47" i="17"/>
  <c r="X47" i="17"/>
  <c r="AE47" i="17" s="1"/>
  <c r="AY59" i="17"/>
  <c r="W59" i="17"/>
  <c r="AY57" i="17"/>
  <c r="AY51" i="17"/>
  <c r="AY60" i="17"/>
  <c r="W60" i="17"/>
  <c r="AY53" i="17"/>
  <c r="W53" i="17"/>
  <c r="U57" i="17"/>
  <c r="AW45" i="17"/>
  <c r="U45" i="17"/>
  <c r="AZ56" i="17"/>
  <c r="X56" i="17"/>
  <c r="AE56" i="17" s="1"/>
  <c r="AZ49" i="17"/>
  <c r="X49" i="17"/>
  <c r="AE49" i="17" s="1"/>
  <c r="X61" i="17"/>
  <c r="AE61" i="17" s="1"/>
  <c r="AZ61" i="17"/>
  <c r="AZ53" i="17"/>
  <c r="X53" i="17"/>
  <c r="AE53" i="17" s="1"/>
  <c r="AZ46" i="17"/>
  <c r="X46" i="17"/>
  <c r="AE46" i="17" s="1"/>
  <c r="AZ60" i="17"/>
  <c r="X60" i="17"/>
  <c r="AE60" i="17" s="1"/>
  <c r="U108" i="17"/>
  <c r="BE108" i="17" s="1"/>
  <c r="AW32" i="17"/>
  <c r="U78" i="17"/>
  <c r="BE78" i="17" s="1"/>
  <c r="U87" i="17"/>
  <c r="BE87" i="17" s="1"/>
  <c r="AY115" i="17"/>
  <c r="U32" i="17"/>
  <c r="W96" i="17"/>
  <c r="BG96" i="17" s="1"/>
  <c r="U80" i="17"/>
  <c r="AB80" i="17" s="1"/>
  <c r="AY43" i="17"/>
  <c r="W43" i="17"/>
  <c r="AY41" i="17"/>
  <c r="W41" i="17"/>
  <c r="AZ65" i="17"/>
  <c r="X65" i="17"/>
  <c r="AE65" i="17" s="1"/>
  <c r="AY72" i="17"/>
  <c r="W72" i="17"/>
  <c r="W70" i="17"/>
  <c r="AY70" i="17"/>
  <c r="W71" i="17"/>
  <c r="AY71" i="17"/>
  <c r="AZ41" i="17"/>
  <c r="X41" i="17"/>
  <c r="AE41" i="17" s="1"/>
  <c r="AZ42" i="17"/>
  <c r="X42" i="17"/>
  <c r="AE42" i="17" s="1"/>
  <c r="AZ69" i="17"/>
  <c r="X69" i="17"/>
  <c r="AE69" i="17" s="1"/>
  <c r="AZ71" i="17"/>
  <c r="X71" i="17"/>
  <c r="AE71" i="17" s="1"/>
  <c r="W105" i="17"/>
  <c r="BG105" i="17" s="1"/>
  <c r="AW126" i="17"/>
  <c r="W22" i="17"/>
  <c r="AD22" i="17" s="1"/>
  <c r="W39" i="17"/>
  <c r="BG39" i="17" s="1"/>
  <c r="U89" i="17"/>
  <c r="BE89" i="17" s="1"/>
  <c r="W65" i="17"/>
  <c r="AY65" i="17"/>
  <c r="AY67" i="17"/>
  <c r="AZ75" i="17"/>
  <c r="X75" i="17"/>
  <c r="AE75" i="17" s="1"/>
  <c r="X66" i="17"/>
  <c r="AE66" i="17" s="1"/>
  <c r="AZ66" i="17"/>
  <c r="AZ43" i="17"/>
  <c r="X43" i="17"/>
  <c r="AE43" i="17" s="1"/>
  <c r="AW69" i="17"/>
  <c r="U69" i="17"/>
  <c r="U72" i="17"/>
  <c r="AW72" i="17"/>
  <c r="AT72" i="17"/>
  <c r="W74" i="17"/>
  <c r="AZ68" i="17"/>
  <c r="X68" i="17"/>
  <c r="AE68" i="17" s="1"/>
  <c r="AZ74" i="17"/>
  <c r="X74" i="17"/>
  <c r="AE74" i="17" s="1"/>
  <c r="AW71" i="17"/>
  <c r="AW70" i="17"/>
  <c r="AY35" i="17"/>
  <c r="AY42" i="17"/>
  <c r="W42" i="17"/>
  <c r="W68" i="17"/>
  <c r="AY68" i="17"/>
  <c r="AY66" i="17"/>
  <c r="W66" i="17"/>
  <c r="X72" i="17"/>
  <c r="AE72" i="17" s="1"/>
  <c r="AZ72" i="17"/>
  <c r="AZ73" i="17"/>
  <c r="X73" i="17"/>
  <c r="AE73" i="17" s="1"/>
  <c r="AZ67" i="17"/>
  <c r="X67" i="17"/>
  <c r="AE67" i="17" s="1"/>
  <c r="AZ70" i="17"/>
  <c r="X70" i="17"/>
  <c r="AE70" i="17" s="1"/>
  <c r="AW65" i="17"/>
  <c r="AY27" i="17"/>
  <c r="W26" i="17"/>
  <c r="BG26" i="17" s="1"/>
  <c r="AY91" i="17"/>
  <c r="W103" i="17"/>
  <c r="AD103" i="17" s="1"/>
  <c r="U105" i="17"/>
  <c r="BE105" i="17" s="1"/>
  <c r="U27" i="17"/>
  <c r="BE27" i="17" s="1"/>
  <c r="AY120" i="17"/>
  <c r="AY128" i="17"/>
  <c r="AY101" i="17"/>
  <c r="U128" i="17"/>
  <c r="AB128" i="17" s="1"/>
  <c r="AY85" i="17"/>
  <c r="AY77" i="17"/>
  <c r="AT19" i="17"/>
  <c r="AW28" i="17"/>
  <c r="AT82" i="17"/>
  <c r="AY106" i="17"/>
  <c r="AW83" i="17"/>
  <c r="W108" i="17"/>
  <c r="BG108" i="17" s="1"/>
  <c r="W119" i="17"/>
  <c r="BG119" i="17" s="1"/>
  <c r="AW19" i="17"/>
  <c r="AW34" i="17"/>
  <c r="AY30" i="17"/>
  <c r="W110" i="17"/>
  <c r="BG110" i="17" s="1"/>
  <c r="W104" i="17"/>
  <c r="AD104" i="17" s="1"/>
  <c r="AY83" i="17"/>
  <c r="AY94" i="17"/>
  <c r="AY129" i="17"/>
  <c r="AY38" i="17"/>
  <c r="AY81" i="17"/>
  <c r="W20" i="17"/>
  <c r="BG20" i="17" s="1"/>
  <c r="U95" i="17"/>
  <c r="AB95" i="17" s="1"/>
  <c r="AY37" i="17"/>
  <c r="W95" i="17"/>
  <c r="AD95" i="17" s="1"/>
  <c r="W89" i="17"/>
  <c r="AD89" i="17" s="1"/>
  <c r="AY86" i="17"/>
  <c r="AW128" i="17"/>
  <c r="W92" i="17"/>
  <c r="BG92" i="17" s="1"/>
  <c r="X35" i="17"/>
  <c r="AE35" i="17" s="1"/>
  <c r="AZ35" i="17"/>
  <c r="AZ31" i="17"/>
  <c r="X31" i="17"/>
  <c r="AE31" i="17" s="1"/>
  <c r="AZ93" i="17"/>
  <c r="X93" i="17"/>
  <c r="AE93" i="17" s="1"/>
  <c r="AZ36" i="17"/>
  <c r="X36" i="17"/>
  <c r="AE36" i="17" s="1"/>
  <c r="AZ86" i="17"/>
  <c r="X86" i="17"/>
  <c r="AE86" i="17" s="1"/>
  <c r="AZ80" i="17"/>
  <c r="X80" i="17"/>
  <c r="AE80" i="17" s="1"/>
  <c r="AZ78" i="17"/>
  <c r="X78" i="17"/>
  <c r="AE78" i="17" s="1"/>
  <c r="X110" i="17"/>
  <c r="AE110" i="17" s="1"/>
  <c r="AZ110" i="17"/>
  <c r="AZ109" i="17"/>
  <c r="X109" i="17"/>
  <c r="AE109" i="17" s="1"/>
  <c r="AZ102" i="17"/>
  <c r="X102" i="17"/>
  <c r="AE102" i="17" s="1"/>
  <c r="AZ38" i="17"/>
  <c r="X38" i="17"/>
  <c r="AE38" i="17" s="1"/>
  <c r="X79" i="17"/>
  <c r="AE79" i="17" s="1"/>
  <c r="AZ79" i="17"/>
  <c r="AZ127" i="17"/>
  <c r="X127" i="17"/>
  <c r="AE127" i="17" s="1"/>
  <c r="AZ34" i="17"/>
  <c r="X34" i="17"/>
  <c r="AE34" i="17" s="1"/>
  <c r="X32" i="17"/>
  <c r="AE32" i="17" s="1"/>
  <c r="AZ32" i="17"/>
  <c r="X81" i="17"/>
  <c r="AE81" i="17" s="1"/>
  <c r="AZ81" i="17"/>
  <c r="AZ40" i="17"/>
  <c r="X40" i="17"/>
  <c r="AE40" i="17" s="1"/>
  <c r="X23" i="17"/>
  <c r="AE23" i="17" s="1"/>
  <c r="AZ23" i="17"/>
  <c r="AZ99" i="17"/>
  <c r="X99" i="17"/>
  <c r="AE99" i="17" s="1"/>
  <c r="X122" i="17"/>
  <c r="AE122" i="17" s="1"/>
  <c r="AZ122" i="17"/>
  <c r="X103" i="17"/>
  <c r="AE103" i="17" s="1"/>
  <c r="AZ103" i="17"/>
  <c r="AZ20" i="17"/>
  <c r="X20" i="17"/>
  <c r="AE20" i="17" s="1"/>
  <c r="AZ29" i="17"/>
  <c r="X29" i="17"/>
  <c r="AE29" i="17" s="1"/>
  <c r="X28" i="17"/>
  <c r="AE28" i="17" s="1"/>
  <c r="AZ28" i="17"/>
  <c r="X128" i="17"/>
  <c r="AE128" i="17" s="1"/>
  <c r="AZ128" i="17"/>
  <c r="X114" i="17"/>
  <c r="AE114" i="17" s="1"/>
  <c r="AZ114" i="17"/>
  <c r="X125" i="17"/>
  <c r="AE125" i="17" s="1"/>
  <c r="AZ125" i="17"/>
  <c r="X90" i="17"/>
  <c r="AE90" i="17" s="1"/>
  <c r="AZ90" i="17"/>
  <c r="X33" i="17"/>
  <c r="AE33" i="17" s="1"/>
  <c r="AZ33" i="17"/>
  <c r="X39" i="17"/>
  <c r="AE39" i="17" s="1"/>
  <c r="AZ39" i="17"/>
  <c r="AZ27" i="17"/>
  <c r="X27" i="17"/>
  <c r="AE27" i="17" s="1"/>
  <c r="X26" i="17"/>
  <c r="AE26" i="17" s="1"/>
  <c r="AZ26" i="17"/>
  <c r="AZ82" i="17"/>
  <c r="X82" i="17"/>
  <c r="AE82" i="17" s="1"/>
  <c r="AZ98" i="17"/>
  <c r="X98" i="17"/>
  <c r="AE98" i="17" s="1"/>
  <c r="AZ91" i="17"/>
  <c r="X91" i="17"/>
  <c r="AE91" i="17" s="1"/>
  <c r="AZ118" i="17"/>
  <c r="X118" i="17"/>
  <c r="AE118" i="17" s="1"/>
  <c r="X24" i="17"/>
  <c r="AE24" i="17" s="1"/>
  <c r="AZ24" i="17"/>
  <c r="X92" i="17"/>
  <c r="AE92" i="17" s="1"/>
  <c r="AZ92" i="17"/>
  <c r="X77" i="17"/>
  <c r="AE77" i="17" s="1"/>
  <c r="AZ77" i="17"/>
  <c r="X19" i="17"/>
  <c r="AE19" i="17" s="1"/>
  <c r="AS130" i="17"/>
  <c r="AS131" i="17" s="1"/>
  <c r="AZ19" i="17"/>
  <c r="X106" i="17"/>
  <c r="AE106" i="17" s="1"/>
  <c r="AZ106" i="17"/>
  <c r="X88" i="17"/>
  <c r="AE88" i="17" s="1"/>
  <c r="AZ88" i="17"/>
  <c r="AZ116" i="17"/>
  <c r="X116" i="17"/>
  <c r="AE116" i="17" s="1"/>
  <c r="AZ22" i="17"/>
  <c r="X22" i="17"/>
  <c r="AE22" i="17" s="1"/>
  <c r="X89" i="17"/>
  <c r="AE89" i="17" s="1"/>
  <c r="AZ89" i="17"/>
  <c r="AZ97" i="17"/>
  <c r="X97" i="17"/>
  <c r="AE97" i="17" s="1"/>
  <c r="X117" i="17"/>
  <c r="AE117" i="17" s="1"/>
  <c r="AZ117" i="17"/>
  <c r="AZ113" i="17"/>
  <c r="X113" i="17"/>
  <c r="AE113" i="17" s="1"/>
  <c r="AZ119" i="17"/>
  <c r="X119" i="17"/>
  <c r="AE119" i="17" s="1"/>
  <c r="AZ95" i="17"/>
  <c r="X95" i="17"/>
  <c r="AE95" i="17" s="1"/>
  <c r="X115" i="17"/>
  <c r="AE115" i="17" s="1"/>
  <c r="AZ115" i="17"/>
  <c r="AZ84" i="17"/>
  <c r="X84" i="17"/>
  <c r="AE84" i="17" s="1"/>
  <c r="AZ30" i="17"/>
  <c r="X30" i="17"/>
  <c r="AE30" i="17" s="1"/>
  <c r="X83" i="17"/>
  <c r="AE83" i="17" s="1"/>
  <c r="AZ83" i="17"/>
  <c r="AZ105" i="17"/>
  <c r="X105" i="17"/>
  <c r="AE105" i="17" s="1"/>
  <c r="AZ108" i="17"/>
  <c r="X108" i="17"/>
  <c r="AE108" i="17" s="1"/>
  <c r="AZ104" i="17"/>
  <c r="X104" i="17"/>
  <c r="AE104" i="17" s="1"/>
  <c r="X112" i="17"/>
  <c r="AE112" i="17" s="1"/>
  <c r="AZ112" i="17"/>
  <c r="AZ94" i="17"/>
  <c r="X94" i="17"/>
  <c r="AE94" i="17" s="1"/>
  <c r="AZ76" i="17"/>
  <c r="X76" i="17"/>
  <c r="AE76" i="17" s="1"/>
  <c r="AZ111" i="17"/>
  <c r="X111" i="17"/>
  <c r="AE111" i="17" s="1"/>
  <c r="AZ101" i="17"/>
  <c r="X101" i="17"/>
  <c r="AE101" i="17" s="1"/>
  <c r="X85" i="17"/>
  <c r="AE85" i="17" s="1"/>
  <c r="AZ85" i="17"/>
  <c r="AZ126" i="17"/>
  <c r="X126" i="17"/>
  <c r="AE126" i="17" s="1"/>
  <c r="AZ37" i="17"/>
  <c r="X37" i="17"/>
  <c r="AE37" i="17" s="1"/>
  <c r="AZ100" i="17"/>
  <c r="X100" i="17"/>
  <c r="AE100" i="17" s="1"/>
  <c r="X107" i="17"/>
  <c r="AE107" i="17" s="1"/>
  <c r="AZ107" i="17"/>
  <c r="X120" i="17"/>
  <c r="AE120" i="17" s="1"/>
  <c r="AZ120" i="17"/>
  <c r="X129" i="17"/>
  <c r="AE129" i="17" s="1"/>
  <c r="AZ129" i="17"/>
  <c r="X21" i="17"/>
  <c r="AE21" i="17" s="1"/>
  <c r="AZ21" i="17"/>
  <c r="AZ87" i="17"/>
  <c r="X87" i="17"/>
  <c r="AE87" i="17" s="1"/>
  <c r="AZ121" i="17"/>
  <c r="X121" i="17"/>
  <c r="AE121" i="17" s="1"/>
  <c r="AZ123" i="17"/>
  <c r="X123" i="17"/>
  <c r="AE123" i="17" s="1"/>
  <c r="X96" i="17"/>
  <c r="AE96" i="17" s="1"/>
  <c r="AZ96" i="17"/>
  <c r="X25" i="17"/>
  <c r="AE25" i="17" s="1"/>
  <c r="AZ25" i="17"/>
  <c r="X124" i="17"/>
  <c r="AE124" i="17" s="1"/>
  <c r="AZ124" i="17"/>
  <c r="W31" i="17"/>
  <c r="AD31" i="17" s="1"/>
  <c r="AT34" i="17"/>
  <c r="W127" i="17"/>
  <c r="BG127" i="17" s="1"/>
  <c r="W33" i="17"/>
  <c r="BG33" i="17" s="1"/>
  <c r="W111" i="17"/>
  <c r="AD111" i="17" s="1"/>
  <c r="AY19" i="17"/>
  <c r="AY23" i="17"/>
  <c r="W113" i="17"/>
  <c r="BG113" i="17" s="1"/>
  <c r="W121" i="17"/>
  <c r="BG121" i="17" s="1"/>
  <c r="AY87" i="17"/>
  <c r="W126" i="17"/>
  <c r="AD126" i="17" s="1"/>
  <c r="W112" i="17"/>
  <c r="AD112" i="17" s="1"/>
  <c r="AY97" i="17"/>
  <c r="W25" i="17"/>
  <c r="AD25" i="17" s="1"/>
  <c r="AY79" i="17"/>
  <c r="AY125" i="17"/>
  <c r="W90" i="17"/>
  <c r="AD90" i="17" s="1"/>
  <c r="AY123" i="17"/>
  <c r="W36" i="17"/>
  <c r="AD36" i="17" s="1"/>
  <c r="AY116" i="17"/>
  <c r="AY32" i="17"/>
  <c r="W93" i="17"/>
  <c r="BG93" i="17" s="1"/>
  <c r="AY28" i="17"/>
  <c r="W29" i="17"/>
  <c r="BG29" i="17" s="1"/>
  <c r="W114" i="17"/>
  <c r="AD114" i="17" s="1"/>
  <c r="AY21" i="17"/>
  <c r="BG103" i="17"/>
  <c r="BG77" i="17"/>
  <c r="AD77" i="17"/>
  <c r="BG129" i="17"/>
  <c r="AD129" i="17"/>
  <c r="AD27" i="17"/>
  <c r="BG27" i="17"/>
  <c r="AB122" i="17"/>
  <c r="BG35" i="17"/>
  <c r="AD35" i="17"/>
  <c r="AB109" i="17"/>
  <c r="BE109" i="17"/>
  <c r="BE34" i="17"/>
  <c r="AB34" i="17"/>
  <c r="AD38" i="17"/>
  <c r="BG38" i="17"/>
  <c r="BG116" i="17"/>
  <c r="AD116" i="17"/>
  <c r="AB77" i="17"/>
  <c r="BE77" i="17"/>
  <c r="AB126" i="17"/>
  <c r="BE126" i="17"/>
  <c r="AB123" i="17"/>
  <c r="AD19" i="17"/>
  <c r="BG19" i="17"/>
  <c r="BG85" i="17"/>
  <c r="AD85" i="17"/>
  <c r="AB115" i="17"/>
  <c r="BE115" i="17"/>
  <c r="BG115" i="17"/>
  <c r="AD115" i="17"/>
  <c r="AD82" i="17"/>
  <c r="BG82" i="17"/>
  <c r="AD32" i="17"/>
  <c r="BG32" i="17"/>
  <c r="BG86" i="17"/>
  <c r="AD86" i="17"/>
  <c r="BG28" i="17"/>
  <c r="AD28" i="17"/>
  <c r="BG79" i="17"/>
  <c r="AD79" i="17"/>
  <c r="BE94" i="17"/>
  <c r="AD21" i="17"/>
  <c r="BG21" i="17"/>
  <c r="AD125" i="17"/>
  <c r="BG125" i="17"/>
  <c r="AB98" i="17"/>
  <c r="BE98" i="17"/>
  <c r="BG120" i="17"/>
  <c r="AD120" i="17"/>
  <c r="BG83" i="17"/>
  <c r="AD83" i="17"/>
  <c r="BG23" i="17"/>
  <c r="AD23" i="17"/>
  <c r="BG30" i="17"/>
  <c r="AD30" i="17"/>
  <c r="BG87" i="17"/>
  <c r="AD87" i="17"/>
  <c r="BG91" i="17"/>
  <c r="AD91" i="17"/>
  <c r="AB101" i="17"/>
  <c r="BE101" i="17"/>
  <c r="AD37" i="17"/>
  <c r="AB19" i="17"/>
  <c r="BE19" i="17"/>
  <c r="BE107" i="17"/>
  <c r="AB107" i="17"/>
  <c r="BE28" i="17"/>
  <c r="AB28" i="17"/>
  <c r="AD81" i="17"/>
  <c r="BG81" i="17"/>
  <c r="BE81" i="17"/>
  <c r="AB81" i="17"/>
  <c r="BG97" i="17"/>
  <c r="AD97" i="17"/>
  <c r="BA82" i="17"/>
  <c r="BG128" i="17"/>
  <c r="AD128" i="17"/>
  <c r="BE83" i="17"/>
  <c r="AB83" i="17"/>
  <c r="AD94" i="17"/>
  <c r="BG94" i="17"/>
  <c r="AB33" i="17"/>
  <c r="H66" i="18"/>
  <c r="BG123" i="17"/>
  <c r="AD123" i="17"/>
  <c r="BG106" i="17"/>
  <c r="AD106" i="17"/>
  <c r="AB22" i="17"/>
  <c r="BE22" i="17"/>
  <c r="D43" i="18" l="1"/>
  <c r="I59" i="18"/>
  <c r="I67" i="18"/>
  <c r="I87" i="18"/>
  <c r="I10" i="18"/>
  <c r="I92" i="18"/>
  <c r="D5" i="18"/>
  <c r="F119" i="18"/>
  <c r="F121" i="18" s="1"/>
  <c r="I63" i="18"/>
  <c r="I47" i="18"/>
  <c r="D33" i="18"/>
  <c r="D84" i="18"/>
  <c r="I77" i="18"/>
  <c r="I75" i="18"/>
  <c r="D75" i="18"/>
  <c r="D17" i="18"/>
  <c r="I17" i="18"/>
  <c r="D67" i="18"/>
  <c r="D87" i="18"/>
  <c r="D66" i="18"/>
  <c r="I42" i="18"/>
  <c r="D25" i="18"/>
  <c r="AT123" i="17"/>
  <c r="D63" i="18"/>
  <c r="I48" i="18"/>
  <c r="D23" i="18"/>
  <c r="I54" i="18"/>
  <c r="I14" i="18"/>
  <c r="I82" i="18"/>
  <c r="D58" i="18"/>
  <c r="AD7" i="16" a="1"/>
  <c r="AD7" i="16" s="1"/>
  <c r="Z7" i="16" a="1"/>
  <c r="Z7" i="16" s="1"/>
  <c r="I22" i="18"/>
  <c r="D92" i="18"/>
  <c r="I13" i="18"/>
  <c r="D80" i="18"/>
  <c r="AT36" i="17"/>
  <c r="AT121" i="17"/>
  <c r="W99" i="17"/>
  <c r="AD99" i="17" s="1"/>
  <c r="AW117" i="17"/>
  <c r="W34" i="17"/>
  <c r="BG34" i="17" s="1"/>
  <c r="AW43" i="17"/>
  <c r="AW25" i="17"/>
  <c r="AW98" i="17"/>
  <c r="W118" i="17"/>
  <c r="BG118" i="17" s="1"/>
  <c r="AW52" i="17"/>
  <c r="AT32" i="17"/>
  <c r="AW81" i="17"/>
  <c r="AT59" i="17"/>
  <c r="AT108" i="17"/>
  <c r="D21" i="18"/>
  <c r="D47" i="18"/>
  <c r="I79" i="18"/>
  <c r="I43" i="18"/>
  <c r="I84" i="18"/>
  <c r="D59" i="18"/>
  <c r="D78" i="18"/>
  <c r="D41" i="18"/>
  <c r="I65" i="18"/>
  <c r="I27" i="18"/>
  <c r="D48" i="18"/>
  <c r="I66" i="18"/>
  <c r="D19" i="18"/>
  <c r="I15" i="18"/>
  <c r="D55" i="18"/>
  <c r="D90" i="18"/>
  <c r="D54" i="18"/>
  <c r="D35" i="18"/>
  <c r="D52" i="18"/>
  <c r="D18" i="18"/>
  <c r="D14" i="18"/>
  <c r="D82" i="18"/>
  <c r="D22" i="18"/>
  <c r="I24" i="18"/>
  <c r="I5" i="18"/>
  <c r="I119" i="18" s="1"/>
  <c r="I25" i="18"/>
  <c r="I6" i="18"/>
  <c r="I89" i="18"/>
  <c r="D71" i="18"/>
  <c r="AB90" i="17"/>
  <c r="AW122" i="17"/>
  <c r="AY109" i="17"/>
  <c r="W117" i="17"/>
  <c r="BG117" i="17" s="1"/>
  <c r="W75" i="17"/>
  <c r="U73" i="17"/>
  <c r="W73" i="17"/>
  <c r="AY76" i="17"/>
  <c r="AT80" i="17"/>
  <c r="AB23" i="17"/>
  <c r="AD109" i="17"/>
  <c r="AB127" i="17"/>
  <c r="BG40" i="17"/>
  <c r="AD101" i="17"/>
  <c r="BE24" i="17"/>
  <c r="AB97" i="17"/>
  <c r="BG76" i="17"/>
  <c r="W107" i="17"/>
  <c r="BG107" i="17" s="1"/>
  <c r="AR130" i="17"/>
  <c r="AR131" i="17" s="1"/>
  <c r="U76" i="17"/>
  <c r="AB76" i="17" s="1"/>
  <c r="AW79" i="17"/>
  <c r="W122" i="17"/>
  <c r="AD122" i="17" s="1"/>
  <c r="U121" i="17"/>
  <c r="BE121" i="17" s="1"/>
  <c r="AY69" i="17"/>
  <c r="AT69" i="17"/>
  <c r="W102" i="17"/>
  <c r="BG102" i="17" s="1"/>
  <c r="U124" i="17"/>
  <c r="BE124" i="17" s="1"/>
  <c r="AY58" i="17"/>
  <c r="D21" i="29"/>
  <c r="AT100" i="17"/>
  <c r="AT124" i="17"/>
  <c r="AD124" i="17"/>
  <c r="W100" i="17"/>
  <c r="AD100" i="17" s="1"/>
  <c r="W80" i="17"/>
  <c r="AD80" i="17" s="1"/>
  <c r="AW24" i="17"/>
  <c r="AT90" i="17"/>
  <c r="BA90" i="17" s="1"/>
  <c r="AT122" i="17"/>
  <c r="AY40" i="17"/>
  <c r="U119" i="17"/>
  <c r="BE119" i="17" s="1"/>
  <c r="AT74" i="17"/>
  <c r="W98" i="17"/>
  <c r="AD98" i="17" s="1"/>
  <c r="AW97" i="17"/>
  <c r="AT89" i="17"/>
  <c r="U74" i="17"/>
  <c r="AW127" i="17"/>
  <c r="AT62" i="17"/>
  <c r="AW33" i="17"/>
  <c r="AT46" i="17"/>
  <c r="BA46" i="17" s="1"/>
  <c r="AT42" i="17"/>
  <c r="U62" i="17"/>
  <c r="AT68" i="17"/>
  <c r="AT96" i="17"/>
  <c r="AT24" i="17"/>
  <c r="AT33" i="17"/>
  <c r="AT129" i="17"/>
  <c r="U129" i="17"/>
  <c r="BE129" i="17" s="1"/>
  <c r="AT57" i="17"/>
  <c r="U50" i="17"/>
  <c r="AT70" i="17"/>
  <c r="AT103" i="17"/>
  <c r="AT64" i="17"/>
  <c r="H48" i="18" s="1"/>
  <c r="AB85" i="17"/>
  <c r="BE92" i="17"/>
  <c r="BE36" i="17"/>
  <c r="AB84" i="17"/>
  <c r="AB125" i="17"/>
  <c r="AB111" i="17"/>
  <c r="U104" i="17"/>
  <c r="BE104" i="17" s="1"/>
  <c r="AW94" i="17"/>
  <c r="AT104" i="17"/>
  <c r="AW68" i="17"/>
  <c r="AT66" i="17"/>
  <c r="H50" i="18" s="1"/>
  <c r="J50" i="18" s="1"/>
  <c r="U64" i="17"/>
  <c r="U102" i="17"/>
  <c r="AT102" i="17"/>
  <c r="U68" i="17"/>
  <c r="AW66" i="17"/>
  <c r="AW85" i="17"/>
  <c r="AT85" i="17"/>
  <c r="U60" i="17"/>
  <c r="AW96" i="17"/>
  <c r="AT78" i="17"/>
  <c r="AW123" i="17"/>
  <c r="AT79" i="17"/>
  <c r="BA79" i="17" s="1"/>
  <c r="AT35" i="17"/>
  <c r="AW100" i="17"/>
  <c r="AT87" i="17"/>
  <c r="AT44" i="17"/>
  <c r="BA44" i="17" s="1"/>
  <c r="AT101" i="17"/>
  <c r="AT73" i="17"/>
  <c r="H57" i="18" s="1"/>
  <c r="AT94" i="17"/>
  <c r="AT110" i="17"/>
  <c r="AT97" i="17"/>
  <c r="AT116" i="17"/>
  <c r="AT115" i="17"/>
  <c r="AT43" i="17"/>
  <c r="AT109" i="17"/>
  <c r="U99" i="17"/>
  <c r="BE99" i="17" s="1"/>
  <c r="AW42" i="17"/>
  <c r="AW109" i="17"/>
  <c r="AT50" i="17"/>
  <c r="AT63" i="17"/>
  <c r="U42" i="17"/>
  <c r="AT77" i="17"/>
  <c r="BA77" i="17" s="1"/>
  <c r="AT47" i="17"/>
  <c r="H31" i="18" s="1"/>
  <c r="AW54" i="17"/>
  <c r="AT21" i="17"/>
  <c r="BA21" i="17" s="1"/>
  <c r="AW77" i="17"/>
  <c r="U82" i="17"/>
  <c r="AT107" i="17"/>
  <c r="BA107" i="17" s="1"/>
  <c r="AW107" i="17"/>
  <c r="AT106" i="17"/>
  <c r="BA106" i="17" s="1"/>
  <c r="AT58" i="17"/>
  <c r="AT76" i="17"/>
  <c r="BA76" i="17" s="1"/>
  <c r="AT53" i="17"/>
  <c r="AT92" i="17"/>
  <c r="H76" i="18" s="1"/>
  <c r="AW125" i="17"/>
  <c r="AT37" i="17"/>
  <c r="H21" i="18" s="1"/>
  <c r="AT60" i="17"/>
  <c r="AW63" i="17"/>
  <c r="AW53" i="17"/>
  <c r="AT27" i="17"/>
  <c r="BA27" i="17" s="1"/>
  <c r="U100" i="17"/>
  <c r="BE100" i="17" s="1"/>
  <c r="U37" i="17"/>
  <c r="AB37" i="17" s="1"/>
  <c r="AW111" i="17"/>
  <c r="AW84" i="17"/>
  <c r="AT84" i="17"/>
  <c r="U96" i="17"/>
  <c r="AT111" i="17"/>
  <c r="AT117" i="17"/>
  <c r="U110" i="17"/>
  <c r="AW110" i="17"/>
  <c r="AX59" i="17"/>
  <c r="V59" i="17"/>
  <c r="AX26" i="17"/>
  <c r="V26" i="17"/>
  <c r="AX72" i="17"/>
  <c r="V72" i="17"/>
  <c r="AX93" i="17"/>
  <c r="V93" i="17"/>
  <c r="V36" i="17"/>
  <c r="AX36" i="17"/>
  <c r="AX119" i="17"/>
  <c r="V119" i="17"/>
  <c r="AX40" i="17"/>
  <c r="V40" i="17"/>
  <c r="AX74" i="17"/>
  <c r="V74" i="17"/>
  <c r="V120" i="17"/>
  <c r="AX120" i="17"/>
  <c r="AX81" i="17"/>
  <c r="V81" i="17"/>
  <c r="V89" i="17"/>
  <c r="AX89" i="17"/>
  <c r="AX37" i="17"/>
  <c r="V37" i="17"/>
  <c r="AX87" i="17"/>
  <c r="V87" i="17"/>
  <c r="V55" i="17"/>
  <c r="AX55" i="17"/>
  <c r="AX69" i="17"/>
  <c r="V69" i="17"/>
  <c r="AX53" i="17"/>
  <c r="V53" i="17"/>
  <c r="V34" i="17"/>
  <c r="AX34" i="17"/>
  <c r="V21" i="17"/>
  <c r="AX21" i="17"/>
  <c r="V78" i="17"/>
  <c r="AX78" i="17"/>
  <c r="AX82" i="17"/>
  <c r="V82" i="17"/>
  <c r="AX95" i="17"/>
  <c r="V95" i="17"/>
  <c r="AX83" i="17"/>
  <c r="V83" i="17"/>
  <c r="AX30" i="17"/>
  <c r="V30" i="17"/>
  <c r="V19" i="17"/>
  <c r="AQ130" i="17"/>
  <c r="AQ131" i="17" s="1"/>
  <c r="AX19" i="17"/>
  <c r="V102" i="17"/>
  <c r="AX102" i="17"/>
  <c r="V71" i="17"/>
  <c r="AX71" i="17"/>
  <c r="AX61" i="17"/>
  <c r="V61" i="17"/>
  <c r="V107" i="17"/>
  <c r="AX107" i="17"/>
  <c r="AX57" i="17"/>
  <c r="V57" i="17"/>
  <c r="AX129" i="17"/>
  <c r="V129" i="17"/>
  <c r="V62" i="17"/>
  <c r="AX62" i="17"/>
  <c r="V105" i="17"/>
  <c r="AX105" i="17"/>
  <c r="V88" i="17"/>
  <c r="AX88" i="17"/>
  <c r="AX31" i="17"/>
  <c r="V31" i="17"/>
  <c r="V86" i="17"/>
  <c r="AX86" i="17"/>
  <c r="V67" i="17"/>
  <c r="AX67" i="17"/>
  <c r="AX35" i="17"/>
  <c r="V35" i="17"/>
  <c r="AX121" i="17"/>
  <c r="V121" i="17"/>
  <c r="AX39" i="17"/>
  <c r="V39" i="17"/>
  <c r="V122" i="17"/>
  <c r="AX122" i="17"/>
  <c r="AX68" i="17"/>
  <c r="V68" i="17"/>
  <c r="V128" i="17"/>
  <c r="AX128" i="17"/>
  <c r="AX46" i="17"/>
  <c r="V46" i="17"/>
  <c r="AX51" i="17"/>
  <c r="V51" i="17"/>
  <c r="V25" i="17"/>
  <c r="AX25" i="17"/>
  <c r="AX85" i="17"/>
  <c r="V85" i="17"/>
  <c r="V20" i="17"/>
  <c r="AX20" i="17"/>
  <c r="AX96" i="17"/>
  <c r="V96" i="17"/>
  <c r="V91" i="17"/>
  <c r="AX91" i="17"/>
  <c r="V123" i="17"/>
  <c r="AX123" i="17"/>
  <c r="V22" i="17"/>
  <c r="AX22" i="17"/>
  <c r="V109" i="17"/>
  <c r="AX109" i="17"/>
  <c r="V27" i="17"/>
  <c r="AX27" i="17"/>
  <c r="AX42" i="17"/>
  <c r="V42" i="17"/>
  <c r="AX60" i="17"/>
  <c r="V60" i="17"/>
  <c r="V65" i="17"/>
  <c r="AX65" i="17"/>
  <c r="AX63" i="17"/>
  <c r="V63" i="17"/>
  <c r="V32" i="17"/>
  <c r="BH32" i="17" s="1"/>
  <c r="AX32" i="17"/>
  <c r="AX44" i="17"/>
  <c r="V44" i="17"/>
  <c r="V104" i="17"/>
  <c r="AX104" i="17"/>
  <c r="AX106" i="17"/>
  <c r="V106" i="17"/>
  <c r="AX90" i="17"/>
  <c r="V90" i="17"/>
  <c r="AX108" i="17"/>
  <c r="V108" i="17"/>
  <c r="V56" i="17"/>
  <c r="AX56" i="17"/>
  <c r="AX29" i="17"/>
  <c r="V29" i="17"/>
  <c r="AX101" i="17"/>
  <c r="V101" i="17"/>
  <c r="V98" i="17"/>
  <c r="AX98" i="17"/>
  <c r="AX114" i="17"/>
  <c r="V114" i="17"/>
  <c r="AX66" i="17"/>
  <c r="V66" i="17"/>
  <c r="AX73" i="17"/>
  <c r="V73" i="17"/>
  <c r="V49" i="17"/>
  <c r="AX49" i="17"/>
  <c r="AX58" i="17"/>
  <c r="V58" i="17"/>
  <c r="V99" i="17"/>
  <c r="AX99" i="17"/>
  <c r="V80" i="17"/>
  <c r="BH80" i="17" s="1"/>
  <c r="AX80" i="17"/>
  <c r="AX111" i="17"/>
  <c r="V111" i="17"/>
  <c r="AX94" i="17"/>
  <c r="V94" i="17"/>
  <c r="V110" i="17"/>
  <c r="AX110" i="17"/>
  <c r="V97" i="17"/>
  <c r="Y97" i="17" s="1"/>
  <c r="AX97" i="17"/>
  <c r="AX116" i="17"/>
  <c r="V116" i="17"/>
  <c r="AX76" i="17"/>
  <c r="V76" i="17"/>
  <c r="AX115" i="17"/>
  <c r="V115" i="17"/>
  <c r="AX43" i="17"/>
  <c r="V43" i="17"/>
  <c r="AX50" i="17"/>
  <c r="V50" i="17"/>
  <c r="AX70" i="17"/>
  <c r="V70" i="17"/>
  <c r="V84" i="17"/>
  <c r="AX84" i="17"/>
  <c r="AX75" i="17"/>
  <c r="V75" i="17"/>
  <c r="V52" i="17"/>
  <c r="AX52" i="17"/>
  <c r="V103" i="17"/>
  <c r="AX103" i="17"/>
  <c r="V124" i="17"/>
  <c r="AX124" i="17"/>
  <c r="AX24" i="17"/>
  <c r="V24" i="17"/>
  <c r="AX28" i="17"/>
  <c r="V28" i="17"/>
  <c r="V48" i="17"/>
  <c r="AX48" i="17"/>
  <c r="V118" i="17"/>
  <c r="AX118" i="17"/>
  <c r="V38" i="17"/>
  <c r="AX38" i="17"/>
  <c r="V113" i="17"/>
  <c r="AX113" i="17"/>
  <c r="AX126" i="17"/>
  <c r="V126" i="17"/>
  <c r="V64" i="17"/>
  <c r="AX64" i="17"/>
  <c r="V41" i="17"/>
  <c r="AX41" i="17"/>
  <c r="AX54" i="17"/>
  <c r="V54" i="17"/>
  <c r="V33" i="17"/>
  <c r="BH33" i="17" s="1"/>
  <c r="AX33" i="17"/>
  <c r="V92" i="17"/>
  <c r="AX92" i="17"/>
  <c r="AX79" i="17"/>
  <c r="V79" i="17"/>
  <c r="AX77" i="17"/>
  <c r="V77" i="17"/>
  <c r="V100" i="17"/>
  <c r="AX100" i="17"/>
  <c r="AX112" i="17"/>
  <c r="V112" i="17"/>
  <c r="V127" i="17"/>
  <c r="AX127" i="17"/>
  <c r="V125" i="17"/>
  <c r="Y125" i="17" s="1"/>
  <c r="AX125" i="17"/>
  <c r="V23" i="17"/>
  <c r="AX23" i="17"/>
  <c r="V117" i="17"/>
  <c r="AX117" i="17"/>
  <c r="V47" i="17"/>
  <c r="AX47" i="17"/>
  <c r="V45" i="17"/>
  <c r="AX45" i="17"/>
  <c r="U51" i="17"/>
  <c r="AW51" i="17"/>
  <c r="AW56" i="17"/>
  <c r="U58" i="17"/>
  <c r="AW58" i="17"/>
  <c r="H110" i="18"/>
  <c r="J110" i="18" s="1"/>
  <c r="H89" i="18"/>
  <c r="H86" i="18"/>
  <c r="BA94" i="17"/>
  <c r="BA35" i="17"/>
  <c r="BA50" i="17"/>
  <c r="BA92" i="17"/>
  <c r="H17" i="18"/>
  <c r="H85" i="18"/>
  <c r="BA68" i="17"/>
  <c r="BA103" i="17"/>
  <c r="BA85" i="17"/>
  <c r="BA64" i="17"/>
  <c r="BA32" i="17"/>
  <c r="BA99" i="17"/>
  <c r="H12" i="18"/>
  <c r="BA43" i="17"/>
  <c r="BA70" i="17"/>
  <c r="BA42" i="17"/>
  <c r="BA69" i="17"/>
  <c r="H20" i="18"/>
  <c r="BA74" i="17"/>
  <c r="H94" i="18"/>
  <c r="BA87" i="17"/>
  <c r="BA45" i="17"/>
  <c r="BA47" i="17"/>
  <c r="BA63" i="17"/>
  <c r="H5" i="18"/>
  <c r="BA57" i="17"/>
  <c r="BA24" i="17"/>
  <c r="BA109" i="17"/>
  <c r="H68" i="18"/>
  <c r="BA53" i="17"/>
  <c r="BA59" i="17"/>
  <c r="BA34" i="17"/>
  <c r="BA95" i="17"/>
  <c r="BA104" i="17"/>
  <c r="BA72" i="17"/>
  <c r="BA66" i="17"/>
  <c r="H92" i="18"/>
  <c r="H64" i="18"/>
  <c r="BA60" i="17"/>
  <c r="BA62" i="17"/>
  <c r="BA89" i="17"/>
  <c r="H95" i="18"/>
  <c r="J95" i="18" s="1"/>
  <c r="H112" i="18"/>
  <c r="H62" i="18"/>
  <c r="BA51" i="17"/>
  <c r="BA58" i="17"/>
  <c r="BA19" i="17"/>
  <c r="AD26" i="17"/>
  <c r="AD78" i="17"/>
  <c r="BG24" i="17"/>
  <c r="BA84" i="17"/>
  <c r="AD102" i="17"/>
  <c r="BH100" i="17"/>
  <c r="H83" i="18"/>
  <c r="G83" i="18" s="1"/>
  <c r="BA126" i="17"/>
  <c r="AD29" i="17"/>
  <c r="H87" i="18"/>
  <c r="BA80" i="17"/>
  <c r="AW59" i="17"/>
  <c r="AT41" i="17"/>
  <c r="H25" i="18" s="1"/>
  <c r="G25" i="18" s="1"/>
  <c r="AT91" i="17"/>
  <c r="AB113" i="17"/>
  <c r="BA108" i="17"/>
  <c r="AB31" i="17"/>
  <c r="AT88" i="17"/>
  <c r="BA128" i="17"/>
  <c r="AT113" i="17"/>
  <c r="U38" i="17"/>
  <c r="BH38" i="17" s="1"/>
  <c r="AT112" i="17"/>
  <c r="U41" i="17"/>
  <c r="U91" i="17"/>
  <c r="U114" i="17"/>
  <c r="BH114" i="17" s="1"/>
  <c r="AT86" i="17"/>
  <c r="AT75" i="17"/>
  <c r="H59" i="18" s="1"/>
  <c r="J59" i="18" s="1"/>
  <c r="AT67" i="17"/>
  <c r="AT49" i="17"/>
  <c r="H33" i="18" s="1"/>
  <c r="U59" i="17"/>
  <c r="BE59" i="17" s="1"/>
  <c r="AW31" i="17"/>
  <c r="U39" i="17"/>
  <c r="Y39" i="17" s="1"/>
  <c r="AF39" i="17" s="1"/>
  <c r="BG88" i="17"/>
  <c r="BA111" i="17"/>
  <c r="AB100" i="17"/>
  <c r="H93" i="18"/>
  <c r="BE80" i="17"/>
  <c r="U112" i="17"/>
  <c r="AB112" i="17" s="1"/>
  <c r="AT40" i="17"/>
  <c r="AT39" i="17"/>
  <c r="BA39" i="17" s="1"/>
  <c r="U75" i="17"/>
  <c r="BH75" i="17" s="1"/>
  <c r="AW67" i="17"/>
  <c r="AT30" i="17"/>
  <c r="U46" i="17"/>
  <c r="Y46" i="17" s="1"/>
  <c r="BI46" i="17" s="1"/>
  <c r="U86" i="17"/>
  <c r="AT29" i="17"/>
  <c r="U29" i="17"/>
  <c r="AB29" i="17" s="1"/>
  <c r="AT114" i="17"/>
  <c r="H98" i="18" s="1"/>
  <c r="U88" i="17"/>
  <c r="AT31" i="17"/>
  <c r="U30" i="17"/>
  <c r="BE30" i="17" s="1"/>
  <c r="U93" i="17"/>
  <c r="AB93" i="17" s="1"/>
  <c r="AD108" i="17"/>
  <c r="AW36" i="17"/>
  <c r="U35" i="17"/>
  <c r="Y35" i="17" s="1"/>
  <c r="H60" i="18"/>
  <c r="U103" i="17"/>
  <c r="BE103" i="17" s="1"/>
  <c r="AT23" i="17"/>
  <c r="U47" i="17"/>
  <c r="Y47" i="17" s="1"/>
  <c r="BI47" i="17" s="1"/>
  <c r="AT54" i="17"/>
  <c r="U116" i="17"/>
  <c r="Y116" i="17" s="1"/>
  <c r="AF116" i="17" s="1"/>
  <c r="U21" i="17"/>
  <c r="AT127" i="17"/>
  <c r="AW23" i="17"/>
  <c r="AT119" i="17"/>
  <c r="U40" i="17"/>
  <c r="AT93" i="17"/>
  <c r="Y76" i="17"/>
  <c r="Y77" i="17"/>
  <c r="AF77" i="17" s="1"/>
  <c r="Y101" i="17"/>
  <c r="AF101" i="17" s="1"/>
  <c r="BH76" i="17"/>
  <c r="Y100" i="17"/>
  <c r="BH34" i="17"/>
  <c r="BH102" i="17"/>
  <c r="BH118" i="17"/>
  <c r="AW57" i="17"/>
  <c r="AT55" i="17"/>
  <c r="AT48" i="17"/>
  <c r="AT61" i="17"/>
  <c r="AT25" i="17"/>
  <c r="AB20" i="17"/>
  <c r="U26" i="17"/>
  <c r="AT26" i="17"/>
  <c r="AT83" i="17"/>
  <c r="AW101" i="17"/>
  <c r="AT65" i="17"/>
  <c r="AT71" i="17"/>
  <c r="AT20" i="17"/>
  <c r="U120" i="17"/>
  <c r="Y120" i="17" s="1"/>
  <c r="AF120" i="17" s="1"/>
  <c r="U55" i="17"/>
  <c r="AT52" i="17"/>
  <c r="AT56" i="17"/>
  <c r="H40" i="18" s="1"/>
  <c r="J40" i="18" s="1"/>
  <c r="AT118" i="17"/>
  <c r="H102" i="18" s="1"/>
  <c r="H74" i="18"/>
  <c r="AW118" i="17"/>
  <c r="AW22" i="17"/>
  <c r="AT98" i="17"/>
  <c r="H82" i="18" s="1"/>
  <c r="G82" i="18" s="1"/>
  <c r="AT81" i="17"/>
  <c r="AT22" i="17"/>
  <c r="H6" i="18" s="1"/>
  <c r="G6" i="18" s="1"/>
  <c r="AW113" i="17"/>
  <c r="H18" i="18"/>
  <c r="AT38" i="17"/>
  <c r="H84" i="18"/>
  <c r="BA100" i="17"/>
  <c r="H80" i="18"/>
  <c r="BA96" i="17"/>
  <c r="AT125" i="17"/>
  <c r="AW90" i="17"/>
  <c r="BH84" i="17"/>
  <c r="BG25" i="17"/>
  <c r="BG100" i="17"/>
  <c r="AW20" i="17"/>
  <c r="AD33" i="17"/>
  <c r="Y22" i="17"/>
  <c r="AF22" i="17" s="1"/>
  <c r="BH37" i="17"/>
  <c r="U49" i="17"/>
  <c r="Y49" i="17" s="1"/>
  <c r="BI49" i="17" s="1"/>
  <c r="AW46" i="17"/>
  <c r="BH22" i="17"/>
  <c r="BH87" i="17"/>
  <c r="H11" i="18"/>
  <c r="J11" i="18" s="1"/>
  <c r="BH129" i="17"/>
  <c r="AP130" i="17"/>
  <c r="AP131" i="17" s="1"/>
  <c r="AD107" i="17"/>
  <c r="BH107" i="17"/>
  <c r="BA28" i="17"/>
  <c r="BH30" i="17"/>
  <c r="BA123" i="17"/>
  <c r="H107" i="18"/>
  <c r="H103" i="18"/>
  <c r="BA127" i="17"/>
  <c r="BA129" i="17"/>
  <c r="H113" i="18"/>
  <c r="BA120" i="17"/>
  <c r="H104" i="18"/>
  <c r="BA124" i="17"/>
  <c r="H108" i="18"/>
  <c r="BA122" i="17"/>
  <c r="H106" i="18"/>
  <c r="BH108" i="17"/>
  <c r="BA121" i="17"/>
  <c r="H105" i="18"/>
  <c r="G112" i="18"/>
  <c r="G94" i="18"/>
  <c r="BA117" i="17"/>
  <c r="H101" i="18"/>
  <c r="H97" i="18"/>
  <c r="BA115" i="17"/>
  <c r="H99" i="18"/>
  <c r="H79" i="18"/>
  <c r="J79" i="18" s="1"/>
  <c r="H100" i="18"/>
  <c r="G95" i="18"/>
  <c r="AB103" i="17"/>
  <c r="BH96" i="17"/>
  <c r="BA101" i="17"/>
  <c r="AD118" i="17"/>
  <c r="AD96" i="17"/>
  <c r="H16" i="18"/>
  <c r="G16" i="18" s="1"/>
  <c r="Y37" i="17"/>
  <c r="BI37" i="17" s="1"/>
  <c r="AD39" i="17"/>
  <c r="BA29" i="17"/>
  <c r="BH39" i="17"/>
  <c r="BE37" i="17"/>
  <c r="Y85" i="17"/>
  <c r="BI85" i="17" s="1"/>
  <c r="AB87" i="17"/>
  <c r="H91" i="18"/>
  <c r="G91" i="18" s="1"/>
  <c r="Y108" i="17"/>
  <c r="AF108" i="17" s="1"/>
  <c r="BE91" i="17"/>
  <c r="H90" i="18"/>
  <c r="G90" i="18" s="1"/>
  <c r="AD110" i="17"/>
  <c r="BE79" i="17"/>
  <c r="BH128" i="17"/>
  <c r="BH106" i="17"/>
  <c r="AB104" i="17"/>
  <c r="AB99" i="17"/>
  <c r="Y84" i="17"/>
  <c r="AF84" i="17" s="1"/>
  <c r="AB129" i="17"/>
  <c r="AB89" i="17"/>
  <c r="AD84" i="17"/>
  <c r="BG22" i="17"/>
  <c r="H54" i="18"/>
  <c r="G54" i="18" s="1"/>
  <c r="Y115" i="17"/>
  <c r="AF115" i="17" s="1"/>
  <c r="BH110" i="17"/>
  <c r="BH126" i="17"/>
  <c r="AB108" i="17"/>
  <c r="AB91" i="17"/>
  <c r="H52" i="18"/>
  <c r="G52" i="18" s="1"/>
  <c r="Y128" i="17"/>
  <c r="AF128" i="17" s="1"/>
  <c r="BE106" i="17"/>
  <c r="AD117" i="17"/>
  <c r="Y65" i="17"/>
  <c r="AF65" i="17" s="1"/>
  <c r="Y73" i="17"/>
  <c r="AF73" i="17" s="1"/>
  <c r="H73" i="18"/>
  <c r="G73" i="18" s="1"/>
  <c r="BG98" i="17"/>
  <c r="H47" i="18"/>
  <c r="G47" i="18" s="1"/>
  <c r="Y107" i="17"/>
  <c r="AF107" i="17" s="1"/>
  <c r="H28" i="18"/>
  <c r="G28" i="18" s="1"/>
  <c r="BH98" i="17"/>
  <c r="BH31" i="17"/>
  <c r="BE102" i="17"/>
  <c r="H42" i="18"/>
  <c r="J42" i="18" s="1"/>
  <c r="Y117" i="17"/>
  <c r="BI117" i="17" s="1"/>
  <c r="AD20" i="17"/>
  <c r="BH20" i="17"/>
  <c r="Y40" i="17"/>
  <c r="AF40" i="17" s="1"/>
  <c r="H69" i="18"/>
  <c r="G69" i="18" s="1"/>
  <c r="Y82" i="17"/>
  <c r="BI82" i="17" s="1"/>
  <c r="Y92" i="17"/>
  <c r="AF92" i="17" s="1"/>
  <c r="H56" i="18"/>
  <c r="G56" i="18" s="1"/>
  <c r="AD24" i="17"/>
  <c r="BG122" i="17"/>
  <c r="Y87" i="17"/>
  <c r="AF87" i="17" s="1"/>
  <c r="Y23" i="17"/>
  <c r="BI23" i="17" s="1"/>
  <c r="BH105" i="17"/>
  <c r="Y106" i="17"/>
  <c r="BI106" i="17" s="1"/>
  <c r="Y28" i="17"/>
  <c r="BI28" i="17" s="1"/>
  <c r="BA33" i="17"/>
  <c r="BH122" i="17"/>
  <c r="BA102" i="17"/>
  <c r="BA97" i="17"/>
  <c r="BG126" i="17"/>
  <c r="Y126" i="17"/>
  <c r="BI126" i="17" s="1"/>
  <c r="BG114" i="17"/>
  <c r="Y109" i="17"/>
  <c r="BI109" i="17" s="1"/>
  <c r="BG111" i="17"/>
  <c r="Y25" i="17"/>
  <c r="BI25" i="17" s="1"/>
  <c r="BA78" i="17"/>
  <c r="H81" i="18"/>
  <c r="J81" i="18" s="1"/>
  <c r="BA36" i="17"/>
  <c r="BA110" i="17"/>
  <c r="BH103" i="17"/>
  <c r="BE25" i="17"/>
  <c r="Y83" i="17"/>
  <c r="BI83" i="17" s="1"/>
  <c r="Y90" i="17"/>
  <c r="BI90" i="17" s="1"/>
  <c r="H53" i="18"/>
  <c r="J53" i="18" s="1"/>
  <c r="BH127" i="17"/>
  <c r="H61" i="18"/>
  <c r="G61" i="18" s="1"/>
  <c r="AB27" i="17"/>
  <c r="H43" i="18"/>
  <c r="G43" i="18" s="1"/>
  <c r="Y113" i="17"/>
  <c r="BI113" i="17" s="1"/>
  <c r="H63" i="18"/>
  <c r="J63" i="18" s="1"/>
  <c r="AB78" i="17"/>
  <c r="H71" i="18"/>
  <c r="J71" i="18" s="1"/>
  <c r="BH25" i="17"/>
  <c r="Y27" i="17"/>
  <c r="BI27" i="17" s="1"/>
  <c r="Y32" i="17"/>
  <c r="AF32" i="17" s="1"/>
  <c r="Y129" i="17"/>
  <c r="BI129" i="17" s="1"/>
  <c r="Y89" i="17"/>
  <c r="BI89" i="17" s="1"/>
  <c r="AB105" i="17"/>
  <c r="BH82" i="17"/>
  <c r="BA37" i="17"/>
  <c r="Y119" i="17"/>
  <c r="AF119" i="17" s="1"/>
  <c r="BE32" i="17"/>
  <c r="AD113" i="17"/>
  <c r="H19" i="18"/>
  <c r="G19" i="18" s="1"/>
  <c r="BE82" i="17"/>
  <c r="AB119" i="17"/>
  <c r="BH95" i="17"/>
  <c r="Y30" i="17"/>
  <c r="AF30" i="17" s="1"/>
  <c r="H30" i="18"/>
  <c r="G30" i="18" s="1"/>
  <c r="BG89" i="17"/>
  <c r="BH78" i="17"/>
  <c r="H3" i="18"/>
  <c r="J3" i="18" s="1"/>
  <c r="Y19" i="17"/>
  <c r="BI19" i="17" s="1"/>
  <c r="BH89" i="17"/>
  <c r="BG104" i="17"/>
  <c r="AD92" i="17"/>
  <c r="BA105" i="17"/>
  <c r="Y31" i="17"/>
  <c r="BI31" i="17" s="1"/>
  <c r="Y80" i="17"/>
  <c r="AF80" i="17" s="1"/>
  <c r="Y105" i="17"/>
  <c r="AF105" i="17" s="1"/>
  <c r="AB82" i="17"/>
  <c r="BH119" i="17"/>
  <c r="Y38" i="17"/>
  <c r="AF38" i="17" s="1"/>
  <c r="Y24" i="17"/>
  <c r="BI24" i="17" s="1"/>
  <c r="Y78" i="17"/>
  <c r="AF78" i="17" s="1"/>
  <c r="Y104" i="17"/>
  <c r="BI104" i="17" s="1"/>
  <c r="BH113" i="17"/>
  <c r="Y81" i="17"/>
  <c r="BI81" i="17" s="1"/>
  <c r="BH92" i="17"/>
  <c r="Y94" i="17"/>
  <c r="AF94" i="17" s="1"/>
  <c r="H58" i="18"/>
  <c r="G58" i="18" s="1"/>
  <c r="Y110" i="17"/>
  <c r="AF110" i="17" s="1"/>
  <c r="Y123" i="17"/>
  <c r="AF123" i="17" s="1"/>
  <c r="H29" i="18"/>
  <c r="G29" i="18" s="1"/>
  <c r="Y79" i="17"/>
  <c r="BI79" i="17" s="1"/>
  <c r="AD105" i="17"/>
  <c r="Y26" i="17"/>
  <c r="BI26" i="17" s="1"/>
  <c r="H44" i="18"/>
  <c r="G44" i="18" s="1"/>
  <c r="BH36" i="17"/>
  <c r="Y95" i="17"/>
  <c r="AF95" i="17" s="1"/>
  <c r="Y43" i="17"/>
  <c r="BI43" i="17" s="1"/>
  <c r="Y20" i="17"/>
  <c r="BI20" i="17" s="1"/>
  <c r="BG99" i="17"/>
  <c r="Y122" i="17"/>
  <c r="BI122" i="17" s="1"/>
  <c r="Y96" i="17"/>
  <c r="BI96" i="17" s="1"/>
  <c r="Y111" i="17"/>
  <c r="BI111" i="17" s="1"/>
  <c r="Y121" i="17"/>
  <c r="AF121" i="17" s="1"/>
  <c r="Y36" i="17"/>
  <c r="BI36" i="17" s="1"/>
  <c r="H46" i="18"/>
  <c r="J46" i="18" s="1"/>
  <c r="H37" i="18"/>
  <c r="J37" i="18" s="1"/>
  <c r="Y57" i="17"/>
  <c r="BI57" i="17" s="1"/>
  <c r="Y55" i="17"/>
  <c r="AF55" i="17" s="1"/>
  <c r="Y127" i="17"/>
  <c r="BI127" i="17" s="1"/>
  <c r="Y98" i="17"/>
  <c r="BI98" i="17" s="1"/>
  <c r="BH27" i="17"/>
  <c r="Y124" i="17"/>
  <c r="BI124" i="17" s="1"/>
  <c r="H26" i="18"/>
  <c r="G26" i="18" s="1"/>
  <c r="Y112" i="17"/>
  <c r="BI112" i="17" s="1"/>
  <c r="Y103" i="17"/>
  <c r="AF103" i="17" s="1"/>
  <c r="H27" i="18"/>
  <c r="J27" i="18" s="1"/>
  <c r="H41" i="18"/>
  <c r="G41" i="18" s="1"/>
  <c r="BH90" i="17"/>
  <c r="H88" i="18"/>
  <c r="G88" i="18" s="1"/>
  <c r="BH124" i="17"/>
  <c r="Y102" i="17"/>
  <c r="BI102" i="17" s="1"/>
  <c r="H32" i="18"/>
  <c r="J32" i="18" s="1"/>
  <c r="Y34" i="17"/>
  <c r="AF34" i="17" s="1"/>
  <c r="Y21" i="17"/>
  <c r="AF21" i="17" s="1"/>
  <c r="Y99" i="17"/>
  <c r="AF99" i="17" s="1"/>
  <c r="Y50" i="17"/>
  <c r="AF50" i="17" s="1"/>
  <c r="BH99" i="17"/>
  <c r="H8" i="18"/>
  <c r="G8" i="18" s="1"/>
  <c r="BE118" i="17"/>
  <c r="H34" i="18"/>
  <c r="J34" i="18" s="1"/>
  <c r="BH111" i="17"/>
  <c r="Y45" i="17"/>
  <c r="BI45" i="17" s="1"/>
  <c r="Y71" i="17"/>
  <c r="BI71" i="17" s="1"/>
  <c r="Y63" i="17"/>
  <c r="AF63" i="17" s="1"/>
  <c r="Y48" i="17"/>
  <c r="AF48" i="17" s="1"/>
  <c r="AY130" i="17"/>
  <c r="Y68" i="17"/>
  <c r="BI68" i="17" s="1"/>
  <c r="Y56" i="17"/>
  <c r="AF56" i="17" s="1"/>
  <c r="Y64" i="17"/>
  <c r="AF64" i="17" s="1"/>
  <c r="Y54" i="17"/>
  <c r="BI54" i="17" s="1"/>
  <c r="Y118" i="17"/>
  <c r="BI118" i="17" s="1"/>
  <c r="Y70" i="17"/>
  <c r="BI70" i="17" s="1"/>
  <c r="Y69" i="17"/>
  <c r="AF69" i="17" s="1"/>
  <c r="Y67" i="17"/>
  <c r="AF67" i="17" s="1"/>
  <c r="Y61" i="17"/>
  <c r="AF61" i="17" s="1"/>
  <c r="Y62" i="17"/>
  <c r="AF62" i="17" s="1"/>
  <c r="Y41" i="17"/>
  <c r="AF41" i="17" s="1"/>
  <c r="Y52" i="17"/>
  <c r="BI52" i="17" s="1"/>
  <c r="Y53" i="17"/>
  <c r="AF53" i="17" s="1"/>
  <c r="AZ130" i="17"/>
  <c r="BH112" i="17"/>
  <c r="BH121" i="17"/>
  <c r="Y42" i="17"/>
  <c r="BI42" i="17" s="1"/>
  <c r="Y72" i="17"/>
  <c r="AF72" i="17" s="1"/>
  <c r="Y74" i="17"/>
  <c r="BI74" i="17" s="1"/>
  <c r="Y66" i="17"/>
  <c r="BI66" i="17" s="1"/>
  <c r="Y60" i="17"/>
  <c r="BI60" i="17" s="1"/>
  <c r="Y51" i="17"/>
  <c r="AF51" i="17" s="1"/>
  <c r="Y58" i="17"/>
  <c r="AF58" i="17" s="1"/>
  <c r="Y44" i="17"/>
  <c r="BI44" i="17" s="1"/>
  <c r="H78" i="18"/>
  <c r="J78" i="18" s="1"/>
  <c r="BH45" i="17"/>
  <c r="BE45" i="17"/>
  <c r="AB45" i="17"/>
  <c r="BE52" i="17"/>
  <c r="AB52" i="17"/>
  <c r="BH52" i="17"/>
  <c r="AD47" i="17"/>
  <c r="BG47" i="17"/>
  <c r="AB46" i="17"/>
  <c r="BH46" i="17"/>
  <c r="BE53" i="17"/>
  <c r="AB53" i="17"/>
  <c r="BH53" i="17"/>
  <c r="BG45" i="17"/>
  <c r="AD45" i="17"/>
  <c r="BG63" i="17"/>
  <c r="AD63" i="17"/>
  <c r="BG62" i="17"/>
  <c r="AD62" i="17"/>
  <c r="BH49" i="17"/>
  <c r="AB49" i="17"/>
  <c r="BH60" i="17"/>
  <c r="AB60" i="17"/>
  <c r="BE60" i="17"/>
  <c r="BG60" i="17"/>
  <c r="AD60" i="17"/>
  <c r="BH59" i="17"/>
  <c r="BE50" i="17"/>
  <c r="AB50" i="17"/>
  <c r="BH50" i="17"/>
  <c r="BH48" i="17"/>
  <c r="AB48" i="17"/>
  <c r="BE48" i="17"/>
  <c r="AD58" i="17"/>
  <c r="BG58" i="17"/>
  <c r="BE51" i="17"/>
  <c r="AB51" i="17"/>
  <c r="BH51" i="17"/>
  <c r="BE58" i="17"/>
  <c r="AB58" i="17"/>
  <c r="BH58" i="17"/>
  <c r="BG64" i="17"/>
  <c r="AD64" i="17"/>
  <c r="BG50" i="17"/>
  <c r="AD50" i="17"/>
  <c r="BG54" i="17"/>
  <c r="AD54" i="17"/>
  <c r="BE44" i="17"/>
  <c r="AB44" i="17"/>
  <c r="BH44" i="17"/>
  <c r="AB47" i="17"/>
  <c r="BG57" i="17"/>
  <c r="AD57" i="17"/>
  <c r="BE63" i="17"/>
  <c r="AB63" i="17"/>
  <c r="BH63" i="17"/>
  <c r="BG55" i="17"/>
  <c r="AD55" i="17"/>
  <c r="BE56" i="17"/>
  <c r="AB56" i="17"/>
  <c r="BH56" i="17"/>
  <c r="BE64" i="17"/>
  <c r="AB64" i="17"/>
  <c r="BH64" i="17"/>
  <c r="BE54" i="17"/>
  <c r="AB54" i="17"/>
  <c r="BH54" i="17"/>
  <c r="BG46" i="17"/>
  <c r="AD46" i="17"/>
  <c r="BG52" i="17"/>
  <c r="AD52" i="17"/>
  <c r="BH57" i="17"/>
  <c r="AB57" i="17"/>
  <c r="BE57" i="17"/>
  <c r="BE55" i="17"/>
  <c r="AB55" i="17"/>
  <c r="BH55" i="17"/>
  <c r="BG53" i="17"/>
  <c r="AD53" i="17"/>
  <c r="BG51" i="17"/>
  <c r="AD51" i="17"/>
  <c r="AD59" i="17"/>
  <c r="BG59" i="17"/>
  <c r="AD49" i="17"/>
  <c r="BG49" i="17"/>
  <c r="BG48" i="17"/>
  <c r="AD48" i="17"/>
  <c r="BG56" i="17"/>
  <c r="AD56" i="17"/>
  <c r="BG44" i="17"/>
  <c r="AD44" i="17"/>
  <c r="BH61" i="17"/>
  <c r="BE61" i="17"/>
  <c r="AB61" i="17"/>
  <c r="BE62" i="17"/>
  <c r="AB62" i="17"/>
  <c r="BH62" i="17"/>
  <c r="AD61" i="17"/>
  <c r="BG61" i="17"/>
  <c r="BE112" i="17"/>
  <c r="BA116" i="17"/>
  <c r="AB124" i="17"/>
  <c r="AB102" i="17"/>
  <c r="AB32" i="17"/>
  <c r="AD121" i="17"/>
  <c r="BG95" i="17"/>
  <c r="AB79" i="17"/>
  <c r="AD127" i="17"/>
  <c r="BG112" i="17"/>
  <c r="AD34" i="17"/>
  <c r="H35" i="18"/>
  <c r="G35" i="18" s="1"/>
  <c r="BH43" i="17"/>
  <c r="BE43" i="17"/>
  <c r="AB43" i="17"/>
  <c r="AD69" i="17"/>
  <c r="BG69" i="17"/>
  <c r="BH70" i="17"/>
  <c r="AB70" i="17"/>
  <c r="BE70" i="17"/>
  <c r="BE69" i="17"/>
  <c r="BH69" i="17"/>
  <c r="AB69" i="17"/>
  <c r="BH68" i="17"/>
  <c r="AB68" i="17"/>
  <c r="BE68" i="17"/>
  <c r="AD72" i="17"/>
  <c r="BG72" i="17"/>
  <c r="BG43" i="17"/>
  <c r="AD43" i="17"/>
  <c r="BH41" i="17"/>
  <c r="BE41" i="17"/>
  <c r="AB41" i="17"/>
  <c r="AD42" i="17"/>
  <c r="BG42" i="17"/>
  <c r="BG74" i="17"/>
  <c r="AD74" i="17"/>
  <c r="AD71" i="17"/>
  <c r="BG71" i="17"/>
  <c r="BG68" i="17"/>
  <c r="AD68" i="17"/>
  <c r="AB42" i="17"/>
  <c r="BH42" i="17"/>
  <c r="BE42" i="17"/>
  <c r="BH72" i="17"/>
  <c r="AB72" i="17"/>
  <c r="BE72" i="17"/>
  <c r="AD65" i="17"/>
  <c r="BG65" i="17"/>
  <c r="BG41" i="17"/>
  <c r="AD41" i="17"/>
  <c r="BH65" i="17"/>
  <c r="AB65" i="17"/>
  <c r="BE65" i="17"/>
  <c r="AD66" i="17"/>
  <c r="BG66" i="17"/>
  <c r="BH71" i="17"/>
  <c r="AB71" i="17"/>
  <c r="BE71" i="17"/>
  <c r="BG75" i="17"/>
  <c r="AD75" i="17"/>
  <c r="BH73" i="17"/>
  <c r="BE73" i="17"/>
  <c r="AB73" i="17"/>
  <c r="BG67" i="17"/>
  <c r="AD67" i="17"/>
  <c r="BG73" i="17"/>
  <c r="AD73" i="17"/>
  <c r="BE74" i="17"/>
  <c r="AB74" i="17"/>
  <c r="BH74" i="17"/>
  <c r="BH66" i="17"/>
  <c r="AB66" i="17"/>
  <c r="BE66" i="17"/>
  <c r="BG70" i="17"/>
  <c r="AD70" i="17"/>
  <c r="BH67" i="17"/>
  <c r="AB67" i="17"/>
  <c r="BE67" i="17"/>
  <c r="BH104" i="17"/>
  <c r="BG31" i="17"/>
  <c r="BG90" i="17"/>
  <c r="BG80" i="17"/>
  <c r="BG36" i="17"/>
  <c r="BE117" i="17"/>
  <c r="BE95" i="17"/>
  <c r="BE128" i="17"/>
  <c r="AB118" i="17"/>
  <c r="BH117" i="17"/>
  <c r="AD119" i="17"/>
  <c r="AD93" i="17"/>
  <c r="AB26" i="17"/>
  <c r="G18" i="18"/>
  <c r="J18" i="18"/>
  <c r="J5" i="18"/>
  <c r="G5" i="18"/>
  <c r="J86" i="18"/>
  <c r="G89" i="18"/>
  <c r="G68" i="18"/>
  <c r="J68" i="18"/>
  <c r="G74" i="18"/>
  <c r="J74" i="18"/>
  <c r="G48" i="18"/>
  <c r="J48" i="18"/>
  <c r="BI87" i="17"/>
  <c r="G57" i="18"/>
  <c r="J57" i="18"/>
  <c r="BI22" i="17"/>
  <c r="J87" i="18"/>
  <c r="G87" i="18"/>
  <c r="BI107" i="17"/>
  <c r="J12" i="18"/>
  <c r="J76" i="18"/>
  <c r="G76" i="18"/>
  <c r="G84" i="18"/>
  <c r="J84" i="18"/>
  <c r="J17" i="18"/>
  <c r="G17" i="18"/>
  <c r="J66" i="18"/>
  <c r="G66" i="18"/>
  <c r="J80" i="18"/>
  <c r="G80" i="18"/>
  <c r="J31" i="18"/>
  <c r="G31" i="18"/>
  <c r="AF100" i="17"/>
  <c r="BI100" i="17"/>
  <c r="G11" i="18"/>
  <c r="J20" i="18"/>
  <c r="BI76" i="17"/>
  <c r="AF76" i="17"/>
  <c r="J92" i="18"/>
  <c r="G92" i="18"/>
  <c r="G64" i="18"/>
  <c r="J64" i="18"/>
  <c r="J62" i="18"/>
  <c r="G62" i="18"/>
  <c r="G85" i="18"/>
  <c r="J85" i="18"/>
  <c r="AB121" i="17" l="1"/>
  <c r="J69" i="18"/>
  <c r="AF126" i="17"/>
  <c r="BI32" i="17"/>
  <c r="G21" i="18"/>
  <c r="J21" i="18"/>
  <c r="BI125" i="17"/>
  <c r="AF125" i="17"/>
  <c r="AF97" i="17"/>
  <c r="BI97" i="17"/>
  <c r="G33" i="18"/>
  <c r="J33" i="18"/>
  <c r="G79" i="18"/>
  <c r="BH47" i="17"/>
  <c r="BE76" i="17"/>
  <c r="BH91" i="17"/>
  <c r="Y33" i="17"/>
  <c r="BI33" i="17" s="1"/>
  <c r="Y88" i="17"/>
  <c r="BI88" i="17" s="1"/>
  <c r="BH86" i="17"/>
  <c r="BA73" i="17"/>
  <c r="BE49" i="17"/>
  <c r="BI73" i="17"/>
  <c r="AB96" i="17"/>
  <c r="BE96" i="17"/>
  <c r="BE110" i="17"/>
  <c r="AB110" i="17"/>
  <c r="BF79" i="17"/>
  <c r="AC79" i="17"/>
  <c r="BF126" i="17"/>
  <c r="AC126" i="17"/>
  <c r="BF24" i="17"/>
  <c r="AC24" i="17"/>
  <c r="AC75" i="17"/>
  <c r="BF75" i="17"/>
  <c r="AC70" i="17"/>
  <c r="BF70" i="17"/>
  <c r="AC110" i="17"/>
  <c r="BF110" i="17"/>
  <c r="BF99" i="17"/>
  <c r="AC99" i="17"/>
  <c r="BF49" i="17"/>
  <c r="AC49" i="17"/>
  <c r="AC98" i="17"/>
  <c r="BF98" i="17"/>
  <c r="AC109" i="17"/>
  <c r="BH109" i="17"/>
  <c r="BF109" i="17"/>
  <c r="BF123" i="17"/>
  <c r="AC123" i="17"/>
  <c r="BH123" i="17"/>
  <c r="BF128" i="17"/>
  <c r="AC128" i="17"/>
  <c r="BF122" i="17"/>
  <c r="AC122" i="17"/>
  <c r="BF67" i="17"/>
  <c r="AC67" i="17"/>
  <c r="AC105" i="17"/>
  <c r="BF105" i="17"/>
  <c r="BF107" i="17"/>
  <c r="AC107" i="17"/>
  <c r="AC71" i="17"/>
  <c r="BF71" i="17"/>
  <c r="AC83" i="17"/>
  <c r="BF83" i="17"/>
  <c r="BH83" i="17"/>
  <c r="BF82" i="17"/>
  <c r="AC82" i="17"/>
  <c r="BF53" i="17"/>
  <c r="AC53" i="17"/>
  <c r="AC37" i="17"/>
  <c r="BF37" i="17"/>
  <c r="AC81" i="17"/>
  <c r="BF81" i="17"/>
  <c r="BH81" i="17"/>
  <c r="BF74" i="17"/>
  <c r="AC74" i="17"/>
  <c r="BF119" i="17"/>
  <c r="AC119" i="17"/>
  <c r="AC93" i="17"/>
  <c r="BF93" i="17"/>
  <c r="AC26" i="17"/>
  <c r="BF26" i="17"/>
  <c r="BF47" i="17"/>
  <c r="AC47" i="17"/>
  <c r="BF23" i="17"/>
  <c r="AC23" i="17"/>
  <c r="BH23" i="17"/>
  <c r="AC127" i="17"/>
  <c r="BF127" i="17"/>
  <c r="AC100" i="17"/>
  <c r="BF100" i="17"/>
  <c r="AC33" i="17"/>
  <c r="BF33" i="17"/>
  <c r="BF41" i="17"/>
  <c r="AC41" i="17"/>
  <c r="BF38" i="17"/>
  <c r="AC38" i="17"/>
  <c r="BF48" i="17"/>
  <c r="AC48" i="17"/>
  <c r="AC103" i="17"/>
  <c r="BF103" i="17"/>
  <c r="AC43" i="17"/>
  <c r="BF43" i="17"/>
  <c r="AC76" i="17"/>
  <c r="BF76" i="17"/>
  <c r="BH94" i="17"/>
  <c r="BF94" i="17"/>
  <c r="AC94" i="17"/>
  <c r="AC58" i="17"/>
  <c r="BF58" i="17"/>
  <c r="BF73" i="17"/>
  <c r="AC73" i="17"/>
  <c r="BF114" i="17"/>
  <c r="AC114" i="17"/>
  <c r="BF101" i="17"/>
  <c r="AC101" i="17"/>
  <c r="BH101" i="17"/>
  <c r="AC90" i="17"/>
  <c r="BF90" i="17"/>
  <c r="BF60" i="17"/>
  <c r="AC60" i="17"/>
  <c r="BF46" i="17"/>
  <c r="AC46" i="17"/>
  <c r="AC68" i="17"/>
  <c r="BF68" i="17"/>
  <c r="BF39" i="17"/>
  <c r="AC39" i="17"/>
  <c r="BF35" i="17"/>
  <c r="AC35" i="17"/>
  <c r="AC57" i="17"/>
  <c r="BF57" i="17"/>
  <c r="BF61" i="17"/>
  <c r="AC61" i="17"/>
  <c r="AC19" i="17"/>
  <c r="BF19" i="17"/>
  <c r="BH19" i="17"/>
  <c r="AC21" i="17"/>
  <c r="BF21" i="17"/>
  <c r="AC55" i="17"/>
  <c r="BF55" i="17"/>
  <c r="BF112" i="17"/>
  <c r="AC112" i="17"/>
  <c r="BH77" i="17"/>
  <c r="BF77" i="17"/>
  <c r="AC77" i="17"/>
  <c r="AC54" i="17"/>
  <c r="BF54" i="17"/>
  <c r="BF28" i="17"/>
  <c r="BH28" i="17"/>
  <c r="AC28" i="17"/>
  <c r="BH79" i="17"/>
  <c r="BH97" i="17"/>
  <c r="BF97" i="17"/>
  <c r="AC97" i="17"/>
  <c r="AC80" i="17"/>
  <c r="BF80" i="17"/>
  <c r="BF56" i="17"/>
  <c r="AC56" i="17"/>
  <c r="AC104" i="17"/>
  <c r="BF104" i="17"/>
  <c r="AC32" i="17"/>
  <c r="BF32" i="17"/>
  <c r="AC65" i="17"/>
  <c r="BF65" i="17"/>
  <c r="AC27" i="17"/>
  <c r="BF27" i="17"/>
  <c r="AC22" i="17"/>
  <c r="BF22" i="17"/>
  <c r="AC91" i="17"/>
  <c r="BF91" i="17"/>
  <c r="BF20" i="17"/>
  <c r="AC20" i="17"/>
  <c r="AC25" i="17"/>
  <c r="BF25" i="17"/>
  <c r="BF86" i="17"/>
  <c r="AC86" i="17"/>
  <c r="AC88" i="17"/>
  <c r="BF88" i="17"/>
  <c r="BF62" i="17"/>
  <c r="AC62" i="17"/>
  <c r="AC102" i="17"/>
  <c r="BF102" i="17"/>
  <c r="AC30" i="17"/>
  <c r="BF30" i="17"/>
  <c r="BF95" i="17"/>
  <c r="AC95" i="17"/>
  <c r="AC69" i="17"/>
  <c r="BF69" i="17"/>
  <c r="BF87" i="17"/>
  <c r="AC87" i="17"/>
  <c r="AC40" i="17"/>
  <c r="BF40" i="17"/>
  <c r="BF72" i="17"/>
  <c r="AC72" i="17"/>
  <c r="AC59" i="17"/>
  <c r="BF59" i="17"/>
  <c r="AC45" i="17"/>
  <c r="BF45" i="17"/>
  <c r="AC117" i="17"/>
  <c r="BF117" i="17"/>
  <c r="AC125" i="17"/>
  <c r="BH125" i="17"/>
  <c r="BF125" i="17"/>
  <c r="AC92" i="17"/>
  <c r="BF92" i="17"/>
  <c r="BF64" i="17"/>
  <c r="AC64" i="17"/>
  <c r="BF113" i="17"/>
  <c r="AC113" i="17"/>
  <c r="AC118" i="17"/>
  <c r="BF118" i="17"/>
  <c r="AC124" i="17"/>
  <c r="BF124" i="17"/>
  <c r="BF52" i="17"/>
  <c r="AC52" i="17"/>
  <c r="AC84" i="17"/>
  <c r="BF84" i="17"/>
  <c r="BF50" i="17"/>
  <c r="AC50" i="17"/>
  <c r="BF115" i="17"/>
  <c r="BH115" i="17"/>
  <c r="AC115" i="17"/>
  <c r="BF116" i="17"/>
  <c r="AC116" i="17"/>
  <c r="AC111" i="17"/>
  <c r="BF111" i="17"/>
  <c r="BF66" i="17"/>
  <c r="AC66" i="17"/>
  <c r="BF29" i="17"/>
  <c r="AC29" i="17"/>
  <c r="AC108" i="17"/>
  <c r="BF108" i="17"/>
  <c r="AC106" i="17"/>
  <c r="BF106" i="17"/>
  <c r="BF44" i="17"/>
  <c r="AC44" i="17"/>
  <c r="AC63" i="17"/>
  <c r="BF63" i="17"/>
  <c r="BH24" i="17"/>
  <c r="AC42" i="17"/>
  <c r="BF42" i="17"/>
  <c r="BF96" i="17"/>
  <c r="AC96" i="17"/>
  <c r="BH85" i="17"/>
  <c r="AC85" i="17"/>
  <c r="BF85" i="17"/>
  <c r="BF51" i="17"/>
  <c r="AC51" i="17"/>
  <c r="BF121" i="17"/>
  <c r="AC121" i="17"/>
  <c r="BF31" i="17"/>
  <c r="AC31" i="17"/>
  <c r="AC129" i="17"/>
  <c r="BF129" i="17"/>
  <c r="AX130" i="17"/>
  <c r="AC78" i="17"/>
  <c r="BF78" i="17"/>
  <c r="BF34" i="17"/>
  <c r="AC34" i="17"/>
  <c r="BF89" i="17"/>
  <c r="AC89" i="17"/>
  <c r="AC120" i="17"/>
  <c r="BF120" i="17"/>
  <c r="AC36" i="17"/>
  <c r="BF36" i="17"/>
  <c r="BI105" i="17"/>
  <c r="BA114" i="17"/>
  <c r="J93" i="18"/>
  <c r="J60" i="18"/>
  <c r="BI101" i="17"/>
  <c r="BE47" i="17"/>
  <c r="BE46" i="17"/>
  <c r="G60" i="18"/>
  <c r="G93" i="18"/>
  <c r="Y114" i="17"/>
  <c r="BI114" i="17" s="1"/>
  <c r="BE38" i="17"/>
  <c r="AB38" i="17"/>
  <c r="BH93" i="17"/>
  <c r="Y93" i="17"/>
  <c r="BE93" i="17"/>
  <c r="J112" i="18"/>
  <c r="J54" i="18"/>
  <c r="G53" i="18"/>
  <c r="BI38" i="17"/>
  <c r="G20" i="18"/>
  <c r="AF37" i="17"/>
  <c r="G86" i="18"/>
  <c r="J83" i="18"/>
  <c r="G110" i="18"/>
  <c r="H109" i="18"/>
  <c r="BA22" i="17"/>
  <c r="BA52" i="17"/>
  <c r="BA61" i="17"/>
  <c r="H111" i="18"/>
  <c r="H23" i="18"/>
  <c r="BA49" i="17"/>
  <c r="BA41" i="17"/>
  <c r="BA25" i="17"/>
  <c r="H77" i="18"/>
  <c r="J77" i="18" s="1"/>
  <c r="H72" i="18"/>
  <c r="J72" i="18" s="1"/>
  <c r="BA81" i="17"/>
  <c r="BA48" i="17"/>
  <c r="BA119" i="17"/>
  <c r="BA40" i="17"/>
  <c r="BA113" i="17"/>
  <c r="BA56" i="17"/>
  <c r="H70" i="18"/>
  <c r="J70" i="18" s="1"/>
  <c r="H96" i="18"/>
  <c r="H75" i="18"/>
  <c r="G12" i="18"/>
  <c r="J89" i="18"/>
  <c r="J94" i="18"/>
  <c r="BA98" i="17"/>
  <c r="BA118" i="17"/>
  <c r="BA55" i="17"/>
  <c r="BA31" i="17"/>
  <c r="H13" i="18"/>
  <c r="BA75" i="17"/>
  <c r="AF20" i="17"/>
  <c r="AF127" i="17"/>
  <c r="AF26" i="17"/>
  <c r="AF113" i="17"/>
  <c r="BI123" i="17"/>
  <c r="BI116" i="17"/>
  <c r="AF49" i="17"/>
  <c r="BA125" i="17"/>
  <c r="BH88" i="17"/>
  <c r="AF79" i="17"/>
  <c r="BI99" i="17"/>
  <c r="BI35" i="17"/>
  <c r="AF35" i="17"/>
  <c r="BI56" i="17"/>
  <c r="AF117" i="17"/>
  <c r="G50" i="18"/>
  <c r="BI77" i="17"/>
  <c r="BI115" i="17"/>
  <c r="H39" i="18"/>
  <c r="J39" i="18" s="1"/>
  <c r="H24" i="18"/>
  <c r="AB39" i="17"/>
  <c r="BI34" i="17"/>
  <c r="BI103" i="17"/>
  <c r="BH29" i="17"/>
  <c r="Y29" i="17"/>
  <c r="BI29" i="17" s="1"/>
  <c r="BE39" i="17"/>
  <c r="H15" i="18"/>
  <c r="J15" i="18" s="1"/>
  <c r="AT130" i="17"/>
  <c r="BE29" i="17"/>
  <c r="AB30" i="17"/>
  <c r="Y91" i="17"/>
  <c r="BI91" i="17" s="1"/>
  <c r="BI39" i="17"/>
  <c r="BI30" i="17"/>
  <c r="J16" i="18"/>
  <c r="AB75" i="17"/>
  <c r="BA86" i="17"/>
  <c r="BA112" i="17"/>
  <c r="AF89" i="17"/>
  <c r="BE75" i="17"/>
  <c r="BA91" i="17"/>
  <c r="Y86" i="17"/>
  <c r="AB59" i="17"/>
  <c r="Y75" i="17"/>
  <c r="BI75" i="17" s="1"/>
  <c r="BA88" i="17"/>
  <c r="AB88" i="17"/>
  <c r="BE88" i="17"/>
  <c r="J58" i="18"/>
  <c r="AF33" i="17"/>
  <c r="J43" i="18"/>
  <c r="AF85" i="17"/>
  <c r="AF111" i="17"/>
  <c r="J26" i="18"/>
  <c r="Y59" i="17"/>
  <c r="AF59" i="17" s="1"/>
  <c r="H36" i="18"/>
  <c r="G36" i="18" s="1"/>
  <c r="BE114" i="17"/>
  <c r="AB114" i="17"/>
  <c r="AF28" i="17"/>
  <c r="AF114" i="17"/>
  <c r="BI128" i="17"/>
  <c r="AF109" i="17"/>
  <c r="BI92" i="17"/>
  <c r="J90" i="18"/>
  <c r="BE86" i="17"/>
  <c r="J82" i="18"/>
  <c r="H65" i="18"/>
  <c r="AB86" i="17"/>
  <c r="BA93" i="17"/>
  <c r="BA30" i="17"/>
  <c r="H14" i="18"/>
  <c r="BA67" i="17"/>
  <c r="H51" i="18"/>
  <c r="H45" i="18"/>
  <c r="G45" i="18" s="1"/>
  <c r="G37" i="18"/>
  <c r="H9" i="18"/>
  <c r="BE35" i="17"/>
  <c r="AB35" i="17"/>
  <c r="BH35" i="17"/>
  <c r="AB21" i="17"/>
  <c r="BE21" i="17"/>
  <c r="BH21" i="17"/>
  <c r="H7" i="18"/>
  <c r="BA23" i="17"/>
  <c r="BE116" i="17"/>
  <c r="BH116" i="17"/>
  <c r="AB116" i="17"/>
  <c r="BA54" i="17"/>
  <c r="H38" i="18"/>
  <c r="AB40" i="17"/>
  <c r="BH40" i="17"/>
  <c r="BE40" i="17"/>
  <c r="BA71" i="17"/>
  <c r="H55" i="18"/>
  <c r="BA26" i="17"/>
  <c r="H10" i="18"/>
  <c r="BA65" i="17"/>
  <c r="H49" i="18"/>
  <c r="BE26" i="17"/>
  <c r="BH26" i="17"/>
  <c r="AB120" i="17"/>
  <c r="BE120" i="17"/>
  <c r="BH120" i="17"/>
  <c r="H4" i="18"/>
  <c r="BA20" i="17"/>
  <c r="BA83" i="17"/>
  <c r="H67" i="18"/>
  <c r="BA38" i="17"/>
  <c r="H22" i="18"/>
  <c r="AW130" i="17"/>
  <c r="G42" i="18"/>
  <c r="BI63" i="17"/>
  <c r="BI65" i="17"/>
  <c r="BI84" i="17"/>
  <c r="G59" i="18"/>
  <c r="AF82" i="17"/>
  <c r="J56" i="18"/>
  <c r="J91" i="18"/>
  <c r="G3" i="18"/>
  <c r="AF83" i="17"/>
  <c r="G63" i="18"/>
  <c r="J52" i="18"/>
  <c r="AF54" i="17"/>
  <c r="AF106" i="17"/>
  <c r="BI120" i="17"/>
  <c r="J47" i="18"/>
  <c r="G106" i="18"/>
  <c r="J106" i="18"/>
  <c r="J108" i="18"/>
  <c r="G108" i="18"/>
  <c r="G113" i="18"/>
  <c r="J113" i="18"/>
  <c r="G102" i="18"/>
  <c r="J102" i="18"/>
  <c r="J103" i="18"/>
  <c r="G103" i="18"/>
  <c r="AF25" i="17"/>
  <c r="G105" i="18"/>
  <c r="J105" i="18"/>
  <c r="J104" i="18"/>
  <c r="G104" i="18"/>
  <c r="J111" i="18"/>
  <c r="G111" i="18"/>
  <c r="G107" i="18"/>
  <c r="J107" i="18"/>
  <c r="AT131" i="17"/>
  <c r="J101" i="18"/>
  <c r="G101" i="18"/>
  <c r="G98" i="18"/>
  <c r="J98" i="18"/>
  <c r="G99" i="18"/>
  <c r="J99" i="18"/>
  <c r="J97" i="18"/>
  <c r="G97" i="18"/>
  <c r="BI95" i="17"/>
  <c r="G100" i="18"/>
  <c r="J100" i="18"/>
  <c r="J96" i="18"/>
  <c r="G96" i="18"/>
  <c r="J73" i="18"/>
  <c r="BI108" i="17"/>
  <c r="J61" i="18"/>
  <c r="AF88" i="17"/>
  <c r="J6" i="18"/>
  <c r="J28" i="18"/>
  <c r="AF23" i="17"/>
  <c r="BI40" i="17"/>
  <c r="AF129" i="17"/>
  <c r="BI110" i="17"/>
  <c r="AF81" i="17"/>
  <c r="AF29" i="17"/>
  <c r="J19" i="18"/>
  <c r="G71" i="18"/>
  <c r="AF19" i="17"/>
  <c r="AF57" i="17"/>
  <c r="J41" i="18"/>
  <c r="AF112" i="17"/>
  <c r="AF24" i="17"/>
  <c r="G81" i="18"/>
  <c r="AF90" i="17"/>
  <c r="BI121" i="17"/>
  <c r="BI21" i="17"/>
  <c r="J8" i="18"/>
  <c r="AF98" i="17"/>
  <c r="AF102" i="17"/>
  <c r="AF96" i="17"/>
  <c r="BI80" i="17"/>
  <c r="AF118" i="17"/>
  <c r="J29" i="18"/>
  <c r="BI55" i="17"/>
  <c r="J88" i="18"/>
  <c r="G40" i="18"/>
  <c r="AF104" i="17"/>
  <c r="G46" i="18"/>
  <c r="BI94" i="17"/>
  <c r="AF31" i="17"/>
  <c r="AF27" i="17"/>
  <c r="J44" i="18"/>
  <c r="J30" i="18"/>
  <c r="AF36" i="17"/>
  <c r="AF46" i="17"/>
  <c r="AF43" i="17"/>
  <c r="BI119" i="17"/>
  <c r="G32" i="18"/>
  <c r="G27" i="18"/>
  <c r="AF124" i="17"/>
  <c r="BI61" i="17"/>
  <c r="G39" i="18"/>
  <c r="G34" i="18"/>
  <c r="G78" i="18"/>
  <c r="BI58" i="17"/>
  <c r="AF122" i="17"/>
  <c r="J35" i="18"/>
  <c r="BI78" i="17"/>
  <c r="AF75" i="17"/>
  <c r="AF45" i="17"/>
  <c r="AF71" i="17"/>
  <c r="BI51" i="17"/>
  <c r="AF68" i="17"/>
  <c r="BI67" i="17"/>
  <c r="BI50" i="17"/>
  <c r="AF74" i="17"/>
  <c r="BI41" i="17"/>
  <c r="AF47" i="17"/>
  <c r="BI48" i="17"/>
  <c r="AF52" i="17"/>
  <c r="AF66" i="17"/>
  <c r="AF44" i="17"/>
  <c r="AF42" i="17"/>
  <c r="AF70" i="17"/>
  <c r="BI64" i="17"/>
  <c r="BI53" i="17"/>
  <c r="BI62" i="17"/>
  <c r="BI72" i="17"/>
  <c r="AF60" i="17"/>
  <c r="BI69" i="17"/>
  <c r="J25" i="18"/>
  <c r="G77" i="18" l="1"/>
  <c r="AF93" i="17"/>
  <c r="BI93" i="17"/>
  <c r="BI59" i="17"/>
  <c r="G70" i="18"/>
  <c r="G75" i="18"/>
  <c r="J75" i="18"/>
  <c r="J109" i="18"/>
  <c r="G72" i="18"/>
  <c r="G109" i="18"/>
  <c r="G13" i="18"/>
  <c r="J13" i="18"/>
  <c r="J23" i="18"/>
  <c r="G23" i="18"/>
  <c r="AF91" i="17"/>
  <c r="G15" i="18"/>
  <c r="G24" i="18"/>
  <c r="J24" i="18"/>
  <c r="J36" i="18"/>
  <c r="BI86" i="17"/>
  <c r="AF86" i="17"/>
  <c r="J51" i="18"/>
  <c r="G51" i="18"/>
  <c r="J45" i="18"/>
  <c r="G14" i="18"/>
  <c r="J14" i="18"/>
  <c r="G65" i="18"/>
  <c r="J65" i="18"/>
  <c r="J9" i="18"/>
  <c r="G9" i="18"/>
  <c r="J7" i="18"/>
  <c r="G7" i="18"/>
  <c r="J38" i="18"/>
  <c r="G38" i="18"/>
  <c r="BA130" i="17"/>
  <c r="J4" i="18"/>
  <c r="G4" i="18"/>
  <c r="G10" i="18"/>
  <c r="J10" i="18"/>
  <c r="G67" i="18"/>
  <c r="J67" i="18"/>
  <c r="J49" i="18"/>
  <c r="G49" i="18"/>
  <c r="J55" i="18"/>
  <c r="G55" i="18"/>
  <c r="J22" i="18"/>
  <c r="G22" i="18"/>
  <c r="H119" i="18"/>
  <c r="H121" i="18" s="1"/>
  <c r="J119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 Thi Thao</author>
  </authors>
  <commentList>
    <comment ref="B5" authorId="0" shapeId="0" xr:uid="{B03A9595-694E-4540-8633-13383639D4F5}">
      <text>
        <r>
          <rPr>
            <b/>
            <sz val="9"/>
            <color indexed="81"/>
            <rFont val="Tahoma"/>
            <family val="2"/>
          </rPr>
          <t>Monthly update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 Duc Anh</author>
  </authors>
  <commentList>
    <comment ref="AR20" authorId="0" shapeId="0" xr:uid="{88E57BD2-C316-4478-816A-15B1CB440C83}">
      <text>
        <r>
          <rPr>
            <b/>
            <sz val="9"/>
            <color indexed="81"/>
            <rFont val="Tahoma"/>
            <family val="2"/>
          </rPr>
          <t>Do Duc Anh:</t>
        </r>
        <r>
          <rPr>
            <sz val="9"/>
            <color indexed="81"/>
            <rFont val="Tahoma"/>
            <family val="2"/>
          </rPr>
          <t xml:space="preserve">
QA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2">
    <bk>
      <extLst>
        <ext uri="{bdbb8cdc-fa1e-496e-a857-3c3f30c029c3}">
          <xda:dynamicArrayProperties fDynamic="0" fCollapsed="0"/>
        </ext>
      </extLst>
    </bk>
    <bk>
      <extLst>
        <ext uri="{bdbb8cdc-fa1e-496e-a857-3c3f30c029c3}">
          <xda:dynamicArrayProperties fDynamic="1" fCollapsed="0"/>
        </ext>
      </extLst>
    </bk>
  </futureMetadata>
  <cellMetadata count="2">
    <bk>
      <rc t="1" v="0"/>
    </bk>
    <bk>
      <rc t="1" v="1"/>
    </bk>
  </cellMetadata>
</metadata>
</file>

<file path=xl/sharedStrings.xml><?xml version="1.0" encoding="utf-8"?>
<sst xmlns="http://schemas.openxmlformats.org/spreadsheetml/2006/main" count="6392" uniqueCount="1867">
  <si>
    <t>Labor</t>
  </si>
  <si>
    <t>Energy</t>
  </si>
  <si>
    <t>Depreciation</t>
  </si>
  <si>
    <t>Waste</t>
  </si>
  <si>
    <t>Total</t>
  </si>
  <si>
    <t>154</t>
  </si>
  <si>
    <t>TD code1</t>
  </si>
  <si>
    <t>Acc. No</t>
  </si>
  <si>
    <t>Direct Material cost</t>
  </si>
  <si>
    <t>Consumable</t>
  </si>
  <si>
    <t>Mech.Service &amp; Maint</t>
  </si>
  <si>
    <t>MD code</t>
  </si>
  <si>
    <t>Other</t>
  </si>
  <si>
    <t>USD/tire</t>
  </si>
  <si>
    <t>Dep.</t>
  </si>
  <si>
    <t>Oth.</t>
  </si>
  <si>
    <t>LB</t>
  </si>
  <si>
    <t>Description</t>
  </si>
  <si>
    <t>Depreciation of fixed assets</t>
  </si>
  <si>
    <t>Scrap Cost (g)</t>
  </si>
  <si>
    <t>Scrap Cost</t>
  </si>
  <si>
    <t>DM</t>
  </si>
  <si>
    <t>CC</t>
  </si>
  <si>
    <t>Allot key</t>
  </si>
  <si>
    <t>Mfg_Code</t>
  </si>
  <si>
    <t>Direct Material</t>
  </si>
  <si>
    <t>Total Mfg cost</t>
  </si>
  <si>
    <t>Quantities</t>
  </si>
  <si>
    <t>Wt. (kg/tire)</t>
  </si>
  <si>
    <t>Total Wt.</t>
  </si>
  <si>
    <t>RRW (kg/tire)</t>
  </si>
  <si>
    <t>RRT</t>
  </si>
  <si>
    <t>DRM</t>
  </si>
  <si>
    <t>Mfg.cost</t>
  </si>
  <si>
    <t>Actual cost allocation</t>
  </si>
  <si>
    <t>USD</t>
  </si>
  <si>
    <t>Conversion cost (USD)</t>
  </si>
  <si>
    <t>Equipments rental</t>
  </si>
  <si>
    <t xml:space="preserve">Actual FG cost per unit </t>
  </si>
  <si>
    <t>FG Quantities</t>
  </si>
  <si>
    <t>Total actual FG cost</t>
  </si>
  <si>
    <t>Total variance FG cost (Actual vs. Standard)</t>
  </si>
  <si>
    <t>Total standard FG cost</t>
  </si>
  <si>
    <t>PSR0V03F</t>
  </si>
  <si>
    <t>SZKVA</t>
  </si>
  <si>
    <t>Labor_Indirect</t>
  </si>
  <si>
    <t>Labor_Direct</t>
  </si>
  <si>
    <t>Land amortization</t>
  </si>
  <si>
    <t>NLFVA</t>
  </si>
  <si>
    <t>PSR0V11F</t>
  </si>
  <si>
    <t>EAEVA</t>
  </si>
  <si>
    <t>Conversion cost (USD/tire)</t>
  </si>
  <si>
    <t>PSR0V01S</t>
  </si>
  <si>
    <t>P2PVA</t>
  </si>
  <si>
    <t>PSR0V07F</t>
  </si>
  <si>
    <t>LY5VA</t>
  </si>
  <si>
    <t>PSR0V08F</t>
  </si>
  <si>
    <t>CTSVA</t>
  </si>
  <si>
    <t>PSR0V04S</t>
  </si>
  <si>
    <t>PSR0V06S</t>
  </si>
  <si>
    <t>CBRVA</t>
  </si>
  <si>
    <t>PSR0V03S</t>
  </si>
  <si>
    <t>VVVVA</t>
  </si>
  <si>
    <t>PSR0V05S</t>
  </si>
  <si>
    <t>YYYVA</t>
  </si>
  <si>
    <t>Hygien &amp; environment protection</t>
  </si>
  <si>
    <t>Fringe benefit_Expat</t>
  </si>
  <si>
    <t>Business travels expenses</t>
  </si>
  <si>
    <t>Relocation expenses_Expat</t>
  </si>
  <si>
    <t>3MCVA</t>
  </si>
  <si>
    <t>PSR0V02S</t>
  </si>
  <si>
    <t>TANVA</t>
  </si>
  <si>
    <t>PSR0V02F</t>
  </si>
  <si>
    <t>PSR0V06F</t>
  </si>
  <si>
    <t>MK5VA</t>
  </si>
  <si>
    <t>PSR0V07S</t>
  </si>
  <si>
    <t>F91VA</t>
  </si>
  <si>
    <t>Variance per unit (Actual vs. pre-determined)</t>
  </si>
  <si>
    <t>PSR0V16F</t>
  </si>
  <si>
    <t>PSR0V18F</t>
  </si>
  <si>
    <t>KENVA</t>
  </si>
  <si>
    <t>GBAVA</t>
  </si>
  <si>
    <t>PSR0V19F</t>
  </si>
  <si>
    <t>SHTVA</t>
  </si>
  <si>
    <t>PSR0V03P</t>
  </si>
  <si>
    <t>BJTVA</t>
  </si>
  <si>
    <t>PSR0V02P</t>
  </si>
  <si>
    <t>QP3VA</t>
  </si>
  <si>
    <t>PSR0V01P</t>
  </si>
  <si>
    <t>R2DVA</t>
  </si>
  <si>
    <t>Total arising</t>
  </si>
  <si>
    <t>Direct material for mass production</t>
  </si>
  <si>
    <t>Other sundry expenses</t>
  </si>
  <si>
    <t>Recruitment</t>
  </si>
  <si>
    <t>RTA expense</t>
  </si>
  <si>
    <t>Security services</t>
  </si>
  <si>
    <t>Indirect materials</t>
  </si>
  <si>
    <t>Electric charge</t>
  </si>
  <si>
    <t>Water &amp; Waste water charge</t>
  </si>
  <si>
    <t>Consumable goods</t>
  </si>
  <si>
    <t>Amortization land leasing cost</t>
  </si>
  <si>
    <t>Uniform &amp; safety supplies_Expat</t>
  </si>
  <si>
    <t>Apartment rental_Expat</t>
  </si>
  <si>
    <t>Medical expenses_Expat</t>
  </si>
  <si>
    <t>EDP expense</t>
  </si>
  <si>
    <t>Insurance</t>
  </si>
  <si>
    <t>Direct material loss (W&amp;S)</t>
  </si>
  <si>
    <t>Pro. Code</t>
  </si>
  <si>
    <t>Unit price</t>
  </si>
  <si>
    <t>DM COST CALCULATION</t>
  </si>
  <si>
    <t>Month:</t>
  </si>
  <si>
    <t>Predetermined</t>
  </si>
  <si>
    <t>BPC</t>
  </si>
  <si>
    <t>SAP code</t>
  </si>
  <si>
    <t>COGS</t>
  </si>
  <si>
    <t>Am't_RW</t>
  </si>
  <si>
    <t>COGM</t>
  </si>
  <si>
    <t>Am't_Mfg</t>
  </si>
  <si>
    <t>Ttl_Q'ty</t>
  </si>
  <si>
    <t>Ttl_Am't</t>
  </si>
  <si>
    <t>Pre-determined FG cost per unit</t>
  </si>
  <si>
    <t>FC in Tire</t>
  </si>
  <si>
    <t>PSR0V114</t>
  </si>
  <si>
    <t>PSR0V116</t>
  </si>
  <si>
    <t>S4NVA</t>
  </si>
  <si>
    <t>RANVA</t>
  </si>
  <si>
    <t>XXXVA</t>
  </si>
  <si>
    <t>YSLVA</t>
  </si>
  <si>
    <t>PSR0V113</t>
  </si>
  <si>
    <t>%</t>
  </si>
  <si>
    <t>PSR0V08S</t>
  </si>
  <si>
    <t>HNGVA</t>
  </si>
  <si>
    <t>PSR0V09S</t>
  </si>
  <si>
    <t>PSR0V109</t>
  </si>
  <si>
    <t>HPBVA</t>
  </si>
  <si>
    <t>PSR0V10S</t>
  </si>
  <si>
    <t>PSR0V118</t>
  </si>
  <si>
    <t>S8NVA</t>
  </si>
  <si>
    <t>PSR0V11S</t>
  </si>
  <si>
    <t>RW_Q'ty</t>
  </si>
  <si>
    <t>Mfg_Q'ty</t>
  </si>
  <si>
    <t>S3NVA</t>
  </si>
  <si>
    <t>PSR0V126</t>
  </si>
  <si>
    <t>TMVVA</t>
  </si>
  <si>
    <t>DMC</t>
  </si>
  <si>
    <t>Labor/pcs</t>
  </si>
  <si>
    <t>Depre/pcs</t>
  </si>
  <si>
    <t>Other/pcs</t>
  </si>
  <si>
    <t>CC/pcs</t>
  </si>
  <si>
    <t>TTL/pcs</t>
  </si>
  <si>
    <t>S6NVA</t>
  </si>
  <si>
    <t>PSR0V124</t>
  </si>
  <si>
    <t>KLTZA</t>
  </si>
  <si>
    <t>PSR0V72F</t>
  </si>
  <si>
    <t>PSR0V73F</t>
  </si>
  <si>
    <t>PSR0V77F</t>
  </si>
  <si>
    <t>PSR0V78F</t>
  </si>
  <si>
    <t>PSR0V79F</t>
  </si>
  <si>
    <t>PSR0V80F</t>
  </si>
  <si>
    <t>PSR0V92F</t>
  </si>
  <si>
    <t>PSR0VA5F</t>
  </si>
  <si>
    <t>PSR0VA6F</t>
  </si>
  <si>
    <t>PSR0VA7F</t>
  </si>
  <si>
    <t>PSR0V65F</t>
  </si>
  <si>
    <t>PSR0V002</t>
  </si>
  <si>
    <t>PSR0V039</t>
  </si>
  <si>
    <t>PSR0V032</t>
  </si>
  <si>
    <t>PSR0V043</t>
  </si>
  <si>
    <t>PSR0V004</t>
  </si>
  <si>
    <t>PSR0V012</t>
  </si>
  <si>
    <t>PSR0V006</t>
  </si>
  <si>
    <t>PSR0V005</t>
  </si>
  <si>
    <t>PSR0V013</t>
  </si>
  <si>
    <t>PSR0V001</t>
  </si>
  <si>
    <t>PSR0V123</t>
  </si>
  <si>
    <t>PLLZA</t>
  </si>
  <si>
    <t>WMTZA</t>
  </si>
  <si>
    <t>PSR0V11D</t>
  </si>
  <si>
    <t>PSR0V14D</t>
  </si>
  <si>
    <t>PSR0V15D</t>
  </si>
  <si>
    <t>PSR0V16D</t>
  </si>
  <si>
    <t>PSR0V17D</t>
  </si>
  <si>
    <t>PSR0V18D</t>
  </si>
  <si>
    <t>PSR0V19D</t>
  </si>
  <si>
    <t>PSR0V81F</t>
  </si>
  <si>
    <t>PSR0V82F</t>
  </si>
  <si>
    <t>PSR0V83F</t>
  </si>
  <si>
    <t>PSR0V84F</t>
  </si>
  <si>
    <t>PSR0V85F</t>
  </si>
  <si>
    <t>PSR0V87F</t>
  </si>
  <si>
    <t>PSR0V88F</t>
  </si>
  <si>
    <t>PSR0V97F</t>
  </si>
  <si>
    <t>VGBVA</t>
  </si>
  <si>
    <t>LCDZA</t>
  </si>
  <si>
    <t>HGKZA</t>
  </si>
  <si>
    <t>PKMZA</t>
  </si>
  <si>
    <t>ZDMZA</t>
  </si>
  <si>
    <t>TXLZA</t>
  </si>
  <si>
    <t>VSTVA</t>
  </si>
  <si>
    <t>ENGVA</t>
  </si>
  <si>
    <t>TCTVA</t>
  </si>
  <si>
    <t>EMYVA</t>
  </si>
  <si>
    <t>PSR0V13D</t>
  </si>
  <si>
    <t>STDVA</t>
  </si>
  <si>
    <t>AMMZA</t>
  </si>
  <si>
    <t>FACTORY COST DATA</t>
  </si>
  <si>
    <t>PSR0V22D</t>
  </si>
  <si>
    <t>PSR0V23D</t>
  </si>
  <si>
    <t>PSR0V89F</t>
  </si>
  <si>
    <t>PSR0VA0F</t>
  </si>
  <si>
    <t>TGAZA</t>
  </si>
  <si>
    <t>SMLZA</t>
  </si>
  <si>
    <t>PCXVA</t>
  </si>
  <si>
    <t>PSR0VB3F</t>
  </si>
  <si>
    <t>TENVA</t>
  </si>
  <si>
    <t>SYTZA</t>
  </si>
  <si>
    <t>DKHZA</t>
  </si>
  <si>
    <t>PMCZA</t>
  </si>
  <si>
    <t>VFFVA</t>
  </si>
  <si>
    <t>VMUVA</t>
  </si>
  <si>
    <t>PSR0V20D</t>
  </si>
  <si>
    <t>PSR0V86F</t>
  </si>
  <si>
    <t>PSR0V75F</t>
  </si>
  <si>
    <t>DHHZA</t>
  </si>
  <si>
    <t>QBVVA</t>
  </si>
  <si>
    <t>PTDZA</t>
  </si>
  <si>
    <t>PSR0V91F</t>
  </si>
  <si>
    <t>REXVA</t>
  </si>
  <si>
    <t>DLVVA</t>
  </si>
  <si>
    <t>F4RVA</t>
  </si>
  <si>
    <t>BLFVA</t>
  </si>
  <si>
    <t>WLLVA</t>
  </si>
  <si>
    <t>PSR0V130</t>
  </si>
  <si>
    <t>MQTVA</t>
  </si>
  <si>
    <t>PSR0V74F</t>
  </si>
  <si>
    <t>JRVZA</t>
  </si>
  <si>
    <t>PSR0V76F</t>
  </si>
  <si>
    <t>NCDZA</t>
  </si>
  <si>
    <t>PSR0VA3F</t>
  </si>
  <si>
    <t>PSR0VA4F</t>
  </si>
  <si>
    <t>PRNVA</t>
  </si>
  <si>
    <t>PSR0VB8F</t>
  </si>
  <si>
    <t>PSR0VB9F</t>
  </si>
  <si>
    <t>PSR0V007</t>
  </si>
  <si>
    <t>PSR0V014</t>
  </si>
  <si>
    <t>PSR0V21D</t>
  </si>
  <si>
    <t>NQTZA</t>
  </si>
  <si>
    <t>PSR0V24D</t>
  </si>
  <si>
    <t>HDDZA</t>
  </si>
  <si>
    <t>PSR0VA2F</t>
  </si>
  <si>
    <t>PSR0VC2F</t>
  </si>
  <si>
    <t>LHNVA</t>
  </si>
  <si>
    <t>Kết xuất ZVF59 từ SAP, copy thay dữ liệu từ A2 -&gt; BO210</t>
  </si>
  <si>
    <t>PSR0V93F</t>
  </si>
  <si>
    <t>PSR0V122</t>
  </si>
  <si>
    <t>PSR0V12D</t>
  </si>
  <si>
    <t>YBGVA</t>
  </si>
  <si>
    <t>ETDVA</t>
  </si>
  <si>
    <t>PSR0VA9F</t>
  </si>
  <si>
    <t>VPTVA</t>
  </si>
  <si>
    <t>PSR0VB5F</t>
  </si>
  <si>
    <t>PSR0V05B</t>
  </si>
  <si>
    <t>PSR0V140</t>
  </si>
  <si>
    <t>WRTVA</t>
  </si>
  <si>
    <t>EXTVA</t>
  </si>
  <si>
    <t>CUSVA</t>
  </si>
  <si>
    <t>EHSVA</t>
  </si>
  <si>
    <t>CVVVA</t>
  </si>
  <si>
    <t>P5NVA</t>
  </si>
  <si>
    <t>YGHVA</t>
  </si>
  <si>
    <t>PSR0V035</t>
  </si>
  <si>
    <t>PSR0VC6F</t>
  </si>
  <si>
    <t>DEFVA</t>
  </si>
  <si>
    <t>BTMV Code</t>
  </si>
  <si>
    <t>XAXVA</t>
  </si>
  <si>
    <t>PSR0V12F</t>
  </si>
  <si>
    <t>PSR0V21F</t>
  </si>
  <si>
    <t>PSR0V22F</t>
  </si>
  <si>
    <t>RTBVA</t>
  </si>
  <si>
    <t>NSBVA</t>
  </si>
  <si>
    <t>PSR0V040</t>
  </si>
  <si>
    <t>PSR0VB6F</t>
  </si>
  <si>
    <t>PSR0VB7F</t>
  </si>
  <si>
    <t>V6PVA</t>
  </si>
  <si>
    <t>PSR0V29D</t>
  </si>
  <si>
    <t>PSR0V033</t>
  </si>
  <si>
    <t>PSR0V143</t>
  </si>
  <si>
    <t>PSR0V31D</t>
  </si>
  <si>
    <t>PSR0V30D</t>
  </si>
  <si>
    <t>LDGVA</t>
  </si>
  <si>
    <t>KCEVA</t>
  </si>
  <si>
    <t>LFCZA</t>
  </si>
  <si>
    <t>LTYVA</t>
  </si>
  <si>
    <t>HYHZA</t>
  </si>
  <si>
    <t>PSR0V046</t>
  </si>
  <si>
    <t>PSR0V135</t>
  </si>
  <si>
    <t>XBBVA</t>
  </si>
  <si>
    <t>PSR0V165</t>
  </si>
  <si>
    <t>PSR0V166</t>
  </si>
  <si>
    <t>PSR0V167</t>
  </si>
  <si>
    <t>PSR0V168</t>
  </si>
  <si>
    <t>PSR0V169</t>
  </si>
  <si>
    <t>PSR0V170</t>
  </si>
  <si>
    <t>PSR0V173</t>
  </si>
  <si>
    <t>PSR0V174</t>
  </si>
  <si>
    <t>PSR0V90F</t>
  </si>
  <si>
    <t>VCDVA</t>
  </si>
  <si>
    <t>PSR0VB0F</t>
  </si>
  <si>
    <t>D3MVA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</si>
  <si>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</si>
  <si>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</si>
  <si>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</si>
  <si>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</si>
  <si>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</si>
  <si>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</si>
  <si>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</si>
  <si>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</si>
  <si>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</si>
  <si>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</si>
  <si>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</si>
  <si>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</si>
  <si>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Setting</t>
  </si>
  <si>
    <t>Gentan-i</t>
  </si>
  <si>
    <t>Gap</t>
  </si>
  <si>
    <t>Previous month</t>
  </si>
  <si>
    <t>vs. previous month</t>
  </si>
  <si>
    <t>NTMVA</t>
  </si>
  <si>
    <t>SERVA</t>
  </si>
  <si>
    <t>PSR0V27B</t>
  </si>
  <si>
    <t>ACEZA</t>
  </si>
  <si>
    <t>PSR0V04P</t>
  </si>
  <si>
    <t>TZNVA</t>
  </si>
  <si>
    <t>PSR0V146</t>
  </si>
  <si>
    <t>GKPVA</t>
  </si>
  <si>
    <t>PSR0V154</t>
  </si>
  <si>
    <t>HSTZA</t>
  </si>
  <si>
    <t>PSR0V145</t>
  </si>
  <si>
    <t>KPXVA</t>
  </si>
  <si>
    <t>PSR0V147</t>
  </si>
  <si>
    <t>MXDVA</t>
  </si>
  <si>
    <t>PSR0V149</t>
  </si>
  <si>
    <t>HCNVA</t>
  </si>
  <si>
    <t>PSR0V05P</t>
  </si>
  <si>
    <t>PSR0V06P</t>
  </si>
  <si>
    <t>PSR0V150</t>
  </si>
  <si>
    <t>PSR0V151</t>
  </si>
  <si>
    <t>PSR0V155</t>
  </si>
  <si>
    <t>PSR0V183</t>
  </si>
  <si>
    <t>PSR0V18S</t>
  </si>
  <si>
    <t>PSR0V19S</t>
  </si>
  <si>
    <t>PSR0V20S</t>
  </si>
  <si>
    <t>PSR0V21S</t>
  </si>
  <si>
    <t>PSR0V22S</t>
  </si>
  <si>
    <t>PSR0V23S</t>
  </si>
  <si>
    <t>PSR0V30B</t>
  </si>
  <si>
    <t>TWWZA</t>
  </si>
  <si>
    <t>AZGVA</t>
  </si>
  <si>
    <t>ADXVA</t>
  </si>
  <si>
    <t>WNPVA</t>
  </si>
  <si>
    <t>ZJFVA</t>
  </si>
  <si>
    <t>QWAVA</t>
  </si>
  <si>
    <t>VJYVA</t>
  </si>
  <si>
    <t>LZRVA</t>
  </si>
  <si>
    <t>NJSVA</t>
  </si>
  <si>
    <t>BZKZA</t>
  </si>
  <si>
    <t>CZVZA</t>
  </si>
  <si>
    <t>RBMVA</t>
  </si>
  <si>
    <t>LGYZA</t>
  </si>
  <si>
    <t>ZQYVA</t>
  </si>
  <si>
    <t>JZTVA</t>
  </si>
  <si>
    <t>VZSVA</t>
  </si>
  <si>
    <t>WBPVA</t>
  </si>
  <si>
    <t>M3</t>
  </si>
  <si>
    <t>LI/SP</t>
  </si>
  <si>
    <t>Section</t>
  </si>
  <si>
    <t>Rim</t>
  </si>
  <si>
    <t>Pattern</t>
  </si>
  <si>
    <t>Brand name</t>
  </si>
  <si>
    <t>Brand category</t>
  </si>
  <si>
    <t>MTP group</t>
  </si>
  <si>
    <t>BTMV code</t>
  </si>
  <si>
    <t>WS</t>
  </si>
  <si>
    <t>Royalty%</t>
  </si>
  <si>
    <t>TPL price</t>
  </si>
  <si>
    <t>BSJ</t>
  </si>
  <si>
    <t>PSR0V015</t>
  </si>
  <si>
    <t>PFRVA</t>
  </si>
  <si>
    <t>PSR0V01B</t>
  </si>
  <si>
    <t>GSGVA</t>
  </si>
  <si>
    <t>PSR0V152</t>
  </si>
  <si>
    <t>ECCVA</t>
  </si>
  <si>
    <t>PSR0V157</t>
  </si>
  <si>
    <t>ZPYVA</t>
  </si>
  <si>
    <t>PSR0V161</t>
  </si>
  <si>
    <t>TFBVA</t>
  </si>
  <si>
    <t>PSR0V164</t>
  </si>
  <si>
    <t>SCLZA</t>
  </si>
  <si>
    <t>JXKVA</t>
  </si>
  <si>
    <t>GJDZA</t>
  </si>
  <si>
    <t>FMNVA</t>
  </si>
  <si>
    <t>PSR0V184</t>
  </si>
  <si>
    <t>JCGZA</t>
  </si>
  <si>
    <t>PSR0V185</t>
  </si>
  <si>
    <t>EWPVA</t>
  </si>
  <si>
    <t>PSR0V186</t>
  </si>
  <si>
    <t>SBGMA</t>
  </si>
  <si>
    <t>PSR0V187</t>
  </si>
  <si>
    <t>NDKMA</t>
  </si>
  <si>
    <t>PSR0V188</t>
  </si>
  <si>
    <t>CKKVA</t>
  </si>
  <si>
    <t>PSR0V190</t>
  </si>
  <si>
    <t>PSR0V193</t>
  </si>
  <si>
    <t>PSR0V25S</t>
  </si>
  <si>
    <t>KSAVA</t>
  </si>
  <si>
    <t>PSR0V42D</t>
  </si>
  <si>
    <t>3CSZA</t>
  </si>
  <si>
    <t>PSR0V43D</t>
  </si>
  <si>
    <t>VYFZA</t>
  </si>
  <si>
    <t>PSR0V46D</t>
  </si>
  <si>
    <t>PSR0V47D</t>
  </si>
  <si>
    <t>PSR0V48D</t>
  </si>
  <si>
    <t>PSR0V49D</t>
  </si>
  <si>
    <t>PSR0V50D</t>
  </si>
  <si>
    <t>PSR0V51D</t>
  </si>
  <si>
    <t>PSR0V52D</t>
  </si>
  <si>
    <t>PSR0V53D</t>
  </si>
  <si>
    <t>Tire weight</t>
  </si>
  <si>
    <t>PSR0V177</t>
  </si>
  <si>
    <t>XDFVA</t>
  </si>
  <si>
    <t>PSR0V178</t>
  </si>
  <si>
    <t>KVQVA</t>
  </si>
  <si>
    <t>PSR0V179</t>
  </si>
  <si>
    <t>DPJVA</t>
  </si>
  <si>
    <t>PSR0V194</t>
  </si>
  <si>
    <t>VRQVA</t>
  </si>
  <si>
    <t>PSR0V45D</t>
  </si>
  <si>
    <t>PSR0VD1F</t>
  </si>
  <si>
    <t>FDPVA</t>
  </si>
  <si>
    <t>P4NVA</t>
  </si>
  <si>
    <t>YMJVA</t>
  </si>
  <si>
    <t>AJNVA</t>
  </si>
  <si>
    <t>VECVA</t>
  </si>
  <si>
    <t>D2MVA</t>
  </si>
  <si>
    <t>YHNVA</t>
  </si>
  <si>
    <t>SFXZA</t>
  </si>
  <si>
    <t>ALLVA</t>
  </si>
  <si>
    <t>EGGVA</t>
  </si>
  <si>
    <t>GLBVA</t>
  </si>
  <si>
    <t>GMDVA</t>
  </si>
  <si>
    <t>LXTVA</t>
  </si>
  <si>
    <t>PNMVA</t>
  </si>
  <si>
    <t>TDHVA</t>
  </si>
  <si>
    <t>V7PVA</t>
  </si>
  <si>
    <t>VHXVA</t>
  </si>
  <si>
    <t>VKEVA</t>
  </si>
  <si>
    <t>WETVA</t>
  </si>
  <si>
    <t>FQCVA</t>
  </si>
  <si>
    <t>DJKVA</t>
  </si>
  <si>
    <t>KRLVA</t>
  </si>
  <si>
    <t>CSBMA</t>
  </si>
  <si>
    <t>PSR0V211</t>
  </si>
  <si>
    <t>PSR0V208</t>
  </si>
  <si>
    <t>XSYKA</t>
  </si>
  <si>
    <t>PSR0V209</t>
  </si>
  <si>
    <t>BVNKA</t>
  </si>
  <si>
    <t>RCAVA</t>
  </si>
  <si>
    <t>AETMA</t>
  </si>
  <si>
    <t>XTHMA</t>
  </si>
  <si>
    <t>QCCMA</t>
  </si>
  <si>
    <t>RJAZA</t>
  </si>
  <si>
    <t>XFNZA</t>
  </si>
  <si>
    <t>PSR0VD2F</t>
  </si>
  <si>
    <t>PSR0VD3F</t>
  </si>
  <si>
    <t>EKTMA</t>
  </si>
  <si>
    <t>FVCMA</t>
  </si>
  <si>
    <t>APEZA</t>
  </si>
  <si>
    <t>PSR0V213</t>
  </si>
  <si>
    <t>PSR0V215</t>
  </si>
  <si>
    <t>PSR0V210</t>
  </si>
  <si>
    <t>PSR0V198</t>
  </si>
  <si>
    <t>PSR0V203</t>
  </si>
  <si>
    <t>FZWVA</t>
  </si>
  <si>
    <t>KDSVA</t>
  </si>
  <si>
    <t>CQKKA</t>
  </si>
  <si>
    <t>ZV2KA</t>
  </si>
  <si>
    <t>ZX4KA</t>
  </si>
  <si>
    <t>WFCMA</t>
  </si>
  <si>
    <t>PSR0V217</t>
  </si>
  <si>
    <t>NWNZA</t>
  </si>
  <si>
    <t>PSR0V214</t>
  </si>
  <si>
    <t>Theoretical</t>
  </si>
  <si>
    <t>Theor. Vs Pre.</t>
  </si>
  <si>
    <t>Act vs Theor.</t>
  </si>
  <si>
    <t xml:space="preserve">Remuneration_Local_Direct </t>
  </si>
  <si>
    <t>Remuneration_Local_Other_Direct</t>
  </si>
  <si>
    <t>Bonus_Local_Direct</t>
  </si>
  <si>
    <t>LU fee_Local_Direct</t>
  </si>
  <si>
    <t>Social insurance_Direct</t>
  </si>
  <si>
    <t>Illness &amp; maternity insurance_Direct</t>
  </si>
  <si>
    <t>Occupational insurance_Direct</t>
  </si>
  <si>
    <t>Health insurance_Direct</t>
  </si>
  <si>
    <t>Other insurance_Direct</t>
  </si>
  <si>
    <t>Compensation allowances_Direct</t>
  </si>
  <si>
    <t>Unemployment insurance_Direct</t>
  </si>
  <si>
    <t>Remuneration_Local_Indirect</t>
  </si>
  <si>
    <t>Remuneration_Expat_Indirect</t>
  </si>
  <si>
    <t>Remuneration_Local_Other_Indirect</t>
  </si>
  <si>
    <t>Remuneration_Expat_Other_Indirect</t>
  </si>
  <si>
    <t>Bonus_Local_Indirect</t>
  </si>
  <si>
    <t>Bonus_Expat_Indirect</t>
  </si>
  <si>
    <t>LU fee_Local_Indirect</t>
  </si>
  <si>
    <t>Social insurance_Indirect</t>
  </si>
  <si>
    <t>Illness &amp; maternity insurance_Indirect</t>
  </si>
  <si>
    <t>Occupational insurance_Indirect</t>
  </si>
  <si>
    <t>Health insurance_Indirect</t>
  </si>
  <si>
    <t>Other insurance_Indirect</t>
  </si>
  <si>
    <t>Compensation allowances_Indirect</t>
  </si>
  <si>
    <t>Unemployment insurance_Indirect</t>
  </si>
  <si>
    <t>Material &amp; tire testing</t>
  </si>
  <si>
    <t>Factory tools &amp; supplies</t>
  </si>
  <si>
    <t>Stationery &amp; printing</t>
  </si>
  <si>
    <t>Spare part</t>
  </si>
  <si>
    <t>Uniform &amp; safety supplies_Local</t>
  </si>
  <si>
    <t>IZ management service fee</t>
  </si>
  <si>
    <t>Apartment rental_Local</t>
  </si>
  <si>
    <t>Commuting service_Local</t>
  </si>
  <si>
    <t>Commuting service_Expat</t>
  </si>
  <si>
    <t>Maintenance &amp; repairing services</t>
  </si>
  <si>
    <t>Consultancy</t>
  </si>
  <si>
    <t>Auditing</t>
  </si>
  <si>
    <t>Technical &amp; Management service</t>
  </si>
  <si>
    <t>Related service for material &amp; tire testing</t>
  </si>
  <si>
    <t>Communication charge</t>
  </si>
  <si>
    <t>Material warehouse service</t>
  </si>
  <si>
    <t>Research &amp; Development</t>
  </si>
  <si>
    <t>Other outside services</t>
  </si>
  <si>
    <t>Education &amp; Training</t>
  </si>
  <si>
    <t>Conferences &amp; receptions</t>
  </si>
  <si>
    <t>Medical expenses_Local</t>
  </si>
  <si>
    <t>Meal supplemental_Local</t>
  </si>
  <si>
    <t>Meal supplemental_Expat</t>
  </si>
  <si>
    <t>Relocation expenses_Local</t>
  </si>
  <si>
    <t>Fringe benefit_Local</t>
  </si>
  <si>
    <t>Corporate Membership</t>
  </si>
  <si>
    <t>Cleaning expense</t>
  </si>
  <si>
    <t>Gardening expense</t>
  </si>
  <si>
    <t>Tire Wt. %
(Act vs. Process)</t>
  </si>
  <si>
    <t>Actual</t>
  </si>
  <si>
    <t>Cost/Tire</t>
  </si>
  <si>
    <t>Tire Weight Tolerance provided by TS</t>
  </si>
  <si>
    <t>PSR0VD7F</t>
  </si>
  <si>
    <t>AXLMA</t>
  </si>
  <si>
    <t>ZW3KA</t>
  </si>
  <si>
    <t>PSR0V227</t>
  </si>
  <si>
    <t>XPDVA</t>
  </si>
  <si>
    <t>PSR0V224</t>
  </si>
  <si>
    <t>PSR0V225</t>
  </si>
  <si>
    <t>(Kết chuyển chi phí)</t>
  </si>
  <si>
    <t>(K/C chi phí)</t>
  </si>
  <si>
    <t>PSR0V226</t>
  </si>
  <si>
    <t>FX8KA</t>
  </si>
  <si>
    <t>HEAVA</t>
  </si>
  <si>
    <t>F17KA</t>
  </si>
  <si>
    <t>PSR0V221</t>
  </si>
  <si>
    <t>XLHZA</t>
  </si>
  <si>
    <t>PSR0V199</t>
  </si>
  <si>
    <t>RNFVA</t>
  </si>
  <si>
    <t>FC</t>
  </si>
  <si>
    <t>OPEX%</t>
  </si>
  <si>
    <t>Tire weight
g/tire</t>
  </si>
  <si>
    <t>RRW
g/tire</t>
  </si>
  <si>
    <t>BSCAP</t>
  </si>
  <si>
    <t>YTD</t>
  </si>
  <si>
    <t>YTD:</t>
  </si>
  <si>
    <t>Var</t>
  </si>
  <si>
    <t>PSR0V202</t>
  </si>
  <si>
    <t>PSR0V212</t>
  </si>
  <si>
    <t>PSR0V196</t>
  </si>
  <si>
    <t>PSR0V197</t>
  </si>
  <si>
    <t>PSR0V200</t>
  </si>
  <si>
    <t>PSR0VD6F</t>
  </si>
  <si>
    <t>PSR0VD8F</t>
  </si>
  <si>
    <t>PSR0VD9F</t>
  </si>
  <si>
    <t>PSR0VE0F</t>
  </si>
  <si>
    <t>88S</t>
  </si>
  <si>
    <t>84H</t>
  </si>
  <si>
    <t>82H</t>
  </si>
  <si>
    <t>91V</t>
  </si>
  <si>
    <t>92V</t>
  </si>
  <si>
    <t>94W</t>
  </si>
  <si>
    <t>79S</t>
  </si>
  <si>
    <t>95H</t>
  </si>
  <si>
    <t>95V</t>
  </si>
  <si>
    <t>86H</t>
  </si>
  <si>
    <t>092V</t>
  </si>
  <si>
    <t>88H</t>
  </si>
  <si>
    <t>91H</t>
  </si>
  <si>
    <t>095V</t>
  </si>
  <si>
    <t>082H</t>
  </si>
  <si>
    <t>100H</t>
  </si>
  <si>
    <t>94V</t>
  </si>
  <si>
    <t>091W</t>
  </si>
  <si>
    <t>98H</t>
  </si>
  <si>
    <t>082T</t>
  </si>
  <si>
    <t>94H</t>
  </si>
  <si>
    <t>102V</t>
  </si>
  <si>
    <t>075H</t>
  </si>
  <si>
    <t>98V</t>
  </si>
  <si>
    <t>108V</t>
  </si>
  <si>
    <t>101W</t>
  </si>
  <si>
    <t>100W</t>
  </si>
  <si>
    <t>084H</t>
  </si>
  <si>
    <t>095W</t>
  </si>
  <si>
    <t>86V</t>
  </si>
  <si>
    <t>91W</t>
  </si>
  <si>
    <t>92W</t>
  </si>
  <si>
    <t>99V</t>
  </si>
  <si>
    <t>97W</t>
  </si>
  <si>
    <t>103V</t>
  </si>
  <si>
    <t>95W</t>
  </si>
  <si>
    <t>085V</t>
  </si>
  <si>
    <t>100V</t>
  </si>
  <si>
    <t>099V</t>
  </si>
  <si>
    <t>105W</t>
  </si>
  <si>
    <t>107V</t>
  </si>
  <si>
    <t>105H</t>
  </si>
  <si>
    <t>110H</t>
  </si>
  <si>
    <t>112S</t>
  </si>
  <si>
    <t>104V</t>
  </si>
  <si>
    <t>112V</t>
  </si>
  <si>
    <t>106H</t>
  </si>
  <si>
    <t>93W</t>
  </si>
  <si>
    <t>094W</t>
  </si>
  <si>
    <t>097W</t>
  </si>
  <si>
    <t>94T</t>
  </si>
  <si>
    <t>098T</t>
  </si>
  <si>
    <t>88T</t>
  </si>
  <si>
    <t>103T</t>
  </si>
  <si>
    <t>95T</t>
  </si>
  <si>
    <t>93T</t>
  </si>
  <si>
    <t>100T</t>
  </si>
  <si>
    <t>84T</t>
  </si>
  <si>
    <t>102H</t>
  </si>
  <si>
    <t>185/70</t>
  </si>
  <si>
    <t>NH2SZ</t>
  </si>
  <si>
    <t>BRIDGESTONE</t>
  </si>
  <si>
    <t>BS</t>
  </si>
  <si>
    <t>155/65</t>
  </si>
  <si>
    <t>NH2CZ</t>
  </si>
  <si>
    <t>185/60</t>
  </si>
  <si>
    <t>NEWNZ</t>
  </si>
  <si>
    <t>185/65</t>
  </si>
  <si>
    <t>175/65</t>
  </si>
  <si>
    <t>235/55</t>
  </si>
  <si>
    <t>SUPERCAT</t>
  </si>
  <si>
    <t>Others</t>
  </si>
  <si>
    <t>195/60</t>
  </si>
  <si>
    <t>215/50</t>
  </si>
  <si>
    <t>205/55</t>
  </si>
  <si>
    <t>FIRESTONE</t>
  </si>
  <si>
    <t>FS&amp;D</t>
  </si>
  <si>
    <t>175/70</t>
  </si>
  <si>
    <t>215/45</t>
  </si>
  <si>
    <t>215/55</t>
  </si>
  <si>
    <t>195/65</t>
  </si>
  <si>
    <t>155/80</t>
  </si>
  <si>
    <t>SL10Z</t>
  </si>
  <si>
    <t>SEIBERLING</t>
  </si>
  <si>
    <t>SPCZ</t>
  </si>
  <si>
    <t>205/65</t>
  </si>
  <si>
    <t>165/60</t>
  </si>
  <si>
    <t>165/65</t>
  </si>
  <si>
    <t>215/60</t>
  </si>
  <si>
    <t>205/60</t>
  </si>
  <si>
    <t>150EZ</t>
  </si>
  <si>
    <t>215/70</t>
  </si>
  <si>
    <t>DTH1AZ</t>
  </si>
  <si>
    <t>DAYTON</t>
  </si>
  <si>
    <t>165/70</t>
  </si>
  <si>
    <t>EP30Z</t>
  </si>
  <si>
    <t>EP3AZ</t>
  </si>
  <si>
    <t>EA03FZ</t>
  </si>
  <si>
    <t>EP15WZ</t>
  </si>
  <si>
    <t>215/65</t>
  </si>
  <si>
    <t>EL64Z</t>
  </si>
  <si>
    <t>225/65</t>
  </si>
  <si>
    <t>225/60</t>
  </si>
  <si>
    <t>235/65</t>
  </si>
  <si>
    <t>235/50</t>
  </si>
  <si>
    <t>245/45</t>
  </si>
  <si>
    <t>235/40</t>
  </si>
  <si>
    <t>EL64AZ</t>
  </si>
  <si>
    <t>185/55</t>
  </si>
  <si>
    <t>225/40</t>
  </si>
  <si>
    <t>235/60</t>
  </si>
  <si>
    <t>EA04FZ</t>
  </si>
  <si>
    <t>195/55</t>
  </si>
  <si>
    <t>225/45</t>
  </si>
  <si>
    <t>235/45</t>
  </si>
  <si>
    <t>EP15LZ</t>
  </si>
  <si>
    <t>225/55</t>
  </si>
  <si>
    <t>255/45</t>
  </si>
  <si>
    <t>AL011Z</t>
  </si>
  <si>
    <t>245/50</t>
  </si>
  <si>
    <t>245/55</t>
  </si>
  <si>
    <t>245/60</t>
  </si>
  <si>
    <t>265/60</t>
  </si>
  <si>
    <t>684A6Z</t>
  </si>
  <si>
    <t>265/65</t>
  </si>
  <si>
    <t>693BHZ</t>
  </si>
  <si>
    <t>255/60</t>
  </si>
  <si>
    <t>DT30AZ</t>
  </si>
  <si>
    <t>DT30Z</t>
  </si>
  <si>
    <t>205/50</t>
  </si>
  <si>
    <t>DT30FZ</t>
  </si>
  <si>
    <t>225/50</t>
  </si>
  <si>
    <t>FH50FZ</t>
  </si>
  <si>
    <t>245/40</t>
  </si>
  <si>
    <t>FSASZ</t>
  </si>
  <si>
    <t>255/35</t>
  </si>
  <si>
    <t>EYEMA</t>
  </si>
  <si>
    <t>NGRVA</t>
  </si>
  <si>
    <t>CEPVA</t>
  </si>
  <si>
    <t>JSQVA</t>
  </si>
  <si>
    <t>HFAVA</t>
  </si>
  <si>
    <t>TJXMA</t>
  </si>
  <si>
    <t>ZFHZA</t>
  </si>
  <si>
    <t>ZCWVA</t>
  </si>
  <si>
    <t>QLYVA</t>
  </si>
  <si>
    <t>CYTVA</t>
  </si>
  <si>
    <t>AGNVA</t>
  </si>
  <si>
    <t>XENZA</t>
  </si>
  <si>
    <t>PDAVA</t>
  </si>
  <si>
    <t>WCKVA</t>
  </si>
  <si>
    <t>GHCZA</t>
  </si>
  <si>
    <t>PSR0V06B</t>
  </si>
  <si>
    <t>PSR0V103</t>
  </si>
  <si>
    <t>PSR0V132</t>
  </si>
  <si>
    <t>PSR0V158</t>
  </si>
  <si>
    <t>PSR0V40D</t>
  </si>
  <si>
    <t>088S</t>
  </si>
  <si>
    <t>165/50</t>
  </si>
  <si>
    <t>098V</t>
  </si>
  <si>
    <t>084T</t>
  </si>
  <si>
    <t>087H</t>
  </si>
  <si>
    <t>088T</t>
  </si>
  <si>
    <t>255/40</t>
  </si>
  <si>
    <t>PSR0VA1F</t>
  </si>
  <si>
    <t>Production Volume (Pcs)</t>
  </si>
  <si>
    <t>Production Rubber Tonnage</t>
  </si>
  <si>
    <t>PSR0V243</t>
  </si>
  <si>
    <t>A. Data</t>
  </si>
  <si>
    <t>1. STD:</t>
  </si>
  <si>
    <t>- Periodic: update new standard cost by Jan &amp; Jul (if any)</t>
  </si>
  <si>
    <t>- Monthly: update additional product cost</t>
  </si>
  <si>
    <t>- Check &amp; confirm all documents have been posted into system</t>
  </si>
  <si>
    <t>- Export data by T-code ZVF59 and copy to sheet of each month</t>
  </si>
  <si>
    <t>If amounts are different, please check:</t>
  </si>
  <si>
    <t>+ New/change account number</t>
  </si>
  <si>
    <t>+ Check formulas of sheet "Factory cost"</t>
  </si>
  <si>
    <t>- Update theoretical DM from file DM calculation</t>
  </si>
  <si>
    <t>- Update Tyre weight tolerance from TS dept.</t>
  </si>
  <si>
    <t>B. Calculation</t>
  </si>
  <si>
    <t>2. MFG COST SUMMARY</t>
  </si>
  <si>
    <t>1. FACTORY COST</t>
  </si>
  <si>
    <t>4. Rework tire</t>
  </si>
  <si>
    <t>- Update rework tire data from below link</t>
  </si>
  <si>
    <t>3. COGM upload</t>
  </si>
  <si>
    <t>Rework tire control</t>
  </si>
  <si>
    <t>Open</t>
  </si>
  <si>
    <t>WH-&gt;
Process</t>
  </si>
  <si>
    <t>Process-&gt;
WH</t>
  </si>
  <si>
    <t>Scrap</t>
  </si>
  <si>
    <t>Close</t>
  </si>
  <si>
    <t>Q'ty</t>
  </si>
  <si>
    <t>Am't</t>
  </si>
  <si>
    <t>- Update rework tire from sheet "Rework"</t>
  </si>
  <si>
    <t>Guideline</t>
  </si>
  <si>
    <t>PSR2</t>
  </si>
  <si>
    <t>NX4KA</t>
  </si>
  <si>
    <t>Update formula</t>
  </si>
  <si>
    <t>DM cost</t>
  </si>
  <si>
    <t>Conversion cost</t>
  </si>
  <si>
    <t>ZKQVA</t>
  </si>
  <si>
    <t>PSR0V28B</t>
  </si>
  <si>
    <t>PSR0V223</t>
  </si>
  <si>
    <t>PSR0V229</t>
  </si>
  <si>
    <t>PSR0V230</t>
  </si>
  <si>
    <t>PSR0V233</t>
  </si>
  <si>
    <t>PSR0VE1F</t>
  </si>
  <si>
    <t>PSR0VE9F</t>
  </si>
  <si>
    <t>PSR0VF0F</t>
  </si>
  <si>
    <t>PSR0V247</t>
  </si>
  <si>
    <t>PSR0V248</t>
  </si>
  <si>
    <t>F7LAZ</t>
  </si>
  <si>
    <t xml:space="preserve">F6LAZ </t>
  </si>
  <si>
    <t>089H</t>
  </si>
  <si>
    <t>EP15HZ</t>
  </si>
  <si>
    <t>089V</t>
  </si>
  <si>
    <t>T05ABZ</t>
  </si>
  <si>
    <t>32TVA</t>
  </si>
  <si>
    <t>33SVA</t>
  </si>
  <si>
    <t>BXWVA</t>
  </si>
  <si>
    <t>FNTZA</t>
  </si>
  <si>
    <t>34RVA</t>
  </si>
  <si>
    <t>Data source:</t>
  </si>
  <si>
    <t>Number</t>
  </si>
  <si>
    <t>RRW</t>
  </si>
  <si>
    <t>Cost (USD)/unit</t>
  </si>
  <si>
    <t>Total cost (USD)</t>
  </si>
  <si>
    <t>(PCs)</t>
  </si>
  <si>
    <t>(g)</t>
  </si>
  <si>
    <t>Factory cost</t>
  </si>
  <si>
    <t>PSR0V231</t>
  </si>
  <si>
    <t>PSR0V232</t>
  </si>
  <si>
    <t>Ticket</t>
  </si>
  <si>
    <t>Source:</t>
  </si>
  <si>
    <t>..\..\..\..\1-ALL\11. 8411\04. TS-Share\08. TS-ACC\RRW update.xlsx</t>
  </si>
  <si>
    <t>Please confirm with Nam-san before input data</t>
  </si>
  <si>
    <t>PSR0V244</t>
  </si>
  <si>
    <t>Reason</t>
  </si>
  <si>
    <t>Cured tire_Sep.22</t>
  </si>
  <si>
    <t>103W 235/60R18 AL01Z</t>
  </si>
  <si>
    <t>26EZA</t>
  </si>
  <si>
    <t>..\..\5.Standard &amp; TPL\Seme-products price\2022\Aug 2022\26EZA.xlsx</t>
  </si>
  <si>
    <t>SL20GZ</t>
  </si>
  <si>
    <t>BF3VA</t>
  </si>
  <si>
    <t>DFYVA</t>
  </si>
  <si>
    <t>BG5VA</t>
  </si>
  <si>
    <t>HXHVA</t>
  </si>
  <si>
    <t>PSR0V249</t>
  </si>
  <si>
    <t>PSR0V250</t>
  </si>
  <si>
    <t>103W</t>
  </si>
  <si>
    <t>AL01AZ</t>
  </si>
  <si>
    <t>AL01Z</t>
  </si>
  <si>
    <t>YC4VA</t>
  </si>
  <si>
    <t>BYJVA</t>
  </si>
  <si>
    <t>PSR0V112</t>
  </si>
  <si>
    <t>PSR0V011</t>
  </si>
  <si>
    <t>PSR0V042</t>
  </si>
  <si>
    <t>PSR0V08B</t>
  </si>
  <si>
    <t>PSR0V180</t>
  </si>
  <si>
    <t>PSR0V29B</t>
  </si>
  <si>
    <t>PSR0V39D</t>
  </si>
  <si>
    <t>PSR0V41D</t>
  </si>
  <si>
    <t>PSR0V195</t>
  </si>
  <si>
    <t>PSR0V234</t>
  </si>
  <si>
    <t>PSR0V235</t>
  </si>
  <si>
    <t>PSR0V236</t>
  </si>
  <si>
    <t>PSR0V237</t>
  </si>
  <si>
    <t>PSR0V238</t>
  </si>
  <si>
    <t>PSR0V239</t>
  </si>
  <si>
    <t>PSR0V240</t>
  </si>
  <si>
    <t>PSR0VF1F</t>
  </si>
  <si>
    <t>PSR0VF2F</t>
  </si>
  <si>
    <t>PSR0VF3F</t>
  </si>
  <si>
    <t>Opn WIP &amp; SOJ</t>
  </si>
  <si>
    <t>Cls WIP &amp; SOJ</t>
  </si>
  <si>
    <t>After Adjustment</t>
  </si>
  <si>
    <t>4. Check with ZVF51</t>
  </si>
  <si>
    <t>After uploading to ZVF51, check the adjustment of "GOODS RECEIPT (COGM - PREDETERMINED)" equal Actual vs standard in sheet "MFG COST SUMMARY"</t>
  </si>
  <si>
    <t>2023 OB</t>
  </si>
  <si>
    <t>99W</t>
  </si>
  <si>
    <t>73V</t>
  </si>
  <si>
    <t>082S</t>
  </si>
  <si>
    <t>084S</t>
  </si>
  <si>
    <t xml:space="preserve">F7LAZ </t>
  </si>
  <si>
    <t>82T</t>
  </si>
  <si>
    <t>F6LAZ</t>
  </si>
  <si>
    <t>DTMZA</t>
  </si>
  <si>
    <t>KYVVA</t>
  </si>
  <si>
    <t>TLNZA</t>
  </si>
  <si>
    <t>Additional</t>
  </si>
  <si>
    <t>WIP</t>
  </si>
  <si>
    <t>PSR0VE7F</t>
  </si>
  <si>
    <t>PSR5</t>
  </si>
  <si>
    <t>PSR4</t>
  </si>
  <si>
    <t>BOB JANE</t>
  </si>
  <si>
    <t>BAR3Z</t>
  </si>
  <si>
    <t>PSR3</t>
  </si>
  <si>
    <t>165/55</t>
  </si>
  <si>
    <t>101V</t>
  </si>
  <si>
    <t>PSR0V20F</t>
  </si>
  <si>
    <t>XCQZA</t>
  </si>
  <si>
    <t>SL20AZ</t>
  </si>
  <si>
    <t>PSR0V257</t>
  </si>
  <si>
    <t>N98VA</t>
  </si>
  <si>
    <t>HZFVA</t>
  </si>
  <si>
    <t>BQTVA</t>
  </si>
  <si>
    <t>099W</t>
  </si>
  <si>
    <t>092H</t>
  </si>
  <si>
    <t>175/50</t>
  </si>
  <si>
    <t>079S</t>
  </si>
  <si>
    <t>T05BZ</t>
  </si>
  <si>
    <t>089W</t>
  </si>
  <si>
    <t>AF2MA</t>
  </si>
  <si>
    <t>E33KA</t>
  </si>
  <si>
    <t>EDLVA</t>
  </si>
  <si>
    <t>S2NVA</t>
  </si>
  <si>
    <t>FTWVA</t>
  </si>
  <si>
    <t>QQQVA</t>
  </si>
  <si>
    <t>JWTZA</t>
  </si>
  <si>
    <t>SJCZA</t>
  </si>
  <si>
    <t>ZACZA</t>
  </si>
  <si>
    <t>PSR0VE4F</t>
  </si>
  <si>
    <t>PSR0VE5F</t>
  </si>
  <si>
    <t>PSR0VE6F</t>
  </si>
  <si>
    <t>PSR0VE8F</t>
  </si>
  <si>
    <t>K47VA</t>
  </si>
  <si>
    <t>35NVA</t>
  </si>
  <si>
    <t>36TVA</t>
  </si>
  <si>
    <t>37AVA</t>
  </si>
  <si>
    <t>4QAVA</t>
  </si>
  <si>
    <t>2CVVA</t>
  </si>
  <si>
    <t>7VFMA</t>
  </si>
  <si>
    <t>8TSZA</t>
  </si>
  <si>
    <t>RBAC2</t>
  </si>
  <si>
    <t>PSR0VB2F</t>
  </si>
  <si>
    <t>PSR0VG0F</t>
  </si>
  <si>
    <t>Update std in Jan &amp; Jul</t>
  </si>
  <si>
    <t>Rework tire 2023</t>
  </si>
  <si>
    <t>\\10.118.29.7\BTMV-Data\4-ACCOUNTING\71.Costing\1. Costing calculation\2023\Tire weight report\</t>
  </si>
  <si>
    <t>Check with file DM calculation</t>
  </si>
  <si>
    <t>Check with sheet MFG Cost Summary</t>
  </si>
  <si>
    <t>Kết xuất ZVF59 từ SAP, copy thay dữ liệu từ A2</t>
  </si>
  <si>
    <t>x</t>
  </si>
  <si>
    <t>PSR0VF7F</t>
  </si>
  <si>
    <t>PSR0VF8F</t>
  </si>
  <si>
    <t>PSR0V255</t>
  </si>
  <si>
    <t>PSR0V254</t>
  </si>
  <si>
    <t>PSR0V251</t>
  </si>
  <si>
    <t>PSR0VG1F</t>
  </si>
  <si>
    <t>097W 245/40R18 FH50FZ</t>
  </si>
  <si>
    <t>3YTZA</t>
  </si>
  <si>
    <t>PSR0VG5F</t>
  </si>
  <si>
    <t>PSR0V256</t>
  </si>
  <si>
    <t>PSR0VG2F</t>
  </si>
  <si>
    <t>PSR0VG4F</t>
  </si>
  <si>
    <t>PSR0VG3F</t>
  </si>
  <si>
    <t>PSR0V252</t>
  </si>
  <si>
    <t>PSR0VF4F</t>
  </si>
  <si>
    <t>PSR0V253</t>
  </si>
  <si>
    <t>PSR0VF9F</t>
  </si>
  <si>
    <t>PSR0VF5F</t>
  </si>
  <si>
    <t>P3NVA</t>
  </si>
  <si>
    <t>YK2VA</t>
  </si>
  <si>
    <t>FLSVA</t>
  </si>
  <si>
    <t>CFTVA</t>
  </si>
  <si>
    <t>JYDVA</t>
  </si>
  <si>
    <t>FCPVA</t>
  </si>
  <si>
    <t>YD6VA</t>
  </si>
  <si>
    <t>YJ7VA</t>
  </si>
  <si>
    <t>4ZPVA</t>
  </si>
  <si>
    <t>42QVA</t>
  </si>
  <si>
    <t>7HGMA</t>
  </si>
  <si>
    <t>7DTMA</t>
  </si>
  <si>
    <t>3JRZA</t>
  </si>
  <si>
    <t>3XLMA</t>
  </si>
  <si>
    <t>3PTZA</t>
  </si>
  <si>
    <t>3SFZA</t>
  </si>
  <si>
    <t>3APZA</t>
  </si>
  <si>
    <t>3FVMA</t>
  </si>
  <si>
    <t>F81KA</t>
  </si>
  <si>
    <t>3WMZA</t>
  </si>
  <si>
    <t>F71KA</t>
  </si>
  <si>
    <t>CW3VA</t>
  </si>
  <si>
    <t>3DKZA</t>
  </si>
  <si>
    <t>3KQVA</t>
  </si>
  <si>
    <t>P6CZA</t>
  </si>
  <si>
    <t>3BBVA</t>
  </si>
  <si>
    <t>3VVVA</t>
  </si>
  <si>
    <t>3TMVA</t>
  </si>
  <si>
    <t>ACTUAL Weight</t>
  </si>
  <si>
    <t>Plant Process Weight</t>
  </si>
  <si>
    <t>BTMV Code in STD</t>
  </si>
  <si>
    <t>084H 185/60R15 NH2CZ</t>
  </si>
  <si>
    <t>075H 155/65R14 NH2CZ</t>
  </si>
  <si>
    <t>075H 165/60R14 NH2CZ</t>
  </si>
  <si>
    <t>084S 175/70R14 NH2CZ</t>
  </si>
  <si>
    <t>82T 175/65R14 F6LAZ</t>
  </si>
  <si>
    <t>88T 185/70R14 F6LAZ</t>
  </si>
  <si>
    <t>Kết xuất ZVF59 từ SAP, copy thay dữ liệu từ A2 -&gt; cột BN</t>
  </si>
  <si>
    <t>100W 245/45R18 FH50FZ</t>
  </si>
  <si>
    <t>095W 235/40R18 FH50FZ</t>
  </si>
  <si>
    <t>\\10.118.29.7\BTMV-Data\4-ACCOUNTING\71.Costing\5.Standard &amp; TPL\TPL\2023\Additional\</t>
  </si>
  <si>
    <t>RBAC3</t>
  </si>
  <si>
    <t>Conversion Cost</t>
  </si>
  <si>
    <t>Total Manufacturing Cost</t>
  </si>
  <si>
    <t>Item</t>
  </si>
  <si>
    <t>Amount (K.USD)</t>
  </si>
  <si>
    <t>Amount (USD)</t>
  </si>
  <si>
    <t>Compare Description</t>
  </si>
  <si>
    <t>Compare BTMV Code</t>
  </si>
  <si>
    <t>Description in STD</t>
  </si>
  <si>
    <t>Description in Inventory Report</t>
  </si>
  <si>
    <t>BTMV Code in Inventory Report</t>
  </si>
  <si>
    <t>BPC &amp; BTMV Code</t>
  </si>
  <si>
    <t>Monthly update</t>
  </si>
  <si>
    <t>Waste and Scrap Cost</t>
  </si>
  <si>
    <t>Direct Material Cost</t>
  </si>
  <si>
    <t>Working days</t>
  </si>
  <si>
    <t>Production Volume</t>
  </si>
  <si>
    <t>PSR0VF6F</t>
  </si>
  <si>
    <t>PSR0VH3F</t>
  </si>
  <si>
    <t>PSR0VH2F</t>
  </si>
  <si>
    <t>PSR0VG6F</t>
  </si>
  <si>
    <t>PSR0VG7F</t>
  </si>
  <si>
    <t>PSR0VH6F</t>
  </si>
  <si>
    <t>PSR0VH5F</t>
  </si>
  <si>
    <t>PSR0VH7F</t>
  </si>
  <si>
    <t>PSR0VH8F</t>
  </si>
  <si>
    <t>PSR0VJ5F</t>
  </si>
  <si>
    <t>PSR0VJ4F</t>
  </si>
  <si>
    <t>PSR0VJ3F</t>
  </si>
  <si>
    <t>PSR0VJ0F</t>
  </si>
  <si>
    <t>PSR0VH9F</t>
  </si>
  <si>
    <t>PSR0VJ1F</t>
  </si>
  <si>
    <t>PSR0VJ2F</t>
  </si>
  <si>
    <t>3ZFZA</t>
  </si>
  <si>
    <t>CMMVA</t>
  </si>
  <si>
    <t>KHAVA</t>
  </si>
  <si>
    <t>QTTZA</t>
  </si>
  <si>
    <t>QDCZA</t>
  </si>
  <si>
    <t>4VCVA</t>
  </si>
  <si>
    <t>4TCVA</t>
  </si>
  <si>
    <t>4NCZA</t>
  </si>
  <si>
    <t>4DHVA</t>
  </si>
  <si>
    <t>4WEVA</t>
  </si>
  <si>
    <t>4BVVA</t>
  </si>
  <si>
    <t>4EMVA</t>
  </si>
  <si>
    <t>4LNZA</t>
  </si>
  <si>
    <t>4HXVA</t>
  </si>
  <si>
    <t>4FDVA</t>
  </si>
  <si>
    <t>3ENVA</t>
  </si>
  <si>
    <t>100W 245/45R18 EA04FZ</t>
  </si>
  <si>
    <t>Rework</t>
  </si>
  <si>
    <t>PSR0VH4F</t>
  </si>
  <si>
    <t>QMCVA</t>
  </si>
  <si>
    <t>PSR0VG8F</t>
  </si>
  <si>
    <t>QSRZA</t>
  </si>
  <si>
    <t>PSR0VJ7F</t>
  </si>
  <si>
    <t>4STVA</t>
  </si>
  <si>
    <t>PSR0VJ6F</t>
  </si>
  <si>
    <t>4REVA</t>
  </si>
  <si>
    <t>PSR0VJ8F</t>
  </si>
  <si>
    <t>4XTVA</t>
  </si>
  <si>
    <t>→ ▲</t>
  </si>
  <si>
    <t>PSR0VG9F</t>
  </si>
  <si>
    <t>QVTZA</t>
  </si>
  <si>
    <t>PSR0VH0F</t>
  </si>
  <si>
    <t>QHXZA</t>
  </si>
  <si>
    <t>KXTMA</t>
  </si>
  <si>
    <t>RBAC4</t>
  </si>
  <si>
    <t>99V 215/55R18 DTH1AZ</t>
  </si>
  <si>
    <t>106H 235/65R18 DTH1AZ</t>
  </si>
  <si>
    <t>095W 225/45R18 FH50FZ</t>
  </si>
  <si>
    <t>100T 235/60R16 FSASZ</t>
  </si>
  <si>
    <t>091W 215/45R17 FH50FZ</t>
  </si>
  <si>
    <t>094W 225/50R17 FH50FZ</t>
  </si>
  <si>
    <t>PSR0V258</t>
  </si>
  <si>
    <t>QZZZA</t>
  </si>
  <si>
    <t>2. ZVF59 (sheet has name of month: Jan, Feb…):</t>
  </si>
  <si>
    <t>- Check account 911330: balance is zero</t>
  </si>
  <si>
    <t>Document type: ZT (default)</t>
  </si>
  <si>
    <t>Exclusive Document Type: ZT (default)</t>
  </si>
  <si>
    <r>
      <t xml:space="preserve">Posting Date for Transfer, Posting Date: </t>
    </r>
    <r>
      <rPr>
        <sz val="11"/>
        <color rgb="FFFF0000"/>
        <rFont val="BridgestoneType"/>
        <family val="2"/>
      </rPr>
      <t>input</t>
    </r>
    <r>
      <rPr>
        <sz val="11"/>
        <color theme="1"/>
        <rFont val="BridgestoneType"/>
        <family val="2"/>
      </rPr>
      <t xml:space="preserve"> as month period</t>
    </r>
  </si>
  <si>
    <t>G/L Account: there was default manufactoring cost accounts (VAS 621 - 627). Add new account if any</t>
  </si>
  <si>
    <t>Functional Area:</t>
  </si>
  <si>
    <t>3. Direct material (sheet Tire Weight, DM-Sum)</t>
  </si>
  <si>
    <t>5. Budget</t>
  </si>
  <si>
    <r>
      <t xml:space="preserve">- Choose month (refer to name </t>
    </r>
    <r>
      <rPr>
        <b/>
        <sz val="11"/>
        <color theme="1"/>
        <rFont val="BridgestoneType"/>
        <family val="2"/>
      </rPr>
      <t>CurMonth</t>
    </r>
    <r>
      <rPr>
        <sz val="11"/>
        <color theme="1"/>
        <rFont val="BridgestoneType"/>
        <family val="2"/>
      </rPr>
      <t xml:space="preserve">), year (refer to </t>
    </r>
    <r>
      <rPr>
        <b/>
        <sz val="11"/>
        <color theme="1"/>
        <rFont val="BridgestoneType"/>
        <family val="2"/>
      </rPr>
      <t>CurYear</t>
    </r>
    <r>
      <rPr>
        <sz val="11"/>
        <color theme="1"/>
        <rFont val="BridgestoneType"/>
        <family val="2"/>
      </rPr>
      <t>)</t>
    </r>
  </si>
  <si>
    <r>
      <t xml:space="preserve">- Update Production RRT of previous month (refer to name </t>
    </r>
    <r>
      <rPr>
        <b/>
        <sz val="11"/>
        <color theme="1"/>
        <rFont val="BridgestoneType"/>
        <family val="2"/>
      </rPr>
      <t>PrvMonthProductionRRT</t>
    </r>
    <r>
      <rPr>
        <sz val="11"/>
        <color theme="1"/>
        <rFont val="BridgestoneType"/>
        <family val="2"/>
      </rPr>
      <t>) to check gap vs previous month</t>
    </r>
  </si>
  <si>
    <t>- Update budget (OB/RBAC) production volume and RRT</t>
  </si>
  <si>
    <t>- Update budget (OB/RBAC) data in columns AT -&gt; BE</t>
  </si>
  <si>
    <t>- Ensure total amount transfer in ZVF59 equal total actual amount in Factory cost:</t>
  </si>
  <si>
    <t>- Check and comment for gap of each item (vs OB/RBAC and vs Previous month)</t>
  </si>
  <si>
    <t>- Update products produced in month based on FG inventory report</t>
  </si>
  <si>
    <r>
      <t xml:space="preserve">   </t>
    </r>
    <r>
      <rPr>
        <u/>
        <sz val="11"/>
        <color theme="1"/>
        <rFont val="BridgestoneType"/>
        <family val="2"/>
      </rPr>
      <t>Note:</t>
    </r>
    <r>
      <rPr>
        <sz val="11"/>
        <color theme="1"/>
        <rFont val="BridgestoneType"/>
        <family val="2"/>
      </rPr>
      <t xml:space="preserve"> insert new line upper last product line to maintain sum formula</t>
    </r>
  </si>
  <si>
    <t>- Ensure data correct with sheet "MFG COST SUMMARY"</t>
  </si>
  <si>
    <t>5. Report</t>
  </si>
  <si>
    <t>This sheet supports management reports as FC Analysis, AIP Report…</t>
  </si>
  <si>
    <t>REPORT SUPPORTING</t>
  </si>
  <si>
    <t>Input data to cells have color</t>
  </si>
  <si>
    <t>Check vs. sheet MFG</t>
  </si>
  <si>
    <t>Check W&amp;S</t>
  </si>
  <si>
    <t>- Check and comment for all gap and different trend</t>
  </si>
  <si>
    <t>- Update Ticket production volume and RRT (from PP-IE)</t>
  </si>
  <si>
    <t>Check vs sheet MFG COST SUMMARY</t>
  </si>
  <si>
    <t>Total RRT in ton</t>
  </si>
  <si>
    <t>WIP Account: 132000 (default)</t>
  </si>
  <si>
    <t>Download file: Location to save exported ZVF59 txt file</t>
  </si>
  <si>
    <t>087H 205/50R16 FSASZ</t>
  </si>
  <si>
    <t>084T 175/65R15 FSASZ</t>
  </si>
  <si>
    <t>BTMV 2024 Standard</t>
  </si>
  <si>
    <t>24OB</t>
  </si>
  <si>
    <t>2023 Dec</t>
  </si>
  <si>
    <t>Jan_Feb-24</t>
  </si>
  <si>
    <t>Jan_Mar-24</t>
  </si>
  <si>
    <t>Jan_Apr-24</t>
  </si>
  <si>
    <t>Jan_May-24</t>
  </si>
  <si>
    <t>Jan_Jun-24</t>
  </si>
  <si>
    <t>Jan_Jul-24</t>
  </si>
  <si>
    <t>Jan_Aug-24</t>
  </si>
  <si>
    <t>Jan_Sep-24</t>
  </si>
  <si>
    <t>Jan_Oct-24</t>
  </si>
  <si>
    <t>Jan_Nov-24</t>
  </si>
  <si>
    <t>Jan_Dec-24</t>
  </si>
  <si>
    <t>300105689</t>
  </si>
  <si>
    <t>81W 195/45R17 RE005</t>
  </si>
  <si>
    <t>81W</t>
  </si>
  <si>
    <t>195/45</t>
  </si>
  <si>
    <t>RE005</t>
  </si>
  <si>
    <t/>
  </si>
  <si>
    <t>300105830</t>
  </si>
  <si>
    <t>96W 225/45R19 RE005</t>
  </si>
  <si>
    <t>96W</t>
  </si>
  <si>
    <t>300110512</t>
  </si>
  <si>
    <t>93W 215/45R18 PT005A</t>
  </si>
  <si>
    <t>PT005A</t>
  </si>
  <si>
    <t>300115807</t>
  </si>
  <si>
    <t>300119530</t>
  </si>
  <si>
    <t>91V 205/55R16 P-EP15</t>
  </si>
  <si>
    <t>P-EP15</t>
  </si>
  <si>
    <t>300123416</t>
  </si>
  <si>
    <t>96H 215/60R17 EL64Z</t>
  </si>
  <si>
    <t>96H</t>
  </si>
  <si>
    <t>300123417</t>
  </si>
  <si>
    <t>95V 215/55R18 DTH1AZ</t>
  </si>
  <si>
    <t>300123424</t>
  </si>
  <si>
    <t xml:space="preserve"> 245/45R20 AL011Z</t>
  </si>
  <si>
    <t>300123425</t>
  </si>
  <si>
    <t xml:space="preserve"> 225/55R19 AL011Z</t>
  </si>
  <si>
    <t>300125819</t>
  </si>
  <si>
    <t>99V 225/55R19 AL01</t>
  </si>
  <si>
    <t>AL01</t>
  </si>
  <si>
    <t>300125820</t>
  </si>
  <si>
    <t>101W 235/55R19 AL01</t>
  </si>
  <si>
    <t>79S 155/80R13 SL10Z</t>
  </si>
  <si>
    <t>82H 175/65R14 BAR3Z</t>
  </si>
  <si>
    <t>82H 175/65R14 SPCZ</t>
  </si>
  <si>
    <t>95H 205/65R15 BAR3Z</t>
  </si>
  <si>
    <t>95V 215/60R16 BAR3Z</t>
  </si>
  <si>
    <t>86H 185/65R14 SPCZ</t>
  </si>
  <si>
    <t>88H 195/60R15 SPCZ</t>
  </si>
  <si>
    <t>88S 185/65R15 SL10Z</t>
  </si>
  <si>
    <t>88H 185/65R15 BAR3Z</t>
  </si>
  <si>
    <t>91H 195/65R15 SPCZ</t>
  </si>
  <si>
    <t>84H 185/60R15 BAR3Z</t>
  </si>
  <si>
    <t>95V 215/60R16 SPCZ</t>
  </si>
  <si>
    <t>092H 205/60R16 SL20AZ</t>
  </si>
  <si>
    <t>91V 195/65R15 EP30Z</t>
  </si>
  <si>
    <t>88H 185/70R14 150EZ</t>
  </si>
  <si>
    <t>82H 175/70R13 150EZ</t>
  </si>
  <si>
    <t>100H 215/70R16 DTH1AZ</t>
  </si>
  <si>
    <t>88H 185/65R15 SPCZ</t>
  </si>
  <si>
    <t>91V 205/55R16 EP30Z</t>
  </si>
  <si>
    <t>94V 215/55R17 EP3AZ</t>
  </si>
  <si>
    <t>91W 215/45R17 EA03FZ</t>
  </si>
  <si>
    <t>95H 205/65R16 EP15WZ</t>
  </si>
  <si>
    <t>98H 215/65R16 DTH1AZ</t>
  </si>
  <si>
    <t>94H 205/65R15 EL64Z</t>
  </si>
  <si>
    <t>102V 225/65R17 DTH1AZ</t>
  </si>
  <si>
    <t xml:space="preserve"> 175/50R15 150KZ</t>
  </si>
  <si>
    <t>150KZ</t>
  </si>
  <si>
    <t>98V 225/60R16 EP3AZ</t>
  </si>
  <si>
    <t>108V 235/65R17 DTH1AZ</t>
  </si>
  <si>
    <t xml:space="preserve"> 185/70R13 150EZ</t>
  </si>
  <si>
    <t>079S 165/65R14 150EZ</t>
  </si>
  <si>
    <t>079S 165/70R13 150EZ</t>
  </si>
  <si>
    <t>96H 215/60R17 DTH1AZ</t>
  </si>
  <si>
    <t xml:space="preserve"> 235/40R18 EL64AZ</t>
  </si>
  <si>
    <t>84H 185/60R15 EL64Z</t>
  </si>
  <si>
    <t>88H 185/65R15 EL64Z</t>
  </si>
  <si>
    <t>91W 215/45R17 EL64AZ</t>
  </si>
  <si>
    <t>92W 225/40R18 EL64AZ</t>
  </si>
  <si>
    <t>99V 225/60R17 DTH1AZ</t>
  </si>
  <si>
    <t>84H 175/65R15 EL64Z</t>
  </si>
  <si>
    <t>91V 205/55R16 EL64Z</t>
  </si>
  <si>
    <t>91V 195/65R15 EL64Z</t>
  </si>
  <si>
    <t>75V 165/50R16 EA04FZ</t>
  </si>
  <si>
    <t>75V</t>
  </si>
  <si>
    <t>73V 165/50R15 EA04FZ</t>
  </si>
  <si>
    <t>75V 165/55R15 EA04FZ</t>
  </si>
  <si>
    <t>102V 235/60R17 DTH1AZ</t>
  </si>
  <si>
    <t>94W 225/45R17 EL64AZ</t>
  </si>
  <si>
    <t>97W 235/45R17 EL64AZ</t>
  </si>
  <si>
    <t>103V 235/55R17 DTH1AZ</t>
  </si>
  <si>
    <t>75H 165/60R14 150EZ</t>
  </si>
  <si>
    <t>75H</t>
  </si>
  <si>
    <t>95W 215/50R17 EA03FZ</t>
  </si>
  <si>
    <t>84H 185/60R15 EP15LZ</t>
  </si>
  <si>
    <t xml:space="preserve"> 205/55R16 T05BZ</t>
  </si>
  <si>
    <t xml:space="preserve"> 185/60R15 EP30Z</t>
  </si>
  <si>
    <t>085V 195/55R15 EP30Z</t>
  </si>
  <si>
    <t>092V 205/60R16 EP30Z</t>
  </si>
  <si>
    <t>100V 225/60R18 DTH1AZ</t>
  </si>
  <si>
    <t xml:space="preserve"> 195/60R15 EP30Z</t>
  </si>
  <si>
    <t xml:space="preserve"> 215/60R16 EP30Z</t>
  </si>
  <si>
    <t>105W 255/45R20 AL011Z</t>
  </si>
  <si>
    <t>107V 235/60R18 DTH1AZ</t>
  </si>
  <si>
    <t>102V 245/50R20 AL011Z</t>
  </si>
  <si>
    <t>082H 185/60R14 150EZ</t>
  </si>
  <si>
    <t>99V 225/55R19 AL011Z</t>
  </si>
  <si>
    <t xml:space="preserve"> 235/55R19 AL011Z</t>
  </si>
  <si>
    <t>103V 245/55R19 AL011Z</t>
  </si>
  <si>
    <t>105H 245/60R18 DTH1AZ</t>
  </si>
  <si>
    <t>098V 215/55R17 EL64Z</t>
  </si>
  <si>
    <t xml:space="preserve"> 155/65R13 NEWNZ</t>
  </si>
  <si>
    <t>110H 265/60R18 684A6Z</t>
  </si>
  <si>
    <t>112S 265/65R17 693BHZ</t>
  </si>
  <si>
    <t xml:space="preserve"> 205/55R16 EP30Z</t>
  </si>
  <si>
    <t xml:space="preserve"> 155/65R14 NEWNZ</t>
  </si>
  <si>
    <t>98V 225/55R18 DTH1AZ</t>
  </si>
  <si>
    <t xml:space="preserve"> 185/65R15 NEWNZ</t>
  </si>
  <si>
    <t xml:space="preserve"> 185/70R14 NEWNZ</t>
  </si>
  <si>
    <t xml:space="preserve"> 175/65R15 NEWNZ</t>
  </si>
  <si>
    <t xml:space="preserve"> 195/65R15 NEWNZ</t>
  </si>
  <si>
    <t>082S 175/65R14 NH2CZ</t>
  </si>
  <si>
    <t>088S 185/65R15 NH2CZ</t>
  </si>
  <si>
    <t>088S 185/70R14 NH2SZ</t>
  </si>
  <si>
    <t>104V 235/55R18 DTH1AZ</t>
  </si>
  <si>
    <t>089H 195/60R16 EP15HZ</t>
  </si>
  <si>
    <t>089V 205/50R17 T05ABZ</t>
  </si>
  <si>
    <t>099V 225/60R17 AL01AZ</t>
  </si>
  <si>
    <t>95V 215/60R16 EL64Z</t>
  </si>
  <si>
    <t>99W 235/45R19 AL01AZ</t>
  </si>
  <si>
    <t>95V 225/45R18 EL64AZ</t>
  </si>
  <si>
    <t>PSR0V259</t>
  </si>
  <si>
    <t>94W 205/55R16 T06BZ</t>
  </si>
  <si>
    <t>T06BZ</t>
  </si>
  <si>
    <t>84H 175/70R14 SPCZ</t>
  </si>
  <si>
    <t>PSR0V261</t>
  </si>
  <si>
    <t xml:space="preserve"> 205/60R16 T06BZ</t>
  </si>
  <si>
    <t>101V 225/55R17 SL20AZ</t>
  </si>
  <si>
    <t xml:space="preserve"> 225/40R18 SL20GZ</t>
  </si>
  <si>
    <t>089W 215/45R18 SL20GZ</t>
  </si>
  <si>
    <t>94S 205/65R15 SL10Z</t>
  </si>
  <si>
    <t>94S</t>
  </si>
  <si>
    <t>99V 215/65R17 DTH1AZ</t>
  </si>
  <si>
    <t>112V 255/60R18 DTH1AZ</t>
  </si>
  <si>
    <t>84H 175/70R14 DT30AZ</t>
  </si>
  <si>
    <t>86V 185/55R15 DT30Z</t>
  </si>
  <si>
    <t>92V 205/60R16 DT30Z</t>
  </si>
  <si>
    <t>94W 215/55R17 DT30Z</t>
  </si>
  <si>
    <t>93W 205/50R17 DT30FZ</t>
  </si>
  <si>
    <t>91W 215/45R17 DT30FZ</t>
  </si>
  <si>
    <t>94W 225/45R17 DT30FZ</t>
  </si>
  <si>
    <t>93W 215/45R18 DT30FZ</t>
  </si>
  <si>
    <t xml:space="preserve"> 215/45R17 FH50FZ</t>
  </si>
  <si>
    <t xml:space="preserve"> 255/40R18 FH50FZ</t>
  </si>
  <si>
    <t xml:space="preserve"> 245/45R18 FH50FZ</t>
  </si>
  <si>
    <t xml:space="preserve"> 235/50R18 FH50FZ</t>
  </si>
  <si>
    <t>94T 205/65R15 FSASZ</t>
  </si>
  <si>
    <t>098T 215/70R15 FSASZ</t>
  </si>
  <si>
    <t>098T 215/65R16 FSASZ</t>
  </si>
  <si>
    <t>103T 235/65R16 FSASZ</t>
  </si>
  <si>
    <t>95T 205/65R16 FSASZ</t>
  </si>
  <si>
    <t>93T 215/55R16 FSASZ</t>
  </si>
  <si>
    <t>84T 175/65R15 FSASZ</t>
  </si>
  <si>
    <t>95T 215/60R16 FSASZ</t>
  </si>
  <si>
    <t>94W 255/35R18 FH50FZ</t>
  </si>
  <si>
    <t xml:space="preserve"> 225/45R17 FH50FZ</t>
  </si>
  <si>
    <t>102H 225/65R17 FSASZ</t>
  </si>
  <si>
    <t xml:space="preserve">082T 175/65R14 F7LAZ </t>
  </si>
  <si>
    <t xml:space="preserve">088T 175/70R14 F7LAZ </t>
  </si>
  <si>
    <t xml:space="preserve">084T 175/70R14 F6LAZ </t>
  </si>
  <si>
    <t xml:space="preserve"> 185/70R14 F7LAZ</t>
  </si>
  <si>
    <t>99T 225/60R17 FSASZ</t>
  </si>
  <si>
    <t>99T</t>
  </si>
  <si>
    <t xml:space="preserve"> 215/55R17 FSASZ</t>
  </si>
  <si>
    <t xml:space="preserve"> 235/55R17 FSASZ</t>
  </si>
  <si>
    <t>99T 215/65R17 FSASZ</t>
  </si>
  <si>
    <t>PSR0VH1F</t>
  </si>
  <si>
    <t>94V 235/45R18 FSASFZ</t>
  </si>
  <si>
    <t>FSASFZ</t>
  </si>
  <si>
    <t>QXCZA</t>
  </si>
  <si>
    <t>91H 195/65R15 FSASZ</t>
  </si>
  <si>
    <t>91H 205/55R16 FSASZ</t>
  </si>
  <si>
    <t>95V 215/60R16 FSASZ</t>
  </si>
  <si>
    <t xml:space="preserve"> 225/65R16 FSASZ</t>
  </si>
  <si>
    <t xml:space="preserve"> 225/60R16 FSASZ</t>
  </si>
  <si>
    <t xml:space="preserve"> 185/65R15 FSASZ</t>
  </si>
  <si>
    <t>095V 205/65R16 EP30Z</t>
  </si>
  <si>
    <t>094W 255/35R18 XLFH50FZ</t>
  </si>
  <si>
    <t>XLFH50FZ</t>
  </si>
  <si>
    <t>099W 225/40R18 FH50FZ</t>
  </si>
  <si>
    <t>095W 225/40R18 FH50FZ</t>
  </si>
  <si>
    <t>101W 225/50R18 FH50FZ</t>
  </si>
  <si>
    <t>3LHZA</t>
  </si>
  <si>
    <t>Creation Flag(1)</t>
  </si>
  <si>
    <t>Unit No. of slip(80)</t>
  </si>
  <si>
    <t>Posting Date(10)</t>
  </si>
  <si>
    <t>Document Date(10)</t>
  </si>
  <si>
    <t>Document Type(5)</t>
  </si>
  <si>
    <t>Reference(16)</t>
  </si>
  <si>
    <t>Doc. Header text(25)</t>
  </si>
  <si>
    <t>Currency(5)</t>
  </si>
  <si>
    <t>Exchange Rate(11)</t>
  </si>
  <si>
    <t>Translation Date(10)</t>
  </si>
  <si>
    <t>Posting Key(2)</t>
  </si>
  <si>
    <t>Account Code(17)</t>
  </si>
  <si>
    <t>G/L Account(10)</t>
  </si>
  <si>
    <t>Amount in Doc. Currency(14)</t>
  </si>
  <si>
    <t>Amount in Local Currency(14)</t>
  </si>
  <si>
    <t>Tax Base Amount in Document Currency(14)</t>
  </si>
  <si>
    <t>Calculate tax(1)</t>
  </si>
  <si>
    <t>Tax Code(2)</t>
  </si>
  <si>
    <t>Payment Block(1)</t>
  </si>
  <si>
    <t>Payment Method(1)</t>
  </si>
  <si>
    <t>Business Place(4)</t>
  </si>
  <si>
    <t>Assignment(18)</t>
  </si>
  <si>
    <t>Text(50)</t>
  </si>
  <si>
    <t>Number of Invoice(10)</t>
  </si>
  <si>
    <t>Fiscal Year of Relevant Invoice(4)</t>
  </si>
  <si>
    <t>Line Item of Relevant Invoice(3)</t>
  </si>
  <si>
    <t>Reference specification 1(12)</t>
  </si>
  <si>
    <t>Reference specification 2(12)</t>
  </si>
  <si>
    <t>Reference specification 3(20)</t>
  </si>
  <si>
    <t>Material(18)</t>
  </si>
  <si>
    <t>Cost center(10)</t>
  </si>
  <si>
    <t>Internal Order(12)</t>
  </si>
  <si>
    <t>Sales Order(10)</t>
  </si>
  <si>
    <t>Sales Order Item(6)</t>
  </si>
  <si>
    <t>Delivery Schedule for SO(4)</t>
  </si>
  <si>
    <t>Personnel number(8)</t>
  </si>
  <si>
    <t>Plant(4)</t>
  </si>
  <si>
    <t>Business Area(4)</t>
  </si>
  <si>
    <t>Quantity(14)</t>
  </si>
  <si>
    <t>Unit of Measure(3)</t>
  </si>
  <si>
    <t>Profit Center(10)</t>
  </si>
  <si>
    <t>Partner(10)</t>
  </si>
  <si>
    <t>Functional Area(4)</t>
  </si>
  <si>
    <t>Purchase order(10)</t>
  </si>
  <si>
    <t>Purchase order Item(5)</t>
  </si>
  <si>
    <t>Baseline Date(10)</t>
  </si>
  <si>
    <t>Value date(10)</t>
  </si>
  <si>
    <t>Payment terms(4)</t>
  </si>
  <si>
    <t>Cash Discount Days 1(3)</t>
  </si>
  <si>
    <t>Cash Discount Percentage 1(6)</t>
  </si>
  <si>
    <t>Cash Discount Days 2(3)</t>
  </si>
  <si>
    <t>Cash Discount Percentage 2(6)</t>
  </si>
  <si>
    <t>Net Payment Terms Period(3)</t>
  </si>
  <si>
    <t>Own Bank(5)</t>
  </si>
  <si>
    <t>Bank Business Partners(4)</t>
  </si>
  <si>
    <t>Instruction Key 1(2)</t>
  </si>
  <si>
    <t>Instruction Key 2(2)</t>
  </si>
  <si>
    <t>Instruction Key 3(2)</t>
  </si>
  <si>
    <t>Instruction Key 4(2)</t>
  </si>
  <si>
    <t>Payment Reference(30)</t>
  </si>
  <si>
    <t>Payment currency amount(14)</t>
  </si>
  <si>
    <t>WHT Code(2)</t>
  </si>
  <si>
    <t>WHT Base Amount(16)</t>
  </si>
  <si>
    <t>WHT Amount(16)</t>
  </si>
  <si>
    <t>SCB Indicator(3)</t>
  </si>
  <si>
    <t>Supplying Country(3)</t>
  </si>
  <si>
    <t>31.01.2024</t>
  </si>
  <si>
    <t>ZT</t>
  </si>
  <si>
    <t>Transfer to WIP Jan-2024</t>
  </si>
  <si>
    <t>Transfer to WIP</t>
  </si>
  <si>
    <t>Transfer to WIP 132000</t>
  </si>
  <si>
    <t>A01</t>
  </si>
  <si>
    <t>Transfer to WIP 652210 62770601851I</t>
  </si>
  <si>
    <t>851I</t>
  </si>
  <si>
    <t>62770601851I</t>
  </si>
  <si>
    <t>Transfer to WIP 652210 62770601851H</t>
  </si>
  <si>
    <t>851H</t>
  </si>
  <si>
    <t>62770601851H</t>
  </si>
  <si>
    <t>Transfer to WIP 652210 62770601832L</t>
  </si>
  <si>
    <t>832L</t>
  </si>
  <si>
    <t>62770601832L</t>
  </si>
  <si>
    <t>Transfer to WIP 652210 62770605832F</t>
  </si>
  <si>
    <t>832F</t>
  </si>
  <si>
    <t>62770605832F</t>
  </si>
  <si>
    <t>Transfer to WIP 652210 62770605832E</t>
  </si>
  <si>
    <t>832E</t>
  </si>
  <si>
    <t>62770605832E</t>
  </si>
  <si>
    <t>Transfer to WIP 652210 627706018312</t>
  </si>
  <si>
    <t>Transfer to WIP 652210 627706018111</t>
  </si>
  <si>
    <t>Transfer to WIP 652210 627706013312</t>
  </si>
  <si>
    <t>Transfer to WIP 652210 627706043221</t>
  </si>
  <si>
    <t>Transfer to WIP 652210 627706013221</t>
  </si>
  <si>
    <t>Transfer to WIP 651110 62730401851L</t>
  </si>
  <si>
    <t>851L</t>
  </si>
  <si>
    <t>62730401851L</t>
  </si>
  <si>
    <t>Transfer to WIP 651110 62730401851H</t>
  </si>
  <si>
    <t>62730401851H</t>
  </si>
  <si>
    <t>Transfer to WIP 651110 62730401851C</t>
  </si>
  <si>
    <t>851C</t>
  </si>
  <si>
    <t>62730401851C</t>
  </si>
  <si>
    <t>Transfer to WIP 651110 62730401321P</t>
  </si>
  <si>
    <t>321P</t>
  </si>
  <si>
    <t>62730401321P</t>
  </si>
  <si>
    <t>Transfer to WIP 651110 627304018514</t>
  </si>
  <si>
    <t>Transfer to WIP 651110 627304018111</t>
  </si>
  <si>
    <t>Transfer to WIP 651110 627304013221</t>
  </si>
  <si>
    <t>Transfer to WIP 644500 62730101852J</t>
  </si>
  <si>
    <t>852J</t>
  </si>
  <si>
    <t>62730101852J</t>
  </si>
  <si>
    <t>Transfer to WIP 644500 62730101852I</t>
  </si>
  <si>
    <t>852I</t>
  </si>
  <si>
    <t>62730101852I</t>
  </si>
  <si>
    <t>Transfer to WIP 644500 62730101851L</t>
  </si>
  <si>
    <t>62730101851L</t>
  </si>
  <si>
    <t>Transfer to WIP 644500 62730101851I</t>
  </si>
  <si>
    <t>62730101851I</t>
  </si>
  <si>
    <t>Transfer to WIP 644500 62730101851C</t>
  </si>
  <si>
    <t>62730101851C</t>
  </si>
  <si>
    <t>Transfer to WIP 644500 62730103331M</t>
  </si>
  <si>
    <t>331M</t>
  </si>
  <si>
    <t>62730103331M</t>
  </si>
  <si>
    <t>Transfer to WIP 644500 62730101321P</t>
  </si>
  <si>
    <t>62730101321P</t>
  </si>
  <si>
    <t>Transfer to WIP 644500 627301028514</t>
  </si>
  <si>
    <t>Transfer to WIP 644500 627301018514</t>
  </si>
  <si>
    <t>Transfer to WIP 644500 627301018312</t>
  </si>
  <si>
    <t>Transfer to WIP 644500 627301013212</t>
  </si>
  <si>
    <t>Transfer to WIP 644500 627301011511</t>
  </si>
  <si>
    <t>Transfer to WIP 644500 627301991213</t>
  </si>
  <si>
    <t>Transfer to WIP 644500 627301021213</t>
  </si>
  <si>
    <t>Transfer to WIP 644100 62720803852J</t>
  </si>
  <si>
    <t>62720803852J</t>
  </si>
  <si>
    <t>Transfer to WIP 644100 62720801852J</t>
  </si>
  <si>
    <t>62720801852J</t>
  </si>
  <si>
    <t>Transfer to WIP 644100 62720801852I</t>
  </si>
  <si>
    <t>62720801852I</t>
  </si>
  <si>
    <t>Transfer to WIP 644100 62720801851L</t>
  </si>
  <si>
    <t>62720801851L</t>
  </si>
  <si>
    <t>Transfer to WIP 644100 62720899851I</t>
  </si>
  <si>
    <t>62720899851I</t>
  </si>
  <si>
    <t>Transfer to WIP 644100 62720801851I</t>
  </si>
  <si>
    <t>62720801851I</t>
  </si>
  <si>
    <t>Transfer to WIP 652210 62770601851L</t>
  </si>
  <si>
    <t>62770601851L</t>
  </si>
  <si>
    <t>Transfer to WIP 688805 627899993221</t>
  </si>
  <si>
    <t>Transfer to WIP 673002 627703028311</t>
  </si>
  <si>
    <t>Transfer to WIP 671000 627705013311</t>
  </si>
  <si>
    <t>Transfer to WIP 668000 627722021511</t>
  </si>
  <si>
    <t>Transfer to WIP 668000 627722011511</t>
  </si>
  <si>
    <t>Transfer to WIP 667831 627811021213</t>
  </si>
  <si>
    <t>Transfer to WIP 667821 62781001852J</t>
  </si>
  <si>
    <t>62781001852J</t>
  </si>
  <si>
    <t>Transfer to WIP 667821 62781001851I</t>
  </si>
  <si>
    <t>62781001851I</t>
  </si>
  <si>
    <t>Transfer to WIP 667821 62781001851H</t>
  </si>
  <si>
    <t>62781001851H</t>
  </si>
  <si>
    <t>Transfer to WIP 667821 62781001331M</t>
  </si>
  <si>
    <t>62781001331M</t>
  </si>
  <si>
    <t>Transfer to WIP 667821 627810021213</t>
  </si>
  <si>
    <t>Transfer to WIP 667821 627810011213</t>
  </si>
  <si>
    <t>Transfer to WIP 667111 62730301851I</t>
  </si>
  <si>
    <t>62730301851I</t>
  </si>
  <si>
    <t>Transfer to WIP 667111 62730301321M</t>
  </si>
  <si>
    <t>321M</t>
  </si>
  <si>
    <t>62730301321M</t>
  </si>
  <si>
    <t>Transfer to WIP 667111 627303018514</t>
  </si>
  <si>
    <t>Transfer to WIP 667111 627303018411</t>
  </si>
  <si>
    <t>Transfer to WIP 667111 627303018111</t>
  </si>
  <si>
    <t>Transfer to WIP 667111 627303021213</t>
  </si>
  <si>
    <t>Transfer to WIP 667111 627303011213</t>
  </si>
  <si>
    <t>Transfer to WIP 667001 627714031213</t>
  </si>
  <si>
    <t>Transfer to WIP 667001 627714021213</t>
  </si>
  <si>
    <t>Transfer to WIP 667001 627714011213</t>
  </si>
  <si>
    <t>Transfer to WIP 665010 62771302321P</t>
  </si>
  <si>
    <t>62771302321P</t>
  </si>
  <si>
    <t>Transfer to WIP 665010 627713018411</t>
  </si>
  <si>
    <t>Transfer to WIP 663001 627802031213</t>
  </si>
  <si>
    <t>Transfer to WIP 663001 627802011213</t>
  </si>
  <si>
    <t>Transfer to WIP 662701 627806221213</t>
  </si>
  <si>
    <t>Transfer to WIP 662401 627803211213</t>
  </si>
  <si>
    <t>Transfer to WIP 662201 627702211213</t>
  </si>
  <si>
    <t>Transfer to WIP 661001 627805128512</t>
  </si>
  <si>
    <t>Transfer to WIP 661001 627805128511</t>
  </si>
  <si>
    <t>Transfer to WIP 661001 627805128411</t>
  </si>
  <si>
    <t>Transfer to WIP 661001 627805128111</t>
  </si>
  <si>
    <t>Transfer to WIP 661001 627805113221</t>
  </si>
  <si>
    <t>Transfer to WIP 661001 627805113211</t>
  </si>
  <si>
    <t>Transfer to WIP 652210 62770601852I</t>
  </si>
  <si>
    <t>62770601852I</t>
  </si>
  <si>
    <t>Transfer to WIP 624131 62730511851H</t>
  </si>
  <si>
    <t>62730511851H</t>
  </si>
  <si>
    <t>Transfer to WIP 624131 62730511321P</t>
  </si>
  <si>
    <t>62730511321P</t>
  </si>
  <si>
    <t>Transfer to WIP 624131 627305113212</t>
  </si>
  <si>
    <t>Transfer to WIP 624111 627801331212</t>
  </si>
  <si>
    <t>Transfer to WIP 624025 627033011211</t>
  </si>
  <si>
    <t>Transfer to WIP 624024 627131211211</t>
  </si>
  <si>
    <t>Transfer to WIP 624023 627140011211</t>
  </si>
  <si>
    <t>Transfer to WIP 624022 627160011211</t>
  </si>
  <si>
    <t>Transfer to WIP 624021 627131011211</t>
  </si>
  <si>
    <t>Transfer to WIP 624020 627120011211</t>
  </si>
  <si>
    <t>Transfer to WIP 624015 622033011211</t>
  </si>
  <si>
    <t>Transfer to WIP 624014 622031211211</t>
  </si>
  <si>
    <t>Transfer to WIP 624013 622040011211</t>
  </si>
  <si>
    <t>Transfer to WIP 624012 622060011211</t>
  </si>
  <si>
    <t>Transfer to WIP 624011 622031011211</t>
  </si>
  <si>
    <t>Transfer to WIP 624010 622020011211</t>
  </si>
  <si>
    <t>Transfer to WIP 622012 627104211000</t>
  </si>
  <si>
    <t>Transfer to WIP 622011 627104191211</t>
  </si>
  <si>
    <t>Transfer to WIP 622011 627104111211</t>
  </si>
  <si>
    <t>Transfer to WIP 622001 622004191211</t>
  </si>
  <si>
    <t>Transfer to WIP 622001 622004111211</t>
  </si>
  <si>
    <t>Transfer to WIP 621013 627101321211</t>
  </si>
  <si>
    <t>Transfer to WIP 621013 627101311211</t>
  </si>
  <si>
    <t>Transfer to WIP 621012 627101211000</t>
  </si>
  <si>
    <t>Transfer to WIP 621011 627101141211</t>
  </si>
  <si>
    <t>Transfer to WIP 621011 627101131211</t>
  </si>
  <si>
    <t>Transfer to WIP 621011 627101121211</t>
  </si>
  <si>
    <t>Transfer to WIP 621011 627101111211</t>
  </si>
  <si>
    <t>Transfer to WIP 621001 622001141211</t>
  </si>
  <si>
    <t>Transfer to WIP 621001 622001131211</t>
  </si>
  <si>
    <t>Transfer to WIP 621001 622001121211</t>
  </si>
  <si>
    <t>Transfer to WIP 621001 622001111211</t>
  </si>
  <si>
    <t>Transfer to WIP 600000 62100105331M</t>
  </si>
  <si>
    <t>62100105331M</t>
  </si>
  <si>
    <t>Transfer to WIP 600000 62100104331M</t>
  </si>
  <si>
    <t>62100104331M</t>
  </si>
  <si>
    <t>Transfer to WIP 600000 62100103331M</t>
  </si>
  <si>
    <t>62100103331M</t>
  </si>
  <si>
    <t>Transfer to WIP 600000 62100102331M</t>
  </si>
  <si>
    <t>62100102331M</t>
  </si>
  <si>
    <t>Transfer to WIP 600000 62100101331M</t>
  </si>
  <si>
    <t>62100101331M</t>
  </si>
  <si>
    <t>Transfer to WIP 624131 62730511851L</t>
  </si>
  <si>
    <t>62730511851L</t>
  </si>
  <si>
    <t>Transfer to WIP 644100 62720801851H</t>
  </si>
  <si>
    <t>62720801851H</t>
  </si>
  <si>
    <t>Transfer to WIP 644100 62720801851C</t>
  </si>
  <si>
    <t>62720801851C</t>
  </si>
  <si>
    <t>Transfer to WIP 644100 62720804832E</t>
  </si>
  <si>
    <t>62720804832E</t>
  </si>
  <si>
    <t>Transfer to WIP 644100 62720801331M</t>
  </si>
  <si>
    <t>62720801331M</t>
  </si>
  <si>
    <t>Transfer to WIP 644100 62720801321P</t>
  </si>
  <si>
    <t>62720801321P</t>
  </si>
  <si>
    <t>Transfer to WIP 644100 62720801321M</t>
  </si>
  <si>
    <t>62720801321M</t>
  </si>
  <si>
    <t>Transfer to WIP 644100 627208018514</t>
  </si>
  <si>
    <t>Transfer to WIP 644100 627208018411</t>
  </si>
  <si>
    <t>Transfer to WIP 644100 627208018312</t>
  </si>
  <si>
    <t>Transfer to WIP 644100 627208013212</t>
  </si>
  <si>
    <t>Transfer to WIP 644100 627208991213</t>
  </si>
  <si>
    <t>Transfer to WIP 644100 627208021213</t>
  </si>
  <si>
    <t>Transfer to WIP 643001 62771103831U</t>
  </si>
  <si>
    <t>831U</t>
  </si>
  <si>
    <t>62771103831U</t>
  </si>
  <si>
    <t>Transfer to WIP 643001 62771102831U</t>
  </si>
  <si>
    <t>62771102831U</t>
  </si>
  <si>
    <t>Transfer to WIP 643001 62771101831U</t>
  </si>
  <si>
    <t>62771101831U</t>
  </si>
  <si>
    <t>Transfer to WIP 641000 62720208852J</t>
  </si>
  <si>
    <t>62720208852J</t>
  </si>
  <si>
    <t>Transfer to WIP 641000 62720206852J</t>
  </si>
  <si>
    <t>62720206852J</t>
  </si>
  <si>
    <t>Transfer to WIP 641000 62720202852J</t>
  </si>
  <si>
    <t>62720202852J</t>
  </si>
  <si>
    <t>Transfer to WIP 641000 62720208852I</t>
  </si>
  <si>
    <t>62720208852I</t>
  </si>
  <si>
    <t>Transfer to WIP 641000 62720209851L</t>
  </si>
  <si>
    <t>62720209851L</t>
  </si>
  <si>
    <t>Transfer to WIP 641000 62720209851I</t>
  </si>
  <si>
    <t>62720209851I</t>
  </si>
  <si>
    <t>Transfer to WIP 641000 62720203851I</t>
  </si>
  <si>
    <t>62720203851I</t>
  </si>
  <si>
    <t>Transfer to WIP 641000 62720299851H</t>
  </si>
  <si>
    <t>62720299851H</t>
  </si>
  <si>
    <t>Transfer to WIP 641000 62720205851H</t>
  </si>
  <si>
    <t>62720205851H</t>
  </si>
  <si>
    <t>Transfer to WIP 641000 627202993212</t>
  </si>
  <si>
    <t>Transfer to WIP 641000 627202083212</t>
  </si>
  <si>
    <t>Transfer to WIP 630901 627799993221</t>
  </si>
  <si>
    <t>Transfer to WIP 630406 627707023221</t>
  </si>
  <si>
    <t>Transfer to WIP 630404 627708011213</t>
  </si>
  <si>
    <t>Transfer to WIP 624161 627806128514</t>
  </si>
  <si>
    <t>Transfer to WIP 624161 627806128512</t>
  </si>
  <si>
    <t>Transfer to WIP 624161 627806121213</t>
  </si>
  <si>
    <t>Transfer to WIP 624161 627806111211</t>
  </si>
  <si>
    <t>Transfer to WIP 624141 627804111213</t>
  </si>
  <si>
    <t>Transfer to WIP 624133 627704131213</t>
  </si>
  <si>
    <t>Transfer to WIP 624131 62730511852J</t>
  </si>
  <si>
    <t>62730511852J</t>
  </si>
  <si>
    <t>Transfer to WIP 624131 62730511852I</t>
  </si>
  <si>
    <t>62730511852I</t>
  </si>
  <si>
    <t>Jan_Jan-24</t>
  </si>
  <si>
    <t>079S 155/80 R13     SL10Z</t>
  </si>
  <si>
    <t xml:space="preserve">082H175/65 R14   SPCZ  </t>
  </si>
  <si>
    <t xml:space="preserve">095V215/60 R16   BAR3Z </t>
  </si>
  <si>
    <t xml:space="preserve">086H185/65 R14   SPCZ  </t>
  </si>
  <si>
    <t xml:space="preserve">092V 205/60 R16     BAR3Z   </t>
  </si>
  <si>
    <t xml:space="preserve">088H195/60 R15   SPCZ  </t>
  </si>
  <si>
    <t>088S 185/65 R15 SL10Z</t>
  </si>
  <si>
    <t xml:space="preserve">088H 185/65 R15     BAR3Z   </t>
  </si>
  <si>
    <t xml:space="preserve">091H195/65 R15   SPCZ  </t>
  </si>
  <si>
    <t xml:space="preserve">095V215/60 R16   SPCZ  </t>
  </si>
  <si>
    <t>100H 215/70 R16     DTH1AZ</t>
  </si>
  <si>
    <t xml:space="preserve">088H 185/65 R15      SPCZ </t>
  </si>
  <si>
    <t>095H 205/65 R16     EP15WZ</t>
  </si>
  <si>
    <t>098H 215/65 R16     DTH1AZ</t>
  </si>
  <si>
    <t xml:space="preserve">094H 205/65 R15     EL64Z   </t>
  </si>
  <si>
    <t>102V 225/65 R17     DTH1AZ</t>
  </si>
  <si>
    <t xml:space="preserve">095V 205/65 R16     EP30Z   </t>
  </si>
  <si>
    <t>108V 235/65 R17   DTH1AZ</t>
  </si>
  <si>
    <t>096H 215/60 R17     DTH1AZ</t>
  </si>
  <si>
    <t xml:space="preserve">095W 235/40 R18   XLEL64AZ  </t>
  </si>
  <si>
    <t xml:space="preserve">084H 185/60 R15     EL64Z   </t>
  </si>
  <si>
    <t xml:space="preserve">088H 185/65 R15     EL64Z   </t>
  </si>
  <si>
    <t xml:space="preserve">091W 215/45 R17   EL64AZ  </t>
  </si>
  <si>
    <t>092W 225/40 R18   EL64AZ</t>
  </si>
  <si>
    <t>099V 225/60 R17     DTH1AZ</t>
  </si>
  <si>
    <t xml:space="preserve">084H 175/65 R15     EL64Z </t>
  </si>
  <si>
    <t xml:space="preserve">091V 205/55 R16     EL64Z   </t>
  </si>
  <si>
    <t xml:space="preserve">091V 195/65 R15     EL64Z   </t>
  </si>
  <si>
    <t>102V 235/60 R17     DTH1AZ</t>
  </si>
  <si>
    <t xml:space="preserve">094W 225/45 R17   XLEL64AZ  </t>
  </si>
  <si>
    <t xml:space="preserve">097W 235/45 R17   XLEL64AZ  </t>
  </si>
  <si>
    <t>103V 235/55 R17   DTH1AZ</t>
  </si>
  <si>
    <t xml:space="preserve">075H 165/60 R14      150EZ  </t>
  </si>
  <si>
    <t xml:space="preserve">095W 215/50 R17   XLEA03FZ  </t>
  </si>
  <si>
    <t xml:space="preserve">084H 185/60 R15     EP15LZ </t>
  </si>
  <si>
    <t>100V 225/60 R18     DTH1AZ</t>
  </si>
  <si>
    <t xml:space="preserve">105W 255/45 R20   XLAL011Z  </t>
  </si>
  <si>
    <t>107V 235/60 R18   DTH1AZ</t>
  </si>
  <si>
    <t>095V 215/60 R16     EA03FZ</t>
  </si>
  <si>
    <t xml:space="preserve">099V 225/55 R19     AL011Z  </t>
  </si>
  <si>
    <t>105H 245/60 R18     DTH1AZ</t>
  </si>
  <si>
    <t>110H 265/60 R18 684A6Z</t>
  </si>
  <si>
    <t>112S 265/65 R17 693BHZ</t>
  </si>
  <si>
    <t>091V 205/55 R16 EP30Z</t>
  </si>
  <si>
    <t>098V 225/55 R18     DTH1AZ</t>
  </si>
  <si>
    <t>104V 235/55 R18   DTH1AZ</t>
  </si>
  <si>
    <t>101W 235/55 R19 AL011Z</t>
  </si>
  <si>
    <t>089H 195/60 R16 EP15HZ</t>
  </si>
  <si>
    <t>089V 205/50 R17 T05ABZ</t>
  </si>
  <si>
    <t xml:space="preserve">084H 175/70 R14      SPCZ   </t>
  </si>
  <si>
    <t>094S 205/65 R15 SL10Z</t>
  </si>
  <si>
    <t>084H 175/70 R14 DT30AZ</t>
  </si>
  <si>
    <t xml:space="preserve">086V 185/55 R15   XLDT30Z   </t>
  </si>
  <si>
    <t xml:space="preserve">092V 205/60 R16     DT30Z   </t>
  </si>
  <si>
    <t xml:space="preserve">094W 215/55 R17     DT30Z   </t>
  </si>
  <si>
    <t xml:space="preserve">093W 205/50 R17   XLDT30FZ  </t>
  </si>
  <si>
    <t xml:space="preserve">091W 215/45 R17   XLDT30FZ  </t>
  </si>
  <si>
    <t xml:space="preserve">094W 225/45 R17   XLDT30FZ  </t>
  </si>
  <si>
    <t xml:space="preserve">093W 215/45 R18   XLDT30FZ  </t>
  </si>
  <si>
    <t xml:space="preserve">094T 205/65 R15     FSASZ </t>
  </si>
  <si>
    <t xml:space="preserve">098T 215/70 R15     FSASZ </t>
  </si>
  <si>
    <t xml:space="preserve">098T 215/65 R16     FSASZ </t>
  </si>
  <si>
    <t xml:space="preserve">103T 235/65 R16     FSASZ </t>
  </si>
  <si>
    <t xml:space="preserve">095T 205/65 R16     FSASZ </t>
  </si>
  <si>
    <t xml:space="preserve">093T 215/55 R16     FSASZ </t>
  </si>
  <si>
    <t>095T 215/60 R16     FSASZ</t>
  </si>
  <si>
    <t xml:space="preserve">094W 225/45 R17   XLFH50FZ  </t>
  </si>
  <si>
    <t>091T 205/55 R16     FSASZ</t>
  </si>
  <si>
    <t xml:space="preserve">082T 175/65 R14 F7LAZ </t>
  </si>
  <si>
    <t>088T 175/70R14 F7LAZ</t>
  </si>
  <si>
    <t>075H 155/65R14 NEWNZ</t>
  </si>
  <si>
    <t>088S 185/65R15 NEWNZ</t>
  </si>
  <si>
    <t>084H 185/70R14 NEWNZ</t>
  </si>
  <si>
    <t>088S 175/65R15 NEWNZ</t>
  </si>
  <si>
    <t>099V 225/60 R17 AL01AZ</t>
  </si>
  <si>
    <t>103W 235/60 R18 AL01Z</t>
  </si>
  <si>
    <t>092W 225/40R18 SL20GZ</t>
  </si>
  <si>
    <t>099W 235/45R19 AL01AZ</t>
  </si>
  <si>
    <t>88T 185/70R14 F7LAZ</t>
  </si>
  <si>
    <t>092W 225/40R18 FH50FZ</t>
  </si>
  <si>
    <t>091T 195/65R15 FSASZ</t>
  </si>
  <si>
    <t>094W 255/35R18 FH50FZ</t>
  </si>
  <si>
    <t>091H 195/65R15 FSASZ</t>
  </si>
  <si>
    <t>091H 205/55R16 FSASZ</t>
  </si>
  <si>
    <t>101W 235/50R18 FH50FZ</t>
  </si>
  <si>
    <t>100T 225/65R16 FSASZ</t>
  </si>
  <si>
    <t>088T 185/65R15 FSASZ</t>
  </si>
  <si>
    <t>093V 215/55R16 EP3AZ</t>
  </si>
  <si>
    <t>093V</t>
  </si>
  <si>
    <t xml:space="preserve"> 215/60R16 EA03FZ</t>
  </si>
  <si>
    <t>091T 205/55R16 FSASZ</t>
  </si>
  <si>
    <t>091T</t>
  </si>
  <si>
    <t xml:space="preserve">092V 205/60R16 BAR3Z </t>
  </si>
  <si>
    <t xml:space="preserve">BAR3Z </t>
  </si>
  <si>
    <t>Firestone</t>
  </si>
  <si>
    <t>092W</t>
  </si>
  <si>
    <t>Return</t>
  </si>
  <si>
    <t>Y23</t>
  </si>
  <si>
    <t>Transfer to WIP 644500 62730101321M</t>
  </si>
  <si>
    <t>62730101321M</t>
  </si>
  <si>
    <t>Transfer to WIP 673001 627701211611</t>
  </si>
  <si>
    <t>Transfer to WIP 665010 62771301321M</t>
  </si>
  <si>
    <t>62771301321M</t>
  </si>
  <si>
    <t>Transfer to WIP 662301 627704211213</t>
  </si>
  <si>
    <t>Transfer to WIP 624101 627141011211</t>
  </si>
  <si>
    <t>Transfer to WIP 624100 622041011211</t>
  </si>
  <si>
    <t>Transfer to WIP 644100 627208018111</t>
  </si>
  <si>
    <t>Transfer to WIP 644100 627208061213</t>
  </si>
  <si>
    <t>Transfer to WIP 644041 627712038312</t>
  </si>
  <si>
    <t>Transfer to WIP 644041 627712028312</t>
  </si>
  <si>
    <t>Transfer to WIP 644041 627712018311</t>
  </si>
  <si>
    <t>Transfer to WIP 642000 62720303831U</t>
  </si>
  <si>
    <t>62720303831U</t>
  </si>
  <si>
    <t>Transfer to WIP 641000 62720299851I</t>
  </si>
  <si>
    <t>62720299851I</t>
  </si>
  <si>
    <t>Transfer to WIP 630406 627707013221</t>
  </si>
  <si>
    <t>Transfer to WIP 630303 62772401331M</t>
  </si>
  <si>
    <t>62772401331M</t>
  </si>
  <si>
    <t>Transfer to WIP 624133 627704121213</t>
  </si>
  <si>
    <t>Transfer to WIP 624133 627704111213</t>
  </si>
  <si>
    <t>- allocate 24/7
- Delay accident insurance for family member &amp; travel insurance -10K</t>
  </si>
  <si>
    <t>Biz in Thailand &amp; China (suddenly)</t>
  </si>
  <si>
    <t>Transfer to WIP 651110 627304018312</t>
  </si>
  <si>
    <t>Transfer to WIP 651110 627304048312</t>
  </si>
  <si>
    <t>Transfer to WIP 651110 62730401831U</t>
  </si>
  <si>
    <t>62730401831U</t>
  </si>
  <si>
    <t>Transfer to WIP 651110 62730401832B</t>
  </si>
  <si>
    <t>832B</t>
  </si>
  <si>
    <t>62730401832B</t>
  </si>
  <si>
    <t>Transfer to WIP 651110 62730401832C</t>
  </si>
  <si>
    <t>832C</t>
  </si>
  <si>
    <t>62730401832C</t>
  </si>
  <si>
    <t>Transfer to WIP 651110 62730401832E</t>
  </si>
  <si>
    <t>62730401832E</t>
  </si>
  <si>
    <t>Transfer to WIP 651110 62730401832F</t>
  </si>
  <si>
    <t>62730401832F</t>
  </si>
  <si>
    <t>Transfer to WIP 651110 62730401832H</t>
  </si>
  <si>
    <t>832H</t>
  </si>
  <si>
    <t>62730401832H</t>
  </si>
  <si>
    <t>Transfer to WIP 651110 62730403832H</t>
  </si>
  <si>
    <t>62730403832H</t>
  </si>
  <si>
    <t>Transfer to WIP 651110 62730401832J</t>
  </si>
  <si>
    <t>832J</t>
  </si>
  <si>
    <t>62730401832J</t>
  </si>
  <si>
    <t>Transfer to WIP 651110 62730401832L</t>
  </si>
  <si>
    <t>62730401832L</t>
  </si>
  <si>
    <t>Transfer to WIP 644100 62720805851H</t>
  </si>
  <si>
    <t>62720805851H</t>
  </si>
  <si>
    <t>Transfer to WIP 644100 62720805851I</t>
  </si>
  <si>
    <t>62720805851I</t>
  </si>
  <si>
    <t>Transfer to WIP 644100 62720805851L</t>
  </si>
  <si>
    <t>62720805851L</t>
  </si>
  <si>
    <t>Transfer to WIP 644100 62720805852J</t>
  </si>
  <si>
    <t>62720805852J</t>
  </si>
  <si>
    <t>Transfer to WIP 661001 627805118411</t>
  </si>
  <si>
    <t>Transfer to WIP 662501 627804221213</t>
  </si>
  <si>
    <t>Transfer to WIP 665010 627713023211</t>
  </si>
  <si>
    <t>Transfer to WIP 624131 627305111213</t>
  </si>
  <si>
    <t>Transfer to WIP 624141 627804121213</t>
  </si>
  <si>
    <t>Transfer to WIP 644100 627208053221</t>
  </si>
  <si>
    <t>Transfer to WIP 644100 627208053312</t>
  </si>
  <si>
    <t>Transfer to WIP 644100 627208038312</t>
  </si>
  <si>
    <t>Transfer to WIP 644100 62720804831U</t>
  </si>
  <si>
    <t>62720804831U</t>
  </si>
  <si>
    <t>Transfer to WIP 644100 62720805851C</t>
  </si>
  <si>
    <t>62720805851C</t>
  </si>
  <si>
    <t>Transfer to WIP 642000 62720301831U</t>
  </si>
  <si>
    <t>62720301831U</t>
  </si>
  <si>
    <t>Transfer to WIP 642000 62720302831U</t>
  </si>
  <si>
    <t>62720302831U</t>
  </si>
  <si>
    <t>Transfer to WIP 654010 627400011611</t>
  </si>
  <si>
    <t>Transfer to WIP 654010 627400021611</t>
  </si>
  <si>
    <t>Transfer to WIP 654010 627400031611</t>
  </si>
  <si>
    <t>Transfer to WIP 654010 627400041611</t>
  </si>
  <si>
    <t>Transfer to WIP 654010 627400051611</t>
  </si>
  <si>
    <t>Transfer to WIP 654010 627400061611</t>
  </si>
  <si>
    <t>Transfer to WIP 654010 627400071611</t>
  </si>
  <si>
    <t>Transfer to WIP 641000 62720299852J</t>
  </si>
  <si>
    <t>62720299852J</t>
  </si>
  <si>
    <t>Transfer to WIP 621012 627101241000</t>
  </si>
  <si>
    <t>-</t>
  </si>
  <si>
    <t>PSR 32E2</t>
  </si>
  <si>
    <t>PSR 74D7</t>
  </si>
  <si>
    <t>PSR 00D2</t>
  </si>
  <si>
    <t>PSR 99D9</t>
  </si>
  <si>
    <t>PSR 08C1</t>
  </si>
  <si>
    <t>PSR 43A8</t>
  </si>
  <si>
    <t>PSR 42A1</t>
  </si>
  <si>
    <t>PSR 353U</t>
  </si>
  <si>
    <t>PSR 48A0</t>
  </si>
  <si>
    <t>PSR 07D9</t>
  </si>
  <si>
    <t>PSR 17D3</t>
  </si>
  <si>
    <t>PSR 430P</t>
  </si>
  <si>
    <t>PSR 74D9</t>
  </si>
  <si>
    <t>PSR 06D5</t>
  </si>
  <si>
    <t>PSR 37A9</t>
  </si>
  <si>
    <t>PSR 959U</t>
  </si>
  <si>
    <t>PSR 979W</t>
  </si>
  <si>
    <t>PSR 97C1</t>
  </si>
  <si>
    <t>PSR 597U</t>
  </si>
  <si>
    <t>PSR 40A0</t>
  </si>
  <si>
    <t>PSR 890Y</t>
  </si>
  <si>
    <t>PSR 480U</t>
  </si>
  <si>
    <t>PSR 39A5</t>
  </si>
  <si>
    <t>PSR 177U</t>
  </si>
  <si>
    <t>PSR 681U</t>
  </si>
  <si>
    <t>PSR 39C7</t>
  </si>
  <si>
    <t>PSR 372Y</t>
  </si>
  <si>
    <t>PSR 77D1</t>
  </si>
  <si>
    <t>PSR 24A0</t>
  </si>
  <si>
    <t>PSR 365Y</t>
  </si>
  <si>
    <t>PSR 25A4</t>
  </si>
  <si>
    <t>PSR 76A5</t>
  </si>
  <si>
    <t>PSR 481U</t>
  </si>
  <si>
    <t>PSR 817S</t>
  </si>
  <si>
    <t>PSR 283Y</t>
  </si>
  <si>
    <t>PSR 04D4</t>
  </si>
  <si>
    <t>PSR 872W</t>
  </si>
  <si>
    <t>PSR 330Y</t>
  </si>
  <si>
    <t>PSR 582Y</t>
  </si>
  <si>
    <t>PSR 12A6</t>
  </si>
  <si>
    <t>PSR 00D6</t>
  </si>
  <si>
    <t>PSR 362Y</t>
  </si>
  <si>
    <t>PSR 203W</t>
  </si>
  <si>
    <t>PSR 943T</t>
  </si>
  <si>
    <t>PSR 77A5</t>
  </si>
  <si>
    <t>PSR 426Y</t>
  </si>
  <si>
    <t>PSR 610U</t>
  </si>
  <si>
    <t>PSR 466P</t>
  </si>
  <si>
    <t>PSR 954T</t>
  </si>
  <si>
    <t>PSR 871T</t>
  </si>
  <si>
    <t>PSR 282U</t>
  </si>
  <si>
    <t>PSR 37A5</t>
  </si>
  <si>
    <t>PSR 487P</t>
  </si>
  <si>
    <t>PSR 502P</t>
  </si>
  <si>
    <t>PSR 322U</t>
  </si>
  <si>
    <t>PSR 46A8</t>
  </si>
  <si>
    <t>PSR 17A7</t>
  </si>
  <si>
    <t>PSR 984Y</t>
  </si>
  <si>
    <t>PSR 13A9</t>
  </si>
  <si>
    <t>PSR 700U</t>
  </si>
  <si>
    <t>PSR 830T</t>
  </si>
  <si>
    <t>PSR 158U</t>
  </si>
  <si>
    <t>PSR 692U</t>
  </si>
  <si>
    <t>PSR 57A1</t>
  </si>
  <si>
    <t>PSR 392Y</t>
  </si>
  <si>
    <t>PSR 575U</t>
  </si>
  <si>
    <t>PSR 268Y</t>
  </si>
  <si>
    <t>PSR 654U</t>
  </si>
  <si>
    <t>PSR 443P</t>
  </si>
  <si>
    <t>PSR 924Y</t>
  </si>
  <si>
    <t>PSR 649Y</t>
  </si>
  <si>
    <t>PSR 248U</t>
  </si>
  <si>
    <t>PSR 591W</t>
  </si>
  <si>
    <t>PSR 329Y</t>
  </si>
  <si>
    <t>PSR 859Y</t>
  </si>
  <si>
    <t>PSR 50C7</t>
  </si>
  <si>
    <t>PSR 60A2</t>
  </si>
  <si>
    <t>PSR 28A7</t>
  </si>
  <si>
    <t>PSR 698T</t>
  </si>
  <si>
    <t>PSR 40D0</t>
  </si>
  <si>
    <t>PSR 990S</t>
  </si>
  <si>
    <t>PSR 375P</t>
  </si>
  <si>
    <t>PSR 84C0</t>
  </si>
  <si>
    <t>PSR 82C7</t>
  </si>
  <si>
    <t>PSR 264Y</t>
  </si>
  <si>
    <t>PSR 89A9</t>
  </si>
  <si>
    <t>PSR0V245</t>
  </si>
  <si>
    <t>PSR0V115</t>
  </si>
  <si>
    <t>Transfer to WIP 644100 62720899852J</t>
  </si>
  <si>
    <t>62720899852J</t>
  </si>
  <si>
    <t>Transfer to WIP 691200 621002008511</t>
  </si>
  <si>
    <t>Transfer to WIP 661001 627805118311</t>
  </si>
  <si>
    <t>Transfer to WIP 662401 627803251213</t>
  </si>
  <si>
    <t>Transfer to WIP 665000 627201028411</t>
  </si>
  <si>
    <t>Transfer to WIP 665000 62720101321M</t>
  </si>
  <si>
    <t>62720101321M</t>
  </si>
  <si>
    <t>Transfer to WIP 665000 62720102321P</t>
  </si>
  <si>
    <t>62720102321P</t>
  </si>
  <si>
    <t>Transfer to WIP 644100 627208998312</t>
  </si>
  <si>
    <t>Transfer to WIP 644100 62720899851H</t>
  </si>
  <si>
    <t>62720899851H</t>
  </si>
  <si>
    <t>Tim. Dif. (O365)</t>
  </si>
  <si>
    <t>Transfer to WIP 671000 627705993311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</si>
</sst>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000_);_(* \(#,##0.0000\);_(* &quot;-&quot;??_);_(@_)"/>
    <numFmt numFmtId="168" formatCode="_(* #,##0.00_);_(* \(#,##0.00\);_(* &quot;-&quot;_);_(@_)"/>
    <numFmt numFmtId="169" formatCode="_(* #,##0.000_);_(* \(#,##0.000\);_(* &quot;-&quot;??_);_(@_)"/>
    <numFmt numFmtId="170" formatCode="0.0%"/>
    <numFmt numFmtId="171" formatCode="_(* #,##0.00000_);_(* \(#,##0.00000\);_(* &quot;-&quot;??_);_(@_)"/>
    <numFmt numFmtId="172" formatCode="0.000"/>
  </numFmts>
  <fonts count="70">
    <font>
      <sz val="10"/>
      <color theme="1"/>
      <name val="Open Sans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 "/>
    </font>
    <font>
      <b/>
      <sz val="10"/>
      <name val="Arial "/>
    </font>
    <font>
      <sz val="10"/>
      <name val="Arial "/>
    </font>
    <font>
      <b/>
      <sz val="10"/>
      <color theme="1"/>
      <name val="Arial "/>
    </font>
    <font>
      <sz val="10"/>
      <color rgb="FFFF0000"/>
      <name val="Arial "/>
    </font>
    <font>
      <b/>
      <sz val="10"/>
      <color rgb="FFFF0000"/>
      <name val="Arial "/>
    </font>
    <font>
      <b/>
      <sz val="12"/>
      <color theme="1"/>
      <name val="Arial "/>
    </font>
    <font>
      <b/>
      <sz val="12"/>
      <name val="Arial "/>
    </font>
    <font>
      <sz val="10"/>
      <color theme="3" tint="-0.249977111117893"/>
      <name val="Arial 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0"/>
      <name val="Arial 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BridgestoneType"/>
      <family val="2"/>
    </font>
    <font>
      <b/>
      <u/>
      <sz val="11"/>
      <color theme="1"/>
      <name val="BridgestoneType"/>
      <family val="2"/>
    </font>
    <font>
      <b/>
      <sz val="11"/>
      <color theme="1"/>
      <name val="BridgestoneType"/>
      <family val="2"/>
    </font>
    <font>
      <u/>
      <sz val="11"/>
      <color rgb="FF0000FF"/>
      <name val="BridgestoneType"/>
      <family val="2"/>
    </font>
    <font>
      <b/>
      <sz val="14"/>
      <name val="Calibri"/>
      <family val="2"/>
      <scheme val="minor"/>
    </font>
    <font>
      <u/>
      <sz val="10"/>
      <color rgb="FF0070C0"/>
      <name val="BridgestoneType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BridgestoneType"/>
      <family val="2"/>
    </font>
    <font>
      <sz val="9"/>
      <color theme="1"/>
      <name val="Arial"/>
      <family val="2"/>
      <charset val="128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"/>
      <color theme="0"/>
      <name val="Arial "/>
    </font>
    <font>
      <u/>
      <sz val="10"/>
      <color indexed="12"/>
      <name val="Arial "/>
    </font>
    <font>
      <b/>
      <sz val="14"/>
      <color theme="1"/>
      <name val="Open Sans"/>
      <family val="2"/>
    </font>
    <font>
      <sz val="10"/>
      <color theme="1"/>
      <name val="Open Sans"/>
      <family val="2"/>
    </font>
    <font>
      <sz val="11"/>
      <color rgb="FFFF0000"/>
      <name val="Open Sans"/>
      <family val="2"/>
    </font>
    <font>
      <u/>
      <sz val="10"/>
      <color indexed="12"/>
      <name val="Open Sans"/>
      <family val="2"/>
    </font>
    <font>
      <b/>
      <sz val="11"/>
      <color theme="1"/>
      <name val="Open Sans"/>
      <family val="2"/>
    </font>
    <font>
      <b/>
      <sz val="10"/>
      <color theme="1"/>
      <name val="Open Sans"/>
      <family val="2"/>
    </font>
    <font>
      <sz val="11"/>
      <color theme="1"/>
      <name val="Open Sans"/>
      <family val="2"/>
    </font>
    <font>
      <sz val="10"/>
      <color rgb="FFFF0000"/>
      <name val="Open Sans"/>
      <family val="2"/>
    </font>
    <font>
      <b/>
      <sz val="11"/>
      <color rgb="FFFF0000"/>
      <name val="Open Sans"/>
      <family val="2"/>
    </font>
    <font>
      <b/>
      <sz val="10"/>
      <color rgb="FFFF0000"/>
      <name val="Open Sans"/>
      <family val="2"/>
    </font>
    <font>
      <u/>
      <sz val="10"/>
      <color rgb="FF0000FF"/>
      <name val="Open Sans"/>
      <family val="2"/>
    </font>
    <font>
      <b/>
      <sz val="10"/>
      <name val="Open Sans"/>
      <family val="2"/>
    </font>
    <font>
      <sz val="9"/>
      <color theme="1"/>
      <name val="Open Sans"/>
      <family val="2"/>
    </font>
    <font>
      <b/>
      <sz val="16"/>
      <color theme="1"/>
      <name val="Open Sans"/>
      <family val="2"/>
    </font>
    <font>
      <sz val="10"/>
      <name val="Open Sans"/>
      <family val="2"/>
    </font>
    <font>
      <b/>
      <sz val="10"/>
      <color theme="1"/>
      <name val="Open Sans"/>
      <family val="2"/>
    </font>
    <font>
      <sz val="10"/>
      <color theme="1"/>
      <name val="Open Sans"/>
      <family val="2"/>
    </font>
    <font>
      <sz val="10"/>
      <name val="BridgestoneType"/>
      <family val="2"/>
    </font>
    <font>
      <u/>
      <sz val="11"/>
      <color theme="1"/>
      <name val="BridgestoneType"/>
      <family val="2"/>
    </font>
    <font>
      <b/>
      <sz val="12"/>
      <color theme="1"/>
      <name val="Open Sans"/>
      <family val="2"/>
    </font>
    <font>
      <sz val="8"/>
      <color theme="1"/>
      <name val="Open Sans"/>
      <family val="2"/>
    </font>
  </fonts>
  <fills count="5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5FF"/>
        <bgColor indexed="64"/>
      </patternFill>
    </fill>
    <fill>
      <patternFill patternType="solid">
        <fgColor rgb="FFD5F7E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DDDD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 tint="-0.24994659260841701"/>
      </right>
      <top style="thin">
        <color indexed="64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auto="1"/>
      </right>
      <top/>
      <bottom/>
      <diagonal/>
    </border>
    <border>
      <left style="thin">
        <color auto="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auto="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</borders>
  <cellStyleXfs count="8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1" fillId="12" borderId="42" applyNumberFormat="0" applyAlignment="0" applyProtection="0"/>
    <xf numFmtId="0" fontId="22" fillId="13" borderId="43" applyNumberFormat="0" applyAlignment="0" applyProtection="0"/>
    <xf numFmtId="0" fontId="23" fillId="13" borderId="42" applyNumberFormat="0" applyAlignment="0" applyProtection="0"/>
    <xf numFmtId="0" fontId="24" fillId="0" borderId="44" applyNumberFormat="0" applyFill="0" applyAlignment="0" applyProtection="0"/>
    <xf numFmtId="0" fontId="13" fillId="14" borderId="45" applyNumberFormat="0" applyAlignment="0" applyProtection="0"/>
    <xf numFmtId="0" fontId="25" fillId="0" borderId="0" applyNumberFormat="0" applyFill="0" applyBorder="0" applyAlignment="0" applyProtection="0"/>
    <xf numFmtId="0" fontId="1" fillId="15" borderId="46" applyNumberFormat="0" applyFont="0" applyAlignment="0" applyProtection="0"/>
    <xf numFmtId="0" fontId="26" fillId="0" borderId="0" applyNumberFormat="0" applyFill="0" applyBorder="0" applyAlignment="0" applyProtection="0"/>
    <xf numFmtId="0" fontId="12" fillId="0" borderId="47" applyNumberFormat="0" applyFill="0" applyAlignment="0" applyProtection="0"/>
    <xf numFmtId="0" fontId="27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27" fillId="39" borderId="0" applyNumberFormat="0" applyBorder="0" applyAlignment="0" applyProtection="0"/>
    <xf numFmtId="0" fontId="28" fillId="0" borderId="0" applyNumberFormat="0" applyFill="0" applyBorder="0" applyAlignment="0" applyProtection="0"/>
    <xf numFmtId="0" fontId="2" fillId="0" borderId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86" applyNumberFormat="0" applyFill="0" applyAlignment="0" applyProtection="0"/>
    <xf numFmtId="0" fontId="40" fillId="0" borderId="87" applyNumberFormat="0" applyFill="0" applyAlignment="0" applyProtection="0"/>
    <xf numFmtId="0" fontId="41" fillId="0" borderId="88" applyNumberFormat="0" applyFill="0" applyAlignment="0" applyProtection="0"/>
    <xf numFmtId="0" fontId="41" fillId="0" borderId="0" applyNumberFormat="0" applyFill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42" fillId="11" borderId="0" applyNumberFormat="0" applyBorder="0" applyAlignment="0" applyProtection="0"/>
    <xf numFmtId="0" fontId="21" fillId="12" borderId="42" applyNumberFormat="0" applyAlignment="0" applyProtection="0"/>
    <xf numFmtId="0" fontId="22" fillId="13" borderId="43" applyNumberFormat="0" applyAlignment="0" applyProtection="0"/>
    <xf numFmtId="0" fontId="23" fillId="13" borderId="42" applyNumberFormat="0" applyAlignment="0" applyProtection="0"/>
    <xf numFmtId="0" fontId="24" fillId="0" borderId="44" applyNumberFormat="0" applyFill="0" applyAlignment="0" applyProtection="0"/>
    <xf numFmtId="0" fontId="13" fillId="14" borderId="45" applyNumberFormat="0" applyAlignment="0" applyProtection="0"/>
    <xf numFmtId="0" fontId="1" fillId="15" borderId="46" applyNumberFormat="0" applyFont="0" applyAlignment="0" applyProtection="0"/>
    <xf numFmtId="0" fontId="26" fillId="0" borderId="0" applyNumberFormat="0" applyFill="0" applyBorder="0" applyAlignment="0" applyProtection="0"/>
    <xf numFmtId="0" fontId="12" fillId="0" borderId="47" applyNumberFormat="0" applyFill="0" applyAlignment="0" applyProtection="0"/>
    <xf numFmtId="0" fontId="27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7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7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7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7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7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165" fontId="44" fillId="0" borderId="0" applyFont="0" applyFill="0" applyBorder="0" applyAlignment="0" applyProtection="0"/>
  </cellStyleXfs>
  <cellXfs count="591">
    <xf numFmtId="0" fontId="0" fillId="0" borderId="0" xfId="0"/>
    <xf numFmtId="0" fontId="3" fillId="0" borderId="0" xfId="0" applyFont="1" applyAlignment="1">
      <alignment vertical="center"/>
    </xf>
    <xf numFmtId="165" fontId="6" fillId="0" borderId="0" xfId="1" applyFont="1" applyFill="1" applyBorder="1" applyAlignment="1" applyProtection="1">
      <alignment vertical="center"/>
    </xf>
    <xf numFmtId="0" fontId="5" fillId="0" borderId="0" xfId="0" applyFont="1" applyAlignment="1">
      <alignment horizontal="left" vertical="center"/>
    </xf>
    <xf numFmtId="165" fontId="7" fillId="0" borderId="0" xfId="1" applyFont="1" applyFill="1" applyBorder="1" applyAlignment="1" applyProtection="1">
      <alignment vertical="center"/>
    </xf>
    <xf numFmtId="0" fontId="6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5" fontId="3" fillId="0" borderId="0" xfId="1" applyFont="1" applyFill="1" applyBorder="1" applyAlignment="1" applyProtection="1">
      <alignment vertical="center"/>
    </xf>
    <xf numFmtId="0" fontId="5" fillId="0" borderId="0" xfId="0" applyFont="1" applyAlignment="1">
      <alignment vertical="center"/>
    </xf>
    <xf numFmtId="0" fontId="3" fillId="0" borderId="0" xfId="0" applyFont="1"/>
    <xf numFmtId="165" fontId="3" fillId="0" borderId="0" xfId="0" applyNumberFormat="1" applyFont="1"/>
    <xf numFmtId="0" fontId="11" fillId="0" borderId="0" xfId="0" applyFont="1" applyAlignment="1">
      <alignment vertical="center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165" fontId="3" fillId="0" borderId="0" xfId="1" applyFont="1"/>
    <xf numFmtId="165" fontId="5" fillId="0" borderId="0" xfId="0" applyNumberFormat="1" applyFont="1" applyAlignment="1">
      <alignment vertical="center"/>
    </xf>
    <xf numFmtId="165" fontId="3" fillId="0" borderId="0" xfId="1" applyFont="1" applyFill="1" applyBorder="1" applyAlignment="1" applyProtection="1">
      <alignment horizontal="center" vertical="center"/>
    </xf>
    <xf numFmtId="165" fontId="3" fillId="0" borderId="0" xfId="1" applyFont="1" applyBorder="1"/>
    <xf numFmtId="166" fontId="7" fillId="0" borderId="0" xfId="1" applyNumberFormat="1" applyFont="1" applyFill="1"/>
    <xf numFmtId="0" fontId="7" fillId="0" borderId="0" xfId="0" quotePrefix="1" applyFont="1"/>
    <xf numFmtId="165" fontId="7" fillId="0" borderId="0" xfId="1" applyFont="1" applyFill="1"/>
    <xf numFmtId="165" fontId="0" fillId="0" borderId="27" xfId="1" applyFont="1" applyBorder="1"/>
    <xf numFmtId="165" fontId="0" fillId="0" borderId="28" xfId="1" applyFont="1" applyBorder="1"/>
    <xf numFmtId="165" fontId="0" fillId="0" borderId="29" xfId="1" applyFont="1" applyBorder="1"/>
    <xf numFmtId="165" fontId="0" fillId="0" borderId="0" xfId="0" applyNumberFormat="1"/>
    <xf numFmtId="0" fontId="15" fillId="0" borderId="0" xfId="0" applyFont="1" applyAlignment="1">
      <alignment horizontal="left"/>
    </xf>
    <xf numFmtId="165" fontId="0" fillId="0" borderId="0" xfId="1" applyFont="1"/>
    <xf numFmtId="0" fontId="6" fillId="0" borderId="0" xfId="0" applyFont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center"/>
    </xf>
    <xf numFmtId="165" fontId="5" fillId="6" borderId="16" xfId="1" applyFont="1" applyFill="1" applyBorder="1" applyAlignment="1" applyProtection="1">
      <alignment horizontal="center" vertical="center"/>
    </xf>
    <xf numFmtId="165" fontId="5" fillId="6" borderId="16" xfId="1" applyFont="1" applyFill="1" applyBorder="1" applyAlignment="1" applyProtection="1">
      <alignment vertical="center"/>
    </xf>
    <xf numFmtId="0" fontId="5" fillId="0" borderId="16" xfId="0" applyFont="1" applyBorder="1" applyAlignment="1">
      <alignment horizontal="left" vertical="center"/>
    </xf>
    <xf numFmtId="165" fontId="4" fillId="0" borderId="16" xfId="1" applyFont="1" applyFill="1" applyBorder="1" applyAlignment="1" applyProtection="1">
      <alignment vertical="center"/>
    </xf>
    <xf numFmtId="0" fontId="3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164" fontId="8" fillId="0" borderId="16" xfId="0" applyNumberFormat="1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168" fontId="6" fillId="0" borderId="16" xfId="0" applyNumberFormat="1" applyFont="1" applyBorder="1" applyAlignment="1">
      <alignment vertical="center"/>
    </xf>
    <xf numFmtId="168" fontId="8" fillId="0" borderId="16" xfId="0" applyNumberFormat="1" applyFont="1" applyBorder="1" applyAlignment="1">
      <alignment vertical="center"/>
    </xf>
    <xf numFmtId="164" fontId="3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164" fontId="3" fillId="0" borderId="20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center" vertical="center"/>
    </xf>
    <xf numFmtId="168" fontId="3" fillId="0" borderId="20" xfId="0" applyNumberFormat="1" applyFont="1" applyBorder="1" applyAlignment="1">
      <alignment horizontal="center" vertical="center"/>
    </xf>
    <xf numFmtId="168" fontId="6" fillId="5" borderId="16" xfId="0" applyNumberFormat="1" applyFont="1" applyFill="1" applyBorder="1" applyAlignment="1">
      <alignment vertical="center"/>
    </xf>
    <xf numFmtId="0" fontId="4" fillId="2" borderId="16" xfId="0" applyFont="1" applyFill="1" applyBorder="1" applyAlignment="1">
      <alignment horizontal="left" vertical="center"/>
    </xf>
    <xf numFmtId="165" fontId="4" fillId="0" borderId="0" xfId="1" applyFont="1" applyFill="1" applyBorder="1" applyAlignment="1" applyProtection="1">
      <alignment vertical="center"/>
    </xf>
    <xf numFmtId="0" fontId="3" fillId="0" borderId="13" xfId="0" applyFont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165" fontId="4" fillId="0" borderId="11" xfId="1" applyFont="1" applyFill="1" applyBorder="1" applyAlignment="1" applyProtection="1">
      <alignment vertical="center"/>
    </xf>
    <xf numFmtId="0" fontId="0" fillId="0" borderId="11" xfId="0" applyBorder="1"/>
    <xf numFmtId="165" fontId="6" fillId="0" borderId="11" xfId="1" applyFont="1" applyFill="1" applyBorder="1" applyAlignment="1" applyProtection="1">
      <alignment vertical="center"/>
    </xf>
    <xf numFmtId="0" fontId="3" fillId="0" borderId="11" xfId="0" applyFont="1" applyBorder="1"/>
    <xf numFmtId="165" fontId="7" fillId="0" borderId="11" xfId="1" applyFont="1" applyFill="1" applyBorder="1"/>
    <xf numFmtId="165" fontId="3" fillId="0" borderId="11" xfId="0" applyNumberFormat="1" applyFont="1" applyBorder="1"/>
    <xf numFmtId="0" fontId="3" fillId="0" borderId="12" xfId="0" applyFont="1" applyBorder="1"/>
    <xf numFmtId="0" fontId="3" fillId="0" borderId="1" xfId="0" applyFont="1" applyBorder="1" applyAlignment="1">
      <alignment vertical="center"/>
    </xf>
    <xf numFmtId="0" fontId="3" fillId="0" borderId="38" xfId="0" applyFont="1" applyBorder="1"/>
    <xf numFmtId="0" fontId="3" fillId="0" borderId="18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64" fontId="6" fillId="0" borderId="10" xfId="0" applyNumberFormat="1" applyFont="1" applyBorder="1" applyAlignment="1">
      <alignment vertical="center"/>
    </xf>
    <xf numFmtId="165" fontId="3" fillId="0" borderId="10" xfId="0" applyNumberFormat="1" applyFont="1" applyBorder="1" applyAlignment="1">
      <alignment vertical="center"/>
    </xf>
    <xf numFmtId="168" fontId="6" fillId="0" borderId="10" xfId="0" applyNumberFormat="1" applyFont="1" applyBorder="1" applyAlignment="1">
      <alignment vertical="center"/>
    </xf>
    <xf numFmtId="0" fontId="0" fillId="0" borderId="10" xfId="0" applyBorder="1"/>
    <xf numFmtId="0" fontId="3" fillId="0" borderId="10" xfId="0" applyFont="1" applyBorder="1"/>
    <xf numFmtId="0" fontId="7" fillId="0" borderId="10" xfId="0" applyFont="1" applyBorder="1"/>
    <xf numFmtId="0" fontId="3" fillId="0" borderId="39" xfId="0" applyFont="1" applyBorder="1"/>
    <xf numFmtId="165" fontId="7" fillId="0" borderId="0" xfId="1" applyFont="1" applyFill="1" applyBorder="1"/>
    <xf numFmtId="168" fontId="5" fillId="4" borderId="16" xfId="0" applyNumberFormat="1" applyFont="1" applyFill="1" applyBorder="1" applyAlignment="1">
      <alignment vertical="center"/>
    </xf>
    <xf numFmtId="9" fontId="0" fillId="0" borderId="0" xfId="2" applyFont="1"/>
    <xf numFmtId="0" fontId="6" fillId="0" borderId="14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165" fontId="5" fillId="8" borderId="16" xfId="1" applyFont="1" applyFill="1" applyBorder="1" applyAlignment="1" applyProtection="1">
      <alignment vertical="center"/>
    </xf>
    <xf numFmtId="0" fontId="6" fillId="0" borderId="16" xfId="0" applyFont="1" applyBorder="1" applyAlignment="1">
      <alignment horizontal="center"/>
    </xf>
    <xf numFmtId="165" fontId="16" fillId="0" borderId="0" xfId="1" applyFont="1" applyFill="1" applyBorder="1" applyAlignment="1" applyProtection="1">
      <alignment horizontal="center" vertical="center"/>
    </xf>
    <xf numFmtId="9" fontId="3" fillId="0" borderId="0" xfId="0" applyNumberFormat="1" applyFont="1"/>
    <xf numFmtId="165" fontId="7" fillId="0" borderId="0" xfId="1" applyFont="1" applyBorder="1"/>
    <xf numFmtId="0" fontId="16" fillId="0" borderId="0" xfId="0" applyFont="1"/>
    <xf numFmtId="166" fontId="0" fillId="0" borderId="37" xfId="1" applyNumberFormat="1" applyFont="1" applyBorder="1"/>
    <xf numFmtId="10" fontId="5" fillId="0" borderId="0" xfId="2" applyNumberFormat="1" applyFont="1" applyFill="1" applyBorder="1" applyAlignment="1" applyProtection="1">
      <alignment vertical="center"/>
    </xf>
    <xf numFmtId="167" fontId="5" fillId="0" borderId="0" xfId="0" applyNumberFormat="1" applyFont="1" applyAlignment="1">
      <alignment vertical="center"/>
    </xf>
    <xf numFmtId="165" fontId="3" fillId="0" borderId="10" xfId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6" borderId="16" xfId="0" applyNumberFormat="1" applyFont="1" applyFill="1" applyBorder="1" applyAlignment="1">
      <alignment vertical="center"/>
    </xf>
    <xf numFmtId="0" fontId="17" fillId="0" borderId="0" xfId="0" applyFont="1"/>
    <xf numFmtId="165" fontId="4" fillId="6" borderId="16" xfId="1" applyFont="1" applyFill="1" applyBorder="1" applyAlignment="1" applyProtection="1">
      <alignment vertical="center"/>
    </xf>
    <xf numFmtId="165" fontId="17" fillId="0" borderId="0" xfId="1" applyFont="1" applyBorder="1"/>
    <xf numFmtId="165" fontId="5" fillId="4" borderId="16" xfId="1" applyFont="1" applyFill="1" applyBorder="1" applyAlignment="1" applyProtection="1">
      <alignment vertical="center"/>
    </xf>
    <xf numFmtId="165" fontId="4" fillId="4" borderId="16" xfId="1" applyFont="1" applyFill="1" applyBorder="1" applyAlignment="1" applyProtection="1">
      <alignment vertical="center"/>
    </xf>
    <xf numFmtId="0" fontId="5" fillId="0" borderId="0" xfId="0" applyFont="1"/>
    <xf numFmtId="168" fontId="5" fillId="6" borderId="16" xfId="0" applyNumberFormat="1" applyFont="1" applyFill="1" applyBorder="1" applyAlignment="1">
      <alignment vertical="center"/>
    </xf>
    <xf numFmtId="168" fontId="5" fillId="8" borderId="16" xfId="0" applyNumberFormat="1" applyFont="1" applyFill="1" applyBorder="1" applyAlignment="1">
      <alignment vertical="center"/>
    </xf>
    <xf numFmtId="0" fontId="5" fillId="0" borderId="38" xfId="0" applyFont="1" applyBorder="1"/>
    <xf numFmtId="0" fontId="5" fillId="0" borderId="0" xfId="0" applyFont="1" applyAlignment="1">
      <alignment horizontal="right"/>
    </xf>
    <xf numFmtId="165" fontId="3" fillId="0" borderId="50" xfId="0" applyNumberFormat="1" applyFont="1" applyBorder="1"/>
    <xf numFmtId="0" fontId="3" fillId="0" borderId="50" xfId="0" applyFont="1" applyBorder="1" applyAlignment="1">
      <alignment horizontal="center"/>
    </xf>
    <xf numFmtId="165" fontId="3" fillId="0" borderId="50" xfId="0" applyNumberFormat="1" applyFont="1" applyBorder="1" applyAlignment="1">
      <alignment horizontal="center"/>
    </xf>
    <xf numFmtId="169" fontId="5" fillId="6" borderId="16" xfId="1" applyNumberFormat="1" applyFont="1" applyFill="1" applyBorder="1" applyAlignment="1" applyProtection="1">
      <alignment vertical="center"/>
    </xf>
    <xf numFmtId="0" fontId="9" fillId="2" borderId="17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165" fontId="5" fillId="0" borderId="19" xfId="1" applyFont="1" applyFill="1" applyBorder="1" applyAlignment="1" applyProtection="1">
      <alignment vertical="center"/>
    </xf>
    <xf numFmtId="165" fontId="5" fillId="0" borderId="0" xfId="1" applyFont="1" applyFill="1" applyBorder="1" applyAlignment="1" applyProtection="1">
      <alignment vertical="center"/>
    </xf>
    <xf numFmtId="165" fontId="0" fillId="0" borderId="0" xfId="1" applyFont="1" applyFill="1"/>
    <xf numFmtId="0" fontId="6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6" fillId="0" borderId="58" xfId="0" applyFont="1" applyBorder="1" applyAlignment="1">
      <alignment vertical="center"/>
    </xf>
    <xf numFmtId="17" fontId="6" fillId="0" borderId="59" xfId="1" quotePrefix="1" applyNumberFormat="1" applyFont="1" applyFill="1" applyBorder="1" applyAlignment="1" applyProtection="1">
      <alignment horizontal="center" vertical="center" wrapText="1"/>
    </xf>
    <xf numFmtId="17" fontId="6" fillId="0" borderId="60" xfId="1" quotePrefix="1" applyNumberFormat="1" applyFont="1" applyFill="1" applyBorder="1" applyAlignment="1" applyProtection="1">
      <alignment horizontal="center" vertical="center" wrapText="1"/>
    </xf>
    <xf numFmtId="165" fontId="6" fillId="0" borderId="61" xfId="1" applyFont="1" applyFill="1" applyBorder="1" applyAlignment="1" applyProtection="1">
      <alignment horizontal="center" vertical="center" wrapText="1"/>
    </xf>
    <xf numFmtId="165" fontId="5" fillId="0" borderId="63" xfId="1" applyFont="1" applyFill="1" applyBorder="1" applyAlignment="1" applyProtection="1">
      <alignment vertical="center"/>
    </xf>
    <xf numFmtId="165" fontId="5" fillId="0" borderId="65" xfId="1" applyFont="1" applyFill="1" applyBorder="1" applyAlignment="1" applyProtection="1">
      <alignment vertical="center"/>
    </xf>
    <xf numFmtId="165" fontId="5" fillId="0" borderId="66" xfId="1" applyFont="1" applyFill="1" applyBorder="1" applyAlignment="1" applyProtection="1">
      <alignment vertical="center"/>
    </xf>
    <xf numFmtId="165" fontId="4" fillId="0" borderId="67" xfId="1" applyFont="1" applyFill="1" applyBorder="1" applyAlignment="1" applyProtection="1">
      <alignment vertical="center"/>
    </xf>
    <xf numFmtId="165" fontId="5" fillId="0" borderId="68" xfId="1" applyFont="1" applyFill="1" applyBorder="1" applyAlignment="1" applyProtection="1">
      <alignment vertical="center"/>
    </xf>
    <xf numFmtId="165" fontId="5" fillId="0" borderId="69" xfId="1" applyFont="1" applyFill="1" applyBorder="1" applyAlignment="1" applyProtection="1">
      <alignment vertical="center"/>
    </xf>
    <xf numFmtId="165" fontId="4" fillId="0" borderId="70" xfId="1" applyFont="1" applyFill="1" applyBorder="1" applyAlignment="1" applyProtection="1">
      <alignment vertical="center"/>
    </xf>
    <xf numFmtId="0" fontId="5" fillId="0" borderId="65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5" fillId="0" borderId="66" xfId="0" applyFont="1" applyBorder="1" applyAlignment="1">
      <alignment horizontal="left" vertical="center"/>
    </xf>
    <xf numFmtId="0" fontId="5" fillId="0" borderId="66" xfId="0" applyFont="1" applyBorder="1" applyAlignment="1">
      <alignment horizontal="left" vertical="center" wrapText="1"/>
    </xf>
    <xf numFmtId="0" fontId="5" fillId="0" borderId="66" xfId="0" quotePrefix="1" applyFont="1" applyBorder="1" applyAlignment="1">
      <alignment horizontal="left" vertical="center"/>
    </xf>
    <xf numFmtId="0" fontId="5" fillId="0" borderId="68" xfId="0" applyFont="1" applyBorder="1" applyAlignment="1">
      <alignment vertical="center"/>
    </xf>
    <xf numFmtId="0" fontId="5" fillId="0" borderId="69" xfId="0" applyFont="1" applyBorder="1" applyAlignment="1">
      <alignment vertical="center"/>
    </xf>
    <xf numFmtId="0" fontId="5" fillId="0" borderId="69" xfId="0" applyFont="1" applyBorder="1" applyAlignment="1">
      <alignment horizontal="left" vertical="center"/>
    </xf>
    <xf numFmtId="0" fontId="5" fillId="0" borderId="69" xfId="0" applyFont="1" applyBorder="1" applyAlignment="1">
      <alignment horizontal="left" vertical="center" wrapText="1"/>
    </xf>
    <xf numFmtId="165" fontId="5" fillId="0" borderId="62" xfId="1" applyFont="1" applyFill="1" applyBorder="1" applyAlignment="1" applyProtection="1">
      <alignment vertical="center"/>
    </xf>
    <xf numFmtId="0" fontId="4" fillId="0" borderId="0" xfId="1" applyNumberFormat="1" applyFont="1" applyFill="1" applyBorder="1" applyAlignment="1" applyProtection="1">
      <alignment horizontal="center" vertical="center"/>
    </xf>
    <xf numFmtId="165" fontId="6" fillId="0" borderId="0" xfId="1" applyFont="1" applyFill="1" applyBorder="1" applyAlignment="1" applyProtection="1">
      <alignment horizontal="center" vertical="center" wrapText="1"/>
    </xf>
    <xf numFmtId="0" fontId="10" fillId="0" borderId="0" xfId="0" applyFont="1" applyAlignment="1">
      <alignment vertical="center"/>
    </xf>
    <xf numFmtId="165" fontId="4" fillId="0" borderId="60" xfId="1" applyFont="1" applyFill="1" applyBorder="1" applyAlignment="1" applyProtection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 wrapText="1"/>
    </xf>
    <xf numFmtId="165" fontId="4" fillId="0" borderId="59" xfId="1" applyFont="1" applyFill="1" applyBorder="1" applyAlignment="1" applyProtection="1">
      <alignment horizontal="center" vertical="center"/>
    </xf>
    <xf numFmtId="165" fontId="4" fillId="0" borderId="61" xfId="1" applyFont="1" applyFill="1" applyBorder="1" applyAlignment="1" applyProtection="1">
      <alignment horizontal="center" vertical="center"/>
    </xf>
    <xf numFmtId="165" fontId="4" fillId="0" borderId="64" xfId="1" applyFont="1" applyFill="1" applyBorder="1" applyAlignment="1" applyProtection="1">
      <alignment horizontal="center" vertical="center"/>
    </xf>
    <xf numFmtId="165" fontId="4" fillId="0" borderId="0" xfId="1" applyFont="1" applyFill="1" applyBorder="1" applyAlignment="1" applyProtection="1">
      <alignment horizontal="center" vertical="center"/>
    </xf>
    <xf numFmtId="10" fontId="3" fillId="0" borderId="0" xfId="2" applyNumberFormat="1" applyFont="1"/>
    <xf numFmtId="10" fontId="0" fillId="0" borderId="0" xfId="2" applyNumberFormat="1" applyFont="1"/>
    <xf numFmtId="0" fontId="4" fillId="2" borderId="71" xfId="0" applyFont="1" applyFill="1" applyBorder="1" applyAlignment="1">
      <alignment horizontal="center" vertical="center"/>
    </xf>
    <xf numFmtId="165" fontId="5" fillId="6" borderId="71" xfId="1" applyFont="1" applyFill="1" applyBorder="1" applyAlignment="1" applyProtection="1">
      <alignment horizontal="center" vertical="center"/>
    </xf>
    <xf numFmtId="165" fontId="5" fillId="6" borderId="71" xfId="1" applyFont="1" applyFill="1" applyBorder="1" applyAlignment="1" applyProtection="1">
      <alignment vertical="center"/>
    </xf>
    <xf numFmtId="165" fontId="4" fillId="0" borderId="71" xfId="1" applyFont="1" applyFill="1" applyBorder="1" applyAlignment="1" applyProtection="1">
      <alignment vertical="center"/>
    </xf>
    <xf numFmtId="9" fontId="5" fillId="0" borderId="0" xfId="2" applyFont="1" applyFill="1" applyBorder="1" applyAlignment="1" applyProtection="1">
      <alignment vertical="center"/>
    </xf>
    <xf numFmtId="9" fontId="5" fillId="0" borderId="0" xfId="2" applyFont="1" applyFill="1" applyBorder="1"/>
    <xf numFmtId="9" fontId="0" fillId="0" borderId="29" xfId="2" applyFont="1" applyBorder="1"/>
    <xf numFmtId="165" fontId="0" fillId="0" borderId="29" xfId="2" applyNumberFormat="1" applyFont="1" applyBorder="1"/>
    <xf numFmtId="170" fontId="5" fillId="0" borderId="0" xfId="2" applyNumberFormat="1" applyFont="1" applyFill="1" applyBorder="1" applyAlignment="1" applyProtection="1">
      <alignment vertical="center"/>
    </xf>
    <xf numFmtId="0" fontId="25" fillId="0" borderId="0" xfId="0" applyFont="1"/>
    <xf numFmtId="166" fontId="0" fillId="0" borderId="40" xfId="1" applyNumberFormat="1" applyFont="1" applyBorder="1"/>
    <xf numFmtId="165" fontId="0" fillId="0" borderId="40" xfId="1" applyFont="1" applyBorder="1"/>
    <xf numFmtId="165" fontId="0" fillId="5" borderId="40" xfId="1" applyFont="1" applyFill="1" applyBorder="1"/>
    <xf numFmtId="17" fontId="6" fillId="0" borderId="71" xfId="1" quotePrefix="1" applyNumberFormat="1" applyFont="1" applyFill="1" applyBorder="1" applyAlignment="1" applyProtection="1">
      <alignment horizontal="center" vertical="center" wrapText="1"/>
    </xf>
    <xf numFmtId="17" fontId="4" fillId="0" borderId="71" xfId="1" quotePrefix="1" applyNumberFormat="1" applyFont="1" applyFill="1" applyBorder="1" applyAlignment="1" applyProtection="1">
      <alignment horizontal="center" vertical="center" wrapText="1"/>
    </xf>
    <xf numFmtId="17" fontId="4" fillId="0" borderId="21" xfId="1" quotePrefix="1" applyNumberFormat="1" applyFont="1" applyFill="1" applyBorder="1" applyAlignment="1" applyProtection="1">
      <alignment horizontal="center" vertical="center" wrapText="1"/>
    </xf>
    <xf numFmtId="17" fontId="4" fillId="0" borderId="77" xfId="1" quotePrefix="1" applyNumberFormat="1" applyFont="1" applyFill="1" applyBorder="1" applyAlignment="1" applyProtection="1">
      <alignment horizontal="center" vertical="center" wrapText="1"/>
    </xf>
    <xf numFmtId="0" fontId="6" fillId="0" borderId="78" xfId="0" applyFont="1" applyBorder="1" applyAlignment="1">
      <alignment vertical="center"/>
    </xf>
    <xf numFmtId="165" fontId="5" fillId="0" borderId="78" xfId="1" applyFont="1" applyFill="1" applyBorder="1" applyAlignment="1" applyProtection="1">
      <alignment vertical="center"/>
    </xf>
    <xf numFmtId="165" fontId="5" fillId="0" borderId="80" xfId="1" applyFont="1" applyFill="1" applyBorder="1" applyAlignment="1" applyProtection="1">
      <alignment vertical="center"/>
    </xf>
    <xf numFmtId="17" fontId="6" fillId="0" borderId="55" xfId="1" quotePrefix="1" applyNumberFormat="1" applyFont="1" applyFill="1" applyBorder="1" applyAlignment="1" applyProtection="1">
      <alignment horizontal="center" vertical="center" wrapText="1"/>
    </xf>
    <xf numFmtId="0" fontId="6" fillId="0" borderId="49" xfId="0" applyFont="1" applyBorder="1" applyAlignment="1">
      <alignment vertical="center"/>
    </xf>
    <xf numFmtId="0" fontId="6" fillId="0" borderId="55" xfId="0" applyFont="1" applyBorder="1" applyAlignment="1">
      <alignment vertical="center"/>
    </xf>
    <xf numFmtId="165" fontId="5" fillId="0" borderId="12" xfId="1" applyFont="1" applyFill="1" applyBorder="1" applyAlignment="1" applyProtection="1">
      <alignment vertical="center"/>
    </xf>
    <xf numFmtId="165" fontId="5" fillId="0" borderId="51" xfId="1" applyFont="1" applyFill="1" applyBorder="1" applyAlignment="1" applyProtection="1">
      <alignment vertical="center"/>
    </xf>
    <xf numFmtId="165" fontId="5" fillId="0" borderId="38" xfId="1" applyFont="1" applyFill="1" applyBorder="1" applyAlignment="1" applyProtection="1">
      <alignment vertical="center"/>
    </xf>
    <xf numFmtId="165" fontId="5" fillId="0" borderId="51" xfId="1" applyFont="1" applyFill="1" applyBorder="1" applyAlignment="1" applyProtection="1">
      <alignment horizontal="left" vertical="center" wrapText="1"/>
    </xf>
    <xf numFmtId="165" fontId="5" fillId="0" borderId="38" xfId="1" applyFont="1" applyFill="1" applyBorder="1" applyAlignment="1" applyProtection="1">
      <alignment horizontal="left" vertical="center" wrapText="1"/>
    </xf>
    <xf numFmtId="165" fontId="5" fillId="0" borderId="52" xfId="1" applyFont="1" applyFill="1" applyBorder="1" applyAlignment="1" applyProtection="1">
      <alignment vertical="center"/>
    </xf>
    <xf numFmtId="165" fontId="5" fillId="0" borderId="57" xfId="1" applyFont="1" applyFill="1" applyBorder="1" applyAlignment="1" applyProtection="1">
      <alignment vertical="center"/>
    </xf>
    <xf numFmtId="0" fontId="4" fillId="0" borderId="0" xfId="0" applyFont="1" applyAlignment="1">
      <alignment horizontal="center" vertical="center"/>
    </xf>
    <xf numFmtId="17" fontId="4" fillId="0" borderId="0" xfId="1" quotePrefix="1" applyNumberFormat="1" applyFont="1" applyFill="1" applyBorder="1" applyAlignment="1" applyProtection="1">
      <alignment horizontal="center" vertical="center" wrapText="1"/>
    </xf>
    <xf numFmtId="165" fontId="6" fillId="0" borderId="78" xfId="1" applyFont="1" applyFill="1" applyBorder="1" applyAlignment="1" applyProtection="1">
      <alignment horizontal="center" vertical="center"/>
    </xf>
    <xf numFmtId="9" fontId="3" fillId="0" borderId="0" xfId="1" applyNumberFormat="1" applyFont="1" applyFill="1" applyBorder="1" applyAlignment="1" applyProtection="1">
      <alignment vertical="center"/>
    </xf>
    <xf numFmtId="0" fontId="4" fillId="0" borderId="0" xfId="0" applyFont="1" applyAlignment="1">
      <alignment vertical="center"/>
    </xf>
    <xf numFmtId="169" fontId="0" fillId="0" borderId="0" xfId="0" applyNumberFormat="1"/>
    <xf numFmtId="165" fontId="17" fillId="0" borderId="0" xfId="0" applyNumberFormat="1" applyFont="1"/>
    <xf numFmtId="0" fontId="0" fillId="0" borderId="71" xfId="0" applyBorder="1"/>
    <xf numFmtId="166" fontId="0" fillId="0" borderId="71" xfId="1" applyNumberFormat="1" applyFont="1" applyBorder="1"/>
    <xf numFmtId="165" fontId="0" fillId="0" borderId="71" xfId="1" applyFont="1" applyBorder="1"/>
    <xf numFmtId="17" fontId="4" fillId="0" borderId="55" xfId="1" quotePrefix="1" applyNumberFormat="1" applyFont="1" applyFill="1" applyBorder="1" applyAlignment="1" applyProtection="1">
      <alignment horizontal="center" vertical="center" wrapText="1"/>
    </xf>
    <xf numFmtId="165" fontId="6" fillId="0" borderId="0" xfId="1" applyFont="1" applyFill="1" applyBorder="1" applyAlignment="1" applyProtection="1">
      <alignment horizontal="center" vertical="center"/>
    </xf>
    <xf numFmtId="165" fontId="5" fillId="0" borderId="81" xfId="1" applyFont="1" applyFill="1" applyBorder="1" applyAlignment="1" applyProtection="1">
      <alignment vertical="center"/>
    </xf>
    <xf numFmtId="0" fontId="32" fillId="0" borderId="0" xfId="0" applyFont="1"/>
    <xf numFmtId="0" fontId="33" fillId="0" borderId="0" xfId="0" applyFont="1"/>
    <xf numFmtId="0" fontId="32" fillId="0" borderId="0" xfId="0" quotePrefix="1" applyFont="1"/>
    <xf numFmtId="0" fontId="34" fillId="0" borderId="0" xfId="0" applyFont="1"/>
    <xf numFmtId="0" fontId="0" fillId="43" borderId="71" xfId="0" applyFill="1" applyBorder="1"/>
    <xf numFmtId="171" fontId="0" fillId="0" borderId="0" xfId="1" applyNumberFormat="1" applyFont="1"/>
    <xf numFmtId="171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  <xf numFmtId="10" fontId="5" fillId="0" borderId="0" xfId="1" applyNumberFormat="1" applyFont="1" applyFill="1" applyBorder="1" applyAlignment="1" applyProtection="1">
      <alignment vertical="center"/>
    </xf>
    <xf numFmtId="165" fontId="3" fillId="0" borderId="0" xfId="0" applyNumberFormat="1" applyFont="1" applyAlignment="1">
      <alignment vertical="center"/>
    </xf>
    <xf numFmtId="165" fontId="7" fillId="5" borderId="0" xfId="1" applyFont="1" applyFill="1" applyBorder="1" applyAlignment="1" applyProtection="1">
      <alignment vertical="center"/>
    </xf>
    <xf numFmtId="0" fontId="12" fillId="43" borderId="19" xfId="0" applyFont="1" applyFill="1" applyBorder="1" applyAlignment="1">
      <alignment horizontal="center" vertical="center" wrapText="1"/>
    </xf>
    <xf numFmtId="0" fontId="12" fillId="43" borderId="51" xfId="0" applyFont="1" applyFill="1" applyBorder="1" applyAlignment="1">
      <alignment horizontal="center" vertical="center" wrapText="1"/>
    </xf>
    <xf numFmtId="0" fontId="36" fillId="0" borderId="0" xfId="0" applyFont="1"/>
    <xf numFmtId="0" fontId="2" fillId="0" borderId="0" xfId="40" applyAlignment="1">
      <alignment vertical="center"/>
    </xf>
    <xf numFmtId="0" fontId="12" fillId="43" borderId="51" xfId="0" applyFont="1" applyFill="1" applyBorder="1" applyAlignment="1">
      <alignment horizontal="center" vertical="center"/>
    </xf>
    <xf numFmtId="0" fontId="12" fillId="43" borderId="52" xfId="0" applyFont="1" applyFill="1" applyBorder="1" applyAlignment="1">
      <alignment horizontal="center" vertical="center"/>
    </xf>
    <xf numFmtId="0" fontId="12" fillId="7" borderId="71" xfId="0" applyFont="1" applyFill="1" applyBorder="1" applyAlignment="1">
      <alignment horizontal="center" vertical="center"/>
    </xf>
    <xf numFmtId="0" fontId="12" fillId="40" borderId="71" xfId="0" applyFont="1" applyFill="1" applyBorder="1" applyAlignment="1">
      <alignment horizontal="center" vertical="center"/>
    </xf>
    <xf numFmtId="166" fontId="0" fillId="41" borderId="71" xfId="0" applyNumberFormat="1" applyFill="1" applyBorder="1"/>
    <xf numFmtId="169" fontId="0" fillId="41" borderId="71" xfId="0" applyNumberFormat="1" applyFill="1" applyBorder="1"/>
    <xf numFmtId="165" fontId="0" fillId="41" borderId="48" xfId="1" applyFont="1" applyFill="1" applyBorder="1"/>
    <xf numFmtId="165" fontId="0" fillId="41" borderId="71" xfId="1" applyFont="1" applyFill="1" applyBorder="1"/>
    <xf numFmtId="165" fontId="37" fillId="0" borderId="0" xfId="42" applyFont="1" applyAlignment="1">
      <alignment vertical="center"/>
    </xf>
    <xf numFmtId="17" fontId="6" fillId="0" borderId="52" xfId="1" quotePrefix="1" applyNumberFormat="1" applyFont="1" applyFill="1" applyBorder="1" applyAlignment="1" applyProtection="1">
      <alignment horizontal="center" vertical="center" wrapText="1"/>
    </xf>
    <xf numFmtId="17" fontId="4" fillId="0" borderId="52" xfId="1" quotePrefix="1" applyNumberFormat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165" fontId="4" fillId="0" borderId="71" xfId="1" applyFont="1" applyFill="1" applyBorder="1" applyAlignment="1" applyProtection="1">
      <alignment horizontal="center" vertical="center"/>
    </xf>
    <xf numFmtId="0" fontId="43" fillId="0" borderId="0" xfId="0" applyFont="1"/>
    <xf numFmtId="9" fontId="5" fillId="0" borderId="89" xfId="0" applyNumberFormat="1" applyFont="1" applyBorder="1" applyAlignment="1">
      <alignment horizontal="center" vertical="center"/>
    </xf>
    <xf numFmtId="165" fontId="5" fillId="0" borderId="90" xfId="0" applyNumberFormat="1" applyFont="1" applyBorder="1" applyAlignment="1">
      <alignment vertical="center"/>
    </xf>
    <xf numFmtId="9" fontId="5" fillId="0" borderId="91" xfId="0" applyNumberFormat="1" applyFont="1" applyBorder="1" applyAlignment="1">
      <alignment horizontal="center" vertical="center"/>
    </xf>
    <xf numFmtId="165" fontId="5" fillId="0" borderId="92" xfId="0" applyNumberFormat="1" applyFont="1" applyBorder="1" applyAlignment="1">
      <alignment vertical="center"/>
    </xf>
    <xf numFmtId="165" fontId="5" fillId="0" borderId="91" xfId="0" applyNumberFormat="1" applyFont="1" applyBorder="1" applyAlignment="1">
      <alignment vertical="center"/>
    </xf>
    <xf numFmtId="9" fontId="5" fillId="0" borderId="93" xfId="0" applyNumberFormat="1" applyFont="1" applyBorder="1" applyAlignment="1">
      <alignment horizontal="center" vertical="center"/>
    </xf>
    <xf numFmtId="165" fontId="5" fillId="0" borderId="94" xfId="0" applyNumberFormat="1" applyFont="1" applyBorder="1" applyAlignment="1">
      <alignment vertical="center"/>
    </xf>
    <xf numFmtId="165" fontId="5" fillId="0" borderId="89" xfId="1" applyFont="1" applyFill="1" applyBorder="1" applyAlignment="1" applyProtection="1">
      <alignment vertical="center"/>
    </xf>
    <xf numFmtId="165" fontId="5" fillId="0" borderId="91" xfId="1" applyFont="1" applyFill="1" applyBorder="1" applyAlignment="1" applyProtection="1">
      <alignment vertical="center"/>
    </xf>
    <xf numFmtId="165" fontId="5" fillId="0" borderId="91" xfId="1" applyFont="1" applyFill="1" applyBorder="1" applyAlignment="1" applyProtection="1">
      <alignment horizontal="left" vertical="center" wrapText="1"/>
    </xf>
    <xf numFmtId="165" fontId="5" fillId="0" borderId="93" xfId="1" applyFont="1" applyFill="1" applyBorder="1" applyAlignment="1" applyProtection="1">
      <alignment vertical="center"/>
    </xf>
    <xf numFmtId="17" fontId="6" fillId="0" borderId="95" xfId="1" quotePrefix="1" applyNumberFormat="1" applyFont="1" applyFill="1" applyBorder="1" applyAlignment="1" applyProtection="1">
      <alignment horizontal="center" vertical="center" wrapText="1"/>
    </xf>
    <xf numFmtId="165" fontId="4" fillId="0" borderId="95" xfId="1" applyFont="1" applyFill="1" applyBorder="1" applyAlignment="1" applyProtection="1">
      <alignment horizontal="center" vertical="center"/>
    </xf>
    <xf numFmtId="165" fontId="5" fillId="0" borderId="96" xfId="1" applyFont="1" applyFill="1" applyBorder="1" applyAlignment="1" applyProtection="1">
      <alignment vertical="center"/>
    </xf>
    <xf numFmtId="165" fontId="5" fillId="0" borderId="97" xfId="1" applyFont="1" applyFill="1" applyBorder="1" applyAlignment="1" applyProtection="1">
      <alignment vertical="center"/>
    </xf>
    <xf numFmtId="17" fontId="6" fillId="0" borderId="61" xfId="1" quotePrefix="1" applyNumberFormat="1" applyFont="1" applyFill="1" applyBorder="1" applyAlignment="1" applyProtection="1">
      <alignment horizontal="center" vertical="center" wrapText="1"/>
    </xf>
    <xf numFmtId="0" fontId="6" fillId="0" borderId="38" xfId="0" applyFont="1" applyBorder="1" applyAlignment="1">
      <alignment vertical="center"/>
    </xf>
    <xf numFmtId="165" fontId="5" fillId="0" borderId="67" xfId="1" applyFont="1" applyFill="1" applyBorder="1" applyAlignment="1" applyProtection="1">
      <alignment vertical="center"/>
    </xf>
    <xf numFmtId="165" fontId="5" fillId="0" borderId="70" xfId="1" applyFont="1" applyFill="1" applyBorder="1" applyAlignment="1" applyProtection="1">
      <alignment vertical="center"/>
    </xf>
    <xf numFmtId="165" fontId="35" fillId="0" borderId="0" xfId="42" applyFont="1"/>
    <xf numFmtId="17" fontId="4" fillId="46" borderId="48" xfId="0" applyNumberFormat="1" applyFont="1" applyFill="1" applyBorder="1" applyAlignment="1">
      <alignment horizontal="center" vertical="center" wrapText="1"/>
    </xf>
    <xf numFmtId="165" fontId="5" fillId="0" borderId="91" xfId="1" quotePrefix="1" applyFont="1" applyFill="1" applyBorder="1" applyAlignment="1" applyProtection="1">
      <alignment vertical="center"/>
    </xf>
    <xf numFmtId="10" fontId="0" fillId="0" borderId="29" xfId="2" applyNumberFormat="1" applyFont="1" applyBorder="1"/>
    <xf numFmtId="0" fontId="5" fillId="0" borderId="56" xfId="0" applyFont="1" applyBorder="1" applyAlignment="1">
      <alignment vertical="center"/>
    </xf>
    <xf numFmtId="0" fontId="0" fillId="0" borderId="7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2" applyNumberFormat="1" applyFont="1" applyFill="1" applyBorder="1"/>
    <xf numFmtId="9" fontId="4" fillId="0" borderId="0" xfId="1" applyNumberFormat="1" applyFont="1" applyFill="1" applyBorder="1" applyAlignment="1" applyProtection="1">
      <alignment vertical="center"/>
    </xf>
    <xf numFmtId="165" fontId="45" fillId="0" borderId="0" xfId="0" applyNumberFormat="1" applyFont="1"/>
    <xf numFmtId="165" fontId="45" fillId="0" borderId="0" xfId="1" applyFont="1" applyFill="1"/>
    <xf numFmtId="0" fontId="45" fillId="0" borderId="0" xfId="0" applyFont="1"/>
    <xf numFmtId="165" fontId="0" fillId="0" borderId="2" xfId="1" applyFont="1" applyBorder="1"/>
    <xf numFmtId="166" fontId="0" fillId="0" borderId="2" xfId="1" applyNumberFormat="1" applyFont="1" applyBorder="1"/>
    <xf numFmtId="165" fontId="0" fillId="5" borderId="2" xfId="1" applyFont="1" applyFill="1" applyBorder="1"/>
    <xf numFmtId="165" fontId="0" fillId="7" borderId="2" xfId="1" applyFont="1" applyFill="1" applyBorder="1"/>
    <xf numFmtId="165" fontId="0" fillId="0" borderId="36" xfId="1" applyFont="1" applyBorder="1"/>
    <xf numFmtId="166" fontId="0" fillId="0" borderId="36" xfId="1" applyNumberFormat="1" applyFont="1" applyBorder="1"/>
    <xf numFmtId="165" fontId="0" fillId="5" borderId="36" xfId="1" applyFont="1" applyFill="1" applyBorder="1"/>
    <xf numFmtId="165" fontId="0" fillId="7" borderId="36" xfId="1" applyFont="1" applyFill="1" applyBorder="1"/>
    <xf numFmtId="165" fontId="0" fillId="7" borderId="40" xfId="1" applyFont="1" applyFill="1" applyBorder="1"/>
    <xf numFmtId="167" fontId="0" fillId="0" borderId="0" xfId="1" applyNumberFormat="1" applyFont="1"/>
    <xf numFmtId="9" fontId="5" fillId="0" borderId="71" xfId="2" applyFont="1" applyBorder="1" applyAlignment="1">
      <alignment horizontal="center" vertical="center"/>
    </xf>
    <xf numFmtId="0" fontId="6" fillId="0" borderId="0" xfId="0" applyFont="1"/>
    <xf numFmtId="0" fontId="6" fillId="0" borderId="99" xfId="0" applyFont="1" applyBorder="1"/>
    <xf numFmtId="0" fontId="5" fillId="0" borderId="99" xfId="0" applyFont="1" applyBorder="1"/>
    <xf numFmtId="9" fontId="5" fillId="0" borderId="99" xfId="2" applyFont="1" applyFill="1" applyBorder="1"/>
    <xf numFmtId="9" fontId="5" fillId="0" borderId="99" xfId="2" applyFont="1" applyBorder="1"/>
    <xf numFmtId="0" fontId="5" fillId="5" borderId="99" xfId="0" applyFont="1" applyFill="1" applyBorder="1"/>
    <xf numFmtId="0" fontId="5" fillId="6" borderId="99" xfId="0" applyFont="1" applyFill="1" applyBorder="1"/>
    <xf numFmtId="0" fontId="47" fillId="0" borderId="0" xfId="0" applyFont="1" applyAlignment="1">
      <alignment vertical="center"/>
    </xf>
    <xf numFmtId="164" fontId="4" fillId="0" borderId="16" xfId="0" applyNumberFormat="1" applyFont="1" applyBorder="1" applyAlignment="1">
      <alignment vertical="center"/>
    </xf>
    <xf numFmtId="165" fontId="4" fillId="0" borderId="16" xfId="1" applyFont="1" applyBorder="1" applyAlignment="1">
      <alignment vertical="center"/>
    </xf>
    <xf numFmtId="165" fontId="6" fillId="0" borderId="19" xfId="1" applyFont="1" applyBorder="1" applyAlignment="1">
      <alignment horizontal="center"/>
    </xf>
    <xf numFmtId="165" fontId="3" fillId="0" borderId="51" xfId="1" applyFont="1" applyBorder="1"/>
    <xf numFmtId="165" fontId="3" fillId="0" borderId="51" xfId="1" applyFont="1" applyFill="1" applyBorder="1"/>
    <xf numFmtId="165" fontId="5" fillId="0" borderId="51" xfId="1" applyFont="1" applyFill="1" applyBorder="1"/>
    <xf numFmtId="165" fontId="3" fillId="0" borderId="51" xfId="1" applyFont="1" applyFill="1" applyBorder="1" applyAlignment="1">
      <alignment vertical="center"/>
    </xf>
    <xf numFmtId="165" fontId="3" fillId="0" borderId="52" xfId="1" applyFont="1" applyBorder="1"/>
    <xf numFmtId="165" fontId="6" fillId="0" borderId="19" xfId="1" applyFont="1" applyBorder="1" applyAlignment="1">
      <alignment horizontal="center" vertical="center"/>
    </xf>
    <xf numFmtId="165" fontId="3" fillId="0" borderId="51" xfId="1" applyFont="1" applyBorder="1" applyAlignment="1">
      <alignment vertical="center"/>
    </xf>
    <xf numFmtId="165" fontId="5" fillId="0" borderId="51" xfId="1" applyFont="1" applyFill="1" applyBorder="1" applyAlignment="1">
      <alignment vertical="center"/>
    </xf>
    <xf numFmtId="165" fontId="3" fillId="0" borderId="52" xfId="1" applyFont="1" applyBorder="1" applyAlignment="1">
      <alignment vertical="center"/>
    </xf>
    <xf numFmtId="9" fontId="5" fillId="0" borderId="71" xfId="2" applyFont="1" applyFill="1" applyBorder="1" applyAlignment="1">
      <alignment horizontal="center" vertical="center"/>
    </xf>
    <xf numFmtId="0" fontId="4" fillId="0" borderId="71" xfId="1" applyNumberFormat="1" applyFont="1" applyFill="1" applyBorder="1" applyAlignment="1" applyProtection="1">
      <alignment horizontal="center" vertical="center"/>
    </xf>
    <xf numFmtId="165" fontId="6" fillId="0" borderId="0" xfId="1" applyFont="1" applyBorder="1" applyAlignment="1">
      <alignment horizontal="center" vertical="center"/>
    </xf>
    <xf numFmtId="165" fontId="6" fillId="0" borderId="79" xfId="1" applyFont="1" applyBorder="1" applyAlignment="1">
      <alignment horizontal="center" vertical="center"/>
    </xf>
    <xf numFmtId="9" fontId="5" fillId="0" borderId="89" xfId="2" applyFont="1" applyFill="1" applyBorder="1" applyAlignment="1">
      <alignment horizontal="center" vertical="center"/>
    </xf>
    <xf numFmtId="165" fontId="3" fillId="0" borderId="0" xfId="1" applyFont="1" applyBorder="1" applyAlignment="1">
      <alignment vertical="center"/>
    </xf>
    <xf numFmtId="165" fontId="3" fillId="0" borderId="79" xfId="1" applyFont="1" applyBorder="1" applyAlignment="1">
      <alignment vertical="center"/>
    </xf>
    <xf numFmtId="9" fontId="5" fillId="0" borderId="91" xfId="2" applyFont="1" applyFill="1" applyBorder="1" applyAlignment="1">
      <alignment horizontal="center" vertical="center"/>
    </xf>
    <xf numFmtId="165" fontId="3" fillId="0" borderId="0" xfId="1" applyFont="1" applyFill="1" applyBorder="1" applyAlignment="1">
      <alignment vertical="center"/>
    </xf>
    <xf numFmtId="165" fontId="3" fillId="0" borderId="79" xfId="1" applyFont="1" applyFill="1" applyBorder="1" applyAlignment="1">
      <alignment vertical="center"/>
    </xf>
    <xf numFmtId="165" fontId="5" fillId="0" borderId="0" xfId="1" applyFont="1" applyFill="1" applyBorder="1" applyAlignment="1">
      <alignment vertical="center"/>
    </xf>
    <xf numFmtId="165" fontId="5" fillId="0" borderId="79" xfId="1" applyFont="1" applyFill="1" applyBorder="1" applyAlignment="1">
      <alignment vertical="center"/>
    </xf>
    <xf numFmtId="9" fontId="5" fillId="0" borderId="93" xfId="2" applyFont="1" applyFill="1" applyBorder="1" applyAlignment="1">
      <alignment horizontal="center" vertical="center"/>
    </xf>
    <xf numFmtId="165" fontId="3" fillId="0" borderId="81" xfId="1" applyFont="1" applyBorder="1" applyAlignment="1">
      <alignment vertical="center"/>
    </xf>
    <xf numFmtId="165" fontId="3" fillId="0" borderId="82" xfId="1" applyFont="1" applyBorder="1" applyAlignment="1">
      <alignment vertical="center"/>
    </xf>
    <xf numFmtId="0" fontId="6" fillId="0" borderId="71" xfId="0" applyFont="1" applyBorder="1" applyAlignment="1">
      <alignment horizontal="center" vertical="center"/>
    </xf>
    <xf numFmtId="0" fontId="3" fillId="0" borderId="79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9" fontId="3" fillId="0" borderId="0" xfId="1" applyNumberFormat="1" applyFont="1" applyFill="1"/>
    <xf numFmtId="165" fontId="3" fillId="0" borderId="89" xfId="1" applyFont="1" applyFill="1" applyBorder="1" applyAlignment="1">
      <alignment vertical="center"/>
    </xf>
    <xf numFmtId="165" fontId="5" fillId="0" borderId="89" xfId="1" applyFont="1" applyFill="1" applyBorder="1" applyAlignment="1">
      <alignment vertical="center"/>
    </xf>
    <xf numFmtId="9" fontId="5" fillId="0" borderId="89" xfId="0" applyNumberFormat="1" applyFont="1" applyBorder="1" applyAlignment="1">
      <alignment vertical="center"/>
    </xf>
    <xf numFmtId="10" fontId="3" fillId="0" borderId="98" xfId="0" applyNumberFormat="1" applyFont="1" applyBorder="1" applyAlignment="1">
      <alignment wrapText="1"/>
    </xf>
    <xf numFmtId="0" fontId="3" fillId="0" borderId="56" xfId="0" applyFont="1" applyBorder="1"/>
    <xf numFmtId="165" fontId="3" fillId="0" borderId="91" xfId="1" applyFont="1" applyFill="1" applyBorder="1" applyAlignment="1">
      <alignment vertical="center"/>
    </xf>
    <xf numFmtId="165" fontId="5" fillId="0" borderId="91" xfId="1" applyFont="1" applyFill="1" applyBorder="1" applyAlignment="1">
      <alignment vertical="center"/>
    </xf>
    <xf numFmtId="9" fontId="5" fillId="0" borderId="91" xfId="0" applyNumberFormat="1" applyFont="1" applyBorder="1" applyAlignment="1">
      <alignment vertical="center"/>
    </xf>
    <xf numFmtId="0" fontId="3" fillId="0" borderId="91" xfId="0" applyFont="1" applyBorder="1" applyAlignment="1">
      <alignment wrapText="1"/>
    </xf>
    <xf numFmtId="9" fontId="3" fillId="0" borderId="0" xfId="2" applyFont="1" applyFill="1"/>
    <xf numFmtId="165" fontId="3" fillId="0" borderId="0" xfId="1" applyFont="1" applyFill="1" applyBorder="1"/>
    <xf numFmtId="0" fontId="3" fillId="0" borderId="53" xfId="0" applyFont="1" applyBorder="1"/>
    <xf numFmtId="0" fontId="3" fillId="0" borderId="54" xfId="0" applyFont="1" applyBorder="1"/>
    <xf numFmtId="0" fontId="3" fillId="0" borderId="57" xfId="0" applyFont="1" applyBorder="1"/>
    <xf numFmtId="165" fontId="3" fillId="0" borderId="91" xfId="0" applyNumberFormat="1" applyFont="1" applyBorder="1" applyAlignment="1">
      <alignment wrapText="1"/>
    </xf>
    <xf numFmtId="9" fontId="5" fillId="0" borderId="91" xfId="2" applyFont="1" applyFill="1" applyBorder="1" applyAlignment="1">
      <alignment vertical="center"/>
    </xf>
    <xf numFmtId="9" fontId="5" fillId="0" borderId="0" xfId="0" applyNumberFormat="1" applyFont="1"/>
    <xf numFmtId="165" fontId="5" fillId="0" borderId="91" xfId="0" applyNumberFormat="1" applyFont="1" applyBorder="1" applyAlignment="1">
      <alignment wrapText="1"/>
    </xf>
    <xf numFmtId="165" fontId="5" fillId="0" borderId="0" xfId="1" applyFont="1" applyFill="1" applyBorder="1"/>
    <xf numFmtId="0" fontId="3" fillId="0" borderId="91" xfId="0" quotePrefix="1" applyFont="1" applyBorder="1" applyAlignment="1">
      <alignment wrapText="1"/>
    </xf>
    <xf numFmtId="0" fontId="3" fillId="0" borderId="91" xfId="0" applyFont="1" applyBorder="1" applyAlignment="1">
      <alignment horizontal="left" wrapText="1"/>
    </xf>
    <xf numFmtId="0" fontId="3" fillId="0" borderId="91" xfId="0" quotePrefix="1" applyFont="1" applyBorder="1" applyAlignment="1">
      <alignment vertical="center" wrapText="1"/>
    </xf>
    <xf numFmtId="9" fontId="5" fillId="0" borderId="51" xfId="1" applyNumberFormat="1" applyFont="1" applyFill="1" applyBorder="1" applyAlignment="1">
      <alignment vertical="center"/>
    </xf>
    <xf numFmtId="9" fontId="5" fillId="0" borderId="91" xfId="1" applyNumberFormat="1" applyFont="1" applyFill="1" applyBorder="1" applyAlignment="1">
      <alignment vertical="center"/>
    </xf>
    <xf numFmtId="165" fontId="5" fillId="0" borderId="91" xfId="1" applyFont="1" applyFill="1" applyBorder="1" applyAlignment="1">
      <alignment wrapText="1"/>
    </xf>
    <xf numFmtId="9" fontId="3" fillId="0" borderId="51" xfId="1" applyNumberFormat="1" applyFont="1" applyFill="1" applyBorder="1"/>
    <xf numFmtId="165" fontId="3" fillId="0" borderId="93" xfId="1" applyFont="1" applyFill="1" applyBorder="1" applyAlignment="1">
      <alignment vertical="center"/>
    </xf>
    <xf numFmtId="165" fontId="5" fillId="0" borderId="93" xfId="1" applyFont="1" applyFill="1" applyBorder="1" applyAlignment="1">
      <alignment vertical="center"/>
    </xf>
    <xf numFmtId="9" fontId="5" fillId="0" borderId="93" xfId="0" applyNumberFormat="1" applyFont="1" applyBorder="1" applyAlignment="1">
      <alignment vertical="center"/>
    </xf>
    <xf numFmtId="0" fontId="3" fillId="0" borderId="93" xfId="0" applyFont="1" applyBorder="1" applyAlignment="1">
      <alignment wrapText="1"/>
    </xf>
    <xf numFmtId="0" fontId="16" fillId="0" borderId="11" xfId="1" applyNumberFormat="1" applyFont="1" applyFill="1" applyBorder="1" applyAlignment="1" applyProtection="1">
      <alignment vertical="center"/>
    </xf>
    <xf numFmtId="0" fontId="16" fillId="0" borderId="54" xfId="1" applyNumberFormat="1" applyFont="1" applyFill="1" applyBorder="1" applyAlignment="1" applyProtection="1">
      <alignment vertical="center"/>
    </xf>
    <xf numFmtId="165" fontId="6" fillId="0" borderId="0" xfId="1" applyFont="1"/>
    <xf numFmtId="166" fontId="6" fillId="0" borderId="0" xfId="1" applyNumberFormat="1" applyFont="1"/>
    <xf numFmtId="164" fontId="8" fillId="0" borderId="0" xfId="0" applyNumberFormat="1" applyFont="1"/>
    <xf numFmtId="165" fontId="8" fillId="0" borderId="0" xfId="1" applyFont="1"/>
    <xf numFmtId="166" fontId="3" fillId="0" borderId="0" xfId="1" applyNumberFormat="1" applyFont="1"/>
    <xf numFmtId="170" fontId="3" fillId="0" borderId="0" xfId="2" applyNumberFormat="1" applyFont="1"/>
    <xf numFmtId="166" fontId="3" fillId="47" borderId="0" xfId="1" applyNumberFormat="1" applyFont="1" applyFill="1"/>
    <xf numFmtId="170" fontId="3" fillId="0" borderId="0" xfId="0" applyNumberFormat="1" applyFont="1"/>
    <xf numFmtId="165" fontId="3" fillId="47" borderId="0" xfId="1" applyFont="1" applyFill="1"/>
    <xf numFmtId="0" fontId="48" fillId="0" borderId="0" xfId="0" applyFont="1"/>
    <xf numFmtId="0" fontId="4" fillId="0" borderId="7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5" fontId="25" fillId="0" borderId="0" xfId="1" applyFont="1" applyFill="1" applyAlignment="1">
      <alignment vertical="center"/>
    </xf>
    <xf numFmtId="165" fontId="6" fillId="0" borderId="19" xfId="1" quotePrefix="1" applyFont="1" applyFill="1" applyBorder="1" applyAlignment="1">
      <alignment horizontal="center" vertical="center"/>
    </xf>
    <xf numFmtId="165" fontId="3" fillId="0" borderId="52" xfId="1" applyFont="1" applyFill="1" applyBorder="1" applyAlignment="1">
      <alignment vertical="center"/>
    </xf>
    <xf numFmtId="9" fontId="4" fillId="0" borderId="71" xfId="0" quotePrefix="1" applyNumberFormat="1" applyFont="1" applyBorder="1" applyAlignment="1">
      <alignment horizontal="center" vertical="center"/>
    </xf>
    <xf numFmtId="9" fontId="3" fillId="0" borderId="71" xfId="0" quotePrefix="1" applyNumberFormat="1" applyFont="1" applyBorder="1" applyAlignment="1">
      <alignment horizontal="center" vertical="center"/>
    </xf>
    <xf numFmtId="0" fontId="5" fillId="0" borderId="89" xfId="0" applyFont="1" applyBorder="1" applyAlignment="1">
      <alignment vertical="center" wrapText="1"/>
    </xf>
    <xf numFmtId="0" fontId="5" fillId="0" borderId="91" xfId="0" quotePrefix="1" applyFont="1" applyBorder="1" applyAlignment="1">
      <alignment vertical="center" wrapText="1"/>
    </xf>
    <xf numFmtId="0" fontId="5" fillId="0" borderId="9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9" fillId="0" borderId="0" xfId="0" applyFont="1"/>
    <xf numFmtId="0" fontId="50" fillId="0" borderId="0" xfId="0" applyFont="1"/>
    <xf numFmtId="165" fontId="50" fillId="0" borderId="0" xfId="1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 applyAlignment="1">
      <alignment horizontal="center" vertical="center" wrapText="1"/>
    </xf>
    <xf numFmtId="0" fontId="54" fillId="0" borderId="72" xfId="0" applyFont="1" applyBorder="1" applyAlignment="1">
      <alignment horizontal="center" vertical="center" wrapText="1"/>
    </xf>
    <xf numFmtId="0" fontId="54" fillId="5" borderId="72" xfId="0" applyFont="1" applyFill="1" applyBorder="1" applyAlignment="1">
      <alignment horizontal="center" vertical="center" wrapText="1"/>
    </xf>
    <xf numFmtId="0" fontId="54" fillId="8" borderId="72" xfId="0" applyFont="1" applyFill="1" applyBorder="1" applyAlignment="1">
      <alignment horizontal="center" vertical="center" wrapText="1"/>
    </xf>
    <xf numFmtId="165" fontId="54" fillId="0" borderId="0" xfId="1" applyFont="1" applyAlignment="1">
      <alignment horizontal="center" vertical="center" wrapText="1"/>
    </xf>
    <xf numFmtId="0" fontId="55" fillId="0" borderId="0" xfId="0" applyFont="1"/>
    <xf numFmtId="0" fontId="54" fillId="0" borderId="0" xfId="0" applyFont="1"/>
    <xf numFmtId="165" fontId="54" fillId="0" borderId="0" xfId="1" applyFont="1"/>
    <xf numFmtId="0" fontId="54" fillId="8" borderId="49" xfId="0" applyFont="1" applyFill="1" applyBorder="1" applyAlignment="1">
      <alignment horizontal="center"/>
    </xf>
    <xf numFmtId="0" fontId="54" fillId="8" borderId="48" xfId="0" applyFont="1" applyFill="1" applyBorder="1" applyAlignment="1">
      <alignment horizontal="center"/>
    </xf>
    <xf numFmtId="0" fontId="50" fillId="0" borderId="40" xfId="0" applyFont="1" applyBorder="1"/>
    <xf numFmtId="169" fontId="50" fillId="0" borderId="40" xfId="1" applyNumberFormat="1" applyFont="1" applyBorder="1"/>
    <xf numFmtId="166" fontId="50" fillId="0" borderId="40" xfId="1" applyNumberFormat="1" applyFont="1" applyBorder="1"/>
    <xf numFmtId="165" fontId="50" fillId="42" borderId="40" xfId="1" applyFont="1" applyFill="1" applyBorder="1"/>
    <xf numFmtId="165" fontId="50" fillId="42" borderId="40" xfId="0" applyNumberFormat="1" applyFont="1" applyFill="1" applyBorder="1"/>
    <xf numFmtId="10" fontId="50" fillId="42" borderId="40" xfId="2" applyNumberFormat="1" applyFont="1" applyFill="1" applyBorder="1"/>
    <xf numFmtId="165" fontId="50" fillId="0" borderId="0" xfId="0" applyNumberFormat="1" applyFont="1"/>
    <xf numFmtId="0" fontId="50" fillId="5" borderId="40" xfId="0" applyFont="1" applyFill="1" applyBorder="1"/>
    <xf numFmtId="169" fontId="50" fillId="5" borderId="40" xfId="1" applyNumberFormat="1" applyFont="1" applyFill="1" applyBorder="1"/>
    <xf numFmtId="166" fontId="50" fillId="5" borderId="40" xfId="1" applyNumberFormat="1" applyFont="1" applyFill="1" applyBorder="1"/>
    <xf numFmtId="165" fontId="50" fillId="5" borderId="40" xfId="1" applyFont="1" applyFill="1" applyBorder="1"/>
    <xf numFmtId="165" fontId="50" fillId="5" borderId="40" xfId="0" applyNumberFormat="1" applyFont="1" applyFill="1" applyBorder="1"/>
    <xf numFmtId="10" fontId="50" fillId="5" borderId="40" xfId="2" applyNumberFormat="1" applyFont="1" applyFill="1" applyBorder="1"/>
    <xf numFmtId="165" fontId="50" fillId="5" borderId="0" xfId="1" applyFont="1" applyFill="1"/>
    <xf numFmtId="0" fontId="50" fillId="5" borderId="0" xfId="0" applyFont="1" applyFill="1"/>
    <xf numFmtId="0" fontId="56" fillId="0" borderId="0" xfId="0" applyFont="1"/>
    <xf numFmtId="0" fontId="56" fillId="0" borderId="40" xfId="0" applyFont="1" applyBorder="1"/>
    <xf numFmtId="0" fontId="50" fillId="0" borderId="0" xfId="0" applyFont="1" applyAlignment="1">
      <alignment horizontal="center"/>
    </xf>
    <xf numFmtId="0" fontId="57" fillId="0" borderId="0" xfId="0" applyFont="1"/>
    <xf numFmtId="0" fontId="53" fillId="0" borderId="0" xfId="0" applyFont="1" applyAlignment="1">
      <alignment horizontal="center"/>
    </xf>
    <xf numFmtId="0" fontId="50" fillId="51" borderId="0" xfId="0" applyFont="1" applyFill="1"/>
    <xf numFmtId="15" fontId="50" fillId="0" borderId="0" xfId="0" applyNumberFormat="1" applyFont="1"/>
    <xf numFmtId="0" fontId="54" fillId="0" borderId="0" xfId="0" applyFont="1" applyAlignment="1">
      <alignment horizontal="left" vertical="center"/>
    </xf>
    <xf numFmtId="0" fontId="58" fillId="0" borderId="0" xfId="0" applyFont="1" applyAlignment="1">
      <alignment horizontal="left"/>
    </xf>
    <xf numFmtId="0" fontId="54" fillId="3" borderId="74" xfId="0" applyFont="1" applyFill="1" applyBorder="1" applyAlignment="1">
      <alignment horizontal="center"/>
    </xf>
    <xf numFmtId="0" fontId="60" fillId="5" borderId="22" xfId="0" applyFont="1" applyFill="1" applyBorder="1" applyAlignment="1">
      <alignment horizontal="center" vertical="center"/>
    </xf>
    <xf numFmtId="0" fontId="60" fillId="5" borderId="7" xfId="0" applyFont="1" applyFill="1" applyBorder="1" applyAlignment="1">
      <alignment horizontal="center" vertical="center"/>
    </xf>
    <xf numFmtId="0" fontId="60" fillId="5" borderId="24" xfId="0" applyFont="1" applyFill="1" applyBorder="1" applyAlignment="1">
      <alignment horizontal="center" vertical="center"/>
    </xf>
    <xf numFmtId="0" fontId="60" fillId="5" borderId="21" xfId="0" applyFont="1" applyFill="1" applyBorder="1" applyAlignment="1">
      <alignment horizontal="center" vertical="center"/>
    </xf>
    <xf numFmtId="0" fontId="60" fillId="3" borderId="25" xfId="0" applyFont="1" applyFill="1" applyBorder="1" applyAlignment="1">
      <alignment horizontal="center" vertical="center"/>
    </xf>
    <xf numFmtId="0" fontId="60" fillId="3" borderId="25" xfId="0" applyFont="1" applyFill="1" applyBorder="1" applyAlignment="1">
      <alignment horizontal="center" vertical="center" wrapText="1"/>
    </xf>
    <xf numFmtId="0" fontId="0" fillId="3" borderId="26" xfId="0" applyFill="1" applyBorder="1"/>
    <xf numFmtId="0" fontId="0" fillId="3" borderId="36" xfId="0" applyFill="1" applyBorder="1"/>
    <xf numFmtId="0" fontId="54" fillId="3" borderId="30" xfId="0" applyFont="1" applyFill="1" applyBorder="1" applyAlignment="1">
      <alignment horizontal="centerContinuous"/>
    </xf>
    <xf numFmtId="0" fontId="0" fillId="3" borderId="31" xfId="0" applyFill="1" applyBorder="1" applyAlignment="1">
      <alignment horizontal="centerContinuous"/>
    </xf>
    <xf numFmtId="166" fontId="54" fillId="0" borderId="5" xfId="1" applyNumberFormat="1" applyFont="1" applyBorder="1"/>
    <xf numFmtId="0" fontId="54" fillId="0" borderId="32" xfId="1" applyNumberFormat="1" applyFont="1" applyBorder="1" applyAlignment="1">
      <alignment horizontal="center"/>
    </xf>
    <xf numFmtId="165" fontId="54" fillId="0" borderId="33" xfId="1" applyFont="1" applyBorder="1"/>
    <xf numFmtId="165" fontId="54" fillId="0" borderId="34" xfId="1" applyFont="1" applyBorder="1"/>
    <xf numFmtId="9" fontId="54" fillId="0" borderId="34" xfId="2" applyFont="1" applyBorder="1"/>
    <xf numFmtId="0" fontId="54" fillId="0" borderId="34" xfId="1" applyNumberFormat="1" applyFont="1" applyBorder="1" applyAlignment="1">
      <alignment horizontal="center"/>
    </xf>
    <xf numFmtId="166" fontId="54" fillId="47" borderId="0" xfId="1" applyNumberFormat="1" applyFont="1" applyFill="1"/>
    <xf numFmtId="166" fontId="0" fillId="0" borderId="0" xfId="0" applyNumberFormat="1"/>
    <xf numFmtId="10" fontId="0" fillId="0" borderId="0" xfId="0" applyNumberFormat="1"/>
    <xf numFmtId="166" fontId="54" fillId="0" borderId="0" xfId="1" applyNumberFormat="1" applyFont="1"/>
    <xf numFmtId="0" fontId="55" fillId="0" borderId="0" xfId="0" quotePrefix="1" applyFont="1"/>
    <xf numFmtId="165" fontId="61" fillId="0" borderId="0" xfId="0" applyNumberFormat="1" applyFont="1"/>
    <xf numFmtId="165" fontId="59" fillId="0" borderId="0" xfId="42" applyFont="1"/>
    <xf numFmtId="0" fontId="62" fillId="0" borderId="0" xfId="0" applyFont="1"/>
    <xf numFmtId="166" fontId="55" fillId="0" borderId="0" xfId="0" applyNumberFormat="1" applyFont="1"/>
    <xf numFmtId="0" fontId="55" fillId="0" borderId="0" xfId="0" applyFont="1" applyAlignment="1">
      <alignment vertical="center" wrapText="1"/>
    </xf>
    <xf numFmtId="0" fontId="60" fillId="7" borderId="51" xfId="0" applyFont="1" applyFill="1" applyBorder="1" applyAlignment="1">
      <alignment horizontal="center" vertical="center" wrapText="1"/>
    </xf>
    <xf numFmtId="0" fontId="60" fillId="44" borderId="51" xfId="0" applyFont="1" applyFill="1" applyBorder="1" applyAlignment="1">
      <alignment horizontal="center" vertical="center" wrapText="1"/>
    </xf>
    <xf numFmtId="0" fontId="63" fillId="0" borderId="84" xfId="0" applyFont="1" applyBorder="1"/>
    <xf numFmtId="166" fontId="63" fillId="0" borderId="85" xfId="1" applyNumberFormat="1" applyFont="1" applyFill="1" applyBorder="1"/>
    <xf numFmtId="165" fontId="63" fillId="0" borderId="85" xfId="1" applyFont="1" applyFill="1" applyBorder="1"/>
    <xf numFmtId="165" fontId="63" fillId="0" borderId="40" xfId="1" applyFont="1" applyFill="1" applyBorder="1"/>
    <xf numFmtId="0" fontId="60" fillId="43" borderId="49" xfId="0" applyFont="1" applyFill="1" applyBorder="1" applyAlignment="1">
      <alignment horizontal="center"/>
    </xf>
    <xf numFmtId="166" fontId="60" fillId="43" borderId="71" xfId="1" applyNumberFormat="1" applyFont="1" applyFill="1" applyBorder="1"/>
    <xf numFmtId="165" fontId="60" fillId="43" borderId="71" xfId="1" applyFont="1" applyFill="1" applyBorder="1"/>
    <xf numFmtId="0" fontId="60" fillId="50" borderId="99" xfId="1" applyNumberFormat="1" applyFont="1" applyFill="1" applyBorder="1" applyAlignment="1">
      <alignment horizontal="center" vertical="center"/>
    </xf>
    <xf numFmtId="0" fontId="63" fillId="0" borderId="99" xfId="1" applyNumberFormat="1" applyFont="1" applyFill="1" applyBorder="1" applyAlignment="1">
      <alignment vertical="center"/>
    </xf>
    <xf numFmtId="166" fontId="63" fillId="0" borderId="49" xfId="1" applyNumberFormat="1" applyFont="1" applyFill="1" applyBorder="1" applyAlignment="1">
      <alignment vertical="center"/>
    </xf>
    <xf numFmtId="0" fontId="63" fillId="5" borderId="99" xfId="1" applyNumberFormat="1" applyFont="1" applyFill="1" applyBorder="1" applyAlignment="1">
      <alignment vertical="center"/>
    </xf>
    <xf numFmtId="165" fontId="63" fillId="5" borderId="49" xfId="1" applyFont="1" applyFill="1" applyBorder="1" applyAlignment="1">
      <alignment vertical="center"/>
    </xf>
    <xf numFmtId="165" fontId="63" fillId="0" borderId="49" xfId="1" applyFont="1" applyFill="1" applyBorder="1" applyAlignment="1">
      <alignment vertical="center"/>
    </xf>
    <xf numFmtId="0" fontId="63" fillId="49" borderId="49" xfId="0" applyFont="1" applyFill="1" applyBorder="1" applyAlignment="1">
      <alignment vertical="center"/>
    </xf>
    <xf numFmtId="165" fontId="63" fillId="49" borderId="49" xfId="1" applyFont="1" applyFill="1" applyBorder="1" applyAlignment="1" applyProtection="1">
      <alignment horizontal="center" vertical="center"/>
    </xf>
    <xf numFmtId="0" fontId="63" fillId="2" borderId="72" xfId="0" applyFont="1" applyFill="1" applyBorder="1" applyAlignment="1">
      <alignment horizontal="left" vertical="center"/>
    </xf>
    <xf numFmtId="165" fontId="63" fillId="0" borderId="72" xfId="1" applyFont="1" applyFill="1" applyBorder="1" applyAlignment="1" applyProtection="1">
      <alignment horizontal="center" vertical="center"/>
    </xf>
    <xf numFmtId="0" fontId="63" fillId="2" borderId="40" xfId="0" applyFont="1" applyFill="1" applyBorder="1" applyAlignment="1">
      <alignment horizontal="left" vertical="center"/>
    </xf>
    <xf numFmtId="165" fontId="63" fillId="0" borderId="40" xfId="1" applyFont="1" applyFill="1" applyBorder="1" applyAlignment="1" applyProtection="1">
      <alignment horizontal="center" vertical="center"/>
    </xf>
    <xf numFmtId="0" fontId="63" fillId="0" borderId="100" xfId="0" applyFont="1" applyBorder="1" applyAlignment="1">
      <alignment horizontal="left" vertical="center"/>
    </xf>
    <xf numFmtId="165" fontId="63" fillId="0" borderId="100" xfId="1" applyFont="1" applyFill="1" applyBorder="1" applyAlignment="1" applyProtection="1">
      <alignment horizontal="center" vertical="center"/>
    </xf>
    <xf numFmtId="0" fontId="63" fillId="7" borderId="53" xfId="0" applyFont="1" applyFill="1" applyBorder="1" applyAlignment="1">
      <alignment vertical="center"/>
    </xf>
    <xf numFmtId="165" fontId="63" fillId="7" borderId="49" xfId="0" applyNumberFormat="1" applyFont="1" applyFill="1" applyBorder="1" applyAlignment="1">
      <alignment vertical="center"/>
    </xf>
    <xf numFmtId="165" fontId="63" fillId="0" borderId="101" xfId="0" applyNumberFormat="1" applyFont="1" applyBorder="1" applyAlignment="1">
      <alignment vertical="center"/>
    </xf>
    <xf numFmtId="165" fontId="63" fillId="0" borderId="102" xfId="0" applyNumberFormat="1" applyFont="1" applyBorder="1" applyAlignment="1">
      <alignment vertical="center"/>
    </xf>
    <xf numFmtId="0" fontId="63" fillId="48" borderId="0" xfId="0" applyFont="1" applyFill="1" applyAlignment="1">
      <alignment vertical="center"/>
    </xf>
    <xf numFmtId="165" fontId="60" fillId="48" borderId="13" xfId="1" applyFont="1" applyFill="1" applyBorder="1" applyAlignment="1" applyProtection="1">
      <alignment horizontal="center" vertical="center"/>
    </xf>
    <xf numFmtId="165" fontId="63" fillId="43" borderId="49" xfId="1" applyFont="1" applyFill="1" applyBorder="1" applyAlignment="1">
      <alignment vertical="center"/>
    </xf>
    <xf numFmtId="0" fontId="63" fillId="0" borderId="102" xfId="0" applyFont="1" applyBorder="1" applyAlignment="1">
      <alignment vertical="center"/>
    </xf>
    <xf numFmtId="0" fontId="63" fillId="0" borderId="101" xfId="0" applyFont="1" applyBorder="1" applyAlignment="1">
      <alignment vertical="center"/>
    </xf>
    <xf numFmtId="0" fontId="63" fillId="0" borderId="49" xfId="1" applyNumberFormat="1" applyFont="1" applyFill="1" applyBorder="1" applyAlignment="1">
      <alignment vertical="center"/>
    </xf>
    <xf numFmtId="0" fontId="54" fillId="0" borderId="16" xfId="0" applyFont="1" applyBorder="1" applyAlignment="1">
      <alignment horizontal="center" vertical="center"/>
    </xf>
    <xf numFmtId="165" fontId="54" fillId="45" borderId="16" xfId="1" applyFont="1" applyFill="1" applyBorder="1" applyAlignment="1">
      <alignment horizontal="center" vertical="center"/>
    </xf>
    <xf numFmtId="165" fontId="54" fillId="40" borderId="16" xfId="1" applyFont="1" applyFill="1" applyBorder="1" applyAlignment="1">
      <alignment horizontal="center" vertical="center"/>
    </xf>
    <xf numFmtId="165" fontId="54" fillId="7" borderId="16" xfId="1" applyFont="1" applyFill="1" applyBorder="1" applyAlignment="1">
      <alignment horizontal="center" vertical="center"/>
    </xf>
    <xf numFmtId="0" fontId="0" fillId="5" borderId="72" xfId="0" applyFill="1" applyBorder="1"/>
    <xf numFmtId="0" fontId="0" fillId="5" borderId="40" xfId="0" applyFill="1" applyBorder="1"/>
    <xf numFmtId="0" fontId="56" fillId="0" borderId="0" xfId="0" applyFont="1" applyAlignment="1">
      <alignment horizontal="center"/>
    </xf>
    <xf numFmtId="0" fontId="63" fillId="0" borderId="0" xfId="0" quotePrefix="1" applyFont="1" applyAlignment="1">
      <alignment horizontal="center"/>
    </xf>
    <xf numFmtId="165" fontId="56" fillId="0" borderId="0" xfId="1" applyFont="1" applyAlignment="1">
      <alignment horizontal="center"/>
    </xf>
    <xf numFmtId="165" fontId="63" fillId="0" borderId="36" xfId="1" applyFont="1" applyBorder="1"/>
    <xf numFmtId="165" fontId="58" fillId="0" borderId="16" xfId="1" applyFont="1" applyBorder="1"/>
    <xf numFmtId="166" fontId="58" fillId="0" borderId="16" xfId="1" applyNumberFormat="1" applyFont="1" applyBorder="1"/>
    <xf numFmtId="165" fontId="58" fillId="7" borderId="16" xfId="1" applyFont="1" applyFill="1" applyBorder="1"/>
    <xf numFmtId="0" fontId="5" fillId="0" borderId="93" xfId="0" quotePrefix="1" applyFont="1" applyBorder="1" applyAlignment="1">
      <alignment vertical="center" wrapText="1"/>
    </xf>
    <xf numFmtId="0" fontId="2" fillId="0" borderId="0" xfId="0" quotePrefix="1" applyFont="1" applyAlignment="1">
      <alignment vertical="center"/>
    </xf>
    <xf numFmtId="0" fontId="5" fillId="43" borderId="0" xfId="0" applyFont="1" applyFill="1" applyAlignment="1">
      <alignment vertical="center"/>
    </xf>
    <xf numFmtId="165" fontId="5" fillId="43" borderId="0" xfId="1" applyFont="1" applyFill="1" applyBorder="1" applyAlignment="1" applyProtection="1">
      <alignment vertical="center"/>
    </xf>
    <xf numFmtId="0" fontId="5" fillId="8" borderId="16" xfId="0" applyFont="1" applyFill="1" applyBorder="1"/>
    <xf numFmtId="0" fontId="5" fillId="8" borderId="16" xfId="1" applyNumberFormat="1" applyFont="1" applyFill="1" applyBorder="1" applyAlignment="1" applyProtection="1">
      <alignment vertical="center"/>
    </xf>
    <xf numFmtId="0" fontId="5" fillId="8" borderId="16" xfId="0" applyFont="1" applyFill="1" applyBorder="1" applyAlignment="1">
      <alignment horizontal="center"/>
    </xf>
    <xf numFmtId="164" fontId="5" fillId="8" borderId="16" xfId="0" applyNumberFormat="1" applyFont="1" applyFill="1" applyBorder="1" applyAlignment="1">
      <alignment vertical="center"/>
    </xf>
    <xf numFmtId="0" fontId="5" fillId="8" borderId="99" xfId="0" applyFont="1" applyFill="1" applyBorder="1"/>
    <xf numFmtId="0" fontId="5" fillId="8" borderId="99" xfId="0" applyFont="1" applyFill="1" applyBorder="1" applyAlignment="1">
      <alignment horizontal="center"/>
    </xf>
    <xf numFmtId="164" fontId="5" fillId="8" borderId="99" xfId="0" applyNumberFormat="1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 wrapText="1"/>
    </xf>
    <xf numFmtId="17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72" fontId="0" fillId="0" borderId="0" xfId="0" applyNumberFormat="1" applyAlignment="1">
      <alignment horizontal="center"/>
    </xf>
    <xf numFmtId="0" fontId="65" fillId="0" borderId="0" xfId="0" applyFont="1" applyAlignment="1">
      <alignment horizontal="center" vertical="center"/>
    </xf>
    <xf numFmtId="165" fontId="54" fillId="51" borderId="0" xfId="0" applyNumberFormat="1" applyFont="1" applyFill="1"/>
    <xf numFmtId="165" fontId="28" fillId="0" borderId="0" xfId="39" applyNumberFormat="1"/>
    <xf numFmtId="165" fontId="66" fillId="0" borderId="99" xfId="1" applyFont="1" applyFill="1" applyBorder="1"/>
    <xf numFmtId="165" fontId="63" fillId="43" borderId="101" xfId="0" applyNumberFormat="1" applyFont="1" applyFill="1" applyBorder="1" applyAlignment="1">
      <alignment vertical="center"/>
    </xf>
    <xf numFmtId="165" fontId="63" fillId="43" borderId="102" xfId="0" applyNumberFormat="1" applyFont="1" applyFill="1" applyBorder="1" applyAlignment="1">
      <alignment vertical="center"/>
    </xf>
    <xf numFmtId="15" fontId="50" fillId="0" borderId="0" xfId="0" applyNumberFormat="1" applyFont="1" applyAlignment="1">
      <alignment horizontal="center"/>
    </xf>
    <xf numFmtId="0" fontId="60" fillId="0" borderId="0" xfId="0" applyFont="1"/>
    <xf numFmtId="0" fontId="3" fillId="43" borderId="19" xfId="0" applyFont="1" applyFill="1" applyBorder="1" applyAlignment="1">
      <alignment horizontal="center"/>
    </xf>
    <xf numFmtId="0" fontId="3" fillId="0" borderId="51" xfId="0" applyFont="1" applyBorder="1"/>
    <xf numFmtId="0" fontId="3" fillId="0" borderId="52" xfId="0" applyFont="1" applyBorder="1"/>
    <xf numFmtId="0" fontId="68" fillId="0" borderId="0" xfId="0" applyFont="1"/>
    <xf numFmtId="0" fontId="50" fillId="43" borderId="0" xfId="0" applyFont="1" applyFill="1"/>
    <xf numFmtId="0" fontId="69" fillId="0" borderId="0" xfId="0" applyFont="1"/>
    <xf numFmtId="0" fontId="69" fillId="46" borderId="0" xfId="0" applyFont="1" applyFill="1"/>
    <xf numFmtId="0" fontId="69" fillId="46" borderId="0" xfId="1" applyNumberFormat="1" applyFont="1" applyFill="1"/>
    <xf numFmtId="165" fontId="69" fillId="46" borderId="0" xfId="1" applyFont="1" applyFill="1"/>
    <xf numFmtId="0" fontId="58" fillId="0" borderId="16" xfId="0" applyFont="1" applyBorder="1" applyAlignment="1">
      <alignment horizontal="center"/>
    </xf>
    <xf numFmtId="0" fontId="59" fillId="0" borderId="0" xfId="42" applyNumberFormat="1" applyFont="1"/>
    <xf numFmtId="9" fontId="0" fillId="0" borderId="0" xfId="2" applyFont="1" applyAlignment="1">
      <alignment horizontal="center"/>
    </xf>
    <xf numFmtId="0" fontId="56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63" fillId="0" borderId="40" xfId="0" applyFont="1" applyBorder="1"/>
    <xf numFmtId="165" fontId="0" fillId="0" borderId="99" xfId="1" applyFont="1" applyBorder="1"/>
    <xf numFmtId="166" fontId="0" fillId="0" borderId="99" xfId="1" applyNumberFormat="1" applyFont="1" applyBorder="1"/>
    <xf numFmtId="10" fontId="7" fillId="0" borderId="0" xfId="2" applyNumberFormat="1" applyFont="1" applyFill="1" applyBorder="1" applyAlignment="1" applyProtection="1">
      <alignment vertical="center"/>
    </xf>
    <xf numFmtId="0" fontId="56" fillId="5" borderId="40" xfId="0" applyFont="1" applyFill="1" applyBorder="1"/>
    <xf numFmtId="0" fontId="5" fillId="0" borderId="91" xfId="0" applyFont="1" applyBorder="1" applyAlignment="1">
      <alignment wrapText="1"/>
    </xf>
    <xf numFmtId="165" fontId="5" fillId="0" borderId="0" xfId="1" applyFont="1" applyBorder="1" applyAlignment="1">
      <alignment vertical="center"/>
    </xf>
    <xf numFmtId="165" fontId="5" fillId="0" borderId="79" xfId="1" applyFont="1" applyBorder="1" applyAlignment="1">
      <alignment vertical="center"/>
    </xf>
    <xf numFmtId="165" fontId="5" fillId="0" borderId="0" xfId="1" applyFont="1" applyBorder="1"/>
    <xf numFmtId="165" fontId="5" fillId="0" borderId="51" xfId="1" applyFont="1" applyBorder="1"/>
    <xf numFmtId="165" fontId="5" fillId="0" borderId="51" xfId="1" applyFont="1" applyBorder="1" applyAlignment="1">
      <alignment vertical="center"/>
    </xf>
    <xf numFmtId="9" fontId="5" fillId="0" borderId="0" xfId="2" applyFont="1" applyFill="1"/>
    <xf numFmtId="165" fontId="5" fillId="0" borderId="91" xfId="2" applyNumberFormat="1" applyFont="1" applyFill="1" applyBorder="1" applyAlignment="1">
      <alignment wrapText="1"/>
    </xf>
    <xf numFmtId="165" fontId="5" fillId="0" borderId="0" xfId="1" applyFont="1" applyFill="1"/>
    <xf numFmtId="0" fontId="5" fillId="0" borderId="91" xfId="0" quotePrefix="1" applyFont="1" applyBorder="1" applyAlignment="1">
      <alignment wrapText="1"/>
    </xf>
    <xf numFmtId="166" fontId="69" fillId="46" borderId="0" xfId="1" applyNumberFormat="1" applyFont="1" applyFill="1"/>
    <xf numFmtId="0" fontId="54" fillId="42" borderId="71" xfId="0" applyFont="1" applyFill="1" applyBorder="1" applyAlignment="1">
      <alignment horizontal="center"/>
    </xf>
    <xf numFmtId="0" fontId="54" fillId="42" borderId="13" xfId="0" applyFont="1" applyFill="1" applyBorder="1" applyAlignment="1">
      <alignment horizontal="center" vertical="center" wrapText="1"/>
    </xf>
    <xf numFmtId="0" fontId="54" fillId="42" borderId="12" xfId="0" applyFont="1" applyFill="1" applyBorder="1" applyAlignment="1">
      <alignment horizontal="center" vertical="center" wrapText="1"/>
    </xf>
    <xf numFmtId="0" fontId="54" fillId="8" borderId="19" xfId="0" applyFont="1" applyFill="1" applyBorder="1" applyAlignment="1">
      <alignment horizontal="center" vertical="center"/>
    </xf>
    <xf numFmtId="0" fontId="54" fillId="8" borderId="8" xfId="0" applyFont="1" applyFill="1" applyBorder="1" applyAlignment="1">
      <alignment horizontal="center" vertical="center"/>
    </xf>
    <xf numFmtId="0" fontId="54" fillId="8" borderId="12" xfId="0" applyFont="1" applyFill="1" applyBorder="1" applyAlignment="1">
      <alignment horizontal="center" vertical="center"/>
    </xf>
    <xf numFmtId="0" fontId="54" fillId="8" borderId="73" xfId="0" applyFont="1" applyFill="1" applyBorder="1" applyAlignment="1">
      <alignment horizontal="center" vertical="center"/>
    </xf>
    <xf numFmtId="0" fontId="54" fillId="8" borderId="13" xfId="0" applyFont="1" applyFill="1" applyBorder="1" applyAlignment="1">
      <alignment horizontal="center" vertical="center" wrapText="1"/>
    </xf>
    <xf numFmtId="0" fontId="54" fillId="8" borderId="12" xfId="0" applyFont="1" applyFill="1" applyBorder="1" applyAlignment="1">
      <alignment horizontal="center" vertical="center" wrapText="1"/>
    </xf>
    <xf numFmtId="0" fontId="54" fillId="3" borderId="22" xfId="0" applyFont="1" applyFill="1" applyBorder="1" applyAlignment="1">
      <alignment horizontal="center"/>
    </xf>
    <xf numFmtId="0" fontId="54" fillId="3" borderId="23" xfId="0" applyFont="1" applyFill="1" applyBorder="1" applyAlignment="1">
      <alignment horizontal="center"/>
    </xf>
    <xf numFmtId="0" fontId="54" fillId="3" borderId="24" xfId="0" applyFont="1" applyFill="1" applyBorder="1" applyAlignment="1">
      <alignment horizontal="center"/>
    </xf>
    <xf numFmtId="0" fontId="60" fillId="44" borderId="49" xfId="0" applyFont="1" applyFill="1" applyBorder="1" applyAlignment="1">
      <alignment horizontal="center" vertical="center"/>
    </xf>
    <xf numFmtId="0" fontId="60" fillId="44" borderId="55" xfId="0" applyFont="1" applyFill="1" applyBorder="1" applyAlignment="1">
      <alignment horizontal="center" vertical="center"/>
    </xf>
    <xf numFmtId="0" fontId="60" fillId="7" borderId="49" xfId="0" applyFont="1" applyFill="1" applyBorder="1" applyAlignment="1">
      <alignment horizontal="center" vertical="center"/>
    </xf>
    <xf numFmtId="0" fontId="60" fillId="7" borderId="55" xfId="0" applyFont="1" applyFill="1" applyBorder="1" applyAlignment="1">
      <alignment horizontal="center" vertical="center"/>
    </xf>
    <xf numFmtId="0" fontId="60" fillId="7" borderId="19" xfId="0" applyFont="1" applyFill="1" applyBorder="1" applyAlignment="1">
      <alignment horizontal="center" vertical="center" wrapText="1"/>
    </xf>
    <xf numFmtId="0" fontId="60" fillId="7" borderId="8" xfId="0" applyFont="1" applyFill="1" applyBorder="1" applyAlignment="1">
      <alignment horizontal="center" vertical="center" wrapText="1"/>
    </xf>
    <xf numFmtId="0" fontId="60" fillId="7" borderId="49" xfId="0" applyFont="1" applyFill="1" applyBorder="1" applyAlignment="1">
      <alignment horizontal="center" vertical="center" wrapText="1"/>
    </xf>
    <xf numFmtId="0" fontId="60" fillId="7" borderId="55" xfId="0" applyFont="1" applyFill="1" applyBorder="1" applyAlignment="1">
      <alignment horizontal="center" vertical="center" wrapText="1"/>
    </xf>
    <xf numFmtId="0" fontId="60" fillId="7" borderId="49" xfId="0" applyFont="1" applyFill="1" applyBorder="1" applyAlignment="1">
      <alignment horizontal="center"/>
    </xf>
    <xf numFmtId="0" fontId="60" fillId="7" borderId="48" xfId="0" applyFont="1" applyFill="1" applyBorder="1" applyAlignment="1">
      <alignment horizontal="center"/>
    </xf>
    <xf numFmtId="0" fontId="60" fillId="7" borderId="55" xfId="0" applyFont="1" applyFill="1" applyBorder="1" applyAlignment="1">
      <alignment horizontal="center"/>
    </xf>
    <xf numFmtId="0" fontId="60" fillId="44" borderId="49" xfId="0" applyFont="1" applyFill="1" applyBorder="1" applyAlignment="1">
      <alignment horizontal="center"/>
    </xf>
    <xf numFmtId="0" fontId="60" fillId="44" borderId="48" xfId="0" applyFont="1" applyFill="1" applyBorder="1" applyAlignment="1">
      <alignment horizontal="center"/>
    </xf>
    <xf numFmtId="0" fontId="60" fillId="44" borderId="55" xfId="0" applyFont="1" applyFill="1" applyBorder="1" applyAlignment="1">
      <alignment horizontal="center"/>
    </xf>
    <xf numFmtId="0" fontId="12" fillId="40" borderId="49" xfId="0" applyFont="1" applyFill="1" applyBorder="1" applyAlignment="1">
      <alignment horizontal="center" vertical="center"/>
    </xf>
    <xf numFmtId="0" fontId="12" fillId="40" borderId="48" xfId="0" applyFont="1" applyFill="1" applyBorder="1" applyAlignment="1">
      <alignment horizontal="center" vertical="center"/>
    </xf>
    <xf numFmtId="0" fontId="12" fillId="40" borderId="55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center" vertical="center"/>
    </xf>
    <xf numFmtId="0" fontId="12" fillId="7" borderId="52" xfId="0" applyFont="1" applyFill="1" applyBorder="1" applyAlignment="1">
      <alignment horizontal="center" vertical="center"/>
    </xf>
    <xf numFmtId="0" fontId="12" fillId="7" borderId="49" xfId="0" applyFont="1" applyFill="1" applyBorder="1" applyAlignment="1">
      <alignment horizontal="center" vertical="center"/>
    </xf>
    <xf numFmtId="0" fontId="12" fillId="7" borderId="48" xfId="0" applyFont="1" applyFill="1" applyBorder="1" applyAlignment="1">
      <alignment horizontal="center" vertical="center"/>
    </xf>
    <xf numFmtId="0" fontId="12" fillId="7" borderId="55" xfId="0" applyFont="1" applyFill="1" applyBorder="1" applyAlignment="1">
      <alignment horizontal="center" vertical="center"/>
    </xf>
    <xf numFmtId="0" fontId="12" fillId="40" borderId="19" xfId="0" applyFont="1" applyFill="1" applyBorder="1" applyAlignment="1">
      <alignment horizontal="center" vertical="center"/>
    </xf>
    <xf numFmtId="0" fontId="12" fillId="40" borderId="52" xfId="0" applyFont="1" applyFill="1" applyBorder="1" applyAlignment="1">
      <alignment horizontal="center" vertical="center"/>
    </xf>
    <xf numFmtId="0" fontId="12" fillId="0" borderId="71" xfId="0" applyFont="1" applyBorder="1" applyAlignment="1">
      <alignment horizontal="center"/>
    </xf>
    <xf numFmtId="0" fontId="14" fillId="0" borderId="71" xfId="0" applyFont="1" applyBorder="1" applyAlignment="1">
      <alignment horizontal="center"/>
    </xf>
    <xf numFmtId="0" fontId="4" fillId="0" borderId="49" xfId="1" applyNumberFormat="1" applyFont="1" applyFill="1" applyBorder="1" applyAlignment="1" applyProtection="1">
      <alignment horizontal="center" vertical="center"/>
    </xf>
    <xf numFmtId="0" fontId="4" fillId="0" borderId="48" xfId="1" applyNumberFormat="1" applyFont="1" applyFill="1" applyBorder="1" applyAlignment="1" applyProtection="1">
      <alignment horizontal="center" vertical="center"/>
    </xf>
    <xf numFmtId="0" fontId="4" fillId="0" borderId="55" xfId="1" applyNumberFormat="1" applyFont="1" applyFill="1" applyBorder="1" applyAlignment="1" applyProtection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 wrapText="1"/>
    </xf>
    <xf numFmtId="165" fontId="12" fillId="0" borderId="71" xfId="0" applyNumberFormat="1" applyFont="1" applyBorder="1" applyAlignment="1">
      <alignment horizontal="center"/>
    </xf>
    <xf numFmtId="165" fontId="6" fillId="0" borderId="49" xfId="1" applyFont="1" applyFill="1" applyBorder="1" applyAlignment="1" applyProtection="1">
      <alignment horizontal="center" vertical="center"/>
    </xf>
    <xf numFmtId="165" fontId="6" fillId="0" borderId="48" xfId="1" applyFont="1" applyFill="1" applyBorder="1" applyAlignment="1" applyProtection="1">
      <alignment horizontal="center" vertical="center"/>
    </xf>
    <xf numFmtId="165" fontId="6" fillId="0" borderId="55" xfId="1" applyFont="1" applyFill="1" applyBorder="1" applyAlignment="1" applyProtection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</cellXfs>
  <cellStyles count="87">
    <cellStyle name="20% - Accent1" xfId="21" builtinId="30" customBuiltin="1"/>
    <cellStyle name="20% - Accent1 2" xfId="60" xr:uid="{BF83388A-294F-4AD5-92AE-E031088EEC56}"/>
    <cellStyle name="20% - Accent2" xfId="25" builtinId="34" customBuiltin="1"/>
    <cellStyle name="20% - Accent2 2" xfId="64" xr:uid="{8409AAA4-4ABF-422D-B3D5-526E25026399}"/>
    <cellStyle name="20% - Accent3" xfId="29" builtinId="38" customBuiltin="1"/>
    <cellStyle name="20% - Accent3 2" xfId="68" xr:uid="{3F2713F9-95F2-44E5-9CC3-531018948391}"/>
    <cellStyle name="20% - Accent4" xfId="33" builtinId="42" customBuiltin="1"/>
    <cellStyle name="20% - Accent4 2" xfId="72" xr:uid="{C3120B58-C624-40DD-8E1A-4FE756EFC879}"/>
    <cellStyle name="20% - Accent5" xfId="37" builtinId="46" customBuiltin="1"/>
    <cellStyle name="20% - Accent5 2" xfId="76" xr:uid="{05241FFC-ED1A-4E76-BA50-C201741F0B96}"/>
    <cellStyle name="20% - Accent6" xfId="41" builtinId="50" customBuiltin="1"/>
    <cellStyle name="20% - Accent6 2" xfId="80" xr:uid="{6D5C4FD6-4C69-4D43-9AED-69105DFB3369}"/>
    <cellStyle name="40% - Accent1" xfId="22" builtinId="31" customBuiltin="1"/>
    <cellStyle name="40% - Accent1 2" xfId="61" xr:uid="{84350CEB-9769-4659-885A-C4077738AF4C}"/>
    <cellStyle name="40% - Accent2" xfId="26" builtinId="35" customBuiltin="1"/>
    <cellStyle name="40% - Accent2 2" xfId="65" xr:uid="{87EC3208-A22C-4C02-A14C-F28AE3B0ED3C}"/>
    <cellStyle name="40% - Accent3" xfId="30" builtinId="39" customBuiltin="1"/>
    <cellStyle name="40% - Accent3 2" xfId="69" xr:uid="{10D2D2ED-ADBE-4A19-8AB8-E0B4EBC01D26}"/>
    <cellStyle name="40% - Accent4" xfId="34" builtinId="43" customBuiltin="1"/>
    <cellStyle name="40% - Accent4 2" xfId="73" xr:uid="{8B71F6BC-F3CE-4835-BC26-D33563B412D4}"/>
    <cellStyle name="40% - Accent5" xfId="38" builtinId="47" customBuiltin="1"/>
    <cellStyle name="40% - Accent5 2" xfId="77" xr:uid="{6CF7BF7D-5A9C-47F5-9F75-94442FDBB100}"/>
    <cellStyle name="40% - Accent6" xfId="40" builtinId="51" customBuiltin="1"/>
    <cellStyle name="40% - Accent6 2" xfId="81" xr:uid="{F4527A05-8FAA-4A81-BF23-21D52D722FE9}"/>
    <cellStyle name="60% - Accent1" xfId="23" builtinId="32" customBuiltin="1"/>
    <cellStyle name="60% - Accent1 2" xfId="62" xr:uid="{FBC61205-52EA-4CFD-A86A-DA9B3BF4DA73}"/>
    <cellStyle name="60% - Accent2" xfId="27" builtinId="36" customBuiltin="1"/>
    <cellStyle name="60% - Accent2 2" xfId="66" xr:uid="{3D592ABD-FC8F-4DAE-9A9E-F6A1598EABEB}"/>
    <cellStyle name="60% - Accent3" xfId="31" builtinId="40" customBuiltin="1"/>
    <cellStyle name="60% - Accent3 2" xfId="70" xr:uid="{A8BB8EF8-F4CD-4AA0-AFD4-D2EDC03B6A93}"/>
    <cellStyle name="60% - Accent4" xfId="35" builtinId="44" customBuiltin="1"/>
    <cellStyle name="60% - Accent4 2" xfId="74" xr:uid="{B23B4CE9-893D-4502-923D-4A996E36EE71}"/>
    <cellStyle name="60% - Accent5" xfId="39" builtinId="48" customBuiltin="1"/>
    <cellStyle name="60% - Accent5 2" xfId="78" xr:uid="{04064F1A-4F02-4E36-AC0F-17E55EE153D3}"/>
    <cellStyle name="60% - Accent6" xfId="41" builtinId="52" customBuiltin="1"/>
    <cellStyle name="60% - Accent6 2" xfId="82" xr:uid="{7F2151EF-B027-4BD8-9E5C-3C5052ECB3A2}"/>
    <cellStyle name="Accent1" xfId="20" builtinId="29" customBuiltin="1"/>
    <cellStyle name="Accent1 2" xfId="59" xr:uid="{EB30E7B3-1D60-4304-B891-A4F91C280397}"/>
    <cellStyle name="Accent2" xfId="24" builtinId="33" customBuiltin="1"/>
    <cellStyle name="Accent2 2" xfId="63" xr:uid="{9B989E14-1459-4F30-82FB-8B90BE490A57}"/>
    <cellStyle name="Accent3" xfId="28" builtinId="37" customBuiltin="1"/>
    <cellStyle name="Accent3 2" xfId="67" xr:uid="{6003A739-DBB8-4941-9A96-F46FB918BFA1}"/>
    <cellStyle name="Accent4" xfId="32" builtinId="41" customBuiltin="1"/>
    <cellStyle name="Accent4 2" xfId="71" xr:uid="{6970D89A-8CE7-4940-BE47-510C5C2ADBE6}"/>
    <cellStyle name="Accent5" xfId="36" builtinId="45" customBuiltin="1"/>
    <cellStyle name="Accent5 2" xfId="75" xr:uid="{0040E6E5-B7BC-4F64-B4E1-1794601132FC}"/>
    <cellStyle name="Accent6" xfId="40" builtinId="49" customBuiltin="1"/>
    <cellStyle name="Accent6 2" xfId="79" xr:uid="{DC3E9442-3B61-494A-8A13-A552341794BE}"/>
    <cellStyle name="Bad" xfId="9" builtinId="27" customBuiltin="1"/>
    <cellStyle name="Bad 2" xfId="49" xr:uid="{634CDD87-4D20-447B-90BA-CB9663922C8F}"/>
    <cellStyle name="Calculation" xfId="13" builtinId="22" customBuiltin="1"/>
    <cellStyle name="Calculation 2" xfId="53" xr:uid="{494D7483-FE86-485E-A94C-EBAE2B9D1D85}"/>
    <cellStyle name="Check Cell" xfId="15" builtinId="23" customBuiltin="1"/>
    <cellStyle name="Check Cell 2" xfId="55" xr:uid="{08FB06B8-D064-4336-848C-CBAFB7CE0A68}"/>
    <cellStyle name="Comma" xfId="1" builtinId="3"/>
    <cellStyle name="Comma 3 2" xfId="42" xr:uid="{00000000-0005-0000-0000-0000E7160000}"/>
    <cellStyle name="Comma 76" xfId="83" xr:uid="{00000000-0005-0000-0000-000004000000}"/>
    <cellStyle name="Explanatory Text" xfId="18" builtinId="53" customBuiltin="1"/>
    <cellStyle name="Explanatory Text 2" xfId="57" xr:uid="{F60BB446-08D3-4B9E-A9BC-722C66FD36DA}"/>
    <cellStyle name="Good" xfId="8" builtinId="26" customBuiltin="1"/>
    <cellStyle name="Good 2" xfId="48" xr:uid="{4536001B-C427-4209-840D-083D83599831}"/>
    <cellStyle name="Heading 1" xfId="4" builtinId="16" customBuiltin="1"/>
    <cellStyle name="Heading 1 2" xfId="44" xr:uid="{CB03CAE0-2F92-4786-B8BE-B1CCA9A7CC28}"/>
    <cellStyle name="Heading 2" xfId="5" builtinId="17" customBuiltin="1"/>
    <cellStyle name="Heading 2 2" xfId="45" xr:uid="{9E3F079C-E25D-4485-8682-718D7CCE80FB}"/>
    <cellStyle name="Heading 3" xfId="6" builtinId="18" customBuiltin="1"/>
    <cellStyle name="Heading 3 2" xfId="46" xr:uid="{0C0A7974-6E6E-4E77-935C-E78E33356FAE}"/>
    <cellStyle name="Heading 4" xfId="7" builtinId="19" customBuiltin="1"/>
    <cellStyle name="Heading 4 2" xfId="47" xr:uid="{4CDF38BC-A34C-40CB-866F-8E8B654B34E0}"/>
    <cellStyle name="Hyperlink" xfId="42" builtinId="8"/>
    <cellStyle name="Input" xfId="11" builtinId="20" customBuiltin="1"/>
    <cellStyle name="Input 2" xfId="51" xr:uid="{02138E7A-1134-403C-927C-D926D8E0CA27}"/>
    <cellStyle name="Linked Cell" xfId="14" builtinId="24" customBuiltin="1"/>
    <cellStyle name="Linked Cell 2" xfId="54" xr:uid="{132CC5BE-CF70-4BD8-9651-20D4FDBE4C10}"/>
    <cellStyle name="Neutral" xfId="10" builtinId="28" customBuiltin="1"/>
    <cellStyle name="Neutral 2" xfId="50" xr:uid="{A974372C-8492-47EB-8D62-8778B741ABD3}"/>
    <cellStyle name="Normal" xfId="0" builtinId="0" customBuiltin="1"/>
    <cellStyle name="Note" xfId="17" builtinId="10" customBuiltin="1"/>
    <cellStyle name="Note 2" xfId="56" xr:uid="{03E8BFAD-46F7-4B71-8D4C-ED6C714E5E6D}"/>
    <cellStyle name="Output" xfId="12" builtinId="21" customBuiltin="1"/>
    <cellStyle name="Output 2" xfId="52" xr:uid="{43ECB437-03E5-4E2F-AB93-F861A8CEED00}"/>
    <cellStyle name="Percent" xfId="2" builtinId="5"/>
    <cellStyle name="Title" xfId="3" builtinId="15" customBuiltin="1"/>
    <cellStyle name="Title 2" xfId="43" xr:uid="{C67650BB-94F3-452E-B4CE-D1903B4CEDA0}"/>
    <cellStyle name="Total" xfId="19" builtinId="25" customBuiltin="1"/>
    <cellStyle name="Total 2" xfId="58" xr:uid="{5AF9A6F2-39F3-4786-99E0-5CC5463A77CD}"/>
    <cellStyle name="Warning Text" xfId="16" builtinId="11" customBuiltin="1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  <numFmt numFmtId="166" formatCode="_(* #,##0_);_(* \(#,##0\);_(* &quot;-&quot;??_);_(@_)"/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  <numFmt numFmtId="0" formatCode="General"/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Open Sans"/>
        <family val="2"/>
        <scheme val="none"/>
      </font>
      <numFmt numFmtId="0" formatCode="General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Open Sans"/>
        <family val="2"/>
        <scheme val="none"/>
      </font>
      <numFmt numFmtId="0" formatCode="General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C99"/>
      <color rgb="FFDDDDDD"/>
      <color rgb="FFFFFF99"/>
      <color rgb="FFFFC5FF"/>
      <color rgb="FFD5F7EF"/>
      <color rgb="FF00FFFF"/>
      <color rgb="FF00CC00"/>
      <color rgb="FFFF3300"/>
      <color rgb="FFFF990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10</xdr:row>
      <xdr:rowOff>22</xdr:rowOff>
    </xdr:from>
    <xdr:to>
      <xdr:col>9</xdr:col>
      <xdr:colOff>571501</xdr:colOff>
      <xdr:row>30</xdr:row>
      <xdr:rowOff>117953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49EF0F-8DA8-7DA8-6A9C-51907068B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1" y="1905022"/>
          <a:ext cx="4229100" cy="392793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18</xdr:col>
      <xdr:colOff>494586</xdr:colOff>
      <xdr:row>25</xdr:row>
      <xdr:rowOff>124108</xdr:rowOff>
    </xdr:to>
    <xdr:pic>
      <xdr:nvPicPr>
        <xdr:cNvPr id="6" name="Picture 5" descr="A screenshot of a computer&#10;&#10;Description automatically generated">
          <a:extLst>
            <a:ext uri="{FF2B5EF4-FFF2-40B4-BE49-F238E27FC236}">
              <a16:creationId xmlns:a16="http://schemas.microsoft.com/office/drawing/2014/main" id="{F86CF1EE-AD5B-8512-8804-CB03FB20B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0353" y="2857500"/>
          <a:ext cx="2915057" cy="2029108"/>
        </a:xfrm>
        <a:prstGeom prst="rect">
          <a:avLst/>
        </a:prstGeom>
      </xdr:spPr>
    </xdr:pic>
    <xdr:clientData/>
  </xdr:twoCellAnchor>
  <xdr:twoCellAnchor>
    <xdr:from>
      <xdr:col>5</xdr:col>
      <xdr:colOff>400050</xdr:colOff>
      <xdr:row>14</xdr:row>
      <xdr:rowOff>19050</xdr:rowOff>
    </xdr:from>
    <xdr:to>
      <xdr:col>6</xdr:col>
      <xdr:colOff>95249</xdr:colOff>
      <xdr:row>15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A55A01-957B-055A-B1F1-AA9AC26303B6}"/>
            </a:ext>
          </a:extLst>
        </xdr:cNvPr>
        <xdr:cNvSpPr/>
      </xdr:nvSpPr>
      <xdr:spPr>
        <a:xfrm>
          <a:off x="2495550" y="2686050"/>
          <a:ext cx="304799" cy="1809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419100</xdr:colOff>
      <xdr:row>18</xdr:row>
      <xdr:rowOff>161947</xdr:rowOff>
    </xdr:from>
    <xdr:to>
      <xdr:col>6</xdr:col>
      <xdr:colOff>349500</xdr:colOff>
      <xdr:row>19</xdr:row>
      <xdr:rowOff>133447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C74D905-2B65-4C5B-AB04-AAA7DFFDE7A5}"/>
            </a:ext>
          </a:extLst>
        </xdr:cNvPr>
        <xdr:cNvSpPr/>
      </xdr:nvSpPr>
      <xdr:spPr>
        <a:xfrm>
          <a:off x="2514600" y="3590947"/>
          <a:ext cx="540000" cy="162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419099</xdr:colOff>
      <xdr:row>25</xdr:row>
      <xdr:rowOff>19050</xdr:rowOff>
    </xdr:from>
    <xdr:to>
      <xdr:col>6</xdr:col>
      <xdr:colOff>349499</xdr:colOff>
      <xdr:row>25</xdr:row>
      <xdr:rowOff>181050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2F0080C-25DB-4F41-A75F-8852682E141E}"/>
            </a:ext>
          </a:extLst>
        </xdr:cNvPr>
        <xdr:cNvSpPr/>
      </xdr:nvSpPr>
      <xdr:spPr>
        <a:xfrm>
          <a:off x="2514599" y="4781550"/>
          <a:ext cx="540000" cy="162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390525</xdr:colOff>
      <xdr:row>25</xdr:row>
      <xdr:rowOff>19050</xdr:rowOff>
    </xdr:from>
    <xdr:to>
      <xdr:col>8</xdr:col>
      <xdr:colOff>320925</xdr:colOff>
      <xdr:row>25</xdr:row>
      <xdr:rowOff>181050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8D008CC-DE48-492D-9C5F-5A0BE74D401B}"/>
            </a:ext>
          </a:extLst>
        </xdr:cNvPr>
        <xdr:cNvSpPr/>
      </xdr:nvSpPr>
      <xdr:spPr>
        <a:xfrm>
          <a:off x="3705225" y="4781550"/>
          <a:ext cx="540000" cy="162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419100</xdr:colOff>
      <xdr:row>28</xdr:row>
      <xdr:rowOff>38100</xdr:rowOff>
    </xdr:from>
    <xdr:to>
      <xdr:col>9</xdr:col>
      <xdr:colOff>176700</xdr:colOff>
      <xdr:row>29</xdr:row>
      <xdr:rowOff>9600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FF7B445-53A1-4A9B-B3F1-5F4803C11D63}"/>
            </a:ext>
          </a:extLst>
        </xdr:cNvPr>
        <xdr:cNvSpPr/>
      </xdr:nvSpPr>
      <xdr:spPr>
        <a:xfrm>
          <a:off x="2514600" y="5372100"/>
          <a:ext cx="2196000" cy="162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ED38A5-4470-44A1-9864-C16B1EFE880A}" name="Table_FactoryCost" displayName="Table_FactoryCost" ref="B5:D20" totalsRowShown="0" headerRowDxfId="27" dataDxfId="25" headerRowBorderDxfId="26" tableBorderDxfId="24" headerRowCellStyle="Comma">
  <autoFilter ref="B5:D20" xr:uid="{DFED38A5-4470-44A1-9864-C16B1EFE880A}"/>
  <tableColumns count="3">
    <tableColumn id="5" xr3:uid="{08B3ECAB-E829-4CDC-9CEF-F44DEB2B441D}" name="Item" dataDxfId="23"/>
    <tableColumn id="7" xr3:uid="{0F13F77C-D982-490D-97F0-D43F769C7B84}" name="Amount (USD)" dataDxfId="22">
      <calculatedColumnFormula>'MFG COST SUMMARY'!F3</calculatedColumnFormula>
    </tableColumn>
    <tableColumn id="6" xr3:uid="{DD062E26-E189-4AD1-A06A-E1D5BEFB1181}" name="Amount (K.USD)" dataDxfId="2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C:\Users\70.Inventories\2023\FP\Monthly%20report\5.Inventory%20report\Rework%20tire_2023.xlsx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thao.dothi\5.Standard%20&amp;%20TPL\TPL\2023\Additional\" TargetMode="External"/><Relationship Id="rId2" Type="http://schemas.openxmlformats.org/officeDocument/2006/relationships/hyperlink" Target="mailto:202@" TargetMode="External"/><Relationship Id="rId1" Type="http://schemas.openxmlformats.org/officeDocument/2006/relationships/printerSettings" Target="../printerSettings/printerSettings2.bin"/><Relationship Id="rId5" Type="http://schemas.openxmlformats.org/officeDocument/2006/relationships/customProperty" Target="../customProperty3.bin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6.bin"/><Relationship Id="rId2" Type="http://schemas.openxmlformats.org/officeDocument/2006/relationships/hyperlink" Target="file:///C:\Users\thao.dothi\Desktop\Reporting%20Jan.24\Tire%20weight%20report\" TargetMode="External"/><Relationship Id="rId1" Type="http://schemas.openxmlformats.org/officeDocument/2006/relationships/hyperlink" Target="file:///C:\1-ALL\11.%208411\04.%20TS-Share\08.%20TS-ACC\RRW%20update.xlsx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7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9.bin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file:///C:\Users\thao.dothi\5.Standard%20&amp;%20TPL\Seme-products%20price\2022\Aug%202022\26EZA.xlsx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0.bin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1.bin"/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2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5" Type="http://schemas.openxmlformats.org/officeDocument/2006/relationships/customProperty" Target="../customProperty23.bin"/><Relationship Id="rId4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5" Type="http://schemas.openxmlformats.org/officeDocument/2006/relationships/customProperty" Target="../customProperty24.bin"/><Relationship Id="rId4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6.bin"/><Relationship Id="rId1" Type="http://schemas.openxmlformats.org/officeDocument/2006/relationships/customProperty" Target="../customProperty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AB5D-D036-441B-B097-A4F683D7EE6F}">
  <sheetPr codeName="Sheet2">
    <tabColor theme="9"/>
  </sheetPr>
  <dimension ref="A1:M62"/>
  <sheetViews>
    <sheetView showGridLines="0" zoomScaleNormal="100" workbookViewId="0">
      <selection activeCell="F40" sqref="F40"/>
    </sheetView>
  </sheetViews>
  <sheetFormatPr defaultColWidth="9.140625" defaultRowHeight="15"/>
  <cols>
    <col min="1" max="2" width="3.7109375" style="191" customWidth="1"/>
    <col min="3" max="3" width="5.7109375" style="191" customWidth="1"/>
    <col min="4" max="16384" width="9.140625" style="191"/>
  </cols>
  <sheetData>
    <row r="1" spans="1:13">
      <c r="A1" s="194" t="s">
        <v>777</v>
      </c>
    </row>
    <row r="3" spans="1:13">
      <c r="A3" s="192" t="s">
        <v>751</v>
      </c>
    </row>
    <row r="4" spans="1:13">
      <c r="B4" s="191" t="s">
        <v>752</v>
      </c>
    </row>
    <row r="5" spans="1:13">
      <c r="C5" s="193" t="s">
        <v>753</v>
      </c>
    </row>
    <row r="6" spans="1:13">
      <c r="C6" s="193" t="s">
        <v>754</v>
      </c>
    </row>
    <row r="7" spans="1:13">
      <c r="B7" s="191" t="s">
        <v>1061</v>
      </c>
    </row>
    <row r="8" spans="1:13">
      <c r="C8" s="193" t="s">
        <v>1062</v>
      </c>
    </row>
    <row r="9" spans="1:13">
      <c r="C9" s="193" t="s">
        <v>755</v>
      </c>
    </row>
    <row r="10" spans="1:13">
      <c r="C10" s="193" t="s">
        <v>756</v>
      </c>
    </row>
    <row r="11" spans="1:13">
      <c r="C11" s="193"/>
      <c r="M11" s="191" t="s">
        <v>1063</v>
      </c>
    </row>
    <row r="12" spans="1:13">
      <c r="C12" s="193"/>
      <c r="M12" s="191" t="s">
        <v>1089</v>
      </c>
    </row>
    <row r="13" spans="1:13">
      <c r="C13" s="193"/>
      <c r="M13" s="191" t="s">
        <v>1065</v>
      </c>
    </row>
    <row r="14" spans="1:13">
      <c r="C14" s="193"/>
      <c r="M14" s="191" t="s">
        <v>1064</v>
      </c>
    </row>
    <row r="15" spans="1:13">
      <c r="C15" s="193"/>
      <c r="M15" s="191" t="s">
        <v>1066</v>
      </c>
    </row>
    <row r="16" spans="1:13">
      <c r="C16" s="193"/>
      <c r="M16" s="191" t="s">
        <v>1067</v>
      </c>
    </row>
    <row r="17" spans="2:13">
      <c r="C17" s="193"/>
    </row>
    <row r="18" spans="2:13">
      <c r="C18" s="193"/>
    </row>
    <row r="19" spans="2:13">
      <c r="C19" s="193"/>
    </row>
    <row r="20" spans="2:13">
      <c r="C20" s="193"/>
    </row>
    <row r="21" spans="2:13">
      <c r="C21" s="193"/>
    </row>
    <row r="22" spans="2:13">
      <c r="C22" s="193"/>
    </row>
    <row r="23" spans="2:13">
      <c r="C23" s="193"/>
    </row>
    <row r="24" spans="2:13">
      <c r="C24" s="193"/>
    </row>
    <row r="25" spans="2:13">
      <c r="C25" s="193"/>
    </row>
    <row r="26" spans="2:13">
      <c r="C26" s="193"/>
    </row>
    <row r="27" spans="2:13">
      <c r="C27" s="193"/>
      <c r="M27" s="191" t="s">
        <v>1090</v>
      </c>
    </row>
    <row r="28" spans="2:13">
      <c r="C28" s="193"/>
    </row>
    <row r="29" spans="2:13">
      <c r="C29" s="193"/>
    </row>
    <row r="30" spans="2:13">
      <c r="C30" s="193"/>
    </row>
    <row r="31" spans="2:13">
      <c r="C31" s="193"/>
    </row>
    <row r="32" spans="2:13">
      <c r="B32" s="191" t="s">
        <v>1068</v>
      </c>
    </row>
    <row r="33" spans="1:4">
      <c r="C33" s="193" t="s">
        <v>760</v>
      </c>
    </row>
    <row r="34" spans="1:4">
      <c r="C34" s="193" t="s">
        <v>761</v>
      </c>
    </row>
    <row r="35" spans="1:4">
      <c r="B35" s="191" t="s">
        <v>765</v>
      </c>
    </row>
    <row r="36" spans="1:4">
      <c r="C36" s="193" t="s">
        <v>766</v>
      </c>
    </row>
    <row r="37" spans="1:4">
      <c r="C37" s="241" t="s">
        <v>920</v>
      </c>
    </row>
    <row r="38" spans="1:4">
      <c r="B38" s="191" t="s">
        <v>1069</v>
      </c>
      <c r="C38" s="241"/>
    </row>
    <row r="39" spans="1:4">
      <c r="C39" s="193" t="s">
        <v>1072</v>
      </c>
    </row>
    <row r="41" spans="1:4">
      <c r="A41" s="192" t="s">
        <v>762</v>
      </c>
    </row>
    <row r="42" spans="1:4">
      <c r="B42" s="191" t="s">
        <v>764</v>
      </c>
    </row>
    <row r="43" spans="1:4">
      <c r="C43" s="193" t="s">
        <v>1070</v>
      </c>
    </row>
    <row r="44" spans="1:4">
      <c r="C44" s="193" t="s">
        <v>1071</v>
      </c>
    </row>
    <row r="45" spans="1:4">
      <c r="C45" s="193" t="s">
        <v>1073</v>
      </c>
    </row>
    <row r="46" spans="1:4">
      <c r="C46" s="193" t="s">
        <v>1074</v>
      </c>
    </row>
    <row r="47" spans="1:4">
      <c r="C47" s="193"/>
      <c r="D47" s="191" t="s">
        <v>757</v>
      </c>
    </row>
    <row r="48" spans="1:4">
      <c r="C48" s="193"/>
      <c r="D48" s="193" t="s">
        <v>758</v>
      </c>
    </row>
    <row r="49" spans="2:4">
      <c r="C49" s="193"/>
      <c r="D49" s="193" t="s">
        <v>759</v>
      </c>
    </row>
    <row r="50" spans="2:4">
      <c r="C50" s="193" t="s">
        <v>1075</v>
      </c>
    </row>
    <row r="51" spans="2:4">
      <c r="B51" s="191" t="s">
        <v>763</v>
      </c>
    </row>
    <row r="52" spans="2:4">
      <c r="C52" s="193" t="s">
        <v>1076</v>
      </c>
    </row>
    <row r="53" spans="2:4">
      <c r="C53" s="193" t="s">
        <v>1077</v>
      </c>
    </row>
    <row r="54" spans="2:4">
      <c r="C54" s="193" t="s">
        <v>1085</v>
      </c>
    </row>
    <row r="55" spans="2:4">
      <c r="C55" s="193" t="s">
        <v>1086</v>
      </c>
    </row>
    <row r="56" spans="2:4">
      <c r="B56" s="191" t="s">
        <v>767</v>
      </c>
    </row>
    <row r="57" spans="2:4">
      <c r="C57" s="193" t="s">
        <v>1078</v>
      </c>
    </row>
    <row r="58" spans="2:4">
      <c r="C58" s="193" t="s">
        <v>776</v>
      </c>
    </row>
    <row r="59" spans="2:4">
      <c r="B59" s="191" t="s">
        <v>859</v>
      </c>
    </row>
    <row r="60" spans="2:4">
      <c r="C60" s="221" t="s">
        <v>860</v>
      </c>
    </row>
    <row r="61" spans="2:4">
      <c r="B61" s="191" t="s">
        <v>1079</v>
      </c>
    </row>
    <row r="62" spans="2:4">
      <c r="C62" s="191" t="s">
        <v>1080</v>
      </c>
    </row>
  </sheetData>
  <hyperlinks>
    <hyperlink ref="C37" r:id="rId1" xr:uid="{98E12D51-8AF7-49D9-BEA6-C0ADA1367002}"/>
  </hyperlinks>
  <pageMargins left="0.7" right="0.7" top="0.75" bottom="0.75" header="0.3" footer="0.3"/>
  <pageSetup paperSize="9" orientation="portrait" r:id="rId2"/>
  <customProperties>
    <customPr name="_pios_id" r:id="rId3"/>
  </customPropertie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D1507-67C5-46D4-8285-FDBCFBB75413}">
  <sheetPr codeName="Sheet9">
    <tabColor theme="1"/>
  </sheetPr>
  <dimension ref="A1"/>
  <sheetViews>
    <sheetView topLeftCell="XFD1" workbookViewId="0"/>
  </sheetViews>
  <sheetFormatPr defaultColWidth="0" defaultRowHeight="15"/>
  <cols>
    <col min="1" max="16384" width="9.140625" hidden="1"/>
  </cols>
  <sheetData/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B292-CF4B-41C4-9F62-C9C5C11046FD}">
  <sheetPr codeName="Sheet1"/>
  <dimension ref="B1:AD279"/>
  <sheetViews>
    <sheetView showGridLines="0" zoomScaleNormal="100" workbookViewId="0">
      <pane xSplit="3" ySplit="5" topLeftCell="D181" activePane="bottomRight" state="frozen"/>
      <selection activeCell="AD26" sqref="AD26"/>
      <selection pane="topRight" activeCell="AD26" sqref="AD26"/>
      <selection pane="bottomLeft" activeCell="AD26" sqref="AD26"/>
      <selection pane="bottomRight" activeCell="B182" sqref="B182"/>
    </sheetView>
  </sheetViews>
  <sheetFormatPr defaultRowHeight="15" zeroHeight="1" outlineLevelCol="1"/>
  <cols>
    <col min="1" max="1" width="3.7109375" style="362" customWidth="1"/>
    <col min="2" max="2" width="10.28515625" style="362" customWidth="1"/>
    <col min="3" max="3" width="11" style="362" customWidth="1"/>
    <col min="4" max="4" width="24.85546875" style="362" customWidth="1"/>
    <col min="5" max="5" width="7" style="362" customWidth="1" outlineLevel="1"/>
    <col min="6" max="6" width="9" style="362" customWidth="1" outlineLevel="1"/>
    <col min="7" max="7" width="6.28515625" style="362" customWidth="1" outlineLevel="1"/>
    <col min="8" max="8" width="10.5703125" style="362" customWidth="1" outlineLevel="1"/>
    <col min="9" max="9" width="15" style="362" customWidth="1"/>
    <col min="10" max="10" width="11" style="362" customWidth="1"/>
    <col min="11" max="11" width="7.42578125" style="362" customWidth="1"/>
    <col min="12" max="12" width="9.7109375" style="362" customWidth="1"/>
    <col min="13" max="13" width="8.140625" style="362" customWidth="1"/>
    <col min="14" max="15" width="9.42578125" style="362" customWidth="1"/>
    <col min="16" max="16" width="9.140625" style="362"/>
    <col min="17" max="19" width="9.140625" style="362" customWidth="1"/>
    <col min="20" max="20" width="9.140625" style="362" collapsed="1"/>
    <col min="21" max="27" width="9.140625" style="362"/>
    <col min="28" max="29" width="9.140625" style="363"/>
    <col min="30" max="16384" width="9.140625" style="362"/>
  </cols>
  <sheetData>
    <row r="1" spans="2:30" ht="21">
      <c r="B1" s="361" t="s">
        <v>1093</v>
      </c>
    </row>
    <row r="2" spans="2:30" ht="16.5">
      <c r="B2" s="364" t="s">
        <v>919</v>
      </c>
    </row>
    <row r="3" spans="2:30" s="373" customFormat="1" ht="15" customHeight="1">
      <c r="B3" s="365" t="s">
        <v>984</v>
      </c>
      <c r="P3" s="529" t="s">
        <v>861</v>
      </c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9"/>
      <c r="AB3" s="374"/>
      <c r="AC3" s="374"/>
    </row>
    <row r="4" spans="2:30" s="373" customFormat="1" ht="15" customHeight="1">
      <c r="P4" s="532" t="s">
        <v>21</v>
      </c>
      <c r="Q4" s="375"/>
      <c r="R4" s="376"/>
      <c r="S4" s="376"/>
      <c r="T4" s="534" t="s">
        <v>22</v>
      </c>
      <c r="U4" s="532" t="s">
        <v>381</v>
      </c>
      <c r="V4" s="532" t="s">
        <v>567</v>
      </c>
      <c r="W4" s="532" t="s">
        <v>568</v>
      </c>
      <c r="X4" s="536" t="s">
        <v>382</v>
      </c>
      <c r="Y4" s="537"/>
      <c r="Z4" s="530" t="s">
        <v>383</v>
      </c>
      <c r="AA4" s="531"/>
      <c r="AB4" s="374"/>
      <c r="AC4" s="374"/>
    </row>
    <row r="5" spans="2:30" s="367" customFormat="1" ht="45">
      <c r="C5" s="368" t="s">
        <v>112</v>
      </c>
      <c r="D5" s="369" t="s">
        <v>17</v>
      </c>
      <c r="E5" s="368" t="s">
        <v>373</v>
      </c>
      <c r="F5" s="368" t="s">
        <v>374</v>
      </c>
      <c r="G5" s="368" t="s">
        <v>375</v>
      </c>
      <c r="H5" s="368" t="s">
        <v>376</v>
      </c>
      <c r="I5" s="368" t="s">
        <v>377</v>
      </c>
      <c r="J5" s="368" t="s">
        <v>378</v>
      </c>
      <c r="K5" s="369" t="s">
        <v>379</v>
      </c>
      <c r="L5" s="368" t="s">
        <v>380</v>
      </c>
      <c r="M5" s="368" t="s">
        <v>372</v>
      </c>
      <c r="N5" s="368" t="s">
        <v>569</v>
      </c>
      <c r="O5" s="368" t="s">
        <v>570</v>
      </c>
      <c r="P5" s="533"/>
      <c r="Q5" s="370" t="s">
        <v>16</v>
      </c>
      <c r="R5" s="370" t="s">
        <v>14</v>
      </c>
      <c r="S5" s="370" t="s">
        <v>12</v>
      </c>
      <c r="T5" s="535"/>
      <c r="U5" s="533"/>
      <c r="V5" s="533"/>
      <c r="W5" s="533"/>
      <c r="X5" s="370" t="s">
        <v>384</v>
      </c>
      <c r="Y5" s="370" t="s">
        <v>571</v>
      </c>
      <c r="Z5" s="370" t="s">
        <v>384</v>
      </c>
      <c r="AA5" s="370" t="s">
        <v>571</v>
      </c>
      <c r="AB5" s="371"/>
      <c r="AC5" s="371"/>
    </row>
    <row r="6" spans="2:30">
      <c r="C6" s="377" t="s">
        <v>1107</v>
      </c>
      <c r="D6" s="377" t="s">
        <v>1108</v>
      </c>
      <c r="E6" s="377" t="s">
        <v>1109</v>
      </c>
      <c r="F6" s="377" t="s">
        <v>1110</v>
      </c>
      <c r="G6" s="377">
        <v>17</v>
      </c>
      <c r="H6" s="377" t="s">
        <v>1111</v>
      </c>
      <c r="I6" s="377" t="s">
        <v>645</v>
      </c>
      <c r="J6" s="377" t="s">
        <v>646</v>
      </c>
      <c r="K6" s="377" t="s">
        <v>778</v>
      </c>
      <c r="L6" s="377" t="s">
        <v>1112</v>
      </c>
      <c r="M6" s="378">
        <v>5.6456094366749997E-2</v>
      </c>
      <c r="N6" s="379">
        <v>8832</v>
      </c>
      <c r="O6" s="379">
        <v>4115</v>
      </c>
      <c r="P6" s="380">
        <v>19.434096134547143</v>
      </c>
      <c r="Q6" s="380">
        <v>5.6798664451209699</v>
      </c>
      <c r="R6" s="380">
        <v>7.7709226270537322</v>
      </c>
      <c r="S6" s="380">
        <v>6.9204876346967383</v>
      </c>
      <c r="T6" s="381">
        <v>20.371276706871441</v>
      </c>
      <c r="U6" s="380">
        <v>0.54031432205229835</v>
      </c>
      <c r="V6" s="381">
        <v>40.345687163470885</v>
      </c>
      <c r="W6" s="382">
        <v>4.7E-2</v>
      </c>
      <c r="X6" s="382">
        <v>0</v>
      </c>
      <c r="Y6" s="382">
        <v>0.04</v>
      </c>
      <c r="Z6" s="380">
        <v>43.71</v>
      </c>
      <c r="AA6" s="380">
        <v>45.69</v>
      </c>
      <c r="AB6" s="363">
        <f t="shared" ref="AB6:AB69" si="0">V6-P6-Q6-R6-S6-U6</f>
        <v>2.4424906541753444E-15</v>
      </c>
      <c r="AC6" s="363">
        <f t="shared" ref="AC6:AC69" si="1">T6-SUM(Q6:S6)</f>
        <v>0</v>
      </c>
      <c r="AD6" s="383"/>
    </row>
    <row r="7" spans="2:30">
      <c r="C7" s="377" t="s">
        <v>1113</v>
      </c>
      <c r="D7" s="377" t="s">
        <v>1114</v>
      </c>
      <c r="E7" s="377" t="s">
        <v>1115</v>
      </c>
      <c r="F7" s="377" t="s">
        <v>697</v>
      </c>
      <c r="G7" s="377">
        <v>19</v>
      </c>
      <c r="H7" s="377" t="s">
        <v>1111</v>
      </c>
      <c r="I7" s="377" t="s">
        <v>645</v>
      </c>
      <c r="J7" s="377" t="s">
        <v>646</v>
      </c>
      <c r="K7" s="377" t="s">
        <v>778</v>
      </c>
      <c r="L7" s="377" t="s">
        <v>1112</v>
      </c>
      <c r="M7" s="378">
        <v>8.2901065016249983E-2</v>
      </c>
      <c r="N7" s="379">
        <v>12566</v>
      </c>
      <c r="O7" s="379">
        <v>5887</v>
      </c>
      <c r="P7" s="380">
        <v>26.65072017511056</v>
      </c>
      <c r="Q7" s="380">
        <v>7.0321532285127022</v>
      </c>
      <c r="R7" s="380">
        <v>9.5062235367154493</v>
      </c>
      <c r="S7" s="380">
        <v>8.7901862658072698</v>
      </c>
      <c r="T7" s="381">
        <v>25.328563031035419</v>
      </c>
      <c r="U7" s="380">
        <v>0.76874884181489811</v>
      </c>
      <c r="V7" s="381">
        <v>52.748032047960876</v>
      </c>
      <c r="W7" s="382">
        <v>4.7E-2</v>
      </c>
      <c r="X7" s="382">
        <v>0</v>
      </c>
      <c r="Y7" s="382">
        <v>0.04</v>
      </c>
      <c r="Z7" s="380">
        <v>57.15</v>
      </c>
      <c r="AA7" s="380">
        <v>59.74</v>
      </c>
      <c r="AB7" s="363">
        <f t="shared" si="0"/>
        <v>-2.55351295663786E-15</v>
      </c>
      <c r="AC7" s="363">
        <f t="shared" si="1"/>
        <v>0</v>
      </c>
      <c r="AD7" s="383"/>
    </row>
    <row r="8" spans="2:30">
      <c r="C8" s="377" t="s">
        <v>1116</v>
      </c>
      <c r="D8" s="377" t="s">
        <v>1117</v>
      </c>
      <c r="E8" s="377" t="s">
        <v>631</v>
      </c>
      <c r="F8" s="377" t="s">
        <v>662</v>
      </c>
      <c r="G8" s="377">
        <v>18</v>
      </c>
      <c r="H8" s="377" t="s">
        <v>1118</v>
      </c>
      <c r="I8" s="377" t="s">
        <v>645</v>
      </c>
      <c r="J8" s="377" t="s">
        <v>646</v>
      </c>
      <c r="K8" s="377" t="s">
        <v>778</v>
      </c>
      <c r="L8" s="377" t="s">
        <v>1112</v>
      </c>
      <c r="M8" s="378">
        <v>7.1461105449750012E-2</v>
      </c>
      <c r="N8" s="379">
        <v>12295</v>
      </c>
      <c r="O8" s="379">
        <v>5722</v>
      </c>
      <c r="P8" s="380">
        <v>23.511890146665348</v>
      </c>
      <c r="Q8" s="380">
        <v>6.5702044398964352</v>
      </c>
      <c r="R8" s="380">
        <v>8.6541573746077667</v>
      </c>
      <c r="S8" s="380">
        <v>8.0078482333330516</v>
      </c>
      <c r="T8" s="381">
        <v>23.232210047837256</v>
      </c>
      <c r="U8" s="380">
        <v>0.75216990371750547</v>
      </c>
      <c r="V8" s="381">
        <v>47.496270098220108</v>
      </c>
      <c r="W8" s="382">
        <v>4.7E-2</v>
      </c>
      <c r="X8" s="382">
        <v>0</v>
      </c>
      <c r="Y8" s="382">
        <v>0.04</v>
      </c>
      <c r="Z8" s="380">
        <v>51.46</v>
      </c>
      <c r="AA8" s="380">
        <v>53.79</v>
      </c>
      <c r="AB8" s="363">
        <f t="shared" si="0"/>
        <v>9.9920072216264089E-16</v>
      </c>
      <c r="AC8" s="363">
        <f t="shared" si="1"/>
        <v>0</v>
      </c>
      <c r="AD8" s="383"/>
    </row>
    <row r="9" spans="2:30">
      <c r="C9" s="377" t="s">
        <v>1119</v>
      </c>
      <c r="D9" s="377" t="s">
        <v>1117</v>
      </c>
      <c r="E9" s="377" t="s">
        <v>631</v>
      </c>
      <c r="F9" s="377" t="s">
        <v>662</v>
      </c>
      <c r="G9" s="377">
        <v>18</v>
      </c>
      <c r="H9" s="377" t="s">
        <v>1118</v>
      </c>
      <c r="I9" s="377" t="s">
        <v>645</v>
      </c>
      <c r="J9" s="377" t="s">
        <v>646</v>
      </c>
      <c r="K9" s="377" t="s">
        <v>778</v>
      </c>
      <c r="L9" s="377" t="s">
        <v>1112</v>
      </c>
      <c r="M9" s="378">
        <v>7.1461105449750012E-2</v>
      </c>
      <c r="N9" s="379">
        <v>11009</v>
      </c>
      <c r="O9" s="379">
        <v>4809</v>
      </c>
      <c r="P9" s="380">
        <v>23.588243772193753</v>
      </c>
      <c r="Q9" s="380">
        <v>6.2719430732155033</v>
      </c>
      <c r="R9" s="380">
        <v>8.6882073850851196</v>
      </c>
      <c r="S9" s="380">
        <v>7.9301245603216577</v>
      </c>
      <c r="T9" s="381">
        <v>22.89027501862228</v>
      </c>
      <c r="U9" s="380">
        <v>0.67349641887157519</v>
      </c>
      <c r="V9" s="381">
        <v>47.152015209687605</v>
      </c>
      <c r="W9" s="382">
        <v>4.7E-2</v>
      </c>
      <c r="X9" s="382">
        <v>0</v>
      </c>
      <c r="Y9" s="382">
        <v>0.04</v>
      </c>
      <c r="Z9" s="380">
        <v>51.09</v>
      </c>
      <c r="AA9" s="380">
        <v>53.4</v>
      </c>
      <c r="AB9" s="363">
        <f t="shared" si="0"/>
        <v>-3.8857805861880479E-15</v>
      </c>
      <c r="AC9" s="363">
        <f t="shared" si="1"/>
        <v>0</v>
      </c>
      <c r="AD9" s="383"/>
    </row>
    <row r="10" spans="2:30">
      <c r="C10" s="377" t="s">
        <v>1120</v>
      </c>
      <c r="D10" s="377" t="s">
        <v>1121</v>
      </c>
      <c r="E10" s="377" t="s">
        <v>587</v>
      </c>
      <c r="F10" s="377" t="s">
        <v>658</v>
      </c>
      <c r="G10" s="377">
        <v>16</v>
      </c>
      <c r="H10" s="377" t="s">
        <v>1122</v>
      </c>
      <c r="I10" s="377" t="s">
        <v>645</v>
      </c>
      <c r="J10" s="377" t="s">
        <v>646</v>
      </c>
      <c r="K10" s="377" t="s">
        <v>879</v>
      </c>
      <c r="L10" s="377" t="s">
        <v>1112</v>
      </c>
      <c r="M10" s="378">
        <v>6.4256967889249991E-2</v>
      </c>
      <c r="N10" s="379">
        <v>10090</v>
      </c>
      <c r="O10" s="379">
        <v>4832</v>
      </c>
      <c r="P10" s="380">
        <v>19.877298184460596</v>
      </c>
      <c r="Q10" s="380">
        <v>5.9375766635415479</v>
      </c>
      <c r="R10" s="380">
        <v>7.6737609433636971</v>
      </c>
      <c r="S10" s="380">
        <v>7.0057664331006642</v>
      </c>
      <c r="T10" s="381">
        <v>20.617104040005906</v>
      </c>
      <c r="U10" s="380">
        <v>0.61727485388447567</v>
      </c>
      <c r="V10" s="381">
        <v>41.111677078350979</v>
      </c>
      <c r="W10" s="382">
        <v>4.7E-2</v>
      </c>
      <c r="X10" s="382">
        <v>0</v>
      </c>
      <c r="Y10" s="382">
        <v>0.04</v>
      </c>
      <c r="Z10" s="380">
        <v>44.54</v>
      </c>
      <c r="AA10" s="380">
        <v>46.56</v>
      </c>
      <c r="AB10" s="363">
        <f t="shared" si="0"/>
        <v>-2.2204460492503131E-15</v>
      </c>
      <c r="AC10" s="363">
        <f t="shared" si="1"/>
        <v>0</v>
      </c>
      <c r="AD10" s="383"/>
    </row>
    <row r="11" spans="2:30">
      <c r="C11" s="377" t="s">
        <v>1123</v>
      </c>
      <c r="D11" s="377" t="s">
        <v>1124</v>
      </c>
      <c r="E11" s="377" t="s">
        <v>1125</v>
      </c>
      <c r="F11" s="377" t="s">
        <v>672</v>
      </c>
      <c r="G11" s="377">
        <v>17</v>
      </c>
      <c r="H11" s="377" t="s">
        <v>684</v>
      </c>
      <c r="I11" s="377" t="s">
        <v>645</v>
      </c>
      <c r="J11" s="377" t="s">
        <v>646</v>
      </c>
      <c r="K11" s="377" t="s">
        <v>778</v>
      </c>
      <c r="L11" s="377" t="s">
        <v>1112</v>
      </c>
      <c r="M11" s="378">
        <v>8.0307202350999987E-2</v>
      </c>
      <c r="N11" s="379">
        <v>12313</v>
      </c>
      <c r="O11" s="379">
        <v>5583</v>
      </c>
      <c r="P11" s="380">
        <v>26.280588893343076</v>
      </c>
      <c r="Q11" s="380">
        <v>6.6133976623703488</v>
      </c>
      <c r="R11" s="380">
        <v>8.7613298262752384</v>
      </c>
      <c r="S11" s="380">
        <v>8.1493412228926712</v>
      </c>
      <c r="T11" s="381">
        <v>23.524068711538263</v>
      </c>
      <c r="U11" s="380">
        <v>0.75327108779777507</v>
      </c>
      <c r="V11" s="381">
        <v>50.557928692679113</v>
      </c>
      <c r="W11" s="382">
        <v>4.7E-2</v>
      </c>
      <c r="X11" s="382">
        <v>0</v>
      </c>
      <c r="Y11" s="382">
        <v>0.04</v>
      </c>
      <c r="Z11" s="380">
        <v>54.78</v>
      </c>
      <c r="AA11" s="380">
        <v>57.26</v>
      </c>
      <c r="AB11" s="363">
        <f t="shared" si="0"/>
        <v>2.6645352591003757E-15</v>
      </c>
      <c r="AC11" s="363">
        <f t="shared" si="1"/>
        <v>0</v>
      </c>
      <c r="AD11" s="383"/>
    </row>
    <row r="12" spans="2:30">
      <c r="C12" s="377" t="s">
        <v>1126</v>
      </c>
      <c r="D12" s="377" t="s">
        <v>1127</v>
      </c>
      <c r="E12" s="377" t="s">
        <v>592</v>
      </c>
      <c r="F12" s="377" t="s">
        <v>663</v>
      </c>
      <c r="G12" s="377">
        <v>18</v>
      </c>
      <c r="H12" s="377" t="s">
        <v>676</v>
      </c>
      <c r="I12" s="377" t="s">
        <v>645</v>
      </c>
      <c r="J12" s="377" t="s">
        <v>646</v>
      </c>
      <c r="K12" s="377" t="s">
        <v>778</v>
      </c>
      <c r="L12" s="377" t="s">
        <v>1112</v>
      </c>
      <c r="M12" s="378">
        <v>8.1217853179750013E-2</v>
      </c>
      <c r="N12" s="379">
        <v>12073</v>
      </c>
      <c r="O12" s="379">
        <v>5650</v>
      </c>
      <c r="P12" s="380">
        <v>24.230519014213968</v>
      </c>
      <c r="Q12" s="380">
        <v>6.7748712299237326</v>
      </c>
      <c r="R12" s="380">
        <v>9.1917311693377961</v>
      </c>
      <c r="S12" s="380">
        <v>8.4601627090938987</v>
      </c>
      <c r="T12" s="381">
        <v>24.426765108355422</v>
      </c>
      <c r="U12" s="380">
        <v>0.73858863339418013</v>
      </c>
      <c r="V12" s="381">
        <v>49.395872755963566</v>
      </c>
      <c r="W12" s="382">
        <v>4.7E-2</v>
      </c>
      <c r="X12" s="382">
        <v>0</v>
      </c>
      <c r="Y12" s="382">
        <v>0.04</v>
      </c>
      <c r="Z12" s="380">
        <v>53.52</v>
      </c>
      <c r="AA12" s="380">
        <v>55.94</v>
      </c>
      <c r="AB12" s="363">
        <f t="shared" si="0"/>
        <v>-9.2148511043887993E-15</v>
      </c>
      <c r="AC12" s="363">
        <f t="shared" si="1"/>
        <v>0</v>
      </c>
      <c r="AD12" s="383"/>
    </row>
    <row r="13" spans="2:30">
      <c r="C13" s="377" t="s">
        <v>1128</v>
      </c>
      <c r="D13" s="377" t="s">
        <v>1129</v>
      </c>
      <c r="E13" s="377" t="s">
        <v>1112</v>
      </c>
      <c r="F13" s="377" t="s">
        <v>689</v>
      </c>
      <c r="G13" s="377">
        <v>20</v>
      </c>
      <c r="H13" s="377" t="s">
        <v>702</v>
      </c>
      <c r="I13" s="377" t="s">
        <v>645</v>
      </c>
      <c r="J13" s="377" t="s">
        <v>646</v>
      </c>
      <c r="K13" s="377" t="s">
        <v>778</v>
      </c>
      <c r="L13" s="377" t="s">
        <v>1112</v>
      </c>
      <c r="M13" s="378">
        <v>0.10206923348125001</v>
      </c>
      <c r="N13" s="379">
        <v>15095</v>
      </c>
      <c r="O13" s="379">
        <v>6959</v>
      </c>
      <c r="P13" s="380">
        <v>31.903354118907554</v>
      </c>
      <c r="Q13" s="380">
        <v>7.9098713153678712</v>
      </c>
      <c r="R13" s="380">
        <v>10.565309318877405</v>
      </c>
      <c r="S13" s="380">
        <v>9.9465250307358559</v>
      </c>
      <c r="T13" s="381">
        <v>28.421705664981133</v>
      </c>
      <c r="U13" s="380">
        <v>0.92346520509278118</v>
      </c>
      <c r="V13" s="381">
        <v>61.248524988981472</v>
      </c>
      <c r="W13" s="382">
        <v>4.7E-2</v>
      </c>
      <c r="X13" s="382">
        <v>0</v>
      </c>
      <c r="Y13" s="382">
        <v>0.04</v>
      </c>
      <c r="Z13" s="380">
        <v>66.36</v>
      </c>
      <c r="AA13" s="380">
        <v>69.36</v>
      </c>
      <c r="AB13" s="363">
        <f t="shared" si="0"/>
        <v>6.2172489379008766E-15</v>
      </c>
      <c r="AC13" s="363">
        <f t="shared" si="1"/>
        <v>0</v>
      </c>
      <c r="AD13" s="383"/>
    </row>
    <row r="14" spans="2:30">
      <c r="C14" s="377" t="s">
        <v>1130</v>
      </c>
      <c r="D14" s="377" t="s">
        <v>1131</v>
      </c>
      <c r="E14" s="377" t="s">
        <v>1112</v>
      </c>
      <c r="F14" s="377" t="s">
        <v>700</v>
      </c>
      <c r="G14" s="377">
        <v>19</v>
      </c>
      <c r="H14" s="377" t="s">
        <v>702</v>
      </c>
      <c r="I14" s="377" t="s">
        <v>645</v>
      </c>
      <c r="J14" s="377" t="s">
        <v>646</v>
      </c>
      <c r="K14" s="377" t="s">
        <v>778</v>
      </c>
      <c r="L14" s="377" t="s">
        <v>1112</v>
      </c>
      <c r="M14" s="378">
        <v>9.414925151624999E-2</v>
      </c>
      <c r="N14" s="379">
        <v>12566</v>
      </c>
      <c r="O14" s="379">
        <v>5887</v>
      </c>
      <c r="P14" s="380">
        <v>26.64895274669739</v>
      </c>
      <c r="Q14" s="380">
        <v>7.0321532285127013</v>
      </c>
      <c r="R14" s="380">
        <v>9.5062235367154511</v>
      </c>
      <c r="S14" s="380">
        <v>8.790186265807268</v>
      </c>
      <c r="T14" s="381">
        <v>25.328563031035419</v>
      </c>
      <c r="U14" s="380">
        <v>0.76874884181489811</v>
      </c>
      <c r="V14" s="381">
        <v>52.746264619547702</v>
      </c>
      <c r="W14" s="382">
        <v>4.7E-2</v>
      </c>
      <c r="X14" s="382">
        <v>0</v>
      </c>
      <c r="Y14" s="382">
        <v>0.04</v>
      </c>
      <c r="Z14" s="380">
        <v>57.15</v>
      </c>
      <c r="AA14" s="380">
        <v>59.74</v>
      </c>
      <c r="AB14" s="363">
        <f t="shared" si="0"/>
        <v>-6.106226635438361E-15</v>
      </c>
      <c r="AC14" s="363">
        <f t="shared" si="1"/>
        <v>0</v>
      </c>
      <c r="AD14" s="383"/>
    </row>
    <row r="15" spans="2:30">
      <c r="C15" s="377" t="s">
        <v>1132</v>
      </c>
      <c r="D15" s="377" t="s">
        <v>1133</v>
      </c>
      <c r="E15" s="377" t="s">
        <v>616</v>
      </c>
      <c r="F15" s="377" t="s">
        <v>700</v>
      </c>
      <c r="G15" s="377">
        <v>19</v>
      </c>
      <c r="H15" s="377" t="s">
        <v>1134</v>
      </c>
      <c r="I15" s="377" t="s">
        <v>645</v>
      </c>
      <c r="J15" s="377" t="s">
        <v>646</v>
      </c>
      <c r="K15" s="377" t="s">
        <v>778</v>
      </c>
      <c r="L15" s="377" t="s">
        <v>1112</v>
      </c>
      <c r="M15" s="378">
        <v>9.414925151624999E-2</v>
      </c>
      <c r="N15" s="379">
        <v>12566</v>
      </c>
      <c r="O15" s="379">
        <v>5887</v>
      </c>
      <c r="P15" s="380">
        <v>26.646952670011455</v>
      </c>
      <c r="Q15" s="380">
        <v>7.0321532285127022</v>
      </c>
      <c r="R15" s="380">
        <v>9.5062235367154511</v>
      </c>
      <c r="S15" s="380">
        <v>8.790186265807268</v>
      </c>
      <c r="T15" s="381">
        <v>25.328563031035419</v>
      </c>
      <c r="U15" s="380">
        <v>0.76874884181489833</v>
      </c>
      <c r="V15" s="381">
        <v>52.744264542861771</v>
      </c>
      <c r="W15" s="382">
        <v>4.7E-2</v>
      </c>
      <c r="X15" s="382">
        <v>0</v>
      </c>
      <c r="Y15" s="382">
        <v>0.04</v>
      </c>
      <c r="Z15" s="380">
        <v>57.14</v>
      </c>
      <c r="AA15" s="380">
        <v>59.73</v>
      </c>
      <c r="AB15" s="363">
        <f t="shared" si="0"/>
        <v>-2.7755575615628914E-15</v>
      </c>
      <c r="AC15" s="363">
        <f t="shared" si="1"/>
        <v>0</v>
      </c>
      <c r="AD15" s="383"/>
    </row>
    <row r="16" spans="2:30">
      <c r="C16" s="377" t="s">
        <v>1135</v>
      </c>
      <c r="D16" s="377" t="s">
        <v>1136</v>
      </c>
      <c r="E16" s="377" t="s">
        <v>609</v>
      </c>
      <c r="F16" s="377" t="s">
        <v>653</v>
      </c>
      <c r="G16" s="377">
        <v>19</v>
      </c>
      <c r="H16" s="377" t="s">
        <v>1134</v>
      </c>
      <c r="I16" s="377" t="s">
        <v>645</v>
      </c>
      <c r="J16" s="377" t="s">
        <v>646</v>
      </c>
      <c r="K16" s="377" t="s">
        <v>778</v>
      </c>
      <c r="L16" s="377" t="s">
        <v>1112</v>
      </c>
      <c r="M16" s="378">
        <v>0.10131905851474997</v>
      </c>
      <c r="N16" s="379">
        <v>13665</v>
      </c>
      <c r="O16" s="379">
        <v>6288</v>
      </c>
      <c r="P16" s="380">
        <v>29.182017813045725</v>
      </c>
      <c r="Q16" s="380">
        <v>7.4526029953324837</v>
      </c>
      <c r="R16" s="380">
        <v>10.013682793172238</v>
      </c>
      <c r="S16" s="380">
        <v>9.3676660310483868</v>
      </c>
      <c r="T16" s="381">
        <v>26.833951819553111</v>
      </c>
      <c r="U16" s="380">
        <v>0.83598224760469397</v>
      </c>
      <c r="V16" s="381">
        <v>56.851951880203529</v>
      </c>
      <c r="W16" s="382">
        <v>4.7E-2</v>
      </c>
      <c r="X16" s="382">
        <v>0</v>
      </c>
      <c r="Y16" s="382">
        <v>0.04</v>
      </c>
      <c r="Z16" s="380">
        <v>61.59</v>
      </c>
      <c r="AA16" s="380">
        <v>64.38</v>
      </c>
      <c r="AB16" s="363">
        <f t="shared" si="0"/>
        <v>1.4432899320127035E-15</v>
      </c>
      <c r="AC16" s="363">
        <f t="shared" si="1"/>
        <v>0</v>
      </c>
      <c r="AD16" s="383"/>
    </row>
    <row r="17" spans="3:30">
      <c r="C17" s="377" t="s">
        <v>387</v>
      </c>
      <c r="D17" s="377" t="s">
        <v>1137</v>
      </c>
      <c r="E17" s="377" t="s">
        <v>590</v>
      </c>
      <c r="F17" s="377" t="s">
        <v>665</v>
      </c>
      <c r="G17" s="377">
        <v>13</v>
      </c>
      <c r="H17" s="377" t="s">
        <v>666</v>
      </c>
      <c r="I17" s="377" t="s">
        <v>667</v>
      </c>
      <c r="J17" s="377" t="s">
        <v>660</v>
      </c>
      <c r="K17" s="377" t="s">
        <v>875</v>
      </c>
      <c r="L17" s="377" t="s">
        <v>388</v>
      </c>
      <c r="M17" s="378">
        <v>4.0677806827000007E-2</v>
      </c>
      <c r="N17" s="379">
        <v>5367</v>
      </c>
      <c r="O17" s="379">
        <v>2520</v>
      </c>
      <c r="P17" s="380">
        <v>10.498263559175845</v>
      </c>
      <c r="Q17" s="380">
        <v>4.1208602858760353</v>
      </c>
      <c r="R17" s="380">
        <v>5.3369935046361752</v>
      </c>
      <c r="S17" s="380">
        <v>4.5629747117549693</v>
      </c>
      <c r="T17" s="381">
        <v>14.020828502267182</v>
      </c>
      <c r="U17" s="380">
        <v>0.3283363866003946</v>
      </c>
      <c r="V17" s="381">
        <v>24.847428448043424</v>
      </c>
      <c r="W17" s="382">
        <v>4.7E-2</v>
      </c>
      <c r="X17" s="382">
        <v>2.5000000000000001E-3</v>
      </c>
      <c r="Y17" s="382">
        <v>3.2500000000000001E-2</v>
      </c>
      <c r="Z17" s="380">
        <v>26.99</v>
      </c>
      <c r="AA17" s="380">
        <v>27.9</v>
      </c>
      <c r="AB17" s="363">
        <f t="shared" si="0"/>
        <v>3.4972025275692431E-15</v>
      </c>
      <c r="AC17" s="363">
        <f t="shared" si="1"/>
        <v>0</v>
      </c>
      <c r="AD17" s="383"/>
    </row>
    <row r="18" spans="3:30">
      <c r="C18" s="377" t="s">
        <v>88</v>
      </c>
      <c r="D18" s="377" t="s">
        <v>1138</v>
      </c>
      <c r="E18" s="377" t="s">
        <v>586</v>
      </c>
      <c r="F18" s="377" t="s">
        <v>652</v>
      </c>
      <c r="G18" s="377">
        <v>14</v>
      </c>
      <c r="H18" s="377" t="s">
        <v>878</v>
      </c>
      <c r="I18" s="377" t="s">
        <v>877</v>
      </c>
      <c r="J18" s="377" t="s">
        <v>655</v>
      </c>
      <c r="K18" s="377" t="s">
        <v>875</v>
      </c>
      <c r="L18" s="377" t="s">
        <v>89</v>
      </c>
      <c r="M18" s="378">
        <v>4.670827067375001E-2</v>
      </c>
      <c r="N18" s="379">
        <v>6435</v>
      </c>
      <c r="O18" s="379">
        <v>3133</v>
      </c>
      <c r="P18" s="380">
        <v>12.268556015614955</v>
      </c>
      <c r="Q18" s="380">
        <v>4.5634787653938291</v>
      </c>
      <c r="R18" s="380">
        <v>6.0224412955744295</v>
      </c>
      <c r="S18" s="380">
        <v>5.2321610861938357</v>
      </c>
      <c r="T18" s="381">
        <v>15.818081147162097</v>
      </c>
      <c r="U18" s="380">
        <v>0.39367330869639267</v>
      </c>
      <c r="V18" s="381">
        <v>28.480310471473445</v>
      </c>
      <c r="W18" s="382">
        <v>4.7E-2</v>
      </c>
      <c r="X18" s="382">
        <v>0</v>
      </c>
      <c r="Y18" s="382">
        <v>0.03</v>
      </c>
      <c r="Z18" s="380">
        <v>30.86</v>
      </c>
      <c r="AA18" s="380">
        <v>31.89</v>
      </c>
      <c r="AB18" s="363">
        <f t="shared" si="0"/>
        <v>3.4972025275692431E-15</v>
      </c>
      <c r="AC18" s="363">
        <f t="shared" si="1"/>
        <v>0</v>
      </c>
      <c r="AD18" s="383"/>
    </row>
    <row r="19" spans="3:30">
      <c r="C19" s="377" t="s">
        <v>52</v>
      </c>
      <c r="D19" s="377" t="s">
        <v>1139</v>
      </c>
      <c r="E19" s="377" t="s">
        <v>586</v>
      </c>
      <c r="F19" s="377" t="s">
        <v>652</v>
      </c>
      <c r="G19" s="377">
        <v>14</v>
      </c>
      <c r="H19" s="377" t="s">
        <v>668</v>
      </c>
      <c r="I19" s="377" t="s">
        <v>654</v>
      </c>
      <c r="J19" s="377" t="s">
        <v>655</v>
      </c>
      <c r="K19" s="377" t="s">
        <v>875</v>
      </c>
      <c r="L19" s="377" t="s">
        <v>53</v>
      </c>
      <c r="M19" s="378">
        <v>4.670827067375001E-2</v>
      </c>
      <c r="N19" s="379">
        <v>7043</v>
      </c>
      <c r="O19" s="379">
        <v>3404</v>
      </c>
      <c r="P19" s="380">
        <v>13.651432512943392</v>
      </c>
      <c r="Q19" s="380">
        <v>4.7381972854449321</v>
      </c>
      <c r="R19" s="380">
        <v>6.2042895054941374</v>
      </c>
      <c r="S19" s="380">
        <v>5.4533964645883577</v>
      </c>
      <c r="T19" s="381">
        <v>16.395883255527426</v>
      </c>
      <c r="U19" s="380">
        <v>0.43086885985216672</v>
      </c>
      <c r="V19" s="381">
        <v>30.478184628322985</v>
      </c>
      <c r="W19" s="382">
        <v>4.7E-2</v>
      </c>
      <c r="X19" s="382">
        <v>0</v>
      </c>
      <c r="Y19" s="382">
        <v>0.03</v>
      </c>
      <c r="Z19" s="380">
        <v>33.020000000000003</v>
      </c>
      <c r="AA19" s="380">
        <v>34.130000000000003</v>
      </c>
      <c r="AB19" s="363">
        <f t="shared" si="0"/>
        <v>-3.6637359812630166E-15</v>
      </c>
      <c r="AC19" s="363">
        <f t="shared" si="1"/>
        <v>0</v>
      </c>
      <c r="AD19" s="383"/>
    </row>
    <row r="20" spans="3:30">
      <c r="C20" s="377" t="s">
        <v>86</v>
      </c>
      <c r="D20" s="377" t="s">
        <v>1140</v>
      </c>
      <c r="E20" s="377" t="s">
        <v>591</v>
      </c>
      <c r="F20" s="377" t="s">
        <v>669</v>
      </c>
      <c r="G20" s="377">
        <v>15</v>
      </c>
      <c r="H20" s="377" t="s">
        <v>878</v>
      </c>
      <c r="I20" s="377" t="s">
        <v>877</v>
      </c>
      <c r="J20" s="377" t="s">
        <v>655</v>
      </c>
      <c r="K20" s="377" t="s">
        <v>876</v>
      </c>
      <c r="L20" s="377" t="s">
        <v>87</v>
      </c>
      <c r="M20" s="378">
        <v>6.7468812031250006E-2</v>
      </c>
      <c r="N20" s="379">
        <v>8892</v>
      </c>
      <c r="O20" s="379">
        <v>4138</v>
      </c>
      <c r="P20" s="380">
        <v>17.492648277758367</v>
      </c>
      <c r="Q20" s="380">
        <v>5.2585929053375331</v>
      </c>
      <c r="R20" s="380">
        <v>6.9017625136026108</v>
      </c>
      <c r="S20" s="380">
        <v>6.2427862939204566</v>
      </c>
      <c r="T20" s="381">
        <v>18.403141712860599</v>
      </c>
      <c r="U20" s="380">
        <v>0.54398493565319717</v>
      </c>
      <c r="V20" s="381">
        <v>36.439774926272165</v>
      </c>
      <c r="W20" s="382">
        <v>4.7E-2</v>
      </c>
      <c r="X20" s="382">
        <v>0</v>
      </c>
      <c r="Y20" s="382">
        <v>0.03</v>
      </c>
      <c r="Z20" s="380">
        <v>39.479999999999997</v>
      </c>
      <c r="AA20" s="380">
        <v>40.81</v>
      </c>
      <c r="AB20" s="363">
        <f t="shared" si="0"/>
        <v>0</v>
      </c>
      <c r="AC20" s="363">
        <f t="shared" si="1"/>
        <v>0</v>
      </c>
      <c r="AD20" s="383"/>
    </row>
    <row r="21" spans="3:30">
      <c r="C21" s="377" t="s">
        <v>84</v>
      </c>
      <c r="D21" s="377" t="s">
        <v>1141</v>
      </c>
      <c r="E21" s="377" t="s">
        <v>592</v>
      </c>
      <c r="F21" s="377" t="s">
        <v>672</v>
      </c>
      <c r="G21" s="377">
        <v>16</v>
      </c>
      <c r="H21" s="377" t="s">
        <v>878</v>
      </c>
      <c r="I21" s="377" t="s">
        <v>877</v>
      </c>
      <c r="J21" s="377" t="s">
        <v>655</v>
      </c>
      <c r="K21" s="377" t="s">
        <v>879</v>
      </c>
      <c r="L21" s="377" t="s">
        <v>85</v>
      </c>
      <c r="M21" s="378">
        <v>7.4501902684000004E-2</v>
      </c>
      <c r="N21" s="379">
        <v>10023</v>
      </c>
      <c r="O21" s="379">
        <v>4806</v>
      </c>
      <c r="P21" s="380">
        <v>19.512106814104207</v>
      </c>
      <c r="Q21" s="380">
        <v>5.7764243206577914</v>
      </c>
      <c r="R21" s="380">
        <v>7.6670461676541066</v>
      </c>
      <c r="S21" s="380">
        <v>7.0383374818474698</v>
      </c>
      <c r="T21" s="381">
        <v>20.481807970159366</v>
      </c>
      <c r="U21" s="380">
        <v>0.61317600203013889</v>
      </c>
      <c r="V21" s="381">
        <v>40.60709078629371</v>
      </c>
      <c r="W21" s="382">
        <v>4.7E-2</v>
      </c>
      <c r="X21" s="382">
        <v>0</v>
      </c>
      <c r="Y21" s="382">
        <v>0.03</v>
      </c>
      <c r="Z21" s="380">
        <v>43.99</v>
      </c>
      <c r="AA21" s="380">
        <v>45.47</v>
      </c>
      <c r="AB21" s="363">
        <f t="shared" si="0"/>
        <v>-4.4408920985006262E-15</v>
      </c>
      <c r="AC21" s="363">
        <f t="shared" si="1"/>
        <v>0</v>
      </c>
      <c r="AD21" s="383"/>
    </row>
    <row r="22" spans="3:30">
      <c r="C22" s="377" t="s">
        <v>61</v>
      </c>
      <c r="D22" s="377" t="s">
        <v>1142</v>
      </c>
      <c r="E22" s="377" t="s">
        <v>593</v>
      </c>
      <c r="F22" s="377" t="s">
        <v>651</v>
      </c>
      <c r="G22" s="377">
        <v>14</v>
      </c>
      <c r="H22" s="377" t="s">
        <v>668</v>
      </c>
      <c r="I22" s="377" t="s">
        <v>654</v>
      </c>
      <c r="J22" s="377" t="s">
        <v>655</v>
      </c>
      <c r="K22" s="377" t="s">
        <v>875</v>
      </c>
      <c r="L22" s="377" t="s">
        <v>62</v>
      </c>
      <c r="M22" s="378">
        <v>5.1603555872250004E-2</v>
      </c>
      <c r="N22" s="379">
        <v>7502</v>
      </c>
      <c r="O22" s="379">
        <v>3592</v>
      </c>
      <c r="P22" s="380">
        <v>14.562613339652239</v>
      </c>
      <c r="Q22" s="380">
        <v>4.8958896039193736</v>
      </c>
      <c r="R22" s="380">
        <v>6.4574513810281191</v>
      </c>
      <c r="S22" s="380">
        <v>5.7103715088657676</v>
      </c>
      <c r="T22" s="381">
        <v>17.063712493813263</v>
      </c>
      <c r="U22" s="380">
        <v>0.45894905389904234</v>
      </c>
      <c r="V22" s="381">
        <v>32.085274887364548</v>
      </c>
      <c r="W22" s="382">
        <v>4.7E-2</v>
      </c>
      <c r="X22" s="382">
        <v>0</v>
      </c>
      <c r="Y22" s="382">
        <v>0.03</v>
      </c>
      <c r="Z22" s="380">
        <v>34.76</v>
      </c>
      <c r="AA22" s="380">
        <v>35.93</v>
      </c>
      <c r="AB22" s="363">
        <f t="shared" si="0"/>
        <v>7.8270723236073536E-15</v>
      </c>
      <c r="AC22" s="363">
        <f t="shared" si="1"/>
        <v>0</v>
      </c>
      <c r="AD22" s="383"/>
    </row>
    <row r="23" spans="3:30">
      <c r="C23" s="377" t="s">
        <v>58</v>
      </c>
      <c r="D23" s="377" t="s">
        <v>1143</v>
      </c>
      <c r="E23" s="377" t="s">
        <v>595</v>
      </c>
      <c r="F23" s="377" t="s">
        <v>656</v>
      </c>
      <c r="G23" s="377">
        <v>15</v>
      </c>
      <c r="H23" s="377" t="s">
        <v>668</v>
      </c>
      <c r="I23" s="377" t="s">
        <v>654</v>
      </c>
      <c r="J23" s="377" t="s">
        <v>655</v>
      </c>
      <c r="K23" s="377" t="s">
        <v>876</v>
      </c>
      <c r="L23" s="377" t="s">
        <v>69</v>
      </c>
      <c r="M23" s="378">
        <v>5.7896791874999999E-2</v>
      </c>
      <c r="N23" s="379">
        <v>8461</v>
      </c>
      <c r="O23" s="379">
        <v>4040</v>
      </c>
      <c r="P23" s="380">
        <v>16.360693992781822</v>
      </c>
      <c r="Q23" s="380">
        <v>5.1693219297311925</v>
      </c>
      <c r="R23" s="380">
        <v>6.7486861212462186</v>
      </c>
      <c r="S23" s="380">
        <v>6.0492842088987953</v>
      </c>
      <c r="T23" s="381">
        <v>17.967292259876206</v>
      </c>
      <c r="U23" s="380">
        <v>0.51761769462007445</v>
      </c>
      <c r="V23" s="381">
        <v>34.845603947278107</v>
      </c>
      <c r="W23" s="382">
        <v>4.7E-2</v>
      </c>
      <c r="X23" s="382">
        <v>0</v>
      </c>
      <c r="Y23" s="382">
        <v>0.03</v>
      </c>
      <c r="Z23" s="380">
        <v>37.75</v>
      </c>
      <c r="AA23" s="380">
        <v>39.020000000000003</v>
      </c>
      <c r="AB23" s="363">
        <f t="shared" si="0"/>
        <v>2.9976021664879227E-15</v>
      </c>
      <c r="AC23" s="363">
        <f t="shared" si="1"/>
        <v>0</v>
      </c>
      <c r="AD23" s="383"/>
    </row>
    <row r="24" spans="3:30">
      <c r="C24" s="377" t="s">
        <v>261</v>
      </c>
      <c r="D24" s="377" t="s">
        <v>1144</v>
      </c>
      <c r="E24" s="377" t="s">
        <v>584</v>
      </c>
      <c r="F24" s="377" t="s">
        <v>651</v>
      </c>
      <c r="G24" s="377">
        <v>15</v>
      </c>
      <c r="H24" s="377" t="s">
        <v>666</v>
      </c>
      <c r="I24" s="377" t="s">
        <v>667</v>
      </c>
      <c r="J24" s="377" t="s">
        <v>660</v>
      </c>
      <c r="K24" s="377" t="s">
        <v>876</v>
      </c>
      <c r="L24" s="377" t="s">
        <v>266</v>
      </c>
      <c r="M24" s="378">
        <v>5.6094935256249999E-2</v>
      </c>
      <c r="N24" s="379">
        <v>7509</v>
      </c>
      <c r="O24" s="379">
        <v>3497</v>
      </c>
      <c r="P24" s="380">
        <v>14.796448806642756</v>
      </c>
      <c r="Q24" s="380">
        <v>4.9094159060211338</v>
      </c>
      <c r="R24" s="380">
        <v>6.2805441104211521</v>
      </c>
      <c r="S24" s="380">
        <v>5.5627508641276577</v>
      </c>
      <c r="T24" s="381">
        <v>16.752710880569939</v>
      </c>
      <c r="U24" s="380">
        <v>0.45937729215248047</v>
      </c>
      <c r="V24" s="381">
        <v>32.008536979365175</v>
      </c>
      <c r="W24" s="382">
        <v>4.7E-2</v>
      </c>
      <c r="X24" s="382">
        <v>2.5000000000000001E-3</v>
      </c>
      <c r="Y24" s="382">
        <v>3.2500000000000001E-2</v>
      </c>
      <c r="Z24" s="380">
        <v>34.770000000000003</v>
      </c>
      <c r="AA24" s="380">
        <v>35.94</v>
      </c>
      <c r="AB24" s="363">
        <f t="shared" si="0"/>
        <v>-7.6605388699135801E-15</v>
      </c>
      <c r="AC24" s="363">
        <f t="shared" si="1"/>
        <v>0</v>
      </c>
      <c r="AD24" s="383"/>
    </row>
    <row r="25" spans="3:30">
      <c r="C25" s="377" t="s">
        <v>342</v>
      </c>
      <c r="D25" s="377" t="s">
        <v>1145</v>
      </c>
      <c r="E25" s="377" t="s">
        <v>595</v>
      </c>
      <c r="F25" s="377" t="s">
        <v>651</v>
      </c>
      <c r="G25" s="377">
        <v>15</v>
      </c>
      <c r="H25" s="377" t="s">
        <v>878</v>
      </c>
      <c r="I25" s="377" t="s">
        <v>877</v>
      </c>
      <c r="J25" s="377" t="s">
        <v>655</v>
      </c>
      <c r="K25" s="377" t="s">
        <v>876</v>
      </c>
      <c r="L25" s="377" t="s">
        <v>369</v>
      </c>
      <c r="M25" s="378">
        <v>5.6094935256249999E-2</v>
      </c>
      <c r="N25" s="379">
        <v>7506</v>
      </c>
      <c r="O25" s="379">
        <v>3648</v>
      </c>
      <c r="P25" s="380">
        <v>14.326674245314059</v>
      </c>
      <c r="Q25" s="380">
        <v>4.8805641860742908</v>
      </c>
      <c r="R25" s="380">
        <v>6.4500861510567811</v>
      </c>
      <c r="S25" s="380">
        <v>5.6975279602669033</v>
      </c>
      <c r="T25" s="381">
        <v>17.028178297397972</v>
      </c>
      <c r="U25" s="380">
        <v>0.45919376147243568</v>
      </c>
      <c r="V25" s="381">
        <v>31.814046304184465</v>
      </c>
      <c r="W25" s="382">
        <v>4.7E-2</v>
      </c>
      <c r="X25" s="382">
        <v>0</v>
      </c>
      <c r="Y25" s="382">
        <v>0.03</v>
      </c>
      <c r="Z25" s="380">
        <v>34.47</v>
      </c>
      <c r="AA25" s="380">
        <v>35.630000000000003</v>
      </c>
      <c r="AB25" s="363">
        <f t="shared" si="0"/>
        <v>-5.7176485768195562E-15</v>
      </c>
      <c r="AC25" s="363">
        <f t="shared" si="1"/>
        <v>0</v>
      </c>
      <c r="AD25" s="383"/>
    </row>
    <row r="26" spans="3:30">
      <c r="C26" s="377" t="s">
        <v>63</v>
      </c>
      <c r="D26" s="377" t="s">
        <v>1146</v>
      </c>
      <c r="E26" s="377" t="s">
        <v>596</v>
      </c>
      <c r="F26" s="377" t="s">
        <v>664</v>
      </c>
      <c r="G26" s="377">
        <v>15</v>
      </c>
      <c r="H26" s="377" t="s">
        <v>668</v>
      </c>
      <c r="I26" s="377" t="s">
        <v>654</v>
      </c>
      <c r="J26" s="377" t="s">
        <v>655</v>
      </c>
      <c r="K26" s="377" t="s">
        <v>876</v>
      </c>
      <c r="L26" s="377" t="s">
        <v>64</v>
      </c>
      <c r="M26" s="378">
        <v>6.1626502518749994E-2</v>
      </c>
      <c r="N26" s="379">
        <v>8584</v>
      </c>
      <c r="O26" s="379">
        <v>4086.0000000000005</v>
      </c>
      <c r="P26" s="380">
        <v>16.617401176774578</v>
      </c>
      <c r="Q26" s="380">
        <v>5.1823032128891988</v>
      </c>
      <c r="R26" s="380">
        <v>6.8236051663731434</v>
      </c>
      <c r="S26" s="380">
        <v>6.1345046099449583</v>
      </c>
      <c r="T26" s="381">
        <v>18.140412989207299</v>
      </c>
      <c r="U26" s="380">
        <v>0.52514245250191671</v>
      </c>
      <c r="V26" s="381">
        <v>35.282956618483794</v>
      </c>
      <c r="W26" s="382">
        <v>4.7E-2</v>
      </c>
      <c r="X26" s="382">
        <v>0</v>
      </c>
      <c r="Y26" s="382">
        <v>0.03</v>
      </c>
      <c r="Z26" s="380">
        <v>38.229999999999997</v>
      </c>
      <c r="AA26" s="380">
        <v>39.51</v>
      </c>
      <c r="AB26" s="363">
        <f t="shared" si="0"/>
        <v>-9.9920072216264089E-16</v>
      </c>
      <c r="AC26" s="363">
        <f t="shared" si="1"/>
        <v>0</v>
      </c>
      <c r="AD26" s="383"/>
    </row>
    <row r="27" spans="3:30">
      <c r="C27" s="377" t="s">
        <v>343</v>
      </c>
      <c r="D27" s="377" t="s">
        <v>1147</v>
      </c>
      <c r="E27" s="377" t="s">
        <v>585</v>
      </c>
      <c r="F27" s="377" t="s">
        <v>649</v>
      </c>
      <c r="G27" s="377">
        <v>15</v>
      </c>
      <c r="H27" s="377" t="s">
        <v>878</v>
      </c>
      <c r="I27" s="377" t="s">
        <v>877</v>
      </c>
      <c r="J27" s="377" t="s">
        <v>655</v>
      </c>
      <c r="K27" s="377" t="s">
        <v>876</v>
      </c>
      <c r="L27" s="377" t="s">
        <v>371</v>
      </c>
      <c r="M27" s="378">
        <v>5.2805117025000001E-2</v>
      </c>
      <c r="N27" s="379">
        <v>7386</v>
      </c>
      <c r="O27" s="379">
        <v>3583</v>
      </c>
      <c r="P27" s="380">
        <v>14.069269220189675</v>
      </c>
      <c r="Q27" s="380">
        <v>4.8358962107272161</v>
      </c>
      <c r="R27" s="380">
        <v>6.5506707280610685</v>
      </c>
      <c r="S27" s="380">
        <v>5.7690098229437554</v>
      </c>
      <c r="T27" s="381">
        <v>17.155576761732039</v>
      </c>
      <c r="U27" s="380">
        <v>0.45185253427063798</v>
      </c>
      <c r="V27" s="381">
        <v>31.676698516192353</v>
      </c>
      <c r="W27" s="382">
        <v>4.7E-2</v>
      </c>
      <c r="X27" s="382">
        <v>0</v>
      </c>
      <c r="Y27" s="382">
        <v>0.03</v>
      </c>
      <c r="Z27" s="380">
        <v>34.32</v>
      </c>
      <c r="AA27" s="380">
        <v>35.47</v>
      </c>
      <c r="AB27" s="363">
        <f t="shared" si="0"/>
        <v>-7.7715611723760958E-16</v>
      </c>
      <c r="AC27" s="363">
        <f t="shared" si="1"/>
        <v>0</v>
      </c>
      <c r="AD27" s="383"/>
    </row>
    <row r="28" spans="3:30">
      <c r="C28" s="377" t="s">
        <v>75</v>
      </c>
      <c r="D28" s="377" t="s">
        <v>1148</v>
      </c>
      <c r="E28" s="377" t="s">
        <v>592</v>
      </c>
      <c r="F28" s="377" t="s">
        <v>672</v>
      </c>
      <c r="G28" s="377">
        <v>16</v>
      </c>
      <c r="H28" s="377" t="s">
        <v>668</v>
      </c>
      <c r="I28" s="377" t="s">
        <v>654</v>
      </c>
      <c r="J28" s="377" t="s">
        <v>655</v>
      </c>
      <c r="K28" s="377" t="s">
        <v>879</v>
      </c>
      <c r="L28" s="377" t="s">
        <v>76</v>
      </c>
      <c r="M28" s="378">
        <v>7.4501902684000004E-2</v>
      </c>
      <c r="N28" s="379">
        <v>10732</v>
      </c>
      <c r="O28" s="379">
        <v>5097</v>
      </c>
      <c r="P28" s="380">
        <v>21.181022874745075</v>
      </c>
      <c r="Q28" s="380">
        <v>5.9755221084500416</v>
      </c>
      <c r="R28" s="380">
        <v>7.7986881786065236</v>
      </c>
      <c r="S28" s="380">
        <v>7.2104738172034093</v>
      </c>
      <c r="T28" s="381">
        <v>20.984684104259976</v>
      </c>
      <c r="U28" s="380">
        <v>0.65655041941409253</v>
      </c>
      <c r="V28" s="381">
        <v>42.82225739841914</v>
      </c>
      <c r="W28" s="382">
        <v>4.7E-2</v>
      </c>
      <c r="X28" s="382">
        <v>0</v>
      </c>
      <c r="Y28" s="382">
        <v>0.03</v>
      </c>
      <c r="Z28" s="380">
        <v>46.39</v>
      </c>
      <c r="AA28" s="380">
        <v>47.95</v>
      </c>
      <c r="AB28" s="363">
        <f t="shared" si="0"/>
        <v>-2.2204460492503131E-15</v>
      </c>
      <c r="AC28" s="363">
        <f t="shared" si="1"/>
        <v>0</v>
      </c>
      <c r="AD28" s="383"/>
    </row>
    <row r="29" spans="3:30">
      <c r="C29" s="377" t="s">
        <v>840</v>
      </c>
      <c r="D29" s="377" t="s">
        <v>1149</v>
      </c>
      <c r="E29" s="377" t="s">
        <v>890</v>
      </c>
      <c r="F29" s="377" t="s">
        <v>673</v>
      </c>
      <c r="G29" s="377">
        <v>16</v>
      </c>
      <c r="H29" s="377" t="s">
        <v>884</v>
      </c>
      <c r="I29" s="377" t="s">
        <v>667</v>
      </c>
      <c r="J29" s="377" t="s">
        <v>660</v>
      </c>
      <c r="K29" s="377" t="s">
        <v>879</v>
      </c>
      <c r="L29" s="377" t="s">
        <v>897</v>
      </c>
      <c r="M29" s="378">
        <v>6.8493825428000005E-2</v>
      </c>
      <c r="N29" s="379">
        <v>8813</v>
      </c>
      <c r="O29" s="379">
        <v>4385</v>
      </c>
      <c r="P29" s="380">
        <v>17.671027223487062</v>
      </c>
      <c r="Q29" s="380">
        <v>5.3871415666373696</v>
      </c>
      <c r="R29" s="380">
        <v>7.0612507606072157</v>
      </c>
      <c r="S29" s="380">
        <v>6.3487967223984221</v>
      </c>
      <c r="T29" s="381">
        <v>18.797189049643002</v>
      </c>
      <c r="U29" s="380">
        <v>0.53915196107868035</v>
      </c>
      <c r="V29" s="381">
        <v>37.007368234208741</v>
      </c>
      <c r="W29" s="382">
        <v>4.7E-2</v>
      </c>
      <c r="X29" s="382">
        <v>2.5000000000000001E-3</v>
      </c>
      <c r="Y29" s="382">
        <v>3.2500000000000001E-2</v>
      </c>
      <c r="Z29" s="380">
        <v>40.200000000000003</v>
      </c>
      <c r="AA29" s="380">
        <v>41.56</v>
      </c>
      <c r="AB29" s="363">
        <f t="shared" si="0"/>
        <v>-9.1038288019262836E-15</v>
      </c>
      <c r="AC29" s="363">
        <f t="shared" si="1"/>
        <v>0</v>
      </c>
      <c r="AD29" s="383"/>
    </row>
    <row r="30" spans="3:30">
      <c r="C30" s="377" t="s">
        <v>133</v>
      </c>
      <c r="D30" s="377" t="s">
        <v>1150</v>
      </c>
      <c r="E30" s="377" t="s">
        <v>587</v>
      </c>
      <c r="F30" s="377" t="s">
        <v>664</v>
      </c>
      <c r="G30" s="377">
        <v>15</v>
      </c>
      <c r="H30" s="377" t="s">
        <v>679</v>
      </c>
      <c r="I30" s="377" t="s">
        <v>645</v>
      </c>
      <c r="J30" s="377" t="s">
        <v>646</v>
      </c>
      <c r="K30" s="377" t="s">
        <v>876</v>
      </c>
      <c r="L30" s="377" t="s">
        <v>134</v>
      </c>
      <c r="M30" s="378">
        <v>6.1626502518749994E-2</v>
      </c>
      <c r="N30" s="379">
        <v>8323</v>
      </c>
      <c r="O30" s="379">
        <v>4112</v>
      </c>
      <c r="P30" s="380">
        <v>17.093617328548376</v>
      </c>
      <c r="Q30" s="380">
        <v>5.2469449668117525</v>
      </c>
      <c r="R30" s="380">
        <v>7.5079938916758344</v>
      </c>
      <c r="S30" s="380">
        <v>6.7575264819216834</v>
      </c>
      <c r="T30" s="381">
        <v>19.512465340409271</v>
      </c>
      <c r="U30" s="380">
        <v>0.50917528333800721</v>
      </c>
      <c r="V30" s="381">
        <v>37.11525795229565</v>
      </c>
      <c r="W30" s="382">
        <v>4.7E-2</v>
      </c>
      <c r="X30" s="382">
        <v>0</v>
      </c>
      <c r="Y30" s="382">
        <v>0.04</v>
      </c>
      <c r="Z30" s="380">
        <v>40.21</v>
      </c>
      <c r="AA30" s="380">
        <v>42.03</v>
      </c>
      <c r="AB30" s="363">
        <f t="shared" si="0"/>
        <v>-4.4408920985006262E-15</v>
      </c>
      <c r="AC30" s="363">
        <f t="shared" si="1"/>
        <v>0</v>
      </c>
      <c r="AD30" s="383"/>
    </row>
    <row r="31" spans="3:30">
      <c r="C31" s="377" t="s">
        <v>128</v>
      </c>
      <c r="D31" s="377" t="s">
        <v>1151</v>
      </c>
      <c r="E31" s="377" t="s">
        <v>595</v>
      </c>
      <c r="F31" s="377" t="s">
        <v>643</v>
      </c>
      <c r="G31" s="377">
        <v>14</v>
      </c>
      <c r="H31" s="377" t="s">
        <v>674</v>
      </c>
      <c r="I31" s="377" t="s">
        <v>645</v>
      </c>
      <c r="J31" s="377" t="s">
        <v>646</v>
      </c>
      <c r="K31" s="377" t="s">
        <v>875</v>
      </c>
      <c r="L31" s="377" t="s">
        <v>141</v>
      </c>
      <c r="M31" s="378">
        <v>5.4856298161000017E-2</v>
      </c>
      <c r="N31" s="379">
        <v>7397</v>
      </c>
      <c r="O31" s="379">
        <v>3623</v>
      </c>
      <c r="P31" s="380">
        <v>14.747137314331159</v>
      </c>
      <c r="Q31" s="380">
        <v>4.8409115874807069</v>
      </c>
      <c r="R31" s="380">
        <v>6.4278331020022295</v>
      </c>
      <c r="S31" s="380">
        <v>5.7241310458326735</v>
      </c>
      <c r="T31" s="381">
        <v>16.992875735315611</v>
      </c>
      <c r="U31" s="380">
        <v>0.45252548009746957</v>
      </c>
      <c r="V31" s="381">
        <v>32.19253852974424</v>
      </c>
      <c r="W31" s="382">
        <v>4.7E-2</v>
      </c>
      <c r="X31" s="382">
        <v>0</v>
      </c>
      <c r="Y31" s="382">
        <v>0.04</v>
      </c>
      <c r="Z31" s="380">
        <v>34.880000000000003</v>
      </c>
      <c r="AA31" s="380">
        <v>36.46</v>
      </c>
      <c r="AB31" s="363">
        <f t="shared" si="0"/>
        <v>1.1657341758564144E-15</v>
      </c>
      <c r="AC31" s="363">
        <f t="shared" si="1"/>
        <v>0</v>
      </c>
      <c r="AD31" s="383"/>
    </row>
    <row r="32" spans="3:30">
      <c r="C32" s="377" t="s">
        <v>123</v>
      </c>
      <c r="D32" s="377" t="s">
        <v>1152</v>
      </c>
      <c r="E32" s="377" t="s">
        <v>586</v>
      </c>
      <c r="F32" s="377" t="s">
        <v>661</v>
      </c>
      <c r="G32" s="377">
        <v>13</v>
      </c>
      <c r="H32" s="377" t="s">
        <v>674</v>
      </c>
      <c r="I32" s="377" t="s">
        <v>645</v>
      </c>
      <c r="J32" s="377" t="s">
        <v>646</v>
      </c>
      <c r="K32" s="377" t="s">
        <v>875</v>
      </c>
      <c r="L32" s="377" t="s">
        <v>150</v>
      </c>
      <c r="M32" s="378">
        <v>4.5451211120000015E-2</v>
      </c>
      <c r="N32" s="379">
        <v>6614</v>
      </c>
      <c r="O32" s="379">
        <v>3234</v>
      </c>
      <c r="P32" s="380">
        <v>13.058685241654798</v>
      </c>
      <c r="Q32" s="380">
        <v>4.5427069321003568</v>
      </c>
      <c r="R32" s="380">
        <v>6.2490828865779733</v>
      </c>
      <c r="S32" s="380">
        <v>5.5054543949063621</v>
      </c>
      <c r="T32" s="381">
        <v>16.29724421358469</v>
      </c>
      <c r="U32" s="380">
        <v>0.40462397260574062</v>
      </c>
      <c r="V32" s="381">
        <v>29.760553427845231</v>
      </c>
      <c r="W32" s="382">
        <v>4.7E-2</v>
      </c>
      <c r="X32" s="382">
        <v>0</v>
      </c>
      <c r="Y32" s="382">
        <v>0.04</v>
      </c>
      <c r="Z32" s="380">
        <v>32.24</v>
      </c>
      <c r="AA32" s="380">
        <v>33.700000000000003</v>
      </c>
      <c r="AB32" s="363">
        <f t="shared" si="0"/>
        <v>-1.609823385706477E-15</v>
      </c>
      <c r="AC32" s="363">
        <f t="shared" si="1"/>
        <v>0</v>
      </c>
      <c r="AD32" s="383"/>
    </row>
    <row r="33" spans="3:30">
      <c r="C33" s="377" t="s">
        <v>177</v>
      </c>
      <c r="D33" s="377" t="s">
        <v>1153</v>
      </c>
      <c r="E33" s="377" t="s">
        <v>599</v>
      </c>
      <c r="F33" s="377" t="s">
        <v>675</v>
      </c>
      <c r="G33" s="377">
        <v>16</v>
      </c>
      <c r="H33" s="377" t="s">
        <v>676</v>
      </c>
      <c r="I33" s="377" t="s">
        <v>677</v>
      </c>
      <c r="J33" s="377" t="s">
        <v>660</v>
      </c>
      <c r="K33" s="377" t="s">
        <v>879</v>
      </c>
      <c r="L33" s="377" t="s">
        <v>192</v>
      </c>
      <c r="M33" s="378">
        <v>8.4457501119000009E-2</v>
      </c>
      <c r="N33" s="379">
        <v>11299</v>
      </c>
      <c r="O33" s="379">
        <v>5348</v>
      </c>
      <c r="P33" s="380">
        <v>22.111239431948501</v>
      </c>
      <c r="Q33" s="380">
        <v>6.0748214279262243</v>
      </c>
      <c r="R33" s="380">
        <v>8.0489461763302455</v>
      </c>
      <c r="S33" s="380">
        <v>7.499888447015489</v>
      </c>
      <c r="T33" s="381">
        <v>21.623656051271958</v>
      </c>
      <c r="U33" s="380">
        <v>0.69123771794258593</v>
      </c>
      <c r="V33" s="381">
        <v>44.42613320116304</v>
      </c>
      <c r="W33" s="382">
        <v>4.7E-2</v>
      </c>
      <c r="X33" s="382">
        <v>2.5000000000000001E-3</v>
      </c>
      <c r="Y33" s="382">
        <v>3.2500000000000001E-2</v>
      </c>
      <c r="Z33" s="380">
        <v>48.26</v>
      </c>
      <c r="AA33" s="380">
        <v>49.89</v>
      </c>
      <c r="AB33" s="363">
        <f t="shared" si="0"/>
        <v>-5.773159728050814E-15</v>
      </c>
      <c r="AC33" s="363">
        <f t="shared" si="1"/>
        <v>0</v>
      </c>
      <c r="AD33" s="383"/>
    </row>
    <row r="34" spans="3:30">
      <c r="C34" s="377" t="s">
        <v>138</v>
      </c>
      <c r="D34" s="377" t="s">
        <v>1154</v>
      </c>
      <c r="E34" s="377" t="s">
        <v>595</v>
      </c>
      <c r="F34" s="377" t="s">
        <v>651</v>
      </c>
      <c r="G34" s="377">
        <v>15</v>
      </c>
      <c r="H34" s="377" t="s">
        <v>668</v>
      </c>
      <c r="I34" s="377" t="s">
        <v>654</v>
      </c>
      <c r="J34" s="377" t="s">
        <v>655</v>
      </c>
      <c r="K34" s="377" t="s">
        <v>876</v>
      </c>
      <c r="L34" s="377" t="s">
        <v>127</v>
      </c>
      <c r="M34" s="378">
        <v>7.0693393740250007E-2</v>
      </c>
      <c r="N34" s="379">
        <v>8472</v>
      </c>
      <c r="O34" s="379">
        <v>4074</v>
      </c>
      <c r="P34" s="380">
        <v>16.320039348402833</v>
      </c>
      <c r="Q34" s="380">
        <v>5.1342523457214266</v>
      </c>
      <c r="R34" s="380">
        <v>6.9168265106814912</v>
      </c>
      <c r="S34" s="380">
        <v>6.1961630190814629</v>
      </c>
      <c r="T34" s="381">
        <v>18.247241875484381</v>
      </c>
      <c r="U34" s="380">
        <v>0.51829064044690576</v>
      </c>
      <c r="V34" s="381">
        <v>35.085571864334121</v>
      </c>
      <c r="W34" s="382">
        <v>4.7E-2</v>
      </c>
      <c r="X34" s="382">
        <v>0</v>
      </c>
      <c r="Y34" s="382">
        <v>0.03</v>
      </c>
      <c r="Z34" s="380">
        <v>38.01</v>
      </c>
      <c r="AA34" s="380">
        <v>39.29</v>
      </c>
      <c r="AB34" s="363">
        <f t="shared" si="0"/>
        <v>0</v>
      </c>
      <c r="AC34" s="363">
        <f t="shared" si="1"/>
        <v>0</v>
      </c>
      <c r="AD34" s="383"/>
    </row>
    <row r="35" spans="3:30">
      <c r="C35" s="377" t="s">
        <v>254</v>
      </c>
      <c r="D35" s="377" t="s">
        <v>1155</v>
      </c>
      <c r="E35" s="377" t="s">
        <v>587</v>
      </c>
      <c r="F35" s="377" t="s">
        <v>658</v>
      </c>
      <c r="G35" s="377">
        <v>16</v>
      </c>
      <c r="H35" s="377" t="s">
        <v>679</v>
      </c>
      <c r="I35" s="377" t="s">
        <v>645</v>
      </c>
      <c r="J35" s="377" t="s">
        <v>646</v>
      </c>
      <c r="K35" s="377" t="s">
        <v>879</v>
      </c>
      <c r="L35" s="377" t="s">
        <v>256</v>
      </c>
      <c r="M35" s="378">
        <v>6.4256967889249991E-2</v>
      </c>
      <c r="N35" s="379">
        <v>9020</v>
      </c>
      <c r="O35" s="379">
        <v>4267</v>
      </c>
      <c r="P35" s="380">
        <v>18.43285528721767</v>
      </c>
      <c r="Q35" s="380">
        <v>5.5351850359985413</v>
      </c>
      <c r="R35" s="380">
        <v>7.5575775658667572</v>
      </c>
      <c r="S35" s="380">
        <v>6.8406648129528396</v>
      </c>
      <c r="T35" s="381">
        <v>19.933427414818141</v>
      </c>
      <c r="U35" s="380">
        <v>0.55181557800178105</v>
      </c>
      <c r="V35" s="381">
        <v>38.91809828003759</v>
      </c>
      <c r="W35" s="382">
        <v>4.7E-2</v>
      </c>
      <c r="X35" s="382">
        <v>0</v>
      </c>
      <c r="Y35" s="382">
        <v>0.04</v>
      </c>
      <c r="Z35" s="380">
        <v>42.16</v>
      </c>
      <c r="AA35" s="380">
        <v>44.07</v>
      </c>
      <c r="AB35" s="363">
        <f t="shared" si="0"/>
        <v>8.8817841970012523E-16</v>
      </c>
      <c r="AC35" s="363">
        <f t="shared" si="1"/>
        <v>0</v>
      </c>
      <c r="AD35" s="383"/>
    </row>
    <row r="36" spans="3:30">
      <c r="C36" s="377" t="s">
        <v>174</v>
      </c>
      <c r="D36" s="377" t="s">
        <v>1156</v>
      </c>
      <c r="E36" s="377" t="s">
        <v>600</v>
      </c>
      <c r="F36" s="377" t="s">
        <v>663</v>
      </c>
      <c r="G36" s="377">
        <v>17</v>
      </c>
      <c r="H36" s="377" t="s">
        <v>680</v>
      </c>
      <c r="I36" s="377" t="s">
        <v>645</v>
      </c>
      <c r="J36" s="377" t="s">
        <v>646</v>
      </c>
      <c r="K36" s="377" t="s">
        <v>778</v>
      </c>
      <c r="L36" s="377" t="s">
        <v>175</v>
      </c>
      <c r="M36" s="378">
        <v>7.537911580975E-2</v>
      </c>
      <c r="N36" s="379">
        <v>10474</v>
      </c>
      <c r="O36" s="379">
        <v>5039</v>
      </c>
      <c r="P36" s="380">
        <v>21.282303268487002</v>
      </c>
      <c r="Q36" s="380">
        <v>6.1033457060546557</v>
      </c>
      <c r="R36" s="380">
        <v>8.218742210507143</v>
      </c>
      <c r="S36" s="380">
        <v>7.4823022349183308</v>
      </c>
      <c r="T36" s="381">
        <v>21.804390151480128</v>
      </c>
      <c r="U36" s="380">
        <v>0.64076678093022787</v>
      </c>
      <c r="V36" s="381">
        <v>43.727460200897355</v>
      </c>
      <c r="W36" s="382">
        <v>4.7E-2</v>
      </c>
      <c r="X36" s="382">
        <v>0</v>
      </c>
      <c r="Y36" s="382">
        <v>0.04</v>
      </c>
      <c r="Z36" s="380">
        <v>47.38</v>
      </c>
      <c r="AA36" s="380">
        <v>49.52</v>
      </c>
      <c r="AB36" s="363">
        <f t="shared" si="0"/>
        <v>-6.7723604502134549E-15</v>
      </c>
      <c r="AC36" s="363">
        <f t="shared" si="1"/>
        <v>0</v>
      </c>
      <c r="AD36" s="383"/>
    </row>
    <row r="37" spans="3:30">
      <c r="C37" s="377" t="s">
        <v>151</v>
      </c>
      <c r="D37" s="377" t="s">
        <v>1157</v>
      </c>
      <c r="E37" s="377" t="s">
        <v>614</v>
      </c>
      <c r="F37" s="377" t="s">
        <v>662</v>
      </c>
      <c r="G37" s="377">
        <v>17</v>
      </c>
      <c r="H37" s="377" t="s">
        <v>681</v>
      </c>
      <c r="I37" s="377" t="s">
        <v>645</v>
      </c>
      <c r="J37" s="377" t="s">
        <v>646</v>
      </c>
      <c r="K37" s="377" t="s">
        <v>778</v>
      </c>
      <c r="L37" s="377" t="s">
        <v>152</v>
      </c>
      <c r="M37" s="378">
        <v>6.5991040189749994E-2</v>
      </c>
      <c r="N37" s="379">
        <v>10268</v>
      </c>
      <c r="O37" s="379">
        <v>4481</v>
      </c>
      <c r="P37" s="380">
        <v>21.886213530382616</v>
      </c>
      <c r="Q37" s="380">
        <v>6.0022714796058203</v>
      </c>
      <c r="R37" s="380">
        <v>8.0643317965564574</v>
      </c>
      <c r="S37" s="380">
        <v>7.3182738682538782</v>
      </c>
      <c r="T37" s="381">
        <v>21.384877144416155</v>
      </c>
      <c r="U37" s="380">
        <v>0.62816434090047546</v>
      </c>
      <c r="V37" s="381">
        <v>43.899255015699246</v>
      </c>
      <c r="W37" s="382">
        <v>4.7E-2</v>
      </c>
      <c r="X37" s="382">
        <v>0</v>
      </c>
      <c r="Y37" s="382">
        <v>0.04</v>
      </c>
      <c r="Z37" s="380">
        <v>47.56</v>
      </c>
      <c r="AA37" s="380">
        <v>49.72</v>
      </c>
      <c r="AB37" s="363">
        <f t="shared" si="0"/>
        <v>0</v>
      </c>
      <c r="AC37" s="363">
        <f t="shared" si="1"/>
        <v>0</v>
      </c>
      <c r="AD37" s="383"/>
    </row>
    <row r="38" spans="3:30">
      <c r="C38" s="377" t="s">
        <v>142</v>
      </c>
      <c r="D38" s="377" t="s">
        <v>1158</v>
      </c>
      <c r="E38" s="377" t="s">
        <v>591</v>
      </c>
      <c r="F38" s="377" t="s">
        <v>669</v>
      </c>
      <c r="G38" s="377">
        <v>16</v>
      </c>
      <c r="H38" s="377" t="s">
        <v>682</v>
      </c>
      <c r="I38" s="377" t="s">
        <v>645</v>
      </c>
      <c r="J38" s="377" t="s">
        <v>646</v>
      </c>
      <c r="K38" s="377" t="s">
        <v>879</v>
      </c>
      <c r="L38" s="377" t="s">
        <v>143</v>
      </c>
      <c r="M38" s="378">
        <v>7.2865940429250001E-2</v>
      </c>
      <c r="N38" s="379">
        <v>9589</v>
      </c>
      <c r="O38" s="379">
        <v>4473</v>
      </c>
      <c r="P38" s="380">
        <v>20.500350374303316</v>
      </c>
      <c r="Q38" s="380">
        <v>5.6673933338904599</v>
      </c>
      <c r="R38" s="380">
        <v>7.4682027263225388</v>
      </c>
      <c r="S38" s="380">
        <v>6.7912895422413024</v>
      </c>
      <c r="T38" s="381">
        <v>19.926885602454298</v>
      </c>
      <c r="U38" s="380">
        <v>0.58662523031697111</v>
      </c>
      <c r="V38" s="381">
        <v>41.013861207074584</v>
      </c>
      <c r="W38" s="382">
        <v>4.7E-2</v>
      </c>
      <c r="X38" s="382">
        <v>0</v>
      </c>
      <c r="Y38" s="382">
        <v>0.04</v>
      </c>
      <c r="Z38" s="380">
        <v>44.44</v>
      </c>
      <c r="AA38" s="380">
        <v>46.45</v>
      </c>
      <c r="AB38" s="363">
        <f t="shared" si="0"/>
        <v>-4.1078251911130792E-15</v>
      </c>
      <c r="AC38" s="363">
        <f t="shared" si="1"/>
        <v>0</v>
      </c>
      <c r="AD38" s="383"/>
    </row>
    <row r="39" spans="3:30">
      <c r="C39" s="377" t="s">
        <v>255</v>
      </c>
      <c r="D39" s="377" t="s">
        <v>1159</v>
      </c>
      <c r="E39" s="377" t="s">
        <v>602</v>
      </c>
      <c r="F39" s="377" t="s">
        <v>683</v>
      </c>
      <c r="G39" s="377">
        <v>16</v>
      </c>
      <c r="H39" s="377" t="s">
        <v>676</v>
      </c>
      <c r="I39" s="377" t="s">
        <v>677</v>
      </c>
      <c r="J39" s="377" t="s">
        <v>660</v>
      </c>
      <c r="K39" s="377" t="s">
        <v>879</v>
      </c>
      <c r="L39" s="377" t="s">
        <v>257</v>
      </c>
      <c r="M39" s="378">
        <v>7.9401685657749993E-2</v>
      </c>
      <c r="N39" s="379">
        <v>10540</v>
      </c>
      <c r="O39" s="379">
        <v>4970</v>
      </c>
      <c r="P39" s="380">
        <v>20.665363651183071</v>
      </c>
      <c r="Q39" s="380">
        <v>5.8692014939545647</v>
      </c>
      <c r="R39" s="380">
        <v>7.645293315667506</v>
      </c>
      <c r="S39" s="380">
        <v>7.0613500245697356</v>
      </c>
      <c r="T39" s="381">
        <v>20.575844834191802</v>
      </c>
      <c r="U39" s="380">
        <v>0.6448044558912166</v>
      </c>
      <c r="V39" s="381">
        <v>41.886012941266088</v>
      </c>
      <c r="W39" s="382">
        <v>4.7E-2</v>
      </c>
      <c r="X39" s="382">
        <v>2.5000000000000001E-3</v>
      </c>
      <c r="Y39" s="382">
        <v>3.2500000000000001E-2</v>
      </c>
      <c r="Z39" s="380">
        <v>45.5</v>
      </c>
      <c r="AA39" s="380">
        <v>47.04</v>
      </c>
      <c r="AB39" s="363">
        <f t="shared" si="0"/>
        <v>-5.8841820305133297E-15</v>
      </c>
      <c r="AC39" s="363">
        <f t="shared" si="1"/>
        <v>0</v>
      </c>
      <c r="AD39" s="383"/>
    </row>
    <row r="40" spans="3:30">
      <c r="C40" s="377" t="s">
        <v>232</v>
      </c>
      <c r="D40" s="377" t="s">
        <v>1160</v>
      </c>
      <c r="E40" s="377" t="s">
        <v>604</v>
      </c>
      <c r="F40" s="377" t="s">
        <v>669</v>
      </c>
      <c r="G40" s="377">
        <v>15</v>
      </c>
      <c r="H40" s="377" t="s">
        <v>684</v>
      </c>
      <c r="I40" s="377" t="s">
        <v>645</v>
      </c>
      <c r="J40" s="377" t="s">
        <v>646</v>
      </c>
      <c r="K40" s="377" t="s">
        <v>876</v>
      </c>
      <c r="L40" s="377" t="s">
        <v>233</v>
      </c>
      <c r="M40" s="378">
        <v>6.7468812031250006E-2</v>
      </c>
      <c r="N40" s="379">
        <v>10164</v>
      </c>
      <c r="O40" s="379">
        <v>4754</v>
      </c>
      <c r="P40" s="380">
        <v>21.263092111925733</v>
      </c>
      <c r="Q40" s="380">
        <v>5.6067010391370999</v>
      </c>
      <c r="R40" s="380">
        <v>7.3719863601592825</v>
      </c>
      <c r="S40" s="380">
        <v>6.8384546058869802</v>
      </c>
      <c r="T40" s="381">
        <v>19.817142005183364</v>
      </c>
      <c r="U40" s="380">
        <v>0.62180194399225097</v>
      </c>
      <c r="V40" s="381">
        <v>41.702036061101346</v>
      </c>
      <c r="W40" s="382">
        <v>4.7E-2</v>
      </c>
      <c r="X40" s="382">
        <v>0</v>
      </c>
      <c r="Y40" s="382">
        <v>0.04</v>
      </c>
      <c r="Z40" s="380">
        <v>45.18</v>
      </c>
      <c r="AA40" s="380">
        <v>47.23</v>
      </c>
      <c r="AB40" s="363">
        <f t="shared" si="0"/>
        <v>0</v>
      </c>
      <c r="AC40" s="363">
        <f t="shared" si="1"/>
        <v>0</v>
      </c>
      <c r="AD40" s="383"/>
    </row>
    <row r="41" spans="3:30">
      <c r="C41" s="377" t="s">
        <v>202</v>
      </c>
      <c r="D41" s="377" t="s">
        <v>1161</v>
      </c>
      <c r="E41" s="377" t="s">
        <v>605</v>
      </c>
      <c r="F41" s="377" t="s">
        <v>685</v>
      </c>
      <c r="G41" s="377">
        <v>17</v>
      </c>
      <c r="H41" s="377" t="s">
        <v>676</v>
      </c>
      <c r="I41" s="377" t="s">
        <v>677</v>
      </c>
      <c r="J41" s="377" t="s">
        <v>660</v>
      </c>
      <c r="K41" s="377" t="s">
        <v>778</v>
      </c>
      <c r="L41" s="377" t="s">
        <v>204</v>
      </c>
      <c r="M41" s="378">
        <v>9.2659327796249996E-2</v>
      </c>
      <c r="N41" s="379">
        <v>12352</v>
      </c>
      <c r="O41" s="379">
        <v>5741</v>
      </c>
      <c r="P41" s="380">
        <v>24.465163693767231</v>
      </c>
      <c r="Q41" s="380">
        <v>6.7996526957492209</v>
      </c>
      <c r="R41" s="380">
        <v>8.7557016527040847</v>
      </c>
      <c r="S41" s="380">
        <v>8.1510522077857601</v>
      </c>
      <c r="T41" s="381">
        <v>23.706406556239063</v>
      </c>
      <c r="U41" s="380">
        <v>0.75565698663835934</v>
      </c>
      <c r="V41" s="381">
        <v>48.927227236644654</v>
      </c>
      <c r="W41" s="382">
        <v>4.7E-2</v>
      </c>
      <c r="X41" s="382">
        <v>2.5000000000000001E-3</v>
      </c>
      <c r="Y41" s="382">
        <v>3.2500000000000001E-2</v>
      </c>
      <c r="Z41" s="380">
        <v>53.15</v>
      </c>
      <c r="AA41" s="380">
        <v>54.94</v>
      </c>
      <c r="AB41" s="363">
        <f t="shared" si="0"/>
        <v>0</v>
      </c>
      <c r="AC41" s="363">
        <f t="shared" si="1"/>
        <v>0</v>
      </c>
      <c r="AD41" s="383"/>
    </row>
    <row r="42" spans="3:30">
      <c r="C42" s="377" t="s">
        <v>286</v>
      </c>
      <c r="D42" s="377" t="s">
        <v>1162</v>
      </c>
      <c r="E42" s="377" t="s">
        <v>1112</v>
      </c>
      <c r="F42" s="377" t="s">
        <v>891</v>
      </c>
      <c r="G42" s="377">
        <v>15</v>
      </c>
      <c r="H42" s="377" t="s">
        <v>1163</v>
      </c>
      <c r="I42" s="377" t="s">
        <v>645</v>
      </c>
      <c r="J42" s="377" t="s">
        <v>646</v>
      </c>
      <c r="K42" s="377" t="s">
        <v>876</v>
      </c>
      <c r="L42" s="377" t="s">
        <v>290</v>
      </c>
      <c r="M42" s="378">
        <v>4.2467558000000002E-2</v>
      </c>
      <c r="N42" s="379">
        <v>6951</v>
      </c>
      <c r="O42" s="379">
        <v>3383</v>
      </c>
      <c r="P42" s="380">
        <v>13.622982974659406</v>
      </c>
      <c r="Q42" s="380">
        <v>4.7963970785217365</v>
      </c>
      <c r="R42" s="380">
        <v>6.7727014401573928</v>
      </c>
      <c r="S42" s="380">
        <v>5.9258297865135026</v>
      </c>
      <c r="T42" s="381">
        <v>17.49492830519263</v>
      </c>
      <c r="U42" s="380">
        <v>0.42524058566412204</v>
      </c>
      <c r="V42" s="381">
        <v>31.543151865516158</v>
      </c>
      <c r="W42" s="382">
        <v>4.7E-2</v>
      </c>
      <c r="X42" s="382">
        <v>0</v>
      </c>
      <c r="Y42" s="382">
        <v>0.04</v>
      </c>
      <c r="Z42" s="380">
        <v>34.17</v>
      </c>
      <c r="AA42" s="380">
        <v>35.72</v>
      </c>
      <c r="AB42" s="363">
        <f t="shared" si="0"/>
        <v>-2.55351295663786E-15</v>
      </c>
      <c r="AC42" s="363">
        <f t="shared" si="1"/>
        <v>0</v>
      </c>
      <c r="AD42" s="383"/>
    </row>
    <row r="43" spans="3:30">
      <c r="C43" s="377" t="s">
        <v>336</v>
      </c>
      <c r="D43" s="377" t="s">
        <v>1164</v>
      </c>
      <c r="E43" s="377" t="s">
        <v>607</v>
      </c>
      <c r="F43" s="377" t="s">
        <v>686</v>
      </c>
      <c r="G43" s="377">
        <v>16</v>
      </c>
      <c r="H43" s="377" t="s">
        <v>680</v>
      </c>
      <c r="I43" s="377" t="s">
        <v>645</v>
      </c>
      <c r="J43" s="377" t="s">
        <v>646</v>
      </c>
      <c r="K43" s="377" t="s">
        <v>879</v>
      </c>
      <c r="L43" s="377" t="s">
        <v>337</v>
      </c>
      <c r="M43" s="378">
        <v>8.0808933060000004E-2</v>
      </c>
      <c r="N43" s="379">
        <v>9731</v>
      </c>
      <c r="O43" s="379">
        <v>4767</v>
      </c>
      <c r="P43" s="380">
        <v>20.175764530965129</v>
      </c>
      <c r="Q43" s="380">
        <v>5.7498507255399209</v>
      </c>
      <c r="R43" s="380">
        <v>7.7718117747185813</v>
      </c>
      <c r="S43" s="380">
        <v>7.1095964697688814</v>
      </c>
      <c r="T43" s="381">
        <v>20.631258970027385</v>
      </c>
      <c r="U43" s="380">
        <v>0.59531234917243159</v>
      </c>
      <c r="V43" s="381">
        <v>41.402335850164945</v>
      </c>
      <c r="W43" s="382">
        <v>4.7E-2</v>
      </c>
      <c r="X43" s="382">
        <v>0</v>
      </c>
      <c r="Y43" s="382">
        <v>0.04</v>
      </c>
      <c r="Z43" s="380">
        <v>44.86</v>
      </c>
      <c r="AA43" s="380">
        <v>46.89</v>
      </c>
      <c r="AB43" s="363">
        <f t="shared" si="0"/>
        <v>0</v>
      </c>
      <c r="AC43" s="363">
        <f t="shared" si="1"/>
        <v>0</v>
      </c>
      <c r="AD43" s="383"/>
    </row>
    <row r="44" spans="3:30">
      <c r="C44" s="377" t="s">
        <v>178</v>
      </c>
      <c r="D44" s="377" t="s">
        <v>1165</v>
      </c>
      <c r="E44" s="377" t="s">
        <v>608</v>
      </c>
      <c r="F44" s="377" t="s">
        <v>687</v>
      </c>
      <c r="G44" s="377">
        <v>17</v>
      </c>
      <c r="H44" s="377" t="s">
        <v>676</v>
      </c>
      <c r="I44" s="377" t="s">
        <v>677</v>
      </c>
      <c r="J44" s="377" t="s">
        <v>660</v>
      </c>
      <c r="K44" s="377" t="s">
        <v>778</v>
      </c>
      <c r="L44" s="377" t="s">
        <v>193</v>
      </c>
      <c r="M44" s="378">
        <v>0.10028269272274999</v>
      </c>
      <c r="N44" s="379">
        <v>13460</v>
      </c>
      <c r="O44" s="379">
        <v>6300</v>
      </c>
      <c r="P44" s="380">
        <v>26.979370186253643</v>
      </c>
      <c r="Q44" s="380">
        <v>7.1210799085297234</v>
      </c>
      <c r="R44" s="380">
        <v>9.3587767133697284</v>
      </c>
      <c r="S44" s="380">
        <v>8.7692266592011094</v>
      </c>
      <c r="T44" s="381">
        <v>25.24908328110056</v>
      </c>
      <c r="U44" s="380">
        <v>0.82344098446828984</v>
      </c>
      <c r="V44" s="381">
        <v>53.051894451822491</v>
      </c>
      <c r="W44" s="382">
        <v>4.7E-2</v>
      </c>
      <c r="X44" s="382">
        <v>2.5000000000000001E-3</v>
      </c>
      <c r="Y44" s="382">
        <v>3.2500000000000001E-2</v>
      </c>
      <c r="Z44" s="380">
        <v>57.63</v>
      </c>
      <c r="AA44" s="380">
        <v>59.58</v>
      </c>
      <c r="AB44" s="363">
        <f t="shared" si="0"/>
        <v>-1.8873791418627661E-15</v>
      </c>
      <c r="AC44" s="363">
        <f t="shared" si="1"/>
        <v>0</v>
      </c>
      <c r="AD44" s="383"/>
    </row>
    <row r="45" spans="3:30">
      <c r="C45" s="377" t="s">
        <v>344</v>
      </c>
      <c r="D45" s="377" t="s">
        <v>1166</v>
      </c>
      <c r="E45" s="377" t="s">
        <v>1112</v>
      </c>
      <c r="F45" s="377" t="s">
        <v>643</v>
      </c>
      <c r="G45" s="377">
        <v>13</v>
      </c>
      <c r="H45" s="377" t="s">
        <v>674</v>
      </c>
      <c r="I45" s="377" t="s">
        <v>645</v>
      </c>
      <c r="J45" s="377" t="s">
        <v>646</v>
      </c>
      <c r="K45" s="377" t="s">
        <v>875</v>
      </c>
      <c r="L45" s="377" t="s">
        <v>357</v>
      </c>
      <c r="M45" s="378">
        <v>6.9302043844000003E-2</v>
      </c>
      <c r="N45" s="379">
        <v>6682</v>
      </c>
      <c r="O45" s="379">
        <v>3258</v>
      </c>
      <c r="P45" s="380">
        <v>13.251737319926276</v>
      </c>
      <c r="Q45" s="380">
        <v>4.5765010205918957</v>
      </c>
      <c r="R45" s="380">
        <v>6.2553496907315553</v>
      </c>
      <c r="S45" s="380">
        <v>5.5474272383619603</v>
      </c>
      <c r="T45" s="381">
        <v>16.37927794968541</v>
      </c>
      <c r="U45" s="380">
        <v>0.40878400135342585</v>
      </c>
      <c r="V45" s="381">
        <v>30.039799270965112</v>
      </c>
      <c r="W45" s="382">
        <v>4.7E-2</v>
      </c>
      <c r="X45" s="382">
        <v>0</v>
      </c>
      <c r="Y45" s="382">
        <v>0.04</v>
      </c>
      <c r="Z45" s="380">
        <v>32.549999999999997</v>
      </c>
      <c r="AA45" s="380">
        <v>34.020000000000003</v>
      </c>
      <c r="AB45" s="363">
        <f t="shared" si="0"/>
        <v>-1.9984014443252818E-15</v>
      </c>
      <c r="AC45" s="363">
        <f t="shared" si="1"/>
        <v>0</v>
      </c>
      <c r="AD45" s="383"/>
    </row>
    <row r="46" spans="3:30">
      <c r="C46" s="377" t="s">
        <v>345</v>
      </c>
      <c r="D46" s="377" t="s">
        <v>1167</v>
      </c>
      <c r="E46" s="377" t="s">
        <v>892</v>
      </c>
      <c r="F46" s="377" t="s">
        <v>671</v>
      </c>
      <c r="G46" s="377">
        <v>14</v>
      </c>
      <c r="H46" s="377" t="s">
        <v>674</v>
      </c>
      <c r="I46" s="377" t="s">
        <v>645</v>
      </c>
      <c r="J46" s="377" t="s">
        <v>646</v>
      </c>
      <c r="K46" s="377" t="s">
        <v>875</v>
      </c>
      <c r="L46" s="377" t="s">
        <v>366</v>
      </c>
      <c r="M46" s="378">
        <v>4.209743964525E-2</v>
      </c>
      <c r="N46" s="379">
        <v>6154</v>
      </c>
      <c r="O46" s="379">
        <v>2989</v>
      </c>
      <c r="P46" s="380">
        <v>12.159811972860966</v>
      </c>
      <c r="Q46" s="380">
        <v>4.5374843964770131</v>
      </c>
      <c r="R46" s="380">
        <v>6.4041580412223365</v>
      </c>
      <c r="S46" s="380">
        <v>5.5691660538206813</v>
      </c>
      <c r="T46" s="381">
        <v>16.510808491520031</v>
      </c>
      <c r="U46" s="380">
        <v>0.37648260166551678</v>
      </c>
      <c r="V46" s="381">
        <v>29.047103066046517</v>
      </c>
      <c r="W46" s="382">
        <v>4.7E-2</v>
      </c>
      <c r="X46" s="382">
        <v>0</v>
      </c>
      <c r="Y46" s="382">
        <v>0.04</v>
      </c>
      <c r="Z46" s="380">
        <v>31.47</v>
      </c>
      <c r="AA46" s="380">
        <v>32.9</v>
      </c>
      <c r="AB46" s="363">
        <f t="shared" si="0"/>
        <v>6.1617377866696188E-15</v>
      </c>
      <c r="AC46" s="363">
        <f t="shared" si="1"/>
        <v>0</v>
      </c>
      <c r="AD46" s="383"/>
    </row>
    <row r="47" spans="3:30">
      <c r="C47" s="377" t="s">
        <v>389</v>
      </c>
      <c r="D47" s="377" t="s">
        <v>1168</v>
      </c>
      <c r="E47" s="377" t="s">
        <v>892</v>
      </c>
      <c r="F47" s="377" t="s">
        <v>678</v>
      </c>
      <c r="G47" s="377">
        <v>13</v>
      </c>
      <c r="H47" s="377" t="s">
        <v>674</v>
      </c>
      <c r="I47" s="377" t="s">
        <v>645</v>
      </c>
      <c r="J47" s="377" t="s">
        <v>646</v>
      </c>
      <c r="K47" s="377" t="s">
        <v>875</v>
      </c>
      <c r="L47" s="377" t="s">
        <v>390</v>
      </c>
      <c r="M47" s="378">
        <v>4.0793308116000009E-2</v>
      </c>
      <c r="N47" s="379">
        <v>5603</v>
      </c>
      <c r="O47" s="379">
        <v>2729</v>
      </c>
      <c r="P47" s="380">
        <v>11.137325506281709</v>
      </c>
      <c r="Q47" s="380">
        <v>4.250577578045057</v>
      </c>
      <c r="R47" s="380">
        <v>5.7836344198835175</v>
      </c>
      <c r="S47" s="380">
        <v>5.0055806330745112</v>
      </c>
      <c r="T47" s="381">
        <v>15.039792631003086</v>
      </c>
      <c r="U47" s="380">
        <v>0.34277413343059637</v>
      </c>
      <c r="V47" s="381">
        <v>26.519892270715392</v>
      </c>
      <c r="W47" s="382">
        <v>4.7E-2</v>
      </c>
      <c r="X47" s="382">
        <v>0</v>
      </c>
      <c r="Y47" s="382">
        <v>0.04</v>
      </c>
      <c r="Z47" s="380">
        <v>28.73</v>
      </c>
      <c r="AA47" s="380">
        <v>30.03</v>
      </c>
      <c r="AB47" s="363">
        <f t="shared" si="0"/>
        <v>1.2212453270876722E-15</v>
      </c>
      <c r="AC47" s="363">
        <f t="shared" si="1"/>
        <v>0</v>
      </c>
      <c r="AD47" s="383"/>
    </row>
    <row r="48" spans="3:30">
      <c r="C48" s="377" t="s">
        <v>179</v>
      </c>
      <c r="D48" s="377" t="s">
        <v>1169</v>
      </c>
      <c r="E48" s="377" t="s">
        <v>1125</v>
      </c>
      <c r="F48" s="377" t="s">
        <v>672</v>
      </c>
      <c r="G48" s="377">
        <v>17</v>
      </c>
      <c r="H48" s="377" t="s">
        <v>676</v>
      </c>
      <c r="I48" s="377" t="s">
        <v>677</v>
      </c>
      <c r="J48" s="377" t="s">
        <v>660</v>
      </c>
      <c r="K48" s="377" t="s">
        <v>778</v>
      </c>
      <c r="L48" s="377" t="s">
        <v>955</v>
      </c>
      <c r="M48" s="378">
        <v>8.0307202350999987E-2</v>
      </c>
      <c r="N48" s="379">
        <v>10819</v>
      </c>
      <c r="O48" s="379">
        <v>5070</v>
      </c>
      <c r="P48" s="380">
        <v>20.493922233159232</v>
      </c>
      <c r="Q48" s="380">
        <v>6.1399528754328303</v>
      </c>
      <c r="R48" s="380">
        <v>7.9502052123425937</v>
      </c>
      <c r="S48" s="380">
        <v>7.2712386475787207</v>
      </c>
      <c r="T48" s="381">
        <v>21.361396735354145</v>
      </c>
      <c r="U48" s="380">
        <v>0.66187280913539581</v>
      </c>
      <c r="V48" s="381">
        <v>42.517191777648776</v>
      </c>
      <c r="W48" s="382">
        <v>4.7E-2</v>
      </c>
      <c r="X48" s="382">
        <v>2.5000000000000001E-3</v>
      </c>
      <c r="Y48" s="382">
        <v>3.2500000000000001E-2</v>
      </c>
      <c r="Z48" s="380">
        <v>46.19</v>
      </c>
      <c r="AA48" s="380">
        <v>47.75</v>
      </c>
      <c r="AB48" s="363">
        <f t="shared" si="0"/>
        <v>4.4408920985006262E-15</v>
      </c>
      <c r="AC48" s="363">
        <f t="shared" si="1"/>
        <v>0</v>
      </c>
      <c r="AD48" s="383"/>
    </row>
    <row r="49" spans="3:30">
      <c r="C49" s="377" t="s">
        <v>395</v>
      </c>
      <c r="D49" s="377" t="s">
        <v>1170</v>
      </c>
      <c r="E49" s="377" t="s">
        <v>1112</v>
      </c>
      <c r="F49" s="377" t="s">
        <v>690</v>
      </c>
      <c r="G49" s="377">
        <v>18</v>
      </c>
      <c r="H49" s="377" t="s">
        <v>691</v>
      </c>
      <c r="I49" s="377" t="s">
        <v>645</v>
      </c>
      <c r="J49" s="377" t="s">
        <v>646</v>
      </c>
      <c r="K49" s="377" t="s">
        <v>778</v>
      </c>
      <c r="L49" s="377" t="s">
        <v>396</v>
      </c>
      <c r="M49" s="378">
        <v>7.6793813804000022E-2</v>
      </c>
      <c r="N49" s="379">
        <v>11557</v>
      </c>
      <c r="O49" s="379">
        <v>5130</v>
      </c>
      <c r="P49" s="380">
        <v>24.574950614442574</v>
      </c>
      <c r="Q49" s="380">
        <v>6.4162461476235926</v>
      </c>
      <c r="R49" s="380">
        <v>8.7451834798746848</v>
      </c>
      <c r="S49" s="380">
        <v>8.0443157386226574</v>
      </c>
      <c r="T49" s="381">
        <v>23.205745366120937</v>
      </c>
      <c r="U49" s="380">
        <v>0.70702135642645059</v>
      </c>
      <c r="V49" s="381">
        <v>48.487717336989959</v>
      </c>
      <c r="W49" s="382">
        <v>4.7E-2</v>
      </c>
      <c r="X49" s="382">
        <v>0</v>
      </c>
      <c r="Y49" s="382">
        <v>0.04</v>
      </c>
      <c r="Z49" s="380">
        <v>52.53</v>
      </c>
      <c r="AA49" s="380">
        <v>54.91</v>
      </c>
      <c r="AB49" s="363">
        <f t="shared" si="0"/>
        <v>0</v>
      </c>
      <c r="AC49" s="363">
        <f t="shared" si="1"/>
        <v>0</v>
      </c>
      <c r="AD49" s="383"/>
    </row>
    <row r="50" spans="3:30">
      <c r="C50" s="377" t="s">
        <v>297</v>
      </c>
      <c r="D50" s="377" t="s">
        <v>1171</v>
      </c>
      <c r="E50" s="377" t="s">
        <v>585</v>
      </c>
      <c r="F50" s="377" t="s">
        <v>649</v>
      </c>
      <c r="G50" s="377">
        <v>15</v>
      </c>
      <c r="H50" s="377" t="s">
        <v>684</v>
      </c>
      <c r="I50" s="377" t="s">
        <v>645</v>
      </c>
      <c r="J50" s="377" t="s">
        <v>646</v>
      </c>
      <c r="K50" s="377" t="s">
        <v>876</v>
      </c>
      <c r="L50" s="377" t="s">
        <v>359</v>
      </c>
      <c r="M50" s="378">
        <v>5.2805117025000001E-2</v>
      </c>
      <c r="N50" s="379">
        <v>8512</v>
      </c>
      <c r="O50" s="379">
        <v>4025.0000000000005</v>
      </c>
      <c r="P50" s="380">
        <v>17.616776090205864</v>
      </c>
      <c r="Q50" s="380">
        <v>5.1736424582535427</v>
      </c>
      <c r="R50" s="380">
        <v>6.8716595353206218</v>
      </c>
      <c r="S50" s="380">
        <v>6.2188651977737459</v>
      </c>
      <c r="T50" s="381">
        <v>18.264167191347909</v>
      </c>
      <c r="U50" s="380">
        <v>0.52073771618083819</v>
      </c>
      <c r="V50" s="381">
        <v>36.401680997734616</v>
      </c>
      <c r="W50" s="382">
        <v>4.7E-2</v>
      </c>
      <c r="X50" s="382">
        <v>0</v>
      </c>
      <c r="Y50" s="382">
        <v>0.04</v>
      </c>
      <c r="Z50" s="380">
        <v>39.44</v>
      </c>
      <c r="AA50" s="380">
        <v>41.23</v>
      </c>
      <c r="AB50" s="363">
        <f t="shared" si="0"/>
        <v>3.1086244689504383E-15</v>
      </c>
      <c r="AC50" s="363">
        <f t="shared" si="1"/>
        <v>0</v>
      </c>
      <c r="AD50" s="383"/>
    </row>
    <row r="51" spans="3:30">
      <c r="C51" s="377" t="s">
        <v>298</v>
      </c>
      <c r="D51" s="377" t="s">
        <v>1172</v>
      </c>
      <c r="E51" s="377" t="s">
        <v>595</v>
      </c>
      <c r="F51" s="377" t="s">
        <v>651</v>
      </c>
      <c r="G51" s="377">
        <v>15</v>
      </c>
      <c r="H51" s="377" t="s">
        <v>684</v>
      </c>
      <c r="I51" s="377" t="s">
        <v>645</v>
      </c>
      <c r="J51" s="377" t="s">
        <v>646</v>
      </c>
      <c r="K51" s="377" t="s">
        <v>876</v>
      </c>
      <c r="L51" s="377" t="s">
        <v>360</v>
      </c>
      <c r="M51" s="378">
        <v>5.6094935256249999E-2</v>
      </c>
      <c r="N51" s="379">
        <v>8809</v>
      </c>
      <c r="O51" s="379">
        <v>4150</v>
      </c>
      <c r="P51" s="380">
        <v>18.355227686951718</v>
      </c>
      <c r="Q51" s="380">
        <v>5.2501028715485187</v>
      </c>
      <c r="R51" s="380">
        <v>6.9085029571197438</v>
      </c>
      <c r="S51" s="380">
        <v>6.2863018183182957</v>
      </c>
      <c r="T51" s="381">
        <v>18.444907646986557</v>
      </c>
      <c r="U51" s="380">
        <v>0.53890725350528712</v>
      </c>
      <c r="V51" s="381">
        <v>37.339042587443558</v>
      </c>
      <c r="W51" s="382">
        <v>4.7E-2</v>
      </c>
      <c r="X51" s="382">
        <v>0</v>
      </c>
      <c r="Y51" s="382">
        <v>0.04</v>
      </c>
      <c r="Z51" s="380">
        <v>40.450000000000003</v>
      </c>
      <c r="AA51" s="380">
        <v>42.29</v>
      </c>
      <c r="AB51" s="363">
        <f t="shared" si="0"/>
        <v>-5.440092820663267E-15</v>
      </c>
      <c r="AC51" s="363">
        <f t="shared" si="1"/>
        <v>0</v>
      </c>
      <c r="AD51" s="383"/>
    </row>
    <row r="52" spans="3:30">
      <c r="C52" s="377" t="s">
        <v>300</v>
      </c>
      <c r="D52" s="377" t="s">
        <v>1173</v>
      </c>
      <c r="E52" s="377" t="s">
        <v>614</v>
      </c>
      <c r="F52" s="377" t="s">
        <v>662</v>
      </c>
      <c r="G52" s="377">
        <v>17</v>
      </c>
      <c r="H52" s="377" t="s">
        <v>691</v>
      </c>
      <c r="I52" s="377" t="s">
        <v>645</v>
      </c>
      <c r="J52" s="377" t="s">
        <v>646</v>
      </c>
      <c r="K52" s="377" t="s">
        <v>778</v>
      </c>
      <c r="L52" s="377" t="s">
        <v>397</v>
      </c>
      <c r="M52" s="378">
        <v>6.5991040189749994E-2</v>
      </c>
      <c r="N52" s="379">
        <v>10209</v>
      </c>
      <c r="O52" s="379">
        <v>4579</v>
      </c>
      <c r="P52" s="380">
        <v>21.758714432132081</v>
      </c>
      <c r="Q52" s="380">
        <v>6.0049302178993074</v>
      </c>
      <c r="R52" s="380">
        <v>8.0622986212747687</v>
      </c>
      <c r="S52" s="380">
        <v>7.3105991848300844</v>
      </c>
      <c r="T52" s="381">
        <v>21.37782802400416</v>
      </c>
      <c r="U52" s="380">
        <v>0.62455490419292503</v>
      </c>
      <c r="V52" s="381">
        <v>43.761097360329167</v>
      </c>
      <c r="W52" s="382">
        <v>4.7E-2</v>
      </c>
      <c r="X52" s="382">
        <v>0</v>
      </c>
      <c r="Y52" s="382">
        <v>0.04</v>
      </c>
      <c r="Z52" s="380">
        <v>47.41</v>
      </c>
      <c r="AA52" s="380">
        <v>49.56</v>
      </c>
      <c r="AB52" s="363">
        <f t="shared" si="0"/>
        <v>0</v>
      </c>
      <c r="AC52" s="363">
        <f t="shared" si="1"/>
        <v>0</v>
      </c>
      <c r="AD52" s="383"/>
    </row>
    <row r="53" spans="3:30">
      <c r="C53" s="377" t="s">
        <v>301</v>
      </c>
      <c r="D53" s="377" t="s">
        <v>1174</v>
      </c>
      <c r="E53" s="377" t="s">
        <v>615</v>
      </c>
      <c r="F53" s="377" t="s">
        <v>693</v>
      </c>
      <c r="G53" s="377">
        <v>18</v>
      </c>
      <c r="H53" s="377" t="s">
        <v>691</v>
      </c>
      <c r="I53" s="377" t="s">
        <v>645</v>
      </c>
      <c r="J53" s="377" t="s">
        <v>646</v>
      </c>
      <c r="K53" s="377" t="s">
        <v>778</v>
      </c>
      <c r="L53" s="377" t="s">
        <v>398</v>
      </c>
      <c r="M53" s="378">
        <v>7.1713960740000013E-2</v>
      </c>
      <c r="N53" s="379">
        <v>10753</v>
      </c>
      <c r="O53" s="379">
        <v>4754</v>
      </c>
      <c r="P53" s="380">
        <v>22.910969953431128</v>
      </c>
      <c r="Q53" s="380">
        <v>6.1456099341402108</v>
      </c>
      <c r="R53" s="380">
        <v>8.1372260093481188</v>
      </c>
      <c r="S53" s="380">
        <v>7.4196464762013932</v>
      </c>
      <c r="T53" s="381">
        <v>21.702482419689723</v>
      </c>
      <c r="U53" s="380">
        <v>0.65783513417440709</v>
      </c>
      <c r="V53" s="381">
        <v>45.271287507295256</v>
      </c>
      <c r="W53" s="382">
        <v>4.7E-2</v>
      </c>
      <c r="X53" s="382">
        <v>0</v>
      </c>
      <c r="Y53" s="382">
        <v>0.04</v>
      </c>
      <c r="Z53" s="380">
        <v>49.05</v>
      </c>
      <c r="AA53" s="380">
        <v>51.27</v>
      </c>
      <c r="AB53" s="363">
        <f t="shared" si="0"/>
        <v>-1.7763568394002505E-15</v>
      </c>
      <c r="AC53" s="363">
        <f t="shared" si="1"/>
        <v>0</v>
      </c>
      <c r="AD53" s="383"/>
    </row>
    <row r="54" spans="3:30">
      <c r="C54" s="377" t="s">
        <v>180</v>
      </c>
      <c r="D54" s="377" t="s">
        <v>1175</v>
      </c>
      <c r="E54" s="377" t="s">
        <v>616</v>
      </c>
      <c r="F54" s="377" t="s">
        <v>686</v>
      </c>
      <c r="G54" s="377">
        <v>17</v>
      </c>
      <c r="H54" s="377" t="s">
        <v>676</v>
      </c>
      <c r="I54" s="377" t="s">
        <v>677</v>
      </c>
      <c r="J54" s="377" t="s">
        <v>660</v>
      </c>
      <c r="K54" s="377" t="s">
        <v>778</v>
      </c>
      <c r="L54" s="377" t="s">
        <v>954</v>
      </c>
      <c r="M54" s="378">
        <v>8.6991917264999996E-2</v>
      </c>
      <c r="N54" s="379">
        <v>11726</v>
      </c>
      <c r="O54" s="379">
        <v>5447</v>
      </c>
      <c r="P54" s="380">
        <v>22.467471941137351</v>
      </c>
      <c r="Q54" s="380">
        <v>6.4062896706935293</v>
      </c>
      <c r="R54" s="380">
        <v>8.3891973261652311</v>
      </c>
      <c r="S54" s="380">
        <v>7.7496011305417696</v>
      </c>
      <c r="T54" s="381">
        <v>22.545088127400533</v>
      </c>
      <c r="U54" s="380">
        <v>0.71736025140231552</v>
      </c>
      <c r="V54" s="381">
        <v>45.729920319940199</v>
      </c>
      <c r="W54" s="382">
        <v>4.7E-2</v>
      </c>
      <c r="X54" s="382">
        <v>2.5000000000000001E-3</v>
      </c>
      <c r="Y54" s="382">
        <v>3.2500000000000001E-2</v>
      </c>
      <c r="Z54" s="380">
        <v>49.68</v>
      </c>
      <c r="AA54" s="380">
        <v>51.35</v>
      </c>
      <c r="AB54" s="363">
        <f t="shared" si="0"/>
        <v>3.219646771412954E-15</v>
      </c>
      <c r="AC54" s="363">
        <f t="shared" si="1"/>
        <v>0</v>
      </c>
      <c r="AD54" s="383"/>
    </row>
    <row r="55" spans="3:30">
      <c r="C55" s="377" t="s">
        <v>302</v>
      </c>
      <c r="D55" s="377" t="s">
        <v>1176</v>
      </c>
      <c r="E55" s="377" t="s">
        <v>585</v>
      </c>
      <c r="F55" s="377" t="s">
        <v>652</v>
      </c>
      <c r="G55" s="377">
        <v>15</v>
      </c>
      <c r="H55" s="377" t="s">
        <v>684</v>
      </c>
      <c r="I55" s="377" t="s">
        <v>645</v>
      </c>
      <c r="J55" s="377" t="s">
        <v>646</v>
      </c>
      <c r="K55" s="377" t="s">
        <v>876</v>
      </c>
      <c r="L55" s="377" t="s">
        <v>399</v>
      </c>
      <c r="M55" s="378">
        <v>5.086615034375E-2</v>
      </c>
      <c r="N55" s="379">
        <v>8534</v>
      </c>
      <c r="O55" s="379">
        <v>4019</v>
      </c>
      <c r="P55" s="380">
        <v>17.752627174419473</v>
      </c>
      <c r="Q55" s="380">
        <v>5.1833074669226926</v>
      </c>
      <c r="R55" s="380">
        <v>6.8439491074599914</v>
      </c>
      <c r="S55" s="380">
        <v>6.1970176578684848</v>
      </c>
      <c r="T55" s="381">
        <v>18.224274232251165</v>
      </c>
      <c r="U55" s="380">
        <v>0.52208360783450114</v>
      </c>
      <c r="V55" s="381">
        <v>36.498985014505138</v>
      </c>
      <c r="W55" s="382">
        <v>4.7E-2</v>
      </c>
      <c r="X55" s="382">
        <v>0</v>
      </c>
      <c r="Y55" s="382">
        <v>0.04</v>
      </c>
      <c r="Z55" s="380">
        <v>39.54</v>
      </c>
      <c r="AA55" s="380">
        <v>41.34</v>
      </c>
      <c r="AB55" s="363">
        <f t="shared" si="0"/>
        <v>-4.3298697960381105E-15</v>
      </c>
      <c r="AC55" s="363">
        <f t="shared" si="1"/>
        <v>0</v>
      </c>
      <c r="AD55" s="383"/>
    </row>
    <row r="56" spans="3:30">
      <c r="C56" s="377" t="s">
        <v>303</v>
      </c>
      <c r="D56" s="377" t="s">
        <v>1177</v>
      </c>
      <c r="E56" s="377" t="s">
        <v>587</v>
      </c>
      <c r="F56" s="377" t="s">
        <v>658</v>
      </c>
      <c r="G56" s="377">
        <v>16</v>
      </c>
      <c r="H56" s="377" t="s">
        <v>684</v>
      </c>
      <c r="I56" s="377" t="s">
        <v>645</v>
      </c>
      <c r="J56" s="377" t="s">
        <v>646</v>
      </c>
      <c r="K56" s="377" t="s">
        <v>879</v>
      </c>
      <c r="L56" s="377" t="s">
        <v>362</v>
      </c>
      <c r="M56" s="378">
        <v>6.4256967889249991E-2</v>
      </c>
      <c r="N56" s="379">
        <v>10704</v>
      </c>
      <c r="O56" s="379">
        <v>4947</v>
      </c>
      <c r="P56" s="380">
        <v>22.133737793896323</v>
      </c>
      <c r="Q56" s="380">
        <v>5.9440553592425003</v>
      </c>
      <c r="R56" s="380">
        <v>7.9330295190657534</v>
      </c>
      <c r="S56" s="380">
        <v>7.3337291155566779</v>
      </c>
      <c r="T56" s="381">
        <v>21.210813993864928</v>
      </c>
      <c r="U56" s="380">
        <v>0.6548374664003398</v>
      </c>
      <c r="V56" s="381">
        <v>43.999389254161592</v>
      </c>
      <c r="W56" s="382">
        <v>4.7E-2</v>
      </c>
      <c r="X56" s="382">
        <v>0</v>
      </c>
      <c r="Y56" s="382">
        <v>0.04</v>
      </c>
      <c r="Z56" s="380">
        <v>47.67</v>
      </c>
      <c r="AA56" s="380">
        <v>49.83</v>
      </c>
      <c r="AB56" s="363">
        <f t="shared" si="0"/>
        <v>-3.1086244689504383E-15</v>
      </c>
      <c r="AC56" s="363">
        <f t="shared" si="1"/>
        <v>0</v>
      </c>
      <c r="AD56" s="383"/>
    </row>
    <row r="57" spans="3:30">
      <c r="C57" s="377" t="s">
        <v>304</v>
      </c>
      <c r="D57" s="377" t="s">
        <v>1178</v>
      </c>
      <c r="E57" s="377" t="s">
        <v>587</v>
      </c>
      <c r="F57" s="377" t="s">
        <v>664</v>
      </c>
      <c r="G57" s="377">
        <v>15</v>
      </c>
      <c r="H57" s="377" t="s">
        <v>684</v>
      </c>
      <c r="I57" s="377" t="s">
        <v>645</v>
      </c>
      <c r="J57" s="377" t="s">
        <v>646</v>
      </c>
      <c r="K57" s="377" t="s">
        <v>876</v>
      </c>
      <c r="L57" s="377" t="s">
        <v>363</v>
      </c>
      <c r="M57" s="378">
        <v>6.1626502518749994E-2</v>
      </c>
      <c r="N57" s="379">
        <v>9987</v>
      </c>
      <c r="O57" s="379">
        <v>4703</v>
      </c>
      <c r="P57" s="380">
        <v>20.786419587035994</v>
      </c>
      <c r="Q57" s="380">
        <v>5.572113302175941</v>
      </c>
      <c r="R57" s="380">
        <v>7.4010907600627114</v>
      </c>
      <c r="S57" s="380">
        <v>6.8459429789551445</v>
      </c>
      <c r="T57" s="381">
        <v>19.819147041193798</v>
      </c>
      <c r="U57" s="380">
        <v>0.61097363386959957</v>
      </c>
      <c r="V57" s="381">
        <v>41.216540262099386</v>
      </c>
      <c r="W57" s="382">
        <v>4.7E-2</v>
      </c>
      <c r="X57" s="382">
        <v>0</v>
      </c>
      <c r="Y57" s="382">
        <v>0.04</v>
      </c>
      <c r="Z57" s="380">
        <v>44.65</v>
      </c>
      <c r="AA57" s="380">
        <v>46.68</v>
      </c>
      <c r="AB57" s="363">
        <f t="shared" si="0"/>
        <v>-4.1078251911130792E-15</v>
      </c>
      <c r="AC57" s="363">
        <f t="shared" si="1"/>
        <v>0</v>
      </c>
      <c r="AD57" s="383"/>
    </row>
    <row r="58" spans="3:30">
      <c r="C58" s="377" t="s">
        <v>427</v>
      </c>
      <c r="D58" s="377" t="s">
        <v>1179</v>
      </c>
      <c r="E58" s="377" t="s">
        <v>1180</v>
      </c>
      <c r="F58" s="377" t="s">
        <v>741</v>
      </c>
      <c r="G58" s="377">
        <v>16</v>
      </c>
      <c r="H58" s="377" t="s">
        <v>695</v>
      </c>
      <c r="I58" s="377" t="s">
        <v>645</v>
      </c>
      <c r="J58" s="377" t="s">
        <v>646</v>
      </c>
      <c r="K58" s="377" t="s">
        <v>879</v>
      </c>
      <c r="L58" s="377" t="s">
        <v>428</v>
      </c>
      <c r="M58" s="378">
        <v>4.2289648269000002E-2</v>
      </c>
      <c r="N58" s="379">
        <v>6679</v>
      </c>
      <c r="O58" s="379">
        <v>3147</v>
      </c>
      <c r="P58" s="380">
        <v>14.187245070367879</v>
      </c>
      <c r="Q58" s="380">
        <v>4.813945348905583</v>
      </c>
      <c r="R58" s="380">
        <v>6.4985030699445581</v>
      </c>
      <c r="S58" s="380">
        <v>5.633547791065233</v>
      </c>
      <c r="T58" s="381">
        <v>16.945996209915375</v>
      </c>
      <c r="U58" s="380">
        <v>0.40860047067338096</v>
      </c>
      <c r="V58" s="381">
        <v>31.541841750956635</v>
      </c>
      <c r="W58" s="382">
        <v>4.7E-2</v>
      </c>
      <c r="X58" s="382">
        <v>0</v>
      </c>
      <c r="Y58" s="382">
        <v>0.04</v>
      </c>
      <c r="Z58" s="380">
        <v>34.17</v>
      </c>
      <c r="AA58" s="380">
        <v>35.72</v>
      </c>
      <c r="AB58" s="363">
        <f t="shared" si="0"/>
        <v>0</v>
      </c>
      <c r="AC58" s="363">
        <f t="shared" si="1"/>
        <v>0</v>
      </c>
      <c r="AD58" s="383"/>
    </row>
    <row r="59" spans="3:30">
      <c r="C59" s="377" t="s">
        <v>429</v>
      </c>
      <c r="D59" s="377" t="s">
        <v>1181</v>
      </c>
      <c r="E59" s="377" t="s">
        <v>863</v>
      </c>
      <c r="F59" s="377" t="s">
        <v>741</v>
      </c>
      <c r="G59" s="377">
        <v>15</v>
      </c>
      <c r="H59" s="377" t="s">
        <v>695</v>
      </c>
      <c r="I59" s="377" t="s">
        <v>645</v>
      </c>
      <c r="J59" s="377" t="s">
        <v>646</v>
      </c>
      <c r="K59" s="377" t="s">
        <v>876</v>
      </c>
      <c r="L59" s="377" t="s">
        <v>430</v>
      </c>
      <c r="M59" s="378">
        <v>3.86134749E-2</v>
      </c>
      <c r="N59" s="379">
        <v>6277</v>
      </c>
      <c r="O59" s="379">
        <v>2987</v>
      </c>
      <c r="P59" s="380">
        <v>13.427510675461622</v>
      </c>
      <c r="Q59" s="380">
        <v>4.5510925627935883</v>
      </c>
      <c r="R59" s="380">
        <v>6.0281230533364907</v>
      </c>
      <c r="S59" s="380">
        <v>5.2023195405684737</v>
      </c>
      <c r="T59" s="381">
        <v>15.781535156698553</v>
      </c>
      <c r="U59" s="380">
        <v>0.38400735954735926</v>
      </c>
      <c r="V59" s="381">
        <v>29.593053191707533</v>
      </c>
      <c r="W59" s="382">
        <v>4.7E-2</v>
      </c>
      <c r="X59" s="382">
        <v>0</v>
      </c>
      <c r="Y59" s="382">
        <v>0.04</v>
      </c>
      <c r="Z59" s="380">
        <v>32.06</v>
      </c>
      <c r="AA59" s="380">
        <v>33.51</v>
      </c>
      <c r="AB59" s="363">
        <f t="shared" si="0"/>
        <v>-1.609823385706477E-15</v>
      </c>
      <c r="AC59" s="363">
        <f t="shared" si="1"/>
        <v>0</v>
      </c>
      <c r="AD59" s="383"/>
    </row>
    <row r="60" spans="3:30">
      <c r="C60" s="377" t="s">
        <v>431</v>
      </c>
      <c r="D60" s="377" t="s">
        <v>1182</v>
      </c>
      <c r="E60" s="377" t="s">
        <v>1180</v>
      </c>
      <c r="F60" s="377" t="s">
        <v>880</v>
      </c>
      <c r="G60" s="377">
        <v>15</v>
      </c>
      <c r="H60" s="377" t="s">
        <v>695</v>
      </c>
      <c r="I60" s="377" t="s">
        <v>645</v>
      </c>
      <c r="J60" s="377" t="s">
        <v>646</v>
      </c>
      <c r="K60" s="377" t="s">
        <v>876</v>
      </c>
      <c r="L60" s="377" t="s">
        <v>432</v>
      </c>
      <c r="M60" s="378">
        <v>4.0982519531249997E-2</v>
      </c>
      <c r="N60" s="379">
        <v>6546</v>
      </c>
      <c r="O60" s="379">
        <v>3106</v>
      </c>
      <c r="P60" s="380">
        <v>13.987881706279708</v>
      </c>
      <c r="Q60" s="380">
        <v>4.6453174728390358</v>
      </c>
      <c r="R60" s="380">
        <v>6.2608134597618426</v>
      </c>
      <c r="S60" s="380">
        <v>5.4376291093910982</v>
      </c>
      <c r="T60" s="381">
        <v>16.343760041991978</v>
      </c>
      <c r="U60" s="380">
        <v>0.40046394385805534</v>
      </c>
      <c r="V60" s="381">
        <v>30.732105692129743</v>
      </c>
      <c r="W60" s="382">
        <v>4.7E-2</v>
      </c>
      <c r="X60" s="382">
        <v>0</v>
      </c>
      <c r="Y60" s="382">
        <v>0.04</v>
      </c>
      <c r="Z60" s="380">
        <v>33.299999999999997</v>
      </c>
      <c r="AA60" s="380">
        <v>34.799999999999997</v>
      </c>
      <c r="AB60" s="363">
        <f t="shared" si="0"/>
        <v>2.3869795029440866E-15</v>
      </c>
      <c r="AC60" s="363">
        <f t="shared" si="1"/>
        <v>0</v>
      </c>
      <c r="AD60" s="383"/>
    </row>
    <row r="61" spans="3:30">
      <c r="C61" s="377" t="s">
        <v>181</v>
      </c>
      <c r="D61" s="377" t="s">
        <v>1183</v>
      </c>
      <c r="E61" s="377" t="s">
        <v>605</v>
      </c>
      <c r="F61" s="377" t="s">
        <v>694</v>
      </c>
      <c r="G61" s="377">
        <v>17</v>
      </c>
      <c r="H61" s="377" t="s">
        <v>676</v>
      </c>
      <c r="I61" s="377" t="s">
        <v>677</v>
      </c>
      <c r="J61" s="377" t="s">
        <v>660</v>
      </c>
      <c r="K61" s="377" t="s">
        <v>778</v>
      </c>
      <c r="L61" s="377" t="s">
        <v>195</v>
      </c>
      <c r="M61" s="378">
        <v>9.3991938418999998E-2</v>
      </c>
      <c r="N61" s="379">
        <v>12536</v>
      </c>
      <c r="O61" s="379">
        <v>5806</v>
      </c>
      <c r="P61" s="380">
        <v>24.900372199143508</v>
      </c>
      <c r="Q61" s="380">
        <v>6.8460885763773449</v>
      </c>
      <c r="R61" s="380">
        <v>8.8552833910508877</v>
      </c>
      <c r="S61" s="380">
        <v>8.2599784147861524</v>
      </c>
      <c r="T61" s="381">
        <v>23.961350382214388</v>
      </c>
      <c r="U61" s="380">
        <v>0.76691353501444881</v>
      </c>
      <c r="V61" s="381">
        <v>49.628636116372348</v>
      </c>
      <c r="W61" s="382">
        <v>4.7E-2</v>
      </c>
      <c r="X61" s="382">
        <v>2.5000000000000001E-3</v>
      </c>
      <c r="Y61" s="382">
        <v>3.2500000000000001E-2</v>
      </c>
      <c r="Z61" s="380">
        <v>53.91</v>
      </c>
      <c r="AA61" s="380">
        <v>55.73</v>
      </c>
      <c r="AB61" s="363">
        <f t="shared" si="0"/>
        <v>7.6605388699135801E-15</v>
      </c>
      <c r="AC61" s="363">
        <f t="shared" si="1"/>
        <v>0</v>
      </c>
      <c r="AD61" s="383"/>
    </row>
    <row r="62" spans="3:30">
      <c r="C62" s="377" t="s">
        <v>400</v>
      </c>
      <c r="D62" s="377" t="s">
        <v>1034</v>
      </c>
      <c r="E62" s="377" t="s">
        <v>610</v>
      </c>
      <c r="F62" s="377" t="s">
        <v>689</v>
      </c>
      <c r="G62" s="377">
        <v>18</v>
      </c>
      <c r="H62" s="377" t="s">
        <v>695</v>
      </c>
      <c r="I62" s="377" t="s">
        <v>645</v>
      </c>
      <c r="J62" s="377" t="s">
        <v>646</v>
      </c>
      <c r="K62" s="377" t="s">
        <v>778</v>
      </c>
      <c r="L62" s="377" t="s">
        <v>401</v>
      </c>
      <c r="M62" s="378">
        <v>8.8330504799250004E-2</v>
      </c>
      <c r="N62" s="379">
        <v>11806</v>
      </c>
      <c r="O62" s="379">
        <v>5259</v>
      </c>
      <c r="P62" s="380">
        <v>26.06918487542773</v>
      </c>
      <c r="Q62" s="380">
        <v>6.5146684565730899</v>
      </c>
      <c r="R62" s="380">
        <v>8.7442100750201242</v>
      </c>
      <c r="S62" s="380">
        <v>8.0569682636906101</v>
      </c>
      <c r="T62" s="381">
        <v>23.315846795283822</v>
      </c>
      <c r="U62" s="380">
        <v>0.72225440287018039</v>
      </c>
      <c r="V62" s="381">
        <v>50.107286073581733</v>
      </c>
      <c r="W62" s="382">
        <v>4.7E-2</v>
      </c>
      <c r="X62" s="382">
        <v>0</v>
      </c>
      <c r="Y62" s="382">
        <v>0.04</v>
      </c>
      <c r="Z62" s="380">
        <v>54.29</v>
      </c>
      <c r="AA62" s="380">
        <v>56.75</v>
      </c>
      <c r="AB62" s="363">
        <f t="shared" si="0"/>
        <v>-2.7755575615628914E-15</v>
      </c>
      <c r="AC62" s="363">
        <f t="shared" si="1"/>
        <v>0</v>
      </c>
      <c r="AD62" s="383"/>
    </row>
    <row r="63" spans="3:30">
      <c r="C63" s="377" t="s">
        <v>404</v>
      </c>
      <c r="D63" s="377" t="s">
        <v>1184</v>
      </c>
      <c r="E63" s="377" t="s">
        <v>589</v>
      </c>
      <c r="F63" s="377" t="s">
        <v>697</v>
      </c>
      <c r="G63" s="377">
        <v>17</v>
      </c>
      <c r="H63" s="377" t="s">
        <v>691</v>
      </c>
      <c r="I63" s="377" t="s">
        <v>645</v>
      </c>
      <c r="J63" s="377" t="s">
        <v>646</v>
      </c>
      <c r="K63" s="377" t="s">
        <v>778</v>
      </c>
      <c r="L63" s="377" t="s">
        <v>405</v>
      </c>
      <c r="M63" s="378">
        <v>7.1062682546250006E-2</v>
      </c>
      <c r="N63" s="379">
        <v>10983</v>
      </c>
      <c r="O63" s="379">
        <v>4880</v>
      </c>
      <c r="P63" s="380">
        <v>23.291989988741811</v>
      </c>
      <c r="Q63" s="380">
        <v>6.2243835403152579</v>
      </c>
      <c r="R63" s="380">
        <v>8.1657768094292447</v>
      </c>
      <c r="S63" s="380">
        <v>7.4746270560079999</v>
      </c>
      <c r="T63" s="381">
        <v>21.864787405752505</v>
      </c>
      <c r="U63" s="380">
        <v>0.67190581964451912</v>
      </c>
      <c r="V63" s="381">
        <v>45.828683214138835</v>
      </c>
      <c r="W63" s="382">
        <v>4.7E-2</v>
      </c>
      <c r="X63" s="382">
        <v>0</v>
      </c>
      <c r="Y63" s="382">
        <v>0.04</v>
      </c>
      <c r="Z63" s="380">
        <v>49.65</v>
      </c>
      <c r="AA63" s="380">
        <v>51.9</v>
      </c>
      <c r="AB63" s="363">
        <f t="shared" si="0"/>
        <v>8.8817841970012523E-16</v>
      </c>
      <c r="AC63" s="363">
        <f t="shared" si="1"/>
        <v>0</v>
      </c>
      <c r="AD63" s="383"/>
    </row>
    <row r="64" spans="3:30">
      <c r="C64" s="377" t="s">
        <v>406</v>
      </c>
      <c r="D64" s="377" t="s">
        <v>1185</v>
      </c>
      <c r="E64" s="377" t="s">
        <v>617</v>
      </c>
      <c r="F64" s="377" t="s">
        <v>698</v>
      </c>
      <c r="G64" s="377">
        <v>17</v>
      </c>
      <c r="H64" s="377" t="s">
        <v>691</v>
      </c>
      <c r="I64" s="377" t="s">
        <v>645</v>
      </c>
      <c r="J64" s="377" t="s">
        <v>646</v>
      </c>
      <c r="K64" s="377" t="s">
        <v>778</v>
      </c>
      <c r="L64" s="377" t="s">
        <v>407</v>
      </c>
      <c r="M64" s="378">
        <v>7.6342191332749998E-2</v>
      </c>
      <c r="N64" s="379">
        <v>11405</v>
      </c>
      <c r="O64" s="379">
        <v>5079</v>
      </c>
      <c r="P64" s="380">
        <v>24.184183278334363</v>
      </c>
      <c r="Q64" s="380">
        <v>6.3428109895778464</v>
      </c>
      <c r="R64" s="380">
        <v>8.4311822272718917</v>
      </c>
      <c r="S64" s="380">
        <v>7.7567454927957282</v>
      </c>
      <c r="T64" s="381">
        <v>22.530738709645469</v>
      </c>
      <c r="U64" s="380">
        <v>0.69772246863750698</v>
      </c>
      <c r="V64" s="381">
        <v>47.412644456617343</v>
      </c>
      <c r="W64" s="382">
        <v>4.7E-2</v>
      </c>
      <c r="X64" s="382">
        <v>0</v>
      </c>
      <c r="Y64" s="382">
        <v>0.04</v>
      </c>
      <c r="Z64" s="380">
        <v>51.37</v>
      </c>
      <c r="AA64" s="380">
        <v>53.69</v>
      </c>
      <c r="AB64" s="363">
        <f t="shared" si="0"/>
        <v>8.2156503822261584E-15</v>
      </c>
      <c r="AC64" s="363">
        <f t="shared" si="1"/>
        <v>0</v>
      </c>
      <c r="AD64" s="383"/>
    </row>
    <row r="65" spans="3:30">
      <c r="C65" s="377" t="s">
        <v>182</v>
      </c>
      <c r="D65" s="377" t="s">
        <v>1186</v>
      </c>
      <c r="E65" s="377" t="s">
        <v>618</v>
      </c>
      <c r="F65" s="377" t="s">
        <v>653</v>
      </c>
      <c r="G65" s="377">
        <v>17</v>
      </c>
      <c r="H65" s="377" t="s">
        <v>676</v>
      </c>
      <c r="I65" s="377" t="s">
        <v>677</v>
      </c>
      <c r="J65" s="377" t="s">
        <v>660</v>
      </c>
      <c r="K65" s="377" t="s">
        <v>778</v>
      </c>
      <c r="L65" s="377" t="s">
        <v>196</v>
      </c>
      <c r="M65" s="378">
        <v>8.7904936752749976E-2</v>
      </c>
      <c r="N65" s="379">
        <v>12612</v>
      </c>
      <c r="O65" s="379">
        <v>5839</v>
      </c>
      <c r="P65" s="380">
        <v>25.379249692520354</v>
      </c>
      <c r="Q65" s="380">
        <v>6.9003925549502574</v>
      </c>
      <c r="R65" s="380">
        <v>9.0520809244642351</v>
      </c>
      <c r="S65" s="380">
        <v>8.4134845349234535</v>
      </c>
      <c r="T65" s="381">
        <v>24.365958014337949</v>
      </c>
      <c r="U65" s="380">
        <v>0.77156297890892045</v>
      </c>
      <c r="V65" s="381">
        <v>50.516770685767227</v>
      </c>
      <c r="W65" s="382">
        <v>4.7E-2</v>
      </c>
      <c r="X65" s="382">
        <v>2.5000000000000001E-3</v>
      </c>
      <c r="Y65" s="382">
        <v>3.2500000000000001E-2</v>
      </c>
      <c r="Z65" s="380">
        <v>54.88</v>
      </c>
      <c r="AA65" s="380">
        <v>56.73</v>
      </c>
      <c r="AB65" s="363">
        <f t="shared" si="0"/>
        <v>6.2172489379008766E-15</v>
      </c>
      <c r="AC65" s="363">
        <f t="shared" si="1"/>
        <v>0</v>
      </c>
      <c r="AD65" s="383"/>
    </row>
    <row r="66" spans="3:30">
      <c r="C66" s="377" t="s">
        <v>410</v>
      </c>
      <c r="D66" s="377" t="s">
        <v>1187</v>
      </c>
      <c r="E66" s="377" t="s">
        <v>1188</v>
      </c>
      <c r="F66" s="377" t="s">
        <v>670</v>
      </c>
      <c r="G66" s="377">
        <v>14</v>
      </c>
      <c r="H66" s="377" t="s">
        <v>674</v>
      </c>
      <c r="I66" s="377" t="s">
        <v>645</v>
      </c>
      <c r="J66" s="377" t="s">
        <v>646</v>
      </c>
      <c r="K66" s="377" t="s">
        <v>875</v>
      </c>
      <c r="L66" s="377" t="s">
        <v>456</v>
      </c>
      <c r="M66" s="378">
        <v>3.9695910144E-2</v>
      </c>
      <c r="N66" s="379">
        <v>6151</v>
      </c>
      <c r="O66" s="379">
        <v>2928</v>
      </c>
      <c r="P66" s="380">
        <v>12.127059185462443</v>
      </c>
      <c r="Q66" s="380">
        <v>4.5426155616903223</v>
      </c>
      <c r="R66" s="380">
        <v>6.2193513702590559</v>
      </c>
      <c r="S66" s="380">
        <v>5.3924590215615096</v>
      </c>
      <c r="T66" s="381">
        <v>16.154425953510888</v>
      </c>
      <c r="U66" s="380">
        <v>0.37629907098547183</v>
      </c>
      <c r="V66" s="381">
        <v>28.657784209958802</v>
      </c>
      <c r="W66" s="382">
        <v>4.7E-2</v>
      </c>
      <c r="X66" s="382">
        <v>0</v>
      </c>
      <c r="Y66" s="382">
        <v>0.04</v>
      </c>
      <c r="Z66" s="380">
        <v>31.05</v>
      </c>
      <c r="AA66" s="380">
        <v>32.46</v>
      </c>
      <c r="AB66" s="363">
        <f t="shared" si="0"/>
        <v>-6.106226635438361E-16</v>
      </c>
      <c r="AC66" s="363">
        <f t="shared" si="1"/>
        <v>0</v>
      </c>
      <c r="AD66" s="383"/>
    </row>
    <row r="67" spans="3:30">
      <c r="C67" s="377" t="s">
        <v>411</v>
      </c>
      <c r="D67" s="377" t="s">
        <v>1189</v>
      </c>
      <c r="E67" s="377" t="s">
        <v>619</v>
      </c>
      <c r="F67" s="377" t="s">
        <v>657</v>
      </c>
      <c r="G67" s="377">
        <v>17</v>
      </c>
      <c r="H67" s="377" t="s">
        <v>681</v>
      </c>
      <c r="I67" s="377" t="s">
        <v>645</v>
      </c>
      <c r="J67" s="377" t="s">
        <v>646</v>
      </c>
      <c r="K67" s="377" t="s">
        <v>778</v>
      </c>
      <c r="L67" s="377" t="s">
        <v>473</v>
      </c>
      <c r="M67" s="378">
        <v>7.0607061755999997E-2</v>
      </c>
      <c r="N67" s="379">
        <v>10848</v>
      </c>
      <c r="O67" s="379">
        <v>4868</v>
      </c>
      <c r="P67" s="380">
        <v>23.25338281784552</v>
      </c>
      <c r="Q67" s="380">
        <v>6.2139875883621212</v>
      </c>
      <c r="R67" s="380">
        <v>8.3176913618335053</v>
      </c>
      <c r="S67" s="380">
        <v>7.603672595257934</v>
      </c>
      <c r="T67" s="381">
        <v>22.13535154545356</v>
      </c>
      <c r="U67" s="380">
        <v>0.66364693904249683</v>
      </c>
      <c r="V67" s="381">
        <v>46.052381302341573</v>
      </c>
      <c r="W67" s="382">
        <v>4.7E-2</v>
      </c>
      <c r="X67" s="382">
        <v>0</v>
      </c>
      <c r="Y67" s="382">
        <v>0.04</v>
      </c>
      <c r="Z67" s="380">
        <v>49.89</v>
      </c>
      <c r="AA67" s="380">
        <v>52.15</v>
      </c>
      <c r="AB67" s="363">
        <f t="shared" si="0"/>
        <v>-5.9952043329758453E-15</v>
      </c>
      <c r="AC67" s="363">
        <f t="shared" si="1"/>
        <v>0</v>
      </c>
      <c r="AD67" s="383"/>
    </row>
    <row r="68" spans="3:30">
      <c r="C68" s="377" t="s">
        <v>433</v>
      </c>
      <c r="D68" s="377" t="s">
        <v>1190</v>
      </c>
      <c r="E68" s="377" t="s">
        <v>585</v>
      </c>
      <c r="F68" s="377" t="s">
        <v>649</v>
      </c>
      <c r="G68" s="377">
        <v>15</v>
      </c>
      <c r="H68" s="377" t="s">
        <v>699</v>
      </c>
      <c r="I68" s="377" t="s">
        <v>645</v>
      </c>
      <c r="J68" s="377" t="s">
        <v>646</v>
      </c>
      <c r="K68" s="377" t="s">
        <v>876</v>
      </c>
      <c r="L68" s="377" t="s">
        <v>434</v>
      </c>
      <c r="M68" s="378">
        <v>5.2805117025000001E-2</v>
      </c>
      <c r="N68" s="379">
        <v>8089</v>
      </c>
      <c r="O68" s="379">
        <v>3943</v>
      </c>
      <c r="P68" s="380">
        <v>17.311333956495123</v>
      </c>
      <c r="Q68" s="380">
        <v>5.0992810110221445</v>
      </c>
      <c r="R68" s="380">
        <v>6.991190166923829</v>
      </c>
      <c r="S68" s="380">
        <v>6.2693429946653882</v>
      </c>
      <c r="T68" s="381">
        <v>18.359814172611362</v>
      </c>
      <c r="U68" s="380">
        <v>0.49485989029450189</v>
      </c>
      <c r="V68" s="381">
        <v>36.166008019400991</v>
      </c>
      <c r="W68" s="382">
        <v>4.7E-2</v>
      </c>
      <c r="X68" s="382">
        <v>0</v>
      </c>
      <c r="Y68" s="382">
        <v>0.04</v>
      </c>
      <c r="Z68" s="380">
        <v>39.18</v>
      </c>
      <c r="AA68" s="380">
        <v>40.96</v>
      </c>
      <c r="AB68" s="363">
        <f t="shared" si="0"/>
        <v>4.6074255521943996E-15</v>
      </c>
      <c r="AC68" s="363">
        <f t="shared" si="1"/>
        <v>0</v>
      </c>
      <c r="AD68" s="383"/>
    </row>
    <row r="69" spans="3:30">
      <c r="C69" s="377" t="s">
        <v>845</v>
      </c>
      <c r="D69" s="377" t="s">
        <v>1191</v>
      </c>
      <c r="E69" s="377" t="s">
        <v>1112</v>
      </c>
      <c r="F69" s="377" t="s">
        <v>658</v>
      </c>
      <c r="G69" s="377">
        <v>16</v>
      </c>
      <c r="H69" s="377" t="s">
        <v>893</v>
      </c>
      <c r="I69" s="377" t="s">
        <v>645</v>
      </c>
      <c r="J69" s="377" t="s">
        <v>646</v>
      </c>
      <c r="K69" s="377" t="s">
        <v>879</v>
      </c>
      <c r="L69" s="377" t="s">
        <v>899</v>
      </c>
      <c r="M69" s="378">
        <v>5.9195014081250004E-2</v>
      </c>
      <c r="N69" s="379">
        <v>9426</v>
      </c>
      <c r="O69" s="379">
        <v>4452</v>
      </c>
      <c r="P69" s="380">
        <v>18.822575716613773</v>
      </c>
      <c r="Q69" s="380">
        <v>5.6325893043760145</v>
      </c>
      <c r="R69" s="380">
        <v>7.7511122704250761</v>
      </c>
      <c r="S69" s="380">
        <v>7.0514385685165832</v>
      </c>
      <c r="T69" s="381">
        <v>20.435140143317675</v>
      </c>
      <c r="U69" s="380">
        <v>0.57665339670119609</v>
      </c>
      <c r="V69" s="381">
        <v>39.834369256632641</v>
      </c>
      <c r="W69" s="382">
        <v>4.7E-2</v>
      </c>
      <c r="X69" s="382">
        <v>0</v>
      </c>
      <c r="Y69" s="382">
        <v>0.04</v>
      </c>
      <c r="Z69" s="380">
        <v>43.16</v>
      </c>
      <c r="AA69" s="380">
        <v>45.11</v>
      </c>
      <c r="AB69" s="363">
        <f t="shared" si="0"/>
        <v>-2.9976021664879227E-15</v>
      </c>
      <c r="AC69" s="363">
        <f t="shared" si="1"/>
        <v>0</v>
      </c>
      <c r="AD69" s="383"/>
    </row>
    <row r="70" spans="3:30">
      <c r="C70" s="377" t="s">
        <v>578</v>
      </c>
      <c r="D70" s="377" t="s">
        <v>1192</v>
      </c>
      <c r="E70" s="377" t="s">
        <v>1112</v>
      </c>
      <c r="F70" s="377" t="s">
        <v>649</v>
      </c>
      <c r="G70" s="377">
        <v>15</v>
      </c>
      <c r="H70" s="377" t="s">
        <v>679</v>
      </c>
      <c r="I70" s="377" t="s">
        <v>645</v>
      </c>
      <c r="J70" s="377" t="s">
        <v>646</v>
      </c>
      <c r="K70" s="377" t="s">
        <v>876</v>
      </c>
      <c r="L70" s="377" t="s">
        <v>721</v>
      </c>
      <c r="M70" s="378">
        <v>5.7347400675999999E-2</v>
      </c>
      <c r="N70" s="379">
        <v>7126</v>
      </c>
      <c r="O70" s="379">
        <v>3521</v>
      </c>
      <c r="P70" s="380">
        <v>14.712109842781233</v>
      </c>
      <c r="Q70" s="380">
        <v>4.8330499919056917</v>
      </c>
      <c r="R70" s="380">
        <v>6.3748972403843229</v>
      </c>
      <c r="S70" s="380">
        <v>5.6062333725325777</v>
      </c>
      <c r="T70" s="381">
        <v>16.814180604822596</v>
      </c>
      <c r="U70" s="380">
        <v>0.43594654200007688</v>
      </c>
      <c r="V70" s="381">
        <v>31.962236989603909</v>
      </c>
      <c r="W70" s="382">
        <v>4.7E-2</v>
      </c>
      <c r="X70" s="382">
        <v>0</v>
      </c>
      <c r="Y70" s="382">
        <v>0.04</v>
      </c>
      <c r="Z70" s="380">
        <v>34.630000000000003</v>
      </c>
      <c r="AA70" s="380">
        <v>36.200000000000003</v>
      </c>
      <c r="AB70" s="363">
        <f t="shared" ref="AB70:AB133" si="2">V70-P70-Q70-R70-S70-U70</f>
        <v>7.4384942649885488E-15</v>
      </c>
      <c r="AC70" s="363">
        <f t="shared" ref="AC70:AC133" si="3">T70-SUM(Q70:S70)</f>
        <v>0</v>
      </c>
      <c r="AD70" s="383"/>
    </row>
    <row r="71" spans="3:30">
      <c r="C71" s="377" t="s">
        <v>479</v>
      </c>
      <c r="D71" s="377" t="s">
        <v>1193</v>
      </c>
      <c r="E71" s="377" t="s">
        <v>620</v>
      </c>
      <c r="F71" s="377" t="s">
        <v>696</v>
      </c>
      <c r="G71" s="377">
        <v>15</v>
      </c>
      <c r="H71" s="377" t="s">
        <v>679</v>
      </c>
      <c r="I71" s="377" t="s">
        <v>645</v>
      </c>
      <c r="J71" s="377" t="s">
        <v>646</v>
      </c>
      <c r="K71" s="377" t="s">
        <v>876</v>
      </c>
      <c r="L71" s="377" t="s">
        <v>481</v>
      </c>
      <c r="M71" s="378">
        <v>5.4283494768749996E-2</v>
      </c>
      <c r="N71" s="379">
        <v>7563</v>
      </c>
      <c r="O71" s="379">
        <v>3660</v>
      </c>
      <c r="P71" s="380">
        <v>15.591755392042106</v>
      </c>
      <c r="Q71" s="380">
        <v>4.993318905237266</v>
      </c>
      <c r="R71" s="380">
        <v>6.8770890816545656</v>
      </c>
      <c r="S71" s="380">
        <v>6.1110950076261101</v>
      </c>
      <c r="T71" s="381">
        <v>17.981502994517943</v>
      </c>
      <c r="U71" s="380">
        <v>0.46268084439328944</v>
      </c>
      <c r="V71" s="381">
        <v>34.035939230953339</v>
      </c>
      <c r="W71" s="382">
        <v>4.7E-2</v>
      </c>
      <c r="X71" s="382">
        <v>0</v>
      </c>
      <c r="Y71" s="382">
        <v>0.04</v>
      </c>
      <c r="Z71" s="380">
        <v>36.880000000000003</v>
      </c>
      <c r="AA71" s="380">
        <v>38.549999999999997</v>
      </c>
      <c r="AB71" s="363">
        <f t="shared" si="2"/>
        <v>7.2164496600635175E-16</v>
      </c>
      <c r="AC71" s="363">
        <f t="shared" si="3"/>
        <v>0</v>
      </c>
      <c r="AD71" s="383"/>
    </row>
    <row r="72" spans="3:30">
      <c r="C72" s="377" t="s">
        <v>565</v>
      </c>
      <c r="D72" s="377" t="s">
        <v>1194</v>
      </c>
      <c r="E72" s="377" t="s">
        <v>594</v>
      </c>
      <c r="F72" s="377" t="s">
        <v>673</v>
      </c>
      <c r="G72" s="377">
        <v>16</v>
      </c>
      <c r="H72" s="377" t="s">
        <v>679</v>
      </c>
      <c r="I72" s="377" t="s">
        <v>645</v>
      </c>
      <c r="J72" s="377" t="s">
        <v>646</v>
      </c>
      <c r="K72" s="377" t="s">
        <v>879</v>
      </c>
      <c r="L72" s="377" t="s">
        <v>566</v>
      </c>
      <c r="M72" s="378">
        <v>6.8493825428000005E-2</v>
      </c>
      <c r="N72" s="379">
        <v>9133</v>
      </c>
      <c r="O72" s="379">
        <v>4502</v>
      </c>
      <c r="P72" s="380">
        <v>18.768443484962326</v>
      </c>
      <c r="Q72" s="380">
        <v>5.5588161657465811</v>
      </c>
      <c r="R72" s="380">
        <v>7.7195233425330372</v>
      </c>
      <c r="S72" s="380">
        <v>6.9911183141150888</v>
      </c>
      <c r="T72" s="381">
        <v>20.26945782239471</v>
      </c>
      <c r="U72" s="380">
        <v>0.55872856695014039</v>
      </c>
      <c r="V72" s="381">
        <v>39.596629874307176</v>
      </c>
      <c r="W72" s="382">
        <v>4.7E-2</v>
      </c>
      <c r="X72" s="382">
        <v>0</v>
      </c>
      <c r="Y72" s="382">
        <v>0.04</v>
      </c>
      <c r="Z72" s="380">
        <v>42.9</v>
      </c>
      <c r="AA72" s="380">
        <v>44.84</v>
      </c>
      <c r="AB72" s="363">
        <f t="shared" si="2"/>
        <v>2.7755575615628914E-15</v>
      </c>
      <c r="AC72" s="363">
        <f t="shared" si="3"/>
        <v>0</v>
      </c>
      <c r="AD72" s="383"/>
    </row>
    <row r="73" spans="3:30">
      <c r="C73" s="377" t="s">
        <v>183</v>
      </c>
      <c r="D73" s="377" t="s">
        <v>1195</v>
      </c>
      <c r="E73" s="377" t="s">
        <v>621</v>
      </c>
      <c r="F73" s="377" t="s">
        <v>686</v>
      </c>
      <c r="G73" s="377">
        <v>18</v>
      </c>
      <c r="H73" s="377" t="s">
        <v>676</v>
      </c>
      <c r="I73" s="377" t="s">
        <v>677</v>
      </c>
      <c r="J73" s="377" t="s">
        <v>660</v>
      </c>
      <c r="K73" s="377" t="s">
        <v>778</v>
      </c>
      <c r="L73" s="377" t="s">
        <v>197</v>
      </c>
      <c r="M73" s="378">
        <v>9.3402804240000026E-2</v>
      </c>
      <c r="N73" s="379">
        <v>12114</v>
      </c>
      <c r="O73" s="379">
        <v>5634</v>
      </c>
      <c r="P73" s="380">
        <v>23.412760101509516</v>
      </c>
      <c r="Q73" s="380">
        <v>6.5755718766162845</v>
      </c>
      <c r="R73" s="380">
        <v>8.6148745492574896</v>
      </c>
      <c r="S73" s="380">
        <v>7.9598696052093736</v>
      </c>
      <c r="T73" s="381">
        <v>23.150316031083147</v>
      </c>
      <c r="U73" s="380">
        <v>0.74109688602146073</v>
      </c>
      <c r="V73" s="381">
        <v>47.304173018614122</v>
      </c>
      <c r="W73" s="382">
        <v>4.7E-2</v>
      </c>
      <c r="X73" s="382">
        <v>2.5000000000000001E-3</v>
      </c>
      <c r="Y73" s="382">
        <v>3.2500000000000001E-2</v>
      </c>
      <c r="Z73" s="380">
        <v>51.39</v>
      </c>
      <c r="AA73" s="380">
        <v>53.12</v>
      </c>
      <c r="AB73" s="363">
        <f t="shared" si="2"/>
        <v>-1.2212453270876722E-15</v>
      </c>
      <c r="AC73" s="363">
        <f t="shared" si="3"/>
        <v>0</v>
      </c>
      <c r="AD73" s="383"/>
    </row>
    <row r="74" spans="3:30">
      <c r="C74" s="377" t="s">
        <v>575</v>
      </c>
      <c r="D74" s="377" t="s">
        <v>1196</v>
      </c>
      <c r="E74" s="377" t="s">
        <v>1112</v>
      </c>
      <c r="F74" s="377" t="s">
        <v>656</v>
      </c>
      <c r="G74" s="377">
        <v>15</v>
      </c>
      <c r="H74" s="377" t="s">
        <v>679</v>
      </c>
      <c r="I74" s="377" t="s">
        <v>645</v>
      </c>
      <c r="J74" s="377" t="s">
        <v>646</v>
      </c>
      <c r="K74" s="377" t="s">
        <v>876</v>
      </c>
      <c r="L74" s="377" t="s">
        <v>723</v>
      </c>
      <c r="M74" s="378">
        <v>6.2777918892000004E-2</v>
      </c>
      <c r="N74" s="379">
        <v>7646</v>
      </c>
      <c r="O74" s="379">
        <v>3732</v>
      </c>
      <c r="P74" s="380">
        <v>15.919349515146378</v>
      </c>
      <c r="Q74" s="380">
        <v>5.0027063800193448</v>
      </c>
      <c r="R74" s="380">
        <v>6.6680504122610138</v>
      </c>
      <c r="S74" s="380">
        <v>5.94436968501895</v>
      </c>
      <c r="T74" s="381">
        <v>17.615126477299306</v>
      </c>
      <c r="U74" s="380">
        <v>0.46775852654119937</v>
      </c>
      <c r="V74" s="381">
        <v>34.002234518986882</v>
      </c>
      <c r="W74" s="382">
        <v>4.7E-2</v>
      </c>
      <c r="X74" s="382">
        <v>0</v>
      </c>
      <c r="Y74" s="382">
        <v>0.04</v>
      </c>
      <c r="Z74" s="380">
        <v>36.840000000000003</v>
      </c>
      <c r="AA74" s="380">
        <v>38.51</v>
      </c>
      <c r="AB74" s="363">
        <f t="shared" si="2"/>
        <v>-4.829470157119431E-15</v>
      </c>
      <c r="AC74" s="363">
        <f t="shared" si="3"/>
        <v>0</v>
      </c>
      <c r="AD74" s="383"/>
    </row>
    <row r="75" spans="3:30">
      <c r="C75" s="377" t="s">
        <v>480</v>
      </c>
      <c r="D75" s="377" t="s">
        <v>1197</v>
      </c>
      <c r="E75" s="377" t="s">
        <v>1112</v>
      </c>
      <c r="F75" s="377" t="s">
        <v>672</v>
      </c>
      <c r="G75" s="377">
        <v>16</v>
      </c>
      <c r="H75" s="377" t="s">
        <v>679</v>
      </c>
      <c r="I75" s="377" t="s">
        <v>645</v>
      </c>
      <c r="J75" s="377" t="s">
        <v>646</v>
      </c>
      <c r="K75" s="377" t="s">
        <v>879</v>
      </c>
      <c r="L75" s="377" t="s">
        <v>482</v>
      </c>
      <c r="M75" s="378">
        <v>6.8914376774999994E-2</v>
      </c>
      <c r="N75" s="379">
        <v>9384</v>
      </c>
      <c r="O75" s="379">
        <v>4553</v>
      </c>
      <c r="P75" s="380">
        <v>19.272693333123375</v>
      </c>
      <c r="Q75" s="380">
        <v>5.6498231420813374</v>
      </c>
      <c r="R75" s="380">
        <v>7.7511007835855521</v>
      </c>
      <c r="S75" s="380">
        <v>7.043725106176665</v>
      </c>
      <c r="T75" s="381">
        <v>20.44464903184355</v>
      </c>
      <c r="U75" s="380">
        <v>0.57408396718056698</v>
      </c>
      <c r="V75" s="381">
        <v>40.291426332147495</v>
      </c>
      <c r="W75" s="382">
        <v>4.7E-2</v>
      </c>
      <c r="X75" s="382">
        <v>0</v>
      </c>
      <c r="Y75" s="382">
        <v>0.04</v>
      </c>
      <c r="Z75" s="380">
        <v>43.65</v>
      </c>
      <c r="AA75" s="380">
        <v>45.63</v>
      </c>
      <c r="AB75" s="363">
        <f t="shared" si="2"/>
        <v>-2.1094237467877974E-15</v>
      </c>
      <c r="AC75" s="363">
        <f t="shared" si="3"/>
        <v>0</v>
      </c>
      <c r="AD75" s="383"/>
    </row>
    <row r="76" spans="3:30">
      <c r="C76" s="377" t="s">
        <v>461</v>
      </c>
      <c r="D76" s="377" t="s">
        <v>1198</v>
      </c>
      <c r="E76" s="377" t="s">
        <v>623</v>
      </c>
      <c r="F76" s="377" t="s">
        <v>701</v>
      </c>
      <c r="G76" s="377">
        <v>20</v>
      </c>
      <c r="H76" s="377" t="s">
        <v>702</v>
      </c>
      <c r="I76" s="377" t="s">
        <v>645</v>
      </c>
      <c r="J76" s="377" t="s">
        <v>646</v>
      </c>
      <c r="K76" s="377" t="s">
        <v>778</v>
      </c>
      <c r="L76" s="377" t="s">
        <v>462</v>
      </c>
      <c r="M76" s="378">
        <v>0.10887643359375</v>
      </c>
      <c r="N76" s="379">
        <v>15344</v>
      </c>
      <c r="O76" s="379">
        <v>7010</v>
      </c>
      <c r="P76" s="380">
        <v>33.022246136749168</v>
      </c>
      <c r="Q76" s="380">
        <v>7.9785568770071382</v>
      </c>
      <c r="R76" s="380">
        <v>10.731600598691349</v>
      </c>
      <c r="S76" s="380">
        <v>10.07486049529918</v>
      </c>
      <c r="T76" s="381">
        <v>28.785017970997668</v>
      </c>
      <c r="U76" s="380">
        <v>0.9386982515365111</v>
      </c>
      <c r="V76" s="381">
        <v>62.745962359283347</v>
      </c>
      <c r="W76" s="382">
        <v>4.7E-2</v>
      </c>
      <c r="X76" s="382">
        <v>0</v>
      </c>
      <c r="Y76" s="382">
        <v>0.04</v>
      </c>
      <c r="Z76" s="380">
        <v>67.98</v>
      </c>
      <c r="AA76" s="380">
        <v>71.06</v>
      </c>
      <c r="AB76" s="363">
        <f t="shared" si="2"/>
        <v>1.8873791418627661E-15</v>
      </c>
      <c r="AC76" s="363">
        <f t="shared" si="3"/>
        <v>0</v>
      </c>
      <c r="AD76" s="383"/>
    </row>
    <row r="77" spans="3:30">
      <c r="C77" s="377" t="s">
        <v>220</v>
      </c>
      <c r="D77" s="377" t="s">
        <v>1199</v>
      </c>
      <c r="E77" s="377" t="s">
        <v>624</v>
      </c>
      <c r="F77" s="377" t="s">
        <v>694</v>
      </c>
      <c r="G77" s="377">
        <v>18</v>
      </c>
      <c r="H77" s="377" t="s">
        <v>676</v>
      </c>
      <c r="I77" s="377" t="s">
        <v>677</v>
      </c>
      <c r="J77" s="377" t="s">
        <v>660</v>
      </c>
      <c r="K77" s="377" t="s">
        <v>778</v>
      </c>
      <c r="L77" s="377" t="s">
        <v>223</v>
      </c>
      <c r="M77" s="378">
        <v>0.10080020966400002</v>
      </c>
      <c r="N77" s="379">
        <v>13974</v>
      </c>
      <c r="O77" s="379">
        <v>6524</v>
      </c>
      <c r="P77" s="380">
        <v>28.062442892889305</v>
      </c>
      <c r="Q77" s="380">
        <v>7.2826712706573637</v>
      </c>
      <c r="R77" s="380">
        <v>9.6482785853391242</v>
      </c>
      <c r="S77" s="380">
        <v>9.0757021730466558</v>
      </c>
      <c r="T77" s="381">
        <v>26.006652029043149</v>
      </c>
      <c r="U77" s="380">
        <v>0.85488590764932271</v>
      </c>
      <c r="V77" s="381">
        <v>54.92398082958178</v>
      </c>
      <c r="W77" s="382">
        <v>4.7E-2</v>
      </c>
      <c r="X77" s="382">
        <v>2.5000000000000001E-3</v>
      </c>
      <c r="Y77" s="382">
        <v>3.2500000000000001E-2</v>
      </c>
      <c r="Z77" s="380">
        <v>59.67</v>
      </c>
      <c r="AA77" s="380">
        <v>61.68</v>
      </c>
      <c r="AB77" s="363">
        <f t="shared" si="2"/>
        <v>8.4376949871511897E-15</v>
      </c>
      <c r="AC77" s="363">
        <f t="shared" si="3"/>
        <v>0</v>
      </c>
      <c r="AD77" s="383"/>
    </row>
    <row r="78" spans="3:30">
      <c r="C78" s="377" t="s">
        <v>478</v>
      </c>
      <c r="D78" s="377" t="s">
        <v>1200</v>
      </c>
      <c r="E78" s="377" t="s">
        <v>605</v>
      </c>
      <c r="F78" s="377" t="s">
        <v>703</v>
      </c>
      <c r="G78" s="377">
        <v>20</v>
      </c>
      <c r="H78" s="377" t="s">
        <v>702</v>
      </c>
      <c r="I78" s="377" t="s">
        <v>645</v>
      </c>
      <c r="J78" s="377" t="s">
        <v>646</v>
      </c>
      <c r="K78" s="377" t="s">
        <v>778</v>
      </c>
      <c r="L78" s="377" t="s">
        <v>483</v>
      </c>
      <c r="M78" s="378">
        <v>0.109050005925</v>
      </c>
      <c r="N78" s="379">
        <v>15095</v>
      </c>
      <c r="O78" s="379">
        <v>6959</v>
      </c>
      <c r="P78" s="380">
        <v>31.999124382107826</v>
      </c>
      <c r="Q78" s="380">
        <v>7.9098713153678712</v>
      </c>
      <c r="R78" s="380">
        <v>10.565309318877405</v>
      </c>
      <c r="S78" s="380">
        <v>9.9465250307358541</v>
      </c>
      <c r="T78" s="381">
        <v>28.421705664981133</v>
      </c>
      <c r="U78" s="380">
        <v>0.92346520509278129</v>
      </c>
      <c r="V78" s="381">
        <v>61.344295252181738</v>
      </c>
      <c r="W78" s="382">
        <v>4.7E-2</v>
      </c>
      <c r="X78" s="382">
        <v>0</v>
      </c>
      <c r="Y78" s="382">
        <v>0.04</v>
      </c>
      <c r="Z78" s="380">
        <v>66.459999999999994</v>
      </c>
      <c r="AA78" s="380">
        <v>69.47</v>
      </c>
      <c r="AB78" s="363">
        <f t="shared" si="2"/>
        <v>0</v>
      </c>
      <c r="AC78" s="363">
        <f t="shared" si="3"/>
        <v>0</v>
      </c>
      <c r="AD78" s="383"/>
    </row>
    <row r="79" spans="3:30">
      <c r="C79" s="377" t="s">
        <v>460</v>
      </c>
      <c r="D79" s="377" t="s">
        <v>1201</v>
      </c>
      <c r="E79" s="377" t="s">
        <v>598</v>
      </c>
      <c r="F79" s="377" t="s">
        <v>649</v>
      </c>
      <c r="G79" s="377">
        <v>14</v>
      </c>
      <c r="H79" s="377" t="s">
        <v>674</v>
      </c>
      <c r="I79" s="377" t="s">
        <v>645</v>
      </c>
      <c r="J79" s="377" t="s">
        <v>646</v>
      </c>
      <c r="K79" s="377" t="s">
        <v>875</v>
      </c>
      <c r="L79" s="377" t="s">
        <v>465</v>
      </c>
      <c r="M79" s="378">
        <v>4.8450220096000002E-2</v>
      </c>
      <c r="N79" s="379">
        <v>6847</v>
      </c>
      <c r="O79" s="379">
        <v>3350</v>
      </c>
      <c r="P79" s="380">
        <v>13.548986945503339</v>
      </c>
      <c r="Q79" s="380">
        <v>4.7056710636140044</v>
      </c>
      <c r="R79" s="380">
        <v>6.5763847548153391</v>
      </c>
      <c r="S79" s="380">
        <v>5.8025507418961899</v>
      </c>
      <c r="T79" s="381">
        <v>17.084606560325536</v>
      </c>
      <c r="U79" s="380">
        <v>0.4188781887558975</v>
      </c>
      <c r="V79" s="381">
        <v>31.052471694584774</v>
      </c>
      <c r="W79" s="382">
        <v>4.7E-2</v>
      </c>
      <c r="X79" s="382">
        <v>0</v>
      </c>
      <c r="Y79" s="382">
        <v>0.04</v>
      </c>
      <c r="Z79" s="380">
        <v>33.64</v>
      </c>
      <c r="AA79" s="380">
        <v>35.17</v>
      </c>
      <c r="AB79" s="363">
        <f t="shared" si="2"/>
        <v>5.2735593669694936E-15</v>
      </c>
      <c r="AC79" s="363">
        <f t="shared" si="3"/>
        <v>0</v>
      </c>
      <c r="AD79" s="383"/>
    </row>
    <row r="80" spans="3:30">
      <c r="C80" s="377" t="s">
        <v>476</v>
      </c>
      <c r="D80" s="377" t="s">
        <v>1202</v>
      </c>
      <c r="E80" s="377" t="s">
        <v>616</v>
      </c>
      <c r="F80" s="377" t="s">
        <v>700</v>
      </c>
      <c r="G80" s="377">
        <v>19</v>
      </c>
      <c r="H80" s="377" t="s">
        <v>702</v>
      </c>
      <c r="I80" s="377" t="s">
        <v>645</v>
      </c>
      <c r="J80" s="377" t="s">
        <v>646</v>
      </c>
      <c r="K80" s="377" t="s">
        <v>778</v>
      </c>
      <c r="L80" s="377" t="s">
        <v>484</v>
      </c>
      <c r="M80" s="378">
        <v>9.414925151624999E-2</v>
      </c>
      <c r="N80" s="379">
        <v>12566</v>
      </c>
      <c r="O80" s="379">
        <v>5887</v>
      </c>
      <c r="P80" s="380">
        <v>26.716677923728135</v>
      </c>
      <c r="Q80" s="380">
        <v>7.0321532285127031</v>
      </c>
      <c r="R80" s="380">
        <v>9.5062235367154493</v>
      </c>
      <c r="S80" s="380">
        <v>8.7901862658072663</v>
      </c>
      <c r="T80" s="381">
        <v>25.328563031035419</v>
      </c>
      <c r="U80" s="380">
        <v>0.76874884181489822</v>
      </c>
      <c r="V80" s="381">
        <v>52.813989796578454</v>
      </c>
      <c r="W80" s="382">
        <v>4.7E-2</v>
      </c>
      <c r="X80" s="382">
        <v>0</v>
      </c>
      <c r="Y80" s="382">
        <v>0.04</v>
      </c>
      <c r="Z80" s="380">
        <v>57.22</v>
      </c>
      <c r="AA80" s="380">
        <v>59.81</v>
      </c>
      <c r="AB80" s="363">
        <f t="shared" si="2"/>
        <v>8.8817841970012523E-16</v>
      </c>
      <c r="AC80" s="363">
        <f t="shared" si="3"/>
        <v>0</v>
      </c>
      <c r="AD80" s="383"/>
    </row>
    <row r="81" spans="3:30">
      <c r="C81" s="377" t="s">
        <v>489</v>
      </c>
      <c r="D81" s="377" t="s">
        <v>1203</v>
      </c>
      <c r="E81" s="377" t="s">
        <v>1112</v>
      </c>
      <c r="F81" s="377" t="s">
        <v>653</v>
      </c>
      <c r="G81" s="377">
        <v>19</v>
      </c>
      <c r="H81" s="377" t="s">
        <v>702</v>
      </c>
      <c r="I81" s="377" t="s">
        <v>645</v>
      </c>
      <c r="J81" s="377" t="s">
        <v>646</v>
      </c>
      <c r="K81" s="377" t="s">
        <v>778</v>
      </c>
      <c r="L81" s="377" t="s">
        <v>552</v>
      </c>
      <c r="M81" s="378">
        <v>0.10131905851474997</v>
      </c>
      <c r="N81" s="379">
        <v>13665</v>
      </c>
      <c r="O81" s="379">
        <v>6288</v>
      </c>
      <c r="P81" s="380">
        <v>29.280825393336368</v>
      </c>
      <c r="Q81" s="380">
        <v>7.4266003110410459</v>
      </c>
      <c r="R81" s="380">
        <v>9.9815271735834532</v>
      </c>
      <c r="S81" s="380">
        <v>9.3499439569966576</v>
      </c>
      <c r="T81" s="381">
        <v>26.758071441621162</v>
      </c>
      <c r="U81" s="380">
        <v>0.83598224760469386</v>
      </c>
      <c r="V81" s="381">
        <v>56.874879082562224</v>
      </c>
      <c r="W81" s="382">
        <v>4.7E-2</v>
      </c>
      <c r="X81" s="382">
        <v>0</v>
      </c>
      <c r="Y81" s="382">
        <v>0.04</v>
      </c>
      <c r="Z81" s="380">
        <v>61.62</v>
      </c>
      <c r="AA81" s="380">
        <v>64.41</v>
      </c>
      <c r="AB81" s="363">
        <f t="shared" si="2"/>
        <v>5.1070259132757201E-15</v>
      </c>
      <c r="AC81" s="363">
        <f t="shared" si="3"/>
        <v>0</v>
      </c>
      <c r="AD81" s="383"/>
    </row>
    <row r="82" spans="3:30">
      <c r="C82" s="377" t="s">
        <v>477</v>
      </c>
      <c r="D82" s="377" t="s">
        <v>1204</v>
      </c>
      <c r="E82" s="377" t="s">
        <v>618</v>
      </c>
      <c r="F82" s="377" t="s">
        <v>704</v>
      </c>
      <c r="G82" s="377">
        <v>19</v>
      </c>
      <c r="H82" s="377" t="s">
        <v>702</v>
      </c>
      <c r="I82" s="377" t="s">
        <v>645</v>
      </c>
      <c r="J82" s="377" t="s">
        <v>646</v>
      </c>
      <c r="K82" s="377" t="s">
        <v>778</v>
      </c>
      <c r="L82" s="377" t="s">
        <v>485</v>
      </c>
      <c r="M82" s="378">
        <v>0.10878948440324999</v>
      </c>
      <c r="N82" s="379">
        <v>15115</v>
      </c>
      <c r="O82" s="379">
        <v>6976</v>
      </c>
      <c r="P82" s="380">
        <v>32.238329200270705</v>
      </c>
      <c r="Q82" s="380">
        <v>7.7534851067730077</v>
      </c>
      <c r="R82" s="380">
        <v>10.428462319336608</v>
      </c>
      <c r="S82" s="380">
        <v>9.8808872547675737</v>
      </c>
      <c r="T82" s="381">
        <v>28.062834680877192</v>
      </c>
      <c r="U82" s="380">
        <v>0.92468874295974746</v>
      </c>
      <c r="V82" s="381">
        <v>61.225852624107645</v>
      </c>
      <c r="W82" s="382">
        <v>4.7E-2</v>
      </c>
      <c r="X82" s="382">
        <v>0</v>
      </c>
      <c r="Y82" s="382">
        <v>0.04</v>
      </c>
      <c r="Z82" s="380">
        <v>66.33</v>
      </c>
      <c r="AA82" s="380">
        <v>69.34</v>
      </c>
      <c r="AB82" s="363">
        <f t="shared" si="2"/>
        <v>4.6629367034256575E-15</v>
      </c>
      <c r="AC82" s="363">
        <f t="shared" si="3"/>
        <v>0</v>
      </c>
      <c r="AD82" s="383"/>
    </row>
    <row r="83" spans="3:30">
      <c r="C83" s="377" t="s">
        <v>245</v>
      </c>
      <c r="D83" s="377" t="s">
        <v>1205</v>
      </c>
      <c r="E83" s="377" t="s">
        <v>625</v>
      </c>
      <c r="F83" s="377" t="s">
        <v>705</v>
      </c>
      <c r="G83" s="377">
        <v>18</v>
      </c>
      <c r="H83" s="377" t="s">
        <v>676</v>
      </c>
      <c r="I83" s="377" t="s">
        <v>677</v>
      </c>
      <c r="J83" s="377" t="s">
        <v>660</v>
      </c>
      <c r="K83" s="377" t="s">
        <v>778</v>
      </c>
      <c r="L83" s="377" t="s">
        <v>246</v>
      </c>
      <c r="M83" s="378">
        <v>0.10852927444800001</v>
      </c>
      <c r="N83" s="379">
        <v>14240</v>
      </c>
      <c r="O83" s="379">
        <v>6625</v>
      </c>
      <c r="P83" s="380">
        <v>28.697037646700334</v>
      </c>
      <c r="Q83" s="380">
        <v>7.3559608276022406</v>
      </c>
      <c r="R83" s="380">
        <v>9.8111280705391444</v>
      </c>
      <c r="S83" s="380">
        <v>9.2523747741039628</v>
      </c>
      <c r="T83" s="381">
        <v>26.419463672245346</v>
      </c>
      <c r="U83" s="380">
        <v>0.87115896127997372</v>
      </c>
      <c r="V83" s="381">
        <v>55.987660280225654</v>
      </c>
      <c r="W83" s="382">
        <v>4.7E-2</v>
      </c>
      <c r="X83" s="382">
        <v>2.5000000000000001E-3</v>
      </c>
      <c r="Y83" s="382">
        <v>3.2500000000000001E-2</v>
      </c>
      <c r="Z83" s="380">
        <v>60.82</v>
      </c>
      <c r="AA83" s="380">
        <v>62.87</v>
      </c>
      <c r="AB83" s="363">
        <f t="shared" si="2"/>
        <v>-3.1086244689504383E-15</v>
      </c>
      <c r="AC83" s="363">
        <f t="shared" si="3"/>
        <v>0</v>
      </c>
      <c r="AD83" s="383"/>
    </row>
    <row r="84" spans="3:30">
      <c r="C84" s="377" t="s">
        <v>563</v>
      </c>
      <c r="D84" s="377" t="s">
        <v>1206</v>
      </c>
      <c r="E84" s="377" t="s">
        <v>742</v>
      </c>
      <c r="F84" s="377" t="s">
        <v>663</v>
      </c>
      <c r="G84" s="377">
        <v>17</v>
      </c>
      <c r="H84" s="377" t="s">
        <v>684</v>
      </c>
      <c r="I84" s="377" t="s">
        <v>645</v>
      </c>
      <c r="J84" s="377" t="s">
        <v>646</v>
      </c>
      <c r="K84" s="377" t="s">
        <v>778</v>
      </c>
      <c r="L84" s="377" t="s">
        <v>564</v>
      </c>
      <c r="M84" s="378">
        <v>7.537911580975E-2</v>
      </c>
      <c r="N84" s="379">
        <v>12313</v>
      </c>
      <c r="O84" s="379">
        <v>5583</v>
      </c>
      <c r="P84" s="380">
        <v>26.182613241846663</v>
      </c>
      <c r="Q84" s="380">
        <v>6.6133976623703488</v>
      </c>
      <c r="R84" s="380">
        <v>8.7613298262752384</v>
      </c>
      <c r="S84" s="380">
        <v>8.1493412228926729</v>
      </c>
      <c r="T84" s="381">
        <v>23.524068711538263</v>
      </c>
      <c r="U84" s="380">
        <v>0.75327108779777507</v>
      </c>
      <c r="V84" s="381">
        <v>50.4599530411827</v>
      </c>
      <c r="W84" s="382">
        <v>4.7E-2</v>
      </c>
      <c r="X84" s="382">
        <v>0</v>
      </c>
      <c r="Y84" s="382">
        <v>0.04</v>
      </c>
      <c r="Z84" s="380">
        <v>54.67</v>
      </c>
      <c r="AA84" s="380">
        <v>57.15</v>
      </c>
      <c r="AB84" s="363">
        <f t="shared" si="2"/>
        <v>8.8817841970012523E-16</v>
      </c>
      <c r="AC84" s="363">
        <f t="shared" si="3"/>
        <v>0</v>
      </c>
      <c r="AD84" s="383"/>
    </row>
    <row r="85" spans="3:30">
      <c r="C85" s="377" t="s">
        <v>785</v>
      </c>
      <c r="D85" s="377" t="s">
        <v>1207</v>
      </c>
      <c r="E85" s="377" t="s">
        <v>1112</v>
      </c>
      <c r="F85" s="377" t="s">
        <v>647</v>
      </c>
      <c r="G85" s="377">
        <v>13</v>
      </c>
      <c r="H85" s="377" t="s">
        <v>650</v>
      </c>
      <c r="I85" s="377" t="s">
        <v>645</v>
      </c>
      <c r="J85" s="377" t="s">
        <v>646</v>
      </c>
      <c r="K85" s="377" t="s">
        <v>875</v>
      </c>
      <c r="L85" s="377" t="s">
        <v>826</v>
      </c>
      <c r="M85" s="378">
        <v>3.4398117490750016E-2</v>
      </c>
      <c r="N85" s="379">
        <v>4611</v>
      </c>
      <c r="O85" s="379">
        <v>2306</v>
      </c>
      <c r="P85" s="380">
        <v>9.5021673259296868</v>
      </c>
      <c r="Q85" s="380">
        <v>3.9329627706728285</v>
      </c>
      <c r="R85" s="380">
        <v>5.4067327876072238</v>
      </c>
      <c r="S85" s="380">
        <v>4.5434061264815577</v>
      </c>
      <c r="T85" s="381">
        <v>13.883101684761607</v>
      </c>
      <c r="U85" s="380">
        <v>0.28208665522907012</v>
      </c>
      <c r="V85" s="381">
        <v>23.667355665920365</v>
      </c>
      <c r="W85" s="382">
        <v>4.7E-2</v>
      </c>
      <c r="X85" s="382">
        <v>0</v>
      </c>
      <c r="Y85" s="382">
        <v>0.04</v>
      </c>
      <c r="Z85" s="380">
        <v>25.64</v>
      </c>
      <c r="AA85" s="380">
        <v>26.8</v>
      </c>
      <c r="AB85" s="363">
        <f t="shared" si="2"/>
        <v>-2.1649348980190553E-15</v>
      </c>
      <c r="AC85" s="363">
        <f t="shared" si="3"/>
        <v>0</v>
      </c>
      <c r="AD85" s="383"/>
    </row>
    <row r="86" spans="3:30">
      <c r="C86" s="377" t="s">
        <v>555</v>
      </c>
      <c r="D86" s="377" t="s">
        <v>1208</v>
      </c>
      <c r="E86" s="377" t="s">
        <v>626</v>
      </c>
      <c r="F86" s="377" t="s">
        <v>706</v>
      </c>
      <c r="G86" s="377">
        <v>18</v>
      </c>
      <c r="H86" s="377" t="s">
        <v>707</v>
      </c>
      <c r="I86" s="377" t="s">
        <v>645</v>
      </c>
      <c r="J86" s="377" t="s">
        <v>646</v>
      </c>
      <c r="K86" s="377" t="s">
        <v>778</v>
      </c>
      <c r="L86" s="377" t="s">
        <v>560</v>
      </c>
      <c r="M86" s="378">
        <v>0.12500951169600003</v>
      </c>
      <c r="N86" s="379">
        <v>16267</v>
      </c>
      <c r="O86" s="379">
        <v>7735</v>
      </c>
      <c r="P86" s="380">
        <v>33.645727579234105</v>
      </c>
      <c r="Q86" s="380">
        <v>8.1299161436202105</v>
      </c>
      <c r="R86" s="380">
        <v>11.022848756247029</v>
      </c>
      <c r="S86" s="380">
        <v>10.492180486334343</v>
      </c>
      <c r="T86" s="381">
        <v>29.644945386201588</v>
      </c>
      <c r="U86" s="380">
        <v>0.99516452409700362</v>
      </c>
      <c r="V86" s="381">
        <v>64.285837489532696</v>
      </c>
      <c r="W86" s="382">
        <v>4.7E-2</v>
      </c>
      <c r="X86" s="382">
        <v>0</v>
      </c>
      <c r="Y86" s="382">
        <v>0.04</v>
      </c>
      <c r="Z86" s="380">
        <v>69.650000000000006</v>
      </c>
      <c r="AA86" s="380">
        <v>72.8</v>
      </c>
      <c r="AB86" s="363">
        <f t="shared" si="2"/>
        <v>4.7739590058881731E-15</v>
      </c>
      <c r="AC86" s="363">
        <f t="shared" si="3"/>
        <v>0</v>
      </c>
      <c r="AD86" s="383"/>
    </row>
    <row r="87" spans="3:30">
      <c r="C87" s="377" t="s">
        <v>556</v>
      </c>
      <c r="D87" s="377" t="s">
        <v>1209</v>
      </c>
      <c r="E87" s="377" t="s">
        <v>627</v>
      </c>
      <c r="F87" s="377" t="s">
        <v>708</v>
      </c>
      <c r="G87" s="377">
        <v>17</v>
      </c>
      <c r="H87" s="377" t="s">
        <v>709</v>
      </c>
      <c r="I87" s="377" t="s">
        <v>645</v>
      </c>
      <c r="J87" s="377" t="s">
        <v>646</v>
      </c>
      <c r="K87" s="377" t="s">
        <v>778</v>
      </c>
      <c r="L87" s="377" t="s">
        <v>562</v>
      </c>
      <c r="M87" s="378">
        <v>0.12536453756224999</v>
      </c>
      <c r="N87" s="379">
        <v>16079.999999999998</v>
      </c>
      <c r="O87" s="379">
        <v>7728</v>
      </c>
      <c r="P87" s="380">
        <v>33.03609063101527</v>
      </c>
      <c r="Q87" s="380">
        <v>7.9159018790496711</v>
      </c>
      <c r="R87" s="380">
        <v>10.674857685755207</v>
      </c>
      <c r="S87" s="380">
        <v>10.21971676987717</v>
      </c>
      <c r="T87" s="381">
        <v>28.810476334682043</v>
      </c>
      <c r="U87" s="380">
        <v>0.9837244450408692</v>
      </c>
      <c r="V87" s="381">
        <v>62.830291410738184</v>
      </c>
      <c r="W87" s="382">
        <v>4.7E-2</v>
      </c>
      <c r="X87" s="382">
        <v>0</v>
      </c>
      <c r="Y87" s="382">
        <v>0.04</v>
      </c>
      <c r="Z87" s="380">
        <v>68.069999999999993</v>
      </c>
      <c r="AA87" s="380">
        <v>71.16</v>
      </c>
      <c r="AB87" s="363">
        <f t="shared" si="2"/>
        <v>-2.3314683517128287E-15</v>
      </c>
      <c r="AC87" s="363">
        <f t="shared" si="3"/>
        <v>0</v>
      </c>
      <c r="AD87" s="383"/>
    </row>
    <row r="88" spans="3:30">
      <c r="C88" s="377" t="s">
        <v>553</v>
      </c>
      <c r="D88" s="377" t="s">
        <v>1210</v>
      </c>
      <c r="E88" s="377" t="s">
        <v>1112</v>
      </c>
      <c r="F88" s="377" t="s">
        <v>658</v>
      </c>
      <c r="G88" s="377">
        <v>16</v>
      </c>
      <c r="H88" s="377" t="s">
        <v>679</v>
      </c>
      <c r="I88" s="377" t="s">
        <v>645</v>
      </c>
      <c r="J88" s="377" t="s">
        <v>646</v>
      </c>
      <c r="K88" s="377" t="s">
        <v>879</v>
      </c>
      <c r="L88" s="377" t="s">
        <v>554</v>
      </c>
      <c r="M88" s="378">
        <v>5.9195014081250004E-2</v>
      </c>
      <c r="N88" s="379">
        <v>9010</v>
      </c>
      <c r="O88" s="379">
        <v>4260</v>
      </c>
      <c r="P88" s="380">
        <v>18.548261955802271</v>
      </c>
      <c r="Q88" s="380">
        <v>5.5357340279129019</v>
      </c>
      <c r="R88" s="380">
        <v>7.5611702415864084</v>
      </c>
      <c r="S88" s="380">
        <v>6.8406342755803005</v>
      </c>
      <c r="T88" s="381">
        <v>19.937538545079612</v>
      </c>
      <c r="U88" s="380">
        <v>0.55120380906829791</v>
      </c>
      <c r="V88" s="381">
        <v>39.037004309950177</v>
      </c>
      <c r="W88" s="382">
        <v>4.7E-2</v>
      </c>
      <c r="X88" s="382">
        <v>0</v>
      </c>
      <c r="Y88" s="382">
        <v>0.04</v>
      </c>
      <c r="Z88" s="380">
        <v>42.29</v>
      </c>
      <c r="AA88" s="380">
        <v>44.21</v>
      </c>
      <c r="AB88" s="363">
        <f t="shared" si="2"/>
        <v>-2.7755575615628914E-15</v>
      </c>
      <c r="AC88" s="363">
        <f t="shared" si="3"/>
        <v>0</v>
      </c>
      <c r="AD88" s="383"/>
    </row>
    <row r="89" spans="3:30">
      <c r="C89" s="377" t="s">
        <v>786</v>
      </c>
      <c r="D89" s="377" t="s">
        <v>1211</v>
      </c>
      <c r="E89" s="377" t="s">
        <v>1112</v>
      </c>
      <c r="F89" s="377" t="s">
        <v>647</v>
      </c>
      <c r="G89" s="377">
        <v>14</v>
      </c>
      <c r="H89" s="377" t="s">
        <v>650</v>
      </c>
      <c r="I89" s="377" t="s">
        <v>645</v>
      </c>
      <c r="J89" s="377" t="s">
        <v>646</v>
      </c>
      <c r="K89" s="377" t="s">
        <v>875</v>
      </c>
      <c r="L89" s="377" t="s">
        <v>827</v>
      </c>
      <c r="M89" s="378">
        <v>3.7763102886750007E-2</v>
      </c>
      <c r="N89" s="379">
        <v>4918</v>
      </c>
      <c r="O89" s="379">
        <v>2412</v>
      </c>
      <c r="P89" s="380">
        <v>10.115691744125861</v>
      </c>
      <c r="Q89" s="380">
        <v>4.12296821923458</v>
      </c>
      <c r="R89" s="380">
        <v>5.5529012674698786</v>
      </c>
      <c r="S89" s="380">
        <v>4.6692522064827733</v>
      </c>
      <c r="T89" s="381">
        <v>14.345121693187235</v>
      </c>
      <c r="U89" s="380">
        <v>0.30086796148700212</v>
      </c>
      <c r="V89" s="381">
        <v>24.7616813988001</v>
      </c>
      <c r="W89" s="382">
        <v>4.7E-2</v>
      </c>
      <c r="X89" s="382">
        <v>0</v>
      </c>
      <c r="Y89" s="382">
        <v>0.04</v>
      </c>
      <c r="Z89" s="380">
        <v>26.83</v>
      </c>
      <c r="AA89" s="380">
        <v>28.04</v>
      </c>
      <c r="AB89" s="363">
        <f t="shared" si="2"/>
        <v>5.440092820663267E-15</v>
      </c>
      <c r="AC89" s="363">
        <f t="shared" si="3"/>
        <v>0</v>
      </c>
      <c r="AD89" s="383"/>
    </row>
    <row r="90" spans="3:30">
      <c r="C90" s="377" t="s">
        <v>206</v>
      </c>
      <c r="D90" s="377" t="s">
        <v>1212</v>
      </c>
      <c r="E90" s="377" t="s">
        <v>607</v>
      </c>
      <c r="F90" s="377" t="s">
        <v>700</v>
      </c>
      <c r="G90" s="377">
        <v>18</v>
      </c>
      <c r="H90" s="377" t="s">
        <v>676</v>
      </c>
      <c r="I90" s="377" t="s">
        <v>677</v>
      </c>
      <c r="J90" s="377" t="s">
        <v>660</v>
      </c>
      <c r="K90" s="377" t="s">
        <v>778</v>
      </c>
      <c r="L90" s="377" t="s">
        <v>210</v>
      </c>
      <c r="M90" s="378">
        <v>8.771234414625001E-2</v>
      </c>
      <c r="N90" s="379">
        <v>12295</v>
      </c>
      <c r="O90" s="379">
        <v>5722</v>
      </c>
      <c r="P90" s="380">
        <v>23.624727588077885</v>
      </c>
      <c r="Q90" s="380">
        <v>6.5702044398964343</v>
      </c>
      <c r="R90" s="380">
        <v>8.6541573746077685</v>
      </c>
      <c r="S90" s="380">
        <v>8.0078482333330498</v>
      </c>
      <c r="T90" s="381">
        <v>23.232210047837256</v>
      </c>
      <c r="U90" s="380">
        <v>0.75216990371750547</v>
      </c>
      <c r="V90" s="381">
        <v>47.609107539632646</v>
      </c>
      <c r="W90" s="382">
        <v>4.7E-2</v>
      </c>
      <c r="X90" s="382">
        <v>2.5000000000000001E-3</v>
      </c>
      <c r="Y90" s="382">
        <v>3.2500000000000001E-2</v>
      </c>
      <c r="Z90" s="380">
        <v>51.72</v>
      </c>
      <c r="AA90" s="380">
        <v>53.46</v>
      </c>
      <c r="AB90" s="363">
        <f t="shared" si="2"/>
        <v>4.5519144009631418E-15</v>
      </c>
      <c r="AC90" s="363">
        <f t="shared" si="3"/>
        <v>0</v>
      </c>
      <c r="AD90" s="383"/>
    </row>
    <row r="91" spans="3:30">
      <c r="C91" s="377" t="s">
        <v>787</v>
      </c>
      <c r="D91" s="377" t="s">
        <v>1213</v>
      </c>
      <c r="E91" s="377" t="s">
        <v>1112</v>
      </c>
      <c r="F91" s="377" t="s">
        <v>651</v>
      </c>
      <c r="G91" s="377">
        <v>15</v>
      </c>
      <c r="H91" s="377" t="s">
        <v>650</v>
      </c>
      <c r="I91" s="377" t="s">
        <v>645</v>
      </c>
      <c r="J91" s="377" t="s">
        <v>646</v>
      </c>
      <c r="K91" s="377" t="s">
        <v>876</v>
      </c>
      <c r="L91" s="377" t="s">
        <v>828</v>
      </c>
      <c r="M91" s="378">
        <v>5.6094935256249999E-2</v>
      </c>
      <c r="N91" s="379">
        <v>6918</v>
      </c>
      <c r="O91" s="379">
        <v>3406</v>
      </c>
      <c r="P91" s="380">
        <v>14.361261939768085</v>
      </c>
      <c r="Q91" s="380">
        <v>4.7959271239193093</v>
      </c>
      <c r="R91" s="380">
        <v>6.6120745002556172</v>
      </c>
      <c r="S91" s="380">
        <v>5.7970302409161167</v>
      </c>
      <c r="T91" s="381">
        <v>17.205031865091044</v>
      </c>
      <c r="U91" s="380">
        <v>0.42322174818362773</v>
      </c>
      <c r="V91" s="381">
        <v>31.989515553042757</v>
      </c>
      <c r="W91" s="382">
        <v>4.7E-2</v>
      </c>
      <c r="X91" s="382">
        <v>0</v>
      </c>
      <c r="Y91" s="382">
        <v>0.04</v>
      </c>
      <c r="Z91" s="380">
        <v>34.659999999999997</v>
      </c>
      <c r="AA91" s="380">
        <v>36.229999999999997</v>
      </c>
      <c r="AB91" s="363">
        <f t="shared" si="2"/>
        <v>1.8318679906315083E-15</v>
      </c>
      <c r="AC91" s="363">
        <f t="shared" si="3"/>
        <v>0</v>
      </c>
      <c r="AD91" s="383"/>
    </row>
    <row r="92" spans="3:30">
      <c r="C92" s="377" t="s">
        <v>813</v>
      </c>
      <c r="D92" s="377" t="s">
        <v>1214</v>
      </c>
      <c r="E92" s="377" t="s">
        <v>1112</v>
      </c>
      <c r="F92" s="377" t="s">
        <v>643</v>
      </c>
      <c r="G92" s="377">
        <v>14</v>
      </c>
      <c r="H92" s="377" t="s">
        <v>650</v>
      </c>
      <c r="I92" s="377" t="s">
        <v>645</v>
      </c>
      <c r="J92" s="377" t="s">
        <v>646</v>
      </c>
      <c r="K92" s="377" t="s">
        <v>875</v>
      </c>
      <c r="L92" s="377" t="s">
        <v>829</v>
      </c>
      <c r="M92" s="378">
        <v>5.4856298161000017E-2</v>
      </c>
      <c r="N92" s="379">
        <v>6676</v>
      </c>
      <c r="O92" s="379">
        <v>3298</v>
      </c>
      <c r="P92" s="380">
        <v>13.79108716830388</v>
      </c>
      <c r="Q92" s="380">
        <v>4.6540914675798666</v>
      </c>
      <c r="R92" s="380">
        <v>6.2812915750868079</v>
      </c>
      <c r="S92" s="380">
        <v>5.4925766018367721</v>
      </c>
      <c r="T92" s="381">
        <v>16.427959644503442</v>
      </c>
      <c r="U92" s="380">
        <v>0.40841693999333606</v>
      </c>
      <c r="V92" s="381">
        <v>30.627463752800658</v>
      </c>
      <c r="W92" s="382">
        <v>4.7E-2</v>
      </c>
      <c r="X92" s="382">
        <v>0</v>
      </c>
      <c r="Y92" s="382">
        <v>0.04</v>
      </c>
      <c r="Z92" s="380">
        <v>33.18</v>
      </c>
      <c r="AA92" s="380">
        <v>34.69</v>
      </c>
      <c r="AB92" s="363">
        <f t="shared" si="2"/>
        <v>-7.6605388699135801E-15</v>
      </c>
      <c r="AC92" s="363">
        <f t="shared" si="3"/>
        <v>0</v>
      </c>
      <c r="AD92" s="383"/>
    </row>
    <row r="93" spans="3:30">
      <c r="C93" s="377" t="s">
        <v>814</v>
      </c>
      <c r="D93" s="377" t="s">
        <v>1215</v>
      </c>
      <c r="E93" s="377" t="s">
        <v>1112</v>
      </c>
      <c r="F93" s="377" t="s">
        <v>652</v>
      </c>
      <c r="G93" s="377">
        <v>15</v>
      </c>
      <c r="H93" s="377" t="s">
        <v>650</v>
      </c>
      <c r="I93" s="377" t="s">
        <v>645</v>
      </c>
      <c r="J93" s="377" t="s">
        <v>646</v>
      </c>
      <c r="K93" s="377" t="s">
        <v>876</v>
      </c>
      <c r="L93" s="377" t="s">
        <v>835</v>
      </c>
      <c r="M93" s="378">
        <v>5.086615034375E-2</v>
      </c>
      <c r="N93" s="379">
        <v>6279</v>
      </c>
      <c r="O93" s="379">
        <v>3084</v>
      </c>
      <c r="P93" s="380">
        <v>13.063297696360427</v>
      </c>
      <c r="Q93" s="380">
        <v>4.6268439493385225</v>
      </c>
      <c r="R93" s="380">
        <v>6.4082645699798109</v>
      </c>
      <c r="S93" s="380">
        <v>5.5490243332581581</v>
      </c>
      <c r="T93" s="381">
        <v>16.584132852576495</v>
      </c>
      <c r="U93" s="380">
        <v>0.38412971333405593</v>
      </c>
      <c r="V93" s="381">
        <v>30.031560262270979</v>
      </c>
      <c r="W93" s="382">
        <v>4.7E-2</v>
      </c>
      <c r="X93" s="382">
        <v>0</v>
      </c>
      <c r="Y93" s="382">
        <v>0.04</v>
      </c>
      <c r="Z93" s="380">
        <v>32.54</v>
      </c>
      <c r="AA93" s="380">
        <v>34.01</v>
      </c>
      <c r="AB93" s="363">
        <f t="shared" si="2"/>
        <v>3.1641356201816961E-15</v>
      </c>
      <c r="AC93" s="363">
        <f t="shared" si="3"/>
        <v>0</v>
      </c>
      <c r="AD93" s="383"/>
    </row>
    <row r="94" spans="3:30">
      <c r="C94" s="377" t="s">
        <v>788</v>
      </c>
      <c r="D94" s="377" t="s">
        <v>1216</v>
      </c>
      <c r="E94" s="377" t="s">
        <v>1112</v>
      </c>
      <c r="F94" s="377" t="s">
        <v>664</v>
      </c>
      <c r="G94" s="377">
        <v>15</v>
      </c>
      <c r="H94" s="377" t="s">
        <v>650</v>
      </c>
      <c r="I94" s="377" t="s">
        <v>645</v>
      </c>
      <c r="J94" s="377" t="s">
        <v>646</v>
      </c>
      <c r="K94" s="377" t="s">
        <v>876</v>
      </c>
      <c r="L94" s="377" t="s">
        <v>836</v>
      </c>
      <c r="M94" s="378">
        <v>6.1626502518749994E-2</v>
      </c>
      <c r="N94" s="379">
        <v>7269</v>
      </c>
      <c r="O94" s="379">
        <v>3592</v>
      </c>
      <c r="P94" s="380">
        <v>15.079965915122388</v>
      </c>
      <c r="Q94" s="380">
        <v>4.9066161630508693</v>
      </c>
      <c r="R94" s="380">
        <v>6.5999080470340914</v>
      </c>
      <c r="S94" s="380">
        <v>5.820147545702846</v>
      </c>
      <c r="T94" s="381">
        <v>17.32667175578781</v>
      </c>
      <c r="U94" s="380">
        <v>0.44469483774888546</v>
      </c>
      <c r="V94" s="381">
        <v>32.851332508659084</v>
      </c>
      <c r="W94" s="382">
        <v>4.7E-2</v>
      </c>
      <c r="X94" s="382">
        <v>0</v>
      </c>
      <c r="Y94" s="382">
        <v>0.04</v>
      </c>
      <c r="Z94" s="380">
        <v>35.590000000000003</v>
      </c>
      <c r="AA94" s="380">
        <v>37.200000000000003</v>
      </c>
      <c r="AB94" s="363">
        <f t="shared" si="2"/>
        <v>4.496403249731884E-15</v>
      </c>
      <c r="AC94" s="363">
        <f t="shared" si="3"/>
        <v>0</v>
      </c>
      <c r="AD94" s="383"/>
    </row>
    <row r="95" spans="3:30">
      <c r="C95" s="377" t="s">
        <v>846</v>
      </c>
      <c r="D95" s="377" t="s">
        <v>976</v>
      </c>
      <c r="E95" s="377" t="s">
        <v>606</v>
      </c>
      <c r="F95" s="377" t="s">
        <v>647</v>
      </c>
      <c r="G95" s="377">
        <v>14</v>
      </c>
      <c r="H95" s="377" t="s">
        <v>648</v>
      </c>
      <c r="I95" s="377" t="s">
        <v>645</v>
      </c>
      <c r="J95" s="377" t="s">
        <v>646</v>
      </c>
      <c r="K95" s="377" t="s">
        <v>875</v>
      </c>
      <c r="L95" s="377" t="s">
        <v>908</v>
      </c>
      <c r="M95" s="378">
        <v>3.7763102886750007E-2</v>
      </c>
      <c r="N95" s="379">
        <v>5068</v>
      </c>
      <c r="O95" s="379">
        <v>2352</v>
      </c>
      <c r="P95" s="380">
        <v>10.952637557791075</v>
      </c>
      <c r="Q95" s="380">
        <v>4.1733851260977737</v>
      </c>
      <c r="R95" s="380">
        <v>5.6377286882113511</v>
      </c>
      <c r="S95" s="380">
        <v>4.7553297763010063</v>
      </c>
      <c r="T95" s="381">
        <v>14.566443590610133</v>
      </c>
      <c r="U95" s="380">
        <v>0.31004449548924912</v>
      </c>
      <c r="V95" s="381">
        <v>25.829125643890457</v>
      </c>
      <c r="W95" s="382">
        <v>4.7E-2</v>
      </c>
      <c r="X95" s="382">
        <v>0</v>
      </c>
      <c r="Y95" s="382">
        <v>0.04</v>
      </c>
      <c r="Z95" s="380">
        <v>27.98</v>
      </c>
      <c r="AA95" s="380">
        <v>29.25</v>
      </c>
      <c r="AB95" s="363">
        <f t="shared" si="2"/>
        <v>1.8318679906315083E-15</v>
      </c>
      <c r="AC95" s="363">
        <f t="shared" si="3"/>
        <v>0</v>
      </c>
      <c r="AD95" s="383"/>
    </row>
    <row r="96" spans="3:30">
      <c r="C96" s="377" t="s">
        <v>847</v>
      </c>
      <c r="D96" s="377" t="s">
        <v>977</v>
      </c>
      <c r="E96" s="377" t="s">
        <v>606</v>
      </c>
      <c r="F96" s="377" t="s">
        <v>670</v>
      </c>
      <c r="G96" s="377">
        <v>14</v>
      </c>
      <c r="H96" s="377" t="s">
        <v>648</v>
      </c>
      <c r="I96" s="377" t="s">
        <v>645</v>
      </c>
      <c r="J96" s="377" t="s">
        <v>646</v>
      </c>
      <c r="K96" s="377" t="s">
        <v>875</v>
      </c>
      <c r="L96" s="377" t="s">
        <v>909</v>
      </c>
      <c r="M96" s="378">
        <v>3.9695910144E-2</v>
      </c>
      <c r="N96" s="379">
        <v>5667</v>
      </c>
      <c r="O96" s="379">
        <v>2589</v>
      </c>
      <c r="P96" s="380">
        <v>12.327111379037213</v>
      </c>
      <c r="Q96" s="380">
        <v>4.3158721538765707</v>
      </c>
      <c r="R96" s="380">
        <v>5.9105057349229462</v>
      </c>
      <c r="S96" s="380">
        <v>5.0672255054833784</v>
      </c>
      <c r="T96" s="381">
        <v>15.293603394282894</v>
      </c>
      <c r="U96" s="380">
        <v>0.34668945460488848</v>
      </c>
      <c r="V96" s="381">
        <v>27.967404227924995</v>
      </c>
      <c r="W96" s="382">
        <v>4.7E-2</v>
      </c>
      <c r="X96" s="382">
        <v>0</v>
      </c>
      <c r="Y96" s="382">
        <v>0.04</v>
      </c>
      <c r="Z96" s="380">
        <v>30.3</v>
      </c>
      <c r="AA96" s="380">
        <v>31.67</v>
      </c>
      <c r="AB96" s="363">
        <f t="shared" si="2"/>
        <v>-1.8318679906315083E-15</v>
      </c>
      <c r="AC96" s="363">
        <f t="shared" si="3"/>
        <v>0</v>
      </c>
      <c r="AD96" s="383"/>
    </row>
    <row r="97" spans="3:30">
      <c r="C97" s="377" t="s">
        <v>848</v>
      </c>
      <c r="D97" s="377" t="s">
        <v>1217</v>
      </c>
      <c r="E97" s="377" t="s">
        <v>864</v>
      </c>
      <c r="F97" s="377" t="s">
        <v>652</v>
      </c>
      <c r="G97" s="377">
        <v>14</v>
      </c>
      <c r="H97" s="377" t="s">
        <v>648</v>
      </c>
      <c r="I97" s="377" t="s">
        <v>645</v>
      </c>
      <c r="J97" s="377" t="s">
        <v>646</v>
      </c>
      <c r="K97" s="377" t="s">
        <v>875</v>
      </c>
      <c r="L97" s="377" t="s">
        <v>910</v>
      </c>
      <c r="M97" s="378">
        <v>4.670827067375001E-2</v>
      </c>
      <c r="N97" s="379">
        <v>6092</v>
      </c>
      <c r="O97" s="379">
        <v>2844</v>
      </c>
      <c r="P97" s="380">
        <v>13.278955659248119</v>
      </c>
      <c r="Q97" s="380">
        <v>4.4524527858408147</v>
      </c>
      <c r="R97" s="380">
        <v>6.0327716368627957</v>
      </c>
      <c r="S97" s="380">
        <v>5.2282929984242026</v>
      </c>
      <c r="T97" s="381">
        <v>15.713517421127813</v>
      </c>
      <c r="U97" s="380">
        <v>0.37268963427792134</v>
      </c>
      <c r="V97" s="381">
        <v>29.365162714653852</v>
      </c>
      <c r="W97" s="382">
        <v>4.7E-2</v>
      </c>
      <c r="X97" s="382">
        <v>0</v>
      </c>
      <c r="Y97" s="382">
        <v>0.04</v>
      </c>
      <c r="Z97" s="380">
        <v>31.81</v>
      </c>
      <c r="AA97" s="380">
        <v>33.26</v>
      </c>
      <c r="AB97" s="363">
        <f t="shared" si="2"/>
        <v>-1.9984014443252818E-15</v>
      </c>
      <c r="AC97" s="363">
        <f t="shared" si="3"/>
        <v>0</v>
      </c>
      <c r="AD97" s="383"/>
    </row>
    <row r="98" spans="3:30">
      <c r="C98" s="377" t="s">
        <v>849</v>
      </c>
      <c r="D98" s="377" t="s">
        <v>978</v>
      </c>
      <c r="E98" s="377" t="s">
        <v>865</v>
      </c>
      <c r="F98" s="377" t="s">
        <v>661</v>
      </c>
      <c r="G98" s="377">
        <v>14</v>
      </c>
      <c r="H98" s="377" t="s">
        <v>648</v>
      </c>
      <c r="I98" s="377" t="s">
        <v>645</v>
      </c>
      <c r="J98" s="377" t="s">
        <v>646</v>
      </c>
      <c r="K98" s="377" t="s">
        <v>875</v>
      </c>
      <c r="L98" s="377" t="s">
        <v>911</v>
      </c>
      <c r="M98" s="378">
        <v>4.9553959455000005E-2</v>
      </c>
      <c r="N98" s="379">
        <v>6224</v>
      </c>
      <c r="O98" s="379">
        <v>2921</v>
      </c>
      <c r="P98" s="380">
        <v>13.481813957733571</v>
      </c>
      <c r="Q98" s="380">
        <v>4.4792978975839404</v>
      </c>
      <c r="R98" s="380">
        <v>5.9057299526730507</v>
      </c>
      <c r="S98" s="380">
        <v>5.1237003501645493</v>
      </c>
      <c r="T98" s="381">
        <v>15.508728200421542</v>
      </c>
      <c r="U98" s="380">
        <v>0.38076498419989863</v>
      </c>
      <c r="V98" s="381">
        <v>29.371307142355015</v>
      </c>
      <c r="W98" s="382">
        <v>4.7E-2</v>
      </c>
      <c r="X98" s="382">
        <v>0</v>
      </c>
      <c r="Y98" s="382">
        <v>0.04</v>
      </c>
      <c r="Z98" s="380">
        <v>31.82</v>
      </c>
      <c r="AA98" s="380">
        <v>33.26</v>
      </c>
      <c r="AB98" s="363">
        <f t="shared" si="2"/>
        <v>4.3853809472693683E-15</v>
      </c>
      <c r="AC98" s="363">
        <f t="shared" si="3"/>
        <v>0</v>
      </c>
      <c r="AD98" s="383"/>
    </row>
    <row r="99" spans="3:30">
      <c r="C99" s="377" t="s">
        <v>850</v>
      </c>
      <c r="D99" s="377" t="s">
        <v>1218</v>
      </c>
      <c r="E99" s="377" t="s">
        <v>740</v>
      </c>
      <c r="F99" s="377" t="s">
        <v>651</v>
      </c>
      <c r="G99" s="377">
        <v>15</v>
      </c>
      <c r="H99" s="377" t="s">
        <v>648</v>
      </c>
      <c r="I99" s="377" t="s">
        <v>645</v>
      </c>
      <c r="J99" s="377" t="s">
        <v>646</v>
      </c>
      <c r="K99" s="377" t="s">
        <v>876</v>
      </c>
      <c r="L99" s="377" t="s">
        <v>912</v>
      </c>
      <c r="M99" s="378">
        <v>5.6094935256249999E-2</v>
      </c>
      <c r="N99" s="379">
        <v>7037</v>
      </c>
      <c r="O99" s="379">
        <v>3267</v>
      </c>
      <c r="P99" s="380">
        <v>15.346224636850025</v>
      </c>
      <c r="Q99" s="380">
        <v>4.8186412687355666</v>
      </c>
      <c r="R99" s="380">
        <v>6.5771026651245394</v>
      </c>
      <c r="S99" s="380">
        <v>5.7743325938081487</v>
      </c>
      <c r="T99" s="381">
        <v>17.170076527668257</v>
      </c>
      <c r="U99" s="380">
        <v>0.43050179849207687</v>
      </c>
      <c r="V99" s="381">
        <v>32.946802963010356</v>
      </c>
      <c r="W99" s="382">
        <v>4.7E-2</v>
      </c>
      <c r="X99" s="382">
        <v>0</v>
      </c>
      <c r="Y99" s="382">
        <v>0.04</v>
      </c>
      <c r="Z99" s="380">
        <v>35.700000000000003</v>
      </c>
      <c r="AA99" s="380">
        <v>37.31</v>
      </c>
      <c r="AB99" s="363">
        <f t="shared" si="2"/>
        <v>0</v>
      </c>
      <c r="AC99" s="363">
        <f t="shared" si="3"/>
        <v>0</v>
      </c>
      <c r="AD99" s="383"/>
    </row>
    <row r="100" spans="3:30">
      <c r="C100" s="377" t="s">
        <v>851</v>
      </c>
      <c r="D100" s="377" t="s">
        <v>1219</v>
      </c>
      <c r="E100" s="377" t="s">
        <v>740</v>
      </c>
      <c r="F100" s="377" t="s">
        <v>643</v>
      </c>
      <c r="G100" s="377">
        <v>14</v>
      </c>
      <c r="H100" s="377" t="s">
        <v>644</v>
      </c>
      <c r="I100" s="377" t="s">
        <v>645</v>
      </c>
      <c r="J100" s="377" t="s">
        <v>646</v>
      </c>
      <c r="K100" s="377" t="s">
        <v>875</v>
      </c>
      <c r="L100" s="377" t="s">
        <v>913</v>
      </c>
      <c r="M100" s="378">
        <v>5.4856298161000017E-2</v>
      </c>
      <c r="N100" s="379">
        <v>6621</v>
      </c>
      <c r="O100" s="379">
        <v>3087</v>
      </c>
      <c r="P100" s="380">
        <v>14.370423961750138</v>
      </c>
      <c r="Q100" s="380">
        <v>4.6200951860787809</v>
      </c>
      <c r="R100" s="380">
        <v>6.0996011326927349</v>
      </c>
      <c r="S100" s="380">
        <v>5.3297158490861758</v>
      </c>
      <c r="T100" s="381">
        <v>16.049412167857692</v>
      </c>
      <c r="U100" s="380">
        <v>0.40505221085917881</v>
      </c>
      <c r="V100" s="381">
        <v>30.824888340467009</v>
      </c>
      <c r="W100" s="382">
        <v>4.7E-2</v>
      </c>
      <c r="X100" s="382">
        <v>0</v>
      </c>
      <c r="Y100" s="382">
        <v>0.04</v>
      </c>
      <c r="Z100" s="380">
        <v>33.4</v>
      </c>
      <c r="AA100" s="380">
        <v>34.909999999999997</v>
      </c>
      <c r="AB100" s="363">
        <f t="shared" si="2"/>
        <v>0</v>
      </c>
      <c r="AC100" s="363">
        <f t="shared" si="3"/>
        <v>0</v>
      </c>
      <c r="AD100" s="383"/>
    </row>
    <row r="101" spans="3:30">
      <c r="C101" s="377" t="s">
        <v>207</v>
      </c>
      <c r="D101" s="377" t="s">
        <v>1220</v>
      </c>
      <c r="E101" s="377" t="s">
        <v>628</v>
      </c>
      <c r="F101" s="377" t="s">
        <v>653</v>
      </c>
      <c r="G101" s="377">
        <v>18</v>
      </c>
      <c r="H101" s="377" t="s">
        <v>676</v>
      </c>
      <c r="I101" s="377" t="s">
        <v>677</v>
      </c>
      <c r="J101" s="377" t="s">
        <v>660</v>
      </c>
      <c r="K101" s="377" t="s">
        <v>778</v>
      </c>
      <c r="L101" s="377" t="s">
        <v>211</v>
      </c>
      <c r="M101" s="378">
        <v>9.4492981742750018E-2</v>
      </c>
      <c r="N101" s="379">
        <v>13335</v>
      </c>
      <c r="O101" s="379">
        <v>6192</v>
      </c>
      <c r="P101" s="380">
        <v>26.833871715120249</v>
      </c>
      <c r="Q101" s="380">
        <v>7.138851724109383</v>
      </c>
      <c r="R101" s="380">
        <v>9.3431515471156548</v>
      </c>
      <c r="S101" s="380">
        <v>8.738165088875725</v>
      </c>
      <c r="T101" s="381">
        <v>25.220168360100761</v>
      </c>
      <c r="U101" s="380">
        <v>0.8157938727997508</v>
      </c>
      <c r="V101" s="381">
        <v>52.869833948020762</v>
      </c>
      <c r="W101" s="382">
        <v>4.7E-2</v>
      </c>
      <c r="X101" s="382">
        <v>2.5000000000000001E-3</v>
      </c>
      <c r="Y101" s="382">
        <v>3.2500000000000001E-2</v>
      </c>
      <c r="Z101" s="380">
        <v>57.44</v>
      </c>
      <c r="AA101" s="380">
        <v>59.37</v>
      </c>
      <c r="AB101" s="363">
        <f t="shared" si="2"/>
        <v>0</v>
      </c>
      <c r="AC101" s="363">
        <f t="shared" si="3"/>
        <v>0</v>
      </c>
      <c r="AD101" s="383"/>
    </row>
    <row r="102" spans="3:30">
      <c r="C102" s="377" t="s">
        <v>852</v>
      </c>
      <c r="D102" s="377" t="s">
        <v>975</v>
      </c>
      <c r="E102" s="377" t="s">
        <v>611</v>
      </c>
      <c r="F102" s="377" t="s">
        <v>649</v>
      </c>
      <c r="G102" s="377">
        <v>15</v>
      </c>
      <c r="H102" s="377" t="s">
        <v>648</v>
      </c>
      <c r="I102" s="377" t="s">
        <v>645</v>
      </c>
      <c r="J102" s="377" t="s">
        <v>646</v>
      </c>
      <c r="K102" s="377" t="s">
        <v>876</v>
      </c>
      <c r="L102" s="377" t="s">
        <v>870</v>
      </c>
      <c r="M102" s="378">
        <v>5.2805117025000001E-2</v>
      </c>
      <c r="N102" s="379">
        <v>6845</v>
      </c>
      <c r="O102" s="379">
        <v>3213</v>
      </c>
      <c r="P102" s="380">
        <v>14.870518053868448</v>
      </c>
      <c r="Q102" s="380">
        <v>4.7373877675800484</v>
      </c>
      <c r="R102" s="380">
        <v>6.3927382156737123</v>
      </c>
      <c r="S102" s="380">
        <v>5.590387382518907</v>
      </c>
      <c r="T102" s="381">
        <v>16.720513365772668</v>
      </c>
      <c r="U102" s="380">
        <v>0.41875583496920088</v>
      </c>
      <c r="V102" s="381">
        <v>32.009787254610316</v>
      </c>
      <c r="W102" s="382">
        <v>4.7E-2</v>
      </c>
      <c r="X102" s="382">
        <v>0</v>
      </c>
      <c r="Y102" s="382">
        <v>0.04</v>
      </c>
      <c r="Z102" s="380">
        <v>34.68</v>
      </c>
      <c r="AA102" s="380">
        <v>36.25</v>
      </c>
      <c r="AB102" s="363">
        <f t="shared" si="2"/>
        <v>-1.3322676295501878E-15</v>
      </c>
      <c r="AC102" s="363">
        <f t="shared" si="3"/>
        <v>0</v>
      </c>
      <c r="AD102" s="383"/>
    </row>
    <row r="103" spans="3:30">
      <c r="C103" s="377" t="s">
        <v>750</v>
      </c>
      <c r="D103" s="377" t="s">
        <v>1203</v>
      </c>
      <c r="E103" s="377" t="s">
        <v>1112</v>
      </c>
      <c r="F103" s="377" t="s">
        <v>653</v>
      </c>
      <c r="G103" s="377">
        <v>19</v>
      </c>
      <c r="H103" s="377" t="s">
        <v>702</v>
      </c>
      <c r="I103" s="377" t="s">
        <v>645</v>
      </c>
      <c r="J103" s="377" t="s">
        <v>646</v>
      </c>
      <c r="K103" s="377" t="s">
        <v>778</v>
      </c>
      <c r="L103" s="377" t="s">
        <v>779</v>
      </c>
      <c r="M103" s="378">
        <v>7.5442942118750009E-2</v>
      </c>
      <c r="N103" s="379">
        <v>13665</v>
      </c>
      <c r="O103" s="379">
        <v>6288</v>
      </c>
      <c r="P103" s="380">
        <v>29.283732135296226</v>
      </c>
      <c r="Q103" s="380">
        <v>7.4526029953324846</v>
      </c>
      <c r="R103" s="380">
        <v>10.013682793172237</v>
      </c>
      <c r="S103" s="380">
        <v>9.367666031048385</v>
      </c>
      <c r="T103" s="381">
        <v>26.833951819553107</v>
      </c>
      <c r="U103" s="380">
        <v>0.83598224760469386</v>
      </c>
      <c r="V103" s="381">
        <v>56.953666202454031</v>
      </c>
      <c r="W103" s="382">
        <v>4.7E-2</v>
      </c>
      <c r="X103" s="382">
        <v>0</v>
      </c>
      <c r="Y103" s="382">
        <v>0.04</v>
      </c>
      <c r="Z103" s="380">
        <v>61.7</v>
      </c>
      <c r="AA103" s="380">
        <v>64.5</v>
      </c>
      <c r="AB103" s="363">
        <f t="shared" si="2"/>
        <v>5.1070259132757201E-15</v>
      </c>
      <c r="AC103" s="363">
        <f t="shared" si="3"/>
        <v>0</v>
      </c>
      <c r="AD103" s="383"/>
    </row>
    <row r="104" spans="3:30">
      <c r="C104" s="377" t="s">
        <v>792</v>
      </c>
      <c r="D104" s="377" t="s">
        <v>1221</v>
      </c>
      <c r="E104" s="377" t="s">
        <v>796</v>
      </c>
      <c r="F104" s="377" t="s">
        <v>656</v>
      </c>
      <c r="G104" s="377">
        <v>16</v>
      </c>
      <c r="H104" s="377" t="s">
        <v>797</v>
      </c>
      <c r="I104" s="377" t="s">
        <v>645</v>
      </c>
      <c r="J104" s="377" t="s">
        <v>646</v>
      </c>
      <c r="K104" s="377" t="s">
        <v>879</v>
      </c>
      <c r="L104" s="377" t="s">
        <v>802</v>
      </c>
      <c r="M104" s="378">
        <v>6.2777918892000004E-2</v>
      </c>
      <c r="N104" s="379">
        <v>8239</v>
      </c>
      <c r="O104" s="379">
        <v>3804</v>
      </c>
      <c r="P104" s="380">
        <v>17.222836704159992</v>
      </c>
      <c r="Q104" s="380">
        <v>5.2843043990741849</v>
      </c>
      <c r="R104" s="380">
        <v>7.1606240880564345</v>
      </c>
      <c r="S104" s="380">
        <v>6.3922570039115474</v>
      </c>
      <c r="T104" s="381">
        <v>18.83718549104217</v>
      </c>
      <c r="U104" s="380">
        <v>0.50403642429674889</v>
      </c>
      <c r="V104" s="381">
        <v>36.564058619498908</v>
      </c>
      <c r="W104" s="382">
        <v>4.7E-2</v>
      </c>
      <c r="X104" s="382">
        <v>0</v>
      </c>
      <c r="Y104" s="382">
        <v>0.04</v>
      </c>
      <c r="Z104" s="380">
        <v>39.61</v>
      </c>
      <c r="AA104" s="380">
        <v>41.41</v>
      </c>
      <c r="AB104" s="363">
        <f t="shared" si="2"/>
        <v>1.8873791418627661E-15</v>
      </c>
      <c r="AC104" s="363">
        <f t="shared" si="3"/>
        <v>0</v>
      </c>
      <c r="AD104" s="383"/>
    </row>
    <row r="105" spans="3:30">
      <c r="C105" s="377" t="s">
        <v>793</v>
      </c>
      <c r="D105" s="377" t="s">
        <v>1222</v>
      </c>
      <c r="E105" s="377" t="s">
        <v>798</v>
      </c>
      <c r="F105" s="377" t="s">
        <v>713</v>
      </c>
      <c r="G105" s="377">
        <v>17</v>
      </c>
      <c r="H105" s="377" t="s">
        <v>799</v>
      </c>
      <c r="I105" s="377" t="s">
        <v>645</v>
      </c>
      <c r="J105" s="377" t="s">
        <v>646</v>
      </c>
      <c r="K105" s="377" t="s">
        <v>778</v>
      </c>
      <c r="L105" s="377" t="s">
        <v>803</v>
      </c>
      <c r="M105" s="378">
        <v>6.5257379071999994E-2</v>
      </c>
      <c r="N105" s="379">
        <v>8832</v>
      </c>
      <c r="O105" s="379">
        <v>4115</v>
      </c>
      <c r="P105" s="380">
        <v>19.43315671015602</v>
      </c>
      <c r="Q105" s="380">
        <v>5.6798664451209699</v>
      </c>
      <c r="R105" s="380">
        <v>7.7709226270537322</v>
      </c>
      <c r="S105" s="380">
        <v>6.9204876346967374</v>
      </c>
      <c r="T105" s="381">
        <v>20.371276706871441</v>
      </c>
      <c r="U105" s="380">
        <v>0.54031432205229835</v>
      </c>
      <c r="V105" s="381">
        <v>40.344747739079764</v>
      </c>
      <c r="W105" s="382">
        <v>4.7E-2</v>
      </c>
      <c r="X105" s="382">
        <v>0</v>
      </c>
      <c r="Y105" s="382">
        <v>0.04</v>
      </c>
      <c r="Z105" s="380">
        <v>43.71</v>
      </c>
      <c r="AA105" s="380">
        <v>45.69</v>
      </c>
      <c r="AB105" s="363">
        <f t="shared" si="2"/>
        <v>6.8833827526759706E-15</v>
      </c>
      <c r="AC105" s="363">
        <f t="shared" si="3"/>
        <v>0</v>
      </c>
      <c r="AD105" s="383"/>
    </row>
    <row r="106" spans="3:30">
      <c r="C106" s="377" t="s">
        <v>830</v>
      </c>
      <c r="D106" s="377" t="s">
        <v>1223</v>
      </c>
      <c r="E106" s="377" t="s">
        <v>622</v>
      </c>
      <c r="F106" s="377" t="s">
        <v>686</v>
      </c>
      <c r="G106" s="377">
        <v>17</v>
      </c>
      <c r="H106" s="377" t="s">
        <v>833</v>
      </c>
      <c r="I106" s="377" t="s">
        <v>645</v>
      </c>
      <c r="J106" s="377" t="s">
        <v>646</v>
      </c>
      <c r="K106" s="377" t="s">
        <v>778</v>
      </c>
      <c r="L106" s="377" t="s">
        <v>914</v>
      </c>
      <c r="M106" s="378">
        <v>8.6991917264999996E-2</v>
      </c>
      <c r="N106" s="379">
        <v>10480</v>
      </c>
      <c r="O106" s="379">
        <v>4967</v>
      </c>
      <c r="P106" s="380">
        <v>21.657749735553367</v>
      </c>
      <c r="Q106" s="380">
        <v>6.2441285948959102</v>
      </c>
      <c r="R106" s="380">
        <v>8.4265278974555837</v>
      </c>
      <c r="S106" s="380">
        <v>7.6559858387569486</v>
      </c>
      <c r="T106" s="381">
        <v>22.326642331108445</v>
      </c>
      <c r="U106" s="380">
        <v>0.64113384229031778</v>
      </c>
      <c r="V106" s="381">
        <v>44.625525908952127</v>
      </c>
      <c r="W106" s="382">
        <v>4.7E-2</v>
      </c>
      <c r="X106" s="382">
        <v>0</v>
      </c>
      <c r="Y106" s="382">
        <v>0.04</v>
      </c>
      <c r="Z106" s="380">
        <v>48.35</v>
      </c>
      <c r="AA106" s="380">
        <v>50.54</v>
      </c>
      <c r="AB106" s="363">
        <f t="shared" si="2"/>
        <v>-1.2212453270876722E-15</v>
      </c>
      <c r="AC106" s="363">
        <f t="shared" si="3"/>
        <v>0</v>
      </c>
      <c r="AD106" s="383"/>
    </row>
    <row r="107" spans="3:30">
      <c r="C107" s="377" t="s">
        <v>831</v>
      </c>
      <c r="D107" s="377" t="s">
        <v>822</v>
      </c>
      <c r="E107" s="377" t="s">
        <v>832</v>
      </c>
      <c r="F107" s="377" t="s">
        <v>694</v>
      </c>
      <c r="G107" s="377">
        <v>18</v>
      </c>
      <c r="H107" s="377" t="s">
        <v>834</v>
      </c>
      <c r="I107" s="377" t="s">
        <v>645</v>
      </c>
      <c r="J107" s="377" t="s">
        <v>646</v>
      </c>
      <c r="K107" s="377" t="s">
        <v>778</v>
      </c>
      <c r="L107" s="377" t="s">
        <v>915</v>
      </c>
      <c r="M107" s="378">
        <v>0.10080020966400002</v>
      </c>
      <c r="N107" s="379">
        <v>13428</v>
      </c>
      <c r="O107" s="379">
        <v>6281</v>
      </c>
      <c r="P107" s="380">
        <v>29.16905052631164</v>
      </c>
      <c r="Q107" s="380">
        <v>7.3431174376703199</v>
      </c>
      <c r="R107" s="380">
        <v>9.7851453090602334</v>
      </c>
      <c r="S107" s="380">
        <v>9.1535692440947791</v>
      </c>
      <c r="T107" s="381">
        <v>26.281831990825332</v>
      </c>
      <c r="U107" s="380">
        <v>0.82148332388114387</v>
      </c>
      <c r="V107" s="381">
        <v>56.272365841018114</v>
      </c>
      <c r="W107" s="382">
        <v>4.7E-2</v>
      </c>
      <c r="X107" s="382">
        <v>0</v>
      </c>
      <c r="Y107" s="382">
        <v>0.04</v>
      </c>
      <c r="Z107" s="380">
        <v>60.97</v>
      </c>
      <c r="AA107" s="380">
        <v>63.73</v>
      </c>
      <c r="AB107" s="363">
        <f t="shared" si="2"/>
        <v>-8.8817841970012523E-16</v>
      </c>
      <c r="AC107" s="363">
        <f t="shared" si="3"/>
        <v>0</v>
      </c>
      <c r="AD107" s="383"/>
    </row>
    <row r="108" spans="3:30">
      <c r="C108" s="377" t="s">
        <v>929</v>
      </c>
      <c r="D108" s="377" t="s">
        <v>1224</v>
      </c>
      <c r="E108" s="377" t="s">
        <v>592</v>
      </c>
      <c r="F108" s="377" t="s">
        <v>672</v>
      </c>
      <c r="G108" s="377">
        <v>16</v>
      </c>
      <c r="H108" s="377" t="s">
        <v>684</v>
      </c>
      <c r="I108" s="377" t="s">
        <v>645</v>
      </c>
      <c r="J108" s="377" t="s">
        <v>646</v>
      </c>
      <c r="K108" s="377" t="s">
        <v>879</v>
      </c>
      <c r="L108" s="377" t="s">
        <v>970</v>
      </c>
      <c r="M108" s="378">
        <v>7.4501902684000004E-2</v>
      </c>
      <c r="N108" s="379">
        <v>11812</v>
      </c>
      <c r="O108" s="379">
        <v>5604</v>
      </c>
      <c r="P108" s="380">
        <v>24.209032048741374</v>
      </c>
      <c r="Q108" s="380">
        <v>6.2029911575146013</v>
      </c>
      <c r="R108" s="380">
        <v>8.2043850984049591</v>
      </c>
      <c r="S108" s="380">
        <v>7.7132931740137876</v>
      </c>
      <c r="T108" s="381">
        <v>22.120669429933351</v>
      </c>
      <c r="U108" s="380">
        <v>0.72262146423027029</v>
      </c>
      <c r="V108" s="381">
        <v>47.052322942904993</v>
      </c>
      <c r="W108" s="382">
        <v>4.7E-2</v>
      </c>
      <c r="X108" s="382">
        <v>0</v>
      </c>
      <c r="Y108" s="382">
        <v>0.04</v>
      </c>
      <c r="Z108" s="380">
        <v>50.98</v>
      </c>
      <c r="AA108" s="380">
        <v>53.29</v>
      </c>
      <c r="AB108" s="363">
        <f t="shared" si="2"/>
        <v>2.7755575615628914E-15</v>
      </c>
      <c r="AC108" s="363">
        <f t="shared" si="3"/>
        <v>0</v>
      </c>
      <c r="AD108" s="383"/>
    </row>
    <row r="109" spans="3:30">
      <c r="C109" s="377" t="s">
        <v>885</v>
      </c>
      <c r="D109" s="377" t="s">
        <v>1225</v>
      </c>
      <c r="E109" s="377" t="s">
        <v>862</v>
      </c>
      <c r="F109" s="377" t="s">
        <v>698</v>
      </c>
      <c r="G109" s="377">
        <v>19</v>
      </c>
      <c r="H109" s="377" t="s">
        <v>833</v>
      </c>
      <c r="I109" s="377" t="s">
        <v>645</v>
      </c>
      <c r="J109" s="377" t="s">
        <v>646</v>
      </c>
      <c r="K109" s="377" t="s">
        <v>778</v>
      </c>
      <c r="L109" s="377" t="s">
        <v>896</v>
      </c>
      <c r="M109" s="378">
        <v>8.8875408074749973E-2</v>
      </c>
      <c r="N109" s="379">
        <v>11956</v>
      </c>
      <c r="O109" s="379">
        <v>5404</v>
      </c>
      <c r="P109" s="380">
        <v>25.188941378153558</v>
      </c>
      <c r="Q109" s="380">
        <v>6.7317795035854902</v>
      </c>
      <c r="R109" s="380">
        <v>9.1360160469374332</v>
      </c>
      <c r="S109" s="380">
        <v>8.3679816344082543</v>
      </c>
      <c r="T109" s="381">
        <v>24.235777184931173</v>
      </c>
      <c r="U109" s="380">
        <v>0.73143093687242744</v>
      </c>
      <c r="V109" s="381">
        <v>50.156149499957159</v>
      </c>
      <c r="W109" s="382">
        <v>4.7E-2</v>
      </c>
      <c r="X109" s="382">
        <v>0</v>
      </c>
      <c r="Y109" s="382">
        <v>0.04</v>
      </c>
      <c r="Z109" s="380">
        <v>54.34</v>
      </c>
      <c r="AA109" s="380">
        <v>56.8</v>
      </c>
      <c r="AB109" s="363">
        <f t="shared" si="2"/>
        <v>-2.886579864025407E-15</v>
      </c>
      <c r="AC109" s="363">
        <f t="shared" si="3"/>
        <v>0</v>
      </c>
      <c r="AD109" s="383"/>
    </row>
    <row r="110" spans="3:30">
      <c r="C110" s="377" t="s">
        <v>1059</v>
      </c>
      <c r="D110" s="377" t="s">
        <v>1226</v>
      </c>
      <c r="E110" s="377" t="s">
        <v>592</v>
      </c>
      <c r="F110" s="377" t="s">
        <v>697</v>
      </c>
      <c r="G110" s="377">
        <v>18</v>
      </c>
      <c r="H110" s="377" t="s">
        <v>691</v>
      </c>
      <c r="I110" s="377" t="s">
        <v>645</v>
      </c>
      <c r="J110" s="377" t="s">
        <v>646</v>
      </c>
      <c r="K110" s="377" t="s">
        <v>778</v>
      </c>
      <c r="L110" s="377" t="s">
        <v>1060</v>
      </c>
      <c r="M110" s="378">
        <v>7.6867922396250024E-2</v>
      </c>
      <c r="N110" s="379">
        <v>12295</v>
      </c>
      <c r="O110" s="379">
        <v>5722</v>
      </c>
      <c r="P110" s="380">
        <v>25.146584825996285</v>
      </c>
      <c r="Q110" s="380">
        <v>6.5702044398964352</v>
      </c>
      <c r="R110" s="380">
        <v>8.6541573746077667</v>
      </c>
      <c r="S110" s="380">
        <v>8.0078482333330516</v>
      </c>
      <c r="T110" s="381">
        <v>23.232210047837253</v>
      </c>
      <c r="U110" s="380">
        <v>0.75216990371750547</v>
      </c>
      <c r="V110" s="381">
        <v>49.130964777551043</v>
      </c>
      <c r="W110" s="382">
        <v>4.7E-2</v>
      </c>
      <c r="X110" s="382">
        <v>0</v>
      </c>
      <c r="Y110" s="382">
        <v>0.04</v>
      </c>
      <c r="Z110" s="380">
        <v>53.23</v>
      </c>
      <c r="AA110" s="380">
        <v>55.64</v>
      </c>
      <c r="AB110" s="363">
        <f t="shared" si="2"/>
        <v>-2.55351295663786E-15</v>
      </c>
      <c r="AC110" s="363">
        <f t="shared" si="3"/>
        <v>0</v>
      </c>
      <c r="AD110" s="383"/>
    </row>
    <row r="111" spans="3:30">
      <c r="C111" s="377" t="s">
        <v>1227</v>
      </c>
      <c r="D111" s="377" t="s">
        <v>1228</v>
      </c>
      <c r="E111" s="377" t="s">
        <v>589</v>
      </c>
      <c r="F111" s="377" t="s">
        <v>658</v>
      </c>
      <c r="G111" s="377">
        <v>16</v>
      </c>
      <c r="H111" s="377" t="s">
        <v>1229</v>
      </c>
      <c r="I111" s="377" t="s">
        <v>645</v>
      </c>
      <c r="J111" s="377" t="s">
        <v>646</v>
      </c>
      <c r="K111" s="377" t="s">
        <v>879</v>
      </c>
      <c r="L111" s="377" t="s">
        <v>1112</v>
      </c>
      <c r="M111" s="378">
        <v>6.4256967889249991E-2</v>
      </c>
      <c r="N111" s="379">
        <v>10704</v>
      </c>
      <c r="O111" s="379">
        <v>4947</v>
      </c>
      <c r="P111" s="380">
        <v>22.226453718125029</v>
      </c>
      <c r="Q111" s="380">
        <v>5.9440553592425003</v>
      </c>
      <c r="R111" s="380">
        <v>7.9330295190657552</v>
      </c>
      <c r="S111" s="380">
        <v>7.3337291155566779</v>
      </c>
      <c r="T111" s="381">
        <v>21.210813993864932</v>
      </c>
      <c r="U111" s="380">
        <v>0.6548374664003398</v>
      </c>
      <c r="V111" s="381">
        <v>44.092105178390298</v>
      </c>
      <c r="W111" s="382">
        <v>4.7E-2</v>
      </c>
      <c r="X111" s="382">
        <v>0</v>
      </c>
      <c r="Y111" s="382">
        <v>0.04</v>
      </c>
      <c r="Z111" s="380">
        <v>47.77</v>
      </c>
      <c r="AA111" s="380">
        <v>49.93</v>
      </c>
      <c r="AB111" s="363">
        <f t="shared" si="2"/>
        <v>-4.8849813083506888E-15</v>
      </c>
      <c r="AC111" s="363">
        <f t="shared" si="3"/>
        <v>0</v>
      </c>
      <c r="AD111" s="383"/>
    </row>
    <row r="112" spans="3:30">
      <c r="C112" s="377" t="s">
        <v>412</v>
      </c>
      <c r="D112" s="377" t="s">
        <v>1230</v>
      </c>
      <c r="E112" s="377" t="s">
        <v>585</v>
      </c>
      <c r="F112" s="377" t="s">
        <v>661</v>
      </c>
      <c r="G112" s="377">
        <v>14</v>
      </c>
      <c r="H112" s="377" t="s">
        <v>668</v>
      </c>
      <c r="I112" s="377" t="s">
        <v>654</v>
      </c>
      <c r="J112" s="377" t="s">
        <v>655</v>
      </c>
      <c r="K112" s="377" t="s">
        <v>875</v>
      </c>
      <c r="L112" s="377" t="s">
        <v>413</v>
      </c>
      <c r="M112" s="378">
        <v>4.9553959455000005E-2</v>
      </c>
      <c r="N112" s="379">
        <v>6933</v>
      </c>
      <c r="O112" s="379">
        <v>3318</v>
      </c>
      <c r="P112" s="380">
        <v>13.418704701719692</v>
      </c>
      <c r="Q112" s="380">
        <v>4.6680049725610138</v>
      </c>
      <c r="R112" s="380">
        <v>6.1090145392531987</v>
      </c>
      <c r="S112" s="380">
        <v>5.3666589172776975</v>
      </c>
      <c r="T112" s="381">
        <v>16.14367842909191</v>
      </c>
      <c r="U112" s="380">
        <v>0.42413940158385238</v>
      </c>
      <c r="V112" s="381">
        <v>29.986522532395455</v>
      </c>
      <c r="W112" s="382">
        <v>4.7E-2</v>
      </c>
      <c r="X112" s="382">
        <v>0</v>
      </c>
      <c r="Y112" s="382">
        <v>0.03</v>
      </c>
      <c r="Z112" s="380">
        <v>32.49</v>
      </c>
      <c r="AA112" s="380">
        <v>33.58</v>
      </c>
      <c r="AB112" s="363">
        <f t="shared" si="2"/>
        <v>1.1657341758564144E-15</v>
      </c>
      <c r="AC112" s="363">
        <f t="shared" si="3"/>
        <v>0</v>
      </c>
      <c r="AD112" s="383"/>
    </row>
    <row r="113" spans="3:30">
      <c r="C113" s="377" t="s">
        <v>1231</v>
      </c>
      <c r="D113" s="377" t="s">
        <v>1232</v>
      </c>
      <c r="E113" s="377" t="s">
        <v>1112</v>
      </c>
      <c r="F113" s="377" t="s">
        <v>673</v>
      </c>
      <c r="G113" s="377">
        <v>16</v>
      </c>
      <c r="H113" s="377" t="s">
        <v>1229</v>
      </c>
      <c r="I113" s="377" t="s">
        <v>645</v>
      </c>
      <c r="J113" s="377" t="s">
        <v>646</v>
      </c>
      <c r="K113" s="377" t="s">
        <v>879</v>
      </c>
      <c r="L113" s="377">
        <v>0</v>
      </c>
      <c r="M113" s="378">
        <v>6.8493825428000005E-2</v>
      </c>
      <c r="N113" s="379">
        <v>10273</v>
      </c>
      <c r="O113" s="379">
        <v>4726</v>
      </c>
      <c r="P113" s="380">
        <v>21.397948309517712</v>
      </c>
      <c r="Q113" s="380">
        <v>5.7696423797112502</v>
      </c>
      <c r="R113" s="380">
        <v>7.4590424944476332</v>
      </c>
      <c r="S113" s="380">
        <v>6.8900300755605564</v>
      </c>
      <c r="T113" s="381">
        <v>20.11871494971944</v>
      </c>
      <c r="U113" s="380">
        <v>0.62847022536721697</v>
      </c>
      <c r="V113" s="381">
        <v>42.145133484604372</v>
      </c>
      <c r="W113" s="382">
        <v>4.7E-2</v>
      </c>
      <c r="X113" s="382">
        <v>0</v>
      </c>
      <c r="Y113" s="382">
        <v>0.04</v>
      </c>
      <c r="Z113" s="380">
        <v>45.66</v>
      </c>
      <c r="AA113" s="380">
        <v>47.73</v>
      </c>
      <c r="AB113" s="363">
        <f t="shared" si="2"/>
        <v>3.1086244689504383E-15</v>
      </c>
      <c r="AC113" s="363">
        <f t="shared" si="3"/>
        <v>0</v>
      </c>
      <c r="AD113" s="383"/>
    </row>
    <row r="114" spans="3:30">
      <c r="C114" s="377" t="s">
        <v>328</v>
      </c>
      <c r="D114" s="377" t="s">
        <v>1233</v>
      </c>
      <c r="E114" s="377" t="s">
        <v>881</v>
      </c>
      <c r="F114" s="377" t="s">
        <v>700</v>
      </c>
      <c r="G114" s="377">
        <v>17</v>
      </c>
      <c r="H114" s="377" t="s">
        <v>884</v>
      </c>
      <c r="I114" s="377" t="s">
        <v>667</v>
      </c>
      <c r="J114" s="377" t="s">
        <v>660</v>
      </c>
      <c r="K114" s="377" t="s">
        <v>778</v>
      </c>
      <c r="L114" s="377" t="s">
        <v>895</v>
      </c>
      <c r="M114" s="378">
        <v>8.1503339546249984E-2</v>
      </c>
      <c r="N114" s="379">
        <v>11913</v>
      </c>
      <c r="O114" s="379">
        <v>5579</v>
      </c>
      <c r="P114" s="380">
        <v>24.212634212266874</v>
      </c>
      <c r="Q114" s="380">
        <v>6.4770704168229418</v>
      </c>
      <c r="R114" s="380">
        <v>8.5546815886870249</v>
      </c>
      <c r="S114" s="380">
        <v>7.9139816754574008</v>
      </c>
      <c r="T114" s="381">
        <v>22.945733680967365</v>
      </c>
      <c r="U114" s="380">
        <v>0.72880033045844994</v>
      </c>
      <c r="V114" s="381">
        <v>47.88716822369269</v>
      </c>
      <c r="W114" s="382">
        <v>4.7E-2</v>
      </c>
      <c r="X114" s="382">
        <v>2.5000000000000001E-3</v>
      </c>
      <c r="Y114" s="382">
        <v>3.2500000000000001E-2</v>
      </c>
      <c r="Z114" s="380">
        <v>52.02</v>
      </c>
      <c r="AA114" s="380">
        <v>53.78</v>
      </c>
      <c r="AB114" s="363">
        <f t="shared" si="2"/>
        <v>-2.9976021664879227E-15</v>
      </c>
      <c r="AC114" s="363">
        <f t="shared" si="3"/>
        <v>0</v>
      </c>
      <c r="AD114" s="383"/>
    </row>
    <row r="115" spans="3:30">
      <c r="C115" s="377" t="s">
        <v>784</v>
      </c>
      <c r="D115" s="377" t="s">
        <v>1234</v>
      </c>
      <c r="E115" s="377" t="s">
        <v>1112</v>
      </c>
      <c r="F115" s="377" t="s">
        <v>693</v>
      </c>
      <c r="G115" s="377">
        <v>18</v>
      </c>
      <c r="H115" s="377" t="s">
        <v>825</v>
      </c>
      <c r="I115" s="377" t="s">
        <v>667</v>
      </c>
      <c r="J115" s="377" t="s">
        <v>660</v>
      </c>
      <c r="K115" s="377" t="s">
        <v>778</v>
      </c>
      <c r="L115" s="377" t="s">
        <v>883</v>
      </c>
      <c r="M115" s="378">
        <v>3.3268378500000001E-2</v>
      </c>
      <c r="N115" s="379">
        <v>9924</v>
      </c>
      <c r="O115" s="379">
        <v>4458</v>
      </c>
      <c r="P115" s="380">
        <v>20.445516628952696</v>
      </c>
      <c r="Q115" s="380">
        <v>5.9946584025299305</v>
      </c>
      <c r="R115" s="380">
        <v>8.093704500483458</v>
      </c>
      <c r="S115" s="380">
        <v>7.2823910637586797</v>
      </c>
      <c r="T115" s="381">
        <v>21.370753966772064</v>
      </c>
      <c r="U115" s="380">
        <v>0.60711948958865591</v>
      </c>
      <c r="V115" s="381">
        <v>42.423390085313414</v>
      </c>
      <c r="W115" s="382">
        <v>4.7E-2</v>
      </c>
      <c r="X115" s="382">
        <v>2.5000000000000001E-3</v>
      </c>
      <c r="Y115" s="382">
        <v>3.2500000000000001E-2</v>
      </c>
      <c r="Z115" s="380">
        <v>46.09</v>
      </c>
      <c r="AA115" s="380">
        <v>47.64</v>
      </c>
      <c r="AB115" s="363">
        <f t="shared" si="2"/>
        <v>-5.440092820663267E-15</v>
      </c>
      <c r="AC115" s="363">
        <f t="shared" si="3"/>
        <v>0</v>
      </c>
      <c r="AD115" s="383"/>
    </row>
    <row r="116" spans="3:30">
      <c r="C116" s="377" t="s">
        <v>842</v>
      </c>
      <c r="D116" s="377" t="s">
        <v>1235</v>
      </c>
      <c r="E116" s="377" t="s">
        <v>894</v>
      </c>
      <c r="F116" s="377" t="s">
        <v>662</v>
      </c>
      <c r="G116" s="377">
        <v>18</v>
      </c>
      <c r="H116" s="377" t="s">
        <v>825</v>
      </c>
      <c r="I116" s="377" t="s">
        <v>667</v>
      </c>
      <c r="J116" s="377" t="s">
        <v>660</v>
      </c>
      <c r="K116" s="377" t="s">
        <v>778</v>
      </c>
      <c r="L116" s="377" t="s">
        <v>901</v>
      </c>
      <c r="M116" s="378">
        <v>7.1461105449750012E-2</v>
      </c>
      <c r="N116" s="379">
        <v>10258</v>
      </c>
      <c r="O116" s="379">
        <v>4573</v>
      </c>
      <c r="P116" s="380">
        <v>20.890803084139126</v>
      </c>
      <c r="Q116" s="380">
        <v>6.0792948906213145</v>
      </c>
      <c r="R116" s="380">
        <v>8.032897779737425</v>
      </c>
      <c r="S116" s="380">
        <v>7.2704650683786571</v>
      </c>
      <c r="T116" s="381">
        <v>21.382657738737397</v>
      </c>
      <c r="U116" s="380">
        <v>0.62755257196699232</v>
      </c>
      <c r="V116" s="381">
        <v>42.901013394843517</v>
      </c>
      <c r="W116" s="382">
        <v>4.7E-2</v>
      </c>
      <c r="X116" s="382">
        <v>2.5000000000000001E-3</v>
      </c>
      <c r="Y116" s="382">
        <v>3.2500000000000001E-2</v>
      </c>
      <c r="Z116" s="380">
        <v>46.61</v>
      </c>
      <c r="AA116" s="380">
        <v>48.18</v>
      </c>
      <c r="AB116" s="363">
        <f t="shared" si="2"/>
        <v>1.9984014443252818E-15</v>
      </c>
      <c r="AC116" s="363">
        <f t="shared" si="3"/>
        <v>0</v>
      </c>
      <c r="AD116" s="383"/>
    </row>
    <row r="117" spans="3:30">
      <c r="C117" s="377" t="s">
        <v>284</v>
      </c>
      <c r="D117" s="377" t="s">
        <v>1053</v>
      </c>
      <c r="E117" s="377" t="s">
        <v>616</v>
      </c>
      <c r="F117" s="377" t="s">
        <v>663</v>
      </c>
      <c r="G117" s="377">
        <v>18</v>
      </c>
      <c r="H117" s="377" t="s">
        <v>676</v>
      </c>
      <c r="I117" s="377" t="s">
        <v>677</v>
      </c>
      <c r="J117" s="377" t="s">
        <v>660</v>
      </c>
      <c r="K117" s="377" t="s">
        <v>778</v>
      </c>
      <c r="L117" s="377" t="s">
        <v>291</v>
      </c>
      <c r="M117" s="378">
        <v>8.1217853179750013E-2</v>
      </c>
      <c r="N117" s="379">
        <v>12073</v>
      </c>
      <c r="O117" s="379">
        <v>5650</v>
      </c>
      <c r="P117" s="380">
        <v>24.353219979682105</v>
      </c>
      <c r="Q117" s="380">
        <v>6.7748712299237317</v>
      </c>
      <c r="R117" s="380">
        <v>9.1917311693377961</v>
      </c>
      <c r="S117" s="380">
        <v>8.4601627090938987</v>
      </c>
      <c r="T117" s="381">
        <v>24.426765108355422</v>
      </c>
      <c r="U117" s="380">
        <v>0.73858863339418013</v>
      </c>
      <c r="V117" s="381">
        <v>49.518573721431707</v>
      </c>
      <c r="W117" s="382">
        <v>4.7E-2</v>
      </c>
      <c r="X117" s="382">
        <v>2.5000000000000001E-3</v>
      </c>
      <c r="Y117" s="382">
        <v>3.2500000000000001E-2</v>
      </c>
      <c r="Z117" s="380">
        <v>53.8</v>
      </c>
      <c r="AA117" s="380">
        <v>55.61</v>
      </c>
      <c r="AB117" s="363">
        <f t="shared" si="2"/>
        <v>-5.6621374255882984E-15</v>
      </c>
      <c r="AC117" s="363">
        <f t="shared" si="3"/>
        <v>0</v>
      </c>
      <c r="AD117" s="383"/>
    </row>
    <row r="118" spans="3:30">
      <c r="C118" s="377" t="s">
        <v>354</v>
      </c>
      <c r="D118" s="377" t="s">
        <v>1236</v>
      </c>
      <c r="E118" s="377" t="s">
        <v>1237</v>
      </c>
      <c r="F118" s="377" t="s">
        <v>669</v>
      </c>
      <c r="G118" s="377">
        <v>15</v>
      </c>
      <c r="H118" s="377" t="s">
        <v>666</v>
      </c>
      <c r="I118" s="377" t="s">
        <v>667</v>
      </c>
      <c r="J118" s="377" t="s">
        <v>660</v>
      </c>
      <c r="K118" s="377" t="s">
        <v>876</v>
      </c>
      <c r="L118" s="377" t="s">
        <v>358</v>
      </c>
      <c r="M118" s="378">
        <v>6.7468812031250006E-2</v>
      </c>
      <c r="N118" s="379">
        <v>8700</v>
      </c>
      <c r="O118" s="379">
        <v>4008</v>
      </c>
      <c r="P118" s="380">
        <v>17.150822966976069</v>
      </c>
      <c r="Q118" s="380">
        <v>5.2262869128885967</v>
      </c>
      <c r="R118" s="380">
        <v>6.84801463482549</v>
      </c>
      <c r="S118" s="380">
        <v>6.1879687666650147</v>
      </c>
      <c r="T118" s="381">
        <v>18.262270314379101</v>
      </c>
      <c r="U118" s="380">
        <v>0.53223897213032101</v>
      </c>
      <c r="V118" s="381">
        <v>35.945332253485489</v>
      </c>
      <c r="W118" s="382">
        <v>4.7E-2</v>
      </c>
      <c r="X118" s="382">
        <v>2.5000000000000001E-3</v>
      </c>
      <c r="Y118" s="382">
        <v>3.2500000000000001E-2</v>
      </c>
      <c r="Z118" s="380">
        <v>39.049999999999997</v>
      </c>
      <c r="AA118" s="380">
        <v>40.369999999999997</v>
      </c>
      <c r="AB118" s="363">
        <f t="shared" si="2"/>
        <v>-2.1094237467877974E-15</v>
      </c>
      <c r="AC118" s="363">
        <f t="shared" si="3"/>
        <v>0</v>
      </c>
      <c r="AD118" s="383"/>
    </row>
    <row r="119" spans="3:30">
      <c r="C119" s="377" t="s">
        <v>288</v>
      </c>
      <c r="D119" s="377" t="s">
        <v>1238</v>
      </c>
      <c r="E119" s="377" t="s">
        <v>616</v>
      </c>
      <c r="F119" s="377" t="s">
        <v>683</v>
      </c>
      <c r="G119" s="377">
        <v>17</v>
      </c>
      <c r="H119" s="377" t="s">
        <v>676</v>
      </c>
      <c r="I119" s="377" t="s">
        <v>677</v>
      </c>
      <c r="J119" s="377" t="s">
        <v>660</v>
      </c>
      <c r="K119" s="377" t="s">
        <v>778</v>
      </c>
      <c r="L119" s="377" t="s">
        <v>293</v>
      </c>
      <c r="M119" s="378">
        <v>8.5391321379750001E-2</v>
      </c>
      <c r="N119" s="379">
        <v>11487</v>
      </c>
      <c r="O119" s="379">
        <v>5383</v>
      </c>
      <c r="P119" s="380">
        <v>22.767924491189223</v>
      </c>
      <c r="Q119" s="380">
        <v>6.5943960253762208</v>
      </c>
      <c r="R119" s="380">
        <v>8.8183123754079489</v>
      </c>
      <c r="S119" s="380">
        <v>8.1063751773695714</v>
      </c>
      <c r="T119" s="381">
        <v>23.51908357815374</v>
      </c>
      <c r="U119" s="380">
        <v>0.70273897389206874</v>
      </c>
      <c r="V119" s="381">
        <v>46.989747043235027</v>
      </c>
      <c r="W119" s="382">
        <v>4.7E-2</v>
      </c>
      <c r="X119" s="382">
        <v>2.5000000000000001E-3</v>
      </c>
      <c r="Y119" s="382">
        <v>3.2500000000000001E-2</v>
      </c>
      <c r="Z119" s="380">
        <v>51.05</v>
      </c>
      <c r="AA119" s="380">
        <v>52.77</v>
      </c>
      <c r="AB119" s="363">
        <f t="shared" si="2"/>
        <v>-4.7739590058881731E-15</v>
      </c>
      <c r="AC119" s="363">
        <f t="shared" si="3"/>
        <v>0</v>
      </c>
      <c r="AD119" s="383"/>
    </row>
    <row r="120" spans="3:30">
      <c r="C120" s="377" t="s">
        <v>414</v>
      </c>
      <c r="D120" s="377" t="s">
        <v>1239</v>
      </c>
      <c r="E120" s="377" t="s">
        <v>629</v>
      </c>
      <c r="F120" s="377" t="s">
        <v>710</v>
      </c>
      <c r="G120" s="377">
        <v>18</v>
      </c>
      <c r="H120" s="377" t="s">
        <v>676</v>
      </c>
      <c r="I120" s="377" t="s">
        <v>677</v>
      </c>
      <c r="J120" s="377" t="s">
        <v>660</v>
      </c>
      <c r="K120" s="377" t="s">
        <v>778</v>
      </c>
      <c r="L120" s="377" t="s">
        <v>415</v>
      </c>
      <c r="M120" s="378">
        <v>0.11659678099200003</v>
      </c>
      <c r="N120" s="379">
        <v>15095</v>
      </c>
      <c r="O120" s="379">
        <v>7054</v>
      </c>
      <c r="P120" s="380">
        <v>30.372672394332231</v>
      </c>
      <c r="Q120" s="380">
        <v>7.5991604860831394</v>
      </c>
      <c r="R120" s="380">
        <v>9.9491177086912046</v>
      </c>
      <c r="S120" s="380">
        <v>9.4450822535216261</v>
      </c>
      <c r="T120" s="381">
        <v>26.993360448295967</v>
      </c>
      <c r="U120" s="380">
        <v>0.92346520509278129</v>
      </c>
      <c r="V120" s="381">
        <v>58.289498047720983</v>
      </c>
      <c r="W120" s="382">
        <v>4.7E-2</v>
      </c>
      <c r="X120" s="382">
        <v>2.5000000000000001E-3</v>
      </c>
      <c r="Y120" s="382">
        <v>3.2500000000000001E-2</v>
      </c>
      <c r="Z120" s="380">
        <v>63.32</v>
      </c>
      <c r="AA120" s="380">
        <v>65.459999999999994</v>
      </c>
      <c r="AB120" s="363">
        <f t="shared" si="2"/>
        <v>0</v>
      </c>
      <c r="AC120" s="363">
        <f t="shared" si="3"/>
        <v>0</v>
      </c>
      <c r="AD120" s="383"/>
    </row>
    <row r="121" spans="3:30">
      <c r="C121" s="377" t="s">
        <v>416</v>
      </c>
      <c r="D121" s="377" t="s">
        <v>1054</v>
      </c>
      <c r="E121" s="377" t="s">
        <v>630</v>
      </c>
      <c r="F121" s="377" t="s">
        <v>687</v>
      </c>
      <c r="G121" s="377">
        <v>18</v>
      </c>
      <c r="H121" s="377" t="s">
        <v>676</v>
      </c>
      <c r="I121" s="377" t="s">
        <v>677</v>
      </c>
      <c r="J121" s="377" t="s">
        <v>660</v>
      </c>
      <c r="K121" s="377" t="s">
        <v>778</v>
      </c>
      <c r="L121" s="377" t="s">
        <v>417</v>
      </c>
      <c r="M121" s="378">
        <v>0.10731119022275001</v>
      </c>
      <c r="N121" s="379">
        <v>13511</v>
      </c>
      <c r="O121" s="379">
        <v>6297</v>
      </c>
      <c r="P121" s="380">
        <v>27.17384617036107</v>
      </c>
      <c r="Q121" s="380">
        <v>7.1893335857900809</v>
      </c>
      <c r="R121" s="380">
        <v>9.6695546063745592</v>
      </c>
      <c r="S121" s="380">
        <v>9.0482513694574269</v>
      </c>
      <c r="T121" s="381">
        <v>25.90713956162206</v>
      </c>
      <c r="U121" s="380">
        <v>0.82656100602905358</v>
      </c>
      <c r="V121" s="381">
        <v>53.907546738012186</v>
      </c>
      <c r="W121" s="382">
        <v>4.7E-2</v>
      </c>
      <c r="X121" s="382">
        <v>2.5000000000000001E-3</v>
      </c>
      <c r="Y121" s="382">
        <v>3.2500000000000001E-2</v>
      </c>
      <c r="Z121" s="380">
        <v>58.56</v>
      </c>
      <c r="AA121" s="380">
        <v>60.54</v>
      </c>
      <c r="AB121" s="363">
        <f t="shared" si="2"/>
        <v>-4.4408920985006262E-15</v>
      </c>
      <c r="AC121" s="363">
        <f t="shared" si="3"/>
        <v>0</v>
      </c>
      <c r="AD121" s="383"/>
    </row>
    <row r="122" spans="3:30">
      <c r="C122" s="377" t="s">
        <v>435</v>
      </c>
      <c r="D122" s="377" t="s">
        <v>1240</v>
      </c>
      <c r="E122" s="377" t="s">
        <v>585</v>
      </c>
      <c r="F122" s="377" t="s">
        <v>661</v>
      </c>
      <c r="G122" s="377">
        <v>14</v>
      </c>
      <c r="H122" s="377" t="s">
        <v>711</v>
      </c>
      <c r="I122" s="377" t="s">
        <v>677</v>
      </c>
      <c r="J122" s="377" t="s">
        <v>660</v>
      </c>
      <c r="K122" s="377" t="s">
        <v>875</v>
      </c>
      <c r="L122" s="377" t="s">
        <v>440</v>
      </c>
      <c r="M122" s="378">
        <v>4.9553959455000005E-2</v>
      </c>
      <c r="N122" s="379">
        <v>6388</v>
      </c>
      <c r="O122" s="379">
        <v>3029</v>
      </c>
      <c r="P122" s="380">
        <v>12.3034978822835</v>
      </c>
      <c r="Q122" s="380">
        <v>4.5270363684375781</v>
      </c>
      <c r="R122" s="380">
        <v>5.9113702978740497</v>
      </c>
      <c r="S122" s="380">
        <v>5.1250959969143404</v>
      </c>
      <c r="T122" s="381">
        <v>15.563502663225968</v>
      </c>
      <c r="U122" s="380">
        <v>0.39079799470902193</v>
      </c>
      <c r="V122" s="381">
        <v>28.257798540218488</v>
      </c>
      <c r="W122" s="382">
        <v>4.7E-2</v>
      </c>
      <c r="X122" s="382">
        <v>2.5000000000000001E-3</v>
      </c>
      <c r="Y122" s="382">
        <v>3.2500000000000001E-2</v>
      </c>
      <c r="Z122" s="380">
        <v>30.7</v>
      </c>
      <c r="AA122" s="380">
        <v>31.73</v>
      </c>
      <c r="AB122" s="363">
        <f t="shared" si="2"/>
        <v>-1.8318679906315083E-15</v>
      </c>
      <c r="AC122" s="363">
        <f t="shared" si="3"/>
        <v>0</v>
      </c>
      <c r="AD122" s="383"/>
    </row>
    <row r="123" spans="3:30">
      <c r="C123" s="377" t="s">
        <v>418</v>
      </c>
      <c r="D123" s="377" t="s">
        <v>1241</v>
      </c>
      <c r="E123" s="377" t="s">
        <v>613</v>
      </c>
      <c r="F123" s="377" t="s">
        <v>692</v>
      </c>
      <c r="G123" s="377">
        <v>15</v>
      </c>
      <c r="H123" s="377" t="s">
        <v>712</v>
      </c>
      <c r="I123" s="377" t="s">
        <v>677</v>
      </c>
      <c r="J123" s="377" t="s">
        <v>660</v>
      </c>
      <c r="K123" s="377" t="s">
        <v>876</v>
      </c>
      <c r="L123" s="377" t="s">
        <v>457</v>
      </c>
      <c r="M123" s="378">
        <v>4.961470530625E-2</v>
      </c>
      <c r="N123" s="379">
        <v>7968</v>
      </c>
      <c r="O123" s="379">
        <v>3688</v>
      </c>
      <c r="P123" s="380">
        <v>15.777918715695488</v>
      </c>
      <c r="Q123" s="380">
        <v>5.0258024310226874</v>
      </c>
      <c r="R123" s="380">
        <v>6.6065387157727722</v>
      </c>
      <c r="S123" s="380">
        <v>5.878556887870551</v>
      </c>
      <c r="T123" s="381">
        <v>17.51089803466601</v>
      </c>
      <c r="U123" s="380">
        <v>0.48745748619935603</v>
      </c>
      <c r="V123" s="381">
        <v>33.776274236560852</v>
      </c>
      <c r="W123" s="382">
        <v>4.7E-2</v>
      </c>
      <c r="X123" s="382">
        <v>2.5000000000000001E-3</v>
      </c>
      <c r="Y123" s="382">
        <v>3.2500000000000001E-2</v>
      </c>
      <c r="Z123" s="380">
        <v>36.69</v>
      </c>
      <c r="AA123" s="380">
        <v>37.93</v>
      </c>
      <c r="AB123" s="363">
        <f t="shared" si="2"/>
        <v>-2.3314683517128287E-15</v>
      </c>
      <c r="AC123" s="363">
        <f t="shared" si="3"/>
        <v>0</v>
      </c>
      <c r="AD123" s="383"/>
    </row>
    <row r="124" spans="3:30">
      <c r="C124" s="377" t="s">
        <v>419</v>
      </c>
      <c r="D124" s="377" t="s">
        <v>1242</v>
      </c>
      <c r="E124" s="377" t="s">
        <v>588</v>
      </c>
      <c r="F124" s="377" t="s">
        <v>673</v>
      </c>
      <c r="G124" s="377">
        <v>16</v>
      </c>
      <c r="H124" s="377" t="s">
        <v>712</v>
      </c>
      <c r="I124" s="377" t="s">
        <v>677</v>
      </c>
      <c r="J124" s="377" t="s">
        <v>660</v>
      </c>
      <c r="K124" s="377" t="s">
        <v>879</v>
      </c>
      <c r="L124" s="377" t="s">
        <v>458</v>
      </c>
      <c r="M124" s="378">
        <v>6.8493825428000005E-2</v>
      </c>
      <c r="N124" s="379">
        <v>9059</v>
      </c>
      <c r="O124" s="379">
        <v>4255</v>
      </c>
      <c r="P124" s="380">
        <v>17.372699019642557</v>
      </c>
      <c r="Q124" s="380">
        <v>5.4669012057625377</v>
      </c>
      <c r="R124" s="380">
        <v>7.177530695622087</v>
      </c>
      <c r="S124" s="380">
        <v>6.4728303199909414</v>
      </c>
      <c r="T124" s="381">
        <v>19.117262221375565</v>
      </c>
      <c r="U124" s="380">
        <v>0.55420147684236531</v>
      </c>
      <c r="V124" s="381">
        <v>37.044162717860488</v>
      </c>
      <c r="W124" s="382">
        <v>4.7E-2</v>
      </c>
      <c r="X124" s="382">
        <v>2.5000000000000001E-3</v>
      </c>
      <c r="Y124" s="382">
        <v>3.2500000000000001E-2</v>
      </c>
      <c r="Z124" s="380">
        <v>40.24</v>
      </c>
      <c r="AA124" s="380">
        <v>41.6</v>
      </c>
      <c r="AB124" s="363">
        <f t="shared" si="2"/>
        <v>0</v>
      </c>
      <c r="AC124" s="363">
        <f t="shared" si="3"/>
        <v>0</v>
      </c>
      <c r="AD124" s="383"/>
    </row>
    <row r="125" spans="3:30">
      <c r="C125" s="377" t="s">
        <v>420</v>
      </c>
      <c r="D125" s="377" t="s">
        <v>1243</v>
      </c>
      <c r="E125" s="377" t="s">
        <v>589</v>
      </c>
      <c r="F125" s="377" t="s">
        <v>663</v>
      </c>
      <c r="G125" s="377">
        <v>17</v>
      </c>
      <c r="H125" s="377" t="s">
        <v>712</v>
      </c>
      <c r="I125" s="377" t="s">
        <v>677</v>
      </c>
      <c r="J125" s="377" t="s">
        <v>660</v>
      </c>
      <c r="K125" s="377" t="s">
        <v>778</v>
      </c>
      <c r="L125" s="377" t="s">
        <v>466</v>
      </c>
      <c r="M125" s="378">
        <v>7.537911580975E-2</v>
      </c>
      <c r="N125" s="379">
        <v>9756</v>
      </c>
      <c r="O125" s="379">
        <v>4654</v>
      </c>
      <c r="P125" s="380">
        <v>19.205756366100367</v>
      </c>
      <c r="Q125" s="380">
        <v>5.8767357083952572</v>
      </c>
      <c r="R125" s="380">
        <v>7.5640155849545332</v>
      </c>
      <c r="S125" s="380">
        <v>6.8170303137683907</v>
      </c>
      <c r="T125" s="381">
        <v>20.257781607118183</v>
      </c>
      <c r="U125" s="380">
        <v>0.59684177150613926</v>
      </c>
      <c r="V125" s="381">
        <v>40.060379744724685</v>
      </c>
      <c r="W125" s="382">
        <v>4.7E-2</v>
      </c>
      <c r="X125" s="382">
        <v>2.5000000000000001E-3</v>
      </c>
      <c r="Y125" s="382">
        <v>3.2500000000000001E-2</v>
      </c>
      <c r="Z125" s="380">
        <v>43.52</v>
      </c>
      <c r="AA125" s="380">
        <v>44.99</v>
      </c>
      <c r="AB125" s="363">
        <f t="shared" si="2"/>
        <v>-2.55351295663786E-15</v>
      </c>
      <c r="AC125" s="363">
        <f t="shared" si="3"/>
        <v>0</v>
      </c>
      <c r="AD125" s="383"/>
    </row>
    <row r="126" spans="3:30">
      <c r="C126" s="377" t="s">
        <v>421</v>
      </c>
      <c r="D126" s="377" t="s">
        <v>1244</v>
      </c>
      <c r="E126" s="377" t="s">
        <v>631</v>
      </c>
      <c r="F126" s="377" t="s">
        <v>713</v>
      </c>
      <c r="G126" s="377">
        <v>17</v>
      </c>
      <c r="H126" s="377" t="s">
        <v>714</v>
      </c>
      <c r="I126" s="377" t="s">
        <v>677</v>
      </c>
      <c r="J126" s="377" t="s">
        <v>660</v>
      </c>
      <c r="K126" s="377" t="s">
        <v>778</v>
      </c>
      <c r="L126" s="377" t="s">
        <v>467</v>
      </c>
      <c r="M126" s="378">
        <v>6.5257379071999994E-2</v>
      </c>
      <c r="N126" s="379">
        <v>9516</v>
      </c>
      <c r="O126" s="379">
        <v>4279</v>
      </c>
      <c r="P126" s="380">
        <v>19.038363547996877</v>
      </c>
      <c r="Q126" s="380">
        <v>5.812689545454071</v>
      </c>
      <c r="R126" s="380">
        <v>7.6539328962509758</v>
      </c>
      <c r="S126" s="380">
        <v>6.8703776249231501</v>
      </c>
      <c r="T126" s="381">
        <v>20.3370000666282</v>
      </c>
      <c r="U126" s="380">
        <v>0.5821593171025442</v>
      </c>
      <c r="V126" s="381">
        <v>39.957522931727624</v>
      </c>
      <c r="W126" s="382">
        <v>4.7E-2</v>
      </c>
      <c r="X126" s="382">
        <v>2.5000000000000001E-3</v>
      </c>
      <c r="Y126" s="382">
        <v>3.2500000000000001E-2</v>
      </c>
      <c r="Z126" s="380">
        <v>43.41</v>
      </c>
      <c r="AA126" s="380">
        <v>44.87</v>
      </c>
      <c r="AB126" s="363">
        <f t="shared" si="2"/>
        <v>6.9944050551384862E-15</v>
      </c>
      <c r="AC126" s="363">
        <f t="shared" si="3"/>
        <v>0</v>
      </c>
      <c r="AD126" s="383"/>
    </row>
    <row r="127" spans="3:30">
      <c r="C127" s="377" t="s">
        <v>422</v>
      </c>
      <c r="D127" s="377" t="s">
        <v>1245</v>
      </c>
      <c r="E127" s="377" t="s">
        <v>614</v>
      </c>
      <c r="F127" s="377" t="s">
        <v>662</v>
      </c>
      <c r="G127" s="377">
        <v>17</v>
      </c>
      <c r="H127" s="377" t="s">
        <v>714</v>
      </c>
      <c r="I127" s="377" t="s">
        <v>677</v>
      </c>
      <c r="J127" s="377" t="s">
        <v>660</v>
      </c>
      <c r="K127" s="377" t="s">
        <v>778</v>
      </c>
      <c r="L127" s="377" t="s">
        <v>459</v>
      </c>
      <c r="M127" s="378">
        <v>6.5991040189749994E-2</v>
      </c>
      <c r="N127" s="379">
        <v>9227</v>
      </c>
      <c r="O127" s="379">
        <v>4216</v>
      </c>
      <c r="P127" s="380">
        <v>18.428545656429655</v>
      </c>
      <c r="Q127" s="380">
        <v>5.7175140097580357</v>
      </c>
      <c r="R127" s="380">
        <v>7.4941843992574508</v>
      </c>
      <c r="S127" s="380">
        <v>6.6909601836564327</v>
      </c>
      <c r="T127" s="381">
        <v>19.902658592671923</v>
      </c>
      <c r="U127" s="380">
        <v>0.56447919492488174</v>
      </c>
      <c r="V127" s="381">
        <v>38.89568344402646</v>
      </c>
      <c r="W127" s="382">
        <v>4.7E-2</v>
      </c>
      <c r="X127" s="382">
        <v>2.5000000000000001E-3</v>
      </c>
      <c r="Y127" s="382">
        <v>3.2500000000000001E-2</v>
      </c>
      <c r="Z127" s="380">
        <v>42.25</v>
      </c>
      <c r="AA127" s="380">
        <v>43.68</v>
      </c>
      <c r="AB127" s="363">
        <f t="shared" si="2"/>
        <v>3.7747582837255322E-15</v>
      </c>
      <c r="AC127" s="363">
        <f t="shared" si="3"/>
        <v>0</v>
      </c>
      <c r="AD127" s="383"/>
    </row>
    <row r="128" spans="3:30">
      <c r="C128" s="377" t="s">
        <v>423</v>
      </c>
      <c r="D128" s="377" t="s">
        <v>1246</v>
      </c>
      <c r="E128" s="377" t="s">
        <v>589</v>
      </c>
      <c r="F128" s="377" t="s">
        <v>697</v>
      </c>
      <c r="G128" s="377">
        <v>17</v>
      </c>
      <c r="H128" s="377" t="s">
        <v>714</v>
      </c>
      <c r="I128" s="377" t="s">
        <v>677</v>
      </c>
      <c r="J128" s="377" t="s">
        <v>660</v>
      </c>
      <c r="K128" s="377" t="s">
        <v>778</v>
      </c>
      <c r="L128" s="377" t="s">
        <v>468</v>
      </c>
      <c r="M128" s="378">
        <v>7.1062682546250006E-2</v>
      </c>
      <c r="N128" s="379">
        <v>9952</v>
      </c>
      <c r="O128" s="379">
        <v>4432</v>
      </c>
      <c r="P128" s="380">
        <v>19.999156902308783</v>
      </c>
      <c r="Q128" s="380">
        <v>5.9588247583978307</v>
      </c>
      <c r="R128" s="380">
        <v>7.8778207586695324</v>
      </c>
      <c r="S128" s="380">
        <v>7.1100731639628609</v>
      </c>
      <c r="T128" s="381">
        <v>20.946718681030227</v>
      </c>
      <c r="U128" s="380">
        <v>0.60883244260240865</v>
      </c>
      <c r="V128" s="381">
        <v>41.554708025941423</v>
      </c>
      <c r="W128" s="382">
        <v>4.7E-2</v>
      </c>
      <c r="X128" s="382">
        <v>2.5000000000000001E-3</v>
      </c>
      <c r="Y128" s="382">
        <v>3.2500000000000001E-2</v>
      </c>
      <c r="Z128" s="380">
        <v>45.14</v>
      </c>
      <c r="AA128" s="380">
        <v>46.66</v>
      </c>
      <c r="AB128" s="363">
        <f t="shared" si="2"/>
        <v>6.106226635438361E-15</v>
      </c>
      <c r="AC128" s="363">
        <f t="shared" si="3"/>
        <v>0</v>
      </c>
      <c r="AD128" s="383"/>
    </row>
    <row r="129" spans="3:30">
      <c r="C129" s="377" t="s">
        <v>424</v>
      </c>
      <c r="D129" s="377" t="s">
        <v>1247</v>
      </c>
      <c r="E129" s="377" t="s">
        <v>631</v>
      </c>
      <c r="F129" s="377" t="s">
        <v>662</v>
      </c>
      <c r="G129" s="377">
        <v>18</v>
      </c>
      <c r="H129" s="377" t="s">
        <v>714</v>
      </c>
      <c r="I129" s="377" t="s">
        <v>677</v>
      </c>
      <c r="J129" s="377" t="s">
        <v>660</v>
      </c>
      <c r="K129" s="377" t="s">
        <v>778</v>
      </c>
      <c r="L129" s="377" t="s">
        <v>469</v>
      </c>
      <c r="M129" s="378">
        <v>7.1461105449750012E-2</v>
      </c>
      <c r="N129" s="379">
        <v>9777</v>
      </c>
      <c r="O129" s="379">
        <v>4392</v>
      </c>
      <c r="P129" s="380">
        <v>19.586424887325677</v>
      </c>
      <c r="Q129" s="380">
        <v>5.9531397127321801</v>
      </c>
      <c r="R129" s="380">
        <v>7.8558907509864824</v>
      </c>
      <c r="S129" s="380">
        <v>7.067288066560625</v>
      </c>
      <c r="T129" s="381">
        <v>20.876318530279288</v>
      </c>
      <c r="U129" s="380">
        <v>0.59812648626645393</v>
      </c>
      <c r="V129" s="381">
        <v>41.060869903871421</v>
      </c>
      <c r="W129" s="382">
        <v>4.7E-2</v>
      </c>
      <c r="X129" s="382">
        <v>2.5000000000000001E-3</v>
      </c>
      <c r="Y129" s="382">
        <v>3.2500000000000001E-2</v>
      </c>
      <c r="Z129" s="380">
        <v>44.61</v>
      </c>
      <c r="AA129" s="380">
        <v>46.11</v>
      </c>
      <c r="AB129" s="363">
        <f t="shared" si="2"/>
        <v>1.3322676295501878E-15</v>
      </c>
      <c r="AC129" s="363">
        <f t="shared" si="3"/>
        <v>0</v>
      </c>
      <c r="AD129" s="383"/>
    </row>
    <row r="130" spans="3:30">
      <c r="C130" s="377" t="s">
        <v>153</v>
      </c>
      <c r="D130" s="377" t="s">
        <v>1058</v>
      </c>
      <c r="E130" s="377" t="s">
        <v>632</v>
      </c>
      <c r="F130" s="377" t="s">
        <v>715</v>
      </c>
      <c r="G130" s="377">
        <v>17</v>
      </c>
      <c r="H130" s="377" t="s">
        <v>716</v>
      </c>
      <c r="I130" s="377" t="s">
        <v>659</v>
      </c>
      <c r="J130" s="377" t="s">
        <v>660</v>
      </c>
      <c r="K130" s="377" t="s">
        <v>778</v>
      </c>
      <c r="L130" s="377" t="s">
        <v>1112</v>
      </c>
      <c r="M130" s="378">
        <v>7.6193594639999987E-2</v>
      </c>
      <c r="N130" s="379">
        <v>11143</v>
      </c>
      <c r="O130" s="379">
        <v>5194</v>
      </c>
      <c r="P130" s="380">
        <v>23.563362693594499</v>
      </c>
      <c r="Q130" s="380">
        <v>6.4953883977340334</v>
      </c>
      <c r="R130" s="380">
        <v>8.6263012437742557</v>
      </c>
      <c r="S130" s="380">
        <v>7.8881468396019905</v>
      </c>
      <c r="T130" s="381">
        <v>23.009836481110284</v>
      </c>
      <c r="U130" s="380">
        <v>0.68169412258024931</v>
      </c>
      <c r="V130" s="381">
        <v>47.254893297285037</v>
      </c>
      <c r="W130" s="382">
        <v>4.7E-2</v>
      </c>
      <c r="X130" s="382">
        <v>2.5000000000000001E-3</v>
      </c>
      <c r="Y130" s="382">
        <v>3.2500000000000001E-2</v>
      </c>
      <c r="Z130" s="380">
        <v>51.34</v>
      </c>
      <c r="AA130" s="380">
        <v>53.07</v>
      </c>
      <c r="AB130" s="363">
        <f t="shared" si="2"/>
        <v>9.7699626167013776E-15</v>
      </c>
      <c r="AC130" s="363">
        <f t="shared" si="3"/>
        <v>0</v>
      </c>
      <c r="AD130" s="383"/>
    </row>
    <row r="131" spans="3:30">
      <c r="C131" s="377" t="s">
        <v>154</v>
      </c>
      <c r="D131" s="377" t="s">
        <v>1248</v>
      </c>
      <c r="E131" s="377" t="s">
        <v>1112</v>
      </c>
      <c r="F131" s="377" t="s">
        <v>662</v>
      </c>
      <c r="G131" s="377">
        <v>17</v>
      </c>
      <c r="H131" s="377" t="s">
        <v>716</v>
      </c>
      <c r="I131" s="377" t="s">
        <v>659</v>
      </c>
      <c r="J131" s="377" t="s">
        <v>660</v>
      </c>
      <c r="K131" s="377" t="s">
        <v>778</v>
      </c>
      <c r="L131" s="377" t="s">
        <v>1112</v>
      </c>
      <c r="M131" s="378">
        <v>6.5991040189749994E-2</v>
      </c>
      <c r="N131" s="379">
        <v>10268</v>
      </c>
      <c r="O131" s="379">
        <v>4481</v>
      </c>
      <c r="P131" s="380">
        <v>21.919615100612326</v>
      </c>
      <c r="Q131" s="380">
        <v>5.9994892749530626</v>
      </c>
      <c r="R131" s="380">
        <v>8.0608902301837642</v>
      </c>
      <c r="S131" s="380">
        <v>7.3163909879054732</v>
      </c>
      <c r="T131" s="381">
        <v>21.376770493042297</v>
      </c>
      <c r="U131" s="380">
        <v>0.62816434090047546</v>
      </c>
      <c r="V131" s="381">
        <v>43.924549934555102</v>
      </c>
      <c r="W131" s="382">
        <v>4.7E-2</v>
      </c>
      <c r="X131" s="382">
        <v>2.5000000000000001E-3</v>
      </c>
      <c r="Y131" s="382">
        <v>3.2500000000000001E-2</v>
      </c>
      <c r="Z131" s="380">
        <v>47.72</v>
      </c>
      <c r="AA131" s="380">
        <v>49.33</v>
      </c>
      <c r="AB131" s="363">
        <f t="shared" si="2"/>
        <v>0</v>
      </c>
      <c r="AC131" s="363">
        <f t="shared" si="3"/>
        <v>0</v>
      </c>
      <c r="AD131" s="383"/>
    </row>
    <row r="132" spans="3:30">
      <c r="C132" s="377" t="s">
        <v>234</v>
      </c>
      <c r="D132" s="377" t="s">
        <v>1249</v>
      </c>
      <c r="E132" s="377" t="s">
        <v>1112</v>
      </c>
      <c r="F132" s="377" t="s">
        <v>746</v>
      </c>
      <c r="G132" s="377">
        <v>18</v>
      </c>
      <c r="H132" s="377" t="s">
        <v>716</v>
      </c>
      <c r="I132" s="377" t="s">
        <v>659</v>
      </c>
      <c r="J132" s="377" t="s">
        <v>660</v>
      </c>
      <c r="K132" s="377" t="s">
        <v>778</v>
      </c>
      <c r="L132" s="377" t="s">
        <v>1112</v>
      </c>
      <c r="M132" s="378">
        <v>8.751359545200002E-2</v>
      </c>
      <c r="N132" s="379">
        <v>12278</v>
      </c>
      <c r="O132" s="379">
        <v>5425</v>
      </c>
      <c r="P132" s="380">
        <v>26.546563514142129</v>
      </c>
      <c r="Q132" s="380">
        <v>6.6989774758972205</v>
      </c>
      <c r="R132" s="380">
        <v>8.9613533846524032</v>
      </c>
      <c r="S132" s="380">
        <v>8.2677838254418781</v>
      </c>
      <c r="T132" s="381">
        <v>23.928114685991503</v>
      </c>
      <c r="U132" s="380">
        <v>0.75112989653058404</v>
      </c>
      <c r="V132" s="381">
        <v>51.225808096664217</v>
      </c>
      <c r="W132" s="382">
        <v>4.7E-2</v>
      </c>
      <c r="X132" s="382">
        <v>2.5000000000000001E-3</v>
      </c>
      <c r="Y132" s="382">
        <v>3.2500000000000001E-2</v>
      </c>
      <c r="Z132" s="380">
        <v>55.65</v>
      </c>
      <c r="AA132" s="380">
        <v>57.52</v>
      </c>
      <c r="AB132" s="363">
        <f t="shared" si="2"/>
        <v>3.219646771412954E-15</v>
      </c>
      <c r="AC132" s="363">
        <f t="shared" si="3"/>
        <v>0</v>
      </c>
      <c r="AD132" s="383"/>
    </row>
    <row r="133" spans="3:30">
      <c r="C133" s="377" t="s">
        <v>222</v>
      </c>
      <c r="D133" s="377" t="s">
        <v>1250</v>
      </c>
      <c r="E133" s="377" t="s">
        <v>1112</v>
      </c>
      <c r="F133" s="377" t="s">
        <v>689</v>
      </c>
      <c r="G133" s="377">
        <v>18</v>
      </c>
      <c r="H133" s="377" t="s">
        <v>716</v>
      </c>
      <c r="I133" s="377" t="s">
        <v>659</v>
      </c>
      <c r="J133" s="377" t="s">
        <v>660</v>
      </c>
      <c r="K133" s="377" t="s">
        <v>778</v>
      </c>
      <c r="L133" s="377" t="s">
        <v>1112</v>
      </c>
      <c r="M133" s="378">
        <v>8.8330504799250004E-2</v>
      </c>
      <c r="N133" s="379">
        <v>12435</v>
      </c>
      <c r="O133" s="379">
        <v>5539</v>
      </c>
      <c r="P133" s="380">
        <v>26.584041778251503</v>
      </c>
      <c r="Q133" s="380">
        <v>6.7004720532227227</v>
      </c>
      <c r="R133" s="380">
        <v>9.0492298020569901</v>
      </c>
      <c r="S133" s="380">
        <v>8.4056117017243182</v>
      </c>
      <c r="T133" s="381">
        <v>24.155313557004035</v>
      </c>
      <c r="U133" s="380">
        <v>0.76073466878626927</v>
      </c>
      <c r="V133" s="381">
        <v>51.500090004041809</v>
      </c>
      <c r="W133" s="382">
        <v>4.7E-2</v>
      </c>
      <c r="X133" s="382">
        <v>2.5000000000000001E-3</v>
      </c>
      <c r="Y133" s="382">
        <v>3.2500000000000001E-2</v>
      </c>
      <c r="Z133" s="380">
        <v>55.95</v>
      </c>
      <c r="AA133" s="380">
        <v>57.83</v>
      </c>
      <c r="AB133" s="363">
        <f t="shared" si="2"/>
        <v>6.2172489379008766E-15</v>
      </c>
      <c r="AC133" s="363">
        <f t="shared" si="3"/>
        <v>0</v>
      </c>
      <c r="AD133" s="383"/>
    </row>
    <row r="134" spans="3:30">
      <c r="C134" s="377" t="s">
        <v>236</v>
      </c>
      <c r="D134" s="377" t="s">
        <v>1251</v>
      </c>
      <c r="E134" s="377" t="s">
        <v>1112</v>
      </c>
      <c r="F134" s="377" t="s">
        <v>688</v>
      </c>
      <c r="G134" s="377">
        <v>18</v>
      </c>
      <c r="H134" s="377" t="s">
        <v>716</v>
      </c>
      <c r="I134" s="377" t="s">
        <v>659</v>
      </c>
      <c r="J134" s="377" t="s">
        <v>660</v>
      </c>
      <c r="K134" s="377" t="s">
        <v>778</v>
      </c>
      <c r="L134" s="377" t="s">
        <v>237</v>
      </c>
      <c r="M134" s="378">
        <v>8.8389506459000025E-2</v>
      </c>
      <c r="N134" s="379">
        <v>12635</v>
      </c>
      <c r="O134" s="379">
        <v>5581</v>
      </c>
      <c r="P134" s="380">
        <v>27.136050536193554</v>
      </c>
      <c r="Q134" s="380">
        <v>6.7521568600532307</v>
      </c>
      <c r="R134" s="380">
        <v>9.0290787695514076</v>
      </c>
      <c r="S134" s="380">
        <v>8.3903637503122788</v>
      </c>
      <c r="T134" s="381">
        <v>24.171599379916916</v>
      </c>
      <c r="U134" s="380">
        <v>0.77297004745593179</v>
      </c>
      <c r="V134" s="381">
        <v>52.080619963566406</v>
      </c>
      <c r="W134" s="382">
        <v>4.7E-2</v>
      </c>
      <c r="X134" s="382">
        <v>2.5000000000000001E-3</v>
      </c>
      <c r="Y134" s="382">
        <v>3.2500000000000001E-2</v>
      </c>
      <c r="Z134" s="380">
        <v>56.58</v>
      </c>
      <c r="AA134" s="380">
        <v>58.48</v>
      </c>
      <c r="AB134" s="363">
        <f t="shared" ref="AB134:AB197" si="4">V134-P134-Q134-R134-S134-U134</f>
        <v>3.3306690738754696E-15</v>
      </c>
      <c r="AC134" s="363">
        <f t="shared" ref="AC134:AC197" si="5">T134-SUM(Q134:S134)</f>
        <v>0</v>
      </c>
      <c r="AD134" s="383"/>
    </row>
    <row r="135" spans="3:30">
      <c r="C135" s="377" t="s">
        <v>155</v>
      </c>
      <c r="D135" s="377" t="s">
        <v>932</v>
      </c>
      <c r="E135" s="377" t="s">
        <v>633</v>
      </c>
      <c r="F135" s="377" t="s">
        <v>717</v>
      </c>
      <c r="G135" s="377">
        <v>18</v>
      </c>
      <c r="H135" s="377" t="s">
        <v>716</v>
      </c>
      <c r="I135" s="377" t="s">
        <v>659</v>
      </c>
      <c r="J135" s="377" t="s">
        <v>660</v>
      </c>
      <c r="K135" s="377" t="s">
        <v>778</v>
      </c>
      <c r="L135" s="377" t="s">
        <v>1112</v>
      </c>
      <c r="M135" s="378">
        <v>8.205935390800001E-2</v>
      </c>
      <c r="N135" s="379">
        <v>11920</v>
      </c>
      <c r="O135" s="379">
        <v>5244</v>
      </c>
      <c r="P135" s="380">
        <v>25.424810855753595</v>
      </c>
      <c r="Q135" s="380">
        <v>6.5322443057510675</v>
      </c>
      <c r="R135" s="380">
        <v>8.7996503992395088</v>
      </c>
      <c r="S135" s="380">
        <v>8.1091079514791549</v>
      </c>
      <c r="T135" s="381">
        <v>23.441002656469728</v>
      </c>
      <c r="U135" s="380">
        <v>0.72922856871188824</v>
      </c>
      <c r="V135" s="381">
        <v>49.595042080935215</v>
      </c>
      <c r="W135" s="382">
        <v>4.7E-2</v>
      </c>
      <c r="X135" s="382">
        <v>2.5000000000000001E-3</v>
      </c>
      <c r="Y135" s="382">
        <v>3.2500000000000001E-2</v>
      </c>
      <c r="Z135" s="380">
        <v>53.88</v>
      </c>
      <c r="AA135" s="380">
        <v>55.69</v>
      </c>
      <c r="AB135" s="363">
        <f t="shared" si="4"/>
        <v>8.8817841970012523E-16</v>
      </c>
      <c r="AC135" s="363">
        <f t="shared" si="5"/>
        <v>0</v>
      </c>
      <c r="AD135" s="383"/>
    </row>
    <row r="136" spans="3:30">
      <c r="C136" s="377" t="s">
        <v>156</v>
      </c>
      <c r="D136" s="377" t="s">
        <v>983</v>
      </c>
      <c r="E136" s="377" t="s">
        <v>612</v>
      </c>
      <c r="F136" s="377" t="s">
        <v>690</v>
      </c>
      <c r="G136" s="377">
        <v>18</v>
      </c>
      <c r="H136" s="377" t="s">
        <v>716</v>
      </c>
      <c r="I136" s="377" t="s">
        <v>659</v>
      </c>
      <c r="J136" s="377" t="s">
        <v>660</v>
      </c>
      <c r="K136" s="377" t="s">
        <v>778</v>
      </c>
      <c r="L136" s="377" t="s">
        <v>1112</v>
      </c>
      <c r="M136" s="378">
        <v>7.6793813804000022E-2</v>
      </c>
      <c r="N136" s="379">
        <v>10919</v>
      </c>
      <c r="O136" s="379">
        <v>4741</v>
      </c>
      <c r="P136" s="380">
        <v>23.480924298555223</v>
      </c>
      <c r="Q136" s="380">
        <v>6.2589922160720182</v>
      </c>
      <c r="R136" s="380">
        <v>8.5546734083761748</v>
      </c>
      <c r="S136" s="380">
        <v>7.8029895710645452</v>
      </c>
      <c r="T136" s="381">
        <v>22.616655195512738</v>
      </c>
      <c r="U136" s="380">
        <v>0.66799049847022707</v>
      </c>
      <c r="V136" s="381">
        <v>46.76556999253819</v>
      </c>
      <c r="W136" s="382">
        <v>4.7E-2</v>
      </c>
      <c r="X136" s="382">
        <v>2.5000000000000001E-3</v>
      </c>
      <c r="Y136" s="382">
        <v>3.2500000000000001E-2</v>
      </c>
      <c r="Z136" s="380">
        <v>50.8</v>
      </c>
      <c r="AA136" s="380">
        <v>52.52</v>
      </c>
      <c r="AB136" s="363">
        <f t="shared" si="4"/>
        <v>2.9976021664879227E-15</v>
      </c>
      <c r="AC136" s="363">
        <f t="shared" si="5"/>
        <v>0</v>
      </c>
      <c r="AD136" s="383"/>
    </row>
    <row r="137" spans="3:30">
      <c r="C137" s="377" t="s">
        <v>184</v>
      </c>
      <c r="D137" s="377" t="s">
        <v>1252</v>
      </c>
      <c r="E137" s="377" t="s">
        <v>634</v>
      </c>
      <c r="F137" s="377" t="s">
        <v>669</v>
      </c>
      <c r="G137" s="377">
        <v>15</v>
      </c>
      <c r="H137" s="377" t="s">
        <v>718</v>
      </c>
      <c r="I137" s="377" t="s">
        <v>659</v>
      </c>
      <c r="J137" s="377" t="s">
        <v>660</v>
      </c>
      <c r="K137" s="377" t="s">
        <v>876</v>
      </c>
      <c r="L137" s="377" t="s">
        <v>455</v>
      </c>
      <c r="M137" s="378">
        <v>6.7468812031250006E-2</v>
      </c>
      <c r="N137" s="379">
        <v>8390</v>
      </c>
      <c r="O137" s="379">
        <v>4051.9999999999995</v>
      </c>
      <c r="P137" s="380">
        <v>16.454074306403239</v>
      </c>
      <c r="Q137" s="380">
        <v>5.0963011888960574</v>
      </c>
      <c r="R137" s="380">
        <v>6.6251379467752818</v>
      </c>
      <c r="S137" s="380">
        <v>5.9409021257352812</v>
      </c>
      <c r="T137" s="381">
        <v>17.66234126140662</v>
      </c>
      <c r="U137" s="380">
        <v>0.51327413519234422</v>
      </c>
      <c r="V137" s="381">
        <v>34.6296897030022</v>
      </c>
      <c r="W137" s="382">
        <v>4.7E-2</v>
      </c>
      <c r="X137" s="382">
        <v>2.5000000000000001E-3</v>
      </c>
      <c r="Y137" s="382">
        <v>3.2500000000000001E-2</v>
      </c>
      <c r="Z137" s="380">
        <v>37.619999999999997</v>
      </c>
      <c r="AA137" s="380">
        <v>38.89</v>
      </c>
      <c r="AB137" s="363">
        <f t="shared" si="4"/>
        <v>-3.3306690738754696E-15</v>
      </c>
      <c r="AC137" s="363">
        <f t="shared" si="5"/>
        <v>0</v>
      </c>
      <c r="AD137" s="383"/>
    </row>
    <row r="138" spans="3:30" s="391" customFormat="1">
      <c r="C138" s="384" t="s">
        <v>185</v>
      </c>
      <c r="D138" s="384" t="s">
        <v>1253</v>
      </c>
      <c r="E138" s="384" t="s">
        <v>635</v>
      </c>
      <c r="F138" s="384" t="s">
        <v>675</v>
      </c>
      <c r="G138" s="384">
        <v>15</v>
      </c>
      <c r="H138" s="384" t="s">
        <v>718</v>
      </c>
      <c r="I138" s="384" t="s">
        <v>659</v>
      </c>
      <c r="J138" s="384" t="s">
        <v>660</v>
      </c>
      <c r="K138" s="384" t="s">
        <v>876</v>
      </c>
      <c r="L138" s="384" t="s">
        <v>437</v>
      </c>
      <c r="M138" s="385">
        <v>7.8501303100000003E-2</v>
      </c>
      <c r="N138" s="386">
        <v>10163</v>
      </c>
      <c r="O138" s="386">
        <v>4923</v>
      </c>
      <c r="P138" s="387">
        <v>19.939829024373498</v>
      </c>
      <c r="Q138" s="387">
        <v>5.774433982425764</v>
      </c>
      <c r="R138" s="387">
        <v>7.3974037712708958</v>
      </c>
      <c r="S138" s="387">
        <v>6.7950285417419627</v>
      </c>
      <c r="T138" s="388">
        <v>19.966866295438621</v>
      </c>
      <c r="U138" s="387">
        <v>0.62174076709890247</v>
      </c>
      <c r="V138" s="388">
        <v>40.528436086911022</v>
      </c>
      <c r="W138" s="389">
        <v>4.7E-2</v>
      </c>
      <c r="X138" s="389">
        <v>2.5000000000000001E-3</v>
      </c>
      <c r="Y138" s="389">
        <v>3.2500000000000001E-2</v>
      </c>
      <c r="Z138" s="387">
        <v>44.03</v>
      </c>
      <c r="AA138" s="387">
        <v>45.51</v>
      </c>
      <c r="AB138" s="363">
        <f t="shared" si="4"/>
        <v>-1.6653345369377348E-15</v>
      </c>
      <c r="AC138" s="390">
        <f t="shared" si="5"/>
        <v>0</v>
      </c>
      <c r="AD138" s="383"/>
    </row>
    <row r="139" spans="3:30">
      <c r="C139" s="377" t="s">
        <v>187</v>
      </c>
      <c r="D139" s="377" t="s">
        <v>1254</v>
      </c>
      <c r="E139" s="377" t="s">
        <v>635</v>
      </c>
      <c r="F139" s="377" t="s">
        <v>683</v>
      </c>
      <c r="G139" s="377">
        <v>16</v>
      </c>
      <c r="H139" s="377" t="s">
        <v>718</v>
      </c>
      <c r="I139" s="377" t="s">
        <v>659</v>
      </c>
      <c r="J139" s="377" t="s">
        <v>660</v>
      </c>
      <c r="K139" s="377" t="s">
        <v>879</v>
      </c>
      <c r="L139" s="377" t="s">
        <v>199</v>
      </c>
      <c r="M139" s="378">
        <v>7.9401685657749993E-2</v>
      </c>
      <c r="N139" s="379">
        <v>10089</v>
      </c>
      <c r="O139" s="379">
        <v>4830</v>
      </c>
      <c r="P139" s="380">
        <v>19.824423862356575</v>
      </c>
      <c r="Q139" s="380">
        <v>5.9371027034154897</v>
      </c>
      <c r="R139" s="380">
        <v>7.6732238806180293</v>
      </c>
      <c r="S139" s="380">
        <v>7.00511663717832</v>
      </c>
      <c r="T139" s="381">
        <v>20.615443221211841</v>
      </c>
      <c r="U139" s="380">
        <v>0.6172136769911275</v>
      </c>
      <c r="V139" s="381">
        <v>41.057080760559543</v>
      </c>
      <c r="W139" s="382">
        <v>4.7E-2</v>
      </c>
      <c r="X139" s="382">
        <v>2.5000000000000001E-3</v>
      </c>
      <c r="Y139" s="382">
        <v>3.2500000000000001E-2</v>
      </c>
      <c r="Z139" s="380">
        <v>44.6</v>
      </c>
      <c r="AA139" s="380">
        <v>46.11</v>
      </c>
      <c r="AB139" s="363">
        <f t="shared" si="4"/>
        <v>9.9920072216264089E-16</v>
      </c>
      <c r="AC139" s="363">
        <f t="shared" si="5"/>
        <v>0</v>
      </c>
      <c r="AD139" s="383"/>
    </row>
    <row r="140" spans="3:30">
      <c r="C140" s="377" t="s">
        <v>188</v>
      </c>
      <c r="D140" s="377" t="s">
        <v>1255</v>
      </c>
      <c r="E140" s="377" t="s">
        <v>637</v>
      </c>
      <c r="F140" s="377" t="s">
        <v>687</v>
      </c>
      <c r="G140" s="377">
        <v>16</v>
      </c>
      <c r="H140" s="377" t="s">
        <v>718</v>
      </c>
      <c r="I140" s="377" t="s">
        <v>659</v>
      </c>
      <c r="J140" s="377" t="s">
        <v>660</v>
      </c>
      <c r="K140" s="377" t="s">
        <v>879</v>
      </c>
      <c r="L140" s="377" t="s">
        <v>200</v>
      </c>
      <c r="M140" s="378">
        <v>9.3492227004750003E-2</v>
      </c>
      <c r="N140" s="379">
        <v>11629</v>
      </c>
      <c r="O140" s="379">
        <v>5484</v>
      </c>
      <c r="P140" s="380">
        <v>23.07472656061044</v>
      </c>
      <c r="Q140" s="380">
        <v>6.3652177376741585</v>
      </c>
      <c r="R140" s="380">
        <v>8.1774356646882129</v>
      </c>
      <c r="S140" s="380">
        <v>7.6422498658478109</v>
      </c>
      <c r="T140" s="381">
        <v>22.184903268210185</v>
      </c>
      <c r="U140" s="380">
        <v>0.7114260927475291</v>
      </c>
      <c r="V140" s="381">
        <v>45.971055921568151</v>
      </c>
      <c r="W140" s="382">
        <v>4.7E-2</v>
      </c>
      <c r="X140" s="382">
        <v>2.5000000000000001E-3</v>
      </c>
      <c r="Y140" s="382">
        <v>3.2500000000000001E-2</v>
      </c>
      <c r="Z140" s="380">
        <v>49.94</v>
      </c>
      <c r="AA140" s="380">
        <v>51.62</v>
      </c>
      <c r="AB140" s="363">
        <f t="shared" si="4"/>
        <v>8.8817841970012523E-16</v>
      </c>
      <c r="AC140" s="363">
        <f t="shared" si="5"/>
        <v>0</v>
      </c>
      <c r="AD140" s="383"/>
    </row>
    <row r="141" spans="3:30">
      <c r="C141" s="377" t="s">
        <v>221</v>
      </c>
      <c r="D141" s="377" t="s">
        <v>1256</v>
      </c>
      <c r="E141" s="377" t="s">
        <v>638</v>
      </c>
      <c r="F141" s="377" t="s">
        <v>669</v>
      </c>
      <c r="G141" s="377">
        <v>16</v>
      </c>
      <c r="H141" s="377" t="s">
        <v>718</v>
      </c>
      <c r="I141" s="377" t="s">
        <v>659</v>
      </c>
      <c r="J141" s="377" t="s">
        <v>660</v>
      </c>
      <c r="K141" s="377" t="s">
        <v>879</v>
      </c>
      <c r="L141" s="377" t="s">
        <v>224</v>
      </c>
      <c r="M141" s="378">
        <v>7.2865940429250001E-2</v>
      </c>
      <c r="N141" s="379">
        <v>8842</v>
      </c>
      <c r="O141" s="379">
        <v>4286</v>
      </c>
      <c r="P141" s="380">
        <v>17.229466985507162</v>
      </c>
      <c r="Q141" s="380">
        <v>5.3415063944379062</v>
      </c>
      <c r="R141" s="380">
        <v>6.931448819037219</v>
      </c>
      <c r="S141" s="380">
        <v>6.2337183484915748</v>
      </c>
      <c r="T141" s="381">
        <v>18.506673561966704</v>
      </c>
      <c r="U141" s="380">
        <v>0.54092609098578137</v>
      </c>
      <c r="V141" s="381">
        <v>36.277066638459644</v>
      </c>
      <c r="W141" s="382">
        <v>4.7E-2</v>
      </c>
      <c r="X141" s="382">
        <v>2.5000000000000001E-3</v>
      </c>
      <c r="Y141" s="382">
        <v>3.2500000000000001E-2</v>
      </c>
      <c r="Z141" s="380">
        <v>39.409999999999997</v>
      </c>
      <c r="AA141" s="380">
        <v>40.74</v>
      </c>
      <c r="AB141" s="363">
        <f t="shared" si="4"/>
        <v>-8.8817841970012523E-16</v>
      </c>
      <c r="AC141" s="363">
        <f t="shared" si="5"/>
        <v>0</v>
      </c>
      <c r="AD141" s="383"/>
    </row>
    <row r="142" spans="3:30">
      <c r="C142" s="377" t="s">
        <v>189</v>
      </c>
      <c r="D142" s="377" t="s">
        <v>1257</v>
      </c>
      <c r="E142" s="377" t="s">
        <v>639</v>
      </c>
      <c r="F142" s="377" t="s">
        <v>663</v>
      </c>
      <c r="G142" s="377">
        <v>16</v>
      </c>
      <c r="H142" s="377" t="s">
        <v>718</v>
      </c>
      <c r="I142" s="377" t="s">
        <v>659</v>
      </c>
      <c r="J142" s="377" t="s">
        <v>660</v>
      </c>
      <c r="K142" s="377" t="s">
        <v>879</v>
      </c>
      <c r="L142" s="377" t="s">
        <v>201</v>
      </c>
      <c r="M142" s="378">
        <v>6.9758152197750001E-2</v>
      </c>
      <c r="N142" s="379">
        <v>8969</v>
      </c>
      <c r="O142" s="379">
        <v>4225</v>
      </c>
      <c r="P142" s="380">
        <v>17.473667999589601</v>
      </c>
      <c r="Q142" s="380">
        <v>5.3499311158227316</v>
      </c>
      <c r="R142" s="380">
        <v>6.792965166185903</v>
      </c>
      <c r="S142" s="380">
        <v>6.1054103715763102</v>
      </c>
      <c r="T142" s="381">
        <v>18.248306653584944</v>
      </c>
      <c r="U142" s="380">
        <v>0.54869555644101731</v>
      </c>
      <c r="V142" s="381">
        <v>36.27067020961556</v>
      </c>
      <c r="W142" s="382">
        <v>4.7E-2</v>
      </c>
      <c r="X142" s="382">
        <v>2.5000000000000001E-3</v>
      </c>
      <c r="Y142" s="382">
        <v>3.2500000000000001E-2</v>
      </c>
      <c r="Z142" s="380">
        <v>39.4</v>
      </c>
      <c r="AA142" s="380">
        <v>40.729999999999997</v>
      </c>
      <c r="AB142" s="363">
        <f t="shared" si="4"/>
        <v>-2.7755575615628914E-15</v>
      </c>
      <c r="AC142" s="363">
        <f t="shared" si="5"/>
        <v>0</v>
      </c>
      <c r="AD142" s="383"/>
    </row>
    <row r="143" spans="3:30">
      <c r="C143" s="377" t="s">
        <v>208</v>
      </c>
      <c r="D143" s="377" t="s">
        <v>1258</v>
      </c>
      <c r="E143" s="377" t="s">
        <v>641</v>
      </c>
      <c r="F143" s="377" t="s">
        <v>652</v>
      </c>
      <c r="G143" s="377">
        <v>15</v>
      </c>
      <c r="H143" s="377" t="s">
        <v>718</v>
      </c>
      <c r="I143" s="377" t="s">
        <v>659</v>
      </c>
      <c r="J143" s="377" t="s">
        <v>660</v>
      </c>
      <c r="K143" s="377" t="s">
        <v>876</v>
      </c>
      <c r="L143" s="377" t="s">
        <v>449</v>
      </c>
      <c r="M143" s="378">
        <v>5.086615034375E-2</v>
      </c>
      <c r="N143" s="379">
        <v>7096</v>
      </c>
      <c r="O143" s="379">
        <v>3421</v>
      </c>
      <c r="P143" s="380">
        <v>13.904564731900571</v>
      </c>
      <c r="Q143" s="380">
        <v>4.6892086814203529</v>
      </c>
      <c r="R143" s="380">
        <v>6.0538101580913652</v>
      </c>
      <c r="S143" s="380">
        <v>5.3085365174632013</v>
      </c>
      <c r="T143" s="381">
        <v>16.051555356974923</v>
      </c>
      <c r="U143" s="380">
        <v>0.43411123519962741</v>
      </c>
      <c r="V143" s="381">
        <v>30.390231324075121</v>
      </c>
      <c r="W143" s="382">
        <v>4.7E-2</v>
      </c>
      <c r="X143" s="382">
        <v>2.5000000000000001E-3</v>
      </c>
      <c r="Y143" s="382">
        <v>3.2500000000000001E-2</v>
      </c>
      <c r="Z143" s="380">
        <v>33.01</v>
      </c>
      <c r="AA143" s="380">
        <v>34.130000000000003</v>
      </c>
      <c r="AB143" s="363">
        <f t="shared" si="4"/>
        <v>1.8318679906315083E-15</v>
      </c>
      <c r="AC143" s="363">
        <f t="shared" si="5"/>
        <v>0</v>
      </c>
      <c r="AD143" s="383"/>
    </row>
    <row r="144" spans="3:30">
      <c r="C144" s="377" t="s">
        <v>305</v>
      </c>
      <c r="D144" s="377" t="s">
        <v>1056</v>
      </c>
      <c r="E144" s="377" t="s">
        <v>640</v>
      </c>
      <c r="F144" s="377" t="s">
        <v>694</v>
      </c>
      <c r="G144" s="377">
        <v>16</v>
      </c>
      <c r="H144" s="377" t="s">
        <v>718</v>
      </c>
      <c r="I144" s="377" t="s">
        <v>659</v>
      </c>
      <c r="J144" s="377" t="s">
        <v>660</v>
      </c>
      <c r="K144" s="377" t="s">
        <v>879</v>
      </c>
      <c r="L144" s="377" t="s">
        <v>1112</v>
      </c>
      <c r="M144" s="378">
        <v>8.7421698955999994E-2</v>
      </c>
      <c r="N144" s="379">
        <v>11136</v>
      </c>
      <c r="O144" s="379">
        <v>5284</v>
      </c>
      <c r="P144" s="380">
        <v>22.078577268531582</v>
      </c>
      <c r="Q144" s="380">
        <v>6.2111256109670689</v>
      </c>
      <c r="R144" s="380">
        <v>7.9136125908295734</v>
      </c>
      <c r="S144" s="380">
        <v>7.3545952427940877</v>
      </c>
      <c r="T144" s="381">
        <v>21.479333444590729</v>
      </c>
      <c r="U144" s="380">
        <v>0.6812658843268109</v>
      </c>
      <c r="V144" s="381">
        <v>44.239176597449124</v>
      </c>
      <c r="W144" s="382">
        <v>4.7E-2</v>
      </c>
      <c r="X144" s="382">
        <v>2.5000000000000001E-3</v>
      </c>
      <c r="Y144" s="382">
        <v>3.2500000000000001E-2</v>
      </c>
      <c r="Z144" s="380">
        <v>48.06</v>
      </c>
      <c r="AA144" s="380">
        <v>49.68</v>
      </c>
      <c r="AB144" s="363">
        <f t="shared" si="4"/>
        <v>0</v>
      </c>
      <c r="AC144" s="363">
        <f t="shared" si="5"/>
        <v>0</v>
      </c>
      <c r="AD144" s="383"/>
    </row>
    <row r="145" spans="3:30">
      <c r="C145" s="377" t="s">
        <v>226</v>
      </c>
      <c r="D145" s="377" t="s">
        <v>1091</v>
      </c>
      <c r="E145" s="377" t="s">
        <v>744</v>
      </c>
      <c r="F145" s="377" t="s">
        <v>713</v>
      </c>
      <c r="G145" s="377">
        <v>16</v>
      </c>
      <c r="H145" s="377" t="s">
        <v>718</v>
      </c>
      <c r="I145" s="377" t="s">
        <v>659</v>
      </c>
      <c r="J145" s="377" t="s">
        <v>660</v>
      </c>
      <c r="K145" s="377" t="s">
        <v>879</v>
      </c>
      <c r="L145" s="377" t="s">
        <v>227</v>
      </c>
      <c r="M145" s="378">
        <v>6.0155367813000002E-2</v>
      </c>
      <c r="N145" s="379">
        <v>8624</v>
      </c>
      <c r="O145" s="379">
        <v>4033.0000000000005</v>
      </c>
      <c r="P145" s="380">
        <v>17.097961223872588</v>
      </c>
      <c r="Q145" s="380">
        <v>5.3030353517124418</v>
      </c>
      <c r="R145" s="380">
        <v>6.8739721348603302</v>
      </c>
      <c r="S145" s="380">
        <v>6.1607948720447325</v>
      </c>
      <c r="T145" s="381">
        <v>18.337802358617505</v>
      </c>
      <c r="U145" s="380">
        <v>0.52758952823584926</v>
      </c>
      <c r="V145" s="381">
        <v>35.963353110725947</v>
      </c>
      <c r="W145" s="382">
        <v>4.7E-2</v>
      </c>
      <c r="X145" s="382">
        <v>2.5000000000000001E-3</v>
      </c>
      <c r="Y145" s="382">
        <v>3.2500000000000001E-2</v>
      </c>
      <c r="Z145" s="380">
        <v>39.07</v>
      </c>
      <c r="AA145" s="380">
        <v>40.39</v>
      </c>
      <c r="AB145" s="363">
        <f t="shared" si="4"/>
        <v>5.6621374255882984E-15</v>
      </c>
      <c r="AC145" s="363">
        <f t="shared" si="5"/>
        <v>0</v>
      </c>
      <c r="AD145" s="383"/>
    </row>
    <row r="146" spans="3:30">
      <c r="C146" s="377" t="s">
        <v>159</v>
      </c>
      <c r="D146" s="377" t="s">
        <v>1259</v>
      </c>
      <c r="E146" s="377" t="s">
        <v>638</v>
      </c>
      <c r="F146" s="377" t="s">
        <v>672</v>
      </c>
      <c r="G146" s="377">
        <v>16</v>
      </c>
      <c r="H146" s="377" t="s">
        <v>718</v>
      </c>
      <c r="I146" s="377" t="s">
        <v>659</v>
      </c>
      <c r="J146" s="377" t="s">
        <v>660</v>
      </c>
      <c r="K146" s="377" t="s">
        <v>879</v>
      </c>
      <c r="L146" s="377" t="s">
        <v>448</v>
      </c>
      <c r="M146" s="378">
        <v>7.4501902684000004E-2</v>
      </c>
      <c r="N146" s="379">
        <v>9052</v>
      </c>
      <c r="O146" s="379">
        <v>4292</v>
      </c>
      <c r="P146" s="380">
        <v>17.32442414119549</v>
      </c>
      <c r="Q146" s="380">
        <v>5.3869373622467389</v>
      </c>
      <c r="R146" s="380">
        <v>6.9305468236291281</v>
      </c>
      <c r="S146" s="380">
        <v>6.2335880317878258</v>
      </c>
      <c r="T146" s="381">
        <v>18.551072217663691</v>
      </c>
      <c r="U146" s="380">
        <v>0.55377323858892713</v>
      </c>
      <c r="V146" s="381">
        <v>36.429269597448112</v>
      </c>
      <c r="W146" s="382">
        <v>4.7E-2</v>
      </c>
      <c r="X146" s="382">
        <v>2.5000000000000001E-3</v>
      </c>
      <c r="Y146" s="382">
        <v>3.2500000000000001E-2</v>
      </c>
      <c r="Z146" s="380">
        <v>39.58</v>
      </c>
      <c r="AA146" s="380">
        <v>40.909999999999997</v>
      </c>
      <c r="AB146" s="363">
        <f t="shared" si="4"/>
        <v>2.4424906541753444E-15</v>
      </c>
      <c r="AC146" s="363">
        <f t="shared" si="5"/>
        <v>0</v>
      </c>
      <c r="AD146" s="383"/>
    </row>
    <row r="147" spans="3:30">
      <c r="C147" s="377" t="s">
        <v>436</v>
      </c>
      <c r="D147" s="377" t="s">
        <v>1260</v>
      </c>
      <c r="E147" s="377" t="s">
        <v>589</v>
      </c>
      <c r="F147" s="377" t="s">
        <v>719</v>
      </c>
      <c r="G147" s="377">
        <v>18</v>
      </c>
      <c r="H147" s="377" t="s">
        <v>716</v>
      </c>
      <c r="I147" s="377" t="s">
        <v>659</v>
      </c>
      <c r="J147" s="377" t="s">
        <v>660</v>
      </c>
      <c r="K147" s="377" t="s">
        <v>778</v>
      </c>
      <c r="L147" s="377" t="s">
        <v>1112</v>
      </c>
      <c r="M147" s="378">
        <v>8.0893618035750015E-2</v>
      </c>
      <c r="N147" s="379">
        <v>11450</v>
      </c>
      <c r="O147" s="379">
        <v>4998</v>
      </c>
      <c r="P147" s="380">
        <v>24.869442498740458</v>
      </c>
      <c r="Q147" s="380">
        <v>6.3994724850407367</v>
      </c>
      <c r="R147" s="380">
        <v>8.7275308787331696</v>
      </c>
      <c r="S147" s="380">
        <v>8.0085223080819681</v>
      </c>
      <c r="T147" s="381">
        <v>23.135525671855877</v>
      </c>
      <c r="U147" s="380">
        <v>0.70047542883818126</v>
      </c>
      <c r="V147" s="381">
        <v>48.705443599434517</v>
      </c>
      <c r="W147" s="382">
        <v>4.7E-2</v>
      </c>
      <c r="X147" s="382">
        <v>2.5000000000000001E-3</v>
      </c>
      <c r="Y147" s="382">
        <v>3.2500000000000001E-2</v>
      </c>
      <c r="Z147" s="380">
        <v>52.91</v>
      </c>
      <c r="AA147" s="380">
        <v>54.69</v>
      </c>
      <c r="AB147" s="363">
        <f t="shared" si="4"/>
        <v>4.1078251911130792E-15</v>
      </c>
      <c r="AC147" s="363">
        <f t="shared" si="5"/>
        <v>0</v>
      </c>
      <c r="AD147" s="383"/>
    </row>
    <row r="148" spans="3:30">
      <c r="C148" s="377" t="s">
        <v>471</v>
      </c>
      <c r="D148" s="377" t="s">
        <v>1261</v>
      </c>
      <c r="E148" s="377" t="s">
        <v>1112</v>
      </c>
      <c r="F148" s="377" t="s">
        <v>697</v>
      </c>
      <c r="G148" s="377">
        <v>17</v>
      </c>
      <c r="H148" s="377" t="s">
        <v>716</v>
      </c>
      <c r="I148" s="377" t="s">
        <v>659</v>
      </c>
      <c r="J148" s="377" t="s">
        <v>660</v>
      </c>
      <c r="K148" s="377" t="s">
        <v>778</v>
      </c>
      <c r="L148" s="377" t="s">
        <v>474</v>
      </c>
      <c r="M148" s="378">
        <v>7.1062682546250006E-2</v>
      </c>
      <c r="N148" s="379">
        <v>10374</v>
      </c>
      <c r="O148" s="379">
        <v>4524</v>
      </c>
      <c r="P148" s="380">
        <v>22.283696683071256</v>
      </c>
      <c r="Q148" s="380">
        <v>6.0912762033815007</v>
      </c>
      <c r="R148" s="380">
        <v>8.2664667340400317</v>
      </c>
      <c r="S148" s="380">
        <v>7.5014687465228862</v>
      </c>
      <c r="T148" s="381">
        <v>21.859211683944419</v>
      </c>
      <c r="U148" s="380">
        <v>0.63464909159539662</v>
      </c>
      <c r="V148" s="381">
        <v>44.777557458611071</v>
      </c>
      <c r="W148" s="382">
        <v>4.7E-2</v>
      </c>
      <c r="X148" s="382">
        <v>2.5000000000000001E-3</v>
      </c>
      <c r="Y148" s="382">
        <v>3.2500000000000001E-2</v>
      </c>
      <c r="Z148" s="380">
        <v>48.64</v>
      </c>
      <c r="AA148" s="380">
        <v>50.28</v>
      </c>
      <c r="AB148" s="363">
        <f t="shared" si="4"/>
        <v>0</v>
      </c>
      <c r="AC148" s="363">
        <f t="shared" si="5"/>
        <v>0</v>
      </c>
      <c r="AD148" s="383"/>
    </row>
    <row r="149" spans="3:30">
      <c r="C149" s="377" t="s">
        <v>472</v>
      </c>
      <c r="D149" s="377" t="s">
        <v>1055</v>
      </c>
      <c r="E149" s="377" t="s">
        <v>612</v>
      </c>
      <c r="F149" s="377" t="s">
        <v>697</v>
      </c>
      <c r="G149" s="377">
        <v>18</v>
      </c>
      <c r="H149" s="377" t="s">
        <v>716</v>
      </c>
      <c r="I149" s="377" t="s">
        <v>659</v>
      </c>
      <c r="J149" s="377" t="s">
        <v>660</v>
      </c>
      <c r="K149" s="377" t="s">
        <v>778</v>
      </c>
      <c r="L149" s="377" t="s">
        <v>1112</v>
      </c>
      <c r="M149" s="378">
        <v>7.6867922396250024E-2</v>
      </c>
      <c r="N149" s="379">
        <v>11009</v>
      </c>
      <c r="O149" s="379">
        <v>4809</v>
      </c>
      <c r="P149" s="380">
        <v>23.735072213872382</v>
      </c>
      <c r="Q149" s="380">
        <v>6.258613114823774</v>
      </c>
      <c r="R149" s="380">
        <v>8.671718326127893</v>
      </c>
      <c r="S149" s="380">
        <v>7.9211033991083895</v>
      </c>
      <c r="T149" s="381">
        <v>22.851434840060055</v>
      </c>
      <c r="U149" s="380">
        <v>0.67349641887157519</v>
      </c>
      <c r="V149" s="381">
        <v>47.260003472804016</v>
      </c>
      <c r="W149" s="382">
        <v>4.7E-2</v>
      </c>
      <c r="X149" s="382">
        <v>2.5000000000000001E-3</v>
      </c>
      <c r="Y149" s="382">
        <v>3.2500000000000001E-2</v>
      </c>
      <c r="Z149" s="380">
        <v>51.34</v>
      </c>
      <c r="AA149" s="380">
        <v>53.07</v>
      </c>
      <c r="AB149" s="363">
        <f t="shared" si="4"/>
        <v>2.3314683517128287E-15</v>
      </c>
      <c r="AC149" s="363">
        <f t="shared" si="5"/>
        <v>0</v>
      </c>
      <c r="AD149" s="383"/>
    </row>
    <row r="150" spans="3:30">
      <c r="C150" s="377" t="s">
        <v>581</v>
      </c>
      <c r="D150" s="377" t="s">
        <v>1262</v>
      </c>
      <c r="E150" s="377" t="s">
        <v>642</v>
      </c>
      <c r="F150" s="377" t="s">
        <v>685</v>
      </c>
      <c r="G150" s="377">
        <v>17</v>
      </c>
      <c r="H150" s="377" t="s">
        <v>718</v>
      </c>
      <c r="I150" s="377" t="s">
        <v>659</v>
      </c>
      <c r="J150" s="377" t="s">
        <v>660</v>
      </c>
      <c r="K150" s="377" t="s">
        <v>778</v>
      </c>
      <c r="L150" s="377" t="s">
        <v>1112</v>
      </c>
      <c r="M150" s="378">
        <v>9.2659327796249996E-2</v>
      </c>
      <c r="N150" s="379">
        <v>12219</v>
      </c>
      <c r="O150" s="379">
        <v>5781</v>
      </c>
      <c r="P150" s="380">
        <v>23.866846166012859</v>
      </c>
      <c r="Q150" s="380">
        <v>6.7921471516574865</v>
      </c>
      <c r="R150" s="380">
        <v>8.8503277480773299</v>
      </c>
      <c r="S150" s="380">
        <v>8.1918190607477612</v>
      </c>
      <c r="T150" s="381">
        <v>23.834293960482579</v>
      </c>
      <c r="U150" s="380">
        <v>0.74752045982303361</v>
      </c>
      <c r="V150" s="381">
        <v>48.448660586318468</v>
      </c>
      <c r="W150" s="382">
        <v>4.7E-2</v>
      </c>
      <c r="X150" s="382">
        <v>2.5000000000000001E-3</v>
      </c>
      <c r="Y150" s="382">
        <v>3.2500000000000001E-2</v>
      </c>
      <c r="Z150" s="380">
        <v>52.63</v>
      </c>
      <c r="AA150" s="380">
        <v>54.41</v>
      </c>
      <c r="AB150" s="363">
        <f t="shared" si="4"/>
        <v>-8.8817841970012523E-16</v>
      </c>
      <c r="AC150" s="363">
        <f t="shared" si="5"/>
        <v>0</v>
      </c>
      <c r="AD150" s="383"/>
    </row>
    <row r="151" spans="3:30">
      <c r="C151" s="377" t="s">
        <v>789</v>
      </c>
      <c r="D151" s="377" t="s">
        <v>1263</v>
      </c>
      <c r="E151" s="377" t="s">
        <v>603</v>
      </c>
      <c r="F151" s="377" t="s">
        <v>652</v>
      </c>
      <c r="G151" s="377">
        <v>14</v>
      </c>
      <c r="H151" s="377" t="s">
        <v>866</v>
      </c>
      <c r="I151" s="377" t="s">
        <v>659</v>
      </c>
      <c r="J151" s="377" t="s">
        <v>660</v>
      </c>
      <c r="K151" s="377" t="s">
        <v>875</v>
      </c>
      <c r="L151" s="377" t="s">
        <v>800</v>
      </c>
      <c r="M151" s="378">
        <v>4.670827067375001E-2</v>
      </c>
      <c r="N151" s="379">
        <v>6788</v>
      </c>
      <c r="O151" s="379">
        <v>3465</v>
      </c>
      <c r="P151" s="380">
        <v>13.585839404639861</v>
      </c>
      <c r="Q151" s="380">
        <v>4.6432141200703123</v>
      </c>
      <c r="R151" s="380">
        <v>6.0762445622254679</v>
      </c>
      <c r="S151" s="380">
        <v>5.3330430833922842</v>
      </c>
      <c r="T151" s="381">
        <v>16.052501765688064</v>
      </c>
      <c r="U151" s="380">
        <v>0.41526875204834701</v>
      </c>
      <c r="V151" s="381">
        <v>30.053609922376275</v>
      </c>
      <c r="W151" s="382">
        <v>4.7E-2</v>
      </c>
      <c r="X151" s="382">
        <v>2.5000000000000001E-3</v>
      </c>
      <c r="Y151" s="382">
        <v>3.2500000000000001E-2</v>
      </c>
      <c r="Z151" s="380">
        <v>32.65</v>
      </c>
      <c r="AA151" s="380">
        <v>33.75</v>
      </c>
      <c r="AB151" s="363">
        <f t="shared" si="4"/>
        <v>1.2212453270876722E-15</v>
      </c>
      <c r="AC151" s="363">
        <f t="shared" si="5"/>
        <v>0</v>
      </c>
      <c r="AD151" s="383"/>
    </row>
    <row r="152" spans="3:30">
      <c r="C152" s="377" t="s">
        <v>790</v>
      </c>
      <c r="D152" s="377" t="s">
        <v>1264</v>
      </c>
      <c r="E152" s="377" t="s">
        <v>745</v>
      </c>
      <c r="F152" s="377" t="s">
        <v>661</v>
      </c>
      <c r="G152" s="377">
        <v>14</v>
      </c>
      <c r="H152" s="377" t="s">
        <v>866</v>
      </c>
      <c r="I152" s="377" t="s">
        <v>659</v>
      </c>
      <c r="J152" s="377" t="s">
        <v>660</v>
      </c>
      <c r="K152" s="377" t="s">
        <v>875</v>
      </c>
      <c r="L152" s="377" t="s">
        <v>804</v>
      </c>
      <c r="M152" s="378">
        <v>4.9553959455000005E-2</v>
      </c>
      <c r="N152" s="379">
        <v>7246</v>
      </c>
      <c r="O152" s="379">
        <v>3550</v>
      </c>
      <c r="P152" s="380">
        <v>14.807504105154621</v>
      </c>
      <c r="Q152" s="380">
        <v>4.7562359554935476</v>
      </c>
      <c r="R152" s="380">
        <v>6.2730095149554099</v>
      </c>
      <c r="S152" s="380">
        <v>5.5465264507993259</v>
      </c>
      <c r="T152" s="381">
        <v>16.575771921248283</v>
      </c>
      <c r="U152" s="380">
        <v>0.44328776920187429</v>
      </c>
      <c r="V152" s="381">
        <v>31.826563795604777</v>
      </c>
      <c r="W152" s="382">
        <v>4.7E-2</v>
      </c>
      <c r="X152" s="382">
        <v>2.5000000000000001E-3</v>
      </c>
      <c r="Y152" s="382">
        <v>3.2500000000000001E-2</v>
      </c>
      <c r="Z152" s="380">
        <v>34.58</v>
      </c>
      <c r="AA152" s="380">
        <v>35.74</v>
      </c>
      <c r="AB152" s="363">
        <f t="shared" si="4"/>
        <v>-1.6653345369377348E-15</v>
      </c>
      <c r="AC152" s="363">
        <f t="shared" si="5"/>
        <v>0</v>
      </c>
      <c r="AD152" s="383"/>
    </row>
    <row r="153" spans="3:30">
      <c r="C153" s="377" t="s">
        <v>791</v>
      </c>
      <c r="D153" s="377" t="s">
        <v>1265</v>
      </c>
      <c r="E153" s="377" t="s">
        <v>743</v>
      </c>
      <c r="F153" s="377" t="s">
        <v>661</v>
      </c>
      <c r="G153" s="377">
        <v>14</v>
      </c>
      <c r="H153" s="377" t="s">
        <v>795</v>
      </c>
      <c r="I153" s="377" t="s">
        <v>659</v>
      </c>
      <c r="J153" s="377" t="s">
        <v>660</v>
      </c>
      <c r="K153" s="377" t="s">
        <v>875</v>
      </c>
      <c r="L153" s="377" t="s">
        <v>801</v>
      </c>
      <c r="M153" s="378">
        <v>4.9553959455000005E-2</v>
      </c>
      <c r="N153" s="379">
        <v>6822</v>
      </c>
      <c r="O153" s="379">
        <v>3501</v>
      </c>
      <c r="P153" s="380">
        <v>13.681726249556784</v>
      </c>
      <c r="Q153" s="380">
        <v>4.6609227105583724</v>
      </c>
      <c r="R153" s="380">
        <v>6.1162759371031905</v>
      </c>
      <c r="S153" s="380">
        <v>5.3660137764576419</v>
      </c>
      <c r="T153" s="381">
        <v>16.143212424119202</v>
      </c>
      <c r="U153" s="380">
        <v>0.4173487664221896</v>
      </c>
      <c r="V153" s="381">
        <v>30.242287440098174</v>
      </c>
      <c r="W153" s="382">
        <v>4.7E-2</v>
      </c>
      <c r="X153" s="382">
        <v>2.5000000000000001E-3</v>
      </c>
      <c r="Y153" s="382">
        <v>3.2500000000000001E-2</v>
      </c>
      <c r="Z153" s="380">
        <v>32.85</v>
      </c>
      <c r="AA153" s="380">
        <v>33.96</v>
      </c>
      <c r="AB153" s="363">
        <f t="shared" si="4"/>
        <v>-2.0539125955565396E-15</v>
      </c>
      <c r="AC153" s="363">
        <f t="shared" si="5"/>
        <v>0</v>
      </c>
      <c r="AD153" s="383"/>
    </row>
    <row r="154" spans="3:30">
      <c r="C154" s="377" t="s">
        <v>853</v>
      </c>
      <c r="D154" s="377" t="s">
        <v>979</v>
      </c>
      <c r="E154" s="377" t="s">
        <v>867</v>
      </c>
      <c r="F154" s="377" t="s">
        <v>652</v>
      </c>
      <c r="G154" s="377">
        <v>14</v>
      </c>
      <c r="H154" s="377" t="s">
        <v>868</v>
      </c>
      <c r="I154" s="377" t="s">
        <v>659</v>
      </c>
      <c r="J154" s="377" t="s">
        <v>660</v>
      </c>
      <c r="K154" s="377" t="s">
        <v>875</v>
      </c>
      <c r="L154" s="377" t="s">
        <v>886</v>
      </c>
      <c r="M154" s="378">
        <v>4.670827067375001E-2</v>
      </c>
      <c r="N154" s="379">
        <v>6612</v>
      </c>
      <c r="O154" s="379">
        <v>3363</v>
      </c>
      <c r="P154" s="380">
        <v>13.298201029263677</v>
      </c>
      <c r="Q154" s="380">
        <v>4.5825162361064589</v>
      </c>
      <c r="R154" s="380">
        <v>6.0457523992246793</v>
      </c>
      <c r="S154" s="380">
        <v>5.2810152507853543</v>
      </c>
      <c r="T154" s="381">
        <v>15.909283886116489</v>
      </c>
      <c r="U154" s="380">
        <v>0.40450161881904395</v>
      </c>
      <c r="V154" s="381">
        <v>29.611986534199211</v>
      </c>
      <c r="W154" s="382">
        <v>4.7E-2</v>
      </c>
      <c r="X154" s="382">
        <v>2.5000000000000001E-3</v>
      </c>
      <c r="Y154" s="382">
        <v>3.2500000000000001E-2</v>
      </c>
      <c r="Z154" s="380">
        <v>32.17</v>
      </c>
      <c r="AA154" s="380">
        <v>33.25</v>
      </c>
      <c r="AB154" s="363">
        <f t="shared" si="4"/>
        <v>-1.9428902930940239E-15</v>
      </c>
      <c r="AC154" s="363">
        <f t="shared" si="5"/>
        <v>0</v>
      </c>
      <c r="AD154" s="383"/>
    </row>
    <row r="155" spans="3:30">
      <c r="C155" s="377" t="s">
        <v>854</v>
      </c>
      <c r="D155" s="377" t="s">
        <v>980</v>
      </c>
      <c r="E155" s="377" t="s">
        <v>636</v>
      </c>
      <c r="F155" s="377" t="s">
        <v>643</v>
      </c>
      <c r="G155" s="377">
        <v>14</v>
      </c>
      <c r="H155" s="377" t="s">
        <v>868</v>
      </c>
      <c r="I155" s="377" t="s">
        <v>659</v>
      </c>
      <c r="J155" s="377" t="s">
        <v>660</v>
      </c>
      <c r="K155" s="377" t="s">
        <v>875</v>
      </c>
      <c r="L155" s="377" t="s">
        <v>887</v>
      </c>
      <c r="M155" s="378">
        <v>5.4856298161000017E-2</v>
      </c>
      <c r="N155" s="379">
        <v>7400</v>
      </c>
      <c r="O155" s="379">
        <v>3801</v>
      </c>
      <c r="P155" s="380">
        <v>14.840653240199746</v>
      </c>
      <c r="Q155" s="380">
        <v>4.8030716817794321</v>
      </c>
      <c r="R155" s="380">
        <v>6.3337525760325706</v>
      </c>
      <c r="S155" s="380">
        <v>5.6100861450366954</v>
      </c>
      <c r="T155" s="381">
        <v>16.746910402848698</v>
      </c>
      <c r="U155" s="380">
        <v>0.45270901077751446</v>
      </c>
      <c r="V155" s="381">
        <v>32.040272653825959</v>
      </c>
      <c r="W155" s="382">
        <v>4.7E-2</v>
      </c>
      <c r="X155" s="382">
        <v>2.5000000000000001E-3</v>
      </c>
      <c r="Y155" s="382">
        <v>3.2500000000000001E-2</v>
      </c>
      <c r="Z155" s="380">
        <v>34.81</v>
      </c>
      <c r="AA155" s="380">
        <v>35.979999999999997</v>
      </c>
      <c r="AB155" s="363">
        <f t="shared" si="4"/>
        <v>0</v>
      </c>
      <c r="AC155" s="363">
        <f t="shared" si="5"/>
        <v>0</v>
      </c>
      <c r="AD155" s="383"/>
    </row>
    <row r="156" spans="3:30">
      <c r="C156" s="377" t="s">
        <v>855</v>
      </c>
      <c r="D156" s="377" t="s">
        <v>1266</v>
      </c>
      <c r="E156" s="377" t="s">
        <v>1112</v>
      </c>
      <c r="F156" s="377" t="s">
        <v>643</v>
      </c>
      <c r="G156" s="377">
        <v>14</v>
      </c>
      <c r="H156" s="377" t="s">
        <v>794</v>
      </c>
      <c r="I156" s="377" t="s">
        <v>659</v>
      </c>
      <c r="J156" s="377" t="s">
        <v>660</v>
      </c>
      <c r="K156" s="377" t="s">
        <v>875</v>
      </c>
      <c r="L156" s="377" t="s">
        <v>888</v>
      </c>
      <c r="M156" s="378">
        <v>5.4856298161000017E-2</v>
      </c>
      <c r="N156" s="379">
        <v>7483</v>
      </c>
      <c r="O156" s="379">
        <v>3854</v>
      </c>
      <c r="P156" s="380">
        <v>14.95174013487644</v>
      </c>
      <c r="Q156" s="380">
        <v>4.8146054232261548</v>
      </c>
      <c r="R156" s="380">
        <v>6.3066082443417173</v>
      </c>
      <c r="S156" s="380">
        <v>5.5939579381848601</v>
      </c>
      <c r="T156" s="381">
        <v>16.71517160575273</v>
      </c>
      <c r="U156" s="380">
        <v>0.4577866929254244</v>
      </c>
      <c r="V156" s="381">
        <v>32.124698433554592</v>
      </c>
      <c r="W156" s="382">
        <v>4.7E-2</v>
      </c>
      <c r="X156" s="382">
        <v>2.5000000000000001E-3</v>
      </c>
      <c r="Y156" s="382">
        <v>3.2500000000000001E-2</v>
      </c>
      <c r="Z156" s="380">
        <v>34.9</v>
      </c>
      <c r="AA156" s="380">
        <v>36.07</v>
      </c>
      <c r="AB156" s="363">
        <f t="shared" si="4"/>
        <v>-2.886579864025407E-15</v>
      </c>
      <c r="AC156" s="363">
        <f t="shared" si="5"/>
        <v>0</v>
      </c>
      <c r="AD156" s="383"/>
    </row>
    <row r="157" spans="3:30">
      <c r="C157" s="377" t="s">
        <v>1005</v>
      </c>
      <c r="D157" s="377" t="s">
        <v>1267</v>
      </c>
      <c r="E157" s="377" t="s">
        <v>1268</v>
      </c>
      <c r="F157" s="377" t="s">
        <v>686</v>
      </c>
      <c r="G157" s="377">
        <v>17</v>
      </c>
      <c r="H157" s="377" t="s">
        <v>718</v>
      </c>
      <c r="I157" s="377" t="s">
        <v>659</v>
      </c>
      <c r="J157" s="377" t="s">
        <v>660</v>
      </c>
      <c r="K157" s="377" t="s">
        <v>778</v>
      </c>
      <c r="L157" s="377" t="s">
        <v>1021</v>
      </c>
      <c r="M157" s="378">
        <v>8.6991917264999996E-2</v>
      </c>
      <c r="N157" s="379">
        <v>10681</v>
      </c>
      <c r="O157" s="379">
        <v>5042</v>
      </c>
      <c r="P157" s="380">
        <v>21.251744686147418</v>
      </c>
      <c r="Q157" s="380">
        <v>6.2616604703871444</v>
      </c>
      <c r="R157" s="380">
        <v>8.0659357070929296</v>
      </c>
      <c r="S157" s="380">
        <v>7.3272418265400026</v>
      </c>
      <c r="T157" s="381">
        <v>21.654838004020071</v>
      </c>
      <c r="U157" s="380">
        <v>0.65343039785332868</v>
      </c>
      <c r="V157" s="381">
        <v>43.560013088020817</v>
      </c>
      <c r="W157" s="382">
        <v>4.7E-2</v>
      </c>
      <c r="X157" s="382">
        <v>2.5000000000000001E-3</v>
      </c>
      <c r="Y157" s="382">
        <v>3.2500000000000001E-2</v>
      </c>
      <c r="Z157" s="380">
        <v>47.32</v>
      </c>
      <c r="AA157" s="380">
        <v>48.92</v>
      </c>
      <c r="AB157" s="363">
        <f t="shared" si="4"/>
        <v>-7.5495165674510645E-15</v>
      </c>
      <c r="AC157" s="363">
        <f t="shared" si="5"/>
        <v>0</v>
      </c>
      <c r="AD157" s="383"/>
    </row>
    <row r="158" spans="3:30">
      <c r="C158" s="377" t="s">
        <v>1006</v>
      </c>
      <c r="D158" s="377" t="s">
        <v>1269</v>
      </c>
      <c r="E158" s="377" t="s">
        <v>1112</v>
      </c>
      <c r="F158" s="377" t="s">
        <v>663</v>
      </c>
      <c r="G158" s="377">
        <v>17</v>
      </c>
      <c r="H158" s="377" t="s">
        <v>718</v>
      </c>
      <c r="I158" s="377" t="s">
        <v>659</v>
      </c>
      <c r="J158" s="377" t="s">
        <v>660</v>
      </c>
      <c r="K158" s="377" t="s">
        <v>778</v>
      </c>
      <c r="L158" s="377" t="s">
        <v>1022</v>
      </c>
      <c r="M158" s="378">
        <v>7.537911580975E-2</v>
      </c>
      <c r="N158" s="379">
        <v>9700</v>
      </c>
      <c r="O158" s="379">
        <v>4592</v>
      </c>
      <c r="P158" s="380">
        <v>19.445490571639191</v>
      </c>
      <c r="Q158" s="380">
        <v>5.887913705371056</v>
      </c>
      <c r="R158" s="380">
        <v>8.287759589884633</v>
      </c>
      <c r="S158" s="380">
        <v>7.4697250349903328</v>
      </c>
      <c r="T158" s="381">
        <v>21.645398330246021</v>
      </c>
      <c r="U158" s="380">
        <v>0.5934158654786339</v>
      </c>
      <c r="V158" s="381">
        <v>41.684304767363841</v>
      </c>
      <c r="W158" s="382">
        <v>4.7E-2</v>
      </c>
      <c r="X158" s="382">
        <v>2.5000000000000001E-3</v>
      </c>
      <c r="Y158" s="382">
        <v>3.2500000000000001E-2</v>
      </c>
      <c r="Z158" s="380">
        <v>45.28</v>
      </c>
      <c r="AA158" s="380">
        <v>46.81</v>
      </c>
      <c r="AB158" s="363">
        <f t="shared" si="4"/>
        <v>-4.4408920985006262E-15</v>
      </c>
      <c r="AC158" s="363">
        <f t="shared" si="5"/>
        <v>0</v>
      </c>
      <c r="AD158" s="383"/>
    </row>
    <row r="159" spans="3:30">
      <c r="C159" s="377" t="s">
        <v>1038</v>
      </c>
      <c r="D159" s="377" t="s">
        <v>1270</v>
      </c>
      <c r="E159" s="377" t="s">
        <v>1112</v>
      </c>
      <c r="F159" s="377" t="s">
        <v>653</v>
      </c>
      <c r="G159" s="377">
        <v>17</v>
      </c>
      <c r="H159" s="377" t="s">
        <v>718</v>
      </c>
      <c r="I159" s="377" t="s">
        <v>659</v>
      </c>
      <c r="J159" s="377" t="s">
        <v>660</v>
      </c>
      <c r="K159" s="377" t="s">
        <v>778</v>
      </c>
      <c r="L159" s="377" t="s">
        <v>1039</v>
      </c>
      <c r="M159" s="378">
        <v>8.7904936752749976E-2</v>
      </c>
      <c r="N159" s="379">
        <v>10827</v>
      </c>
      <c r="O159" s="379">
        <v>5147</v>
      </c>
      <c r="P159" s="380">
        <v>21.573137835681095</v>
      </c>
      <c r="Q159" s="380">
        <v>6.3760666763684402</v>
      </c>
      <c r="R159" s="380">
        <v>8.7897561214486739</v>
      </c>
      <c r="S159" s="380">
        <v>7.9704313194826106</v>
      </c>
      <c r="T159" s="381">
        <v>23.136254117299725</v>
      </c>
      <c r="U159" s="380">
        <v>0.66236222428218239</v>
      </c>
      <c r="V159" s="381">
        <v>45.371754177263</v>
      </c>
      <c r="W159" s="382">
        <v>4.7E-2</v>
      </c>
      <c r="X159" s="382">
        <v>2.5000000000000001E-3</v>
      </c>
      <c r="Y159" s="382">
        <v>3.2500000000000001E-2</v>
      </c>
      <c r="Z159" s="380">
        <v>49.29</v>
      </c>
      <c r="AA159" s="380">
        <v>50.95</v>
      </c>
      <c r="AB159" s="363">
        <f t="shared" si="4"/>
        <v>0</v>
      </c>
      <c r="AC159" s="363">
        <f t="shared" si="5"/>
        <v>0</v>
      </c>
      <c r="AD159" s="383"/>
    </row>
    <row r="160" spans="3:30">
      <c r="C160" s="377" t="s">
        <v>1047</v>
      </c>
      <c r="D160" s="377" t="s">
        <v>1271</v>
      </c>
      <c r="E160" s="377" t="s">
        <v>1268</v>
      </c>
      <c r="F160" s="377" t="s">
        <v>683</v>
      </c>
      <c r="G160" s="377">
        <v>17</v>
      </c>
      <c r="H160" s="377" t="s">
        <v>718</v>
      </c>
      <c r="I160" s="377" t="s">
        <v>659</v>
      </c>
      <c r="J160" s="377" t="s">
        <v>660</v>
      </c>
      <c r="K160" s="377" t="s">
        <v>778</v>
      </c>
      <c r="L160" s="377" t="s">
        <v>1048</v>
      </c>
      <c r="M160" s="378">
        <v>8.5391321379750001E-2</v>
      </c>
      <c r="N160" s="379">
        <v>10555</v>
      </c>
      <c r="O160" s="379">
        <v>5078</v>
      </c>
      <c r="P160" s="380">
        <v>21.232122404671777</v>
      </c>
      <c r="Q160" s="380">
        <v>6.3263296175173087</v>
      </c>
      <c r="R160" s="380">
        <v>8.7490416985614861</v>
      </c>
      <c r="S160" s="380">
        <v>7.9336265410353475</v>
      </c>
      <c r="T160" s="381">
        <v>23.008997857114139</v>
      </c>
      <c r="U160" s="380">
        <v>0.64572210929144125</v>
      </c>
      <c r="V160" s="381">
        <v>44.886842371077357</v>
      </c>
      <c r="W160" s="382">
        <v>4.7E-2</v>
      </c>
      <c r="X160" s="382">
        <v>2.5000000000000001E-3</v>
      </c>
      <c r="Y160" s="382">
        <v>3.2500000000000001E-2</v>
      </c>
      <c r="Z160" s="380">
        <v>48.76</v>
      </c>
      <c r="AA160" s="380">
        <v>50.41</v>
      </c>
      <c r="AB160" s="363">
        <f t="shared" si="4"/>
        <v>-4.7739590058881731E-15</v>
      </c>
      <c r="AC160" s="363">
        <f t="shared" si="5"/>
        <v>0</v>
      </c>
      <c r="AD160" s="383"/>
    </row>
    <row r="161" spans="2:30">
      <c r="B161" s="392"/>
      <c r="C161" s="513" t="s">
        <v>1272</v>
      </c>
      <c r="D161" s="377" t="s">
        <v>1273</v>
      </c>
      <c r="E161" s="377" t="s">
        <v>600</v>
      </c>
      <c r="F161" s="377" t="s">
        <v>698</v>
      </c>
      <c r="G161" s="377">
        <v>18</v>
      </c>
      <c r="H161" s="377" t="s">
        <v>1274</v>
      </c>
      <c r="I161" s="377" t="s">
        <v>659</v>
      </c>
      <c r="J161" s="377" t="s">
        <v>660</v>
      </c>
      <c r="K161" s="377" t="s">
        <v>778</v>
      </c>
      <c r="L161" s="377" t="s">
        <v>1275</v>
      </c>
      <c r="M161" s="378">
        <v>8.2489783812750031E-2</v>
      </c>
      <c r="N161" s="379">
        <v>12635</v>
      </c>
      <c r="O161" s="379">
        <v>5581</v>
      </c>
      <c r="P161" s="380">
        <v>21.477581658197497</v>
      </c>
      <c r="Q161" s="380">
        <v>6.7521568600532307</v>
      </c>
      <c r="R161" s="380">
        <v>9.0290787695514094</v>
      </c>
      <c r="S161" s="380">
        <v>8.3903637503122788</v>
      </c>
      <c r="T161" s="381">
        <v>24.17159937991692</v>
      </c>
      <c r="U161" s="380">
        <v>0.7729700474559319</v>
      </c>
      <c r="V161" s="381">
        <v>46.422151085570349</v>
      </c>
      <c r="W161" s="382">
        <v>4.7E-2</v>
      </c>
      <c r="X161" s="382">
        <v>2.5000000000000001E-3</v>
      </c>
      <c r="Y161" s="382">
        <v>3.2500000000000001E-2</v>
      </c>
      <c r="Z161" s="380">
        <v>50.43</v>
      </c>
      <c r="AA161" s="380">
        <v>52.13</v>
      </c>
      <c r="AB161" s="363">
        <f t="shared" si="4"/>
        <v>1.4432899320127035E-15</v>
      </c>
      <c r="AC161" s="363">
        <f t="shared" si="5"/>
        <v>0</v>
      </c>
      <c r="AD161" s="383"/>
    </row>
    <row r="162" spans="2:30">
      <c r="B162" s="392"/>
      <c r="C162" s="513" t="s">
        <v>1004</v>
      </c>
      <c r="D162" s="377" t="s">
        <v>1276</v>
      </c>
      <c r="E162" s="377" t="s">
        <v>596</v>
      </c>
      <c r="F162" s="377" t="s">
        <v>664</v>
      </c>
      <c r="G162" s="377">
        <v>15</v>
      </c>
      <c r="H162" s="377" t="s">
        <v>718</v>
      </c>
      <c r="I162" s="377" t="s">
        <v>659</v>
      </c>
      <c r="J162" s="377" t="s">
        <v>660</v>
      </c>
      <c r="K162" s="377" t="s">
        <v>876</v>
      </c>
      <c r="L162" s="377" t="s">
        <v>1020</v>
      </c>
      <c r="M162" s="378">
        <v>6.1626502518749994E-2</v>
      </c>
      <c r="N162" s="379">
        <v>8322</v>
      </c>
      <c r="O162" s="379">
        <v>4013</v>
      </c>
      <c r="P162" s="380">
        <v>16.523724696553611</v>
      </c>
      <c r="Q162" s="380">
        <v>5.1629093335985745</v>
      </c>
      <c r="R162" s="380">
        <v>7.3927253698206199</v>
      </c>
      <c r="S162" s="380">
        <v>6.6395494635274313</v>
      </c>
      <c r="T162" s="381">
        <v>19.195184166946628</v>
      </c>
      <c r="U162" s="380">
        <v>0.50911410644465882</v>
      </c>
      <c r="V162" s="381">
        <v>36.228022969944902</v>
      </c>
      <c r="W162" s="382">
        <v>4.7E-2</v>
      </c>
      <c r="X162" s="382">
        <v>2.5000000000000001E-3</v>
      </c>
      <c r="Y162" s="382">
        <v>3.2500000000000001E-2</v>
      </c>
      <c r="Z162" s="380">
        <v>39.36</v>
      </c>
      <c r="AA162" s="380">
        <v>40.68</v>
      </c>
      <c r="AB162" s="363">
        <f t="shared" si="4"/>
        <v>7.8825834748386114E-15</v>
      </c>
      <c r="AC162" s="363">
        <f t="shared" si="5"/>
        <v>0</v>
      </c>
      <c r="AD162" s="383"/>
    </row>
    <row r="163" spans="2:30">
      <c r="B163" s="392"/>
      <c r="C163" s="513" t="s">
        <v>1003</v>
      </c>
      <c r="D163" s="377" t="s">
        <v>1277</v>
      </c>
      <c r="E163" s="377" t="s">
        <v>596</v>
      </c>
      <c r="F163" s="377" t="s">
        <v>658</v>
      </c>
      <c r="G163" s="377">
        <v>16</v>
      </c>
      <c r="H163" s="377" t="s">
        <v>718</v>
      </c>
      <c r="I163" s="377" t="s">
        <v>659</v>
      </c>
      <c r="J163" s="377" t="s">
        <v>660</v>
      </c>
      <c r="K163" s="377" t="s">
        <v>879</v>
      </c>
      <c r="L163" s="377" t="s">
        <v>1019</v>
      </c>
      <c r="M163" s="378">
        <v>6.4256967889249991E-2</v>
      </c>
      <c r="N163" s="379">
        <v>8598</v>
      </c>
      <c r="O163" s="379">
        <v>4090</v>
      </c>
      <c r="P163" s="380">
        <v>17.057311353127332</v>
      </c>
      <c r="Q163" s="380">
        <v>5.3006838261352121</v>
      </c>
      <c r="R163" s="380">
        <v>6.7417417733662033</v>
      </c>
      <c r="S163" s="380">
        <v>6.051345395540249</v>
      </c>
      <c r="T163" s="381">
        <v>18.093770995041666</v>
      </c>
      <c r="U163" s="380">
        <v>0.52599892900879319</v>
      </c>
      <c r="V163" s="381">
        <v>35.677081277177791</v>
      </c>
      <c r="W163" s="382">
        <v>4.7E-2</v>
      </c>
      <c r="X163" s="382">
        <v>2.5000000000000001E-3</v>
      </c>
      <c r="Y163" s="382">
        <v>3.2500000000000001E-2</v>
      </c>
      <c r="Z163" s="380">
        <v>38.76</v>
      </c>
      <c r="AA163" s="380">
        <v>40.06</v>
      </c>
      <c r="AB163" s="363">
        <f t="shared" si="4"/>
        <v>0</v>
      </c>
      <c r="AC163" s="363">
        <f t="shared" si="5"/>
        <v>0</v>
      </c>
      <c r="AD163" s="383"/>
    </row>
    <row r="164" spans="2:30">
      <c r="B164" s="392"/>
      <c r="C164" s="513" t="s">
        <v>1036</v>
      </c>
      <c r="D164" s="377" t="s">
        <v>1278</v>
      </c>
      <c r="E164" s="377" t="s">
        <v>592</v>
      </c>
      <c r="F164" s="377" t="s">
        <v>672</v>
      </c>
      <c r="G164" s="377">
        <v>16</v>
      </c>
      <c r="H164" s="377" t="s">
        <v>718</v>
      </c>
      <c r="I164" s="377" t="s">
        <v>659</v>
      </c>
      <c r="J164" s="377" t="s">
        <v>660</v>
      </c>
      <c r="K164" s="377" t="s">
        <v>879</v>
      </c>
      <c r="L164" s="377" t="s">
        <v>1037</v>
      </c>
      <c r="M164" s="378">
        <v>7.4501902684000004E-2</v>
      </c>
      <c r="N164" s="379">
        <v>9438</v>
      </c>
      <c r="O164" s="379">
        <v>4494</v>
      </c>
      <c r="P164" s="380">
        <v>18.850616318219707</v>
      </c>
      <c r="Q164" s="380">
        <v>5.6196164876110011</v>
      </c>
      <c r="R164" s="380">
        <v>7.8889589116189818</v>
      </c>
      <c r="S164" s="380">
        <v>7.1564535963600227</v>
      </c>
      <c r="T164" s="381">
        <v>20.665028995590006</v>
      </c>
      <c r="U164" s="380">
        <v>0.57738751942137589</v>
      </c>
      <c r="V164" s="381">
        <v>40.093032833231092</v>
      </c>
      <c r="W164" s="382">
        <v>4.7E-2</v>
      </c>
      <c r="X164" s="382">
        <v>2.5000000000000001E-3</v>
      </c>
      <c r="Y164" s="382">
        <v>3.2500000000000001E-2</v>
      </c>
      <c r="Z164" s="380">
        <v>43.56</v>
      </c>
      <c r="AA164" s="380">
        <v>45.02</v>
      </c>
      <c r="AB164" s="363">
        <f t="shared" si="4"/>
        <v>3.6637359812630166E-15</v>
      </c>
      <c r="AC164" s="363">
        <f t="shared" si="5"/>
        <v>0</v>
      </c>
      <c r="AD164" s="383"/>
    </row>
    <row r="165" spans="2:30">
      <c r="B165" s="392"/>
      <c r="C165" s="513" t="s">
        <v>1010</v>
      </c>
      <c r="D165" s="377" t="s">
        <v>1279</v>
      </c>
      <c r="E165" s="377" t="s">
        <v>1112</v>
      </c>
      <c r="F165" s="377" t="s">
        <v>685</v>
      </c>
      <c r="G165" s="377">
        <v>16</v>
      </c>
      <c r="H165" s="377" t="s">
        <v>718</v>
      </c>
      <c r="I165" s="377" t="s">
        <v>659</v>
      </c>
      <c r="J165" s="377" t="s">
        <v>660</v>
      </c>
      <c r="K165" s="377" t="s">
        <v>879</v>
      </c>
      <c r="L165" s="377" t="s">
        <v>1026</v>
      </c>
      <c r="M165" s="378">
        <v>8.6274461216250001E-2</v>
      </c>
      <c r="N165" s="379">
        <v>10723</v>
      </c>
      <c r="O165" s="379">
        <v>5057</v>
      </c>
      <c r="P165" s="380">
        <v>21.328021276899211</v>
      </c>
      <c r="Q165" s="380">
        <v>6.1941023816934813</v>
      </c>
      <c r="R165" s="380">
        <v>8.0427289176315391</v>
      </c>
      <c r="S165" s="380">
        <v>7.4241547292392518</v>
      </c>
      <c r="T165" s="381">
        <v>21.660986028564277</v>
      </c>
      <c r="U165" s="380">
        <v>0.65599982737395779</v>
      </c>
      <c r="V165" s="381">
        <v>43.645007132837449</v>
      </c>
      <c r="W165" s="382">
        <v>4.7E-2</v>
      </c>
      <c r="X165" s="382">
        <v>2.5000000000000001E-3</v>
      </c>
      <c r="Y165" s="382">
        <v>3.2500000000000001E-2</v>
      </c>
      <c r="Z165" s="380">
        <v>47.41</v>
      </c>
      <c r="AA165" s="380">
        <v>49.01</v>
      </c>
      <c r="AB165" s="363">
        <f t="shared" si="4"/>
        <v>1.021405182655144E-14</v>
      </c>
      <c r="AC165" s="363">
        <f t="shared" si="5"/>
        <v>0</v>
      </c>
      <c r="AD165" s="383"/>
    </row>
    <row r="166" spans="2:30">
      <c r="B166" s="392"/>
      <c r="C166" s="513" t="s">
        <v>1015</v>
      </c>
      <c r="D166" s="377" t="s">
        <v>1280</v>
      </c>
      <c r="E166" s="377" t="s">
        <v>1112</v>
      </c>
      <c r="F166" s="377" t="s">
        <v>686</v>
      </c>
      <c r="G166" s="377">
        <v>16</v>
      </c>
      <c r="H166" s="377" t="s">
        <v>718</v>
      </c>
      <c r="I166" s="377" t="s">
        <v>659</v>
      </c>
      <c r="J166" s="377" t="s">
        <v>660</v>
      </c>
      <c r="K166" s="377" t="s">
        <v>879</v>
      </c>
      <c r="L166" s="377" t="s">
        <v>1031</v>
      </c>
      <c r="M166" s="378">
        <v>8.0808933060000004E-2</v>
      </c>
      <c r="N166" s="379">
        <v>10017</v>
      </c>
      <c r="O166" s="379">
        <v>4790</v>
      </c>
      <c r="P166" s="380">
        <v>19.762598698815747</v>
      </c>
      <c r="Q166" s="380">
        <v>5.9009739540816719</v>
      </c>
      <c r="R166" s="380">
        <v>7.4518919661116048</v>
      </c>
      <c r="S166" s="380">
        <v>6.8144520453453081</v>
      </c>
      <c r="T166" s="381">
        <v>20.167317965538579</v>
      </c>
      <c r="U166" s="380">
        <v>0.61280894067004898</v>
      </c>
      <c r="V166" s="381">
        <v>40.542725605024373</v>
      </c>
      <c r="W166" s="382">
        <v>4.7E-2</v>
      </c>
      <c r="X166" s="382">
        <v>2.5000000000000001E-3</v>
      </c>
      <c r="Y166" s="382">
        <v>3.2500000000000001E-2</v>
      </c>
      <c r="Z166" s="380">
        <v>44.04</v>
      </c>
      <c r="AA166" s="380">
        <v>45.53</v>
      </c>
      <c r="AB166" s="363">
        <f t="shared" si="4"/>
        <v>-7.3274719625260332E-15</v>
      </c>
      <c r="AC166" s="363">
        <f t="shared" si="5"/>
        <v>0</v>
      </c>
      <c r="AD166" s="383"/>
    </row>
    <row r="167" spans="2:30">
      <c r="B167" s="392"/>
      <c r="C167" s="513" t="s">
        <v>1040</v>
      </c>
      <c r="D167" s="377" t="s">
        <v>1281</v>
      </c>
      <c r="E167" s="377" t="s">
        <v>1112</v>
      </c>
      <c r="F167" s="377" t="s">
        <v>651</v>
      </c>
      <c r="G167" s="377">
        <v>15</v>
      </c>
      <c r="H167" s="377" t="s">
        <v>718</v>
      </c>
      <c r="I167" s="377" t="s">
        <v>659</v>
      </c>
      <c r="J167" s="377" t="s">
        <v>660</v>
      </c>
      <c r="K167" s="377" t="s">
        <v>876</v>
      </c>
      <c r="L167" s="377" t="s">
        <v>1041</v>
      </c>
      <c r="M167" s="378">
        <v>5.6094935256249999E-2</v>
      </c>
      <c r="N167" s="379">
        <v>7546</v>
      </c>
      <c r="O167" s="379">
        <v>3642</v>
      </c>
      <c r="P167" s="380">
        <v>14.781311656517058</v>
      </c>
      <c r="Q167" s="380">
        <v>4.8682929136639963</v>
      </c>
      <c r="R167" s="380">
        <v>6.2546317423309281</v>
      </c>
      <c r="S167" s="380">
        <v>5.5368199461530052</v>
      </c>
      <c r="T167" s="381">
        <v>16.659744602147928</v>
      </c>
      <c r="U167" s="380">
        <v>0.46164083720636812</v>
      </c>
      <c r="V167" s="381">
        <v>31.902697095871353</v>
      </c>
      <c r="W167" s="382">
        <v>4.7E-2</v>
      </c>
      <c r="X167" s="382">
        <v>2.5000000000000001E-3</v>
      </c>
      <c r="Y167" s="382">
        <v>3.2500000000000001E-2</v>
      </c>
      <c r="Z167" s="380">
        <v>34.659999999999997</v>
      </c>
      <c r="AA167" s="380">
        <v>35.83</v>
      </c>
      <c r="AB167" s="363">
        <f t="shared" si="4"/>
        <v>-2.4980018054066022E-15</v>
      </c>
      <c r="AC167" s="363">
        <f t="shared" si="5"/>
        <v>0</v>
      </c>
      <c r="AD167" s="383"/>
    </row>
    <row r="168" spans="2:30">
      <c r="B168" s="392"/>
      <c r="C168" s="393"/>
      <c r="D168" s="377"/>
      <c r="E168" s="377"/>
      <c r="F168" s="377"/>
      <c r="G168" s="377"/>
      <c r="H168" s="377"/>
      <c r="I168" s="377"/>
      <c r="J168" s="377"/>
      <c r="K168" s="377"/>
      <c r="L168" s="377"/>
      <c r="M168" s="378"/>
      <c r="N168" s="379"/>
      <c r="O168" s="379"/>
      <c r="P168" s="380"/>
      <c r="Q168" s="380"/>
      <c r="R168" s="380"/>
      <c r="S168" s="380"/>
      <c r="T168" s="381"/>
      <c r="U168" s="380"/>
      <c r="V168" s="381"/>
      <c r="W168" s="382"/>
      <c r="X168" s="382"/>
      <c r="Y168" s="382"/>
      <c r="Z168" s="380"/>
      <c r="AA168" s="380"/>
      <c r="AB168" s="363">
        <f t="shared" si="4"/>
        <v>0</v>
      </c>
      <c r="AC168" s="363">
        <f t="shared" si="5"/>
        <v>0</v>
      </c>
      <c r="AD168" s="383"/>
    </row>
    <row r="169" spans="2:30">
      <c r="B169" s="373" t="s">
        <v>872</v>
      </c>
      <c r="C169" s="393" t="s">
        <v>340</v>
      </c>
      <c r="D169" s="377" t="s">
        <v>1282</v>
      </c>
      <c r="E169" s="377" t="s">
        <v>597</v>
      </c>
      <c r="F169" s="377" t="s">
        <v>669</v>
      </c>
      <c r="G169" s="377">
        <v>16</v>
      </c>
      <c r="H169" s="377" t="s">
        <v>679</v>
      </c>
      <c r="I169" s="377" t="s">
        <v>645</v>
      </c>
      <c r="J169" s="377" t="s">
        <v>646</v>
      </c>
      <c r="K169" s="377" t="s">
        <v>879</v>
      </c>
      <c r="L169" s="377" t="s">
        <v>341</v>
      </c>
      <c r="M169" s="378">
        <v>7.2865940429250001E-2</v>
      </c>
      <c r="N169" s="379">
        <v>9116</v>
      </c>
      <c r="O169" s="379">
        <v>4487</v>
      </c>
      <c r="P169" s="380">
        <v>19.507278720151831</v>
      </c>
      <c r="Q169" s="380">
        <v>5.4715000579105331</v>
      </c>
      <c r="R169" s="380">
        <v>7.3682884087518623</v>
      </c>
      <c r="S169" s="380">
        <v>6.69470353727377</v>
      </c>
      <c r="T169" s="381">
        <v>19.534492003936165</v>
      </c>
      <c r="U169" s="380">
        <v>0.55768855976321918</v>
      </c>
      <c r="V169" s="381">
        <v>39.599459283851218</v>
      </c>
      <c r="W169" s="382">
        <v>4.7E-2</v>
      </c>
      <c r="X169" s="382">
        <v>0</v>
      </c>
      <c r="Y169" s="382">
        <v>0.04</v>
      </c>
      <c r="Z169" s="380">
        <v>42.9</v>
      </c>
      <c r="AA169" s="380">
        <v>44.85</v>
      </c>
      <c r="AB169" s="363">
        <f t="shared" si="4"/>
        <v>2.9976021664879227E-15</v>
      </c>
      <c r="AC169" s="363">
        <f t="shared" si="5"/>
        <v>0</v>
      </c>
      <c r="AD169" s="383"/>
    </row>
    <row r="170" spans="2:30">
      <c r="B170" s="392"/>
      <c r="C170" s="393" t="s">
        <v>935</v>
      </c>
      <c r="D170" s="377" t="s">
        <v>1206</v>
      </c>
      <c r="E170" s="377" t="s">
        <v>742</v>
      </c>
      <c r="F170" s="377" t="s">
        <v>663</v>
      </c>
      <c r="G170" s="377">
        <v>17</v>
      </c>
      <c r="H170" s="377" t="s">
        <v>684</v>
      </c>
      <c r="I170" s="377" t="s">
        <v>645</v>
      </c>
      <c r="J170" s="377" t="s">
        <v>646</v>
      </c>
      <c r="K170" s="377" t="s">
        <v>778</v>
      </c>
      <c r="L170" s="377" t="s">
        <v>564</v>
      </c>
      <c r="M170" s="378">
        <v>7.4999999999999997E-2</v>
      </c>
      <c r="N170" s="379">
        <v>12313</v>
      </c>
      <c r="O170" s="379">
        <v>5583</v>
      </c>
      <c r="P170" s="380">
        <v>26.909934246377592</v>
      </c>
      <c r="Q170" s="380">
        <v>6.8161726376670702</v>
      </c>
      <c r="R170" s="380">
        <v>9.4142849149736758</v>
      </c>
      <c r="S170" s="380">
        <v>8.5456919828888882</v>
      </c>
      <c r="T170" s="381">
        <v>24.776149535529633</v>
      </c>
      <c r="U170" s="380">
        <v>0.75327108779777507</v>
      </c>
      <c r="V170" s="381">
        <v>52.439354869704999</v>
      </c>
      <c r="W170" s="382">
        <v>4.7E-2</v>
      </c>
      <c r="X170" s="382">
        <v>0</v>
      </c>
      <c r="Y170" s="382">
        <v>0.04</v>
      </c>
      <c r="Z170" s="380">
        <v>56.81</v>
      </c>
      <c r="AA170" s="380">
        <v>59.39</v>
      </c>
      <c r="AB170" s="363">
        <f t="shared" si="4"/>
        <v>-8.8817841970012523E-16</v>
      </c>
      <c r="AC170" s="363">
        <f t="shared" si="5"/>
        <v>0</v>
      </c>
      <c r="AD170" s="383"/>
    </row>
    <row r="171" spans="2:30">
      <c r="B171" s="392"/>
      <c r="C171" s="393" t="s">
        <v>940</v>
      </c>
      <c r="D171" s="377" t="s">
        <v>1057</v>
      </c>
      <c r="E171" s="377" t="s">
        <v>601</v>
      </c>
      <c r="F171" s="377" t="s">
        <v>662</v>
      </c>
      <c r="G171" s="377">
        <v>17</v>
      </c>
      <c r="H171" s="377" t="s">
        <v>716</v>
      </c>
      <c r="I171" s="377" t="s">
        <v>659</v>
      </c>
      <c r="J171" s="377" t="s">
        <v>660</v>
      </c>
      <c r="K171" s="377" t="s">
        <v>778</v>
      </c>
      <c r="L171" s="377" t="s">
        <v>176</v>
      </c>
      <c r="M171" s="378">
        <v>6.5991040189749994E-2</v>
      </c>
      <c r="N171" s="379">
        <v>10268</v>
      </c>
      <c r="O171" s="379">
        <v>4481</v>
      </c>
      <c r="P171" s="380">
        <v>22.609885428535556</v>
      </c>
      <c r="Q171" s="380">
        <v>6.0089893170880533</v>
      </c>
      <c r="R171" s="380">
        <v>8.0729325589368397</v>
      </c>
      <c r="S171" s="380">
        <v>7.3190100499272148</v>
      </c>
      <c r="T171" s="381">
        <v>21.400931925952108</v>
      </c>
      <c r="U171" s="380">
        <v>0.62816434090047546</v>
      </c>
      <c r="V171" s="381">
        <v>44.638981695388139</v>
      </c>
      <c r="W171" s="382">
        <v>4.7E-2</v>
      </c>
      <c r="X171" s="382">
        <v>2.5000000000000001E-3</v>
      </c>
      <c r="Y171" s="382">
        <v>3.2500000000000001E-2</v>
      </c>
      <c r="Z171" s="380">
        <v>48.49</v>
      </c>
      <c r="AA171" s="380">
        <v>50.13</v>
      </c>
      <c r="AB171" s="363">
        <f t="shared" si="4"/>
        <v>2.1094237467877974E-15</v>
      </c>
      <c r="AC171" s="363">
        <f t="shared" si="5"/>
        <v>0</v>
      </c>
      <c r="AD171" s="383"/>
    </row>
    <row r="172" spans="2:30">
      <c r="B172" s="392"/>
      <c r="C172" s="393" t="s">
        <v>1002</v>
      </c>
      <c r="D172" s="377" t="s">
        <v>1262</v>
      </c>
      <c r="E172" s="377" t="s">
        <v>642</v>
      </c>
      <c r="F172" s="377" t="s">
        <v>685</v>
      </c>
      <c r="G172" s="377">
        <v>17</v>
      </c>
      <c r="H172" s="377" t="s">
        <v>718</v>
      </c>
      <c r="I172" s="377" t="s">
        <v>659</v>
      </c>
      <c r="J172" s="377" t="s">
        <v>660</v>
      </c>
      <c r="K172" s="377" t="s">
        <v>778</v>
      </c>
      <c r="L172" s="377" t="s">
        <v>1051</v>
      </c>
      <c r="M172" s="378">
        <v>9.2659327796249996E-2</v>
      </c>
      <c r="N172" s="379">
        <v>12088</v>
      </c>
      <c r="O172" s="379">
        <v>5711</v>
      </c>
      <c r="P172" s="380">
        <v>24.37395089020767</v>
      </c>
      <c r="Q172" s="380">
        <v>6.7349405851005866</v>
      </c>
      <c r="R172" s="380">
        <v>8.7890629533709124</v>
      </c>
      <c r="S172" s="380">
        <v>8.1133367697669421</v>
      </c>
      <c r="T172" s="381">
        <v>23.637340308238439</v>
      </c>
      <c r="U172" s="380">
        <v>0.73950628679440467</v>
      </c>
      <c r="V172" s="381">
        <v>48.750797485240511</v>
      </c>
      <c r="W172" s="382">
        <v>4.7E-2</v>
      </c>
      <c r="X172" s="382">
        <v>2.5000000000000001E-3</v>
      </c>
      <c r="Y172" s="382">
        <v>3.2500000000000001E-2</v>
      </c>
      <c r="Z172" s="380">
        <v>52.96</v>
      </c>
      <c r="AA172" s="380">
        <v>54.75</v>
      </c>
      <c r="AB172" s="363">
        <f t="shared" si="4"/>
        <v>-2.6645352591003757E-15</v>
      </c>
      <c r="AC172" s="363">
        <f t="shared" si="5"/>
        <v>0</v>
      </c>
      <c r="AD172" s="383"/>
    </row>
    <row r="173" spans="2:30">
      <c r="B173" s="392"/>
      <c r="C173" s="393" t="s">
        <v>936</v>
      </c>
      <c r="D173" s="377" t="s">
        <v>982</v>
      </c>
      <c r="E173" s="377" t="s">
        <v>610</v>
      </c>
      <c r="F173" s="377" t="s">
        <v>689</v>
      </c>
      <c r="G173" s="377">
        <v>18</v>
      </c>
      <c r="H173" s="377" t="s">
        <v>716</v>
      </c>
      <c r="I173" s="377" t="s">
        <v>659</v>
      </c>
      <c r="J173" s="377" t="s">
        <v>660</v>
      </c>
      <c r="K173" s="377" t="s">
        <v>778</v>
      </c>
      <c r="L173" s="377" t="s">
        <v>225</v>
      </c>
      <c r="M173" s="378">
        <v>8.7999999999999995E-2</v>
      </c>
      <c r="N173" s="379">
        <v>12435</v>
      </c>
      <c r="O173" s="379">
        <v>5539</v>
      </c>
      <c r="P173" s="380">
        <v>27.331928708492189</v>
      </c>
      <c r="Q173" s="380">
        <v>6.6950877027210796</v>
      </c>
      <c r="R173" s="380">
        <v>9.0428139976937381</v>
      </c>
      <c r="S173" s="380">
        <v>8.3987635198649695</v>
      </c>
      <c r="T173" s="381">
        <v>24.136665220279784</v>
      </c>
      <c r="U173" s="380">
        <v>0.76073466878626927</v>
      </c>
      <c r="V173" s="381">
        <v>52.229328597558244</v>
      </c>
      <c r="W173" s="382">
        <v>4.7E-2</v>
      </c>
      <c r="X173" s="382">
        <v>2.5000000000000001E-3</v>
      </c>
      <c r="Y173" s="382">
        <v>3.2500000000000001E-2</v>
      </c>
      <c r="Z173" s="380">
        <v>56.74</v>
      </c>
      <c r="AA173" s="380">
        <v>58.65</v>
      </c>
      <c r="AB173" s="363">
        <f t="shared" si="4"/>
        <v>-8.8817841970012523E-16</v>
      </c>
      <c r="AC173" s="363">
        <f t="shared" si="5"/>
        <v>0</v>
      </c>
      <c r="AD173" s="383"/>
    </row>
    <row r="174" spans="2:30">
      <c r="B174" s="392"/>
      <c r="C174" s="393" t="s">
        <v>937</v>
      </c>
      <c r="D174" s="377" t="s">
        <v>1283</v>
      </c>
      <c r="E174" s="377" t="s">
        <v>632</v>
      </c>
      <c r="F174" s="377" t="s">
        <v>719</v>
      </c>
      <c r="G174" s="377">
        <v>18</v>
      </c>
      <c r="H174" s="377" t="s">
        <v>1284</v>
      </c>
      <c r="I174" s="377" t="s">
        <v>659</v>
      </c>
      <c r="J174" s="377" t="s">
        <v>660</v>
      </c>
      <c r="K174" s="377" t="s">
        <v>778</v>
      </c>
      <c r="L174" s="377" t="s">
        <v>959</v>
      </c>
      <c r="M174" s="378">
        <v>8.0893618035750015E-2</v>
      </c>
      <c r="N174" s="379">
        <v>11450</v>
      </c>
      <c r="O174" s="379">
        <v>4998</v>
      </c>
      <c r="P174" s="380">
        <v>25.527897900050789</v>
      </c>
      <c r="Q174" s="380">
        <v>6.4019503136162683</v>
      </c>
      <c r="R174" s="380">
        <v>8.7337565314748176</v>
      </c>
      <c r="S174" s="380">
        <v>8.0121025447613086</v>
      </c>
      <c r="T174" s="381">
        <v>23.147809389852391</v>
      </c>
      <c r="U174" s="380">
        <v>0.70047542883818115</v>
      </c>
      <c r="V174" s="381">
        <v>49.376182718741362</v>
      </c>
      <c r="W174" s="382">
        <v>4.7E-2</v>
      </c>
      <c r="X174" s="382">
        <v>2.5000000000000001E-3</v>
      </c>
      <c r="Y174" s="382">
        <v>3.2500000000000001E-2</v>
      </c>
      <c r="Z174" s="380">
        <v>53.64</v>
      </c>
      <c r="AA174" s="380">
        <v>55.45</v>
      </c>
      <c r="AB174" s="363">
        <f t="shared" si="4"/>
        <v>-2.886579864025407E-15</v>
      </c>
      <c r="AC174" s="363">
        <f t="shared" si="5"/>
        <v>0</v>
      </c>
      <c r="AD174" s="383"/>
    </row>
    <row r="175" spans="2:30">
      <c r="B175" s="392"/>
      <c r="C175" s="393" t="s">
        <v>1044</v>
      </c>
      <c r="D175" s="377" t="s">
        <v>1092</v>
      </c>
      <c r="E175" s="377" t="s">
        <v>743</v>
      </c>
      <c r="F175" s="377" t="s">
        <v>652</v>
      </c>
      <c r="G175" s="377">
        <v>15</v>
      </c>
      <c r="H175" s="377" t="s">
        <v>718</v>
      </c>
      <c r="I175" s="377" t="s">
        <v>659</v>
      </c>
      <c r="J175" s="377" t="s">
        <v>660</v>
      </c>
      <c r="K175" s="377" t="s">
        <v>876</v>
      </c>
      <c r="L175" s="377" t="s">
        <v>449</v>
      </c>
      <c r="M175" s="378">
        <v>5.086615034375E-2</v>
      </c>
      <c r="N175" s="379">
        <v>7096</v>
      </c>
      <c r="O175" s="379">
        <v>3421</v>
      </c>
      <c r="P175" s="380">
        <v>14.258132630047673</v>
      </c>
      <c r="Q175" s="380">
        <v>4.7380218803290273</v>
      </c>
      <c r="R175" s="380">
        <v>6.100721394207449</v>
      </c>
      <c r="S175" s="380">
        <v>5.3692109962132779</v>
      </c>
      <c r="T175" s="381">
        <v>16.207954270749752</v>
      </c>
      <c r="U175" s="380">
        <v>0.43411123519962735</v>
      </c>
      <c r="V175" s="381">
        <v>30.900198135997051</v>
      </c>
      <c r="W175" s="382">
        <v>4.7E-2</v>
      </c>
      <c r="X175" s="382">
        <v>2.5000000000000001E-3</v>
      </c>
      <c r="Y175" s="382">
        <v>3.2500000000000001E-2</v>
      </c>
      <c r="Z175" s="380">
        <v>33.57</v>
      </c>
      <c r="AA175" s="380">
        <v>34.700000000000003</v>
      </c>
      <c r="AB175" s="363">
        <f t="shared" si="4"/>
        <v>-2.55351295663786E-15</v>
      </c>
      <c r="AC175" s="363">
        <f t="shared" si="5"/>
        <v>0</v>
      </c>
      <c r="AD175" s="383"/>
    </row>
    <row r="176" spans="2:30">
      <c r="B176" s="392"/>
      <c r="C176" s="393" t="s">
        <v>934</v>
      </c>
      <c r="D176" s="377" t="s">
        <v>1285</v>
      </c>
      <c r="E176" s="377" t="s">
        <v>889</v>
      </c>
      <c r="F176" s="377" t="s">
        <v>693</v>
      </c>
      <c r="G176" s="377">
        <v>18</v>
      </c>
      <c r="H176" s="377" t="s">
        <v>716</v>
      </c>
      <c r="I176" s="377" t="s">
        <v>659</v>
      </c>
      <c r="J176" s="377" t="s">
        <v>660</v>
      </c>
      <c r="K176" s="377" t="s">
        <v>778</v>
      </c>
      <c r="L176" s="377" t="s">
        <v>235</v>
      </c>
      <c r="M176" s="378">
        <v>8.751359545200002E-2</v>
      </c>
      <c r="N176" s="379">
        <v>12278</v>
      </c>
      <c r="O176" s="379">
        <v>5425.5453100466239</v>
      </c>
      <c r="P176" s="380">
        <v>27.172145351829514</v>
      </c>
      <c r="Q176" s="380">
        <v>6.8247725580319143</v>
      </c>
      <c r="R176" s="380">
        <v>9.3790484226504152</v>
      </c>
      <c r="S176" s="380">
        <v>8.5107485665811868</v>
      </c>
      <c r="T176" s="381">
        <v>24.714569547263512</v>
      </c>
      <c r="U176" s="380">
        <v>0.75112989653058415</v>
      </c>
      <c r="V176" s="381">
        <v>52.637844795623607</v>
      </c>
      <c r="W176" s="382">
        <v>4.7E-2</v>
      </c>
      <c r="X176" s="382">
        <v>2.5000000000000001E-3</v>
      </c>
      <c r="Y176" s="382">
        <v>3.2500000000000001E-2</v>
      </c>
      <c r="Z176" s="380">
        <v>57.18</v>
      </c>
      <c r="AA176" s="380">
        <v>59.11</v>
      </c>
      <c r="AB176" s="363">
        <f t="shared" si="4"/>
        <v>-5.773159728050814E-15</v>
      </c>
      <c r="AC176" s="363">
        <f t="shared" si="5"/>
        <v>0</v>
      </c>
      <c r="AD176" s="383"/>
    </row>
    <row r="177" spans="2:30">
      <c r="B177" s="392"/>
      <c r="C177" s="393" t="s">
        <v>938</v>
      </c>
      <c r="D177" s="377" t="s">
        <v>1055</v>
      </c>
      <c r="E177" s="377" t="s">
        <v>612</v>
      </c>
      <c r="F177" s="377" t="s">
        <v>697</v>
      </c>
      <c r="G177" s="377">
        <v>18</v>
      </c>
      <c r="H177" s="377" t="s">
        <v>716</v>
      </c>
      <c r="I177" s="377" t="s">
        <v>659</v>
      </c>
      <c r="J177" s="377" t="s">
        <v>660</v>
      </c>
      <c r="K177" s="377" t="s">
        <v>778</v>
      </c>
      <c r="L177" s="377" t="s">
        <v>475</v>
      </c>
      <c r="M177" s="378">
        <v>7.6867922396250024E-2</v>
      </c>
      <c r="N177" s="379">
        <v>11009</v>
      </c>
      <c r="O177" s="379">
        <v>4809.805102831102</v>
      </c>
      <c r="P177" s="380">
        <v>24.346161291737971</v>
      </c>
      <c r="Q177" s="380">
        <v>6.4722288972430366</v>
      </c>
      <c r="R177" s="380">
        <v>9.1914342837426339</v>
      </c>
      <c r="S177" s="380">
        <v>8.2195193395312778</v>
      </c>
      <c r="T177" s="381">
        <v>23.883182520516947</v>
      </c>
      <c r="U177" s="380">
        <v>0.67349641887157519</v>
      </c>
      <c r="V177" s="381">
        <v>48.90284023112649</v>
      </c>
      <c r="W177" s="382">
        <v>4.7E-2</v>
      </c>
      <c r="X177" s="382">
        <v>2.5000000000000001E-3</v>
      </c>
      <c r="Y177" s="382">
        <v>3.2500000000000001E-2</v>
      </c>
      <c r="Z177" s="380">
        <v>53.13</v>
      </c>
      <c r="AA177" s="380">
        <v>54.92</v>
      </c>
      <c r="AB177" s="363">
        <f t="shared" si="4"/>
        <v>-2.9976021664879227E-15</v>
      </c>
      <c r="AC177" s="363">
        <f t="shared" si="5"/>
        <v>0</v>
      </c>
      <c r="AD177" s="383"/>
    </row>
    <row r="178" spans="2:30">
      <c r="B178" s="392"/>
      <c r="C178" s="393" t="s">
        <v>942</v>
      </c>
      <c r="D178" s="377" t="s">
        <v>1286</v>
      </c>
      <c r="E178" s="377" t="s">
        <v>612</v>
      </c>
      <c r="F178" s="377" t="s">
        <v>693</v>
      </c>
      <c r="G178" s="377">
        <v>18</v>
      </c>
      <c r="H178" s="377" t="s">
        <v>716</v>
      </c>
      <c r="I178" s="377" t="s">
        <v>659</v>
      </c>
      <c r="J178" s="377" t="s">
        <v>660</v>
      </c>
      <c r="K178" s="377" t="s">
        <v>778</v>
      </c>
      <c r="L178" s="377" t="s">
        <v>216</v>
      </c>
      <c r="M178" s="378">
        <v>7.6793813804000022E-2</v>
      </c>
      <c r="N178" s="379">
        <v>10908</v>
      </c>
      <c r="O178" s="379">
        <v>4735.2527850936449</v>
      </c>
      <c r="P178" s="380">
        <v>24.19541295918647</v>
      </c>
      <c r="Q178" s="380">
        <v>6.4325551766028664</v>
      </c>
      <c r="R178" s="380">
        <v>8.8946391021749402</v>
      </c>
      <c r="S178" s="380">
        <v>7.9624452291942323</v>
      </c>
      <c r="T178" s="381">
        <v>23.289639507972037</v>
      </c>
      <c r="U178" s="380">
        <v>0.66731755264339565</v>
      </c>
      <c r="V178" s="381">
        <v>48.152370019801907</v>
      </c>
      <c r="W178" s="382">
        <v>4.7E-2</v>
      </c>
      <c r="X178" s="382">
        <v>2.5000000000000001E-3</v>
      </c>
      <c r="Y178" s="382">
        <v>3.2500000000000001E-2</v>
      </c>
      <c r="Z178" s="380">
        <v>52.31</v>
      </c>
      <c r="AA178" s="380">
        <v>54.07</v>
      </c>
      <c r="AB178" s="363">
        <f t="shared" si="4"/>
        <v>8.8817841970012523E-16</v>
      </c>
      <c r="AC178" s="363">
        <f t="shared" si="5"/>
        <v>0</v>
      </c>
      <c r="AD178" s="383"/>
    </row>
    <row r="179" spans="2:30">
      <c r="B179" s="392"/>
      <c r="C179" s="393" t="s">
        <v>1009</v>
      </c>
      <c r="D179" s="377" t="s">
        <v>1287</v>
      </c>
      <c r="E179" s="377" t="s">
        <v>609</v>
      </c>
      <c r="F179" s="377" t="s">
        <v>715</v>
      </c>
      <c r="G179" s="377">
        <v>18</v>
      </c>
      <c r="H179" s="377" t="s">
        <v>716</v>
      </c>
      <c r="I179" s="377" t="s">
        <v>659</v>
      </c>
      <c r="J179" s="377" t="s">
        <v>660</v>
      </c>
      <c r="K179" s="377" t="s">
        <v>778</v>
      </c>
      <c r="L179" s="377" t="s">
        <v>237</v>
      </c>
      <c r="M179" s="378">
        <v>8.8389506459000025E-2</v>
      </c>
      <c r="N179" s="379">
        <v>12635</v>
      </c>
      <c r="O179" s="379">
        <v>5581.3641136811111</v>
      </c>
      <c r="P179" s="380">
        <v>27.887545947455958</v>
      </c>
      <c r="Q179" s="380">
        <v>6.9617087836882732</v>
      </c>
      <c r="R179" s="380">
        <v>9.5513626145480153</v>
      </c>
      <c r="S179" s="380">
        <v>8.6925974122439129</v>
      </c>
      <c r="T179" s="381">
        <v>25.205668810480198</v>
      </c>
      <c r="U179" s="380">
        <v>0.77297004745593179</v>
      </c>
      <c r="V179" s="381">
        <v>53.866184805392088</v>
      </c>
      <c r="W179" s="382">
        <v>4.7E-2</v>
      </c>
      <c r="X179" s="382">
        <v>2.5000000000000001E-3</v>
      </c>
      <c r="Y179" s="382">
        <v>3.2500000000000001E-2</v>
      </c>
      <c r="Z179" s="380">
        <v>58.52</v>
      </c>
      <c r="AA179" s="380">
        <v>60.49</v>
      </c>
      <c r="AB179" s="363">
        <f t="shared" si="4"/>
        <v>-3.7747582837255322E-15</v>
      </c>
      <c r="AC179" s="363">
        <f t="shared" si="5"/>
        <v>0</v>
      </c>
      <c r="AD179" s="383"/>
    </row>
    <row r="180" spans="2:30">
      <c r="B180" s="392"/>
      <c r="C180" s="393" t="s">
        <v>1014</v>
      </c>
      <c r="D180" s="377" t="s">
        <v>1058</v>
      </c>
      <c r="E180" s="377" t="s">
        <v>632</v>
      </c>
      <c r="F180" s="377" t="s">
        <v>715</v>
      </c>
      <c r="G180" s="377">
        <v>17</v>
      </c>
      <c r="H180" s="377" t="s">
        <v>716</v>
      </c>
      <c r="I180" s="377" t="s">
        <v>659</v>
      </c>
      <c r="J180" s="377" t="s">
        <v>660</v>
      </c>
      <c r="K180" s="377" t="s">
        <v>778</v>
      </c>
      <c r="L180" s="377" t="s">
        <v>871</v>
      </c>
      <c r="M180" s="378">
        <v>7.6193594639999987E-2</v>
      </c>
      <c r="N180" s="379">
        <v>11143</v>
      </c>
      <c r="O180" s="379">
        <v>5194.3465243439432</v>
      </c>
      <c r="P180" s="380">
        <v>24.30661437345362</v>
      </c>
      <c r="Q180" s="380">
        <v>6.6922017677432404</v>
      </c>
      <c r="R180" s="380">
        <v>9.1324237514495064</v>
      </c>
      <c r="S180" s="380">
        <v>8.1795221085252479</v>
      </c>
      <c r="T180" s="381">
        <v>24.004147627717998</v>
      </c>
      <c r="U180" s="380">
        <v>0.68169412258024908</v>
      </c>
      <c r="V180" s="381">
        <v>48.992456123751865</v>
      </c>
      <c r="W180" s="382">
        <v>4.7E-2</v>
      </c>
      <c r="X180" s="382">
        <v>2.5000000000000001E-3</v>
      </c>
      <c r="Y180" s="382">
        <v>3.2500000000000001E-2</v>
      </c>
      <c r="Z180" s="380">
        <v>53.22</v>
      </c>
      <c r="AA180" s="380">
        <v>55.02</v>
      </c>
      <c r="AB180" s="363">
        <f t="shared" si="4"/>
        <v>0</v>
      </c>
      <c r="AC180" s="363">
        <f t="shared" si="5"/>
        <v>0</v>
      </c>
      <c r="AD180" s="383"/>
    </row>
    <row r="181" spans="2:30">
      <c r="B181" s="392"/>
      <c r="C181" s="393"/>
      <c r="D181" s="377"/>
      <c r="E181" s="377"/>
      <c r="F181" s="377"/>
      <c r="G181" s="377"/>
      <c r="H181" s="377"/>
      <c r="I181" s="377"/>
      <c r="J181" s="377"/>
      <c r="K181" s="377"/>
      <c r="L181" s="377"/>
      <c r="M181" s="378"/>
      <c r="N181" s="379"/>
      <c r="O181" s="379"/>
      <c r="P181" s="380"/>
      <c r="Q181" s="380"/>
      <c r="R181" s="380"/>
      <c r="S181" s="380"/>
      <c r="T181" s="381"/>
      <c r="U181" s="380"/>
      <c r="V181" s="381"/>
      <c r="W181" s="382"/>
      <c r="X181" s="382"/>
      <c r="Y181" s="382"/>
      <c r="Z181" s="380"/>
      <c r="AA181" s="380"/>
      <c r="AD181" s="383"/>
    </row>
    <row r="182" spans="2:30">
      <c r="B182" s="392" t="s">
        <v>1680</v>
      </c>
      <c r="C182" s="393" t="s">
        <v>332</v>
      </c>
      <c r="D182" s="377" t="s">
        <v>1670</v>
      </c>
      <c r="E182" s="377" t="s">
        <v>1671</v>
      </c>
      <c r="F182" s="377" t="s">
        <v>663</v>
      </c>
      <c r="G182" s="377">
        <v>16</v>
      </c>
      <c r="H182" s="377" t="s">
        <v>680</v>
      </c>
      <c r="I182" s="377" t="s">
        <v>645</v>
      </c>
      <c r="J182" s="377" t="s">
        <v>646</v>
      </c>
      <c r="K182" s="377" t="s">
        <v>879</v>
      </c>
      <c r="L182" s="377" t="s">
        <v>333</v>
      </c>
      <c r="M182" s="378">
        <v>6.9758152197750001E-2</v>
      </c>
      <c r="N182" s="379">
        <v>9773</v>
      </c>
      <c r="O182" s="379">
        <v>4715</v>
      </c>
      <c r="P182" s="380">
        <v>23.529342493328226</v>
      </c>
      <c r="Q182" s="380">
        <v>4.6424090369704603</v>
      </c>
      <c r="R182" s="380">
        <v>5.9820767846403236</v>
      </c>
      <c r="S182" s="380">
        <v>5.3279877357319902</v>
      </c>
      <c r="T182" s="381">
        <v>15.952472320163807</v>
      </c>
      <c r="U182" s="380">
        <v>0.70204998543781405</v>
      </c>
      <c r="V182" s="381">
        <v>40.183864798929847</v>
      </c>
      <c r="W182" s="382">
        <v>4.4499999999999998E-2</v>
      </c>
      <c r="X182" s="382">
        <v>0</v>
      </c>
      <c r="Y182" s="382">
        <v>0.04</v>
      </c>
      <c r="Z182" s="380">
        <v>43.42</v>
      </c>
      <c r="AA182" s="380">
        <v>45.38</v>
      </c>
      <c r="AD182" s="383"/>
    </row>
    <row r="183" spans="2:30">
      <c r="B183" s="392" t="s">
        <v>1680</v>
      </c>
      <c r="C183" s="393" t="s">
        <v>576</v>
      </c>
      <c r="D183" s="377" t="s">
        <v>1672</v>
      </c>
      <c r="E183" s="377"/>
      <c r="F183" s="377" t="s">
        <v>672</v>
      </c>
      <c r="G183" s="377">
        <v>16</v>
      </c>
      <c r="H183" s="377" t="s">
        <v>681</v>
      </c>
      <c r="I183" s="377" t="s">
        <v>645</v>
      </c>
      <c r="J183" s="377" t="s">
        <v>646</v>
      </c>
      <c r="K183" s="377" t="s">
        <v>879</v>
      </c>
      <c r="L183" s="377" t="s">
        <v>724</v>
      </c>
      <c r="M183" s="378">
        <v>7.4501902684000004E-2</v>
      </c>
      <c r="N183" s="379">
        <v>10754</v>
      </c>
      <c r="O183" s="379">
        <v>5182</v>
      </c>
      <c r="P183" s="380">
        <v>26.480237796234409</v>
      </c>
      <c r="Q183" s="380">
        <v>5.013454051505466</v>
      </c>
      <c r="R183" s="380">
        <v>6.5198581605808732</v>
      </c>
      <c r="S183" s="380">
        <v>5.8617094537121215</v>
      </c>
      <c r="T183" s="381">
        <v>17.395020359465178</v>
      </c>
      <c r="U183" s="380">
        <v>0.7725207759539805</v>
      </c>
      <c r="V183" s="381">
        <v>44.647778931653569</v>
      </c>
      <c r="W183" s="382">
        <v>4.4499999999999998E-2</v>
      </c>
      <c r="X183" s="382">
        <v>0</v>
      </c>
      <c r="Y183" s="382">
        <v>0.04</v>
      </c>
      <c r="Z183" s="380">
        <v>48.24</v>
      </c>
      <c r="AA183" s="380">
        <v>50.42</v>
      </c>
      <c r="AB183" s="363">
        <f t="shared" si="4"/>
        <v>-1.3063332808815886E-6</v>
      </c>
      <c r="AC183" s="363">
        <f t="shared" si="5"/>
        <v>-1.3063332815477224E-6</v>
      </c>
      <c r="AD183" s="383"/>
    </row>
    <row r="184" spans="2:30">
      <c r="B184" s="392" t="s">
        <v>1680</v>
      </c>
      <c r="C184" s="393" t="s">
        <v>582</v>
      </c>
      <c r="D184" s="377" t="s">
        <v>1673</v>
      </c>
      <c r="E184" s="377" t="s">
        <v>1674</v>
      </c>
      <c r="F184" s="377" t="s">
        <v>658</v>
      </c>
      <c r="G184" s="377">
        <v>16</v>
      </c>
      <c r="H184" s="377" t="s">
        <v>718</v>
      </c>
      <c r="I184" s="377" t="s">
        <v>659</v>
      </c>
      <c r="J184" s="377" t="s">
        <v>660</v>
      </c>
      <c r="K184" s="377" t="s">
        <v>879</v>
      </c>
      <c r="L184" s="377" t="s">
        <v>727</v>
      </c>
      <c r="M184" s="378">
        <v>6.4256967889249991E-2</v>
      </c>
      <c r="N184" s="379">
        <v>8251</v>
      </c>
      <c r="O184" s="379">
        <v>3927</v>
      </c>
      <c r="P184" s="380">
        <v>18.606814919580856</v>
      </c>
      <c r="Q184" s="380">
        <v>4.2684139589692016</v>
      </c>
      <c r="R184" s="380">
        <v>5.1692601809701619</v>
      </c>
      <c r="S184" s="380">
        <v>4.5001412834359886</v>
      </c>
      <c r="T184" s="381">
        <v>13.937814196938929</v>
      </c>
      <c r="U184" s="380">
        <v>0.59271609841884809</v>
      </c>
      <c r="V184" s="381">
        <v>33.137345214938634</v>
      </c>
      <c r="W184" s="382">
        <v>4.4499999999999998E-2</v>
      </c>
      <c r="X184" s="382">
        <v>2.5000000000000001E-3</v>
      </c>
      <c r="Y184" s="382">
        <v>3.2500000000000001E-2</v>
      </c>
      <c r="Z184" s="380">
        <v>35.9</v>
      </c>
      <c r="AA184" s="380">
        <v>37.11</v>
      </c>
      <c r="AB184" s="363">
        <f t="shared" si="4"/>
        <v>-1.2264364223080193E-6</v>
      </c>
      <c r="AC184" s="363">
        <f t="shared" si="5"/>
        <v>-1.226436424417443E-6</v>
      </c>
      <c r="AD184" s="383"/>
    </row>
    <row r="185" spans="2:30">
      <c r="B185" s="392" t="s">
        <v>1680</v>
      </c>
      <c r="C185" s="393" t="s">
        <v>330</v>
      </c>
      <c r="D185" s="377" t="s">
        <v>1675</v>
      </c>
      <c r="E185" s="377" t="s">
        <v>594</v>
      </c>
      <c r="F185" s="377" t="s">
        <v>673</v>
      </c>
      <c r="G185" s="377">
        <v>16</v>
      </c>
      <c r="H185" s="377" t="s">
        <v>1676</v>
      </c>
      <c r="I185" s="377" t="s">
        <v>877</v>
      </c>
      <c r="J185" s="377" t="s">
        <v>655</v>
      </c>
      <c r="K185" s="377" t="s">
        <v>879</v>
      </c>
      <c r="L185" s="377" t="s">
        <v>331</v>
      </c>
      <c r="M185" s="378">
        <v>6.8493825428000005E-2</v>
      </c>
      <c r="N185" s="379">
        <v>9271</v>
      </c>
      <c r="O185" s="379">
        <v>4432</v>
      </c>
      <c r="P185" s="380">
        <v>21.688046816080547</v>
      </c>
      <c r="Q185" s="380">
        <v>4.5700015483898238</v>
      </c>
      <c r="R185" s="380">
        <v>5.5551254201485278</v>
      </c>
      <c r="S185" s="380">
        <v>4.8897981084163611</v>
      </c>
      <c r="T185" s="381">
        <v>15.014927459631956</v>
      </c>
      <c r="U185" s="380">
        <v>0.66598847999529054</v>
      </c>
      <c r="V185" s="381">
        <v>37.368962755707791</v>
      </c>
      <c r="W185" s="382">
        <v>4.4499999999999998E-2</v>
      </c>
      <c r="X185" s="382">
        <v>0</v>
      </c>
      <c r="Y185" s="382">
        <v>0.03</v>
      </c>
      <c r="Z185" s="380">
        <v>40.380000000000003</v>
      </c>
      <c r="AA185" s="380">
        <v>41.73</v>
      </c>
      <c r="AB185" s="363">
        <f t="shared" si="4"/>
        <v>2.3826772409529795E-6</v>
      </c>
      <c r="AC185" s="363">
        <f t="shared" si="5"/>
        <v>2.3826772430624032E-6</v>
      </c>
      <c r="AD185" s="383"/>
    </row>
    <row r="186" spans="2:30">
      <c r="B186" s="392" t="s">
        <v>1680</v>
      </c>
      <c r="C186" s="393" t="s">
        <v>931</v>
      </c>
      <c r="D186" s="377" t="s">
        <v>932</v>
      </c>
      <c r="E186" s="377" t="s">
        <v>633</v>
      </c>
      <c r="F186" s="377" t="s">
        <v>717</v>
      </c>
      <c r="G186" s="377">
        <v>18</v>
      </c>
      <c r="H186" s="377" t="s">
        <v>716</v>
      </c>
      <c r="I186" s="377" t="s">
        <v>1677</v>
      </c>
      <c r="J186" s="377" t="s">
        <v>660</v>
      </c>
      <c r="K186" s="377" t="s">
        <v>778</v>
      </c>
      <c r="L186" s="377" t="s">
        <v>933</v>
      </c>
      <c r="M186" s="378">
        <v>8.2000000000000003E-2</v>
      </c>
      <c r="N186" s="379">
        <v>11920</v>
      </c>
      <c r="O186" s="379">
        <v>5244</v>
      </c>
      <c r="P186" s="380">
        <v>29.314944318218984</v>
      </c>
      <c r="Q186" s="380">
        <v>5.3352453327322316</v>
      </c>
      <c r="R186" s="380">
        <v>6.8541933484289874</v>
      </c>
      <c r="S186" s="380">
        <v>6.1445205544673991</v>
      </c>
      <c r="T186" s="381">
        <v>18.333961905076439</v>
      </c>
      <c r="U186" s="380">
        <v>0.85628116508940377</v>
      </c>
      <c r="V186" s="381">
        <v>48.505187388384826</v>
      </c>
      <c r="W186" s="382">
        <v>4.4499999999999998E-2</v>
      </c>
      <c r="X186" s="382">
        <v>2.5000000000000001E-3</v>
      </c>
      <c r="Y186" s="382">
        <v>3.2500000000000001E-2</v>
      </c>
      <c r="Z186" s="380">
        <v>52.55</v>
      </c>
      <c r="AA186" s="380">
        <v>54.32</v>
      </c>
      <c r="AB186" s="363">
        <f t="shared" si="4"/>
        <v>2.6694478199029703E-6</v>
      </c>
      <c r="AC186" s="363">
        <f t="shared" si="5"/>
        <v>2.6694478201250149E-6</v>
      </c>
      <c r="AD186" s="383"/>
    </row>
    <row r="187" spans="2:30">
      <c r="B187" s="392" t="s">
        <v>1680</v>
      </c>
      <c r="C187" s="393" t="s">
        <v>943</v>
      </c>
      <c r="D187" s="377" t="s">
        <v>1662</v>
      </c>
      <c r="E187" s="377" t="s">
        <v>1678</v>
      </c>
      <c r="F187" s="377" t="s">
        <v>693</v>
      </c>
      <c r="G187" s="377">
        <v>18</v>
      </c>
      <c r="H187" s="377" t="s">
        <v>716</v>
      </c>
      <c r="I187" s="377" t="s">
        <v>1677</v>
      </c>
      <c r="J187" s="377" t="s">
        <v>660</v>
      </c>
      <c r="K187" s="377" t="s">
        <v>778</v>
      </c>
      <c r="L187" s="377" t="s">
        <v>217</v>
      </c>
      <c r="M187" s="378">
        <v>7.1713960740000013E-2</v>
      </c>
      <c r="N187" s="379">
        <v>10481</v>
      </c>
      <c r="O187" s="379">
        <v>4582</v>
      </c>
      <c r="P187" s="380">
        <v>25.945556407031539</v>
      </c>
      <c r="Q187" s="380">
        <v>5.0174421750950824</v>
      </c>
      <c r="R187" s="380">
        <v>6.4467985544386552</v>
      </c>
      <c r="S187" s="380">
        <v>5.7332354312931315</v>
      </c>
      <c r="T187" s="381">
        <v>17.197478641107132</v>
      </c>
      <c r="U187" s="380">
        <v>0.7529096385320504</v>
      </c>
      <c r="V187" s="381">
        <v>43.895944686670717</v>
      </c>
      <c r="W187" s="382">
        <v>4.4499999999999998E-2</v>
      </c>
      <c r="X187" s="382">
        <v>2.5000000000000001E-3</v>
      </c>
      <c r="Y187" s="382">
        <v>3.2500000000000001E-2</v>
      </c>
      <c r="Z187" s="380">
        <v>47.56</v>
      </c>
      <c r="AA187" s="380">
        <v>49.16</v>
      </c>
      <c r="AB187" s="363">
        <f t="shared" si="4"/>
        <v>2.480280258287948E-6</v>
      </c>
      <c r="AC187" s="363">
        <f t="shared" si="5"/>
        <v>2.4802802620627062E-6</v>
      </c>
      <c r="AD187" s="383"/>
    </row>
    <row r="188" spans="2:30">
      <c r="B188" s="392" t="s">
        <v>1680</v>
      </c>
      <c r="C188" s="393" t="s">
        <v>927</v>
      </c>
      <c r="D188" s="377" t="s">
        <v>1663</v>
      </c>
      <c r="E188" s="377" t="s">
        <v>1674</v>
      </c>
      <c r="F188" s="377" t="s">
        <v>664</v>
      </c>
      <c r="G188" s="377">
        <v>15</v>
      </c>
      <c r="H188" s="377" t="s">
        <v>718</v>
      </c>
      <c r="I188" s="377" t="s">
        <v>1677</v>
      </c>
      <c r="J188" s="377" t="s">
        <v>660</v>
      </c>
      <c r="K188" s="377" t="s">
        <v>876</v>
      </c>
      <c r="L188" s="377" t="s">
        <v>783</v>
      </c>
      <c r="M188" s="378">
        <v>6.1626502518749994E-2</v>
      </c>
      <c r="N188" s="379">
        <v>8318</v>
      </c>
      <c r="O188" s="379">
        <v>3982</v>
      </c>
      <c r="P188" s="380">
        <v>18.393803341848386</v>
      </c>
      <c r="Q188" s="380">
        <v>4.2684506293739002</v>
      </c>
      <c r="R188" s="380">
        <v>5.2217863544678904</v>
      </c>
      <c r="S188" s="380">
        <v>4.5364379529891607</v>
      </c>
      <c r="T188" s="381">
        <v>14.026677565113497</v>
      </c>
      <c r="U188" s="380">
        <v>0.59752908818906558</v>
      </c>
      <c r="V188" s="381">
        <v>33.018009995150948</v>
      </c>
      <c r="W188" s="382">
        <v>4.4499999999999998E-2</v>
      </c>
      <c r="X188" s="382">
        <v>2.5000000000000001E-3</v>
      </c>
      <c r="Y188" s="382">
        <v>3.2500000000000001E-2</v>
      </c>
      <c r="Z188" s="380">
        <v>35.770000000000003</v>
      </c>
      <c r="AA188" s="380">
        <v>36.97</v>
      </c>
      <c r="AB188" s="363">
        <f t="shared" si="4"/>
        <v>2.6282825444923219E-6</v>
      </c>
      <c r="AC188" s="363">
        <f t="shared" si="5"/>
        <v>2.6282825462686787E-6</v>
      </c>
      <c r="AD188" s="383"/>
    </row>
    <row r="189" spans="2:30">
      <c r="B189" s="392" t="s">
        <v>1680</v>
      </c>
      <c r="C189" s="393" t="s">
        <v>1007</v>
      </c>
      <c r="D189" s="377" t="s">
        <v>1056</v>
      </c>
      <c r="E189" s="377" t="s">
        <v>640</v>
      </c>
      <c r="F189" s="377" t="s">
        <v>694</v>
      </c>
      <c r="G189" s="377">
        <v>16</v>
      </c>
      <c r="H189" s="377" t="s">
        <v>718</v>
      </c>
      <c r="I189" s="377" t="s">
        <v>1677</v>
      </c>
      <c r="J189" s="377" t="s">
        <v>660</v>
      </c>
      <c r="K189" s="377" t="s">
        <v>879</v>
      </c>
      <c r="L189" s="377" t="s">
        <v>306</v>
      </c>
      <c r="M189" s="378">
        <v>8.7421698955999994E-2</v>
      </c>
      <c r="N189" s="379">
        <v>11148</v>
      </c>
      <c r="O189" s="379">
        <v>5291</v>
      </c>
      <c r="P189" s="380">
        <v>25.676250865857089</v>
      </c>
      <c r="Q189" s="380">
        <v>5.1537316177610695</v>
      </c>
      <c r="R189" s="380">
        <v>6.2698084368392504</v>
      </c>
      <c r="S189" s="380">
        <v>5.6231020400268266</v>
      </c>
      <c r="T189" s="381">
        <v>17.046644823635141</v>
      </c>
      <c r="U189" s="380">
        <v>0.80082402922958673</v>
      </c>
      <c r="V189" s="381">
        <v>43.523719718721821</v>
      </c>
      <c r="W189" s="382">
        <v>4.4499999999999998E-2</v>
      </c>
      <c r="X189" s="382">
        <v>2.5000000000000001E-3</v>
      </c>
      <c r="Y189" s="382">
        <v>3.2500000000000001E-2</v>
      </c>
      <c r="Z189" s="380">
        <v>47.15</v>
      </c>
      <c r="AA189" s="380">
        <v>48.74</v>
      </c>
      <c r="AB189" s="363">
        <f t="shared" si="4"/>
        <v>2.7290079995800909E-6</v>
      </c>
      <c r="AC189" s="363">
        <f t="shared" si="5"/>
        <v>2.729007995583288E-6</v>
      </c>
      <c r="AD189" s="383"/>
    </row>
    <row r="190" spans="2:30">
      <c r="B190" s="392" t="s">
        <v>1680</v>
      </c>
      <c r="C190" s="393" t="s">
        <v>1042</v>
      </c>
      <c r="D190" s="377" t="s">
        <v>1091</v>
      </c>
      <c r="E190" s="377" t="s">
        <v>744</v>
      </c>
      <c r="F190" s="377" t="s">
        <v>713</v>
      </c>
      <c r="G190" s="377">
        <v>16</v>
      </c>
      <c r="H190" s="377" t="s">
        <v>718</v>
      </c>
      <c r="I190" s="377" t="s">
        <v>1677</v>
      </c>
      <c r="J190" s="377" t="s">
        <v>660</v>
      </c>
      <c r="K190" s="377" t="s">
        <v>879</v>
      </c>
      <c r="L190" s="377" t="s">
        <v>227</v>
      </c>
      <c r="M190" s="378">
        <v>6.0155367813000002E-2</v>
      </c>
      <c r="N190" s="379">
        <v>8624</v>
      </c>
      <c r="O190" s="379">
        <v>4033.0000000000005</v>
      </c>
      <c r="P190" s="380">
        <v>19.848169084330262</v>
      </c>
      <c r="Q190" s="380">
        <v>4.4297203421189097</v>
      </c>
      <c r="R190" s="380">
        <v>5.3675955058961389</v>
      </c>
      <c r="S190" s="380">
        <v>4.6987279857187279</v>
      </c>
      <c r="T190" s="381">
        <v>14.496046219144606</v>
      </c>
      <c r="U190" s="380">
        <v>0.61951080266199821</v>
      </c>
      <c r="V190" s="381">
        <v>34.963726106136868</v>
      </c>
      <c r="W190" s="382">
        <v>4.4499999999999998E-2</v>
      </c>
      <c r="X190" s="382">
        <v>2.5000000000000001E-3</v>
      </c>
      <c r="Y190" s="382">
        <v>3.2500000000000001E-2</v>
      </c>
      <c r="Z190" s="380">
        <v>37.880000000000003</v>
      </c>
      <c r="AA190" s="380">
        <v>39.15</v>
      </c>
      <c r="AB190" s="363">
        <f t="shared" si="4"/>
        <v>2.3854108315291001E-6</v>
      </c>
      <c r="AC190" s="363">
        <f t="shared" si="5"/>
        <v>2.3854108288645648E-6</v>
      </c>
      <c r="AD190" s="383"/>
    </row>
    <row r="191" spans="2:30">
      <c r="B191" s="392"/>
      <c r="C191" s="393"/>
      <c r="D191" s="377"/>
      <c r="E191" s="377"/>
      <c r="F191" s="377"/>
      <c r="G191" s="377"/>
      <c r="H191" s="377"/>
      <c r="I191" s="377"/>
      <c r="J191" s="377"/>
      <c r="K191" s="377"/>
      <c r="L191" s="377"/>
      <c r="M191" s="378"/>
      <c r="N191" s="379"/>
      <c r="O191" s="379"/>
      <c r="P191" s="380"/>
      <c r="Q191" s="380"/>
      <c r="R191" s="380"/>
      <c r="S191" s="380"/>
      <c r="T191" s="381"/>
      <c r="U191" s="380"/>
      <c r="V191" s="381"/>
      <c r="W191" s="382"/>
      <c r="X191" s="382"/>
      <c r="Y191" s="382"/>
      <c r="Z191" s="380"/>
      <c r="AA191" s="380"/>
      <c r="AB191" s="363">
        <f t="shared" si="4"/>
        <v>0</v>
      </c>
      <c r="AC191" s="363">
        <f t="shared" si="5"/>
        <v>0</v>
      </c>
      <c r="AD191" s="383"/>
    </row>
    <row r="192" spans="2:30">
      <c r="B192" s="392"/>
      <c r="C192" s="393"/>
      <c r="D192" s="377"/>
      <c r="E192" s="377"/>
      <c r="F192" s="377"/>
      <c r="G192" s="377"/>
      <c r="H192" s="377"/>
      <c r="I192" s="377"/>
      <c r="J192" s="377"/>
      <c r="K192" s="377"/>
      <c r="L192" s="377"/>
      <c r="M192" s="378"/>
      <c r="N192" s="379"/>
      <c r="O192" s="379"/>
      <c r="P192" s="380"/>
      <c r="Q192" s="380"/>
      <c r="R192" s="380"/>
      <c r="S192" s="380"/>
      <c r="T192" s="381"/>
      <c r="U192" s="380"/>
      <c r="V192" s="381"/>
      <c r="W192" s="382"/>
      <c r="X192" s="382"/>
      <c r="Y192" s="382"/>
      <c r="Z192" s="380"/>
      <c r="AA192" s="380"/>
      <c r="AB192" s="363">
        <f t="shared" si="4"/>
        <v>0</v>
      </c>
      <c r="AC192" s="363">
        <f t="shared" si="5"/>
        <v>0</v>
      </c>
      <c r="AD192" s="383"/>
    </row>
    <row r="193" spans="2:30">
      <c r="B193" s="392"/>
      <c r="C193" s="393"/>
      <c r="D193" s="377"/>
      <c r="E193" s="377"/>
      <c r="F193" s="377"/>
      <c r="G193" s="377"/>
      <c r="H193" s="377"/>
      <c r="I193" s="377"/>
      <c r="J193" s="377"/>
      <c r="K193" s="377"/>
      <c r="L193" s="377"/>
      <c r="M193" s="378"/>
      <c r="N193" s="379"/>
      <c r="O193" s="379"/>
      <c r="P193" s="380"/>
      <c r="Q193" s="380"/>
      <c r="R193" s="380"/>
      <c r="S193" s="380"/>
      <c r="T193" s="381"/>
      <c r="U193" s="380"/>
      <c r="V193" s="381"/>
      <c r="W193" s="382"/>
      <c r="X193" s="382"/>
      <c r="Y193" s="382"/>
      <c r="Z193" s="380"/>
      <c r="AA193" s="380"/>
      <c r="AB193" s="363">
        <f t="shared" si="4"/>
        <v>0</v>
      </c>
      <c r="AC193" s="363">
        <f t="shared" si="5"/>
        <v>0</v>
      </c>
      <c r="AD193" s="383"/>
    </row>
    <row r="194" spans="2:30">
      <c r="B194" s="392"/>
      <c r="C194" s="393"/>
      <c r="D194" s="377"/>
      <c r="E194" s="377"/>
      <c r="F194" s="377"/>
      <c r="G194" s="377"/>
      <c r="H194" s="377"/>
      <c r="I194" s="377"/>
      <c r="J194" s="377"/>
      <c r="K194" s="377"/>
      <c r="L194" s="377"/>
      <c r="M194" s="378"/>
      <c r="N194" s="379"/>
      <c r="O194" s="379"/>
      <c r="P194" s="380"/>
      <c r="Q194" s="380"/>
      <c r="R194" s="380"/>
      <c r="S194" s="380"/>
      <c r="T194" s="381"/>
      <c r="U194" s="380"/>
      <c r="V194" s="381"/>
      <c r="W194" s="382"/>
      <c r="X194" s="382"/>
      <c r="Y194" s="382"/>
      <c r="Z194" s="380"/>
      <c r="AA194" s="380"/>
      <c r="AB194" s="363">
        <f t="shared" si="4"/>
        <v>0</v>
      </c>
      <c r="AC194" s="363">
        <f t="shared" si="5"/>
        <v>0</v>
      </c>
      <c r="AD194" s="383"/>
    </row>
    <row r="195" spans="2:30">
      <c r="B195" s="392"/>
      <c r="C195" s="393"/>
      <c r="D195" s="377"/>
      <c r="E195" s="377"/>
      <c r="F195" s="377"/>
      <c r="G195" s="377"/>
      <c r="H195" s="377"/>
      <c r="I195" s="377"/>
      <c r="J195" s="377"/>
      <c r="K195" s="377"/>
      <c r="L195" s="377"/>
      <c r="M195" s="378"/>
      <c r="N195" s="379"/>
      <c r="O195" s="379"/>
      <c r="P195" s="380"/>
      <c r="Q195" s="380"/>
      <c r="R195" s="380"/>
      <c r="S195" s="380"/>
      <c r="T195" s="381"/>
      <c r="U195" s="380"/>
      <c r="V195" s="381"/>
      <c r="W195" s="382"/>
      <c r="X195" s="382"/>
      <c r="Y195" s="382"/>
      <c r="Z195" s="380"/>
      <c r="AA195" s="380"/>
      <c r="AB195" s="363">
        <f t="shared" si="4"/>
        <v>0</v>
      </c>
      <c r="AC195" s="363">
        <f t="shared" si="5"/>
        <v>0</v>
      </c>
      <c r="AD195" s="383"/>
    </row>
    <row r="196" spans="2:30">
      <c r="C196" s="377"/>
      <c r="D196" s="377"/>
      <c r="E196" s="377"/>
      <c r="F196" s="377"/>
      <c r="G196" s="377"/>
      <c r="H196" s="377"/>
      <c r="I196" s="377"/>
      <c r="J196" s="377"/>
      <c r="K196" s="377"/>
      <c r="L196" s="377"/>
      <c r="M196" s="378"/>
      <c r="N196" s="379"/>
      <c r="O196" s="379"/>
      <c r="P196" s="380"/>
      <c r="Q196" s="380"/>
      <c r="R196" s="380"/>
      <c r="S196" s="380"/>
      <c r="T196" s="381"/>
      <c r="U196" s="380"/>
      <c r="V196" s="381"/>
      <c r="W196" s="382"/>
      <c r="X196" s="382"/>
      <c r="Y196" s="382"/>
      <c r="Z196" s="380"/>
      <c r="AA196" s="380"/>
      <c r="AB196" s="363">
        <f t="shared" si="4"/>
        <v>0</v>
      </c>
      <c r="AC196" s="363">
        <f t="shared" si="5"/>
        <v>0</v>
      </c>
      <c r="AD196" s="383"/>
    </row>
    <row r="197" spans="2:30">
      <c r="C197" s="377"/>
      <c r="D197" s="377"/>
      <c r="E197" s="377"/>
      <c r="F197" s="377"/>
      <c r="G197" s="377"/>
      <c r="H197" s="377"/>
      <c r="I197" s="377"/>
      <c r="J197" s="377"/>
      <c r="K197" s="377"/>
      <c r="L197" s="377"/>
      <c r="M197" s="378"/>
      <c r="N197" s="379"/>
      <c r="O197" s="379"/>
      <c r="P197" s="380"/>
      <c r="Q197" s="380"/>
      <c r="R197" s="380"/>
      <c r="S197" s="380"/>
      <c r="T197" s="381"/>
      <c r="U197" s="380"/>
      <c r="V197" s="381"/>
      <c r="W197" s="382"/>
      <c r="X197" s="382"/>
      <c r="Y197" s="382"/>
      <c r="Z197" s="380"/>
      <c r="AA197" s="380"/>
      <c r="AB197" s="363">
        <f t="shared" si="4"/>
        <v>0</v>
      </c>
      <c r="AC197" s="363">
        <f t="shared" si="5"/>
        <v>0</v>
      </c>
      <c r="AD197" s="383"/>
    </row>
    <row r="198" spans="2:30">
      <c r="C198" s="377"/>
      <c r="D198" s="377"/>
      <c r="E198" s="377"/>
      <c r="F198" s="377"/>
      <c r="G198" s="377"/>
      <c r="H198" s="377"/>
      <c r="I198" s="377"/>
      <c r="J198" s="377"/>
      <c r="K198" s="377"/>
      <c r="L198" s="377"/>
      <c r="M198" s="378"/>
      <c r="N198" s="379"/>
      <c r="O198" s="379"/>
      <c r="P198" s="380"/>
      <c r="Q198" s="380"/>
      <c r="R198" s="380"/>
      <c r="S198" s="380"/>
      <c r="T198" s="381"/>
      <c r="U198" s="380"/>
      <c r="V198" s="381"/>
      <c r="W198" s="382"/>
      <c r="X198" s="382"/>
      <c r="Y198" s="382"/>
      <c r="Z198" s="380"/>
      <c r="AA198" s="380"/>
      <c r="AB198" s="363">
        <f t="shared" ref="AB198:AB235" si="6">V198-P198-Q198-R198-S198-U198</f>
        <v>0</v>
      </c>
      <c r="AC198" s="363">
        <f t="shared" ref="AC198:AC235" si="7">T198-SUM(Q198:S198)</f>
        <v>0</v>
      </c>
      <c r="AD198" s="383"/>
    </row>
    <row r="199" spans="2:30">
      <c r="C199" s="377"/>
      <c r="D199" s="377"/>
      <c r="E199" s="377"/>
      <c r="F199" s="377"/>
      <c r="G199" s="377"/>
      <c r="H199" s="377"/>
      <c r="I199" s="377"/>
      <c r="J199" s="377"/>
      <c r="K199" s="377"/>
      <c r="L199" s="377"/>
      <c r="M199" s="378"/>
      <c r="N199" s="379"/>
      <c r="O199" s="379"/>
      <c r="P199" s="380"/>
      <c r="Q199" s="380"/>
      <c r="R199" s="380"/>
      <c r="S199" s="380"/>
      <c r="T199" s="381"/>
      <c r="U199" s="380"/>
      <c r="V199" s="381"/>
      <c r="W199" s="382"/>
      <c r="X199" s="382"/>
      <c r="Y199" s="382"/>
      <c r="Z199" s="380"/>
      <c r="AA199" s="380"/>
      <c r="AB199" s="363">
        <f t="shared" si="6"/>
        <v>0</v>
      </c>
      <c r="AC199" s="363">
        <f t="shared" si="7"/>
        <v>0</v>
      </c>
      <c r="AD199" s="383"/>
    </row>
    <row r="200" spans="2:30">
      <c r="C200" s="377"/>
      <c r="D200" s="377"/>
      <c r="E200" s="377"/>
      <c r="F200" s="377"/>
      <c r="G200" s="377"/>
      <c r="H200" s="377"/>
      <c r="I200" s="377"/>
      <c r="J200" s="377"/>
      <c r="K200" s="377"/>
      <c r="L200" s="377"/>
      <c r="M200" s="378"/>
      <c r="N200" s="379"/>
      <c r="O200" s="379"/>
      <c r="P200" s="380"/>
      <c r="Q200" s="380"/>
      <c r="R200" s="380"/>
      <c r="S200" s="380"/>
      <c r="T200" s="381"/>
      <c r="U200" s="380"/>
      <c r="V200" s="381"/>
      <c r="W200" s="382"/>
      <c r="X200" s="382"/>
      <c r="Y200" s="382"/>
      <c r="Z200" s="380"/>
      <c r="AA200" s="380"/>
      <c r="AB200" s="363">
        <f t="shared" si="6"/>
        <v>0</v>
      </c>
      <c r="AC200" s="363">
        <f t="shared" si="7"/>
        <v>0</v>
      </c>
      <c r="AD200" s="383"/>
    </row>
    <row r="201" spans="2:30">
      <c r="C201" s="377"/>
      <c r="D201" s="377"/>
      <c r="E201" s="377"/>
      <c r="F201" s="377"/>
      <c r="G201" s="377"/>
      <c r="H201" s="377"/>
      <c r="I201" s="377"/>
      <c r="J201" s="377"/>
      <c r="K201" s="377"/>
      <c r="L201" s="377"/>
      <c r="M201" s="378"/>
      <c r="N201" s="379"/>
      <c r="O201" s="379"/>
      <c r="P201" s="380"/>
      <c r="Q201" s="380"/>
      <c r="R201" s="380"/>
      <c r="S201" s="380"/>
      <c r="T201" s="381"/>
      <c r="U201" s="380"/>
      <c r="V201" s="381"/>
      <c r="W201" s="382"/>
      <c r="X201" s="382"/>
      <c r="Y201" s="382"/>
      <c r="Z201" s="380"/>
      <c r="AA201" s="380"/>
      <c r="AB201" s="363">
        <f t="shared" si="6"/>
        <v>0</v>
      </c>
      <c r="AC201" s="363">
        <f t="shared" si="7"/>
        <v>0</v>
      </c>
      <c r="AD201" s="383"/>
    </row>
    <row r="202" spans="2:30">
      <c r="C202" s="377"/>
      <c r="D202" s="377"/>
      <c r="E202" s="377"/>
      <c r="F202" s="377"/>
      <c r="G202" s="377"/>
      <c r="H202" s="377"/>
      <c r="I202" s="377"/>
      <c r="J202" s="377"/>
      <c r="K202" s="377"/>
      <c r="L202" s="377"/>
      <c r="M202" s="378"/>
      <c r="N202" s="379"/>
      <c r="O202" s="379"/>
      <c r="P202" s="380"/>
      <c r="Q202" s="380"/>
      <c r="R202" s="380"/>
      <c r="S202" s="380"/>
      <c r="T202" s="381"/>
      <c r="U202" s="380"/>
      <c r="V202" s="381"/>
      <c r="W202" s="382"/>
      <c r="X202" s="382"/>
      <c r="Y202" s="382"/>
      <c r="Z202" s="380"/>
      <c r="AA202" s="380"/>
      <c r="AB202" s="363">
        <f t="shared" si="6"/>
        <v>0</v>
      </c>
      <c r="AC202" s="363">
        <f t="shared" si="7"/>
        <v>0</v>
      </c>
      <c r="AD202" s="383"/>
    </row>
    <row r="203" spans="2:30">
      <c r="C203" s="377"/>
      <c r="D203" s="377"/>
      <c r="E203" s="377"/>
      <c r="F203" s="377"/>
      <c r="G203" s="377"/>
      <c r="H203" s="377"/>
      <c r="I203" s="377"/>
      <c r="J203" s="377"/>
      <c r="K203" s="377"/>
      <c r="L203" s="377"/>
      <c r="M203" s="378"/>
      <c r="N203" s="379"/>
      <c r="O203" s="379"/>
      <c r="P203" s="380"/>
      <c r="Q203" s="380"/>
      <c r="R203" s="380"/>
      <c r="S203" s="380"/>
      <c r="T203" s="381"/>
      <c r="U203" s="380"/>
      <c r="V203" s="381"/>
      <c r="W203" s="382"/>
      <c r="X203" s="382"/>
      <c r="Y203" s="382"/>
      <c r="Z203" s="380"/>
      <c r="AA203" s="380"/>
      <c r="AB203" s="363">
        <f t="shared" si="6"/>
        <v>0</v>
      </c>
      <c r="AC203" s="363">
        <f t="shared" si="7"/>
        <v>0</v>
      </c>
      <c r="AD203" s="383"/>
    </row>
    <row r="204" spans="2:30">
      <c r="C204" s="377"/>
      <c r="D204" s="377"/>
      <c r="E204" s="377"/>
      <c r="F204" s="377"/>
      <c r="G204" s="377"/>
      <c r="H204" s="377"/>
      <c r="I204" s="377"/>
      <c r="J204" s="377"/>
      <c r="K204" s="377"/>
      <c r="L204" s="377"/>
      <c r="M204" s="378"/>
      <c r="N204" s="379"/>
      <c r="O204" s="379"/>
      <c r="P204" s="380"/>
      <c r="Q204" s="380"/>
      <c r="R204" s="380"/>
      <c r="S204" s="380"/>
      <c r="T204" s="381"/>
      <c r="U204" s="380"/>
      <c r="V204" s="381"/>
      <c r="W204" s="382"/>
      <c r="X204" s="382"/>
      <c r="Y204" s="382"/>
      <c r="Z204" s="380"/>
      <c r="AA204" s="380"/>
      <c r="AB204" s="363">
        <f t="shared" si="6"/>
        <v>0</v>
      </c>
      <c r="AC204" s="363">
        <f t="shared" si="7"/>
        <v>0</v>
      </c>
      <c r="AD204" s="383"/>
    </row>
    <row r="205" spans="2:30">
      <c r="C205" s="377"/>
      <c r="D205" s="377"/>
      <c r="E205" s="377"/>
      <c r="F205" s="377"/>
      <c r="G205" s="377"/>
      <c r="H205" s="377"/>
      <c r="I205" s="377"/>
      <c r="J205" s="377"/>
      <c r="K205" s="377"/>
      <c r="L205" s="377"/>
      <c r="M205" s="378"/>
      <c r="N205" s="379"/>
      <c r="O205" s="379"/>
      <c r="P205" s="380"/>
      <c r="Q205" s="380"/>
      <c r="R205" s="380"/>
      <c r="S205" s="380"/>
      <c r="T205" s="381"/>
      <c r="U205" s="380"/>
      <c r="V205" s="381"/>
      <c r="W205" s="382"/>
      <c r="X205" s="382"/>
      <c r="Y205" s="382"/>
      <c r="Z205" s="380"/>
      <c r="AA205" s="380"/>
      <c r="AB205" s="363">
        <f t="shared" si="6"/>
        <v>0</v>
      </c>
      <c r="AC205" s="363">
        <f t="shared" si="7"/>
        <v>0</v>
      </c>
      <c r="AD205" s="383"/>
    </row>
    <row r="206" spans="2:30">
      <c r="C206" s="377"/>
      <c r="D206" s="377"/>
      <c r="E206" s="377"/>
      <c r="F206" s="377"/>
      <c r="G206" s="377"/>
      <c r="H206" s="377"/>
      <c r="I206" s="377"/>
      <c r="J206" s="377"/>
      <c r="K206" s="377"/>
      <c r="L206" s="377"/>
      <c r="M206" s="378"/>
      <c r="N206" s="379"/>
      <c r="O206" s="379"/>
      <c r="P206" s="380"/>
      <c r="Q206" s="380"/>
      <c r="R206" s="380"/>
      <c r="S206" s="380"/>
      <c r="T206" s="381"/>
      <c r="U206" s="380"/>
      <c r="V206" s="381"/>
      <c r="W206" s="382"/>
      <c r="X206" s="382"/>
      <c r="Y206" s="382"/>
      <c r="Z206" s="380"/>
      <c r="AA206" s="380"/>
      <c r="AB206" s="363">
        <f t="shared" si="6"/>
        <v>0</v>
      </c>
      <c r="AC206" s="363">
        <f t="shared" si="7"/>
        <v>0</v>
      </c>
      <c r="AD206" s="383"/>
    </row>
    <row r="207" spans="2:30">
      <c r="C207" s="377"/>
      <c r="D207" s="377"/>
      <c r="E207" s="377"/>
      <c r="F207" s="377"/>
      <c r="G207" s="377"/>
      <c r="H207" s="377"/>
      <c r="I207" s="377"/>
      <c r="J207" s="377"/>
      <c r="K207" s="377"/>
      <c r="L207" s="377"/>
      <c r="M207" s="378"/>
      <c r="N207" s="379"/>
      <c r="O207" s="379"/>
      <c r="P207" s="380"/>
      <c r="Q207" s="380"/>
      <c r="R207" s="380"/>
      <c r="S207" s="380"/>
      <c r="T207" s="381"/>
      <c r="U207" s="380"/>
      <c r="V207" s="381"/>
      <c r="W207" s="382"/>
      <c r="X207" s="382"/>
      <c r="Y207" s="382"/>
      <c r="Z207" s="380"/>
      <c r="AA207" s="380"/>
      <c r="AB207" s="363">
        <f t="shared" si="6"/>
        <v>0</v>
      </c>
      <c r="AC207" s="363">
        <f t="shared" si="7"/>
        <v>0</v>
      </c>
      <c r="AD207" s="383"/>
    </row>
    <row r="208" spans="2:30">
      <c r="C208" s="377"/>
      <c r="D208" s="377"/>
      <c r="E208" s="377"/>
      <c r="F208" s="377"/>
      <c r="G208" s="377"/>
      <c r="H208" s="377"/>
      <c r="I208" s="377"/>
      <c r="J208" s="377"/>
      <c r="K208" s="377"/>
      <c r="L208" s="377"/>
      <c r="M208" s="378"/>
      <c r="N208" s="379"/>
      <c r="O208" s="379"/>
      <c r="P208" s="380"/>
      <c r="Q208" s="380"/>
      <c r="R208" s="380"/>
      <c r="S208" s="380"/>
      <c r="T208" s="381"/>
      <c r="U208" s="380"/>
      <c r="V208" s="381"/>
      <c r="W208" s="382"/>
      <c r="X208" s="382"/>
      <c r="Y208" s="382"/>
      <c r="Z208" s="380"/>
      <c r="AA208" s="380"/>
      <c r="AB208" s="363">
        <f t="shared" si="6"/>
        <v>0</v>
      </c>
      <c r="AC208" s="363">
        <f t="shared" si="7"/>
        <v>0</v>
      </c>
      <c r="AD208" s="383"/>
    </row>
    <row r="209" spans="3:30">
      <c r="C209" s="377"/>
      <c r="D209" s="377"/>
      <c r="E209" s="377"/>
      <c r="F209" s="377"/>
      <c r="G209" s="377"/>
      <c r="H209" s="377"/>
      <c r="I209" s="377"/>
      <c r="J209" s="377"/>
      <c r="K209" s="377"/>
      <c r="L209" s="377"/>
      <c r="M209" s="378"/>
      <c r="N209" s="379"/>
      <c r="O209" s="379"/>
      <c r="P209" s="380"/>
      <c r="Q209" s="380"/>
      <c r="R209" s="380"/>
      <c r="S209" s="380"/>
      <c r="T209" s="381"/>
      <c r="U209" s="380"/>
      <c r="V209" s="381"/>
      <c r="W209" s="382"/>
      <c r="X209" s="382"/>
      <c r="Y209" s="382"/>
      <c r="Z209" s="380"/>
      <c r="AA209" s="380"/>
      <c r="AB209" s="363">
        <f t="shared" si="6"/>
        <v>0</v>
      </c>
      <c r="AC209" s="363">
        <f t="shared" si="7"/>
        <v>0</v>
      </c>
      <c r="AD209" s="383"/>
    </row>
    <row r="210" spans="3:30">
      <c r="C210" s="377"/>
      <c r="D210" s="377"/>
      <c r="E210" s="377"/>
      <c r="F210" s="377"/>
      <c r="G210" s="377"/>
      <c r="H210" s="377"/>
      <c r="I210" s="377"/>
      <c r="J210" s="377"/>
      <c r="K210" s="377"/>
      <c r="L210" s="377"/>
      <c r="M210" s="378"/>
      <c r="N210" s="379"/>
      <c r="O210" s="379"/>
      <c r="P210" s="380"/>
      <c r="Q210" s="380"/>
      <c r="R210" s="380"/>
      <c r="S210" s="380"/>
      <c r="T210" s="381"/>
      <c r="U210" s="380"/>
      <c r="V210" s="381"/>
      <c r="W210" s="382"/>
      <c r="X210" s="382"/>
      <c r="Y210" s="382"/>
      <c r="Z210" s="380"/>
      <c r="AA210" s="380"/>
      <c r="AB210" s="363">
        <f t="shared" si="6"/>
        <v>0</v>
      </c>
      <c r="AC210" s="363">
        <f t="shared" si="7"/>
        <v>0</v>
      </c>
      <c r="AD210" s="383"/>
    </row>
    <row r="211" spans="3:30">
      <c r="C211" s="377"/>
      <c r="D211" s="377"/>
      <c r="E211" s="377"/>
      <c r="F211" s="377"/>
      <c r="G211" s="377"/>
      <c r="H211" s="377"/>
      <c r="I211" s="377"/>
      <c r="J211" s="377"/>
      <c r="K211" s="377"/>
      <c r="L211" s="377"/>
      <c r="M211" s="378"/>
      <c r="N211" s="379"/>
      <c r="O211" s="379"/>
      <c r="P211" s="380"/>
      <c r="Q211" s="380"/>
      <c r="R211" s="380"/>
      <c r="S211" s="380"/>
      <c r="T211" s="381"/>
      <c r="U211" s="380"/>
      <c r="V211" s="381"/>
      <c r="W211" s="382"/>
      <c r="X211" s="382"/>
      <c r="Y211" s="382"/>
      <c r="Z211" s="380"/>
      <c r="AA211" s="380"/>
      <c r="AB211" s="363">
        <f t="shared" si="6"/>
        <v>0</v>
      </c>
      <c r="AC211" s="363">
        <f t="shared" si="7"/>
        <v>0</v>
      </c>
      <c r="AD211" s="383"/>
    </row>
    <row r="212" spans="3:30">
      <c r="C212" s="377"/>
      <c r="D212" s="377"/>
      <c r="E212" s="377"/>
      <c r="F212" s="377"/>
      <c r="G212" s="377"/>
      <c r="H212" s="377"/>
      <c r="I212" s="377"/>
      <c r="J212" s="377"/>
      <c r="K212" s="377"/>
      <c r="L212" s="377"/>
      <c r="M212" s="378"/>
      <c r="N212" s="379"/>
      <c r="O212" s="379"/>
      <c r="P212" s="380"/>
      <c r="Q212" s="380"/>
      <c r="R212" s="380"/>
      <c r="S212" s="380"/>
      <c r="T212" s="381"/>
      <c r="U212" s="380"/>
      <c r="V212" s="381"/>
      <c r="W212" s="382"/>
      <c r="X212" s="382"/>
      <c r="Y212" s="382"/>
      <c r="Z212" s="380"/>
      <c r="AA212" s="380"/>
      <c r="AB212" s="363">
        <f t="shared" si="6"/>
        <v>0</v>
      </c>
      <c r="AC212" s="363">
        <f t="shared" si="7"/>
        <v>0</v>
      </c>
      <c r="AD212" s="383"/>
    </row>
    <row r="213" spans="3:30">
      <c r="C213" s="377"/>
      <c r="D213" s="377"/>
      <c r="E213" s="377"/>
      <c r="F213" s="377"/>
      <c r="G213" s="377"/>
      <c r="H213" s="377"/>
      <c r="I213" s="377"/>
      <c r="J213" s="377"/>
      <c r="K213" s="377"/>
      <c r="L213" s="377"/>
      <c r="M213" s="378"/>
      <c r="N213" s="379"/>
      <c r="O213" s="379"/>
      <c r="P213" s="380"/>
      <c r="Q213" s="380"/>
      <c r="R213" s="380"/>
      <c r="S213" s="380"/>
      <c r="T213" s="381"/>
      <c r="U213" s="380"/>
      <c r="V213" s="381"/>
      <c r="W213" s="382"/>
      <c r="X213" s="382"/>
      <c r="Y213" s="382"/>
      <c r="Z213" s="380"/>
      <c r="AA213" s="380"/>
      <c r="AB213" s="363">
        <f t="shared" si="6"/>
        <v>0</v>
      </c>
      <c r="AC213" s="363">
        <f t="shared" si="7"/>
        <v>0</v>
      </c>
      <c r="AD213" s="383"/>
    </row>
    <row r="214" spans="3:30">
      <c r="C214" s="377"/>
      <c r="D214" s="377"/>
      <c r="E214" s="377"/>
      <c r="F214" s="377"/>
      <c r="G214" s="377"/>
      <c r="H214" s="377"/>
      <c r="I214" s="377"/>
      <c r="J214" s="377"/>
      <c r="K214" s="377"/>
      <c r="L214" s="377"/>
      <c r="M214" s="378"/>
      <c r="N214" s="379"/>
      <c r="O214" s="379"/>
      <c r="P214" s="380"/>
      <c r="Q214" s="380"/>
      <c r="R214" s="380"/>
      <c r="S214" s="380"/>
      <c r="T214" s="381"/>
      <c r="U214" s="380"/>
      <c r="V214" s="381"/>
      <c r="W214" s="382"/>
      <c r="X214" s="382"/>
      <c r="Y214" s="382"/>
      <c r="Z214" s="380"/>
      <c r="AA214" s="380"/>
      <c r="AB214" s="363">
        <f t="shared" si="6"/>
        <v>0</v>
      </c>
      <c r="AC214" s="363">
        <f t="shared" si="7"/>
        <v>0</v>
      </c>
      <c r="AD214" s="383"/>
    </row>
    <row r="215" spans="3:30">
      <c r="C215" s="377"/>
      <c r="D215" s="377"/>
      <c r="E215" s="377"/>
      <c r="F215" s="377"/>
      <c r="G215" s="377"/>
      <c r="H215" s="377"/>
      <c r="I215" s="377"/>
      <c r="J215" s="377"/>
      <c r="K215" s="377"/>
      <c r="L215" s="377"/>
      <c r="M215" s="378"/>
      <c r="N215" s="379"/>
      <c r="O215" s="379"/>
      <c r="P215" s="380"/>
      <c r="Q215" s="380"/>
      <c r="R215" s="380"/>
      <c r="S215" s="380"/>
      <c r="T215" s="381"/>
      <c r="U215" s="380"/>
      <c r="V215" s="381"/>
      <c r="W215" s="382"/>
      <c r="X215" s="382"/>
      <c r="Y215" s="382"/>
      <c r="Z215" s="380"/>
      <c r="AA215" s="380"/>
      <c r="AB215" s="363">
        <f t="shared" si="6"/>
        <v>0</v>
      </c>
      <c r="AC215" s="363">
        <f t="shared" si="7"/>
        <v>0</v>
      </c>
      <c r="AD215" s="383"/>
    </row>
    <row r="216" spans="3:30">
      <c r="C216" s="377"/>
      <c r="D216" s="377"/>
      <c r="E216" s="377"/>
      <c r="F216" s="377"/>
      <c r="G216" s="377"/>
      <c r="H216" s="377"/>
      <c r="I216" s="377"/>
      <c r="J216" s="377"/>
      <c r="K216" s="377"/>
      <c r="L216" s="377"/>
      <c r="M216" s="378"/>
      <c r="N216" s="379"/>
      <c r="O216" s="379"/>
      <c r="P216" s="380"/>
      <c r="Q216" s="380"/>
      <c r="R216" s="380"/>
      <c r="S216" s="380"/>
      <c r="T216" s="381"/>
      <c r="U216" s="380"/>
      <c r="V216" s="381"/>
      <c r="W216" s="382"/>
      <c r="X216" s="382"/>
      <c r="Y216" s="382"/>
      <c r="Z216" s="380"/>
      <c r="AA216" s="380"/>
      <c r="AB216" s="363">
        <f t="shared" si="6"/>
        <v>0</v>
      </c>
      <c r="AC216" s="363">
        <f t="shared" si="7"/>
        <v>0</v>
      </c>
      <c r="AD216" s="383"/>
    </row>
    <row r="217" spans="3:30">
      <c r="C217" s="377"/>
      <c r="D217" s="377"/>
      <c r="E217" s="377"/>
      <c r="F217" s="377"/>
      <c r="G217" s="377"/>
      <c r="H217" s="377"/>
      <c r="I217" s="377"/>
      <c r="J217" s="377"/>
      <c r="K217" s="377"/>
      <c r="L217" s="377"/>
      <c r="M217" s="378"/>
      <c r="N217" s="379"/>
      <c r="O217" s="379"/>
      <c r="P217" s="380"/>
      <c r="Q217" s="380"/>
      <c r="R217" s="380"/>
      <c r="S217" s="380"/>
      <c r="T217" s="381"/>
      <c r="U217" s="380"/>
      <c r="V217" s="381"/>
      <c r="W217" s="382"/>
      <c r="X217" s="382"/>
      <c r="Y217" s="382"/>
      <c r="Z217" s="380"/>
      <c r="AA217" s="380"/>
      <c r="AB217" s="363">
        <f t="shared" si="6"/>
        <v>0</v>
      </c>
      <c r="AC217" s="363">
        <f t="shared" si="7"/>
        <v>0</v>
      </c>
      <c r="AD217" s="383"/>
    </row>
    <row r="218" spans="3:30">
      <c r="C218" s="377"/>
      <c r="D218" s="377"/>
      <c r="E218" s="377"/>
      <c r="F218" s="377"/>
      <c r="G218" s="377"/>
      <c r="H218" s="377"/>
      <c r="I218" s="377"/>
      <c r="J218" s="377"/>
      <c r="K218" s="377"/>
      <c r="L218" s="377"/>
      <c r="M218" s="378"/>
      <c r="N218" s="379"/>
      <c r="O218" s="379"/>
      <c r="P218" s="380"/>
      <c r="Q218" s="380"/>
      <c r="R218" s="380"/>
      <c r="S218" s="380"/>
      <c r="T218" s="381"/>
      <c r="U218" s="380"/>
      <c r="V218" s="381"/>
      <c r="W218" s="382"/>
      <c r="X218" s="382"/>
      <c r="Y218" s="382"/>
      <c r="Z218" s="380"/>
      <c r="AA218" s="380"/>
      <c r="AB218" s="363">
        <f t="shared" si="6"/>
        <v>0</v>
      </c>
      <c r="AC218" s="363">
        <f t="shared" si="7"/>
        <v>0</v>
      </c>
      <c r="AD218" s="383"/>
    </row>
    <row r="219" spans="3:30">
      <c r="C219" s="377"/>
      <c r="D219" s="377"/>
      <c r="E219" s="377"/>
      <c r="F219" s="377"/>
      <c r="G219" s="377"/>
      <c r="H219" s="377"/>
      <c r="I219" s="377"/>
      <c r="J219" s="377"/>
      <c r="K219" s="377"/>
      <c r="L219" s="377"/>
      <c r="M219" s="378"/>
      <c r="N219" s="379"/>
      <c r="O219" s="379"/>
      <c r="P219" s="380"/>
      <c r="Q219" s="380"/>
      <c r="R219" s="380"/>
      <c r="S219" s="380"/>
      <c r="T219" s="381"/>
      <c r="U219" s="380"/>
      <c r="V219" s="381"/>
      <c r="W219" s="382"/>
      <c r="X219" s="382"/>
      <c r="Y219" s="382"/>
      <c r="Z219" s="380"/>
      <c r="AA219" s="380"/>
      <c r="AB219" s="363">
        <f t="shared" si="6"/>
        <v>0</v>
      </c>
      <c r="AC219" s="363">
        <f t="shared" si="7"/>
        <v>0</v>
      </c>
      <c r="AD219" s="383"/>
    </row>
    <row r="220" spans="3:30">
      <c r="C220" s="377"/>
      <c r="D220" s="377"/>
      <c r="E220" s="377"/>
      <c r="F220" s="377"/>
      <c r="G220" s="377"/>
      <c r="H220" s="377"/>
      <c r="I220" s="377"/>
      <c r="J220" s="377"/>
      <c r="K220" s="377"/>
      <c r="L220" s="377"/>
      <c r="M220" s="378"/>
      <c r="N220" s="379"/>
      <c r="O220" s="379"/>
      <c r="P220" s="380"/>
      <c r="Q220" s="380"/>
      <c r="R220" s="380"/>
      <c r="S220" s="380"/>
      <c r="T220" s="381"/>
      <c r="U220" s="380"/>
      <c r="V220" s="381"/>
      <c r="W220" s="382"/>
      <c r="X220" s="382"/>
      <c r="Y220" s="382"/>
      <c r="Z220" s="380"/>
      <c r="AA220" s="380"/>
      <c r="AB220" s="363">
        <f t="shared" si="6"/>
        <v>0</v>
      </c>
      <c r="AC220" s="363">
        <f t="shared" si="7"/>
        <v>0</v>
      </c>
      <c r="AD220" s="383"/>
    </row>
    <row r="221" spans="3:30">
      <c r="C221" s="377"/>
      <c r="D221" s="377"/>
      <c r="E221" s="377"/>
      <c r="F221" s="377"/>
      <c r="G221" s="377"/>
      <c r="H221" s="377"/>
      <c r="I221" s="377"/>
      <c r="J221" s="377"/>
      <c r="K221" s="377"/>
      <c r="L221" s="377"/>
      <c r="M221" s="378"/>
      <c r="N221" s="379"/>
      <c r="O221" s="379"/>
      <c r="P221" s="380"/>
      <c r="Q221" s="380"/>
      <c r="R221" s="380"/>
      <c r="S221" s="380"/>
      <c r="T221" s="381"/>
      <c r="U221" s="380"/>
      <c r="V221" s="381"/>
      <c r="W221" s="382"/>
      <c r="X221" s="382"/>
      <c r="Y221" s="382"/>
      <c r="Z221" s="380"/>
      <c r="AA221" s="380"/>
      <c r="AB221" s="363">
        <f t="shared" si="6"/>
        <v>0</v>
      </c>
      <c r="AC221" s="363">
        <f t="shared" si="7"/>
        <v>0</v>
      </c>
      <c r="AD221" s="383"/>
    </row>
    <row r="222" spans="3:30">
      <c r="C222" s="377"/>
      <c r="D222" s="377"/>
      <c r="E222" s="377"/>
      <c r="F222" s="377"/>
      <c r="G222" s="377"/>
      <c r="H222" s="377"/>
      <c r="I222" s="377"/>
      <c r="J222" s="377"/>
      <c r="K222" s="377"/>
      <c r="L222" s="377"/>
      <c r="M222" s="378"/>
      <c r="N222" s="379"/>
      <c r="O222" s="379"/>
      <c r="P222" s="380"/>
      <c r="Q222" s="380"/>
      <c r="R222" s="380"/>
      <c r="S222" s="380"/>
      <c r="T222" s="381"/>
      <c r="U222" s="380"/>
      <c r="V222" s="381"/>
      <c r="W222" s="382"/>
      <c r="X222" s="382"/>
      <c r="Y222" s="382"/>
      <c r="Z222" s="380"/>
      <c r="AA222" s="380"/>
      <c r="AB222" s="363">
        <f t="shared" si="6"/>
        <v>0</v>
      </c>
      <c r="AC222" s="363">
        <f t="shared" si="7"/>
        <v>0</v>
      </c>
      <c r="AD222" s="383"/>
    </row>
    <row r="223" spans="3:30">
      <c r="C223" s="377"/>
      <c r="D223" s="377"/>
      <c r="E223" s="377"/>
      <c r="F223" s="377"/>
      <c r="G223" s="377"/>
      <c r="H223" s="377"/>
      <c r="I223" s="377"/>
      <c r="J223" s="377"/>
      <c r="K223" s="377"/>
      <c r="L223" s="377"/>
      <c r="M223" s="378"/>
      <c r="N223" s="379"/>
      <c r="O223" s="379"/>
      <c r="P223" s="380"/>
      <c r="Q223" s="380"/>
      <c r="R223" s="380"/>
      <c r="S223" s="380"/>
      <c r="T223" s="381"/>
      <c r="U223" s="380"/>
      <c r="V223" s="381"/>
      <c r="W223" s="382"/>
      <c r="X223" s="382"/>
      <c r="Y223" s="382"/>
      <c r="Z223" s="380"/>
      <c r="AA223" s="380"/>
      <c r="AB223" s="363">
        <f t="shared" si="6"/>
        <v>0</v>
      </c>
      <c r="AC223" s="363">
        <f t="shared" si="7"/>
        <v>0</v>
      </c>
      <c r="AD223" s="383"/>
    </row>
    <row r="224" spans="3:30">
      <c r="C224" s="377"/>
      <c r="D224" s="377"/>
      <c r="E224" s="377"/>
      <c r="F224" s="377"/>
      <c r="G224" s="377"/>
      <c r="H224" s="377"/>
      <c r="I224" s="377"/>
      <c r="J224" s="377"/>
      <c r="K224" s="377"/>
      <c r="L224" s="377"/>
      <c r="M224" s="378"/>
      <c r="N224" s="379"/>
      <c r="O224" s="379"/>
      <c r="P224" s="380"/>
      <c r="Q224" s="380"/>
      <c r="R224" s="380"/>
      <c r="S224" s="380"/>
      <c r="T224" s="381"/>
      <c r="U224" s="380"/>
      <c r="V224" s="381"/>
      <c r="W224" s="382"/>
      <c r="X224" s="382"/>
      <c r="Y224" s="382"/>
      <c r="Z224" s="380"/>
      <c r="AA224" s="380"/>
      <c r="AB224" s="363">
        <f t="shared" si="6"/>
        <v>0</v>
      </c>
      <c r="AC224" s="363">
        <f t="shared" si="7"/>
        <v>0</v>
      </c>
      <c r="AD224" s="383"/>
    </row>
    <row r="225" spans="3:30">
      <c r="C225" s="377"/>
      <c r="D225" s="377"/>
      <c r="E225" s="377"/>
      <c r="F225" s="377"/>
      <c r="G225" s="377"/>
      <c r="H225" s="377"/>
      <c r="I225" s="377"/>
      <c r="J225" s="377"/>
      <c r="K225" s="377"/>
      <c r="L225" s="377"/>
      <c r="M225" s="378"/>
      <c r="N225" s="379"/>
      <c r="O225" s="379"/>
      <c r="P225" s="380"/>
      <c r="Q225" s="380"/>
      <c r="R225" s="380"/>
      <c r="S225" s="380"/>
      <c r="T225" s="381"/>
      <c r="U225" s="380"/>
      <c r="V225" s="381"/>
      <c r="W225" s="382"/>
      <c r="X225" s="382"/>
      <c r="Y225" s="382"/>
      <c r="Z225" s="380"/>
      <c r="AA225" s="380"/>
      <c r="AB225" s="363">
        <f t="shared" si="6"/>
        <v>0</v>
      </c>
      <c r="AC225" s="363">
        <f t="shared" si="7"/>
        <v>0</v>
      </c>
      <c r="AD225" s="383"/>
    </row>
    <row r="226" spans="3:30">
      <c r="C226" s="377"/>
      <c r="D226" s="377"/>
      <c r="E226" s="377"/>
      <c r="F226" s="377"/>
      <c r="G226" s="377"/>
      <c r="H226" s="377"/>
      <c r="I226" s="377"/>
      <c r="J226" s="377"/>
      <c r="K226" s="377"/>
      <c r="L226" s="377"/>
      <c r="M226" s="378"/>
      <c r="N226" s="379"/>
      <c r="O226" s="379"/>
      <c r="P226" s="380"/>
      <c r="Q226" s="380"/>
      <c r="R226" s="380"/>
      <c r="S226" s="380"/>
      <c r="T226" s="381"/>
      <c r="U226" s="380"/>
      <c r="V226" s="381"/>
      <c r="W226" s="382"/>
      <c r="X226" s="382"/>
      <c r="Y226" s="382"/>
      <c r="Z226" s="380"/>
      <c r="AA226" s="380"/>
      <c r="AB226" s="363">
        <f t="shared" si="6"/>
        <v>0</v>
      </c>
      <c r="AC226" s="363">
        <f t="shared" si="7"/>
        <v>0</v>
      </c>
      <c r="AD226" s="383"/>
    </row>
    <row r="227" spans="3:30">
      <c r="C227" s="377"/>
      <c r="D227" s="377"/>
      <c r="E227" s="377"/>
      <c r="F227" s="377"/>
      <c r="G227" s="377"/>
      <c r="H227" s="377"/>
      <c r="I227" s="377"/>
      <c r="J227" s="377"/>
      <c r="K227" s="377"/>
      <c r="L227" s="377"/>
      <c r="M227" s="378"/>
      <c r="N227" s="379"/>
      <c r="O227" s="379"/>
      <c r="P227" s="380"/>
      <c r="Q227" s="380"/>
      <c r="R227" s="380"/>
      <c r="S227" s="380"/>
      <c r="T227" s="381"/>
      <c r="U227" s="380"/>
      <c r="V227" s="381"/>
      <c r="W227" s="382"/>
      <c r="X227" s="382"/>
      <c r="Y227" s="382"/>
      <c r="Z227" s="380"/>
      <c r="AA227" s="380"/>
      <c r="AB227" s="363">
        <f t="shared" si="6"/>
        <v>0</v>
      </c>
      <c r="AC227" s="363">
        <f t="shared" si="7"/>
        <v>0</v>
      </c>
      <c r="AD227" s="383"/>
    </row>
    <row r="228" spans="3:30">
      <c r="C228" s="377"/>
      <c r="D228" s="377"/>
      <c r="E228" s="377"/>
      <c r="F228" s="377"/>
      <c r="G228" s="377"/>
      <c r="H228" s="377"/>
      <c r="I228" s="377"/>
      <c r="J228" s="377"/>
      <c r="K228" s="377"/>
      <c r="L228" s="377"/>
      <c r="M228" s="378"/>
      <c r="N228" s="379"/>
      <c r="O228" s="379"/>
      <c r="P228" s="380"/>
      <c r="Q228" s="380"/>
      <c r="R228" s="380"/>
      <c r="S228" s="380"/>
      <c r="T228" s="381"/>
      <c r="U228" s="380"/>
      <c r="V228" s="381"/>
      <c r="W228" s="382"/>
      <c r="X228" s="382"/>
      <c r="Y228" s="382"/>
      <c r="Z228" s="380"/>
      <c r="AA228" s="380"/>
      <c r="AB228" s="363">
        <f t="shared" si="6"/>
        <v>0</v>
      </c>
      <c r="AC228" s="363">
        <f t="shared" si="7"/>
        <v>0</v>
      </c>
      <c r="AD228" s="383"/>
    </row>
    <row r="229" spans="3:30">
      <c r="C229" s="377"/>
      <c r="D229" s="377"/>
      <c r="E229" s="377"/>
      <c r="F229" s="377"/>
      <c r="G229" s="377"/>
      <c r="H229" s="377"/>
      <c r="I229" s="377"/>
      <c r="J229" s="377"/>
      <c r="K229" s="377"/>
      <c r="L229" s="377"/>
      <c r="M229" s="378"/>
      <c r="N229" s="379"/>
      <c r="O229" s="379"/>
      <c r="P229" s="380"/>
      <c r="Q229" s="380"/>
      <c r="R229" s="380"/>
      <c r="S229" s="380"/>
      <c r="T229" s="381"/>
      <c r="U229" s="380"/>
      <c r="V229" s="381"/>
      <c r="W229" s="382"/>
      <c r="X229" s="382"/>
      <c r="Y229" s="382"/>
      <c r="Z229" s="380"/>
      <c r="AA229" s="380"/>
      <c r="AB229" s="363">
        <f t="shared" si="6"/>
        <v>0</v>
      </c>
      <c r="AC229" s="363">
        <f t="shared" si="7"/>
        <v>0</v>
      </c>
      <c r="AD229" s="383"/>
    </row>
    <row r="230" spans="3:30">
      <c r="C230" s="377"/>
      <c r="D230" s="377"/>
      <c r="E230" s="377"/>
      <c r="F230" s="377"/>
      <c r="G230" s="377"/>
      <c r="H230" s="377"/>
      <c r="I230" s="377"/>
      <c r="J230" s="377"/>
      <c r="K230" s="377"/>
      <c r="L230" s="377"/>
      <c r="M230" s="378"/>
      <c r="N230" s="379"/>
      <c r="O230" s="379"/>
      <c r="P230" s="380"/>
      <c r="Q230" s="380"/>
      <c r="R230" s="380"/>
      <c r="S230" s="380"/>
      <c r="T230" s="381"/>
      <c r="U230" s="380"/>
      <c r="V230" s="381"/>
      <c r="W230" s="382"/>
      <c r="X230" s="382"/>
      <c r="Y230" s="382"/>
      <c r="Z230" s="380"/>
      <c r="AA230" s="380"/>
      <c r="AB230" s="363">
        <f t="shared" si="6"/>
        <v>0</v>
      </c>
      <c r="AC230" s="363">
        <f t="shared" si="7"/>
        <v>0</v>
      </c>
      <c r="AD230" s="383"/>
    </row>
    <row r="231" spans="3:30">
      <c r="C231" s="377"/>
      <c r="D231" s="377"/>
      <c r="E231" s="377"/>
      <c r="F231" s="377"/>
      <c r="G231" s="377"/>
      <c r="H231" s="377"/>
      <c r="I231" s="377"/>
      <c r="J231" s="377"/>
      <c r="K231" s="377"/>
      <c r="L231" s="377"/>
      <c r="M231" s="378"/>
      <c r="N231" s="379"/>
      <c r="O231" s="379"/>
      <c r="P231" s="380"/>
      <c r="Q231" s="380"/>
      <c r="R231" s="380"/>
      <c r="S231" s="380"/>
      <c r="T231" s="381"/>
      <c r="U231" s="380"/>
      <c r="V231" s="381"/>
      <c r="W231" s="382"/>
      <c r="X231" s="382"/>
      <c r="Y231" s="382"/>
      <c r="Z231" s="380"/>
      <c r="AA231" s="380"/>
      <c r="AB231" s="363">
        <f t="shared" si="6"/>
        <v>0</v>
      </c>
      <c r="AC231" s="363">
        <f t="shared" si="7"/>
        <v>0</v>
      </c>
      <c r="AD231" s="383"/>
    </row>
    <row r="232" spans="3:30">
      <c r="C232" s="377"/>
      <c r="D232" s="377"/>
      <c r="E232" s="377"/>
      <c r="F232" s="377"/>
      <c r="G232" s="377"/>
      <c r="H232" s="377"/>
      <c r="I232" s="377"/>
      <c r="J232" s="377"/>
      <c r="K232" s="377"/>
      <c r="L232" s="377"/>
      <c r="M232" s="378"/>
      <c r="N232" s="379"/>
      <c r="O232" s="379"/>
      <c r="P232" s="380"/>
      <c r="Q232" s="380"/>
      <c r="R232" s="380"/>
      <c r="S232" s="380"/>
      <c r="T232" s="381"/>
      <c r="U232" s="380"/>
      <c r="V232" s="381"/>
      <c r="W232" s="382"/>
      <c r="X232" s="382"/>
      <c r="Y232" s="382"/>
      <c r="Z232" s="380"/>
      <c r="AA232" s="380"/>
      <c r="AB232" s="363">
        <f t="shared" si="6"/>
        <v>0</v>
      </c>
      <c r="AC232" s="363">
        <f t="shared" si="7"/>
        <v>0</v>
      </c>
      <c r="AD232" s="383"/>
    </row>
    <row r="233" spans="3:30">
      <c r="C233" s="377"/>
      <c r="D233" s="377"/>
      <c r="E233" s="377"/>
      <c r="F233" s="377"/>
      <c r="G233" s="377"/>
      <c r="H233" s="377"/>
      <c r="I233" s="377"/>
      <c r="J233" s="377"/>
      <c r="K233" s="377"/>
      <c r="L233" s="377"/>
      <c r="M233" s="378"/>
      <c r="N233" s="379"/>
      <c r="O233" s="379"/>
      <c r="P233" s="380"/>
      <c r="Q233" s="380"/>
      <c r="R233" s="380"/>
      <c r="S233" s="380"/>
      <c r="T233" s="381"/>
      <c r="U233" s="380"/>
      <c r="V233" s="381"/>
      <c r="W233" s="382"/>
      <c r="X233" s="382"/>
      <c r="Y233" s="382"/>
      <c r="Z233" s="380"/>
      <c r="AA233" s="380"/>
      <c r="AB233" s="363">
        <f t="shared" si="6"/>
        <v>0</v>
      </c>
      <c r="AC233" s="363">
        <f t="shared" si="7"/>
        <v>0</v>
      </c>
      <c r="AD233" s="383"/>
    </row>
    <row r="234" spans="3:30">
      <c r="C234" s="377"/>
      <c r="D234" s="377"/>
      <c r="E234" s="377"/>
      <c r="F234" s="377"/>
      <c r="G234" s="377"/>
      <c r="H234" s="377"/>
      <c r="I234" s="377"/>
      <c r="J234" s="377"/>
      <c r="K234" s="377"/>
      <c r="L234" s="377"/>
      <c r="M234" s="378"/>
      <c r="N234" s="379"/>
      <c r="O234" s="379"/>
      <c r="P234" s="380"/>
      <c r="Q234" s="380"/>
      <c r="R234" s="380"/>
      <c r="S234" s="380"/>
      <c r="T234" s="381"/>
      <c r="U234" s="380"/>
      <c r="V234" s="381"/>
      <c r="W234" s="382"/>
      <c r="X234" s="382"/>
      <c r="Y234" s="382"/>
      <c r="Z234" s="380"/>
      <c r="AA234" s="380"/>
      <c r="AB234" s="363">
        <f t="shared" si="6"/>
        <v>0</v>
      </c>
      <c r="AC234" s="363">
        <f t="shared" si="7"/>
        <v>0</v>
      </c>
      <c r="AD234" s="383"/>
    </row>
    <row r="235" spans="3:30">
      <c r="C235" s="377"/>
      <c r="D235" s="377"/>
      <c r="E235" s="377"/>
      <c r="F235" s="377"/>
      <c r="G235" s="377"/>
      <c r="H235" s="377"/>
      <c r="I235" s="377"/>
      <c r="J235" s="377"/>
      <c r="K235" s="377"/>
      <c r="L235" s="377"/>
      <c r="M235" s="378"/>
      <c r="N235" s="379"/>
      <c r="O235" s="379"/>
      <c r="P235" s="380"/>
      <c r="Q235" s="380"/>
      <c r="R235" s="380"/>
      <c r="S235" s="380"/>
      <c r="T235" s="381"/>
      <c r="U235" s="380"/>
      <c r="V235" s="381"/>
      <c r="W235" s="382"/>
      <c r="X235" s="382"/>
      <c r="Y235" s="382"/>
      <c r="Z235" s="380"/>
      <c r="AA235" s="380"/>
      <c r="AB235" s="363">
        <f t="shared" si="6"/>
        <v>0</v>
      </c>
      <c r="AC235" s="363">
        <f t="shared" si="7"/>
        <v>0</v>
      </c>
      <c r="AD235" s="383"/>
    </row>
    <row r="236" spans="3:30">
      <c r="C236" s="377"/>
      <c r="D236" s="377"/>
      <c r="E236" s="377"/>
      <c r="F236" s="377"/>
      <c r="G236" s="377"/>
      <c r="H236" s="377"/>
      <c r="I236" s="377"/>
      <c r="J236" s="377"/>
      <c r="K236" s="377"/>
      <c r="L236" s="377"/>
      <c r="M236" s="378"/>
      <c r="N236" s="379"/>
      <c r="O236" s="379"/>
      <c r="P236" s="380"/>
      <c r="Q236" s="380"/>
      <c r="R236" s="380"/>
      <c r="S236" s="380"/>
      <c r="T236" s="381"/>
      <c r="U236" s="380"/>
      <c r="V236" s="381"/>
      <c r="W236" s="382"/>
      <c r="X236" s="382"/>
      <c r="Y236" s="382"/>
      <c r="Z236" s="380"/>
      <c r="AA236" s="380"/>
      <c r="AB236" s="363">
        <f t="shared" ref="AB236:AB242" si="8">V236-P236-Q236-R236-S236-U236</f>
        <v>0</v>
      </c>
      <c r="AC236" s="363">
        <f t="shared" ref="AC236:AC242" si="9">T236-SUM(Q236:S236)</f>
        <v>0</v>
      </c>
      <c r="AD236" s="383"/>
    </row>
    <row r="237" spans="3:30">
      <c r="C237" s="377"/>
      <c r="D237" s="377"/>
      <c r="E237" s="377"/>
      <c r="F237" s="377"/>
      <c r="G237" s="377"/>
      <c r="H237" s="377"/>
      <c r="I237" s="377"/>
      <c r="J237" s="377"/>
      <c r="K237" s="377"/>
      <c r="L237" s="377"/>
      <c r="M237" s="378"/>
      <c r="N237" s="379"/>
      <c r="O237" s="379"/>
      <c r="P237" s="380"/>
      <c r="Q237" s="380"/>
      <c r="R237" s="380"/>
      <c r="S237" s="380"/>
      <c r="T237" s="381"/>
      <c r="U237" s="380"/>
      <c r="V237" s="381"/>
      <c r="W237" s="382"/>
      <c r="X237" s="382"/>
      <c r="Y237" s="382"/>
      <c r="Z237" s="380"/>
      <c r="AA237" s="380"/>
      <c r="AB237" s="363">
        <f t="shared" si="8"/>
        <v>0</v>
      </c>
      <c r="AC237" s="363">
        <f t="shared" si="9"/>
        <v>0</v>
      </c>
      <c r="AD237" s="383"/>
    </row>
    <row r="238" spans="3:30">
      <c r="C238" s="377"/>
      <c r="D238" s="377"/>
      <c r="E238" s="377"/>
      <c r="F238" s="377"/>
      <c r="G238" s="377"/>
      <c r="H238" s="377"/>
      <c r="I238" s="377"/>
      <c r="J238" s="377"/>
      <c r="K238" s="377"/>
      <c r="L238" s="377"/>
      <c r="M238" s="378"/>
      <c r="N238" s="379"/>
      <c r="O238" s="379"/>
      <c r="P238" s="380"/>
      <c r="Q238" s="380"/>
      <c r="R238" s="380"/>
      <c r="S238" s="380"/>
      <c r="T238" s="381"/>
      <c r="U238" s="380"/>
      <c r="V238" s="381"/>
      <c r="W238" s="382"/>
      <c r="X238" s="382"/>
      <c r="Y238" s="382"/>
      <c r="Z238" s="380"/>
      <c r="AA238" s="380"/>
      <c r="AB238" s="363">
        <f t="shared" si="8"/>
        <v>0</v>
      </c>
      <c r="AC238" s="363">
        <f t="shared" si="9"/>
        <v>0</v>
      </c>
      <c r="AD238" s="383"/>
    </row>
    <row r="239" spans="3:30">
      <c r="C239" s="377"/>
      <c r="D239" s="377"/>
      <c r="E239" s="377"/>
      <c r="F239" s="377"/>
      <c r="G239" s="377"/>
      <c r="H239" s="377"/>
      <c r="I239" s="377"/>
      <c r="J239" s="377"/>
      <c r="K239" s="377"/>
      <c r="L239" s="377"/>
      <c r="M239" s="378"/>
      <c r="N239" s="379"/>
      <c r="O239" s="379"/>
      <c r="P239" s="380"/>
      <c r="Q239" s="380"/>
      <c r="R239" s="380"/>
      <c r="S239" s="380"/>
      <c r="T239" s="381"/>
      <c r="U239" s="380"/>
      <c r="V239" s="381"/>
      <c r="W239" s="382"/>
      <c r="X239" s="382"/>
      <c r="Y239" s="382"/>
      <c r="Z239" s="380"/>
      <c r="AA239" s="380"/>
      <c r="AB239" s="363">
        <f t="shared" si="8"/>
        <v>0</v>
      </c>
      <c r="AC239" s="363">
        <f t="shared" si="9"/>
        <v>0</v>
      </c>
      <c r="AD239" s="383"/>
    </row>
    <row r="240" spans="3:30">
      <c r="C240" s="377"/>
      <c r="D240" s="377"/>
      <c r="E240" s="377"/>
      <c r="F240" s="377"/>
      <c r="G240" s="377"/>
      <c r="H240" s="377"/>
      <c r="I240" s="377"/>
      <c r="J240" s="377"/>
      <c r="K240" s="377"/>
      <c r="L240" s="377"/>
      <c r="M240" s="378"/>
      <c r="N240" s="379"/>
      <c r="O240" s="379"/>
      <c r="P240" s="380"/>
      <c r="Q240" s="380"/>
      <c r="R240" s="380"/>
      <c r="S240" s="380"/>
      <c r="T240" s="381"/>
      <c r="U240" s="380"/>
      <c r="V240" s="381"/>
      <c r="W240" s="382"/>
      <c r="X240" s="382"/>
      <c r="Y240" s="382"/>
      <c r="Z240" s="380"/>
      <c r="AA240" s="380"/>
      <c r="AB240" s="363">
        <f t="shared" si="8"/>
        <v>0</v>
      </c>
      <c r="AC240" s="363">
        <f t="shared" si="9"/>
        <v>0</v>
      </c>
      <c r="AD240" s="383"/>
    </row>
    <row r="241" spans="3:30">
      <c r="C241" s="377"/>
      <c r="D241" s="377"/>
      <c r="E241" s="377"/>
      <c r="F241" s="377"/>
      <c r="G241" s="377"/>
      <c r="H241" s="377"/>
      <c r="I241" s="377"/>
      <c r="J241" s="377"/>
      <c r="K241" s="377"/>
      <c r="L241" s="377"/>
      <c r="M241" s="378"/>
      <c r="N241" s="379"/>
      <c r="O241" s="379"/>
      <c r="P241" s="380"/>
      <c r="Q241" s="380"/>
      <c r="R241" s="380"/>
      <c r="S241" s="380"/>
      <c r="T241" s="381"/>
      <c r="U241" s="380"/>
      <c r="V241" s="381"/>
      <c r="W241" s="382"/>
      <c r="X241" s="382"/>
      <c r="Y241" s="382"/>
      <c r="Z241" s="380"/>
      <c r="AA241" s="380"/>
      <c r="AB241" s="363">
        <f t="shared" si="8"/>
        <v>0</v>
      </c>
      <c r="AC241" s="363">
        <f t="shared" si="9"/>
        <v>0</v>
      </c>
      <c r="AD241" s="383"/>
    </row>
    <row r="242" spans="3:30">
      <c r="C242" s="377"/>
      <c r="D242" s="377"/>
      <c r="E242" s="377"/>
      <c r="F242" s="377"/>
      <c r="G242" s="377"/>
      <c r="H242" s="377"/>
      <c r="I242" s="377"/>
      <c r="J242" s="377"/>
      <c r="K242" s="377"/>
      <c r="L242" s="377"/>
      <c r="M242" s="378"/>
      <c r="N242" s="379"/>
      <c r="O242" s="379"/>
      <c r="P242" s="380"/>
      <c r="Q242" s="380"/>
      <c r="R242" s="380"/>
      <c r="S242" s="380"/>
      <c r="T242" s="381"/>
      <c r="U242" s="380"/>
      <c r="V242" s="381"/>
      <c r="W242" s="382"/>
      <c r="X242" s="382"/>
      <c r="Y242" s="382"/>
      <c r="Z242" s="380"/>
      <c r="AA242" s="380"/>
      <c r="AB242" s="363">
        <f t="shared" si="8"/>
        <v>0</v>
      </c>
      <c r="AC242" s="363">
        <f t="shared" si="9"/>
        <v>0</v>
      </c>
      <c r="AD242" s="383"/>
    </row>
    <row r="243" spans="3:30">
      <c r="C243" s="377"/>
      <c r="D243" s="377"/>
      <c r="E243" s="377"/>
      <c r="F243" s="377"/>
      <c r="G243" s="377"/>
      <c r="H243" s="377"/>
      <c r="I243" s="377"/>
      <c r="J243" s="377"/>
      <c r="K243" s="377"/>
      <c r="L243" s="377"/>
      <c r="M243" s="378"/>
      <c r="N243" s="379"/>
      <c r="O243" s="379"/>
      <c r="P243" s="380"/>
      <c r="Q243" s="380"/>
      <c r="R243" s="380"/>
      <c r="S243" s="380"/>
      <c r="T243" s="381"/>
      <c r="U243" s="380"/>
      <c r="V243" s="381"/>
      <c r="W243" s="382"/>
      <c r="X243" s="382"/>
      <c r="Y243" s="382"/>
      <c r="Z243" s="380"/>
      <c r="AA243" s="380"/>
      <c r="AB243" s="363">
        <f t="shared" ref="AB243:AB248" si="10">V243-P243-Q243-R243-S243-U243</f>
        <v>0</v>
      </c>
      <c r="AC243" s="363">
        <f t="shared" ref="AC243:AC248" si="11">T243-SUM(Q243:S243)</f>
        <v>0</v>
      </c>
      <c r="AD243" s="383"/>
    </row>
    <row r="244" spans="3:30">
      <c r="C244" s="377"/>
      <c r="D244" s="377"/>
      <c r="E244" s="377"/>
      <c r="F244" s="377"/>
      <c r="G244" s="377"/>
      <c r="H244" s="377"/>
      <c r="I244" s="377"/>
      <c r="J244" s="377"/>
      <c r="K244" s="377"/>
      <c r="L244" s="377"/>
      <c r="M244" s="378"/>
      <c r="N244" s="379"/>
      <c r="O244" s="379"/>
      <c r="P244" s="380"/>
      <c r="Q244" s="380"/>
      <c r="R244" s="380"/>
      <c r="S244" s="380"/>
      <c r="T244" s="381"/>
      <c r="U244" s="380"/>
      <c r="V244" s="381"/>
      <c r="W244" s="382"/>
      <c r="X244" s="382"/>
      <c r="Y244" s="382"/>
      <c r="Z244" s="380"/>
      <c r="AA244" s="380"/>
      <c r="AB244" s="363">
        <f t="shared" si="10"/>
        <v>0</v>
      </c>
      <c r="AC244" s="363">
        <f t="shared" si="11"/>
        <v>0</v>
      </c>
      <c r="AD244" s="383"/>
    </row>
    <row r="245" spans="3:30">
      <c r="C245" s="377"/>
      <c r="D245" s="377"/>
      <c r="E245" s="377"/>
      <c r="F245" s="377"/>
      <c r="G245" s="377"/>
      <c r="H245" s="377"/>
      <c r="I245" s="377"/>
      <c r="J245" s="377"/>
      <c r="K245" s="377"/>
      <c r="L245" s="377"/>
      <c r="M245" s="378"/>
      <c r="N245" s="379"/>
      <c r="O245" s="379"/>
      <c r="P245" s="380"/>
      <c r="Q245" s="380"/>
      <c r="R245" s="380"/>
      <c r="S245" s="380"/>
      <c r="T245" s="381"/>
      <c r="U245" s="380"/>
      <c r="V245" s="381"/>
      <c r="W245" s="382"/>
      <c r="X245" s="382"/>
      <c r="Y245" s="382"/>
      <c r="Z245" s="380"/>
      <c r="AA245" s="380"/>
      <c r="AB245" s="363">
        <f t="shared" si="10"/>
        <v>0</v>
      </c>
      <c r="AC245" s="363">
        <f t="shared" si="11"/>
        <v>0</v>
      </c>
      <c r="AD245" s="383"/>
    </row>
    <row r="246" spans="3:30">
      <c r="C246" s="377"/>
      <c r="D246" s="377"/>
      <c r="E246" s="377"/>
      <c r="F246" s="377"/>
      <c r="G246" s="377"/>
      <c r="H246" s="377"/>
      <c r="I246" s="377"/>
      <c r="J246" s="377"/>
      <c r="K246" s="377"/>
      <c r="L246" s="377"/>
      <c r="M246" s="378"/>
      <c r="N246" s="379"/>
      <c r="O246" s="379"/>
      <c r="P246" s="380"/>
      <c r="Q246" s="380"/>
      <c r="R246" s="380"/>
      <c r="S246" s="380"/>
      <c r="T246" s="381"/>
      <c r="U246" s="380"/>
      <c r="V246" s="381"/>
      <c r="W246" s="382"/>
      <c r="X246" s="382"/>
      <c r="Y246" s="382"/>
      <c r="Z246" s="380"/>
      <c r="AA246" s="380"/>
      <c r="AB246" s="363">
        <f t="shared" si="10"/>
        <v>0</v>
      </c>
      <c r="AC246" s="363">
        <f t="shared" si="11"/>
        <v>0</v>
      </c>
      <c r="AD246" s="383"/>
    </row>
    <row r="247" spans="3:30">
      <c r="C247" s="377"/>
      <c r="D247" s="377"/>
      <c r="E247" s="377"/>
      <c r="F247" s="377"/>
      <c r="G247" s="377"/>
      <c r="H247" s="377"/>
      <c r="I247" s="377"/>
      <c r="J247" s="377"/>
      <c r="K247" s="377"/>
      <c r="L247" s="377"/>
      <c r="M247" s="378"/>
      <c r="N247" s="379"/>
      <c r="O247" s="379"/>
      <c r="P247" s="380"/>
      <c r="Q247" s="380"/>
      <c r="R247" s="380"/>
      <c r="S247" s="380"/>
      <c r="T247" s="381"/>
      <c r="U247" s="380"/>
      <c r="V247" s="381"/>
      <c r="W247" s="382"/>
      <c r="X247" s="382"/>
      <c r="Y247" s="382"/>
      <c r="Z247" s="380"/>
      <c r="AA247" s="380"/>
      <c r="AB247" s="363">
        <f t="shared" si="10"/>
        <v>0</v>
      </c>
      <c r="AC247" s="363">
        <f t="shared" si="11"/>
        <v>0</v>
      </c>
      <c r="AD247" s="383"/>
    </row>
    <row r="248" spans="3:30">
      <c r="C248" s="377"/>
      <c r="D248" s="377"/>
      <c r="E248" s="377"/>
      <c r="F248" s="377"/>
      <c r="G248" s="377"/>
      <c r="H248" s="377"/>
      <c r="I248" s="377"/>
      <c r="J248" s="377"/>
      <c r="K248" s="377"/>
      <c r="L248" s="377"/>
      <c r="M248" s="378"/>
      <c r="N248" s="379"/>
      <c r="O248" s="379"/>
      <c r="P248" s="380"/>
      <c r="Q248" s="380"/>
      <c r="R248" s="380"/>
      <c r="S248" s="380"/>
      <c r="T248" s="381"/>
      <c r="U248" s="380"/>
      <c r="V248" s="381"/>
      <c r="W248" s="382"/>
      <c r="X248" s="382"/>
      <c r="Y248" s="382"/>
      <c r="Z248" s="380"/>
      <c r="AA248" s="380"/>
      <c r="AB248" s="363">
        <f t="shared" si="10"/>
        <v>0</v>
      </c>
      <c r="AC248" s="363">
        <f t="shared" si="11"/>
        <v>0</v>
      </c>
      <c r="AD248" s="383"/>
    </row>
    <row r="249" spans="3:30">
      <c r="C249" s="377"/>
      <c r="D249" s="377"/>
      <c r="E249" s="377"/>
      <c r="F249" s="377"/>
      <c r="G249" s="377"/>
      <c r="H249" s="377"/>
      <c r="I249" s="377"/>
      <c r="J249" s="377"/>
      <c r="K249" s="377"/>
      <c r="L249" s="377"/>
      <c r="M249" s="378"/>
      <c r="N249" s="379"/>
      <c r="O249" s="379"/>
      <c r="P249" s="380"/>
      <c r="Q249" s="380"/>
      <c r="R249" s="380"/>
      <c r="S249" s="380"/>
      <c r="T249" s="381"/>
      <c r="U249" s="380"/>
      <c r="V249" s="381"/>
      <c r="W249" s="382"/>
      <c r="X249" s="382"/>
      <c r="Y249" s="382"/>
      <c r="Z249" s="380"/>
      <c r="AA249" s="380"/>
      <c r="AB249" s="363">
        <f t="shared" ref="AB249:AB278" si="12">V249-P249-Q249-R249-S249-U249</f>
        <v>0</v>
      </c>
      <c r="AC249" s="363">
        <f t="shared" ref="AC249:AC278" si="13">T249-SUM(Q249:S249)</f>
        <v>0</v>
      </c>
      <c r="AD249" s="383"/>
    </row>
    <row r="250" spans="3:30">
      <c r="C250" s="377"/>
      <c r="D250" s="377"/>
      <c r="E250" s="377"/>
      <c r="F250" s="377"/>
      <c r="G250" s="377"/>
      <c r="H250" s="377"/>
      <c r="I250" s="377"/>
      <c r="J250" s="377"/>
      <c r="K250" s="377"/>
      <c r="L250" s="377"/>
      <c r="M250" s="378"/>
      <c r="N250" s="379"/>
      <c r="O250" s="379"/>
      <c r="P250" s="380"/>
      <c r="Q250" s="380"/>
      <c r="R250" s="380"/>
      <c r="S250" s="380"/>
      <c r="T250" s="381"/>
      <c r="U250" s="380"/>
      <c r="V250" s="381"/>
      <c r="W250" s="382"/>
      <c r="X250" s="382"/>
      <c r="Y250" s="382"/>
      <c r="Z250" s="380"/>
      <c r="AA250" s="380"/>
      <c r="AB250" s="363">
        <f t="shared" si="12"/>
        <v>0</v>
      </c>
      <c r="AC250" s="363">
        <f t="shared" si="13"/>
        <v>0</v>
      </c>
      <c r="AD250" s="383"/>
    </row>
    <row r="251" spans="3:30">
      <c r="C251" s="377"/>
      <c r="D251" s="377"/>
      <c r="E251" s="377"/>
      <c r="F251" s="377"/>
      <c r="G251" s="377"/>
      <c r="H251" s="377"/>
      <c r="I251" s="377"/>
      <c r="J251" s="377"/>
      <c r="K251" s="377"/>
      <c r="L251" s="377"/>
      <c r="M251" s="378"/>
      <c r="N251" s="379"/>
      <c r="O251" s="379"/>
      <c r="P251" s="380"/>
      <c r="Q251" s="380"/>
      <c r="R251" s="380"/>
      <c r="S251" s="380"/>
      <c r="T251" s="381"/>
      <c r="U251" s="380"/>
      <c r="V251" s="381"/>
      <c r="W251" s="382"/>
      <c r="X251" s="382"/>
      <c r="Y251" s="382"/>
      <c r="Z251" s="380"/>
      <c r="AA251" s="380"/>
      <c r="AB251" s="363">
        <f t="shared" si="12"/>
        <v>0</v>
      </c>
      <c r="AC251" s="363">
        <f t="shared" si="13"/>
        <v>0</v>
      </c>
      <c r="AD251" s="383"/>
    </row>
    <row r="252" spans="3:30">
      <c r="C252" s="377"/>
      <c r="D252" s="377"/>
      <c r="E252" s="377"/>
      <c r="F252" s="377"/>
      <c r="G252" s="377"/>
      <c r="H252" s="377"/>
      <c r="I252" s="377"/>
      <c r="J252" s="377"/>
      <c r="K252" s="377"/>
      <c r="L252" s="377"/>
      <c r="M252" s="378"/>
      <c r="N252" s="379"/>
      <c r="O252" s="379"/>
      <c r="P252" s="380"/>
      <c r="Q252" s="380"/>
      <c r="R252" s="380"/>
      <c r="S252" s="380"/>
      <c r="T252" s="381"/>
      <c r="U252" s="380"/>
      <c r="V252" s="381"/>
      <c r="W252" s="382"/>
      <c r="X252" s="382"/>
      <c r="Y252" s="382"/>
      <c r="Z252" s="380"/>
      <c r="AA252" s="380"/>
      <c r="AB252" s="363">
        <f t="shared" si="12"/>
        <v>0</v>
      </c>
      <c r="AC252" s="363">
        <f t="shared" si="13"/>
        <v>0</v>
      </c>
      <c r="AD252" s="383"/>
    </row>
    <row r="253" spans="3:30">
      <c r="C253" s="377"/>
      <c r="D253" s="377"/>
      <c r="E253" s="377"/>
      <c r="F253" s="377"/>
      <c r="G253" s="377"/>
      <c r="H253" s="377"/>
      <c r="I253" s="377"/>
      <c r="J253" s="377"/>
      <c r="K253" s="377"/>
      <c r="L253" s="377"/>
      <c r="M253" s="378"/>
      <c r="N253" s="379"/>
      <c r="O253" s="379"/>
      <c r="P253" s="380"/>
      <c r="Q253" s="380"/>
      <c r="R253" s="380"/>
      <c r="S253" s="380"/>
      <c r="T253" s="381"/>
      <c r="U253" s="380"/>
      <c r="V253" s="381"/>
      <c r="W253" s="382"/>
      <c r="X253" s="382"/>
      <c r="Y253" s="382"/>
      <c r="Z253" s="380"/>
      <c r="AA253" s="380"/>
      <c r="AB253" s="363">
        <f t="shared" si="12"/>
        <v>0</v>
      </c>
      <c r="AC253" s="363">
        <f t="shared" si="13"/>
        <v>0</v>
      </c>
      <c r="AD253" s="383"/>
    </row>
    <row r="254" spans="3:30">
      <c r="C254" s="377"/>
      <c r="D254" s="377"/>
      <c r="E254" s="377"/>
      <c r="F254" s="377"/>
      <c r="G254" s="377"/>
      <c r="H254" s="377"/>
      <c r="I254" s="377"/>
      <c r="J254" s="377"/>
      <c r="K254" s="377"/>
      <c r="L254" s="377"/>
      <c r="M254" s="378"/>
      <c r="N254" s="379"/>
      <c r="O254" s="379"/>
      <c r="P254" s="380"/>
      <c r="Q254" s="380"/>
      <c r="R254" s="380"/>
      <c r="S254" s="380"/>
      <c r="T254" s="381"/>
      <c r="U254" s="380"/>
      <c r="V254" s="381"/>
      <c r="W254" s="382"/>
      <c r="X254" s="382"/>
      <c r="Y254" s="382"/>
      <c r="Z254" s="380"/>
      <c r="AA254" s="380"/>
      <c r="AB254" s="363">
        <f t="shared" si="12"/>
        <v>0</v>
      </c>
      <c r="AC254" s="363">
        <f t="shared" si="13"/>
        <v>0</v>
      </c>
      <c r="AD254" s="383"/>
    </row>
    <row r="255" spans="3:30">
      <c r="C255" s="377"/>
      <c r="D255" s="377"/>
      <c r="E255" s="377"/>
      <c r="F255" s="377"/>
      <c r="G255" s="377"/>
      <c r="H255" s="377"/>
      <c r="I255" s="377"/>
      <c r="J255" s="377"/>
      <c r="K255" s="377"/>
      <c r="L255" s="377"/>
      <c r="M255" s="378"/>
      <c r="N255" s="379"/>
      <c r="O255" s="379"/>
      <c r="P255" s="380"/>
      <c r="Q255" s="380"/>
      <c r="R255" s="380"/>
      <c r="S255" s="380"/>
      <c r="T255" s="381"/>
      <c r="U255" s="380"/>
      <c r="V255" s="381"/>
      <c r="W255" s="382"/>
      <c r="X255" s="382"/>
      <c r="Y255" s="382"/>
      <c r="Z255" s="380"/>
      <c r="AA255" s="380"/>
      <c r="AB255" s="363">
        <f t="shared" si="12"/>
        <v>0</v>
      </c>
      <c r="AC255" s="363">
        <f t="shared" si="13"/>
        <v>0</v>
      </c>
      <c r="AD255" s="383"/>
    </row>
    <row r="256" spans="3:30">
      <c r="C256" s="377"/>
      <c r="D256" s="377"/>
      <c r="E256" s="377"/>
      <c r="F256" s="377"/>
      <c r="G256" s="377"/>
      <c r="H256" s="377"/>
      <c r="I256" s="377"/>
      <c r="J256" s="377"/>
      <c r="K256" s="377"/>
      <c r="L256" s="377"/>
      <c r="M256" s="378"/>
      <c r="N256" s="379"/>
      <c r="O256" s="379"/>
      <c r="P256" s="380"/>
      <c r="Q256" s="380"/>
      <c r="R256" s="380"/>
      <c r="S256" s="380"/>
      <c r="T256" s="381"/>
      <c r="U256" s="380"/>
      <c r="V256" s="381"/>
      <c r="W256" s="382"/>
      <c r="X256" s="382"/>
      <c r="Y256" s="382"/>
      <c r="Z256" s="380"/>
      <c r="AA256" s="380"/>
      <c r="AB256" s="363">
        <f t="shared" si="12"/>
        <v>0</v>
      </c>
      <c r="AC256" s="363">
        <f t="shared" si="13"/>
        <v>0</v>
      </c>
      <c r="AD256" s="383"/>
    </row>
    <row r="257" spans="3:30">
      <c r="C257" s="377"/>
      <c r="D257" s="377"/>
      <c r="E257" s="377"/>
      <c r="F257" s="377"/>
      <c r="G257" s="377"/>
      <c r="H257" s="377"/>
      <c r="I257" s="377"/>
      <c r="J257" s="377"/>
      <c r="K257" s="377"/>
      <c r="L257" s="377"/>
      <c r="M257" s="378"/>
      <c r="N257" s="379"/>
      <c r="O257" s="379"/>
      <c r="P257" s="380"/>
      <c r="Q257" s="380"/>
      <c r="R257" s="380"/>
      <c r="S257" s="380"/>
      <c r="T257" s="381"/>
      <c r="U257" s="380"/>
      <c r="V257" s="381"/>
      <c r="W257" s="382"/>
      <c r="X257" s="382"/>
      <c r="Y257" s="382"/>
      <c r="Z257" s="380"/>
      <c r="AA257" s="380"/>
      <c r="AB257" s="363">
        <f t="shared" si="12"/>
        <v>0</v>
      </c>
      <c r="AC257" s="363">
        <f t="shared" si="13"/>
        <v>0</v>
      </c>
      <c r="AD257" s="383"/>
    </row>
    <row r="258" spans="3:30">
      <c r="C258" s="377"/>
      <c r="D258" s="377"/>
      <c r="E258" s="377"/>
      <c r="F258" s="377"/>
      <c r="G258" s="377"/>
      <c r="H258" s="377"/>
      <c r="I258" s="377"/>
      <c r="J258" s="377"/>
      <c r="K258" s="377"/>
      <c r="L258" s="377"/>
      <c r="M258" s="378"/>
      <c r="N258" s="379"/>
      <c r="O258" s="379"/>
      <c r="P258" s="380"/>
      <c r="Q258" s="380"/>
      <c r="R258" s="380"/>
      <c r="S258" s="380"/>
      <c r="T258" s="381"/>
      <c r="U258" s="380"/>
      <c r="V258" s="381"/>
      <c r="W258" s="382"/>
      <c r="X258" s="382"/>
      <c r="Y258" s="382"/>
      <c r="Z258" s="380"/>
      <c r="AA258" s="380"/>
      <c r="AB258" s="363">
        <f t="shared" si="12"/>
        <v>0</v>
      </c>
      <c r="AC258" s="363">
        <f t="shared" si="13"/>
        <v>0</v>
      </c>
      <c r="AD258" s="383"/>
    </row>
    <row r="259" spans="3:30">
      <c r="C259" s="377"/>
      <c r="D259" s="377"/>
      <c r="E259" s="377"/>
      <c r="F259" s="377"/>
      <c r="G259" s="377"/>
      <c r="H259" s="377"/>
      <c r="I259" s="377"/>
      <c r="J259" s="377"/>
      <c r="K259" s="377"/>
      <c r="L259" s="377"/>
      <c r="M259" s="378"/>
      <c r="N259" s="379"/>
      <c r="O259" s="379"/>
      <c r="P259" s="380"/>
      <c r="Q259" s="380"/>
      <c r="R259" s="380"/>
      <c r="S259" s="380"/>
      <c r="T259" s="381"/>
      <c r="U259" s="380"/>
      <c r="V259" s="381"/>
      <c r="W259" s="382"/>
      <c r="X259" s="382"/>
      <c r="Y259" s="382"/>
      <c r="Z259" s="380"/>
      <c r="AA259" s="380"/>
      <c r="AB259" s="363">
        <f t="shared" si="12"/>
        <v>0</v>
      </c>
      <c r="AC259" s="363">
        <f t="shared" si="13"/>
        <v>0</v>
      </c>
      <c r="AD259" s="383"/>
    </row>
    <row r="260" spans="3:30">
      <c r="C260" s="377"/>
      <c r="D260" s="377"/>
      <c r="E260" s="377"/>
      <c r="F260" s="377"/>
      <c r="G260" s="377"/>
      <c r="H260" s="377"/>
      <c r="I260" s="377"/>
      <c r="J260" s="377"/>
      <c r="K260" s="377"/>
      <c r="L260" s="377"/>
      <c r="M260" s="378"/>
      <c r="N260" s="379"/>
      <c r="O260" s="379"/>
      <c r="P260" s="380"/>
      <c r="Q260" s="380"/>
      <c r="R260" s="380"/>
      <c r="S260" s="380"/>
      <c r="T260" s="381"/>
      <c r="U260" s="380"/>
      <c r="V260" s="381"/>
      <c r="W260" s="382"/>
      <c r="X260" s="382"/>
      <c r="Y260" s="382"/>
      <c r="Z260" s="380"/>
      <c r="AA260" s="380"/>
      <c r="AB260" s="363">
        <f t="shared" si="12"/>
        <v>0</v>
      </c>
      <c r="AC260" s="363">
        <f t="shared" si="13"/>
        <v>0</v>
      </c>
    </row>
    <row r="261" spans="3:30">
      <c r="C261" s="377"/>
      <c r="D261" s="377"/>
      <c r="E261" s="377"/>
      <c r="F261" s="377"/>
      <c r="G261" s="377"/>
      <c r="H261" s="377"/>
      <c r="I261" s="377"/>
      <c r="J261" s="377"/>
      <c r="K261" s="377"/>
      <c r="L261" s="377"/>
      <c r="M261" s="378"/>
      <c r="N261" s="379"/>
      <c r="O261" s="379"/>
      <c r="P261" s="380"/>
      <c r="Q261" s="380"/>
      <c r="R261" s="380"/>
      <c r="S261" s="380"/>
      <c r="T261" s="381"/>
      <c r="U261" s="380"/>
      <c r="V261" s="381"/>
      <c r="W261" s="382"/>
      <c r="X261" s="382"/>
      <c r="Y261" s="382"/>
      <c r="Z261" s="380"/>
      <c r="AA261" s="380"/>
      <c r="AB261" s="363">
        <f t="shared" si="12"/>
        <v>0</v>
      </c>
      <c r="AC261" s="363">
        <f t="shared" si="13"/>
        <v>0</v>
      </c>
    </row>
    <row r="262" spans="3:30">
      <c r="C262" s="377"/>
      <c r="D262" s="377"/>
      <c r="E262" s="377"/>
      <c r="F262" s="377"/>
      <c r="G262" s="377"/>
      <c r="H262" s="377"/>
      <c r="I262" s="377"/>
      <c r="J262" s="377"/>
      <c r="K262" s="377"/>
      <c r="L262" s="377"/>
      <c r="M262" s="378"/>
      <c r="N262" s="379"/>
      <c r="O262" s="379"/>
      <c r="P262" s="380"/>
      <c r="Q262" s="380"/>
      <c r="R262" s="380"/>
      <c r="S262" s="380"/>
      <c r="T262" s="381"/>
      <c r="U262" s="380"/>
      <c r="V262" s="381"/>
      <c r="W262" s="382"/>
      <c r="X262" s="382"/>
      <c r="Y262" s="382"/>
      <c r="Z262" s="380"/>
      <c r="AA262" s="380"/>
      <c r="AB262" s="363">
        <f t="shared" si="12"/>
        <v>0</v>
      </c>
      <c r="AC262" s="363">
        <f t="shared" si="13"/>
        <v>0</v>
      </c>
    </row>
    <row r="263" spans="3:30">
      <c r="C263" s="377"/>
      <c r="D263" s="377"/>
      <c r="E263" s="377"/>
      <c r="F263" s="377"/>
      <c r="G263" s="377"/>
      <c r="H263" s="377"/>
      <c r="I263" s="377"/>
      <c r="J263" s="377"/>
      <c r="K263" s="377"/>
      <c r="L263" s="377"/>
      <c r="M263" s="378"/>
      <c r="N263" s="379"/>
      <c r="O263" s="379"/>
      <c r="P263" s="380"/>
      <c r="Q263" s="380"/>
      <c r="R263" s="380"/>
      <c r="S263" s="380"/>
      <c r="T263" s="381"/>
      <c r="U263" s="380"/>
      <c r="V263" s="381"/>
      <c r="W263" s="382"/>
      <c r="X263" s="382"/>
      <c r="Y263" s="382"/>
      <c r="Z263" s="380"/>
      <c r="AA263" s="380"/>
      <c r="AB263" s="363">
        <f t="shared" si="12"/>
        <v>0</v>
      </c>
      <c r="AC263" s="363">
        <f t="shared" si="13"/>
        <v>0</v>
      </c>
    </row>
    <row r="264" spans="3:30">
      <c r="C264" s="377"/>
      <c r="D264" s="377"/>
      <c r="E264" s="377"/>
      <c r="F264" s="377"/>
      <c r="G264" s="377"/>
      <c r="H264" s="377"/>
      <c r="I264" s="377"/>
      <c r="J264" s="377"/>
      <c r="K264" s="377"/>
      <c r="L264" s="377"/>
      <c r="M264" s="378"/>
      <c r="N264" s="379"/>
      <c r="O264" s="379"/>
      <c r="P264" s="380"/>
      <c r="Q264" s="380"/>
      <c r="R264" s="380"/>
      <c r="S264" s="380"/>
      <c r="T264" s="381"/>
      <c r="U264" s="380"/>
      <c r="V264" s="381"/>
      <c r="W264" s="382"/>
      <c r="X264" s="382"/>
      <c r="Y264" s="382"/>
      <c r="Z264" s="380"/>
      <c r="AA264" s="380"/>
      <c r="AB264" s="363">
        <f t="shared" si="12"/>
        <v>0</v>
      </c>
      <c r="AC264" s="363">
        <f t="shared" si="13"/>
        <v>0</v>
      </c>
    </row>
    <row r="265" spans="3:30">
      <c r="C265" s="377"/>
      <c r="D265" s="377"/>
      <c r="E265" s="377"/>
      <c r="F265" s="377"/>
      <c r="G265" s="377"/>
      <c r="H265" s="377"/>
      <c r="I265" s="377"/>
      <c r="J265" s="377"/>
      <c r="K265" s="377"/>
      <c r="L265" s="377"/>
      <c r="M265" s="378"/>
      <c r="N265" s="379"/>
      <c r="O265" s="379"/>
      <c r="P265" s="380"/>
      <c r="Q265" s="380"/>
      <c r="R265" s="380"/>
      <c r="S265" s="380"/>
      <c r="T265" s="381"/>
      <c r="U265" s="380"/>
      <c r="V265" s="381"/>
      <c r="W265" s="382"/>
      <c r="X265" s="382"/>
      <c r="Y265" s="382"/>
      <c r="Z265" s="380"/>
      <c r="AA265" s="380"/>
      <c r="AB265" s="363">
        <f t="shared" si="12"/>
        <v>0</v>
      </c>
      <c r="AC265" s="363">
        <f t="shared" si="13"/>
        <v>0</v>
      </c>
    </row>
    <row r="266" spans="3:30">
      <c r="C266" s="377"/>
      <c r="D266" s="377"/>
      <c r="E266" s="377"/>
      <c r="F266" s="377"/>
      <c r="G266" s="377"/>
      <c r="H266" s="377"/>
      <c r="I266" s="377"/>
      <c r="J266" s="377"/>
      <c r="K266" s="377"/>
      <c r="L266" s="377"/>
      <c r="M266" s="378"/>
      <c r="N266" s="379"/>
      <c r="O266" s="379"/>
      <c r="P266" s="380"/>
      <c r="Q266" s="380"/>
      <c r="R266" s="380"/>
      <c r="S266" s="380"/>
      <c r="T266" s="381"/>
      <c r="U266" s="380"/>
      <c r="V266" s="381"/>
      <c r="W266" s="382"/>
      <c r="X266" s="382"/>
      <c r="Y266" s="382"/>
      <c r="Z266" s="380"/>
      <c r="AA266" s="380"/>
      <c r="AB266" s="363">
        <f t="shared" si="12"/>
        <v>0</v>
      </c>
      <c r="AC266" s="363">
        <f t="shared" si="13"/>
        <v>0</v>
      </c>
    </row>
    <row r="267" spans="3:30">
      <c r="C267" s="377"/>
      <c r="D267" s="377"/>
      <c r="E267" s="377"/>
      <c r="F267" s="377"/>
      <c r="G267" s="377"/>
      <c r="H267" s="377"/>
      <c r="I267" s="377"/>
      <c r="J267" s="377"/>
      <c r="K267" s="377"/>
      <c r="L267" s="377"/>
      <c r="M267" s="378"/>
      <c r="N267" s="379"/>
      <c r="O267" s="379"/>
      <c r="P267" s="380"/>
      <c r="Q267" s="380"/>
      <c r="R267" s="380"/>
      <c r="S267" s="380"/>
      <c r="T267" s="381"/>
      <c r="U267" s="380"/>
      <c r="V267" s="381"/>
      <c r="W267" s="382"/>
      <c r="X267" s="382"/>
      <c r="Y267" s="382"/>
      <c r="Z267" s="380"/>
      <c r="AA267" s="380"/>
      <c r="AB267" s="363">
        <f t="shared" si="12"/>
        <v>0</v>
      </c>
      <c r="AC267" s="363">
        <f t="shared" si="13"/>
        <v>0</v>
      </c>
    </row>
    <row r="268" spans="3:30">
      <c r="C268" s="377"/>
      <c r="D268" s="377"/>
      <c r="E268" s="377"/>
      <c r="F268" s="377"/>
      <c r="G268" s="377"/>
      <c r="H268" s="377"/>
      <c r="I268" s="377"/>
      <c r="J268" s="377"/>
      <c r="K268" s="377"/>
      <c r="L268" s="377"/>
      <c r="M268" s="378"/>
      <c r="N268" s="379"/>
      <c r="O268" s="379"/>
      <c r="P268" s="380"/>
      <c r="Q268" s="380"/>
      <c r="R268" s="380"/>
      <c r="S268" s="380"/>
      <c r="T268" s="381"/>
      <c r="U268" s="380"/>
      <c r="V268" s="381"/>
      <c r="W268" s="382"/>
      <c r="X268" s="382"/>
      <c r="Y268" s="382"/>
      <c r="Z268" s="380"/>
      <c r="AA268" s="380"/>
      <c r="AB268" s="363">
        <f t="shared" si="12"/>
        <v>0</v>
      </c>
      <c r="AC268" s="363">
        <f t="shared" si="13"/>
        <v>0</v>
      </c>
    </row>
    <row r="269" spans="3:30">
      <c r="C269" s="377"/>
      <c r="D269" s="377"/>
      <c r="E269" s="377"/>
      <c r="F269" s="377"/>
      <c r="G269" s="377"/>
      <c r="H269" s="377"/>
      <c r="I269" s="377"/>
      <c r="J269" s="377"/>
      <c r="K269" s="377"/>
      <c r="L269" s="377"/>
      <c r="M269" s="378"/>
      <c r="N269" s="379"/>
      <c r="O269" s="379"/>
      <c r="P269" s="380"/>
      <c r="Q269" s="380"/>
      <c r="R269" s="380"/>
      <c r="S269" s="380"/>
      <c r="T269" s="381"/>
      <c r="U269" s="380"/>
      <c r="V269" s="381"/>
      <c r="W269" s="382"/>
      <c r="X269" s="382"/>
      <c r="Y269" s="382"/>
      <c r="Z269" s="380"/>
      <c r="AA269" s="380"/>
      <c r="AB269" s="363">
        <f t="shared" si="12"/>
        <v>0</v>
      </c>
      <c r="AC269" s="363">
        <f t="shared" si="13"/>
        <v>0</v>
      </c>
    </row>
    <row r="270" spans="3:30">
      <c r="C270" s="377"/>
      <c r="D270" s="377"/>
      <c r="E270" s="377"/>
      <c r="F270" s="377"/>
      <c r="G270" s="377"/>
      <c r="H270" s="377"/>
      <c r="I270" s="377"/>
      <c r="J270" s="377"/>
      <c r="K270" s="377"/>
      <c r="L270" s="377"/>
      <c r="M270" s="378"/>
      <c r="N270" s="379"/>
      <c r="O270" s="379"/>
      <c r="P270" s="380"/>
      <c r="Q270" s="380"/>
      <c r="R270" s="380"/>
      <c r="S270" s="380"/>
      <c r="T270" s="381"/>
      <c r="U270" s="380"/>
      <c r="V270" s="381"/>
      <c r="W270" s="382"/>
      <c r="X270" s="382"/>
      <c r="Y270" s="382"/>
      <c r="Z270" s="380"/>
      <c r="AA270" s="380"/>
      <c r="AB270" s="363">
        <f t="shared" si="12"/>
        <v>0</v>
      </c>
      <c r="AC270" s="363">
        <f t="shared" si="13"/>
        <v>0</v>
      </c>
    </row>
    <row r="271" spans="3:30">
      <c r="C271" s="377"/>
      <c r="D271" s="377"/>
      <c r="E271" s="377"/>
      <c r="F271" s="377"/>
      <c r="G271" s="377"/>
      <c r="H271" s="377"/>
      <c r="I271" s="377"/>
      <c r="J271" s="377"/>
      <c r="K271" s="377"/>
      <c r="L271" s="377"/>
      <c r="M271" s="378"/>
      <c r="N271" s="379"/>
      <c r="O271" s="379"/>
      <c r="P271" s="380"/>
      <c r="Q271" s="380"/>
      <c r="R271" s="380"/>
      <c r="S271" s="380"/>
      <c r="T271" s="381"/>
      <c r="U271" s="380"/>
      <c r="V271" s="381"/>
      <c r="W271" s="382"/>
      <c r="X271" s="382"/>
      <c r="Y271" s="382"/>
      <c r="Z271" s="380"/>
      <c r="AA271" s="380"/>
      <c r="AB271" s="363">
        <f t="shared" si="12"/>
        <v>0</v>
      </c>
      <c r="AC271" s="363">
        <f t="shared" si="13"/>
        <v>0</v>
      </c>
    </row>
    <row r="272" spans="3:30">
      <c r="C272" s="377"/>
      <c r="D272" s="377"/>
      <c r="E272" s="377"/>
      <c r="F272" s="377"/>
      <c r="G272" s="377"/>
      <c r="H272" s="377"/>
      <c r="I272" s="377"/>
      <c r="J272" s="377"/>
      <c r="K272" s="377"/>
      <c r="L272" s="377"/>
      <c r="M272" s="378"/>
      <c r="N272" s="379"/>
      <c r="O272" s="379"/>
      <c r="P272" s="380"/>
      <c r="Q272" s="380"/>
      <c r="R272" s="380"/>
      <c r="S272" s="380"/>
      <c r="T272" s="381"/>
      <c r="U272" s="380"/>
      <c r="V272" s="381"/>
      <c r="W272" s="382"/>
      <c r="X272" s="382"/>
      <c r="Y272" s="382"/>
      <c r="Z272" s="380"/>
      <c r="AA272" s="380"/>
      <c r="AB272" s="363">
        <f t="shared" si="12"/>
        <v>0</v>
      </c>
      <c r="AC272" s="363">
        <f t="shared" si="13"/>
        <v>0</v>
      </c>
    </row>
    <row r="273" spans="3:29">
      <c r="C273" s="377"/>
      <c r="D273" s="377"/>
      <c r="E273" s="377"/>
      <c r="F273" s="377"/>
      <c r="G273" s="377"/>
      <c r="H273" s="377"/>
      <c r="I273" s="377"/>
      <c r="J273" s="377"/>
      <c r="K273" s="377"/>
      <c r="L273" s="377"/>
      <c r="M273" s="378"/>
      <c r="N273" s="379"/>
      <c r="O273" s="379"/>
      <c r="P273" s="380"/>
      <c r="Q273" s="380"/>
      <c r="R273" s="380"/>
      <c r="S273" s="380"/>
      <c r="T273" s="381"/>
      <c r="U273" s="380"/>
      <c r="V273" s="381"/>
      <c r="W273" s="382"/>
      <c r="X273" s="382"/>
      <c r="Y273" s="382"/>
      <c r="Z273" s="380"/>
      <c r="AA273" s="380"/>
      <c r="AB273" s="363">
        <f t="shared" si="12"/>
        <v>0</v>
      </c>
      <c r="AC273" s="363">
        <f t="shared" si="13"/>
        <v>0</v>
      </c>
    </row>
    <row r="274" spans="3:29">
      <c r="C274" s="377"/>
      <c r="D274" s="377"/>
      <c r="E274" s="377"/>
      <c r="F274" s="377"/>
      <c r="G274" s="377"/>
      <c r="H274" s="377"/>
      <c r="I274" s="377"/>
      <c r="J274" s="377"/>
      <c r="K274" s="377"/>
      <c r="L274" s="377"/>
      <c r="M274" s="378"/>
      <c r="N274" s="379"/>
      <c r="O274" s="379"/>
      <c r="P274" s="380"/>
      <c r="Q274" s="380"/>
      <c r="R274" s="380"/>
      <c r="S274" s="380"/>
      <c r="T274" s="381"/>
      <c r="U274" s="380"/>
      <c r="V274" s="381"/>
      <c r="W274" s="382"/>
      <c r="X274" s="382"/>
      <c r="Y274" s="382"/>
      <c r="Z274" s="380"/>
      <c r="AA274" s="380"/>
      <c r="AB274" s="363">
        <f t="shared" si="12"/>
        <v>0</v>
      </c>
      <c r="AC274" s="363">
        <f t="shared" si="13"/>
        <v>0</v>
      </c>
    </row>
    <row r="275" spans="3:29">
      <c r="C275" s="377"/>
      <c r="D275" s="377"/>
      <c r="E275" s="377"/>
      <c r="F275" s="377"/>
      <c r="G275" s="377"/>
      <c r="H275" s="377"/>
      <c r="I275" s="377"/>
      <c r="J275" s="377"/>
      <c r="K275" s="377"/>
      <c r="L275" s="377"/>
      <c r="M275" s="378"/>
      <c r="N275" s="379"/>
      <c r="O275" s="379"/>
      <c r="P275" s="380"/>
      <c r="Q275" s="380"/>
      <c r="R275" s="380"/>
      <c r="S275" s="380"/>
      <c r="T275" s="381"/>
      <c r="U275" s="380"/>
      <c r="V275" s="381"/>
      <c r="W275" s="382"/>
      <c r="X275" s="382"/>
      <c r="Y275" s="382"/>
      <c r="Z275" s="380"/>
      <c r="AA275" s="380"/>
      <c r="AB275" s="363">
        <f t="shared" si="12"/>
        <v>0</v>
      </c>
      <c r="AC275" s="363">
        <f t="shared" si="13"/>
        <v>0</v>
      </c>
    </row>
    <row r="276" spans="3:29">
      <c r="C276" s="377"/>
      <c r="D276" s="377"/>
      <c r="E276" s="377"/>
      <c r="F276" s="377"/>
      <c r="G276" s="377"/>
      <c r="H276" s="377"/>
      <c r="I276" s="377"/>
      <c r="J276" s="377"/>
      <c r="K276" s="377"/>
      <c r="L276" s="377"/>
      <c r="M276" s="378"/>
      <c r="N276" s="379"/>
      <c r="O276" s="379"/>
      <c r="P276" s="380"/>
      <c r="Q276" s="380"/>
      <c r="R276" s="380"/>
      <c r="S276" s="380"/>
      <c r="T276" s="381"/>
      <c r="U276" s="380"/>
      <c r="V276" s="381"/>
      <c r="W276" s="382"/>
      <c r="X276" s="382"/>
      <c r="Y276" s="382"/>
      <c r="Z276" s="380"/>
      <c r="AA276" s="380"/>
      <c r="AB276" s="363">
        <f t="shared" si="12"/>
        <v>0</v>
      </c>
      <c r="AC276" s="363">
        <f t="shared" si="13"/>
        <v>0</v>
      </c>
    </row>
    <row r="277" spans="3:29">
      <c r="C277" s="377"/>
      <c r="D277" s="377"/>
      <c r="E277" s="377"/>
      <c r="F277" s="377"/>
      <c r="G277" s="377"/>
      <c r="H277" s="377"/>
      <c r="I277" s="377"/>
      <c r="J277" s="377"/>
      <c r="K277" s="377"/>
      <c r="L277" s="377"/>
      <c r="M277" s="378"/>
      <c r="N277" s="379"/>
      <c r="O277" s="379"/>
      <c r="P277" s="380"/>
      <c r="Q277" s="380"/>
      <c r="R277" s="380"/>
      <c r="S277" s="380"/>
      <c r="T277" s="381"/>
      <c r="U277" s="380"/>
      <c r="V277" s="381"/>
      <c r="W277" s="382"/>
      <c r="X277" s="382"/>
      <c r="Y277" s="382"/>
      <c r="Z277" s="380"/>
      <c r="AA277" s="380"/>
      <c r="AB277" s="363">
        <f t="shared" si="12"/>
        <v>0</v>
      </c>
      <c r="AC277" s="363">
        <f t="shared" si="13"/>
        <v>0</v>
      </c>
    </row>
    <row r="278" spans="3:29">
      <c r="C278" s="377"/>
      <c r="D278" s="377"/>
      <c r="E278" s="377"/>
      <c r="F278" s="377"/>
      <c r="G278" s="377"/>
      <c r="H278" s="377"/>
      <c r="I278" s="377"/>
      <c r="J278" s="377"/>
      <c r="K278" s="377"/>
      <c r="L278" s="377"/>
      <c r="M278" s="378"/>
      <c r="N278" s="379"/>
      <c r="O278" s="379"/>
      <c r="P278" s="380"/>
      <c r="Q278" s="380"/>
      <c r="R278" s="380"/>
      <c r="S278" s="380"/>
      <c r="T278" s="381"/>
      <c r="U278" s="380"/>
      <c r="V278" s="381"/>
      <c r="W278" s="382"/>
      <c r="X278" s="382"/>
      <c r="Y278" s="382"/>
      <c r="Z278" s="380"/>
      <c r="AA278" s="380"/>
      <c r="AB278" s="363">
        <f t="shared" si="12"/>
        <v>0</v>
      </c>
      <c r="AC278" s="363">
        <f t="shared" si="13"/>
        <v>0</v>
      </c>
    </row>
    <row r="279" spans="3:29"/>
  </sheetData>
  <autoFilter ref="B5:AE230" xr:uid="{94A5B292-CF4B-41C4-9F62-C9C5C11046FD}"/>
  <customSheetViews>
    <customSheetView guid="{E6B00A95-BB65-4FB5-9392-F4C9A9557C0E}" showGridLines="0" showAutoFilter="1" hiddenColumns="1">
      <pane xSplit="2" ySplit="5" topLeftCell="AP6" activePane="bottomRight" state="frozen"/>
      <selection pane="bottomRight" activeCell="BZ5" sqref="BZ5"/>
      <pageMargins left="0.7" right="0.7" top="0.75" bottom="0.75" header="0.3" footer="0.3"/>
      <pageSetup paperSize="9" orientation="portrait" horizontalDpi="300" verticalDpi="300" r:id="rId1"/>
      <autoFilter ref="A5:BA274" xr:uid="{531740F3-F991-46E3-A49B-16305C4D7923}"/>
    </customSheetView>
  </customSheetViews>
  <mergeCells count="8">
    <mergeCell ref="P3:AA3"/>
    <mergeCell ref="Z4:AA4"/>
    <mergeCell ref="P4:P5"/>
    <mergeCell ref="T4:T5"/>
    <mergeCell ref="U4:U5"/>
    <mergeCell ref="V4:V5"/>
    <mergeCell ref="W4:W5"/>
    <mergeCell ref="X4:Y4"/>
  </mergeCells>
  <hyperlinks>
    <hyperlink ref="P3" r:id="rId2" display="202@" xr:uid="{7183191D-2E85-4096-9962-65D6492AB2E9}"/>
    <hyperlink ref="B3" r:id="rId3" xr:uid="{81306133-C088-4BF0-817B-E0C03EDA178C}"/>
  </hyperlinks>
  <pageMargins left="0.7" right="0.7" top="0.75" bottom="0.75" header="0.3" footer="0.3"/>
  <pageSetup paperSize="9" orientation="portrait" horizontalDpi="300" verticalDpi="300" r:id="rId4"/>
  <customProperties>
    <customPr name="_pios_id" r:id="rId5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BN215"/>
  <sheetViews>
    <sheetView zoomScaleNormal="100" workbookViewId="0">
      <selection activeCell="A2" sqref="A2"/>
    </sheetView>
  </sheetViews>
  <sheetFormatPr defaultColWidth="9.140625" defaultRowHeight="15"/>
  <cols>
    <col min="14" max="14" width="29.140625" customWidth="1"/>
  </cols>
  <sheetData>
    <row r="1" spans="1:66">
      <c r="A1" s="28" t="s">
        <v>252</v>
      </c>
    </row>
    <row r="2" spans="1:66">
      <c r="A2" t="s">
        <v>1289</v>
      </c>
      <c r="B2" t="s">
        <v>1290</v>
      </c>
      <c r="C2" t="s">
        <v>1291</v>
      </c>
      <c r="D2" t="s">
        <v>1292</v>
      </c>
      <c r="E2" t="s">
        <v>1293</v>
      </c>
      <c r="F2" t="s">
        <v>1294</v>
      </c>
      <c r="G2" t="s">
        <v>1295</v>
      </c>
      <c r="H2" t="s">
        <v>1296</v>
      </c>
      <c r="I2" t="s">
        <v>1297</v>
      </c>
      <c r="J2" t="s">
        <v>1298</v>
      </c>
      <c r="K2" t="s">
        <v>1299</v>
      </c>
      <c r="L2" t="s">
        <v>1300</v>
      </c>
      <c r="M2" t="s">
        <v>1301</v>
      </c>
      <c r="N2" t="s">
        <v>1302</v>
      </c>
      <c r="O2" t="s">
        <v>1303</v>
      </c>
      <c r="P2" t="s">
        <v>1304</v>
      </c>
      <c r="Q2" t="s">
        <v>1305</v>
      </c>
      <c r="R2" t="s">
        <v>1306</v>
      </c>
      <c r="S2" t="s">
        <v>1307</v>
      </c>
      <c r="T2" t="s">
        <v>1308</v>
      </c>
      <c r="U2" t="s">
        <v>1309</v>
      </c>
      <c r="V2" t="s">
        <v>1310</v>
      </c>
      <c r="W2" t="s">
        <v>1311</v>
      </c>
      <c r="X2" t="s">
        <v>1312</v>
      </c>
      <c r="Y2" t="s">
        <v>1313</v>
      </c>
      <c r="Z2" t="s">
        <v>1314</v>
      </c>
      <c r="AA2" t="s">
        <v>1315</v>
      </c>
      <c r="AB2" t="s">
        <v>1316</v>
      </c>
      <c r="AC2" t="s">
        <v>1317</v>
      </c>
      <c r="AD2" t="s">
        <v>1318</v>
      </c>
      <c r="AE2" t="s">
        <v>1319</v>
      </c>
      <c r="AF2" t="s">
        <v>1320</v>
      </c>
      <c r="AG2" t="s">
        <v>1321</v>
      </c>
      <c r="AH2" t="s">
        <v>1322</v>
      </c>
      <c r="AI2" t="s">
        <v>1323</v>
      </c>
      <c r="AJ2" t="s">
        <v>1324</v>
      </c>
      <c r="AK2" t="s">
        <v>1325</v>
      </c>
      <c r="AL2" t="s">
        <v>1326</v>
      </c>
      <c r="AM2" t="s">
        <v>1327</v>
      </c>
      <c r="AN2" t="s">
        <v>1328</v>
      </c>
      <c r="AO2" t="s">
        <v>1329</v>
      </c>
      <c r="AP2" t="s">
        <v>1330</v>
      </c>
      <c r="AQ2" t="s">
        <v>1331</v>
      </c>
      <c r="AR2" t="s">
        <v>1332</v>
      </c>
      <c r="AS2" t="s">
        <v>1333</v>
      </c>
      <c r="AT2" t="s">
        <v>1334</v>
      </c>
      <c r="AU2" t="s">
        <v>1335</v>
      </c>
      <c r="AV2" t="s">
        <v>1336</v>
      </c>
      <c r="AW2" t="s">
        <v>1337</v>
      </c>
      <c r="AX2" t="s">
        <v>1338</v>
      </c>
      <c r="AY2" t="s">
        <v>1339</v>
      </c>
      <c r="AZ2" t="s">
        <v>1340</v>
      </c>
      <c r="BA2" t="s">
        <v>1341</v>
      </c>
      <c r="BB2" t="s">
        <v>1342</v>
      </c>
      <c r="BC2" t="s">
        <v>1343</v>
      </c>
      <c r="BD2" t="s">
        <v>1344</v>
      </c>
      <c r="BE2" t="s">
        <v>1345</v>
      </c>
      <c r="BF2" t="s">
        <v>1346</v>
      </c>
      <c r="BG2" t="s">
        <v>1347</v>
      </c>
      <c r="BH2" t="s">
        <v>1348</v>
      </c>
      <c r="BI2" t="s">
        <v>1349</v>
      </c>
      <c r="BJ2" t="s">
        <v>1350</v>
      </c>
      <c r="BK2" t="s">
        <v>1351</v>
      </c>
      <c r="BL2" t="s">
        <v>1352</v>
      </c>
      <c r="BM2" t="s">
        <v>1353</v>
      </c>
      <c r="BN2" t="s">
        <v>1354</v>
      </c>
    </row>
    <row r="3" spans="1:66">
      <c r="A3">
        <v>0</v>
      </c>
      <c r="B3">
        <v>1</v>
      </c>
      <c r="C3" t="s">
        <v>1355</v>
      </c>
      <c r="D3" t="s">
        <v>1355</v>
      </c>
      <c r="E3" t="s">
        <v>1356</v>
      </c>
      <c r="G3" t="s">
        <v>1357</v>
      </c>
      <c r="H3" t="s">
        <v>35</v>
      </c>
      <c r="K3">
        <v>40</v>
      </c>
      <c r="L3">
        <v>132000</v>
      </c>
      <c r="N3">
        <v>6314761.2599999998</v>
      </c>
      <c r="V3" t="s">
        <v>1358</v>
      </c>
      <c r="W3" t="s">
        <v>1359</v>
      </c>
      <c r="AL3" t="s">
        <v>1360</v>
      </c>
    </row>
    <row r="4" spans="1:66">
      <c r="A4">
        <v>0</v>
      </c>
      <c r="B4">
        <v>1</v>
      </c>
      <c r="K4">
        <v>50</v>
      </c>
      <c r="L4">
        <v>651110</v>
      </c>
      <c r="N4">
        <v>1830.46</v>
      </c>
      <c r="V4" t="s">
        <v>1358</v>
      </c>
      <c r="W4" t="s">
        <v>1707</v>
      </c>
      <c r="AE4" t="s">
        <v>1543</v>
      </c>
      <c r="AF4" t="s">
        <v>1708</v>
      </c>
      <c r="AL4" t="s">
        <v>1360</v>
      </c>
      <c r="AO4">
        <v>99999</v>
      </c>
    </row>
    <row r="5" spans="1:66">
      <c r="A5">
        <v>0</v>
      </c>
      <c r="B5">
        <v>1</v>
      </c>
      <c r="K5">
        <v>50</v>
      </c>
      <c r="L5">
        <v>651110</v>
      </c>
      <c r="N5">
        <v>3237.13</v>
      </c>
      <c r="V5" t="s">
        <v>1358</v>
      </c>
      <c r="W5" t="s">
        <v>1709</v>
      </c>
      <c r="AE5" t="s">
        <v>1710</v>
      </c>
      <c r="AF5" t="s">
        <v>1711</v>
      </c>
      <c r="AL5" t="s">
        <v>1360</v>
      </c>
      <c r="AO5">
        <v>99999</v>
      </c>
    </row>
    <row r="6" spans="1:66">
      <c r="A6">
        <v>0</v>
      </c>
      <c r="B6">
        <v>1</v>
      </c>
      <c r="K6">
        <v>50</v>
      </c>
      <c r="L6">
        <v>651110</v>
      </c>
      <c r="N6">
        <v>13819.41</v>
      </c>
      <c r="V6" t="s">
        <v>1358</v>
      </c>
      <c r="W6" t="s">
        <v>1712</v>
      </c>
      <c r="AE6" t="s">
        <v>1713</v>
      </c>
      <c r="AF6" t="s">
        <v>1714</v>
      </c>
      <c r="AL6" t="s">
        <v>1360</v>
      </c>
      <c r="AO6">
        <v>99999</v>
      </c>
    </row>
    <row r="7" spans="1:66">
      <c r="A7">
        <v>0</v>
      </c>
      <c r="B7">
        <v>1</v>
      </c>
      <c r="K7">
        <v>50</v>
      </c>
      <c r="L7">
        <v>651110</v>
      </c>
      <c r="N7">
        <v>37860.46</v>
      </c>
      <c r="V7" t="s">
        <v>1358</v>
      </c>
      <c r="W7" t="s">
        <v>1715</v>
      </c>
      <c r="AE7" t="s">
        <v>1374</v>
      </c>
      <c r="AF7" t="s">
        <v>1716</v>
      </c>
      <c r="AL7" t="s">
        <v>1360</v>
      </c>
      <c r="AO7">
        <v>99999</v>
      </c>
    </row>
    <row r="8" spans="1:66">
      <c r="A8">
        <v>0</v>
      </c>
      <c r="B8">
        <v>1</v>
      </c>
      <c r="K8">
        <v>50</v>
      </c>
      <c r="L8">
        <v>651110</v>
      </c>
      <c r="N8">
        <v>3461.26</v>
      </c>
      <c r="V8" t="s">
        <v>1358</v>
      </c>
      <c r="W8" t="s">
        <v>1717</v>
      </c>
      <c r="AE8" t="s">
        <v>1371</v>
      </c>
      <c r="AF8" t="s">
        <v>1718</v>
      </c>
      <c r="AL8" t="s">
        <v>1360</v>
      </c>
      <c r="AO8">
        <v>99999</v>
      </c>
    </row>
    <row r="9" spans="1:66">
      <c r="A9">
        <v>0</v>
      </c>
      <c r="B9">
        <v>1</v>
      </c>
      <c r="K9">
        <v>50</v>
      </c>
      <c r="L9">
        <v>651110</v>
      </c>
      <c r="N9">
        <v>10204.42</v>
      </c>
      <c r="V9" t="s">
        <v>1358</v>
      </c>
      <c r="W9" t="s">
        <v>1719</v>
      </c>
      <c r="AE9" t="s">
        <v>1720</v>
      </c>
      <c r="AF9" t="s">
        <v>1721</v>
      </c>
      <c r="AL9" t="s">
        <v>1360</v>
      </c>
      <c r="AO9">
        <v>99999</v>
      </c>
    </row>
    <row r="10" spans="1:66">
      <c r="A10">
        <v>0</v>
      </c>
      <c r="B10">
        <v>1</v>
      </c>
      <c r="K10">
        <v>50</v>
      </c>
      <c r="L10">
        <v>651110</v>
      </c>
      <c r="N10">
        <v>726.47</v>
      </c>
      <c r="V10" t="s">
        <v>1358</v>
      </c>
      <c r="W10" t="s">
        <v>1722</v>
      </c>
      <c r="AE10" t="s">
        <v>1720</v>
      </c>
      <c r="AF10" t="s">
        <v>1723</v>
      </c>
      <c r="AL10" t="s">
        <v>1360</v>
      </c>
      <c r="AO10">
        <v>99999</v>
      </c>
    </row>
    <row r="11" spans="1:66">
      <c r="A11">
        <v>0</v>
      </c>
      <c r="B11">
        <v>1</v>
      </c>
      <c r="K11">
        <v>50</v>
      </c>
      <c r="L11">
        <v>651110</v>
      </c>
      <c r="N11">
        <v>63161.51</v>
      </c>
      <c r="V11" t="s">
        <v>1358</v>
      </c>
      <c r="W11" t="s">
        <v>1724</v>
      </c>
      <c r="AE11" t="s">
        <v>1725</v>
      </c>
      <c r="AF11" t="s">
        <v>1726</v>
      </c>
      <c r="AL11" t="s">
        <v>1360</v>
      </c>
      <c r="AO11">
        <v>99999</v>
      </c>
    </row>
    <row r="12" spans="1:66">
      <c r="A12">
        <v>0</v>
      </c>
      <c r="B12">
        <v>1</v>
      </c>
      <c r="K12">
        <v>50</v>
      </c>
      <c r="L12">
        <v>651110</v>
      </c>
      <c r="N12">
        <v>4513.09</v>
      </c>
      <c r="V12" t="s">
        <v>1358</v>
      </c>
      <c r="W12" t="s">
        <v>1727</v>
      </c>
      <c r="AE12" t="s">
        <v>1368</v>
      </c>
      <c r="AF12" t="s">
        <v>1728</v>
      </c>
      <c r="AL12" t="s">
        <v>1360</v>
      </c>
      <c r="AO12">
        <v>99999</v>
      </c>
    </row>
    <row r="13" spans="1:66">
      <c r="A13">
        <v>0</v>
      </c>
      <c r="B13">
        <v>1</v>
      </c>
      <c r="K13">
        <v>50</v>
      </c>
      <c r="L13">
        <v>651110</v>
      </c>
      <c r="N13">
        <v>443.86</v>
      </c>
      <c r="V13" t="s">
        <v>1358</v>
      </c>
      <c r="W13" t="s">
        <v>1386</v>
      </c>
      <c r="AE13" t="s">
        <v>1387</v>
      </c>
      <c r="AF13" t="s">
        <v>1388</v>
      </c>
      <c r="AL13" t="s">
        <v>1360</v>
      </c>
      <c r="AO13">
        <v>99999</v>
      </c>
    </row>
    <row r="14" spans="1:66">
      <c r="A14">
        <v>0</v>
      </c>
      <c r="B14">
        <v>1</v>
      </c>
      <c r="K14">
        <v>50</v>
      </c>
      <c r="L14">
        <v>651110</v>
      </c>
      <c r="N14">
        <v>449.62</v>
      </c>
      <c r="V14" t="s">
        <v>1358</v>
      </c>
      <c r="W14" t="s">
        <v>1384</v>
      </c>
      <c r="AE14" t="s">
        <v>1365</v>
      </c>
      <c r="AF14" t="s">
        <v>1385</v>
      </c>
      <c r="AL14" t="s">
        <v>1360</v>
      </c>
      <c r="AO14">
        <v>99999</v>
      </c>
    </row>
    <row r="15" spans="1:66">
      <c r="A15">
        <v>0</v>
      </c>
      <c r="B15">
        <v>1</v>
      </c>
      <c r="K15">
        <v>50</v>
      </c>
      <c r="L15">
        <v>651110</v>
      </c>
      <c r="N15">
        <v>485.25</v>
      </c>
      <c r="V15" t="s">
        <v>1358</v>
      </c>
      <c r="W15" t="s">
        <v>1381</v>
      </c>
      <c r="AE15" t="s">
        <v>1382</v>
      </c>
      <c r="AF15" t="s">
        <v>1383</v>
      </c>
      <c r="AL15" t="s">
        <v>1360</v>
      </c>
      <c r="AO15">
        <v>99999</v>
      </c>
    </row>
    <row r="16" spans="1:66">
      <c r="A16">
        <v>0</v>
      </c>
      <c r="B16">
        <v>1</v>
      </c>
      <c r="K16">
        <v>50</v>
      </c>
      <c r="L16">
        <v>652210</v>
      </c>
      <c r="N16">
        <v>627.99</v>
      </c>
      <c r="V16" t="s">
        <v>1358</v>
      </c>
      <c r="W16" t="s">
        <v>1380</v>
      </c>
      <c r="AE16">
        <v>3221</v>
      </c>
      <c r="AF16">
        <v>627706013221</v>
      </c>
      <c r="AL16" t="s">
        <v>1360</v>
      </c>
      <c r="AO16">
        <v>99999</v>
      </c>
    </row>
    <row r="17" spans="1:41">
      <c r="A17">
        <v>0</v>
      </c>
      <c r="B17">
        <v>1</v>
      </c>
      <c r="K17">
        <v>50</v>
      </c>
      <c r="L17">
        <v>652210</v>
      </c>
      <c r="N17">
        <v>1541.99</v>
      </c>
      <c r="V17" t="s">
        <v>1358</v>
      </c>
      <c r="W17" t="s">
        <v>1379</v>
      </c>
      <c r="AE17">
        <v>3221</v>
      </c>
      <c r="AF17">
        <v>627706043221</v>
      </c>
      <c r="AL17" t="s">
        <v>1360</v>
      </c>
      <c r="AO17">
        <v>99999</v>
      </c>
    </row>
    <row r="18" spans="1:41">
      <c r="A18">
        <v>0</v>
      </c>
      <c r="B18">
        <v>1</v>
      </c>
      <c r="K18">
        <v>50</v>
      </c>
      <c r="L18">
        <v>652210</v>
      </c>
      <c r="N18">
        <v>650.91999999999996</v>
      </c>
      <c r="V18" t="s">
        <v>1358</v>
      </c>
      <c r="W18" t="s">
        <v>1378</v>
      </c>
      <c r="AE18">
        <v>3312</v>
      </c>
      <c r="AF18">
        <v>627706013312</v>
      </c>
      <c r="AL18" t="s">
        <v>1360</v>
      </c>
      <c r="AO18">
        <v>99999</v>
      </c>
    </row>
    <row r="19" spans="1:41">
      <c r="A19">
        <v>0</v>
      </c>
      <c r="B19">
        <v>1</v>
      </c>
      <c r="K19">
        <v>50</v>
      </c>
      <c r="L19">
        <v>652210</v>
      </c>
      <c r="N19">
        <v>48046.86</v>
      </c>
      <c r="V19" t="s">
        <v>1358</v>
      </c>
      <c r="W19" t="s">
        <v>1377</v>
      </c>
      <c r="AE19">
        <v>8111</v>
      </c>
      <c r="AF19">
        <v>627706018111</v>
      </c>
      <c r="AL19" t="s">
        <v>1360</v>
      </c>
      <c r="AO19">
        <v>99999</v>
      </c>
    </row>
    <row r="20" spans="1:41">
      <c r="A20">
        <v>0</v>
      </c>
      <c r="B20">
        <v>1</v>
      </c>
      <c r="K20">
        <v>50</v>
      </c>
      <c r="L20">
        <v>652210</v>
      </c>
      <c r="N20">
        <v>13092.77</v>
      </c>
      <c r="V20" t="s">
        <v>1358</v>
      </c>
      <c r="W20" t="s">
        <v>1376</v>
      </c>
      <c r="AE20">
        <v>8312</v>
      </c>
      <c r="AF20">
        <v>627706018312</v>
      </c>
      <c r="AL20" t="s">
        <v>1360</v>
      </c>
      <c r="AO20">
        <v>99999</v>
      </c>
    </row>
    <row r="21" spans="1:41">
      <c r="A21">
        <v>0</v>
      </c>
      <c r="B21">
        <v>1</v>
      </c>
      <c r="K21">
        <v>50</v>
      </c>
      <c r="L21">
        <v>652210</v>
      </c>
      <c r="N21">
        <v>11452.61</v>
      </c>
      <c r="V21" t="s">
        <v>1358</v>
      </c>
      <c r="W21" t="s">
        <v>1373</v>
      </c>
      <c r="AE21" t="s">
        <v>1374</v>
      </c>
      <c r="AF21" t="s">
        <v>1375</v>
      </c>
      <c r="AL21" t="s">
        <v>1360</v>
      </c>
      <c r="AO21">
        <v>99999</v>
      </c>
    </row>
    <row r="22" spans="1:41">
      <c r="A22">
        <v>0</v>
      </c>
      <c r="B22">
        <v>1</v>
      </c>
      <c r="K22">
        <v>50</v>
      </c>
      <c r="L22">
        <v>652210</v>
      </c>
      <c r="N22">
        <v>16489.650000000001</v>
      </c>
      <c r="V22" t="s">
        <v>1358</v>
      </c>
      <c r="W22" t="s">
        <v>1370</v>
      </c>
      <c r="AE22" t="s">
        <v>1371</v>
      </c>
      <c r="AF22" t="s">
        <v>1372</v>
      </c>
      <c r="AL22" t="s">
        <v>1360</v>
      </c>
      <c r="AO22">
        <v>99999</v>
      </c>
    </row>
    <row r="23" spans="1:41">
      <c r="A23">
        <v>0</v>
      </c>
      <c r="B23">
        <v>1</v>
      </c>
      <c r="K23">
        <v>50</v>
      </c>
      <c r="L23">
        <v>652210</v>
      </c>
      <c r="N23">
        <v>95.21</v>
      </c>
      <c r="V23" t="s">
        <v>1358</v>
      </c>
      <c r="W23" t="s">
        <v>1367</v>
      </c>
      <c r="AE23" t="s">
        <v>1368</v>
      </c>
      <c r="AF23" t="s">
        <v>1369</v>
      </c>
      <c r="AL23" t="s">
        <v>1360</v>
      </c>
      <c r="AO23">
        <v>99999</v>
      </c>
    </row>
    <row r="24" spans="1:41">
      <c r="A24">
        <v>0</v>
      </c>
      <c r="B24">
        <v>1</v>
      </c>
      <c r="K24">
        <v>50</v>
      </c>
      <c r="L24">
        <v>652210</v>
      </c>
      <c r="N24">
        <v>331.25</v>
      </c>
      <c r="V24" t="s">
        <v>1358</v>
      </c>
      <c r="W24" t="s">
        <v>1364</v>
      </c>
      <c r="AE24" t="s">
        <v>1365</v>
      </c>
      <c r="AF24" t="s">
        <v>1366</v>
      </c>
      <c r="AL24" t="s">
        <v>1360</v>
      </c>
      <c r="AO24">
        <v>99999</v>
      </c>
    </row>
    <row r="25" spans="1:41">
      <c r="A25">
        <v>0</v>
      </c>
      <c r="B25">
        <v>1</v>
      </c>
      <c r="K25">
        <v>50</v>
      </c>
      <c r="L25">
        <v>652210</v>
      </c>
      <c r="N25">
        <v>111.79</v>
      </c>
      <c r="V25" t="s">
        <v>1358</v>
      </c>
      <c r="W25" t="s">
        <v>1361</v>
      </c>
      <c r="AE25" t="s">
        <v>1362</v>
      </c>
      <c r="AF25" t="s">
        <v>1363</v>
      </c>
      <c r="AL25" t="s">
        <v>1360</v>
      </c>
      <c r="AO25">
        <v>99999</v>
      </c>
    </row>
    <row r="26" spans="1:41">
      <c r="A26">
        <v>0</v>
      </c>
      <c r="B26">
        <v>1</v>
      </c>
      <c r="K26">
        <v>50</v>
      </c>
      <c r="L26">
        <v>652210</v>
      </c>
      <c r="N26">
        <v>98.64</v>
      </c>
      <c r="V26" t="s">
        <v>1358</v>
      </c>
      <c r="W26" t="s">
        <v>1431</v>
      </c>
      <c r="AE26" t="s">
        <v>1382</v>
      </c>
      <c r="AF26" t="s">
        <v>1432</v>
      </c>
      <c r="AL26" t="s">
        <v>1360</v>
      </c>
      <c r="AO26">
        <v>99999</v>
      </c>
    </row>
    <row r="27" spans="1:41">
      <c r="A27">
        <v>0</v>
      </c>
      <c r="B27">
        <v>1</v>
      </c>
      <c r="K27">
        <v>50</v>
      </c>
      <c r="L27">
        <v>652210</v>
      </c>
      <c r="N27">
        <v>924.72</v>
      </c>
      <c r="V27" t="s">
        <v>1358</v>
      </c>
      <c r="W27" t="s">
        <v>1476</v>
      </c>
      <c r="AE27" t="s">
        <v>1399</v>
      </c>
      <c r="AF27" t="s">
        <v>1477</v>
      </c>
      <c r="AL27" t="s">
        <v>1360</v>
      </c>
      <c r="AO27">
        <v>99999</v>
      </c>
    </row>
    <row r="28" spans="1:41">
      <c r="A28">
        <v>0</v>
      </c>
      <c r="B28">
        <v>1</v>
      </c>
      <c r="K28">
        <v>50</v>
      </c>
      <c r="L28">
        <v>654010</v>
      </c>
      <c r="N28">
        <v>646233.09</v>
      </c>
      <c r="V28" t="s">
        <v>1358</v>
      </c>
      <c r="W28" t="s">
        <v>1753</v>
      </c>
      <c r="AE28">
        <v>1611</v>
      </c>
      <c r="AF28">
        <v>627400011611</v>
      </c>
      <c r="AL28" t="s">
        <v>1360</v>
      </c>
      <c r="AO28">
        <v>99999</v>
      </c>
    </row>
    <row r="29" spans="1:41">
      <c r="A29">
        <v>0</v>
      </c>
      <c r="B29">
        <v>1</v>
      </c>
      <c r="K29">
        <v>50</v>
      </c>
      <c r="L29">
        <v>654010</v>
      </c>
      <c r="N29">
        <v>311905.34999999998</v>
      </c>
      <c r="V29" t="s">
        <v>1358</v>
      </c>
      <c r="W29" t="s">
        <v>1754</v>
      </c>
      <c r="AE29">
        <v>1611</v>
      </c>
      <c r="AF29">
        <v>627400021611</v>
      </c>
      <c r="AL29" t="s">
        <v>1360</v>
      </c>
      <c r="AO29">
        <v>99999</v>
      </c>
    </row>
    <row r="30" spans="1:41">
      <c r="A30">
        <v>0</v>
      </c>
      <c r="B30">
        <v>1</v>
      </c>
      <c r="K30">
        <v>50</v>
      </c>
      <c r="L30">
        <v>651110</v>
      </c>
      <c r="N30">
        <v>299.60000000000002</v>
      </c>
      <c r="V30" t="s">
        <v>1358</v>
      </c>
      <c r="W30" t="s">
        <v>1389</v>
      </c>
      <c r="AE30" t="s">
        <v>1390</v>
      </c>
      <c r="AF30" t="s">
        <v>1391</v>
      </c>
      <c r="AL30" t="s">
        <v>1360</v>
      </c>
      <c r="AO30">
        <v>99999</v>
      </c>
    </row>
    <row r="31" spans="1:41">
      <c r="A31">
        <v>0</v>
      </c>
      <c r="B31">
        <v>1</v>
      </c>
      <c r="K31">
        <v>50</v>
      </c>
      <c r="L31">
        <v>644100</v>
      </c>
      <c r="N31">
        <v>35.65</v>
      </c>
      <c r="V31" t="s">
        <v>1358</v>
      </c>
      <c r="W31" t="s">
        <v>1733</v>
      </c>
      <c r="AE31" t="s">
        <v>1382</v>
      </c>
      <c r="AF31" t="s">
        <v>1734</v>
      </c>
      <c r="AL31" t="s">
        <v>1360</v>
      </c>
      <c r="AO31">
        <v>99999</v>
      </c>
    </row>
    <row r="32" spans="1:41">
      <c r="A32">
        <v>0</v>
      </c>
      <c r="B32">
        <v>1</v>
      </c>
      <c r="K32">
        <v>50</v>
      </c>
      <c r="L32">
        <v>644100</v>
      </c>
      <c r="N32">
        <v>556.71</v>
      </c>
      <c r="V32" t="s">
        <v>1358</v>
      </c>
      <c r="W32" t="s">
        <v>1423</v>
      </c>
      <c r="AE32" t="s">
        <v>1399</v>
      </c>
      <c r="AF32" t="s">
        <v>1424</v>
      </c>
      <c r="AL32" t="s">
        <v>1360</v>
      </c>
      <c r="AO32">
        <v>99999</v>
      </c>
    </row>
    <row r="33" spans="1:41">
      <c r="A33">
        <v>0</v>
      </c>
      <c r="B33">
        <v>1</v>
      </c>
      <c r="K33">
        <v>50</v>
      </c>
      <c r="L33">
        <v>644100</v>
      </c>
      <c r="N33">
        <v>491.6</v>
      </c>
      <c r="V33" t="s">
        <v>1358</v>
      </c>
      <c r="W33" t="s">
        <v>1421</v>
      </c>
      <c r="AE33" t="s">
        <v>1396</v>
      </c>
      <c r="AF33" t="s">
        <v>1422</v>
      </c>
      <c r="AL33" t="s">
        <v>1360</v>
      </c>
      <c r="AO33">
        <v>99999</v>
      </c>
    </row>
    <row r="34" spans="1:41">
      <c r="A34">
        <v>0</v>
      </c>
      <c r="B34">
        <v>1</v>
      </c>
      <c r="K34">
        <v>50</v>
      </c>
      <c r="L34">
        <v>644100</v>
      </c>
      <c r="N34">
        <v>331.83</v>
      </c>
      <c r="V34" t="s">
        <v>1358</v>
      </c>
      <c r="W34" t="s">
        <v>1419</v>
      </c>
      <c r="AE34" t="s">
        <v>1396</v>
      </c>
      <c r="AF34" t="s">
        <v>1420</v>
      </c>
      <c r="AL34" t="s">
        <v>1360</v>
      </c>
      <c r="AO34">
        <v>99999</v>
      </c>
    </row>
    <row r="35" spans="1:41">
      <c r="A35">
        <v>0</v>
      </c>
      <c r="B35">
        <v>1</v>
      </c>
      <c r="K35">
        <v>50</v>
      </c>
      <c r="L35">
        <v>644100</v>
      </c>
      <c r="N35">
        <v>594.21</v>
      </c>
      <c r="V35" t="s">
        <v>1358</v>
      </c>
      <c r="W35" t="s">
        <v>1735</v>
      </c>
      <c r="AE35" t="s">
        <v>1396</v>
      </c>
      <c r="AF35" t="s">
        <v>1736</v>
      </c>
      <c r="AL35" t="s">
        <v>1360</v>
      </c>
      <c r="AO35">
        <v>99999</v>
      </c>
    </row>
    <row r="36" spans="1:41">
      <c r="A36">
        <v>0</v>
      </c>
      <c r="B36">
        <v>1</v>
      </c>
      <c r="K36">
        <v>50</v>
      </c>
      <c r="L36">
        <v>644100</v>
      </c>
      <c r="N36">
        <v>368.6</v>
      </c>
      <c r="V36" t="s">
        <v>1358</v>
      </c>
      <c r="W36" t="s">
        <v>1852</v>
      </c>
      <c r="AE36" t="s">
        <v>1396</v>
      </c>
      <c r="AF36" t="s">
        <v>1853</v>
      </c>
      <c r="AL36" t="s">
        <v>1360</v>
      </c>
      <c r="AO36">
        <v>99999</v>
      </c>
    </row>
    <row r="37" spans="1:41">
      <c r="A37">
        <v>0</v>
      </c>
      <c r="B37">
        <v>1</v>
      </c>
      <c r="K37">
        <v>50</v>
      </c>
      <c r="L37">
        <v>644500</v>
      </c>
      <c r="N37">
        <v>1121.94</v>
      </c>
      <c r="V37" t="s">
        <v>1358</v>
      </c>
      <c r="W37" t="s">
        <v>1418</v>
      </c>
      <c r="AE37">
        <v>1213</v>
      </c>
      <c r="AF37">
        <v>627301021213</v>
      </c>
      <c r="AL37" t="s">
        <v>1360</v>
      </c>
      <c r="AO37">
        <v>99999</v>
      </c>
    </row>
    <row r="38" spans="1:41">
      <c r="A38">
        <v>0</v>
      </c>
      <c r="B38">
        <v>1</v>
      </c>
      <c r="K38">
        <v>50</v>
      </c>
      <c r="L38">
        <v>644500</v>
      </c>
      <c r="N38">
        <v>648</v>
      </c>
      <c r="V38" t="s">
        <v>1358</v>
      </c>
      <c r="W38" t="s">
        <v>1417</v>
      </c>
      <c r="AE38">
        <v>1213</v>
      </c>
      <c r="AF38">
        <v>627301991213</v>
      </c>
      <c r="AL38" t="s">
        <v>1360</v>
      </c>
      <c r="AO38">
        <v>99999</v>
      </c>
    </row>
    <row r="39" spans="1:41">
      <c r="A39">
        <v>0</v>
      </c>
      <c r="B39">
        <v>1</v>
      </c>
      <c r="K39">
        <v>50</v>
      </c>
      <c r="L39">
        <v>644500</v>
      </c>
      <c r="N39">
        <v>11634.17</v>
      </c>
      <c r="V39" t="s">
        <v>1358</v>
      </c>
      <c r="W39" t="s">
        <v>1416</v>
      </c>
      <c r="AE39">
        <v>1511</v>
      </c>
      <c r="AF39">
        <v>627301011511</v>
      </c>
      <c r="AL39" t="s">
        <v>1360</v>
      </c>
      <c r="AO39">
        <v>99999</v>
      </c>
    </row>
    <row r="40" spans="1:41">
      <c r="A40">
        <v>0</v>
      </c>
      <c r="B40">
        <v>1</v>
      </c>
      <c r="K40">
        <v>50</v>
      </c>
      <c r="L40">
        <v>644500</v>
      </c>
      <c r="N40">
        <v>495.94</v>
      </c>
      <c r="V40" t="s">
        <v>1358</v>
      </c>
      <c r="W40" t="s">
        <v>1415</v>
      </c>
      <c r="AE40">
        <v>3212</v>
      </c>
      <c r="AF40">
        <v>627301013212</v>
      </c>
      <c r="AL40" t="s">
        <v>1360</v>
      </c>
      <c r="AO40">
        <v>99999</v>
      </c>
    </row>
    <row r="41" spans="1:41">
      <c r="A41">
        <v>0</v>
      </c>
      <c r="B41">
        <v>1</v>
      </c>
      <c r="K41">
        <v>50</v>
      </c>
      <c r="L41">
        <v>644500</v>
      </c>
      <c r="N41">
        <v>698.46</v>
      </c>
      <c r="V41" t="s">
        <v>1358</v>
      </c>
      <c r="W41" t="s">
        <v>1414</v>
      </c>
      <c r="AE41">
        <v>8312</v>
      </c>
      <c r="AF41">
        <v>627301018312</v>
      </c>
      <c r="AL41" t="s">
        <v>1360</v>
      </c>
      <c r="AO41">
        <v>99999</v>
      </c>
    </row>
    <row r="42" spans="1:41">
      <c r="A42">
        <v>0</v>
      </c>
      <c r="B42">
        <v>1</v>
      </c>
      <c r="K42">
        <v>50</v>
      </c>
      <c r="L42">
        <v>644500</v>
      </c>
      <c r="N42">
        <v>827.32</v>
      </c>
      <c r="V42" t="s">
        <v>1358</v>
      </c>
      <c r="W42" t="s">
        <v>1413</v>
      </c>
      <c r="AE42">
        <v>8514</v>
      </c>
      <c r="AF42">
        <v>627301018514</v>
      </c>
      <c r="AL42" t="s">
        <v>1360</v>
      </c>
      <c r="AO42">
        <v>99999</v>
      </c>
    </row>
    <row r="43" spans="1:41">
      <c r="A43">
        <v>0</v>
      </c>
      <c r="B43">
        <v>1</v>
      </c>
      <c r="K43">
        <v>50</v>
      </c>
      <c r="L43">
        <v>644500</v>
      </c>
      <c r="N43">
        <v>76.45</v>
      </c>
      <c r="V43" t="s">
        <v>1358</v>
      </c>
      <c r="W43" t="s">
        <v>1412</v>
      </c>
      <c r="AE43">
        <v>8514</v>
      </c>
      <c r="AF43">
        <v>627301028514</v>
      </c>
      <c r="AL43" t="s">
        <v>1360</v>
      </c>
      <c r="AO43">
        <v>99999</v>
      </c>
    </row>
    <row r="44" spans="1:41">
      <c r="A44">
        <v>0</v>
      </c>
      <c r="B44">
        <v>1</v>
      </c>
      <c r="K44">
        <v>50</v>
      </c>
      <c r="L44">
        <v>644500</v>
      </c>
      <c r="N44">
        <v>8.6</v>
      </c>
      <c r="V44" t="s">
        <v>1358</v>
      </c>
      <c r="W44" t="s">
        <v>1681</v>
      </c>
      <c r="AE44" t="s">
        <v>1452</v>
      </c>
      <c r="AF44" t="s">
        <v>1682</v>
      </c>
      <c r="AL44" t="s">
        <v>1360</v>
      </c>
      <c r="AO44">
        <v>99999</v>
      </c>
    </row>
    <row r="45" spans="1:41">
      <c r="A45">
        <v>0</v>
      </c>
      <c r="B45">
        <v>1</v>
      </c>
      <c r="K45">
        <v>50</v>
      </c>
      <c r="L45">
        <v>644500</v>
      </c>
      <c r="N45">
        <v>22.7</v>
      </c>
      <c r="V45" t="s">
        <v>1358</v>
      </c>
      <c r="W45" t="s">
        <v>1410</v>
      </c>
      <c r="AE45" t="s">
        <v>1390</v>
      </c>
      <c r="AF45" t="s">
        <v>1411</v>
      </c>
      <c r="AL45" t="s">
        <v>1360</v>
      </c>
      <c r="AO45">
        <v>99999</v>
      </c>
    </row>
    <row r="46" spans="1:41">
      <c r="A46">
        <v>0</v>
      </c>
      <c r="B46">
        <v>1</v>
      </c>
      <c r="K46">
        <v>50</v>
      </c>
      <c r="L46">
        <v>644500</v>
      </c>
      <c r="N46">
        <v>77.84</v>
      </c>
      <c r="V46" t="s">
        <v>1358</v>
      </c>
      <c r="W46" t="s">
        <v>1407</v>
      </c>
      <c r="AE46" t="s">
        <v>1408</v>
      </c>
      <c r="AF46" t="s">
        <v>1409</v>
      </c>
      <c r="AL46" t="s">
        <v>1360</v>
      </c>
      <c r="AO46">
        <v>99999</v>
      </c>
    </row>
    <row r="47" spans="1:41">
      <c r="A47">
        <v>0</v>
      </c>
      <c r="B47">
        <v>1</v>
      </c>
      <c r="K47">
        <v>50</v>
      </c>
      <c r="L47">
        <v>644500</v>
      </c>
      <c r="N47">
        <v>390.6</v>
      </c>
      <c r="V47" t="s">
        <v>1358</v>
      </c>
      <c r="W47" t="s">
        <v>1405</v>
      </c>
      <c r="AE47" t="s">
        <v>1387</v>
      </c>
      <c r="AF47" t="s">
        <v>1406</v>
      </c>
      <c r="AL47" t="s">
        <v>1360</v>
      </c>
      <c r="AO47">
        <v>99999</v>
      </c>
    </row>
    <row r="48" spans="1:41">
      <c r="A48">
        <v>0</v>
      </c>
      <c r="B48">
        <v>1</v>
      </c>
      <c r="K48">
        <v>50</v>
      </c>
      <c r="L48">
        <v>644500</v>
      </c>
      <c r="N48">
        <v>712.99</v>
      </c>
      <c r="V48" t="s">
        <v>1358</v>
      </c>
      <c r="W48" t="s">
        <v>1403</v>
      </c>
      <c r="AE48" t="s">
        <v>1362</v>
      </c>
      <c r="AF48" t="s">
        <v>1404</v>
      </c>
      <c r="AL48" t="s">
        <v>1360</v>
      </c>
      <c r="AO48">
        <v>99999</v>
      </c>
    </row>
    <row r="49" spans="1:41">
      <c r="A49">
        <v>0</v>
      </c>
      <c r="B49">
        <v>1</v>
      </c>
      <c r="K49">
        <v>50</v>
      </c>
      <c r="L49">
        <v>644500</v>
      </c>
      <c r="N49">
        <v>328.79</v>
      </c>
      <c r="V49" t="s">
        <v>1358</v>
      </c>
      <c r="W49" t="s">
        <v>1401</v>
      </c>
      <c r="AE49" t="s">
        <v>1382</v>
      </c>
      <c r="AF49" t="s">
        <v>1402</v>
      </c>
      <c r="AL49" t="s">
        <v>1360</v>
      </c>
      <c r="AO49">
        <v>99999</v>
      </c>
    </row>
    <row r="50" spans="1:41">
      <c r="A50">
        <v>0</v>
      </c>
      <c r="B50">
        <v>1</v>
      </c>
      <c r="K50">
        <v>50</v>
      </c>
      <c r="L50">
        <v>644500</v>
      </c>
      <c r="N50">
        <v>68.260000000000005</v>
      </c>
      <c r="V50" t="s">
        <v>1358</v>
      </c>
      <c r="W50" t="s">
        <v>1398</v>
      </c>
      <c r="AE50" t="s">
        <v>1399</v>
      </c>
      <c r="AF50" t="s">
        <v>1400</v>
      </c>
      <c r="AL50" t="s">
        <v>1360</v>
      </c>
      <c r="AO50">
        <v>99999</v>
      </c>
    </row>
    <row r="51" spans="1:41">
      <c r="A51">
        <v>0</v>
      </c>
      <c r="B51">
        <v>1</v>
      </c>
      <c r="K51">
        <v>50</v>
      </c>
      <c r="L51">
        <v>644500</v>
      </c>
      <c r="N51">
        <v>761.95</v>
      </c>
      <c r="V51" t="s">
        <v>1358</v>
      </c>
      <c r="W51" t="s">
        <v>1395</v>
      </c>
      <c r="AE51" t="s">
        <v>1396</v>
      </c>
      <c r="AF51" t="s">
        <v>1397</v>
      </c>
      <c r="AL51" t="s">
        <v>1360</v>
      </c>
      <c r="AO51">
        <v>99999</v>
      </c>
    </row>
    <row r="52" spans="1:41">
      <c r="A52">
        <v>0</v>
      </c>
      <c r="B52">
        <v>1</v>
      </c>
      <c r="K52">
        <v>50</v>
      </c>
      <c r="L52">
        <v>651110</v>
      </c>
      <c r="N52">
        <v>4710.4399999999996</v>
      </c>
      <c r="V52" t="s">
        <v>1358</v>
      </c>
      <c r="W52" t="s">
        <v>1394</v>
      </c>
      <c r="AE52">
        <v>3221</v>
      </c>
      <c r="AF52">
        <v>627304013221</v>
      </c>
      <c r="AL52" t="s">
        <v>1360</v>
      </c>
      <c r="AO52">
        <v>99999</v>
      </c>
    </row>
    <row r="53" spans="1:41">
      <c r="A53">
        <v>0</v>
      </c>
      <c r="B53">
        <v>1</v>
      </c>
      <c r="K53">
        <v>50</v>
      </c>
      <c r="L53">
        <v>651110</v>
      </c>
      <c r="N53">
        <v>21257.59</v>
      </c>
      <c r="V53" t="s">
        <v>1358</v>
      </c>
      <c r="W53" t="s">
        <v>1393</v>
      </c>
      <c r="AE53">
        <v>8111</v>
      </c>
      <c r="AF53">
        <v>627304018111</v>
      </c>
      <c r="AL53" t="s">
        <v>1360</v>
      </c>
      <c r="AO53">
        <v>99999</v>
      </c>
    </row>
    <row r="54" spans="1:41">
      <c r="A54">
        <v>0</v>
      </c>
      <c r="B54">
        <v>1</v>
      </c>
      <c r="K54">
        <v>50</v>
      </c>
      <c r="L54">
        <v>651110</v>
      </c>
      <c r="N54">
        <v>3908.35</v>
      </c>
      <c r="V54" t="s">
        <v>1358</v>
      </c>
      <c r="W54" t="s">
        <v>1705</v>
      </c>
      <c r="AE54">
        <v>8312</v>
      </c>
      <c r="AF54">
        <v>627304018312</v>
      </c>
      <c r="AL54" t="s">
        <v>1360</v>
      </c>
      <c r="AO54">
        <v>99999</v>
      </c>
    </row>
    <row r="55" spans="1:41">
      <c r="A55">
        <v>0</v>
      </c>
      <c r="B55">
        <v>1</v>
      </c>
      <c r="K55">
        <v>50</v>
      </c>
      <c r="L55">
        <v>651110</v>
      </c>
      <c r="N55">
        <v>382.22</v>
      </c>
      <c r="V55" t="s">
        <v>1358</v>
      </c>
      <c r="W55" t="s">
        <v>1706</v>
      </c>
      <c r="AE55">
        <v>8312</v>
      </c>
      <c r="AF55">
        <v>627304048312</v>
      </c>
      <c r="AL55" t="s">
        <v>1360</v>
      </c>
      <c r="AO55">
        <v>99999</v>
      </c>
    </row>
    <row r="56" spans="1:41">
      <c r="A56">
        <v>0</v>
      </c>
      <c r="B56">
        <v>1</v>
      </c>
      <c r="K56">
        <v>50</v>
      </c>
      <c r="L56">
        <v>651110</v>
      </c>
      <c r="N56">
        <v>887.56</v>
      </c>
      <c r="V56" t="s">
        <v>1358</v>
      </c>
      <c r="W56" t="s">
        <v>1392</v>
      </c>
      <c r="AE56">
        <v>8514</v>
      </c>
      <c r="AF56">
        <v>627304018514</v>
      </c>
      <c r="AL56" t="s">
        <v>1360</v>
      </c>
      <c r="AO56">
        <v>99999</v>
      </c>
    </row>
    <row r="57" spans="1:41">
      <c r="A57">
        <v>0</v>
      </c>
      <c r="B57">
        <v>1</v>
      </c>
      <c r="K57">
        <v>50</v>
      </c>
      <c r="L57">
        <v>665010</v>
      </c>
      <c r="N57">
        <v>2824.8</v>
      </c>
      <c r="V57" t="s">
        <v>1358</v>
      </c>
      <c r="W57" t="s">
        <v>1462</v>
      </c>
      <c r="AE57" t="s">
        <v>1390</v>
      </c>
      <c r="AF57" t="s">
        <v>1463</v>
      </c>
      <c r="AL57" t="s">
        <v>1360</v>
      </c>
      <c r="AO57">
        <v>99999</v>
      </c>
    </row>
    <row r="58" spans="1:41">
      <c r="A58">
        <v>0</v>
      </c>
      <c r="B58">
        <v>1</v>
      </c>
      <c r="K58">
        <v>50</v>
      </c>
      <c r="L58">
        <v>667001</v>
      </c>
      <c r="N58">
        <v>307.10000000000002</v>
      </c>
      <c r="V58" t="s">
        <v>1358</v>
      </c>
      <c r="W58" t="s">
        <v>1461</v>
      </c>
      <c r="AE58">
        <v>1213</v>
      </c>
      <c r="AF58">
        <v>627714011213</v>
      </c>
      <c r="AL58" t="s">
        <v>1360</v>
      </c>
      <c r="AO58">
        <v>99999</v>
      </c>
    </row>
    <row r="59" spans="1:41">
      <c r="A59">
        <v>0</v>
      </c>
      <c r="B59">
        <v>1</v>
      </c>
      <c r="K59">
        <v>50</v>
      </c>
      <c r="L59">
        <v>667001</v>
      </c>
      <c r="N59">
        <v>1016.19</v>
      </c>
      <c r="V59" t="s">
        <v>1358</v>
      </c>
      <c r="W59" t="s">
        <v>1460</v>
      </c>
      <c r="AE59">
        <v>1213</v>
      </c>
      <c r="AF59">
        <v>627714021213</v>
      </c>
      <c r="AL59" t="s">
        <v>1360</v>
      </c>
      <c r="AO59">
        <v>99999</v>
      </c>
    </row>
    <row r="60" spans="1:41">
      <c r="A60">
        <v>0</v>
      </c>
      <c r="B60">
        <v>1</v>
      </c>
      <c r="K60">
        <v>50</v>
      </c>
      <c r="L60">
        <v>667001</v>
      </c>
      <c r="N60">
        <v>4.24</v>
      </c>
      <c r="V60" t="s">
        <v>1358</v>
      </c>
      <c r="W60" t="s">
        <v>1459</v>
      </c>
      <c r="AE60">
        <v>1213</v>
      </c>
      <c r="AF60">
        <v>627714031213</v>
      </c>
      <c r="AL60" t="s">
        <v>1360</v>
      </c>
      <c r="AO60">
        <v>99999</v>
      </c>
    </row>
    <row r="61" spans="1:41">
      <c r="A61">
        <v>0</v>
      </c>
      <c r="B61">
        <v>1</v>
      </c>
      <c r="K61">
        <v>50</v>
      </c>
      <c r="L61">
        <v>667111</v>
      </c>
      <c r="N61">
        <v>827.17</v>
      </c>
      <c r="V61" t="s">
        <v>1358</v>
      </c>
      <c r="W61" t="s">
        <v>1458</v>
      </c>
      <c r="AE61">
        <v>1213</v>
      </c>
      <c r="AF61">
        <v>627303011213</v>
      </c>
      <c r="AL61" t="s">
        <v>1360</v>
      </c>
      <c r="AO61">
        <v>99999</v>
      </c>
    </row>
    <row r="62" spans="1:41">
      <c r="A62">
        <v>0</v>
      </c>
      <c r="B62">
        <v>1</v>
      </c>
      <c r="K62">
        <v>50</v>
      </c>
      <c r="L62">
        <v>667111</v>
      </c>
      <c r="N62">
        <v>722.89</v>
      </c>
      <c r="V62" t="s">
        <v>1358</v>
      </c>
      <c r="W62" t="s">
        <v>1457</v>
      </c>
      <c r="AE62">
        <v>1213</v>
      </c>
      <c r="AF62">
        <v>627303021213</v>
      </c>
      <c r="AL62" t="s">
        <v>1360</v>
      </c>
      <c r="AO62">
        <v>99999</v>
      </c>
    </row>
    <row r="63" spans="1:41">
      <c r="A63">
        <v>0</v>
      </c>
      <c r="B63">
        <v>1</v>
      </c>
      <c r="K63">
        <v>50</v>
      </c>
      <c r="L63">
        <v>667111</v>
      </c>
      <c r="N63">
        <v>13.22</v>
      </c>
      <c r="V63" t="s">
        <v>1358</v>
      </c>
      <c r="W63" t="s">
        <v>1456</v>
      </c>
      <c r="AE63">
        <v>8111</v>
      </c>
      <c r="AF63">
        <v>627303018111</v>
      </c>
      <c r="AL63" t="s">
        <v>1360</v>
      </c>
      <c r="AO63">
        <v>99999</v>
      </c>
    </row>
    <row r="64" spans="1:41">
      <c r="A64">
        <v>0</v>
      </c>
      <c r="B64">
        <v>1</v>
      </c>
      <c r="K64">
        <v>50</v>
      </c>
      <c r="L64">
        <v>667111</v>
      </c>
      <c r="N64">
        <v>13.22</v>
      </c>
      <c r="V64" t="s">
        <v>1358</v>
      </c>
      <c r="W64" t="s">
        <v>1455</v>
      </c>
      <c r="AE64">
        <v>8411</v>
      </c>
      <c r="AF64">
        <v>627303018411</v>
      </c>
      <c r="AL64" t="s">
        <v>1360</v>
      </c>
      <c r="AO64">
        <v>99999</v>
      </c>
    </row>
    <row r="65" spans="1:41">
      <c r="A65">
        <v>0</v>
      </c>
      <c r="B65">
        <v>1</v>
      </c>
      <c r="K65">
        <v>50</v>
      </c>
      <c r="L65">
        <v>667111</v>
      </c>
      <c r="N65">
        <v>13.22</v>
      </c>
      <c r="V65" t="s">
        <v>1358</v>
      </c>
      <c r="W65" t="s">
        <v>1454</v>
      </c>
      <c r="AE65">
        <v>8514</v>
      </c>
      <c r="AF65">
        <v>627303018514</v>
      </c>
      <c r="AL65" t="s">
        <v>1360</v>
      </c>
      <c r="AO65">
        <v>99999</v>
      </c>
    </row>
    <row r="66" spans="1:41">
      <c r="A66">
        <v>0</v>
      </c>
      <c r="B66">
        <v>1</v>
      </c>
      <c r="K66">
        <v>50</v>
      </c>
      <c r="L66">
        <v>667111</v>
      </c>
      <c r="N66">
        <v>9.83</v>
      </c>
      <c r="V66" t="s">
        <v>1358</v>
      </c>
      <c r="W66" t="s">
        <v>1451</v>
      </c>
      <c r="AE66" t="s">
        <v>1452</v>
      </c>
      <c r="AF66" t="s">
        <v>1453</v>
      </c>
      <c r="AL66" t="s">
        <v>1360</v>
      </c>
      <c r="AO66">
        <v>99999</v>
      </c>
    </row>
    <row r="67" spans="1:41">
      <c r="A67">
        <v>0</v>
      </c>
      <c r="B67">
        <v>1</v>
      </c>
      <c r="K67">
        <v>50</v>
      </c>
      <c r="L67">
        <v>667111</v>
      </c>
      <c r="N67">
        <v>41.12</v>
      </c>
      <c r="V67" t="s">
        <v>1358</v>
      </c>
      <c r="W67" t="s">
        <v>1449</v>
      </c>
      <c r="AE67" t="s">
        <v>1362</v>
      </c>
      <c r="AF67" t="s">
        <v>1450</v>
      </c>
      <c r="AL67" t="s">
        <v>1360</v>
      </c>
      <c r="AO67">
        <v>99999</v>
      </c>
    </row>
    <row r="68" spans="1:41">
      <c r="A68">
        <v>0</v>
      </c>
      <c r="B68">
        <v>1</v>
      </c>
      <c r="K68">
        <v>50</v>
      </c>
      <c r="L68">
        <v>667821</v>
      </c>
      <c r="N68">
        <v>1522.02</v>
      </c>
      <c r="V68" t="s">
        <v>1358</v>
      </c>
      <c r="W68" t="s">
        <v>1448</v>
      </c>
      <c r="AE68">
        <v>1213</v>
      </c>
      <c r="AF68">
        <v>627810011213</v>
      </c>
      <c r="AL68" t="s">
        <v>1360</v>
      </c>
      <c r="AO68">
        <v>99999</v>
      </c>
    </row>
    <row r="69" spans="1:41">
      <c r="A69">
        <v>0</v>
      </c>
      <c r="B69">
        <v>1</v>
      </c>
      <c r="K69">
        <v>50</v>
      </c>
      <c r="L69">
        <v>667821</v>
      </c>
      <c r="N69">
        <v>2042.31</v>
      </c>
      <c r="V69" t="s">
        <v>1358</v>
      </c>
      <c r="W69" t="s">
        <v>1447</v>
      </c>
      <c r="AE69">
        <v>1213</v>
      </c>
      <c r="AF69">
        <v>627810021213</v>
      </c>
      <c r="AL69" t="s">
        <v>1360</v>
      </c>
      <c r="AO69">
        <v>99999</v>
      </c>
    </row>
    <row r="70" spans="1:41">
      <c r="A70">
        <v>0</v>
      </c>
      <c r="B70">
        <v>1</v>
      </c>
      <c r="K70">
        <v>50</v>
      </c>
      <c r="L70">
        <v>667821</v>
      </c>
      <c r="N70">
        <v>260.95</v>
      </c>
      <c r="V70" t="s">
        <v>1358</v>
      </c>
      <c r="W70" t="s">
        <v>1445</v>
      </c>
      <c r="AE70" t="s">
        <v>1408</v>
      </c>
      <c r="AF70" t="s">
        <v>1446</v>
      </c>
      <c r="AL70" t="s">
        <v>1360</v>
      </c>
      <c r="AO70">
        <v>99999</v>
      </c>
    </row>
    <row r="71" spans="1:41">
      <c r="A71">
        <v>0</v>
      </c>
      <c r="B71">
        <v>1</v>
      </c>
      <c r="K71">
        <v>50</v>
      </c>
      <c r="L71">
        <v>667821</v>
      </c>
      <c r="N71">
        <v>228.33</v>
      </c>
      <c r="V71" t="s">
        <v>1358</v>
      </c>
      <c r="W71" t="s">
        <v>1443</v>
      </c>
      <c r="AE71" t="s">
        <v>1365</v>
      </c>
      <c r="AF71" t="s">
        <v>1444</v>
      </c>
      <c r="AL71" t="s">
        <v>1360</v>
      </c>
      <c r="AO71">
        <v>99999</v>
      </c>
    </row>
    <row r="72" spans="1:41">
      <c r="A72">
        <v>0</v>
      </c>
      <c r="B72">
        <v>1</v>
      </c>
      <c r="K72">
        <v>50</v>
      </c>
      <c r="L72">
        <v>667821</v>
      </c>
      <c r="N72">
        <v>151.47999999999999</v>
      </c>
      <c r="V72" t="s">
        <v>1358</v>
      </c>
      <c r="W72" t="s">
        <v>1441</v>
      </c>
      <c r="AE72" t="s">
        <v>1362</v>
      </c>
      <c r="AF72" t="s">
        <v>1442</v>
      </c>
      <c r="AL72" t="s">
        <v>1360</v>
      </c>
      <c r="AO72">
        <v>99999</v>
      </c>
    </row>
    <row r="73" spans="1:41">
      <c r="A73">
        <v>0</v>
      </c>
      <c r="B73">
        <v>1</v>
      </c>
      <c r="K73">
        <v>50</v>
      </c>
      <c r="L73">
        <v>667821</v>
      </c>
      <c r="N73">
        <v>293.58</v>
      </c>
      <c r="V73" t="s">
        <v>1358</v>
      </c>
      <c r="W73" t="s">
        <v>1439</v>
      </c>
      <c r="AE73" t="s">
        <v>1396</v>
      </c>
      <c r="AF73" t="s">
        <v>1440</v>
      </c>
      <c r="AL73" t="s">
        <v>1360</v>
      </c>
      <c r="AO73">
        <v>99999</v>
      </c>
    </row>
    <row r="74" spans="1:41">
      <c r="A74">
        <v>0</v>
      </c>
      <c r="B74">
        <v>1</v>
      </c>
      <c r="K74">
        <v>50</v>
      </c>
      <c r="L74">
        <v>667831</v>
      </c>
      <c r="N74">
        <v>175.33</v>
      </c>
      <c r="V74" t="s">
        <v>1358</v>
      </c>
      <c r="W74" t="s">
        <v>1438</v>
      </c>
      <c r="AE74">
        <v>1213</v>
      </c>
      <c r="AF74">
        <v>627811021213</v>
      </c>
      <c r="AL74" t="s">
        <v>1360</v>
      </c>
      <c r="AO74">
        <v>99999</v>
      </c>
    </row>
    <row r="75" spans="1:41">
      <c r="A75">
        <v>0</v>
      </c>
      <c r="B75">
        <v>1</v>
      </c>
      <c r="K75">
        <v>50</v>
      </c>
      <c r="L75">
        <v>668000</v>
      </c>
      <c r="N75">
        <v>5059.28</v>
      </c>
      <c r="V75" t="s">
        <v>1358</v>
      </c>
      <c r="W75" t="s">
        <v>1437</v>
      </c>
      <c r="AE75">
        <v>1511</v>
      </c>
      <c r="AF75">
        <v>627722011511</v>
      </c>
      <c r="AL75" t="s">
        <v>1360</v>
      </c>
      <c r="AO75">
        <v>99999</v>
      </c>
    </row>
    <row r="76" spans="1:41">
      <c r="A76">
        <v>0</v>
      </c>
      <c r="B76">
        <v>1</v>
      </c>
      <c r="K76">
        <v>50</v>
      </c>
      <c r="L76">
        <v>668000</v>
      </c>
      <c r="N76">
        <v>40125.06</v>
      </c>
      <c r="V76" t="s">
        <v>1358</v>
      </c>
      <c r="W76" t="s">
        <v>1436</v>
      </c>
      <c r="AE76">
        <v>1511</v>
      </c>
      <c r="AF76">
        <v>627722021511</v>
      </c>
      <c r="AL76" t="s">
        <v>1360</v>
      </c>
      <c r="AO76">
        <v>99999</v>
      </c>
    </row>
    <row r="77" spans="1:41">
      <c r="A77">
        <v>0</v>
      </c>
      <c r="B77">
        <v>1</v>
      </c>
      <c r="K77">
        <v>50</v>
      </c>
      <c r="L77">
        <v>671000</v>
      </c>
      <c r="N77">
        <v>27315.599999999999</v>
      </c>
      <c r="V77" t="s">
        <v>1358</v>
      </c>
      <c r="W77" t="s">
        <v>1435</v>
      </c>
      <c r="AE77">
        <v>3311</v>
      </c>
      <c r="AF77">
        <v>627705013311</v>
      </c>
      <c r="AL77" t="s">
        <v>1360</v>
      </c>
      <c r="AO77">
        <v>99999</v>
      </c>
    </row>
    <row r="78" spans="1:41">
      <c r="A78">
        <v>0</v>
      </c>
      <c r="B78">
        <v>1</v>
      </c>
      <c r="K78">
        <v>50</v>
      </c>
      <c r="L78">
        <v>671000</v>
      </c>
      <c r="N78">
        <v>550.54</v>
      </c>
      <c r="V78" t="s">
        <v>1358</v>
      </c>
      <c r="W78" t="s">
        <v>1866</v>
      </c>
      <c r="AE78">
        <v>3311</v>
      </c>
      <c r="AF78">
        <v>627705993311</v>
      </c>
      <c r="AL78" t="s">
        <v>1360</v>
      </c>
      <c r="AO78">
        <v>99999</v>
      </c>
    </row>
    <row r="79" spans="1:41">
      <c r="A79">
        <v>0</v>
      </c>
      <c r="B79">
        <v>1</v>
      </c>
      <c r="K79">
        <v>50</v>
      </c>
      <c r="L79">
        <v>673001</v>
      </c>
      <c r="N79">
        <v>31603.72</v>
      </c>
      <c r="V79" t="s">
        <v>1358</v>
      </c>
      <c r="W79" t="s">
        <v>1683</v>
      </c>
      <c r="AE79">
        <v>1611</v>
      </c>
      <c r="AF79">
        <v>627701211611</v>
      </c>
      <c r="AL79" t="s">
        <v>1360</v>
      </c>
      <c r="AO79">
        <v>99999</v>
      </c>
    </row>
    <row r="80" spans="1:41">
      <c r="A80">
        <v>0</v>
      </c>
      <c r="B80">
        <v>1</v>
      </c>
      <c r="K80">
        <v>50</v>
      </c>
      <c r="L80">
        <v>673002</v>
      </c>
      <c r="N80">
        <v>818.67</v>
      </c>
      <c r="V80" t="s">
        <v>1358</v>
      </c>
      <c r="W80" t="s">
        <v>1434</v>
      </c>
      <c r="AE80">
        <v>8311</v>
      </c>
      <c r="AF80">
        <v>627703028311</v>
      </c>
      <c r="AL80" t="s">
        <v>1360</v>
      </c>
      <c r="AO80">
        <v>99999</v>
      </c>
    </row>
    <row r="81" spans="1:41">
      <c r="A81">
        <v>0</v>
      </c>
      <c r="B81">
        <v>1</v>
      </c>
      <c r="K81">
        <v>50</v>
      </c>
      <c r="L81">
        <v>688805</v>
      </c>
      <c r="N81">
        <v>200.64</v>
      </c>
      <c r="V81" t="s">
        <v>1358</v>
      </c>
      <c r="W81" t="s">
        <v>1433</v>
      </c>
      <c r="AE81">
        <v>3221</v>
      </c>
      <c r="AF81">
        <v>627899993221</v>
      </c>
      <c r="AL81" t="s">
        <v>1360</v>
      </c>
      <c r="AO81">
        <v>99999</v>
      </c>
    </row>
    <row r="82" spans="1:41">
      <c r="A82">
        <v>0</v>
      </c>
      <c r="B82">
        <v>1</v>
      </c>
      <c r="K82">
        <v>50</v>
      </c>
      <c r="L82">
        <v>691200</v>
      </c>
      <c r="N82">
        <v>99114.03</v>
      </c>
      <c r="V82" t="s">
        <v>1358</v>
      </c>
      <c r="W82" t="s">
        <v>1854</v>
      </c>
      <c r="AE82">
        <v>8511</v>
      </c>
      <c r="AF82">
        <v>621002008511</v>
      </c>
      <c r="AL82" t="s">
        <v>1360</v>
      </c>
      <c r="AO82">
        <v>99999</v>
      </c>
    </row>
    <row r="83" spans="1:41">
      <c r="A83">
        <v>0</v>
      </c>
      <c r="B83">
        <v>1</v>
      </c>
      <c r="K83">
        <v>50</v>
      </c>
      <c r="L83">
        <v>665010</v>
      </c>
      <c r="N83">
        <v>196.8</v>
      </c>
      <c r="V83" t="s">
        <v>1358</v>
      </c>
      <c r="W83" t="s">
        <v>1684</v>
      </c>
      <c r="AE83" t="s">
        <v>1452</v>
      </c>
      <c r="AF83" t="s">
        <v>1685</v>
      </c>
      <c r="AL83" t="s">
        <v>1360</v>
      </c>
      <c r="AO83">
        <v>99999</v>
      </c>
    </row>
    <row r="84" spans="1:41">
      <c r="A84">
        <v>0</v>
      </c>
      <c r="B84">
        <v>1</v>
      </c>
      <c r="K84">
        <v>50</v>
      </c>
      <c r="L84">
        <v>654010</v>
      </c>
      <c r="N84">
        <v>35992</v>
      </c>
      <c r="V84" t="s">
        <v>1358</v>
      </c>
      <c r="W84" t="s">
        <v>1755</v>
      </c>
      <c r="AE84">
        <v>1611</v>
      </c>
      <c r="AF84">
        <v>627400031611</v>
      </c>
      <c r="AL84" t="s">
        <v>1360</v>
      </c>
      <c r="AO84">
        <v>99999</v>
      </c>
    </row>
    <row r="85" spans="1:41">
      <c r="A85">
        <v>0</v>
      </c>
      <c r="B85">
        <v>1</v>
      </c>
      <c r="K85">
        <v>50</v>
      </c>
      <c r="L85">
        <v>654010</v>
      </c>
      <c r="N85">
        <v>34700</v>
      </c>
      <c r="V85" t="s">
        <v>1358</v>
      </c>
      <c r="W85" t="s">
        <v>1756</v>
      </c>
      <c r="AE85">
        <v>1611</v>
      </c>
      <c r="AF85">
        <v>627400041611</v>
      </c>
      <c r="AL85" t="s">
        <v>1360</v>
      </c>
      <c r="AO85">
        <v>99999</v>
      </c>
    </row>
    <row r="86" spans="1:41">
      <c r="A86">
        <v>0</v>
      </c>
      <c r="B86">
        <v>1</v>
      </c>
      <c r="K86">
        <v>50</v>
      </c>
      <c r="L86">
        <v>654010</v>
      </c>
      <c r="N86">
        <v>255434.42</v>
      </c>
      <c r="V86" t="s">
        <v>1358</v>
      </c>
      <c r="W86" t="s">
        <v>1757</v>
      </c>
      <c r="AE86">
        <v>1611</v>
      </c>
      <c r="AF86">
        <v>627400051611</v>
      </c>
      <c r="AL86" t="s">
        <v>1360</v>
      </c>
      <c r="AO86">
        <v>99999</v>
      </c>
    </row>
    <row r="87" spans="1:41">
      <c r="A87">
        <v>0</v>
      </c>
      <c r="B87">
        <v>1</v>
      </c>
      <c r="K87">
        <v>50</v>
      </c>
      <c r="L87">
        <v>654010</v>
      </c>
      <c r="N87">
        <v>19087</v>
      </c>
      <c r="V87" t="s">
        <v>1358</v>
      </c>
      <c r="W87" t="s">
        <v>1758</v>
      </c>
      <c r="AE87">
        <v>1611</v>
      </c>
      <c r="AF87">
        <v>627400061611</v>
      </c>
      <c r="AL87" t="s">
        <v>1360</v>
      </c>
      <c r="AO87">
        <v>99999</v>
      </c>
    </row>
    <row r="88" spans="1:41">
      <c r="A88">
        <v>0</v>
      </c>
      <c r="B88">
        <v>1</v>
      </c>
      <c r="K88">
        <v>50</v>
      </c>
      <c r="L88">
        <v>654010</v>
      </c>
      <c r="N88">
        <v>87989</v>
      </c>
      <c r="V88" t="s">
        <v>1358</v>
      </c>
      <c r="W88" t="s">
        <v>1759</v>
      </c>
      <c r="AE88">
        <v>1611</v>
      </c>
      <c r="AF88">
        <v>627400071611</v>
      </c>
      <c r="AL88" t="s">
        <v>1360</v>
      </c>
      <c r="AO88">
        <v>99999</v>
      </c>
    </row>
    <row r="89" spans="1:41">
      <c r="A89">
        <v>0</v>
      </c>
      <c r="B89">
        <v>1</v>
      </c>
      <c r="K89">
        <v>50</v>
      </c>
      <c r="L89">
        <v>661001</v>
      </c>
      <c r="N89">
        <v>237.76</v>
      </c>
      <c r="V89" t="s">
        <v>1358</v>
      </c>
      <c r="W89" t="s">
        <v>1475</v>
      </c>
      <c r="AE89">
        <v>3211</v>
      </c>
      <c r="AF89">
        <v>627805113211</v>
      </c>
      <c r="AL89" t="s">
        <v>1360</v>
      </c>
      <c r="AO89">
        <v>99999</v>
      </c>
    </row>
    <row r="90" spans="1:41">
      <c r="A90">
        <v>0</v>
      </c>
      <c r="B90">
        <v>1</v>
      </c>
      <c r="K90">
        <v>50</v>
      </c>
      <c r="L90">
        <v>661001</v>
      </c>
      <c r="N90">
        <v>287.72000000000003</v>
      </c>
      <c r="V90" t="s">
        <v>1358</v>
      </c>
      <c r="W90" t="s">
        <v>1474</v>
      </c>
      <c r="AE90">
        <v>3221</v>
      </c>
      <c r="AF90">
        <v>627805113221</v>
      </c>
      <c r="AL90" t="s">
        <v>1360</v>
      </c>
      <c r="AO90">
        <v>99999</v>
      </c>
    </row>
    <row r="91" spans="1:41">
      <c r="A91">
        <v>0</v>
      </c>
      <c r="B91">
        <v>1</v>
      </c>
      <c r="K91">
        <v>50</v>
      </c>
      <c r="L91">
        <v>661001</v>
      </c>
      <c r="N91">
        <v>1031.79</v>
      </c>
      <c r="V91" t="s">
        <v>1358</v>
      </c>
      <c r="W91" t="s">
        <v>1473</v>
      </c>
      <c r="AE91">
        <v>8111</v>
      </c>
      <c r="AF91">
        <v>627805128111</v>
      </c>
      <c r="AL91" t="s">
        <v>1360</v>
      </c>
      <c r="AO91">
        <v>99999</v>
      </c>
    </row>
    <row r="92" spans="1:41">
      <c r="A92">
        <v>0</v>
      </c>
      <c r="B92">
        <v>1</v>
      </c>
      <c r="K92">
        <v>50</v>
      </c>
      <c r="L92">
        <v>661001</v>
      </c>
      <c r="N92">
        <v>8.1999999999999993</v>
      </c>
      <c r="V92" t="s">
        <v>1358</v>
      </c>
      <c r="W92" t="s">
        <v>1855</v>
      </c>
      <c r="AE92">
        <v>8311</v>
      </c>
      <c r="AF92">
        <v>627805118311</v>
      </c>
      <c r="AL92" t="s">
        <v>1360</v>
      </c>
      <c r="AO92">
        <v>99999</v>
      </c>
    </row>
    <row r="93" spans="1:41">
      <c r="A93">
        <v>0</v>
      </c>
      <c r="B93">
        <v>1</v>
      </c>
      <c r="K93">
        <v>50</v>
      </c>
      <c r="L93">
        <v>661001</v>
      </c>
      <c r="N93">
        <v>91.18</v>
      </c>
      <c r="V93" t="s">
        <v>1358</v>
      </c>
      <c r="W93" t="s">
        <v>1737</v>
      </c>
      <c r="AE93">
        <v>8411</v>
      </c>
      <c r="AF93">
        <v>627805118411</v>
      </c>
      <c r="AL93" t="s">
        <v>1360</v>
      </c>
      <c r="AO93">
        <v>99999</v>
      </c>
    </row>
    <row r="94" spans="1:41">
      <c r="A94">
        <v>0</v>
      </c>
      <c r="B94">
        <v>1</v>
      </c>
      <c r="K94">
        <v>50</v>
      </c>
      <c r="L94">
        <v>661001</v>
      </c>
      <c r="N94">
        <v>2617.38</v>
      </c>
      <c r="V94" t="s">
        <v>1358</v>
      </c>
      <c r="W94" t="s">
        <v>1472</v>
      </c>
      <c r="AE94">
        <v>8411</v>
      </c>
      <c r="AF94">
        <v>627805128411</v>
      </c>
      <c r="AL94" t="s">
        <v>1360</v>
      </c>
      <c r="AO94">
        <v>99999</v>
      </c>
    </row>
    <row r="95" spans="1:41">
      <c r="A95">
        <v>0</v>
      </c>
      <c r="B95">
        <v>1</v>
      </c>
      <c r="K95">
        <v>50</v>
      </c>
      <c r="L95">
        <v>661001</v>
      </c>
      <c r="N95">
        <v>3030.42</v>
      </c>
      <c r="V95" t="s">
        <v>1358</v>
      </c>
      <c r="W95" t="s">
        <v>1471</v>
      </c>
      <c r="AE95">
        <v>8511</v>
      </c>
      <c r="AF95">
        <v>627805128511</v>
      </c>
      <c r="AL95" t="s">
        <v>1360</v>
      </c>
      <c r="AO95">
        <v>99999</v>
      </c>
    </row>
    <row r="96" spans="1:41">
      <c r="A96">
        <v>0</v>
      </c>
      <c r="B96">
        <v>1</v>
      </c>
      <c r="K96">
        <v>50</v>
      </c>
      <c r="L96">
        <v>661001</v>
      </c>
      <c r="N96">
        <v>1038.82</v>
      </c>
      <c r="V96" t="s">
        <v>1358</v>
      </c>
      <c r="W96" t="s">
        <v>1470</v>
      </c>
      <c r="AE96">
        <v>8512</v>
      </c>
      <c r="AF96">
        <v>627805128512</v>
      </c>
      <c r="AL96" t="s">
        <v>1360</v>
      </c>
      <c r="AO96">
        <v>99999</v>
      </c>
    </row>
    <row r="97" spans="1:41">
      <c r="A97">
        <v>0</v>
      </c>
      <c r="B97">
        <v>1</v>
      </c>
      <c r="K97">
        <v>50</v>
      </c>
      <c r="L97">
        <v>662201</v>
      </c>
      <c r="N97">
        <v>5412.35</v>
      </c>
      <c r="V97" t="s">
        <v>1358</v>
      </c>
      <c r="W97" t="s">
        <v>1469</v>
      </c>
      <c r="AE97">
        <v>1213</v>
      </c>
      <c r="AF97">
        <v>627702211213</v>
      </c>
      <c r="AL97" t="s">
        <v>1360</v>
      </c>
      <c r="AO97">
        <v>99999</v>
      </c>
    </row>
    <row r="98" spans="1:41">
      <c r="A98">
        <v>0</v>
      </c>
      <c r="B98">
        <v>1</v>
      </c>
      <c r="K98">
        <v>50</v>
      </c>
      <c r="L98">
        <v>662301</v>
      </c>
      <c r="N98">
        <v>2098.54</v>
      </c>
      <c r="V98" t="s">
        <v>1358</v>
      </c>
      <c r="W98" t="s">
        <v>1686</v>
      </c>
      <c r="AE98">
        <v>1213</v>
      </c>
      <c r="AF98">
        <v>627704211213</v>
      </c>
      <c r="AL98" t="s">
        <v>1360</v>
      </c>
      <c r="AO98">
        <v>99999</v>
      </c>
    </row>
    <row r="99" spans="1:41">
      <c r="A99">
        <v>0</v>
      </c>
      <c r="B99">
        <v>1</v>
      </c>
      <c r="K99">
        <v>50</v>
      </c>
      <c r="L99">
        <v>662401</v>
      </c>
      <c r="N99">
        <v>439.49</v>
      </c>
      <c r="V99" t="s">
        <v>1358</v>
      </c>
      <c r="W99" t="s">
        <v>1468</v>
      </c>
      <c r="AE99">
        <v>1213</v>
      </c>
      <c r="AF99">
        <v>627803211213</v>
      </c>
      <c r="AL99" t="s">
        <v>1360</v>
      </c>
      <c r="AO99">
        <v>99999</v>
      </c>
    </row>
    <row r="100" spans="1:41">
      <c r="A100">
        <v>0</v>
      </c>
      <c r="B100">
        <v>1</v>
      </c>
      <c r="K100">
        <v>50</v>
      </c>
      <c r="L100">
        <v>662401</v>
      </c>
      <c r="N100">
        <v>1068.49</v>
      </c>
      <c r="V100" t="s">
        <v>1358</v>
      </c>
      <c r="W100" t="s">
        <v>1856</v>
      </c>
      <c r="AE100">
        <v>1213</v>
      </c>
      <c r="AF100">
        <v>627803251213</v>
      </c>
      <c r="AL100" t="s">
        <v>1360</v>
      </c>
      <c r="AO100">
        <v>99999</v>
      </c>
    </row>
    <row r="101" spans="1:41">
      <c r="A101">
        <v>0</v>
      </c>
      <c r="B101">
        <v>1</v>
      </c>
      <c r="K101">
        <v>50</v>
      </c>
      <c r="L101">
        <v>662501</v>
      </c>
      <c r="N101">
        <v>62.55</v>
      </c>
      <c r="V101" t="s">
        <v>1358</v>
      </c>
      <c r="W101" t="s">
        <v>1738</v>
      </c>
      <c r="AE101">
        <v>1213</v>
      </c>
      <c r="AF101">
        <v>627804221213</v>
      </c>
      <c r="AL101" t="s">
        <v>1360</v>
      </c>
      <c r="AO101">
        <v>99999</v>
      </c>
    </row>
    <row r="102" spans="1:41">
      <c r="A102">
        <v>0</v>
      </c>
      <c r="B102">
        <v>1</v>
      </c>
      <c r="K102">
        <v>50</v>
      </c>
      <c r="L102">
        <v>662701</v>
      </c>
      <c r="N102">
        <v>314.61</v>
      </c>
      <c r="V102" t="s">
        <v>1358</v>
      </c>
      <c r="W102" t="s">
        <v>1467</v>
      </c>
      <c r="AE102">
        <v>1213</v>
      </c>
      <c r="AF102">
        <v>627806221213</v>
      </c>
      <c r="AL102" t="s">
        <v>1360</v>
      </c>
      <c r="AO102">
        <v>99999</v>
      </c>
    </row>
    <row r="103" spans="1:41">
      <c r="A103">
        <v>0</v>
      </c>
      <c r="B103">
        <v>1</v>
      </c>
      <c r="K103">
        <v>50</v>
      </c>
      <c r="L103">
        <v>663001</v>
      </c>
      <c r="N103">
        <v>24.81</v>
      </c>
      <c r="V103" t="s">
        <v>1358</v>
      </c>
      <c r="W103" t="s">
        <v>1466</v>
      </c>
      <c r="AE103">
        <v>1213</v>
      </c>
      <c r="AF103">
        <v>627802011213</v>
      </c>
      <c r="AL103" t="s">
        <v>1360</v>
      </c>
      <c r="AO103">
        <v>99999</v>
      </c>
    </row>
    <row r="104" spans="1:41">
      <c r="A104">
        <v>0</v>
      </c>
      <c r="B104">
        <v>1</v>
      </c>
      <c r="K104">
        <v>50</v>
      </c>
      <c r="L104">
        <v>663001</v>
      </c>
      <c r="N104">
        <v>44.59</v>
      </c>
      <c r="V104" t="s">
        <v>1358</v>
      </c>
      <c r="W104" t="s">
        <v>1465</v>
      </c>
      <c r="AE104">
        <v>1213</v>
      </c>
      <c r="AF104">
        <v>627802031213</v>
      </c>
      <c r="AL104" t="s">
        <v>1360</v>
      </c>
      <c r="AO104">
        <v>99999</v>
      </c>
    </row>
    <row r="105" spans="1:41">
      <c r="A105">
        <v>0</v>
      </c>
      <c r="B105">
        <v>1</v>
      </c>
      <c r="K105">
        <v>50</v>
      </c>
      <c r="L105">
        <v>665000</v>
      </c>
      <c r="N105">
        <v>41749.760000000002</v>
      </c>
      <c r="V105" t="s">
        <v>1358</v>
      </c>
      <c r="W105" t="s">
        <v>1857</v>
      </c>
      <c r="AE105">
        <v>8411</v>
      </c>
      <c r="AF105">
        <v>627201028411</v>
      </c>
      <c r="AL105" t="s">
        <v>1360</v>
      </c>
      <c r="AO105">
        <v>99999</v>
      </c>
    </row>
    <row r="106" spans="1:41">
      <c r="A106">
        <v>0</v>
      </c>
      <c r="B106">
        <v>1</v>
      </c>
      <c r="K106">
        <v>50</v>
      </c>
      <c r="L106">
        <v>665000</v>
      </c>
      <c r="N106">
        <v>1450.49</v>
      </c>
      <c r="V106" t="s">
        <v>1358</v>
      </c>
      <c r="W106" t="s">
        <v>1858</v>
      </c>
      <c r="AE106" t="s">
        <v>1452</v>
      </c>
      <c r="AF106" t="s">
        <v>1859</v>
      </c>
      <c r="AL106" t="s">
        <v>1360</v>
      </c>
      <c r="AO106">
        <v>99999</v>
      </c>
    </row>
    <row r="107" spans="1:41">
      <c r="A107">
        <v>0</v>
      </c>
      <c r="B107">
        <v>1</v>
      </c>
      <c r="K107">
        <v>50</v>
      </c>
      <c r="L107">
        <v>665000</v>
      </c>
      <c r="N107">
        <v>6404.73</v>
      </c>
      <c r="V107" t="s">
        <v>1358</v>
      </c>
      <c r="W107" t="s">
        <v>1860</v>
      </c>
      <c r="AE107" t="s">
        <v>1390</v>
      </c>
      <c r="AF107" t="s">
        <v>1861</v>
      </c>
      <c r="AL107" t="s">
        <v>1360</v>
      </c>
      <c r="AO107">
        <v>99999</v>
      </c>
    </row>
    <row r="108" spans="1:41">
      <c r="A108">
        <v>0</v>
      </c>
      <c r="B108">
        <v>1</v>
      </c>
      <c r="K108">
        <v>50</v>
      </c>
      <c r="L108">
        <v>665010</v>
      </c>
      <c r="N108">
        <v>74.17</v>
      </c>
      <c r="V108" t="s">
        <v>1358</v>
      </c>
      <c r="W108" t="s">
        <v>1739</v>
      </c>
      <c r="AE108">
        <v>3211</v>
      </c>
      <c r="AF108">
        <v>627713023211</v>
      </c>
      <c r="AL108" t="s">
        <v>1360</v>
      </c>
      <c r="AO108">
        <v>99999</v>
      </c>
    </row>
    <row r="109" spans="1:41">
      <c r="A109">
        <v>0</v>
      </c>
      <c r="B109">
        <v>1</v>
      </c>
      <c r="K109">
        <v>50</v>
      </c>
      <c r="L109">
        <v>665010</v>
      </c>
      <c r="N109">
        <v>617.39</v>
      </c>
      <c r="V109" t="s">
        <v>1358</v>
      </c>
      <c r="W109" t="s">
        <v>1464</v>
      </c>
      <c r="AE109">
        <v>8411</v>
      </c>
      <c r="AF109">
        <v>627713018411</v>
      </c>
      <c r="AL109" t="s">
        <v>1360</v>
      </c>
      <c r="AO109">
        <v>99999</v>
      </c>
    </row>
    <row r="110" spans="1:41">
      <c r="A110">
        <v>0</v>
      </c>
      <c r="B110">
        <v>1</v>
      </c>
      <c r="K110">
        <v>50</v>
      </c>
      <c r="L110">
        <v>624015</v>
      </c>
      <c r="N110">
        <v>1434.73</v>
      </c>
      <c r="V110" t="s">
        <v>1358</v>
      </c>
      <c r="W110" t="s">
        <v>1490</v>
      </c>
      <c r="AE110">
        <v>1211</v>
      </c>
      <c r="AF110">
        <v>622033011211</v>
      </c>
      <c r="AL110" t="s">
        <v>1360</v>
      </c>
      <c r="AO110">
        <v>99999</v>
      </c>
    </row>
    <row r="111" spans="1:41">
      <c r="A111">
        <v>0</v>
      </c>
      <c r="B111">
        <v>1</v>
      </c>
      <c r="K111">
        <v>50</v>
      </c>
      <c r="L111">
        <v>624020</v>
      </c>
      <c r="N111">
        <v>3339.19</v>
      </c>
      <c r="V111" t="s">
        <v>1358</v>
      </c>
      <c r="W111" t="s">
        <v>1489</v>
      </c>
      <c r="AE111">
        <v>1211</v>
      </c>
      <c r="AF111">
        <v>627120011211</v>
      </c>
      <c r="AL111" t="s">
        <v>1360</v>
      </c>
      <c r="AO111">
        <v>99999</v>
      </c>
    </row>
    <row r="112" spans="1:41">
      <c r="A112">
        <v>0</v>
      </c>
      <c r="B112">
        <v>1</v>
      </c>
      <c r="K112">
        <v>50</v>
      </c>
      <c r="L112">
        <v>624021</v>
      </c>
      <c r="N112">
        <v>23305.63</v>
      </c>
      <c r="V112" t="s">
        <v>1358</v>
      </c>
      <c r="W112" t="s">
        <v>1488</v>
      </c>
      <c r="AE112">
        <v>1211</v>
      </c>
      <c r="AF112">
        <v>627131011211</v>
      </c>
      <c r="AL112" t="s">
        <v>1360</v>
      </c>
      <c r="AO112">
        <v>99999</v>
      </c>
    </row>
    <row r="113" spans="1:41">
      <c r="A113">
        <v>0</v>
      </c>
      <c r="B113">
        <v>1</v>
      </c>
      <c r="K113">
        <v>50</v>
      </c>
      <c r="L113">
        <v>624022</v>
      </c>
      <c r="N113">
        <v>1786.99</v>
      </c>
      <c r="V113" t="s">
        <v>1358</v>
      </c>
      <c r="W113" t="s">
        <v>1487</v>
      </c>
      <c r="AE113">
        <v>1211</v>
      </c>
      <c r="AF113">
        <v>627160011211</v>
      </c>
      <c r="AL113" t="s">
        <v>1360</v>
      </c>
      <c r="AO113">
        <v>99999</v>
      </c>
    </row>
    <row r="114" spans="1:41">
      <c r="A114">
        <v>0</v>
      </c>
      <c r="B114">
        <v>1</v>
      </c>
      <c r="K114">
        <v>50</v>
      </c>
      <c r="L114">
        <v>624023</v>
      </c>
      <c r="N114">
        <v>5011.38</v>
      </c>
      <c r="V114" t="s">
        <v>1358</v>
      </c>
      <c r="W114" t="s">
        <v>1486</v>
      </c>
      <c r="AE114">
        <v>1211</v>
      </c>
      <c r="AF114">
        <v>627140011211</v>
      </c>
      <c r="AL114" t="s">
        <v>1360</v>
      </c>
      <c r="AO114">
        <v>99999</v>
      </c>
    </row>
    <row r="115" spans="1:41">
      <c r="A115">
        <v>0</v>
      </c>
      <c r="B115">
        <v>1</v>
      </c>
      <c r="K115">
        <v>50</v>
      </c>
      <c r="L115">
        <v>624024</v>
      </c>
      <c r="N115">
        <v>4994.07</v>
      </c>
      <c r="V115" t="s">
        <v>1358</v>
      </c>
      <c r="W115" t="s">
        <v>1485</v>
      </c>
      <c r="AE115">
        <v>1211</v>
      </c>
      <c r="AF115">
        <v>627131211211</v>
      </c>
      <c r="AL115" t="s">
        <v>1360</v>
      </c>
      <c r="AO115">
        <v>99999</v>
      </c>
    </row>
    <row r="116" spans="1:41">
      <c r="A116">
        <v>0</v>
      </c>
      <c r="B116">
        <v>1</v>
      </c>
      <c r="K116">
        <v>50</v>
      </c>
      <c r="L116">
        <v>624025</v>
      </c>
      <c r="N116">
        <v>832.36</v>
      </c>
      <c r="V116" t="s">
        <v>1358</v>
      </c>
      <c r="W116" t="s">
        <v>1484</v>
      </c>
      <c r="AE116">
        <v>1211</v>
      </c>
      <c r="AF116">
        <v>627033011211</v>
      </c>
      <c r="AL116" t="s">
        <v>1360</v>
      </c>
      <c r="AO116">
        <v>99999</v>
      </c>
    </row>
    <row r="117" spans="1:41">
      <c r="A117">
        <v>0</v>
      </c>
      <c r="B117">
        <v>1</v>
      </c>
      <c r="K117">
        <v>50</v>
      </c>
      <c r="L117">
        <v>624100</v>
      </c>
      <c r="N117">
        <v>424.96</v>
      </c>
      <c r="V117" t="s">
        <v>1358</v>
      </c>
      <c r="W117" t="s">
        <v>1688</v>
      </c>
      <c r="AE117">
        <v>1211</v>
      </c>
      <c r="AF117">
        <v>622041011211</v>
      </c>
      <c r="AL117" t="s">
        <v>1360</v>
      </c>
      <c r="AO117">
        <v>99999</v>
      </c>
    </row>
    <row r="118" spans="1:41">
      <c r="A118">
        <v>0</v>
      </c>
      <c r="B118">
        <v>1</v>
      </c>
      <c r="K118">
        <v>50</v>
      </c>
      <c r="L118">
        <v>624101</v>
      </c>
      <c r="N118">
        <v>256.44</v>
      </c>
      <c r="V118" t="s">
        <v>1358</v>
      </c>
      <c r="W118" t="s">
        <v>1687</v>
      </c>
      <c r="AE118">
        <v>1211</v>
      </c>
      <c r="AF118">
        <v>627141011211</v>
      </c>
      <c r="AL118" t="s">
        <v>1360</v>
      </c>
      <c r="AO118">
        <v>99999</v>
      </c>
    </row>
    <row r="119" spans="1:41">
      <c r="A119">
        <v>0</v>
      </c>
      <c r="B119">
        <v>1</v>
      </c>
      <c r="K119">
        <v>50</v>
      </c>
      <c r="L119">
        <v>624111</v>
      </c>
      <c r="N119">
        <v>413.22</v>
      </c>
      <c r="V119" t="s">
        <v>1358</v>
      </c>
      <c r="W119" t="s">
        <v>1483</v>
      </c>
      <c r="AE119">
        <v>1212</v>
      </c>
      <c r="AF119">
        <v>627801331212</v>
      </c>
      <c r="AL119" t="s">
        <v>1360</v>
      </c>
      <c r="AO119">
        <v>99999</v>
      </c>
    </row>
    <row r="120" spans="1:41">
      <c r="A120">
        <v>0</v>
      </c>
      <c r="B120">
        <v>1</v>
      </c>
      <c r="K120">
        <v>50</v>
      </c>
      <c r="L120">
        <v>624131</v>
      </c>
      <c r="N120">
        <v>1077.94</v>
      </c>
      <c r="V120" t="s">
        <v>1358</v>
      </c>
      <c r="W120" t="s">
        <v>1740</v>
      </c>
      <c r="AE120">
        <v>1213</v>
      </c>
      <c r="AF120">
        <v>627305111213</v>
      </c>
      <c r="AL120" t="s">
        <v>1360</v>
      </c>
      <c r="AO120">
        <v>99999</v>
      </c>
    </row>
    <row r="121" spans="1:41">
      <c r="A121">
        <v>0</v>
      </c>
      <c r="B121">
        <v>1</v>
      </c>
      <c r="K121">
        <v>50</v>
      </c>
      <c r="L121">
        <v>624131</v>
      </c>
      <c r="N121">
        <v>2807.2</v>
      </c>
      <c r="V121" t="s">
        <v>1358</v>
      </c>
      <c r="W121" t="s">
        <v>1482</v>
      </c>
      <c r="AE121">
        <v>3212</v>
      </c>
      <c r="AF121">
        <v>627305113212</v>
      </c>
      <c r="AL121" t="s">
        <v>1360</v>
      </c>
      <c r="AO121">
        <v>99999</v>
      </c>
    </row>
    <row r="122" spans="1:41">
      <c r="A122">
        <v>0</v>
      </c>
      <c r="B122">
        <v>1</v>
      </c>
      <c r="K122">
        <v>50</v>
      </c>
      <c r="L122">
        <v>624131</v>
      </c>
      <c r="N122">
        <v>80.02</v>
      </c>
      <c r="V122" t="s">
        <v>1358</v>
      </c>
      <c r="W122" t="s">
        <v>1480</v>
      </c>
      <c r="AE122" t="s">
        <v>1390</v>
      </c>
      <c r="AF122" t="s">
        <v>1481</v>
      </c>
      <c r="AL122" t="s">
        <v>1360</v>
      </c>
      <c r="AO122">
        <v>99999</v>
      </c>
    </row>
    <row r="123" spans="1:41">
      <c r="A123">
        <v>0</v>
      </c>
      <c r="B123">
        <v>1</v>
      </c>
      <c r="K123">
        <v>50</v>
      </c>
      <c r="L123">
        <v>624131</v>
      </c>
      <c r="N123">
        <v>175.24</v>
      </c>
      <c r="V123" t="s">
        <v>1358</v>
      </c>
      <c r="W123" t="s">
        <v>1478</v>
      </c>
      <c r="AE123" t="s">
        <v>1365</v>
      </c>
      <c r="AF123" t="s">
        <v>1479</v>
      </c>
      <c r="AL123" t="s">
        <v>1360</v>
      </c>
      <c r="AO123">
        <v>99999</v>
      </c>
    </row>
    <row r="124" spans="1:41">
      <c r="A124">
        <v>0</v>
      </c>
      <c r="B124">
        <v>1</v>
      </c>
      <c r="K124">
        <v>50</v>
      </c>
      <c r="L124">
        <v>624131</v>
      </c>
      <c r="N124">
        <v>1168.24</v>
      </c>
      <c r="V124" t="s">
        <v>1358</v>
      </c>
      <c r="W124" t="s">
        <v>1522</v>
      </c>
      <c r="AE124" t="s">
        <v>1382</v>
      </c>
      <c r="AF124" t="s">
        <v>1523</v>
      </c>
      <c r="AL124" t="s">
        <v>1360</v>
      </c>
      <c r="AO124">
        <v>99999</v>
      </c>
    </row>
    <row r="125" spans="1:41">
      <c r="A125">
        <v>0</v>
      </c>
      <c r="B125">
        <v>1</v>
      </c>
      <c r="K125">
        <v>50</v>
      </c>
      <c r="L125">
        <v>624131</v>
      </c>
      <c r="N125">
        <v>584.12</v>
      </c>
      <c r="V125" t="s">
        <v>1358</v>
      </c>
      <c r="W125" t="s">
        <v>1580</v>
      </c>
      <c r="AE125" t="s">
        <v>1399</v>
      </c>
      <c r="AF125" t="s">
        <v>1581</v>
      </c>
      <c r="AL125" t="s">
        <v>1360</v>
      </c>
      <c r="AO125">
        <v>99999</v>
      </c>
    </row>
    <row r="126" spans="1:41">
      <c r="A126">
        <v>0</v>
      </c>
      <c r="B126">
        <v>1</v>
      </c>
      <c r="K126">
        <v>50</v>
      </c>
      <c r="L126">
        <v>624131</v>
      </c>
      <c r="N126">
        <v>29.21</v>
      </c>
      <c r="V126" t="s">
        <v>1358</v>
      </c>
      <c r="W126" t="s">
        <v>1578</v>
      </c>
      <c r="AE126" t="s">
        <v>1396</v>
      </c>
      <c r="AF126" t="s">
        <v>1579</v>
      </c>
      <c r="AL126" t="s">
        <v>1360</v>
      </c>
      <c r="AO126">
        <v>99999</v>
      </c>
    </row>
    <row r="127" spans="1:41">
      <c r="A127">
        <v>0</v>
      </c>
      <c r="B127">
        <v>1</v>
      </c>
      <c r="K127">
        <v>50</v>
      </c>
      <c r="L127">
        <v>624133</v>
      </c>
      <c r="N127">
        <v>40991.919999999998</v>
      </c>
      <c r="V127" t="s">
        <v>1358</v>
      </c>
      <c r="W127" t="s">
        <v>1702</v>
      </c>
      <c r="AE127">
        <v>1213</v>
      </c>
      <c r="AF127">
        <v>627704111213</v>
      </c>
      <c r="AL127" t="s">
        <v>1360</v>
      </c>
      <c r="AO127">
        <v>99999</v>
      </c>
    </row>
    <row r="128" spans="1:41">
      <c r="A128">
        <v>0</v>
      </c>
      <c r="B128">
        <v>1</v>
      </c>
      <c r="K128">
        <v>50</v>
      </c>
      <c r="L128">
        <v>624133</v>
      </c>
      <c r="N128">
        <v>7420.79</v>
      </c>
      <c r="V128" t="s">
        <v>1358</v>
      </c>
      <c r="W128" t="s">
        <v>1701</v>
      </c>
      <c r="AE128">
        <v>1213</v>
      </c>
      <c r="AF128">
        <v>627704121213</v>
      </c>
      <c r="AL128" t="s">
        <v>1360</v>
      </c>
      <c r="AO128">
        <v>99999</v>
      </c>
    </row>
    <row r="129" spans="1:41">
      <c r="A129">
        <v>0</v>
      </c>
      <c r="B129">
        <v>1</v>
      </c>
      <c r="K129">
        <v>50</v>
      </c>
      <c r="L129">
        <v>624133</v>
      </c>
      <c r="N129">
        <v>2512.35</v>
      </c>
      <c r="V129" t="s">
        <v>1358</v>
      </c>
      <c r="W129" t="s">
        <v>1577</v>
      </c>
      <c r="AE129">
        <v>1213</v>
      </c>
      <c r="AF129">
        <v>627704131213</v>
      </c>
      <c r="AL129" t="s">
        <v>1360</v>
      </c>
      <c r="AO129">
        <v>99999</v>
      </c>
    </row>
    <row r="130" spans="1:41">
      <c r="A130">
        <v>0</v>
      </c>
      <c r="B130">
        <v>1</v>
      </c>
      <c r="K130">
        <v>50</v>
      </c>
      <c r="L130">
        <v>624141</v>
      </c>
      <c r="N130">
        <v>3467.06</v>
      </c>
      <c r="V130" t="s">
        <v>1358</v>
      </c>
      <c r="W130" t="s">
        <v>1576</v>
      </c>
      <c r="AE130">
        <v>1213</v>
      </c>
      <c r="AF130">
        <v>627804111213</v>
      </c>
      <c r="AL130" t="s">
        <v>1360</v>
      </c>
      <c r="AO130">
        <v>99999</v>
      </c>
    </row>
    <row r="131" spans="1:41">
      <c r="A131">
        <v>0</v>
      </c>
      <c r="B131">
        <v>1</v>
      </c>
      <c r="K131">
        <v>50</v>
      </c>
      <c r="L131">
        <v>624141</v>
      </c>
      <c r="N131">
        <v>24417.84</v>
      </c>
      <c r="V131" t="s">
        <v>1358</v>
      </c>
      <c r="W131" t="s">
        <v>1741</v>
      </c>
      <c r="AE131">
        <v>1213</v>
      </c>
      <c r="AF131">
        <v>627804121213</v>
      </c>
      <c r="AL131" t="s">
        <v>1360</v>
      </c>
      <c r="AO131">
        <v>99999</v>
      </c>
    </row>
    <row r="132" spans="1:41">
      <c r="A132">
        <v>0</v>
      </c>
      <c r="B132">
        <v>1</v>
      </c>
      <c r="K132">
        <v>50</v>
      </c>
      <c r="L132">
        <v>624161</v>
      </c>
      <c r="N132">
        <v>13094.98</v>
      </c>
      <c r="V132" t="s">
        <v>1358</v>
      </c>
      <c r="W132" t="s">
        <v>1575</v>
      </c>
      <c r="AE132">
        <v>1211</v>
      </c>
      <c r="AF132">
        <v>627806111211</v>
      </c>
      <c r="AL132" t="s">
        <v>1360</v>
      </c>
      <c r="AO132">
        <v>99999</v>
      </c>
    </row>
    <row r="133" spans="1:41">
      <c r="A133">
        <v>0</v>
      </c>
      <c r="B133">
        <v>1</v>
      </c>
      <c r="K133">
        <v>50</v>
      </c>
      <c r="L133">
        <v>624161</v>
      </c>
      <c r="N133">
        <v>33067.75</v>
      </c>
      <c r="V133" t="s">
        <v>1358</v>
      </c>
      <c r="W133" t="s">
        <v>1574</v>
      </c>
      <c r="AE133">
        <v>1213</v>
      </c>
      <c r="AF133">
        <v>627806121213</v>
      </c>
      <c r="AL133" t="s">
        <v>1360</v>
      </c>
      <c r="AO133">
        <v>99999</v>
      </c>
    </row>
    <row r="134" spans="1:41">
      <c r="A134">
        <v>0</v>
      </c>
      <c r="B134">
        <v>1</v>
      </c>
      <c r="K134">
        <v>50</v>
      </c>
      <c r="L134">
        <v>624161</v>
      </c>
      <c r="N134">
        <v>72.16</v>
      </c>
      <c r="V134" t="s">
        <v>1358</v>
      </c>
      <c r="W134" t="s">
        <v>1573</v>
      </c>
      <c r="AE134">
        <v>8512</v>
      </c>
      <c r="AF134">
        <v>627806128512</v>
      </c>
      <c r="AL134" t="s">
        <v>1360</v>
      </c>
      <c r="AO134">
        <v>99999</v>
      </c>
    </row>
    <row r="135" spans="1:41">
      <c r="A135">
        <v>0</v>
      </c>
      <c r="B135">
        <v>1</v>
      </c>
      <c r="K135">
        <v>50</v>
      </c>
      <c r="L135">
        <v>624161</v>
      </c>
      <c r="N135">
        <v>839.67</v>
      </c>
      <c r="V135" t="s">
        <v>1358</v>
      </c>
      <c r="W135" t="s">
        <v>1572</v>
      </c>
      <c r="AE135">
        <v>8514</v>
      </c>
      <c r="AF135">
        <v>627806128514</v>
      </c>
      <c r="AL135" t="s">
        <v>1360</v>
      </c>
      <c r="AO135">
        <v>99999</v>
      </c>
    </row>
    <row r="136" spans="1:41">
      <c r="A136">
        <v>0</v>
      </c>
      <c r="B136">
        <v>1</v>
      </c>
      <c r="K136">
        <v>50</v>
      </c>
      <c r="L136">
        <v>624014</v>
      </c>
      <c r="N136">
        <v>8608.32</v>
      </c>
      <c r="V136" t="s">
        <v>1358</v>
      </c>
      <c r="W136" t="s">
        <v>1491</v>
      </c>
      <c r="AE136">
        <v>1211</v>
      </c>
      <c r="AF136">
        <v>622031211211</v>
      </c>
      <c r="AL136" t="s">
        <v>1360</v>
      </c>
      <c r="AO136">
        <v>99999</v>
      </c>
    </row>
    <row r="137" spans="1:41">
      <c r="A137">
        <v>0</v>
      </c>
      <c r="B137">
        <v>1</v>
      </c>
      <c r="K137">
        <v>50</v>
      </c>
      <c r="L137">
        <v>600000</v>
      </c>
      <c r="N137">
        <v>534883.91</v>
      </c>
      <c r="V137" t="s">
        <v>1358</v>
      </c>
      <c r="W137" t="s">
        <v>1520</v>
      </c>
      <c r="AE137" t="s">
        <v>1408</v>
      </c>
      <c r="AF137" t="s">
        <v>1521</v>
      </c>
      <c r="AL137" t="s">
        <v>1360</v>
      </c>
      <c r="AO137">
        <v>99999</v>
      </c>
    </row>
    <row r="138" spans="1:41">
      <c r="A138">
        <v>0</v>
      </c>
      <c r="B138">
        <v>1</v>
      </c>
      <c r="K138">
        <v>50</v>
      </c>
      <c r="L138">
        <v>600000</v>
      </c>
      <c r="N138">
        <v>854867.11</v>
      </c>
      <c r="V138" t="s">
        <v>1358</v>
      </c>
      <c r="W138" t="s">
        <v>1518</v>
      </c>
      <c r="AE138" t="s">
        <v>1408</v>
      </c>
      <c r="AF138" t="s">
        <v>1519</v>
      </c>
      <c r="AL138" t="s">
        <v>1360</v>
      </c>
      <c r="AO138">
        <v>99999</v>
      </c>
    </row>
    <row r="139" spans="1:41">
      <c r="A139">
        <v>0</v>
      </c>
      <c r="B139">
        <v>1</v>
      </c>
      <c r="K139">
        <v>50</v>
      </c>
      <c r="L139">
        <v>600000</v>
      </c>
      <c r="N139">
        <v>283462.63</v>
      </c>
      <c r="V139" t="s">
        <v>1358</v>
      </c>
      <c r="W139" t="s">
        <v>1516</v>
      </c>
      <c r="AE139" t="s">
        <v>1408</v>
      </c>
      <c r="AF139" t="s">
        <v>1517</v>
      </c>
      <c r="AL139" t="s">
        <v>1360</v>
      </c>
      <c r="AO139">
        <v>99999</v>
      </c>
    </row>
    <row r="140" spans="1:41">
      <c r="A140">
        <v>0</v>
      </c>
      <c r="B140">
        <v>1</v>
      </c>
      <c r="K140">
        <v>50</v>
      </c>
      <c r="L140">
        <v>600000</v>
      </c>
      <c r="N140">
        <v>284649.75</v>
      </c>
      <c r="V140" t="s">
        <v>1358</v>
      </c>
      <c r="W140" t="s">
        <v>1514</v>
      </c>
      <c r="AE140" t="s">
        <v>1408</v>
      </c>
      <c r="AF140" t="s">
        <v>1515</v>
      </c>
      <c r="AL140" t="s">
        <v>1360</v>
      </c>
      <c r="AO140">
        <v>99999</v>
      </c>
    </row>
    <row r="141" spans="1:41">
      <c r="A141">
        <v>0</v>
      </c>
      <c r="B141">
        <v>1</v>
      </c>
      <c r="K141">
        <v>50</v>
      </c>
      <c r="L141">
        <v>600000</v>
      </c>
      <c r="N141">
        <v>1023228.14</v>
      </c>
      <c r="V141" t="s">
        <v>1358</v>
      </c>
      <c r="W141" t="s">
        <v>1512</v>
      </c>
      <c r="AE141" t="s">
        <v>1408</v>
      </c>
      <c r="AF141" t="s">
        <v>1513</v>
      </c>
      <c r="AL141" t="s">
        <v>1360</v>
      </c>
      <c r="AO141">
        <v>99999</v>
      </c>
    </row>
    <row r="142" spans="1:41">
      <c r="A142">
        <v>0</v>
      </c>
      <c r="B142">
        <v>1</v>
      </c>
      <c r="K142">
        <v>50</v>
      </c>
      <c r="L142">
        <v>621001</v>
      </c>
      <c r="N142">
        <v>270940.75</v>
      </c>
      <c r="V142" t="s">
        <v>1358</v>
      </c>
      <c r="W142" t="s">
        <v>1511</v>
      </c>
      <c r="AE142">
        <v>1211</v>
      </c>
      <c r="AF142">
        <v>622001111211</v>
      </c>
      <c r="AL142" t="s">
        <v>1360</v>
      </c>
      <c r="AO142">
        <v>99999</v>
      </c>
    </row>
    <row r="143" spans="1:41">
      <c r="A143">
        <v>0</v>
      </c>
      <c r="B143">
        <v>1</v>
      </c>
      <c r="K143">
        <v>50</v>
      </c>
      <c r="L143">
        <v>621001</v>
      </c>
      <c r="N143">
        <v>87770.83</v>
      </c>
      <c r="V143" t="s">
        <v>1358</v>
      </c>
      <c r="W143" t="s">
        <v>1510</v>
      </c>
      <c r="AE143">
        <v>1211</v>
      </c>
      <c r="AF143">
        <v>622001121211</v>
      </c>
      <c r="AL143" t="s">
        <v>1360</v>
      </c>
      <c r="AO143">
        <v>99999</v>
      </c>
    </row>
    <row r="144" spans="1:41">
      <c r="A144">
        <v>0</v>
      </c>
      <c r="B144">
        <v>1</v>
      </c>
      <c r="K144">
        <v>50</v>
      </c>
      <c r="L144">
        <v>621001</v>
      </c>
      <c r="N144">
        <v>10734.63</v>
      </c>
      <c r="V144" t="s">
        <v>1358</v>
      </c>
      <c r="W144" t="s">
        <v>1509</v>
      </c>
      <c r="AE144">
        <v>1211</v>
      </c>
      <c r="AF144">
        <v>622001131211</v>
      </c>
      <c r="AL144" t="s">
        <v>1360</v>
      </c>
      <c r="AO144">
        <v>99999</v>
      </c>
    </row>
    <row r="145" spans="1:41">
      <c r="A145">
        <v>0</v>
      </c>
      <c r="B145">
        <v>1</v>
      </c>
      <c r="K145">
        <v>50</v>
      </c>
      <c r="L145">
        <v>621001</v>
      </c>
      <c r="N145">
        <v>14281.67</v>
      </c>
      <c r="V145" t="s">
        <v>1358</v>
      </c>
      <c r="W145" t="s">
        <v>1508</v>
      </c>
      <c r="AE145">
        <v>1211</v>
      </c>
      <c r="AF145">
        <v>622001141211</v>
      </c>
      <c r="AL145" t="s">
        <v>1360</v>
      </c>
      <c r="AO145">
        <v>99999</v>
      </c>
    </row>
    <row r="146" spans="1:41">
      <c r="A146">
        <v>0</v>
      </c>
      <c r="B146">
        <v>1</v>
      </c>
      <c r="K146">
        <v>50</v>
      </c>
      <c r="L146">
        <v>621011</v>
      </c>
      <c r="N146">
        <v>156772.17000000001</v>
      </c>
      <c r="V146" t="s">
        <v>1358</v>
      </c>
      <c r="W146" t="s">
        <v>1507</v>
      </c>
      <c r="AE146">
        <v>1211</v>
      </c>
      <c r="AF146">
        <v>627101111211</v>
      </c>
      <c r="AL146" t="s">
        <v>1360</v>
      </c>
      <c r="AO146">
        <v>99999</v>
      </c>
    </row>
    <row r="147" spans="1:41">
      <c r="A147">
        <v>0</v>
      </c>
      <c r="B147">
        <v>1</v>
      </c>
      <c r="K147">
        <v>50</v>
      </c>
      <c r="L147">
        <v>621011</v>
      </c>
      <c r="N147">
        <v>25299.99</v>
      </c>
      <c r="V147" t="s">
        <v>1358</v>
      </c>
      <c r="W147" t="s">
        <v>1506</v>
      </c>
      <c r="AE147">
        <v>1211</v>
      </c>
      <c r="AF147">
        <v>627101121211</v>
      </c>
      <c r="AL147" t="s">
        <v>1360</v>
      </c>
      <c r="AO147">
        <v>99999</v>
      </c>
    </row>
    <row r="148" spans="1:41">
      <c r="A148">
        <v>0</v>
      </c>
      <c r="B148">
        <v>1</v>
      </c>
      <c r="K148">
        <v>50</v>
      </c>
      <c r="L148">
        <v>621011</v>
      </c>
      <c r="N148">
        <v>7624.13</v>
      </c>
      <c r="V148" t="s">
        <v>1358</v>
      </c>
      <c r="W148" t="s">
        <v>1505</v>
      </c>
      <c r="AE148">
        <v>1211</v>
      </c>
      <c r="AF148">
        <v>627101131211</v>
      </c>
      <c r="AL148" t="s">
        <v>1360</v>
      </c>
      <c r="AO148">
        <v>99999</v>
      </c>
    </row>
    <row r="149" spans="1:41">
      <c r="A149">
        <v>0</v>
      </c>
      <c r="B149">
        <v>1</v>
      </c>
      <c r="K149">
        <v>50</v>
      </c>
      <c r="L149">
        <v>621011</v>
      </c>
      <c r="N149">
        <v>20137.02</v>
      </c>
      <c r="V149" t="s">
        <v>1358</v>
      </c>
      <c r="W149" t="s">
        <v>1504</v>
      </c>
      <c r="AE149">
        <v>1211</v>
      </c>
      <c r="AF149">
        <v>627101141211</v>
      </c>
      <c r="AL149" t="s">
        <v>1360</v>
      </c>
      <c r="AO149">
        <v>99999</v>
      </c>
    </row>
    <row r="150" spans="1:41">
      <c r="A150">
        <v>0</v>
      </c>
      <c r="B150">
        <v>1</v>
      </c>
      <c r="K150">
        <v>50</v>
      </c>
      <c r="L150">
        <v>621012</v>
      </c>
      <c r="N150">
        <v>19782.64</v>
      </c>
      <c r="V150" t="s">
        <v>1358</v>
      </c>
      <c r="W150" t="s">
        <v>1503</v>
      </c>
      <c r="AE150">
        <v>1000</v>
      </c>
      <c r="AF150">
        <v>627101211000</v>
      </c>
      <c r="AL150" t="s">
        <v>1360</v>
      </c>
      <c r="AO150">
        <v>99999</v>
      </c>
    </row>
    <row r="151" spans="1:41">
      <c r="A151">
        <v>0</v>
      </c>
      <c r="B151">
        <v>1</v>
      </c>
      <c r="K151">
        <v>50</v>
      </c>
      <c r="L151">
        <v>621012</v>
      </c>
      <c r="N151">
        <v>12709.98</v>
      </c>
      <c r="V151" t="s">
        <v>1358</v>
      </c>
      <c r="W151" t="s">
        <v>1762</v>
      </c>
      <c r="AE151">
        <v>1000</v>
      </c>
      <c r="AF151">
        <v>627101241000</v>
      </c>
      <c r="AL151" t="s">
        <v>1360</v>
      </c>
      <c r="AO151">
        <v>99999</v>
      </c>
    </row>
    <row r="152" spans="1:41">
      <c r="A152">
        <v>0</v>
      </c>
      <c r="B152">
        <v>1</v>
      </c>
      <c r="K152">
        <v>50</v>
      </c>
      <c r="L152">
        <v>621013</v>
      </c>
      <c r="N152">
        <v>263.97000000000003</v>
      </c>
      <c r="V152" t="s">
        <v>1358</v>
      </c>
      <c r="W152" t="s">
        <v>1502</v>
      </c>
      <c r="AE152">
        <v>1211</v>
      </c>
      <c r="AF152">
        <v>627101311211</v>
      </c>
      <c r="AL152" t="s">
        <v>1360</v>
      </c>
      <c r="AO152">
        <v>99999</v>
      </c>
    </row>
    <row r="153" spans="1:41">
      <c r="A153">
        <v>0</v>
      </c>
      <c r="B153">
        <v>1</v>
      </c>
      <c r="K153">
        <v>50</v>
      </c>
      <c r="L153">
        <v>621013</v>
      </c>
      <c r="N153">
        <v>2.31</v>
      </c>
      <c r="V153" t="s">
        <v>1358</v>
      </c>
      <c r="W153" t="s">
        <v>1501</v>
      </c>
      <c r="AE153">
        <v>1211</v>
      </c>
      <c r="AF153">
        <v>627101321211</v>
      </c>
      <c r="AL153" t="s">
        <v>1360</v>
      </c>
      <c r="AO153">
        <v>99999</v>
      </c>
    </row>
    <row r="154" spans="1:41">
      <c r="A154">
        <v>0</v>
      </c>
      <c r="B154">
        <v>1</v>
      </c>
      <c r="K154">
        <v>50</v>
      </c>
      <c r="L154">
        <v>622001</v>
      </c>
      <c r="N154">
        <v>65862.960000000006</v>
      </c>
      <c r="V154" t="s">
        <v>1358</v>
      </c>
      <c r="W154" t="s">
        <v>1500</v>
      </c>
      <c r="AE154">
        <v>1211</v>
      </c>
      <c r="AF154">
        <v>622004111211</v>
      </c>
      <c r="AL154" t="s">
        <v>1360</v>
      </c>
      <c r="AO154">
        <v>99999</v>
      </c>
    </row>
    <row r="155" spans="1:41">
      <c r="A155">
        <v>0</v>
      </c>
      <c r="B155">
        <v>1</v>
      </c>
      <c r="K155">
        <v>50</v>
      </c>
      <c r="L155">
        <v>622001</v>
      </c>
      <c r="N155">
        <v>30527.93</v>
      </c>
      <c r="V155" t="s">
        <v>1358</v>
      </c>
      <c r="W155" t="s">
        <v>1499</v>
      </c>
      <c r="AE155">
        <v>1211</v>
      </c>
      <c r="AF155">
        <v>622004191211</v>
      </c>
      <c r="AL155" t="s">
        <v>1360</v>
      </c>
      <c r="AO155">
        <v>99999</v>
      </c>
    </row>
    <row r="156" spans="1:41">
      <c r="A156">
        <v>0</v>
      </c>
      <c r="B156">
        <v>1</v>
      </c>
      <c r="K156">
        <v>50</v>
      </c>
      <c r="L156">
        <v>622011</v>
      </c>
      <c r="N156">
        <v>29186.21</v>
      </c>
      <c r="V156" t="s">
        <v>1358</v>
      </c>
      <c r="W156" t="s">
        <v>1498</v>
      </c>
      <c r="AE156">
        <v>1211</v>
      </c>
      <c r="AF156">
        <v>627104111211</v>
      </c>
      <c r="AL156" t="s">
        <v>1360</v>
      </c>
      <c r="AO156">
        <v>99999</v>
      </c>
    </row>
    <row r="157" spans="1:41">
      <c r="A157">
        <v>0</v>
      </c>
      <c r="B157">
        <v>1</v>
      </c>
      <c r="K157">
        <v>50</v>
      </c>
      <c r="L157">
        <v>622011</v>
      </c>
      <c r="N157">
        <v>4576.9399999999996</v>
      </c>
      <c r="V157" t="s">
        <v>1358</v>
      </c>
      <c r="W157" t="s">
        <v>1497</v>
      </c>
      <c r="AE157">
        <v>1211</v>
      </c>
      <c r="AF157">
        <v>627104191211</v>
      </c>
      <c r="AL157" t="s">
        <v>1360</v>
      </c>
      <c r="AO157">
        <v>99999</v>
      </c>
    </row>
    <row r="158" spans="1:41">
      <c r="A158">
        <v>0</v>
      </c>
      <c r="B158">
        <v>1</v>
      </c>
      <c r="K158">
        <v>50</v>
      </c>
      <c r="L158">
        <v>622012</v>
      </c>
      <c r="N158">
        <v>4436.8100000000004</v>
      </c>
      <c r="V158" t="s">
        <v>1358</v>
      </c>
      <c r="W158" t="s">
        <v>1496</v>
      </c>
      <c r="AE158">
        <v>1000</v>
      </c>
      <c r="AF158">
        <v>627104211000</v>
      </c>
      <c r="AL158" t="s">
        <v>1360</v>
      </c>
      <c r="AO158">
        <v>99999</v>
      </c>
    </row>
    <row r="159" spans="1:41">
      <c r="A159">
        <v>0</v>
      </c>
      <c r="B159">
        <v>1</v>
      </c>
      <c r="K159">
        <v>50</v>
      </c>
      <c r="L159">
        <v>624010</v>
      </c>
      <c r="N159">
        <v>5738.88</v>
      </c>
      <c r="V159" t="s">
        <v>1358</v>
      </c>
      <c r="W159" t="s">
        <v>1495</v>
      </c>
      <c r="AE159">
        <v>1211</v>
      </c>
      <c r="AF159">
        <v>622020011211</v>
      </c>
      <c r="AL159" t="s">
        <v>1360</v>
      </c>
      <c r="AO159">
        <v>99999</v>
      </c>
    </row>
    <row r="160" spans="1:41">
      <c r="A160">
        <v>0</v>
      </c>
      <c r="B160">
        <v>1</v>
      </c>
      <c r="K160">
        <v>50</v>
      </c>
      <c r="L160">
        <v>624011</v>
      </c>
      <c r="N160">
        <v>40172.18</v>
      </c>
      <c r="V160" t="s">
        <v>1358</v>
      </c>
      <c r="W160" t="s">
        <v>1494</v>
      </c>
      <c r="AE160">
        <v>1211</v>
      </c>
      <c r="AF160">
        <v>622031011211</v>
      </c>
      <c r="AL160" t="s">
        <v>1360</v>
      </c>
      <c r="AO160">
        <v>99999</v>
      </c>
    </row>
    <row r="161" spans="1:41">
      <c r="A161">
        <v>0</v>
      </c>
      <c r="B161">
        <v>1</v>
      </c>
      <c r="K161">
        <v>50</v>
      </c>
      <c r="L161">
        <v>624012</v>
      </c>
      <c r="N161">
        <v>2869.44</v>
      </c>
      <c r="V161" t="s">
        <v>1358</v>
      </c>
      <c r="W161" t="s">
        <v>1493</v>
      </c>
      <c r="AE161">
        <v>1211</v>
      </c>
      <c r="AF161">
        <v>622060011211</v>
      </c>
      <c r="AL161" t="s">
        <v>1360</v>
      </c>
      <c r="AO161">
        <v>99999</v>
      </c>
    </row>
    <row r="162" spans="1:41">
      <c r="A162">
        <v>0</v>
      </c>
      <c r="B162">
        <v>1</v>
      </c>
      <c r="K162">
        <v>50</v>
      </c>
      <c r="L162">
        <v>624013</v>
      </c>
      <c r="N162">
        <v>8623.52</v>
      </c>
      <c r="V162" t="s">
        <v>1358</v>
      </c>
      <c r="W162" t="s">
        <v>1492</v>
      </c>
      <c r="AE162">
        <v>1211</v>
      </c>
      <c r="AF162">
        <v>622040011211</v>
      </c>
      <c r="AL162" t="s">
        <v>1360</v>
      </c>
      <c r="AO162">
        <v>99999</v>
      </c>
    </row>
    <row r="163" spans="1:41">
      <c r="A163">
        <v>0</v>
      </c>
      <c r="B163">
        <v>1</v>
      </c>
      <c r="K163">
        <v>50</v>
      </c>
      <c r="L163">
        <v>644100</v>
      </c>
      <c r="N163">
        <v>184.93</v>
      </c>
      <c r="V163" t="s">
        <v>1358</v>
      </c>
      <c r="W163" t="s">
        <v>1541</v>
      </c>
      <c r="AE163">
        <v>1213</v>
      </c>
      <c r="AF163">
        <v>627208021213</v>
      </c>
      <c r="AL163" t="s">
        <v>1360</v>
      </c>
      <c r="AO163">
        <v>99999</v>
      </c>
    </row>
    <row r="164" spans="1:41">
      <c r="A164">
        <v>0</v>
      </c>
      <c r="B164">
        <v>1</v>
      </c>
      <c r="K164">
        <v>50</v>
      </c>
      <c r="L164">
        <v>644100</v>
      </c>
      <c r="N164">
        <v>829.75</v>
      </c>
      <c r="V164" t="s">
        <v>1358</v>
      </c>
      <c r="W164" t="s">
        <v>1690</v>
      </c>
      <c r="AE164">
        <v>1213</v>
      </c>
      <c r="AF164">
        <v>627208061213</v>
      </c>
      <c r="AL164" t="s">
        <v>1360</v>
      </c>
      <c r="AO164">
        <v>99999</v>
      </c>
    </row>
    <row r="165" spans="1:41">
      <c r="A165">
        <v>0</v>
      </c>
      <c r="B165">
        <v>1</v>
      </c>
      <c r="K165">
        <v>50</v>
      </c>
      <c r="L165">
        <v>644100</v>
      </c>
      <c r="N165">
        <v>91.94</v>
      </c>
      <c r="V165" t="s">
        <v>1358</v>
      </c>
      <c r="W165" t="s">
        <v>1540</v>
      </c>
      <c r="AE165">
        <v>1213</v>
      </c>
      <c r="AF165">
        <v>627208991213</v>
      </c>
      <c r="AL165" t="s">
        <v>1360</v>
      </c>
      <c r="AO165">
        <v>99999</v>
      </c>
    </row>
    <row r="166" spans="1:41">
      <c r="A166">
        <v>0</v>
      </c>
      <c r="B166">
        <v>1</v>
      </c>
      <c r="K166">
        <v>50</v>
      </c>
      <c r="L166">
        <v>644100</v>
      </c>
      <c r="N166">
        <v>6856.16</v>
      </c>
      <c r="V166" t="s">
        <v>1358</v>
      </c>
      <c r="W166" t="s">
        <v>1539</v>
      </c>
      <c r="AE166">
        <v>3212</v>
      </c>
      <c r="AF166">
        <v>627208013212</v>
      </c>
      <c r="AL166" t="s">
        <v>1360</v>
      </c>
      <c r="AO166">
        <v>99999</v>
      </c>
    </row>
    <row r="167" spans="1:41">
      <c r="A167">
        <v>0</v>
      </c>
      <c r="B167">
        <v>1</v>
      </c>
      <c r="K167">
        <v>50</v>
      </c>
      <c r="L167">
        <v>644100</v>
      </c>
      <c r="N167">
        <v>178.26</v>
      </c>
      <c r="V167" t="s">
        <v>1358</v>
      </c>
      <c r="W167" t="s">
        <v>1742</v>
      </c>
      <c r="AE167">
        <v>3221</v>
      </c>
      <c r="AF167">
        <v>627208053221</v>
      </c>
      <c r="AL167" t="s">
        <v>1360</v>
      </c>
      <c r="AO167">
        <v>99999</v>
      </c>
    </row>
    <row r="168" spans="1:41">
      <c r="A168">
        <v>0</v>
      </c>
      <c r="B168">
        <v>1</v>
      </c>
      <c r="K168">
        <v>50</v>
      </c>
      <c r="L168">
        <v>644100</v>
      </c>
      <c r="N168">
        <v>6322.23</v>
      </c>
      <c r="V168" t="s">
        <v>1358</v>
      </c>
      <c r="W168" t="s">
        <v>1743</v>
      </c>
      <c r="AE168">
        <v>3312</v>
      </c>
      <c r="AF168">
        <v>627208053312</v>
      </c>
      <c r="AL168" t="s">
        <v>1360</v>
      </c>
      <c r="AO168">
        <v>99999</v>
      </c>
    </row>
    <row r="169" spans="1:41">
      <c r="A169">
        <v>0</v>
      </c>
      <c r="B169">
        <v>1</v>
      </c>
      <c r="K169">
        <v>50</v>
      </c>
      <c r="L169">
        <v>644100</v>
      </c>
      <c r="N169">
        <v>5714.1</v>
      </c>
      <c r="V169" t="s">
        <v>1358</v>
      </c>
      <c r="W169" t="s">
        <v>1689</v>
      </c>
      <c r="AE169">
        <v>8111</v>
      </c>
      <c r="AF169">
        <v>627208018111</v>
      </c>
      <c r="AL169" t="s">
        <v>1360</v>
      </c>
      <c r="AO169">
        <v>99999</v>
      </c>
    </row>
    <row r="170" spans="1:41">
      <c r="A170">
        <v>0</v>
      </c>
      <c r="B170">
        <v>1</v>
      </c>
      <c r="K170">
        <v>50</v>
      </c>
      <c r="L170">
        <v>644100</v>
      </c>
      <c r="N170">
        <v>818.88</v>
      </c>
      <c r="V170" t="s">
        <v>1358</v>
      </c>
      <c r="W170" t="s">
        <v>1538</v>
      </c>
      <c r="AE170">
        <v>8312</v>
      </c>
      <c r="AF170">
        <v>627208018312</v>
      </c>
      <c r="AL170" t="s">
        <v>1360</v>
      </c>
      <c r="AO170">
        <v>99999</v>
      </c>
    </row>
    <row r="171" spans="1:41">
      <c r="A171">
        <v>0</v>
      </c>
      <c r="B171">
        <v>1</v>
      </c>
      <c r="K171">
        <v>50</v>
      </c>
      <c r="L171">
        <v>644100</v>
      </c>
      <c r="N171">
        <v>506.27</v>
      </c>
      <c r="V171" t="s">
        <v>1358</v>
      </c>
      <c r="W171" t="s">
        <v>1744</v>
      </c>
      <c r="AE171">
        <v>8312</v>
      </c>
      <c r="AF171">
        <v>627208038312</v>
      </c>
      <c r="AL171" t="s">
        <v>1360</v>
      </c>
      <c r="AO171">
        <v>99999</v>
      </c>
    </row>
    <row r="172" spans="1:41">
      <c r="A172">
        <v>0</v>
      </c>
      <c r="B172">
        <v>1</v>
      </c>
      <c r="K172">
        <v>50</v>
      </c>
      <c r="L172">
        <v>644100</v>
      </c>
      <c r="N172">
        <v>3294.91</v>
      </c>
      <c r="V172" t="s">
        <v>1358</v>
      </c>
      <c r="W172" t="s">
        <v>1862</v>
      </c>
      <c r="AE172">
        <v>8312</v>
      </c>
      <c r="AF172">
        <v>627208998312</v>
      </c>
      <c r="AL172" t="s">
        <v>1360</v>
      </c>
      <c r="AO172">
        <v>99999</v>
      </c>
    </row>
    <row r="173" spans="1:41">
      <c r="A173">
        <v>0</v>
      </c>
      <c r="B173">
        <v>1</v>
      </c>
      <c r="K173">
        <v>50</v>
      </c>
      <c r="L173">
        <v>644100</v>
      </c>
      <c r="N173">
        <v>201.28</v>
      </c>
      <c r="V173" t="s">
        <v>1358</v>
      </c>
      <c r="W173" t="s">
        <v>1537</v>
      </c>
      <c r="AE173">
        <v>8411</v>
      </c>
      <c r="AF173">
        <v>627208018411</v>
      </c>
      <c r="AL173" t="s">
        <v>1360</v>
      </c>
      <c r="AO173">
        <v>99999</v>
      </c>
    </row>
    <row r="174" spans="1:41">
      <c r="A174">
        <v>0</v>
      </c>
      <c r="B174">
        <v>1</v>
      </c>
      <c r="K174">
        <v>50</v>
      </c>
      <c r="L174">
        <v>644100</v>
      </c>
      <c r="N174">
        <v>161.35</v>
      </c>
      <c r="V174" t="s">
        <v>1358</v>
      </c>
      <c r="W174" t="s">
        <v>1536</v>
      </c>
      <c r="AE174">
        <v>8514</v>
      </c>
      <c r="AF174">
        <v>627208018514</v>
      </c>
      <c r="AL174" t="s">
        <v>1360</v>
      </c>
      <c r="AO174">
        <v>99999</v>
      </c>
    </row>
    <row r="175" spans="1:41">
      <c r="A175">
        <v>0</v>
      </c>
      <c r="B175">
        <v>1</v>
      </c>
      <c r="K175">
        <v>50</v>
      </c>
      <c r="L175">
        <v>644100</v>
      </c>
      <c r="N175">
        <v>102.43</v>
      </c>
      <c r="V175" t="s">
        <v>1358</v>
      </c>
      <c r="W175" t="s">
        <v>1534</v>
      </c>
      <c r="AE175" t="s">
        <v>1452</v>
      </c>
      <c r="AF175" t="s">
        <v>1535</v>
      </c>
      <c r="AL175" t="s">
        <v>1360</v>
      </c>
      <c r="AO175">
        <v>99999</v>
      </c>
    </row>
    <row r="176" spans="1:41">
      <c r="A176">
        <v>0</v>
      </c>
      <c r="B176">
        <v>1</v>
      </c>
      <c r="K176">
        <v>50</v>
      </c>
      <c r="L176">
        <v>644100</v>
      </c>
      <c r="N176">
        <v>153</v>
      </c>
      <c r="V176" t="s">
        <v>1358</v>
      </c>
      <c r="W176" t="s">
        <v>1532</v>
      </c>
      <c r="AE176" t="s">
        <v>1390</v>
      </c>
      <c r="AF176" t="s">
        <v>1533</v>
      </c>
      <c r="AL176" t="s">
        <v>1360</v>
      </c>
      <c r="AO176">
        <v>99999</v>
      </c>
    </row>
    <row r="177" spans="1:41">
      <c r="A177">
        <v>0</v>
      </c>
      <c r="B177">
        <v>1</v>
      </c>
      <c r="K177">
        <v>50</v>
      </c>
      <c r="L177">
        <v>644100</v>
      </c>
      <c r="N177">
        <v>28.1</v>
      </c>
      <c r="V177" t="s">
        <v>1358</v>
      </c>
      <c r="W177" t="s">
        <v>1530</v>
      </c>
      <c r="AE177" t="s">
        <v>1408</v>
      </c>
      <c r="AF177" t="s">
        <v>1531</v>
      </c>
      <c r="AL177" t="s">
        <v>1360</v>
      </c>
      <c r="AO177">
        <v>99999</v>
      </c>
    </row>
    <row r="178" spans="1:41">
      <c r="A178">
        <v>0</v>
      </c>
      <c r="B178">
        <v>1</v>
      </c>
      <c r="K178">
        <v>50</v>
      </c>
      <c r="L178">
        <v>644100</v>
      </c>
      <c r="N178">
        <v>1908.31</v>
      </c>
      <c r="V178" t="s">
        <v>1358</v>
      </c>
      <c r="W178" t="s">
        <v>1745</v>
      </c>
      <c r="AE178" t="s">
        <v>1543</v>
      </c>
      <c r="AF178" t="s">
        <v>1746</v>
      </c>
      <c r="AL178" t="s">
        <v>1360</v>
      </c>
      <c r="AO178">
        <v>99999</v>
      </c>
    </row>
    <row r="179" spans="1:41">
      <c r="A179">
        <v>0</v>
      </c>
      <c r="B179">
        <v>1</v>
      </c>
      <c r="K179">
        <v>50</v>
      </c>
      <c r="L179">
        <v>644100</v>
      </c>
      <c r="N179">
        <v>899.6</v>
      </c>
      <c r="V179" t="s">
        <v>1358</v>
      </c>
      <c r="W179" t="s">
        <v>1528</v>
      </c>
      <c r="AE179" t="s">
        <v>1374</v>
      </c>
      <c r="AF179" t="s">
        <v>1529</v>
      </c>
      <c r="AL179" t="s">
        <v>1360</v>
      </c>
      <c r="AO179">
        <v>99999</v>
      </c>
    </row>
    <row r="180" spans="1:41">
      <c r="A180">
        <v>0</v>
      </c>
      <c r="B180">
        <v>1</v>
      </c>
      <c r="K180">
        <v>50</v>
      </c>
      <c r="L180">
        <v>644100</v>
      </c>
      <c r="N180">
        <v>695.79</v>
      </c>
      <c r="V180" t="s">
        <v>1358</v>
      </c>
      <c r="W180" t="s">
        <v>1526</v>
      </c>
      <c r="AE180" t="s">
        <v>1387</v>
      </c>
      <c r="AF180" t="s">
        <v>1527</v>
      </c>
      <c r="AL180" t="s">
        <v>1360</v>
      </c>
      <c r="AO180">
        <v>99999</v>
      </c>
    </row>
    <row r="181" spans="1:41">
      <c r="A181">
        <v>0</v>
      </c>
      <c r="B181">
        <v>1</v>
      </c>
      <c r="K181">
        <v>50</v>
      </c>
      <c r="L181">
        <v>644100</v>
      </c>
      <c r="N181">
        <v>71.31</v>
      </c>
      <c r="V181" t="s">
        <v>1358</v>
      </c>
      <c r="W181" t="s">
        <v>1747</v>
      </c>
      <c r="AE181" t="s">
        <v>1387</v>
      </c>
      <c r="AF181" t="s">
        <v>1748</v>
      </c>
      <c r="AL181" t="s">
        <v>1360</v>
      </c>
      <c r="AO181">
        <v>99999</v>
      </c>
    </row>
    <row r="182" spans="1:41">
      <c r="A182">
        <v>0</v>
      </c>
      <c r="B182">
        <v>1</v>
      </c>
      <c r="K182">
        <v>50</v>
      </c>
      <c r="L182">
        <v>644100</v>
      </c>
      <c r="N182">
        <v>1521.91</v>
      </c>
      <c r="V182" t="s">
        <v>1358</v>
      </c>
      <c r="W182" t="s">
        <v>1524</v>
      </c>
      <c r="AE182" t="s">
        <v>1365</v>
      </c>
      <c r="AF182" t="s">
        <v>1525</v>
      </c>
      <c r="AL182" t="s">
        <v>1360</v>
      </c>
      <c r="AO182">
        <v>99999</v>
      </c>
    </row>
    <row r="183" spans="1:41">
      <c r="A183">
        <v>0</v>
      </c>
      <c r="B183">
        <v>1</v>
      </c>
      <c r="K183">
        <v>50</v>
      </c>
      <c r="L183">
        <v>644100</v>
      </c>
      <c r="N183">
        <v>3208.74</v>
      </c>
      <c r="V183" t="s">
        <v>1358</v>
      </c>
      <c r="W183" t="s">
        <v>1729</v>
      </c>
      <c r="AE183" t="s">
        <v>1365</v>
      </c>
      <c r="AF183" t="s">
        <v>1730</v>
      </c>
      <c r="AL183" t="s">
        <v>1360</v>
      </c>
      <c r="AO183">
        <v>99999</v>
      </c>
    </row>
    <row r="184" spans="1:41">
      <c r="A184">
        <v>0</v>
      </c>
      <c r="B184">
        <v>1</v>
      </c>
      <c r="K184">
        <v>50</v>
      </c>
      <c r="L184">
        <v>644100</v>
      </c>
      <c r="N184">
        <v>1416.2</v>
      </c>
      <c r="V184" t="s">
        <v>1358</v>
      </c>
      <c r="W184" t="s">
        <v>1863</v>
      </c>
      <c r="AE184" t="s">
        <v>1365</v>
      </c>
      <c r="AF184" t="s">
        <v>1864</v>
      </c>
      <c r="AL184" t="s">
        <v>1360</v>
      </c>
      <c r="AO184">
        <v>99999</v>
      </c>
    </row>
    <row r="185" spans="1:41">
      <c r="A185">
        <v>0</v>
      </c>
      <c r="B185">
        <v>1</v>
      </c>
      <c r="K185">
        <v>50</v>
      </c>
      <c r="L185">
        <v>644100</v>
      </c>
      <c r="N185">
        <v>1210.07</v>
      </c>
      <c r="V185" t="s">
        <v>1358</v>
      </c>
      <c r="W185" t="s">
        <v>1429</v>
      </c>
      <c r="AE185" t="s">
        <v>1362</v>
      </c>
      <c r="AF185" t="s">
        <v>1430</v>
      </c>
      <c r="AL185" t="s">
        <v>1360</v>
      </c>
      <c r="AO185">
        <v>99999</v>
      </c>
    </row>
    <row r="186" spans="1:41">
      <c r="A186">
        <v>0</v>
      </c>
      <c r="B186">
        <v>1</v>
      </c>
      <c r="K186">
        <v>50</v>
      </c>
      <c r="L186">
        <v>644100</v>
      </c>
      <c r="N186">
        <v>665.52</v>
      </c>
      <c r="V186" t="s">
        <v>1358</v>
      </c>
      <c r="W186" t="s">
        <v>1731</v>
      </c>
      <c r="AE186" t="s">
        <v>1362</v>
      </c>
      <c r="AF186" t="s">
        <v>1732</v>
      </c>
      <c r="AL186" t="s">
        <v>1360</v>
      </c>
      <c r="AO186">
        <v>99999</v>
      </c>
    </row>
    <row r="187" spans="1:41">
      <c r="A187">
        <v>0</v>
      </c>
      <c r="B187">
        <v>1</v>
      </c>
      <c r="K187">
        <v>50</v>
      </c>
      <c r="L187">
        <v>644100</v>
      </c>
      <c r="N187">
        <v>5344.9</v>
      </c>
      <c r="V187" t="s">
        <v>1358</v>
      </c>
      <c r="W187" t="s">
        <v>1427</v>
      </c>
      <c r="AE187" t="s">
        <v>1362</v>
      </c>
      <c r="AF187" t="s">
        <v>1428</v>
      </c>
      <c r="AL187" t="s">
        <v>1360</v>
      </c>
      <c r="AO187">
        <v>99999</v>
      </c>
    </row>
    <row r="188" spans="1:41">
      <c r="A188">
        <v>0</v>
      </c>
      <c r="B188">
        <v>1</v>
      </c>
      <c r="K188">
        <v>50</v>
      </c>
      <c r="L188">
        <v>644100</v>
      </c>
      <c r="N188">
        <v>26.17</v>
      </c>
      <c r="V188" t="s">
        <v>1358</v>
      </c>
      <c r="W188" t="s">
        <v>1425</v>
      </c>
      <c r="AE188" t="s">
        <v>1382</v>
      </c>
      <c r="AF188" t="s">
        <v>1426</v>
      </c>
      <c r="AL188" t="s">
        <v>1360</v>
      </c>
      <c r="AO188">
        <v>99999</v>
      </c>
    </row>
    <row r="189" spans="1:41">
      <c r="A189">
        <v>0</v>
      </c>
      <c r="B189">
        <v>1</v>
      </c>
      <c r="K189">
        <v>50</v>
      </c>
      <c r="L189">
        <v>644041</v>
      </c>
      <c r="N189">
        <v>2545.1</v>
      </c>
      <c r="V189" t="s">
        <v>1358</v>
      </c>
      <c r="W189" t="s">
        <v>1691</v>
      </c>
      <c r="AE189">
        <v>8312</v>
      </c>
      <c r="AF189">
        <v>627712038312</v>
      </c>
      <c r="AL189" t="s">
        <v>1360</v>
      </c>
      <c r="AO189">
        <v>99999</v>
      </c>
    </row>
    <row r="190" spans="1:41">
      <c r="A190">
        <v>0</v>
      </c>
      <c r="B190">
        <v>1</v>
      </c>
      <c r="K190">
        <v>50</v>
      </c>
      <c r="L190">
        <v>630303</v>
      </c>
      <c r="N190">
        <v>11982.19</v>
      </c>
      <c r="V190" t="s">
        <v>1358</v>
      </c>
      <c r="W190" t="s">
        <v>1699</v>
      </c>
      <c r="AE190" t="s">
        <v>1408</v>
      </c>
      <c r="AF190" t="s">
        <v>1700</v>
      </c>
      <c r="AL190" t="s">
        <v>1360</v>
      </c>
      <c r="AO190">
        <v>99999</v>
      </c>
    </row>
    <row r="191" spans="1:41">
      <c r="A191">
        <v>0</v>
      </c>
      <c r="B191">
        <v>1</v>
      </c>
      <c r="K191">
        <v>50</v>
      </c>
      <c r="L191">
        <v>630404</v>
      </c>
      <c r="N191">
        <v>7933.88</v>
      </c>
      <c r="V191" t="s">
        <v>1358</v>
      </c>
      <c r="W191" t="s">
        <v>1571</v>
      </c>
      <c r="AE191">
        <v>1213</v>
      </c>
      <c r="AF191">
        <v>627708011213</v>
      </c>
      <c r="AL191" t="s">
        <v>1360</v>
      </c>
      <c r="AO191">
        <v>99999</v>
      </c>
    </row>
    <row r="192" spans="1:41">
      <c r="A192">
        <v>0</v>
      </c>
      <c r="B192">
        <v>1</v>
      </c>
      <c r="K192">
        <v>50</v>
      </c>
      <c r="L192">
        <v>630406</v>
      </c>
      <c r="N192">
        <v>4154.01</v>
      </c>
      <c r="V192" t="s">
        <v>1358</v>
      </c>
      <c r="W192" t="s">
        <v>1698</v>
      </c>
      <c r="AE192">
        <v>3221</v>
      </c>
      <c r="AF192">
        <v>627707013221</v>
      </c>
      <c r="AL192" t="s">
        <v>1360</v>
      </c>
      <c r="AO192">
        <v>99999</v>
      </c>
    </row>
    <row r="193" spans="1:41">
      <c r="A193">
        <v>0</v>
      </c>
      <c r="B193">
        <v>1</v>
      </c>
      <c r="K193">
        <v>50</v>
      </c>
      <c r="L193">
        <v>630406</v>
      </c>
      <c r="N193">
        <v>1076.76</v>
      </c>
      <c r="V193" t="s">
        <v>1358</v>
      </c>
      <c r="W193" t="s">
        <v>1570</v>
      </c>
      <c r="AE193">
        <v>3221</v>
      </c>
      <c r="AF193">
        <v>627707023221</v>
      </c>
      <c r="AL193" t="s">
        <v>1360</v>
      </c>
      <c r="AO193">
        <v>99999</v>
      </c>
    </row>
    <row r="194" spans="1:41">
      <c r="A194">
        <v>0</v>
      </c>
      <c r="B194">
        <v>1</v>
      </c>
      <c r="K194">
        <v>50</v>
      </c>
      <c r="L194">
        <v>630901</v>
      </c>
      <c r="N194">
        <v>232.63</v>
      </c>
      <c r="V194" t="s">
        <v>1358</v>
      </c>
      <c r="W194" t="s">
        <v>1569</v>
      </c>
      <c r="AE194">
        <v>3221</v>
      </c>
      <c r="AF194">
        <v>627799993221</v>
      </c>
      <c r="AL194" t="s">
        <v>1360</v>
      </c>
      <c r="AO194">
        <v>99999</v>
      </c>
    </row>
    <row r="195" spans="1:41">
      <c r="A195">
        <v>0</v>
      </c>
      <c r="B195">
        <v>1</v>
      </c>
      <c r="K195">
        <v>50</v>
      </c>
      <c r="L195">
        <v>641000</v>
      </c>
      <c r="N195">
        <v>69.349999999999994</v>
      </c>
      <c r="V195" t="s">
        <v>1358</v>
      </c>
      <c r="W195" t="s">
        <v>1568</v>
      </c>
      <c r="AE195">
        <v>3212</v>
      </c>
      <c r="AF195">
        <v>627202083212</v>
      </c>
      <c r="AL195" t="s">
        <v>1360</v>
      </c>
      <c r="AO195">
        <v>99999</v>
      </c>
    </row>
    <row r="196" spans="1:41">
      <c r="A196">
        <v>0</v>
      </c>
      <c r="B196">
        <v>1</v>
      </c>
      <c r="K196">
        <v>50</v>
      </c>
      <c r="L196">
        <v>641000</v>
      </c>
      <c r="N196">
        <v>157.91999999999999</v>
      </c>
      <c r="V196" t="s">
        <v>1358</v>
      </c>
      <c r="W196" t="s">
        <v>1567</v>
      </c>
      <c r="AE196">
        <v>3212</v>
      </c>
      <c r="AF196">
        <v>627202993212</v>
      </c>
      <c r="AL196" t="s">
        <v>1360</v>
      </c>
      <c r="AO196">
        <v>99999</v>
      </c>
    </row>
    <row r="197" spans="1:41">
      <c r="A197">
        <v>0</v>
      </c>
      <c r="B197">
        <v>1</v>
      </c>
      <c r="K197">
        <v>50</v>
      </c>
      <c r="L197">
        <v>641000</v>
      </c>
      <c r="N197">
        <v>8163.82</v>
      </c>
      <c r="V197" t="s">
        <v>1358</v>
      </c>
      <c r="W197" t="s">
        <v>1565</v>
      </c>
      <c r="AE197" t="s">
        <v>1365</v>
      </c>
      <c r="AF197" t="s">
        <v>1566</v>
      </c>
      <c r="AL197" t="s">
        <v>1360</v>
      </c>
      <c r="AO197">
        <v>99999</v>
      </c>
    </row>
    <row r="198" spans="1:41">
      <c r="A198">
        <v>0</v>
      </c>
      <c r="B198">
        <v>1</v>
      </c>
      <c r="K198">
        <v>50</v>
      </c>
      <c r="L198">
        <v>641000</v>
      </c>
      <c r="N198">
        <v>23909.31</v>
      </c>
      <c r="V198" t="s">
        <v>1358</v>
      </c>
      <c r="W198" t="s">
        <v>1563</v>
      </c>
      <c r="AE198" t="s">
        <v>1365</v>
      </c>
      <c r="AF198" t="s">
        <v>1564</v>
      </c>
      <c r="AL198" t="s">
        <v>1360</v>
      </c>
      <c r="AO198">
        <v>99999</v>
      </c>
    </row>
    <row r="199" spans="1:41">
      <c r="A199">
        <v>0</v>
      </c>
      <c r="B199">
        <v>1</v>
      </c>
      <c r="K199">
        <v>50</v>
      </c>
      <c r="L199">
        <v>641000</v>
      </c>
      <c r="N199">
        <v>209.02</v>
      </c>
      <c r="V199" t="s">
        <v>1358</v>
      </c>
      <c r="W199" t="s">
        <v>1561</v>
      </c>
      <c r="AE199" t="s">
        <v>1362</v>
      </c>
      <c r="AF199" t="s">
        <v>1562</v>
      </c>
      <c r="AL199" t="s">
        <v>1360</v>
      </c>
      <c r="AO199">
        <v>99999</v>
      </c>
    </row>
    <row r="200" spans="1:41">
      <c r="A200">
        <v>0</v>
      </c>
      <c r="B200">
        <v>1</v>
      </c>
      <c r="K200">
        <v>50</v>
      </c>
      <c r="L200">
        <v>641000</v>
      </c>
      <c r="N200">
        <v>3525.07</v>
      </c>
      <c r="V200" t="s">
        <v>1358</v>
      </c>
      <c r="W200" t="s">
        <v>1559</v>
      </c>
      <c r="AE200" t="s">
        <v>1362</v>
      </c>
      <c r="AF200" t="s">
        <v>1560</v>
      </c>
      <c r="AL200" t="s">
        <v>1360</v>
      </c>
      <c r="AO200">
        <v>99999</v>
      </c>
    </row>
    <row r="201" spans="1:41">
      <c r="A201">
        <v>0</v>
      </c>
      <c r="B201">
        <v>1</v>
      </c>
      <c r="K201">
        <v>50</v>
      </c>
      <c r="L201">
        <v>641000</v>
      </c>
      <c r="N201">
        <v>4243.51</v>
      </c>
      <c r="V201" t="s">
        <v>1358</v>
      </c>
      <c r="W201" t="s">
        <v>1696</v>
      </c>
      <c r="AE201" t="s">
        <v>1362</v>
      </c>
      <c r="AF201" t="s">
        <v>1697</v>
      </c>
      <c r="AL201" t="s">
        <v>1360</v>
      </c>
      <c r="AO201">
        <v>99999</v>
      </c>
    </row>
    <row r="202" spans="1:41">
      <c r="A202">
        <v>0</v>
      </c>
      <c r="B202">
        <v>1</v>
      </c>
      <c r="K202">
        <v>50</v>
      </c>
      <c r="L202">
        <v>641000</v>
      </c>
      <c r="N202">
        <v>2820.31</v>
      </c>
      <c r="V202" t="s">
        <v>1358</v>
      </c>
      <c r="W202" t="s">
        <v>1557</v>
      </c>
      <c r="AE202" t="s">
        <v>1382</v>
      </c>
      <c r="AF202" t="s">
        <v>1558</v>
      </c>
      <c r="AL202" t="s">
        <v>1360</v>
      </c>
      <c r="AO202">
        <v>99999</v>
      </c>
    </row>
    <row r="203" spans="1:41">
      <c r="A203">
        <v>0</v>
      </c>
      <c r="B203">
        <v>1</v>
      </c>
      <c r="K203">
        <v>50</v>
      </c>
      <c r="L203">
        <v>641000</v>
      </c>
      <c r="N203">
        <v>7847.12</v>
      </c>
      <c r="V203" t="s">
        <v>1358</v>
      </c>
      <c r="W203" t="s">
        <v>1555</v>
      </c>
      <c r="AE203" t="s">
        <v>1399</v>
      </c>
      <c r="AF203" t="s">
        <v>1556</v>
      </c>
      <c r="AL203" t="s">
        <v>1360</v>
      </c>
      <c r="AO203">
        <v>99999</v>
      </c>
    </row>
    <row r="204" spans="1:41">
      <c r="A204">
        <v>0</v>
      </c>
      <c r="B204">
        <v>1</v>
      </c>
      <c r="K204">
        <v>50</v>
      </c>
      <c r="L204">
        <v>641000</v>
      </c>
      <c r="N204">
        <v>2004.15</v>
      </c>
      <c r="V204" t="s">
        <v>1358</v>
      </c>
      <c r="W204" t="s">
        <v>1553</v>
      </c>
      <c r="AE204" t="s">
        <v>1396</v>
      </c>
      <c r="AF204" t="s">
        <v>1554</v>
      </c>
      <c r="AL204" t="s">
        <v>1360</v>
      </c>
      <c r="AO204">
        <v>99999</v>
      </c>
    </row>
    <row r="205" spans="1:41">
      <c r="A205">
        <v>0</v>
      </c>
      <c r="B205">
        <v>1</v>
      </c>
      <c r="K205">
        <v>50</v>
      </c>
      <c r="L205">
        <v>641000</v>
      </c>
      <c r="N205">
        <v>4813.7700000000004</v>
      </c>
      <c r="V205" t="s">
        <v>1358</v>
      </c>
      <c r="W205" t="s">
        <v>1551</v>
      </c>
      <c r="AE205" t="s">
        <v>1396</v>
      </c>
      <c r="AF205" t="s">
        <v>1552</v>
      </c>
      <c r="AL205" t="s">
        <v>1360</v>
      </c>
      <c r="AO205">
        <v>99999</v>
      </c>
    </row>
    <row r="206" spans="1:41">
      <c r="A206">
        <v>0</v>
      </c>
      <c r="B206">
        <v>1</v>
      </c>
      <c r="K206">
        <v>50</v>
      </c>
      <c r="L206">
        <v>641000</v>
      </c>
      <c r="N206">
        <v>48.27</v>
      </c>
      <c r="V206" t="s">
        <v>1358</v>
      </c>
      <c r="W206" t="s">
        <v>1549</v>
      </c>
      <c r="AE206" t="s">
        <v>1396</v>
      </c>
      <c r="AF206" t="s">
        <v>1550</v>
      </c>
      <c r="AL206" t="s">
        <v>1360</v>
      </c>
      <c r="AO206">
        <v>99999</v>
      </c>
    </row>
    <row r="207" spans="1:41">
      <c r="A207">
        <v>0</v>
      </c>
      <c r="B207">
        <v>1</v>
      </c>
      <c r="K207">
        <v>50</v>
      </c>
      <c r="L207">
        <v>641000</v>
      </c>
      <c r="N207">
        <v>4200.5600000000004</v>
      </c>
      <c r="V207" t="s">
        <v>1358</v>
      </c>
      <c r="W207" t="s">
        <v>1760</v>
      </c>
      <c r="AE207" t="s">
        <v>1396</v>
      </c>
      <c r="AF207" t="s">
        <v>1761</v>
      </c>
      <c r="AL207" t="s">
        <v>1360</v>
      </c>
      <c r="AO207">
        <v>99999</v>
      </c>
    </row>
    <row r="208" spans="1:41">
      <c r="A208">
        <v>0</v>
      </c>
      <c r="B208">
        <v>1</v>
      </c>
      <c r="K208">
        <v>50</v>
      </c>
      <c r="L208">
        <v>642000</v>
      </c>
      <c r="N208">
        <v>7514.72</v>
      </c>
      <c r="V208" t="s">
        <v>1358</v>
      </c>
      <c r="W208" t="s">
        <v>1749</v>
      </c>
      <c r="AE208" t="s">
        <v>1543</v>
      </c>
      <c r="AF208" t="s">
        <v>1750</v>
      </c>
      <c r="AL208" t="s">
        <v>1360</v>
      </c>
      <c r="AO208">
        <v>99999</v>
      </c>
    </row>
    <row r="209" spans="1:41">
      <c r="A209">
        <v>0</v>
      </c>
      <c r="B209">
        <v>1</v>
      </c>
      <c r="K209">
        <v>50</v>
      </c>
      <c r="L209">
        <v>642000</v>
      </c>
      <c r="N209">
        <v>307.18</v>
      </c>
      <c r="V209" t="s">
        <v>1358</v>
      </c>
      <c r="W209" t="s">
        <v>1751</v>
      </c>
      <c r="AE209" t="s">
        <v>1543</v>
      </c>
      <c r="AF209" t="s">
        <v>1752</v>
      </c>
      <c r="AL209" t="s">
        <v>1360</v>
      </c>
      <c r="AO209">
        <v>99999</v>
      </c>
    </row>
    <row r="210" spans="1:41">
      <c r="A210">
        <v>0</v>
      </c>
      <c r="B210">
        <v>1</v>
      </c>
      <c r="K210">
        <v>50</v>
      </c>
      <c r="L210">
        <v>642000</v>
      </c>
      <c r="N210">
        <v>68491.58</v>
      </c>
      <c r="V210" t="s">
        <v>1358</v>
      </c>
      <c r="W210" t="s">
        <v>1694</v>
      </c>
      <c r="AE210" t="s">
        <v>1543</v>
      </c>
      <c r="AF210" t="s">
        <v>1695</v>
      </c>
      <c r="AL210" t="s">
        <v>1360</v>
      </c>
      <c r="AO210">
        <v>99999</v>
      </c>
    </row>
    <row r="211" spans="1:41">
      <c r="A211">
        <v>0</v>
      </c>
      <c r="B211">
        <v>1</v>
      </c>
      <c r="K211">
        <v>50</v>
      </c>
      <c r="L211">
        <v>643001</v>
      </c>
      <c r="N211">
        <v>149291.74</v>
      </c>
      <c r="V211" t="s">
        <v>1358</v>
      </c>
      <c r="W211" t="s">
        <v>1547</v>
      </c>
      <c r="AE211" t="s">
        <v>1543</v>
      </c>
      <c r="AF211" t="s">
        <v>1548</v>
      </c>
      <c r="AL211" t="s">
        <v>1360</v>
      </c>
      <c r="AO211">
        <v>99999</v>
      </c>
    </row>
    <row r="212" spans="1:41">
      <c r="A212">
        <v>0</v>
      </c>
      <c r="B212">
        <v>1</v>
      </c>
      <c r="K212">
        <v>50</v>
      </c>
      <c r="L212">
        <v>643001</v>
      </c>
      <c r="N212">
        <v>10779.88</v>
      </c>
      <c r="V212" t="s">
        <v>1358</v>
      </c>
      <c r="W212" t="s">
        <v>1545</v>
      </c>
      <c r="AE212" t="s">
        <v>1543</v>
      </c>
      <c r="AF212" t="s">
        <v>1546</v>
      </c>
      <c r="AL212" t="s">
        <v>1360</v>
      </c>
      <c r="AO212">
        <v>99999</v>
      </c>
    </row>
    <row r="213" spans="1:41">
      <c r="A213">
        <v>0</v>
      </c>
      <c r="B213">
        <v>1</v>
      </c>
      <c r="K213">
        <v>50</v>
      </c>
      <c r="L213">
        <v>643001</v>
      </c>
      <c r="N213">
        <v>599.85</v>
      </c>
      <c r="V213" t="s">
        <v>1358</v>
      </c>
      <c r="W213" t="s">
        <v>1542</v>
      </c>
      <c r="AE213" t="s">
        <v>1543</v>
      </c>
      <c r="AF213" t="s">
        <v>1544</v>
      </c>
      <c r="AL213" t="s">
        <v>1360</v>
      </c>
      <c r="AO213">
        <v>99999</v>
      </c>
    </row>
    <row r="214" spans="1:41">
      <c r="A214">
        <v>0</v>
      </c>
      <c r="B214">
        <v>1</v>
      </c>
      <c r="K214">
        <v>50</v>
      </c>
      <c r="L214">
        <v>644041</v>
      </c>
      <c r="N214">
        <v>2511.87</v>
      </c>
      <c r="V214" t="s">
        <v>1358</v>
      </c>
      <c r="W214" t="s">
        <v>1693</v>
      </c>
      <c r="AE214">
        <v>8311</v>
      </c>
      <c r="AF214">
        <v>627712018311</v>
      </c>
      <c r="AL214" t="s">
        <v>1360</v>
      </c>
      <c r="AO214">
        <v>99999</v>
      </c>
    </row>
    <row r="215" spans="1:41">
      <c r="A215">
        <v>0</v>
      </c>
      <c r="B215">
        <v>1</v>
      </c>
      <c r="K215">
        <v>50</v>
      </c>
      <c r="L215">
        <v>644041</v>
      </c>
      <c r="N215">
        <v>1042.1500000000001</v>
      </c>
      <c r="V215" t="s">
        <v>1358</v>
      </c>
      <c r="W215" t="s">
        <v>1692</v>
      </c>
      <c r="AE215">
        <v>8312</v>
      </c>
      <c r="AF215">
        <v>627712028312</v>
      </c>
      <c r="AL215" t="s">
        <v>1360</v>
      </c>
      <c r="AO215">
        <v>99999</v>
      </c>
    </row>
  </sheetData>
  <customSheetViews>
    <customSheetView guid="{E6B00A95-BB65-4FB5-9392-F4C9A9557C0E}" state="hidden">
      <pageMargins left="0.7" right="0.7" top="0.75" bottom="0.75" header="0.3" footer="0.3"/>
    </customSheetView>
    <customSheetView guid="{F2A3B428-09FA-4094-83F2-D6076B6D1BAF}">
      <selection activeCell="G12" sqref="G12"/>
      <pageMargins left="0.7" right="0.7" top="0.75" bottom="0.75" header="0.3" footer="0.3"/>
    </customSheetView>
    <customSheetView guid="{E3F778A0-8637-4650-AED3-4EC5B694D9F0}">
      <selection activeCell="G12" sqref="G12"/>
      <pageMargins left="0.7" right="0.7" top="0.75" bottom="0.75" header="0.3" footer="0.3"/>
    </customSheetView>
  </customSheetViews>
  <conditionalFormatting sqref="A1">
    <cfRule type="duplicateValues" dxfId="20" priority="1"/>
  </conditionalFormatting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/>
  <dimension ref="A1:G1"/>
  <sheetViews>
    <sheetView zoomScaleNormal="100" workbookViewId="0">
      <selection activeCell="A2" sqref="A2:BN213"/>
    </sheetView>
  </sheetViews>
  <sheetFormatPr defaultColWidth="9.140625" defaultRowHeight="15"/>
  <cols>
    <col min="14" max="14" width="29.140625" customWidth="1"/>
  </cols>
  <sheetData>
    <row r="1" spans="1:7" ht="15.75">
      <c r="A1" s="28" t="s">
        <v>252</v>
      </c>
      <c r="G1" s="157" t="s">
        <v>557</v>
      </c>
    </row>
  </sheetData>
  <customSheetViews>
    <customSheetView guid="{E6B00A95-BB65-4FB5-9392-F4C9A9557C0E}" state="hidden">
      <selection activeCell="N12" sqref="N12"/>
      <pageMargins left="0.7" right="0.7" top="0.75" bottom="0.75" header="0.3" footer="0.3"/>
      <pageSetup paperSize="9" orientation="portrait" r:id="rId1"/>
    </customSheetView>
  </customSheetViews>
  <conditionalFormatting sqref="A1">
    <cfRule type="duplicateValues" dxfId="19" priority="1"/>
  </conditionalFormatting>
  <pageMargins left="0.7" right="0.7" top="0.75" bottom="0.75" header="0.3" footer="0.3"/>
  <pageSetup paperSize="9" orientation="portrait" r:id="rId2"/>
  <customProperties>
    <customPr name="_pios_id" r:id="rId3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/>
  <dimension ref="A1:G1"/>
  <sheetViews>
    <sheetView zoomScale="115" zoomScaleNormal="115" workbookViewId="0">
      <selection activeCell="A2" sqref="A2:BN213"/>
    </sheetView>
  </sheetViews>
  <sheetFormatPr defaultColWidth="9.140625" defaultRowHeight="15"/>
  <cols>
    <col min="14" max="14" width="29.140625" customWidth="1"/>
  </cols>
  <sheetData>
    <row r="1" spans="1:7">
      <c r="A1" s="28" t="s">
        <v>252</v>
      </c>
      <c r="G1" t="s">
        <v>558</v>
      </c>
    </row>
  </sheetData>
  <customSheetViews>
    <customSheetView guid="{E6B00A95-BB65-4FB5-9392-F4C9A9557C0E}" state="hidden">
      <selection activeCell="A2" sqref="A2:BN205"/>
      <pageMargins left="0.7" right="0.7" top="0.75" bottom="0.75" header="0.3" footer="0.3"/>
    </customSheetView>
  </customSheetViews>
  <conditionalFormatting sqref="A1">
    <cfRule type="duplicateValues" dxfId="18" priority="1"/>
  </conditionalFormatting>
  <pageMargins left="0.7" right="0.7" top="0.75" bottom="0.75" header="0.3" footer="0.3"/>
  <customProperties>
    <customPr name="_pios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/>
  <dimension ref="A1:N233"/>
  <sheetViews>
    <sheetView zoomScaleNormal="100" workbookViewId="0">
      <selection activeCell="A2" sqref="A2:BN213"/>
    </sheetView>
  </sheetViews>
  <sheetFormatPr defaultColWidth="9.140625" defaultRowHeight="15"/>
  <cols>
    <col min="1" max="1" width="10.85546875" customWidth="1"/>
    <col min="2" max="2" width="10.5703125" customWidth="1"/>
    <col min="3" max="4" width="10.85546875" customWidth="1"/>
    <col min="5" max="5" width="10.5703125" customWidth="1"/>
    <col min="6" max="6" width="11.28515625" customWidth="1"/>
    <col min="7" max="7" width="23.28515625" customWidth="1"/>
    <col min="8" max="8" width="11.140625" customWidth="1"/>
    <col min="9" max="9" width="10.7109375" customWidth="1"/>
    <col min="10" max="10" width="10.85546875" customWidth="1"/>
    <col min="11" max="11" width="9.85546875" customWidth="1"/>
    <col min="12" max="12" width="11.28515625" customWidth="1"/>
    <col min="13" max="13" width="11.140625" customWidth="1"/>
    <col min="14" max="14" width="29.5703125" style="29" customWidth="1"/>
    <col min="15" max="16" width="11.140625" customWidth="1"/>
    <col min="17" max="17" width="11.42578125" customWidth="1"/>
    <col min="18" max="18" width="10.28515625" customWidth="1"/>
    <col min="19" max="20" width="11.140625" customWidth="1"/>
    <col min="21" max="21" width="11" customWidth="1"/>
    <col min="22" max="22" width="14.7109375" customWidth="1"/>
    <col min="23" max="23" width="32.5703125" customWidth="1"/>
    <col min="24" max="26" width="11.42578125" customWidth="1"/>
    <col min="27" max="29" width="11.28515625" customWidth="1"/>
    <col min="30" max="30" width="11.42578125" customWidth="1"/>
    <col min="31" max="31" width="10.7109375" customWidth="1"/>
    <col min="32" max="32" width="11.42578125" customWidth="1"/>
    <col min="33" max="33" width="11.140625" customWidth="1"/>
    <col min="34" max="34" width="9.85546875" customWidth="1"/>
    <col min="35" max="35" width="11.42578125" customWidth="1"/>
    <col min="36" max="36" width="11" customWidth="1"/>
    <col min="37" max="37" width="10.28515625" customWidth="1"/>
    <col min="38" max="41" width="11" customWidth="1"/>
    <col min="42" max="42" width="10.5703125" customWidth="1"/>
    <col min="43" max="43" width="11" customWidth="1"/>
    <col min="44" max="45" width="11.28515625" customWidth="1"/>
    <col min="46" max="46" width="10.85546875" customWidth="1"/>
    <col min="47" max="47" width="10.7109375" customWidth="1"/>
    <col min="48" max="48" width="11.140625" customWidth="1"/>
    <col min="49" max="49" width="11.28515625" customWidth="1"/>
    <col min="50" max="50" width="11.140625" customWidth="1"/>
    <col min="51" max="51" width="11.28515625" customWidth="1"/>
    <col min="52" max="53" width="11.140625" customWidth="1"/>
    <col min="54" max="54" width="10" customWidth="1"/>
    <col min="55" max="55" width="11.42578125" customWidth="1"/>
    <col min="56" max="59" width="10.5703125" customWidth="1"/>
    <col min="60" max="60" width="11.28515625" customWidth="1"/>
    <col min="61" max="61" width="11.140625" customWidth="1"/>
    <col min="62" max="62" width="10.28515625" customWidth="1"/>
    <col min="63" max="65" width="11.140625" customWidth="1"/>
    <col min="66" max="66" width="11" customWidth="1"/>
  </cols>
  <sheetData>
    <row r="1" spans="1:14">
      <c r="A1" s="28" t="s">
        <v>924</v>
      </c>
    </row>
    <row r="2" spans="1:14">
      <c r="N2"/>
    </row>
    <row r="3" spans="1:14">
      <c r="N3"/>
    </row>
    <row r="4" spans="1:14">
      <c r="N4"/>
    </row>
    <row r="5" spans="1:14">
      <c r="N5"/>
    </row>
    <row r="6" spans="1:14">
      <c r="N6"/>
    </row>
    <row r="7" spans="1:14">
      <c r="N7"/>
    </row>
    <row r="8" spans="1:14">
      <c r="N8"/>
    </row>
    <row r="9" spans="1:14">
      <c r="N9"/>
    </row>
    <row r="10" spans="1:14">
      <c r="N10"/>
    </row>
    <row r="11" spans="1:14">
      <c r="N11"/>
    </row>
    <row r="12" spans="1:14">
      <c r="N12"/>
    </row>
    <row r="13" spans="1:14">
      <c r="N13"/>
    </row>
    <row r="14" spans="1:14">
      <c r="N14"/>
    </row>
    <row r="15" spans="1:14">
      <c r="N15"/>
    </row>
    <row r="16" spans="1:14">
      <c r="N16"/>
    </row>
    <row r="17" spans="14:14">
      <c r="N17"/>
    </row>
    <row r="18" spans="14:14">
      <c r="N18"/>
    </row>
    <row r="19" spans="14:14">
      <c r="N19"/>
    </row>
    <row r="20" spans="14:14">
      <c r="N20"/>
    </row>
    <row r="21" spans="14:14">
      <c r="N21"/>
    </row>
    <row r="22" spans="14:14">
      <c r="N22"/>
    </row>
    <row r="23" spans="14:14">
      <c r="N23"/>
    </row>
    <row r="24" spans="14:14">
      <c r="N24"/>
    </row>
    <row r="25" spans="14:14">
      <c r="N25"/>
    </row>
    <row r="26" spans="14:14">
      <c r="N26"/>
    </row>
    <row r="27" spans="14:14">
      <c r="N27"/>
    </row>
    <row r="28" spans="14:14">
      <c r="N28"/>
    </row>
    <row r="29" spans="14:14">
      <c r="N29"/>
    </row>
    <row r="30" spans="14:14">
      <c r="N30"/>
    </row>
    <row r="31" spans="14:14">
      <c r="N31"/>
    </row>
    <row r="32" spans="14:14">
      <c r="N32"/>
    </row>
    <row r="33" spans="14:14">
      <c r="N33"/>
    </row>
    <row r="34" spans="14:14">
      <c r="N34"/>
    </row>
    <row r="35" spans="14:14">
      <c r="N35"/>
    </row>
    <row r="36" spans="14:14">
      <c r="N36"/>
    </row>
    <row r="37" spans="14:14">
      <c r="N37"/>
    </row>
    <row r="38" spans="14:14">
      <c r="N38"/>
    </row>
    <row r="39" spans="14:14">
      <c r="N39"/>
    </row>
    <row r="40" spans="14:14">
      <c r="N40"/>
    </row>
    <row r="41" spans="14:14">
      <c r="N41"/>
    </row>
    <row r="42" spans="14:14">
      <c r="N42"/>
    </row>
    <row r="43" spans="14:14">
      <c r="N43"/>
    </row>
    <row r="44" spans="14:14">
      <c r="N44"/>
    </row>
    <row r="45" spans="14:14">
      <c r="N45"/>
    </row>
    <row r="46" spans="14:14">
      <c r="N46"/>
    </row>
    <row r="47" spans="14:14">
      <c r="N47"/>
    </row>
    <row r="48" spans="14:14">
      <c r="N48"/>
    </row>
    <row r="49" spans="14:14">
      <c r="N49"/>
    </row>
    <row r="50" spans="14:14">
      <c r="N50"/>
    </row>
    <row r="51" spans="14:14">
      <c r="N51"/>
    </row>
    <row r="52" spans="14:14">
      <c r="N52"/>
    </row>
    <row r="53" spans="14:14">
      <c r="N53"/>
    </row>
    <row r="54" spans="14:14">
      <c r="N54"/>
    </row>
    <row r="55" spans="14:14">
      <c r="N55"/>
    </row>
    <row r="56" spans="14:14">
      <c r="N56"/>
    </row>
    <row r="57" spans="14:14">
      <c r="N57"/>
    </row>
    <row r="58" spans="14:14">
      <c r="N58"/>
    </row>
    <row r="59" spans="14:14">
      <c r="N59"/>
    </row>
    <row r="60" spans="14:14">
      <c r="N60"/>
    </row>
    <row r="61" spans="14:14">
      <c r="N61"/>
    </row>
    <row r="62" spans="14:14">
      <c r="N62"/>
    </row>
    <row r="63" spans="14:14">
      <c r="N63"/>
    </row>
    <row r="64" spans="14:14">
      <c r="N64"/>
    </row>
    <row r="65" spans="14:14">
      <c r="N65"/>
    </row>
    <row r="66" spans="14:14">
      <c r="N66"/>
    </row>
    <row r="67" spans="14:14">
      <c r="N67"/>
    </row>
    <row r="68" spans="14:14">
      <c r="N68"/>
    </row>
    <row r="69" spans="14:14">
      <c r="N69"/>
    </row>
    <row r="70" spans="14:14">
      <c r="N70"/>
    </row>
    <row r="71" spans="14:14">
      <c r="N71"/>
    </row>
    <row r="72" spans="14:14">
      <c r="N72"/>
    </row>
    <row r="73" spans="14:14">
      <c r="N73"/>
    </row>
    <row r="74" spans="14:14">
      <c r="N74"/>
    </row>
    <row r="75" spans="14:14">
      <c r="N75"/>
    </row>
    <row r="76" spans="14:14">
      <c r="N76"/>
    </row>
    <row r="77" spans="14:14">
      <c r="N77"/>
    </row>
    <row r="78" spans="14:14">
      <c r="N78"/>
    </row>
    <row r="79" spans="14:14">
      <c r="N79"/>
    </row>
    <row r="80" spans="14:14">
      <c r="N80"/>
    </row>
    <row r="81" spans="14:14">
      <c r="N81"/>
    </row>
    <row r="82" spans="14:14">
      <c r="N82"/>
    </row>
    <row r="83" spans="14:14">
      <c r="N83"/>
    </row>
    <row r="84" spans="14:14">
      <c r="N84"/>
    </row>
    <row r="85" spans="14:14">
      <c r="N85"/>
    </row>
    <row r="86" spans="14:14">
      <c r="N86"/>
    </row>
    <row r="87" spans="14:14">
      <c r="N87"/>
    </row>
    <row r="88" spans="14:14">
      <c r="N88"/>
    </row>
    <row r="89" spans="14:14">
      <c r="N89"/>
    </row>
    <row r="90" spans="14:14">
      <c r="N90"/>
    </row>
    <row r="91" spans="14:14">
      <c r="N91"/>
    </row>
    <row r="92" spans="14:14">
      <c r="N92"/>
    </row>
    <row r="93" spans="14:14">
      <c r="N93"/>
    </row>
    <row r="94" spans="14:14">
      <c r="N94"/>
    </row>
    <row r="95" spans="14:14">
      <c r="N95"/>
    </row>
    <row r="96" spans="14:14">
      <c r="N96"/>
    </row>
    <row r="97" spans="14:14">
      <c r="N97"/>
    </row>
    <row r="98" spans="14:14">
      <c r="N98"/>
    </row>
    <row r="99" spans="14:14">
      <c r="N99"/>
    </row>
    <row r="100" spans="14:14">
      <c r="N100"/>
    </row>
    <row r="101" spans="14:14">
      <c r="N101"/>
    </row>
    <row r="102" spans="14:14">
      <c r="N102"/>
    </row>
    <row r="103" spans="14:14">
      <c r="N103"/>
    </row>
    <row r="104" spans="14:14">
      <c r="N104"/>
    </row>
    <row r="105" spans="14:14">
      <c r="N105"/>
    </row>
    <row r="106" spans="14:14">
      <c r="N106"/>
    </row>
    <row r="107" spans="14:14">
      <c r="N107"/>
    </row>
    <row r="108" spans="14:14">
      <c r="N108"/>
    </row>
    <row r="109" spans="14:14">
      <c r="N109"/>
    </row>
    <row r="110" spans="14:14">
      <c r="N110"/>
    </row>
    <row r="111" spans="14:14">
      <c r="N111"/>
    </row>
    <row r="112" spans="14:14">
      <c r="N112"/>
    </row>
    <row r="113" spans="14:14">
      <c r="N113"/>
    </row>
    <row r="114" spans="14:14">
      <c r="N114"/>
    </row>
    <row r="115" spans="14:14">
      <c r="N115"/>
    </row>
    <row r="116" spans="14:14">
      <c r="N116"/>
    </row>
    <row r="117" spans="14:14">
      <c r="N117"/>
    </row>
    <row r="118" spans="14:14">
      <c r="N118"/>
    </row>
    <row r="119" spans="14:14">
      <c r="N119"/>
    </row>
    <row r="120" spans="14:14">
      <c r="N120"/>
    </row>
    <row r="121" spans="14:14">
      <c r="N121"/>
    </row>
    <row r="122" spans="14:14">
      <c r="N122"/>
    </row>
    <row r="123" spans="14:14">
      <c r="N123"/>
    </row>
    <row r="124" spans="14:14">
      <c r="N124"/>
    </row>
    <row r="125" spans="14:14">
      <c r="N125"/>
    </row>
    <row r="126" spans="14:14">
      <c r="N126"/>
    </row>
    <row r="127" spans="14:14">
      <c r="N127"/>
    </row>
    <row r="128" spans="14:14">
      <c r="N128"/>
    </row>
    <row r="129" spans="14:14">
      <c r="N129"/>
    </row>
    <row r="130" spans="14:14">
      <c r="N130"/>
    </row>
    <row r="131" spans="14:14">
      <c r="N131"/>
    </row>
    <row r="132" spans="14:14">
      <c r="N132"/>
    </row>
    <row r="133" spans="14:14">
      <c r="N133"/>
    </row>
    <row r="134" spans="14:14">
      <c r="N134"/>
    </row>
    <row r="135" spans="14:14">
      <c r="N135"/>
    </row>
    <row r="136" spans="14:14">
      <c r="N136"/>
    </row>
    <row r="137" spans="14:14">
      <c r="N137"/>
    </row>
    <row r="138" spans="14:14">
      <c r="N138"/>
    </row>
    <row r="139" spans="14:14">
      <c r="N139"/>
    </row>
    <row r="140" spans="14:14">
      <c r="N140"/>
    </row>
    <row r="141" spans="14:14">
      <c r="N141"/>
    </row>
    <row r="142" spans="14:14">
      <c r="N142"/>
    </row>
    <row r="143" spans="14:14">
      <c r="N143"/>
    </row>
    <row r="144" spans="14:14">
      <c r="N144"/>
    </row>
    <row r="145" spans="14:14">
      <c r="N145"/>
    </row>
    <row r="146" spans="14:14">
      <c r="N146"/>
    </row>
    <row r="147" spans="14:14">
      <c r="N147"/>
    </row>
    <row r="148" spans="14:14">
      <c r="N148"/>
    </row>
    <row r="149" spans="14:14">
      <c r="N149"/>
    </row>
    <row r="150" spans="14:14">
      <c r="N150"/>
    </row>
    <row r="151" spans="14:14">
      <c r="N151"/>
    </row>
    <row r="152" spans="14:14">
      <c r="N152"/>
    </row>
    <row r="153" spans="14:14">
      <c r="N153"/>
    </row>
    <row r="154" spans="14:14">
      <c r="N154"/>
    </row>
    <row r="155" spans="14:14">
      <c r="N155"/>
    </row>
    <row r="156" spans="14:14">
      <c r="N156"/>
    </row>
    <row r="157" spans="14:14">
      <c r="N157"/>
    </row>
    <row r="158" spans="14:14">
      <c r="N158"/>
    </row>
    <row r="159" spans="14:14">
      <c r="N159"/>
    </row>
    <row r="160" spans="14:14">
      <c r="N160"/>
    </row>
    <row r="161" spans="14:14">
      <c r="N161"/>
    </row>
    <row r="162" spans="14:14">
      <c r="N162"/>
    </row>
    <row r="163" spans="14:14">
      <c r="N163"/>
    </row>
    <row r="164" spans="14:14">
      <c r="N164"/>
    </row>
    <row r="165" spans="14:14">
      <c r="N165"/>
    </row>
    <row r="166" spans="14:14">
      <c r="N166"/>
    </row>
    <row r="167" spans="14:14">
      <c r="N167"/>
    </row>
    <row r="168" spans="14:14">
      <c r="N168"/>
    </row>
    <row r="169" spans="14:14">
      <c r="N169"/>
    </row>
    <row r="170" spans="14:14">
      <c r="N170"/>
    </row>
    <row r="171" spans="14:14">
      <c r="N171"/>
    </row>
    <row r="172" spans="14:14">
      <c r="N172"/>
    </row>
    <row r="173" spans="14:14">
      <c r="N173"/>
    </row>
    <row r="174" spans="14:14">
      <c r="N174"/>
    </row>
    <row r="175" spans="14:14">
      <c r="N175"/>
    </row>
    <row r="176" spans="14:14">
      <c r="N176"/>
    </row>
    <row r="177" spans="14:14">
      <c r="N177"/>
    </row>
    <row r="178" spans="14:14">
      <c r="N178"/>
    </row>
    <row r="179" spans="14:14">
      <c r="N179"/>
    </row>
    <row r="180" spans="14:14">
      <c r="N180"/>
    </row>
    <row r="181" spans="14:14">
      <c r="N181"/>
    </row>
    <row r="182" spans="14:14">
      <c r="N182"/>
    </row>
    <row r="183" spans="14:14">
      <c r="N183"/>
    </row>
    <row r="184" spans="14:14">
      <c r="N184"/>
    </row>
    <row r="185" spans="14:14">
      <c r="N185"/>
    </row>
    <row r="186" spans="14:14">
      <c r="N186"/>
    </row>
    <row r="187" spans="14:14">
      <c r="N187"/>
    </row>
    <row r="188" spans="14:14">
      <c r="N188"/>
    </row>
    <row r="189" spans="14:14">
      <c r="N189"/>
    </row>
    <row r="190" spans="14:14">
      <c r="N190"/>
    </row>
    <row r="191" spans="14:14">
      <c r="N191"/>
    </row>
    <row r="192" spans="14:14">
      <c r="N192"/>
    </row>
    <row r="193" spans="14:14">
      <c r="N193"/>
    </row>
    <row r="194" spans="14:14">
      <c r="N194"/>
    </row>
    <row r="195" spans="14:14">
      <c r="N195"/>
    </row>
    <row r="196" spans="14:14">
      <c r="N196"/>
    </row>
    <row r="197" spans="14:14">
      <c r="N197"/>
    </row>
    <row r="198" spans="14:14">
      <c r="N198"/>
    </row>
    <row r="199" spans="14:14">
      <c r="N199"/>
    </row>
    <row r="200" spans="14:14">
      <c r="N200"/>
    </row>
    <row r="201" spans="14:14">
      <c r="N201"/>
    </row>
    <row r="202" spans="14:14">
      <c r="N202"/>
    </row>
    <row r="203" spans="14:14">
      <c r="N203"/>
    </row>
    <row r="204" spans="14:14">
      <c r="N204"/>
    </row>
    <row r="205" spans="14:14">
      <c r="N205"/>
    </row>
    <row r="206" spans="14:14">
      <c r="N206"/>
    </row>
    <row r="207" spans="14:14">
      <c r="N207"/>
    </row>
    <row r="208" spans="14:14">
      <c r="N208"/>
    </row>
    <row r="209" spans="14:14">
      <c r="N209"/>
    </row>
    <row r="210" spans="14:14">
      <c r="N210"/>
    </row>
    <row r="211" spans="14:14">
      <c r="N211"/>
    </row>
    <row r="212" spans="14:14">
      <c r="N212"/>
    </row>
    <row r="213" spans="14:14">
      <c r="N213"/>
    </row>
    <row r="214" spans="14:14">
      <c r="N214"/>
    </row>
    <row r="215" spans="14:14">
      <c r="N215"/>
    </row>
    <row r="216" spans="14:14">
      <c r="N216"/>
    </row>
    <row r="217" spans="14:14">
      <c r="N217"/>
    </row>
    <row r="218" spans="14:14">
      <c r="N218"/>
    </row>
    <row r="219" spans="14:14">
      <c r="N219"/>
    </row>
    <row r="220" spans="14:14">
      <c r="N220"/>
    </row>
    <row r="221" spans="14:14">
      <c r="N221"/>
    </row>
    <row r="222" spans="14:14">
      <c r="N222"/>
    </row>
    <row r="223" spans="14:14">
      <c r="N223"/>
    </row>
    <row r="224" spans="14:14">
      <c r="N224"/>
    </row>
    <row r="225" spans="14:14">
      <c r="N225"/>
    </row>
    <row r="226" spans="14:14">
      <c r="N226"/>
    </row>
    <row r="227" spans="14:14">
      <c r="N227"/>
    </row>
    <row r="228" spans="14:14">
      <c r="N228"/>
    </row>
    <row r="229" spans="14:14">
      <c r="N229"/>
    </row>
    <row r="230" spans="14:14">
      <c r="N230"/>
    </row>
    <row r="231" spans="14:14">
      <c r="N231"/>
    </row>
    <row r="232" spans="14:14">
      <c r="N232"/>
    </row>
    <row r="233" spans="14:14">
      <c r="N233"/>
    </row>
  </sheetData>
  <customSheetViews>
    <customSheetView guid="{E6B00A95-BB65-4FB5-9392-F4C9A9557C0E}" state="hidden">
      <selection activeCell="A2" sqref="A2:BO219"/>
      <pageMargins left="0.7" right="0.7" top="0.75" bottom="0.75" header="0.3" footer="0.3"/>
    </customSheetView>
  </customSheetViews>
  <pageMargins left="0.7" right="0.7" top="0.75" bottom="0.75" header="0.3" footer="0.3"/>
  <customProperties>
    <customPr name="_pios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/>
  <dimension ref="A1"/>
  <sheetViews>
    <sheetView zoomScaleNormal="100" workbookViewId="0">
      <selection activeCell="A2" sqref="A2:BN213"/>
    </sheetView>
  </sheetViews>
  <sheetFormatPr defaultColWidth="9.140625" defaultRowHeight="15"/>
  <cols>
    <col min="14" max="14" width="29.140625" customWidth="1"/>
  </cols>
  <sheetData>
    <row r="1" spans="1:1">
      <c r="A1" s="28" t="s">
        <v>252</v>
      </c>
    </row>
  </sheetData>
  <customSheetViews>
    <customSheetView guid="{E6B00A95-BB65-4FB5-9392-F4C9A9557C0E}" state="hidden">
      <selection activeCell="A2" sqref="A2:BO226"/>
      <pageMargins left="0.7" right="0.7" top="0.75" bottom="0.75" header="0.3" footer="0.3"/>
    </customSheetView>
  </customSheetViews>
  <pageMargins left="0.7" right="0.7" top="0.75" bottom="0.75" header="0.3" footer="0.3"/>
  <customProperties>
    <customPr name="_pios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/>
  <dimension ref="A1"/>
  <sheetViews>
    <sheetView zoomScaleNormal="100" workbookViewId="0">
      <selection activeCell="A2" sqref="A2:BN213"/>
    </sheetView>
  </sheetViews>
  <sheetFormatPr defaultColWidth="9.140625" defaultRowHeight="15"/>
  <cols>
    <col min="14" max="14" width="29.140625" customWidth="1"/>
  </cols>
  <sheetData>
    <row r="1" spans="1:1">
      <c r="A1" s="28" t="s">
        <v>981</v>
      </c>
    </row>
  </sheetData>
  <customSheetViews>
    <customSheetView guid="{E6B00A95-BB65-4FB5-9392-F4C9A9557C0E}" state="hidden">
      <selection activeCell="A2" sqref="A2:BO216"/>
      <pageMargins left="0.7" right="0.7" top="0.75" bottom="0.75" header="0.3" footer="0.3"/>
    </customSheetView>
  </customSheetViews>
  <conditionalFormatting sqref="A1">
    <cfRule type="duplicateValues" dxfId="17" priority="1"/>
  </conditionalFormatting>
  <pageMargins left="0.7" right="0.7" top="0.75" bottom="0.75" header="0.3" footer="0.3"/>
  <customProperties>
    <customPr name="_pios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/>
  <dimension ref="A1"/>
  <sheetViews>
    <sheetView zoomScaleNormal="100" workbookViewId="0">
      <selection activeCell="A2" sqref="A2:BN213"/>
    </sheetView>
  </sheetViews>
  <sheetFormatPr defaultColWidth="9.140625" defaultRowHeight="15"/>
  <cols>
    <col min="14" max="14" width="29.140625" customWidth="1"/>
  </cols>
  <sheetData>
    <row r="1" spans="1:1">
      <c r="A1" s="28" t="s">
        <v>981</v>
      </c>
    </row>
  </sheetData>
  <customSheetViews>
    <customSheetView guid="{E6B00A95-BB65-4FB5-9392-F4C9A9557C0E}" state="hidden">
      <selection activeCell="A2" sqref="A2:BO209"/>
      <pageMargins left="0.7" right="0.7" top="0.75" bottom="0.75" header="0.3" footer="0.3"/>
    </customSheetView>
  </customSheetViews>
  <conditionalFormatting sqref="A1">
    <cfRule type="duplicateValues" dxfId="16" priority="1"/>
  </conditionalFormatting>
  <pageMargins left="0.7" right="0.7" top="0.75" bottom="0.75" header="0.3" footer="0.3"/>
  <customProperties>
    <customPr name="_pios_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/>
  <dimension ref="A1"/>
  <sheetViews>
    <sheetView zoomScaleNormal="100" workbookViewId="0">
      <selection activeCell="A2" sqref="A2:BN213"/>
    </sheetView>
  </sheetViews>
  <sheetFormatPr defaultColWidth="9.140625" defaultRowHeight="15"/>
  <cols>
    <col min="1" max="13" width="9.140625" style="362"/>
    <col min="14" max="14" width="29.140625" style="362" bestFit="1" customWidth="1"/>
    <col min="15" max="16384" width="9.140625" style="362"/>
  </cols>
  <sheetData>
    <row r="1" spans="1:1">
      <c r="A1" s="400" t="s">
        <v>981</v>
      </c>
    </row>
  </sheetData>
  <customSheetViews>
    <customSheetView guid="{E6B00A95-BB65-4FB5-9392-F4C9A9557C0E}" showAutoFilter="1" state="hidden" topLeftCell="A2">
      <selection activeCell="N216" sqref="N4:N216"/>
      <pageMargins left="0.7" right="0.7" top="0.75" bottom="0.75" header="0.3" footer="0.3"/>
      <autoFilter ref="A2:BN218" xr:uid="{275D9537-7242-4D1B-BE86-1AF2D5CA804F}"/>
    </customSheetView>
  </customSheetViews>
  <conditionalFormatting sqref="A1">
    <cfRule type="duplicateValues" dxfId="15" priority="1"/>
  </conditionalFormatting>
  <pageMargins left="0.7" right="0.7" top="0.75" bottom="0.75" header="0.3" footer="0.3"/>
  <customProperties>
    <customPr name="_pios_i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9"/>
  <dimension ref="A1"/>
  <sheetViews>
    <sheetView zoomScaleNormal="100" workbookViewId="0">
      <selection activeCell="A2" sqref="A2:BN213"/>
    </sheetView>
  </sheetViews>
  <sheetFormatPr defaultColWidth="9.140625" defaultRowHeight="15"/>
  <cols>
    <col min="14" max="14" width="29.140625" bestFit="1" customWidth="1"/>
  </cols>
  <sheetData>
    <row r="1" spans="1:1">
      <c r="A1" s="400" t="s">
        <v>981</v>
      </c>
    </row>
  </sheetData>
  <customSheetViews>
    <customSheetView guid="{E6B00A95-BB65-4FB5-9392-F4C9A9557C0E}" state="hidden">
      <selection activeCell="A2" sqref="A2:BO222"/>
      <pageMargins left="0.7" right="0.7" top="0.75" bottom="0.75" header="0.3" footer="0.3"/>
    </customSheetView>
  </customSheetViews>
  <conditionalFormatting sqref="A1">
    <cfRule type="duplicateValues" dxfId="14" priority="1"/>
  </conditionalFormatting>
  <pageMargins left="0.7" right="0.7" top="0.75" bottom="0.75" header="0.3" footer="0.3"/>
  <customProperties>
    <customPr name="_pios_id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/>
  <dimension ref="A1"/>
  <sheetViews>
    <sheetView zoomScaleNormal="100" workbookViewId="0">
      <selection activeCell="A2" sqref="A2:BN213"/>
    </sheetView>
  </sheetViews>
  <sheetFormatPr defaultColWidth="9.140625" defaultRowHeight="15"/>
  <cols>
    <col min="14" max="14" width="29.140625" bestFit="1" customWidth="1"/>
  </cols>
  <sheetData>
    <row r="1" spans="1:1">
      <c r="A1" s="400" t="s">
        <v>981</v>
      </c>
    </row>
  </sheetData>
  <customSheetViews>
    <customSheetView guid="{E6B00A95-BB65-4FB5-9392-F4C9A9557C0E}" state="hidden">
      <selection activeCell="A2" sqref="A2:BO232"/>
      <pageMargins left="0.7" right="0.7" top="0.75" bottom="0.75" header="0.3" footer="0.3"/>
    </customSheetView>
  </customSheetViews>
  <conditionalFormatting sqref="A1">
    <cfRule type="duplicateValues" dxfId="13" priority="1"/>
  </conditionalFormatting>
  <pageMargins left="0.7" right="0.7" top="0.75" bottom="0.75" header="0.3" footer="0.3"/>
  <customProperties>
    <customPr name="_pios_id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/>
  <dimension ref="A1"/>
  <sheetViews>
    <sheetView zoomScaleNormal="100" workbookViewId="0">
      <selection activeCell="A2" sqref="A2:BN213"/>
    </sheetView>
  </sheetViews>
  <sheetFormatPr defaultColWidth="9.140625" defaultRowHeight="15"/>
  <cols>
    <col min="14" max="14" width="29.140625" bestFit="1" customWidth="1"/>
  </cols>
  <sheetData>
    <row r="1" spans="1:1">
      <c r="A1" s="400" t="s">
        <v>981</v>
      </c>
    </row>
  </sheetData>
  <customSheetViews>
    <customSheetView guid="{E6B00A95-BB65-4FB5-9392-F4C9A9557C0E}">
      <selection activeCell="A2" sqref="A2:BO221"/>
      <pageMargins left="0.7" right="0.7" top="0.75" bottom="0.75" header="0.3" footer="0.3"/>
    </customSheetView>
  </customSheetViews>
  <conditionalFormatting sqref="A1">
    <cfRule type="duplicateValues" dxfId="12" priority="1"/>
  </conditionalFormatting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/>
  <dimension ref="A1"/>
  <sheetViews>
    <sheetView zoomScaleNormal="100" workbookViewId="0">
      <selection activeCell="A2" sqref="A2:BN213"/>
    </sheetView>
  </sheetViews>
  <sheetFormatPr defaultColWidth="9.140625" defaultRowHeight="15"/>
  <cols>
    <col min="14" max="14" width="29.140625" bestFit="1" customWidth="1"/>
  </cols>
  <sheetData>
    <row r="1" spans="1:1">
      <c r="A1" s="400" t="s">
        <v>981</v>
      </c>
    </row>
  </sheetData>
  <customSheetViews>
    <customSheetView guid="{E6B00A95-BB65-4FB5-9392-F4C9A9557C0E}" state="hidden">
      <selection activeCell="A2" sqref="A2:BN186"/>
      <pageMargins left="0.7" right="0.7" top="0.75" bottom="0.75" header="0.3" footer="0.3"/>
    </customSheetView>
  </customSheetViews>
  <conditionalFormatting sqref="A1">
    <cfRule type="duplicateValues" dxfId="11" priority="1"/>
  </conditionalFormatting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630D-59DC-48A3-98E6-6C8AAB4E83FB}">
  <sheetPr codeName="Sheet25"/>
  <dimension ref="A1:M2895"/>
  <sheetViews>
    <sheetView workbookViewId="0">
      <pane ySplit="5" topLeftCell="A2053" activePane="bottomLeft" state="frozen"/>
      <selection pane="bottomLeft" activeCell="K2065" sqref="K2065"/>
    </sheetView>
  </sheetViews>
  <sheetFormatPr defaultRowHeight="16.5"/>
  <cols>
    <col min="1" max="1" width="17.7109375" style="362" customWidth="1"/>
    <col min="2" max="2" width="12.7109375" style="362" customWidth="1"/>
    <col min="3" max="3" width="8.7109375" style="394" customWidth="1"/>
    <col min="4" max="5" width="8.7109375" style="362" customWidth="1"/>
    <col min="6" max="6" width="10.7109375" style="394" customWidth="1"/>
    <col min="7" max="7" width="1.7109375" style="362" customWidth="1"/>
    <col min="8" max="8" width="18.42578125" style="372" customWidth="1"/>
    <col min="9" max="9" width="11.7109375" customWidth="1"/>
    <col min="10" max="11" width="14.7109375" customWidth="1"/>
    <col min="12" max="12" width="8.7109375" style="488" customWidth="1"/>
    <col min="13" max="16384" width="9.140625" style="372"/>
  </cols>
  <sheetData>
    <row r="1" spans="1:13" s="362" customFormat="1" ht="21">
      <c r="A1" s="361" t="s">
        <v>997</v>
      </c>
      <c r="C1" s="394"/>
      <c r="F1" s="394"/>
      <c r="I1"/>
      <c r="J1"/>
      <c r="K1"/>
      <c r="L1" s="488"/>
    </row>
    <row r="2" spans="1:13" s="362" customFormat="1" ht="15">
      <c r="C2" s="394"/>
      <c r="F2" s="394"/>
      <c r="I2" s="392"/>
      <c r="J2"/>
      <c r="K2"/>
      <c r="L2" s="488"/>
    </row>
    <row r="3" spans="1:13" s="362" customFormat="1">
      <c r="A3" s="366"/>
      <c r="B3" s="497" t="s">
        <v>816</v>
      </c>
      <c r="C3" s="508" t="s">
        <v>817</v>
      </c>
      <c r="E3" s="366"/>
      <c r="F3" s="396"/>
      <c r="G3" s="366"/>
      <c r="I3" s="508" t="s">
        <v>921</v>
      </c>
      <c r="J3"/>
      <c r="K3"/>
      <c r="L3" s="488"/>
    </row>
    <row r="4" spans="1:13" s="362" customFormat="1">
      <c r="A4" s="366"/>
      <c r="B4" s="395" t="s">
        <v>818</v>
      </c>
      <c r="C4" s="396"/>
      <c r="D4" s="366"/>
      <c r="E4" s="366"/>
      <c r="F4" s="396"/>
      <c r="G4" s="366"/>
      <c r="I4" s="373" t="s">
        <v>549</v>
      </c>
      <c r="J4"/>
      <c r="K4"/>
      <c r="L4" s="488"/>
    </row>
    <row r="5" spans="1:13" s="362" customFormat="1" ht="30">
      <c r="A5" s="399" t="s">
        <v>996</v>
      </c>
      <c r="B5" s="367" t="s">
        <v>112</v>
      </c>
      <c r="C5" s="367" t="s">
        <v>273</v>
      </c>
      <c r="D5" s="367" t="s">
        <v>426</v>
      </c>
      <c r="E5" s="367" t="s">
        <v>31</v>
      </c>
      <c r="F5" s="367"/>
      <c r="G5" s="367"/>
      <c r="I5" s="485" t="s">
        <v>112</v>
      </c>
      <c r="J5" s="486" t="s">
        <v>972</v>
      </c>
      <c r="K5" s="486" t="s">
        <v>973</v>
      </c>
      <c r="L5" s="485" t="s">
        <v>129</v>
      </c>
    </row>
    <row r="6" spans="1:13" ht="5.0999999999999996" customHeight="1">
      <c r="A6" s="397"/>
      <c r="F6" s="496"/>
      <c r="G6" s="398"/>
      <c r="I6" s="490"/>
      <c r="J6" s="487"/>
      <c r="K6" s="487"/>
      <c r="L6" s="509"/>
    </row>
    <row r="7" spans="1:13">
      <c r="A7" s="397" t="str">
        <f t="shared" ref="A7:A70" si="0">B7&amp;"-"&amp;C7</f>
        <v>PSR0V039-BLFVA</v>
      </c>
      <c r="B7" s="362" t="s">
        <v>165</v>
      </c>
      <c r="C7" s="394" t="s">
        <v>230</v>
      </c>
      <c r="D7" s="362">
        <v>6.8949999999999996</v>
      </c>
      <c r="E7" s="362">
        <v>3.4380000000000002</v>
      </c>
      <c r="F7" s="496"/>
      <c r="G7" s="398"/>
      <c r="I7" s="490" t="s">
        <v>786</v>
      </c>
      <c r="J7" s="487">
        <v>4.9413261481601563</v>
      </c>
      <c r="K7" s="487">
        <v>4.9290000000000003</v>
      </c>
      <c r="L7" s="509">
        <f t="shared" ref="L7:L70" si="1">J7/K7</f>
        <v>1.0025007401420483</v>
      </c>
      <c r="M7" s="394"/>
    </row>
    <row r="8" spans="1:13">
      <c r="A8" s="397" t="str">
        <f t="shared" si="0"/>
        <v>PSR0VB0F-D3MVA</v>
      </c>
      <c r="B8" s="362" t="s">
        <v>307</v>
      </c>
      <c r="C8" s="394" t="s">
        <v>308</v>
      </c>
      <c r="D8" s="362">
        <v>8.7780000000000005</v>
      </c>
      <c r="E8" s="362">
        <v>4.0990000000000002</v>
      </c>
      <c r="F8" s="496"/>
      <c r="G8" s="398"/>
      <c r="I8" s="490" t="s">
        <v>846</v>
      </c>
      <c r="J8" s="487">
        <v>5.0941341181510662</v>
      </c>
      <c r="K8" s="487">
        <v>5.0819999999999999</v>
      </c>
      <c r="L8" s="509">
        <f t="shared" si="1"/>
        <v>1.0023876659093007</v>
      </c>
      <c r="M8" s="394"/>
    </row>
    <row r="9" spans="1:13">
      <c r="A9" s="397" t="str">
        <f t="shared" si="0"/>
        <v>PSR0V035-DEFVA</v>
      </c>
      <c r="B9" s="362" t="s">
        <v>270</v>
      </c>
      <c r="C9" s="394" t="s">
        <v>272</v>
      </c>
      <c r="D9" s="362">
        <v>5.5380000000000003</v>
      </c>
      <c r="E9" s="362">
        <v>2.726</v>
      </c>
      <c r="F9" s="496"/>
      <c r="G9" s="398"/>
      <c r="I9" s="490" t="s">
        <v>1002</v>
      </c>
      <c r="J9" s="487">
        <v>12.209864291772867</v>
      </c>
      <c r="K9" s="487">
        <v>12.218999999999999</v>
      </c>
      <c r="L9" s="509">
        <f t="shared" si="1"/>
        <v>0.99925233585177731</v>
      </c>
      <c r="M9" s="394"/>
    </row>
    <row r="10" spans="1:13">
      <c r="A10" s="397" t="str">
        <f t="shared" si="0"/>
        <v>PSR0V122-YBGVA</v>
      </c>
      <c r="B10" s="362" t="s">
        <v>254</v>
      </c>
      <c r="C10" s="394" t="s">
        <v>256</v>
      </c>
      <c r="D10" s="362">
        <v>9.02</v>
      </c>
      <c r="E10" s="362">
        <v>4.2670000000000003</v>
      </c>
      <c r="F10" s="496"/>
      <c r="G10" s="398"/>
      <c r="I10" s="490" t="s">
        <v>790</v>
      </c>
      <c r="J10" s="487">
        <v>7.2400053526026831</v>
      </c>
      <c r="K10" s="487">
        <v>7.2519999999999998</v>
      </c>
      <c r="L10" s="509">
        <f t="shared" si="1"/>
        <v>0.998346022145985</v>
      </c>
      <c r="M10" s="394"/>
    </row>
    <row r="11" spans="1:13">
      <c r="A11" s="397" t="str">
        <f t="shared" si="0"/>
        <v>PSR0V11F-EAEVA</v>
      </c>
      <c r="B11" s="362" t="s">
        <v>49</v>
      </c>
      <c r="C11" s="394" t="s">
        <v>50</v>
      </c>
      <c r="D11" s="362">
        <v>6.1260000000000003</v>
      </c>
      <c r="E11" s="362">
        <v>3.0659999999999998</v>
      </c>
      <c r="F11" s="496"/>
      <c r="G11" s="398"/>
      <c r="I11" s="490" t="s">
        <v>1003</v>
      </c>
      <c r="J11" s="487">
        <v>8.5335681100167164</v>
      </c>
      <c r="K11" s="487">
        <v>8.5920000000000005</v>
      </c>
      <c r="L11" s="509">
        <f t="shared" si="1"/>
        <v>0.99319926792559543</v>
      </c>
      <c r="M11" s="394"/>
    </row>
    <row r="12" spans="1:13">
      <c r="A12" s="397" t="str">
        <f t="shared" si="0"/>
        <v>PSR0V124-KLTZA</v>
      </c>
      <c r="B12" s="362" t="s">
        <v>151</v>
      </c>
      <c r="C12" s="394" t="s">
        <v>152</v>
      </c>
      <c r="D12" s="362">
        <v>10.268000000000001</v>
      </c>
      <c r="E12" s="362">
        <v>4.4809999999999999</v>
      </c>
      <c r="F12" s="496"/>
      <c r="G12" s="398"/>
      <c r="I12" s="490" t="s">
        <v>852</v>
      </c>
      <c r="J12" s="487">
        <v>6.8673224043716381</v>
      </c>
      <c r="K12" s="487">
        <v>6.8449999999999998</v>
      </c>
      <c r="L12" s="509">
        <f t="shared" si="1"/>
        <v>1.003261125547354</v>
      </c>
      <c r="M12" s="394"/>
    </row>
    <row r="13" spans="1:13">
      <c r="A13" s="397" t="str">
        <f t="shared" si="0"/>
        <v>PSR0V73F-WMTZA</v>
      </c>
      <c r="B13" s="362" t="s">
        <v>154</v>
      </c>
      <c r="C13" s="394" t="s">
        <v>176</v>
      </c>
      <c r="D13" s="362">
        <v>10.268000000000001</v>
      </c>
      <c r="E13" s="362">
        <v>4.4809999999999999</v>
      </c>
      <c r="F13" s="496"/>
      <c r="G13" s="398"/>
      <c r="I13" s="490" t="s">
        <v>261</v>
      </c>
      <c r="J13" s="487">
        <v>7.522618834080733</v>
      </c>
      <c r="K13" s="487">
        <v>7.5149999999999997</v>
      </c>
      <c r="L13" s="509">
        <f t="shared" si="1"/>
        <v>1.0010138169102771</v>
      </c>
      <c r="M13" s="394"/>
    </row>
    <row r="14" spans="1:13">
      <c r="A14" s="397" t="str">
        <f t="shared" si="0"/>
        <v>PSR0V18F-GBAVA</v>
      </c>
      <c r="B14" s="362" t="s">
        <v>79</v>
      </c>
      <c r="C14" s="394" t="s">
        <v>81</v>
      </c>
      <c r="D14" s="362">
        <v>7.48</v>
      </c>
      <c r="E14" s="362">
        <v>3.794</v>
      </c>
      <c r="F14" s="496"/>
      <c r="G14" s="398"/>
      <c r="I14" s="490" t="s">
        <v>184</v>
      </c>
      <c r="J14" s="487">
        <v>8.3890386384544886</v>
      </c>
      <c r="K14" s="487">
        <v>8.39</v>
      </c>
      <c r="L14" s="509">
        <f t="shared" si="1"/>
        <v>0.99988541578718571</v>
      </c>
      <c r="M14" s="394"/>
    </row>
    <row r="15" spans="1:13">
      <c r="A15" s="397" t="str">
        <f t="shared" si="0"/>
        <v>PSR0V19F-SHTVA</v>
      </c>
      <c r="B15" s="362" t="s">
        <v>82</v>
      </c>
      <c r="C15" s="394" t="s">
        <v>83</v>
      </c>
      <c r="D15" s="362">
        <v>7.48</v>
      </c>
      <c r="E15" s="362">
        <v>3.794</v>
      </c>
      <c r="F15" s="496"/>
      <c r="G15" s="398"/>
      <c r="I15" s="490" t="s">
        <v>1040</v>
      </c>
      <c r="J15" s="487">
        <v>7.4972794468288102</v>
      </c>
      <c r="K15" s="487">
        <v>7.6079999999999997</v>
      </c>
      <c r="L15" s="509">
        <f t="shared" si="1"/>
        <v>0.98544682529295613</v>
      </c>
      <c r="M15" s="394"/>
    </row>
    <row r="16" spans="1:13">
      <c r="A16" s="397" t="str">
        <f t="shared" si="0"/>
        <v>PSR0VB3F-TENVA</v>
      </c>
      <c r="B16" s="362" t="s">
        <v>213</v>
      </c>
      <c r="C16" s="394" t="s">
        <v>214</v>
      </c>
      <c r="D16" s="362">
        <v>8.3179999999999996</v>
      </c>
      <c r="E16" s="362">
        <v>3.9510000000000001</v>
      </c>
      <c r="F16" s="496"/>
      <c r="G16" s="398"/>
      <c r="I16" s="490" t="s">
        <v>1015</v>
      </c>
      <c r="J16" s="487">
        <v>10.112925598991186</v>
      </c>
      <c r="K16" s="487">
        <v>10.016999999999999</v>
      </c>
      <c r="L16" s="509">
        <f t="shared" si="1"/>
        <v>1.0095762802227399</v>
      </c>
      <c r="M16" s="394"/>
    </row>
    <row r="17" spans="1:13">
      <c r="A17" s="397" t="str">
        <f t="shared" si="0"/>
        <v>PSR0V16D-HGKZA</v>
      </c>
      <c r="B17" s="362" t="s">
        <v>180</v>
      </c>
      <c r="C17" s="394" t="s">
        <v>194</v>
      </c>
      <c r="D17" s="362">
        <v>11.726000000000001</v>
      </c>
      <c r="E17" s="362">
        <v>5.4470000000000001</v>
      </c>
      <c r="F17" s="496"/>
      <c r="G17" s="398"/>
      <c r="I17" s="490" t="s">
        <v>1010</v>
      </c>
      <c r="J17" s="487">
        <v>10.685916264090126</v>
      </c>
      <c r="K17" s="487">
        <v>10.723000000000001</v>
      </c>
      <c r="L17" s="509">
        <f t="shared" si="1"/>
        <v>0.99654166409494782</v>
      </c>
      <c r="M17" s="394"/>
    </row>
    <row r="18" spans="1:13">
      <c r="A18" s="397" t="str">
        <f t="shared" si="0"/>
        <v>PSR0V109-HPBVA</v>
      </c>
      <c r="B18" s="362" t="s">
        <v>133</v>
      </c>
      <c r="C18" s="394" t="s">
        <v>134</v>
      </c>
      <c r="D18" s="362">
        <v>8.3230000000000004</v>
      </c>
      <c r="E18" s="362">
        <v>4.1120000000000001</v>
      </c>
      <c r="F18" s="496"/>
      <c r="G18" s="398"/>
      <c r="I18" s="490" t="s">
        <v>1044</v>
      </c>
      <c r="J18" s="487">
        <v>7.1398196721311837</v>
      </c>
      <c r="K18" s="487">
        <v>7.0960000000000001</v>
      </c>
      <c r="L18" s="509">
        <f t="shared" si="1"/>
        <v>1.0061752638290844</v>
      </c>
      <c r="M18" s="394"/>
    </row>
    <row r="19" spans="1:13">
      <c r="A19" s="397" t="str">
        <f t="shared" si="0"/>
        <v>PSR0V140-CVVVA</v>
      </c>
      <c r="B19" s="362" t="s">
        <v>262</v>
      </c>
      <c r="C19" s="394" t="s">
        <v>267</v>
      </c>
      <c r="D19" s="362">
        <v>11.811999999999999</v>
      </c>
      <c r="E19" s="362">
        <v>5.6040000000000001</v>
      </c>
      <c r="F19" s="496"/>
      <c r="G19" s="398"/>
      <c r="I19" s="490" t="s">
        <v>303</v>
      </c>
      <c r="J19" s="487">
        <v>10.77179268725596</v>
      </c>
      <c r="K19" s="487">
        <v>10.704000000000001</v>
      </c>
      <c r="L19" s="509">
        <f t="shared" si="1"/>
        <v>1.0063333975388602</v>
      </c>
      <c r="M19" s="394"/>
    </row>
    <row r="20" spans="1:13">
      <c r="A20" s="397" t="str">
        <f t="shared" si="0"/>
        <v>PSR0V132-PDAVA</v>
      </c>
      <c r="B20" s="362" t="s">
        <v>737</v>
      </c>
      <c r="C20" s="394" t="s">
        <v>732</v>
      </c>
      <c r="D20" s="362">
        <v>10.273</v>
      </c>
      <c r="E20" s="362">
        <v>4.726</v>
      </c>
      <c r="F20" s="496"/>
      <c r="G20" s="398"/>
      <c r="I20" s="490" t="s">
        <v>221</v>
      </c>
      <c r="J20" s="487">
        <v>8.8704707278481152</v>
      </c>
      <c r="K20" s="487">
        <v>8.8640000000000008</v>
      </c>
      <c r="L20" s="509">
        <f t="shared" si="1"/>
        <v>1.0007300008853919</v>
      </c>
      <c r="M20" s="394"/>
    </row>
    <row r="21" spans="1:13">
      <c r="A21" s="397" t="str">
        <f t="shared" si="0"/>
        <v>PSR0V15D-DTMZA</v>
      </c>
      <c r="B21" s="362" t="s">
        <v>179</v>
      </c>
      <c r="C21" s="394" t="s">
        <v>869</v>
      </c>
      <c r="D21" s="362">
        <v>10.819000000000001</v>
      </c>
      <c r="E21" s="362">
        <v>5.07</v>
      </c>
      <c r="F21" s="496"/>
      <c r="G21" s="398"/>
      <c r="I21" s="490" t="s">
        <v>189</v>
      </c>
      <c r="J21" s="487">
        <v>8.9910155210642984</v>
      </c>
      <c r="K21" s="487">
        <v>8.9689999999999994</v>
      </c>
      <c r="L21" s="509">
        <f t="shared" si="1"/>
        <v>1.0024546238225331</v>
      </c>
      <c r="M21" s="394"/>
    </row>
    <row r="22" spans="1:13">
      <c r="A22" s="397" t="str">
        <f t="shared" si="0"/>
        <v>PSR0V130-MQTVA</v>
      </c>
      <c r="B22" s="362" t="s">
        <v>232</v>
      </c>
      <c r="C22" s="394" t="s">
        <v>233</v>
      </c>
      <c r="D22" s="362">
        <v>10.164</v>
      </c>
      <c r="E22" s="362">
        <v>4.7539999999999996</v>
      </c>
      <c r="F22" s="496"/>
      <c r="G22" s="398"/>
      <c r="I22" s="490" t="s">
        <v>159</v>
      </c>
      <c r="J22" s="487">
        <v>9.1347516401124533</v>
      </c>
      <c r="K22" s="487">
        <v>9.0709999999999997</v>
      </c>
      <c r="L22" s="509">
        <f t="shared" si="1"/>
        <v>1.0070280718898086</v>
      </c>
      <c r="M22" s="394"/>
    </row>
    <row r="23" spans="1:13">
      <c r="A23" s="397" t="str">
        <f t="shared" si="0"/>
        <v>PSR0V17D-PKMZA</v>
      </c>
      <c r="B23" s="362" t="s">
        <v>181</v>
      </c>
      <c r="C23" s="394" t="s">
        <v>195</v>
      </c>
      <c r="D23" s="362">
        <v>12.536</v>
      </c>
      <c r="E23" s="362">
        <v>5.806</v>
      </c>
      <c r="F23" s="496"/>
      <c r="G23" s="398"/>
      <c r="I23" s="490" t="s">
        <v>792</v>
      </c>
      <c r="J23" s="487">
        <v>8.2780817307692622</v>
      </c>
      <c r="K23" s="487">
        <v>8.2390000000000008</v>
      </c>
      <c r="L23" s="509">
        <f t="shared" si="1"/>
        <v>1.0047435041593957</v>
      </c>
      <c r="M23" s="394"/>
    </row>
    <row r="24" spans="1:13">
      <c r="A24" s="397" t="str">
        <f t="shared" si="0"/>
        <v>PSR0V72F-TLNZA</v>
      </c>
      <c r="B24" s="362" t="s">
        <v>153</v>
      </c>
      <c r="C24" s="394" t="s">
        <v>871</v>
      </c>
      <c r="D24" s="362">
        <v>11.143000000000001</v>
      </c>
      <c r="E24" s="362">
        <v>5.194</v>
      </c>
      <c r="F24" s="496"/>
      <c r="G24" s="398"/>
      <c r="I24" s="490" t="s">
        <v>1004</v>
      </c>
      <c r="J24" s="487">
        <v>8.2250182196772066</v>
      </c>
      <c r="K24" s="487">
        <v>8.282</v>
      </c>
      <c r="L24" s="509">
        <f t="shared" si="1"/>
        <v>0.99311980435609837</v>
      </c>
      <c r="M24" s="394"/>
    </row>
    <row r="25" spans="1:13">
      <c r="A25" s="397" t="str">
        <f t="shared" si="0"/>
        <v>PSR0V18D-ZDMZA</v>
      </c>
      <c r="B25" s="362" t="s">
        <v>182</v>
      </c>
      <c r="C25" s="394" t="s">
        <v>196</v>
      </c>
      <c r="D25" s="362">
        <v>12.596</v>
      </c>
      <c r="E25" s="362">
        <v>5.8319999999999999</v>
      </c>
      <c r="F25" s="496"/>
      <c r="G25" s="398"/>
      <c r="I25" s="490" t="s">
        <v>304</v>
      </c>
      <c r="J25" s="487">
        <v>9.9506355932203086</v>
      </c>
      <c r="K25" s="487">
        <v>9.9870000000000001</v>
      </c>
      <c r="L25" s="509">
        <f t="shared" si="1"/>
        <v>0.99635882579556512</v>
      </c>
      <c r="M25" s="394"/>
    </row>
    <row r="26" spans="1:13">
      <c r="A26" s="397" t="str">
        <f t="shared" si="0"/>
        <v>PSR0V04S-3MCVA</v>
      </c>
      <c r="B26" s="362" t="s">
        <v>58</v>
      </c>
      <c r="C26" s="394" t="s">
        <v>69</v>
      </c>
      <c r="D26" s="362">
        <v>8.4610000000000003</v>
      </c>
      <c r="E26" s="362">
        <v>4.04</v>
      </c>
      <c r="F26" s="496"/>
      <c r="G26" s="398"/>
      <c r="I26" s="490" t="s">
        <v>851</v>
      </c>
      <c r="J26" s="487">
        <v>6.7145842217483738</v>
      </c>
      <c r="K26" s="487">
        <v>6.6210000000000004</v>
      </c>
      <c r="L26" s="509">
        <f t="shared" si="1"/>
        <v>1.0141344542740331</v>
      </c>
      <c r="M26" s="394"/>
    </row>
    <row r="27" spans="1:13">
      <c r="A27" s="397" t="str">
        <f t="shared" si="0"/>
        <v>PSR0V06S-CBRVA</v>
      </c>
      <c r="B27" s="362" t="s">
        <v>59</v>
      </c>
      <c r="C27" s="394" t="s">
        <v>60</v>
      </c>
      <c r="D27" s="362">
        <v>10.076000000000001</v>
      </c>
      <c r="E27" s="362">
        <v>4.6180000000000003</v>
      </c>
      <c r="F27" s="496"/>
      <c r="G27" s="398"/>
      <c r="I27" s="490" t="s">
        <v>187</v>
      </c>
      <c r="J27" s="487">
        <v>10.133246987951781</v>
      </c>
      <c r="K27" s="487">
        <v>10.09</v>
      </c>
      <c r="L27" s="509">
        <f t="shared" si="1"/>
        <v>1.0042861236820397</v>
      </c>
      <c r="M27" s="394"/>
    </row>
    <row r="28" spans="1:13">
      <c r="A28" s="397" t="str">
        <f t="shared" si="0"/>
        <v>PSR0V03S-VVVVA</v>
      </c>
      <c r="B28" s="362" t="s">
        <v>61</v>
      </c>
      <c r="C28" s="394" t="s">
        <v>62</v>
      </c>
      <c r="D28" s="362">
        <v>7.43</v>
      </c>
      <c r="E28" s="362">
        <v>3.5569999999999999</v>
      </c>
      <c r="F28" s="496"/>
      <c r="G28" s="398"/>
      <c r="I28" s="490" t="s">
        <v>831</v>
      </c>
      <c r="J28" s="487">
        <v>13.453235294117633</v>
      </c>
      <c r="K28" s="487">
        <v>13.428000000000001</v>
      </c>
      <c r="L28" s="509">
        <f t="shared" si="1"/>
        <v>1.0018793040004195</v>
      </c>
      <c r="M28" s="394"/>
    </row>
    <row r="29" spans="1:13">
      <c r="A29" s="397" t="str">
        <f t="shared" si="0"/>
        <v>PSR0V01S-P2PVA</v>
      </c>
      <c r="B29" s="362" t="s">
        <v>52</v>
      </c>
      <c r="C29" s="394" t="s">
        <v>53</v>
      </c>
      <c r="D29" s="362">
        <v>7.0430000000000001</v>
      </c>
      <c r="E29" s="362">
        <v>3.4039999999999999</v>
      </c>
      <c r="F29" s="496"/>
      <c r="G29" s="398"/>
      <c r="I29" s="490" t="s">
        <v>75</v>
      </c>
      <c r="J29" s="487">
        <v>10.789278538812829</v>
      </c>
      <c r="K29" s="487">
        <v>10.731999999999999</v>
      </c>
      <c r="L29" s="509">
        <f t="shared" si="1"/>
        <v>1.0053371728301184</v>
      </c>
      <c r="M29" s="394"/>
    </row>
    <row r="30" spans="1:13">
      <c r="A30" s="397" t="str">
        <f t="shared" si="0"/>
        <v>PSR0V21F-NSBVA</v>
      </c>
      <c r="B30" s="362" t="s">
        <v>276</v>
      </c>
      <c r="C30" s="394" t="s">
        <v>279</v>
      </c>
      <c r="D30" s="362">
        <v>7.077</v>
      </c>
      <c r="E30" s="362">
        <v>3.5609999999999999</v>
      </c>
      <c r="F30" s="496"/>
      <c r="G30" s="398"/>
      <c r="I30" s="490" t="s">
        <v>793</v>
      </c>
      <c r="J30" s="487">
        <v>8.9803677932405286</v>
      </c>
      <c r="K30" s="487">
        <v>8.8439999999999994</v>
      </c>
      <c r="L30" s="509">
        <f t="shared" si="1"/>
        <v>1.0154192439213625</v>
      </c>
      <c r="M30" s="394"/>
    </row>
    <row r="31" spans="1:13">
      <c r="A31" s="397" t="str">
        <f t="shared" si="0"/>
        <v>PSR0V05S-YYYVA</v>
      </c>
      <c r="B31" s="362" t="s">
        <v>63</v>
      </c>
      <c r="C31" s="394" t="s">
        <v>64</v>
      </c>
      <c r="D31" s="362">
        <v>8.5839999999999996</v>
      </c>
      <c r="E31" s="362">
        <v>4.0860000000000003</v>
      </c>
      <c r="F31" s="496"/>
      <c r="G31" s="398"/>
      <c r="I31" s="490" t="s">
        <v>885</v>
      </c>
      <c r="J31" s="487">
        <v>12.079666983824962</v>
      </c>
      <c r="K31" s="487">
        <v>11.965999999999999</v>
      </c>
      <c r="L31" s="509">
        <f t="shared" si="1"/>
        <v>1.0094991629470971</v>
      </c>
      <c r="M31" s="394"/>
    </row>
    <row r="32" spans="1:13">
      <c r="A32" s="397" t="str">
        <f t="shared" si="0"/>
        <v>PSR0V126-TMVVA</v>
      </c>
      <c r="B32" s="362" t="s">
        <v>142</v>
      </c>
      <c r="C32" s="394" t="s">
        <v>143</v>
      </c>
      <c r="D32" s="362">
        <v>9.5890000000000004</v>
      </c>
      <c r="E32" s="362">
        <v>4.4729999999999999</v>
      </c>
      <c r="F32" s="496"/>
      <c r="G32" s="398"/>
      <c r="I32" s="490" t="s">
        <v>63</v>
      </c>
      <c r="J32" s="487">
        <v>8.4774999999999654</v>
      </c>
      <c r="K32" s="487">
        <v>8.5839999999999996</v>
      </c>
      <c r="L32" s="509">
        <f t="shared" si="1"/>
        <v>0.98759319664491685</v>
      </c>
      <c r="M32" s="394"/>
    </row>
    <row r="33" spans="1:13">
      <c r="A33" s="397" t="str">
        <f t="shared" si="0"/>
        <v>PSR0V112-S2NVA</v>
      </c>
      <c r="B33" s="362" t="s">
        <v>837</v>
      </c>
      <c r="C33" s="394" t="s">
        <v>898</v>
      </c>
      <c r="D33" s="362">
        <v>7.7140000000000004</v>
      </c>
      <c r="E33" s="362">
        <v>3.7559999999999998</v>
      </c>
      <c r="F33" s="496"/>
      <c r="G33" s="398"/>
      <c r="I33" s="490" t="s">
        <v>553</v>
      </c>
      <c r="J33" s="487">
        <v>9.0712306201550721</v>
      </c>
      <c r="K33" s="487">
        <v>9.01</v>
      </c>
      <c r="L33" s="509">
        <f t="shared" si="1"/>
        <v>1.0067958512935706</v>
      </c>
      <c r="M33" s="394"/>
    </row>
    <row r="34" spans="1:13">
      <c r="A34" s="397" t="str">
        <f t="shared" si="0"/>
        <v>PSR0V22F-PNMVA</v>
      </c>
      <c r="B34" s="362" t="s">
        <v>277</v>
      </c>
      <c r="C34" s="394" t="s">
        <v>450</v>
      </c>
      <c r="D34" s="362">
        <v>7.077</v>
      </c>
      <c r="E34" s="362">
        <v>3.5609999999999999</v>
      </c>
      <c r="F34" s="496"/>
      <c r="G34" s="398"/>
      <c r="I34" s="490" t="s">
        <v>433</v>
      </c>
      <c r="J34" s="487">
        <v>8.1134845360824706</v>
      </c>
      <c r="K34" s="487">
        <v>8.0890000000000004</v>
      </c>
      <c r="L34" s="509">
        <f t="shared" si="1"/>
        <v>1.0030268928276016</v>
      </c>
      <c r="M34" s="394"/>
    </row>
    <row r="35" spans="1:13">
      <c r="A35" s="397" t="str">
        <f t="shared" si="0"/>
        <v>PSR0VA1F-P3NVA</v>
      </c>
      <c r="B35" s="362" t="s">
        <v>747</v>
      </c>
      <c r="C35" s="394" t="s">
        <v>944</v>
      </c>
      <c r="D35" s="362">
        <v>7.9160000000000004</v>
      </c>
      <c r="E35" s="362">
        <v>3.83</v>
      </c>
      <c r="F35" s="496"/>
      <c r="G35" s="398"/>
      <c r="I35" s="490" t="s">
        <v>935</v>
      </c>
      <c r="J35" s="487">
        <v>12.377178166838322</v>
      </c>
      <c r="K35" s="487">
        <v>12.313000000000001</v>
      </c>
      <c r="L35" s="509">
        <f t="shared" si="1"/>
        <v>1.0052122282821669</v>
      </c>
      <c r="M35" s="394"/>
    </row>
    <row r="36" spans="1:13">
      <c r="A36" s="397" t="str">
        <f t="shared" si="0"/>
        <v>PSR0V001-STDVA</v>
      </c>
      <c r="B36" s="362" t="s">
        <v>173</v>
      </c>
      <c r="C36" s="394" t="s">
        <v>203</v>
      </c>
      <c r="D36" s="362">
        <v>4.6639999999999997</v>
      </c>
      <c r="E36" s="362">
        <v>2.355</v>
      </c>
      <c r="F36" s="496"/>
      <c r="G36" s="398"/>
      <c r="I36" s="490" t="s">
        <v>404</v>
      </c>
      <c r="J36" s="487">
        <v>11.019652375434532</v>
      </c>
      <c r="K36" s="487">
        <v>10.983000000000001</v>
      </c>
      <c r="L36" s="509">
        <f t="shared" si="1"/>
        <v>1.0033371916083522</v>
      </c>
      <c r="M36" s="394"/>
    </row>
    <row r="37" spans="1:13">
      <c r="A37" s="397" t="str">
        <f t="shared" si="0"/>
        <v>PSR0V006-QLYVA</v>
      </c>
      <c r="B37" s="362" t="s">
        <v>170</v>
      </c>
      <c r="C37" s="394" t="s">
        <v>728</v>
      </c>
      <c r="D37" s="362">
        <v>5.6550000000000002</v>
      </c>
      <c r="E37" s="362">
        <v>2.8159999999999998</v>
      </c>
      <c r="F37" s="496"/>
      <c r="G37" s="398"/>
      <c r="I37" s="490" t="s">
        <v>789</v>
      </c>
      <c r="J37" s="487">
        <v>6.7804021447721343</v>
      </c>
      <c r="K37" s="487">
        <v>6.8049999999999997</v>
      </c>
      <c r="L37" s="509">
        <f t="shared" si="1"/>
        <v>0.99638532619722775</v>
      </c>
      <c r="M37" s="394"/>
    </row>
    <row r="38" spans="1:13">
      <c r="A38" s="397" t="str">
        <f t="shared" si="0"/>
        <v>PSR0V03P-BJTVA</v>
      </c>
      <c r="B38" s="362" t="s">
        <v>84</v>
      </c>
      <c r="C38" s="394" t="s">
        <v>85</v>
      </c>
      <c r="D38" s="362">
        <v>9.9860000000000007</v>
      </c>
      <c r="E38" s="362">
        <v>4.7869999999999999</v>
      </c>
      <c r="F38" s="496"/>
      <c r="G38" s="398"/>
      <c r="I38" s="490" t="s">
        <v>302</v>
      </c>
      <c r="J38" s="487">
        <v>8.4885145888593989</v>
      </c>
      <c r="K38" s="487">
        <v>8.5340000000000007</v>
      </c>
      <c r="L38" s="509">
        <f t="shared" si="1"/>
        <v>0.99467009478080592</v>
      </c>
      <c r="M38" s="394"/>
    </row>
    <row r="39" spans="1:13">
      <c r="A39" s="397" t="str">
        <f t="shared" si="0"/>
        <v>PSR0V08F-CTSVA</v>
      </c>
      <c r="B39" s="362" t="s">
        <v>56</v>
      </c>
      <c r="C39" s="394" t="s">
        <v>57</v>
      </c>
      <c r="D39" s="362">
        <v>5.68</v>
      </c>
      <c r="E39" s="362">
        <v>2.911</v>
      </c>
      <c r="F39" s="496"/>
      <c r="G39" s="398"/>
      <c r="I39" s="490" t="s">
        <v>232</v>
      </c>
      <c r="J39" s="487">
        <v>10.079132352941212</v>
      </c>
      <c r="K39" s="487">
        <v>10.164</v>
      </c>
      <c r="L39" s="509">
        <f t="shared" si="1"/>
        <v>0.99165017246568399</v>
      </c>
      <c r="M39" s="394"/>
    </row>
    <row r="40" spans="1:13">
      <c r="A40" s="397" t="str">
        <f t="shared" si="0"/>
        <v>PSR0VA2F-P4NVA</v>
      </c>
      <c r="B40" s="362" t="s">
        <v>249</v>
      </c>
      <c r="C40" s="394" t="s">
        <v>438</v>
      </c>
      <c r="D40" s="362">
        <v>7.9160000000000004</v>
      </c>
      <c r="E40" s="362">
        <v>3.83</v>
      </c>
      <c r="F40" s="496"/>
      <c r="G40" s="398"/>
      <c r="I40" s="490" t="s">
        <v>206</v>
      </c>
      <c r="J40" s="487">
        <v>12.244272727272714</v>
      </c>
      <c r="K40" s="487">
        <v>12.284000000000001</v>
      </c>
      <c r="L40" s="509">
        <f t="shared" si="1"/>
        <v>0.99676593351292031</v>
      </c>
      <c r="M40" s="394"/>
    </row>
    <row r="41" spans="1:13">
      <c r="A41" s="397" t="str">
        <f t="shared" si="0"/>
        <v>PSR0V07S-F91VA</v>
      </c>
      <c r="B41" s="362" t="s">
        <v>75</v>
      </c>
      <c r="C41" s="394" t="s">
        <v>76</v>
      </c>
      <c r="D41" s="362">
        <v>10.731999999999999</v>
      </c>
      <c r="E41" s="362">
        <v>5.0970000000000004</v>
      </c>
      <c r="F41" s="496"/>
      <c r="G41" s="398"/>
      <c r="I41" s="490" t="s">
        <v>52</v>
      </c>
      <c r="J41" s="487">
        <v>7.0352990033222866</v>
      </c>
      <c r="K41" s="487">
        <v>7.0430000000000001</v>
      </c>
      <c r="L41" s="509">
        <f t="shared" si="1"/>
        <v>0.99890657437488095</v>
      </c>
      <c r="M41" s="394"/>
    </row>
    <row r="42" spans="1:13">
      <c r="A42" s="397" t="str">
        <f t="shared" si="0"/>
        <v>PSR0VA3F-P5NVA</v>
      </c>
      <c r="B42" s="362" t="s">
        <v>238</v>
      </c>
      <c r="C42" s="394" t="s">
        <v>268</v>
      </c>
      <c r="D42" s="362">
        <v>7.9160000000000004</v>
      </c>
      <c r="E42" s="362">
        <v>3.83</v>
      </c>
      <c r="F42" s="496"/>
      <c r="G42" s="398"/>
      <c r="I42" s="490" t="s">
        <v>202</v>
      </c>
      <c r="J42" s="487">
        <v>12.315958188153324</v>
      </c>
      <c r="K42" s="487">
        <v>12.352</v>
      </c>
      <c r="L42" s="509">
        <f t="shared" si="1"/>
        <v>0.99708210720153201</v>
      </c>
      <c r="M42" s="394"/>
    </row>
    <row r="43" spans="1:13">
      <c r="A43" s="397" t="str">
        <f t="shared" si="0"/>
        <v>PSR0VA4F-PRNVA</v>
      </c>
      <c r="B43" s="362" t="s">
        <v>239</v>
      </c>
      <c r="C43" s="394" t="s">
        <v>240</v>
      </c>
      <c r="D43" s="362">
        <v>7.9160000000000004</v>
      </c>
      <c r="E43" s="362">
        <v>3.83</v>
      </c>
      <c r="F43" s="496"/>
      <c r="G43" s="398"/>
      <c r="I43" s="490" t="s">
        <v>298</v>
      </c>
      <c r="J43" s="487">
        <v>8.7419782214156179</v>
      </c>
      <c r="K43" s="487">
        <v>8.8089999999999993</v>
      </c>
      <c r="L43" s="509">
        <f t="shared" si="1"/>
        <v>0.99239167004377549</v>
      </c>
      <c r="M43" s="394"/>
    </row>
    <row r="44" spans="1:13">
      <c r="A44" s="397" t="str">
        <f t="shared" si="0"/>
        <v>PSR0V07F-LY5VA</v>
      </c>
      <c r="B44" s="362" t="s">
        <v>54</v>
      </c>
      <c r="C44" s="394" t="s">
        <v>55</v>
      </c>
      <c r="D44" s="362">
        <v>5.1890000000000001</v>
      </c>
      <c r="E44" s="362">
        <v>2.6190000000000002</v>
      </c>
      <c r="F44" s="496"/>
      <c r="G44" s="398"/>
      <c r="I44" s="490" t="s">
        <v>387</v>
      </c>
      <c r="J44" s="487">
        <v>5.3709677419354804</v>
      </c>
      <c r="K44" s="487">
        <v>5.367</v>
      </c>
      <c r="L44" s="509">
        <f t="shared" si="1"/>
        <v>1.0007392848771157</v>
      </c>
      <c r="M44" s="394"/>
    </row>
    <row r="45" spans="1:13">
      <c r="A45" s="397" t="str">
        <f t="shared" si="0"/>
        <v>PSR0V21D-NQTZA</v>
      </c>
      <c r="B45" s="362" t="s">
        <v>245</v>
      </c>
      <c r="C45" s="394" t="s">
        <v>246</v>
      </c>
      <c r="D45" s="362">
        <v>14.24</v>
      </c>
      <c r="E45" s="362">
        <v>6.625</v>
      </c>
      <c r="F45" s="496"/>
      <c r="G45" s="398"/>
      <c r="I45" s="490" t="s">
        <v>784</v>
      </c>
      <c r="J45" s="487">
        <v>9.9297826086956427</v>
      </c>
      <c r="K45" s="487">
        <v>9.9239999999999995</v>
      </c>
      <c r="L45" s="509">
        <f t="shared" si="1"/>
        <v>1.0005826893083074</v>
      </c>
      <c r="M45" s="394"/>
    </row>
    <row r="46" spans="1:13">
      <c r="A46" s="397" t="str">
        <f t="shared" si="0"/>
        <v>PSR0V02F-NLFVA</v>
      </c>
      <c r="B46" s="362" t="s">
        <v>72</v>
      </c>
      <c r="C46" s="394" t="s">
        <v>48</v>
      </c>
      <c r="D46" s="362">
        <v>6.0410000000000004</v>
      </c>
      <c r="E46" s="362">
        <v>3.0139999999999998</v>
      </c>
      <c r="F46" s="496"/>
      <c r="G46" s="398"/>
      <c r="I46" s="490" t="s">
        <v>354</v>
      </c>
      <c r="J46" s="487">
        <v>8.7944747899159772</v>
      </c>
      <c r="K46" s="487">
        <v>8.6999999999999993</v>
      </c>
      <c r="L46" s="509">
        <f t="shared" si="1"/>
        <v>1.0108591712547101</v>
      </c>
      <c r="M46" s="394"/>
    </row>
    <row r="47" spans="1:13">
      <c r="A47" s="397" t="str">
        <f t="shared" si="0"/>
        <v>PSR0V20F-QQQVA</v>
      </c>
      <c r="B47" s="362" t="s">
        <v>882</v>
      </c>
      <c r="C47" s="394" t="s">
        <v>900</v>
      </c>
      <c r="D47" s="362">
        <v>6.4550000000000001</v>
      </c>
      <c r="E47" s="362">
        <v>3.01</v>
      </c>
      <c r="F47" s="496"/>
      <c r="G47" s="398"/>
      <c r="I47" s="490" t="s">
        <v>555</v>
      </c>
      <c r="J47" s="487">
        <v>16.609092592592607</v>
      </c>
      <c r="K47" s="487">
        <v>16.266999999999999</v>
      </c>
      <c r="L47" s="509">
        <f t="shared" si="1"/>
        <v>1.0210298513919349</v>
      </c>
      <c r="M47" s="394"/>
    </row>
    <row r="48" spans="1:13">
      <c r="A48" s="397" t="str">
        <f t="shared" si="0"/>
        <v>PSR0V01P-R2DVA</v>
      </c>
      <c r="B48" s="362" t="s">
        <v>88</v>
      </c>
      <c r="C48" s="394" t="s">
        <v>89</v>
      </c>
      <c r="D48" s="362">
        <v>6.4349999999999996</v>
      </c>
      <c r="E48" s="362">
        <v>3.133</v>
      </c>
      <c r="F48" s="496"/>
      <c r="G48" s="398"/>
      <c r="I48" s="490" t="s">
        <v>419</v>
      </c>
      <c r="J48" s="487">
        <v>8.9597599999999762</v>
      </c>
      <c r="K48" s="487">
        <v>9.0589999999999993</v>
      </c>
      <c r="L48" s="509">
        <f t="shared" si="1"/>
        <v>0.98904514847113112</v>
      </c>
      <c r="M48" s="394"/>
    </row>
    <row r="49" spans="1:13">
      <c r="A49" s="397" t="str">
        <f t="shared" si="0"/>
        <v>PSR0V12F-RTBVA</v>
      </c>
      <c r="B49" s="362" t="s">
        <v>275</v>
      </c>
      <c r="C49" s="394" t="s">
        <v>278</v>
      </c>
      <c r="D49" s="362">
        <v>6.4329999999999998</v>
      </c>
      <c r="E49" s="362">
        <v>3.214</v>
      </c>
      <c r="F49" s="496"/>
      <c r="G49" s="398"/>
      <c r="I49" s="490" t="s">
        <v>750</v>
      </c>
      <c r="J49" s="487">
        <v>13.746995967741929</v>
      </c>
      <c r="K49" s="487">
        <v>13.664999999999999</v>
      </c>
      <c r="L49" s="509">
        <f t="shared" si="1"/>
        <v>1.0060004367173019</v>
      </c>
      <c r="M49" s="394"/>
    </row>
    <row r="50" spans="1:13">
      <c r="A50" s="397" t="str">
        <f t="shared" si="0"/>
        <v>PSR0V03F-SZKVA</v>
      </c>
      <c r="B50" s="362" t="s">
        <v>43</v>
      </c>
      <c r="C50" s="394" t="s">
        <v>44</v>
      </c>
      <c r="D50" s="362">
        <v>5.9459999999999997</v>
      </c>
      <c r="E50" s="362">
        <v>2.9489999999999998</v>
      </c>
      <c r="F50" s="496"/>
      <c r="G50" s="398"/>
      <c r="I50" s="490" t="s">
        <v>138</v>
      </c>
      <c r="J50" s="487">
        <v>8.4010359408033786</v>
      </c>
      <c r="K50" s="487">
        <v>8.4719999999999995</v>
      </c>
      <c r="L50" s="509">
        <f t="shared" si="1"/>
        <v>0.99162369461796263</v>
      </c>
      <c r="M50" s="394"/>
    </row>
    <row r="51" spans="1:13">
      <c r="A51" s="397" t="str">
        <f t="shared" si="0"/>
        <v>PSR0V046-YMJVA</v>
      </c>
      <c r="B51" s="362" t="s">
        <v>294</v>
      </c>
      <c r="C51" s="394" t="s">
        <v>439</v>
      </c>
      <c r="D51" s="362">
        <v>8.641</v>
      </c>
      <c r="E51" s="362">
        <v>4.1459999999999999</v>
      </c>
      <c r="F51" s="496"/>
      <c r="G51" s="398"/>
      <c r="I51" s="490" t="s">
        <v>420</v>
      </c>
      <c r="J51" s="487">
        <v>9.655859213250519</v>
      </c>
      <c r="K51" s="487">
        <v>9.7560000000000002</v>
      </c>
      <c r="L51" s="509">
        <f t="shared" si="1"/>
        <v>0.98973546671284529</v>
      </c>
      <c r="M51" s="394"/>
    </row>
    <row r="52" spans="1:13">
      <c r="A52" s="397" t="str">
        <f t="shared" si="0"/>
        <v>PSR0V103-XENZA</v>
      </c>
      <c r="B52" s="362" t="s">
        <v>736</v>
      </c>
      <c r="C52" s="394" t="s">
        <v>731</v>
      </c>
      <c r="D52" s="362">
        <v>9.5960000000000001</v>
      </c>
      <c r="E52" s="362">
        <v>4.5039999999999996</v>
      </c>
      <c r="F52" s="496"/>
      <c r="G52" s="398"/>
      <c r="I52" s="490" t="s">
        <v>58</v>
      </c>
      <c r="J52" s="487">
        <v>8.5056612529002358</v>
      </c>
      <c r="K52" s="487">
        <v>8.4610000000000003</v>
      </c>
      <c r="L52" s="509">
        <f t="shared" si="1"/>
        <v>1.0052784839735533</v>
      </c>
      <c r="M52" s="394"/>
    </row>
    <row r="53" spans="1:13">
      <c r="A53" s="397" t="str">
        <f t="shared" si="0"/>
        <v>PSR0V10S-RANVA</v>
      </c>
      <c r="B53" s="362" t="s">
        <v>135</v>
      </c>
      <c r="C53" s="394" t="s">
        <v>125</v>
      </c>
      <c r="D53" s="362">
        <v>8.07</v>
      </c>
      <c r="E53" s="362">
        <v>3.8420000000000001</v>
      </c>
      <c r="F53" s="496"/>
      <c r="G53" s="398"/>
      <c r="I53" s="490" t="s">
        <v>142</v>
      </c>
      <c r="J53" s="487">
        <v>9.5926027397260505</v>
      </c>
      <c r="K53" s="487">
        <v>9.5890000000000004</v>
      </c>
      <c r="L53" s="509">
        <f t="shared" si="1"/>
        <v>1.0003757158959277</v>
      </c>
      <c r="M53" s="394"/>
    </row>
    <row r="54" spans="1:13">
      <c r="A54" s="397" t="str">
        <f t="shared" si="0"/>
        <v>PSR0V09S-XXXVA</v>
      </c>
      <c r="B54" s="362" t="s">
        <v>132</v>
      </c>
      <c r="C54" s="394" t="s">
        <v>126</v>
      </c>
      <c r="D54" s="362">
        <v>7.3979999999999997</v>
      </c>
      <c r="E54" s="362">
        <v>3.5249999999999999</v>
      </c>
      <c r="F54" s="496"/>
      <c r="G54" s="398"/>
      <c r="I54" s="490" t="s">
        <v>421</v>
      </c>
      <c r="J54" s="487">
        <v>9.4477083333333258</v>
      </c>
      <c r="K54" s="487">
        <v>9.516</v>
      </c>
      <c r="L54" s="509">
        <f t="shared" si="1"/>
        <v>0.99282349026201411</v>
      </c>
      <c r="M54" s="394"/>
    </row>
    <row r="55" spans="1:13">
      <c r="A55" s="397" t="str">
        <f t="shared" si="0"/>
        <v>PSR0V08S-HNGVA</v>
      </c>
      <c r="B55" s="362" t="s">
        <v>130</v>
      </c>
      <c r="C55" s="394" t="s">
        <v>131</v>
      </c>
      <c r="D55" s="362">
        <v>7.8639999999999999</v>
      </c>
      <c r="E55" s="362">
        <v>3.7610000000000001</v>
      </c>
      <c r="F55" s="496"/>
      <c r="G55" s="398"/>
      <c r="I55" s="490" t="s">
        <v>412</v>
      </c>
      <c r="J55" s="487">
        <v>6.8819905213270127</v>
      </c>
      <c r="K55" s="487">
        <v>6.9329999999999998</v>
      </c>
      <c r="L55" s="509">
        <f t="shared" si="1"/>
        <v>0.99264250992745029</v>
      </c>
      <c r="M55" s="394"/>
    </row>
    <row r="56" spans="1:13">
      <c r="A56" s="397" t="str">
        <f t="shared" si="0"/>
        <v>PSR0V11S-YSLVA</v>
      </c>
      <c r="B56" s="362" t="s">
        <v>138</v>
      </c>
      <c r="C56" s="394" t="s">
        <v>127</v>
      </c>
      <c r="D56" s="362">
        <v>8.4719999999999995</v>
      </c>
      <c r="E56" s="362">
        <v>4.0739999999999998</v>
      </c>
      <c r="F56" s="496"/>
      <c r="G56" s="398"/>
      <c r="I56" s="490" t="s">
        <v>61</v>
      </c>
      <c r="J56" s="487">
        <v>7.467566765578642</v>
      </c>
      <c r="K56" s="487">
        <v>7.43</v>
      </c>
      <c r="L56" s="509">
        <f t="shared" si="1"/>
        <v>1.005056092271688</v>
      </c>
      <c r="M56" s="394"/>
    </row>
    <row r="57" spans="1:13">
      <c r="A57" s="397" t="str">
        <f t="shared" si="0"/>
        <v>PSR0V02P-QP3VA</v>
      </c>
      <c r="B57" s="362" t="s">
        <v>86</v>
      </c>
      <c r="C57" s="394" t="s">
        <v>87</v>
      </c>
      <c r="D57" s="362">
        <v>8.8919999999999995</v>
      </c>
      <c r="E57" s="362">
        <v>4.1379999999999999</v>
      </c>
      <c r="F57" s="496"/>
      <c r="G57" s="398"/>
      <c r="I57" s="490" t="s">
        <v>340</v>
      </c>
      <c r="J57" s="487">
        <v>9.1933144475920674</v>
      </c>
      <c r="K57" s="487">
        <v>9.1159999999999997</v>
      </c>
      <c r="L57" s="509">
        <f t="shared" si="1"/>
        <v>1.0084811811750842</v>
      </c>
      <c r="M57" s="394"/>
    </row>
    <row r="58" spans="1:13">
      <c r="A58" s="397" t="str">
        <f t="shared" si="0"/>
        <v>PSR0VB2F-YK2VA</v>
      </c>
      <c r="B58" s="362" t="s">
        <v>917</v>
      </c>
      <c r="C58" s="394" t="s">
        <v>945</v>
      </c>
      <c r="D58" s="362">
        <v>7.976</v>
      </c>
      <c r="E58" s="362" t="e">
        <v>#N/A</v>
      </c>
      <c r="F58" s="496"/>
      <c r="G58" s="398"/>
      <c r="I58" s="490" t="s">
        <v>422</v>
      </c>
      <c r="J58" s="487">
        <v>9.235988023952082</v>
      </c>
      <c r="K58" s="487">
        <v>9.2270000000000003</v>
      </c>
      <c r="L58" s="509">
        <f t="shared" si="1"/>
        <v>1.0009741003524528</v>
      </c>
      <c r="M58" s="394"/>
    </row>
    <row r="59" spans="1:13">
      <c r="A59" s="397" t="str">
        <f t="shared" si="0"/>
        <v>PSR0V113-S3NVA</v>
      </c>
      <c r="B59" s="362" t="s">
        <v>128</v>
      </c>
      <c r="C59" s="394" t="s">
        <v>141</v>
      </c>
      <c r="D59" s="362">
        <v>7.3970000000000002</v>
      </c>
      <c r="E59" s="362">
        <v>3.6230000000000002</v>
      </c>
      <c r="F59" s="496"/>
      <c r="G59" s="398"/>
      <c r="I59" s="490" t="s">
        <v>424</v>
      </c>
      <c r="J59" s="487">
        <v>9.7224698795180746</v>
      </c>
      <c r="K59" s="487">
        <v>9.7769999999999992</v>
      </c>
      <c r="L59" s="509">
        <f t="shared" si="1"/>
        <v>0.99442261220395578</v>
      </c>
      <c r="M59" s="394"/>
    </row>
    <row r="60" spans="1:13">
      <c r="A60" s="397" t="str">
        <f t="shared" si="0"/>
        <v>PSR0V78F-DKHZA</v>
      </c>
      <c r="B60" s="362" t="s">
        <v>156</v>
      </c>
      <c r="C60" s="394" t="s">
        <v>216</v>
      </c>
      <c r="D60" s="362">
        <v>10.919</v>
      </c>
      <c r="E60" s="362">
        <v>4.7409999999999997</v>
      </c>
      <c r="F60" s="496"/>
      <c r="G60" s="398"/>
      <c r="I60" s="490" t="s">
        <v>854</v>
      </c>
      <c r="J60" s="487">
        <v>7.4069531250000189</v>
      </c>
      <c r="K60" s="487">
        <v>7.5060000000000002</v>
      </c>
      <c r="L60" s="509">
        <f t="shared" si="1"/>
        <v>0.9868043065547587</v>
      </c>
      <c r="M60" s="394"/>
    </row>
    <row r="61" spans="1:13">
      <c r="A61" s="397" t="str">
        <f t="shared" si="0"/>
        <v>PSR0V123-PLLZA</v>
      </c>
      <c r="B61" s="362" t="s">
        <v>174</v>
      </c>
      <c r="C61" s="394" t="s">
        <v>175</v>
      </c>
      <c r="D61" s="362">
        <v>10.474</v>
      </c>
      <c r="E61" s="362">
        <v>5.0389999999999997</v>
      </c>
      <c r="F61" s="496"/>
      <c r="G61" s="398"/>
      <c r="I61" s="490" t="s">
        <v>207</v>
      </c>
      <c r="J61" s="487">
        <v>13.258639455782314</v>
      </c>
      <c r="K61" s="487">
        <v>13.335000000000001</v>
      </c>
      <c r="L61" s="509">
        <f t="shared" si="1"/>
        <v>0.99427367497430164</v>
      </c>
      <c r="M61" s="394"/>
    </row>
    <row r="62" spans="1:13">
      <c r="A62" s="397" t="str">
        <f t="shared" si="0"/>
        <v>PSR0V74F-JRVZA</v>
      </c>
      <c r="B62" s="362" t="s">
        <v>234</v>
      </c>
      <c r="C62" s="394" t="s">
        <v>235</v>
      </c>
      <c r="D62" s="362">
        <v>12.278</v>
      </c>
      <c r="E62" s="362">
        <v>5.4249999999999998</v>
      </c>
      <c r="F62" s="496"/>
      <c r="G62" s="398"/>
      <c r="I62" s="490" t="s">
        <v>556</v>
      </c>
      <c r="J62" s="487">
        <v>16.473809523809511</v>
      </c>
      <c r="K62" s="487">
        <v>16.079999999999998</v>
      </c>
      <c r="L62" s="509">
        <f t="shared" si="1"/>
        <v>1.0244906420279547</v>
      </c>
      <c r="M62" s="394"/>
    </row>
    <row r="63" spans="1:13">
      <c r="A63" s="397" t="str">
        <f t="shared" si="0"/>
        <v>PSR0V92F-GMDVA</v>
      </c>
      <c r="B63" s="362" t="s">
        <v>159</v>
      </c>
      <c r="C63" s="394" t="s">
        <v>448</v>
      </c>
      <c r="D63" s="362">
        <v>9.0709999999999997</v>
      </c>
      <c r="E63" s="362">
        <v>4.3049999999999997</v>
      </c>
      <c r="F63" s="496"/>
      <c r="G63" s="398"/>
      <c r="I63" s="490" t="s">
        <v>300</v>
      </c>
      <c r="J63" s="487">
        <v>10.174858044164043</v>
      </c>
      <c r="K63" s="487">
        <v>10.209</v>
      </c>
      <c r="L63" s="509">
        <f t="shared" si="1"/>
        <v>0.99665570028054107</v>
      </c>
      <c r="M63" s="394"/>
    </row>
    <row r="64" spans="1:13">
      <c r="A64" s="397" t="str">
        <f t="shared" si="0"/>
        <v>PSR0V87F-EMYVA</v>
      </c>
      <c r="B64" s="362" t="s">
        <v>189</v>
      </c>
      <c r="C64" s="394" t="s">
        <v>201</v>
      </c>
      <c r="D64" s="362">
        <v>8.9689999999999994</v>
      </c>
      <c r="E64" s="362">
        <v>4.2249999999999996</v>
      </c>
      <c r="F64" s="496"/>
      <c r="G64" s="398"/>
      <c r="I64" s="490" t="s">
        <v>423</v>
      </c>
      <c r="J64" s="487">
        <v>9.8955329949238653</v>
      </c>
      <c r="K64" s="487">
        <v>9.9629999999999992</v>
      </c>
      <c r="L64" s="509">
        <f t="shared" si="1"/>
        <v>0.99322824399516874</v>
      </c>
      <c r="M64" s="394"/>
    </row>
    <row r="65" spans="1:13">
      <c r="A65" s="397" t="str">
        <f t="shared" si="0"/>
        <v>PSR0V85F-TCTVA</v>
      </c>
      <c r="B65" s="362" t="s">
        <v>188</v>
      </c>
      <c r="C65" s="394" t="s">
        <v>200</v>
      </c>
      <c r="D65" s="362">
        <v>11.629</v>
      </c>
      <c r="E65" s="362">
        <v>5.484</v>
      </c>
      <c r="F65" s="496"/>
      <c r="G65" s="398"/>
      <c r="I65" s="490" t="s">
        <v>301</v>
      </c>
      <c r="J65" s="487">
        <v>10.752598684210534</v>
      </c>
      <c r="K65" s="487">
        <v>10.753</v>
      </c>
      <c r="L65" s="509">
        <f t="shared" si="1"/>
        <v>0.99996267871389699</v>
      </c>
      <c r="M65" s="394"/>
    </row>
    <row r="66" spans="1:13">
      <c r="A66" s="397" t="str">
        <f t="shared" si="0"/>
        <v>PSR0V80F-VHXVA</v>
      </c>
      <c r="B66" s="362" t="s">
        <v>158</v>
      </c>
      <c r="C66" s="394" t="s">
        <v>453</v>
      </c>
      <c r="D66" s="362">
        <v>10.016999999999999</v>
      </c>
      <c r="E66" s="362">
        <v>4.79</v>
      </c>
      <c r="F66" s="496"/>
      <c r="G66" s="398"/>
      <c r="I66" s="490" t="s">
        <v>936</v>
      </c>
      <c r="J66" s="487">
        <v>12.457595818815314</v>
      </c>
      <c r="K66" s="487">
        <v>12.435</v>
      </c>
      <c r="L66" s="509">
        <f t="shared" si="1"/>
        <v>1.0018171145006283</v>
      </c>
      <c r="M66" s="394"/>
    </row>
    <row r="67" spans="1:13">
      <c r="A67" s="397" t="str">
        <f t="shared" si="0"/>
        <v>PSR0V84F-ENGVA</v>
      </c>
      <c r="B67" s="362" t="s">
        <v>187</v>
      </c>
      <c r="C67" s="394" t="s">
        <v>199</v>
      </c>
      <c r="D67" s="362">
        <v>10.09</v>
      </c>
      <c r="E67" s="362">
        <v>4.8319999999999999</v>
      </c>
      <c r="F67" s="496"/>
      <c r="G67" s="398"/>
      <c r="I67" s="490" t="s">
        <v>180</v>
      </c>
      <c r="J67" s="487">
        <v>11.498490566037743</v>
      </c>
      <c r="K67" s="487">
        <v>11.471</v>
      </c>
      <c r="L67" s="509">
        <f t="shared" si="1"/>
        <v>1.0023965274202549</v>
      </c>
      <c r="M67" s="394"/>
    </row>
    <row r="68" spans="1:13">
      <c r="A68" s="397" t="str">
        <f t="shared" si="0"/>
        <v>PSR0VA0F-PCXVA</v>
      </c>
      <c r="B68" s="362" t="s">
        <v>209</v>
      </c>
      <c r="C68" s="394" t="s">
        <v>212</v>
      </c>
      <c r="D68" s="362">
        <v>8.923</v>
      </c>
      <c r="E68" s="362">
        <v>4.0839999999999996</v>
      </c>
      <c r="F68" s="496"/>
      <c r="G68" s="398"/>
      <c r="I68" s="490" t="s">
        <v>406</v>
      </c>
      <c r="J68" s="487">
        <v>11.478711111111119</v>
      </c>
      <c r="K68" s="487">
        <v>11.404999999999999</v>
      </c>
      <c r="L68" s="509">
        <f t="shared" si="1"/>
        <v>1.0064630522675246</v>
      </c>
      <c r="M68" s="394"/>
    </row>
    <row r="69" spans="1:13">
      <c r="A69" s="397" t="str">
        <f t="shared" si="0"/>
        <v>PSR0V83F-VSTVA</v>
      </c>
      <c r="B69" s="362" t="s">
        <v>186</v>
      </c>
      <c r="C69" s="394" t="s">
        <v>198</v>
      </c>
      <c r="D69" s="362">
        <v>7.5460000000000003</v>
      </c>
      <c r="E69" s="362">
        <v>3.6419999999999999</v>
      </c>
      <c r="F69" s="496"/>
      <c r="G69" s="398"/>
      <c r="I69" s="490" t="s">
        <v>297</v>
      </c>
      <c r="J69" s="487">
        <v>8.5164055299539019</v>
      </c>
      <c r="K69" s="487">
        <v>8.5120000000000005</v>
      </c>
      <c r="L69" s="509">
        <f t="shared" si="1"/>
        <v>1.00051756695887</v>
      </c>
      <c r="M69" s="394"/>
    </row>
    <row r="70" spans="1:13">
      <c r="A70" s="397" t="str">
        <f t="shared" si="0"/>
        <v>PSR0V93F-EGGVA</v>
      </c>
      <c r="B70" s="362" t="s">
        <v>253</v>
      </c>
      <c r="C70" s="394" t="s">
        <v>446</v>
      </c>
      <c r="D70" s="362">
        <v>8.7319999999999993</v>
      </c>
      <c r="E70" s="362">
        <v>4.048</v>
      </c>
      <c r="F70" s="496"/>
      <c r="G70" s="398"/>
      <c r="I70" s="490" t="s">
        <v>395</v>
      </c>
      <c r="J70" s="487">
        <v>11.610098522167471</v>
      </c>
      <c r="K70" s="487">
        <v>11.557</v>
      </c>
      <c r="L70" s="509">
        <f t="shared" si="1"/>
        <v>1.0045944901070754</v>
      </c>
      <c r="M70" s="394"/>
    </row>
    <row r="71" spans="1:13">
      <c r="A71" s="397" t="str">
        <f t="shared" ref="A71:A134" si="2">B71&amp;"-"&amp;C71</f>
        <v>PSR0V86F-QBVVA</v>
      </c>
      <c r="B71" s="362" t="s">
        <v>221</v>
      </c>
      <c r="C71" s="394" t="s">
        <v>224</v>
      </c>
      <c r="D71" s="362">
        <v>8.8640000000000008</v>
      </c>
      <c r="E71" s="362">
        <v>4.2949999999999999</v>
      </c>
      <c r="F71" s="496"/>
      <c r="G71" s="398"/>
      <c r="I71" s="490" t="s">
        <v>255</v>
      </c>
      <c r="J71" s="487">
        <v>10.517248677248668</v>
      </c>
      <c r="K71" s="487">
        <v>10.54</v>
      </c>
      <c r="L71" s="509">
        <f t="shared" ref="L71:L78" si="3">J71/K71</f>
        <v>0.99784143047900087</v>
      </c>
      <c r="M71" s="394"/>
    </row>
    <row r="72" spans="1:13">
      <c r="A72" s="397" t="str">
        <f t="shared" si="2"/>
        <v>PSR0V97F-XAXVA</v>
      </c>
      <c r="B72" s="362" t="s">
        <v>191</v>
      </c>
      <c r="C72" s="394" t="s">
        <v>274</v>
      </c>
      <c r="D72" s="362">
        <v>11.218999999999999</v>
      </c>
      <c r="E72" s="362">
        <v>5.1440000000000001</v>
      </c>
      <c r="F72" s="496"/>
      <c r="G72" s="398"/>
      <c r="I72" s="490" t="s">
        <v>418</v>
      </c>
      <c r="J72" s="487">
        <v>7.9580000000000153</v>
      </c>
      <c r="K72" s="487">
        <v>7.968</v>
      </c>
      <c r="L72" s="509">
        <f t="shared" si="3"/>
        <v>0.99874497991968059</v>
      </c>
      <c r="M72" s="394"/>
    </row>
    <row r="73" spans="1:13">
      <c r="A73" s="397" t="str">
        <f t="shared" si="2"/>
        <v>PSR0V89F-LXTVA</v>
      </c>
      <c r="B73" s="362" t="s">
        <v>208</v>
      </c>
      <c r="C73" s="394" t="s">
        <v>449</v>
      </c>
      <c r="D73" s="362">
        <v>7.0960000000000001</v>
      </c>
      <c r="E73" s="362">
        <v>3.4209999999999998</v>
      </c>
      <c r="F73" s="496"/>
      <c r="G73" s="398"/>
      <c r="I73" s="490" t="s">
        <v>183</v>
      </c>
      <c r="J73" s="487">
        <v>12.03173076923076</v>
      </c>
      <c r="K73" s="487">
        <v>12.114000000000001</v>
      </c>
      <c r="L73" s="509">
        <f t="shared" si="3"/>
        <v>0.99320874766639922</v>
      </c>
      <c r="M73" s="394"/>
    </row>
    <row r="74" spans="1:13">
      <c r="A74" s="397" t="str">
        <f t="shared" si="2"/>
        <v>PSR0V14D-LCDZA</v>
      </c>
      <c r="B74" s="362" t="s">
        <v>178</v>
      </c>
      <c r="C74" s="394" t="s">
        <v>193</v>
      </c>
      <c r="D74" s="362">
        <v>13.46</v>
      </c>
      <c r="E74" s="362">
        <v>6.3</v>
      </c>
      <c r="F74" s="496"/>
      <c r="G74" s="398"/>
      <c r="I74" s="490" t="s">
        <v>411</v>
      </c>
      <c r="J74" s="487">
        <v>10.901842105263173</v>
      </c>
      <c r="K74" s="487">
        <v>10.848000000000001</v>
      </c>
      <c r="L74" s="509">
        <f t="shared" si="3"/>
        <v>1.004963320912903</v>
      </c>
      <c r="M74" s="394"/>
    </row>
    <row r="75" spans="1:13">
      <c r="A75" s="397" t="str">
        <f t="shared" si="2"/>
        <v>PSR0V19D-TXLZA</v>
      </c>
      <c r="B75" s="362" t="s">
        <v>183</v>
      </c>
      <c r="C75" s="394" t="s">
        <v>197</v>
      </c>
      <c r="D75" s="362">
        <v>12.114000000000001</v>
      </c>
      <c r="E75" s="362">
        <v>5.6340000000000003</v>
      </c>
      <c r="F75" s="496"/>
      <c r="G75" s="398"/>
      <c r="I75" s="490" t="s">
        <v>220</v>
      </c>
      <c r="J75" s="487">
        <v>14.01567567567567</v>
      </c>
      <c r="K75" s="487">
        <v>13.974</v>
      </c>
      <c r="L75" s="509">
        <f t="shared" si="3"/>
        <v>1.0029823726689331</v>
      </c>
      <c r="M75" s="394"/>
    </row>
    <row r="76" spans="1:13">
      <c r="A76" s="397" t="str">
        <f t="shared" si="2"/>
        <v>PSR0V20D-DHHZA</v>
      </c>
      <c r="B76" s="362" t="s">
        <v>220</v>
      </c>
      <c r="C76" s="394" t="s">
        <v>223</v>
      </c>
      <c r="D76" s="362">
        <v>13.974</v>
      </c>
      <c r="E76" s="362">
        <v>6.524</v>
      </c>
      <c r="F76" s="496"/>
      <c r="G76" s="398"/>
      <c r="I76" s="490" t="s">
        <v>435</v>
      </c>
      <c r="J76" s="487">
        <v>6.3984027777777701</v>
      </c>
      <c r="K76" s="487">
        <v>6.3879999999999999</v>
      </c>
      <c r="L76" s="509">
        <f t="shared" si="3"/>
        <v>1.0016284874417298</v>
      </c>
      <c r="M76" s="394"/>
    </row>
    <row r="77" spans="1:13">
      <c r="A77" s="397" t="str">
        <f t="shared" si="2"/>
        <v>PSR0VA9F-D2MVA</v>
      </c>
      <c r="B77" s="362" t="s">
        <v>258</v>
      </c>
      <c r="C77" s="394" t="s">
        <v>442</v>
      </c>
      <c r="D77" s="362">
        <v>8.7780000000000005</v>
      </c>
      <c r="E77" s="362">
        <v>4.0990000000000002</v>
      </c>
      <c r="F77" s="496"/>
      <c r="G77" s="398"/>
      <c r="I77" s="490" t="s">
        <v>178</v>
      </c>
      <c r="J77" s="487">
        <v>13.522384615384608</v>
      </c>
      <c r="K77" s="487">
        <v>13.46</v>
      </c>
      <c r="L77" s="509">
        <f t="shared" si="3"/>
        <v>1.0046348154074745</v>
      </c>
      <c r="M77" s="394"/>
    </row>
    <row r="78" spans="1:13">
      <c r="A78" s="397" t="str">
        <f t="shared" si="2"/>
        <v>PSR0VC2F-LHNVA</v>
      </c>
      <c r="B78" s="362" t="s">
        <v>250</v>
      </c>
      <c r="C78" s="394" t="s">
        <v>251</v>
      </c>
      <c r="D78" s="362">
        <v>7.4880000000000004</v>
      </c>
      <c r="E78" s="362">
        <v>3.625</v>
      </c>
      <c r="F78" s="496"/>
      <c r="G78" s="398"/>
      <c r="I78" s="490" t="s">
        <v>342</v>
      </c>
      <c r="J78" s="487">
        <v>7.4962280701754382</v>
      </c>
      <c r="K78" s="487">
        <v>7.5060000000000002</v>
      </c>
      <c r="L78" s="509">
        <f t="shared" si="3"/>
        <v>0.99869811752936821</v>
      </c>
    </row>
    <row r="79" spans="1:13">
      <c r="A79" s="397" t="str">
        <f t="shared" si="2"/>
        <v>PSR0VB5F-VPTVA</v>
      </c>
      <c r="B79" s="362" t="s">
        <v>260</v>
      </c>
      <c r="C79" s="394" t="s">
        <v>259</v>
      </c>
      <c r="D79" s="362">
        <v>6.8289999999999997</v>
      </c>
      <c r="E79" s="362">
        <v>3.286</v>
      </c>
      <c r="F79" s="496"/>
      <c r="G79" s="398"/>
      <c r="I79" s="490" t="s">
        <v>179</v>
      </c>
      <c r="J79" s="487">
        <v>10.518421052631574</v>
      </c>
      <c r="K79" s="487">
        <v>10.628</v>
      </c>
      <c r="L79" s="509">
        <f t="shared" ref="L79:L142" si="4">J79/K79</f>
        <v>0.98968959847869531</v>
      </c>
    </row>
    <row r="80" spans="1:13">
      <c r="A80" s="397" t="str">
        <f t="shared" si="2"/>
        <v>PSR0VB6F-V6PVA</v>
      </c>
      <c r="B80" s="362" t="s">
        <v>281</v>
      </c>
      <c r="C80" s="394" t="s">
        <v>283</v>
      </c>
      <c r="D80" s="362">
        <v>6.8289999999999997</v>
      </c>
      <c r="E80" s="362">
        <v>3.286</v>
      </c>
      <c r="F80" s="496"/>
      <c r="G80" s="398"/>
      <c r="I80" s="490" t="s">
        <v>182</v>
      </c>
      <c r="J80" s="487">
        <v>12.634655172413794</v>
      </c>
      <c r="K80" s="487">
        <v>12.596</v>
      </c>
      <c r="L80" s="509">
        <f t="shared" si="4"/>
        <v>1.0030688450630194</v>
      </c>
    </row>
    <row r="81" spans="1:12">
      <c r="A81" s="397" t="str">
        <f t="shared" si="2"/>
        <v>PSR0VB7F-V7PVA</v>
      </c>
      <c r="B81" s="362" t="s">
        <v>282</v>
      </c>
      <c r="C81" s="394" t="s">
        <v>452</v>
      </c>
      <c r="D81" s="362">
        <v>6.8289999999999997</v>
      </c>
      <c r="E81" s="362">
        <v>3.286</v>
      </c>
      <c r="F81" s="496"/>
      <c r="G81" s="398"/>
      <c r="I81" s="490" t="s">
        <v>181</v>
      </c>
      <c r="J81" s="487">
        <v>12.507540983606559</v>
      </c>
      <c r="K81" s="487">
        <v>12.536</v>
      </c>
      <c r="L81" s="509">
        <f t="shared" si="4"/>
        <v>0.99772981681609441</v>
      </c>
    </row>
    <row r="82" spans="1:12">
      <c r="A82" s="397" t="str">
        <f t="shared" si="2"/>
        <v>PSR0V13D-AMMZA</v>
      </c>
      <c r="B82" s="362" t="s">
        <v>202</v>
      </c>
      <c r="C82" s="394" t="s">
        <v>204</v>
      </c>
      <c r="D82" s="362">
        <v>12.352</v>
      </c>
      <c r="E82" s="362">
        <v>5.7409999999999997</v>
      </c>
      <c r="F82" s="496"/>
      <c r="G82" s="398"/>
      <c r="I82" s="490" t="s">
        <v>410</v>
      </c>
      <c r="J82" s="487">
        <v>6.2037623762376306</v>
      </c>
      <c r="K82" s="487">
        <v>6.1509999999999998</v>
      </c>
      <c r="L82" s="509">
        <f t="shared" si="4"/>
        <v>1.0085778533958105</v>
      </c>
    </row>
    <row r="83" spans="1:12">
      <c r="A83" s="397" t="str">
        <f t="shared" si="2"/>
        <v>PSR0V02S-TANVA</v>
      </c>
      <c r="B83" s="362" t="s">
        <v>70</v>
      </c>
      <c r="C83" s="394" t="s">
        <v>71</v>
      </c>
      <c r="D83" s="362">
        <v>6.7919999999999998</v>
      </c>
      <c r="E83" s="362">
        <v>3.2730000000000001</v>
      </c>
      <c r="F83" s="496"/>
      <c r="G83" s="398"/>
      <c r="I83" s="490" t="s">
        <v>477</v>
      </c>
      <c r="J83" s="487">
        <v>15.257216494845359</v>
      </c>
      <c r="K83" s="487">
        <v>15.115</v>
      </c>
      <c r="L83" s="509">
        <f t="shared" si="4"/>
        <v>1.0094089642636692</v>
      </c>
    </row>
    <row r="84" spans="1:12">
      <c r="A84" s="397" t="str">
        <f t="shared" si="2"/>
        <v>PSR0V82F-FDPVA</v>
      </c>
      <c r="B84" s="362" t="s">
        <v>185</v>
      </c>
      <c r="C84" s="394" t="s">
        <v>437</v>
      </c>
      <c r="D84" s="362">
        <v>10.163</v>
      </c>
      <c r="E84" s="362">
        <v>4.923</v>
      </c>
      <c r="F84" s="496"/>
      <c r="G84" s="398"/>
      <c r="I84" s="490" t="s">
        <v>476</v>
      </c>
      <c r="J84" s="487">
        <v>12.57636363636364</v>
      </c>
      <c r="K84" s="487">
        <v>12.566000000000001</v>
      </c>
      <c r="L84" s="509">
        <f t="shared" si="4"/>
        <v>1.0008247363014195</v>
      </c>
    </row>
    <row r="85" spans="1:12">
      <c r="A85" s="397" t="str">
        <f t="shared" si="2"/>
        <v>PSR0V06F-MK5VA</v>
      </c>
      <c r="B85" s="362" t="s">
        <v>73</v>
      </c>
      <c r="C85" s="394" t="s">
        <v>74</v>
      </c>
      <c r="D85" s="362">
        <v>5.4409999999999998</v>
      </c>
      <c r="E85" s="362">
        <v>2.6779999999999999</v>
      </c>
      <c r="F85" s="496"/>
      <c r="G85" s="398"/>
      <c r="I85" s="490" t="s">
        <v>431</v>
      </c>
      <c r="J85" s="487">
        <v>6.6129629629629632</v>
      </c>
      <c r="K85" s="487">
        <v>6.5460000000000003</v>
      </c>
      <c r="L85" s="509">
        <f t="shared" si="4"/>
        <v>1.0102296002082132</v>
      </c>
    </row>
    <row r="86" spans="1:12">
      <c r="A86" s="397" t="str">
        <f t="shared" si="2"/>
        <v>PSR0V79F-PMCZA</v>
      </c>
      <c r="B86" s="362" t="s">
        <v>157</v>
      </c>
      <c r="C86" s="394" t="s">
        <v>217</v>
      </c>
      <c r="D86" s="362">
        <v>10.481</v>
      </c>
      <c r="E86" s="362">
        <v>4.5819999999999999</v>
      </c>
      <c r="F86" s="496"/>
      <c r="G86" s="398"/>
      <c r="I86" s="490" t="s">
        <v>254</v>
      </c>
      <c r="J86" s="487">
        <v>9.1188888888888879</v>
      </c>
      <c r="K86" s="487">
        <v>9.02</v>
      </c>
      <c r="L86" s="509">
        <f t="shared" si="4"/>
        <v>1.0109632914510962</v>
      </c>
    </row>
    <row r="87" spans="1:12">
      <c r="A87" s="397" t="str">
        <f t="shared" si="2"/>
        <v>PSR0V75F-PTDZA</v>
      </c>
      <c r="B87" s="362" t="s">
        <v>222</v>
      </c>
      <c r="C87" s="394" t="s">
        <v>225</v>
      </c>
      <c r="D87" s="362">
        <v>12.435</v>
      </c>
      <c r="E87" s="362">
        <v>5.5389999999999997</v>
      </c>
      <c r="F87" s="496"/>
      <c r="G87" s="398"/>
      <c r="I87" s="490" t="s">
        <v>580</v>
      </c>
      <c r="J87" s="487">
        <v>10.76</v>
      </c>
      <c r="K87" s="487">
        <v>10.695</v>
      </c>
      <c r="L87" s="509">
        <f t="shared" si="4"/>
        <v>1.0060776063581112</v>
      </c>
    </row>
    <row r="88" spans="1:12">
      <c r="A88" s="397" t="str">
        <f t="shared" si="2"/>
        <v>PSR0V155-TWWZA</v>
      </c>
      <c r="B88" s="362" t="s">
        <v>346</v>
      </c>
      <c r="C88" s="394" t="s">
        <v>355</v>
      </c>
      <c r="D88" s="362">
        <v>12.435</v>
      </c>
      <c r="E88" s="362">
        <v>5.5389999999999997</v>
      </c>
      <c r="F88" s="496"/>
      <c r="G88" s="398"/>
      <c r="I88" s="490" t="s">
        <v>1005</v>
      </c>
      <c r="J88" s="487">
        <v>10.918173913043482</v>
      </c>
      <c r="K88" s="487">
        <v>10.816000000000001</v>
      </c>
      <c r="L88" s="509">
        <f t="shared" si="4"/>
        <v>1.0094465526112686</v>
      </c>
    </row>
    <row r="89" spans="1:12">
      <c r="A89" s="397" t="str">
        <f t="shared" si="2"/>
        <v>PSR0V88F-TDHVA</v>
      </c>
      <c r="B89" s="362" t="s">
        <v>190</v>
      </c>
      <c r="C89" s="394" t="s">
        <v>451</v>
      </c>
      <c r="D89" s="362">
        <v>10.723000000000001</v>
      </c>
      <c r="E89" s="362">
        <v>5.0570000000000004</v>
      </c>
      <c r="F89" s="496"/>
      <c r="G89" s="398"/>
      <c r="I89" s="490"/>
      <c r="J89" s="487"/>
      <c r="K89" s="487"/>
      <c r="L89" s="509" t="e">
        <f t="shared" si="4"/>
        <v>#DIV/0!</v>
      </c>
    </row>
    <row r="90" spans="1:12">
      <c r="A90" s="397" t="str">
        <f t="shared" si="2"/>
        <v>PSR0V81F-WETVA</v>
      </c>
      <c r="B90" s="362" t="s">
        <v>184</v>
      </c>
      <c r="C90" s="394" t="s">
        <v>455</v>
      </c>
      <c r="D90" s="362">
        <v>8.39</v>
      </c>
      <c r="E90" s="362">
        <v>4.0519999999999996</v>
      </c>
      <c r="F90" s="496"/>
      <c r="G90" s="398"/>
      <c r="I90" s="490" t="s">
        <v>786</v>
      </c>
      <c r="J90" s="487">
        <v>4.9614622266242829</v>
      </c>
      <c r="K90" s="487">
        <v>4.9290000000000003</v>
      </c>
      <c r="L90" s="509">
        <f t="shared" si="4"/>
        <v>1.0065859660426624</v>
      </c>
    </row>
    <row r="91" spans="1:12">
      <c r="A91" s="397" t="str">
        <f t="shared" si="2"/>
        <v>PSR0V043-WLLVA</v>
      </c>
      <c r="B91" s="362" t="s">
        <v>167</v>
      </c>
      <c r="C91" s="394" t="s">
        <v>231</v>
      </c>
      <c r="D91" s="362">
        <v>8.4260000000000002</v>
      </c>
      <c r="E91" s="362">
        <v>4.2190000000000003</v>
      </c>
      <c r="F91" s="496"/>
      <c r="G91" s="398"/>
      <c r="I91" s="490" t="s">
        <v>846</v>
      </c>
      <c r="J91" s="487">
        <v>5.1168214042925619</v>
      </c>
      <c r="K91" s="487">
        <v>5.0739999999999998</v>
      </c>
      <c r="L91" s="509">
        <f t="shared" si="4"/>
        <v>1.0084393780631773</v>
      </c>
    </row>
    <row r="92" spans="1:12">
      <c r="A92" s="397" t="str">
        <f t="shared" si="2"/>
        <v>PSR0V91F-REXVA</v>
      </c>
      <c r="B92" s="362" t="s">
        <v>226</v>
      </c>
      <c r="C92" s="394" t="s">
        <v>227</v>
      </c>
      <c r="D92" s="362">
        <v>8.6240000000000006</v>
      </c>
      <c r="E92" s="362">
        <v>4.0330000000000004</v>
      </c>
      <c r="F92" s="496"/>
      <c r="G92" s="398"/>
      <c r="I92" s="490" t="s">
        <v>790</v>
      </c>
      <c r="J92" s="487">
        <v>7.2637809843132022</v>
      </c>
      <c r="K92" s="487">
        <v>7.2519999999999998</v>
      </c>
      <c r="L92" s="509">
        <f t="shared" si="4"/>
        <v>1.0016245152114178</v>
      </c>
    </row>
    <row r="93" spans="1:12">
      <c r="A93" s="397" t="str">
        <f t="shared" si="2"/>
        <v>PSR0V005-DLVVA</v>
      </c>
      <c r="B93" s="362" t="s">
        <v>171</v>
      </c>
      <c r="C93" s="394" t="s">
        <v>228</v>
      </c>
      <c r="D93" s="362">
        <v>7.7320000000000002</v>
      </c>
      <c r="E93" s="362">
        <v>3.875</v>
      </c>
      <c r="F93" s="496"/>
      <c r="G93" s="398"/>
      <c r="I93" s="490" t="s">
        <v>221</v>
      </c>
      <c r="J93" s="487">
        <v>8.8744542124542587</v>
      </c>
      <c r="K93" s="487">
        <v>8.8640000000000008</v>
      </c>
      <c r="L93" s="509">
        <f t="shared" si="4"/>
        <v>1.0011794012245328</v>
      </c>
    </row>
    <row r="94" spans="1:12">
      <c r="A94" s="397" t="str">
        <f t="shared" si="2"/>
        <v>PSR0V114-S4NVA</v>
      </c>
      <c r="B94" s="362" t="s">
        <v>122</v>
      </c>
      <c r="C94" s="394" t="s">
        <v>124</v>
      </c>
      <c r="D94" s="362">
        <v>8.3379999999999992</v>
      </c>
      <c r="E94" s="362">
        <v>4.03</v>
      </c>
      <c r="F94" s="496"/>
      <c r="G94" s="398"/>
      <c r="I94" s="490" t="s">
        <v>854</v>
      </c>
      <c r="J94" s="487">
        <v>7.4734963768116582</v>
      </c>
      <c r="K94" s="487">
        <v>7.5060000000000002</v>
      </c>
      <c r="L94" s="509">
        <f t="shared" si="4"/>
        <v>0.9956696478566025</v>
      </c>
    </row>
    <row r="95" spans="1:12">
      <c r="A95" s="397" t="str">
        <f t="shared" si="2"/>
        <v>PSR0V135-XBBVA</v>
      </c>
      <c r="B95" s="362" t="s">
        <v>295</v>
      </c>
      <c r="C95" s="394" t="s">
        <v>296</v>
      </c>
      <c r="D95" s="362">
        <v>10.683</v>
      </c>
      <c r="E95" s="362">
        <v>5.0609999999999999</v>
      </c>
      <c r="F95" s="496"/>
      <c r="G95" s="398"/>
      <c r="I95" s="490" t="s">
        <v>159</v>
      </c>
      <c r="J95" s="487">
        <v>9.1703562667912308</v>
      </c>
      <c r="K95" s="487">
        <v>9.0709999999999997</v>
      </c>
      <c r="L95" s="509">
        <f t="shared" si="4"/>
        <v>1.0109531768042368</v>
      </c>
    </row>
    <row r="96" spans="1:12">
      <c r="A96" s="397" t="str">
        <f t="shared" si="2"/>
        <v>PSR0V77F-SYTZA</v>
      </c>
      <c r="B96" s="362" t="s">
        <v>155</v>
      </c>
      <c r="C96" s="394" t="s">
        <v>215</v>
      </c>
      <c r="D96" s="362">
        <v>11.92</v>
      </c>
      <c r="E96" s="362">
        <v>5.2439999999999998</v>
      </c>
      <c r="F96" s="496"/>
      <c r="G96" s="398"/>
      <c r="I96" s="490" t="s">
        <v>433</v>
      </c>
      <c r="J96" s="487">
        <v>8.1236966236345083</v>
      </c>
      <c r="K96" s="487">
        <v>8.0890000000000004</v>
      </c>
      <c r="L96" s="509">
        <f t="shared" si="4"/>
        <v>1.004289358837249</v>
      </c>
    </row>
    <row r="97" spans="1:12">
      <c r="A97" s="397" t="str">
        <f t="shared" si="2"/>
        <v>PSR0V65F-VKEVA</v>
      </c>
      <c r="B97" s="362" t="s">
        <v>163</v>
      </c>
      <c r="C97" s="394" t="s">
        <v>454</v>
      </c>
      <c r="D97" s="362">
        <v>10.326000000000001</v>
      </c>
      <c r="E97" s="362">
        <v>4.6689999999999996</v>
      </c>
      <c r="F97" s="496"/>
      <c r="G97" s="398"/>
      <c r="I97" s="490" t="s">
        <v>189</v>
      </c>
      <c r="J97" s="487">
        <v>9.0148658091154701</v>
      </c>
      <c r="K97" s="487">
        <v>8.9689999999999994</v>
      </c>
      <c r="L97" s="509">
        <f t="shared" si="4"/>
        <v>1.0051138152654109</v>
      </c>
    </row>
    <row r="98" spans="1:12">
      <c r="A98" s="397" t="str">
        <f t="shared" si="2"/>
        <v>PSR0VA6F-VFFVA</v>
      </c>
      <c r="B98" s="362" t="s">
        <v>161</v>
      </c>
      <c r="C98" s="394" t="s">
        <v>218</v>
      </c>
      <c r="D98" s="362">
        <v>8.1039999999999992</v>
      </c>
      <c r="E98" s="362">
        <v>3.85</v>
      </c>
      <c r="F98" s="496"/>
      <c r="G98" s="398"/>
      <c r="I98" s="490" t="s">
        <v>1002</v>
      </c>
      <c r="J98" s="487">
        <v>12.236055595930269</v>
      </c>
      <c r="K98" s="487">
        <v>12.218999999999999</v>
      </c>
      <c r="L98" s="509">
        <f t="shared" si="4"/>
        <v>1.0013958258392888</v>
      </c>
    </row>
    <row r="99" spans="1:12">
      <c r="A99" s="397" t="str">
        <f t="shared" si="2"/>
        <v>PSR0VA5F-VECVA</v>
      </c>
      <c r="B99" s="362" t="s">
        <v>160</v>
      </c>
      <c r="C99" s="394" t="s">
        <v>441</v>
      </c>
      <c r="D99" s="362">
        <v>8.1039999999999992</v>
      </c>
      <c r="E99" s="362">
        <v>3.85</v>
      </c>
      <c r="F99" s="496"/>
      <c r="G99" s="398"/>
      <c r="I99" s="490" t="s">
        <v>1040</v>
      </c>
      <c r="J99" s="487">
        <v>7.5165882567469113</v>
      </c>
      <c r="K99" s="487">
        <v>7.6079999999999997</v>
      </c>
      <c r="L99" s="509">
        <f t="shared" si="4"/>
        <v>0.98798478663865819</v>
      </c>
    </row>
    <row r="100" spans="1:12">
      <c r="A100" s="397" t="str">
        <f t="shared" si="2"/>
        <v>PSR0VA7F-VMUVA</v>
      </c>
      <c r="B100" s="362" t="s">
        <v>162</v>
      </c>
      <c r="C100" s="394" t="s">
        <v>219</v>
      </c>
      <c r="D100" s="362">
        <v>8.1039999999999992</v>
      </c>
      <c r="E100" s="362">
        <v>3.85</v>
      </c>
      <c r="F100" s="496"/>
      <c r="G100" s="398"/>
      <c r="I100" s="490" t="s">
        <v>852</v>
      </c>
      <c r="J100" s="487">
        <v>6.9301813685077471</v>
      </c>
      <c r="K100" s="487">
        <v>6.8449999999999998</v>
      </c>
      <c r="L100" s="509">
        <f t="shared" si="4"/>
        <v>1.0124443197235569</v>
      </c>
    </row>
    <row r="101" spans="1:12">
      <c r="A101" s="397" t="str">
        <f t="shared" si="2"/>
        <v>PSR0V118-S8NVA</v>
      </c>
      <c r="B101" s="362" t="s">
        <v>136</v>
      </c>
      <c r="C101" s="394" t="s">
        <v>137</v>
      </c>
      <c r="D101" s="362">
        <v>9.1609999999999996</v>
      </c>
      <c r="E101" s="362">
        <v>4.4619999999999997</v>
      </c>
      <c r="F101" s="496"/>
      <c r="G101" s="398"/>
      <c r="I101" s="490" t="s">
        <v>303</v>
      </c>
      <c r="J101" s="487">
        <v>10.753428248587642</v>
      </c>
      <c r="K101" s="487">
        <v>10.704000000000001</v>
      </c>
      <c r="L101" s="509">
        <f t="shared" si="4"/>
        <v>1.0046177362282924</v>
      </c>
    </row>
    <row r="102" spans="1:12">
      <c r="A102" s="397" t="str">
        <f t="shared" si="2"/>
        <v>PSR0V90F-VCDVA</v>
      </c>
      <c r="B102" s="362" t="s">
        <v>305</v>
      </c>
      <c r="C102" s="394" t="s">
        <v>306</v>
      </c>
      <c r="D102" s="362">
        <v>11.135999999999999</v>
      </c>
      <c r="E102" s="362">
        <v>5.2839999999999998</v>
      </c>
      <c r="F102" s="496"/>
      <c r="G102" s="398"/>
      <c r="I102" s="490" t="s">
        <v>188</v>
      </c>
      <c r="J102" s="487">
        <v>11.630279740039519</v>
      </c>
      <c r="K102" s="487">
        <v>11.629</v>
      </c>
      <c r="L102" s="509">
        <f t="shared" si="4"/>
        <v>1.0001100472989526</v>
      </c>
    </row>
    <row r="103" spans="1:12">
      <c r="A103" s="397" t="str">
        <f t="shared" si="2"/>
        <v>PSR0V16F-KENVA</v>
      </c>
      <c r="B103" s="362" t="s">
        <v>78</v>
      </c>
      <c r="C103" s="394" t="s">
        <v>80</v>
      </c>
      <c r="D103" s="362">
        <v>6.3769999999999998</v>
      </c>
      <c r="E103" s="362">
        <v>3.1749999999999998</v>
      </c>
      <c r="F103" s="496"/>
      <c r="G103" s="398"/>
      <c r="I103" s="490" t="s">
        <v>789</v>
      </c>
      <c r="J103" s="487">
        <v>6.8191749680715885</v>
      </c>
      <c r="K103" s="487">
        <v>6.81</v>
      </c>
      <c r="L103" s="509">
        <f t="shared" si="4"/>
        <v>1.0013472787182951</v>
      </c>
    </row>
    <row r="104" spans="1:12">
      <c r="A104" s="397" t="str">
        <f t="shared" si="2"/>
        <v>PSR0VB8F-YGHVA</v>
      </c>
      <c r="B104" s="362" t="s">
        <v>241</v>
      </c>
      <c r="C104" s="394" t="s">
        <v>269</v>
      </c>
      <c r="D104" s="362">
        <v>7.2839999999999998</v>
      </c>
      <c r="E104" s="362">
        <v>3.5390000000000001</v>
      </c>
      <c r="F104" s="496"/>
      <c r="G104" s="398"/>
      <c r="I104" s="490" t="s">
        <v>885</v>
      </c>
      <c r="J104" s="487">
        <v>12.12186062020673</v>
      </c>
      <c r="K104" s="487">
        <v>11.956</v>
      </c>
      <c r="L104" s="509">
        <f t="shared" si="4"/>
        <v>1.0138725844937044</v>
      </c>
    </row>
    <row r="105" spans="1:12">
      <c r="A105" s="397" t="str">
        <f t="shared" si="2"/>
        <v>PSR0VB9F-YHNVA</v>
      </c>
      <c r="B105" s="362" t="s">
        <v>242</v>
      </c>
      <c r="C105" s="394" t="s">
        <v>443</v>
      </c>
      <c r="D105" s="362">
        <v>7.2839999999999998</v>
      </c>
      <c r="E105" s="362">
        <v>3.5390000000000001</v>
      </c>
      <c r="F105" s="496"/>
      <c r="G105" s="398"/>
      <c r="I105" s="490" t="s">
        <v>185</v>
      </c>
      <c r="J105" s="487">
        <v>10.156156678942095</v>
      </c>
      <c r="K105" s="487">
        <v>10.163</v>
      </c>
      <c r="L105" s="509">
        <f t="shared" si="4"/>
        <v>0.99932664360347279</v>
      </c>
    </row>
    <row r="106" spans="1:12">
      <c r="A106" s="397" t="str">
        <f t="shared" si="2"/>
        <v>PSR0V30D-HYHZA</v>
      </c>
      <c r="B106" s="362" t="s">
        <v>288</v>
      </c>
      <c r="C106" s="394" t="s">
        <v>293</v>
      </c>
      <c r="D106" s="362">
        <v>11.487</v>
      </c>
      <c r="E106" s="362">
        <v>5.383</v>
      </c>
      <c r="F106" s="496"/>
      <c r="G106" s="398"/>
      <c r="I106" s="490" t="s">
        <v>261</v>
      </c>
      <c r="J106" s="487">
        <v>7.5759182349124625</v>
      </c>
      <c r="K106" s="487">
        <v>7.5149999999999997</v>
      </c>
      <c r="L106" s="509">
        <f t="shared" si="4"/>
        <v>1.0081062188838938</v>
      </c>
    </row>
    <row r="107" spans="1:12">
      <c r="A107" s="397" t="str">
        <f t="shared" si="2"/>
        <v>PSR0V011-FLSVA</v>
      </c>
      <c r="B107" s="362" t="s">
        <v>838</v>
      </c>
      <c r="C107" s="394" t="s">
        <v>946</v>
      </c>
      <c r="D107" s="362">
        <v>6.73</v>
      </c>
      <c r="E107" s="362">
        <v>3.3069999999999999</v>
      </c>
      <c r="F107" s="496"/>
      <c r="G107" s="398"/>
      <c r="I107" s="490" t="s">
        <v>1007</v>
      </c>
      <c r="J107" s="487">
        <v>11.161809661139124</v>
      </c>
      <c r="K107" s="487">
        <v>11.135999999999999</v>
      </c>
      <c r="L107" s="509">
        <f t="shared" si="4"/>
        <v>1.0023176779040162</v>
      </c>
    </row>
    <row r="108" spans="1:12">
      <c r="A108" s="397" t="str">
        <f t="shared" si="2"/>
        <v>PSR0V040-LDGVA</v>
      </c>
      <c r="B108" s="362" t="s">
        <v>280</v>
      </c>
      <c r="C108" s="394" t="s">
        <v>289</v>
      </c>
      <c r="D108" s="362">
        <v>6.4640000000000004</v>
      </c>
      <c r="E108" s="362">
        <v>3.2170000000000001</v>
      </c>
      <c r="F108" s="496"/>
      <c r="G108" s="398"/>
      <c r="I108" s="490" t="s">
        <v>937</v>
      </c>
      <c r="J108" s="487">
        <v>11.613979303856977</v>
      </c>
      <c r="K108" s="487">
        <v>11.45</v>
      </c>
      <c r="L108" s="509">
        <f t="shared" si="4"/>
        <v>1.0143213365813954</v>
      </c>
    </row>
    <row r="109" spans="1:12">
      <c r="A109" s="397" t="str">
        <f t="shared" si="2"/>
        <v>PSR0V032-CUSVA</v>
      </c>
      <c r="B109" s="362" t="s">
        <v>166</v>
      </c>
      <c r="C109" s="394" t="s">
        <v>265</v>
      </c>
      <c r="D109" s="362">
        <v>4.8220000000000001</v>
      </c>
      <c r="E109" s="362">
        <v>2.4409999999999998</v>
      </c>
      <c r="F109" s="496"/>
      <c r="G109" s="398"/>
      <c r="I109" s="490" t="s">
        <v>187</v>
      </c>
      <c r="J109" s="487">
        <v>10.171413934426191</v>
      </c>
      <c r="K109" s="487">
        <v>10.09</v>
      </c>
      <c r="L109" s="509">
        <f t="shared" si="4"/>
        <v>1.0080687744723678</v>
      </c>
    </row>
    <row r="110" spans="1:12">
      <c r="A110" s="397" t="str">
        <f t="shared" si="2"/>
        <v>PSR0V015-PFRVA</v>
      </c>
      <c r="B110" s="362" t="s">
        <v>385</v>
      </c>
      <c r="C110" s="394" t="s">
        <v>386</v>
      </c>
      <c r="D110" s="362">
        <v>6.5490000000000004</v>
      </c>
      <c r="E110" s="362">
        <v>3.266</v>
      </c>
      <c r="F110" s="496"/>
      <c r="G110" s="398"/>
      <c r="I110" s="490" t="s">
        <v>304</v>
      </c>
      <c r="J110" s="487">
        <v>9.9810996354799304</v>
      </c>
      <c r="K110" s="487">
        <v>9.9870000000000001</v>
      </c>
      <c r="L110" s="509">
        <f t="shared" si="4"/>
        <v>0.9994091955021458</v>
      </c>
    </row>
    <row r="111" spans="1:12">
      <c r="A111" s="397" t="str">
        <f t="shared" si="2"/>
        <v>PSR0V014-EXTVA</v>
      </c>
      <c r="B111" s="362" t="s">
        <v>244</v>
      </c>
      <c r="C111" s="394" t="s">
        <v>264</v>
      </c>
      <c r="D111" s="362">
        <v>9.2680000000000007</v>
      </c>
      <c r="E111" s="362">
        <v>4.59</v>
      </c>
      <c r="F111" s="496"/>
      <c r="G111" s="398"/>
      <c r="I111" s="490" t="s">
        <v>1009</v>
      </c>
      <c r="J111" s="487">
        <v>12.76356382978722</v>
      </c>
      <c r="K111" s="487">
        <v>12.635</v>
      </c>
      <c r="L111" s="509">
        <f t="shared" si="4"/>
        <v>1.0101752140710107</v>
      </c>
    </row>
    <row r="112" spans="1:12">
      <c r="A112" s="397" t="str">
        <f t="shared" si="2"/>
        <v>PSR0V002-WRTVA</v>
      </c>
      <c r="B112" s="362" t="s">
        <v>164</v>
      </c>
      <c r="C112" s="394" t="s">
        <v>263</v>
      </c>
      <c r="D112" s="362">
        <v>5.1929999999999996</v>
      </c>
      <c r="E112" s="362">
        <v>2.5710000000000002</v>
      </c>
      <c r="F112" s="496"/>
      <c r="G112" s="398"/>
      <c r="I112" s="490" t="s">
        <v>142</v>
      </c>
      <c r="J112" s="487">
        <v>9.6090673255095638</v>
      </c>
      <c r="K112" s="487">
        <v>9.5890000000000004</v>
      </c>
      <c r="L112" s="509">
        <f t="shared" si="4"/>
        <v>1.0020927443434731</v>
      </c>
    </row>
    <row r="113" spans="1:12">
      <c r="A113" s="397" t="str">
        <f t="shared" si="2"/>
        <v>PSR0V004-ALLVA</v>
      </c>
      <c r="B113" s="362" t="s">
        <v>168</v>
      </c>
      <c r="C113" s="394" t="s">
        <v>445</v>
      </c>
      <c r="D113" s="362">
        <v>6.0039999999999996</v>
      </c>
      <c r="E113" s="362">
        <v>2.9910000000000001</v>
      </c>
      <c r="F113" s="496"/>
      <c r="G113" s="398"/>
      <c r="I113" s="490" t="s">
        <v>849</v>
      </c>
      <c r="J113" s="487">
        <v>6.2938473400154447</v>
      </c>
      <c r="K113" s="487">
        <v>6.2240000000000002</v>
      </c>
      <c r="L113" s="509">
        <f t="shared" si="4"/>
        <v>1.0112222589999107</v>
      </c>
    </row>
    <row r="114" spans="1:12">
      <c r="A114" s="397" t="str">
        <f t="shared" si="2"/>
        <v>PSR0V042-CFTVA</v>
      </c>
      <c r="B114" s="362" t="s">
        <v>839</v>
      </c>
      <c r="C114" s="394" t="s">
        <v>947</v>
      </c>
      <c r="D114" s="362">
        <v>7.9269999999999996</v>
      </c>
      <c r="E114" s="362">
        <v>3.9620000000000002</v>
      </c>
      <c r="F114" s="496"/>
      <c r="G114" s="398"/>
      <c r="I114" s="490" t="s">
        <v>411</v>
      </c>
      <c r="J114" s="487">
        <v>11.016966864910819</v>
      </c>
      <c r="K114" s="487">
        <v>10.848000000000001</v>
      </c>
      <c r="L114" s="509">
        <f t="shared" si="4"/>
        <v>1.0155758540662627</v>
      </c>
    </row>
    <row r="115" spans="1:12">
      <c r="A115" s="397" t="str">
        <f t="shared" si="2"/>
        <v>PSR0V007-SERVA</v>
      </c>
      <c r="B115" s="362" t="s">
        <v>243</v>
      </c>
      <c r="C115" s="394" t="s">
        <v>327</v>
      </c>
      <c r="D115" s="362">
        <v>7.1550000000000002</v>
      </c>
      <c r="E115" s="362">
        <v>3.581</v>
      </c>
      <c r="F115" s="496"/>
      <c r="G115" s="398"/>
      <c r="I115" s="490" t="s">
        <v>792</v>
      </c>
      <c r="J115" s="487">
        <v>8.3111866666666945</v>
      </c>
      <c r="K115" s="487">
        <v>8.2390000000000008</v>
      </c>
      <c r="L115" s="509">
        <f t="shared" si="4"/>
        <v>1.008761581098033</v>
      </c>
    </row>
    <row r="116" spans="1:12">
      <c r="A116" s="397" t="str">
        <f t="shared" si="2"/>
        <v>PSR0V012-F4RVA</v>
      </c>
      <c r="B116" s="362" t="s">
        <v>169</v>
      </c>
      <c r="C116" s="394" t="s">
        <v>229</v>
      </c>
      <c r="D116" s="362">
        <v>6.9710000000000001</v>
      </c>
      <c r="E116" s="362">
        <v>3.464</v>
      </c>
      <c r="F116" s="496"/>
      <c r="G116" s="398"/>
      <c r="I116" s="490" t="s">
        <v>184</v>
      </c>
      <c r="J116" s="487">
        <v>8.4219909502262293</v>
      </c>
      <c r="K116" s="487">
        <v>8.39</v>
      </c>
      <c r="L116" s="509">
        <f t="shared" si="4"/>
        <v>1.0038129857242228</v>
      </c>
    </row>
    <row r="117" spans="1:12">
      <c r="A117" s="397" t="str">
        <f t="shared" si="2"/>
        <v>PSR0V033-GLBVA</v>
      </c>
      <c r="B117" s="362" t="s">
        <v>285</v>
      </c>
      <c r="C117" s="394" t="s">
        <v>447</v>
      </c>
      <c r="D117" s="362">
        <v>5.6189999999999998</v>
      </c>
      <c r="E117" s="362">
        <v>2.677</v>
      </c>
      <c r="F117" s="496"/>
      <c r="G117" s="398"/>
      <c r="I117" s="490" t="s">
        <v>419</v>
      </c>
      <c r="J117" s="487">
        <v>9.0571826625387182</v>
      </c>
      <c r="K117" s="487">
        <v>9.0589999999999993</v>
      </c>
      <c r="L117" s="509">
        <f t="shared" si="4"/>
        <v>0.99979938873371443</v>
      </c>
    </row>
    <row r="118" spans="1:12">
      <c r="A118" s="397" t="str">
        <f t="shared" si="2"/>
        <v>PSR0V116-S6NVA</v>
      </c>
      <c r="B118" s="362" t="s">
        <v>123</v>
      </c>
      <c r="C118" s="394" t="s">
        <v>150</v>
      </c>
      <c r="D118" s="362">
        <v>6.6139999999999999</v>
      </c>
      <c r="E118" s="362">
        <v>3.234</v>
      </c>
      <c r="F118" s="496"/>
      <c r="G118" s="398"/>
      <c r="I118" s="490" t="s">
        <v>936</v>
      </c>
      <c r="J118" s="487">
        <v>12.554692307692314</v>
      </c>
      <c r="K118" s="487">
        <v>12.435</v>
      </c>
      <c r="L118" s="509">
        <f t="shared" si="4"/>
        <v>1.0096254368871984</v>
      </c>
    </row>
    <row r="119" spans="1:12">
      <c r="A119" s="397" t="str">
        <f t="shared" si="2"/>
        <v>PSR0V013-AGNVA</v>
      </c>
      <c r="B119" s="362" t="s">
        <v>172</v>
      </c>
      <c r="C119" s="394" t="s">
        <v>730</v>
      </c>
      <c r="D119" s="362">
        <v>8.3940000000000001</v>
      </c>
      <c r="E119" s="362">
        <v>4.0540000000000003</v>
      </c>
      <c r="F119" s="496"/>
      <c r="G119" s="398"/>
      <c r="I119" s="490" t="s">
        <v>420</v>
      </c>
      <c r="J119" s="487">
        <v>9.7702269043760328</v>
      </c>
      <c r="K119" s="487">
        <v>9.7560000000000002</v>
      </c>
      <c r="L119" s="509">
        <f t="shared" si="4"/>
        <v>1.0014582722812662</v>
      </c>
    </row>
    <row r="120" spans="1:12">
      <c r="A120" s="397" t="str">
        <f t="shared" si="2"/>
        <v>PSR0V23D-SMLZA</v>
      </c>
      <c r="B120" s="362" t="s">
        <v>207</v>
      </c>
      <c r="C120" s="394" t="s">
        <v>211</v>
      </c>
      <c r="D120" s="362">
        <v>13.335000000000001</v>
      </c>
      <c r="E120" s="362">
        <v>6.1920000000000002</v>
      </c>
      <c r="F120" s="496"/>
      <c r="G120" s="398"/>
      <c r="I120" s="490" t="s">
        <v>202</v>
      </c>
      <c r="J120" s="487">
        <v>12.379123102866792</v>
      </c>
      <c r="K120" s="487">
        <v>12.352</v>
      </c>
      <c r="L120" s="509">
        <f t="shared" si="4"/>
        <v>1.0021958470585162</v>
      </c>
    </row>
    <row r="121" spans="1:12">
      <c r="A121" s="397" t="str">
        <f t="shared" si="2"/>
        <v>PSR0V22D-TGAZA</v>
      </c>
      <c r="B121" s="362" t="s">
        <v>206</v>
      </c>
      <c r="C121" s="394" t="s">
        <v>210</v>
      </c>
      <c r="D121" s="362">
        <v>12.284000000000001</v>
      </c>
      <c r="E121" s="362">
        <v>5.7169999999999996</v>
      </c>
      <c r="F121" s="496"/>
      <c r="G121" s="398"/>
      <c r="I121" s="490" t="s">
        <v>784</v>
      </c>
      <c r="J121" s="487">
        <v>9.9360642570280984</v>
      </c>
      <c r="K121" s="487">
        <v>9.9239999999999995</v>
      </c>
      <c r="L121" s="509">
        <f t="shared" si="4"/>
        <v>1.0012156647549475</v>
      </c>
    </row>
    <row r="122" spans="1:12">
      <c r="A122" s="397" t="str">
        <f t="shared" si="2"/>
        <v>PSR0V24D-HDDZA</v>
      </c>
      <c r="B122" s="362" t="s">
        <v>247</v>
      </c>
      <c r="C122" s="394" t="s">
        <v>248</v>
      </c>
      <c r="D122" s="362">
        <v>15.04</v>
      </c>
      <c r="E122" s="362">
        <v>7.0629999999999997</v>
      </c>
      <c r="F122" s="496"/>
      <c r="G122" s="398"/>
      <c r="I122" s="490" t="s">
        <v>404</v>
      </c>
      <c r="J122" s="487">
        <v>11.030668058455136</v>
      </c>
      <c r="K122" s="487">
        <v>10.983000000000001</v>
      </c>
      <c r="L122" s="509">
        <f t="shared" si="4"/>
        <v>1.0043401673909802</v>
      </c>
    </row>
    <row r="123" spans="1:12">
      <c r="A123" s="397" t="str">
        <f t="shared" si="2"/>
        <v>PSR0V11D-VGBVA</v>
      </c>
      <c r="B123" s="362" t="s">
        <v>177</v>
      </c>
      <c r="C123" s="394" t="s">
        <v>192</v>
      </c>
      <c r="D123" s="362">
        <v>11.298999999999999</v>
      </c>
      <c r="E123" s="362">
        <v>5.3479999999999999</v>
      </c>
      <c r="F123" s="496"/>
      <c r="G123" s="398"/>
      <c r="I123" s="490" t="s">
        <v>206</v>
      </c>
      <c r="J123" s="487">
        <v>12.266541666666665</v>
      </c>
      <c r="K123" s="487">
        <v>12.284000000000001</v>
      </c>
      <c r="L123" s="509">
        <f t="shared" si="4"/>
        <v>0.99857877455769006</v>
      </c>
    </row>
    <row r="124" spans="1:12">
      <c r="A124" s="397" t="str">
        <f t="shared" si="2"/>
        <v>PSR0V12D-ETDVA</v>
      </c>
      <c r="B124" s="362" t="s">
        <v>255</v>
      </c>
      <c r="C124" s="394" t="s">
        <v>257</v>
      </c>
      <c r="D124" s="362">
        <v>10.54</v>
      </c>
      <c r="E124" s="362">
        <v>4.97</v>
      </c>
      <c r="F124" s="496"/>
      <c r="G124" s="398"/>
      <c r="I124" s="490" t="s">
        <v>1044</v>
      </c>
      <c r="J124" s="487">
        <v>7.1245278969956853</v>
      </c>
      <c r="K124" s="487">
        <v>7.0960000000000001</v>
      </c>
      <c r="L124" s="509">
        <f t="shared" si="4"/>
        <v>1.0040202786070582</v>
      </c>
    </row>
    <row r="125" spans="1:12">
      <c r="A125" s="397" t="str">
        <f t="shared" si="2"/>
        <v>PSR0V31D-LTYVA</v>
      </c>
      <c r="B125" s="362" t="s">
        <v>287</v>
      </c>
      <c r="C125" s="394" t="s">
        <v>292</v>
      </c>
      <c r="D125" s="362">
        <v>12.217000000000001</v>
      </c>
      <c r="E125" s="362">
        <v>5.7160000000000002</v>
      </c>
      <c r="F125" s="496"/>
      <c r="G125" s="398"/>
      <c r="I125" s="490" t="s">
        <v>476</v>
      </c>
      <c r="J125" s="487">
        <v>12.712307692307704</v>
      </c>
      <c r="K125" s="487">
        <v>12.566000000000001</v>
      </c>
      <c r="L125" s="509">
        <f t="shared" si="4"/>
        <v>1.0116431396074888</v>
      </c>
    </row>
    <row r="126" spans="1:12">
      <c r="A126" s="397" t="str">
        <f t="shared" si="2"/>
        <v>PSR0V08B-EDLVA</v>
      </c>
      <c r="B126" s="362" t="s">
        <v>840</v>
      </c>
      <c r="C126" s="394" t="s">
        <v>897</v>
      </c>
      <c r="D126" s="362">
        <v>8.8130000000000006</v>
      </c>
      <c r="E126" s="362">
        <v>4.3849999999999998</v>
      </c>
      <c r="F126" s="496"/>
      <c r="G126" s="398"/>
      <c r="I126" s="490" t="s">
        <v>301</v>
      </c>
      <c r="J126" s="487">
        <v>10.843898305084748</v>
      </c>
      <c r="K126" s="487">
        <v>10.753</v>
      </c>
      <c r="L126" s="509">
        <f t="shared" si="4"/>
        <v>1.008453297227262</v>
      </c>
    </row>
    <row r="127" spans="1:12">
      <c r="A127" s="397" t="str">
        <f t="shared" si="2"/>
        <v>PSR0VC6F-NTMVA</v>
      </c>
      <c r="B127" s="362" t="s">
        <v>271</v>
      </c>
      <c r="C127" s="394" t="s">
        <v>326</v>
      </c>
      <c r="D127" s="362">
        <v>6.2859999999999996</v>
      </c>
      <c r="E127" s="362">
        <v>3.1360000000000001</v>
      </c>
      <c r="F127" s="496"/>
      <c r="G127" s="398"/>
      <c r="I127" s="490" t="s">
        <v>1042</v>
      </c>
      <c r="J127" s="487">
        <v>8.5806718346253135</v>
      </c>
      <c r="K127" s="487">
        <v>8.6240000000000006</v>
      </c>
      <c r="L127" s="509">
        <f t="shared" si="4"/>
        <v>0.99497586208549549</v>
      </c>
    </row>
    <row r="128" spans="1:12">
      <c r="A128" s="397" t="str">
        <f t="shared" si="2"/>
        <v>PSR0V29D-LFCZA</v>
      </c>
      <c r="B128" s="362" t="s">
        <v>284</v>
      </c>
      <c r="C128" s="394" t="s">
        <v>291</v>
      </c>
      <c r="D128" s="362">
        <v>12.073</v>
      </c>
      <c r="E128" s="362">
        <v>5.65</v>
      </c>
      <c r="F128" s="496"/>
      <c r="G128" s="398"/>
      <c r="I128" s="490" t="s">
        <v>422</v>
      </c>
      <c r="J128" s="487">
        <v>9.2563243243243427</v>
      </c>
      <c r="K128" s="487">
        <v>9.2270000000000003</v>
      </c>
      <c r="L128" s="509">
        <f t="shared" si="4"/>
        <v>1.0031780995257769</v>
      </c>
    </row>
    <row r="129" spans="1:12">
      <c r="A129" s="397" t="str">
        <f t="shared" si="2"/>
        <v>PSR0V05B-EHSVA</v>
      </c>
      <c r="B129" s="362" t="s">
        <v>261</v>
      </c>
      <c r="C129" s="394" t="s">
        <v>266</v>
      </c>
      <c r="D129" s="362">
        <v>7.5149999999999997</v>
      </c>
      <c r="E129" s="362">
        <v>3.5009999999999999</v>
      </c>
      <c r="F129" s="496"/>
      <c r="G129" s="398"/>
      <c r="I129" s="490" t="s">
        <v>232</v>
      </c>
      <c r="J129" s="487">
        <v>10.090426136363643</v>
      </c>
      <c r="K129" s="487">
        <v>10.164</v>
      </c>
      <c r="L129" s="509">
        <f t="shared" si="4"/>
        <v>0.99276132785946902</v>
      </c>
    </row>
    <row r="130" spans="1:12">
      <c r="A130" s="397" t="str">
        <f t="shared" si="2"/>
        <v>PSR0V06B-CYTVA</v>
      </c>
      <c r="B130" s="362" t="s">
        <v>735</v>
      </c>
      <c r="C130" s="394" t="s">
        <v>729</v>
      </c>
      <c r="D130" s="362">
        <v>4.673</v>
      </c>
      <c r="E130" s="362">
        <v>2.1880000000000002</v>
      </c>
      <c r="F130" s="496"/>
      <c r="G130" s="398"/>
      <c r="I130" s="490" t="s">
        <v>435</v>
      </c>
      <c r="J130" s="487">
        <v>6.4403142857143072</v>
      </c>
      <c r="K130" s="487">
        <v>6.3879999999999999</v>
      </c>
      <c r="L130" s="509">
        <f t="shared" si="4"/>
        <v>1.008189462384832</v>
      </c>
    </row>
    <row r="131" spans="1:12">
      <c r="A131" s="397" t="str">
        <f t="shared" si="2"/>
        <v>PSR0V143-KCEVA</v>
      </c>
      <c r="B131" s="362" t="s">
        <v>286</v>
      </c>
      <c r="C131" s="394" t="s">
        <v>290</v>
      </c>
      <c r="D131" s="362">
        <v>6.9509999999999996</v>
      </c>
      <c r="E131" s="362">
        <v>3.383</v>
      </c>
      <c r="F131" s="496"/>
      <c r="G131" s="398"/>
      <c r="I131" s="490" t="s">
        <v>926</v>
      </c>
      <c r="J131" s="487">
        <v>8.2522149837133707</v>
      </c>
      <c r="K131" s="487">
        <v>8.2379999999999995</v>
      </c>
      <c r="L131" s="509">
        <f t="shared" si="4"/>
        <v>1.0017255382026429</v>
      </c>
    </row>
    <row r="132" spans="1:12">
      <c r="A132" s="397" t="str">
        <f t="shared" si="2"/>
        <v>PSR0V145-KPXVA</v>
      </c>
      <c r="B132" s="362" t="s">
        <v>336</v>
      </c>
      <c r="C132" s="394" t="s">
        <v>337</v>
      </c>
      <c r="D132" s="362">
        <v>9.7309999999999999</v>
      </c>
      <c r="E132" s="362">
        <v>4.7670000000000003</v>
      </c>
      <c r="F132" s="496"/>
      <c r="G132" s="398"/>
      <c r="I132" s="490" t="s">
        <v>793</v>
      </c>
      <c r="J132" s="487">
        <v>8.9882887700534919</v>
      </c>
      <c r="K132" s="487">
        <v>8.8439999999999994</v>
      </c>
      <c r="L132" s="509">
        <f t="shared" si="4"/>
        <v>1.0163148767586492</v>
      </c>
    </row>
    <row r="133" spans="1:12">
      <c r="A133" s="397" t="str">
        <f t="shared" si="2"/>
        <v>PSR0V146-GKPVA</v>
      </c>
      <c r="B133" s="362" t="s">
        <v>332</v>
      </c>
      <c r="C133" s="394" t="s">
        <v>333</v>
      </c>
      <c r="D133" s="362">
        <v>9.7729999999999997</v>
      </c>
      <c r="E133" s="362">
        <v>4.7149999999999999</v>
      </c>
      <c r="F133" s="496"/>
      <c r="G133" s="398"/>
      <c r="I133" s="490" t="s">
        <v>300</v>
      </c>
      <c r="J133" s="487">
        <v>10.126296296296314</v>
      </c>
      <c r="K133" s="487">
        <v>10.209</v>
      </c>
      <c r="L133" s="509">
        <f t="shared" si="4"/>
        <v>0.99189894174711668</v>
      </c>
    </row>
    <row r="134" spans="1:12">
      <c r="A134" s="397" t="str">
        <f t="shared" si="2"/>
        <v>PSR0V27B-ACEZA</v>
      </c>
      <c r="B134" s="362" t="s">
        <v>328</v>
      </c>
      <c r="C134" s="394" t="s">
        <v>329</v>
      </c>
      <c r="D134" s="362">
        <v>11.913</v>
      </c>
      <c r="E134" s="362">
        <v>5.5789999999999997</v>
      </c>
      <c r="F134" s="496"/>
      <c r="G134" s="398"/>
      <c r="I134" s="490" t="s">
        <v>298</v>
      </c>
      <c r="J134" s="487">
        <v>8.773217054263565</v>
      </c>
      <c r="K134" s="487">
        <v>8.8089999999999993</v>
      </c>
      <c r="L134" s="509">
        <f t="shared" si="4"/>
        <v>0.99593791057595249</v>
      </c>
    </row>
    <row r="135" spans="1:12">
      <c r="A135" s="397" t="str">
        <f t="shared" ref="A135:A198" si="5">B135&amp;"-"&amp;C135</f>
        <v>PSR0V147-MXDVA</v>
      </c>
      <c r="B135" s="362" t="s">
        <v>338</v>
      </c>
      <c r="C135" s="394" t="s">
        <v>339</v>
      </c>
      <c r="D135" s="362">
        <v>6.0910000000000002</v>
      </c>
      <c r="E135" s="362">
        <v>2.9550000000000001</v>
      </c>
      <c r="F135" s="496"/>
      <c r="G135" s="398"/>
      <c r="I135" s="490" t="s">
        <v>938</v>
      </c>
      <c r="J135" s="487">
        <v>11.069212598425183</v>
      </c>
      <c r="K135" s="487">
        <v>11.009</v>
      </c>
      <c r="L135" s="509">
        <f t="shared" si="4"/>
        <v>1.0054693976224165</v>
      </c>
    </row>
    <row r="136" spans="1:12">
      <c r="A136" s="397" t="str">
        <f t="shared" si="5"/>
        <v>PSR0V149-HCNVA</v>
      </c>
      <c r="B136" s="362" t="s">
        <v>340</v>
      </c>
      <c r="C136" s="394" t="s">
        <v>341</v>
      </c>
      <c r="D136" s="362">
        <v>9.1159999999999997</v>
      </c>
      <c r="E136" s="362">
        <v>4.4870000000000001</v>
      </c>
      <c r="F136" s="496"/>
      <c r="G136" s="398"/>
      <c r="I136" s="490" t="s">
        <v>302</v>
      </c>
      <c r="J136" s="487">
        <v>8.4995238095238133</v>
      </c>
      <c r="K136" s="487">
        <v>8.5340000000000007</v>
      </c>
      <c r="L136" s="509">
        <f t="shared" si="4"/>
        <v>0.99596013704286535</v>
      </c>
    </row>
    <row r="137" spans="1:12">
      <c r="A137" s="397" t="str">
        <f t="shared" si="5"/>
        <v>PSR0V04P-TZNVA</v>
      </c>
      <c r="B137" s="362" t="s">
        <v>330</v>
      </c>
      <c r="C137" s="394" t="s">
        <v>331</v>
      </c>
      <c r="D137" s="362">
        <v>9.2729999999999997</v>
      </c>
      <c r="E137" s="362">
        <v>4.4320000000000004</v>
      </c>
      <c r="F137" s="496"/>
      <c r="G137" s="398"/>
      <c r="I137" s="490" t="s">
        <v>180</v>
      </c>
      <c r="J137" s="487">
        <v>11.54200913242008</v>
      </c>
      <c r="K137" s="487">
        <v>11.471</v>
      </c>
      <c r="L137" s="509">
        <f t="shared" si="4"/>
        <v>1.0061903175329161</v>
      </c>
    </row>
    <row r="138" spans="1:12">
      <c r="A138" s="397" t="str">
        <f t="shared" si="5"/>
        <v>PSR0V76F-NCDZA</v>
      </c>
      <c r="B138" s="362" t="s">
        <v>236</v>
      </c>
      <c r="C138" s="394" t="s">
        <v>237</v>
      </c>
      <c r="D138" s="362">
        <v>12.635</v>
      </c>
      <c r="E138" s="362">
        <v>5.5810000000000004</v>
      </c>
      <c r="F138" s="496"/>
      <c r="G138" s="398"/>
      <c r="I138" s="490" t="s">
        <v>179</v>
      </c>
      <c r="J138" s="487">
        <v>10.615071770334923</v>
      </c>
      <c r="K138" s="487">
        <v>10.628</v>
      </c>
      <c r="L138" s="509">
        <f t="shared" si="4"/>
        <v>0.99878356890618392</v>
      </c>
    </row>
    <row r="139" spans="1:12">
      <c r="A139" s="397" t="str">
        <f t="shared" si="5"/>
        <v>PSR0V39D-SJCZA</v>
      </c>
      <c r="B139" s="362" t="s">
        <v>843</v>
      </c>
      <c r="C139" s="394" t="s">
        <v>902</v>
      </c>
      <c r="D139" s="362">
        <v>10.1</v>
      </c>
      <c r="E139" s="362">
        <v>4.407</v>
      </c>
      <c r="F139" s="496"/>
      <c r="G139" s="398"/>
      <c r="I139" s="490" t="s">
        <v>1010</v>
      </c>
      <c r="J139" s="487">
        <v>10.683621621621647</v>
      </c>
      <c r="K139" s="487">
        <v>10.723000000000001</v>
      </c>
      <c r="L139" s="509">
        <f t="shared" si="4"/>
        <v>0.9963276715118573</v>
      </c>
    </row>
    <row r="140" spans="1:12">
      <c r="A140" s="397" t="str">
        <f t="shared" si="5"/>
        <v>PSR0V41D-ZACZA</v>
      </c>
      <c r="B140" s="362" t="s">
        <v>844</v>
      </c>
      <c r="C140" s="394" t="s">
        <v>903</v>
      </c>
      <c r="D140" s="362">
        <v>10.411</v>
      </c>
      <c r="E140" s="362">
        <v>4.5220000000000002</v>
      </c>
      <c r="F140" s="496"/>
      <c r="G140" s="398"/>
      <c r="I140" s="490" t="s">
        <v>418</v>
      </c>
      <c r="J140" s="487">
        <v>7.9507954545454673</v>
      </c>
      <c r="K140" s="487">
        <v>7.968</v>
      </c>
      <c r="L140" s="509">
        <f t="shared" si="4"/>
        <v>0.99784079499817613</v>
      </c>
    </row>
    <row r="141" spans="1:12">
      <c r="A141" s="397" t="str">
        <f t="shared" si="5"/>
        <v>PSR0V40D-GHCZA</v>
      </c>
      <c r="B141" s="362" t="s">
        <v>739</v>
      </c>
      <c r="C141" s="394" t="s">
        <v>734</v>
      </c>
      <c r="D141" s="362">
        <v>10.026</v>
      </c>
      <c r="E141" s="362">
        <v>4.3280000000000003</v>
      </c>
      <c r="F141" s="496"/>
      <c r="G141" s="398"/>
      <c r="I141" s="490" t="s">
        <v>410</v>
      </c>
      <c r="J141" s="487">
        <v>6.2022485207100626</v>
      </c>
      <c r="K141" s="487">
        <v>6.1509999999999998</v>
      </c>
      <c r="L141" s="509">
        <f t="shared" si="4"/>
        <v>1.0083317380442307</v>
      </c>
    </row>
    <row r="142" spans="1:12">
      <c r="A142" s="397" t="str">
        <f t="shared" si="5"/>
        <v>PSR0V28B-XCQZA</v>
      </c>
      <c r="B142" s="362" t="s">
        <v>784</v>
      </c>
      <c r="C142" s="394" t="s">
        <v>883</v>
      </c>
      <c r="D142" s="362">
        <v>9.9239999999999995</v>
      </c>
      <c r="E142" s="362">
        <v>4.4580000000000002</v>
      </c>
      <c r="F142" s="496"/>
      <c r="G142" s="398"/>
      <c r="I142" s="490" t="s">
        <v>416</v>
      </c>
      <c r="J142" s="487">
        <v>13.553151515151516</v>
      </c>
      <c r="K142" s="487">
        <v>13.510999999999999</v>
      </c>
      <c r="L142" s="509">
        <f t="shared" si="4"/>
        <v>1.0031197924025992</v>
      </c>
    </row>
    <row r="143" spans="1:12">
      <c r="A143" s="397" t="str">
        <f t="shared" si="5"/>
        <v>PSR0V157-ZPYVA</v>
      </c>
      <c r="B143" s="362" t="s">
        <v>391</v>
      </c>
      <c r="C143" s="394" t="s">
        <v>392</v>
      </c>
      <c r="D143" s="362">
        <v>7.0659999999999998</v>
      </c>
      <c r="E143" s="362">
        <v>3.4319999999999999</v>
      </c>
      <c r="F143" s="496"/>
      <c r="G143" s="398"/>
      <c r="I143" s="490" t="s">
        <v>207</v>
      </c>
      <c r="J143" s="487">
        <v>13.380127388535033</v>
      </c>
      <c r="K143" s="487">
        <v>13.335000000000001</v>
      </c>
      <c r="L143" s="509">
        <f t="shared" ref="L143:L159" si="6">J143/K143</f>
        <v>1.003384131123737</v>
      </c>
    </row>
    <row r="144" spans="1:12">
      <c r="A144" s="397" t="str">
        <f t="shared" si="5"/>
        <v>PSR0V29B-JWTZA</v>
      </c>
      <c r="B144" s="362" t="s">
        <v>842</v>
      </c>
      <c r="C144" s="394" t="s">
        <v>901</v>
      </c>
      <c r="D144" s="362">
        <v>10.257999999999999</v>
      </c>
      <c r="E144" s="362">
        <v>4.5730000000000004</v>
      </c>
      <c r="F144" s="496"/>
      <c r="G144" s="398"/>
      <c r="I144" s="490" t="s">
        <v>1004</v>
      </c>
      <c r="J144" s="487">
        <v>8.2959310344827504</v>
      </c>
      <c r="K144" s="487">
        <v>8.282</v>
      </c>
      <c r="L144" s="509">
        <f t="shared" si="6"/>
        <v>1.0016820857863742</v>
      </c>
    </row>
    <row r="145" spans="1:12">
      <c r="A145" s="397" t="str">
        <f t="shared" si="5"/>
        <v>PSR0V18S-AZGVA</v>
      </c>
      <c r="B145" s="362" t="s">
        <v>348</v>
      </c>
      <c r="C145" s="394" t="s">
        <v>356</v>
      </c>
      <c r="D145" s="362">
        <v>11.07</v>
      </c>
      <c r="E145" s="362">
        <v>4.9870000000000001</v>
      </c>
      <c r="F145" s="496"/>
      <c r="G145" s="398"/>
      <c r="I145" s="490" t="s">
        <v>406</v>
      </c>
      <c r="J145" s="487">
        <v>11.520728476821184</v>
      </c>
      <c r="K145" s="487">
        <v>11.404999999999999</v>
      </c>
      <c r="L145" s="509">
        <f t="shared" si="6"/>
        <v>1.010147170260516</v>
      </c>
    </row>
    <row r="146" spans="1:12">
      <c r="A146" s="397" t="str">
        <f t="shared" si="5"/>
        <v>PSR0V150-ADXVA</v>
      </c>
      <c r="B146" s="362" t="s">
        <v>344</v>
      </c>
      <c r="C146" s="394" t="s">
        <v>357</v>
      </c>
      <c r="D146" s="362">
        <v>6.6820000000000004</v>
      </c>
      <c r="E146" s="362">
        <v>3.258</v>
      </c>
      <c r="F146" s="496"/>
      <c r="G146" s="398"/>
      <c r="I146" s="490" t="s">
        <v>178</v>
      </c>
      <c r="J146" s="487">
        <v>13.576666666666668</v>
      </c>
      <c r="K146" s="487">
        <v>13.46</v>
      </c>
      <c r="L146" s="509">
        <f t="shared" si="6"/>
        <v>1.0086676572560673</v>
      </c>
    </row>
    <row r="147" spans="1:12">
      <c r="A147" s="397" t="str">
        <f t="shared" si="5"/>
        <v>PSR0V174-NJSVA</v>
      </c>
      <c r="B147" s="362" t="s">
        <v>304</v>
      </c>
      <c r="C147" s="394" t="s">
        <v>363</v>
      </c>
      <c r="D147" s="362">
        <v>9.9870000000000001</v>
      </c>
      <c r="E147" s="362">
        <v>4.7030000000000003</v>
      </c>
      <c r="F147" s="496"/>
      <c r="G147" s="398"/>
      <c r="I147" s="490" t="s">
        <v>61</v>
      </c>
      <c r="J147" s="487">
        <v>7.505163934426232</v>
      </c>
      <c r="K147" s="487">
        <v>7.43</v>
      </c>
      <c r="L147" s="509">
        <f t="shared" si="6"/>
        <v>1.0101162765042035</v>
      </c>
    </row>
    <row r="148" spans="1:12">
      <c r="A148" s="397" t="str">
        <f t="shared" si="5"/>
        <v>PSR0V154-HSTZA</v>
      </c>
      <c r="B148" s="362" t="s">
        <v>334</v>
      </c>
      <c r="C148" s="394" t="s">
        <v>335</v>
      </c>
      <c r="D148" s="362">
        <v>12.635</v>
      </c>
      <c r="E148" s="362">
        <v>5.5810000000000004</v>
      </c>
      <c r="F148" s="496"/>
      <c r="G148" s="398"/>
      <c r="I148" s="490" t="s">
        <v>255</v>
      </c>
      <c r="J148" s="487">
        <v>10.504360902255645</v>
      </c>
      <c r="K148" s="487">
        <v>10.54</v>
      </c>
      <c r="L148" s="509">
        <f t="shared" si="6"/>
        <v>0.99661868142842935</v>
      </c>
    </row>
    <row r="149" spans="1:12">
      <c r="A149" s="397" t="str">
        <f t="shared" si="5"/>
        <v>PSR0V19S-ZQYVA</v>
      </c>
      <c r="B149" s="362" t="s">
        <v>349</v>
      </c>
      <c r="C149" s="394" t="s">
        <v>368</v>
      </c>
      <c r="D149" s="362">
        <v>7.7359999999999998</v>
      </c>
      <c r="E149" s="362">
        <v>3.7029999999999998</v>
      </c>
      <c r="F149" s="496"/>
      <c r="G149" s="398"/>
      <c r="I149" s="490" t="s">
        <v>52</v>
      </c>
      <c r="J149" s="487">
        <v>7.0743518518518522</v>
      </c>
      <c r="K149" s="487">
        <v>7.0430000000000001</v>
      </c>
      <c r="L149" s="509">
        <f t="shared" si="6"/>
        <v>1.0044514911049058</v>
      </c>
    </row>
    <row r="150" spans="1:12">
      <c r="A150" s="397" t="str">
        <f t="shared" si="5"/>
        <v>PSR0V05P-JZTVA</v>
      </c>
      <c r="B150" s="362" t="s">
        <v>342</v>
      </c>
      <c r="C150" s="394" t="s">
        <v>369</v>
      </c>
      <c r="D150" s="362">
        <v>7.5060000000000002</v>
      </c>
      <c r="E150" s="362">
        <v>3.6480000000000001</v>
      </c>
      <c r="F150" s="496"/>
      <c r="G150" s="398"/>
      <c r="I150" s="490" t="s">
        <v>63</v>
      </c>
      <c r="J150" s="487">
        <v>8.545045045045045</v>
      </c>
      <c r="K150" s="487">
        <v>8.5839999999999996</v>
      </c>
      <c r="L150" s="509">
        <f t="shared" si="6"/>
        <v>0.99546191111894755</v>
      </c>
    </row>
    <row r="151" spans="1:12">
      <c r="A151" s="397" t="str">
        <f t="shared" si="5"/>
        <v>PSR0V173-LZRVA</v>
      </c>
      <c r="B151" s="362" t="s">
        <v>303</v>
      </c>
      <c r="C151" s="394" t="s">
        <v>362</v>
      </c>
      <c r="D151" s="362">
        <v>10.704000000000001</v>
      </c>
      <c r="E151" s="362">
        <v>4.9470000000000001</v>
      </c>
      <c r="F151" s="496"/>
      <c r="G151" s="398"/>
      <c r="I151" s="490" t="s">
        <v>1003</v>
      </c>
      <c r="J151" s="487">
        <v>8.5939805825242797</v>
      </c>
      <c r="K151" s="487">
        <v>8.5980000000000008</v>
      </c>
      <c r="L151" s="509">
        <f t="shared" si="6"/>
        <v>0.9995325171579762</v>
      </c>
    </row>
    <row r="152" spans="1:12">
      <c r="A152" s="397" t="str">
        <f t="shared" si="5"/>
        <v>PSR0V30B-WNPVA</v>
      </c>
      <c r="B152" s="362" t="s">
        <v>354</v>
      </c>
      <c r="C152" s="394" t="s">
        <v>358</v>
      </c>
      <c r="D152" s="362">
        <v>8.6999999999999993</v>
      </c>
      <c r="E152" s="362">
        <v>4.008</v>
      </c>
      <c r="F152" s="496"/>
      <c r="G152" s="398"/>
      <c r="I152" s="490" t="s">
        <v>927</v>
      </c>
      <c r="J152" s="487">
        <v>8.265697940503431</v>
      </c>
      <c r="K152" s="487">
        <v>8.2420000000000009</v>
      </c>
      <c r="L152" s="509">
        <f t="shared" si="6"/>
        <v>1.0028752657732869</v>
      </c>
    </row>
    <row r="153" spans="1:12">
      <c r="A153" s="397" t="str">
        <f t="shared" si="5"/>
        <v>PSR0V167-VJYVA</v>
      </c>
      <c r="B153" s="362" t="s">
        <v>299</v>
      </c>
      <c r="C153" s="394" t="s">
        <v>361</v>
      </c>
      <c r="D153" s="362">
        <v>8.5350000000000001</v>
      </c>
      <c r="E153" s="362">
        <v>3.8980000000000001</v>
      </c>
      <c r="F153" s="496"/>
      <c r="G153" s="398"/>
      <c r="I153" s="490" t="s">
        <v>414</v>
      </c>
      <c r="J153" s="487">
        <v>15.289550561797745</v>
      </c>
      <c r="K153" s="487">
        <v>15.095000000000001</v>
      </c>
      <c r="L153" s="509">
        <f t="shared" si="6"/>
        <v>1.0128884108511258</v>
      </c>
    </row>
    <row r="154" spans="1:12">
      <c r="A154" s="397" t="str">
        <f t="shared" si="5"/>
        <v>PSR0V165-ZJFVA</v>
      </c>
      <c r="B154" s="362" t="s">
        <v>297</v>
      </c>
      <c r="C154" s="394" t="s">
        <v>359</v>
      </c>
      <c r="D154" s="362">
        <v>8.5120000000000005</v>
      </c>
      <c r="E154" s="362">
        <v>4.0250000000000004</v>
      </c>
      <c r="F154" s="496"/>
      <c r="G154" s="398"/>
      <c r="I154" s="490" t="s">
        <v>75</v>
      </c>
      <c r="J154" s="487">
        <v>10.817286821705411</v>
      </c>
      <c r="K154" s="487">
        <v>10.731999999999999</v>
      </c>
      <c r="L154" s="509">
        <f t="shared" si="6"/>
        <v>1.0079469643780667</v>
      </c>
    </row>
    <row r="155" spans="1:12">
      <c r="A155" s="397" t="str">
        <f t="shared" si="5"/>
        <v>PSR0V166-QWAVA</v>
      </c>
      <c r="B155" s="362" t="s">
        <v>298</v>
      </c>
      <c r="C155" s="394" t="s">
        <v>360</v>
      </c>
      <c r="D155" s="362">
        <v>8.8089999999999993</v>
      </c>
      <c r="E155" s="362">
        <v>4.1500000000000004</v>
      </c>
      <c r="F155" s="496"/>
      <c r="G155" s="398"/>
      <c r="I155" s="490" t="s">
        <v>943</v>
      </c>
      <c r="J155" s="487">
        <v>10.593333333333334</v>
      </c>
      <c r="K155" s="487">
        <v>10.481</v>
      </c>
      <c r="L155" s="509">
        <f t="shared" si="6"/>
        <v>1.0107178068250486</v>
      </c>
    </row>
    <row r="156" spans="1:12">
      <c r="A156" s="397" t="str">
        <f t="shared" si="5"/>
        <v>PSR0V20S-VZSVA</v>
      </c>
      <c r="B156" s="362" t="s">
        <v>350</v>
      </c>
      <c r="C156" s="394" t="s">
        <v>370</v>
      </c>
      <c r="D156" s="362">
        <v>9.9770000000000003</v>
      </c>
      <c r="E156" s="362">
        <v>4.5380000000000003</v>
      </c>
      <c r="F156" s="496"/>
      <c r="G156" s="398"/>
      <c r="I156" s="490" t="s">
        <v>340</v>
      </c>
      <c r="J156" s="487">
        <v>9.25</v>
      </c>
      <c r="K156" s="487">
        <v>9.1159999999999997</v>
      </c>
      <c r="L156" s="509">
        <f t="shared" si="6"/>
        <v>1.0146994295743748</v>
      </c>
    </row>
    <row r="157" spans="1:12">
      <c r="A157" s="397" t="str">
        <f t="shared" si="5"/>
        <v>PSR0V06P-WBPVA</v>
      </c>
      <c r="B157" s="362" t="s">
        <v>343</v>
      </c>
      <c r="C157" s="394" t="s">
        <v>371</v>
      </c>
      <c r="D157" s="362">
        <v>7.3860000000000001</v>
      </c>
      <c r="E157" s="362">
        <v>3.5830000000000002</v>
      </c>
      <c r="F157" s="496"/>
      <c r="G157" s="398"/>
      <c r="I157" s="490" t="s">
        <v>935</v>
      </c>
      <c r="J157" s="487">
        <v>12.313000000000001</v>
      </c>
      <c r="K157" s="487">
        <v>12.349197439684936</v>
      </c>
      <c r="L157" s="509">
        <f t="shared" si="6"/>
        <v>0.99706884274369023</v>
      </c>
    </row>
    <row r="158" spans="1:12">
      <c r="A158" s="397" t="str">
        <f t="shared" si="5"/>
        <v>PSR0V169-GJDZA</v>
      </c>
      <c r="B158" s="362" t="s">
        <v>301</v>
      </c>
      <c r="C158" s="394" t="s">
        <v>398</v>
      </c>
      <c r="D158" s="362">
        <v>10.753</v>
      </c>
      <c r="E158" s="362">
        <v>4.7539999999999996</v>
      </c>
      <c r="F158" s="496"/>
      <c r="G158" s="398"/>
      <c r="I158" s="490"/>
      <c r="J158" s="487"/>
      <c r="K158" s="487"/>
      <c r="L158" s="509" t="e">
        <f t="shared" si="6"/>
        <v>#DIV/0!</v>
      </c>
    </row>
    <row r="159" spans="1:12">
      <c r="A159" s="397" t="str">
        <f t="shared" si="5"/>
        <v>PSR0V168-JXKVA</v>
      </c>
      <c r="B159" s="362" t="s">
        <v>300</v>
      </c>
      <c r="C159" s="394" t="s">
        <v>397</v>
      </c>
      <c r="D159" s="362">
        <v>10.209</v>
      </c>
      <c r="E159" s="362">
        <v>4.5789999999999997</v>
      </c>
      <c r="F159" s="496"/>
      <c r="G159" s="398"/>
      <c r="I159" s="490"/>
      <c r="J159" s="487"/>
      <c r="K159" s="487"/>
      <c r="L159" s="509" t="e">
        <f t="shared" si="6"/>
        <v>#DIV/0!</v>
      </c>
    </row>
    <row r="160" spans="1:12">
      <c r="A160" s="397" t="str">
        <f t="shared" si="5"/>
        <v>PSR0V21S-BZKZA</v>
      </c>
      <c r="B160" s="362" t="s">
        <v>351</v>
      </c>
      <c r="C160" s="394" t="s">
        <v>364</v>
      </c>
      <c r="D160" s="362">
        <v>11.161</v>
      </c>
      <c r="E160" s="362">
        <v>5.0279999999999996</v>
      </c>
      <c r="F160" s="496"/>
      <c r="G160" s="398"/>
      <c r="I160" s="490"/>
      <c r="J160" s="487"/>
      <c r="K160" s="487"/>
      <c r="L160" s="509"/>
    </row>
    <row r="161" spans="1:12">
      <c r="A161" s="397" t="str">
        <f t="shared" si="5"/>
        <v>PSR0V22S-CZVZA</v>
      </c>
      <c r="B161" s="362" t="s">
        <v>352</v>
      </c>
      <c r="C161" s="394" t="s">
        <v>365</v>
      </c>
      <c r="D161" s="362">
        <v>12.08</v>
      </c>
      <c r="E161" s="362">
        <v>5.5069999999999997</v>
      </c>
      <c r="F161" s="496"/>
      <c r="G161" s="398"/>
      <c r="I161" s="490"/>
      <c r="J161" s="487"/>
      <c r="K161" s="487"/>
      <c r="L161" s="509" t="e">
        <f t="shared" ref="L161:L224" si="7">J161/K161</f>
        <v>#DIV/0!</v>
      </c>
    </row>
    <row r="162" spans="1:12">
      <c r="A162" s="397" t="str">
        <f t="shared" si="5"/>
        <v>PSR0V158-WCKVA</v>
      </c>
      <c r="B162" s="362" t="s">
        <v>738</v>
      </c>
      <c r="C162" s="394" t="s">
        <v>733</v>
      </c>
      <c r="D162" s="362">
        <v>8.5039999999999996</v>
      </c>
      <c r="E162" s="362">
        <v>4.0759999999999996</v>
      </c>
      <c r="F162" s="496"/>
      <c r="G162" s="398"/>
      <c r="I162" s="490"/>
      <c r="J162" s="487"/>
      <c r="K162" s="487"/>
      <c r="L162" s="509" t="e">
        <f t="shared" si="7"/>
        <v>#DIV/0!</v>
      </c>
    </row>
    <row r="163" spans="1:12">
      <c r="A163" s="397" t="str">
        <f t="shared" si="5"/>
        <v>PSR0V151-RBMVA</v>
      </c>
      <c r="B163" s="362" t="s">
        <v>345</v>
      </c>
      <c r="C163" s="394" t="s">
        <v>366</v>
      </c>
      <c r="D163" s="362">
        <v>6.1539999999999999</v>
      </c>
      <c r="E163" s="362">
        <v>2.9889999999999999</v>
      </c>
      <c r="F163" s="496"/>
      <c r="G163" s="398"/>
      <c r="I163" s="490"/>
      <c r="J163" s="487"/>
      <c r="K163" s="487"/>
      <c r="L163" s="509" t="e">
        <f t="shared" si="7"/>
        <v>#DIV/0!</v>
      </c>
    </row>
    <row r="164" spans="1:12">
      <c r="A164" s="397" t="str">
        <f t="shared" si="5"/>
        <v>PSR0V184-JCGZA</v>
      </c>
      <c r="B164" s="362" t="s">
        <v>400</v>
      </c>
      <c r="C164" s="394" t="s">
        <v>401</v>
      </c>
      <c r="D164" s="362">
        <v>11.805999999999999</v>
      </c>
      <c r="E164" s="362">
        <v>5.2590000000000003</v>
      </c>
      <c r="F164" s="496"/>
      <c r="G164" s="398"/>
      <c r="I164" s="490"/>
      <c r="J164" s="487"/>
      <c r="K164" s="487"/>
      <c r="L164" s="509" t="e">
        <f t="shared" si="7"/>
        <v>#DIV/0!</v>
      </c>
    </row>
    <row r="165" spans="1:12">
      <c r="A165" s="397" t="str">
        <f t="shared" si="5"/>
        <v>PSR0V183-LGYZA</v>
      </c>
      <c r="B165" s="362" t="s">
        <v>347</v>
      </c>
      <c r="C165" s="394" t="s">
        <v>367</v>
      </c>
      <c r="D165" s="362">
        <v>12.553000000000001</v>
      </c>
      <c r="E165" s="362">
        <v>5.6260000000000003</v>
      </c>
      <c r="F165" s="496"/>
      <c r="G165" s="398"/>
      <c r="I165" s="490"/>
      <c r="J165" s="487"/>
      <c r="K165" s="487"/>
      <c r="L165" s="509" t="e">
        <f t="shared" si="7"/>
        <v>#DIV/0!</v>
      </c>
    </row>
    <row r="166" spans="1:12">
      <c r="A166" s="397" t="str">
        <f t="shared" si="5"/>
        <v>PSR0V170-FMNVA</v>
      </c>
      <c r="B166" s="362" t="s">
        <v>302</v>
      </c>
      <c r="C166" s="394" t="s">
        <v>399</v>
      </c>
      <c r="D166" s="362">
        <v>8.5340000000000007</v>
      </c>
      <c r="E166" s="362">
        <v>4.0190000000000001</v>
      </c>
      <c r="F166" s="496"/>
      <c r="G166" s="398"/>
      <c r="I166" s="490"/>
      <c r="J166" s="487"/>
      <c r="K166" s="487"/>
      <c r="L166" s="509" t="e">
        <f t="shared" si="7"/>
        <v>#DIV/0!</v>
      </c>
    </row>
    <row r="167" spans="1:12">
      <c r="A167" s="397" t="str">
        <f t="shared" si="5"/>
        <v>PSR0V179-DPJVA</v>
      </c>
      <c r="B167" s="362" t="s">
        <v>431</v>
      </c>
      <c r="C167" s="394" t="s">
        <v>432</v>
      </c>
      <c r="D167" s="362">
        <v>6.5460000000000003</v>
      </c>
      <c r="E167" s="362">
        <v>3.1059999999999999</v>
      </c>
      <c r="F167" s="496"/>
      <c r="G167" s="398"/>
      <c r="I167" s="490"/>
      <c r="J167" s="487"/>
      <c r="K167" s="487"/>
      <c r="L167" s="509" t="e">
        <f t="shared" si="7"/>
        <v>#DIV/0!</v>
      </c>
    </row>
    <row r="168" spans="1:12">
      <c r="A168" s="397" t="str">
        <f t="shared" si="5"/>
        <v>PSR0V178-KVQVA</v>
      </c>
      <c r="B168" s="362" t="s">
        <v>429</v>
      </c>
      <c r="C168" s="394" t="s">
        <v>430</v>
      </c>
      <c r="D168" s="362">
        <v>6.2770000000000001</v>
      </c>
      <c r="E168" s="362">
        <v>2.9870000000000001</v>
      </c>
      <c r="F168" s="496"/>
      <c r="G168" s="398"/>
      <c r="I168" s="490"/>
      <c r="J168" s="487"/>
      <c r="K168" s="487"/>
      <c r="L168" s="509" t="e">
        <f t="shared" si="7"/>
        <v>#DIV/0!</v>
      </c>
    </row>
    <row r="169" spans="1:12">
      <c r="A169" s="397" t="str">
        <f t="shared" si="5"/>
        <v>PSR0V177-XDFVA</v>
      </c>
      <c r="B169" s="362" t="s">
        <v>427</v>
      </c>
      <c r="C169" s="394" t="s">
        <v>428</v>
      </c>
      <c r="D169" s="362">
        <v>6.6790000000000003</v>
      </c>
      <c r="E169" s="362">
        <v>3.1469999999999998</v>
      </c>
      <c r="F169" s="496"/>
      <c r="G169" s="398"/>
      <c r="I169" s="490"/>
      <c r="J169" s="487"/>
      <c r="K169" s="487"/>
      <c r="L169" s="509" t="e">
        <f t="shared" si="7"/>
        <v>#DIV/0!</v>
      </c>
    </row>
    <row r="170" spans="1:12">
      <c r="A170" s="397" t="str">
        <f t="shared" si="5"/>
        <v>PSR0V180-JYDVA</v>
      </c>
      <c r="B170" s="362" t="s">
        <v>841</v>
      </c>
      <c r="C170" s="394" t="s">
        <v>948</v>
      </c>
      <c r="D170" s="362">
        <v>6.6609999999999996</v>
      </c>
      <c r="E170" s="362">
        <v>3.1379999999999999</v>
      </c>
      <c r="F170" s="496"/>
      <c r="G170" s="398"/>
      <c r="I170" s="490"/>
      <c r="J170" s="487"/>
      <c r="K170" s="487"/>
      <c r="L170" s="509" t="e">
        <f t="shared" si="7"/>
        <v>#DIV/0!</v>
      </c>
    </row>
    <row r="171" spans="1:12">
      <c r="A171" s="397" t="str">
        <f t="shared" si="5"/>
        <v>PSR0V185-EWPVA</v>
      </c>
      <c r="B171" s="362" t="s">
        <v>402</v>
      </c>
      <c r="C171" s="394" t="s">
        <v>403</v>
      </c>
      <c r="D171" s="362">
        <v>8.16</v>
      </c>
      <c r="E171" s="362">
        <v>3.8980000000000001</v>
      </c>
      <c r="F171" s="496"/>
      <c r="G171" s="398"/>
      <c r="I171" s="490"/>
      <c r="J171" s="487"/>
      <c r="K171" s="487"/>
      <c r="L171" s="509" t="e">
        <f t="shared" si="7"/>
        <v>#DIV/0!</v>
      </c>
    </row>
    <row r="172" spans="1:12">
      <c r="A172" s="397" t="str">
        <f t="shared" si="5"/>
        <v>PSR0V43D-VYFZA</v>
      </c>
      <c r="B172" s="362" t="s">
        <v>416</v>
      </c>
      <c r="C172" s="394" t="s">
        <v>417</v>
      </c>
      <c r="D172" s="362">
        <v>13.510999999999999</v>
      </c>
      <c r="E172" s="362">
        <v>6.2969999999999997</v>
      </c>
      <c r="F172" s="496"/>
      <c r="G172" s="398"/>
      <c r="I172" s="490"/>
      <c r="J172" s="487"/>
      <c r="K172" s="487"/>
      <c r="L172" s="509" t="e">
        <f t="shared" si="7"/>
        <v>#DIV/0!</v>
      </c>
    </row>
    <row r="173" spans="1:12">
      <c r="A173" s="397" t="str">
        <f t="shared" si="5"/>
        <v>PSR0V161-TFBVA</v>
      </c>
      <c r="B173" s="362" t="s">
        <v>393</v>
      </c>
      <c r="C173" s="394" t="s">
        <v>394</v>
      </c>
      <c r="D173" s="362">
        <v>8.0269999999999992</v>
      </c>
      <c r="E173" s="362">
        <v>3.7810000000000001</v>
      </c>
      <c r="F173" s="496"/>
      <c r="G173" s="398"/>
      <c r="I173" s="490"/>
      <c r="J173" s="487"/>
      <c r="K173" s="487"/>
      <c r="L173" s="509" t="e">
        <f t="shared" si="7"/>
        <v>#DIV/0!</v>
      </c>
    </row>
    <row r="174" spans="1:12">
      <c r="A174" s="397" t="str">
        <f t="shared" si="5"/>
        <v>PSR0V42D-3CSZA</v>
      </c>
      <c r="B174" s="362" t="s">
        <v>414</v>
      </c>
      <c r="C174" s="394" t="s">
        <v>415</v>
      </c>
      <c r="D174" s="362">
        <v>15.095000000000001</v>
      </c>
      <c r="E174" s="362">
        <v>7.0540000000000003</v>
      </c>
      <c r="F174" s="496"/>
      <c r="G174" s="398"/>
      <c r="I174" s="490"/>
      <c r="J174" s="487"/>
      <c r="K174" s="487"/>
      <c r="L174" s="509" t="e">
        <f t="shared" si="7"/>
        <v>#DIV/0!</v>
      </c>
    </row>
    <row r="175" spans="1:12">
      <c r="A175" s="397" t="str">
        <f t="shared" si="5"/>
        <v>PSR0VD1F-SFXZA</v>
      </c>
      <c r="B175" s="362" t="s">
        <v>436</v>
      </c>
      <c r="C175" s="394" t="s">
        <v>444</v>
      </c>
      <c r="D175" s="362">
        <v>11.45</v>
      </c>
      <c r="E175" s="362">
        <v>4.9980000000000002</v>
      </c>
      <c r="F175" s="496"/>
      <c r="G175" s="398"/>
      <c r="I175" s="490"/>
      <c r="J175" s="487"/>
      <c r="K175" s="487"/>
      <c r="L175" s="509" t="e">
        <f t="shared" si="7"/>
        <v>#DIV/0!</v>
      </c>
    </row>
    <row r="176" spans="1:12">
      <c r="A176" s="397" t="str">
        <f t="shared" si="5"/>
        <v>PSR0V152-ECCVA</v>
      </c>
      <c r="B176" s="362" t="s">
        <v>389</v>
      </c>
      <c r="C176" s="394" t="s">
        <v>390</v>
      </c>
      <c r="D176" s="362">
        <v>5.6029999999999998</v>
      </c>
      <c r="E176" s="362">
        <v>2.7290000000000001</v>
      </c>
      <c r="F176" s="496"/>
      <c r="G176" s="398"/>
      <c r="I176" s="490"/>
      <c r="J176" s="487"/>
      <c r="K176" s="487"/>
      <c r="L176" s="509" t="e">
        <f t="shared" si="7"/>
        <v>#DIV/0!</v>
      </c>
    </row>
    <row r="177" spans="1:12">
      <c r="A177" s="397" t="str">
        <f t="shared" si="5"/>
        <v>PSR0V25S-KSAVA</v>
      </c>
      <c r="B177" s="362" t="s">
        <v>412</v>
      </c>
      <c r="C177" s="394" t="s">
        <v>413</v>
      </c>
      <c r="D177" s="362">
        <v>6.9329999999999998</v>
      </c>
      <c r="E177" s="362">
        <v>3.3180000000000001</v>
      </c>
      <c r="F177" s="496"/>
      <c r="G177" s="398"/>
      <c r="I177" s="490"/>
      <c r="J177" s="487"/>
      <c r="K177" s="487"/>
      <c r="L177" s="509" t="e">
        <f t="shared" si="7"/>
        <v>#DIV/0!</v>
      </c>
    </row>
    <row r="178" spans="1:12">
      <c r="A178" s="397" t="str">
        <f t="shared" si="5"/>
        <v>PSR0V164-SCLZA</v>
      </c>
      <c r="B178" s="362" t="s">
        <v>395</v>
      </c>
      <c r="C178" s="394" t="s">
        <v>396</v>
      </c>
      <c r="D178" s="362">
        <v>11.557</v>
      </c>
      <c r="E178" s="362">
        <v>5.13</v>
      </c>
      <c r="F178" s="496"/>
      <c r="G178" s="398"/>
      <c r="I178" s="490"/>
      <c r="J178" s="487"/>
      <c r="K178" s="487"/>
      <c r="L178" s="509" t="e">
        <f t="shared" si="7"/>
        <v>#DIV/0!</v>
      </c>
    </row>
    <row r="179" spans="1:12">
      <c r="A179" s="397" t="str">
        <f t="shared" si="5"/>
        <v>PSR0V186-SBGMA</v>
      </c>
      <c r="B179" s="362" t="s">
        <v>404</v>
      </c>
      <c r="C179" s="394" t="s">
        <v>405</v>
      </c>
      <c r="D179" s="362">
        <v>10.983000000000001</v>
      </c>
      <c r="E179" s="362">
        <v>4.88</v>
      </c>
      <c r="F179" s="496"/>
      <c r="G179" s="398"/>
      <c r="I179" s="490"/>
      <c r="J179" s="487"/>
      <c r="K179" s="487"/>
      <c r="L179" s="509" t="e">
        <f t="shared" si="7"/>
        <v>#DIV/0!</v>
      </c>
    </row>
    <row r="180" spans="1:12">
      <c r="A180" s="397" t="str">
        <f t="shared" si="5"/>
        <v>PSR0V187-NDKMA</v>
      </c>
      <c r="B180" s="362" t="s">
        <v>406</v>
      </c>
      <c r="C180" s="394" t="s">
        <v>407</v>
      </c>
      <c r="D180" s="362">
        <v>11.404999999999999</v>
      </c>
      <c r="E180" s="362">
        <v>5.0789999999999997</v>
      </c>
      <c r="F180" s="496"/>
      <c r="G180" s="398"/>
      <c r="I180" s="490"/>
      <c r="J180" s="487"/>
      <c r="K180" s="487"/>
      <c r="L180" s="509" t="e">
        <f t="shared" si="7"/>
        <v>#DIV/0!</v>
      </c>
    </row>
    <row r="181" spans="1:12">
      <c r="A181" s="397" t="str">
        <f t="shared" si="5"/>
        <v>PSR0V01B-GSGVA</v>
      </c>
      <c r="B181" s="362" t="s">
        <v>387</v>
      </c>
      <c r="C181" s="394" t="s">
        <v>388</v>
      </c>
      <c r="D181" s="362">
        <v>5.367</v>
      </c>
      <c r="E181" s="362">
        <v>2.52</v>
      </c>
      <c r="F181" s="496"/>
      <c r="G181" s="398"/>
      <c r="I181" s="490"/>
      <c r="J181" s="487"/>
      <c r="K181" s="487"/>
      <c r="L181" s="509" t="e">
        <f t="shared" si="7"/>
        <v>#DIV/0!</v>
      </c>
    </row>
    <row r="182" spans="1:12">
      <c r="A182" s="397" t="str">
        <f t="shared" si="5"/>
        <v>PSR0V188-CKKVA</v>
      </c>
      <c r="B182" s="362" t="s">
        <v>408</v>
      </c>
      <c r="C182" s="394" t="s">
        <v>409</v>
      </c>
      <c r="D182" s="362">
        <v>7.2560000000000002</v>
      </c>
      <c r="E182" s="362">
        <v>3.53</v>
      </c>
      <c r="F182" s="496"/>
      <c r="G182" s="398"/>
      <c r="I182" s="490"/>
      <c r="J182" s="487"/>
      <c r="K182" s="487"/>
      <c r="L182" s="509" t="e">
        <f t="shared" si="7"/>
        <v>#DIV/0!</v>
      </c>
    </row>
    <row r="183" spans="1:12">
      <c r="A183" s="397" t="str">
        <f t="shared" si="5"/>
        <v>PSR0V190-FQCVA</v>
      </c>
      <c r="B183" s="362" t="s">
        <v>410</v>
      </c>
      <c r="C183" s="394" t="s">
        <v>456</v>
      </c>
      <c r="D183" s="362">
        <v>6.1509999999999998</v>
      </c>
      <c r="E183" s="362">
        <v>2.9279999999999999</v>
      </c>
      <c r="F183" s="496"/>
      <c r="G183" s="398"/>
      <c r="I183" s="490"/>
      <c r="J183" s="487"/>
      <c r="K183" s="487"/>
      <c r="L183" s="509" t="e">
        <f t="shared" si="7"/>
        <v>#DIV/0!</v>
      </c>
    </row>
    <row r="184" spans="1:12">
      <c r="A184" s="397" t="str">
        <f t="shared" si="5"/>
        <v>PSR0V50D-CSBMA</v>
      </c>
      <c r="B184" s="362" t="s">
        <v>422</v>
      </c>
      <c r="C184" s="394" t="s">
        <v>459</v>
      </c>
      <c r="D184" s="362">
        <v>9.2270000000000003</v>
      </c>
      <c r="E184" s="362">
        <v>4.2160000000000002</v>
      </c>
      <c r="F184" s="496"/>
      <c r="G184" s="398"/>
      <c r="I184" s="490"/>
      <c r="J184" s="487"/>
      <c r="K184" s="487"/>
      <c r="L184" s="509" t="e">
        <f t="shared" si="7"/>
        <v>#DIV/0!</v>
      </c>
    </row>
    <row r="185" spans="1:12">
      <c r="A185" s="397" t="str">
        <f t="shared" si="5"/>
        <v>PSR0V46D-DJKVA</v>
      </c>
      <c r="B185" s="362" t="s">
        <v>418</v>
      </c>
      <c r="C185" s="394" t="s">
        <v>457</v>
      </c>
      <c r="D185" s="362">
        <v>7.968</v>
      </c>
      <c r="E185" s="362">
        <v>3.6880000000000002</v>
      </c>
      <c r="F185" s="496"/>
      <c r="G185" s="398"/>
      <c r="I185" s="490"/>
      <c r="J185" s="487"/>
      <c r="K185" s="487"/>
      <c r="L185" s="509" t="e">
        <f t="shared" si="7"/>
        <v>#DIV/0!</v>
      </c>
    </row>
    <row r="186" spans="1:12">
      <c r="A186" s="397" t="str">
        <f t="shared" si="5"/>
        <v>PSR0V49D-XTHMA</v>
      </c>
      <c r="B186" s="362" t="s">
        <v>421</v>
      </c>
      <c r="C186" s="394" t="s">
        <v>467</v>
      </c>
      <c r="D186" s="362">
        <v>9.516</v>
      </c>
      <c r="E186" s="362">
        <v>4.2789999999999999</v>
      </c>
      <c r="F186" s="496"/>
      <c r="G186" s="398"/>
      <c r="I186" s="490"/>
      <c r="J186" s="487"/>
      <c r="K186" s="487"/>
      <c r="L186" s="509" t="e">
        <f t="shared" si="7"/>
        <v>#DIV/0!</v>
      </c>
    </row>
    <row r="187" spans="1:12">
      <c r="A187" s="397" t="str">
        <f t="shared" si="5"/>
        <v>PSR0V51D-QCCMA</v>
      </c>
      <c r="B187" s="362" t="s">
        <v>423</v>
      </c>
      <c r="C187" s="394" t="s">
        <v>468</v>
      </c>
      <c r="D187" s="362">
        <v>9.9629999999999992</v>
      </c>
      <c r="E187" s="362">
        <v>4.4390000000000001</v>
      </c>
      <c r="F187" s="496"/>
      <c r="G187" s="398"/>
      <c r="I187" s="490"/>
      <c r="J187" s="487"/>
      <c r="K187" s="487"/>
      <c r="L187" s="509" t="e">
        <f t="shared" si="7"/>
        <v>#DIV/0!</v>
      </c>
    </row>
    <row r="188" spans="1:12">
      <c r="A188" s="397" t="str">
        <f t="shared" si="5"/>
        <v>PSR0V193-EKTMA</v>
      </c>
      <c r="B188" s="362" t="s">
        <v>411</v>
      </c>
      <c r="C188" s="394" t="s">
        <v>473</v>
      </c>
      <c r="D188" s="362">
        <v>10.848000000000001</v>
      </c>
      <c r="E188" s="362">
        <v>4.8680000000000003</v>
      </c>
      <c r="F188" s="496"/>
      <c r="G188" s="398"/>
      <c r="I188" s="490"/>
      <c r="J188" s="487"/>
      <c r="K188" s="487"/>
      <c r="L188" s="509" t="e">
        <f t="shared" si="7"/>
        <v>#DIV/0!</v>
      </c>
    </row>
    <row r="189" spans="1:12">
      <c r="A189" s="397" t="str">
        <f t="shared" si="5"/>
        <v>PSR0V47D-KRLVA</v>
      </c>
      <c r="B189" s="362" t="s">
        <v>419</v>
      </c>
      <c r="C189" s="394" t="s">
        <v>458</v>
      </c>
      <c r="D189" s="362">
        <v>9.0589999999999993</v>
      </c>
      <c r="E189" s="362">
        <v>4.2549999999999999</v>
      </c>
      <c r="F189" s="496"/>
      <c r="G189" s="398"/>
      <c r="I189" s="490"/>
      <c r="J189" s="487"/>
      <c r="K189" s="487"/>
      <c r="L189" s="509" t="e">
        <f t="shared" si="7"/>
        <v>#DIV/0!</v>
      </c>
    </row>
    <row r="190" spans="1:12">
      <c r="A190" s="397" t="str">
        <f t="shared" si="5"/>
        <v>PSR0V45D-AJNVA</v>
      </c>
      <c r="B190" s="362" t="s">
        <v>435</v>
      </c>
      <c r="C190" s="394" t="s">
        <v>440</v>
      </c>
      <c r="D190" s="362">
        <v>6.3879999999999999</v>
      </c>
      <c r="E190" s="362">
        <v>3.0289999999999999</v>
      </c>
      <c r="F190" s="496"/>
      <c r="G190" s="398"/>
      <c r="I190" s="490"/>
      <c r="J190" s="487"/>
      <c r="K190" s="487"/>
      <c r="L190" s="509" t="e">
        <f t="shared" si="7"/>
        <v>#DIV/0!</v>
      </c>
    </row>
    <row r="191" spans="1:12">
      <c r="A191" s="397" t="str">
        <f t="shared" si="5"/>
        <v>PSR0V27B-AF2MA</v>
      </c>
      <c r="B191" s="362" t="s">
        <v>328</v>
      </c>
      <c r="C191" s="394" t="s">
        <v>895</v>
      </c>
      <c r="D191" s="362">
        <v>11.827</v>
      </c>
      <c r="E191" s="362">
        <v>5.5339999999999998</v>
      </c>
      <c r="F191" s="496"/>
      <c r="G191" s="398"/>
      <c r="I191" s="490"/>
      <c r="J191" s="487"/>
      <c r="K191" s="487"/>
      <c r="L191" s="509" t="e">
        <f t="shared" si="7"/>
        <v>#DIV/0!</v>
      </c>
    </row>
    <row r="192" spans="1:12">
      <c r="A192" s="397" t="str">
        <f t="shared" si="5"/>
        <v>PSR0V23S-WFCMA</v>
      </c>
      <c r="B192" s="362" t="s">
        <v>353</v>
      </c>
      <c r="C192" s="394" t="s">
        <v>486</v>
      </c>
      <c r="D192" s="362">
        <v>10.88</v>
      </c>
      <c r="E192" s="362">
        <v>5.0199999999999996</v>
      </c>
      <c r="F192" s="496"/>
      <c r="G192" s="398"/>
      <c r="I192" s="490"/>
      <c r="J192" s="487"/>
      <c r="K192" s="487"/>
      <c r="L192" s="509" t="e">
        <f t="shared" si="7"/>
        <v>#DIV/0!</v>
      </c>
    </row>
    <row r="193" spans="1:12">
      <c r="A193" s="397" t="str">
        <f t="shared" si="5"/>
        <v>PSR0V209-BVNKA</v>
      </c>
      <c r="B193" s="362" t="s">
        <v>463</v>
      </c>
      <c r="C193" s="394" t="s">
        <v>464</v>
      </c>
      <c r="D193" s="362">
        <v>13.564</v>
      </c>
      <c r="E193" s="362">
        <v>6.2279999999999998</v>
      </c>
      <c r="F193" s="496"/>
      <c r="G193" s="398"/>
      <c r="I193" s="490"/>
      <c r="J193" s="487"/>
      <c r="K193" s="487"/>
      <c r="L193" s="509" t="e">
        <f t="shared" si="7"/>
        <v>#DIV/0!</v>
      </c>
    </row>
    <row r="194" spans="1:12">
      <c r="A194" s="397" t="str">
        <f t="shared" si="5"/>
        <v>PSR0V194-VRQVA</v>
      </c>
      <c r="B194" s="362" t="s">
        <v>433</v>
      </c>
      <c r="C194" s="394" t="s">
        <v>434</v>
      </c>
      <c r="D194" s="362">
        <v>8.0890000000000004</v>
      </c>
      <c r="E194" s="362">
        <v>3.9430000000000001</v>
      </c>
      <c r="F194" s="496"/>
      <c r="G194" s="398"/>
      <c r="I194" s="490"/>
      <c r="J194" s="487"/>
      <c r="K194" s="487"/>
      <c r="L194" s="509" t="e">
        <f t="shared" si="7"/>
        <v>#DIV/0!</v>
      </c>
    </row>
    <row r="195" spans="1:12">
      <c r="A195" s="397" t="str">
        <f t="shared" si="5"/>
        <v>PSR0V48D-AETMA</v>
      </c>
      <c r="B195" s="362" t="s">
        <v>420</v>
      </c>
      <c r="C195" s="394" t="s">
        <v>466</v>
      </c>
      <c r="D195" s="362">
        <v>9.7560000000000002</v>
      </c>
      <c r="E195" s="362">
        <v>4.6539999999999999</v>
      </c>
      <c r="F195" s="496"/>
      <c r="G195" s="398"/>
      <c r="I195" s="490"/>
      <c r="J195" s="487"/>
      <c r="K195" s="487"/>
      <c r="L195" s="509" t="e">
        <f t="shared" si="7"/>
        <v>#DIV/0!</v>
      </c>
    </row>
    <row r="196" spans="1:12">
      <c r="A196" s="397" t="str">
        <f t="shared" si="5"/>
        <v>PSR0VD2F-FVCMA</v>
      </c>
      <c r="B196" s="362" t="s">
        <v>471</v>
      </c>
      <c r="C196" s="394" t="s">
        <v>474</v>
      </c>
      <c r="D196" s="362">
        <v>10.374000000000001</v>
      </c>
      <c r="E196" s="362">
        <v>4.524</v>
      </c>
      <c r="F196" s="496"/>
      <c r="G196" s="398"/>
      <c r="I196" s="490"/>
      <c r="J196" s="487"/>
      <c r="K196" s="487"/>
      <c r="L196" s="509" t="e">
        <f t="shared" si="7"/>
        <v>#DIV/0!</v>
      </c>
    </row>
    <row r="197" spans="1:12">
      <c r="A197" s="397" t="str">
        <f t="shared" si="5"/>
        <v>PSR0V52D-RJAZA</v>
      </c>
      <c r="B197" s="362" t="s">
        <v>424</v>
      </c>
      <c r="C197" s="394" t="s">
        <v>469</v>
      </c>
      <c r="D197" s="362">
        <v>9.7769999999999992</v>
      </c>
      <c r="E197" s="362">
        <v>4.3920000000000003</v>
      </c>
      <c r="F197" s="496"/>
      <c r="G197" s="398"/>
      <c r="I197" s="490"/>
      <c r="J197" s="487"/>
      <c r="K197" s="487"/>
      <c r="L197" s="509" t="e">
        <f t="shared" si="7"/>
        <v>#DIV/0!</v>
      </c>
    </row>
    <row r="198" spans="1:12">
      <c r="A198" s="397" t="str">
        <f t="shared" si="5"/>
        <v>PSR0VD3F-APEZA</v>
      </c>
      <c r="B198" s="362" t="s">
        <v>472</v>
      </c>
      <c r="C198" s="394" t="s">
        <v>475</v>
      </c>
      <c r="D198" s="362">
        <v>11.009</v>
      </c>
      <c r="E198" s="362">
        <v>4.8090000000000002</v>
      </c>
      <c r="F198" s="496"/>
      <c r="G198" s="398"/>
      <c r="I198" s="490"/>
      <c r="J198" s="487"/>
      <c r="K198" s="487"/>
      <c r="L198" s="509" t="e">
        <f t="shared" si="7"/>
        <v>#DIV/0!</v>
      </c>
    </row>
    <row r="199" spans="1:12">
      <c r="A199" s="397" t="str">
        <f t="shared" ref="A199:A262" si="8">B199&amp;"-"&amp;C199</f>
        <v>PSR0V53D-XFNZA</v>
      </c>
      <c r="B199" s="362" t="s">
        <v>425</v>
      </c>
      <c r="C199" s="394" t="s">
        <v>470</v>
      </c>
      <c r="D199" s="362">
        <v>9.1379999999999999</v>
      </c>
      <c r="E199" s="362">
        <v>4.1280000000000001</v>
      </c>
      <c r="F199" s="496"/>
      <c r="G199" s="398"/>
      <c r="I199" s="490"/>
      <c r="J199" s="487"/>
      <c r="K199" s="487"/>
      <c r="L199" s="509" t="e">
        <f t="shared" si="7"/>
        <v>#DIV/0!</v>
      </c>
    </row>
    <row r="200" spans="1:12">
      <c r="A200" s="397" t="str">
        <f t="shared" si="8"/>
        <v>PSR0V210-CQKKA</v>
      </c>
      <c r="B200" s="362" t="s">
        <v>478</v>
      </c>
      <c r="C200" s="394" t="s">
        <v>483</v>
      </c>
      <c r="D200" s="362">
        <v>15.167999999999999</v>
      </c>
      <c r="E200" s="362">
        <v>7.0019999999999998</v>
      </c>
      <c r="F200" s="496"/>
      <c r="G200" s="398"/>
      <c r="I200" s="490"/>
      <c r="J200" s="487"/>
      <c r="K200" s="487"/>
      <c r="L200" s="509" t="e">
        <f t="shared" si="7"/>
        <v>#DIV/0!</v>
      </c>
    </row>
    <row r="201" spans="1:12">
      <c r="A201" s="397" t="str">
        <f t="shared" si="8"/>
        <v>PSR0V198-FZWVA</v>
      </c>
      <c r="B201" s="362" t="s">
        <v>479</v>
      </c>
      <c r="C201" s="394" t="s">
        <v>481</v>
      </c>
      <c r="D201" s="362">
        <v>7.5629999999999997</v>
      </c>
      <c r="E201" s="362">
        <v>3.66</v>
      </c>
      <c r="F201" s="496"/>
      <c r="G201" s="398"/>
      <c r="I201" s="490"/>
      <c r="J201" s="487"/>
      <c r="K201" s="487"/>
      <c r="L201" s="509" t="e">
        <f t="shared" si="7"/>
        <v>#DIV/0!</v>
      </c>
    </row>
    <row r="202" spans="1:12">
      <c r="A202" s="397" t="str">
        <f t="shared" si="8"/>
        <v>PSR0V202-JSQVA</v>
      </c>
      <c r="B202" s="362" t="s">
        <v>575</v>
      </c>
      <c r="C202" s="394" t="s">
        <v>723</v>
      </c>
      <c r="D202" s="362">
        <v>7.6459999999999999</v>
      </c>
      <c r="E202" s="362">
        <v>3.7320000000000002</v>
      </c>
      <c r="F202" s="496"/>
      <c r="G202" s="398"/>
      <c r="I202" s="490"/>
      <c r="J202" s="487"/>
      <c r="K202" s="487"/>
      <c r="L202" s="509" t="e">
        <f t="shared" si="7"/>
        <v>#DIV/0!</v>
      </c>
    </row>
    <row r="203" spans="1:12">
      <c r="A203" s="397" t="str">
        <f t="shared" si="8"/>
        <v>PSR0V203-KDSVA</v>
      </c>
      <c r="B203" s="362" t="s">
        <v>480</v>
      </c>
      <c r="C203" s="394" t="s">
        <v>482</v>
      </c>
      <c r="D203" s="362">
        <v>9.3840000000000003</v>
      </c>
      <c r="E203" s="362">
        <v>4.5529999999999999</v>
      </c>
      <c r="F203" s="496"/>
      <c r="G203" s="398"/>
      <c r="I203" s="490"/>
      <c r="J203" s="487"/>
      <c r="K203" s="487"/>
      <c r="L203" s="509" t="e">
        <f t="shared" si="7"/>
        <v>#DIV/0!</v>
      </c>
    </row>
    <row r="204" spans="1:12">
      <c r="A204" s="397" t="str">
        <f t="shared" si="8"/>
        <v>PSR0V208-XSYKA</v>
      </c>
      <c r="B204" s="362" t="s">
        <v>461</v>
      </c>
      <c r="C204" s="394" t="s">
        <v>462</v>
      </c>
      <c r="D204" s="362">
        <v>15.343999999999999</v>
      </c>
      <c r="E204" s="362">
        <v>7.01</v>
      </c>
      <c r="F204" s="496"/>
      <c r="G204" s="398"/>
      <c r="I204" s="490"/>
      <c r="J204" s="487"/>
      <c r="K204" s="487"/>
      <c r="L204" s="509" t="e">
        <f t="shared" si="7"/>
        <v>#DIV/0!</v>
      </c>
    </row>
    <row r="205" spans="1:12">
      <c r="A205" s="397" t="str">
        <f t="shared" si="8"/>
        <v>PSR0V211-RCAVA</v>
      </c>
      <c r="B205" s="362" t="s">
        <v>460</v>
      </c>
      <c r="C205" s="394" t="s">
        <v>465</v>
      </c>
      <c r="D205" s="362">
        <v>6.8470000000000004</v>
      </c>
      <c r="E205" s="362">
        <v>3.35</v>
      </c>
      <c r="F205" s="496"/>
      <c r="G205" s="398"/>
      <c r="I205" s="490"/>
      <c r="J205" s="487"/>
      <c r="K205" s="487"/>
      <c r="L205" s="509" t="e">
        <f t="shared" si="7"/>
        <v>#DIV/0!</v>
      </c>
    </row>
    <row r="206" spans="1:12">
      <c r="A206" s="397" t="str">
        <f t="shared" si="8"/>
        <v>PSR0VD6F-TJXMA</v>
      </c>
      <c r="B206" s="362" t="s">
        <v>580</v>
      </c>
      <c r="C206" s="394" t="s">
        <v>725</v>
      </c>
      <c r="D206" s="362">
        <v>10.695</v>
      </c>
      <c r="E206" s="362">
        <v>4.766</v>
      </c>
      <c r="F206" s="496"/>
      <c r="G206" s="398"/>
      <c r="I206" s="490"/>
      <c r="J206" s="487"/>
      <c r="K206" s="487"/>
      <c r="L206" s="509" t="e">
        <f t="shared" si="7"/>
        <v>#DIV/0!</v>
      </c>
    </row>
    <row r="207" spans="1:12">
      <c r="A207" s="397" t="str">
        <f t="shared" si="8"/>
        <v>PSR0V199-RNFVA</v>
      </c>
      <c r="B207" s="362" t="s">
        <v>565</v>
      </c>
      <c r="C207" s="394" t="s">
        <v>566</v>
      </c>
      <c r="D207" s="362">
        <v>9.1329999999999991</v>
      </c>
      <c r="E207" s="362">
        <v>4.5019999999999998</v>
      </c>
      <c r="F207" s="496"/>
      <c r="G207" s="398"/>
      <c r="I207" s="490"/>
      <c r="J207" s="487"/>
      <c r="K207" s="487"/>
      <c r="L207" s="509" t="e">
        <f t="shared" si="7"/>
        <v>#DIV/0!</v>
      </c>
    </row>
    <row r="208" spans="1:12">
      <c r="A208" s="397" t="str">
        <f t="shared" si="8"/>
        <v>PSR0VD7F-AXLMA</v>
      </c>
      <c r="B208" s="362" t="s">
        <v>550</v>
      </c>
      <c r="C208" s="394" t="s">
        <v>551</v>
      </c>
      <c r="D208" s="362">
        <v>10.36</v>
      </c>
      <c r="E208" s="362">
        <v>4.6349999999999998</v>
      </c>
      <c r="F208" s="496"/>
      <c r="G208" s="398"/>
      <c r="I208" s="490"/>
      <c r="J208" s="487"/>
      <c r="K208" s="487"/>
      <c r="L208" s="509" t="e">
        <f t="shared" si="7"/>
        <v>#DIV/0!</v>
      </c>
    </row>
    <row r="209" spans="1:12">
      <c r="A209" s="397" t="str">
        <f t="shared" si="8"/>
        <v>PSR0V195-FTWVA</v>
      </c>
      <c r="B209" s="362" t="s">
        <v>845</v>
      </c>
      <c r="C209" s="394" t="s">
        <v>899</v>
      </c>
      <c r="D209" s="362">
        <v>9.4260000000000002</v>
      </c>
      <c r="E209" s="362">
        <v>4.452</v>
      </c>
      <c r="F209" s="496"/>
      <c r="G209" s="398"/>
      <c r="I209" s="490"/>
      <c r="J209" s="487"/>
      <c r="K209" s="487"/>
      <c r="L209" s="509" t="e">
        <f t="shared" si="7"/>
        <v>#DIV/0!</v>
      </c>
    </row>
    <row r="210" spans="1:12">
      <c r="A210" s="397" t="str">
        <f t="shared" si="8"/>
        <v>PSR0V212-HFAVA</v>
      </c>
      <c r="B210" s="362" t="s">
        <v>576</v>
      </c>
      <c r="C210" s="394" t="s">
        <v>724</v>
      </c>
      <c r="D210" s="362">
        <v>10.77</v>
      </c>
      <c r="E210" s="362">
        <v>5.19</v>
      </c>
      <c r="F210" s="496"/>
      <c r="G210" s="398"/>
      <c r="I210" s="490"/>
      <c r="J210" s="487"/>
      <c r="K210" s="487"/>
      <c r="L210" s="509" t="e">
        <f t="shared" si="7"/>
        <v>#DIV/0!</v>
      </c>
    </row>
    <row r="211" spans="1:12">
      <c r="A211" s="397" t="str">
        <f t="shared" si="8"/>
        <v>PSR0V197-NGRVA</v>
      </c>
      <c r="B211" s="362" t="s">
        <v>578</v>
      </c>
      <c r="C211" s="394" t="s">
        <v>721</v>
      </c>
      <c r="D211" s="362">
        <v>7.1260000000000003</v>
      </c>
      <c r="E211" s="362">
        <v>3.5209999999999999</v>
      </c>
      <c r="F211" s="496"/>
      <c r="G211" s="398"/>
      <c r="I211" s="490"/>
      <c r="J211" s="487"/>
      <c r="K211" s="487"/>
      <c r="L211" s="509" t="e">
        <f t="shared" si="7"/>
        <v>#DIV/0!</v>
      </c>
    </row>
    <row r="212" spans="1:12">
      <c r="A212" s="397" t="str">
        <f t="shared" si="8"/>
        <v>PSR0V196-EYEMA</v>
      </c>
      <c r="B212" s="362" t="s">
        <v>577</v>
      </c>
      <c r="C212" s="394" t="s">
        <v>720</v>
      </c>
      <c r="D212" s="362">
        <v>13.372</v>
      </c>
      <c r="E212" s="362">
        <v>6.2939999999999996</v>
      </c>
      <c r="F212" s="496"/>
      <c r="G212" s="398"/>
      <c r="I212" s="490"/>
      <c r="J212" s="487"/>
      <c r="K212" s="487"/>
      <c r="L212" s="509" t="e">
        <f t="shared" si="7"/>
        <v>#DIV/0!</v>
      </c>
    </row>
    <row r="213" spans="1:12">
      <c r="A213" s="397" t="str">
        <f t="shared" si="8"/>
        <v>PSR0V217-NWNZA</v>
      </c>
      <c r="B213" s="362" t="s">
        <v>487</v>
      </c>
      <c r="C213" s="394" t="s">
        <v>488</v>
      </c>
      <c r="D213" s="362">
        <v>10.457000000000001</v>
      </c>
      <c r="E213" s="362">
        <v>4.7329999999999997</v>
      </c>
      <c r="F213" s="496"/>
      <c r="G213" s="398"/>
      <c r="I213" s="490"/>
      <c r="J213" s="487"/>
      <c r="K213" s="487"/>
      <c r="L213" s="509" t="e">
        <f t="shared" si="7"/>
        <v>#DIV/0!</v>
      </c>
    </row>
    <row r="214" spans="1:12">
      <c r="A214" s="397" t="str">
        <f t="shared" si="8"/>
        <v>PSR0V200-CEPVA</v>
      </c>
      <c r="B214" s="362" t="s">
        <v>579</v>
      </c>
      <c r="C214" s="394" t="s">
        <v>722</v>
      </c>
      <c r="D214" s="362">
        <v>9.6890000000000001</v>
      </c>
      <c r="E214" s="362">
        <v>4.5529999999999999</v>
      </c>
      <c r="F214" s="496"/>
      <c r="G214" s="398"/>
      <c r="I214" s="490"/>
      <c r="J214" s="487"/>
      <c r="K214" s="487"/>
      <c r="L214" s="509" t="e">
        <f t="shared" si="7"/>
        <v>#DIV/0!</v>
      </c>
    </row>
    <row r="215" spans="1:12">
      <c r="A215" s="397" t="str">
        <f t="shared" si="8"/>
        <v>PSR0V213-ZV2KA</v>
      </c>
      <c r="B215" s="362" t="s">
        <v>476</v>
      </c>
      <c r="C215" s="394" t="s">
        <v>484</v>
      </c>
      <c r="D215" s="362">
        <v>12.566000000000001</v>
      </c>
      <c r="E215" s="362">
        <v>5.8869999999999996</v>
      </c>
      <c r="F215" s="496"/>
      <c r="G215" s="398"/>
      <c r="I215" s="490"/>
      <c r="J215" s="487"/>
      <c r="K215" s="487"/>
      <c r="L215" s="509" t="e">
        <f t="shared" si="7"/>
        <v>#DIV/0!</v>
      </c>
    </row>
    <row r="216" spans="1:12">
      <c r="A216" s="397" t="str">
        <f t="shared" si="8"/>
        <v>PSR0V214-ZW3KA</v>
      </c>
      <c r="B216" s="362" t="s">
        <v>489</v>
      </c>
      <c r="C216" s="394" t="s">
        <v>552</v>
      </c>
      <c r="D216" s="362">
        <v>13.664999999999999</v>
      </c>
      <c r="E216" s="362">
        <v>6.2880000000000003</v>
      </c>
      <c r="F216" s="496"/>
      <c r="G216" s="398"/>
      <c r="I216" s="490"/>
      <c r="J216" s="487"/>
      <c r="K216" s="487"/>
      <c r="L216" s="509" t="e">
        <f t="shared" si="7"/>
        <v>#DIV/0!</v>
      </c>
    </row>
    <row r="217" spans="1:12">
      <c r="A217" s="397" t="str">
        <f t="shared" si="8"/>
        <v>PSR0V215-ZX4KA</v>
      </c>
      <c r="B217" s="362" t="s">
        <v>477</v>
      </c>
      <c r="C217" s="394" t="s">
        <v>485</v>
      </c>
      <c r="D217" s="362">
        <v>15.115</v>
      </c>
      <c r="E217" s="362">
        <v>6.976</v>
      </c>
      <c r="F217" s="496"/>
      <c r="G217" s="398"/>
      <c r="I217" s="490"/>
      <c r="J217" s="487"/>
      <c r="K217" s="487"/>
      <c r="L217" s="509" t="e">
        <f t="shared" si="7"/>
        <v>#DIV/0!</v>
      </c>
    </row>
    <row r="218" spans="1:12">
      <c r="A218" s="397" t="str">
        <f t="shared" si="8"/>
        <v>PSR0V221-XLHZA</v>
      </c>
      <c r="B218" s="362" t="s">
        <v>563</v>
      </c>
      <c r="C218" s="394" t="s">
        <v>564</v>
      </c>
      <c r="D218" s="362">
        <v>12.313000000000001</v>
      </c>
      <c r="E218" s="362">
        <v>5.5830000000000002</v>
      </c>
      <c r="F218" s="496"/>
      <c r="G218" s="398"/>
      <c r="I218" s="490"/>
      <c r="J218" s="487"/>
      <c r="K218" s="487"/>
      <c r="L218" s="509" t="e">
        <f t="shared" si="7"/>
        <v>#DIV/0!</v>
      </c>
    </row>
    <row r="219" spans="1:12">
      <c r="A219" s="397" t="str">
        <f t="shared" si="8"/>
        <v>PSR0V224-FX8KA</v>
      </c>
      <c r="B219" s="362" t="s">
        <v>555</v>
      </c>
      <c r="C219" s="394" t="s">
        <v>560</v>
      </c>
      <c r="D219" s="362">
        <v>16.266999999999999</v>
      </c>
      <c r="E219" s="362">
        <v>7.7350000000000003</v>
      </c>
      <c r="F219" s="496"/>
      <c r="G219" s="398"/>
      <c r="I219" s="490"/>
      <c r="J219" s="487"/>
      <c r="K219" s="487"/>
      <c r="L219" s="509" t="e">
        <f t="shared" si="7"/>
        <v>#DIV/0!</v>
      </c>
    </row>
    <row r="220" spans="1:12">
      <c r="A220" s="397" t="str">
        <f t="shared" si="8"/>
        <v>PSR0V225-F17KA</v>
      </c>
      <c r="B220" s="362" t="s">
        <v>556</v>
      </c>
      <c r="C220" s="394" t="s">
        <v>562</v>
      </c>
      <c r="D220" s="362">
        <v>16.079999999999998</v>
      </c>
      <c r="E220" s="362">
        <v>7.7279999999999998</v>
      </c>
      <c r="F220" s="496"/>
      <c r="G220" s="398"/>
      <c r="I220" s="490"/>
      <c r="J220" s="487"/>
      <c r="K220" s="487"/>
      <c r="L220" s="509" t="e">
        <f t="shared" si="7"/>
        <v>#DIV/0!</v>
      </c>
    </row>
    <row r="221" spans="1:12">
      <c r="A221" s="397" t="str">
        <f t="shared" si="8"/>
        <v>PSR0V226-HEAVA</v>
      </c>
      <c r="B221" s="362" t="s">
        <v>559</v>
      </c>
      <c r="C221" s="394" t="s">
        <v>561</v>
      </c>
      <c r="D221" s="362">
        <v>8.3379999999999992</v>
      </c>
      <c r="E221" s="362">
        <v>4.03</v>
      </c>
      <c r="F221" s="496"/>
      <c r="G221" s="398"/>
      <c r="I221" s="490"/>
      <c r="J221" s="487"/>
      <c r="K221" s="487"/>
      <c r="L221" s="509" t="e">
        <f t="shared" si="7"/>
        <v>#DIV/0!</v>
      </c>
    </row>
    <row r="222" spans="1:12">
      <c r="A222" s="397" t="str">
        <f t="shared" si="8"/>
        <v>PSR0V227-XPDVA</v>
      </c>
      <c r="B222" s="362" t="s">
        <v>553</v>
      </c>
      <c r="C222" s="394" t="s">
        <v>554</v>
      </c>
      <c r="D222" s="362">
        <v>9.01</v>
      </c>
      <c r="E222" s="362">
        <v>4.26</v>
      </c>
      <c r="F222" s="496"/>
      <c r="G222" s="398"/>
      <c r="I222" s="490"/>
      <c r="J222" s="487"/>
      <c r="K222" s="487"/>
      <c r="L222" s="509" t="e">
        <f t="shared" si="7"/>
        <v>#DIV/0!</v>
      </c>
    </row>
    <row r="223" spans="1:12">
      <c r="A223" s="397" t="str">
        <f t="shared" si="8"/>
        <v>PSR0VE4F-FCPVA</v>
      </c>
      <c r="B223" s="362" t="s">
        <v>904</v>
      </c>
      <c r="C223" s="394" t="s">
        <v>949</v>
      </c>
      <c r="D223" s="362">
        <v>6.53</v>
      </c>
      <c r="E223" s="362">
        <v>3.3559999999999999</v>
      </c>
      <c r="F223" s="496"/>
      <c r="G223" s="398"/>
      <c r="I223" s="490"/>
      <c r="J223" s="487"/>
      <c r="K223" s="487"/>
      <c r="L223" s="509" t="e">
        <f t="shared" si="7"/>
        <v>#DIV/0!</v>
      </c>
    </row>
    <row r="224" spans="1:12">
      <c r="A224" s="397" t="str">
        <f t="shared" si="8"/>
        <v>PSR0VD9F-ZCWVA</v>
      </c>
      <c r="B224" s="362" t="s">
        <v>582</v>
      </c>
      <c r="C224" s="394" t="s">
        <v>727</v>
      </c>
      <c r="D224" s="362">
        <v>8.2430000000000003</v>
      </c>
      <c r="E224" s="362">
        <v>3.923</v>
      </c>
      <c r="F224" s="496"/>
      <c r="G224" s="398"/>
      <c r="I224" s="490"/>
      <c r="J224" s="487"/>
      <c r="K224" s="487"/>
      <c r="L224" s="509" t="e">
        <f t="shared" si="7"/>
        <v>#DIV/0!</v>
      </c>
    </row>
    <row r="225" spans="1:12">
      <c r="A225" s="397" t="str">
        <f t="shared" si="8"/>
        <v>PSR0VD8F-ZFHZA</v>
      </c>
      <c r="B225" s="362" t="s">
        <v>581</v>
      </c>
      <c r="C225" s="394" t="s">
        <v>726</v>
      </c>
      <c r="D225" s="362">
        <v>12.218999999999999</v>
      </c>
      <c r="E225" s="362">
        <v>5.7809999999999997</v>
      </c>
      <c r="F225" s="496"/>
      <c r="G225" s="398"/>
      <c r="I225" s="490"/>
      <c r="J225" s="487"/>
      <c r="K225" s="487"/>
      <c r="L225" s="509" t="e">
        <f t="shared" ref="L225:L239" si="9">J225/K225</f>
        <v>#DIV/0!</v>
      </c>
    </row>
    <row r="226" spans="1:12">
      <c r="A226" s="397" t="str">
        <f t="shared" si="8"/>
        <v>PSR0VE0F-ZKQVA</v>
      </c>
      <c r="B226" s="362" t="s">
        <v>583</v>
      </c>
      <c r="C226" s="394" t="s">
        <v>783</v>
      </c>
      <c r="D226" s="362">
        <v>8.218</v>
      </c>
      <c r="E226" s="362">
        <v>3.9820000000000002</v>
      </c>
      <c r="F226" s="496"/>
      <c r="G226" s="398"/>
      <c r="I226" s="490"/>
      <c r="J226" s="487"/>
      <c r="K226" s="487"/>
      <c r="L226" s="509" t="e">
        <f t="shared" si="9"/>
        <v>#DIV/0!</v>
      </c>
    </row>
    <row r="227" spans="1:12">
      <c r="A227" s="397" t="str">
        <f t="shared" si="8"/>
        <v>PSR0V229-DFYVA</v>
      </c>
      <c r="B227" s="362" t="s">
        <v>786</v>
      </c>
      <c r="C227" s="394" t="s">
        <v>827</v>
      </c>
      <c r="D227" s="362">
        <v>4.9240000000000004</v>
      </c>
      <c r="E227" s="362">
        <v>2.415</v>
      </c>
      <c r="F227" s="496"/>
      <c r="G227" s="398"/>
      <c r="I227" s="490"/>
      <c r="J227" s="487"/>
      <c r="K227" s="487"/>
      <c r="L227" s="509" t="e">
        <f t="shared" si="9"/>
        <v>#DIV/0!</v>
      </c>
    </row>
    <row r="228" spans="1:12">
      <c r="A228" s="397" t="str">
        <f t="shared" si="8"/>
        <v>PSR0V240-KYVVA</v>
      </c>
      <c r="B228" s="362" t="s">
        <v>852</v>
      </c>
      <c r="C228" s="394" t="s">
        <v>870</v>
      </c>
      <c r="D228" s="362">
        <v>6.8449999999999998</v>
      </c>
      <c r="E228" s="362">
        <v>3.2130000000000001</v>
      </c>
      <c r="F228" s="496"/>
      <c r="G228" s="398"/>
      <c r="I228" s="490"/>
      <c r="J228" s="487"/>
      <c r="K228" s="487"/>
      <c r="L228" s="509" t="e">
        <f t="shared" si="9"/>
        <v>#DIV/0!</v>
      </c>
    </row>
    <row r="229" spans="1:12">
      <c r="A229" s="397" t="str">
        <f t="shared" si="8"/>
        <v>PSR0V231-HXHVA</v>
      </c>
      <c r="B229" s="362" t="s">
        <v>813</v>
      </c>
      <c r="C229" s="394" t="s">
        <v>829</v>
      </c>
      <c r="D229" s="362">
        <v>6.6760000000000002</v>
      </c>
      <c r="E229" s="362">
        <v>3.298</v>
      </c>
      <c r="F229" s="496"/>
      <c r="G229" s="398"/>
      <c r="I229" s="490"/>
      <c r="J229" s="487"/>
      <c r="K229" s="487"/>
      <c r="L229" s="509" t="e">
        <f t="shared" si="9"/>
        <v>#DIV/0!</v>
      </c>
    </row>
    <row r="230" spans="1:12">
      <c r="A230" s="397" t="str">
        <f t="shared" si="8"/>
        <v>PSR0V233-BYJVA</v>
      </c>
      <c r="B230" s="362" t="s">
        <v>788</v>
      </c>
      <c r="C230" s="394" t="s">
        <v>836</v>
      </c>
      <c r="D230" s="362">
        <v>7.2690000000000001</v>
      </c>
      <c r="E230" s="362">
        <v>3.5920000000000001</v>
      </c>
      <c r="F230" s="496"/>
      <c r="G230" s="398"/>
      <c r="I230" s="490"/>
      <c r="J230" s="487"/>
      <c r="K230" s="487"/>
      <c r="L230" s="509" t="e">
        <f t="shared" si="9"/>
        <v>#DIV/0!</v>
      </c>
    </row>
    <row r="231" spans="1:12">
      <c r="A231" s="397" t="str">
        <f t="shared" si="8"/>
        <v>PSR0V243-NX4KA</v>
      </c>
      <c r="B231" s="362" t="s">
        <v>750</v>
      </c>
      <c r="C231" s="394" t="s">
        <v>779</v>
      </c>
      <c r="D231" s="362">
        <v>13.664999999999999</v>
      </c>
      <c r="E231" s="362">
        <v>6.2880000000000003</v>
      </c>
      <c r="F231" s="496"/>
      <c r="G231" s="398"/>
      <c r="I231" s="490"/>
      <c r="J231" s="487"/>
      <c r="K231" s="487"/>
      <c r="L231" s="509" t="e">
        <f t="shared" si="9"/>
        <v>#DIV/0!</v>
      </c>
    </row>
    <row r="232" spans="1:12">
      <c r="A232" s="397" t="str">
        <f t="shared" si="8"/>
        <v>PSR0V223-BF3VA</v>
      </c>
      <c r="B232" s="362" t="s">
        <v>785</v>
      </c>
      <c r="C232" s="394" t="s">
        <v>826</v>
      </c>
      <c r="D232" s="362">
        <v>4.6109999999999998</v>
      </c>
      <c r="E232" s="362">
        <v>2.306</v>
      </c>
      <c r="F232" s="496"/>
      <c r="G232" s="398"/>
      <c r="I232" s="490"/>
      <c r="J232" s="487"/>
      <c r="K232" s="487"/>
      <c r="L232" s="509" t="e">
        <f t="shared" si="9"/>
        <v>#DIV/0!</v>
      </c>
    </row>
    <row r="233" spans="1:12">
      <c r="A233" s="397" t="str">
        <f t="shared" si="8"/>
        <v>PSR0V230-BG5VA</v>
      </c>
      <c r="B233" s="362" t="s">
        <v>787</v>
      </c>
      <c r="C233" s="394" t="s">
        <v>828</v>
      </c>
      <c r="D233" s="362">
        <v>6.9180000000000001</v>
      </c>
      <c r="E233" s="362">
        <v>3.4060000000000001</v>
      </c>
      <c r="F233" s="496"/>
      <c r="G233" s="398"/>
      <c r="I233" s="490"/>
      <c r="J233" s="487"/>
      <c r="K233" s="487"/>
      <c r="L233" s="509" t="e">
        <f t="shared" si="9"/>
        <v>#DIV/0!</v>
      </c>
    </row>
    <row r="234" spans="1:12">
      <c r="A234" s="397" t="str">
        <f t="shared" si="8"/>
        <v>PSR0V232-YC4VA</v>
      </c>
      <c r="B234" s="362" t="s">
        <v>814</v>
      </c>
      <c r="C234" s="394" t="s">
        <v>835</v>
      </c>
      <c r="D234" s="362">
        <v>6.2969999999999997</v>
      </c>
      <c r="E234" s="362">
        <v>3.0939999999999999</v>
      </c>
      <c r="F234" s="496"/>
      <c r="G234" s="398"/>
      <c r="I234" s="490"/>
      <c r="J234" s="487"/>
      <c r="K234" s="487"/>
      <c r="L234" s="509" t="e">
        <f t="shared" si="9"/>
        <v>#DIV/0!</v>
      </c>
    </row>
    <row r="235" spans="1:12">
      <c r="A235" s="397" t="str">
        <f t="shared" si="8"/>
        <v>PSR0VE5F-YD6VA</v>
      </c>
      <c r="B235" s="362" t="s">
        <v>905</v>
      </c>
      <c r="C235" s="394" t="s">
        <v>950</v>
      </c>
      <c r="D235" s="362">
        <v>7.0129999999999999</v>
      </c>
      <c r="E235" s="362">
        <v>3.3610000000000002</v>
      </c>
      <c r="F235" s="496"/>
      <c r="G235" s="398"/>
      <c r="I235" s="490"/>
      <c r="J235" s="487"/>
      <c r="K235" s="487"/>
      <c r="L235" s="509" t="e">
        <f t="shared" si="9"/>
        <v>#DIV/0!</v>
      </c>
    </row>
    <row r="236" spans="1:12">
      <c r="A236" s="397" t="str">
        <f t="shared" si="8"/>
        <v>PSR0VE6F-YJ7VA</v>
      </c>
      <c r="B236" s="362" t="s">
        <v>906</v>
      </c>
      <c r="C236" s="394" t="s">
        <v>951</v>
      </c>
      <c r="D236" s="362">
        <v>7.6070000000000002</v>
      </c>
      <c r="E236" s="362">
        <v>3.6709999999999998</v>
      </c>
      <c r="F236" s="496"/>
      <c r="G236" s="398"/>
      <c r="I236" s="490"/>
      <c r="J236" s="489"/>
      <c r="K236" s="488"/>
      <c r="L236" s="509" t="e">
        <f t="shared" si="9"/>
        <v>#DIV/0!</v>
      </c>
    </row>
    <row r="237" spans="1:12">
      <c r="A237" s="397" t="str">
        <f t="shared" si="8"/>
        <v>PSR0V247-BXWVA</v>
      </c>
      <c r="B237" s="362" t="s">
        <v>792</v>
      </c>
      <c r="C237" s="394" t="s">
        <v>802</v>
      </c>
      <c r="D237" s="362">
        <v>8.2390000000000008</v>
      </c>
      <c r="E237" s="362">
        <v>3.8039999999999998</v>
      </c>
      <c r="F237" s="496"/>
      <c r="G237" s="398"/>
      <c r="I237" s="490"/>
      <c r="J237" s="488"/>
      <c r="K237" s="488"/>
      <c r="L237" s="509" t="e">
        <f t="shared" si="9"/>
        <v>#DIV/0!</v>
      </c>
    </row>
    <row r="238" spans="1:12">
      <c r="A238" s="397" t="str">
        <f t="shared" si="8"/>
        <v>PSR0VE1F-32TVA</v>
      </c>
      <c r="B238" s="362" t="s">
        <v>789</v>
      </c>
      <c r="C238" s="394" t="s">
        <v>800</v>
      </c>
      <c r="D238" s="362">
        <v>6.81</v>
      </c>
      <c r="E238" s="362">
        <v>3.48</v>
      </c>
      <c r="F238" s="496"/>
      <c r="G238" s="398"/>
      <c r="I238" s="490"/>
      <c r="J238" s="488"/>
      <c r="K238" s="488"/>
      <c r="L238" s="509" t="e">
        <f t="shared" si="9"/>
        <v>#DIV/0!</v>
      </c>
    </row>
    <row r="239" spans="1:12">
      <c r="A239" s="397" t="str">
        <f t="shared" si="8"/>
        <v>PSR0VE7F-4ZPVA</v>
      </c>
      <c r="B239" s="362" t="s">
        <v>874</v>
      </c>
      <c r="C239" s="394" t="s">
        <v>952</v>
      </c>
      <c r="D239" s="362">
        <v>6.8840000000000003</v>
      </c>
      <c r="E239" s="362">
        <v>3.3639999999999999</v>
      </c>
      <c r="F239" s="496"/>
      <c r="G239" s="398"/>
      <c r="I239" s="485"/>
      <c r="J239" s="486"/>
      <c r="K239" s="486"/>
      <c r="L239" s="509" t="e">
        <f t="shared" si="9"/>
        <v>#DIV/0!</v>
      </c>
    </row>
    <row r="240" spans="1:12">
      <c r="A240" s="397" t="str">
        <f t="shared" si="8"/>
        <v>PSR0VE8F-42QVA</v>
      </c>
      <c r="B240" s="362" t="s">
        <v>907</v>
      </c>
      <c r="C240" s="394" t="s">
        <v>953</v>
      </c>
      <c r="D240" s="362">
        <v>6.8840000000000003</v>
      </c>
      <c r="E240" s="362">
        <v>3.3639999999999999</v>
      </c>
      <c r="F240" s="496"/>
      <c r="G240" s="398"/>
      <c r="J240" s="29"/>
      <c r="K240" s="29"/>
      <c r="L240" s="509" t="e">
        <f t="shared" ref="L240:L271" si="10">J240/K240</f>
        <v>#DIV/0!</v>
      </c>
    </row>
    <row r="241" spans="1:12">
      <c r="A241" s="397" t="str">
        <f t="shared" si="8"/>
        <v>PSR0VF0F-33SVA</v>
      </c>
      <c r="B241" s="362" t="s">
        <v>791</v>
      </c>
      <c r="C241" s="394" t="s">
        <v>801</v>
      </c>
      <c r="D241" s="362">
        <v>6.8220000000000001</v>
      </c>
      <c r="E241" s="362">
        <v>3.5009999999999999</v>
      </c>
      <c r="F241" s="496"/>
      <c r="G241" s="398"/>
      <c r="J241" s="29"/>
      <c r="K241" s="29"/>
      <c r="L241" s="509" t="e">
        <f t="shared" si="10"/>
        <v>#DIV/0!</v>
      </c>
    </row>
    <row r="242" spans="1:12">
      <c r="A242" s="397" t="str">
        <f t="shared" si="8"/>
        <v>PSR0V248-FNTZA</v>
      </c>
      <c r="B242" s="362" t="s">
        <v>793</v>
      </c>
      <c r="C242" s="394" t="s">
        <v>803</v>
      </c>
      <c r="D242" s="362">
        <v>8.8439999999999994</v>
      </c>
      <c r="E242" s="362">
        <v>4.1219999999999999</v>
      </c>
      <c r="F242" s="496"/>
      <c r="G242" s="398"/>
      <c r="J242" s="29"/>
      <c r="K242" s="29"/>
      <c r="L242" s="509" t="e">
        <f t="shared" si="10"/>
        <v>#DIV/0!</v>
      </c>
    </row>
    <row r="243" spans="1:12">
      <c r="A243" s="397" t="str">
        <f t="shared" si="8"/>
        <v>PSR0VE9F-34RVA</v>
      </c>
      <c r="B243" s="362" t="s">
        <v>790</v>
      </c>
      <c r="C243" s="394" t="s">
        <v>804</v>
      </c>
      <c r="D243" s="362">
        <v>7.2519999999999998</v>
      </c>
      <c r="E243" s="362">
        <v>3.5529999999999999</v>
      </c>
      <c r="F243" s="496"/>
      <c r="G243" s="398"/>
      <c r="J243" s="29"/>
      <c r="K243" s="29"/>
      <c r="L243" s="509" t="e">
        <f t="shared" si="10"/>
        <v>#DIV/0!</v>
      </c>
    </row>
    <row r="244" spans="1:12">
      <c r="A244" s="397" t="str">
        <f t="shared" si="8"/>
        <v>PSR0V235-35NVA</v>
      </c>
      <c r="B244" s="362" t="s">
        <v>847</v>
      </c>
      <c r="C244" s="394" t="s">
        <v>909</v>
      </c>
      <c r="D244" s="362">
        <v>5.6890000000000001</v>
      </c>
      <c r="E244" s="362">
        <v>2.6030000000000002</v>
      </c>
      <c r="F244" s="496"/>
      <c r="G244" s="398"/>
      <c r="J244" s="29"/>
      <c r="K244" s="29"/>
      <c r="L244" s="509" t="e">
        <f t="shared" si="10"/>
        <v>#DIV/0!</v>
      </c>
    </row>
    <row r="245" spans="1:12">
      <c r="A245" s="397" t="str">
        <f t="shared" si="8"/>
        <v>PSR0V236-36TVA</v>
      </c>
      <c r="B245" s="362" t="s">
        <v>848</v>
      </c>
      <c r="C245" s="394" t="s">
        <v>910</v>
      </c>
      <c r="D245" s="362">
        <v>6.0919999999999996</v>
      </c>
      <c r="E245" s="362">
        <v>2.8439999999999999</v>
      </c>
      <c r="F245" s="496"/>
      <c r="G245" s="398"/>
      <c r="J245" s="29"/>
      <c r="K245" s="29"/>
      <c r="L245" s="509" t="e">
        <f t="shared" si="10"/>
        <v>#DIV/0!</v>
      </c>
    </row>
    <row r="246" spans="1:12">
      <c r="A246" s="397" t="str">
        <f t="shared" si="8"/>
        <v>PSR0V237-37AVA</v>
      </c>
      <c r="B246" s="362" t="s">
        <v>849</v>
      </c>
      <c r="C246" s="394" t="s">
        <v>911</v>
      </c>
      <c r="D246" s="362">
        <v>6.2240000000000002</v>
      </c>
      <c r="E246" s="362">
        <v>2.9209999999999998</v>
      </c>
      <c r="F246" s="496"/>
      <c r="G246" s="398"/>
      <c r="J246" s="29"/>
      <c r="K246" s="29"/>
      <c r="L246" s="509" t="e">
        <f t="shared" si="10"/>
        <v>#DIV/0!</v>
      </c>
    </row>
    <row r="247" spans="1:12">
      <c r="A247" s="397" t="str">
        <f t="shared" si="8"/>
        <v>PSR0V16D-7HGMA</v>
      </c>
      <c r="B247" s="362" t="s">
        <v>180</v>
      </c>
      <c r="C247" s="394" t="s">
        <v>954</v>
      </c>
      <c r="D247" s="362">
        <v>11.471</v>
      </c>
      <c r="E247" s="362">
        <v>5.3120000000000003</v>
      </c>
      <c r="F247" s="496"/>
      <c r="G247" s="398"/>
      <c r="J247" s="29"/>
      <c r="K247" s="29"/>
      <c r="L247" s="509" t="e">
        <f t="shared" si="10"/>
        <v>#DIV/0!</v>
      </c>
    </row>
    <row r="248" spans="1:12">
      <c r="A248" s="397" t="str">
        <f t="shared" si="8"/>
        <v>PSR0V15D-7DTMA</v>
      </c>
      <c r="B248" s="362" t="s">
        <v>179</v>
      </c>
      <c r="C248" s="394" t="s">
        <v>955</v>
      </c>
      <c r="D248" s="362">
        <v>10.628</v>
      </c>
      <c r="E248" s="362">
        <v>4.9779999999999998</v>
      </c>
      <c r="F248" s="496"/>
      <c r="G248" s="398"/>
      <c r="J248" s="29"/>
      <c r="K248" s="29"/>
      <c r="L248" s="509" t="e">
        <f t="shared" si="10"/>
        <v>#DIV/0!</v>
      </c>
    </row>
    <row r="249" spans="1:12">
      <c r="A249" s="397" t="str">
        <f t="shared" si="8"/>
        <v>PSR0VF1F-N98VA</v>
      </c>
      <c r="B249" s="362" t="s">
        <v>853</v>
      </c>
      <c r="C249" s="394" t="s">
        <v>886</v>
      </c>
      <c r="D249" s="362">
        <v>6.6429999999999998</v>
      </c>
      <c r="E249" s="362">
        <v>3.383</v>
      </c>
      <c r="F249" s="496"/>
      <c r="G249" s="398"/>
      <c r="J249" s="29"/>
      <c r="K249" s="29"/>
      <c r="L249" s="509" t="e">
        <f t="shared" si="10"/>
        <v>#DIV/0!</v>
      </c>
    </row>
    <row r="250" spans="1:12">
      <c r="A250" s="397" t="str">
        <f t="shared" si="8"/>
        <v>PSR0VF2F-HZFVA</v>
      </c>
      <c r="B250" s="362" t="s">
        <v>854</v>
      </c>
      <c r="C250" s="394" t="s">
        <v>887</v>
      </c>
      <c r="D250" s="362">
        <v>7.5060000000000002</v>
      </c>
      <c r="E250" s="362">
        <v>3.8679999999999999</v>
      </c>
      <c r="F250" s="496"/>
      <c r="G250" s="398"/>
      <c r="J250" s="29"/>
      <c r="K250" s="29"/>
      <c r="L250" s="509" t="e">
        <f t="shared" si="10"/>
        <v>#DIV/0!</v>
      </c>
    </row>
    <row r="251" spans="1:12">
      <c r="A251" s="397" t="str">
        <f t="shared" si="8"/>
        <v>PSR0VF3F-BQTVA</v>
      </c>
      <c r="B251" s="362" t="s">
        <v>855</v>
      </c>
      <c r="C251" s="394" t="s">
        <v>888</v>
      </c>
      <c r="D251" s="362">
        <v>7.4640000000000004</v>
      </c>
      <c r="E251" s="362">
        <v>3.8410000000000002</v>
      </c>
      <c r="F251" s="496"/>
      <c r="G251" s="398"/>
      <c r="J251" s="29"/>
      <c r="K251" s="29"/>
      <c r="L251" s="509" t="e">
        <f t="shared" si="10"/>
        <v>#DIV/0!</v>
      </c>
    </row>
    <row r="252" spans="1:12">
      <c r="A252" s="397" t="str">
        <f t="shared" si="8"/>
        <v>PSR0V239-2CVVA</v>
      </c>
      <c r="B252" s="362" t="s">
        <v>851</v>
      </c>
      <c r="C252" s="394" t="s">
        <v>913</v>
      </c>
      <c r="D252" s="362">
        <v>6.6210000000000004</v>
      </c>
      <c r="E252" s="362">
        <v>3.0870000000000002</v>
      </c>
      <c r="F252" s="496"/>
      <c r="G252" s="398"/>
      <c r="J252" s="29"/>
      <c r="K252" s="29"/>
      <c r="L252" s="509" t="e">
        <f t="shared" si="10"/>
        <v>#DIV/0!</v>
      </c>
    </row>
    <row r="253" spans="1:12">
      <c r="A253" s="397" t="str">
        <f t="shared" si="8"/>
        <v>PSR0V249-7VFMA</v>
      </c>
      <c r="B253" s="362" t="s">
        <v>830</v>
      </c>
      <c r="C253" s="394" t="s">
        <v>914</v>
      </c>
      <c r="D253" s="362">
        <v>10.48</v>
      </c>
      <c r="E253" s="362">
        <v>4.9669999999999996</v>
      </c>
      <c r="F253" s="496"/>
      <c r="G253" s="398"/>
      <c r="J253" s="29"/>
      <c r="K253" s="29"/>
      <c r="L253" s="509" t="e">
        <f t="shared" si="10"/>
        <v>#DIV/0!</v>
      </c>
    </row>
    <row r="254" spans="1:12">
      <c r="A254" s="397" t="str">
        <f t="shared" si="8"/>
        <v>PSR0V238-4QAVA</v>
      </c>
      <c r="B254" s="362" t="s">
        <v>850</v>
      </c>
      <c r="C254" s="394" t="s">
        <v>912</v>
      </c>
      <c r="D254" s="362">
        <v>7.0369999999999999</v>
      </c>
      <c r="E254" s="362">
        <v>3.2669999999999999</v>
      </c>
      <c r="F254" s="496"/>
      <c r="G254" s="398"/>
      <c r="J254" s="29"/>
      <c r="K254" s="29"/>
      <c r="L254" s="509" t="e">
        <f t="shared" si="10"/>
        <v>#DIV/0!</v>
      </c>
    </row>
    <row r="255" spans="1:12">
      <c r="A255" s="397" t="str">
        <f t="shared" si="8"/>
        <v>PSR0V250-8TSZA</v>
      </c>
      <c r="B255" s="362" t="s">
        <v>831</v>
      </c>
      <c r="C255" s="394" t="s">
        <v>915</v>
      </c>
      <c r="D255" s="362">
        <v>13.428000000000001</v>
      </c>
      <c r="E255" s="362">
        <v>6.2809999999999997</v>
      </c>
      <c r="F255" s="496"/>
      <c r="G255" s="398"/>
      <c r="J255" s="29"/>
      <c r="K255" s="29"/>
      <c r="L255" s="509" t="e">
        <f t="shared" si="10"/>
        <v>#DIV/0!</v>
      </c>
    </row>
    <row r="256" spans="1:12">
      <c r="A256" s="397" t="str">
        <f t="shared" si="8"/>
        <v>PSR0V234-K47VA</v>
      </c>
      <c r="B256" s="362" t="s">
        <v>846</v>
      </c>
      <c r="C256" s="394" t="s">
        <v>908</v>
      </c>
      <c r="D256" s="362">
        <v>5.0739999999999998</v>
      </c>
      <c r="E256" s="362">
        <v>2.355</v>
      </c>
      <c r="F256" s="496"/>
      <c r="G256" s="398"/>
      <c r="J256" s="29"/>
      <c r="K256" s="29"/>
      <c r="L256" s="509" t="e">
        <f t="shared" si="10"/>
        <v>#DIV/0!</v>
      </c>
    </row>
    <row r="257" spans="1:12">
      <c r="A257" s="397" t="str">
        <f t="shared" si="8"/>
        <v>PSR0V257-E33KA</v>
      </c>
      <c r="B257" s="362" t="s">
        <v>885</v>
      </c>
      <c r="C257" s="394" t="s">
        <v>896</v>
      </c>
      <c r="D257" s="362">
        <v>11.956</v>
      </c>
      <c r="E257" s="362">
        <v>5.4039999999999999</v>
      </c>
      <c r="F257" s="496"/>
      <c r="G257" s="398"/>
      <c r="J257" s="29"/>
      <c r="K257" s="29"/>
      <c r="L257" s="509" t="e">
        <f t="shared" si="10"/>
        <v>#DIV/0!</v>
      </c>
    </row>
    <row r="258" spans="1:12">
      <c r="A258" s="397" t="str">
        <f t="shared" si="8"/>
        <v>PSR0VG5F-3JRZA</v>
      </c>
      <c r="B258" s="362" t="s">
        <v>934</v>
      </c>
      <c r="C258" s="394" t="s">
        <v>956</v>
      </c>
      <c r="D258" s="362">
        <v>12.278</v>
      </c>
      <c r="E258" s="362">
        <v>5.4249999999999998</v>
      </c>
      <c r="F258" s="496"/>
      <c r="G258" s="398"/>
      <c r="J258" s="29"/>
      <c r="K258" s="29"/>
      <c r="L258" s="509" t="e">
        <f t="shared" si="10"/>
        <v>#DIV/0!</v>
      </c>
    </row>
    <row r="259" spans="1:12">
      <c r="A259" s="397" t="str">
        <f t="shared" si="8"/>
        <v>PSR0V256-3XLMA</v>
      </c>
      <c r="B259" s="362" t="s">
        <v>935</v>
      </c>
      <c r="C259" s="394" t="s">
        <v>957</v>
      </c>
      <c r="D259" s="362">
        <v>12.198</v>
      </c>
      <c r="E259" s="362">
        <v>5.5209999999999999</v>
      </c>
      <c r="F259" s="496"/>
      <c r="G259" s="398"/>
      <c r="J259" s="29"/>
      <c r="K259" s="29"/>
      <c r="L259" s="509" t="e">
        <f t="shared" si="10"/>
        <v>#DIV/0!</v>
      </c>
    </row>
    <row r="260" spans="1:12">
      <c r="A260" s="397" t="str">
        <f t="shared" si="8"/>
        <v>PSR0VG2F-3PTZA</v>
      </c>
      <c r="B260" s="362" t="s">
        <v>936</v>
      </c>
      <c r="C260" s="394" t="s">
        <v>958</v>
      </c>
      <c r="D260" s="362">
        <v>12.435</v>
      </c>
      <c r="E260" s="362">
        <v>5.5389999999999997</v>
      </c>
      <c r="F260" s="496"/>
      <c r="G260" s="398"/>
      <c r="J260" s="29"/>
      <c r="K260" s="29"/>
      <c r="L260" s="509" t="e">
        <f t="shared" si="10"/>
        <v>#DIV/0!</v>
      </c>
    </row>
    <row r="261" spans="1:12">
      <c r="A261" s="397" t="str">
        <f t="shared" si="8"/>
        <v>PSR0VG4F-3SFZA</v>
      </c>
      <c r="B261" s="362" t="s">
        <v>937</v>
      </c>
      <c r="C261" s="394" t="s">
        <v>959</v>
      </c>
      <c r="D261" s="362">
        <v>11.45</v>
      </c>
      <c r="E261" s="362">
        <v>4.9980000000000002</v>
      </c>
      <c r="F261" s="496"/>
      <c r="G261" s="398"/>
      <c r="J261" s="29"/>
      <c r="K261" s="29"/>
      <c r="L261" s="509" t="e">
        <f t="shared" si="10"/>
        <v>#DIV/0!</v>
      </c>
    </row>
    <row r="262" spans="1:12">
      <c r="A262" s="397" t="str">
        <f t="shared" si="8"/>
        <v>PSR0VG3F-3APZA</v>
      </c>
      <c r="B262" s="362" t="s">
        <v>938</v>
      </c>
      <c r="C262" s="394" t="s">
        <v>960</v>
      </c>
      <c r="D262" s="362">
        <v>11.009</v>
      </c>
      <c r="E262" s="362">
        <v>4.8090000000000002</v>
      </c>
      <c r="F262" s="496"/>
      <c r="G262" s="398"/>
      <c r="J262" s="29"/>
      <c r="K262" s="29"/>
      <c r="L262" s="509" t="e">
        <f t="shared" si="10"/>
        <v>#DIV/0!</v>
      </c>
    </row>
    <row r="263" spans="1:12">
      <c r="A263" s="397" t="str">
        <f t="shared" ref="A263:A326" si="11">B263&amp;"-"&amp;C263</f>
        <v>PSR0VG0F-3FVMA</v>
      </c>
      <c r="B263" s="362" t="s">
        <v>918</v>
      </c>
      <c r="C263" s="394" t="s">
        <v>961</v>
      </c>
      <c r="D263" s="362">
        <v>10.374000000000001</v>
      </c>
      <c r="E263" s="362">
        <v>4.524</v>
      </c>
      <c r="F263" s="496"/>
      <c r="G263" s="398"/>
      <c r="J263" s="29"/>
      <c r="K263" s="29"/>
      <c r="L263" s="509" t="e">
        <f t="shared" si="10"/>
        <v>#DIV/0!</v>
      </c>
    </row>
    <row r="264" spans="1:12">
      <c r="A264" s="397" t="str">
        <f t="shared" si="11"/>
        <v>PSR0VG1F-3YTZA</v>
      </c>
      <c r="B264" s="362" t="s">
        <v>931</v>
      </c>
      <c r="C264" s="394" t="s">
        <v>933</v>
      </c>
      <c r="D264" s="362">
        <v>11.946</v>
      </c>
      <c r="E264" s="362">
        <v>5.2560000000000002</v>
      </c>
      <c r="F264" s="496"/>
      <c r="G264" s="398"/>
      <c r="J264" s="29"/>
      <c r="K264" s="29"/>
      <c r="L264" s="509" t="e">
        <f t="shared" si="10"/>
        <v>#DIV/0!</v>
      </c>
    </row>
    <row r="265" spans="1:12">
      <c r="A265" s="397" t="str">
        <f t="shared" si="11"/>
        <v>PSR0VF6F-3ZFZA</v>
      </c>
      <c r="B265" s="362" t="s">
        <v>1002</v>
      </c>
      <c r="C265" s="394" t="s">
        <v>1018</v>
      </c>
      <c r="D265" s="362">
        <v>12.218999999999999</v>
      </c>
      <c r="E265" s="362">
        <v>5.7809999999999997</v>
      </c>
      <c r="F265" s="496"/>
      <c r="G265" s="398"/>
      <c r="J265" s="29"/>
      <c r="K265" s="29"/>
      <c r="L265" s="509" t="e">
        <f t="shared" si="10"/>
        <v>#DIV/0!</v>
      </c>
    </row>
    <row r="266" spans="1:12">
      <c r="A266" s="397" t="str">
        <f t="shared" si="11"/>
        <v>PSR0V252-F81KA</v>
      </c>
      <c r="B266" s="362" t="s">
        <v>939</v>
      </c>
      <c r="C266" s="394" t="s">
        <v>962</v>
      </c>
      <c r="D266" s="362">
        <v>16.266999999999999</v>
      </c>
      <c r="E266" s="362">
        <v>7.7350000000000003</v>
      </c>
      <c r="F266" s="496"/>
      <c r="G266" s="398"/>
      <c r="J266" s="29"/>
      <c r="K266" s="29"/>
      <c r="L266" s="509" t="e">
        <f t="shared" si="10"/>
        <v>#DIV/0!</v>
      </c>
    </row>
    <row r="267" spans="1:12">
      <c r="A267" s="397" t="str">
        <f t="shared" si="11"/>
        <v>PSR0VF4F-3WMZA</v>
      </c>
      <c r="B267" s="362" t="s">
        <v>940</v>
      </c>
      <c r="C267" s="394" t="s">
        <v>963</v>
      </c>
      <c r="D267" s="362">
        <v>10.268000000000001</v>
      </c>
      <c r="E267" s="362">
        <v>4.4809999999999999</v>
      </c>
      <c r="F267" s="496"/>
      <c r="G267" s="398"/>
      <c r="J267" s="29"/>
      <c r="K267" s="29"/>
      <c r="L267" s="509" t="e">
        <f t="shared" si="10"/>
        <v>#DIV/0!</v>
      </c>
    </row>
    <row r="268" spans="1:12">
      <c r="A268" s="397" t="str">
        <f t="shared" si="11"/>
        <v>PSR0V253-F71KA</v>
      </c>
      <c r="B268" s="362" t="s">
        <v>941</v>
      </c>
      <c r="C268" s="394" t="s">
        <v>964</v>
      </c>
      <c r="D268" s="362">
        <v>16.079999999999998</v>
      </c>
      <c r="E268" s="362">
        <v>7.7279999999999998</v>
      </c>
      <c r="F268" s="496"/>
      <c r="G268" s="398"/>
      <c r="J268" s="29"/>
      <c r="K268" s="29"/>
      <c r="L268" s="509" t="e">
        <f t="shared" si="10"/>
        <v>#DIV/0!</v>
      </c>
    </row>
    <row r="269" spans="1:12">
      <c r="A269" s="397" t="str">
        <f t="shared" si="11"/>
        <v>PSR0VF7F-CW3VA</v>
      </c>
      <c r="B269" s="362" t="s">
        <v>926</v>
      </c>
      <c r="C269" s="394" t="s">
        <v>965</v>
      </c>
      <c r="D269" s="362">
        <v>8.2379999999999995</v>
      </c>
      <c r="E269" s="362">
        <v>3.92</v>
      </c>
      <c r="F269" s="496"/>
      <c r="G269" s="398"/>
      <c r="J269" s="29"/>
      <c r="K269" s="29"/>
      <c r="L269" s="509" t="e">
        <f t="shared" si="10"/>
        <v>#DIV/0!</v>
      </c>
    </row>
    <row r="270" spans="1:12">
      <c r="A270" s="397" t="str">
        <f t="shared" si="11"/>
        <v>PSR0VF9F-3DKZA</v>
      </c>
      <c r="B270" s="362" t="s">
        <v>942</v>
      </c>
      <c r="C270" s="394" t="s">
        <v>966</v>
      </c>
      <c r="D270" s="362">
        <v>10.907999999999999</v>
      </c>
      <c r="E270" s="362">
        <v>4.7350000000000003</v>
      </c>
      <c r="F270" s="496"/>
      <c r="G270" s="398"/>
      <c r="J270" s="29"/>
      <c r="K270" s="29"/>
      <c r="L270" s="509" t="e">
        <f t="shared" si="10"/>
        <v>#DIV/0!</v>
      </c>
    </row>
    <row r="271" spans="1:12">
      <c r="A271" s="397" t="str">
        <f t="shared" si="11"/>
        <v>PSR0VF8F-3KQVA</v>
      </c>
      <c r="B271" s="362" t="s">
        <v>927</v>
      </c>
      <c r="C271" s="394" t="s">
        <v>967</v>
      </c>
      <c r="D271" s="362">
        <v>8.2420000000000009</v>
      </c>
      <c r="E271" s="362">
        <v>3.9980000000000002</v>
      </c>
      <c r="F271" s="496"/>
      <c r="G271" s="398"/>
      <c r="J271" s="29"/>
      <c r="K271" s="29"/>
      <c r="L271" s="509" t="e">
        <f t="shared" si="10"/>
        <v>#DIV/0!</v>
      </c>
    </row>
    <row r="272" spans="1:12">
      <c r="A272" s="397" t="str">
        <f t="shared" si="11"/>
        <v>PSR0VF5F-P6CZA</v>
      </c>
      <c r="B272" s="362" t="s">
        <v>943</v>
      </c>
      <c r="C272" s="394" t="s">
        <v>968</v>
      </c>
      <c r="D272" s="362">
        <v>10.481</v>
      </c>
      <c r="E272" s="362">
        <v>4.5819999999999999</v>
      </c>
      <c r="F272" s="496"/>
      <c r="G272" s="398"/>
      <c r="J272" s="29"/>
      <c r="K272" s="29"/>
      <c r="L272" s="509" t="e">
        <f t="shared" ref="L272:L303" si="12">J272/K272</f>
        <v>#DIV/0!</v>
      </c>
    </row>
    <row r="273" spans="1:12">
      <c r="A273" s="397" t="str">
        <f t="shared" si="11"/>
        <v>PSR0V255-3BBVA</v>
      </c>
      <c r="B273" s="362" t="s">
        <v>928</v>
      </c>
      <c r="C273" s="394" t="s">
        <v>969</v>
      </c>
      <c r="D273" s="362">
        <v>10.683</v>
      </c>
      <c r="E273" s="362">
        <v>5.0609999999999999</v>
      </c>
      <c r="F273" s="496"/>
      <c r="G273" s="398"/>
      <c r="J273" s="29"/>
      <c r="K273" s="29"/>
      <c r="L273" s="509" t="e">
        <f t="shared" si="12"/>
        <v>#DIV/0!</v>
      </c>
    </row>
    <row r="274" spans="1:12">
      <c r="A274" s="397" t="str">
        <f t="shared" si="11"/>
        <v>PSR0V254-3VVVA</v>
      </c>
      <c r="B274" s="362" t="s">
        <v>929</v>
      </c>
      <c r="C274" s="394" t="s">
        <v>970</v>
      </c>
      <c r="D274" s="362">
        <v>11.811999999999999</v>
      </c>
      <c r="E274" s="362">
        <v>5.6040000000000001</v>
      </c>
      <c r="F274" s="496"/>
      <c r="G274" s="398"/>
      <c r="J274" s="29"/>
      <c r="K274" s="29"/>
      <c r="L274" s="509" t="e">
        <f t="shared" si="12"/>
        <v>#DIV/0!</v>
      </c>
    </row>
    <row r="275" spans="1:12">
      <c r="A275" s="397" t="str">
        <f t="shared" si="11"/>
        <v>PSR0V251-3TMVA</v>
      </c>
      <c r="B275" s="362" t="s">
        <v>930</v>
      </c>
      <c r="C275" s="394" t="s">
        <v>971</v>
      </c>
      <c r="D275" s="362">
        <v>9.5890000000000004</v>
      </c>
      <c r="E275" s="362">
        <v>4.4729999999999999</v>
      </c>
      <c r="F275" s="496"/>
      <c r="G275" s="398"/>
      <c r="J275" s="29"/>
      <c r="K275" s="29"/>
      <c r="L275" s="509" t="e">
        <f t="shared" si="12"/>
        <v>#DIV/0!</v>
      </c>
    </row>
    <row r="276" spans="1:12">
      <c r="A276" s="397" t="str">
        <f t="shared" si="11"/>
        <v>PSR0VH3F-CMMVA</v>
      </c>
      <c r="B276" s="362" t="s">
        <v>1003</v>
      </c>
      <c r="C276" s="394" t="s">
        <v>1019</v>
      </c>
      <c r="D276" s="362">
        <v>8.5980000000000008</v>
      </c>
      <c r="E276" s="362">
        <v>4.09</v>
      </c>
      <c r="F276" s="496"/>
      <c r="G276" s="398"/>
      <c r="J276" s="29"/>
      <c r="K276" s="29"/>
      <c r="L276" s="509" t="e">
        <f t="shared" si="12"/>
        <v>#DIV/0!</v>
      </c>
    </row>
    <row r="277" spans="1:12">
      <c r="A277" s="397" t="str">
        <f t="shared" si="11"/>
        <v>PSR0VH2F-KHAVA</v>
      </c>
      <c r="B277" s="362" t="s">
        <v>1004</v>
      </c>
      <c r="C277" s="394" t="s">
        <v>1020</v>
      </c>
      <c r="D277" s="362">
        <v>8.282</v>
      </c>
      <c r="E277" s="362">
        <v>3.992</v>
      </c>
      <c r="F277" s="496"/>
      <c r="G277" s="398"/>
      <c r="J277" s="29"/>
      <c r="K277" s="29"/>
      <c r="L277" s="509" t="e">
        <f t="shared" si="12"/>
        <v>#DIV/0!</v>
      </c>
    </row>
    <row r="278" spans="1:12">
      <c r="A278" s="397" t="str">
        <f t="shared" si="11"/>
        <v>PSR0VG6F-QTTZA</v>
      </c>
      <c r="B278" s="362" t="s">
        <v>1005</v>
      </c>
      <c r="C278" s="394" t="s">
        <v>1021</v>
      </c>
      <c r="D278" s="362">
        <v>10.816000000000001</v>
      </c>
      <c r="E278" s="362">
        <v>5.125</v>
      </c>
      <c r="F278" s="496"/>
      <c r="G278" s="398"/>
      <c r="J278" s="29"/>
      <c r="K278" s="29"/>
      <c r="L278" s="509" t="e">
        <f t="shared" si="12"/>
        <v>#DIV/0!</v>
      </c>
    </row>
    <row r="279" spans="1:12">
      <c r="A279" s="397" t="str">
        <f t="shared" si="11"/>
        <v>PSR0VH4F-QMCVA</v>
      </c>
      <c r="B279" s="362" t="s">
        <v>1036</v>
      </c>
      <c r="C279" s="394" t="s">
        <v>1037</v>
      </c>
      <c r="D279" s="362">
        <v>9.6159999999999997</v>
      </c>
      <c r="E279" s="362">
        <v>4.6040000000000001</v>
      </c>
      <c r="F279" s="496"/>
      <c r="G279" s="398"/>
      <c r="J279" s="29"/>
      <c r="K279" s="29"/>
      <c r="L279" s="509" t="e">
        <f t="shared" si="12"/>
        <v>#DIV/0!</v>
      </c>
    </row>
    <row r="280" spans="1:12">
      <c r="A280" s="397" t="str">
        <f t="shared" si="11"/>
        <v>PSR0VG7F-QDCZA</v>
      </c>
      <c r="B280" s="362" t="s">
        <v>1006</v>
      </c>
      <c r="C280" s="394" t="s">
        <v>1022</v>
      </c>
      <c r="D280" s="362">
        <v>9.7309999999999999</v>
      </c>
      <c r="E280" s="362">
        <v>4.6120000000000001</v>
      </c>
      <c r="F280" s="496"/>
      <c r="G280" s="398"/>
      <c r="J280" s="29"/>
      <c r="K280" s="29"/>
      <c r="L280" s="509" t="e">
        <f t="shared" si="12"/>
        <v>#DIV/0!</v>
      </c>
    </row>
    <row r="281" spans="1:12">
      <c r="A281" s="397" t="str">
        <f t="shared" si="11"/>
        <v>PSR0VH6F-4VCVA</v>
      </c>
      <c r="B281" s="362" t="s">
        <v>1007</v>
      </c>
      <c r="C281" s="394" t="s">
        <v>1023</v>
      </c>
      <c r="D281" s="362">
        <v>11.135999999999999</v>
      </c>
      <c r="E281" s="362">
        <v>5.2839999999999998</v>
      </c>
      <c r="F281" s="496"/>
      <c r="G281" s="398"/>
      <c r="J281" s="29"/>
      <c r="K281" s="29"/>
      <c r="L281" s="509" t="e">
        <f t="shared" si="12"/>
        <v>#DIV/0!</v>
      </c>
    </row>
    <row r="282" spans="1:12">
      <c r="A282" s="397" t="str">
        <f t="shared" si="11"/>
        <v>PSR0VH5F-4TCVA</v>
      </c>
      <c r="B282" s="362" t="s">
        <v>1008</v>
      </c>
      <c r="C282" s="394" t="s">
        <v>1024</v>
      </c>
      <c r="D282" s="362">
        <v>11.629</v>
      </c>
      <c r="E282" s="362">
        <v>5.484</v>
      </c>
      <c r="F282" s="496"/>
      <c r="G282" s="398"/>
      <c r="J282" s="29"/>
      <c r="K282" s="29"/>
      <c r="L282" s="509" t="e">
        <f t="shared" si="12"/>
        <v>#DIV/0!</v>
      </c>
    </row>
    <row r="283" spans="1:12">
      <c r="A283" s="397" t="str">
        <f t="shared" si="11"/>
        <v>PSR0VH7F-4NCZA</v>
      </c>
      <c r="B283" s="362" t="s">
        <v>1009</v>
      </c>
      <c r="C283" s="394" t="s">
        <v>1025</v>
      </c>
      <c r="D283" s="362">
        <v>12.635</v>
      </c>
      <c r="E283" s="362">
        <v>5.5810000000000004</v>
      </c>
      <c r="F283" s="496"/>
      <c r="G283" s="398"/>
      <c r="J283" s="29"/>
      <c r="K283" s="29"/>
      <c r="L283" s="509" t="e">
        <f t="shared" si="12"/>
        <v>#DIV/0!</v>
      </c>
    </row>
    <row r="284" spans="1:12">
      <c r="A284" s="397" t="str">
        <f t="shared" si="11"/>
        <v>PSR0VH8F-4DHVA</v>
      </c>
      <c r="B284" s="362" t="s">
        <v>1010</v>
      </c>
      <c r="C284" s="394" t="s">
        <v>1026</v>
      </c>
      <c r="D284" s="362">
        <v>10.723000000000001</v>
      </c>
      <c r="E284" s="362">
        <v>5.0570000000000004</v>
      </c>
      <c r="F284" s="496"/>
      <c r="G284" s="398"/>
      <c r="J284" s="29"/>
      <c r="K284" s="29"/>
      <c r="L284" s="509" t="e">
        <f t="shared" si="12"/>
        <v>#DIV/0!</v>
      </c>
    </row>
    <row r="285" spans="1:12">
      <c r="A285" s="397" t="str">
        <f t="shared" si="11"/>
        <v>PSR0VG8F-QSRZA</v>
      </c>
      <c r="B285" s="362" t="s">
        <v>1038</v>
      </c>
      <c r="C285" s="394" t="s">
        <v>1039</v>
      </c>
      <c r="D285" s="362">
        <v>10.888</v>
      </c>
      <c r="E285" s="362">
        <v>5.1680000000000001</v>
      </c>
      <c r="F285" s="496"/>
      <c r="G285" s="398"/>
      <c r="J285" s="29"/>
      <c r="K285" s="29"/>
      <c r="L285" s="509" t="e">
        <f t="shared" si="12"/>
        <v>#DIV/0!</v>
      </c>
    </row>
    <row r="286" spans="1:12">
      <c r="A286" s="397" t="str">
        <f t="shared" si="11"/>
        <v>PSR0VJ5F-4WEVA</v>
      </c>
      <c r="B286" s="362" t="s">
        <v>1011</v>
      </c>
      <c r="C286" s="394" t="s">
        <v>1027</v>
      </c>
      <c r="D286" s="362">
        <v>8.39</v>
      </c>
      <c r="E286" s="362">
        <v>4.0519999999999996</v>
      </c>
      <c r="F286" s="496"/>
      <c r="G286" s="398"/>
      <c r="J286" s="29"/>
      <c r="K286" s="29"/>
      <c r="L286" s="509" t="e">
        <f t="shared" si="12"/>
        <v>#DIV/0!</v>
      </c>
    </row>
    <row r="287" spans="1:12">
      <c r="A287" s="397" t="str">
        <f t="shared" si="11"/>
        <v>PSR0VJ4F-4BVVA</v>
      </c>
      <c r="B287" s="362" t="s">
        <v>1012</v>
      </c>
      <c r="C287" s="394" t="s">
        <v>1028</v>
      </c>
      <c r="D287" s="362">
        <v>8.8420000000000005</v>
      </c>
      <c r="E287" s="362">
        <v>4.2859999999999996</v>
      </c>
      <c r="F287" s="496"/>
      <c r="G287" s="398"/>
      <c r="J287" s="29"/>
      <c r="K287" s="29"/>
      <c r="L287" s="509" t="e">
        <f t="shared" si="12"/>
        <v>#DIV/0!</v>
      </c>
    </row>
    <row r="288" spans="1:12">
      <c r="A288" s="397" t="str">
        <f t="shared" si="11"/>
        <v>PSR0VJ3F-4EMVA</v>
      </c>
      <c r="B288" s="362" t="s">
        <v>1013</v>
      </c>
      <c r="C288" s="394" t="s">
        <v>1029</v>
      </c>
      <c r="D288" s="362">
        <v>8.9689999999999994</v>
      </c>
      <c r="E288" s="362">
        <v>4.2249999999999996</v>
      </c>
      <c r="F288" s="496"/>
      <c r="G288" s="398"/>
      <c r="J288" s="29"/>
      <c r="K288" s="29"/>
      <c r="L288" s="509" t="e">
        <f t="shared" si="12"/>
        <v>#DIV/0!</v>
      </c>
    </row>
    <row r="289" spans="1:12">
      <c r="A289" s="397" t="str">
        <f t="shared" si="11"/>
        <v>PSR0VJ0F-4LNZA</v>
      </c>
      <c r="B289" s="362" t="s">
        <v>1014</v>
      </c>
      <c r="C289" s="394" t="s">
        <v>1030</v>
      </c>
      <c r="D289" s="362">
        <v>11.143000000000001</v>
      </c>
      <c r="E289" s="362">
        <v>5.194</v>
      </c>
      <c r="F289" s="496"/>
      <c r="G289" s="398"/>
      <c r="J289" s="29"/>
      <c r="K289" s="29"/>
      <c r="L289" s="509" t="e">
        <f t="shared" si="12"/>
        <v>#DIV/0!</v>
      </c>
    </row>
    <row r="290" spans="1:12">
      <c r="A290" s="397" t="str">
        <f t="shared" si="11"/>
        <v>PSR0VH9F-4HXVA</v>
      </c>
      <c r="B290" s="362" t="s">
        <v>1015</v>
      </c>
      <c r="C290" s="394" t="s">
        <v>1031</v>
      </c>
      <c r="D290" s="362">
        <v>10.016999999999999</v>
      </c>
      <c r="E290" s="362">
        <v>4.79</v>
      </c>
      <c r="F290" s="496"/>
      <c r="G290" s="398"/>
      <c r="J290" s="29"/>
      <c r="K290" s="29"/>
      <c r="L290" s="509" t="e">
        <f t="shared" si="12"/>
        <v>#DIV/0!</v>
      </c>
    </row>
    <row r="291" spans="1:12">
      <c r="A291" s="397" t="str">
        <f t="shared" si="11"/>
        <v>PSR0VJ1F-4FDVA</v>
      </c>
      <c r="B291" s="362" t="s">
        <v>1016</v>
      </c>
      <c r="C291" s="394" t="s">
        <v>1032</v>
      </c>
      <c r="D291" s="362">
        <v>10.163</v>
      </c>
      <c r="E291" s="362">
        <v>4.923</v>
      </c>
      <c r="F291" s="496"/>
      <c r="G291" s="398"/>
      <c r="J291" s="29"/>
      <c r="K291" s="29"/>
      <c r="L291" s="509" t="e">
        <f t="shared" si="12"/>
        <v>#DIV/0!</v>
      </c>
    </row>
    <row r="292" spans="1:12">
      <c r="A292" s="397" t="str">
        <f t="shared" si="11"/>
        <v>PSR0VJ2F-3ENVA</v>
      </c>
      <c r="B292" s="362" t="s">
        <v>1017</v>
      </c>
      <c r="C292" s="394" t="s">
        <v>1033</v>
      </c>
      <c r="D292" s="362">
        <v>10.09</v>
      </c>
      <c r="E292" s="362">
        <v>4.8319999999999999</v>
      </c>
      <c r="F292" s="496"/>
      <c r="G292" s="398"/>
      <c r="J292" s="29"/>
      <c r="K292" s="29"/>
      <c r="L292" s="509" t="e">
        <f t="shared" si="12"/>
        <v>#DIV/0!</v>
      </c>
    </row>
    <row r="293" spans="1:12">
      <c r="A293" s="397" t="str">
        <f t="shared" si="11"/>
        <v>PSR0VG9F-QVTZA</v>
      </c>
      <c r="B293" s="362" t="s">
        <v>1047</v>
      </c>
      <c r="C293" s="394" t="s">
        <v>1048</v>
      </c>
      <c r="D293" s="362">
        <v>10.74</v>
      </c>
      <c r="E293" s="362">
        <v>5.1749999999999998</v>
      </c>
      <c r="F293" s="496"/>
      <c r="G293" s="398"/>
      <c r="J293" s="29"/>
      <c r="K293" s="29"/>
      <c r="L293" s="509" t="e">
        <f t="shared" si="12"/>
        <v>#DIV/0!</v>
      </c>
    </row>
    <row r="294" spans="1:12">
      <c r="A294" s="397" t="str">
        <f t="shared" si="11"/>
        <v>PSR0VH0F-QHXZA</v>
      </c>
      <c r="B294" s="362" t="s">
        <v>1049</v>
      </c>
      <c r="C294" s="394" t="s">
        <v>1050</v>
      </c>
      <c r="D294" s="362">
        <v>12.909000000000001</v>
      </c>
      <c r="E294" s="362">
        <v>6.1059999999999999</v>
      </c>
      <c r="F294" s="496"/>
      <c r="G294" s="398"/>
      <c r="J294" s="29"/>
      <c r="K294" s="29"/>
      <c r="L294" s="509" t="e">
        <f t="shared" si="12"/>
        <v>#DIV/0!</v>
      </c>
    </row>
    <row r="295" spans="1:12">
      <c r="A295" s="397" t="str">
        <f t="shared" si="11"/>
        <v>PSR0VJ7F-4STVA</v>
      </c>
      <c r="B295" s="362" t="s">
        <v>1040</v>
      </c>
      <c r="C295" s="394" t="s">
        <v>1041</v>
      </c>
      <c r="D295" s="362">
        <v>7.6079999999999997</v>
      </c>
      <c r="E295" s="362">
        <v>3.677</v>
      </c>
      <c r="F295" s="496"/>
      <c r="G295" s="398"/>
      <c r="J295" s="29"/>
      <c r="K295" s="29"/>
      <c r="L295" s="509" t="e">
        <f t="shared" si="12"/>
        <v>#DIV/0!</v>
      </c>
    </row>
    <row r="296" spans="1:12">
      <c r="A296" s="397" t="str">
        <f t="shared" si="11"/>
        <v>PSR0VJ6F-4REVA</v>
      </c>
      <c r="B296" s="362" t="s">
        <v>1042</v>
      </c>
      <c r="C296" s="394" t="s">
        <v>1043</v>
      </c>
      <c r="D296" s="362">
        <v>8.6240000000000006</v>
      </c>
      <c r="E296" s="362">
        <v>4.0330000000000004</v>
      </c>
      <c r="F296" s="496"/>
      <c r="G296" s="398"/>
      <c r="J296" s="29"/>
      <c r="K296" s="29"/>
      <c r="L296" s="509" t="e">
        <f t="shared" si="12"/>
        <v>#DIV/0!</v>
      </c>
    </row>
    <row r="297" spans="1:12">
      <c r="A297" s="397" t="str">
        <f t="shared" si="11"/>
        <v>PSR0VJ8F-4XTVA</v>
      </c>
      <c r="B297" s="362" t="s">
        <v>1044</v>
      </c>
      <c r="C297" s="394" t="s">
        <v>1045</v>
      </c>
      <c r="D297" s="362">
        <v>7.0960000000000001</v>
      </c>
      <c r="E297" s="362">
        <v>3.4209999999999998</v>
      </c>
      <c r="F297" s="496"/>
      <c r="G297" s="398"/>
      <c r="J297" s="29"/>
      <c r="K297" s="29"/>
      <c r="L297" s="509" t="e">
        <f t="shared" si="12"/>
        <v>#DIV/0!</v>
      </c>
    </row>
    <row r="298" spans="1:12">
      <c r="A298" s="397" t="str">
        <f t="shared" si="11"/>
        <v>PSR0VH1F-QXCZA</v>
      </c>
      <c r="B298" s="362" t="s">
        <v>1272</v>
      </c>
      <c r="C298" s="394" t="s">
        <v>1275</v>
      </c>
      <c r="D298" s="362">
        <v>10.766</v>
      </c>
      <c r="E298" s="362">
        <v>5.1040000000000001</v>
      </c>
      <c r="F298" s="496"/>
      <c r="G298" s="398"/>
      <c r="J298" s="29"/>
      <c r="K298" s="29"/>
      <c r="L298" s="509" t="e">
        <f t="shared" si="12"/>
        <v>#DIV/0!</v>
      </c>
    </row>
    <row r="299" spans="1:12">
      <c r="A299" s="397" t="str">
        <f t="shared" si="11"/>
        <v>PSR0VF6F-KXTMA</v>
      </c>
      <c r="B299" s="362" t="s">
        <v>1002</v>
      </c>
      <c r="C299" s="394" t="s">
        <v>1051</v>
      </c>
      <c r="D299" s="362">
        <v>12.087999999999999</v>
      </c>
      <c r="E299" s="362">
        <v>5.7110000000000003</v>
      </c>
      <c r="F299" s="496"/>
      <c r="G299" s="398"/>
      <c r="J299" s="29"/>
      <c r="K299" s="29"/>
      <c r="L299" s="509" t="e">
        <f t="shared" si="12"/>
        <v>#DIV/0!</v>
      </c>
    </row>
    <row r="300" spans="1:12">
      <c r="A300" s="397" t="str">
        <f t="shared" si="11"/>
        <v>PSR0V258-QZZZA</v>
      </c>
      <c r="B300" s="362" t="s">
        <v>1059</v>
      </c>
      <c r="C300" s="394" t="s">
        <v>1060</v>
      </c>
      <c r="D300" s="362">
        <v>11.763999999999999</v>
      </c>
      <c r="E300" s="362">
        <v>5.2549999999999999</v>
      </c>
      <c r="F300" s="496"/>
      <c r="G300" s="398"/>
      <c r="J300" s="29"/>
      <c r="K300" s="29"/>
      <c r="L300" s="509" t="e">
        <f t="shared" si="12"/>
        <v>#DIV/0!</v>
      </c>
    </row>
    <row r="301" spans="1:12">
      <c r="A301" s="397" t="str">
        <f t="shared" si="11"/>
        <v>PSR0V256-3LHZA</v>
      </c>
      <c r="B301" s="362" t="s">
        <v>935</v>
      </c>
      <c r="C301" s="394" t="s">
        <v>1288</v>
      </c>
      <c r="D301" s="362">
        <v>12.313000000000001</v>
      </c>
      <c r="E301" s="362">
        <v>5.5830000000000002</v>
      </c>
      <c r="F301" s="496"/>
      <c r="G301" s="398"/>
      <c r="J301" s="29"/>
      <c r="K301" s="29"/>
      <c r="L301" s="509" t="e">
        <f t="shared" si="12"/>
        <v>#DIV/0!</v>
      </c>
    </row>
    <row r="302" spans="1:12">
      <c r="A302" s="397" t="str">
        <f t="shared" si="11"/>
        <v>-</v>
      </c>
      <c r="F302" s="496"/>
      <c r="G302" s="398"/>
      <c r="J302" s="29"/>
      <c r="K302" s="29"/>
      <c r="L302" s="509" t="e">
        <f t="shared" si="12"/>
        <v>#DIV/0!</v>
      </c>
    </row>
    <row r="303" spans="1:12">
      <c r="A303" s="397" t="str">
        <f t="shared" si="11"/>
        <v>-</v>
      </c>
      <c r="F303" s="496"/>
      <c r="G303" s="398"/>
      <c r="J303" s="29"/>
      <c r="K303" s="29"/>
      <c r="L303" s="509" t="e">
        <f t="shared" si="12"/>
        <v>#DIV/0!</v>
      </c>
    </row>
    <row r="304" spans="1:12">
      <c r="A304" s="397" t="str">
        <f t="shared" si="11"/>
        <v>-</v>
      </c>
      <c r="F304" s="496"/>
      <c r="G304" s="398"/>
      <c r="J304" s="29"/>
      <c r="K304" s="29"/>
      <c r="L304" s="509" t="e">
        <f t="shared" ref="L304:L314" si="13">J304/K304</f>
        <v>#DIV/0!</v>
      </c>
    </row>
    <row r="305" spans="1:12">
      <c r="A305" s="397" t="str">
        <f t="shared" si="11"/>
        <v>-</v>
      </c>
      <c r="F305" s="496"/>
      <c r="G305" s="398"/>
      <c r="J305" s="29"/>
      <c r="K305" s="29"/>
      <c r="L305" s="509" t="e">
        <f t="shared" si="13"/>
        <v>#DIV/0!</v>
      </c>
    </row>
    <row r="306" spans="1:12">
      <c r="A306" s="397" t="str">
        <f t="shared" si="11"/>
        <v>-</v>
      </c>
      <c r="F306" s="496"/>
      <c r="G306" s="398"/>
      <c r="J306" s="29"/>
      <c r="K306" s="29"/>
      <c r="L306" s="509" t="e">
        <f t="shared" si="13"/>
        <v>#DIV/0!</v>
      </c>
    </row>
    <row r="307" spans="1:12">
      <c r="A307" s="397" t="str">
        <f t="shared" si="11"/>
        <v>-</v>
      </c>
      <c r="F307" s="496"/>
      <c r="G307" s="398"/>
      <c r="J307" s="29"/>
      <c r="K307" s="29"/>
      <c r="L307" s="509" t="e">
        <f t="shared" si="13"/>
        <v>#DIV/0!</v>
      </c>
    </row>
    <row r="308" spans="1:12">
      <c r="A308" s="397" t="str">
        <f t="shared" si="11"/>
        <v>-</v>
      </c>
      <c r="F308" s="496"/>
      <c r="G308" s="398"/>
      <c r="J308" s="29"/>
      <c r="K308" s="29"/>
      <c r="L308" s="509" t="e">
        <f t="shared" si="13"/>
        <v>#DIV/0!</v>
      </c>
    </row>
    <row r="309" spans="1:12">
      <c r="A309" s="397" t="str">
        <f t="shared" si="11"/>
        <v>-</v>
      </c>
      <c r="F309" s="496"/>
      <c r="G309" s="398"/>
      <c r="J309" s="29"/>
      <c r="K309" s="29"/>
      <c r="L309" s="509" t="e">
        <f t="shared" si="13"/>
        <v>#DIV/0!</v>
      </c>
    </row>
    <row r="310" spans="1:12">
      <c r="A310" s="397" t="str">
        <f t="shared" si="11"/>
        <v>-</v>
      </c>
      <c r="F310" s="496"/>
      <c r="G310" s="398"/>
      <c r="J310" s="29"/>
      <c r="K310" s="29"/>
      <c r="L310" s="509" t="e">
        <f t="shared" si="13"/>
        <v>#DIV/0!</v>
      </c>
    </row>
    <row r="311" spans="1:12">
      <c r="A311" s="397" t="str">
        <f t="shared" si="11"/>
        <v>-</v>
      </c>
      <c r="F311" s="496"/>
      <c r="G311" s="398"/>
      <c r="J311" s="29"/>
      <c r="K311" s="29"/>
      <c r="L311" s="509" t="e">
        <f t="shared" si="13"/>
        <v>#DIV/0!</v>
      </c>
    </row>
    <row r="312" spans="1:12">
      <c r="A312" s="397" t="str">
        <f t="shared" si="11"/>
        <v>-</v>
      </c>
      <c r="F312" s="496"/>
      <c r="G312" s="398"/>
      <c r="J312" s="29"/>
      <c r="K312" s="29"/>
      <c r="L312" s="509" t="e">
        <f t="shared" si="13"/>
        <v>#DIV/0!</v>
      </c>
    </row>
    <row r="313" spans="1:12">
      <c r="A313" s="397" t="str">
        <f t="shared" si="11"/>
        <v>-</v>
      </c>
      <c r="F313" s="496"/>
      <c r="G313" s="398"/>
      <c r="J313" s="29"/>
      <c r="K313" s="29"/>
      <c r="L313" s="509" t="e">
        <f t="shared" si="13"/>
        <v>#DIV/0!</v>
      </c>
    </row>
    <row r="314" spans="1:12">
      <c r="A314" s="397" t="str">
        <f t="shared" si="11"/>
        <v>-</v>
      </c>
      <c r="F314" s="496"/>
      <c r="G314" s="398"/>
      <c r="J314" s="29"/>
      <c r="K314" s="29"/>
      <c r="L314" s="509" t="e">
        <f t="shared" si="13"/>
        <v>#DIV/0!</v>
      </c>
    </row>
    <row r="315" spans="1:12">
      <c r="A315" s="397" t="str">
        <f t="shared" si="11"/>
        <v>-</v>
      </c>
      <c r="F315" s="496"/>
      <c r="G315" s="398"/>
      <c r="I315" s="360"/>
      <c r="J315" s="247"/>
      <c r="K315" s="247"/>
      <c r="L315" s="360"/>
    </row>
    <row r="316" spans="1:12">
      <c r="A316" s="397" t="str">
        <f t="shared" si="11"/>
        <v>-</v>
      </c>
      <c r="F316" s="496"/>
      <c r="G316" s="398"/>
      <c r="J316" s="29"/>
      <c r="K316" s="29"/>
      <c r="L316" s="509" t="e">
        <f t="shared" ref="L316:L347" si="14">J316/K316</f>
        <v>#DIV/0!</v>
      </c>
    </row>
    <row r="317" spans="1:12">
      <c r="A317" s="397" t="str">
        <f t="shared" si="11"/>
        <v>-</v>
      </c>
      <c r="F317" s="496"/>
      <c r="G317" s="398"/>
      <c r="J317" s="29"/>
      <c r="K317" s="29"/>
      <c r="L317" s="509" t="e">
        <f t="shared" si="14"/>
        <v>#DIV/0!</v>
      </c>
    </row>
    <row r="318" spans="1:12">
      <c r="A318" s="397" t="str">
        <f t="shared" si="11"/>
        <v>-</v>
      </c>
      <c r="F318" s="496"/>
      <c r="G318" s="398"/>
      <c r="J318" s="29"/>
      <c r="K318" s="29"/>
      <c r="L318" s="509" t="e">
        <f t="shared" si="14"/>
        <v>#DIV/0!</v>
      </c>
    </row>
    <row r="319" spans="1:12">
      <c r="A319" s="397" t="str">
        <f t="shared" si="11"/>
        <v>-</v>
      </c>
      <c r="F319" s="496"/>
      <c r="G319" s="398"/>
      <c r="J319" s="29"/>
      <c r="K319" s="29"/>
      <c r="L319" s="509" t="e">
        <f t="shared" si="14"/>
        <v>#DIV/0!</v>
      </c>
    </row>
    <row r="320" spans="1:12">
      <c r="A320" s="397" t="str">
        <f t="shared" si="11"/>
        <v>-</v>
      </c>
      <c r="F320" s="496"/>
      <c r="G320" s="398"/>
      <c r="J320" s="29"/>
      <c r="K320" s="29"/>
      <c r="L320" s="509" t="e">
        <f t="shared" si="14"/>
        <v>#DIV/0!</v>
      </c>
    </row>
    <row r="321" spans="1:12">
      <c r="A321" s="397" t="str">
        <f t="shared" si="11"/>
        <v>-</v>
      </c>
      <c r="F321" s="496"/>
      <c r="G321" s="398"/>
      <c r="J321" s="29"/>
      <c r="K321" s="29"/>
      <c r="L321" s="509" t="e">
        <f t="shared" si="14"/>
        <v>#DIV/0!</v>
      </c>
    </row>
    <row r="322" spans="1:12">
      <c r="A322" s="397" t="str">
        <f t="shared" si="11"/>
        <v>-</v>
      </c>
      <c r="F322" s="496"/>
      <c r="G322" s="398"/>
      <c r="J322" s="29"/>
      <c r="K322" s="29"/>
      <c r="L322" s="509" t="e">
        <f t="shared" si="14"/>
        <v>#DIV/0!</v>
      </c>
    </row>
    <row r="323" spans="1:12">
      <c r="A323" s="397" t="str">
        <f t="shared" si="11"/>
        <v>-</v>
      </c>
      <c r="F323" s="496"/>
      <c r="G323" s="398"/>
      <c r="J323" s="29"/>
      <c r="K323" s="29"/>
      <c r="L323" s="509" t="e">
        <f t="shared" si="14"/>
        <v>#DIV/0!</v>
      </c>
    </row>
    <row r="324" spans="1:12">
      <c r="A324" s="397" t="str">
        <f t="shared" si="11"/>
        <v>-</v>
      </c>
      <c r="F324" s="496"/>
      <c r="G324" s="398"/>
      <c r="J324" s="29"/>
      <c r="K324" s="29"/>
      <c r="L324" s="509" t="e">
        <f t="shared" si="14"/>
        <v>#DIV/0!</v>
      </c>
    </row>
    <row r="325" spans="1:12">
      <c r="A325" s="397" t="str">
        <f t="shared" si="11"/>
        <v>-</v>
      </c>
      <c r="F325" s="496"/>
      <c r="G325" s="398"/>
      <c r="J325" s="29"/>
      <c r="K325" s="29"/>
      <c r="L325" s="509" t="e">
        <f t="shared" si="14"/>
        <v>#DIV/0!</v>
      </c>
    </row>
    <row r="326" spans="1:12">
      <c r="A326" s="397" t="str">
        <f t="shared" si="11"/>
        <v>-</v>
      </c>
      <c r="F326" s="496"/>
      <c r="G326" s="398"/>
      <c r="J326" s="29"/>
      <c r="K326" s="29"/>
      <c r="L326" s="509" t="e">
        <f t="shared" si="14"/>
        <v>#DIV/0!</v>
      </c>
    </row>
    <row r="327" spans="1:12">
      <c r="A327" s="397" t="str">
        <f t="shared" ref="A327" si="15">B327&amp;"-"&amp;C327</f>
        <v>-</v>
      </c>
      <c r="B327" s="367"/>
      <c r="C327" s="367"/>
      <c r="D327" s="367"/>
      <c r="E327" s="367"/>
      <c r="F327" s="367"/>
      <c r="G327" s="398"/>
      <c r="J327" s="29"/>
      <c r="K327" s="29"/>
      <c r="L327" s="509" t="e">
        <f t="shared" si="14"/>
        <v>#DIV/0!</v>
      </c>
    </row>
    <row r="328" spans="1:12">
      <c r="A328" s="397" t="str">
        <f t="shared" ref="A328:A391" si="16">B328&amp;"-"&amp;C328</f>
        <v>-</v>
      </c>
      <c r="F328" s="496"/>
      <c r="G328" s="398"/>
      <c r="J328" s="29"/>
      <c r="K328" s="29"/>
      <c r="L328" s="509" t="e">
        <f t="shared" si="14"/>
        <v>#DIV/0!</v>
      </c>
    </row>
    <row r="329" spans="1:12">
      <c r="A329" s="397" t="str">
        <f t="shared" si="16"/>
        <v>-</v>
      </c>
      <c r="F329" s="496"/>
      <c r="G329" s="398"/>
      <c r="J329" s="29"/>
      <c r="K329" s="29"/>
      <c r="L329" s="509" t="e">
        <f t="shared" si="14"/>
        <v>#DIV/0!</v>
      </c>
    </row>
    <row r="330" spans="1:12">
      <c r="A330" s="397" t="str">
        <f t="shared" si="16"/>
        <v>-</v>
      </c>
      <c r="F330" s="496"/>
      <c r="G330" s="398"/>
      <c r="J330" s="29"/>
      <c r="K330" s="29"/>
      <c r="L330" s="509" t="e">
        <f t="shared" si="14"/>
        <v>#DIV/0!</v>
      </c>
    </row>
    <row r="331" spans="1:12">
      <c r="A331" s="397" t="str">
        <f t="shared" si="16"/>
        <v>-</v>
      </c>
      <c r="F331" s="496"/>
      <c r="G331" s="398"/>
      <c r="J331" s="29"/>
      <c r="K331" s="29"/>
      <c r="L331" s="509" t="e">
        <f t="shared" si="14"/>
        <v>#DIV/0!</v>
      </c>
    </row>
    <row r="332" spans="1:12">
      <c r="A332" s="397" t="str">
        <f t="shared" si="16"/>
        <v>-</v>
      </c>
      <c r="F332" s="496"/>
      <c r="G332" s="398"/>
      <c r="J332" s="29"/>
      <c r="K332" s="29"/>
      <c r="L332" s="509" t="e">
        <f t="shared" si="14"/>
        <v>#DIV/0!</v>
      </c>
    </row>
    <row r="333" spans="1:12">
      <c r="A333" s="397" t="str">
        <f t="shared" si="16"/>
        <v>-</v>
      </c>
      <c r="F333" s="496"/>
      <c r="G333" s="398"/>
      <c r="J333" s="29"/>
      <c r="K333" s="29"/>
      <c r="L333" s="509" t="e">
        <f t="shared" si="14"/>
        <v>#DIV/0!</v>
      </c>
    </row>
    <row r="334" spans="1:12">
      <c r="A334" s="397" t="str">
        <f t="shared" si="16"/>
        <v>-</v>
      </c>
      <c r="F334" s="496"/>
      <c r="G334" s="398"/>
      <c r="J334" s="29"/>
      <c r="K334" s="29"/>
      <c r="L334" s="509" t="e">
        <f t="shared" si="14"/>
        <v>#DIV/0!</v>
      </c>
    </row>
    <row r="335" spans="1:12">
      <c r="A335" s="397" t="str">
        <f t="shared" si="16"/>
        <v>-</v>
      </c>
      <c r="F335" s="496"/>
      <c r="G335" s="398"/>
      <c r="J335" s="29"/>
      <c r="K335" s="29"/>
      <c r="L335" s="509" t="e">
        <f t="shared" si="14"/>
        <v>#DIV/0!</v>
      </c>
    </row>
    <row r="336" spans="1:12">
      <c r="A336" s="397" t="str">
        <f t="shared" si="16"/>
        <v>-</v>
      </c>
      <c r="F336" s="496"/>
      <c r="G336" s="398"/>
      <c r="J336" s="29"/>
      <c r="K336" s="29"/>
      <c r="L336" s="509" t="e">
        <f t="shared" si="14"/>
        <v>#DIV/0!</v>
      </c>
    </row>
    <row r="337" spans="1:12">
      <c r="A337" s="397" t="str">
        <f t="shared" si="16"/>
        <v>-</v>
      </c>
      <c r="F337" s="496"/>
      <c r="G337" s="398"/>
      <c r="J337" s="29"/>
      <c r="K337" s="29"/>
      <c r="L337" s="509" t="e">
        <f t="shared" si="14"/>
        <v>#DIV/0!</v>
      </c>
    </row>
    <row r="338" spans="1:12">
      <c r="A338" s="397" t="str">
        <f t="shared" si="16"/>
        <v>-</v>
      </c>
      <c r="F338" s="496"/>
      <c r="G338" s="398"/>
      <c r="J338" s="29"/>
      <c r="K338" s="29"/>
      <c r="L338" s="509" t="e">
        <f t="shared" si="14"/>
        <v>#DIV/0!</v>
      </c>
    </row>
    <row r="339" spans="1:12">
      <c r="A339" s="397" t="str">
        <f t="shared" si="16"/>
        <v>-</v>
      </c>
      <c r="F339" s="496"/>
      <c r="G339" s="398"/>
      <c r="J339" s="29"/>
      <c r="K339" s="29"/>
      <c r="L339" s="509" t="e">
        <f t="shared" si="14"/>
        <v>#DIV/0!</v>
      </c>
    </row>
    <row r="340" spans="1:12">
      <c r="A340" s="397" t="str">
        <f t="shared" si="16"/>
        <v>-</v>
      </c>
      <c r="F340" s="496"/>
      <c r="G340" s="398"/>
      <c r="J340" s="29"/>
      <c r="K340" s="29"/>
      <c r="L340" s="509" t="e">
        <f t="shared" si="14"/>
        <v>#DIV/0!</v>
      </c>
    </row>
    <row r="341" spans="1:12">
      <c r="A341" s="397" t="str">
        <f t="shared" si="16"/>
        <v>-</v>
      </c>
      <c r="F341" s="496"/>
      <c r="G341" s="398"/>
      <c r="J341" s="29"/>
      <c r="K341" s="29"/>
      <c r="L341" s="509" t="e">
        <f t="shared" si="14"/>
        <v>#DIV/0!</v>
      </c>
    </row>
    <row r="342" spans="1:12">
      <c r="A342" s="397" t="str">
        <f t="shared" si="16"/>
        <v>-</v>
      </c>
      <c r="F342" s="496"/>
      <c r="G342" s="398"/>
      <c r="J342" s="29"/>
      <c r="K342" s="29"/>
      <c r="L342" s="509" t="e">
        <f t="shared" si="14"/>
        <v>#DIV/0!</v>
      </c>
    </row>
    <row r="343" spans="1:12">
      <c r="A343" s="397" t="str">
        <f t="shared" si="16"/>
        <v>-</v>
      </c>
      <c r="F343" s="496"/>
      <c r="G343" s="398"/>
      <c r="J343" s="29"/>
      <c r="K343" s="29"/>
      <c r="L343" s="509" t="e">
        <f t="shared" si="14"/>
        <v>#DIV/0!</v>
      </c>
    </row>
    <row r="344" spans="1:12">
      <c r="A344" s="397" t="str">
        <f t="shared" si="16"/>
        <v>-</v>
      </c>
      <c r="F344" s="496"/>
      <c r="G344" s="398"/>
      <c r="J344" s="29"/>
      <c r="K344" s="29"/>
      <c r="L344" s="509" t="e">
        <f t="shared" si="14"/>
        <v>#DIV/0!</v>
      </c>
    </row>
    <row r="345" spans="1:12">
      <c r="A345" s="397" t="str">
        <f t="shared" si="16"/>
        <v>-</v>
      </c>
      <c r="F345" s="496"/>
      <c r="G345" s="398"/>
      <c r="J345" s="29"/>
      <c r="K345" s="29"/>
      <c r="L345" s="509" t="e">
        <f t="shared" si="14"/>
        <v>#DIV/0!</v>
      </c>
    </row>
    <row r="346" spans="1:12">
      <c r="A346" s="397" t="str">
        <f t="shared" si="16"/>
        <v>-</v>
      </c>
      <c r="F346" s="496"/>
      <c r="G346" s="398"/>
      <c r="J346" s="29"/>
      <c r="K346" s="29"/>
      <c r="L346" s="509" t="e">
        <f t="shared" si="14"/>
        <v>#DIV/0!</v>
      </c>
    </row>
    <row r="347" spans="1:12">
      <c r="A347" s="397" t="str">
        <f t="shared" si="16"/>
        <v>-</v>
      </c>
      <c r="F347" s="496"/>
      <c r="G347" s="398"/>
      <c r="J347" s="29"/>
      <c r="K347" s="29"/>
      <c r="L347" s="509" t="e">
        <f t="shared" si="14"/>
        <v>#DIV/0!</v>
      </c>
    </row>
    <row r="348" spans="1:12">
      <c r="A348" s="397" t="str">
        <f t="shared" si="16"/>
        <v>-</v>
      </c>
      <c r="F348" s="496"/>
      <c r="G348" s="398"/>
      <c r="J348" s="29"/>
      <c r="K348" s="29"/>
      <c r="L348" s="509" t="e">
        <f t="shared" ref="L348:L379" si="17">J348/K348</f>
        <v>#DIV/0!</v>
      </c>
    </row>
    <row r="349" spans="1:12">
      <c r="A349" s="397" t="str">
        <f t="shared" si="16"/>
        <v>-</v>
      </c>
      <c r="F349" s="496"/>
      <c r="G349" s="398"/>
      <c r="J349" s="29"/>
      <c r="K349" s="29"/>
      <c r="L349" s="509" t="e">
        <f t="shared" si="17"/>
        <v>#DIV/0!</v>
      </c>
    </row>
    <row r="350" spans="1:12">
      <c r="A350" s="397" t="str">
        <f t="shared" si="16"/>
        <v>-</v>
      </c>
      <c r="F350" s="496"/>
      <c r="G350" s="398"/>
      <c r="J350" s="29"/>
      <c r="K350" s="29"/>
      <c r="L350" s="509" t="e">
        <f t="shared" si="17"/>
        <v>#DIV/0!</v>
      </c>
    </row>
    <row r="351" spans="1:12">
      <c r="A351" s="397" t="str">
        <f t="shared" si="16"/>
        <v>-</v>
      </c>
      <c r="F351" s="496"/>
      <c r="G351" s="398"/>
      <c r="J351" s="29"/>
      <c r="K351" s="29"/>
      <c r="L351" s="509" t="e">
        <f t="shared" si="17"/>
        <v>#DIV/0!</v>
      </c>
    </row>
    <row r="352" spans="1:12">
      <c r="A352" s="397" t="str">
        <f t="shared" si="16"/>
        <v>-</v>
      </c>
      <c r="F352" s="496"/>
      <c r="G352" s="398"/>
      <c r="J352" s="29"/>
      <c r="K352" s="29"/>
      <c r="L352" s="509" t="e">
        <f t="shared" si="17"/>
        <v>#DIV/0!</v>
      </c>
    </row>
    <row r="353" spans="1:12">
      <c r="A353" s="397" t="str">
        <f t="shared" si="16"/>
        <v>-</v>
      </c>
      <c r="F353" s="496"/>
      <c r="G353" s="398"/>
      <c r="J353" s="29"/>
      <c r="K353" s="29"/>
      <c r="L353" s="509" t="e">
        <f t="shared" si="17"/>
        <v>#DIV/0!</v>
      </c>
    </row>
    <row r="354" spans="1:12">
      <c r="A354" s="397" t="str">
        <f t="shared" si="16"/>
        <v>-</v>
      </c>
      <c r="F354" s="496"/>
      <c r="G354" s="398"/>
      <c r="J354" s="29"/>
      <c r="K354" s="29"/>
      <c r="L354" s="509" t="e">
        <f t="shared" si="17"/>
        <v>#DIV/0!</v>
      </c>
    </row>
    <row r="355" spans="1:12">
      <c r="A355" s="397" t="str">
        <f t="shared" si="16"/>
        <v>-</v>
      </c>
      <c r="F355" s="496"/>
      <c r="G355" s="398"/>
      <c r="J355" s="29"/>
      <c r="K355" s="29"/>
      <c r="L355" s="509" t="e">
        <f t="shared" si="17"/>
        <v>#DIV/0!</v>
      </c>
    </row>
    <row r="356" spans="1:12">
      <c r="A356" s="397" t="str">
        <f t="shared" si="16"/>
        <v>-</v>
      </c>
      <c r="F356" s="496"/>
      <c r="G356" s="398"/>
      <c r="J356" s="29"/>
      <c r="K356" s="29"/>
      <c r="L356" s="509" t="e">
        <f t="shared" si="17"/>
        <v>#DIV/0!</v>
      </c>
    </row>
    <row r="357" spans="1:12">
      <c r="A357" s="397" t="str">
        <f t="shared" si="16"/>
        <v>-</v>
      </c>
      <c r="F357" s="496"/>
      <c r="G357" s="398"/>
      <c r="J357" s="29"/>
      <c r="K357" s="29"/>
      <c r="L357" s="509" t="e">
        <f t="shared" si="17"/>
        <v>#DIV/0!</v>
      </c>
    </row>
    <row r="358" spans="1:12">
      <c r="A358" s="397" t="str">
        <f t="shared" si="16"/>
        <v>-</v>
      </c>
      <c r="F358" s="496"/>
      <c r="G358" s="398"/>
      <c r="J358" s="29"/>
      <c r="K358" s="29"/>
      <c r="L358" s="509" t="e">
        <f t="shared" si="17"/>
        <v>#DIV/0!</v>
      </c>
    </row>
    <row r="359" spans="1:12">
      <c r="A359" s="397" t="str">
        <f t="shared" si="16"/>
        <v>-</v>
      </c>
      <c r="F359" s="496"/>
      <c r="G359" s="398"/>
      <c r="J359" s="29"/>
      <c r="K359" s="29"/>
      <c r="L359" s="509" t="e">
        <f t="shared" si="17"/>
        <v>#DIV/0!</v>
      </c>
    </row>
    <row r="360" spans="1:12">
      <c r="A360" s="397" t="str">
        <f t="shared" si="16"/>
        <v>-</v>
      </c>
      <c r="F360" s="496"/>
      <c r="G360" s="398"/>
      <c r="J360" s="29"/>
      <c r="K360" s="29"/>
      <c r="L360" s="509" t="e">
        <f t="shared" si="17"/>
        <v>#DIV/0!</v>
      </c>
    </row>
    <row r="361" spans="1:12">
      <c r="A361" s="397" t="str">
        <f t="shared" si="16"/>
        <v>-</v>
      </c>
      <c r="F361" s="496"/>
      <c r="G361" s="398"/>
      <c r="J361" s="29"/>
      <c r="K361" s="29"/>
      <c r="L361" s="509" t="e">
        <f t="shared" si="17"/>
        <v>#DIV/0!</v>
      </c>
    </row>
    <row r="362" spans="1:12">
      <c r="A362" s="397" t="str">
        <f t="shared" si="16"/>
        <v>-</v>
      </c>
      <c r="F362" s="496"/>
      <c r="G362" s="398"/>
      <c r="J362" s="29"/>
      <c r="K362" s="29"/>
      <c r="L362" s="509" t="e">
        <f t="shared" si="17"/>
        <v>#DIV/0!</v>
      </c>
    </row>
    <row r="363" spans="1:12">
      <c r="A363" s="397" t="str">
        <f t="shared" si="16"/>
        <v>-</v>
      </c>
      <c r="F363" s="496"/>
      <c r="G363" s="398"/>
      <c r="J363" s="29"/>
      <c r="K363" s="29"/>
      <c r="L363" s="509" t="e">
        <f t="shared" si="17"/>
        <v>#DIV/0!</v>
      </c>
    </row>
    <row r="364" spans="1:12">
      <c r="A364" s="397" t="str">
        <f t="shared" si="16"/>
        <v>-</v>
      </c>
      <c r="F364" s="496"/>
      <c r="G364" s="398"/>
      <c r="J364" s="29"/>
      <c r="K364" s="29"/>
      <c r="L364" s="509" t="e">
        <f t="shared" si="17"/>
        <v>#DIV/0!</v>
      </c>
    </row>
    <row r="365" spans="1:12">
      <c r="A365" s="397" t="str">
        <f t="shared" si="16"/>
        <v>-</v>
      </c>
      <c r="F365" s="496"/>
      <c r="G365" s="398"/>
      <c r="J365" s="29"/>
      <c r="K365" s="29"/>
      <c r="L365" s="509" t="e">
        <f t="shared" si="17"/>
        <v>#DIV/0!</v>
      </c>
    </row>
    <row r="366" spans="1:12">
      <c r="A366" s="397" t="str">
        <f t="shared" si="16"/>
        <v>-</v>
      </c>
      <c r="F366" s="496"/>
      <c r="G366" s="398"/>
      <c r="J366" s="29"/>
      <c r="K366" s="29"/>
      <c r="L366" s="509" t="e">
        <f t="shared" si="17"/>
        <v>#DIV/0!</v>
      </c>
    </row>
    <row r="367" spans="1:12">
      <c r="A367" s="397" t="str">
        <f t="shared" si="16"/>
        <v>-</v>
      </c>
      <c r="F367" s="496"/>
      <c r="G367" s="398"/>
      <c r="J367" s="29"/>
      <c r="K367" s="29"/>
      <c r="L367" s="509" t="e">
        <f t="shared" si="17"/>
        <v>#DIV/0!</v>
      </c>
    </row>
    <row r="368" spans="1:12">
      <c r="A368" s="397" t="str">
        <f t="shared" si="16"/>
        <v>-</v>
      </c>
      <c r="F368" s="496"/>
      <c r="G368" s="398"/>
      <c r="J368" s="29"/>
      <c r="K368" s="29"/>
      <c r="L368" s="509" t="e">
        <f t="shared" si="17"/>
        <v>#DIV/0!</v>
      </c>
    </row>
    <row r="369" spans="1:12">
      <c r="A369" s="397" t="str">
        <f t="shared" si="16"/>
        <v>-</v>
      </c>
      <c r="F369" s="496"/>
      <c r="G369" s="398"/>
      <c r="J369" s="29"/>
      <c r="K369" s="29"/>
      <c r="L369" s="509" t="e">
        <f t="shared" si="17"/>
        <v>#DIV/0!</v>
      </c>
    </row>
    <row r="370" spans="1:12">
      <c r="A370" s="397" t="str">
        <f t="shared" si="16"/>
        <v>-</v>
      </c>
      <c r="F370" s="496"/>
      <c r="G370" s="398"/>
      <c r="J370" s="29"/>
      <c r="K370" s="29"/>
      <c r="L370" s="509" t="e">
        <f t="shared" si="17"/>
        <v>#DIV/0!</v>
      </c>
    </row>
    <row r="371" spans="1:12">
      <c r="A371" s="397" t="str">
        <f t="shared" si="16"/>
        <v>-</v>
      </c>
      <c r="F371" s="496"/>
      <c r="G371" s="398"/>
      <c r="J371" s="29"/>
      <c r="K371" s="29"/>
      <c r="L371" s="509" t="e">
        <f t="shared" si="17"/>
        <v>#DIV/0!</v>
      </c>
    </row>
    <row r="372" spans="1:12">
      <c r="A372" s="397" t="str">
        <f t="shared" si="16"/>
        <v>-</v>
      </c>
      <c r="F372" s="496"/>
      <c r="G372" s="398"/>
      <c r="J372" s="29"/>
      <c r="K372" s="29"/>
      <c r="L372" s="509" t="e">
        <f t="shared" si="17"/>
        <v>#DIV/0!</v>
      </c>
    </row>
    <row r="373" spans="1:12">
      <c r="A373" s="397" t="str">
        <f t="shared" si="16"/>
        <v>-</v>
      </c>
      <c r="F373" s="496"/>
      <c r="G373" s="398"/>
      <c r="J373" s="29"/>
      <c r="K373" s="29"/>
      <c r="L373" s="509" t="e">
        <f t="shared" si="17"/>
        <v>#DIV/0!</v>
      </c>
    </row>
    <row r="374" spans="1:12">
      <c r="A374" s="397" t="str">
        <f t="shared" si="16"/>
        <v>-</v>
      </c>
      <c r="F374" s="496"/>
      <c r="G374" s="398"/>
      <c r="J374" s="29"/>
      <c r="K374" s="29"/>
      <c r="L374" s="509" t="e">
        <f t="shared" si="17"/>
        <v>#DIV/0!</v>
      </c>
    </row>
    <row r="375" spans="1:12">
      <c r="A375" s="397" t="str">
        <f t="shared" si="16"/>
        <v>-</v>
      </c>
      <c r="F375" s="496"/>
      <c r="G375" s="398"/>
      <c r="J375" s="29"/>
      <c r="K375" s="29"/>
      <c r="L375" s="509" t="e">
        <f t="shared" si="17"/>
        <v>#DIV/0!</v>
      </c>
    </row>
    <row r="376" spans="1:12">
      <c r="A376" s="397" t="str">
        <f t="shared" si="16"/>
        <v>-</v>
      </c>
      <c r="F376" s="496"/>
      <c r="G376" s="398"/>
      <c r="J376" s="29"/>
      <c r="K376" s="29"/>
      <c r="L376" s="509" t="e">
        <f t="shared" si="17"/>
        <v>#DIV/0!</v>
      </c>
    </row>
    <row r="377" spans="1:12">
      <c r="A377" s="397" t="str">
        <f t="shared" si="16"/>
        <v>-</v>
      </c>
      <c r="F377" s="496"/>
      <c r="G377" s="398"/>
      <c r="J377" s="29"/>
      <c r="K377" s="29"/>
      <c r="L377" s="509" t="e">
        <f t="shared" si="17"/>
        <v>#DIV/0!</v>
      </c>
    </row>
    <row r="378" spans="1:12">
      <c r="A378" s="397" t="str">
        <f t="shared" si="16"/>
        <v>-</v>
      </c>
      <c r="F378" s="496"/>
      <c r="G378" s="398"/>
      <c r="J378" s="29"/>
      <c r="K378" s="29"/>
      <c r="L378" s="509" t="e">
        <f t="shared" si="17"/>
        <v>#DIV/0!</v>
      </c>
    </row>
    <row r="379" spans="1:12">
      <c r="A379" s="397" t="str">
        <f t="shared" si="16"/>
        <v>-</v>
      </c>
      <c r="F379" s="496"/>
      <c r="G379" s="398"/>
      <c r="J379" s="29"/>
      <c r="K379" s="29"/>
      <c r="L379" s="509" t="e">
        <f t="shared" si="17"/>
        <v>#DIV/0!</v>
      </c>
    </row>
    <row r="380" spans="1:12">
      <c r="A380" s="397" t="str">
        <f t="shared" si="16"/>
        <v>-</v>
      </c>
      <c r="F380" s="496"/>
      <c r="G380" s="398"/>
      <c r="J380" s="29"/>
      <c r="K380" s="29"/>
      <c r="L380" s="509" t="e">
        <f t="shared" ref="L380:L389" si="18">J380/K380</f>
        <v>#DIV/0!</v>
      </c>
    </row>
    <row r="381" spans="1:12">
      <c r="A381" s="397" t="str">
        <f t="shared" si="16"/>
        <v>-</v>
      </c>
      <c r="F381" s="496"/>
      <c r="G381" s="398"/>
      <c r="J381" s="29"/>
      <c r="K381" s="29"/>
      <c r="L381" s="509" t="e">
        <f t="shared" si="18"/>
        <v>#DIV/0!</v>
      </c>
    </row>
    <row r="382" spans="1:12">
      <c r="A382" s="397" t="str">
        <f t="shared" si="16"/>
        <v>-</v>
      </c>
      <c r="F382" s="496"/>
      <c r="G382" s="398"/>
      <c r="J382" s="29"/>
      <c r="K382" s="29"/>
      <c r="L382" s="509" t="e">
        <f t="shared" si="18"/>
        <v>#DIV/0!</v>
      </c>
    </row>
    <row r="383" spans="1:12">
      <c r="A383" s="397" t="str">
        <f t="shared" si="16"/>
        <v>-</v>
      </c>
      <c r="F383" s="496"/>
      <c r="G383" s="398"/>
      <c r="J383" s="29"/>
      <c r="K383" s="29"/>
      <c r="L383" s="509" t="e">
        <f t="shared" si="18"/>
        <v>#DIV/0!</v>
      </c>
    </row>
    <row r="384" spans="1:12">
      <c r="A384" s="397" t="str">
        <f t="shared" si="16"/>
        <v>-</v>
      </c>
      <c r="F384" s="496"/>
      <c r="G384" s="398"/>
      <c r="J384" s="29"/>
      <c r="K384" s="29"/>
      <c r="L384" s="509" t="e">
        <f t="shared" si="18"/>
        <v>#DIV/0!</v>
      </c>
    </row>
    <row r="385" spans="1:12">
      <c r="A385" s="397" t="str">
        <f t="shared" si="16"/>
        <v>-</v>
      </c>
      <c r="F385" s="496"/>
      <c r="G385" s="398"/>
      <c r="J385" s="29"/>
      <c r="K385" s="29"/>
      <c r="L385" s="509" t="e">
        <f t="shared" si="18"/>
        <v>#DIV/0!</v>
      </c>
    </row>
    <row r="386" spans="1:12">
      <c r="A386" s="397" t="str">
        <f t="shared" si="16"/>
        <v>-</v>
      </c>
      <c r="F386" s="496"/>
      <c r="G386" s="398"/>
      <c r="J386" s="29"/>
      <c r="K386" s="29"/>
      <c r="L386" s="509" t="e">
        <f t="shared" si="18"/>
        <v>#DIV/0!</v>
      </c>
    </row>
    <row r="387" spans="1:12">
      <c r="A387" s="397" t="str">
        <f t="shared" si="16"/>
        <v>-</v>
      </c>
      <c r="F387" s="496"/>
      <c r="G387" s="398"/>
      <c r="J387" s="29"/>
      <c r="K387" s="29"/>
      <c r="L387" s="509" t="e">
        <f t="shared" si="18"/>
        <v>#DIV/0!</v>
      </c>
    </row>
    <row r="388" spans="1:12">
      <c r="A388" s="397" t="str">
        <f t="shared" si="16"/>
        <v>-</v>
      </c>
      <c r="F388" s="496"/>
      <c r="G388" s="398"/>
      <c r="J388" s="29"/>
      <c r="K388" s="29"/>
      <c r="L388" s="509" t="e">
        <f t="shared" si="18"/>
        <v>#DIV/0!</v>
      </c>
    </row>
    <row r="389" spans="1:12">
      <c r="A389" s="397" t="str">
        <f t="shared" si="16"/>
        <v>-</v>
      </c>
      <c r="F389" s="496"/>
      <c r="G389" s="398"/>
      <c r="J389" s="29"/>
      <c r="K389" s="29"/>
      <c r="L389" s="509" t="e">
        <f t="shared" si="18"/>
        <v>#DIV/0!</v>
      </c>
    </row>
    <row r="390" spans="1:12">
      <c r="A390" s="397" t="str">
        <f t="shared" si="16"/>
        <v>-</v>
      </c>
      <c r="F390" s="496"/>
      <c r="G390" s="398"/>
      <c r="J390" s="29"/>
      <c r="K390" s="29"/>
      <c r="L390" s="509"/>
    </row>
    <row r="391" spans="1:12">
      <c r="A391" s="397" t="str">
        <f t="shared" si="16"/>
        <v>-</v>
      </c>
      <c r="F391" s="496"/>
      <c r="G391" s="398"/>
      <c r="J391" s="29"/>
      <c r="K391" s="29"/>
      <c r="L391" s="509" t="e">
        <f t="shared" ref="L391:L454" si="19">J391/K391</f>
        <v>#DIV/0!</v>
      </c>
    </row>
    <row r="392" spans="1:12">
      <c r="A392" s="397" t="str">
        <f t="shared" ref="A392:A455" si="20">B392&amp;"-"&amp;C392</f>
        <v>-</v>
      </c>
      <c r="F392" s="496"/>
      <c r="G392" s="398"/>
      <c r="J392" s="29"/>
      <c r="K392" s="29"/>
      <c r="L392" s="509" t="e">
        <f t="shared" si="19"/>
        <v>#DIV/0!</v>
      </c>
    </row>
    <row r="393" spans="1:12">
      <c r="A393" s="397" t="str">
        <f t="shared" si="20"/>
        <v>-</v>
      </c>
      <c r="F393" s="496"/>
      <c r="G393" s="398"/>
      <c r="J393" s="29"/>
      <c r="K393" s="29"/>
      <c r="L393" s="509" t="e">
        <f t="shared" si="19"/>
        <v>#DIV/0!</v>
      </c>
    </row>
    <row r="394" spans="1:12">
      <c r="A394" s="397" t="str">
        <f t="shared" si="20"/>
        <v>-</v>
      </c>
      <c r="F394" s="496"/>
      <c r="G394" s="398"/>
      <c r="J394" s="29"/>
      <c r="K394" s="29"/>
      <c r="L394" s="509" t="e">
        <f t="shared" si="19"/>
        <v>#DIV/0!</v>
      </c>
    </row>
    <row r="395" spans="1:12">
      <c r="A395" s="397" t="str">
        <f t="shared" si="20"/>
        <v>-</v>
      </c>
      <c r="F395" s="496"/>
      <c r="G395" s="398"/>
      <c r="J395" s="29"/>
      <c r="K395" s="29"/>
      <c r="L395" s="509" t="e">
        <f t="shared" si="19"/>
        <v>#DIV/0!</v>
      </c>
    </row>
    <row r="396" spans="1:12">
      <c r="A396" s="397" t="str">
        <f t="shared" si="20"/>
        <v>-</v>
      </c>
      <c r="F396" s="496"/>
      <c r="G396" s="398"/>
      <c r="J396" s="29"/>
      <c r="K396" s="29"/>
      <c r="L396" s="509" t="e">
        <f t="shared" si="19"/>
        <v>#DIV/0!</v>
      </c>
    </row>
    <row r="397" spans="1:12">
      <c r="A397" s="397" t="str">
        <f t="shared" si="20"/>
        <v>-</v>
      </c>
      <c r="F397" s="496"/>
      <c r="G397" s="398"/>
      <c r="J397" s="29"/>
      <c r="K397" s="29"/>
      <c r="L397" s="509" t="e">
        <f t="shared" si="19"/>
        <v>#DIV/0!</v>
      </c>
    </row>
    <row r="398" spans="1:12">
      <c r="A398" s="397" t="str">
        <f t="shared" si="20"/>
        <v>-</v>
      </c>
      <c r="F398" s="496"/>
      <c r="G398" s="398"/>
      <c r="J398" s="29"/>
      <c r="K398" s="29"/>
      <c r="L398" s="509" t="e">
        <f t="shared" si="19"/>
        <v>#DIV/0!</v>
      </c>
    </row>
    <row r="399" spans="1:12">
      <c r="A399" s="397" t="str">
        <f t="shared" si="20"/>
        <v>-</v>
      </c>
      <c r="F399" s="496"/>
      <c r="G399" s="398"/>
      <c r="J399" s="29"/>
      <c r="K399" s="29"/>
      <c r="L399" s="509" t="e">
        <f t="shared" si="19"/>
        <v>#DIV/0!</v>
      </c>
    </row>
    <row r="400" spans="1:12">
      <c r="A400" s="397" t="str">
        <f t="shared" si="20"/>
        <v>-</v>
      </c>
      <c r="F400" s="496"/>
      <c r="G400" s="398"/>
      <c r="J400" s="29"/>
      <c r="K400" s="29"/>
      <c r="L400" s="509" t="e">
        <f t="shared" si="19"/>
        <v>#DIV/0!</v>
      </c>
    </row>
    <row r="401" spans="1:12">
      <c r="A401" s="397" t="str">
        <f t="shared" si="20"/>
        <v>-</v>
      </c>
      <c r="F401" s="496"/>
      <c r="G401" s="398"/>
      <c r="J401" s="29"/>
      <c r="K401" s="29"/>
      <c r="L401" s="509" t="e">
        <f t="shared" si="19"/>
        <v>#DIV/0!</v>
      </c>
    </row>
    <row r="402" spans="1:12">
      <c r="A402" s="397" t="str">
        <f t="shared" si="20"/>
        <v>-</v>
      </c>
      <c r="F402" s="496"/>
      <c r="G402" s="398"/>
      <c r="J402" s="29"/>
      <c r="K402" s="29"/>
      <c r="L402" s="509" t="e">
        <f t="shared" si="19"/>
        <v>#DIV/0!</v>
      </c>
    </row>
    <row r="403" spans="1:12">
      <c r="A403" s="397" t="str">
        <f t="shared" si="20"/>
        <v>-</v>
      </c>
      <c r="F403" s="496"/>
      <c r="G403" s="398"/>
      <c r="J403" s="29"/>
      <c r="K403" s="29"/>
      <c r="L403" s="509" t="e">
        <f t="shared" si="19"/>
        <v>#DIV/0!</v>
      </c>
    </row>
    <row r="404" spans="1:12">
      <c r="A404" s="397" t="str">
        <f t="shared" si="20"/>
        <v>-</v>
      </c>
      <c r="F404" s="496"/>
      <c r="G404" s="398"/>
      <c r="J404" s="29"/>
      <c r="K404" s="29"/>
      <c r="L404" s="509" t="e">
        <f t="shared" si="19"/>
        <v>#DIV/0!</v>
      </c>
    </row>
    <row r="405" spans="1:12">
      <c r="A405" s="397" t="str">
        <f t="shared" si="20"/>
        <v>-</v>
      </c>
      <c r="F405" s="496"/>
      <c r="G405" s="398"/>
      <c r="J405" s="29"/>
      <c r="K405" s="29"/>
      <c r="L405" s="509" t="e">
        <f t="shared" si="19"/>
        <v>#DIV/0!</v>
      </c>
    </row>
    <row r="406" spans="1:12">
      <c r="A406" s="397" t="str">
        <f t="shared" si="20"/>
        <v>-</v>
      </c>
      <c r="F406" s="496"/>
      <c r="G406" s="398"/>
      <c r="J406" s="29"/>
      <c r="K406" s="29"/>
      <c r="L406" s="509" t="e">
        <f t="shared" si="19"/>
        <v>#DIV/0!</v>
      </c>
    </row>
    <row r="407" spans="1:12">
      <c r="A407" s="397" t="str">
        <f t="shared" si="20"/>
        <v>-</v>
      </c>
      <c r="F407" s="496"/>
      <c r="G407" s="398"/>
      <c r="J407" s="29"/>
      <c r="K407" s="29"/>
      <c r="L407" s="509" t="e">
        <f t="shared" si="19"/>
        <v>#DIV/0!</v>
      </c>
    </row>
    <row r="408" spans="1:12">
      <c r="A408" s="397" t="str">
        <f t="shared" si="20"/>
        <v>-</v>
      </c>
      <c r="F408" s="496"/>
      <c r="G408" s="398"/>
      <c r="J408" s="29"/>
      <c r="K408" s="29"/>
      <c r="L408" s="509" t="e">
        <f t="shared" si="19"/>
        <v>#DIV/0!</v>
      </c>
    </row>
    <row r="409" spans="1:12">
      <c r="A409" s="397" t="str">
        <f t="shared" si="20"/>
        <v>-</v>
      </c>
      <c r="F409" s="496"/>
      <c r="G409" s="398"/>
      <c r="J409" s="29"/>
      <c r="K409" s="29"/>
      <c r="L409" s="509" t="e">
        <f t="shared" si="19"/>
        <v>#DIV/0!</v>
      </c>
    </row>
    <row r="410" spans="1:12">
      <c r="A410" s="397" t="str">
        <f t="shared" si="20"/>
        <v>-</v>
      </c>
      <c r="F410" s="496"/>
      <c r="G410" s="398"/>
      <c r="J410" s="29"/>
      <c r="K410" s="29"/>
      <c r="L410" s="509" t="e">
        <f t="shared" si="19"/>
        <v>#DIV/0!</v>
      </c>
    </row>
    <row r="411" spans="1:12">
      <c r="A411" s="397" t="str">
        <f t="shared" si="20"/>
        <v>-</v>
      </c>
      <c r="F411" s="496"/>
      <c r="G411" s="398"/>
      <c r="I411" t="s">
        <v>786</v>
      </c>
      <c r="J411" s="29">
        <v>4.9167937645533089</v>
      </c>
      <c r="K411" s="29">
        <v>4.9240000000000004</v>
      </c>
      <c r="L411" s="509">
        <f t="shared" si="19"/>
        <v>0.99853650782967274</v>
      </c>
    </row>
    <row r="412" spans="1:12">
      <c r="A412" s="397" t="str">
        <f t="shared" si="20"/>
        <v>-</v>
      </c>
      <c r="F412" s="496"/>
      <c r="G412" s="398"/>
      <c r="I412" t="s">
        <v>846</v>
      </c>
      <c r="J412" s="29">
        <v>5.0944638818963988</v>
      </c>
      <c r="K412" s="29">
        <v>5.0739999999999998</v>
      </c>
      <c r="L412" s="509">
        <f t="shared" si="19"/>
        <v>1.0040330866961764</v>
      </c>
    </row>
    <row r="413" spans="1:12">
      <c r="A413" s="397" t="str">
        <f t="shared" si="20"/>
        <v>-</v>
      </c>
      <c r="F413" s="496"/>
      <c r="G413" s="398"/>
      <c r="I413" t="s">
        <v>927</v>
      </c>
      <c r="J413" s="29">
        <v>8.2288260891311928</v>
      </c>
      <c r="K413" s="29">
        <v>8.2420000000000009</v>
      </c>
      <c r="L413" s="509">
        <f t="shared" si="19"/>
        <v>0.99840161236728853</v>
      </c>
    </row>
    <row r="414" spans="1:12">
      <c r="A414" s="397" t="str">
        <f t="shared" si="20"/>
        <v>-</v>
      </c>
      <c r="F414" s="496"/>
      <c r="G414" s="398"/>
      <c r="I414" t="s">
        <v>789</v>
      </c>
      <c r="J414" s="29">
        <v>6.8387633776315218</v>
      </c>
      <c r="K414" s="29">
        <v>6.81</v>
      </c>
      <c r="L414" s="509">
        <f t="shared" si="19"/>
        <v>1.0042236971558769</v>
      </c>
    </row>
    <row r="415" spans="1:12">
      <c r="A415" s="397" t="str">
        <f t="shared" si="20"/>
        <v>-</v>
      </c>
      <c r="F415" s="496"/>
      <c r="G415" s="398"/>
      <c r="I415" t="s">
        <v>790</v>
      </c>
      <c r="J415" s="29">
        <v>7.1981127508852349</v>
      </c>
      <c r="K415" s="29">
        <v>7.2460000000000004</v>
      </c>
      <c r="L415" s="509">
        <f t="shared" si="19"/>
        <v>0.99339121596539259</v>
      </c>
    </row>
    <row r="416" spans="1:12">
      <c r="A416" s="397" t="str">
        <f t="shared" si="20"/>
        <v>-</v>
      </c>
      <c r="F416" s="496"/>
      <c r="G416" s="398"/>
      <c r="I416" t="s">
        <v>853</v>
      </c>
      <c r="J416" s="29">
        <v>6.632156019656068</v>
      </c>
      <c r="K416" s="29">
        <v>6.6429999999999998</v>
      </c>
      <c r="L416" s="509">
        <f t="shared" si="19"/>
        <v>0.99836760795665636</v>
      </c>
    </row>
    <row r="417" spans="1:12">
      <c r="A417" s="397" t="str">
        <f t="shared" si="20"/>
        <v>-</v>
      </c>
      <c r="F417" s="496"/>
      <c r="G417" s="398"/>
      <c r="I417" t="s">
        <v>221</v>
      </c>
      <c r="J417" s="29">
        <v>8.8394117066430447</v>
      </c>
      <c r="K417" s="29">
        <v>8.8640000000000008</v>
      </c>
      <c r="L417" s="509">
        <f t="shared" si="19"/>
        <v>0.99722604993716646</v>
      </c>
    </row>
    <row r="418" spans="1:12">
      <c r="A418" s="397" t="str">
        <f t="shared" si="20"/>
        <v>-</v>
      </c>
      <c r="F418" s="496"/>
      <c r="G418" s="398"/>
      <c r="I418" t="s">
        <v>159</v>
      </c>
      <c r="J418" s="29">
        <v>9.1517351860358414</v>
      </c>
      <c r="K418" s="29">
        <v>9.0519999999999996</v>
      </c>
      <c r="L418" s="509">
        <f t="shared" si="19"/>
        <v>1.0110180276221654</v>
      </c>
    </row>
    <row r="419" spans="1:12">
      <c r="A419" s="397" t="str">
        <f t="shared" si="20"/>
        <v>-</v>
      </c>
      <c r="F419" s="496"/>
      <c r="G419" s="398"/>
      <c r="I419" t="s">
        <v>433</v>
      </c>
      <c r="J419" s="29">
        <v>8.1216346704871167</v>
      </c>
      <c r="K419" s="29">
        <v>8.0890000000000004</v>
      </c>
      <c r="L419" s="509">
        <f t="shared" si="19"/>
        <v>1.004034450548537</v>
      </c>
    </row>
    <row r="420" spans="1:12">
      <c r="A420" s="397" t="str">
        <f t="shared" si="20"/>
        <v>-</v>
      </c>
      <c r="F420" s="496"/>
      <c r="G420" s="398"/>
      <c r="I420" t="s">
        <v>189</v>
      </c>
      <c r="J420" s="29">
        <v>9.0082983460559998</v>
      </c>
      <c r="K420" s="29">
        <v>8.9689999999999994</v>
      </c>
      <c r="L420" s="509">
        <f t="shared" si="19"/>
        <v>1.0043815749867322</v>
      </c>
    </row>
    <row r="421" spans="1:12">
      <c r="A421" s="397" t="str">
        <f t="shared" si="20"/>
        <v>-</v>
      </c>
      <c r="F421" s="496"/>
      <c r="G421" s="398"/>
      <c r="I421" t="s">
        <v>1007</v>
      </c>
      <c r="J421" s="29">
        <v>11.142940049274541</v>
      </c>
      <c r="K421" s="29">
        <v>11.135999999999999</v>
      </c>
      <c r="L421" s="509">
        <f t="shared" si="19"/>
        <v>1.0006232084477857</v>
      </c>
    </row>
    <row r="422" spans="1:12">
      <c r="A422" s="397" t="str">
        <f t="shared" si="20"/>
        <v>-</v>
      </c>
      <c r="F422" s="496"/>
      <c r="G422" s="398"/>
      <c r="I422" t="s">
        <v>849</v>
      </c>
      <c r="J422" s="29">
        <v>6.2779602695992205</v>
      </c>
      <c r="K422" s="29">
        <v>6.2240000000000002</v>
      </c>
      <c r="L422" s="509">
        <f t="shared" si="19"/>
        <v>1.0086697091258388</v>
      </c>
    </row>
    <row r="423" spans="1:12">
      <c r="A423" s="397" t="str">
        <f t="shared" si="20"/>
        <v>-</v>
      </c>
      <c r="F423" s="496"/>
      <c r="G423" s="398"/>
      <c r="I423" t="s">
        <v>792</v>
      </c>
      <c r="J423" s="29">
        <v>8.2759229595728687</v>
      </c>
      <c r="K423" s="29">
        <v>8.2390000000000008</v>
      </c>
      <c r="L423" s="509">
        <f t="shared" si="19"/>
        <v>1.0044814855653439</v>
      </c>
    </row>
    <row r="424" spans="1:12">
      <c r="A424" s="397" t="str">
        <f t="shared" si="20"/>
        <v>-</v>
      </c>
      <c r="F424" s="496"/>
      <c r="G424" s="398"/>
      <c r="I424" t="s">
        <v>793</v>
      </c>
      <c r="J424" s="29">
        <v>8.9116114141837759</v>
      </c>
      <c r="K424" s="29">
        <v>8.8439999999999994</v>
      </c>
      <c r="L424" s="509">
        <f t="shared" si="19"/>
        <v>1.0076448907941855</v>
      </c>
    </row>
    <row r="425" spans="1:12">
      <c r="A425" s="397" t="str">
        <f t="shared" si="20"/>
        <v>-</v>
      </c>
      <c r="F425" s="496"/>
      <c r="G425" s="398"/>
      <c r="I425" t="s">
        <v>942</v>
      </c>
      <c r="J425" s="29">
        <v>11.015108161258601</v>
      </c>
      <c r="K425" s="29">
        <v>10.907999999999999</v>
      </c>
      <c r="L425" s="509">
        <f t="shared" si="19"/>
        <v>1.0098192300383757</v>
      </c>
    </row>
    <row r="426" spans="1:12">
      <c r="A426" s="397" t="str">
        <f t="shared" si="20"/>
        <v>-</v>
      </c>
      <c r="F426" s="496"/>
      <c r="G426" s="398"/>
      <c r="I426" t="s">
        <v>943</v>
      </c>
      <c r="J426" s="29">
        <v>10.606165016501663</v>
      </c>
      <c r="K426" s="29">
        <v>10.481</v>
      </c>
      <c r="L426" s="509">
        <f t="shared" si="19"/>
        <v>1.0119420872532834</v>
      </c>
    </row>
    <row r="427" spans="1:12">
      <c r="A427" s="397" t="str">
        <f t="shared" si="20"/>
        <v>-</v>
      </c>
      <c r="F427" s="496"/>
      <c r="G427" s="398"/>
      <c r="I427" t="s">
        <v>553</v>
      </c>
      <c r="J427" s="29">
        <v>9.0010256410256382</v>
      </c>
      <c r="K427" s="29">
        <v>9.01</v>
      </c>
      <c r="L427" s="509">
        <f t="shared" si="19"/>
        <v>0.99900395571871681</v>
      </c>
    </row>
    <row r="428" spans="1:12">
      <c r="A428" s="397" t="str">
        <f t="shared" si="20"/>
        <v>-</v>
      </c>
      <c r="F428" s="496"/>
      <c r="G428" s="398"/>
      <c r="I428" t="s">
        <v>303</v>
      </c>
      <c r="J428" s="29">
        <v>10.730308039068325</v>
      </c>
      <c r="K428" s="29">
        <v>10.704000000000001</v>
      </c>
      <c r="L428" s="509">
        <f t="shared" si="19"/>
        <v>1.0024577764450975</v>
      </c>
    </row>
    <row r="429" spans="1:12">
      <c r="A429" s="397" t="str">
        <f t="shared" si="20"/>
        <v>-</v>
      </c>
      <c r="F429" s="496"/>
      <c r="G429" s="398"/>
      <c r="I429" t="s">
        <v>750</v>
      </c>
      <c r="J429" s="29">
        <v>13.668157142857119</v>
      </c>
      <c r="K429" s="29">
        <v>13.664999999999999</v>
      </c>
      <c r="L429" s="509">
        <f t="shared" si="19"/>
        <v>1.0002310386284026</v>
      </c>
    </row>
    <row r="430" spans="1:12">
      <c r="A430" s="397" t="str">
        <f t="shared" si="20"/>
        <v>-</v>
      </c>
      <c r="F430" s="496"/>
      <c r="G430" s="398"/>
      <c r="I430" t="s">
        <v>185</v>
      </c>
      <c r="J430" s="29">
        <v>10.121438356164386</v>
      </c>
      <c r="K430" s="29">
        <v>10.163</v>
      </c>
      <c r="L430" s="509">
        <f t="shared" si="19"/>
        <v>0.99591049455518899</v>
      </c>
    </row>
    <row r="431" spans="1:12">
      <c r="A431" s="397" t="str">
        <f t="shared" si="20"/>
        <v>-</v>
      </c>
      <c r="F431" s="496"/>
      <c r="G431" s="398"/>
      <c r="I431" t="s">
        <v>854</v>
      </c>
      <c r="J431" s="29">
        <v>7.4741463414634453</v>
      </c>
      <c r="K431" s="29">
        <v>7.4530000000000003</v>
      </c>
      <c r="L431" s="509">
        <f t="shared" si="19"/>
        <v>1.0028372925618469</v>
      </c>
    </row>
    <row r="432" spans="1:12">
      <c r="A432" s="397" t="str">
        <f t="shared" si="20"/>
        <v>-</v>
      </c>
      <c r="F432" s="496"/>
      <c r="G432" s="398"/>
      <c r="I432" t="s">
        <v>855</v>
      </c>
      <c r="J432" s="29">
        <v>7.4794894894895059</v>
      </c>
      <c r="K432" s="29">
        <v>7.4640000000000004</v>
      </c>
      <c r="L432" s="509">
        <f t="shared" si="19"/>
        <v>1.0020752263517558</v>
      </c>
    </row>
    <row r="433" spans="1:12">
      <c r="A433" s="397" t="str">
        <f t="shared" si="20"/>
        <v>-</v>
      </c>
      <c r="F433" s="496"/>
      <c r="G433" s="398"/>
      <c r="I433" t="s">
        <v>422</v>
      </c>
      <c r="J433" s="29">
        <v>9.202683706070248</v>
      </c>
      <c r="K433" s="29">
        <v>9.2270000000000003</v>
      </c>
      <c r="L433" s="509">
        <f t="shared" si="19"/>
        <v>0.99736465872659019</v>
      </c>
    </row>
    <row r="434" spans="1:12">
      <c r="A434" s="397" t="str">
        <f t="shared" si="20"/>
        <v>-</v>
      </c>
      <c r="F434" s="496"/>
      <c r="G434" s="398"/>
      <c r="I434" t="s">
        <v>187</v>
      </c>
      <c r="J434" s="29">
        <v>10.164416761041903</v>
      </c>
      <c r="K434" s="29">
        <v>10.09</v>
      </c>
      <c r="L434" s="509">
        <f t="shared" si="19"/>
        <v>1.0073752984184245</v>
      </c>
    </row>
    <row r="435" spans="1:12">
      <c r="A435" s="397" t="str">
        <f t="shared" si="20"/>
        <v>-</v>
      </c>
      <c r="F435" s="496"/>
      <c r="G435" s="398"/>
      <c r="I435" t="s">
        <v>411</v>
      </c>
      <c r="J435" s="29">
        <v>10.989234393403999</v>
      </c>
      <c r="K435" s="29">
        <v>10.848000000000001</v>
      </c>
      <c r="L435" s="509">
        <f t="shared" si="19"/>
        <v>1.0130193946721975</v>
      </c>
    </row>
    <row r="436" spans="1:12">
      <c r="A436" s="397" t="str">
        <f t="shared" si="20"/>
        <v>-</v>
      </c>
      <c r="F436" s="496"/>
      <c r="G436" s="398"/>
      <c r="I436" t="s">
        <v>184</v>
      </c>
      <c r="J436" s="29">
        <v>8.4484767441860154</v>
      </c>
      <c r="K436" s="29">
        <v>8.39</v>
      </c>
      <c r="L436" s="509">
        <f t="shared" si="19"/>
        <v>1.0069698145632915</v>
      </c>
    </row>
    <row r="437" spans="1:12">
      <c r="A437" s="397" t="str">
        <f t="shared" si="20"/>
        <v>-</v>
      </c>
      <c r="F437" s="496"/>
      <c r="G437" s="398"/>
      <c r="I437" t="s">
        <v>63</v>
      </c>
      <c r="J437" s="29">
        <v>8.5070337922403159</v>
      </c>
      <c r="K437" s="29">
        <v>8.5839999999999996</v>
      </c>
      <c r="L437" s="509">
        <f t="shared" si="19"/>
        <v>0.99103375958065199</v>
      </c>
    </row>
    <row r="438" spans="1:12">
      <c r="A438" s="397" t="str">
        <f t="shared" si="20"/>
        <v>-</v>
      </c>
      <c r="F438" s="496"/>
      <c r="G438" s="398"/>
      <c r="I438" t="s">
        <v>830</v>
      </c>
      <c r="J438" s="29">
        <v>10.560437756497967</v>
      </c>
      <c r="K438" s="29">
        <v>10.48</v>
      </c>
      <c r="L438" s="509">
        <f t="shared" si="19"/>
        <v>1.0076753584444624</v>
      </c>
    </row>
    <row r="439" spans="1:12">
      <c r="A439" s="397" t="str">
        <f t="shared" si="20"/>
        <v>-</v>
      </c>
      <c r="F439" s="496"/>
      <c r="G439" s="398"/>
      <c r="I439" t="s">
        <v>931</v>
      </c>
      <c r="J439" s="29">
        <v>12.059563437926368</v>
      </c>
      <c r="K439" s="29">
        <v>11.946</v>
      </c>
      <c r="L439" s="509">
        <f t="shared" si="19"/>
        <v>1.0095063986209918</v>
      </c>
    </row>
    <row r="440" spans="1:12">
      <c r="A440" s="397" t="str">
        <f t="shared" si="20"/>
        <v>-</v>
      </c>
      <c r="F440" s="496"/>
      <c r="G440" s="398"/>
      <c r="I440" t="s">
        <v>75</v>
      </c>
      <c r="J440" s="29">
        <v>10.845232558139541</v>
      </c>
      <c r="K440" s="29">
        <v>10.731999999999999</v>
      </c>
      <c r="L440" s="509">
        <f t="shared" si="19"/>
        <v>1.010550927892242</v>
      </c>
    </row>
    <row r="441" spans="1:12">
      <c r="A441" s="397" t="str">
        <f t="shared" si="20"/>
        <v>-</v>
      </c>
      <c r="F441" s="496"/>
      <c r="G441" s="398"/>
      <c r="I441" t="s">
        <v>206</v>
      </c>
      <c r="J441" s="29">
        <v>12.234716417910429</v>
      </c>
      <c r="K441" s="29">
        <v>12.284000000000001</v>
      </c>
      <c r="L441" s="509">
        <f t="shared" si="19"/>
        <v>0.99598798582794101</v>
      </c>
    </row>
    <row r="442" spans="1:12">
      <c r="A442" s="397" t="str">
        <f t="shared" si="20"/>
        <v>-</v>
      </c>
      <c r="F442" s="496"/>
      <c r="G442" s="398"/>
      <c r="I442" t="s">
        <v>188</v>
      </c>
      <c r="J442" s="29">
        <v>11.552117647058848</v>
      </c>
      <c r="K442" s="29">
        <v>11.629</v>
      </c>
      <c r="L442" s="509">
        <f t="shared" si="19"/>
        <v>0.99338873910558512</v>
      </c>
    </row>
    <row r="443" spans="1:12">
      <c r="A443" s="397" t="str">
        <f t="shared" si="20"/>
        <v>-</v>
      </c>
      <c r="F443" s="496"/>
      <c r="G443" s="398"/>
      <c r="I443" t="s">
        <v>261</v>
      </c>
      <c r="J443" s="29">
        <v>7.5247758620689762</v>
      </c>
      <c r="K443" s="29">
        <v>7.5149999999999997</v>
      </c>
      <c r="L443" s="509">
        <f t="shared" si="19"/>
        <v>1.0013008465826982</v>
      </c>
    </row>
    <row r="444" spans="1:12">
      <c r="A444" s="397" t="str">
        <f t="shared" si="20"/>
        <v>-</v>
      </c>
      <c r="F444" s="496"/>
      <c r="G444" s="398"/>
      <c r="I444" t="s">
        <v>420</v>
      </c>
      <c r="J444" s="29">
        <v>9.7306534954407091</v>
      </c>
      <c r="K444" s="29">
        <v>9.7560000000000002</v>
      </c>
      <c r="L444" s="509">
        <f t="shared" si="19"/>
        <v>0.99740195730224568</v>
      </c>
    </row>
    <row r="445" spans="1:12">
      <c r="A445" s="397" t="str">
        <f t="shared" si="20"/>
        <v>-</v>
      </c>
      <c r="F445" s="496"/>
      <c r="G445" s="398"/>
      <c r="I445" t="s">
        <v>142</v>
      </c>
      <c r="J445" s="29">
        <v>9.589230769230781</v>
      </c>
      <c r="K445" s="29">
        <v>9.5890000000000004</v>
      </c>
      <c r="L445" s="509">
        <f t="shared" si="19"/>
        <v>1.0000240660372073</v>
      </c>
    </row>
    <row r="446" spans="1:12">
      <c r="A446" s="397" t="str">
        <f t="shared" si="20"/>
        <v>-</v>
      </c>
      <c r="F446" s="496"/>
      <c r="G446" s="398"/>
      <c r="I446" t="s">
        <v>304</v>
      </c>
      <c r="J446" s="29">
        <v>9.9110436137071556</v>
      </c>
      <c r="K446" s="29">
        <v>9.9870000000000001</v>
      </c>
      <c r="L446" s="509">
        <f t="shared" si="19"/>
        <v>0.99239447418715887</v>
      </c>
    </row>
    <row r="447" spans="1:12">
      <c r="A447" s="397" t="str">
        <f t="shared" si="20"/>
        <v>-</v>
      </c>
      <c r="F447" s="496"/>
      <c r="G447" s="398"/>
      <c r="I447" t="s">
        <v>418</v>
      </c>
      <c r="J447" s="29">
        <v>7.9484627575277154</v>
      </c>
      <c r="K447" s="29">
        <v>7.968</v>
      </c>
      <c r="L447" s="509">
        <f t="shared" si="19"/>
        <v>0.99754803683831772</v>
      </c>
    </row>
    <row r="448" spans="1:12">
      <c r="A448" s="397" t="str">
        <f t="shared" si="20"/>
        <v>-</v>
      </c>
      <c r="F448" s="496"/>
      <c r="G448" s="398"/>
      <c r="I448" t="s">
        <v>885</v>
      </c>
      <c r="J448" s="29">
        <v>12.048747855917673</v>
      </c>
      <c r="K448" s="29">
        <v>11.956</v>
      </c>
      <c r="L448" s="509">
        <f t="shared" si="19"/>
        <v>1.0077574319101434</v>
      </c>
    </row>
    <row r="449" spans="1:12">
      <c r="A449" s="397" t="str">
        <f t="shared" si="20"/>
        <v>-</v>
      </c>
      <c r="F449" s="496"/>
      <c r="G449" s="398"/>
      <c r="I449" t="s">
        <v>421</v>
      </c>
      <c r="J449" s="29">
        <v>9.4603411131058959</v>
      </c>
      <c r="K449" s="29">
        <v>9.516</v>
      </c>
      <c r="L449" s="509">
        <f t="shared" si="19"/>
        <v>0.99415102071310379</v>
      </c>
    </row>
    <row r="450" spans="1:12">
      <c r="A450" s="397" t="str">
        <f t="shared" si="20"/>
        <v>-</v>
      </c>
      <c r="F450" s="496"/>
      <c r="G450" s="398"/>
      <c r="I450" t="s">
        <v>404</v>
      </c>
      <c r="J450" s="29">
        <v>10.99664835164835</v>
      </c>
      <c r="K450" s="29">
        <v>10.983000000000001</v>
      </c>
      <c r="L450" s="509">
        <f t="shared" si="19"/>
        <v>1.0012426797458207</v>
      </c>
    </row>
    <row r="451" spans="1:12">
      <c r="A451" s="397" t="str">
        <f t="shared" si="20"/>
        <v>-</v>
      </c>
      <c r="F451" s="496"/>
      <c r="G451" s="398"/>
      <c r="I451" t="s">
        <v>423</v>
      </c>
      <c r="J451" s="29">
        <v>9.912188612099623</v>
      </c>
      <c r="K451" s="29">
        <v>9.9629999999999992</v>
      </c>
      <c r="L451" s="509">
        <f t="shared" si="19"/>
        <v>0.99489999117731842</v>
      </c>
    </row>
    <row r="452" spans="1:12">
      <c r="A452" s="397" t="str">
        <f t="shared" si="20"/>
        <v>-</v>
      </c>
      <c r="F452" s="496"/>
      <c r="G452" s="398"/>
      <c r="I452" t="s">
        <v>202</v>
      </c>
      <c r="J452" s="29">
        <v>12.325403949730736</v>
      </c>
      <c r="K452" s="29">
        <v>12.352</v>
      </c>
      <c r="L452" s="509">
        <f t="shared" si="19"/>
        <v>0.99784682235514377</v>
      </c>
    </row>
    <row r="453" spans="1:12">
      <c r="A453" s="397" t="str">
        <f t="shared" si="20"/>
        <v>-</v>
      </c>
      <c r="F453" s="496"/>
      <c r="G453" s="398"/>
      <c r="I453" t="s">
        <v>831</v>
      </c>
      <c r="J453" s="29">
        <v>13.498343434343429</v>
      </c>
      <c r="K453" s="29">
        <v>13.428000000000001</v>
      </c>
      <c r="L453" s="509">
        <f t="shared" si="19"/>
        <v>1.0052385637729691</v>
      </c>
    </row>
    <row r="454" spans="1:12">
      <c r="A454" s="397" t="str">
        <f t="shared" si="20"/>
        <v>-</v>
      </c>
      <c r="F454" s="496"/>
      <c r="G454" s="398"/>
      <c r="I454" t="s">
        <v>419</v>
      </c>
      <c r="J454" s="29">
        <v>9.0646428571428697</v>
      </c>
      <c r="K454" s="29">
        <v>9.0589999999999993</v>
      </c>
      <c r="L454" s="509">
        <f t="shared" si="19"/>
        <v>1.0006229006670571</v>
      </c>
    </row>
    <row r="455" spans="1:12">
      <c r="A455" s="397" t="str">
        <f t="shared" si="20"/>
        <v>-</v>
      </c>
      <c r="F455" s="496"/>
      <c r="G455" s="398"/>
      <c r="I455" t="s">
        <v>461</v>
      </c>
      <c r="J455" s="29">
        <v>15.399405737704907</v>
      </c>
      <c r="K455" s="29">
        <v>15.343999999999999</v>
      </c>
      <c r="L455" s="509">
        <f t="shared" ref="L455:L518" si="21">J455/K455</f>
        <v>1.0036109057419778</v>
      </c>
    </row>
    <row r="456" spans="1:12">
      <c r="A456" s="397" t="str">
        <f t="shared" ref="A456:A519" si="22">B456&amp;"-"&amp;C456</f>
        <v>-</v>
      </c>
      <c r="F456" s="496"/>
      <c r="G456" s="398"/>
      <c r="I456" t="s">
        <v>556</v>
      </c>
      <c r="J456" s="29">
        <v>16.408013544018054</v>
      </c>
      <c r="K456" s="29">
        <v>16.079999999999998</v>
      </c>
      <c r="L456" s="509">
        <f t="shared" si="21"/>
        <v>1.0203988522399288</v>
      </c>
    </row>
    <row r="457" spans="1:12">
      <c r="A457" s="397" t="str">
        <f t="shared" si="22"/>
        <v>-</v>
      </c>
      <c r="F457" s="496"/>
      <c r="G457" s="398"/>
      <c r="I457" t="s">
        <v>555</v>
      </c>
      <c r="J457" s="29">
        <v>16.54191011235956</v>
      </c>
      <c r="K457" s="29">
        <v>16.266999999999999</v>
      </c>
      <c r="L457" s="509">
        <f t="shared" si="21"/>
        <v>1.0168998655166632</v>
      </c>
    </row>
    <row r="458" spans="1:12">
      <c r="A458" s="397" t="str">
        <f t="shared" si="22"/>
        <v>-</v>
      </c>
      <c r="F458" s="496"/>
      <c r="G458" s="398"/>
      <c r="I458" t="s">
        <v>179</v>
      </c>
      <c r="J458" s="29">
        <v>10.554911111111124</v>
      </c>
      <c r="K458" s="29">
        <v>10.628</v>
      </c>
      <c r="L458" s="509">
        <f t="shared" si="21"/>
        <v>0.9931229874963422</v>
      </c>
    </row>
    <row r="459" spans="1:12">
      <c r="A459" s="397" t="str">
        <f t="shared" si="22"/>
        <v>-</v>
      </c>
      <c r="F459" s="496"/>
      <c r="G459" s="398"/>
      <c r="I459" t="s">
        <v>940</v>
      </c>
      <c r="J459" s="29">
        <v>10.332072892938488</v>
      </c>
      <c r="K459" s="29">
        <v>10.268000000000001</v>
      </c>
      <c r="L459" s="509">
        <f t="shared" si="21"/>
        <v>1.0062400557984503</v>
      </c>
    </row>
    <row r="460" spans="1:12">
      <c r="A460" s="397" t="str">
        <f t="shared" si="22"/>
        <v>-</v>
      </c>
      <c r="F460" s="496"/>
      <c r="G460" s="398"/>
      <c r="I460" t="s">
        <v>297</v>
      </c>
      <c r="J460" s="29">
        <v>8.5153822629969405</v>
      </c>
      <c r="K460" s="29">
        <v>8.5120000000000005</v>
      </c>
      <c r="L460" s="509">
        <f t="shared" si="21"/>
        <v>1.0003973523257683</v>
      </c>
    </row>
    <row r="461" spans="1:12">
      <c r="A461" s="397" t="str">
        <f t="shared" si="22"/>
        <v>-</v>
      </c>
      <c r="F461" s="496"/>
      <c r="G461" s="398"/>
      <c r="I461" t="s">
        <v>938</v>
      </c>
      <c r="J461" s="29">
        <v>11.16058641975309</v>
      </c>
      <c r="K461" s="29">
        <v>11.009</v>
      </c>
      <c r="L461" s="509">
        <f t="shared" si="21"/>
        <v>1.0137693178084375</v>
      </c>
    </row>
    <row r="462" spans="1:12">
      <c r="A462" s="397" t="str">
        <f t="shared" si="22"/>
        <v>-</v>
      </c>
      <c r="F462" s="496"/>
      <c r="G462" s="398"/>
      <c r="I462" t="s">
        <v>1014</v>
      </c>
      <c r="J462" s="29">
        <v>11.122832167832168</v>
      </c>
      <c r="K462" s="29">
        <v>11.143000000000001</v>
      </c>
      <c r="L462" s="509">
        <f t="shared" si="21"/>
        <v>0.99819008954789268</v>
      </c>
    </row>
    <row r="463" spans="1:12">
      <c r="A463" s="397" t="str">
        <f t="shared" si="22"/>
        <v>-</v>
      </c>
      <c r="F463" s="496"/>
      <c r="G463" s="398"/>
      <c r="I463" t="s">
        <v>936</v>
      </c>
      <c r="J463" s="29">
        <v>12.483311258278148</v>
      </c>
      <c r="K463" s="29">
        <v>12.435</v>
      </c>
      <c r="L463" s="509">
        <f t="shared" si="21"/>
        <v>1.003885103198886</v>
      </c>
    </row>
    <row r="464" spans="1:12">
      <c r="A464" s="397" t="str">
        <f t="shared" si="22"/>
        <v>-</v>
      </c>
      <c r="F464" s="496"/>
      <c r="G464" s="398"/>
      <c r="I464" t="s">
        <v>301</v>
      </c>
      <c r="J464" s="29">
        <v>10.769196787148593</v>
      </c>
      <c r="K464" s="29">
        <v>10.753</v>
      </c>
      <c r="L464" s="509">
        <f t="shared" si="21"/>
        <v>1.0015062575233509</v>
      </c>
    </row>
    <row r="465" spans="1:12">
      <c r="A465" s="397" t="str">
        <f t="shared" si="22"/>
        <v>-</v>
      </c>
      <c r="F465" s="496"/>
      <c r="G465" s="398"/>
      <c r="I465" t="s">
        <v>395</v>
      </c>
      <c r="J465" s="29">
        <v>11.564008097165992</v>
      </c>
      <c r="K465" s="29">
        <v>11.557</v>
      </c>
      <c r="L465" s="509">
        <f t="shared" si="21"/>
        <v>1.0006063941477885</v>
      </c>
    </row>
    <row r="466" spans="1:12">
      <c r="A466" s="397" t="str">
        <f t="shared" si="22"/>
        <v>-</v>
      </c>
      <c r="F466" s="496"/>
      <c r="G466" s="398"/>
      <c r="I466" t="s">
        <v>183</v>
      </c>
      <c r="J466" s="29">
        <v>11.958008474576278</v>
      </c>
      <c r="K466" s="29">
        <v>12.114000000000001</v>
      </c>
      <c r="L466" s="509">
        <f t="shared" si="21"/>
        <v>0.98712303735977192</v>
      </c>
    </row>
    <row r="467" spans="1:12">
      <c r="A467" s="397" t="str">
        <f t="shared" si="22"/>
        <v>-</v>
      </c>
      <c r="F467" s="496"/>
      <c r="G467" s="398"/>
      <c r="I467" t="s">
        <v>255</v>
      </c>
      <c r="J467" s="29">
        <v>10.537631578947352</v>
      </c>
      <c r="K467" s="29">
        <v>10.54</v>
      </c>
      <c r="L467" s="509">
        <f t="shared" si="21"/>
        <v>0.99977529212024219</v>
      </c>
    </row>
    <row r="468" spans="1:12">
      <c r="A468" s="397" t="str">
        <f t="shared" si="22"/>
        <v>-</v>
      </c>
      <c r="F468" s="496"/>
      <c r="G468" s="398"/>
      <c r="I468" t="s">
        <v>177</v>
      </c>
      <c r="J468" s="29">
        <v>11.178421052631592</v>
      </c>
      <c r="K468" s="29">
        <v>11.298999999999999</v>
      </c>
      <c r="L468" s="509">
        <f t="shared" si="21"/>
        <v>0.98932835229945948</v>
      </c>
    </row>
    <row r="469" spans="1:12">
      <c r="A469" s="397" t="str">
        <f t="shared" si="22"/>
        <v>-</v>
      </c>
      <c r="F469" s="496"/>
      <c r="G469" s="398"/>
      <c r="I469" t="s">
        <v>181</v>
      </c>
      <c r="J469" s="29">
        <v>12.519851851851847</v>
      </c>
      <c r="K469" s="29">
        <v>12.536</v>
      </c>
      <c r="L469" s="509">
        <f t="shared" si="21"/>
        <v>0.99871185799711604</v>
      </c>
    </row>
    <row r="470" spans="1:12">
      <c r="A470" s="397" t="str">
        <f t="shared" si="22"/>
        <v>-</v>
      </c>
      <c r="F470" s="496"/>
      <c r="G470" s="398"/>
      <c r="I470" t="s">
        <v>284</v>
      </c>
      <c r="J470" s="29">
        <v>12.209503546099304</v>
      </c>
      <c r="K470" s="29">
        <v>12.073</v>
      </c>
      <c r="L470" s="509">
        <f t="shared" si="21"/>
        <v>1.0113065142134767</v>
      </c>
    </row>
    <row r="471" spans="1:12">
      <c r="A471" s="397" t="str">
        <f t="shared" si="22"/>
        <v>-</v>
      </c>
      <c r="F471" s="496"/>
      <c r="G471" s="398"/>
      <c r="I471" t="s">
        <v>424</v>
      </c>
      <c r="J471" s="29">
        <v>9.8677037037036932</v>
      </c>
      <c r="K471" s="29">
        <v>9.7769999999999992</v>
      </c>
      <c r="L471" s="509">
        <f t="shared" si="21"/>
        <v>1.0092772531148302</v>
      </c>
    </row>
    <row r="472" spans="1:12">
      <c r="A472" s="397" t="str">
        <f t="shared" si="22"/>
        <v>-</v>
      </c>
      <c r="F472" s="496"/>
      <c r="G472" s="398"/>
      <c r="I472" t="s">
        <v>847</v>
      </c>
      <c r="J472" s="29">
        <v>5.7994999999999992</v>
      </c>
      <c r="K472" s="29">
        <v>5.6890000000000001</v>
      </c>
      <c r="L472" s="509">
        <f t="shared" si="21"/>
        <v>1.0194234487607663</v>
      </c>
    </row>
    <row r="473" spans="1:12">
      <c r="A473" s="397" t="str">
        <f t="shared" si="22"/>
        <v>-</v>
      </c>
      <c r="F473" s="496"/>
      <c r="G473" s="398"/>
      <c r="I473" t="s">
        <v>58</v>
      </c>
      <c r="J473" s="29">
        <v>8.5508181818181761</v>
      </c>
      <c r="K473" s="29">
        <v>8.4610000000000003</v>
      </c>
      <c r="L473" s="509">
        <f t="shared" si="21"/>
        <v>1.010615551568157</v>
      </c>
    </row>
    <row r="474" spans="1:12">
      <c r="A474" s="397" t="str">
        <f t="shared" si="22"/>
        <v>-</v>
      </c>
      <c r="F474" s="496"/>
      <c r="G474" s="398"/>
      <c r="I474" t="s">
        <v>220</v>
      </c>
      <c r="J474" s="29">
        <v>14.070097087378635</v>
      </c>
      <c r="K474" s="29">
        <v>13.974</v>
      </c>
      <c r="L474" s="509">
        <f t="shared" si="21"/>
        <v>1.0068768489608297</v>
      </c>
    </row>
    <row r="475" spans="1:12">
      <c r="A475" s="397" t="str">
        <f t="shared" si="22"/>
        <v>-</v>
      </c>
      <c r="F475" s="496"/>
      <c r="G475" s="398"/>
      <c r="I475" t="s">
        <v>478</v>
      </c>
      <c r="J475" s="29">
        <v>15.290405405405403</v>
      </c>
      <c r="K475" s="29">
        <v>15.167999999999999</v>
      </c>
      <c r="L475" s="509">
        <f t="shared" si="21"/>
        <v>1.0080699766221917</v>
      </c>
    </row>
    <row r="476" spans="1:12">
      <c r="A476" s="397" t="str">
        <f t="shared" si="22"/>
        <v>-</v>
      </c>
      <c r="F476" s="496"/>
      <c r="G476" s="398"/>
      <c r="I476" t="s">
        <v>245</v>
      </c>
      <c r="J476" s="29">
        <v>14.319999999999999</v>
      </c>
      <c r="K476" s="29">
        <v>14.24</v>
      </c>
      <c r="L476" s="509">
        <f t="shared" si="21"/>
        <v>1.0056179775280898</v>
      </c>
    </row>
    <row r="477" spans="1:12">
      <c r="A477" s="397" t="str">
        <f t="shared" si="22"/>
        <v>-</v>
      </c>
      <c r="F477" s="496"/>
      <c r="G477" s="398"/>
      <c r="I477" t="s">
        <v>435</v>
      </c>
      <c r="J477" s="29">
        <v>6.392924528301883</v>
      </c>
      <c r="K477" s="29">
        <v>6.3879999999999999</v>
      </c>
      <c r="L477" s="509">
        <f t="shared" si="21"/>
        <v>1.000770902990276</v>
      </c>
    </row>
    <row r="478" spans="1:12">
      <c r="A478" s="397" t="str">
        <f t="shared" si="22"/>
        <v>-</v>
      </c>
      <c r="F478" s="496"/>
      <c r="G478" s="398"/>
      <c r="I478" t="s">
        <v>1040</v>
      </c>
      <c r="J478" s="29">
        <v>7.5091666666666663</v>
      </c>
      <c r="K478" s="29">
        <v>7.5460000000000003</v>
      </c>
      <c r="L478" s="509">
        <f t="shared" si="21"/>
        <v>0.99511882675147978</v>
      </c>
    </row>
    <row r="479" spans="1:12">
      <c r="A479" s="397" t="str">
        <f t="shared" si="22"/>
        <v>-</v>
      </c>
      <c r="F479" s="496"/>
      <c r="G479" s="398"/>
      <c r="I479" t="s">
        <v>336</v>
      </c>
      <c r="J479" s="29">
        <v>9.9149999999999991</v>
      </c>
      <c r="K479" s="29">
        <v>9.7309999999999999</v>
      </c>
      <c r="L479" s="509">
        <f t="shared" si="21"/>
        <v>1.0189086424827869</v>
      </c>
    </row>
    <row r="480" spans="1:12">
      <c r="A480" s="397" t="str">
        <f t="shared" si="22"/>
        <v>-</v>
      </c>
      <c r="F480" s="496"/>
      <c r="G480" s="398"/>
      <c r="I480" t="s">
        <v>61</v>
      </c>
      <c r="J480" s="29">
        <v>7.4977777777777783</v>
      </c>
      <c r="K480" s="29">
        <v>7.43</v>
      </c>
      <c r="L480" s="509">
        <f t="shared" si="21"/>
        <v>1.0091221773590551</v>
      </c>
    </row>
    <row r="481" spans="1:12">
      <c r="A481" s="397" t="str">
        <f t="shared" si="22"/>
        <v>-</v>
      </c>
      <c r="F481" s="496"/>
      <c r="G481" s="398"/>
      <c r="I481" t="s">
        <v>412</v>
      </c>
      <c r="J481" s="29">
        <v>6.9499999999999993</v>
      </c>
      <c r="K481" s="29">
        <v>6.9329999999999998</v>
      </c>
      <c r="L481" s="509">
        <f t="shared" si="21"/>
        <v>1.0024520409635078</v>
      </c>
    </row>
    <row r="482" spans="1:12">
      <c r="A482" s="397" t="str">
        <f t="shared" si="22"/>
        <v>-</v>
      </c>
      <c r="F482" s="496"/>
      <c r="G482" s="398"/>
      <c r="J482" s="29"/>
      <c r="K482" s="29"/>
      <c r="L482" s="509" t="e">
        <f t="shared" si="21"/>
        <v>#DIV/0!</v>
      </c>
    </row>
    <row r="483" spans="1:12">
      <c r="A483" s="397" t="str">
        <f t="shared" si="22"/>
        <v>-</v>
      </c>
      <c r="F483" s="496"/>
      <c r="G483" s="398"/>
      <c r="I483" t="s">
        <v>789</v>
      </c>
      <c r="J483" s="29">
        <v>6.8486652895845319</v>
      </c>
      <c r="K483" s="29">
        <v>6.7880000000000003</v>
      </c>
      <c r="L483" s="509">
        <f t="shared" si="21"/>
        <v>1.0089371375345508</v>
      </c>
    </row>
    <row r="484" spans="1:12">
      <c r="A484" s="397" t="str">
        <f t="shared" si="22"/>
        <v>-</v>
      </c>
      <c r="F484" s="496"/>
      <c r="G484" s="398"/>
      <c r="I484" t="s">
        <v>790</v>
      </c>
      <c r="J484" s="29">
        <v>7.2393905993806777</v>
      </c>
      <c r="K484" s="29">
        <v>7.2460000000000004</v>
      </c>
      <c r="L484" s="509">
        <f t="shared" si="21"/>
        <v>0.99908785528300814</v>
      </c>
    </row>
    <row r="485" spans="1:12">
      <c r="A485" s="397" t="str">
        <f t="shared" si="22"/>
        <v>-</v>
      </c>
      <c r="F485" s="496"/>
      <c r="G485" s="398"/>
      <c r="I485" t="s">
        <v>847</v>
      </c>
      <c r="J485" s="29">
        <v>5.7757226666666943</v>
      </c>
      <c r="K485" s="29">
        <v>5.6890000000000001</v>
      </c>
      <c r="L485" s="509">
        <f t="shared" si="21"/>
        <v>1.0152439210171724</v>
      </c>
    </row>
    <row r="486" spans="1:12">
      <c r="A486" s="397" t="str">
        <f t="shared" si="22"/>
        <v>-</v>
      </c>
      <c r="F486" s="496"/>
      <c r="G486" s="398"/>
      <c r="I486" t="s">
        <v>942</v>
      </c>
      <c r="J486" s="29">
        <v>10.985910693301983</v>
      </c>
      <c r="K486" s="29">
        <v>10.919</v>
      </c>
      <c r="L486" s="509">
        <f t="shared" si="21"/>
        <v>1.0061279140307704</v>
      </c>
    </row>
    <row r="487" spans="1:12">
      <c r="A487" s="397" t="str">
        <f t="shared" si="22"/>
        <v>-</v>
      </c>
      <c r="F487" s="496"/>
      <c r="G487" s="398"/>
      <c r="I487" t="s">
        <v>927</v>
      </c>
      <c r="J487" s="29">
        <v>8.2426973602676661</v>
      </c>
      <c r="K487" s="29">
        <v>8.2360000000000007</v>
      </c>
      <c r="L487" s="509">
        <f t="shared" si="21"/>
        <v>1.0008131811884005</v>
      </c>
    </row>
    <row r="488" spans="1:12">
      <c r="A488" s="397" t="str">
        <f t="shared" si="22"/>
        <v>-</v>
      </c>
      <c r="F488" s="496"/>
      <c r="G488" s="398"/>
      <c r="I488" t="s">
        <v>931</v>
      </c>
      <c r="J488" s="29">
        <v>11.992913793103426</v>
      </c>
      <c r="K488" s="29">
        <v>11.946</v>
      </c>
      <c r="L488" s="509">
        <f t="shared" si="21"/>
        <v>1.0039271549559206</v>
      </c>
    </row>
    <row r="489" spans="1:12">
      <c r="A489" s="397" t="str">
        <f t="shared" si="22"/>
        <v>-</v>
      </c>
      <c r="F489" s="496"/>
      <c r="G489" s="398"/>
      <c r="I489" t="s">
        <v>180</v>
      </c>
      <c r="J489" s="29">
        <v>11.425654281098536</v>
      </c>
      <c r="K489" s="29">
        <v>11.471</v>
      </c>
      <c r="L489" s="509">
        <f t="shared" si="21"/>
        <v>0.99604692538562778</v>
      </c>
    </row>
    <row r="490" spans="1:12">
      <c r="A490" s="397" t="str">
        <f t="shared" si="22"/>
        <v>-</v>
      </c>
      <c r="F490" s="496"/>
      <c r="G490" s="398"/>
      <c r="I490" t="s">
        <v>830</v>
      </c>
      <c r="J490" s="29">
        <v>10.579634194831037</v>
      </c>
      <c r="K490" s="29">
        <v>10.48</v>
      </c>
      <c r="L490" s="509">
        <f t="shared" si="21"/>
        <v>1.0095070796594501</v>
      </c>
    </row>
    <row r="491" spans="1:12">
      <c r="A491" s="397" t="str">
        <f t="shared" si="22"/>
        <v>-</v>
      </c>
      <c r="F491" s="496"/>
      <c r="G491" s="398"/>
      <c r="I491" t="s">
        <v>420</v>
      </c>
      <c r="J491" s="29">
        <v>9.7911586051743633</v>
      </c>
      <c r="K491" s="29">
        <v>9.7560000000000002</v>
      </c>
      <c r="L491" s="509">
        <f t="shared" si="21"/>
        <v>1.0036037930683028</v>
      </c>
    </row>
    <row r="492" spans="1:12">
      <c r="A492" s="397" t="str">
        <f t="shared" si="22"/>
        <v>-</v>
      </c>
      <c r="F492" s="496"/>
      <c r="G492" s="398"/>
      <c r="I492" t="s">
        <v>855</v>
      </c>
      <c r="J492" s="29">
        <v>7.4964703416475853</v>
      </c>
      <c r="K492" s="29">
        <v>7.4640000000000004</v>
      </c>
      <c r="L492" s="509">
        <f t="shared" si="21"/>
        <v>1.0043502601349925</v>
      </c>
    </row>
    <row r="493" spans="1:12">
      <c r="A493" s="397" t="str">
        <f t="shared" si="22"/>
        <v>-</v>
      </c>
      <c r="F493" s="496"/>
      <c r="G493" s="398"/>
      <c r="I493" t="s">
        <v>792</v>
      </c>
      <c r="J493" s="29">
        <v>8.3257321095654291</v>
      </c>
      <c r="K493" s="29">
        <v>8.2390000000000008</v>
      </c>
      <c r="L493" s="509">
        <f t="shared" si="21"/>
        <v>1.0105270190029649</v>
      </c>
    </row>
    <row r="494" spans="1:12">
      <c r="A494" s="397" t="str">
        <f t="shared" si="22"/>
        <v>-</v>
      </c>
      <c r="F494" s="496"/>
      <c r="G494" s="398"/>
      <c r="I494" t="s">
        <v>422</v>
      </c>
      <c r="J494" s="29">
        <v>9.1687240356082746</v>
      </c>
      <c r="K494" s="29">
        <v>9.2270000000000003</v>
      </c>
      <c r="L494" s="509">
        <f t="shared" si="21"/>
        <v>0.99368419156912047</v>
      </c>
    </row>
    <row r="495" spans="1:12">
      <c r="A495" s="397" t="str">
        <f t="shared" si="22"/>
        <v>-</v>
      </c>
      <c r="F495" s="496"/>
      <c r="G495" s="398"/>
      <c r="I495" t="s">
        <v>786</v>
      </c>
      <c r="J495" s="29">
        <v>4.9628107677499482</v>
      </c>
      <c r="K495" s="29">
        <v>4.9180000000000001</v>
      </c>
      <c r="L495" s="509">
        <f t="shared" si="21"/>
        <v>1.0091115835197129</v>
      </c>
    </row>
    <row r="496" spans="1:12">
      <c r="A496" s="397" t="str">
        <f t="shared" si="22"/>
        <v>-</v>
      </c>
      <c r="F496" s="496"/>
      <c r="G496" s="398"/>
      <c r="I496" t="s">
        <v>885</v>
      </c>
      <c r="J496" s="29">
        <v>11.983370030581</v>
      </c>
      <c r="K496" s="29">
        <v>11.956</v>
      </c>
      <c r="L496" s="509">
        <f t="shared" si="21"/>
        <v>1.0022892297240715</v>
      </c>
    </row>
    <row r="497" spans="1:12">
      <c r="A497" s="397" t="str">
        <f t="shared" si="22"/>
        <v>-</v>
      </c>
      <c r="F497" s="496"/>
      <c r="G497" s="398"/>
      <c r="I497" t="s">
        <v>189</v>
      </c>
      <c r="J497" s="29">
        <v>9.0735146036160508</v>
      </c>
      <c r="K497" s="29">
        <v>8.9689999999999994</v>
      </c>
      <c r="L497" s="509">
        <f t="shared" si="21"/>
        <v>1.0116528714032837</v>
      </c>
    </row>
    <row r="498" spans="1:12">
      <c r="A498" s="397" t="str">
        <f t="shared" si="22"/>
        <v>-</v>
      </c>
      <c r="F498" s="496"/>
      <c r="G498" s="398"/>
      <c r="I498" t="s">
        <v>187</v>
      </c>
      <c r="J498" s="29">
        <v>10.101277871751462</v>
      </c>
      <c r="K498" s="29">
        <v>10.089</v>
      </c>
      <c r="L498" s="509">
        <f t="shared" si="21"/>
        <v>1.0012169562643931</v>
      </c>
    </row>
    <row r="499" spans="1:12">
      <c r="A499" s="397" t="str">
        <f t="shared" si="22"/>
        <v>-</v>
      </c>
      <c r="F499" s="496"/>
      <c r="G499" s="398"/>
      <c r="I499" t="s">
        <v>185</v>
      </c>
      <c r="J499" s="29">
        <v>10.192162309368184</v>
      </c>
      <c r="K499" s="29">
        <v>10.163</v>
      </c>
      <c r="L499" s="509">
        <f t="shared" si="21"/>
        <v>1.0028694587590459</v>
      </c>
    </row>
    <row r="500" spans="1:12">
      <c r="A500" s="397" t="str">
        <f t="shared" si="22"/>
        <v>-</v>
      </c>
      <c r="F500" s="496"/>
      <c r="G500" s="398"/>
      <c r="I500" t="s">
        <v>793</v>
      </c>
      <c r="J500" s="29">
        <v>8.9392690417689948</v>
      </c>
      <c r="K500" s="29">
        <v>8.8439999999999994</v>
      </c>
      <c r="L500" s="509">
        <f t="shared" si="21"/>
        <v>1.0107721666405467</v>
      </c>
    </row>
    <row r="501" spans="1:12">
      <c r="A501" s="397" t="str">
        <f t="shared" si="22"/>
        <v>-</v>
      </c>
      <c r="F501" s="496"/>
      <c r="G501" s="398"/>
      <c r="I501" t="s">
        <v>471</v>
      </c>
      <c r="J501" s="29">
        <v>10.398545816733089</v>
      </c>
      <c r="K501" s="29">
        <v>10.374000000000001</v>
      </c>
      <c r="L501" s="509">
        <f t="shared" si="21"/>
        <v>1.0023660899106506</v>
      </c>
    </row>
    <row r="502" spans="1:12">
      <c r="A502" s="397" t="str">
        <f t="shared" si="22"/>
        <v>-</v>
      </c>
      <c r="F502" s="496"/>
      <c r="G502" s="398"/>
      <c r="I502" t="s">
        <v>159</v>
      </c>
      <c r="J502" s="29">
        <v>9.1811651299245156</v>
      </c>
      <c r="K502" s="29">
        <v>9.0519999999999996</v>
      </c>
      <c r="L502" s="509">
        <f t="shared" si="21"/>
        <v>1.0142692366244495</v>
      </c>
    </row>
    <row r="503" spans="1:12">
      <c r="A503" s="397" t="str">
        <f t="shared" si="22"/>
        <v>-</v>
      </c>
      <c r="F503" s="496"/>
      <c r="G503" s="398"/>
      <c r="I503" t="s">
        <v>813</v>
      </c>
      <c r="J503" s="29">
        <v>6.7165060240963665</v>
      </c>
      <c r="K503" s="29">
        <v>6.6760000000000002</v>
      </c>
      <c r="L503" s="509">
        <f t="shared" si="21"/>
        <v>1.0060674092415169</v>
      </c>
    </row>
    <row r="504" spans="1:12">
      <c r="A504" s="397" t="str">
        <f t="shared" si="22"/>
        <v>-</v>
      </c>
      <c r="F504" s="496"/>
      <c r="G504" s="398"/>
      <c r="I504" t="s">
        <v>854</v>
      </c>
      <c r="J504" s="29">
        <v>7.453100039154239</v>
      </c>
      <c r="K504" s="29">
        <v>7.4530000000000003</v>
      </c>
      <c r="L504" s="509">
        <f t="shared" si="21"/>
        <v>1.0000134226692927</v>
      </c>
    </row>
    <row r="505" spans="1:12">
      <c r="A505" s="397" t="str">
        <f t="shared" si="22"/>
        <v>-</v>
      </c>
      <c r="F505" s="496"/>
      <c r="G505" s="398"/>
      <c r="I505" t="s">
        <v>846</v>
      </c>
      <c r="J505" s="29">
        <v>5.1413900266375805</v>
      </c>
      <c r="K505" s="29">
        <v>5.0739999999999998</v>
      </c>
      <c r="L505" s="509">
        <f t="shared" si="21"/>
        <v>1.0132814400152899</v>
      </c>
    </row>
    <row r="506" spans="1:12">
      <c r="A506" s="397" t="str">
        <f t="shared" si="22"/>
        <v>-</v>
      </c>
      <c r="F506" s="496"/>
      <c r="G506" s="398"/>
      <c r="I506" t="s">
        <v>419</v>
      </c>
      <c r="J506" s="29">
        <v>9.0364903225806916</v>
      </c>
      <c r="K506" s="29">
        <v>9.0589999999999993</v>
      </c>
      <c r="L506" s="509">
        <f t="shared" si="21"/>
        <v>0.99751521388461117</v>
      </c>
    </row>
    <row r="507" spans="1:12">
      <c r="A507" s="397" t="str">
        <f t="shared" si="22"/>
        <v>-</v>
      </c>
      <c r="F507" s="496"/>
      <c r="G507" s="398"/>
      <c r="I507" t="s">
        <v>852</v>
      </c>
      <c r="J507" s="29">
        <v>6.9216820631254388</v>
      </c>
      <c r="K507" s="29">
        <v>6.8449999999999998</v>
      </c>
      <c r="L507" s="509">
        <f t="shared" si="21"/>
        <v>1.0112026388788078</v>
      </c>
    </row>
    <row r="508" spans="1:12">
      <c r="A508" s="397" t="str">
        <f t="shared" si="22"/>
        <v>-</v>
      </c>
      <c r="F508" s="496"/>
      <c r="G508" s="398"/>
      <c r="I508" t="s">
        <v>303</v>
      </c>
      <c r="J508" s="29">
        <v>10.826951724137974</v>
      </c>
      <c r="K508" s="29">
        <v>10.704000000000001</v>
      </c>
      <c r="L508" s="509">
        <f t="shared" si="21"/>
        <v>1.0114865213133384</v>
      </c>
    </row>
    <row r="509" spans="1:12">
      <c r="A509" s="397" t="str">
        <f t="shared" si="22"/>
        <v>-</v>
      </c>
      <c r="F509" s="496"/>
      <c r="G509" s="398"/>
      <c r="I509" t="s">
        <v>853</v>
      </c>
      <c r="J509" s="29">
        <v>6.6569363185129715</v>
      </c>
      <c r="K509" s="29">
        <v>6.6429999999999998</v>
      </c>
      <c r="L509" s="509">
        <f t="shared" si="21"/>
        <v>1.0020978953052795</v>
      </c>
    </row>
    <row r="510" spans="1:12">
      <c r="A510" s="397" t="str">
        <f t="shared" si="22"/>
        <v>-</v>
      </c>
      <c r="F510" s="496"/>
      <c r="G510" s="398"/>
      <c r="I510" t="s">
        <v>304</v>
      </c>
      <c r="J510" s="29">
        <v>9.9565723270439541</v>
      </c>
      <c r="K510" s="29">
        <v>9.9870000000000001</v>
      </c>
      <c r="L510" s="509">
        <f t="shared" si="21"/>
        <v>0.9969532719579407</v>
      </c>
    </row>
    <row r="511" spans="1:12">
      <c r="A511" s="397" t="str">
        <f t="shared" si="22"/>
        <v>-</v>
      </c>
      <c r="F511" s="496"/>
      <c r="G511" s="398"/>
      <c r="I511" t="s">
        <v>750</v>
      </c>
      <c r="J511" s="29">
        <v>13.706780219780223</v>
      </c>
      <c r="K511" s="29">
        <v>13.664999999999999</v>
      </c>
      <c r="L511" s="509">
        <f t="shared" si="21"/>
        <v>1.0030574621134449</v>
      </c>
    </row>
    <row r="512" spans="1:12">
      <c r="A512" s="397" t="str">
        <f t="shared" si="22"/>
        <v>-</v>
      </c>
      <c r="F512" s="496"/>
      <c r="G512" s="398"/>
      <c r="I512" t="s">
        <v>943</v>
      </c>
      <c r="J512" s="29">
        <v>10.542261976955695</v>
      </c>
      <c r="K512" s="29">
        <v>10.481</v>
      </c>
      <c r="L512" s="509">
        <f t="shared" si="21"/>
        <v>1.0058450507542882</v>
      </c>
    </row>
    <row r="513" spans="1:12">
      <c r="A513" s="397" t="str">
        <f t="shared" si="22"/>
        <v>-</v>
      </c>
      <c r="F513" s="496"/>
      <c r="G513" s="398"/>
      <c r="I513" t="s">
        <v>221</v>
      </c>
      <c r="J513" s="29">
        <v>8.8669085322618848</v>
      </c>
      <c r="K513" s="29">
        <v>8.8640000000000008</v>
      </c>
      <c r="L513" s="509">
        <f t="shared" si="21"/>
        <v>1.000328128639653</v>
      </c>
    </row>
    <row r="514" spans="1:12">
      <c r="A514" s="397" t="str">
        <f t="shared" si="22"/>
        <v>-</v>
      </c>
      <c r="F514" s="496"/>
      <c r="G514" s="398"/>
      <c r="I514" t="s">
        <v>206</v>
      </c>
      <c r="J514" s="29">
        <v>12.249323204419881</v>
      </c>
      <c r="K514" s="29">
        <v>12.284000000000001</v>
      </c>
      <c r="L514" s="509">
        <f t="shared" si="21"/>
        <v>0.9971770762308596</v>
      </c>
    </row>
    <row r="515" spans="1:12">
      <c r="A515" s="397" t="str">
        <f t="shared" si="22"/>
        <v>-</v>
      </c>
      <c r="F515" s="496"/>
      <c r="G515" s="398"/>
      <c r="I515" t="s">
        <v>142</v>
      </c>
      <c r="J515" s="29">
        <v>9.5605218216319212</v>
      </c>
      <c r="K515" s="29">
        <v>9.5890000000000004</v>
      </c>
      <c r="L515" s="509">
        <f t="shared" si="21"/>
        <v>0.99703012009927217</v>
      </c>
    </row>
    <row r="516" spans="1:12">
      <c r="A516" s="397" t="str">
        <f t="shared" si="22"/>
        <v>-</v>
      </c>
      <c r="F516" s="496"/>
      <c r="G516" s="398"/>
      <c r="I516" t="s">
        <v>433</v>
      </c>
      <c r="J516" s="29">
        <v>8.107341460073954</v>
      </c>
      <c r="K516" s="29">
        <v>8.0890000000000004</v>
      </c>
      <c r="L516" s="509">
        <f t="shared" si="21"/>
        <v>1.0022674570495678</v>
      </c>
    </row>
    <row r="517" spans="1:12">
      <c r="A517" s="397" t="str">
        <f t="shared" si="22"/>
        <v>-</v>
      </c>
      <c r="F517" s="496"/>
      <c r="G517" s="398"/>
      <c r="I517" t="s">
        <v>184</v>
      </c>
      <c r="J517" s="29">
        <v>8.4620212765957046</v>
      </c>
      <c r="K517" s="29">
        <v>8.39</v>
      </c>
      <c r="L517" s="509">
        <f t="shared" si="21"/>
        <v>1.0085841807623008</v>
      </c>
    </row>
    <row r="518" spans="1:12">
      <c r="A518" s="397" t="str">
        <f t="shared" si="22"/>
        <v>-</v>
      </c>
      <c r="F518" s="496"/>
      <c r="G518" s="398"/>
      <c r="I518" t="s">
        <v>563</v>
      </c>
      <c r="J518" s="29">
        <v>12.283584260051359</v>
      </c>
      <c r="K518" s="29">
        <v>12.313000000000001</v>
      </c>
      <c r="L518" s="509">
        <f t="shared" si="21"/>
        <v>0.99761100138482572</v>
      </c>
    </row>
    <row r="519" spans="1:12">
      <c r="A519" s="397" t="str">
        <f t="shared" si="22"/>
        <v>-</v>
      </c>
      <c r="F519" s="496"/>
      <c r="G519" s="398"/>
      <c r="I519" t="s">
        <v>553</v>
      </c>
      <c r="J519" s="29">
        <v>9.0566935483871021</v>
      </c>
      <c r="K519" s="29">
        <v>9.01</v>
      </c>
      <c r="L519" s="509">
        <f t="shared" ref="L519:L582" si="23">J519/K519</f>
        <v>1.0051824138054497</v>
      </c>
    </row>
    <row r="520" spans="1:12">
      <c r="A520" s="397" t="str">
        <f t="shared" ref="A520:A583" si="24">B520&amp;"-"&amp;C520</f>
        <v>-</v>
      </c>
      <c r="F520" s="496"/>
      <c r="G520" s="398"/>
      <c r="I520" t="s">
        <v>138</v>
      </c>
      <c r="J520" s="29">
        <v>8.4583122847301695</v>
      </c>
      <c r="K520" s="29">
        <v>8.4719999999999995</v>
      </c>
      <c r="L520" s="509">
        <f t="shared" si="23"/>
        <v>0.99838435844312678</v>
      </c>
    </row>
    <row r="521" spans="1:12">
      <c r="A521" s="397" t="str">
        <f t="shared" si="24"/>
        <v>-</v>
      </c>
      <c r="F521" s="496"/>
      <c r="G521" s="398"/>
      <c r="I521" t="s">
        <v>63</v>
      </c>
      <c r="J521" s="29">
        <v>8.4667983074753099</v>
      </c>
      <c r="K521" s="29">
        <v>8.5839999999999996</v>
      </c>
      <c r="L521" s="509">
        <f t="shared" si="23"/>
        <v>0.98634649434707711</v>
      </c>
    </row>
    <row r="522" spans="1:12">
      <c r="A522" s="397" t="str">
        <f t="shared" si="24"/>
        <v>-</v>
      </c>
      <c r="F522" s="496"/>
      <c r="G522" s="398"/>
      <c r="I522" t="s">
        <v>58</v>
      </c>
      <c r="J522" s="29">
        <v>8.5235887096774103</v>
      </c>
      <c r="K522" s="29">
        <v>8.4610000000000003</v>
      </c>
      <c r="L522" s="509">
        <f t="shared" si="23"/>
        <v>1.0073973182457641</v>
      </c>
    </row>
    <row r="523" spans="1:12">
      <c r="A523" s="397" t="str">
        <f t="shared" si="24"/>
        <v>-</v>
      </c>
      <c r="F523" s="496"/>
      <c r="G523" s="398"/>
      <c r="I523" t="s">
        <v>936</v>
      </c>
      <c r="J523" s="29">
        <v>12.482300613496939</v>
      </c>
      <c r="K523" s="29">
        <v>12.435</v>
      </c>
      <c r="L523" s="509">
        <f t="shared" si="23"/>
        <v>1.0038038289905058</v>
      </c>
    </row>
    <row r="524" spans="1:12">
      <c r="A524" s="397" t="str">
        <f t="shared" si="24"/>
        <v>-</v>
      </c>
      <c r="F524" s="496"/>
      <c r="G524" s="398"/>
      <c r="I524" t="s">
        <v>850</v>
      </c>
      <c r="J524" s="29">
        <v>7.1516197183098793</v>
      </c>
      <c r="K524" s="29">
        <v>7.0369999999999999</v>
      </c>
      <c r="L524" s="509">
        <f t="shared" si="23"/>
        <v>1.0162881509606194</v>
      </c>
    </row>
    <row r="525" spans="1:12">
      <c r="A525" s="397" t="str">
        <f t="shared" si="24"/>
        <v>-</v>
      </c>
      <c r="F525" s="496"/>
      <c r="G525" s="398"/>
      <c r="I525" t="s">
        <v>435</v>
      </c>
      <c r="J525" s="29">
        <v>6.4316467065868617</v>
      </c>
      <c r="K525" s="29">
        <v>6.3879999999999999</v>
      </c>
      <c r="L525" s="509">
        <f t="shared" si="23"/>
        <v>1.0068326090461588</v>
      </c>
    </row>
    <row r="526" spans="1:12">
      <c r="A526" s="397" t="str">
        <f t="shared" si="24"/>
        <v>-</v>
      </c>
      <c r="F526" s="496"/>
      <c r="G526" s="398"/>
      <c r="I526" t="s">
        <v>202</v>
      </c>
      <c r="J526" s="29">
        <v>12.56253481894151</v>
      </c>
      <c r="K526" s="29">
        <v>12.352</v>
      </c>
      <c r="L526" s="509">
        <f t="shared" si="23"/>
        <v>1.0170445935023891</v>
      </c>
    </row>
    <row r="527" spans="1:12">
      <c r="A527" s="397" t="str">
        <f t="shared" si="24"/>
        <v>-</v>
      </c>
      <c r="F527" s="496"/>
      <c r="G527" s="398"/>
      <c r="I527" t="s">
        <v>84</v>
      </c>
      <c r="J527" s="29">
        <v>9.918666666666665</v>
      </c>
      <c r="K527" s="29">
        <v>10.023</v>
      </c>
      <c r="L527" s="509">
        <f t="shared" si="23"/>
        <v>0.98959060826765088</v>
      </c>
    </row>
    <row r="528" spans="1:12">
      <c r="A528" s="397" t="str">
        <f t="shared" si="24"/>
        <v>-</v>
      </c>
      <c r="F528" s="496"/>
      <c r="G528" s="398"/>
      <c r="I528" t="s">
        <v>478</v>
      </c>
      <c r="J528" s="29">
        <v>15.277023809523795</v>
      </c>
      <c r="K528" s="29">
        <v>15.167999999999999</v>
      </c>
      <c r="L528" s="509">
        <f t="shared" si="23"/>
        <v>1.0071877511553136</v>
      </c>
    </row>
    <row r="529" spans="1:12">
      <c r="A529" s="397" t="str">
        <f t="shared" si="24"/>
        <v>-</v>
      </c>
      <c r="F529" s="496"/>
      <c r="G529" s="398"/>
      <c r="I529" t="s">
        <v>418</v>
      </c>
      <c r="J529" s="29">
        <v>7.9416321839080313</v>
      </c>
      <c r="K529" s="29">
        <v>7.968</v>
      </c>
      <c r="L529" s="509">
        <f t="shared" si="23"/>
        <v>0.99669078613303608</v>
      </c>
    </row>
    <row r="530" spans="1:12">
      <c r="A530" s="397" t="str">
        <f t="shared" si="24"/>
        <v>-</v>
      </c>
      <c r="F530" s="496"/>
      <c r="G530" s="398"/>
      <c r="I530" t="s">
        <v>411</v>
      </c>
      <c r="J530" s="29">
        <v>10.939069373942436</v>
      </c>
      <c r="K530" s="29">
        <v>10.848000000000001</v>
      </c>
      <c r="L530" s="509">
        <f t="shared" si="23"/>
        <v>1.0083950381584104</v>
      </c>
    </row>
    <row r="531" spans="1:12">
      <c r="A531" s="397" t="str">
        <f t="shared" si="24"/>
        <v>-</v>
      </c>
      <c r="F531" s="496"/>
      <c r="G531" s="398"/>
      <c r="I531" t="s">
        <v>556</v>
      </c>
      <c r="J531" s="29">
        <v>16.374806201550388</v>
      </c>
      <c r="K531" s="29">
        <v>16.079999999999998</v>
      </c>
      <c r="L531" s="509">
        <f t="shared" si="23"/>
        <v>1.01833371900189</v>
      </c>
    </row>
    <row r="532" spans="1:12">
      <c r="A532" s="397" t="str">
        <f t="shared" si="24"/>
        <v>-</v>
      </c>
      <c r="F532" s="496"/>
      <c r="G532" s="398"/>
      <c r="I532" t="s">
        <v>75</v>
      </c>
      <c r="J532" s="29">
        <v>10.793254237288131</v>
      </c>
      <c r="K532" s="29">
        <v>10.731999999999999</v>
      </c>
      <c r="L532" s="509">
        <f t="shared" si="23"/>
        <v>1.005707625539334</v>
      </c>
    </row>
    <row r="533" spans="1:12">
      <c r="A533" s="397" t="str">
        <f t="shared" si="24"/>
        <v>-</v>
      </c>
      <c r="F533" s="496"/>
      <c r="G533" s="398"/>
      <c r="I533" t="s">
        <v>302</v>
      </c>
      <c r="J533" s="29">
        <v>8.6102112676056315</v>
      </c>
      <c r="K533" s="29">
        <v>8.5340000000000007</v>
      </c>
      <c r="L533" s="509">
        <f t="shared" si="23"/>
        <v>1.0089303102420473</v>
      </c>
    </row>
    <row r="534" spans="1:12">
      <c r="A534" s="397" t="str">
        <f t="shared" si="24"/>
        <v>-</v>
      </c>
      <c r="F534" s="496"/>
      <c r="G534" s="398"/>
      <c r="I534" t="s">
        <v>410</v>
      </c>
      <c r="J534" s="29">
        <v>6.2293975903614616</v>
      </c>
      <c r="K534" s="29">
        <v>6.1509999999999998</v>
      </c>
      <c r="L534" s="509">
        <f t="shared" si="23"/>
        <v>1.0127455032289809</v>
      </c>
    </row>
    <row r="535" spans="1:12">
      <c r="A535" s="397" t="str">
        <f t="shared" si="24"/>
        <v>-</v>
      </c>
      <c r="F535" s="496"/>
      <c r="G535" s="398"/>
      <c r="I535" t="s">
        <v>301</v>
      </c>
      <c r="J535" s="29">
        <v>10.762589285714274</v>
      </c>
      <c r="K535" s="29">
        <v>10.753</v>
      </c>
      <c r="L535" s="509">
        <f t="shared" si="23"/>
        <v>1.0008917777098738</v>
      </c>
    </row>
    <row r="536" spans="1:12">
      <c r="A536" s="397" t="str">
        <f t="shared" si="24"/>
        <v>-</v>
      </c>
      <c r="F536" s="496"/>
      <c r="G536" s="398"/>
      <c r="I536" t="s">
        <v>576</v>
      </c>
      <c r="J536" s="29">
        <v>10.796762589928051</v>
      </c>
      <c r="K536" s="29">
        <v>10.77</v>
      </c>
      <c r="L536" s="509">
        <f t="shared" si="23"/>
        <v>1.0024849201418804</v>
      </c>
    </row>
    <row r="537" spans="1:12">
      <c r="A537" s="397" t="str">
        <f t="shared" si="24"/>
        <v>-</v>
      </c>
      <c r="F537" s="496"/>
      <c r="G537" s="398"/>
      <c r="I537" t="s">
        <v>334</v>
      </c>
      <c r="J537" s="29">
        <v>12.643412462907996</v>
      </c>
      <c r="K537" s="29">
        <v>12.635</v>
      </c>
      <c r="L537" s="509">
        <f t="shared" si="23"/>
        <v>1.0006658063243368</v>
      </c>
    </row>
    <row r="538" spans="1:12">
      <c r="A538" s="397" t="str">
        <f t="shared" si="24"/>
        <v>-</v>
      </c>
      <c r="F538" s="496"/>
      <c r="G538" s="398"/>
      <c r="I538" t="s">
        <v>400</v>
      </c>
      <c r="J538" s="29">
        <v>11.986060606060613</v>
      </c>
      <c r="K538" s="29">
        <v>11.805999999999999</v>
      </c>
      <c r="L538" s="509">
        <f t="shared" si="23"/>
        <v>1.015251618334797</v>
      </c>
    </row>
    <row r="539" spans="1:12">
      <c r="A539" s="397" t="str">
        <f t="shared" si="24"/>
        <v>-</v>
      </c>
      <c r="F539" s="496"/>
      <c r="G539" s="398"/>
      <c r="I539" t="s">
        <v>300</v>
      </c>
      <c r="J539" s="29">
        <v>10.188128654970784</v>
      </c>
      <c r="K539" s="29">
        <v>10.209</v>
      </c>
      <c r="L539" s="509">
        <f t="shared" si="23"/>
        <v>0.99795559359102604</v>
      </c>
    </row>
    <row r="540" spans="1:12">
      <c r="A540" s="397" t="str">
        <f t="shared" si="24"/>
        <v>-</v>
      </c>
      <c r="F540" s="496"/>
      <c r="G540" s="398"/>
      <c r="I540" t="s">
        <v>412</v>
      </c>
      <c r="J540" s="29">
        <v>6.8974285714285788</v>
      </c>
      <c r="K540" s="29">
        <v>6.9329999999999998</v>
      </c>
      <c r="L540" s="509">
        <f t="shared" si="23"/>
        <v>0.9948692588242577</v>
      </c>
    </row>
    <row r="541" spans="1:12">
      <c r="A541" s="397" t="str">
        <f t="shared" si="24"/>
        <v>-</v>
      </c>
      <c r="F541" s="496"/>
      <c r="G541" s="398"/>
      <c r="I541" t="s">
        <v>178</v>
      </c>
      <c r="J541" s="29">
        <v>13.541654676258975</v>
      </c>
      <c r="K541" s="29">
        <v>13.46</v>
      </c>
      <c r="L541" s="509">
        <f t="shared" si="23"/>
        <v>1.0060664692614394</v>
      </c>
    </row>
    <row r="542" spans="1:12">
      <c r="A542" s="397" t="str">
        <f t="shared" si="24"/>
        <v>-</v>
      </c>
      <c r="F542" s="496"/>
      <c r="G542" s="398"/>
      <c r="I542" t="s">
        <v>284</v>
      </c>
      <c r="J542" s="29">
        <v>12.103576158940378</v>
      </c>
      <c r="K542" s="29">
        <v>12.073</v>
      </c>
      <c r="L542" s="509">
        <f t="shared" si="23"/>
        <v>1.0025326065551543</v>
      </c>
    </row>
    <row r="543" spans="1:12">
      <c r="A543" s="397" t="str">
        <f t="shared" si="24"/>
        <v>-</v>
      </c>
      <c r="F543" s="496"/>
      <c r="G543" s="398"/>
      <c r="I543" t="s">
        <v>232</v>
      </c>
      <c r="J543" s="29">
        <v>10.200178571428589</v>
      </c>
      <c r="K543" s="29">
        <v>10.164</v>
      </c>
      <c r="L543" s="509">
        <f t="shared" si="23"/>
        <v>1.0035594816438991</v>
      </c>
    </row>
    <row r="544" spans="1:12">
      <c r="A544" s="397" t="str">
        <f t="shared" si="24"/>
        <v>-</v>
      </c>
      <c r="F544" s="496"/>
      <c r="G544" s="398"/>
      <c r="I544" t="s">
        <v>406</v>
      </c>
      <c r="J544" s="29">
        <v>11.428000000000011</v>
      </c>
      <c r="K544" s="29">
        <v>11.404999999999999</v>
      </c>
      <c r="L544" s="509">
        <f t="shared" si="23"/>
        <v>1.0020166593599309</v>
      </c>
    </row>
    <row r="545" spans="1:12">
      <c r="A545" s="397" t="str">
        <f t="shared" si="24"/>
        <v>-</v>
      </c>
      <c r="F545" s="496"/>
      <c r="G545" s="398"/>
      <c r="I545" t="s">
        <v>245</v>
      </c>
      <c r="J545" s="29">
        <v>14.37</v>
      </c>
      <c r="K545" s="29">
        <v>14.24</v>
      </c>
      <c r="L545" s="509">
        <f t="shared" si="23"/>
        <v>1.009129213483146</v>
      </c>
    </row>
    <row r="546" spans="1:12">
      <c r="A546" s="397" t="str">
        <f t="shared" si="24"/>
        <v>-</v>
      </c>
      <c r="F546" s="496"/>
      <c r="G546" s="398"/>
      <c r="I546" t="s">
        <v>52</v>
      </c>
      <c r="J546" s="29">
        <v>7.0099638336347185</v>
      </c>
      <c r="K546" s="29">
        <v>7.0430000000000001</v>
      </c>
      <c r="L546" s="509">
        <f t="shared" si="23"/>
        <v>0.99530936158380212</v>
      </c>
    </row>
    <row r="547" spans="1:12">
      <c r="A547" s="397" t="str">
        <f t="shared" si="24"/>
        <v>-</v>
      </c>
      <c r="F547" s="496"/>
      <c r="G547" s="398"/>
      <c r="I547" t="s">
        <v>181</v>
      </c>
      <c r="J547" s="29">
        <v>12.546589147286813</v>
      </c>
      <c r="K547" s="29">
        <v>12.536</v>
      </c>
      <c r="L547" s="509">
        <f t="shared" si="23"/>
        <v>1.000844699049682</v>
      </c>
    </row>
    <row r="548" spans="1:12">
      <c r="A548" s="397" t="str">
        <f t="shared" si="24"/>
        <v>-</v>
      </c>
      <c r="F548" s="496"/>
      <c r="G548" s="398"/>
      <c r="I548" t="s">
        <v>423</v>
      </c>
      <c r="J548" s="29">
        <v>9.9436071428571413</v>
      </c>
      <c r="K548" s="29">
        <v>9.9629999999999992</v>
      </c>
      <c r="L548" s="509">
        <f t="shared" si="23"/>
        <v>0.99805351228115446</v>
      </c>
    </row>
    <row r="549" spans="1:12">
      <c r="A549" s="397" t="str">
        <f t="shared" si="24"/>
        <v>-</v>
      </c>
      <c r="F549" s="496"/>
      <c r="G549" s="398"/>
      <c r="I549" t="s">
        <v>298</v>
      </c>
      <c r="J549" s="29">
        <v>8.8152499999999954</v>
      </c>
      <c r="K549" s="29">
        <v>8.8089999999999993</v>
      </c>
      <c r="L549" s="509">
        <f t="shared" si="23"/>
        <v>1.0007095016460434</v>
      </c>
    </row>
    <row r="550" spans="1:12">
      <c r="A550" s="397" t="str">
        <f t="shared" si="24"/>
        <v>-</v>
      </c>
      <c r="F550" s="496"/>
      <c r="G550" s="398"/>
      <c r="I550" t="s">
        <v>424</v>
      </c>
      <c r="J550" s="29">
        <v>9.8388764044943748</v>
      </c>
      <c r="K550" s="29">
        <v>9.7769999999999992</v>
      </c>
      <c r="L550" s="509">
        <f t="shared" si="23"/>
        <v>1.006328772066521</v>
      </c>
    </row>
    <row r="551" spans="1:12">
      <c r="A551" s="397" t="str">
        <f t="shared" si="24"/>
        <v>-</v>
      </c>
      <c r="F551" s="496"/>
      <c r="G551" s="398"/>
      <c r="I551" t="s">
        <v>404</v>
      </c>
      <c r="J551" s="29">
        <v>11.01410748560461</v>
      </c>
      <c r="K551" s="29">
        <v>10.983000000000001</v>
      </c>
      <c r="L551" s="509">
        <f t="shared" si="23"/>
        <v>1.0028323304747893</v>
      </c>
    </row>
    <row r="552" spans="1:12">
      <c r="A552" s="397" t="str">
        <f t="shared" si="24"/>
        <v>-</v>
      </c>
      <c r="F552" s="496"/>
      <c r="G552" s="398"/>
      <c r="I552" t="s">
        <v>207</v>
      </c>
      <c r="J552" s="29">
        <v>13.403723404255302</v>
      </c>
      <c r="K552" s="29">
        <v>13.335000000000001</v>
      </c>
      <c r="L552" s="509">
        <f t="shared" si="23"/>
        <v>1.0051536111177579</v>
      </c>
    </row>
    <row r="553" spans="1:12">
      <c r="A553" s="397" t="str">
        <f t="shared" si="24"/>
        <v>-</v>
      </c>
      <c r="F553" s="496"/>
      <c r="G553" s="398"/>
      <c r="I553" t="s">
        <v>346</v>
      </c>
      <c r="J553" s="29">
        <v>12.485021645021657</v>
      </c>
      <c r="K553" s="29">
        <v>12.435</v>
      </c>
      <c r="L553" s="509">
        <f t="shared" si="23"/>
        <v>1.0040226493785007</v>
      </c>
    </row>
    <row r="554" spans="1:12">
      <c r="A554" s="397" t="str">
        <f t="shared" si="24"/>
        <v>-</v>
      </c>
      <c r="F554" s="496"/>
      <c r="G554" s="398"/>
      <c r="I554" t="s">
        <v>183</v>
      </c>
      <c r="J554" s="29">
        <v>12.168326359832648</v>
      </c>
      <c r="K554" s="29">
        <v>12.114000000000001</v>
      </c>
      <c r="L554" s="509">
        <f t="shared" si="23"/>
        <v>1.0044845930190398</v>
      </c>
    </row>
    <row r="555" spans="1:12">
      <c r="A555" s="397" t="str">
        <f t="shared" si="24"/>
        <v>-</v>
      </c>
      <c r="F555" s="496"/>
      <c r="G555" s="398"/>
      <c r="I555" t="s">
        <v>177</v>
      </c>
      <c r="J555" s="29">
        <v>11.29563106796116</v>
      </c>
      <c r="K555" s="29">
        <v>11.298999999999999</v>
      </c>
      <c r="L555" s="509">
        <f t="shared" si="23"/>
        <v>0.99970183803532708</v>
      </c>
    </row>
    <row r="556" spans="1:12">
      <c r="A556" s="397" t="str">
        <f t="shared" si="24"/>
        <v>-</v>
      </c>
      <c r="F556" s="496"/>
      <c r="G556" s="398"/>
      <c r="I556" t="s">
        <v>61</v>
      </c>
      <c r="J556" s="29">
        <v>7.5364505119453638</v>
      </c>
      <c r="K556" s="29">
        <v>7.4219999999999997</v>
      </c>
      <c r="L556" s="509">
        <f t="shared" si="23"/>
        <v>1.0154204408441612</v>
      </c>
    </row>
    <row r="557" spans="1:12">
      <c r="A557" s="397" t="str">
        <f t="shared" si="24"/>
        <v>-</v>
      </c>
      <c r="F557" s="496"/>
      <c r="G557" s="398"/>
      <c r="I557" t="s">
        <v>416</v>
      </c>
      <c r="J557" s="29">
        <v>13.711309523809524</v>
      </c>
      <c r="K557" s="29">
        <v>13.510999999999999</v>
      </c>
      <c r="L557" s="509">
        <f t="shared" si="23"/>
        <v>1.0148256623350991</v>
      </c>
    </row>
    <row r="558" spans="1:12">
      <c r="A558" s="397" t="str">
        <f t="shared" si="24"/>
        <v>-</v>
      </c>
      <c r="F558" s="496"/>
      <c r="G558" s="398"/>
      <c r="I558" t="s">
        <v>784</v>
      </c>
      <c r="J558" s="29">
        <v>9.9633668341708699</v>
      </c>
      <c r="K558" s="29">
        <v>9.9239999999999995</v>
      </c>
      <c r="L558" s="509">
        <f t="shared" si="23"/>
        <v>1.0039668313352348</v>
      </c>
    </row>
    <row r="559" spans="1:12">
      <c r="A559" s="397" t="str">
        <f t="shared" si="24"/>
        <v>-</v>
      </c>
      <c r="F559" s="496"/>
      <c r="G559" s="398"/>
      <c r="I559" t="s">
        <v>461</v>
      </c>
      <c r="J559" s="29">
        <v>15.455645933014347</v>
      </c>
      <c r="K559" s="29">
        <v>15.343999999999999</v>
      </c>
      <c r="L559" s="509">
        <f t="shared" si="23"/>
        <v>1.0072761948002051</v>
      </c>
    </row>
    <row r="560" spans="1:12">
      <c r="A560" s="397" t="str">
        <f t="shared" si="24"/>
        <v>-</v>
      </c>
      <c r="F560" s="496"/>
      <c r="G560" s="398"/>
      <c r="I560" t="s">
        <v>421</v>
      </c>
      <c r="J560" s="29">
        <v>9.4170833333333341</v>
      </c>
      <c r="K560" s="29">
        <v>9.516</v>
      </c>
      <c r="L560" s="509">
        <f t="shared" si="23"/>
        <v>0.98960522628555425</v>
      </c>
    </row>
    <row r="561" spans="1:12">
      <c r="A561" s="397" t="str">
        <f t="shared" si="24"/>
        <v>-</v>
      </c>
      <c r="F561" s="496"/>
      <c r="G561" s="398"/>
      <c r="I561" t="s">
        <v>182</v>
      </c>
      <c r="J561" s="29">
        <v>12.693121019108288</v>
      </c>
      <c r="K561" s="29">
        <v>12.596</v>
      </c>
      <c r="L561" s="509">
        <f t="shared" si="23"/>
        <v>1.0077104651562629</v>
      </c>
    </row>
    <row r="562" spans="1:12">
      <c r="A562" s="397" t="str">
        <f t="shared" si="24"/>
        <v>-</v>
      </c>
      <c r="F562" s="496"/>
      <c r="G562" s="398"/>
      <c r="I562" t="s">
        <v>297</v>
      </c>
      <c r="J562" s="29">
        <v>8.5749090909090881</v>
      </c>
      <c r="K562" s="29">
        <v>8.5120000000000005</v>
      </c>
      <c r="L562" s="509">
        <f t="shared" si="23"/>
        <v>1.007390635680109</v>
      </c>
    </row>
    <row r="563" spans="1:12">
      <c r="A563" s="397" t="str">
        <f t="shared" si="24"/>
        <v>-</v>
      </c>
      <c r="F563" s="496"/>
      <c r="G563" s="398"/>
      <c r="I563" t="s">
        <v>938</v>
      </c>
      <c r="J563" s="29">
        <v>11.12461538</v>
      </c>
      <c r="K563" s="29">
        <v>11.009</v>
      </c>
      <c r="L563" s="509">
        <f t="shared" si="23"/>
        <v>1.0105018966300299</v>
      </c>
    </row>
    <row r="564" spans="1:12">
      <c r="A564" s="397" t="str">
        <f t="shared" si="24"/>
        <v>-</v>
      </c>
      <c r="F564" s="496"/>
      <c r="G564" s="398"/>
      <c r="J564" s="29"/>
      <c r="K564" s="29"/>
      <c r="L564" s="509" t="e">
        <f t="shared" si="23"/>
        <v>#DIV/0!</v>
      </c>
    </row>
    <row r="565" spans="1:12">
      <c r="A565" s="397" t="str">
        <f t="shared" si="24"/>
        <v>-</v>
      </c>
      <c r="F565" s="496"/>
      <c r="G565" s="398"/>
      <c r="I565" t="s">
        <v>786</v>
      </c>
      <c r="J565" s="29">
        <v>4.991975369544714</v>
      </c>
      <c r="K565" s="29">
        <v>4.9180000000000001</v>
      </c>
      <c r="L565" s="509">
        <f t="shared" si="23"/>
        <v>1.0150417587524836</v>
      </c>
    </row>
    <row r="566" spans="1:12">
      <c r="A566" s="397" t="str">
        <f t="shared" si="24"/>
        <v>-</v>
      </c>
      <c r="F566" s="496"/>
      <c r="G566" s="398"/>
      <c r="I566" t="s">
        <v>846</v>
      </c>
      <c r="J566" s="29">
        <v>5.1422643152013867</v>
      </c>
      <c r="K566" s="29">
        <v>5.0679999999999996</v>
      </c>
      <c r="L566" s="509">
        <f t="shared" si="23"/>
        <v>1.0146535744280558</v>
      </c>
    </row>
    <row r="567" spans="1:12">
      <c r="A567" s="397" t="str">
        <f t="shared" si="24"/>
        <v>-</v>
      </c>
      <c r="F567" s="496"/>
      <c r="G567" s="398"/>
      <c r="I567" t="s">
        <v>852</v>
      </c>
      <c r="J567" s="29">
        <v>6.9258949949518147</v>
      </c>
      <c r="K567" s="29">
        <v>6.8449999999999998</v>
      </c>
      <c r="L567" s="509">
        <f t="shared" si="23"/>
        <v>1.0118181146752103</v>
      </c>
    </row>
    <row r="568" spans="1:12">
      <c r="A568" s="397" t="str">
        <f t="shared" si="24"/>
        <v>-</v>
      </c>
      <c r="F568" s="496"/>
      <c r="G568" s="398"/>
      <c r="I568" t="s">
        <v>855</v>
      </c>
      <c r="J568" s="29">
        <v>7.5089615712156226</v>
      </c>
      <c r="K568" s="29">
        <v>7.4889999999999999</v>
      </c>
      <c r="L568" s="509">
        <f t="shared" si="23"/>
        <v>1.0026654521585823</v>
      </c>
    </row>
    <row r="569" spans="1:12">
      <c r="A569" s="397" t="str">
        <f t="shared" si="24"/>
        <v>-</v>
      </c>
      <c r="F569" s="496"/>
      <c r="G569" s="398"/>
      <c r="I569" t="s">
        <v>814</v>
      </c>
      <c r="J569" s="29">
        <v>6.3359955154373697</v>
      </c>
      <c r="K569" s="29">
        <v>6.2789999999999999</v>
      </c>
      <c r="L569" s="509">
        <f t="shared" si="23"/>
        <v>1.0090771644270378</v>
      </c>
    </row>
    <row r="570" spans="1:12">
      <c r="A570" s="397" t="str">
        <f t="shared" si="24"/>
        <v>-</v>
      </c>
      <c r="F570" s="496"/>
      <c r="G570" s="398"/>
      <c r="I570" t="s">
        <v>853</v>
      </c>
      <c r="J570" s="29">
        <v>6.7148735838629827</v>
      </c>
      <c r="K570" s="29">
        <v>6.641</v>
      </c>
      <c r="L570" s="509">
        <f t="shared" si="23"/>
        <v>1.0111238644576093</v>
      </c>
    </row>
    <row r="571" spans="1:12">
      <c r="A571" s="397" t="str">
        <f t="shared" si="24"/>
        <v>-</v>
      </c>
      <c r="F571" s="496"/>
      <c r="G571" s="398"/>
      <c r="I571" t="s">
        <v>433</v>
      </c>
      <c r="J571" s="29">
        <v>8.1257281168161501</v>
      </c>
      <c r="K571" s="29">
        <v>8.0890000000000004</v>
      </c>
      <c r="L571" s="509">
        <f t="shared" si="23"/>
        <v>1.0045405015225801</v>
      </c>
    </row>
    <row r="572" spans="1:12">
      <c r="A572" s="397" t="str">
        <f t="shared" si="24"/>
        <v>-</v>
      </c>
      <c r="F572" s="496"/>
      <c r="G572" s="398"/>
      <c r="I572" t="s">
        <v>221</v>
      </c>
      <c r="J572" s="29">
        <v>8.9001336109665328</v>
      </c>
      <c r="K572" s="29">
        <v>8.8420000000000005</v>
      </c>
      <c r="L572" s="509">
        <f t="shared" si="23"/>
        <v>1.0065747128439868</v>
      </c>
    </row>
    <row r="573" spans="1:12">
      <c r="A573" s="397" t="str">
        <f t="shared" si="24"/>
        <v>-</v>
      </c>
      <c r="F573" s="496"/>
      <c r="G573" s="398"/>
      <c r="I573" t="s">
        <v>850</v>
      </c>
      <c r="J573" s="29">
        <v>7.1624762184956907</v>
      </c>
      <c r="K573" s="29">
        <v>7.0369999999999999</v>
      </c>
      <c r="L573" s="509">
        <f t="shared" si="23"/>
        <v>1.0178309248963608</v>
      </c>
    </row>
    <row r="574" spans="1:12">
      <c r="A574" s="397" t="str">
        <f t="shared" si="24"/>
        <v>-</v>
      </c>
      <c r="F574" s="496"/>
      <c r="G574" s="398"/>
      <c r="I574" t="s">
        <v>159</v>
      </c>
      <c r="J574" s="29">
        <v>9.2299895178197069</v>
      </c>
      <c r="K574" s="29">
        <v>9.0519999999999996</v>
      </c>
      <c r="L574" s="509">
        <f t="shared" si="23"/>
        <v>1.0196630046199411</v>
      </c>
    </row>
    <row r="575" spans="1:12">
      <c r="A575" s="397" t="str">
        <f t="shared" si="24"/>
        <v>-</v>
      </c>
      <c r="F575" s="496"/>
      <c r="G575" s="398"/>
      <c r="I575" t="s">
        <v>189</v>
      </c>
      <c r="J575" s="29">
        <v>9.0916864817260432</v>
      </c>
      <c r="K575" s="29">
        <v>8.9689999999999994</v>
      </c>
      <c r="L575" s="509">
        <f t="shared" si="23"/>
        <v>1.01367894767823</v>
      </c>
    </row>
    <row r="576" spans="1:12">
      <c r="A576" s="397" t="str">
        <f t="shared" si="24"/>
        <v>-</v>
      </c>
      <c r="F576" s="496"/>
      <c r="G576" s="398"/>
      <c r="I576" t="s">
        <v>790</v>
      </c>
      <c r="J576" s="29">
        <v>7.3079604051565186</v>
      </c>
      <c r="K576" s="29">
        <v>7.2460000000000004</v>
      </c>
      <c r="L576" s="509">
        <f t="shared" si="23"/>
        <v>1.0085509805625887</v>
      </c>
    </row>
    <row r="577" spans="1:12">
      <c r="A577" s="397" t="str">
        <f t="shared" si="24"/>
        <v>-</v>
      </c>
      <c r="F577" s="496"/>
      <c r="G577" s="398"/>
      <c r="I577" t="s">
        <v>789</v>
      </c>
      <c r="J577" s="29">
        <v>6.8477730226660212</v>
      </c>
      <c r="K577" s="29">
        <v>6.7880000000000003</v>
      </c>
      <c r="L577" s="509">
        <f t="shared" si="23"/>
        <v>1.0088056898447291</v>
      </c>
    </row>
    <row r="578" spans="1:12">
      <c r="A578" s="397" t="str">
        <f t="shared" si="24"/>
        <v>-</v>
      </c>
      <c r="F578" s="496"/>
      <c r="G578" s="398"/>
      <c r="I578" t="s">
        <v>787</v>
      </c>
      <c r="J578" s="29">
        <v>6.9851570848471525</v>
      </c>
      <c r="K578" s="29">
        <v>6.9180000000000001</v>
      </c>
      <c r="L578" s="509">
        <f t="shared" si="23"/>
        <v>1.0097075867081746</v>
      </c>
    </row>
    <row r="579" spans="1:12">
      <c r="A579" s="397" t="str">
        <f t="shared" si="24"/>
        <v>-</v>
      </c>
      <c r="F579" s="496"/>
      <c r="G579" s="398"/>
      <c r="I579" t="s">
        <v>188</v>
      </c>
      <c r="J579" s="29">
        <v>11.776136669357058</v>
      </c>
      <c r="K579" s="29">
        <v>11.629</v>
      </c>
      <c r="L579" s="509">
        <f t="shared" si="23"/>
        <v>1.0126525642236699</v>
      </c>
    </row>
    <row r="580" spans="1:12">
      <c r="A580" s="397" t="str">
        <f t="shared" si="24"/>
        <v>-</v>
      </c>
      <c r="F580" s="496"/>
      <c r="G580" s="398"/>
      <c r="I580" t="s">
        <v>793</v>
      </c>
      <c r="J580" s="29">
        <v>9.0358182828563809</v>
      </c>
      <c r="K580" s="29">
        <v>8.8320000000000007</v>
      </c>
      <c r="L580" s="509">
        <f t="shared" si="23"/>
        <v>1.0230772512292097</v>
      </c>
    </row>
    <row r="581" spans="1:12">
      <c r="A581" s="397" t="str">
        <f t="shared" si="24"/>
        <v>-</v>
      </c>
      <c r="F581" s="496"/>
      <c r="G581" s="398"/>
      <c r="I581" t="s">
        <v>303</v>
      </c>
      <c r="J581" s="29">
        <v>10.869888400405779</v>
      </c>
      <c r="K581" s="29">
        <v>10.704000000000001</v>
      </c>
      <c r="L581" s="509">
        <f t="shared" si="23"/>
        <v>1.0154977952546504</v>
      </c>
    </row>
    <row r="582" spans="1:12">
      <c r="A582" s="397" t="str">
        <f t="shared" si="24"/>
        <v>-</v>
      </c>
      <c r="F582" s="496"/>
      <c r="G582" s="398"/>
      <c r="I582" t="s">
        <v>792</v>
      </c>
      <c r="J582" s="29">
        <v>8.3849579537491241</v>
      </c>
      <c r="K582" s="29">
        <v>8.2390000000000008</v>
      </c>
      <c r="L582" s="509">
        <f t="shared" si="23"/>
        <v>1.0177154938401656</v>
      </c>
    </row>
    <row r="583" spans="1:12">
      <c r="A583" s="397" t="str">
        <f t="shared" si="24"/>
        <v>-</v>
      </c>
      <c r="F583" s="496"/>
      <c r="G583" s="398"/>
      <c r="I583" t="s">
        <v>849</v>
      </c>
      <c r="J583" s="29">
        <v>6.2847629310345372</v>
      </c>
      <c r="K583" s="29">
        <v>6.2240000000000002</v>
      </c>
      <c r="L583" s="509">
        <f t="shared" ref="L583:L646" si="25">J583/K583</f>
        <v>1.0097626817214873</v>
      </c>
    </row>
    <row r="584" spans="1:12">
      <c r="A584" s="397" t="str">
        <f t="shared" ref="A584:A647" si="26">B584&amp;"-"&amp;C584</f>
        <v>-</v>
      </c>
      <c r="F584" s="496"/>
      <c r="G584" s="398"/>
      <c r="I584" t="s">
        <v>553</v>
      </c>
      <c r="J584" s="29">
        <v>9.1282598870056582</v>
      </c>
      <c r="K584" s="29">
        <v>9.01</v>
      </c>
      <c r="L584" s="509">
        <f t="shared" si="25"/>
        <v>1.0131254036632251</v>
      </c>
    </row>
    <row r="585" spans="1:12">
      <c r="A585" s="397" t="str">
        <f t="shared" si="26"/>
        <v>-</v>
      </c>
      <c r="F585" s="496"/>
      <c r="G585" s="398"/>
      <c r="I585" t="s">
        <v>854</v>
      </c>
      <c r="J585" s="29">
        <v>7.4374672260093879</v>
      </c>
      <c r="K585" s="29">
        <v>7.4</v>
      </c>
      <c r="L585" s="509">
        <f t="shared" si="25"/>
        <v>1.0050631386499171</v>
      </c>
    </row>
    <row r="586" spans="1:12">
      <c r="A586" s="397" t="str">
        <f t="shared" si="26"/>
        <v>-</v>
      </c>
      <c r="F586" s="496"/>
      <c r="G586" s="398"/>
      <c r="I586" t="s">
        <v>942</v>
      </c>
      <c r="J586" s="29">
        <v>11.059560915275231</v>
      </c>
      <c r="K586" s="29">
        <v>10.919</v>
      </c>
      <c r="L586" s="509">
        <f t="shared" si="25"/>
        <v>1.012873057539631</v>
      </c>
    </row>
    <row r="587" spans="1:12">
      <c r="A587" s="397" t="str">
        <f t="shared" si="26"/>
        <v>-</v>
      </c>
      <c r="F587" s="496"/>
      <c r="G587" s="398"/>
      <c r="I587" t="s">
        <v>931</v>
      </c>
      <c r="J587" s="29">
        <v>12.09408635794748</v>
      </c>
      <c r="K587" s="29">
        <v>11.946</v>
      </c>
      <c r="L587" s="509">
        <f t="shared" si="25"/>
        <v>1.0123963132385301</v>
      </c>
    </row>
    <row r="588" spans="1:12">
      <c r="A588" s="397" t="str">
        <f t="shared" si="26"/>
        <v>-</v>
      </c>
      <c r="F588" s="496"/>
      <c r="G588" s="398"/>
      <c r="I588" t="s">
        <v>304</v>
      </c>
      <c r="J588" s="29">
        <v>10.131858349577666</v>
      </c>
      <c r="K588" s="29">
        <v>9.9870000000000001</v>
      </c>
      <c r="L588" s="509">
        <f t="shared" si="25"/>
        <v>1.0145046910561395</v>
      </c>
    </row>
    <row r="589" spans="1:12">
      <c r="A589" s="397" t="str">
        <f t="shared" si="26"/>
        <v>-</v>
      </c>
      <c r="F589" s="496"/>
      <c r="G589" s="398"/>
      <c r="I589" t="s">
        <v>830</v>
      </c>
      <c r="J589" s="29">
        <v>10.62604344453063</v>
      </c>
      <c r="K589" s="29">
        <v>10.48</v>
      </c>
      <c r="L589" s="509">
        <f t="shared" si="25"/>
        <v>1.0139354431804035</v>
      </c>
    </row>
    <row r="590" spans="1:12">
      <c r="A590" s="397" t="str">
        <f t="shared" si="26"/>
        <v>-</v>
      </c>
      <c r="F590" s="496"/>
      <c r="G590" s="398"/>
      <c r="I590" t="s">
        <v>261</v>
      </c>
      <c r="J590" s="29">
        <v>7.6217292126563612</v>
      </c>
      <c r="K590" s="29">
        <v>7.5090000000000003</v>
      </c>
      <c r="L590" s="509">
        <f t="shared" si="25"/>
        <v>1.0150125466315569</v>
      </c>
    </row>
    <row r="591" spans="1:12">
      <c r="A591" s="397" t="str">
        <f t="shared" si="26"/>
        <v>-</v>
      </c>
      <c r="F591" s="496"/>
      <c r="G591" s="398"/>
      <c r="I591" t="s">
        <v>346</v>
      </c>
      <c r="J591" s="29">
        <v>12.580733113673826</v>
      </c>
      <c r="K591" s="29">
        <v>12.435</v>
      </c>
      <c r="L591" s="509">
        <f t="shared" si="25"/>
        <v>1.0117195909669341</v>
      </c>
    </row>
    <row r="592" spans="1:12">
      <c r="A592" s="397" t="str">
        <f t="shared" si="26"/>
        <v>-</v>
      </c>
      <c r="F592" s="496"/>
      <c r="G592" s="398"/>
      <c r="I592" t="s">
        <v>563</v>
      </c>
      <c r="J592" s="29">
        <v>12.461518672199169</v>
      </c>
      <c r="K592" s="29">
        <v>12.313000000000001</v>
      </c>
      <c r="L592" s="509">
        <f t="shared" si="25"/>
        <v>1.0120619404043831</v>
      </c>
    </row>
    <row r="593" spans="1:12">
      <c r="A593" s="397" t="str">
        <f t="shared" si="26"/>
        <v>-</v>
      </c>
      <c r="F593" s="496"/>
      <c r="G593" s="398"/>
      <c r="I593" t="s">
        <v>576</v>
      </c>
      <c r="J593" s="29">
        <v>10.856341698841689</v>
      </c>
      <c r="K593" s="29">
        <v>10.77</v>
      </c>
      <c r="L593" s="509">
        <f t="shared" si="25"/>
        <v>1.0080168708302404</v>
      </c>
    </row>
    <row r="594" spans="1:12">
      <c r="A594" s="397" t="str">
        <f t="shared" si="26"/>
        <v>-</v>
      </c>
      <c r="F594" s="496"/>
      <c r="G594" s="398"/>
      <c r="I594" t="s">
        <v>943</v>
      </c>
      <c r="J594" s="29">
        <v>10.568801932367171</v>
      </c>
      <c r="K594" s="29">
        <v>10.481</v>
      </c>
      <c r="L594" s="509">
        <f t="shared" si="25"/>
        <v>1.0083772476259107</v>
      </c>
    </row>
    <row r="595" spans="1:12">
      <c r="A595" s="397" t="str">
        <f t="shared" si="26"/>
        <v>-</v>
      </c>
      <c r="F595" s="496"/>
      <c r="G595" s="398"/>
      <c r="I595" t="s">
        <v>404</v>
      </c>
      <c r="J595" s="29">
        <v>11.193706793802129</v>
      </c>
      <c r="K595" s="29">
        <v>10.983000000000001</v>
      </c>
      <c r="L595" s="509">
        <f t="shared" si="25"/>
        <v>1.0191848123283374</v>
      </c>
    </row>
    <row r="596" spans="1:12">
      <c r="A596" s="397" t="str">
        <f t="shared" si="26"/>
        <v>-</v>
      </c>
      <c r="F596" s="496"/>
      <c r="G596" s="398"/>
      <c r="I596" t="s">
        <v>419</v>
      </c>
      <c r="J596" s="29">
        <v>9.0573815165877036</v>
      </c>
      <c r="K596" s="29">
        <v>9.0589999999999993</v>
      </c>
      <c r="L596" s="509">
        <f t="shared" si="25"/>
        <v>0.99982133972708953</v>
      </c>
    </row>
    <row r="597" spans="1:12">
      <c r="A597" s="397" t="str">
        <f t="shared" si="26"/>
        <v>-</v>
      </c>
      <c r="F597" s="496"/>
      <c r="G597" s="398"/>
      <c r="I597" t="s">
        <v>202</v>
      </c>
      <c r="J597" s="29">
        <v>12.524415243101185</v>
      </c>
      <c r="K597" s="29">
        <v>12.352</v>
      </c>
      <c r="L597" s="509">
        <f t="shared" si="25"/>
        <v>1.013958487945368</v>
      </c>
    </row>
    <row r="598" spans="1:12">
      <c r="A598" s="397" t="str">
        <f t="shared" si="26"/>
        <v>-</v>
      </c>
      <c r="F598" s="496"/>
      <c r="G598" s="398"/>
      <c r="I598" t="s">
        <v>420</v>
      </c>
      <c r="J598" s="29">
        <v>9.8364385474860434</v>
      </c>
      <c r="K598" s="29">
        <v>9.7560000000000002</v>
      </c>
      <c r="L598" s="509">
        <f t="shared" si="25"/>
        <v>1.0082450335676552</v>
      </c>
    </row>
    <row r="599" spans="1:12">
      <c r="A599" s="397" t="str">
        <f t="shared" si="26"/>
        <v>-</v>
      </c>
      <c r="F599" s="496"/>
      <c r="G599" s="398"/>
      <c r="I599" t="s">
        <v>471</v>
      </c>
      <c r="J599" s="29">
        <v>10.444683908045961</v>
      </c>
      <c r="K599" s="29">
        <v>10.374000000000001</v>
      </c>
      <c r="L599" s="509">
        <f t="shared" si="25"/>
        <v>1.0068135635286255</v>
      </c>
    </row>
    <row r="600" spans="1:12">
      <c r="A600" s="397" t="str">
        <f t="shared" si="26"/>
        <v>-</v>
      </c>
      <c r="F600" s="496"/>
      <c r="G600" s="398"/>
      <c r="I600" t="s">
        <v>63</v>
      </c>
      <c r="J600" s="29">
        <v>8.5399391171994239</v>
      </c>
      <c r="K600" s="29">
        <v>8.5839999999999996</v>
      </c>
      <c r="L600" s="509">
        <f t="shared" si="25"/>
        <v>0.99486709193842315</v>
      </c>
    </row>
    <row r="601" spans="1:12">
      <c r="A601" s="397" t="str">
        <f t="shared" si="26"/>
        <v>-</v>
      </c>
      <c r="F601" s="496"/>
      <c r="G601" s="398"/>
      <c r="I601" t="s">
        <v>476</v>
      </c>
      <c r="J601" s="29">
        <v>12.630565302144237</v>
      </c>
      <c r="K601" s="29">
        <v>12.566000000000001</v>
      </c>
      <c r="L601" s="509">
        <f t="shared" si="25"/>
        <v>1.0051380950297817</v>
      </c>
    </row>
    <row r="602" spans="1:12">
      <c r="A602" s="397" t="str">
        <f t="shared" si="26"/>
        <v>-</v>
      </c>
      <c r="F602" s="496"/>
      <c r="G602" s="398"/>
      <c r="I602" t="s">
        <v>84</v>
      </c>
      <c r="J602" s="29">
        <v>10.052795497185757</v>
      </c>
      <c r="K602" s="29">
        <v>10.023</v>
      </c>
      <c r="L602" s="509">
        <f t="shared" si="25"/>
        <v>1.002972712479872</v>
      </c>
    </row>
    <row r="603" spans="1:12">
      <c r="A603" s="397" t="str">
        <f t="shared" si="26"/>
        <v>-</v>
      </c>
      <c r="F603" s="496"/>
      <c r="G603" s="398"/>
      <c r="I603" t="s">
        <v>302</v>
      </c>
      <c r="J603" s="29">
        <v>8.612782101167312</v>
      </c>
      <c r="K603" s="29">
        <v>8.5340000000000007</v>
      </c>
      <c r="L603" s="509">
        <f t="shared" si="25"/>
        <v>1.009231556265211</v>
      </c>
    </row>
    <row r="604" spans="1:12">
      <c r="A604" s="397" t="str">
        <f t="shared" si="26"/>
        <v>-</v>
      </c>
      <c r="F604" s="496"/>
      <c r="G604" s="398"/>
      <c r="I604" t="s">
        <v>206</v>
      </c>
      <c r="J604" s="29">
        <v>12.360463709677434</v>
      </c>
      <c r="K604" s="29">
        <v>12.284000000000001</v>
      </c>
      <c r="L604" s="509">
        <f t="shared" si="25"/>
        <v>1.0062246588796349</v>
      </c>
    </row>
    <row r="605" spans="1:12">
      <c r="A605" s="397" t="str">
        <f t="shared" si="26"/>
        <v>-</v>
      </c>
      <c r="F605" s="496"/>
      <c r="G605" s="398"/>
      <c r="I605" t="s">
        <v>421</v>
      </c>
      <c r="J605" s="29">
        <v>9.486409691629941</v>
      </c>
      <c r="K605" s="29">
        <v>9.516</v>
      </c>
      <c r="L605" s="509">
        <f t="shared" si="25"/>
        <v>0.99689046780474366</v>
      </c>
    </row>
    <row r="606" spans="1:12">
      <c r="A606" s="397" t="str">
        <f t="shared" si="26"/>
        <v>-</v>
      </c>
      <c r="F606" s="496"/>
      <c r="G606" s="398"/>
      <c r="I606" t="s">
        <v>885</v>
      </c>
      <c r="J606" s="29">
        <v>12.056138211382125</v>
      </c>
      <c r="K606" s="29">
        <v>11.956</v>
      </c>
      <c r="L606" s="509">
        <f t="shared" si="25"/>
        <v>1.0083755613400909</v>
      </c>
    </row>
    <row r="607" spans="1:12">
      <c r="A607" s="397" t="str">
        <f t="shared" si="26"/>
        <v>-</v>
      </c>
      <c r="F607" s="496"/>
      <c r="G607" s="398"/>
      <c r="I607" t="s">
        <v>52</v>
      </c>
      <c r="J607" s="29">
        <v>7.04958435207823</v>
      </c>
      <c r="K607" s="29">
        <v>7.0430000000000001</v>
      </c>
      <c r="L607" s="509">
        <f t="shared" si="25"/>
        <v>1.0009348788979455</v>
      </c>
    </row>
    <row r="608" spans="1:12">
      <c r="A608" s="397" t="str">
        <f t="shared" si="26"/>
        <v>-</v>
      </c>
      <c r="F608" s="496"/>
      <c r="G608" s="398"/>
      <c r="I608" t="s">
        <v>847</v>
      </c>
      <c r="J608" s="29">
        <v>5.8202179176755262</v>
      </c>
      <c r="K608" s="29">
        <v>5.6669999999999998</v>
      </c>
      <c r="L608" s="509">
        <f t="shared" si="25"/>
        <v>1.027036865656525</v>
      </c>
    </row>
    <row r="609" spans="1:12">
      <c r="A609" s="397" t="str">
        <f t="shared" si="26"/>
        <v>-</v>
      </c>
      <c r="F609" s="496"/>
      <c r="G609" s="398"/>
      <c r="I609" t="s">
        <v>411</v>
      </c>
      <c r="J609" s="29">
        <v>11.04099290780144</v>
      </c>
      <c r="K609" s="29">
        <v>10.848000000000001</v>
      </c>
      <c r="L609" s="509">
        <f t="shared" si="25"/>
        <v>1.0177906441557374</v>
      </c>
    </row>
    <row r="610" spans="1:12">
      <c r="A610" s="397" t="str">
        <f t="shared" si="26"/>
        <v>-</v>
      </c>
      <c r="F610" s="496"/>
      <c r="G610" s="398"/>
      <c r="I610" t="s">
        <v>138</v>
      </c>
      <c r="J610" s="29">
        <v>8.53572500000001</v>
      </c>
      <c r="K610" s="29">
        <v>8.4719999999999995</v>
      </c>
      <c r="L610" s="509">
        <f t="shared" si="25"/>
        <v>1.0075218366383394</v>
      </c>
    </row>
    <row r="611" spans="1:12">
      <c r="A611" s="397" t="str">
        <f t="shared" si="26"/>
        <v>-</v>
      </c>
      <c r="F611" s="496"/>
      <c r="G611" s="398"/>
      <c r="I611" t="s">
        <v>301</v>
      </c>
      <c r="J611" s="29">
        <v>10.893307692307674</v>
      </c>
      <c r="K611" s="29">
        <v>10.753</v>
      </c>
      <c r="L611" s="509">
        <f t="shared" si="25"/>
        <v>1.0130482369857412</v>
      </c>
    </row>
    <row r="612" spans="1:12">
      <c r="A612" s="397" t="str">
        <f t="shared" si="26"/>
        <v>-</v>
      </c>
      <c r="F612" s="496"/>
      <c r="G612" s="398"/>
      <c r="I612" t="s">
        <v>423</v>
      </c>
      <c r="J612" s="29">
        <v>10.042292817679547</v>
      </c>
      <c r="K612" s="29">
        <v>9.952</v>
      </c>
      <c r="L612" s="509">
        <f t="shared" si="25"/>
        <v>1.0090728313584754</v>
      </c>
    </row>
    <row r="613" spans="1:12">
      <c r="A613" s="397" t="str">
        <f t="shared" si="26"/>
        <v>-</v>
      </c>
      <c r="F613" s="496"/>
      <c r="G613" s="398"/>
      <c r="I613" t="s">
        <v>179</v>
      </c>
      <c r="J613" s="29">
        <v>10.612615803814752</v>
      </c>
      <c r="K613" s="29">
        <v>10.628</v>
      </c>
      <c r="L613" s="509">
        <f t="shared" si="25"/>
        <v>0.99855248436345045</v>
      </c>
    </row>
    <row r="614" spans="1:12">
      <c r="A614" s="397" t="str">
        <f t="shared" si="26"/>
        <v>-</v>
      </c>
      <c r="F614" s="496"/>
      <c r="G614" s="398"/>
      <c r="I614" t="s">
        <v>342</v>
      </c>
      <c r="J614" s="29">
        <v>7.5232587859424909</v>
      </c>
      <c r="K614" s="29">
        <v>7.5060000000000002</v>
      </c>
      <c r="L614" s="509">
        <f t="shared" si="25"/>
        <v>1.0022993319934039</v>
      </c>
    </row>
    <row r="615" spans="1:12">
      <c r="A615" s="397" t="str">
        <f t="shared" si="26"/>
        <v>-</v>
      </c>
      <c r="F615" s="496"/>
      <c r="G615" s="398"/>
      <c r="I615" t="s">
        <v>435</v>
      </c>
      <c r="J615" s="29">
        <v>6.3941479099678507</v>
      </c>
      <c r="K615" s="29">
        <v>6.3879999999999999</v>
      </c>
      <c r="L615" s="509">
        <f t="shared" si="25"/>
        <v>1.0009624154614669</v>
      </c>
    </row>
    <row r="616" spans="1:12">
      <c r="A616" s="397" t="str">
        <f t="shared" si="26"/>
        <v>-</v>
      </c>
      <c r="F616" s="496"/>
      <c r="G616" s="398"/>
      <c r="I616" t="s">
        <v>555</v>
      </c>
      <c r="J616" s="29">
        <v>16.62765472312703</v>
      </c>
      <c r="K616" s="29">
        <v>16.266999999999999</v>
      </c>
      <c r="L616" s="509">
        <f t="shared" si="25"/>
        <v>1.0221709425909529</v>
      </c>
    </row>
    <row r="617" spans="1:12">
      <c r="A617" s="397" t="str">
        <f t="shared" si="26"/>
        <v>-</v>
      </c>
      <c r="F617" s="496"/>
      <c r="G617" s="398"/>
      <c r="I617" t="s">
        <v>300</v>
      </c>
      <c r="J617" s="29">
        <v>10.260387096774194</v>
      </c>
      <c r="K617" s="29">
        <v>10.209</v>
      </c>
      <c r="L617" s="509">
        <f t="shared" si="25"/>
        <v>1.0050335093323728</v>
      </c>
    </row>
    <row r="618" spans="1:12">
      <c r="A618" s="397" t="str">
        <f t="shared" si="26"/>
        <v>-</v>
      </c>
      <c r="F618" s="496"/>
      <c r="G618" s="398"/>
      <c r="I618" t="s">
        <v>297</v>
      </c>
      <c r="J618" s="29">
        <v>8.5765934065933802</v>
      </c>
      <c r="K618" s="29">
        <v>8.5120000000000005</v>
      </c>
      <c r="L618" s="509">
        <f t="shared" si="25"/>
        <v>1.0075885111129441</v>
      </c>
    </row>
    <row r="619" spans="1:12">
      <c r="A619" s="397" t="str">
        <f t="shared" si="26"/>
        <v>-</v>
      </c>
      <c r="F619" s="496"/>
      <c r="G619" s="398"/>
      <c r="I619" t="s">
        <v>406</v>
      </c>
      <c r="J619" s="29">
        <v>11.650562913907304</v>
      </c>
      <c r="K619" s="29">
        <v>11.404999999999999</v>
      </c>
      <c r="L619" s="509">
        <f t="shared" si="25"/>
        <v>1.0215311629905572</v>
      </c>
    </row>
    <row r="620" spans="1:12">
      <c r="A620" s="397" t="str">
        <f t="shared" si="26"/>
        <v>-</v>
      </c>
      <c r="F620" s="496"/>
      <c r="G620" s="398"/>
      <c r="I620" t="s">
        <v>298</v>
      </c>
      <c r="J620" s="29">
        <v>8.8133969465648736</v>
      </c>
      <c r="K620" s="29">
        <v>8.8089999999999993</v>
      </c>
      <c r="L620" s="509">
        <f t="shared" si="25"/>
        <v>1.0004991425320553</v>
      </c>
    </row>
    <row r="621" spans="1:12">
      <c r="A621" s="397" t="str">
        <f t="shared" si="26"/>
        <v>-</v>
      </c>
      <c r="F621" s="496"/>
      <c r="G621" s="398"/>
      <c r="I621" t="s">
        <v>334</v>
      </c>
      <c r="J621" s="29">
        <v>12.832957198443578</v>
      </c>
      <c r="K621" s="29">
        <v>12.635</v>
      </c>
      <c r="L621" s="509">
        <f t="shared" si="25"/>
        <v>1.0156673682978694</v>
      </c>
    </row>
    <row r="622" spans="1:12">
      <c r="A622" s="397" t="str">
        <f t="shared" si="26"/>
        <v>-</v>
      </c>
      <c r="F622" s="496"/>
      <c r="G622" s="398"/>
      <c r="I622" t="s">
        <v>75</v>
      </c>
      <c r="J622" s="29">
        <v>10.803347280334714</v>
      </c>
      <c r="K622" s="29">
        <v>10.731999999999999</v>
      </c>
      <c r="L622" s="509">
        <f t="shared" si="25"/>
        <v>1.006648087992426</v>
      </c>
    </row>
    <row r="623" spans="1:12">
      <c r="A623" s="397" t="str">
        <f t="shared" si="26"/>
        <v>-</v>
      </c>
      <c r="F623" s="496"/>
      <c r="G623" s="398"/>
      <c r="I623" t="s">
        <v>255</v>
      </c>
      <c r="J623" s="29">
        <v>10.678205128205139</v>
      </c>
      <c r="K623" s="29">
        <v>10.54</v>
      </c>
      <c r="L623" s="509">
        <f t="shared" si="25"/>
        <v>1.0131124410061803</v>
      </c>
    </row>
    <row r="624" spans="1:12">
      <c r="A624" s="397" t="str">
        <f t="shared" si="26"/>
        <v>-</v>
      </c>
      <c r="F624" s="496"/>
      <c r="G624" s="398"/>
      <c r="I624" t="s">
        <v>183</v>
      </c>
      <c r="J624" s="29">
        <v>12.233045267489713</v>
      </c>
      <c r="K624" s="29">
        <v>12.114000000000001</v>
      </c>
      <c r="L624" s="509">
        <f t="shared" si="25"/>
        <v>1.0098270816815018</v>
      </c>
    </row>
    <row r="625" spans="1:12">
      <c r="A625" s="397" t="str">
        <f t="shared" si="26"/>
        <v>-</v>
      </c>
      <c r="F625" s="496"/>
      <c r="G625" s="398"/>
      <c r="I625" t="s">
        <v>88</v>
      </c>
      <c r="J625" s="29">
        <v>6.5124255319148947</v>
      </c>
      <c r="K625" s="29">
        <v>6.4349999999999996</v>
      </c>
      <c r="L625" s="509">
        <f t="shared" si="25"/>
        <v>1.0120319396915143</v>
      </c>
    </row>
    <row r="626" spans="1:12">
      <c r="A626" s="397" t="str">
        <f t="shared" si="26"/>
        <v>-</v>
      </c>
      <c r="F626" s="496"/>
      <c r="G626" s="398"/>
      <c r="I626" t="s">
        <v>424</v>
      </c>
      <c r="J626" s="29">
        <v>9.9468181818181947</v>
      </c>
      <c r="K626" s="29">
        <v>9.7769999999999992</v>
      </c>
      <c r="L626" s="509">
        <f t="shared" si="25"/>
        <v>1.017369150231993</v>
      </c>
    </row>
    <row r="627" spans="1:12">
      <c r="A627" s="397" t="str">
        <f t="shared" si="26"/>
        <v>-</v>
      </c>
      <c r="F627" s="496"/>
      <c r="G627" s="398"/>
      <c r="I627" t="s">
        <v>61</v>
      </c>
      <c r="J627" s="29">
        <v>7.5306060606060514</v>
      </c>
      <c r="K627" s="29">
        <v>7.5019999999999998</v>
      </c>
      <c r="L627" s="509">
        <f t="shared" si="25"/>
        <v>1.0038131245809185</v>
      </c>
    </row>
    <row r="628" spans="1:12">
      <c r="A628" s="397" t="str">
        <f t="shared" si="26"/>
        <v>-</v>
      </c>
      <c r="F628" s="496"/>
      <c r="G628" s="398"/>
      <c r="I628" t="s">
        <v>180</v>
      </c>
      <c r="J628" s="29">
        <v>11.537206703910609</v>
      </c>
      <c r="K628" s="29">
        <v>11.471</v>
      </c>
      <c r="L628" s="509">
        <f t="shared" si="25"/>
        <v>1.005771659307001</v>
      </c>
    </row>
    <row r="629" spans="1:12">
      <c r="A629" s="397" t="str">
        <f t="shared" si="26"/>
        <v>-</v>
      </c>
      <c r="F629" s="496"/>
      <c r="G629" s="398"/>
      <c r="I629" t="s">
        <v>220</v>
      </c>
      <c r="J629" s="29">
        <v>14.125909090909088</v>
      </c>
      <c r="K629" s="29">
        <v>13.974</v>
      </c>
      <c r="L629" s="509">
        <f t="shared" si="25"/>
        <v>1.0108708380498848</v>
      </c>
    </row>
    <row r="630" spans="1:12">
      <c r="A630" s="397" t="str">
        <f t="shared" si="26"/>
        <v>-</v>
      </c>
      <c r="F630" s="496"/>
      <c r="G630" s="398"/>
      <c r="I630" t="s">
        <v>182</v>
      </c>
      <c r="J630" s="29">
        <v>12.679133333333338</v>
      </c>
      <c r="K630" s="29">
        <v>12.596</v>
      </c>
      <c r="L630" s="509">
        <f t="shared" si="25"/>
        <v>1.0065999788292583</v>
      </c>
    </row>
    <row r="631" spans="1:12">
      <c r="A631" s="397" t="str">
        <f t="shared" si="26"/>
        <v>-</v>
      </c>
      <c r="F631" s="496"/>
      <c r="G631" s="398"/>
      <c r="I631" t="s">
        <v>177</v>
      </c>
      <c r="J631" s="29">
        <v>11.450742857142869</v>
      </c>
      <c r="K631" s="29">
        <v>11.298999999999999</v>
      </c>
      <c r="L631" s="509">
        <f t="shared" si="25"/>
        <v>1.0134297599029001</v>
      </c>
    </row>
    <row r="632" spans="1:12">
      <c r="A632" s="397" t="str">
        <f t="shared" si="26"/>
        <v>-</v>
      </c>
      <c r="F632" s="496"/>
      <c r="G632" s="398"/>
      <c r="I632" t="s">
        <v>181</v>
      </c>
      <c r="J632" s="29">
        <v>12.749763313609465</v>
      </c>
      <c r="K632" s="29">
        <v>12.536</v>
      </c>
      <c r="L632" s="509">
        <f t="shared" si="25"/>
        <v>1.017051955457041</v>
      </c>
    </row>
    <row r="633" spans="1:12">
      <c r="A633" s="397" t="str">
        <f t="shared" si="26"/>
        <v>-</v>
      </c>
      <c r="F633" s="496"/>
      <c r="G633" s="398"/>
      <c r="I633" t="s">
        <v>58</v>
      </c>
      <c r="J633" s="29">
        <v>8.5570312499999979</v>
      </c>
      <c r="K633" s="29">
        <v>8.4610000000000003</v>
      </c>
      <c r="L633" s="509">
        <f t="shared" si="25"/>
        <v>1.0113498699917265</v>
      </c>
    </row>
    <row r="634" spans="1:12">
      <c r="A634" s="397" t="str">
        <f t="shared" si="26"/>
        <v>-</v>
      </c>
      <c r="F634" s="496"/>
      <c r="G634" s="398"/>
      <c r="I634" t="s">
        <v>936</v>
      </c>
      <c r="J634" s="29">
        <v>12.524071428571419</v>
      </c>
      <c r="K634" s="29">
        <v>12.435</v>
      </c>
      <c r="L634" s="509">
        <f t="shared" si="25"/>
        <v>1.0071629616864832</v>
      </c>
    </row>
    <row r="635" spans="1:12">
      <c r="A635" s="397" t="str">
        <f t="shared" si="26"/>
        <v>-</v>
      </c>
      <c r="F635" s="496"/>
      <c r="G635" s="398"/>
      <c r="I635" t="s">
        <v>414</v>
      </c>
      <c r="J635" s="29">
        <v>15.238333333333351</v>
      </c>
      <c r="K635" s="29">
        <v>15.095000000000001</v>
      </c>
      <c r="L635" s="509">
        <f t="shared" si="25"/>
        <v>1.0094954179088009</v>
      </c>
    </row>
    <row r="636" spans="1:12">
      <c r="A636" s="397" t="str">
        <f t="shared" si="26"/>
        <v>-</v>
      </c>
      <c r="F636" s="496"/>
      <c r="G636" s="398"/>
      <c r="I636" t="s">
        <v>178</v>
      </c>
      <c r="J636" s="29">
        <v>13.608267716535433</v>
      </c>
      <c r="K636" s="29">
        <v>13.46</v>
      </c>
      <c r="L636" s="509">
        <f t="shared" si="25"/>
        <v>1.0110154321348761</v>
      </c>
    </row>
    <row r="637" spans="1:12">
      <c r="A637" s="397" t="str">
        <f t="shared" si="26"/>
        <v>-</v>
      </c>
      <c r="F637" s="496"/>
      <c r="G637" s="398"/>
      <c r="I637" t="s">
        <v>410</v>
      </c>
      <c r="J637" s="29">
        <v>6.2323124999999981</v>
      </c>
      <c r="K637" s="29">
        <v>6.1509999999999998</v>
      </c>
      <c r="L637" s="509">
        <f t="shared" si="25"/>
        <v>1.013219395220289</v>
      </c>
    </row>
    <row r="638" spans="1:12">
      <c r="A638" s="397" t="str">
        <f t="shared" si="26"/>
        <v>-</v>
      </c>
      <c r="F638" s="496"/>
      <c r="G638" s="398"/>
      <c r="I638" t="s">
        <v>395</v>
      </c>
      <c r="J638" s="29">
        <v>11.719852941176486</v>
      </c>
      <c r="K638" s="29">
        <v>11.557</v>
      </c>
      <c r="L638" s="509">
        <f t="shared" si="25"/>
        <v>1.0140912815762295</v>
      </c>
    </row>
    <row r="639" spans="1:12">
      <c r="A639" s="397" t="str">
        <f t="shared" si="26"/>
        <v>-</v>
      </c>
      <c r="F639" s="496"/>
      <c r="G639" s="398"/>
      <c r="I639" t="s">
        <v>245</v>
      </c>
      <c r="J639" s="29">
        <v>14.373367346938766</v>
      </c>
      <c r="K639" s="29">
        <v>14.24</v>
      </c>
      <c r="L639" s="509">
        <f t="shared" si="25"/>
        <v>1.0093656844760368</v>
      </c>
    </row>
    <row r="640" spans="1:12">
      <c r="A640" s="397" t="str">
        <f t="shared" si="26"/>
        <v>-</v>
      </c>
      <c r="F640" s="496"/>
      <c r="G640" s="398"/>
      <c r="I640" t="s">
        <v>336</v>
      </c>
      <c r="J640" s="29">
        <v>9.9178571428571427</v>
      </c>
      <c r="K640" s="29">
        <v>9.7309999999999999</v>
      </c>
      <c r="L640" s="509">
        <f t="shared" si="25"/>
        <v>1.0192022549436999</v>
      </c>
    </row>
    <row r="641" spans="1:12">
      <c r="A641" s="397" t="str">
        <f t="shared" si="26"/>
        <v>-</v>
      </c>
      <c r="F641" s="496"/>
      <c r="G641" s="398"/>
      <c r="I641" t="s">
        <v>927</v>
      </c>
      <c r="J641" s="29">
        <v>8.4649999999999999</v>
      </c>
      <c r="K641" s="29">
        <v>8.218</v>
      </c>
      <c r="L641" s="509">
        <f t="shared" si="25"/>
        <v>1.0300559746897056</v>
      </c>
    </row>
    <row r="642" spans="1:12">
      <c r="A642" s="397" t="str">
        <f t="shared" si="26"/>
        <v>-</v>
      </c>
      <c r="F642" s="496"/>
      <c r="G642" s="398"/>
      <c r="I642" t="s">
        <v>187</v>
      </c>
      <c r="J642" s="29" t="s">
        <v>1763</v>
      </c>
      <c r="K642" s="29">
        <v>10.089</v>
      </c>
      <c r="L642" s="509" t="e">
        <f t="shared" si="25"/>
        <v>#VALUE!</v>
      </c>
    </row>
    <row r="643" spans="1:12">
      <c r="A643" s="397" t="str">
        <f t="shared" si="26"/>
        <v>-</v>
      </c>
      <c r="F643" s="496"/>
      <c r="G643" s="398"/>
      <c r="J643" s="29"/>
      <c r="K643" s="29"/>
      <c r="L643" s="509" t="e">
        <f t="shared" si="25"/>
        <v>#DIV/0!</v>
      </c>
    </row>
    <row r="644" spans="1:12">
      <c r="A644" s="397" t="str">
        <f t="shared" si="26"/>
        <v>-</v>
      </c>
      <c r="F644" s="496"/>
      <c r="G644" s="398"/>
      <c r="I644" t="s">
        <v>814</v>
      </c>
      <c r="J644" s="29">
        <v>6.3479999999999999</v>
      </c>
      <c r="K644" s="29">
        <v>6.2789999999999999</v>
      </c>
      <c r="L644" s="509">
        <f t="shared" si="25"/>
        <v>1.0109890109890109</v>
      </c>
    </row>
    <row r="645" spans="1:12">
      <c r="A645" s="397" t="str">
        <f t="shared" si="26"/>
        <v>-</v>
      </c>
      <c r="F645" s="496"/>
      <c r="G645" s="398"/>
      <c r="I645" t="s">
        <v>830</v>
      </c>
      <c r="J645" s="29">
        <v>10.539230769230766</v>
      </c>
      <c r="K645" s="29">
        <v>10.48</v>
      </c>
      <c r="L645" s="509">
        <f t="shared" si="25"/>
        <v>1.0056517909571341</v>
      </c>
    </row>
    <row r="646" spans="1:12">
      <c r="A646" s="397" t="str">
        <f t="shared" si="26"/>
        <v>-</v>
      </c>
      <c r="F646" s="496"/>
      <c r="G646" s="398"/>
      <c r="I646" t="s">
        <v>336</v>
      </c>
      <c r="J646" s="29">
        <v>9.8156737588652483</v>
      </c>
      <c r="K646" s="29">
        <v>9.7309999999999999</v>
      </c>
      <c r="L646" s="509">
        <f t="shared" si="25"/>
        <v>1.0087014447503082</v>
      </c>
    </row>
    <row r="647" spans="1:12">
      <c r="A647" s="397" t="str">
        <f t="shared" si="26"/>
        <v>-</v>
      </c>
      <c r="F647" s="496"/>
      <c r="G647" s="398"/>
      <c r="I647" t="s">
        <v>410</v>
      </c>
      <c r="J647" s="29">
        <v>6.2074390243902435</v>
      </c>
      <c r="K647" s="29">
        <v>6.1509999999999998</v>
      </c>
      <c r="L647" s="509">
        <f t="shared" ref="L647:L710" si="27">J647/K647</f>
        <v>1.0091755851715565</v>
      </c>
    </row>
    <row r="648" spans="1:12">
      <c r="A648" s="397" t="str">
        <f t="shared" ref="A648:A671" si="28">B648&amp;"-"&amp;C648</f>
        <v>-</v>
      </c>
      <c r="F648" s="496"/>
      <c r="G648" s="398"/>
      <c r="I648" t="s">
        <v>563</v>
      </c>
      <c r="J648" s="29">
        <v>12.525204081632644</v>
      </c>
      <c r="K648" s="29">
        <v>12.313000000000001</v>
      </c>
      <c r="L648" s="509">
        <f t="shared" si="27"/>
        <v>1.0172341494057211</v>
      </c>
    </row>
    <row r="649" spans="1:12">
      <c r="A649" s="397" t="str">
        <f t="shared" si="28"/>
        <v>-</v>
      </c>
      <c r="F649" s="496"/>
      <c r="G649" s="398"/>
      <c r="I649" t="s">
        <v>395</v>
      </c>
      <c r="J649" s="29">
        <v>11.663490566037744</v>
      </c>
      <c r="K649" s="29">
        <v>11.557</v>
      </c>
      <c r="L649" s="509">
        <f t="shared" si="27"/>
        <v>1.0092143779560219</v>
      </c>
    </row>
    <row r="650" spans="1:12">
      <c r="A650" s="397" t="str">
        <f t="shared" si="28"/>
        <v>-</v>
      </c>
      <c r="F650" s="496"/>
      <c r="G650" s="398"/>
      <c r="I650" t="s">
        <v>178</v>
      </c>
      <c r="J650" s="29">
        <v>13.549719626168219</v>
      </c>
      <c r="K650" s="29">
        <v>13.46</v>
      </c>
      <c r="L650" s="509">
        <f t="shared" si="27"/>
        <v>1.0066656483037308</v>
      </c>
    </row>
    <row r="651" spans="1:12">
      <c r="A651" s="397" t="str">
        <f t="shared" si="28"/>
        <v>-</v>
      </c>
      <c r="F651" s="496"/>
      <c r="G651" s="398"/>
      <c r="I651" t="s">
        <v>461</v>
      </c>
      <c r="J651" s="29">
        <v>15.52339449541283</v>
      </c>
      <c r="K651" s="29">
        <v>15.343999999999999</v>
      </c>
      <c r="L651" s="509">
        <f t="shared" si="27"/>
        <v>1.0116915077823796</v>
      </c>
    </row>
    <row r="652" spans="1:12">
      <c r="A652" s="397" t="str">
        <f t="shared" si="28"/>
        <v>-</v>
      </c>
      <c r="F652" s="496"/>
      <c r="G652" s="398"/>
      <c r="I652" t="s">
        <v>236</v>
      </c>
      <c r="J652" s="29">
        <v>12.749724770642207</v>
      </c>
      <c r="K652" s="29">
        <v>12.635</v>
      </c>
      <c r="L652" s="509">
        <f t="shared" si="27"/>
        <v>1.0090799185312391</v>
      </c>
    </row>
    <row r="653" spans="1:12">
      <c r="A653" s="397" t="str">
        <f t="shared" si="28"/>
        <v>-</v>
      </c>
      <c r="F653" s="496"/>
      <c r="G653" s="398"/>
      <c r="I653" t="s">
        <v>61</v>
      </c>
      <c r="J653" s="29">
        <v>7.5662500000000019</v>
      </c>
      <c r="K653" s="29">
        <v>7.5019999999999998</v>
      </c>
      <c r="L653" s="509">
        <f t="shared" si="27"/>
        <v>1.0085643828312454</v>
      </c>
    </row>
    <row r="654" spans="1:12">
      <c r="A654" s="397" t="str">
        <f t="shared" si="28"/>
        <v>-</v>
      </c>
      <c r="F654" s="496"/>
      <c r="G654" s="398"/>
      <c r="I654" t="s">
        <v>791</v>
      </c>
      <c r="J654" s="29">
        <v>6.8616083916083888</v>
      </c>
      <c r="K654" s="29">
        <v>6.8220000000000001</v>
      </c>
      <c r="L654" s="509">
        <f t="shared" si="27"/>
        <v>1.0058059794207548</v>
      </c>
    </row>
    <row r="655" spans="1:12">
      <c r="A655" s="397" t="str">
        <f t="shared" si="28"/>
        <v>-</v>
      </c>
      <c r="F655" s="496"/>
      <c r="G655" s="398"/>
      <c r="I655" t="s">
        <v>177</v>
      </c>
      <c r="J655" s="29">
        <v>11.382479999999989</v>
      </c>
      <c r="K655" s="29">
        <v>11.298999999999999</v>
      </c>
      <c r="L655" s="509">
        <f t="shared" si="27"/>
        <v>1.0073882644481802</v>
      </c>
    </row>
    <row r="656" spans="1:12">
      <c r="A656" s="397" t="str">
        <f t="shared" si="28"/>
        <v>-</v>
      </c>
      <c r="F656" s="496"/>
      <c r="G656" s="398"/>
      <c r="I656" t="s">
        <v>346</v>
      </c>
      <c r="J656" s="29">
        <v>12.540873015873002</v>
      </c>
      <c r="K656" s="29">
        <v>12.435</v>
      </c>
      <c r="L656" s="509">
        <f t="shared" si="27"/>
        <v>1.0085141146661039</v>
      </c>
    </row>
    <row r="657" spans="1:12">
      <c r="A657" s="397" t="str">
        <f t="shared" si="28"/>
        <v>-</v>
      </c>
      <c r="F657" s="496"/>
      <c r="G657" s="398"/>
      <c r="I657" t="s">
        <v>423</v>
      </c>
      <c r="J657" s="29">
        <v>10.082202380952358</v>
      </c>
      <c r="K657" s="29">
        <v>9.952</v>
      </c>
      <c r="L657" s="509">
        <f t="shared" si="27"/>
        <v>1.0130830366712578</v>
      </c>
    </row>
    <row r="658" spans="1:12">
      <c r="A658" s="397" t="str">
        <f t="shared" si="28"/>
        <v>-</v>
      </c>
      <c r="F658" s="496"/>
      <c r="G658" s="398"/>
      <c r="I658" t="s">
        <v>334</v>
      </c>
      <c r="J658" s="29">
        <v>12.857999999999995</v>
      </c>
      <c r="K658" s="29">
        <v>12.635</v>
      </c>
      <c r="L658" s="509">
        <f t="shared" si="27"/>
        <v>1.0176493866244556</v>
      </c>
    </row>
    <row r="659" spans="1:12">
      <c r="A659" s="397" t="str">
        <f t="shared" si="28"/>
        <v>-</v>
      </c>
      <c r="F659" s="496"/>
      <c r="G659" s="398"/>
      <c r="I659" t="s">
        <v>75</v>
      </c>
      <c r="J659" s="29">
        <v>10.814709677419339</v>
      </c>
      <c r="K659" s="29">
        <v>10.731999999999999</v>
      </c>
      <c r="L659" s="509">
        <f t="shared" si="27"/>
        <v>1.0077068279369492</v>
      </c>
    </row>
    <row r="660" spans="1:12">
      <c r="A660" s="397" t="str">
        <f t="shared" si="28"/>
        <v>-</v>
      </c>
      <c r="F660" s="496"/>
      <c r="G660" s="398"/>
      <c r="I660" t="s">
        <v>300</v>
      </c>
      <c r="J660" s="29">
        <v>10.26763736263735</v>
      </c>
      <c r="K660" s="29">
        <v>10.209</v>
      </c>
      <c r="L660" s="509">
        <f t="shared" si="27"/>
        <v>1.0057436930783965</v>
      </c>
    </row>
    <row r="661" spans="1:12">
      <c r="A661" s="397" t="str">
        <f t="shared" si="28"/>
        <v>-</v>
      </c>
      <c r="F661" s="496"/>
      <c r="G661" s="398"/>
      <c r="I661" t="s">
        <v>301</v>
      </c>
      <c r="J661" s="29">
        <v>10.943939393939408</v>
      </c>
      <c r="K661" s="29">
        <v>10.753</v>
      </c>
      <c r="L661" s="509">
        <f t="shared" si="27"/>
        <v>1.0177568486877528</v>
      </c>
    </row>
    <row r="662" spans="1:12">
      <c r="A662" s="397" t="str">
        <f t="shared" si="28"/>
        <v>-</v>
      </c>
      <c r="F662" s="496"/>
      <c r="G662" s="398"/>
      <c r="I662" t="s">
        <v>424</v>
      </c>
      <c r="J662" s="29">
        <v>9.8677339901477836</v>
      </c>
      <c r="K662" s="29">
        <v>9.7769999999999992</v>
      </c>
      <c r="L662" s="509">
        <f t="shared" si="27"/>
        <v>1.0092803508384764</v>
      </c>
    </row>
    <row r="663" spans="1:12">
      <c r="A663" s="397" t="str">
        <f t="shared" si="28"/>
        <v>-</v>
      </c>
      <c r="F663" s="496"/>
      <c r="G663" s="398"/>
      <c r="I663" t="s">
        <v>182</v>
      </c>
      <c r="J663" s="29">
        <v>12.760887573964498</v>
      </c>
      <c r="K663" s="29">
        <v>12.612</v>
      </c>
      <c r="L663" s="509">
        <f t="shared" si="27"/>
        <v>1.0118052310469789</v>
      </c>
    </row>
    <row r="664" spans="1:12">
      <c r="A664" s="397" t="str">
        <f t="shared" si="28"/>
        <v>-</v>
      </c>
      <c r="F664" s="496"/>
      <c r="G664" s="398"/>
      <c r="I664" t="s">
        <v>180</v>
      </c>
      <c r="J664" s="29">
        <v>11.526056910569094</v>
      </c>
      <c r="K664" s="29">
        <v>11.471</v>
      </c>
      <c r="L664" s="509">
        <f t="shared" si="27"/>
        <v>1.0047996609335799</v>
      </c>
    </row>
    <row r="665" spans="1:12">
      <c r="A665" s="397" t="str">
        <f t="shared" si="28"/>
        <v>-</v>
      </c>
      <c r="F665" s="496"/>
      <c r="G665" s="398"/>
      <c r="I665" t="s">
        <v>400</v>
      </c>
      <c r="J665" s="29">
        <v>11.943274336283185</v>
      </c>
      <c r="K665" s="29">
        <v>11.805999999999999</v>
      </c>
      <c r="L665" s="509">
        <f t="shared" si="27"/>
        <v>1.0116275060378779</v>
      </c>
    </row>
    <row r="666" spans="1:12">
      <c r="A666" s="397" t="str">
        <f t="shared" si="28"/>
        <v>-</v>
      </c>
      <c r="F666" s="496"/>
      <c r="G666" s="398"/>
      <c r="I666" t="s">
        <v>188</v>
      </c>
      <c r="J666" s="29">
        <v>11.740078125000014</v>
      </c>
      <c r="K666" s="29">
        <v>11.629</v>
      </c>
      <c r="L666" s="509">
        <f t="shared" si="27"/>
        <v>1.0095518208788388</v>
      </c>
    </row>
    <row r="667" spans="1:12">
      <c r="A667" s="397" t="str">
        <f t="shared" si="28"/>
        <v>-</v>
      </c>
      <c r="F667" s="496"/>
      <c r="G667" s="398"/>
      <c r="I667" t="s">
        <v>576</v>
      </c>
      <c r="J667" s="29">
        <v>10.934448669201517</v>
      </c>
      <c r="K667" s="29">
        <v>10.77</v>
      </c>
      <c r="L667" s="509">
        <f t="shared" si="27"/>
        <v>1.0152691429156468</v>
      </c>
    </row>
    <row r="668" spans="1:12">
      <c r="A668" s="397" t="str">
        <f t="shared" si="28"/>
        <v>-</v>
      </c>
      <c r="F668" s="496"/>
      <c r="G668" s="398"/>
      <c r="I668" t="s">
        <v>207</v>
      </c>
      <c r="J668" s="29">
        <v>13.464028268551232</v>
      </c>
      <c r="K668" s="29">
        <v>13.335000000000001</v>
      </c>
      <c r="L668" s="509">
        <f t="shared" si="27"/>
        <v>1.0096759106525108</v>
      </c>
    </row>
    <row r="669" spans="1:12">
      <c r="A669" s="397" t="str">
        <f t="shared" si="28"/>
        <v>-</v>
      </c>
      <c r="F669" s="496"/>
      <c r="G669" s="398"/>
      <c r="I669" t="s">
        <v>931</v>
      </c>
      <c r="J669" s="29">
        <v>12.072607142857137</v>
      </c>
      <c r="K669" s="29">
        <v>11.92</v>
      </c>
      <c r="L669" s="509">
        <f t="shared" si="27"/>
        <v>1.0128026126558001</v>
      </c>
    </row>
    <row r="670" spans="1:12">
      <c r="A670" s="397" t="str">
        <f t="shared" si="28"/>
        <v>-</v>
      </c>
      <c r="F670" s="496"/>
      <c r="G670" s="398"/>
      <c r="I670" t="s">
        <v>52</v>
      </c>
      <c r="J670" s="29">
        <v>7.0465032679738417</v>
      </c>
      <c r="K670" s="29">
        <v>7.0430000000000001</v>
      </c>
      <c r="L670" s="509">
        <f t="shared" si="27"/>
        <v>1.0004974113266849</v>
      </c>
    </row>
    <row r="671" spans="1:12">
      <c r="A671" s="397" t="str">
        <f t="shared" si="28"/>
        <v>-</v>
      </c>
      <c r="F671" s="496"/>
      <c r="G671" s="398"/>
      <c r="I671" t="s">
        <v>298</v>
      </c>
      <c r="J671" s="29">
        <v>8.9484565916398715</v>
      </c>
      <c r="K671" s="29">
        <v>8.8089999999999993</v>
      </c>
      <c r="L671" s="509">
        <f t="shared" si="27"/>
        <v>1.015831149011224</v>
      </c>
    </row>
    <row r="672" spans="1:12">
      <c r="A672" s="397" t="str">
        <f t="shared" ref="A672:A735" si="29">B672&amp;"-"&amp;C672</f>
        <v>-</v>
      </c>
      <c r="F672" s="496"/>
      <c r="G672" s="398"/>
      <c r="I672" t="s">
        <v>297</v>
      </c>
      <c r="J672" s="29">
        <v>8.5277745664740028</v>
      </c>
      <c r="K672" s="29">
        <v>8.5120000000000005</v>
      </c>
      <c r="L672" s="509">
        <f t="shared" si="27"/>
        <v>1.0018532150462878</v>
      </c>
    </row>
    <row r="673" spans="1:12">
      <c r="A673" s="397" t="str">
        <f t="shared" si="29"/>
        <v>-</v>
      </c>
      <c r="F673" s="496"/>
      <c r="G673" s="398"/>
      <c r="I673" t="s">
        <v>421</v>
      </c>
      <c r="J673" s="29">
        <v>9.4911988304093491</v>
      </c>
      <c r="K673" s="29">
        <v>9.516</v>
      </c>
      <c r="L673" s="509">
        <f t="shared" si="27"/>
        <v>0.99739374005983072</v>
      </c>
    </row>
    <row r="674" spans="1:12">
      <c r="A674" s="397" t="str">
        <f t="shared" si="29"/>
        <v>-</v>
      </c>
      <c r="F674" s="496"/>
      <c r="G674" s="398"/>
      <c r="I674" t="s">
        <v>885</v>
      </c>
      <c r="J674" s="29">
        <v>12.031246537396122</v>
      </c>
      <c r="K674" s="29">
        <v>11.956</v>
      </c>
      <c r="L674" s="509">
        <f t="shared" si="27"/>
        <v>1.0062936213947911</v>
      </c>
    </row>
    <row r="675" spans="1:12">
      <c r="A675" s="397" t="str">
        <f t="shared" si="29"/>
        <v>-</v>
      </c>
      <c r="F675" s="496"/>
      <c r="G675" s="398"/>
      <c r="I675" t="s">
        <v>340</v>
      </c>
      <c r="J675" s="29">
        <v>9.2065819861431706</v>
      </c>
      <c r="K675" s="29">
        <v>9.1159999999999997</v>
      </c>
      <c r="L675" s="509">
        <f t="shared" si="27"/>
        <v>1.0099365934777502</v>
      </c>
    </row>
    <row r="676" spans="1:12">
      <c r="A676" s="397" t="str">
        <f t="shared" si="29"/>
        <v>-</v>
      </c>
      <c r="F676" s="496"/>
      <c r="G676" s="398"/>
      <c r="I676" t="s">
        <v>342</v>
      </c>
      <c r="J676" s="29">
        <v>7.5293782383419741</v>
      </c>
      <c r="K676" s="29">
        <v>7.5060000000000002</v>
      </c>
      <c r="L676" s="509">
        <f t="shared" si="27"/>
        <v>1.0031146067601884</v>
      </c>
    </row>
    <row r="677" spans="1:12">
      <c r="A677" s="397" t="str">
        <f t="shared" si="29"/>
        <v>-</v>
      </c>
      <c r="F677" s="496"/>
      <c r="G677" s="398"/>
      <c r="I677" t="s">
        <v>302</v>
      </c>
      <c r="J677" s="29">
        <v>8.5083910891089278</v>
      </c>
      <c r="K677" s="29">
        <v>8.5340000000000007</v>
      </c>
      <c r="L677" s="509">
        <f t="shared" si="27"/>
        <v>0.99699919019321859</v>
      </c>
    </row>
    <row r="678" spans="1:12">
      <c r="A678" s="397" t="str">
        <f t="shared" si="29"/>
        <v>-</v>
      </c>
      <c r="F678" s="496"/>
      <c r="G678" s="398"/>
      <c r="I678" t="s">
        <v>58</v>
      </c>
      <c r="J678">
        <v>8.5990848214285762</v>
      </c>
      <c r="K678">
        <v>8.4610000000000003</v>
      </c>
      <c r="L678" s="509">
        <f t="shared" si="27"/>
        <v>1.0163201538149835</v>
      </c>
    </row>
    <row r="679" spans="1:12">
      <c r="A679" s="397" t="str">
        <f t="shared" si="29"/>
        <v>-</v>
      </c>
      <c r="F679" s="496"/>
      <c r="G679" s="398"/>
      <c r="I679" t="s">
        <v>435</v>
      </c>
      <c r="J679">
        <v>6.4738321995464796</v>
      </c>
      <c r="K679">
        <v>6.3879999999999999</v>
      </c>
      <c r="L679" s="509">
        <f t="shared" si="27"/>
        <v>1.0134364745689541</v>
      </c>
    </row>
    <row r="680" spans="1:12">
      <c r="A680" s="397" t="str">
        <f t="shared" si="29"/>
        <v>-</v>
      </c>
      <c r="F680" s="496"/>
      <c r="G680" s="398"/>
      <c r="I680" t="s">
        <v>332</v>
      </c>
      <c r="J680">
        <v>9.8612333965844545</v>
      </c>
      <c r="K680">
        <v>9.7729999999999997</v>
      </c>
      <c r="L680" s="509">
        <f t="shared" si="27"/>
        <v>1.0090282816519447</v>
      </c>
    </row>
    <row r="681" spans="1:12">
      <c r="A681" s="397" t="str">
        <f t="shared" si="29"/>
        <v>-</v>
      </c>
      <c r="F681" s="496"/>
      <c r="G681" s="398"/>
      <c r="I681" t="s">
        <v>343</v>
      </c>
      <c r="J681">
        <v>7.4262803738317684</v>
      </c>
      <c r="K681">
        <v>7.3860000000000001</v>
      </c>
      <c r="L681" s="509">
        <f t="shared" si="27"/>
        <v>1.0054536114042469</v>
      </c>
    </row>
    <row r="682" spans="1:12">
      <c r="A682" s="397" t="str">
        <f t="shared" si="29"/>
        <v>-</v>
      </c>
      <c r="F682" s="496"/>
      <c r="G682" s="398"/>
      <c r="I682" t="s">
        <v>847</v>
      </c>
      <c r="J682">
        <v>5.7738554216867604</v>
      </c>
      <c r="K682">
        <v>5.6669999999999998</v>
      </c>
      <c r="L682" s="509">
        <f t="shared" si="27"/>
        <v>1.0188557299606071</v>
      </c>
    </row>
    <row r="683" spans="1:12">
      <c r="A683" s="397" t="str">
        <f t="shared" si="29"/>
        <v>-</v>
      </c>
      <c r="F683" s="496"/>
      <c r="G683" s="398"/>
      <c r="I683" t="s">
        <v>202</v>
      </c>
      <c r="J683">
        <v>12.468993610223611</v>
      </c>
      <c r="K683">
        <v>12.352</v>
      </c>
      <c r="L683" s="509">
        <f t="shared" si="27"/>
        <v>1.009471632952041</v>
      </c>
    </row>
    <row r="684" spans="1:12">
      <c r="A684" s="397" t="str">
        <f t="shared" si="29"/>
        <v>-</v>
      </c>
      <c r="F684" s="496"/>
      <c r="G684" s="398"/>
      <c r="I684" t="s">
        <v>553</v>
      </c>
      <c r="J684">
        <v>9.1232051282051234</v>
      </c>
      <c r="K684">
        <v>9.01</v>
      </c>
      <c r="L684" s="509">
        <f t="shared" si="27"/>
        <v>1.0125643871481824</v>
      </c>
    </row>
    <row r="685" spans="1:12">
      <c r="A685" s="397" t="str">
        <f t="shared" si="29"/>
        <v>-</v>
      </c>
      <c r="F685" s="496"/>
      <c r="G685" s="398"/>
      <c r="I685" t="s">
        <v>232</v>
      </c>
      <c r="J685">
        <v>10.252612859097118</v>
      </c>
      <c r="K685">
        <v>10.227</v>
      </c>
      <c r="L685" s="509">
        <f t="shared" si="27"/>
        <v>1.002504435229991</v>
      </c>
    </row>
    <row r="686" spans="1:12">
      <c r="A686" s="397" t="str">
        <f t="shared" si="29"/>
        <v>-</v>
      </c>
      <c r="F686" s="496"/>
      <c r="G686" s="398"/>
      <c r="I686" t="s">
        <v>330</v>
      </c>
      <c r="J686">
        <v>9.2879326364692307</v>
      </c>
      <c r="K686">
        <v>9.2729999999999997</v>
      </c>
      <c r="L686" s="509">
        <f t="shared" si="27"/>
        <v>1.0016103350015346</v>
      </c>
    </row>
    <row r="687" spans="1:12">
      <c r="A687" s="397" t="str">
        <f t="shared" si="29"/>
        <v>-</v>
      </c>
      <c r="F687" s="496"/>
      <c r="G687" s="398"/>
      <c r="I687" t="s">
        <v>84</v>
      </c>
      <c r="J687">
        <v>10.096349892008648</v>
      </c>
      <c r="K687">
        <v>10.023</v>
      </c>
      <c r="L687" s="509">
        <f t="shared" si="27"/>
        <v>1.0073181574387557</v>
      </c>
    </row>
    <row r="688" spans="1:12">
      <c r="A688" s="397" t="str">
        <f t="shared" si="29"/>
        <v>-</v>
      </c>
      <c r="F688" s="496"/>
      <c r="G688" s="398"/>
      <c r="I688" t="s">
        <v>418</v>
      </c>
      <c r="J688">
        <v>7.9023999999999814</v>
      </c>
      <c r="K688">
        <v>7.968</v>
      </c>
      <c r="L688" s="509">
        <f t="shared" si="27"/>
        <v>0.99176706827309002</v>
      </c>
    </row>
    <row r="689" spans="1:12">
      <c r="A689" s="397" t="str">
        <f t="shared" si="29"/>
        <v>-</v>
      </c>
      <c r="F689" s="496"/>
      <c r="G689" s="398"/>
      <c r="I689" t="s">
        <v>88</v>
      </c>
      <c r="J689">
        <v>6.5460020876826777</v>
      </c>
      <c r="K689">
        <v>6.4349999999999996</v>
      </c>
      <c r="L689" s="509">
        <f t="shared" si="27"/>
        <v>1.0172497416756299</v>
      </c>
    </row>
    <row r="690" spans="1:12">
      <c r="A690" s="397" t="str">
        <f t="shared" si="29"/>
        <v>-</v>
      </c>
      <c r="F690" s="496"/>
      <c r="G690" s="398"/>
      <c r="I690" t="s">
        <v>420</v>
      </c>
      <c r="J690">
        <v>9.7371874999999832</v>
      </c>
      <c r="K690">
        <v>9.7560000000000002</v>
      </c>
      <c r="L690" s="509">
        <f t="shared" si="27"/>
        <v>0.99807169946699292</v>
      </c>
    </row>
    <row r="691" spans="1:12">
      <c r="A691" s="397" t="str">
        <f t="shared" si="29"/>
        <v>-</v>
      </c>
      <c r="F691" s="496"/>
      <c r="G691" s="398"/>
      <c r="I691" t="s">
        <v>419</v>
      </c>
      <c r="J691">
        <v>9.0773414179104908</v>
      </c>
      <c r="K691">
        <v>9.0589999999999993</v>
      </c>
      <c r="L691" s="509">
        <f t="shared" si="27"/>
        <v>1.0020246625356541</v>
      </c>
    </row>
    <row r="692" spans="1:12">
      <c r="A692" s="397" t="str">
        <f t="shared" si="29"/>
        <v>-</v>
      </c>
      <c r="F692" s="496"/>
      <c r="G692" s="398"/>
      <c r="I692" t="s">
        <v>206</v>
      </c>
      <c r="J692">
        <v>12.469769094138526</v>
      </c>
      <c r="K692">
        <v>12.295</v>
      </c>
      <c r="L692" s="509">
        <f t="shared" si="27"/>
        <v>1.0142146477542517</v>
      </c>
    </row>
    <row r="693" spans="1:12">
      <c r="A693" s="397" t="str">
        <f t="shared" si="29"/>
        <v>-</v>
      </c>
      <c r="F693" s="496"/>
      <c r="G693" s="398"/>
      <c r="I693" t="s">
        <v>471</v>
      </c>
      <c r="J693">
        <v>10.450124003542935</v>
      </c>
      <c r="K693">
        <v>10.374000000000001</v>
      </c>
      <c r="L693" s="509">
        <f t="shared" si="27"/>
        <v>1.0073379606268493</v>
      </c>
    </row>
    <row r="694" spans="1:12">
      <c r="A694" s="397" t="str">
        <f t="shared" si="29"/>
        <v>-</v>
      </c>
      <c r="F694" s="496"/>
      <c r="G694" s="398"/>
      <c r="I694" t="s">
        <v>476</v>
      </c>
      <c r="J694">
        <v>12.644879668049766</v>
      </c>
      <c r="K694">
        <v>12.566000000000001</v>
      </c>
      <c r="L694" s="509">
        <f t="shared" si="27"/>
        <v>1.0062772296713167</v>
      </c>
    </row>
    <row r="695" spans="1:12">
      <c r="A695" s="397" t="str">
        <f t="shared" si="29"/>
        <v>-</v>
      </c>
      <c r="F695" s="496"/>
      <c r="G695" s="398"/>
      <c r="I695" t="s">
        <v>86</v>
      </c>
      <c r="J695">
        <v>8.8792405063291113</v>
      </c>
      <c r="K695">
        <v>8.8919999999999995</v>
      </c>
      <c r="L695" s="509">
        <f t="shared" si="27"/>
        <v>0.99856505919130811</v>
      </c>
    </row>
    <row r="696" spans="1:12">
      <c r="A696" s="397" t="str">
        <f t="shared" si="29"/>
        <v>-</v>
      </c>
      <c r="F696" s="496"/>
      <c r="G696" s="398"/>
      <c r="I696" t="s">
        <v>848</v>
      </c>
      <c r="J696">
        <v>6.1837168811506009</v>
      </c>
      <c r="K696">
        <v>6.0919999999999996</v>
      </c>
      <c r="L696" s="509">
        <f t="shared" si="27"/>
        <v>1.0150552989413331</v>
      </c>
    </row>
    <row r="697" spans="1:12">
      <c r="A697" s="397" t="str">
        <f t="shared" si="29"/>
        <v>-</v>
      </c>
      <c r="F697" s="496"/>
      <c r="G697" s="398"/>
      <c r="I697" t="s">
        <v>422</v>
      </c>
      <c r="J697">
        <v>9.242394170714789</v>
      </c>
      <c r="K697">
        <v>9.2270000000000003</v>
      </c>
      <c r="L697" s="509">
        <f t="shared" si="27"/>
        <v>1.0016683830838613</v>
      </c>
    </row>
    <row r="698" spans="1:12">
      <c r="A698" s="397" t="str">
        <f t="shared" si="29"/>
        <v>-</v>
      </c>
      <c r="F698" s="496"/>
      <c r="G698" s="398"/>
      <c r="I698" t="s">
        <v>159</v>
      </c>
      <c r="J698">
        <v>9.1778584965255483</v>
      </c>
      <c r="K698">
        <v>9.0519999999999996</v>
      </c>
      <c r="L698" s="509">
        <f t="shared" si="27"/>
        <v>1.0139039434959731</v>
      </c>
    </row>
    <row r="699" spans="1:12">
      <c r="A699" s="397" t="str">
        <f t="shared" si="29"/>
        <v>-</v>
      </c>
      <c r="F699" s="496"/>
      <c r="G699" s="398"/>
      <c r="I699" t="s">
        <v>304</v>
      </c>
      <c r="J699">
        <v>10.096559257236512</v>
      </c>
      <c r="K699">
        <v>9.9870000000000001</v>
      </c>
      <c r="L699" s="509">
        <f t="shared" si="27"/>
        <v>1.0109701869667078</v>
      </c>
    </row>
    <row r="700" spans="1:12">
      <c r="A700" s="397" t="str">
        <f t="shared" si="29"/>
        <v>-</v>
      </c>
      <c r="F700" s="496"/>
      <c r="G700" s="398"/>
      <c r="I700" t="s">
        <v>142</v>
      </c>
      <c r="J700">
        <v>9.5973506493506733</v>
      </c>
      <c r="K700">
        <v>9.5890000000000004</v>
      </c>
      <c r="L700" s="509">
        <f t="shared" si="27"/>
        <v>1.0008708571645295</v>
      </c>
    </row>
    <row r="701" spans="1:12">
      <c r="A701" s="397" t="str">
        <f t="shared" si="29"/>
        <v>-</v>
      </c>
      <c r="F701" s="496"/>
      <c r="G701" s="398"/>
      <c r="I701" t="s">
        <v>784</v>
      </c>
      <c r="J701">
        <v>9.9987976999476906</v>
      </c>
      <c r="K701">
        <v>9.9239999999999995</v>
      </c>
      <c r="L701" s="509">
        <f t="shared" si="27"/>
        <v>1.0075370515868289</v>
      </c>
    </row>
    <row r="702" spans="1:12">
      <c r="A702" s="397" t="str">
        <f t="shared" si="29"/>
        <v>-</v>
      </c>
      <c r="F702" s="496"/>
      <c r="G702" s="398"/>
      <c r="I702" t="s">
        <v>792</v>
      </c>
      <c r="J702">
        <v>8.347645803698466</v>
      </c>
      <c r="K702">
        <v>8.2390000000000008</v>
      </c>
      <c r="L702" s="509">
        <f t="shared" si="27"/>
        <v>1.013186770688004</v>
      </c>
    </row>
    <row r="703" spans="1:12">
      <c r="A703" s="397" t="str">
        <f t="shared" si="29"/>
        <v>-</v>
      </c>
      <c r="F703" s="496"/>
      <c r="G703" s="398"/>
      <c r="I703" t="s">
        <v>854</v>
      </c>
      <c r="J703">
        <v>7.457124699415985</v>
      </c>
      <c r="K703">
        <v>7.4</v>
      </c>
      <c r="L703" s="509">
        <f t="shared" si="27"/>
        <v>1.0077195539751331</v>
      </c>
    </row>
    <row r="704" spans="1:12">
      <c r="A704" s="397" t="str">
        <f t="shared" si="29"/>
        <v>-</v>
      </c>
      <c r="F704" s="496"/>
      <c r="G704" s="398"/>
      <c r="I704" t="s">
        <v>793</v>
      </c>
      <c r="J704">
        <v>9.0404393442623174</v>
      </c>
      <c r="K704">
        <v>8.8320000000000007</v>
      </c>
      <c r="L704" s="509">
        <f t="shared" si="27"/>
        <v>1.0236004692325993</v>
      </c>
    </row>
    <row r="705" spans="1:12">
      <c r="A705" s="397" t="str">
        <f t="shared" si="29"/>
        <v>-</v>
      </c>
      <c r="F705" s="496"/>
      <c r="G705" s="398"/>
      <c r="I705" t="s">
        <v>303</v>
      </c>
      <c r="J705">
        <v>10.790880745740958</v>
      </c>
      <c r="K705">
        <v>10.704000000000001</v>
      </c>
      <c r="L705" s="509">
        <f t="shared" si="27"/>
        <v>1.0081166615976231</v>
      </c>
    </row>
    <row r="706" spans="1:12">
      <c r="A706" s="397" t="str">
        <f t="shared" si="29"/>
        <v>-</v>
      </c>
      <c r="F706" s="496"/>
      <c r="G706" s="398"/>
      <c r="I706" t="s">
        <v>853</v>
      </c>
      <c r="J706">
        <v>6.6601927710842981</v>
      </c>
      <c r="K706">
        <v>6.6120000000000001</v>
      </c>
      <c r="L706" s="509">
        <f t="shared" si="27"/>
        <v>1.0072886828621139</v>
      </c>
    </row>
    <row r="707" spans="1:12">
      <c r="A707" s="397" t="str">
        <f t="shared" si="29"/>
        <v>-</v>
      </c>
      <c r="F707" s="496"/>
      <c r="G707" s="398"/>
      <c r="I707" t="s">
        <v>855</v>
      </c>
      <c r="J707">
        <v>7.4804610344020235</v>
      </c>
      <c r="K707">
        <v>7.4829999999999997</v>
      </c>
      <c r="L707" s="509">
        <f t="shared" si="27"/>
        <v>0.99966070217854119</v>
      </c>
    </row>
    <row r="708" spans="1:12">
      <c r="A708" s="397" t="str">
        <f t="shared" si="29"/>
        <v>-</v>
      </c>
      <c r="F708" s="496"/>
      <c r="G708" s="398"/>
      <c r="I708" t="s">
        <v>849</v>
      </c>
      <c r="J708">
        <v>6.3024698113208251</v>
      </c>
      <c r="K708">
        <v>6.2240000000000002</v>
      </c>
      <c r="L708" s="509">
        <f t="shared" si="27"/>
        <v>1.0126076175001326</v>
      </c>
    </row>
    <row r="709" spans="1:12">
      <c r="A709" s="397" t="str">
        <f t="shared" si="29"/>
        <v>-</v>
      </c>
      <c r="F709" s="496"/>
      <c r="G709" s="398"/>
      <c r="I709" t="s">
        <v>221</v>
      </c>
      <c r="J709">
        <v>8.8786810376324485</v>
      </c>
      <c r="K709">
        <v>8.8420000000000005</v>
      </c>
      <c r="L709" s="509">
        <f t="shared" si="27"/>
        <v>1.0041485000715278</v>
      </c>
    </row>
    <row r="710" spans="1:12">
      <c r="A710" s="397" t="str">
        <f t="shared" si="29"/>
        <v>-</v>
      </c>
      <c r="F710" s="496"/>
      <c r="G710" s="398"/>
      <c r="I710" t="s">
        <v>189</v>
      </c>
      <c r="J710">
        <v>9.0205513461229021</v>
      </c>
      <c r="K710">
        <v>8.9689999999999994</v>
      </c>
      <c r="L710" s="509">
        <f t="shared" si="27"/>
        <v>1.0057477250666633</v>
      </c>
    </row>
    <row r="711" spans="1:12">
      <c r="A711" s="397" t="str">
        <f t="shared" si="29"/>
        <v>-</v>
      </c>
      <c r="F711" s="496"/>
      <c r="G711" s="398"/>
      <c r="I711" t="s">
        <v>852</v>
      </c>
      <c r="J711">
        <v>6.9235220417634249</v>
      </c>
      <c r="K711">
        <v>6.8449999999999998</v>
      </c>
      <c r="L711" s="509">
        <f t="shared" ref="L711:L774" si="30">J711/K711</f>
        <v>1.0114714451078781</v>
      </c>
    </row>
    <row r="712" spans="1:12">
      <c r="A712" s="397" t="str">
        <f t="shared" si="29"/>
        <v>-</v>
      </c>
      <c r="F712" s="496"/>
      <c r="G712" s="398"/>
      <c r="I712" t="s">
        <v>433</v>
      </c>
      <c r="J712">
        <v>8.1709712460064274</v>
      </c>
      <c r="K712">
        <v>8.0890000000000004</v>
      </c>
      <c r="L712" s="509">
        <f t="shared" si="30"/>
        <v>1.0101336686866642</v>
      </c>
    </row>
    <row r="713" spans="1:12">
      <c r="A713" s="397" t="str">
        <f t="shared" si="29"/>
        <v>-</v>
      </c>
      <c r="F713" s="496"/>
      <c r="G713" s="398"/>
      <c r="I713" t="s">
        <v>850</v>
      </c>
      <c r="J713">
        <v>7.1591164010491184</v>
      </c>
      <c r="K713">
        <v>7.0369999999999999</v>
      </c>
      <c r="L713" s="509">
        <f t="shared" si="30"/>
        <v>1.0173534746410571</v>
      </c>
    </row>
    <row r="714" spans="1:12">
      <c r="A714" s="397" t="str">
        <f t="shared" si="29"/>
        <v>-</v>
      </c>
      <c r="F714" s="496"/>
      <c r="G714" s="398"/>
      <c r="I714" t="s">
        <v>790</v>
      </c>
      <c r="J714">
        <v>7.2815526634381849</v>
      </c>
      <c r="K714">
        <v>7.2460000000000004</v>
      </c>
      <c r="L714" s="509">
        <f t="shared" si="30"/>
        <v>1.0049065226936496</v>
      </c>
    </row>
    <row r="715" spans="1:12">
      <c r="A715" s="397" t="str">
        <f t="shared" si="29"/>
        <v>-</v>
      </c>
      <c r="F715" s="496"/>
      <c r="G715" s="398"/>
      <c r="I715" t="s">
        <v>789</v>
      </c>
      <c r="J715">
        <v>6.859251542152319</v>
      </c>
      <c r="K715">
        <v>6.7880000000000003</v>
      </c>
      <c r="L715" s="509">
        <f t="shared" si="30"/>
        <v>1.0104966915368767</v>
      </c>
    </row>
    <row r="716" spans="1:12">
      <c r="A716" s="397" t="str">
        <f t="shared" si="29"/>
        <v>-</v>
      </c>
      <c r="F716" s="496"/>
      <c r="G716" s="398"/>
      <c r="I716" t="s">
        <v>582</v>
      </c>
      <c r="J716">
        <v>8.3043058374853445</v>
      </c>
      <c r="K716">
        <v>8.2430000000000003</v>
      </c>
      <c r="L716" s="509">
        <f t="shared" si="30"/>
        <v>1.0074373210585157</v>
      </c>
    </row>
    <row r="717" spans="1:12">
      <c r="A717" s="397" t="str">
        <f t="shared" si="29"/>
        <v>-</v>
      </c>
      <c r="F717" s="496"/>
      <c r="G717" s="398"/>
      <c r="I717" t="s">
        <v>846</v>
      </c>
      <c r="J717">
        <v>5.1306186507177225</v>
      </c>
      <c r="K717">
        <v>5.0679999999999996</v>
      </c>
      <c r="L717" s="509">
        <f t="shared" si="30"/>
        <v>1.0123556927225184</v>
      </c>
    </row>
    <row r="718" spans="1:12">
      <c r="A718" s="397" t="str">
        <f t="shared" si="29"/>
        <v>-</v>
      </c>
      <c r="F718" s="496"/>
      <c r="G718" s="398"/>
      <c r="I718" t="s">
        <v>786</v>
      </c>
      <c r="J718">
        <v>4.9808889233937519</v>
      </c>
      <c r="K718">
        <v>4.9180000000000001</v>
      </c>
      <c r="L718" s="509">
        <f t="shared" si="30"/>
        <v>1.0127874996733941</v>
      </c>
    </row>
    <row r="719" spans="1:12">
      <c r="A719" s="397" t="str">
        <f t="shared" si="29"/>
        <v>-</v>
      </c>
      <c r="F719" s="496"/>
      <c r="G719" s="398"/>
      <c r="L719" s="509" t="e">
        <f t="shared" si="30"/>
        <v>#DIV/0!</v>
      </c>
    </row>
    <row r="720" spans="1:12">
      <c r="A720" s="397" t="str">
        <f t="shared" si="29"/>
        <v>-</v>
      </c>
      <c r="F720" s="496"/>
      <c r="G720" s="398"/>
      <c r="I720" t="s">
        <v>433</v>
      </c>
      <c r="J720">
        <v>8.2085185185185203</v>
      </c>
      <c r="K720">
        <v>8.0890000000000004</v>
      </c>
      <c r="L720" s="509">
        <f t="shared" si="30"/>
        <v>1.0147754380663272</v>
      </c>
    </row>
    <row r="721" spans="1:12">
      <c r="A721" s="397" t="str">
        <f t="shared" si="29"/>
        <v>-</v>
      </c>
      <c r="F721" s="496"/>
      <c r="G721" s="398"/>
      <c r="I721" t="s">
        <v>476</v>
      </c>
      <c r="J721">
        <v>12.686451612903227</v>
      </c>
      <c r="K721">
        <v>12.566000000000001</v>
      </c>
      <c r="L721" s="509">
        <f t="shared" si="30"/>
        <v>1.0095855174998589</v>
      </c>
    </row>
    <row r="722" spans="1:12">
      <c r="A722" s="397" t="str">
        <f t="shared" si="29"/>
        <v>-</v>
      </c>
      <c r="F722" s="496"/>
      <c r="G722" s="398"/>
      <c r="I722" t="s">
        <v>785</v>
      </c>
      <c r="J722">
        <v>4.6744318181818194</v>
      </c>
      <c r="K722">
        <v>4.6109999999999998</v>
      </c>
      <c r="L722" s="509">
        <f t="shared" si="30"/>
        <v>1.0137566294039948</v>
      </c>
    </row>
    <row r="723" spans="1:12">
      <c r="A723" s="397" t="str">
        <f t="shared" si="29"/>
        <v>-</v>
      </c>
      <c r="F723" s="496"/>
      <c r="G723" s="398"/>
      <c r="I723" t="s">
        <v>414</v>
      </c>
      <c r="J723">
        <v>15.368709677419357</v>
      </c>
      <c r="K723">
        <v>15.095000000000001</v>
      </c>
      <c r="L723" s="509">
        <f t="shared" si="30"/>
        <v>1.0181324728333458</v>
      </c>
    </row>
    <row r="724" spans="1:12">
      <c r="A724" s="397" t="str">
        <f t="shared" si="29"/>
        <v>-</v>
      </c>
      <c r="F724" s="496"/>
      <c r="G724" s="398"/>
      <c r="I724" t="s">
        <v>580</v>
      </c>
      <c r="J724">
        <v>10.83980582524271</v>
      </c>
      <c r="K724">
        <v>10.664</v>
      </c>
      <c r="L724" s="509">
        <f t="shared" si="30"/>
        <v>1.0164859175959031</v>
      </c>
    </row>
    <row r="725" spans="1:12">
      <c r="A725" s="397" t="str">
        <f t="shared" si="29"/>
        <v>-</v>
      </c>
      <c r="F725" s="496"/>
      <c r="G725" s="398"/>
      <c r="I725" t="s">
        <v>181</v>
      </c>
      <c r="J725">
        <v>12.761121495327098</v>
      </c>
      <c r="K725">
        <v>12.536</v>
      </c>
      <c r="L725" s="509">
        <f t="shared" si="30"/>
        <v>1.0179580005844846</v>
      </c>
    </row>
    <row r="726" spans="1:12">
      <c r="A726" s="397" t="str">
        <f t="shared" si="29"/>
        <v>-</v>
      </c>
      <c r="F726" s="496"/>
      <c r="G726" s="398"/>
      <c r="I726" t="s">
        <v>207</v>
      </c>
      <c r="J726">
        <v>13.435223880597032</v>
      </c>
      <c r="K726">
        <v>13.335000000000001</v>
      </c>
      <c r="L726" s="509">
        <f t="shared" si="30"/>
        <v>1.007515851563332</v>
      </c>
    </row>
    <row r="727" spans="1:12">
      <c r="A727" s="397" t="str">
        <f t="shared" si="29"/>
        <v>-</v>
      </c>
      <c r="F727" s="496"/>
      <c r="G727" s="398"/>
      <c r="I727" t="s">
        <v>180</v>
      </c>
      <c r="J727">
        <v>11.488630136986311</v>
      </c>
      <c r="K727">
        <v>11.471</v>
      </c>
      <c r="L727" s="509">
        <f t="shared" si="30"/>
        <v>1.0015369311294839</v>
      </c>
    </row>
    <row r="728" spans="1:12">
      <c r="A728" s="397" t="str">
        <f t="shared" si="29"/>
        <v>-</v>
      </c>
      <c r="F728" s="496"/>
      <c r="G728" s="398"/>
      <c r="I728" t="s">
        <v>395</v>
      </c>
      <c r="J728">
        <v>11.600333333333326</v>
      </c>
      <c r="K728">
        <v>11.557</v>
      </c>
      <c r="L728" s="509">
        <f t="shared" si="30"/>
        <v>1.0037495313085858</v>
      </c>
    </row>
    <row r="729" spans="1:12">
      <c r="A729" s="397" t="str">
        <f t="shared" si="29"/>
        <v>-</v>
      </c>
      <c r="F729" s="496"/>
      <c r="G729" s="398"/>
      <c r="I729" t="s">
        <v>220</v>
      </c>
      <c r="J729">
        <v>14.017499999999993</v>
      </c>
      <c r="K729">
        <v>13.974</v>
      </c>
      <c r="L729" s="509">
        <f t="shared" si="30"/>
        <v>1.0031129240017169</v>
      </c>
    </row>
    <row r="730" spans="1:12">
      <c r="A730" s="397" t="str">
        <f t="shared" si="29"/>
        <v>-</v>
      </c>
      <c r="F730" s="496"/>
      <c r="G730" s="398"/>
      <c r="I730" t="s">
        <v>177</v>
      </c>
      <c r="J730">
        <v>11.407647058823555</v>
      </c>
      <c r="K730">
        <v>11.298999999999999</v>
      </c>
      <c r="L730" s="509">
        <f t="shared" si="30"/>
        <v>1.0096156349078287</v>
      </c>
    </row>
    <row r="731" spans="1:12">
      <c r="A731" s="397" t="str">
        <f t="shared" si="29"/>
        <v>-</v>
      </c>
      <c r="F731" s="496"/>
      <c r="G731" s="398"/>
      <c r="I731" t="s">
        <v>297</v>
      </c>
      <c r="J731">
        <v>8.5772108843537342</v>
      </c>
      <c r="K731">
        <v>8.5120000000000005</v>
      </c>
      <c r="L731" s="509">
        <f t="shared" si="30"/>
        <v>1.0076610531430608</v>
      </c>
    </row>
    <row r="732" spans="1:12">
      <c r="A732" s="397" t="str">
        <f t="shared" si="29"/>
        <v>-</v>
      </c>
      <c r="F732" s="496"/>
      <c r="G732" s="398"/>
      <c r="I732" t="s">
        <v>332</v>
      </c>
      <c r="J732">
        <v>9.830943396226397</v>
      </c>
      <c r="K732">
        <v>9.7729999999999997</v>
      </c>
      <c r="L732" s="509">
        <f t="shared" si="30"/>
        <v>1.0059289262484803</v>
      </c>
    </row>
    <row r="733" spans="1:12">
      <c r="A733" s="397" t="str">
        <f t="shared" si="29"/>
        <v>-</v>
      </c>
      <c r="F733" s="496"/>
      <c r="G733" s="398"/>
      <c r="I733" t="s">
        <v>406</v>
      </c>
      <c r="J733">
        <v>11.531153846153837</v>
      </c>
      <c r="K733">
        <v>11.404999999999999</v>
      </c>
      <c r="L733" s="509">
        <f t="shared" si="30"/>
        <v>1.0110612754190125</v>
      </c>
    </row>
    <row r="734" spans="1:12">
      <c r="A734" s="397" t="str">
        <f t="shared" si="29"/>
        <v>-</v>
      </c>
      <c r="F734" s="496"/>
      <c r="G734" s="398"/>
      <c r="I734" t="s">
        <v>232</v>
      </c>
      <c r="J734">
        <v>10.372785714285717</v>
      </c>
      <c r="K734">
        <v>10.227</v>
      </c>
      <c r="L734" s="509">
        <f t="shared" si="30"/>
        <v>1.0142549833074916</v>
      </c>
    </row>
    <row r="735" spans="1:12">
      <c r="A735" s="397" t="str">
        <f t="shared" si="29"/>
        <v>-</v>
      </c>
      <c r="F735" s="496"/>
      <c r="G735" s="398"/>
      <c r="I735" t="s">
        <v>61</v>
      </c>
      <c r="J735">
        <v>7.5704672897196055</v>
      </c>
      <c r="K735">
        <v>7.5019999999999998</v>
      </c>
      <c r="L735" s="509">
        <f t="shared" si="30"/>
        <v>1.009126538219089</v>
      </c>
    </row>
    <row r="736" spans="1:12">
      <c r="A736" s="397" t="str">
        <f t="shared" ref="A736:A799" si="31">B736&amp;"-"&amp;C736</f>
        <v>-</v>
      </c>
      <c r="F736" s="496"/>
      <c r="G736" s="398"/>
      <c r="I736" t="s">
        <v>183</v>
      </c>
      <c r="J736">
        <v>12.211790393013104</v>
      </c>
      <c r="K736">
        <v>12.114000000000001</v>
      </c>
      <c r="L736" s="509">
        <f t="shared" si="30"/>
        <v>1.0080725105673685</v>
      </c>
    </row>
    <row r="737" spans="1:12">
      <c r="A737" s="397" t="str">
        <f t="shared" si="31"/>
        <v>-</v>
      </c>
      <c r="F737" s="496"/>
      <c r="G737" s="398"/>
      <c r="I737" t="s">
        <v>387</v>
      </c>
      <c r="J737">
        <v>5.4032793522267299</v>
      </c>
      <c r="K737">
        <v>5.367</v>
      </c>
      <c r="L737" s="509">
        <f t="shared" si="30"/>
        <v>1.0067597078864785</v>
      </c>
    </row>
    <row r="738" spans="1:12">
      <c r="A738" s="397" t="str">
        <f t="shared" si="31"/>
        <v>-</v>
      </c>
      <c r="F738" s="496"/>
      <c r="G738" s="398"/>
      <c r="I738" t="s">
        <v>412</v>
      </c>
      <c r="J738">
        <v>7.0139393939393875</v>
      </c>
      <c r="K738">
        <v>6.9329999999999998</v>
      </c>
      <c r="L738" s="509">
        <f t="shared" si="30"/>
        <v>1.0116745123235811</v>
      </c>
    </row>
    <row r="739" spans="1:12">
      <c r="A739" s="397" t="str">
        <f t="shared" si="31"/>
        <v>-</v>
      </c>
      <c r="F739" s="496"/>
      <c r="G739" s="398"/>
      <c r="I739" t="s">
        <v>300</v>
      </c>
      <c r="J739">
        <v>10.244014336917573</v>
      </c>
      <c r="K739">
        <v>10.199999999999999</v>
      </c>
      <c r="L739" s="509">
        <f t="shared" si="30"/>
        <v>1.0043151310703504</v>
      </c>
    </row>
    <row r="740" spans="1:12">
      <c r="A740" s="397" t="str">
        <f t="shared" si="31"/>
        <v>-</v>
      </c>
      <c r="F740" s="496"/>
      <c r="G740" s="398"/>
      <c r="I740" t="s">
        <v>418</v>
      </c>
      <c r="J740">
        <v>7.9400000000000261</v>
      </c>
      <c r="K740">
        <v>7.968</v>
      </c>
      <c r="L740" s="509">
        <f t="shared" si="30"/>
        <v>0.99648594377510369</v>
      </c>
    </row>
    <row r="741" spans="1:12">
      <c r="A741" s="397" t="str">
        <f t="shared" si="31"/>
        <v>-</v>
      </c>
      <c r="F741" s="496"/>
      <c r="G741" s="398"/>
      <c r="I741" t="s">
        <v>340</v>
      </c>
      <c r="J741">
        <v>9.1929389312977268</v>
      </c>
      <c r="K741">
        <v>9.1159999999999997</v>
      </c>
      <c r="L741" s="509">
        <f t="shared" si="30"/>
        <v>1.0084399880756612</v>
      </c>
    </row>
    <row r="742" spans="1:12">
      <c r="A742" s="397" t="str">
        <f t="shared" si="31"/>
        <v>-</v>
      </c>
      <c r="F742" s="496"/>
      <c r="G742" s="398"/>
      <c r="I742" t="s">
        <v>52</v>
      </c>
      <c r="J742">
        <v>6.9953795379538013</v>
      </c>
      <c r="K742">
        <v>7.0430000000000001</v>
      </c>
      <c r="L742" s="509">
        <f t="shared" si="30"/>
        <v>0.99323861109666356</v>
      </c>
    </row>
    <row r="743" spans="1:12">
      <c r="A743" s="397" t="str">
        <f t="shared" si="31"/>
        <v>-</v>
      </c>
      <c r="F743" s="496"/>
      <c r="G743" s="398"/>
      <c r="I743" t="s">
        <v>814</v>
      </c>
      <c r="J743">
        <v>6.3255589123866791</v>
      </c>
      <c r="K743">
        <v>6.2789999999999999</v>
      </c>
      <c r="L743" s="509">
        <f t="shared" si="30"/>
        <v>1.0074150202877337</v>
      </c>
    </row>
    <row r="744" spans="1:12">
      <c r="A744" s="397" t="str">
        <f t="shared" si="31"/>
        <v>-</v>
      </c>
      <c r="F744" s="496"/>
      <c r="G744" s="398"/>
      <c r="I744" t="s">
        <v>791</v>
      </c>
      <c r="J744">
        <v>6.8737460317460277</v>
      </c>
      <c r="K744">
        <v>6.8220000000000001</v>
      </c>
      <c r="L744" s="509">
        <f t="shared" si="30"/>
        <v>1.0075851702940528</v>
      </c>
    </row>
    <row r="745" spans="1:12">
      <c r="A745" s="397" t="str">
        <f t="shared" si="31"/>
        <v>-</v>
      </c>
      <c r="F745" s="496"/>
      <c r="G745" s="398"/>
      <c r="I745" t="s">
        <v>788</v>
      </c>
      <c r="J745">
        <v>7.3584281842818449</v>
      </c>
      <c r="K745">
        <v>7.2690000000000001</v>
      </c>
      <c r="L745" s="509">
        <f t="shared" si="30"/>
        <v>1.0123026804624906</v>
      </c>
    </row>
    <row r="746" spans="1:12">
      <c r="A746" s="397" t="str">
        <f t="shared" si="31"/>
        <v>-</v>
      </c>
      <c r="F746" s="496"/>
      <c r="G746" s="398"/>
      <c r="I746" t="s">
        <v>255</v>
      </c>
      <c r="J746">
        <v>10.665216216216212</v>
      </c>
      <c r="K746">
        <v>10.54</v>
      </c>
      <c r="L746" s="509">
        <f t="shared" si="30"/>
        <v>1.0118800964152004</v>
      </c>
    </row>
    <row r="747" spans="1:12">
      <c r="A747" s="397" t="str">
        <f t="shared" si="31"/>
        <v>-</v>
      </c>
      <c r="F747" s="496"/>
      <c r="G747" s="398"/>
      <c r="I747" t="s">
        <v>421</v>
      </c>
      <c r="J747">
        <v>9.5375180722891706</v>
      </c>
      <c r="K747">
        <v>9.516</v>
      </c>
      <c r="L747" s="509">
        <f t="shared" si="30"/>
        <v>1.0022612518168528</v>
      </c>
    </row>
    <row r="748" spans="1:12">
      <c r="A748" s="397" t="str">
        <f t="shared" si="31"/>
        <v>-</v>
      </c>
      <c r="F748" s="496"/>
      <c r="G748" s="398"/>
      <c r="I748" t="s">
        <v>190</v>
      </c>
      <c r="J748">
        <v>10.86185941043086</v>
      </c>
      <c r="K748">
        <v>10.723000000000001</v>
      </c>
      <c r="L748" s="509">
        <f t="shared" si="30"/>
        <v>1.0129496792344361</v>
      </c>
    </row>
    <row r="749" spans="1:12">
      <c r="A749" s="397" t="str">
        <f t="shared" si="31"/>
        <v>-</v>
      </c>
      <c r="F749" s="496"/>
      <c r="G749" s="398"/>
      <c r="I749" t="s">
        <v>411</v>
      </c>
      <c r="J749">
        <v>10.999203539823007</v>
      </c>
      <c r="K749">
        <v>10.848000000000001</v>
      </c>
      <c r="L749" s="509">
        <f t="shared" si="30"/>
        <v>1.0139383794084631</v>
      </c>
    </row>
    <row r="750" spans="1:12">
      <c r="A750" s="397" t="str">
        <f t="shared" si="31"/>
        <v>-</v>
      </c>
      <c r="F750" s="496"/>
      <c r="G750" s="398"/>
      <c r="I750" t="s">
        <v>784</v>
      </c>
      <c r="J750">
        <v>9.9781687242798185</v>
      </c>
      <c r="K750">
        <v>9.9239999999999995</v>
      </c>
      <c r="L750" s="509">
        <f t="shared" si="30"/>
        <v>1.0054583559330732</v>
      </c>
    </row>
    <row r="751" spans="1:12">
      <c r="A751" s="397" t="str">
        <f t="shared" si="31"/>
        <v>-</v>
      </c>
      <c r="F751" s="496"/>
      <c r="G751" s="398"/>
      <c r="I751" t="s">
        <v>58</v>
      </c>
      <c r="J751">
        <v>8.5436717062635203</v>
      </c>
      <c r="K751">
        <v>8.4610000000000003</v>
      </c>
      <c r="L751" s="509">
        <f t="shared" si="30"/>
        <v>1.0097709143438742</v>
      </c>
    </row>
    <row r="752" spans="1:12">
      <c r="A752" s="397" t="str">
        <f t="shared" si="31"/>
        <v>-</v>
      </c>
      <c r="F752" s="496"/>
      <c r="G752" s="398"/>
      <c r="I752" t="s">
        <v>202</v>
      </c>
      <c r="J752">
        <v>12.455686653771753</v>
      </c>
      <c r="K752">
        <v>12.352</v>
      </c>
      <c r="L752" s="509">
        <f t="shared" si="30"/>
        <v>1.0083943210631277</v>
      </c>
    </row>
    <row r="753" spans="1:12">
      <c r="A753" s="397" t="str">
        <f t="shared" si="31"/>
        <v>-</v>
      </c>
      <c r="F753" s="496"/>
      <c r="G753" s="398"/>
      <c r="I753" t="s">
        <v>206</v>
      </c>
      <c r="J753">
        <v>12.418207171314723</v>
      </c>
      <c r="K753">
        <v>12.295</v>
      </c>
      <c r="L753" s="509">
        <f t="shared" si="30"/>
        <v>1.0100209167397092</v>
      </c>
    </row>
    <row r="754" spans="1:12">
      <c r="A754" s="397" t="str">
        <f t="shared" si="31"/>
        <v>-</v>
      </c>
      <c r="F754" s="496"/>
      <c r="G754" s="398"/>
      <c r="I754" t="s">
        <v>334</v>
      </c>
      <c r="J754">
        <v>12.838574040219394</v>
      </c>
      <c r="K754">
        <v>12.635</v>
      </c>
      <c r="L754" s="509">
        <f t="shared" si="30"/>
        <v>1.016111914540514</v>
      </c>
    </row>
    <row r="755" spans="1:12">
      <c r="A755" s="397" t="str">
        <f t="shared" si="31"/>
        <v>-</v>
      </c>
      <c r="F755" s="496"/>
      <c r="G755" s="398"/>
      <c r="I755" t="s">
        <v>420</v>
      </c>
      <c r="J755">
        <v>9.7571626297577865</v>
      </c>
      <c r="K755">
        <v>9.7560000000000002</v>
      </c>
      <c r="L755" s="509">
        <f t="shared" si="30"/>
        <v>1.0001191707418806</v>
      </c>
    </row>
    <row r="756" spans="1:12">
      <c r="A756" s="397" t="str">
        <f t="shared" si="31"/>
        <v>-</v>
      </c>
      <c r="F756" s="496"/>
      <c r="G756" s="398"/>
      <c r="I756" t="s">
        <v>305</v>
      </c>
      <c r="J756">
        <v>11.250994764397905</v>
      </c>
      <c r="K756">
        <v>11.135999999999999</v>
      </c>
      <c r="L756" s="509">
        <f t="shared" si="30"/>
        <v>1.0103263976650418</v>
      </c>
    </row>
    <row r="757" spans="1:12">
      <c r="A757" s="397" t="str">
        <f t="shared" si="31"/>
        <v>-</v>
      </c>
      <c r="F757" s="496"/>
      <c r="G757" s="398"/>
      <c r="I757" t="s">
        <v>142</v>
      </c>
      <c r="J757">
        <v>9.5815662650602658</v>
      </c>
      <c r="K757">
        <v>9.5890000000000004</v>
      </c>
      <c r="L757" s="509">
        <f t="shared" si="30"/>
        <v>0.99922476431956042</v>
      </c>
    </row>
    <row r="758" spans="1:12">
      <c r="A758" s="397" t="str">
        <f t="shared" si="31"/>
        <v>-</v>
      </c>
      <c r="F758" s="496"/>
      <c r="G758" s="398"/>
      <c r="I758" t="s">
        <v>419</v>
      </c>
      <c r="J758">
        <v>9.0956076134700012</v>
      </c>
      <c r="K758">
        <v>9.0589999999999993</v>
      </c>
      <c r="L758" s="509">
        <f t="shared" si="30"/>
        <v>1.0040410214670497</v>
      </c>
    </row>
    <row r="759" spans="1:12">
      <c r="A759" s="397" t="str">
        <f t="shared" si="31"/>
        <v>-</v>
      </c>
      <c r="F759" s="496"/>
      <c r="G759" s="398"/>
      <c r="I759" t="s">
        <v>179</v>
      </c>
      <c r="J759">
        <v>10.71291960507755</v>
      </c>
      <c r="K759">
        <v>10.628</v>
      </c>
      <c r="L759" s="509">
        <f t="shared" si="30"/>
        <v>1.0079901773689828</v>
      </c>
    </row>
    <row r="760" spans="1:12">
      <c r="A760" s="397" t="str">
        <f t="shared" si="31"/>
        <v>-</v>
      </c>
      <c r="F760" s="496"/>
      <c r="G760" s="398"/>
      <c r="I760" t="s">
        <v>75</v>
      </c>
      <c r="J760">
        <v>10.875809128630706</v>
      </c>
      <c r="K760">
        <v>10.731999999999999</v>
      </c>
      <c r="L760" s="509">
        <f t="shared" si="30"/>
        <v>1.0134000306215716</v>
      </c>
    </row>
    <row r="761" spans="1:12">
      <c r="A761" s="397" t="str">
        <f t="shared" si="31"/>
        <v>-</v>
      </c>
      <c r="F761" s="496"/>
      <c r="G761" s="398"/>
      <c r="I761" t="s">
        <v>556</v>
      </c>
      <c r="J761">
        <v>16.287986486486485</v>
      </c>
      <c r="K761">
        <v>16.079999999999998</v>
      </c>
      <c r="L761" s="509">
        <f t="shared" si="30"/>
        <v>1.0129344829904532</v>
      </c>
    </row>
    <row r="762" spans="1:12">
      <c r="A762" s="397" t="str">
        <f t="shared" si="31"/>
        <v>-</v>
      </c>
      <c r="F762" s="496"/>
      <c r="G762" s="398"/>
      <c r="I762" t="s">
        <v>336</v>
      </c>
      <c r="J762">
        <v>9.84797315436243</v>
      </c>
      <c r="K762">
        <v>9.7309999999999999</v>
      </c>
      <c r="L762" s="509">
        <f t="shared" si="30"/>
        <v>1.0120206714995819</v>
      </c>
    </row>
    <row r="763" spans="1:12">
      <c r="A763" s="397" t="str">
        <f t="shared" si="31"/>
        <v>-</v>
      </c>
      <c r="F763" s="496"/>
      <c r="G763" s="398"/>
      <c r="I763" t="s">
        <v>423</v>
      </c>
      <c r="J763">
        <v>10.056709844559608</v>
      </c>
      <c r="K763">
        <v>9.952</v>
      </c>
      <c r="L763" s="509">
        <f t="shared" si="30"/>
        <v>1.0105214875964237</v>
      </c>
    </row>
    <row r="764" spans="1:12">
      <c r="A764" s="397" t="str">
        <f t="shared" si="31"/>
        <v>-</v>
      </c>
      <c r="F764" s="496"/>
      <c r="G764" s="398"/>
      <c r="I764" t="s">
        <v>236</v>
      </c>
      <c r="J764">
        <v>12.793599550056262</v>
      </c>
      <c r="K764">
        <v>12.635</v>
      </c>
      <c r="L764" s="509">
        <f t="shared" si="30"/>
        <v>1.0125523981049673</v>
      </c>
    </row>
    <row r="765" spans="1:12">
      <c r="A765" s="397" t="str">
        <f t="shared" si="31"/>
        <v>-</v>
      </c>
      <c r="F765" s="496"/>
      <c r="G765" s="398"/>
      <c r="I765" t="s">
        <v>63</v>
      </c>
      <c r="J765">
        <v>8.6359737156511045</v>
      </c>
      <c r="K765">
        <v>8.5839999999999996</v>
      </c>
      <c r="L765" s="509">
        <f t="shared" si="30"/>
        <v>1.0060547199034371</v>
      </c>
    </row>
    <row r="766" spans="1:12">
      <c r="A766" s="397" t="str">
        <f t="shared" si="31"/>
        <v>-</v>
      </c>
      <c r="F766" s="496"/>
      <c r="G766" s="398"/>
      <c r="I766" t="s">
        <v>189</v>
      </c>
      <c r="J766">
        <v>9.031067415730357</v>
      </c>
      <c r="K766">
        <v>8.9689999999999994</v>
      </c>
      <c r="L766" s="509">
        <f t="shared" si="30"/>
        <v>1.0069202158245465</v>
      </c>
    </row>
    <row r="767" spans="1:12">
      <c r="A767" s="397" t="str">
        <f t="shared" si="31"/>
        <v>-</v>
      </c>
      <c r="F767" s="496"/>
      <c r="G767" s="398"/>
      <c r="I767" t="s">
        <v>563</v>
      </c>
      <c r="J767">
        <v>12.411101690000001</v>
      </c>
      <c r="K767">
        <v>12.313000000000001</v>
      </c>
      <c r="L767" s="509">
        <f t="shared" si="30"/>
        <v>1.0079673264029887</v>
      </c>
    </row>
    <row r="768" spans="1:12">
      <c r="A768" s="397" t="str">
        <f t="shared" si="31"/>
        <v>-</v>
      </c>
      <c r="F768" s="496"/>
      <c r="G768" s="398"/>
      <c r="I768" t="s">
        <v>404</v>
      </c>
      <c r="J768">
        <v>11.10097630331755</v>
      </c>
      <c r="K768">
        <v>10.983000000000001</v>
      </c>
      <c r="L768" s="509">
        <f t="shared" si="30"/>
        <v>1.0107417193223662</v>
      </c>
    </row>
    <row r="769" spans="1:12">
      <c r="A769" s="397" t="str">
        <f t="shared" si="31"/>
        <v>-</v>
      </c>
      <c r="F769" s="496"/>
      <c r="G769" s="398"/>
      <c r="I769" t="s">
        <v>576</v>
      </c>
      <c r="J769">
        <v>10.894237442922362</v>
      </c>
      <c r="K769">
        <v>10.77</v>
      </c>
      <c r="L769" s="509">
        <f t="shared" si="30"/>
        <v>1.0115355100206465</v>
      </c>
    </row>
    <row r="770" spans="1:12">
      <c r="A770" s="397" t="str">
        <f t="shared" si="31"/>
        <v>-</v>
      </c>
      <c r="F770" s="496"/>
      <c r="G770" s="398"/>
      <c r="I770" t="s">
        <v>555</v>
      </c>
      <c r="J770">
        <v>16.44055932203386</v>
      </c>
      <c r="K770">
        <v>16.266999999999999</v>
      </c>
      <c r="L770" s="509">
        <f t="shared" si="30"/>
        <v>1.0106694118174131</v>
      </c>
    </row>
    <row r="771" spans="1:12">
      <c r="A771" s="397" t="str">
        <f t="shared" si="31"/>
        <v>-</v>
      </c>
      <c r="F771" s="496"/>
      <c r="G771" s="398"/>
      <c r="I771" t="s">
        <v>813</v>
      </c>
      <c r="J771">
        <v>6.7518204283360861</v>
      </c>
      <c r="K771">
        <v>6.6760000000000002</v>
      </c>
      <c r="L771" s="509">
        <f t="shared" si="30"/>
        <v>1.0113571642205041</v>
      </c>
    </row>
    <row r="772" spans="1:12">
      <c r="A772" s="397" t="str">
        <f t="shared" si="31"/>
        <v>-</v>
      </c>
      <c r="F772" s="496"/>
      <c r="G772" s="398"/>
      <c r="I772" t="s">
        <v>422</v>
      </c>
      <c r="J772">
        <v>9.2244717444717104</v>
      </c>
      <c r="K772">
        <v>9.2270000000000003</v>
      </c>
      <c r="L772" s="509">
        <f t="shared" si="30"/>
        <v>0.99972599376522275</v>
      </c>
    </row>
    <row r="773" spans="1:12">
      <c r="A773" s="397" t="str">
        <f t="shared" si="31"/>
        <v>-</v>
      </c>
      <c r="F773" s="496"/>
      <c r="G773" s="398"/>
      <c r="I773" t="s">
        <v>304</v>
      </c>
      <c r="J773">
        <v>10.004536903039069</v>
      </c>
      <c r="K773">
        <v>9.9870000000000001</v>
      </c>
      <c r="L773" s="509">
        <f t="shared" si="30"/>
        <v>1.0017559730688965</v>
      </c>
    </row>
    <row r="774" spans="1:12">
      <c r="A774" s="397" t="str">
        <f t="shared" si="31"/>
        <v>-</v>
      </c>
      <c r="F774" s="496"/>
      <c r="G774" s="398"/>
      <c r="I774" t="s">
        <v>848</v>
      </c>
      <c r="J774">
        <v>6.1453862359550486</v>
      </c>
      <c r="K774">
        <v>6.0919999999999996</v>
      </c>
      <c r="L774" s="509">
        <f t="shared" si="30"/>
        <v>1.0087633348580185</v>
      </c>
    </row>
    <row r="775" spans="1:12">
      <c r="A775" s="397" t="str">
        <f t="shared" si="31"/>
        <v>-</v>
      </c>
      <c r="F775" s="496"/>
      <c r="G775" s="398"/>
      <c r="I775" t="s">
        <v>346</v>
      </c>
      <c r="J775">
        <v>12.494956579826342</v>
      </c>
      <c r="K775">
        <v>12.435</v>
      </c>
      <c r="L775" s="509">
        <f t="shared" ref="L775:L838" si="32">J775/K775</f>
        <v>1.0048215986993438</v>
      </c>
    </row>
    <row r="776" spans="1:12">
      <c r="A776" s="397" t="str">
        <f t="shared" si="31"/>
        <v>-</v>
      </c>
      <c r="F776" s="496"/>
      <c r="G776" s="398"/>
      <c r="I776" t="s">
        <v>847</v>
      </c>
      <c r="J776">
        <v>5.7793012856344905</v>
      </c>
      <c r="K776">
        <v>5.6669999999999998</v>
      </c>
      <c r="L776" s="509">
        <f t="shared" si="32"/>
        <v>1.0198167082467779</v>
      </c>
    </row>
    <row r="777" spans="1:12">
      <c r="A777" s="397" t="str">
        <f t="shared" si="31"/>
        <v>-</v>
      </c>
      <c r="F777" s="496"/>
      <c r="G777" s="398"/>
      <c r="I777" t="s">
        <v>851</v>
      </c>
      <c r="J777">
        <v>6.70213312368967</v>
      </c>
      <c r="K777">
        <v>6.6210000000000004</v>
      </c>
      <c r="L777" s="509">
        <f t="shared" si="32"/>
        <v>1.0122539078220314</v>
      </c>
    </row>
    <row r="778" spans="1:12">
      <c r="A778" s="397" t="str">
        <f t="shared" si="31"/>
        <v>-</v>
      </c>
      <c r="F778" s="496"/>
      <c r="G778" s="398"/>
      <c r="I778" t="s">
        <v>261</v>
      </c>
      <c r="J778">
        <v>7.5106534365924453</v>
      </c>
      <c r="K778">
        <v>7.5090000000000003</v>
      </c>
      <c r="L778" s="509">
        <f t="shared" si="32"/>
        <v>1.0002201939795505</v>
      </c>
    </row>
    <row r="779" spans="1:12">
      <c r="A779" s="397" t="str">
        <f t="shared" si="31"/>
        <v>-</v>
      </c>
      <c r="F779" s="496"/>
      <c r="G779" s="398"/>
      <c r="I779" t="s">
        <v>303</v>
      </c>
      <c r="J779">
        <v>10.86861300591179</v>
      </c>
      <c r="K779">
        <v>10.711</v>
      </c>
      <c r="L779" s="509">
        <f t="shared" si="32"/>
        <v>1.0147150598367836</v>
      </c>
    </row>
    <row r="780" spans="1:12">
      <c r="A780" s="397" t="str">
        <f t="shared" si="31"/>
        <v>-</v>
      </c>
      <c r="F780" s="496"/>
      <c r="G780" s="398"/>
      <c r="I780" t="s">
        <v>792</v>
      </c>
      <c r="J780">
        <v>8.3458113544926444</v>
      </c>
      <c r="K780">
        <v>8.2390000000000008</v>
      </c>
      <c r="L780" s="509">
        <f t="shared" si="32"/>
        <v>1.0129641163360412</v>
      </c>
    </row>
    <row r="781" spans="1:12">
      <c r="A781" s="397" t="str">
        <f t="shared" si="31"/>
        <v>-</v>
      </c>
      <c r="F781" s="496"/>
      <c r="G781" s="398"/>
      <c r="I781" t="s">
        <v>188</v>
      </c>
      <c r="J781">
        <v>11.780896434634991</v>
      </c>
      <c r="K781">
        <v>11.629</v>
      </c>
      <c r="L781" s="509">
        <f t="shared" si="32"/>
        <v>1.0130618655632464</v>
      </c>
    </row>
    <row r="782" spans="1:12">
      <c r="A782" s="397" t="str">
        <f t="shared" si="31"/>
        <v>-</v>
      </c>
      <c r="F782" s="496"/>
      <c r="G782" s="398"/>
      <c r="I782" t="s">
        <v>853</v>
      </c>
      <c r="J782">
        <v>6.6694296577946384</v>
      </c>
      <c r="K782">
        <v>6.6120000000000001</v>
      </c>
      <c r="L782" s="509">
        <f t="shared" si="32"/>
        <v>1.0086856711728127</v>
      </c>
    </row>
    <row r="783" spans="1:12">
      <c r="A783" s="397" t="str">
        <f t="shared" si="31"/>
        <v>-</v>
      </c>
      <c r="F783" s="496"/>
      <c r="G783" s="398"/>
      <c r="I783" t="s">
        <v>854</v>
      </c>
      <c r="J783">
        <v>7.461478953356063</v>
      </c>
      <c r="K783">
        <v>7.4</v>
      </c>
      <c r="L783" s="509">
        <f t="shared" si="32"/>
        <v>1.0083079666697381</v>
      </c>
    </row>
    <row r="784" spans="1:12">
      <c r="A784" s="397" t="str">
        <f t="shared" si="31"/>
        <v>-</v>
      </c>
      <c r="F784" s="496"/>
      <c r="G784" s="398"/>
      <c r="I784" t="s">
        <v>855</v>
      </c>
      <c r="J784">
        <v>7.529124906507116</v>
      </c>
      <c r="K784">
        <v>7.4829999999999997</v>
      </c>
      <c r="L784" s="509">
        <f t="shared" si="32"/>
        <v>1.0061639591750791</v>
      </c>
    </row>
    <row r="785" spans="1:12">
      <c r="A785" s="397" t="str">
        <f t="shared" si="31"/>
        <v>-</v>
      </c>
      <c r="F785" s="496"/>
      <c r="G785" s="398"/>
      <c r="I785" t="s">
        <v>849</v>
      </c>
      <c r="J785">
        <v>6.2772660902978084</v>
      </c>
      <c r="K785">
        <v>6.2149999999999999</v>
      </c>
      <c r="L785" s="509">
        <f t="shared" si="32"/>
        <v>1.0100186790503312</v>
      </c>
    </row>
    <row r="786" spans="1:12">
      <c r="A786" s="397" t="str">
        <f t="shared" si="31"/>
        <v>-</v>
      </c>
      <c r="F786" s="496"/>
      <c r="G786" s="398"/>
      <c r="I786" t="s">
        <v>159</v>
      </c>
      <c r="J786">
        <v>9.1957820063428724</v>
      </c>
      <c r="K786">
        <v>9.0519999999999996</v>
      </c>
      <c r="L786" s="509">
        <f t="shared" si="32"/>
        <v>1.0158840042358455</v>
      </c>
    </row>
    <row r="787" spans="1:12">
      <c r="A787" s="397" t="str">
        <f t="shared" si="31"/>
        <v>-</v>
      </c>
      <c r="F787" s="496"/>
      <c r="G787" s="398"/>
      <c r="I787" t="s">
        <v>850</v>
      </c>
      <c r="J787">
        <v>7.1034422252770462</v>
      </c>
      <c r="K787">
        <v>7.0369999999999999</v>
      </c>
      <c r="L787" s="509">
        <f t="shared" si="32"/>
        <v>1.0094418396016833</v>
      </c>
    </row>
    <row r="788" spans="1:12">
      <c r="A788" s="397" t="str">
        <f t="shared" si="31"/>
        <v>-</v>
      </c>
      <c r="F788" s="496"/>
      <c r="G788" s="398"/>
      <c r="I788" t="s">
        <v>789</v>
      </c>
      <c r="J788">
        <v>6.8540637651823388</v>
      </c>
      <c r="K788">
        <v>6.7880000000000003</v>
      </c>
      <c r="L788" s="509">
        <f t="shared" si="32"/>
        <v>1.0097324344699969</v>
      </c>
    </row>
    <row r="789" spans="1:12">
      <c r="A789" s="397" t="str">
        <f t="shared" si="31"/>
        <v>-</v>
      </c>
      <c r="F789" s="496"/>
      <c r="G789" s="398"/>
      <c r="I789" t="s">
        <v>790</v>
      </c>
      <c r="J789">
        <v>7.293464844216321</v>
      </c>
      <c r="K789">
        <v>7.2460000000000004</v>
      </c>
      <c r="L789" s="509">
        <f t="shared" si="32"/>
        <v>1.006550489127287</v>
      </c>
    </row>
    <row r="790" spans="1:12">
      <c r="A790" s="397" t="str">
        <f t="shared" si="31"/>
        <v>-</v>
      </c>
      <c r="F790" s="496"/>
      <c r="G790" s="398"/>
      <c r="I790" t="s">
        <v>582</v>
      </c>
      <c r="J790">
        <v>8.3438170579564339</v>
      </c>
      <c r="K790">
        <v>8.2379999999999995</v>
      </c>
      <c r="L790" s="509">
        <f t="shared" si="32"/>
        <v>1.0128449936824999</v>
      </c>
    </row>
    <row r="791" spans="1:12">
      <c r="A791" s="397" t="str">
        <f t="shared" si="31"/>
        <v>-</v>
      </c>
      <c r="F791" s="496"/>
      <c r="G791" s="398"/>
      <c r="I791" t="s">
        <v>852</v>
      </c>
      <c r="J791">
        <v>6.8934684472373942</v>
      </c>
      <c r="K791">
        <v>6.8449999999999998</v>
      </c>
      <c r="L791" s="509">
        <f t="shared" si="32"/>
        <v>1.0070808542348275</v>
      </c>
    </row>
    <row r="792" spans="1:12">
      <c r="A792" s="397" t="str">
        <f t="shared" si="31"/>
        <v>-</v>
      </c>
      <c r="F792" s="496"/>
      <c r="G792" s="398"/>
      <c r="I792" t="s">
        <v>786</v>
      </c>
      <c r="J792">
        <v>4.9664685347236528</v>
      </c>
      <c r="K792">
        <v>4.9180000000000001</v>
      </c>
      <c r="L792" s="509">
        <f t="shared" si="32"/>
        <v>1.0098553344293721</v>
      </c>
    </row>
    <row r="793" spans="1:12">
      <c r="A793" s="397" t="str">
        <f t="shared" si="31"/>
        <v>-</v>
      </c>
      <c r="F793" s="496"/>
      <c r="G793" s="398"/>
      <c r="I793" t="s">
        <v>846</v>
      </c>
      <c r="J793">
        <v>5.1153112065300785</v>
      </c>
      <c r="K793">
        <v>5.0739999999999998</v>
      </c>
      <c r="L793" s="509">
        <f t="shared" si="32"/>
        <v>1.0081417435021833</v>
      </c>
    </row>
    <row r="794" spans="1:12">
      <c r="A794" s="397" t="str">
        <f t="shared" si="31"/>
        <v>-</v>
      </c>
      <c r="F794" s="496"/>
      <c r="G794" s="398"/>
      <c r="L794" s="509" t="e">
        <f t="shared" si="32"/>
        <v>#DIV/0!</v>
      </c>
    </row>
    <row r="795" spans="1:12">
      <c r="A795" s="397" t="str">
        <f t="shared" si="31"/>
        <v>-</v>
      </c>
      <c r="F795" s="496"/>
      <c r="G795" s="398"/>
      <c r="I795" t="s">
        <v>182</v>
      </c>
      <c r="J795">
        <v>12.646666666666667</v>
      </c>
      <c r="K795">
        <v>12.612</v>
      </c>
      <c r="L795" s="509">
        <f t="shared" si="32"/>
        <v>1.0027487049370969</v>
      </c>
    </row>
    <row r="796" spans="1:12">
      <c r="A796" s="397" t="str">
        <f t="shared" si="31"/>
        <v>-</v>
      </c>
      <c r="F796" s="496"/>
      <c r="G796" s="398"/>
      <c r="I796" t="s">
        <v>151</v>
      </c>
      <c r="J796">
        <v>10.208666666666668</v>
      </c>
      <c r="K796">
        <v>10.268000000000001</v>
      </c>
      <c r="L796" s="509">
        <f t="shared" si="32"/>
        <v>0.99422152967147126</v>
      </c>
    </row>
    <row r="797" spans="1:12">
      <c r="A797" s="397" t="str">
        <f t="shared" si="31"/>
        <v>-</v>
      </c>
      <c r="F797" s="496"/>
      <c r="G797" s="398"/>
      <c r="I797" t="s">
        <v>52</v>
      </c>
      <c r="J797">
        <v>9.1527777777777786</v>
      </c>
      <c r="K797">
        <v>9.02</v>
      </c>
      <c r="L797" s="509">
        <f t="shared" si="32"/>
        <v>1.0147203744764721</v>
      </c>
    </row>
    <row r="798" spans="1:12">
      <c r="A798" s="397" t="str">
        <f t="shared" si="31"/>
        <v>-</v>
      </c>
      <c r="F798" s="496"/>
      <c r="G798" s="398"/>
      <c r="I798" t="s">
        <v>416</v>
      </c>
      <c r="J798">
        <v>13.577123287671238</v>
      </c>
      <c r="K798">
        <v>13.510999999999999</v>
      </c>
      <c r="L798" s="509">
        <f t="shared" si="32"/>
        <v>1.0048940335779171</v>
      </c>
    </row>
    <row r="799" spans="1:12">
      <c r="A799" s="397" t="str">
        <f t="shared" si="31"/>
        <v>-</v>
      </c>
      <c r="F799" s="496"/>
      <c r="G799" s="398"/>
      <c r="I799" t="s">
        <v>931</v>
      </c>
      <c r="J799">
        <v>12.079272727272723</v>
      </c>
      <c r="K799">
        <v>11.92</v>
      </c>
      <c r="L799" s="509">
        <f t="shared" si="32"/>
        <v>1.0133618059792553</v>
      </c>
    </row>
    <row r="800" spans="1:12">
      <c r="A800" s="397" t="str">
        <f t="shared" ref="A800:A863" si="33">B800&amp;"-"&amp;C800</f>
        <v>-</v>
      </c>
      <c r="F800" s="496"/>
      <c r="G800" s="398"/>
      <c r="I800" t="s">
        <v>424</v>
      </c>
      <c r="J800">
        <v>9.7905050505050486</v>
      </c>
      <c r="K800">
        <v>9.7769999999999992</v>
      </c>
      <c r="L800" s="509">
        <f t="shared" si="32"/>
        <v>1.0013813082238978</v>
      </c>
    </row>
    <row r="801" spans="1:12">
      <c r="A801" s="397" t="str">
        <f t="shared" si="33"/>
        <v>-</v>
      </c>
      <c r="F801" s="496"/>
      <c r="G801" s="398"/>
      <c r="I801" t="s">
        <v>477</v>
      </c>
      <c r="J801">
        <v>15.347171717171713</v>
      </c>
      <c r="K801">
        <v>15.115</v>
      </c>
      <c r="L801" s="509">
        <f t="shared" si="32"/>
        <v>1.0153603517811256</v>
      </c>
    </row>
    <row r="802" spans="1:12">
      <c r="A802" s="397" t="str">
        <f t="shared" si="33"/>
        <v>-</v>
      </c>
      <c r="F802" s="496"/>
      <c r="G802" s="398"/>
      <c r="I802" t="s">
        <v>340</v>
      </c>
      <c r="J802">
        <v>9.2683486238532069</v>
      </c>
      <c r="K802">
        <v>9.1289999999999996</v>
      </c>
      <c r="L802" s="509">
        <f t="shared" si="32"/>
        <v>1.0152643908262906</v>
      </c>
    </row>
    <row r="803" spans="1:12">
      <c r="A803" s="397" t="str">
        <f t="shared" si="33"/>
        <v>-</v>
      </c>
      <c r="F803" s="496"/>
      <c r="G803" s="398"/>
      <c r="I803" t="s">
        <v>255</v>
      </c>
      <c r="J803">
        <v>10.628333333333336</v>
      </c>
      <c r="K803">
        <v>10.54</v>
      </c>
      <c r="L803" s="509">
        <f t="shared" si="32"/>
        <v>1.0083807716635045</v>
      </c>
    </row>
    <row r="804" spans="1:12">
      <c r="A804" s="397" t="str">
        <f t="shared" si="33"/>
        <v>-</v>
      </c>
      <c r="F804" s="496"/>
      <c r="G804" s="398"/>
      <c r="I804" t="s">
        <v>183</v>
      </c>
      <c r="J804">
        <v>12.22324137931035</v>
      </c>
      <c r="K804">
        <v>12.114000000000001</v>
      </c>
      <c r="L804" s="509">
        <f t="shared" si="32"/>
        <v>1.00901777937183</v>
      </c>
    </row>
    <row r="805" spans="1:12">
      <c r="A805" s="397" t="str">
        <f t="shared" si="33"/>
        <v>-</v>
      </c>
      <c r="F805" s="496"/>
      <c r="G805" s="398"/>
      <c r="I805" t="s">
        <v>334</v>
      </c>
      <c r="J805">
        <v>12.779756097560965</v>
      </c>
      <c r="K805">
        <v>12.635</v>
      </c>
      <c r="L805" s="509">
        <f t="shared" si="32"/>
        <v>1.0114567548524704</v>
      </c>
    </row>
    <row r="806" spans="1:12">
      <c r="A806" s="397" t="str">
        <f t="shared" si="33"/>
        <v>-</v>
      </c>
      <c r="F806" s="496"/>
      <c r="G806" s="398"/>
      <c r="I806" t="s">
        <v>784</v>
      </c>
      <c r="J806">
        <v>9.906288659793832</v>
      </c>
      <c r="K806">
        <v>9.9239999999999995</v>
      </c>
      <c r="L806" s="509">
        <f t="shared" si="32"/>
        <v>0.99821530227668609</v>
      </c>
    </row>
    <row r="807" spans="1:12">
      <c r="A807" s="397" t="str">
        <f t="shared" si="33"/>
        <v>-</v>
      </c>
      <c r="F807" s="496"/>
      <c r="G807" s="398"/>
      <c r="I807" t="s">
        <v>202</v>
      </c>
      <c r="J807">
        <v>12.449823788546258</v>
      </c>
      <c r="K807">
        <v>12.352</v>
      </c>
      <c r="L807" s="509">
        <f t="shared" si="32"/>
        <v>1.0079196720001828</v>
      </c>
    </row>
    <row r="808" spans="1:12">
      <c r="A808" s="397" t="str">
        <f t="shared" si="33"/>
        <v>-</v>
      </c>
      <c r="F808" s="496"/>
      <c r="G808" s="398"/>
      <c r="I808" t="s">
        <v>395</v>
      </c>
      <c r="J808">
        <v>11.626572580645163</v>
      </c>
      <c r="K808">
        <v>11.554</v>
      </c>
      <c r="L808" s="509">
        <f t="shared" si="32"/>
        <v>1.0062811650203534</v>
      </c>
    </row>
    <row r="809" spans="1:12">
      <c r="A809" s="397" t="str">
        <f t="shared" si="33"/>
        <v>-</v>
      </c>
      <c r="F809" s="496"/>
      <c r="G809" s="398"/>
      <c r="I809" t="s">
        <v>793</v>
      </c>
      <c r="J809">
        <v>9.0326271186440561</v>
      </c>
      <c r="K809">
        <v>8.8320000000000007</v>
      </c>
      <c r="L809" s="509">
        <f t="shared" si="32"/>
        <v>1.0227159328174882</v>
      </c>
    </row>
    <row r="810" spans="1:12">
      <c r="A810" s="397" t="str">
        <f t="shared" si="33"/>
        <v>-</v>
      </c>
      <c r="F810" s="496"/>
      <c r="G810" s="398"/>
      <c r="I810" t="s">
        <v>180</v>
      </c>
      <c r="J810">
        <v>11.480198412698403</v>
      </c>
      <c r="K810">
        <v>11.471</v>
      </c>
      <c r="L810" s="509">
        <f t="shared" si="32"/>
        <v>1.0008018841163284</v>
      </c>
    </row>
    <row r="811" spans="1:12">
      <c r="A811" s="397" t="str">
        <f t="shared" si="33"/>
        <v>-</v>
      </c>
      <c r="F811" s="496"/>
      <c r="G811" s="398"/>
      <c r="I811" t="s">
        <v>411</v>
      </c>
      <c r="J811">
        <v>10.88823129251699</v>
      </c>
      <c r="K811">
        <v>10.848000000000001</v>
      </c>
      <c r="L811" s="509">
        <f t="shared" si="32"/>
        <v>1.0037086368470676</v>
      </c>
    </row>
    <row r="812" spans="1:12">
      <c r="A812" s="397" t="str">
        <f t="shared" si="33"/>
        <v>-</v>
      </c>
      <c r="F812" s="496"/>
      <c r="G812" s="398"/>
      <c r="I812" t="s">
        <v>402</v>
      </c>
      <c r="J812">
        <v>8.0800711743772027</v>
      </c>
      <c r="K812">
        <v>8.16</v>
      </c>
      <c r="L812" s="509">
        <f t="shared" si="32"/>
        <v>0.99020480078151996</v>
      </c>
    </row>
    <row r="813" spans="1:12">
      <c r="A813" s="397" t="str">
        <f t="shared" si="33"/>
        <v>-</v>
      </c>
      <c r="F813" s="496"/>
      <c r="G813" s="398"/>
      <c r="I813" t="s">
        <v>297</v>
      </c>
      <c r="J813">
        <v>8.5761194029850518</v>
      </c>
      <c r="K813">
        <v>8.5120000000000005</v>
      </c>
      <c r="L813" s="509">
        <f t="shared" si="32"/>
        <v>1.0075328245988078</v>
      </c>
    </row>
    <row r="814" spans="1:12">
      <c r="A814" s="397" t="str">
        <f t="shared" si="33"/>
        <v>-</v>
      </c>
      <c r="F814" s="496"/>
      <c r="G814" s="398"/>
      <c r="I814" t="s">
        <v>207</v>
      </c>
      <c r="J814">
        <v>13.382635135135139</v>
      </c>
      <c r="K814">
        <v>13.335000000000001</v>
      </c>
      <c r="L814" s="509">
        <f t="shared" si="32"/>
        <v>1.0035721886115589</v>
      </c>
    </row>
    <row r="815" spans="1:12">
      <c r="A815" s="397" t="str">
        <f t="shared" si="33"/>
        <v>-</v>
      </c>
      <c r="F815" s="496"/>
      <c r="G815" s="398"/>
      <c r="I815" t="s">
        <v>177</v>
      </c>
      <c r="J815">
        <v>11.37254966887418</v>
      </c>
      <c r="K815">
        <v>11.298999999999999</v>
      </c>
      <c r="L815" s="509">
        <f t="shared" si="32"/>
        <v>1.0065093963071228</v>
      </c>
    </row>
    <row r="816" spans="1:12">
      <c r="A816" s="397" t="str">
        <f t="shared" si="33"/>
        <v>-</v>
      </c>
      <c r="F816" s="496"/>
      <c r="G816" s="398"/>
      <c r="I816" t="s">
        <v>412</v>
      </c>
      <c r="J816">
        <v>6.9513090909091133</v>
      </c>
      <c r="K816">
        <v>6.9329999999999998</v>
      </c>
      <c r="L816" s="509">
        <f t="shared" si="32"/>
        <v>1.0026408612302198</v>
      </c>
    </row>
    <row r="817" spans="1:12">
      <c r="A817" s="397" t="str">
        <f t="shared" si="33"/>
        <v>-</v>
      </c>
      <c r="F817" s="496"/>
      <c r="G817" s="398"/>
      <c r="I817" t="s">
        <v>791</v>
      </c>
      <c r="J817">
        <v>6.832057971014474</v>
      </c>
      <c r="K817">
        <v>6.8369999999999997</v>
      </c>
      <c r="L817" s="509">
        <f t="shared" si="32"/>
        <v>0.99927716410918155</v>
      </c>
    </row>
    <row r="818" spans="1:12">
      <c r="A818" s="397" t="str">
        <f t="shared" si="33"/>
        <v>-</v>
      </c>
      <c r="F818" s="496"/>
      <c r="G818" s="398"/>
      <c r="I818" t="s">
        <v>300</v>
      </c>
      <c r="J818">
        <v>10.19791428571429</v>
      </c>
      <c r="K818">
        <v>10.199999999999999</v>
      </c>
      <c r="L818" s="509">
        <f t="shared" si="32"/>
        <v>0.99979551820728341</v>
      </c>
    </row>
    <row r="819" spans="1:12">
      <c r="A819" s="397" t="str">
        <f t="shared" si="33"/>
        <v>-</v>
      </c>
      <c r="F819" s="496"/>
      <c r="G819" s="398"/>
      <c r="I819" t="s">
        <v>406</v>
      </c>
      <c r="J819">
        <v>11.495302325581379</v>
      </c>
      <c r="K819">
        <v>11.404999999999999</v>
      </c>
      <c r="L819" s="509">
        <f t="shared" si="32"/>
        <v>1.0079177839177009</v>
      </c>
    </row>
    <row r="820" spans="1:12">
      <c r="A820" s="397" t="str">
        <f t="shared" si="33"/>
        <v>-</v>
      </c>
      <c r="F820" s="496"/>
      <c r="G820" s="398"/>
      <c r="I820" t="s">
        <v>354</v>
      </c>
      <c r="J820">
        <v>8.8238571428571575</v>
      </c>
      <c r="K820">
        <v>8.6999999999999993</v>
      </c>
      <c r="L820" s="509">
        <f t="shared" si="32"/>
        <v>1.0142364532019723</v>
      </c>
    </row>
    <row r="821" spans="1:12">
      <c r="A821" s="397" t="str">
        <f t="shared" si="33"/>
        <v>-</v>
      </c>
      <c r="F821" s="496"/>
      <c r="G821" s="398"/>
      <c r="I821" t="s">
        <v>298</v>
      </c>
      <c r="J821">
        <v>8.846028368794336</v>
      </c>
      <c r="K821">
        <v>8.8089999999999993</v>
      </c>
      <c r="L821" s="509">
        <f t="shared" si="32"/>
        <v>1.0042034701775839</v>
      </c>
    </row>
    <row r="822" spans="1:12">
      <c r="A822" s="397" t="str">
        <f t="shared" si="33"/>
        <v>-</v>
      </c>
      <c r="F822" s="496"/>
      <c r="G822" s="398"/>
      <c r="I822" t="s">
        <v>553</v>
      </c>
      <c r="J822">
        <v>9.1330898876404412</v>
      </c>
      <c r="K822">
        <v>9.01</v>
      </c>
      <c r="L822" s="509">
        <f t="shared" si="32"/>
        <v>1.0136614747658648</v>
      </c>
    </row>
    <row r="823" spans="1:12">
      <c r="A823" s="397" t="str">
        <f t="shared" si="33"/>
        <v>-</v>
      </c>
      <c r="F823" s="496"/>
      <c r="G823" s="398"/>
      <c r="I823" t="s">
        <v>435</v>
      </c>
      <c r="J823">
        <v>6.493072289156621</v>
      </c>
      <c r="K823">
        <v>6.3879999999999999</v>
      </c>
      <c r="L823" s="509">
        <f t="shared" si="32"/>
        <v>1.0164483859042925</v>
      </c>
    </row>
    <row r="824" spans="1:12">
      <c r="A824" s="397" t="str">
        <f t="shared" si="33"/>
        <v>-</v>
      </c>
      <c r="F824" s="496"/>
      <c r="G824" s="398"/>
      <c r="I824" t="s">
        <v>75</v>
      </c>
      <c r="J824">
        <v>10.749052044609655</v>
      </c>
      <c r="K824">
        <v>10.731999999999999</v>
      </c>
      <c r="L824" s="509">
        <f t="shared" si="32"/>
        <v>1.0015888971868856</v>
      </c>
    </row>
    <row r="825" spans="1:12">
      <c r="A825" s="397" t="str">
        <f t="shared" si="33"/>
        <v>-</v>
      </c>
      <c r="F825" s="496"/>
      <c r="G825" s="398"/>
      <c r="I825" t="s">
        <v>61</v>
      </c>
      <c r="J825">
        <v>7.5338574040219584</v>
      </c>
      <c r="K825">
        <v>7.5019999999999998</v>
      </c>
      <c r="L825" s="509">
        <f t="shared" si="32"/>
        <v>1.0042465214638707</v>
      </c>
    </row>
    <row r="826" spans="1:12">
      <c r="A826" s="397" t="str">
        <f t="shared" si="33"/>
        <v>-</v>
      </c>
      <c r="F826" s="496"/>
      <c r="G826" s="398"/>
      <c r="I826" t="s">
        <v>302</v>
      </c>
      <c r="J826">
        <v>8.5074603174603194</v>
      </c>
      <c r="K826">
        <v>8.5340000000000007</v>
      </c>
      <c r="L826" s="509">
        <f t="shared" si="32"/>
        <v>0.99689012391145049</v>
      </c>
    </row>
    <row r="827" spans="1:12">
      <c r="A827" s="397" t="str">
        <f t="shared" si="33"/>
        <v>-</v>
      </c>
      <c r="F827" s="496"/>
      <c r="G827" s="398"/>
      <c r="I827" t="s">
        <v>232</v>
      </c>
      <c r="J827">
        <v>10.34187800963084</v>
      </c>
      <c r="K827">
        <v>10.227</v>
      </c>
      <c r="L827" s="509">
        <f t="shared" si="32"/>
        <v>1.0112328160389987</v>
      </c>
    </row>
    <row r="828" spans="1:12">
      <c r="A828" s="397" t="str">
        <f t="shared" si="33"/>
        <v>-</v>
      </c>
      <c r="F828" s="496"/>
      <c r="G828" s="398"/>
      <c r="I828" t="s">
        <v>301</v>
      </c>
      <c r="J828">
        <v>10.75486280487805</v>
      </c>
      <c r="K828">
        <v>10.753</v>
      </c>
      <c r="L828" s="509">
        <f t="shared" si="32"/>
        <v>1.0001732358298197</v>
      </c>
    </row>
    <row r="829" spans="1:12">
      <c r="A829" s="397" t="str">
        <f t="shared" si="33"/>
        <v>-</v>
      </c>
      <c r="F829" s="496"/>
      <c r="G829" s="398"/>
      <c r="I829" t="s">
        <v>404</v>
      </c>
      <c r="J829">
        <v>11.030254872563713</v>
      </c>
      <c r="K829">
        <v>10.983000000000001</v>
      </c>
      <c r="L829" s="509">
        <f t="shared" si="32"/>
        <v>1.0043025468964502</v>
      </c>
    </row>
    <row r="830" spans="1:12">
      <c r="A830" s="397" t="str">
        <f t="shared" si="33"/>
        <v>-</v>
      </c>
      <c r="F830" s="496"/>
      <c r="G830" s="398"/>
      <c r="I830" t="s">
        <v>63</v>
      </c>
      <c r="J830">
        <v>8.592744186046513</v>
      </c>
      <c r="K830">
        <v>8.5839999999999996</v>
      </c>
      <c r="L830" s="509">
        <f t="shared" si="32"/>
        <v>1.0010186610026228</v>
      </c>
    </row>
    <row r="831" spans="1:12">
      <c r="A831" s="397" t="str">
        <f t="shared" si="33"/>
        <v>-</v>
      </c>
      <c r="F831" s="496"/>
      <c r="G831" s="398"/>
      <c r="I831" t="s">
        <v>423</v>
      </c>
      <c r="J831">
        <v>10.023097826086962</v>
      </c>
      <c r="K831">
        <v>9.952</v>
      </c>
      <c r="L831" s="509">
        <f t="shared" si="32"/>
        <v>1.0071440741646867</v>
      </c>
    </row>
    <row r="832" spans="1:12">
      <c r="A832" s="397" t="str">
        <f t="shared" si="33"/>
        <v>-</v>
      </c>
      <c r="F832" s="496"/>
      <c r="G832" s="398"/>
      <c r="I832" t="s">
        <v>421</v>
      </c>
      <c r="J832">
        <v>9.4992490118576995</v>
      </c>
      <c r="K832">
        <v>9.516</v>
      </c>
      <c r="L832" s="509">
        <f t="shared" si="32"/>
        <v>0.99823970280135554</v>
      </c>
    </row>
    <row r="833" spans="1:12">
      <c r="A833" s="397" t="str">
        <f t="shared" si="33"/>
        <v>-</v>
      </c>
      <c r="F833" s="496"/>
      <c r="G833" s="398"/>
      <c r="I833" t="s">
        <v>52</v>
      </c>
      <c r="J833">
        <v>7.0414045618247538</v>
      </c>
      <c r="K833">
        <v>7.0430000000000001</v>
      </c>
      <c r="L833" s="509">
        <f t="shared" si="32"/>
        <v>0.99977347179110521</v>
      </c>
    </row>
    <row r="834" spans="1:12">
      <c r="A834" s="397" t="str">
        <f t="shared" si="33"/>
        <v>-</v>
      </c>
      <c r="F834" s="496"/>
      <c r="G834" s="398"/>
      <c r="I834" t="s">
        <v>419</v>
      </c>
      <c r="J834">
        <v>9.0535550181378515</v>
      </c>
      <c r="K834">
        <v>9.0589999999999993</v>
      </c>
      <c r="L834" s="509">
        <f t="shared" si="32"/>
        <v>0.99939894228257553</v>
      </c>
    </row>
    <row r="835" spans="1:12">
      <c r="A835" s="397" t="str">
        <f t="shared" si="33"/>
        <v>-</v>
      </c>
      <c r="F835" s="496"/>
      <c r="G835" s="398"/>
      <c r="I835" t="s">
        <v>851</v>
      </c>
      <c r="J835">
        <v>6.7190672963400004</v>
      </c>
      <c r="K835">
        <v>6.6210000000000004</v>
      </c>
      <c r="L835" s="509">
        <f t="shared" si="32"/>
        <v>1.0148115535931128</v>
      </c>
    </row>
    <row r="836" spans="1:12">
      <c r="A836" s="397" t="str">
        <f t="shared" si="33"/>
        <v>-</v>
      </c>
      <c r="F836" s="496"/>
      <c r="G836" s="398"/>
      <c r="I836" t="s">
        <v>418</v>
      </c>
      <c r="J836">
        <v>7.8976627906976846</v>
      </c>
      <c r="K836">
        <v>7.968</v>
      </c>
      <c r="L836" s="509">
        <f t="shared" si="32"/>
        <v>0.99117253899318336</v>
      </c>
    </row>
    <row r="837" spans="1:12">
      <c r="A837" s="397" t="str">
        <f t="shared" si="33"/>
        <v>-</v>
      </c>
      <c r="F837" s="496"/>
      <c r="G837" s="398"/>
      <c r="I837" t="s">
        <v>387</v>
      </c>
      <c r="J837">
        <v>5.3883729216152032</v>
      </c>
      <c r="K837">
        <v>5.367</v>
      </c>
      <c r="L837" s="509">
        <f t="shared" si="32"/>
        <v>1.0039822846311166</v>
      </c>
    </row>
    <row r="838" spans="1:12">
      <c r="A838" s="397" t="str">
        <f t="shared" si="33"/>
        <v>-</v>
      </c>
      <c r="F838" s="496"/>
      <c r="G838" s="398"/>
      <c r="I838" t="s">
        <v>206</v>
      </c>
      <c r="J838">
        <v>12.373319103521874</v>
      </c>
      <c r="K838">
        <v>12.295</v>
      </c>
      <c r="L838" s="509">
        <f t="shared" si="32"/>
        <v>1.0063699962197539</v>
      </c>
    </row>
    <row r="839" spans="1:12">
      <c r="A839" s="397" t="str">
        <f t="shared" si="33"/>
        <v>-</v>
      </c>
      <c r="F839" s="496"/>
      <c r="G839" s="398"/>
      <c r="I839" t="s">
        <v>576</v>
      </c>
      <c r="J839">
        <v>10.898658649398683</v>
      </c>
      <c r="K839">
        <v>10.77</v>
      </c>
      <c r="L839" s="509">
        <f t="shared" ref="L839:L902" si="34">J839/K839</f>
        <v>1.0119460212997848</v>
      </c>
    </row>
    <row r="840" spans="1:12">
      <c r="A840" s="397" t="str">
        <f t="shared" si="33"/>
        <v>-</v>
      </c>
      <c r="F840" s="496"/>
      <c r="G840" s="398"/>
      <c r="I840" t="s">
        <v>142</v>
      </c>
      <c r="J840">
        <v>9.6013109243697414</v>
      </c>
      <c r="K840">
        <v>9.5890000000000004</v>
      </c>
      <c r="L840" s="509">
        <f t="shared" si="34"/>
        <v>1.0012838590436688</v>
      </c>
    </row>
    <row r="841" spans="1:12">
      <c r="A841" s="397" t="str">
        <f t="shared" si="33"/>
        <v>-</v>
      </c>
      <c r="F841" s="496"/>
      <c r="G841" s="398"/>
      <c r="I841" t="s">
        <v>138</v>
      </c>
      <c r="J841">
        <v>8.4347643530419631</v>
      </c>
      <c r="K841">
        <v>8.4719999999999995</v>
      </c>
      <c r="L841" s="509">
        <f t="shared" si="34"/>
        <v>0.99560485753564254</v>
      </c>
    </row>
    <row r="842" spans="1:12">
      <c r="A842" s="397" t="str">
        <f t="shared" si="33"/>
        <v>-</v>
      </c>
      <c r="F842" s="496"/>
      <c r="G842" s="398"/>
      <c r="I842" t="s">
        <v>422</v>
      </c>
      <c r="J842">
        <v>9.2063979848866246</v>
      </c>
      <c r="K842">
        <v>9.2270000000000003</v>
      </c>
      <c r="L842" s="509">
        <f t="shared" si="34"/>
        <v>0.99776720330406676</v>
      </c>
    </row>
    <row r="843" spans="1:12">
      <c r="A843" s="397" t="str">
        <f t="shared" si="33"/>
        <v>-</v>
      </c>
      <c r="F843" s="496"/>
      <c r="G843" s="398"/>
      <c r="I843" t="s">
        <v>849</v>
      </c>
      <c r="J843">
        <v>6.2553707052441361</v>
      </c>
      <c r="K843">
        <v>6.1550000000000002</v>
      </c>
      <c r="L843" s="509">
        <f t="shared" si="34"/>
        <v>1.016307182005546</v>
      </c>
    </row>
    <row r="844" spans="1:12">
      <c r="A844" s="397" t="str">
        <f t="shared" si="33"/>
        <v>-</v>
      </c>
      <c r="F844" s="496"/>
      <c r="G844" s="398"/>
      <c r="I844" t="s">
        <v>420</v>
      </c>
      <c r="J844">
        <v>9.8081070287540069</v>
      </c>
      <c r="K844">
        <v>9.7560000000000002</v>
      </c>
      <c r="L844" s="509">
        <f t="shared" si="34"/>
        <v>1.0053410238575242</v>
      </c>
    </row>
    <row r="845" spans="1:12">
      <c r="A845" s="397" t="str">
        <f t="shared" si="33"/>
        <v>-</v>
      </c>
      <c r="F845" s="496"/>
      <c r="G845" s="398"/>
      <c r="I845" t="s">
        <v>427</v>
      </c>
      <c r="J845">
        <v>6.657000783085345</v>
      </c>
      <c r="K845">
        <v>6.6790000000000003</v>
      </c>
      <c r="L845" s="509">
        <f t="shared" si="34"/>
        <v>0.99670621097250256</v>
      </c>
    </row>
    <row r="846" spans="1:12">
      <c r="A846" s="397" t="str">
        <f t="shared" si="33"/>
        <v>-</v>
      </c>
      <c r="F846" s="496"/>
      <c r="G846" s="398"/>
      <c r="I846" t="s">
        <v>792</v>
      </c>
      <c r="J846">
        <v>8.3633707077785537</v>
      </c>
      <c r="K846">
        <v>8.2469999999999999</v>
      </c>
      <c r="L846" s="509">
        <f t="shared" si="34"/>
        <v>1.0141106714900636</v>
      </c>
    </row>
    <row r="847" spans="1:12">
      <c r="A847" s="397" t="str">
        <f t="shared" si="33"/>
        <v>-</v>
      </c>
      <c r="F847" s="496"/>
      <c r="G847" s="398"/>
      <c r="I847" t="s">
        <v>346</v>
      </c>
      <c r="J847">
        <v>12.471028893587009</v>
      </c>
      <c r="K847">
        <v>12.435</v>
      </c>
      <c r="L847" s="509">
        <f t="shared" si="34"/>
        <v>1.00289737785179</v>
      </c>
    </row>
    <row r="848" spans="1:12">
      <c r="A848" s="397" t="str">
        <f t="shared" si="33"/>
        <v>-</v>
      </c>
      <c r="F848" s="496"/>
      <c r="G848" s="398"/>
      <c r="I848" t="s">
        <v>853</v>
      </c>
      <c r="J848">
        <v>6.6934380354083327</v>
      </c>
      <c r="K848">
        <v>6.6449999999999996</v>
      </c>
      <c r="L848" s="509">
        <f t="shared" si="34"/>
        <v>1.0072893958477551</v>
      </c>
    </row>
    <row r="849" spans="1:12">
      <c r="A849" s="397" t="str">
        <f t="shared" si="33"/>
        <v>-</v>
      </c>
      <c r="F849" s="496"/>
      <c r="G849" s="398"/>
      <c r="I849" t="s">
        <v>847</v>
      </c>
      <c r="J849">
        <v>5.7067987152033757</v>
      </c>
      <c r="K849">
        <v>5.5940000000000003</v>
      </c>
      <c r="L849" s="509">
        <f t="shared" si="34"/>
        <v>1.0201642322494415</v>
      </c>
    </row>
    <row r="850" spans="1:12">
      <c r="A850" s="397" t="str">
        <f t="shared" si="33"/>
        <v>-</v>
      </c>
      <c r="F850" s="496"/>
      <c r="G850" s="398"/>
      <c r="I850" t="s">
        <v>848</v>
      </c>
      <c r="J850">
        <v>6.1082075471698216</v>
      </c>
      <c r="K850">
        <v>6.0679999999999996</v>
      </c>
      <c r="L850" s="509">
        <f t="shared" si="34"/>
        <v>1.006626161366154</v>
      </c>
    </row>
    <row r="851" spans="1:12">
      <c r="A851" s="397" t="str">
        <f t="shared" si="33"/>
        <v>-</v>
      </c>
      <c r="F851" s="496"/>
      <c r="G851" s="398"/>
      <c r="I851" t="s">
        <v>261</v>
      </c>
      <c r="J851">
        <v>7.4318145956607173</v>
      </c>
      <c r="K851">
        <v>7.4729999999999999</v>
      </c>
      <c r="L851" s="509">
        <f t="shared" si="34"/>
        <v>0.99448877233516897</v>
      </c>
    </row>
    <row r="852" spans="1:12">
      <c r="A852" s="397" t="str">
        <f t="shared" si="33"/>
        <v>-</v>
      </c>
      <c r="F852" s="496"/>
      <c r="G852" s="398"/>
      <c r="I852" t="s">
        <v>433</v>
      </c>
      <c r="J852">
        <v>8.1320082304526604</v>
      </c>
      <c r="K852">
        <v>8.0890000000000004</v>
      </c>
      <c r="L852" s="509">
        <f t="shared" si="34"/>
        <v>1.0053168785329039</v>
      </c>
    </row>
    <row r="853" spans="1:12">
      <c r="A853" s="397" t="str">
        <f t="shared" si="33"/>
        <v>-</v>
      </c>
      <c r="F853" s="496"/>
      <c r="G853" s="398"/>
      <c r="I853" t="s">
        <v>854</v>
      </c>
      <c r="J853">
        <v>7.4698474178403584</v>
      </c>
      <c r="K853">
        <v>7.4089999999999998</v>
      </c>
      <c r="L853" s="509">
        <f t="shared" si="34"/>
        <v>1.0082126356917747</v>
      </c>
    </row>
    <row r="854" spans="1:12">
      <c r="A854" s="397" t="str">
        <f t="shared" si="33"/>
        <v>-</v>
      </c>
      <c r="F854" s="496"/>
      <c r="G854" s="398"/>
      <c r="I854" t="s">
        <v>304</v>
      </c>
      <c r="J854">
        <v>10.015727372663957</v>
      </c>
      <c r="K854">
        <v>9.9689999999999994</v>
      </c>
      <c r="L854" s="509">
        <f t="shared" si="34"/>
        <v>1.004687267796565</v>
      </c>
    </row>
    <row r="855" spans="1:12">
      <c r="A855" s="397" t="str">
        <f t="shared" si="33"/>
        <v>-</v>
      </c>
      <c r="F855" s="496"/>
      <c r="G855" s="398"/>
      <c r="I855" t="s">
        <v>476</v>
      </c>
      <c r="J855">
        <v>12.70464627855565</v>
      </c>
      <c r="K855">
        <v>12.566000000000001</v>
      </c>
      <c r="L855" s="509">
        <f t="shared" si="34"/>
        <v>1.0110334456912025</v>
      </c>
    </row>
    <row r="856" spans="1:12">
      <c r="A856" s="397" t="str">
        <f t="shared" si="33"/>
        <v>-</v>
      </c>
      <c r="F856" s="496"/>
      <c r="G856" s="398"/>
      <c r="I856" t="s">
        <v>813</v>
      </c>
      <c r="J856">
        <v>6.7728891509434463</v>
      </c>
      <c r="K856">
        <v>6.6760000000000002</v>
      </c>
      <c r="L856" s="509">
        <f t="shared" si="34"/>
        <v>1.0145130543654053</v>
      </c>
    </row>
    <row r="857" spans="1:12">
      <c r="A857" s="397" t="str">
        <f t="shared" si="33"/>
        <v>-</v>
      </c>
      <c r="F857" s="496"/>
      <c r="G857" s="398"/>
      <c r="I857" t="s">
        <v>563</v>
      </c>
      <c r="J857">
        <v>12.4029349</v>
      </c>
      <c r="K857">
        <v>12.313000000000001</v>
      </c>
      <c r="L857" s="509">
        <f t="shared" si="34"/>
        <v>1.007304060748802</v>
      </c>
    </row>
    <row r="858" spans="1:12">
      <c r="A858" s="397" t="str">
        <f t="shared" si="33"/>
        <v>-</v>
      </c>
      <c r="F858" s="496"/>
      <c r="G858" s="398"/>
      <c r="I858" t="s">
        <v>189</v>
      </c>
      <c r="J858">
        <v>9.042928909952618</v>
      </c>
      <c r="K858">
        <v>8.9689999999999994</v>
      </c>
      <c r="L858" s="509">
        <f t="shared" si="34"/>
        <v>1.0082427149016187</v>
      </c>
    </row>
    <row r="859" spans="1:12">
      <c r="A859" s="397" t="str">
        <f t="shared" si="33"/>
        <v>-</v>
      </c>
      <c r="F859" s="496"/>
      <c r="G859" s="398"/>
      <c r="I859" t="s">
        <v>303</v>
      </c>
      <c r="J859">
        <v>10.870712305395591</v>
      </c>
      <c r="K859">
        <v>10.711</v>
      </c>
      <c r="L859" s="509">
        <f t="shared" si="34"/>
        <v>1.0149110545603204</v>
      </c>
    </row>
    <row r="860" spans="1:12">
      <c r="A860" s="397" t="str">
        <f t="shared" si="33"/>
        <v>-</v>
      </c>
      <c r="F860" s="496"/>
      <c r="G860" s="398"/>
      <c r="I860" t="s">
        <v>855</v>
      </c>
      <c r="J860">
        <v>7.5559024188546866</v>
      </c>
      <c r="K860">
        <v>7.4829999999999997</v>
      </c>
      <c r="L860" s="509">
        <f t="shared" si="34"/>
        <v>1.0097424052993034</v>
      </c>
    </row>
    <row r="861" spans="1:12">
      <c r="A861" s="397" t="str">
        <f t="shared" si="33"/>
        <v>-</v>
      </c>
      <c r="F861" s="496"/>
      <c r="G861" s="398"/>
      <c r="I861" t="s">
        <v>159</v>
      </c>
      <c r="J861">
        <v>9.1702263501045618</v>
      </c>
      <c r="K861">
        <v>9.0519999999999996</v>
      </c>
      <c r="L861" s="509">
        <f t="shared" si="34"/>
        <v>1.0130607987300666</v>
      </c>
    </row>
    <row r="862" spans="1:12">
      <c r="A862" s="397" t="str">
        <f t="shared" si="33"/>
        <v>-</v>
      </c>
      <c r="F862" s="496"/>
      <c r="G862" s="398"/>
      <c r="I862" t="s">
        <v>850</v>
      </c>
      <c r="J862">
        <v>7.1701857613469633</v>
      </c>
      <c r="K862">
        <v>7.1269999999999998</v>
      </c>
      <c r="L862" s="509">
        <f t="shared" si="34"/>
        <v>1.0060594585866371</v>
      </c>
    </row>
    <row r="863" spans="1:12">
      <c r="A863" s="397" t="str">
        <f t="shared" si="33"/>
        <v>-</v>
      </c>
      <c r="F863" s="496"/>
      <c r="G863" s="398"/>
      <c r="I863" t="s">
        <v>789</v>
      </c>
      <c r="J863">
        <v>6.8326852270525471</v>
      </c>
      <c r="K863">
        <v>6.8</v>
      </c>
      <c r="L863" s="509">
        <f t="shared" si="34"/>
        <v>1.0048066510371394</v>
      </c>
    </row>
    <row r="864" spans="1:12">
      <c r="A864" s="397" t="str">
        <f t="shared" ref="A864:A927" si="35">B864&amp;"-"&amp;C864</f>
        <v>-</v>
      </c>
      <c r="F864" s="496"/>
      <c r="G864" s="398"/>
      <c r="I864" t="s">
        <v>790</v>
      </c>
      <c r="J864">
        <v>7.3283037532733193</v>
      </c>
      <c r="K864">
        <v>7.2629999999999999</v>
      </c>
      <c r="L864" s="509">
        <f t="shared" si="34"/>
        <v>1.0089912919280353</v>
      </c>
    </row>
    <row r="865" spans="1:12">
      <c r="A865" s="397" t="str">
        <f t="shared" si="35"/>
        <v>-</v>
      </c>
      <c r="F865" s="496"/>
      <c r="G865" s="398"/>
      <c r="I865" t="s">
        <v>852</v>
      </c>
      <c r="J865">
        <v>6.9113042011133459</v>
      </c>
      <c r="K865">
        <v>6.8360000000000003</v>
      </c>
      <c r="L865" s="509">
        <f t="shared" si="34"/>
        <v>1.011015828132438</v>
      </c>
    </row>
    <row r="866" spans="1:12">
      <c r="A866" s="397" t="str">
        <f t="shared" si="35"/>
        <v>-</v>
      </c>
      <c r="F866" s="496"/>
      <c r="G866" s="398"/>
      <c r="I866" t="s">
        <v>582</v>
      </c>
      <c r="J866">
        <v>8.3787277005578282</v>
      </c>
      <c r="K866">
        <v>8.2379999999999995</v>
      </c>
      <c r="L866" s="509">
        <f t="shared" si="34"/>
        <v>1.0170827507353519</v>
      </c>
    </row>
    <row r="867" spans="1:12">
      <c r="A867" s="397" t="str">
        <f t="shared" si="35"/>
        <v>-</v>
      </c>
      <c r="F867" s="496"/>
      <c r="G867" s="398"/>
      <c r="I867" t="s">
        <v>846</v>
      </c>
      <c r="J867">
        <v>5.0929984308453902</v>
      </c>
      <c r="K867">
        <v>5.0049999999999999</v>
      </c>
      <c r="L867" s="509">
        <f t="shared" si="34"/>
        <v>1.017582104065013</v>
      </c>
    </row>
    <row r="868" spans="1:12">
      <c r="A868" s="397" t="str">
        <f t="shared" si="35"/>
        <v>-</v>
      </c>
      <c r="F868" s="496"/>
      <c r="G868" s="398"/>
      <c r="I868" t="s">
        <v>786</v>
      </c>
      <c r="J868">
        <v>4.9811406933026916</v>
      </c>
      <c r="K868">
        <v>4.9180000000000001</v>
      </c>
      <c r="L868" s="509">
        <f t="shared" si="34"/>
        <v>1.0128386932295022</v>
      </c>
    </row>
    <row r="869" spans="1:12">
      <c r="A869" s="397" t="str">
        <f t="shared" si="35"/>
        <v>-</v>
      </c>
      <c r="F869" s="496"/>
      <c r="G869" s="398"/>
      <c r="L869" s="509" t="e">
        <f t="shared" si="34"/>
        <v>#DIV/0!</v>
      </c>
    </row>
    <row r="870" spans="1:12">
      <c r="A870" s="397" t="str">
        <f t="shared" si="35"/>
        <v>-</v>
      </c>
      <c r="F870" s="496"/>
      <c r="G870" s="398"/>
      <c r="I870" t="s">
        <v>786</v>
      </c>
      <c r="J870">
        <v>4.9409098162899499</v>
      </c>
      <c r="K870">
        <v>4.875</v>
      </c>
      <c r="L870" s="509">
        <f t="shared" si="34"/>
        <v>1.0135199623158873</v>
      </c>
    </row>
    <row r="871" spans="1:12">
      <c r="A871" s="397" t="str">
        <f t="shared" si="35"/>
        <v>-</v>
      </c>
      <c r="F871" s="496"/>
      <c r="G871" s="398"/>
      <c r="I871" t="s">
        <v>852</v>
      </c>
      <c r="J871">
        <v>6.8502175901982367</v>
      </c>
      <c r="K871">
        <v>6.8360000000000003</v>
      </c>
      <c r="L871" s="509">
        <f t="shared" si="34"/>
        <v>1.0020798113221527</v>
      </c>
    </row>
    <row r="872" spans="1:12">
      <c r="A872" s="397" t="str">
        <f t="shared" si="35"/>
        <v>-</v>
      </c>
      <c r="F872" s="496"/>
      <c r="G872" s="398"/>
      <c r="I872" t="s">
        <v>790</v>
      </c>
      <c r="J872">
        <v>7.31913581025682</v>
      </c>
      <c r="K872">
        <v>7.2830000000000004</v>
      </c>
      <c r="L872" s="509">
        <f t="shared" si="34"/>
        <v>1.0049616655577125</v>
      </c>
    </row>
    <row r="873" spans="1:12">
      <c r="A873" s="397" t="str">
        <f t="shared" si="35"/>
        <v>-</v>
      </c>
      <c r="F873" s="496"/>
      <c r="G873" s="398"/>
      <c r="I873" t="s">
        <v>850</v>
      </c>
      <c r="J873">
        <v>7.1746071606165351</v>
      </c>
      <c r="K873">
        <v>7.1269999999999998</v>
      </c>
      <c r="L873" s="509">
        <f t="shared" si="34"/>
        <v>1.0066798317127172</v>
      </c>
    </row>
    <row r="874" spans="1:12">
      <c r="A874" s="397" t="str">
        <f t="shared" si="35"/>
        <v>-</v>
      </c>
      <c r="F874" s="496"/>
      <c r="G874" s="398"/>
      <c r="I874" t="s">
        <v>789</v>
      </c>
      <c r="J874">
        <v>6.7837847693350977</v>
      </c>
      <c r="K874">
        <v>6.7880000000000003</v>
      </c>
      <c r="L874" s="509">
        <f t="shared" si="34"/>
        <v>0.99937901728566547</v>
      </c>
    </row>
    <row r="875" spans="1:12">
      <c r="A875" s="397" t="str">
        <f t="shared" si="35"/>
        <v>-</v>
      </c>
      <c r="F875" s="496"/>
      <c r="G875" s="398"/>
      <c r="I875" t="s">
        <v>582</v>
      </c>
      <c r="J875">
        <v>8.3518539325842607</v>
      </c>
      <c r="K875">
        <v>8.2379999999999995</v>
      </c>
      <c r="L875" s="509">
        <f t="shared" si="34"/>
        <v>1.0138205793377351</v>
      </c>
    </row>
    <row r="876" spans="1:12">
      <c r="A876" s="397" t="str">
        <f t="shared" si="35"/>
        <v>-</v>
      </c>
      <c r="F876" s="496"/>
      <c r="G876" s="398"/>
      <c r="I876" t="s">
        <v>433</v>
      </c>
      <c r="J876">
        <v>8.1303731025677859</v>
      </c>
      <c r="K876">
        <v>8.0890000000000004</v>
      </c>
      <c r="L876" s="509">
        <f t="shared" si="34"/>
        <v>1.0051147363787596</v>
      </c>
    </row>
    <row r="877" spans="1:12">
      <c r="A877" s="397" t="str">
        <f t="shared" si="35"/>
        <v>-</v>
      </c>
      <c r="F877" s="496"/>
      <c r="G877" s="398"/>
      <c r="I877" t="s">
        <v>261</v>
      </c>
      <c r="J877">
        <v>7.5113951120163946</v>
      </c>
      <c r="K877">
        <v>7.4729999999999999</v>
      </c>
      <c r="L877" s="509">
        <f t="shared" si="34"/>
        <v>1.0051378445090853</v>
      </c>
    </row>
    <row r="878" spans="1:12">
      <c r="A878" s="397" t="str">
        <f t="shared" si="35"/>
        <v>-</v>
      </c>
      <c r="F878" s="496"/>
      <c r="G878" s="398"/>
      <c r="I878" t="s">
        <v>792</v>
      </c>
      <c r="J878">
        <v>8.3119999999999781</v>
      </c>
      <c r="K878">
        <v>8.2469999999999999</v>
      </c>
      <c r="L878" s="509">
        <f t="shared" si="34"/>
        <v>1.0078816539347615</v>
      </c>
    </row>
    <row r="879" spans="1:12">
      <c r="A879" s="397" t="str">
        <f t="shared" si="35"/>
        <v>-</v>
      </c>
      <c r="F879" s="496"/>
      <c r="G879" s="398"/>
      <c r="I879" t="s">
        <v>159</v>
      </c>
      <c r="J879">
        <v>9.142506935687253</v>
      </c>
      <c r="K879">
        <v>9.0519999999999996</v>
      </c>
      <c r="L879" s="509">
        <f t="shared" si="34"/>
        <v>1.0099985567484813</v>
      </c>
    </row>
    <row r="880" spans="1:12">
      <c r="A880" s="397" t="str">
        <f t="shared" si="35"/>
        <v>-</v>
      </c>
      <c r="F880" s="496"/>
      <c r="G880" s="398"/>
      <c r="I880" t="s">
        <v>851</v>
      </c>
      <c r="J880">
        <v>6.6636052698251742</v>
      </c>
      <c r="K880">
        <v>6.6210000000000004</v>
      </c>
      <c r="L880" s="509">
        <f t="shared" si="34"/>
        <v>1.0064348693286775</v>
      </c>
    </row>
    <row r="881" spans="1:12">
      <c r="A881" s="397" t="str">
        <f t="shared" si="35"/>
        <v>-</v>
      </c>
      <c r="F881" s="496"/>
      <c r="G881" s="398"/>
      <c r="I881" t="s">
        <v>303</v>
      </c>
      <c r="J881">
        <v>10.851349854227479</v>
      </c>
      <c r="K881">
        <v>10.737</v>
      </c>
      <c r="L881" s="509">
        <f t="shared" si="34"/>
        <v>1.0106500749024381</v>
      </c>
    </row>
    <row r="882" spans="1:12">
      <c r="A882" s="397" t="str">
        <f t="shared" si="35"/>
        <v>-</v>
      </c>
      <c r="F882" s="496"/>
      <c r="G882" s="398"/>
      <c r="I882" t="s">
        <v>846</v>
      </c>
      <c r="J882">
        <v>5.0518334331935906</v>
      </c>
      <c r="K882">
        <v>4.9989999999999997</v>
      </c>
      <c r="L882" s="509">
        <f t="shared" si="34"/>
        <v>1.010568800398798</v>
      </c>
    </row>
    <row r="883" spans="1:12">
      <c r="A883" s="397" t="str">
        <f t="shared" si="35"/>
        <v>-</v>
      </c>
      <c r="F883" s="496"/>
      <c r="G883" s="398"/>
      <c r="I883" t="s">
        <v>750</v>
      </c>
      <c r="J883">
        <v>13.771506399737449</v>
      </c>
      <c r="K883">
        <v>13.664999999999999</v>
      </c>
      <c r="L883" s="509">
        <f t="shared" si="34"/>
        <v>1.0077941017005085</v>
      </c>
    </row>
    <row r="884" spans="1:12">
      <c r="A884" s="397" t="str">
        <f t="shared" si="35"/>
        <v>-</v>
      </c>
      <c r="F884" s="496"/>
      <c r="G884" s="398"/>
      <c r="I884" t="s">
        <v>793</v>
      </c>
      <c r="J884">
        <v>8.964490811638564</v>
      </c>
      <c r="K884">
        <v>8.8320000000000007</v>
      </c>
      <c r="L884" s="509">
        <f t="shared" si="34"/>
        <v>1.0150012241438591</v>
      </c>
    </row>
    <row r="885" spans="1:12">
      <c r="A885" s="397" t="str">
        <f t="shared" si="35"/>
        <v>-</v>
      </c>
      <c r="F885" s="496"/>
      <c r="G885" s="398"/>
      <c r="I885" t="s">
        <v>553</v>
      </c>
      <c r="J885">
        <v>9.1347593582887718</v>
      </c>
      <c r="K885">
        <v>9.01</v>
      </c>
      <c r="L885" s="509">
        <f t="shared" si="34"/>
        <v>1.0138467656258348</v>
      </c>
    </row>
    <row r="886" spans="1:12">
      <c r="A886" s="397" t="str">
        <f t="shared" si="35"/>
        <v>-</v>
      </c>
      <c r="F886" s="496"/>
      <c r="G886" s="398"/>
      <c r="I886" t="s">
        <v>189</v>
      </c>
      <c r="J886">
        <v>9.0399958643507414</v>
      </c>
      <c r="K886">
        <v>8.9689999999999994</v>
      </c>
      <c r="L886" s="509">
        <f t="shared" si="34"/>
        <v>1.007915694542395</v>
      </c>
    </row>
    <row r="887" spans="1:12">
      <c r="A887" s="397" t="str">
        <f t="shared" si="35"/>
        <v>-</v>
      </c>
      <c r="F887" s="496"/>
      <c r="G887" s="398"/>
      <c r="I887" t="s">
        <v>563</v>
      </c>
      <c r="J887">
        <v>12.307311009639795</v>
      </c>
      <c r="K887">
        <v>12.198</v>
      </c>
      <c r="L887" s="509">
        <f t="shared" si="34"/>
        <v>1.008961387902918</v>
      </c>
    </row>
    <row r="888" spans="1:12">
      <c r="A888" s="397" t="str">
        <f t="shared" si="35"/>
        <v>-</v>
      </c>
      <c r="F888" s="496"/>
      <c r="G888" s="398"/>
      <c r="I888" t="s">
        <v>404</v>
      </c>
      <c r="J888">
        <v>11.031720036596514</v>
      </c>
      <c r="K888">
        <v>10.983000000000001</v>
      </c>
      <c r="L888" s="509">
        <f t="shared" si="34"/>
        <v>1.0044359497948205</v>
      </c>
    </row>
    <row r="889" spans="1:12">
      <c r="A889" s="397" t="str">
        <f t="shared" si="35"/>
        <v>-</v>
      </c>
      <c r="F889" s="496"/>
      <c r="G889" s="398"/>
      <c r="I889" t="s">
        <v>142</v>
      </c>
      <c r="J889">
        <v>9.6107476635514129</v>
      </c>
      <c r="K889">
        <v>9.5809999999999995</v>
      </c>
      <c r="L889" s="509">
        <f t="shared" si="34"/>
        <v>1.0031048599886665</v>
      </c>
    </row>
    <row r="890" spans="1:12">
      <c r="A890" s="397" t="str">
        <f t="shared" si="35"/>
        <v>-</v>
      </c>
      <c r="F890" s="496"/>
      <c r="G890" s="398"/>
      <c r="I890" t="s">
        <v>304</v>
      </c>
      <c r="J890">
        <v>9.9838915094339118</v>
      </c>
      <c r="K890">
        <v>9.9700000000000006</v>
      </c>
      <c r="L890" s="509">
        <f t="shared" si="34"/>
        <v>1.0013933309361998</v>
      </c>
    </row>
    <row r="891" spans="1:12">
      <c r="A891" s="397" t="str">
        <f t="shared" si="35"/>
        <v>-</v>
      </c>
      <c r="F891" s="496"/>
      <c r="G891" s="398"/>
      <c r="I891" t="s">
        <v>563</v>
      </c>
      <c r="J891">
        <v>12.307311009639795</v>
      </c>
      <c r="K891">
        <v>12.303000000000001</v>
      </c>
      <c r="L891" s="509">
        <f t="shared" si="34"/>
        <v>1.0003504031244244</v>
      </c>
    </row>
    <row r="892" spans="1:12">
      <c r="A892" s="397" t="str">
        <f t="shared" si="35"/>
        <v>-</v>
      </c>
      <c r="F892" s="496"/>
      <c r="G892" s="398"/>
      <c r="I892" t="s">
        <v>422</v>
      </c>
      <c r="J892">
        <v>9.2654610350981734</v>
      </c>
      <c r="K892">
        <v>9.2270000000000003</v>
      </c>
      <c r="L892" s="509">
        <f t="shared" si="34"/>
        <v>1.0041683141972659</v>
      </c>
    </row>
    <row r="893" spans="1:12">
      <c r="A893" s="397" t="str">
        <f t="shared" si="35"/>
        <v>-</v>
      </c>
      <c r="F893" s="496"/>
      <c r="G893" s="398"/>
      <c r="I893" t="s">
        <v>848</v>
      </c>
      <c r="J893">
        <v>6.0911924821775978</v>
      </c>
      <c r="K893">
        <v>6.0679999999999996</v>
      </c>
      <c r="L893" s="509">
        <f t="shared" si="34"/>
        <v>1.0038220966014499</v>
      </c>
    </row>
    <row r="894" spans="1:12">
      <c r="A894" s="397" t="str">
        <f t="shared" si="35"/>
        <v>-</v>
      </c>
      <c r="F894" s="496"/>
      <c r="G894" s="398"/>
      <c r="I894" t="s">
        <v>387</v>
      </c>
      <c r="J894">
        <v>5.3897133550488538</v>
      </c>
      <c r="K894">
        <v>5.367</v>
      </c>
      <c r="L894" s="509">
        <f t="shared" si="34"/>
        <v>1.004232039323431</v>
      </c>
    </row>
    <row r="895" spans="1:12">
      <c r="A895" s="397" t="str">
        <f t="shared" si="35"/>
        <v>-</v>
      </c>
      <c r="F895" s="496"/>
      <c r="G895" s="398"/>
      <c r="I895" t="s">
        <v>847</v>
      </c>
      <c r="J895">
        <v>5.6926369863013413</v>
      </c>
      <c r="K895">
        <v>5.5940000000000003</v>
      </c>
      <c r="L895" s="509">
        <f t="shared" si="34"/>
        <v>1.0176326396677406</v>
      </c>
    </row>
    <row r="896" spans="1:12">
      <c r="A896" s="397" t="str">
        <f t="shared" si="35"/>
        <v>-</v>
      </c>
      <c r="F896" s="496"/>
      <c r="G896" s="398"/>
      <c r="I896" t="s">
        <v>52</v>
      </c>
      <c r="J896">
        <v>7.0350498007968563</v>
      </c>
      <c r="K896">
        <v>7.0179999999999998</v>
      </c>
      <c r="L896" s="509">
        <f t="shared" si="34"/>
        <v>1.0024294387000365</v>
      </c>
    </row>
    <row r="897" spans="1:12">
      <c r="A897" s="397" t="str">
        <f t="shared" si="35"/>
        <v>-</v>
      </c>
      <c r="F897" s="496"/>
      <c r="G897" s="398"/>
      <c r="I897" t="s">
        <v>202</v>
      </c>
      <c r="J897">
        <v>12.537202993451858</v>
      </c>
      <c r="K897">
        <v>12.352</v>
      </c>
      <c r="L897" s="509">
        <f t="shared" si="34"/>
        <v>1.0149937656615817</v>
      </c>
    </row>
    <row r="898" spans="1:12">
      <c r="A898" s="397" t="str">
        <f t="shared" si="35"/>
        <v>-</v>
      </c>
      <c r="F898" s="496"/>
      <c r="G898" s="398"/>
      <c r="I898" t="s">
        <v>206</v>
      </c>
      <c r="J898">
        <v>12.311007667031797</v>
      </c>
      <c r="K898">
        <v>12.295</v>
      </c>
      <c r="L898" s="509">
        <f t="shared" si="34"/>
        <v>1.0013019655983568</v>
      </c>
    </row>
    <row r="899" spans="1:12">
      <c r="A899" s="397" t="str">
        <f t="shared" si="35"/>
        <v>-</v>
      </c>
      <c r="F899" s="496"/>
      <c r="G899" s="398"/>
      <c r="I899" t="s">
        <v>580</v>
      </c>
      <c r="J899">
        <v>10.783437110834367</v>
      </c>
      <c r="K899">
        <v>10.664</v>
      </c>
      <c r="L899" s="509">
        <f t="shared" si="34"/>
        <v>1.011200029148009</v>
      </c>
    </row>
    <row r="900" spans="1:12">
      <c r="A900" s="397" t="str">
        <f t="shared" si="35"/>
        <v>-</v>
      </c>
      <c r="F900" s="496"/>
      <c r="G900" s="398"/>
      <c r="I900" t="s">
        <v>301</v>
      </c>
      <c r="J900">
        <v>10.759239543726236</v>
      </c>
      <c r="K900">
        <v>10.753</v>
      </c>
      <c r="L900" s="509">
        <f t="shared" si="34"/>
        <v>1.0005802607389787</v>
      </c>
    </row>
    <row r="901" spans="1:12">
      <c r="A901" s="397" t="str">
        <f t="shared" si="35"/>
        <v>-</v>
      </c>
      <c r="F901" s="496"/>
      <c r="G901" s="398"/>
      <c r="I901" t="s">
        <v>423</v>
      </c>
      <c r="J901">
        <v>10.025229226361033</v>
      </c>
      <c r="K901">
        <v>9.952</v>
      </c>
      <c r="L901" s="509">
        <f t="shared" si="34"/>
        <v>1.0073582421986569</v>
      </c>
    </row>
    <row r="902" spans="1:12">
      <c r="A902" s="397" t="str">
        <f t="shared" si="35"/>
        <v>-</v>
      </c>
      <c r="F902" s="496"/>
      <c r="G902" s="398"/>
      <c r="I902" t="s">
        <v>406</v>
      </c>
      <c r="J902">
        <v>11.553804713804741</v>
      </c>
      <c r="K902">
        <v>11.420999999999999</v>
      </c>
      <c r="L902" s="509">
        <f t="shared" si="34"/>
        <v>1.0116281160848211</v>
      </c>
    </row>
    <row r="903" spans="1:12">
      <c r="A903" s="397" t="str">
        <f t="shared" si="35"/>
        <v>-</v>
      </c>
      <c r="F903" s="496"/>
      <c r="G903" s="398"/>
      <c r="I903" t="s">
        <v>785</v>
      </c>
      <c r="J903">
        <v>4.6757656249999986</v>
      </c>
      <c r="K903">
        <v>4.6109999999999998</v>
      </c>
      <c r="L903" s="509">
        <f t="shared" ref="L903:L966" si="36">J903/K903</f>
        <v>1.0140458956842331</v>
      </c>
    </row>
    <row r="904" spans="1:12">
      <c r="A904" s="397" t="str">
        <f t="shared" si="35"/>
        <v>-</v>
      </c>
      <c r="F904" s="496"/>
      <c r="G904" s="398"/>
      <c r="I904" t="s">
        <v>346</v>
      </c>
      <c r="J904">
        <v>12.487615894039719</v>
      </c>
      <c r="K904">
        <v>12.435</v>
      </c>
      <c r="L904" s="509">
        <f t="shared" si="36"/>
        <v>1.0042312741487509</v>
      </c>
    </row>
    <row r="905" spans="1:12">
      <c r="A905" s="397" t="str">
        <f t="shared" si="35"/>
        <v>-</v>
      </c>
      <c r="F905" s="496"/>
      <c r="G905" s="398"/>
      <c r="I905" t="s">
        <v>300</v>
      </c>
      <c r="J905">
        <v>10.156868512110718</v>
      </c>
      <c r="K905">
        <v>10.199999999999999</v>
      </c>
      <c r="L905" s="509">
        <f t="shared" si="36"/>
        <v>0.99577142275595276</v>
      </c>
    </row>
    <row r="906" spans="1:12">
      <c r="A906" s="397" t="str">
        <f t="shared" si="35"/>
        <v>-</v>
      </c>
      <c r="F906" s="496"/>
      <c r="G906" s="398"/>
      <c r="I906" t="s">
        <v>63</v>
      </c>
      <c r="J906">
        <v>8.6511900532859674</v>
      </c>
      <c r="K906">
        <v>8.5839999999999996</v>
      </c>
      <c r="L906" s="509">
        <f t="shared" si="36"/>
        <v>1.0078273594228759</v>
      </c>
    </row>
    <row r="907" spans="1:12">
      <c r="A907" s="397" t="str">
        <f t="shared" si="35"/>
        <v>-</v>
      </c>
      <c r="F907" s="496"/>
      <c r="G907" s="398"/>
      <c r="I907" t="s">
        <v>555</v>
      </c>
      <c r="J907">
        <v>16.413312236286917</v>
      </c>
      <c r="K907">
        <v>16.266999999999999</v>
      </c>
      <c r="L907" s="509">
        <f t="shared" si="36"/>
        <v>1.0089944203778765</v>
      </c>
    </row>
    <row r="908" spans="1:12">
      <c r="A908" s="397" t="str">
        <f t="shared" si="35"/>
        <v>-</v>
      </c>
      <c r="F908" s="496"/>
      <c r="G908" s="398"/>
      <c r="I908" t="s">
        <v>302</v>
      </c>
      <c r="J908">
        <v>8.4350547445255373</v>
      </c>
      <c r="K908">
        <v>8.5340000000000007</v>
      </c>
      <c r="L908" s="509">
        <f t="shared" si="36"/>
        <v>0.98840575867418989</v>
      </c>
    </row>
    <row r="909" spans="1:12">
      <c r="A909" s="397" t="str">
        <f t="shared" si="35"/>
        <v>-</v>
      </c>
      <c r="F909" s="496"/>
      <c r="G909" s="398"/>
      <c r="I909" t="s">
        <v>232</v>
      </c>
      <c r="J909">
        <v>10.282411214953274</v>
      </c>
      <c r="K909">
        <v>10.227</v>
      </c>
      <c r="L909" s="509">
        <f t="shared" si="36"/>
        <v>1.0054181299455631</v>
      </c>
    </row>
    <row r="910" spans="1:12">
      <c r="A910" s="397" t="str">
        <f t="shared" si="35"/>
        <v>-</v>
      </c>
      <c r="F910" s="496"/>
      <c r="G910" s="398"/>
      <c r="I910" t="s">
        <v>420</v>
      </c>
      <c r="J910">
        <v>9.7735671342685535</v>
      </c>
      <c r="K910">
        <v>9.7560000000000002</v>
      </c>
      <c r="L910" s="509">
        <f t="shared" si="36"/>
        <v>1.0018006492690195</v>
      </c>
    </row>
    <row r="911" spans="1:12">
      <c r="A911" s="397" t="str">
        <f t="shared" si="35"/>
        <v>-</v>
      </c>
      <c r="F911" s="496"/>
      <c r="G911" s="398"/>
      <c r="I911" t="s">
        <v>255</v>
      </c>
      <c r="J911">
        <v>10.516127049180334</v>
      </c>
      <c r="K911">
        <v>10.54</v>
      </c>
      <c r="L911" s="509">
        <f t="shared" si="36"/>
        <v>0.99773501415373189</v>
      </c>
    </row>
    <row r="912" spans="1:12">
      <c r="A912" s="397" t="str">
        <f t="shared" si="35"/>
        <v>-</v>
      </c>
      <c r="F912" s="496"/>
      <c r="G912" s="398"/>
      <c r="I912" t="s">
        <v>814</v>
      </c>
      <c r="J912">
        <v>6.4325683060109267</v>
      </c>
      <c r="K912">
        <v>6.2789999999999999</v>
      </c>
      <c r="L912" s="509">
        <f t="shared" si="36"/>
        <v>1.0244574464104039</v>
      </c>
    </row>
    <row r="913" spans="1:12">
      <c r="A913" s="397" t="str">
        <f t="shared" si="35"/>
        <v>-</v>
      </c>
      <c r="F913" s="496"/>
      <c r="G913" s="398"/>
      <c r="I913" t="s">
        <v>556</v>
      </c>
      <c r="J913">
        <v>16.269325842696642</v>
      </c>
      <c r="K913">
        <v>16.079999999999998</v>
      </c>
      <c r="L913" s="509">
        <f t="shared" si="36"/>
        <v>1.0117739951925773</v>
      </c>
    </row>
    <row r="914" spans="1:12">
      <c r="A914" s="397" t="str">
        <f t="shared" si="35"/>
        <v>-</v>
      </c>
      <c r="F914" s="496"/>
      <c r="G914" s="398"/>
      <c r="I914" t="s">
        <v>791</v>
      </c>
      <c r="J914">
        <v>6.7347930283224686</v>
      </c>
      <c r="K914">
        <v>6.7489999999999997</v>
      </c>
      <c r="L914" s="509">
        <f t="shared" si="36"/>
        <v>0.99789495159615782</v>
      </c>
    </row>
    <row r="915" spans="1:12">
      <c r="A915" s="397" t="str">
        <f t="shared" si="35"/>
        <v>-</v>
      </c>
      <c r="F915" s="496"/>
      <c r="G915" s="398"/>
      <c r="I915" t="s">
        <v>429</v>
      </c>
      <c r="J915">
        <v>6.239253393665166</v>
      </c>
      <c r="K915">
        <v>6.2770000000000001</v>
      </c>
      <c r="L915" s="509">
        <f t="shared" si="36"/>
        <v>0.99398652121477871</v>
      </c>
    </row>
    <row r="916" spans="1:12">
      <c r="A916" s="397" t="str">
        <f t="shared" si="35"/>
        <v>-</v>
      </c>
      <c r="F916" s="496"/>
      <c r="G916" s="398"/>
      <c r="I916" t="s">
        <v>395</v>
      </c>
      <c r="J916">
        <v>11.649886363636345</v>
      </c>
      <c r="K916">
        <v>11.554</v>
      </c>
      <c r="L916" s="509">
        <f t="shared" si="36"/>
        <v>1.0082989755613938</v>
      </c>
    </row>
    <row r="917" spans="1:12">
      <c r="A917" s="397" t="str">
        <f t="shared" si="35"/>
        <v>-</v>
      </c>
      <c r="F917" s="496"/>
      <c r="G917" s="398"/>
      <c r="I917" t="s">
        <v>418</v>
      </c>
      <c r="J917">
        <v>7.9724999999999886</v>
      </c>
      <c r="K917">
        <v>7.968</v>
      </c>
      <c r="L917" s="509">
        <f t="shared" si="36"/>
        <v>1.0005647590361431</v>
      </c>
    </row>
    <row r="918" spans="1:12">
      <c r="A918" s="397" t="str">
        <f t="shared" si="35"/>
        <v>-</v>
      </c>
      <c r="F918" s="496"/>
      <c r="G918" s="398"/>
      <c r="I918" t="s">
        <v>332</v>
      </c>
      <c r="J918">
        <v>9.9146212121212081</v>
      </c>
      <c r="K918">
        <v>9.7729999999999997</v>
      </c>
      <c r="L918" s="509">
        <f t="shared" si="36"/>
        <v>1.014491068466306</v>
      </c>
    </row>
    <row r="919" spans="1:12">
      <c r="A919" s="397" t="str">
        <f t="shared" si="35"/>
        <v>-</v>
      </c>
      <c r="F919" s="496"/>
      <c r="G919" s="398"/>
      <c r="I919" t="s">
        <v>207</v>
      </c>
      <c r="J919">
        <v>13.410946291560098</v>
      </c>
      <c r="K919">
        <v>13.335000000000001</v>
      </c>
      <c r="L919" s="509">
        <f t="shared" si="36"/>
        <v>1.0056952599595124</v>
      </c>
    </row>
    <row r="920" spans="1:12">
      <c r="A920" s="397" t="str">
        <f t="shared" si="35"/>
        <v>-</v>
      </c>
      <c r="F920" s="496"/>
      <c r="G920" s="398"/>
      <c r="I920" t="s">
        <v>354</v>
      </c>
      <c r="J920">
        <v>8.7944416243654935</v>
      </c>
      <c r="K920">
        <v>8.6999999999999993</v>
      </c>
      <c r="L920" s="509">
        <f t="shared" si="36"/>
        <v>1.0108553591224705</v>
      </c>
    </row>
    <row r="921" spans="1:12">
      <c r="A921" s="397" t="str">
        <f t="shared" si="35"/>
        <v>-</v>
      </c>
      <c r="F921" s="496"/>
      <c r="G921" s="398"/>
      <c r="I921" t="s">
        <v>297</v>
      </c>
      <c r="J921">
        <v>8.561866666666667</v>
      </c>
      <c r="K921">
        <v>8.5120000000000005</v>
      </c>
      <c r="L921" s="509">
        <f t="shared" si="36"/>
        <v>1.005858395989975</v>
      </c>
    </row>
    <row r="922" spans="1:12">
      <c r="A922" s="397" t="str">
        <f t="shared" si="35"/>
        <v>-</v>
      </c>
      <c r="F922" s="496"/>
      <c r="G922" s="398"/>
      <c r="I922" t="s">
        <v>84</v>
      </c>
      <c r="J922">
        <v>10.009124999999992</v>
      </c>
      <c r="K922">
        <v>10.023</v>
      </c>
      <c r="L922" s="509">
        <f t="shared" si="36"/>
        <v>0.9986156839269672</v>
      </c>
    </row>
    <row r="923" spans="1:12">
      <c r="A923" s="397" t="str">
        <f t="shared" si="35"/>
        <v>-</v>
      </c>
      <c r="F923" s="496"/>
      <c r="G923" s="398"/>
      <c r="I923" t="s">
        <v>334</v>
      </c>
      <c r="J923">
        <v>12.805544871794881</v>
      </c>
      <c r="K923">
        <v>12.635</v>
      </c>
      <c r="L923" s="509">
        <f t="shared" si="36"/>
        <v>1.01349781335931</v>
      </c>
    </row>
    <row r="924" spans="1:12">
      <c r="A924" s="397" t="str">
        <f t="shared" si="35"/>
        <v>-</v>
      </c>
      <c r="F924" s="496"/>
      <c r="G924" s="398"/>
      <c r="I924" t="s">
        <v>180</v>
      </c>
      <c r="J924">
        <v>11.48270833333333</v>
      </c>
      <c r="K924">
        <v>11.471</v>
      </c>
      <c r="L924" s="509">
        <f t="shared" si="36"/>
        <v>1.0010206898555776</v>
      </c>
    </row>
    <row r="925" spans="1:12">
      <c r="A925" s="397" t="str">
        <f t="shared" si="35"/>
        <v>-</v>
      </c>
      <c r="F925" s="496"/>
      <c r="G925" s="398"/>
      <c r="I925" t="s">
        <v>298</v>
      </c>
      <c r="J925">
        <v>8.8728145695364304</v>
      </c>
      <c r="K925">
        <v>8.8089999999999993</v>
      </c>
      <c r="L925" s="509">
        <f t="shared" si="36"/>
        <v>1.0072442467404281</v>
      </c>
    </row>
    <row r="926" spans="1:12">
      <c r="A926" s="397" t="str">
        <f t="shared" si="35"/>
        <v>-</v>
      </c>
      <c r="F926" s="496"/>
      <c r="G926" s="398"/>
      <c r="I926" t="s">
        <v>424</v>
      </c>
      <c r="J926">
        <v>9.832053872053871</v>
      </c>
      <c r="K926">
        <v>9.7769999999999992</v>
      </c>
      <c r="L926" s="509">
        <f t="shared" si="36"/>
        <v>1.0056309575589517</v>
      </c>
    </row>
    <row r="927" spans="1:12">
      <c r="A927" s="397" t="str">
        <f t="shared" si="35"/>
        <v>-</v>
      </c>
      <c r="F927" s="496"/>
      <c r="G927" s="398"/>
      <c r="I927" t="s">
        <v>179</v>
      </c>
      <c r="J927">
        <v>10.756641509433953</v>
      </c>
      <c r="K927">
        <v>10.695</v>
      </c>
      <c r="L927" s="509">
        <f t="shared" si="36"/>
        <v>1.0057635819947595</v>
      </c>
    </row>
    <row r="928" spans="1:12">
      <c r="A928" s="397" t="str">
        <f t="shared" ref="A928:A991" si="37">B928&amp;"-"&amp;C928</f>
        <v>-</v>
      </c>
      <c r="F928" s="496"/>
      <c r="G928" s="398"/>
      <c r="I928" t="s">
        <v>410</v>
      </c>
      <c r="J928">
        <v>6.2153710247350054</v>
      </c>
      <c r="K928">
        <v>6.1509999999999998</v>
      </c>
      <c r="L928" s="509">
        <f t="shared" si="36"/>
        <v>1.0104651316428233</v>
      </c>
    </row>
    <row r="929" spans="1:12">
      <c r="A929" s="397" t="str">
        <f t="shared" si="37"/>
        <v>-</v>
      </c>
      <c r="F929" s="496"/>
      <c r="G929" s="398"/>
      <c r="I929" t="s">
        <v>813</v>
      </c>
      <c r="J929">
        <v>6.8012720848056274</v>
      </c>
      <c r="K929">
        <v>6.6760000000000002</v>
      </c>
      <c r="L929" s="509">
        <f t="shared" si="36"/>
        <v>1.0187645423615379</v>
      </c>
    </row>
    <row r="930" spans="1:12">
      <c r="A930" s="397" t="str">
        <f t="shared" si="37"/>
        <v>-</v>
      </c>
      <c r="F930" s="496"/>
      <c r="G930" s="398"/>
      <c r="I930" t="s">
        <v>177</v>
      </c>
      <c r="J930">
        <v>11.246452830188675</v>
      </c>
      <c r="K930">
        <v>11.298999999999999</v>
      </c>
      <c r="L930" s="509">
        <f t="shared" si="36"/>
        <v>0.9953493964234601</v>
      </c>
    </row>
    <row r="931" spans="1:12">
      <c r="A931" s="397" t="str">
        <f t="shared" si="37"/>
        <v>-</v>
      </c>
      <c r="F931" s="496"/>
      <c r="G931" s="398"/>
      <c r="I931" t="s">
        <v>576</v>
      </c>
      <c r="J931">
        <v>10.869576923076947</v>
      </c>
      <c r="K931">
        <v>10.77</v>
      </c>
      <c r="L931" s="509">
        <f t="shared" si="36"/>
        <v>1.0092457681594194</v>
      </c>
    </row>
    <row r="932" spans="1:12">
      <c r="A932" s="397" t="str">
        <f t="shared" si="37"/>
        <v>-</v>
      </c>
      <c r="F932" s="496"/>
      <c r="G932" s="398"/>
      <c r="I932" t="s">
        <v>735</v>
      </c>
      <c r="J932">
        <v>4.6575925925925885</v>
      </c>
      <c r="K932">
        <v>4.673</v>
      </c>
      <c r="L932" s="509">
        <f t="shared" si="36"/>
        <v>0.9967028873512922</v>
      </c>
    </row>
    <row r="933" spans="1:12">
      <c r="A933" s="397" t="str">
        <f t="shared" si="37"/>
        <v>-</v>
      </c>
      <c r="F933" s="496"/>
      <c r="G933" s="398"/>
      <c r="I933" t="s">
        <v>138</v>
      </c>
      <c r="J933">
        <v>8.5737051792828485</v>
      </c>
      <c r="K933">
        <v>8.4960000000000004</v>
      </c>
      <c r="L933" s="509">
        <f t="shared" si="36"/>
        <v>1.00914608984026</v>
      </c>
    </row>
    <row r="934" spans="1:12">
      <c r="A934" s="397" t="str">
        <f t="shared" si="37"/>
        <v>-</v>
      </c>
      <c r="F934" s="496"/>
      <c r="G934" s="398"/>
      <c r="I934" t="s">
        <v>831</v>
      </c>
      <c r="J934">
        <v>13.442137096774195</v>
      </c>
      <c r="K934">
        <v>13.428000000000001</v>
      </c>
      <c r="L934" s="509">
        <f t="shared" si="36"/>
        <v>1.0010528073260496</v>
      </c>
    </row>
    <row r="935" spans="1:12">
      <c r="A935" s="397" t="str">
        <f t="shared" si="37"/>
        <v>-</v>
      </c>
      <c r="F935" s="496"/>
      <c r="G935" s="398"/>
      <c r="I935" t="s">
        <v>88</v>
      </c>
      <c r="J935">
        <v>6.5032635983263605</v>
      </c>
      <c r="K935">
        <v>6.4349999999999996</v>
      </c>
      <c r="L935" s="509">
        <f t="shared" si="36"/>
        <v>1.0106081737880903</v>
      </c>
    </row>
    <row r="936" spans="1:12">
      <c r="A936" s="397" t="str">
        <f t="shared" si="37"/>
        <v>-</v>
      </c>
      <c r="F936" s="496"/>
      <c r="G936" s="398"/>
      <c r="I936" t="s">
        <v>416</v>
      </c>
      <c r="J936">
        <v>13.581166666666658</v>
      </c>
      <c r="K936">
        <v>13.510999999999999</v>
      </c>
      <c r="L936" s="509">
        <f t="shared" si="36"/>
        <v>1.0051932992870001</v>
      </c>
    </row>
    <row r="937" spans="1:12">
      <c r="A937" s="397" t="str">
        <f t="shared" si="37"/>
        <v>-</v>
      </c>
      <c r="F937" s="496"/>
      <c r="G937" s="398"/>
      <c r="I937" t="s">
        <v>461</v>
      </c>
      <c r="J937">
        <v>15.577860465116276</v>
      </c>
      <c r="K937">
        <v>15.353999999999999</v>
      </c>
      <c r="L937" s="509">
        <f t="shared" si="36"/>
        <v>1.0145799443217582</v>
      </c>
    </row>
    <row r="938" spans="1:12">
      <c r="A938" s="397" t="str">
        <f t="shared" si="37"/>
        <v>-</v>
      </c>
      <c r="F938" s="496"/>
      <c r="G938" s="398"/>
      <c r="I938" t="s">
        <v>183</v>
      </c>
      <c r="J938">
        <v>12.214271356783932</v>
      </c>
      <c r="K938">
        <v>12.114000000000001</v>
      </c>
      <c r="L938" s="509">
        <f t="shared" si="36"/>
        <v>1.0082773119352759</v>
      </c>
    </row>
    <row r="939" spans="1:12">
      <c r="A939" s="397" t="str">
        <f t="shared" si="37"/>
        <v>-</v>
      </c>
      <c r="F939" s="496"/>
      <c r="G939" s="398"/>
      <c r="I939" t="s">
        <v>284</v>
      </c>
      <c r="J939">
        <v>12.192539682539701</v>
      </c>
      <c r="K939">
        <v>12.073</v>
      </c>
      <c r="L939" s="509">
        <f t="shared" si="36"/>
        <v>1.0099014066544936</v>
      </c>
    </row>
    <row r="940" spans="1:12">
      <c r="A940" s="397" t="str">
        <f t="shared" si="37"/>
        <v>-</v>
      </c>
      <c r="F940" s="496"/>
      <c r="G940" s="398"/>
      <c r="I940" t="s">
        <v>411</v>
      </c>
      <c r="J940">
        <v>10.948282208588985</v>
      </c>
      <c r="K940">
        <v>10.848000000000001</v>
      </c>
      <c r="L940" s="509">
        <f t="shared" si="36"/>
        <v>1.0092443038891026</v>
      </c>
    </row>
    <row r="941" spans="1:12">
      <c r="A941" s="397" t="str">
        <f t="shared" si="37"/>
        <v>-</v>
      </c>
      <c r="F941" s="496"/>
      <c r="G941" s="398"/>
      <c r="I941" t="s">
        <v>220</v>
      </c>
      <c r="J941">
        <v>14.018465608465615</v>
      </c>
      <c r="K941">
        <v>13.974</v>
      </c>
      <c r="L941" s="509">
        <f t="shared" si="36"/>
        <v>1.0031820243642202</v>
      </c>
    </row>
    <row r="942" spans="1:12">
      <c r="A942" s="397" t="str">
        <f t="shared" si="37"/>
        <v>-</v>
      </c>
      <c r="F942" s="496"/>
      <c r="G942" s="398"/>
      <c r="I942" t="s">
        <v>178</v>
      </c>
      <c r="J942">
        <v>13.493837837837843</v>
      </c>
      <c r="K942">
        <v>13.46</v>
      </c>
      <c r="L942" s="509">
        <f t="shared" si="36"/>
        <v>1.0025139552628413</v>
      </c>
    </row>
    <row r="943" spans="1:12">
      <c r="A943" s="397" t="str">
        <f t="shared" si="37"/>
        <v>-</v>
      </c>
      <c r="F943" s="496"/>
      <c r="G943" s="398"/>
      <c r="I943" t="s">
        <v>435</v>
      </c>
      <c r="J943">
        <v>6.5174444444444388</v>
      </c>
      <c r="K943">
        <v>6.3879999999999999</v>
      </c>
      <c r="L943" s="509">
        <f t="shared" si="36"/>
        <v>1.0202636888610581</v>
      </c>
    </row>
    <row r="944" spans="1:12">
      <c r="A944" s="397" t="str">
        <f t="shared" si="37"/>
        <v>-</v>
      </c>
      <c r="F944" s="496"/>
      <c r="G944" s="398"/>
      <c r="I944" t="s">
        <v>61</v>
      </c>
      <c r="J944">
        <v>7.5067307692307601</v>
      </c>
      <c r="K944">
        <v>7.5019999999999998</v>
      </c>
      <c r="L944" s="509">
        <f t="shared" si="36"/>
        <v>1.0006306010704826</v>
      </c>
    </row>
    <row r="945" spans="1:12">
      <c r="A945" s="397" t="str">
        <f t="shared" si="37"/>
        <v>-</v>
      </c>
      <c r="F945" s="496"/>
      <c r="G945" s="398"/>
      <c r="I945" t="s">
        <v>182</v>
      </c>
      <c r="J945">
        <v>12.810860927152298</v>
      </c>
      <c r="K945">
        <v>12.612</v>
      </c>
      <c r="L945" s="509">
        <f t="shared" si="36"/>
        <v>1.0157675965074768</v>
      </c>
    </row>
    <row r="946" spans="1:12">
      <c r="A946" s="397" t="str">
        <f t="shared" si="37"/>
        <v>-</v>
      </c>
      <c r="F946" s="496"/>
      <c r="G946" s="398"/>
      <c r="I946" t="s">
        <v>181</v>
      </c>
      <c r="J946">
        <v>12.806249999999983</v>
      </c>
      <c r="K946">
        <v>12.536</v>
      </c>
      <c r="L946" s="509">
        <f t="shared" si="36"/>
        <v>1.0215579132099539</v>
      </c>
    </row>
    <row r="947" spans="1:12">
      <c r="A947" s="397" t="str">
        <f t="shared" si="37"/>
        <v>-</v>
      </c>
      <c r="F947" s="496"/>
      <c r="G947" s="398"/>
      <c r="I947" t="s">
        <v>58</v>
      </c>
      <c r="J947">
        <v>8.525957446808496</v>
      </c>
      <c r="K947">
        <v>8.4610000000000003</v>
      </c>
      <c r="L947" s="509">
        <f t="shared" si="36"/>
        <v>1.0076772777223137</v>
      </c>
    </row>
    <row r="948" spans="1:12">
      <c r="A948" s="397" t="str">
        <f t="shared" si="37"/>
        <v>-</v>
      </c>
      <c r="F948" s="496"/>
      <c r="G948" s="398"/>
      <c r="I948" t="s">
        <v>784</v>
      </c>
      <c r="J948">
        <v>9.9729600000000147</v>
      </c>
      <c r="K948">
        <v>9.9239999999999995</v>
      </c>
      <c r="L948" s="509">
        <f t="shared" si="36"/>
        <v>1.0049334945586472</v>
      </c>
    </row>
    <row r="949" spans="1:12">
      <c r="A949" s="397" t="str">
        <f t="shared" si="37"/>
        <v>-</v>
      </c>
      <c r="F949" s="496"/>
      <c r="G949" s="398"/>
      <c r="I949" t="s">
        <v>421</v>
      </c>
      <c r="J949">
        <v>9.5252325581395336</v>
      </c>
      <c r="K949">
        <v>9.516</v>
      </c>
      <c r="L949" s="509">
        <f t="shared" si="36"/>
        <v>1.0009702141802788</v>
      </c>
    </row>
    <row r="950" spans="1:12">
      <c r="A950" s="397" t="str">
        <f t="shared" si="37"/>
        <v>-</v>
      </c>
      <c r="F950" s="496"/>
      <c r="G950" s="398"/>
      <c r="I950" t="s">
        <v>330</v>
      </c>
      <c r="J950">
        <v>9.3134285714285703</v>
      </c>
      <c r="K950">
        <v>9.2729999999999997</v>
      </c>
      <c r="L950" s="509">
        <f t="shared" si="36"/>
        <v>1.004359815747716</v>
      </c>
    </row>
    <row r="951" spans="1:12">
      <c r="A951" s="397" t="str">
        <f t="shared" si="37"/>
        <v>-</v>
      </c>
      <c r="F951" s="496"/>
      <c r="G951" s="398"/>
      <c r="I951" t="s">
        <v>476</v>
      </c>
      <c r="J951">
        <v>12.656037735849056</v>
      </c>
      <c r="K951">
        <v>12.566000000000001</v>
      </c>
      <c r="L951" s="509">
        <f t="shared" si="36"/>
        <v>1.0071651866822422</v>
      </c>
    </row>
    <row r="952" spans="1:12">
      <c r="A952" s="397" t="str">
        <f t="shared" si="37"/>
        <v>-</v>
      </c>
      <c r="F952" s="496"/>
      <c r="G952" s="398"/>
      <c r="I952" t="s">
        <v>788</v>
      </c>
      <c r="J952">
        <v>7.44</v>
      </c>
      <c r="K952">
        <v>7.2690000000000001</v>
      </c>
      <c r="L952" s="509">
        <f t="shared" si="36"/>
        <v>1.0235245563351218</v>
      </c>
    </row>
    <row r="953" spans="1:12">
      <c r="A953" s="397" t="str">
        <f t="shared" si="37"/>
        <v>-</v>
      </c>
      <c r="F953" s="496"/>
      <c r="G953" s="398"/>
      <c r="I953" t="s">
        <v>787</v>
      </c>
      <c r="J953">
        <v>7.0259999999999989</v>
      </c>
      <c r="K953">
        <v>6.9180000000000001</v>
      </c>
      <c r="L953" s="509">
        <f t="shared" si="36"/>
        <v>1.0156114483954899</v>
      </c>
    </row>
    <row r="954" spans="1:12">
      <c r="A954" s="397" t="str">
        <f t="shared" si="37"/>
        <v>-</v>
      </c>
      <c r="F954" s="496"/>
      <c r="G954" s="398"/>
      <c r="I954" t="s">
        <v>155</v>
      </c>
      <c r="J954">
        <v>11.995999999999999</v>
      </c>
      <c r="K954">
        <v>11.92</v>
      </c>
      <c r="L954" s="509">
        <f t="shared" si="36"/>
        <v>1.0063758389261743</v>
      </c>
    </row>
    <row r="955" spans="1:12">
      <c r="A955" s="397" t="str">
        <f t="shared" si="37"/>
        <v>-</v>
      </c>
      <c r="F955" s="496"/>
      <c r="G955" s="398"/>
      <c r="L955" s="509" t="e">
        <f t="shared" si="36"/>
        <v>#DIV/0!</v>
      </c>
    </row>
    <row r="956" spans="1:12">
      <c r="A956" s="397" t="str">
        <f t="shared" si="37"/>
        <v>-</v>
      </c>
      <c r="F956" s="496"/>
      <c r="G956" s="398"/>
      <c r="I956" t="s">
        <v>429</v>
      </c>
      <c r="J956">
        <v>6.2305671641790852</v>
      </c>
      <c r="K956">
        <v>6.2770000000000001</v>
      </c>
      <c r="L956" s="509">
        <f t="shared" si="36"/>
        <v>0.99260270259344996</v>
      </c>
    </row>
    <row r="957" spans="1:12">
      <c r="A957" s="397" t="str">
        <f t="shared" si="37"/>
        <v>-</v>
      </c>
      <c r="F957" s="496"/>
      <c r="G957" s="398"/>
      <c r="I957" t="s">
        <v>421</v>
      </c>
      <c r="J957">
        <v>9.4586816720257207</v>
      </c>
      <c r="K957">
        <v>9.516</v>
      </c>
      <c r="L957" s="509">
        <f t="shared" si="36"/>
        <v>0.99397663640455236</v>
      </c>
    </row>
    <row r="958" spans="1:12">
      <c r="A958" s="397" t="str">
        <f t="shared" si="37"/>
        <v>-</v>
      </c>
      <c r="F958" s="496"/>
      <c r="G958" s="398"/>
      <c r="I958" t="s">
        <v>302</v>
      </c>
      <c r="J958">
        <v>8.4842758620689729</v>
      </c>
      <c r="K958">
        <v>8.5340000000000007</v>
      </c>
      <c r="L958" s="509">
        <f t="shared" si="36"/>
        <v>0.99417340778872421</v>
      </c>
    </row>
    <row r="959" spans="1:12">
      <c r="A959" s="397" t="str">
        <f t="shared" si="37"/>
        <v>-</v>
      </c>
      <c r="F959" s="496"/>
      <c r="G959" s="398"/>
      <c r="I959" t="s">
        <v>84</v>
      </c>
      <c r="J959">
        <v>9.9758582089552252</v>
      </c>
      <c r="K959">
        <v>10.023</v>
      </c>
      <c r="L959" s="509">
        <f t="shared" si="36"/>
        <v>0.99529663862668116</v>
      </c>
    </row>
    <row r="960" spans="1:12">
      <c r="A960" s="397" t="str">
        <f t="shared" si="37"/>
        <v>-</v>
      </c>
      <c r="F960" s="496"/>
      <c r="G960" s="398"/>
      <c r="I960" t="s">
        <v>427</v>
      </c>
      <c r="J960">
        <v>6.6641666666666799</v>
      </c>
      <c r="K960">
        <v>6.6790000000000003</v>
      </c>
      <c r="L960" s="509">
        <f t="shared" si="36"/>
        <v>0.99777910864900132</v>
      </c>
    </row>
    <row r="961" spans="1:12">
      <c r="A961" s="397" t="str">
        <f t="shared" si="37"/>
        <v>-</v>
      </c>
      <c r="F961" s="496"/>
      <c r="G961" s="398"/>
      <c r="I961" t="s">
        <v>178</v>
      </c>
      <c r="J961">
        <v>13.431491228070184</v>
      </c>
      <c r="K961">
        <v>13.46</v>
      </c>
      <c r="L961" s="509">
        <f t="shared" si="36"/>
        <v>0.99788196345246538</v>
      </c>
    </row>
    <row r="962" spans="1:12">
      <c r="A962" s="397" t="str">
        <f t="shared" si="37"/>
        <v>-</v>
      </c>
      <c r="F962" s="496"/>
      <c r="G962" s="398"/>
      <c r="I962" t="s">
        <v>297</v>
      </c>
      <c r="J962">
        <v>8.5075496688741765</v>
      </c>
      <c r="K962">
        <v>8.5120000000000005</v>
      </c>
      <c r="L962" s="509">
        <f t="shared" si="36"/>
        <v>0.99947716974555645</v>
      </c>
    </row>
    <row r="963" spans="1:12">
      <c r="A963" s="397" t="str">
        <f t="shared" si="37"/>
        <v>-</v>
      </c>
      <c r="F963" s="496"/>
      <c r="G963" s="398"/>
      <c r="I963" t="s">
        <v>418</v>
      </c>
      <c r="J963">
        <v>7.9648007968127397</v>
      </c>
      <c r="K963">
        <v>7.968</v>
      </c>
      <c r="L963" s="509">
        <f t="shared" si="36"/>
        <v>0.99959849357589603</v>
      </c>
    </row>
    <row r="964" spans="1:12">
      <c r="A964" s="397" t="str">
        <f t="shared" si="37"/>
        <v>-</v>
      </c>
      <c r="F964" s="496"/>
      <c r="G964" s="398"/>
      <c r="I964" t="s">
        <v>784</v>
      </c>
      <c r="J964">
        <v>9.9264625850340291</v>
      </c>
      <c r="K964">
        <v>9.9239999999999995</v>
      </c>
      <c r="L964" s="509">
        <f t="shared" si="36"/>
        <v>1.0002481444008495</v>
      </c>
    </row>
    <row r="965" spans="1:12">
      <c r="A965" s="397" t="str">
        <f t="shared" si="37"/>
        <v>-</v>
      </c>
      <c r="F965" s="496"/>
      <c r="G965" s="398"/>
      <c r="I965" t="s">
        <v>299</v>
      </c>
      <c r="J965">
        <v>8.5384916201117367</v>
      </c>
      <c r="K965">
        <v>8.5350000000000001</v>
      </c>
      <c r="L965" s="509">
        <f t="shared" si="36"/>
        <v>1.0004090943306077</v>
      </c>
    </row>
    <row r="966" spans="1:12">
      <c r="A966" s="397" t="str">
        <f t="shared" si="37"/>
        <v>-</v>
      </c>
      <c r="F966" s="496"/>
      <c r="G966" s="398"/>
      <c r="I966" t="s">
        <v>330</v>
      </c>
      <c r="J966">
        <v>9.2787338501292052</v>
      </c>
      <c r="K966">
        <v>9.2729999999999997</v>
      </c>
      <c r="L966" s="509">
        <f t="shared" si="36"/>
        <v>1.0006183382000653</v>
      </c>
    </row>
    <row r="967" spans="1:12">
      <c r="A967" s="397" t="str">
        <f t="shared" si="37"/>
        <v>-</v>
      </c>
      <c r="F967" s="496"/>
      <c r="G967" s="398"/>
      <c r="I967" t="s">
        <v>422</v>
      </c>
      <c r="J967">
        <v>9.2143240093239935</v>
      </c>
      <c r="K967">
        <v>9.2040000000000006</v>
      </c>
      <c r="L967" s="509">
        <f t="shared" ref="L967:L1030" si="38">J967/K967</f>
        <v>1.0011216872364181</v>
      </c>
    </row>
    <row r="968" spans="1:12">
      <c r="A968" s="397" t="str">
        <f t="shared" si="37"/>
        <v>-</v>
      </c>
      <c r="F968" s="496"/>
      <c r="G968" s="398"/>
      <c r="I968" t="s">
        <v>206</v>
      </c>
      <c r="J968">
        <v>12.309502923976636</v>
      </c>
      <c r="K968">
        <v>12.295</v>
      </c>
      <c r="L968" s="509">
        <f t="shared" si="38"/>
        <v>1.0011795790139597</v>
      </c>
    </row>
    <row r="969" spans="1:12">
      <c r="A969" s="397" t="str">
        <f t="shared" si="37"/>
        <v>-</v>
      </c>
      <c r="F969" s="496"/>
      <c r="G969" s="398"/>
      <c r="I969" t="s">
        <v>789</v>
      </c>
      <c r="J969">
        <v>6.7988970261873281</v>
      </c>
      <c r="K969">
        <v>6.7880000000000003</v>
      </c>
      <c r="L969" s="509">
        <f t="shared" si="38"/>
        <v>1.0016053367983688</v>
      </c>
    </row>
    <row r="970" spans="1:12">
      <c r="A970" s="397" t="str">
        <f t="shared" si="37"/>
        <v>-</v>
      </c>
      <c r="F970" s="496"/>
      <c r="G970" s="398"/>
      <c r="I970" t="s">
        <v>402</v>
      </c>
      <c r="J970">
        <v>8.1756776556776778</v>
      </c>
      <c r="K970">
        <v>8.16</v>
      </c>
      <c r="L970" s="509">
        <f t="shared" si="38"/>
        <v>1.0019212813330487</v>
      </c>
    </row>
    <row r="971" spans="1:12">
      <c r="A971" s="397" t="str">
        <f t="shared" si="37"/>
        <v>-</v>
      </c>
      <c r="F971" s="496"/>
      <c r="G971" s="398"/>
      <c r="I971" t="s">
        <v>255</v>
      </c>
      <c r="J971">
        <v>10.560382775119603</v>
      </c>
      <c r="K971">
        <v>10.54</v>
      </c>
      <c r="L971" s="509">
        <f t="shared" si="38"/>
        <v>1.0019338496318411</v>
      </c>
    </row>
    <row r="972" spans="1:12">
      <c r="A972" s="397" t="str">
        <f t="shared" si="37"/>
        <v>-</v>
      </c>
      <c r="F972" s="496"/>
      <c r="G972" s="398"/>
      <c r="I972" t="s">
        <v>790</v>
      </c>
      <c r="J972">
        <v>7.2988585151803571</v>
      </c>
      <c r="K972">
        <v>7.2830000000000004</v>
      </c>
      <c r="L972" s="509">
        <f t="shared" si="38"/>
        <v>1.0021774701606971</v>
      </c>
    </row>
    <row r="973" spans="1:12">
      <c r="A973" s="397" t="str">
        <f t="shared" si="37"/>
        <v>-</v>
      </c>
      <c r="F973" s="496"/>
      <c r="G973" s="398"/>
      <c r="I973" t="s">
        <v>419</v>
      </c>
      <c r="J973">
        <v>9.0797046186895951</v>
      </c>
      <c r="K973">
        <v>9.0589999999999993</v>
      </c>
      <c r="L973" s="509">
        <f t="shared" si="38"/>
        <v>1.002285530267093</v>
      </c>
    </row>
    <row r="974" spans="1:12">
      <c r="A974" s="397" t="str">
        <f t="shared" si="37"/>
        <v>-</v>
      </c>
      <c r="F974" s="496"/>
      <c r="G974" s="398"/>
      <c r="I974" t="s">
        <v>420</v>
      </c>
      <c r="J974">
        <v>9.7802536231884236</v>
      </c>
      <c r="K974">
        <v>9.7560000000000002</v>
      </c>
      <c r="L974" s="509">
        <f t="shared" si="38"/>
        <v>1.0024860212370257</v>
      </c>
    </row>
    <row r="975" spans="1:12">
      <c r="A975" s="397" t="str">
        <f t="shared" si="37"/>
        <v>-</v>
      </c>
      <c r="F975" s="496"/>
      <c r="G975" s="398"/>
      <c r="I975" t="s">
        <v>342</v>
      </c>
      <c r="J975">
        <v>7.5259033078880515</v>
      </c>
      <c r="K975">
        <v>7.5060000000000002</v>
      </c>
      <c r="L975" s="509">
        <f t="shared" si="38"/>
        <v>1.0026516530626235</v>
      </c>
    </row>
    <row r="976" spans="1:12">
      <c r="A976" s="397" t="str">
        <f t="shared" si="37"/>
        <v>-</v>
      </c>
      <c r="F976" s="496"/>
      <c r="G976" s="398"/>
      <c r="I976" t="s">
        <v>431</v>
      </c>
      <c r="J976">
        <v>6.5639969472307946</v>
      </c>
      <c r="K976">
        <v>6.5460000000000003</v>
      </c>
      <c r="L976" s="509">
        <f t="shared" si="38"/>
        <v>1.0027493044959968</v>
      </c>
    </row>
    <row r="977" spans="1:12">
      <c r="A977" s="397" t="str">
        <f t="shared" si="37"/>
        <v>-</v>
      </c>
      <c r="F977" s="496"/>
      <c r="G977" s="398"/>
      <c r="I977" t="s">
        <v>416</v>
      </c>
      <c r="J977">
        <v>13.548842105263157</v>
      </c>
      <c r="K977">
        <v>13.510999999999999</v>
      </c>
      <c r="L977" s="509">
        <f t="shared" si="38"/>
        <v>1.0028008367451082</v>
      </c>
    </row>
    <row r="978" spans="1:12">
      <c r="A978" s="397" t="str">
        <f t="shared" si="37"/>
        <v>-</v>
      </c>
      <c r="F978" s="496"/>
      <c r="G978" s="398"/>
      <c r="I978" t="s">
        <v>301</v>
      </c>
      <c r="J978">
        <v>10.795387323943668</v>
      </c>
      <c r="K978">
        <v>10.753</v>
      </c>
      <c r="L978" s="509">
        <f t="shared" si="38"/>
        <v>1.0039419068114637</v>
      </c>
    </row>
    <row r="979" spans="1:12">
      <c r="A979" s="397" t="str">
        <f t="shared" si="37"/>
        <v>-</v>
      </c>
      <c r="F979" s="496"/>
      <c r="G979" s="398"/>
      <c r="I979" t="s">
        <v>750</v>
      </c>
      <c r="J979">
        <v>13.718872889771578</v>
      </c>
      <c r="K979">
        <v>13.664999999999999</v>
      </c>
      <c r="L979" s="509">
        <f t="shared" si="38"/>
        <v>1.0039423995442063</v>
      </c>
    </row>
    <row r="980" spans="1:12">
      <c r="A980" s="397" t="str">
        <f t="shared" si="37"/>
        <v>-</v>
      </c>
      <c r="F980" s="496"/>
      <c r="G980" s="398"/>
      <c r="I980" t="s">
        <v>387</v>
      </c>
      <c r="J980">
        <v>5.3918700265251953</v>
      </c>
      <c r="K980">
        <v>5.367</v>
      </c>
      <c r="L980" s="509">
        <f t="shared" si="38"/>
        <v>1.0046338786147186</v>
      </c>
    </row>
    <row r="981" spans="1:12">
      <c r="A981" s="397" t="str">
        <f t="shared" si="37"/>
        <v>-</v>
      </c>
      <c r="F981" s="496"/>
      <c r="G981" s="398"/>
      <c r="I981" t="s">
        <v>304</v>
      </c>
      <c r="J981">
        <v>10.017618522602014</v>
      </c>
      <c r="K981">
        <v>9.9700000000000006</v>
      </c>
      <c r="L981" s="509">
        <f t="shared" si="38"/>
        <v>1.0047761808026092</v>
      </c>
    </row>
    <row r="982" spans="1:12">
      <c r="A982" s="397" t="str">
        <f t="shared" si="37"/>
        <v>-</v>
      </c>
      <c r="F982" s="496"/>
      <c r="G982" s="398"/>
      <c r="I982" t="s">
        <v>852</v>
      </c>
      <c r="J982">
        <v>6.8693213315689095</v>
      </c>
      <c r="K982">
        <v>6.8360000000000003</v>
      </c>
      <c r="L982" s="509">
        <f t="shared" si="38"/>
        <v>1.0048743902236554</v>
      </c>
    </row>
    <row r="983" spans="1:12">
      <c r="A983" s="397" t="str">
        <f t="shared" si="37"/>
        <v>-</v>
      </c>
      <c r="F983" s="496"/>
      <c r="G983" s="398"/>
      <c r="I983" t="s">
        <v>831</v>
      </c>
      <c r="J983">
        <v>13.494479900538744</v>
      </c>
      <c r="K983">
        <v>13.428000000000001</v>
      </c>
      <c r="L983" s="509">
        <f t="shared" si="38"/>
        <v>1.0049508415652921</v>
      </c>
    </row>
    <row r="984" spans="1:12">
      <c r="A984" s="397" t="str">
        <f t="shared" si="37"/>
        <v>-</v>
      </c>
      <c r="F984" s="496"/>
      <c r="G984" s="398"/>
      <c r="I984" t="s">
        <v>138</v>
      </c>
      <c r="J984">
        <v>8.5384748427673109</v>
      </c>
      <c r="K984">
        <v>8.4960000000000004</v>
      </c>
      <c r="L984" s="509">
        <f t="shared" si="38"/>
        <v>1.0049993929810865</v>
      </c>
    </row>
    <row r="985" spans="1:12">
      <c r="A985" s="397" t="str">
        <f t="shared" si="37"/>
        <v>-</v>
      </c>
      <c r="F985" s="496"/>
      <c r="G985" s="398"/>
      <c r="I985" t="s">
        <v>155</v>
      </c>
      <c r="J985">
        <v>11.980876132930494</v>
      </c>
      <c r="K985">
        <v>11.92</v>
      </c>
      <c r="L985" s="509">
        <f t="shared" si="38"/>
        <v>1.0051070581317527</v>
      </c>
    </row>
    <row r="986" spans="1:12">
      <c r="A986" s="397" t="str">
        <f t="shared" si="37"/>
        <v>-</v>
      </c>
      <c r="F986" s="496"/>
      <c r="G986" s="398"/>
      <c r="I986" t="s">
        <v>830</v>
      </c>
      <c r="J986">
        <v>10.539410377358481</v>
      </c>
      <c r="K986">
        <v>10.48</v>
      </c>
      <c r="L986" s="509">
        <f t="shared" si="38"/>
        <v>1.0056689291372596</v>
      </c>
    </row>
    <row r="987" spans="1:12">
      <c r="A987" s="397" t="str">
        <f t="shared" si="37"/>
        <v>-</v>
      </c>
      <c r="F987" s="496"/>
      <c r="G987" s="398"/>
      <c r="I987" t="s">
        <v>221</v>
      </c>
      <c r="J987">
        <v>8.8926865671641853</v>
      </c>
      <c r="K987">
        <v>8.8420000000000005</v>
      </c>
      <c r="L987" s="509">
        <f t="shared" si="38"/>
        <v>1.005732477625445</v>
      </c>
    </row>
    <row r="988" spans="1:12">
      <c r="A988" s="397" t="str">
        <f t="shared" si="37"/>
        <v>-</v>
      </c>
      <c r="F988" s="496"/>
      <c r="G988" s="398"/>
      <c r="I988" t="s">
        <v>142</v>
      </c>
      <c r="J988">
        <v>9.6385628742514804</v>
      </c>
      <c r="K988">
        <v>9.5809999999999995</v>
      </c>
      <c r="L988" s="509">
        <f t="shared" si="38"/>
        <v>1.0060080236145998</v>
      </c>
    </row>
    <row r="989" spans="1:12">
      <c r="A989" s="397" t="str">
        <f t="shared" si="37"/>
        <v>-</v>
      </c>
      <c r="F989" s="496"/>
      <c r="G989" s="398"/>
      <c r="I989" t="s">
        <v>300</v>
      </c>
      <c r="J989">
        <v>10.26207207207209</v>
      </c>
      <c r="K989">
        <v>10.199999999999999</v>
      </c>
      <c r="L989" s="509">
        <f t="shared" si="38"/>
        <v>1.0060854972619697</v>
      </c>
    </row>
    <row r="990" spans="1:12">
      <c r="A990" s="397" t="str">
        <f t="shared" si="37"/>
        <v>-</v>
      </c>
      <c r="F990" s="496"/>
      <c r="G990" s="398"/>
      <c r="I990" t="s">
        <v>86</v>
      </c>
      <c r="J990">
        <v>8.9457089552238944</v>
      </c>
      <c r="K990">
        <v>8.891</v>
      </c>
      <c r="L990" s="509">
        <f t="shared" si="38"/>
        <v>1.0061532960548751</v>
      </c>
    </row>
    <row r="991" spans="1:12">
      <c r="A991" s="397" t="str">
        <f t="shared" si="37"/>
        <v>-</v>
      </c>
      <c r="F991" s="496"/>
      <c r="G991" s="398"/>
      <c r="I991" t="s">
        <v>412</v>
      </c>
      <c r="J991">
        <v>6.976546546546551</v>
      </c>
      <c r="K991">
        <v>6.9329999999999998</v>
      </c>
      <c r="L991" s="509">
        <f t="shared" si="38"/>
        <v>1.0062810538794968</v>
      </c>
    </row>
    <row r="992" spans="1:12">
      <c r="A992" s="397" t="str">
        <f t="shared" ref="A992:A1038" si="39">B992&amp;"-"&amp;C992</f>
        <v>-</v>
      </c>
      <c r="F992" s="496"/>
      <c r="G992" s="398"/>
      <c r="I992" t="s">
        <v>182</v>
      </c>
      <c r="J992">
        <v>12.693541666666668</v>
      </c>
      <c r="K992">
        <v>12.612</v>
      </c>
      <c r="L992" s="509">
        <f t="shared" si="38"/>
        <v>1.0064654033195899</v>
      </c>
    </row>
    <row r="993" spans="1:12">
      <c r="A993" s="397" t="str">
        <f t="shared" si="39"/>
        <v>-</v>
      </c>
      <c r="F993" s="496"/>
      <c r="G993" s="398"/>
      <c r="I993" t="s">
        <v>183</v>
      </c>
      <c r="J993">
        <v>12.196013071895424</v>
      </c>
      <c r="K993">
        <v>12.114000000000001</v>
      </c>
      <c r="L993" s="509">
        <f t="shared" si="38"/>
        <v>1.006770106644826</v>
      </c>
    </row>
    <row r="994" spans="1:12">
      <c r="A994" s="397" t="str">
        <f t="shared" si="39"/>
        <v>-</v>
      </c>
      <c r="F994" s="496"/>
      <c r="G994" s="398"/>
      <c r="I994" t="s">
        <v>202</v>
      </c>
      <c r="J994">
        <v>12.436219512195139</v>
      </c>
      <c r="K994">
        <v>12.352</v>
      </c>
      <c r="L994" s="509">
        <f t="shared" si="38"/>
        <v>1.0068182895235702</v>
      </c>
    </row>
    <row r="995" spans="1:12">
      <c r="A995" s="397" t="str">
        <f t="shared" si="39"/>
        <v>-</v>
      </c>
      <c r="F995" s="496"/>
      <c r="G995" s="398"/>
      <c r="I995" t="s">
        <v>580</v>
      </c>
      <c r="J995">
        <v>10.738095238095216</v>
      </c>
      <c r="K995">
        <v>10.664</v>
      </c>
      <c r="L995" s="509">
        <f t="shared" si="38"/>
        <v>1.0069481656128296</v>
      </c>
    </row>
    <row r="996" spans="1:12">
      <c r="A996" s="397" t="str">
        <f t="shared" si="39"/>
        <v>-</v>
      </c>
      <c r="F996" s="496"/>
      <c r="G996" s="398"/>
      <c r="I996" t="s">
        <v>287</v>
      </c>
      <c r="J996">
        <v>12.303534883720928</v>
      </c>
      <c r="K996">
        <v>12.217000000000001</v>
      </c>
      <c r="L996" s="509">
        <f t="shared" si="38"/>
        <v>1.0070831532881173</v>
      </c>
    </row>
    <row r="997" spans="1:12">
      <c r="A997" s="397" t="str">
        <f t="shared" si="39"/>
        <v>-</v>
      </c>
      <c r="F997" s="496"/>
      <c r="G997" s="398"/>
      <c r="I997" t="s">
        <v>423</v>
      </c>
      <c r="J997">
        <v>10.022934782608694</v>
      </c>
      <c r="K997">
        <v>9.952</v>
      </c>
      <c r="L997" s="509">
        <f t="shared" si="38"/>
        <v>1.0071276911785263</v>
      </c>
    </row>
    <row r="998" spans="1:12">
      <c r="A998" s="397" t="str">
        <f t="shared" si="39"/>
        <v>-</v>
      </c>
      <c r="F998" s="496"/>
      <c r="G998" s="398"/>
      <c r="I998" t="s">
        <v>461</v>
      </c>
      <c r="J998">
        <v>15.465603448275862</v>
      </c>
      <c r="K998">
        <v>15.353999999999999</v>
      </c>
      <c r="L998" s="509">
        <f t="shared" si="38"/>
        <v>1.0072686888287001</v>
      </c>
    </row>
    <row r="999" spans="1:12">
      <c r="A999" s="397" t="str">
        <f t="shared" si="39"/>
        <v>-</v>
      </c>
      <c r="F999" s="496"/>
      <c r="G999" s="398"/>
      <c r="I999" t="s">
        <v>52</v>
      </c>
      <c r="J999">
        <v>7.0715098314606895</v>
      </c>
      <c r="K999">
        <v>7.0179999999999998</v>
      </c>
      <c r="L999" s="509">
        <f t="shared" si="38"/>
        <v>1.0076246553805486</v>
      </c>
    </row>
    <row r="1000" spans="1:12">
      <c r="A1000" s="397" t="str">
        <f t="shared" si="39"/>
        <v>-</v>
      </c>
      <c r="F1000" s="496"/>
      <c r="G1000" s="398"/>
      <c r="I1000" t="s">
        <v>261</v>
      </c>
      <c r="J1000">
        <v>7.5300549992948485</v>
      </c>
      <c r="K1000">
        <v>7.4729999999999999</v>
      </c>
      <c r="L1000" s="509">
        <f t="shared" si="38"/>
        <v>1.0076348185862236</v>
      </c>
    </row>
    <row r="1001" spans="1:12">
      <c r="A1001" s="397" t="str">
        <f t="shared" si="39"/>
        <v>-</v>
      </c>
      <c r="F1001" s="496"/>
      <c r="G1001" s="398"/>
      <c r="I1001" t="s">
        <v>404</v>
      </c>
      <c r="J1001">
        <v>11.066905982906011</v>
      </c>
      <c r="K1001">
        <v>10.983000000000001</v>
      </c>
      <c r="L1001" s="509">
        <f t="shared" si="38"/>
        <v>1.0076396233184022</v>
      </c>
    </row>
    <row r="1002" spans="1:12">
      <c r="A1002" s="397" t="str">
        <f t="shared" si="39"/>
        <v>-</v>
      </c>
      <c r="F1002" s="496"/>
      <c r="G1002" s="398"/>
      <c r="I1002" t="s">
        <v>75</v>
      </c>
      <c r="J1002">
        <v>10.814110946012898</v>
      </c>
      <c r="K1002">
        <v>10.731999999999999</v>
      </c>
      <c r="L1002" s="509">
        <f t="shared" si="38"/>
        <v>1.0076510385774224</v>
      </c>
    </row>
    <row r="1003" spans="1:12">
      <c r="A1003" s="397" t="str">
        <f t="shared" si="39"/>
        <v>-</v>
      </c>
      <c r="F1003" s="496"/>
      <c r="G1003" s="398"/>
      <c r="I1003" t="s">
        <v>181</v>
      </c>
      <c r="J1003">
        <v>12.633529411764709</v>
      </c>
      <c r="K1003">
        <v>12.536</v>
      </c>
      <c r="L1003" s="509">
        <f t="shared" si="38"/>
        <v>1.0077799466946959</v>
      </c>
    </row>
    <row r="1004" spans="1:12">
      <c r="A1004" s="397" t="str">
        <f t="shared" si="39"/>
        <v>-</v>
      </c>
      <c r="F1004" s="496"/>
      <c r="G1004" s="398"/>
      <c r="I1004" t="s">
        <v>411</v>
      </c>
      <c r="J1004">
        <v>10.933947368421064</v>
      </c>
      <c r="K1004">
        <v>10.848000000000001</v>
      </c>
      <c r="L1004" s="509">
        <f t="shared" si="38"/>
        <v>1.0079228768824726</v>
      </c>
    </row>
    <row r="1005" spans="1:12">
      <c r="A1005" s="397" t="str">
        <f t="shared" si="39"/>
        <v>-</v>
      </c>
      <c r="F1005" s="496"/>
      <c r="G1005" s="398"/>
      <c r="I1005" t="s">
        <v>298</v>
      </c>
      <c r="J1005">
        <v>8.8806382978723466</v>
      </c>
      <c r="K1005">
        <v>8.8089999999999993</v>
      </c>
      <c r="L1005" s="509">
        <f t="shared" si="38"/>
        <v>1.0081323984416333</v>
      </c>
    </row>
    <row r="1006" spans="1:12">
      <c r="A1006" s="397" t="str">
        <f t="shared" si="39"/>
        <v>-</v>
      </c>
      <c r="F1006" s="496"/>
      <c r="G1006" s="398"/>
      <c r="I1006" t="s">
        <v>334</v>
      </c>
      <c r="J1006">
        <v>12.749151785714279</v>
      </c>
      <c r="K1006">
        <v>12.635</v>
      </c>
      <c r="L1006" s="509">
        <f t="shared" si="38"/>
        <v>1.0090345695064724</v>
      </c>
    </row>
    <row r="1007" spans="1:12">
      <c r="A1007" s="397" t="str">
        <f t="shared" si="39"/>
        <v>-</v>
      </c>
      <c r="F1007" s="496"/>
      <c r="G1007" s="398"/>
      <c r="I1007" t="s">
        <v>791</v>
      </c>
      <c r="J1007">
        <v>6.8174509803921666</v>
      </c>
      <c r="K1007">
        <v>6.7560000000000002</v>
      </c>
      <c r="L1007" s="509">
        <f t="shared" si="38"/>
        <v>1.0090957638235889</v>
      </c>
    </row>
    <row r="1008" spans="1:12">
      <c r="A1008" s="397" t="str">
        <f t="shared" si="39"/>
        <v>-</v>
      </c>
      <c r="F1008" s="496"/>
      <c r="G1008" s="398"/>
      <c r="I1008" t="s">
        <v>476</v>
      </c>
      <c r="J1008">
        <v>12.686930769230765</v>
      </c>
      <c r="K1008">
        <v>12.566000000000001</v>
      </c>
      <c r="L1008" s="509">
        <f t="shared" si="38"/>
        <v>1.0096236486734653</v>
      </c>
    </row>
    <row r="1009" spans="1:12">
      <c r="A1009" s="397" t="str">
        <f t="shared" si="39"/>
        <v>-</v>
      </c>
      <c r="F1009" s="496"/>
      <c r="G1009" s="398"/>
      <c r="I1009" t="s">
        <v>581</v>
      </c>
      <c r="J1009">
        <v>12.337714386335618</v>
      </c>
      <c r="K1009">
        <v>12.218999999999999</v>
      </c>
      <c r="L1009" s="509">
        <f t="shared" si="38"/>
        <v>1.0097155566196594</v>
      </c>
    </row>
    <row r="1010" spans="1:12">
      <c r="A1010" s="397" t="str">
        <f t="shared" si="39"/>
        <v>-</v>
      </c>
      <c r="F1010" s="496"/>
      <c r="G1010" s="398"/>
      <c r="I1010" t="s">
        <v>61</v>
      </c>
      <c r="J1010">
        <v>7.576512820512824</v>
      </c>
      <c r="K1010">
        <v>7.5019999999999998</v>
      </c>
      <c r="L1010" s="509">
        <f t="shared" si="38"/>
        <v>1.0099323940966174</v>
      </c>
    </row>
    <row r="1011" spans="1:12">
      <c r="A1011" s="397" t="str">
        <f t="shared" si="39"/>
        <v>-</v>
      </c>
      <c r="F1011" s="496"/>
      <c r="G1011" s="398"/>
      <c r="I1011" t="s">
        <v>433</v>
      </c>
      <c r="J1011">
        <v>8.17162888329133</v>
      </c>
      <c r="K1011">
        <v>8.0890000000000004</v>
      </c>
      <c r="L1011" s="509">
        <f t="shared" si="38"/>
        <v>1.0102149688825972</v>
      </c>
    </row>
    <row r="1012" spans="1:12">
      <c r="A1012" s="397" t="str">
        <f t="shared" si="39"/>
        <v>-</v>
      </c>
      <c r="F1012" s="496"/>
      <c r="G1012" s="398"/>
      <c r="I1012" t="s">
        <v>582</v>
      </c>
      <c r="J1012">
        <v>8.3232412657765842</v>
      </c>
      <c r="K1012">
        <v>8.2379999999999995</v>
      </c>
      <c r="L1012" s="509">
        <f t="shared" si="38"/>
        <v>1.0103473252945598</v>
      </c>
    </row>
    <row r="1013" spans="1:12">
      <c r="A1013" s="397" t="str">
        <f t="shared" si="39"/>
        <v>-</v>
      </c>
      <c r="F1013" s="496"/>
      <c r="G1013" s="398"/>
      <c r="I1013" t="s">
        <v>576</v>
      </c>
      <c r="J1013">
        <v>10.882553191489373</v>
      </c>
      <c r="K1013">
        <v>10.77</v>
      </c>
      <c r="L1013" s="509">
        <f t="shared" si="38"/>
        <v>1.0104506213082056</v>
      </c>
    </row>
    <row r="1014" spans="1:12">
      <c r="A1014" s="397" t="str">
        <f t="shared" si="39"/>
        <v>-</v>
      </c>
      <c r="F1014" s="496"/>
      <c r="G1014" s="398"/>
      <c r="I1014" t="s">
        <v>220</v>
      </c>
      <c r="J1014">
        <v>14.127946428571423</v>
      </c>
      <c r="K1014">
        <v>13.974</v>
      </c>
      <c r="L1014" s="509">
        <f t="shared" si="38"/>
        <v>1.0110166329305441</v>
      </c>
    </row>
    <row r="1015" spans="1:12">
      <c r="A1015" s="397" t="str">
        <f t="shared" si="39"/>
        <v>-</v>
      </c>
      <c r="F1015" s="496"/>
      <c r="G1015" s="398"/>
      <c r="I1015" t="s">
        <v>232</v>
      </c>
      <c r="J1015">
        <v>10.343473491773318</v>
      </c>
      <c r="K1015">
        <v>10.227</v>
      </c>
      <c r="L1015" s="509">
        <f t="shared" si="38"/>
        <v>1.0113888228975572</v>
      </c>
    </row>
    <row r="1016" spans="1:12">
      <c r="A1016" s="397" t="str">
        <f t="shared" si="39"/>
        <v>-</v>
      </c>
      <c r="F1016" s="496"/>
      <c r="G1016" s="398"/>
      <c r="I1016" t="s">
        <v>245</v>
      </c>
      <c r="J1016">
        <v>14.410699300699314</v>
      </c>
      <c r="K1016">
        <v>14.24</v>
      </c>
      <c r="L1016" s="509">
        <f t="shared" si="38"/>
        <v>1.0119873104423676</v>
      </c>
    </row>
    <row r="1017" spans="1:12">
      <c r="A1017" s="397" t="str">
        <f t="shared" si="39"/>
        <v>-</v>
      </c>
      <c r="F1017" s="496"/>
      <c r="G1017" s="398"/>
      <c r="I1017" t="s">
        <v>189</v>
      </c>
      <c r="J1017">
        <v>9.0771243941841941</v>
      </c>
      <c r="K1017">
        <v>8.9689999999999994</v>
      </c>
      <c r="L1017" s="509">
        <f t="shared" si="38"/>
        <v>1.0120553455440064</v>
      </c>
    </row>
    <row r="1018" spans="1:12">
      <c r="A1018" s="397" t="str">
        <f t="shared" si="39"/>
        <v>-</v>
      </c>
      <c r="F1018" s="496"/>
      <c r="G1018" s="398"/>
      <c r="I1018" t="s">
        <v>303</v>
      </c>
      <c r="J1018">
        <v>10.875564469913979</v>
      </c>
      <c r="K1018">
        <v>10.737</v>
      </c>
      <c r="L1018" s="509">
        <f t="shared" si="38"/>
        <v>1.0129053245705484</v>
      </c>
    </row>
    <row r="1019" spans="1:12">
      <c r="A1019" s="397" t="str">
        <f t="shared" si="39"/>
        <v>-</v>
      </c>
      <c r="F1019" s="496"/>
      <c r="G1019" s="398"/>
      <c r="I1019" t="s">
        <v>222</v>
      </c>
      <c r="J1019">
        <v>12.597255639097739</v>
      </c>
      <c r="K1019">
        <v>12.435</v>
      </c>
      <c r="L1019" s="509">
        <f t="shared" si="38"/>
        <v>1.0130483022997778</v>
      </c>
    </row>
    <row r="1020" spans="1:12">
      <c r="A1020" s="397" t="str">
        <f t="shared" si="39"/>
        <v>-</v>
      </c>
      <c r="F1020" s="496"/>
      <c r="G1020" s="398"/>
      <c r="I1020" t="s">
        <v>63</v>
      </c>
      <c r="J1020">
        <v>8.6962376968503889</v>
      </c>
      <c r="K1020">
        <v>8.5839999999999996</v>
      </c>
      <c r="L1020" s="509">
        <f t="shared" si="38"/>
        <v>1.0130752209751153</v>
      </c>
    </row>
    <row r="1021" spans="1:12">
      <c r="A1021" s="397" t="str">
        <f t="shared" si="39"/>
        <v>-</v>
      </c>
      <c r="F1021" s="496"/>
      <c r="G1021" s="398"/>
      <c r="I1021" t="s">
        <v>555</v>
      </c>
      <c r="J1021">
        <v>16.482274881516581</v>
      </c>
      <c r="K1021">
        <v>16.266999999999999</v>
      </c>
      <c r="L1021" s="509">
        <f t="shared" si="38"/>
        <v>1.0132338403833885</v>
      </c>
    </row>
    <row r="1022" spans="1:12">
      <c r="A1022" s="397" t="str">
        <f t="shared" si="39"/>
        <v>-</v>
      </c>
      <c r="F1022" s="496"/>
      <c r="G1022" s="398"/>
      <c r="I1022" t="s">
        <v>177</v>
      </c>
      <c r="J1022">
        <v>11.451657754010718</v>
      </c>
      <c r="K1022">
        <v>11.298999999999999</v>
      </c>
      <c r="L1022" s="509">
        <f t="shared" si="38"/>
        <v>1.0135107313931071</v>
      </c>
    </row>
    <row r="1023" spans="1:12">
      <c r="A1023" s="397" t="str">
        <f t="shared" si="39"/>
        <v>-</v>
      </c>
      <c r="F1023" s="496"/>
      <c r="G1023" s="398"/>
      <c r="I1023" t="s">
        <v>395</v>
      </c>
      <c r="J1023">
        <v>11.720992907801433</v>
      </c>
      <c r="K1023">
        <v>11.554</v>
      </c>
      <c r="L1023" s="509">
        <f t="shared" si="38"/>
        <v>1.0144532549594454</v>
      </c>
    </row>
    <row r="1024" spans="1:12">
      <c r="A1024" s="397" t="str">
        <f t="shared" si="39"/>
        <v>-</v>
      </c>
      <c r="F1024" s="496"/>
      <c r="G1024" s="398"/>
      <c r="I1024" t="s">
        <v>58</v>
      </c>
      <c r="J1024">
        <v>8.5854787234042611</v>
      </c>
      <c r="K1024">
        <v>8.4610000000000003</v>
      </c>
      <c r="L1024" s="509">
        <f t="shared" si="38"/>
        <v>1.014712058078745</v>
      </c>
    </row>
    <row r="1025" spans="1:12">
      <c r="A1025" s="397" t="str">
        <f t="shared" si="39"/>
        <v>-</v>
      </c>
      <c r="F1025" s="496"/>
      <c r="G1025" s="398"/>
      <c r="I1025" t="s">
        <v>435</v>
      </c>
      <c r="J1025">
        <v>6.4840232108317126</v>
      </c>
      <c r="K1025">
        <v>6.3879999999999999</v>
      </c>
      <c r="L1025" s="509">
        <f t="shared" si="38"/>
        <v>1.0150318113387151</v>
      </c>
    </row>
    <row r="1026" spans="1:12">
      <c r="A1026" s="397" t="str">
        <f t="shared" si="39"/>
        <v>-</v>
      </c>
      <c r="F1026" s="496"/>
      <c r="G1026" s="398"/>
      <c r="I1026" t="s">
        <v>336</v>
      </c>
      <c r="J1026">
        <v>9.8596539792387414</v>
      </c>
      <c r="K1026">
        <v>9.7070000000000007</v>
      </c>
      <c r="L1026" s="509">
        <f t="shared" si="38"/>
        <v>1.015726174846888</v>
      </c>
    </row>
    <row r="1027" spans="1:12">
      <c r="A1027" s="397" t="str">
        <f t="shared" si="39"/>
        <v>-</v>
      </c>
      <c r="F1027" s="496"/>
      <c r="G1027" s="398"/>
      <c r="I1027" t="s">
        <v>785</v>
      </c>
      <c r="J1027">
        <v>4.6845473486122113</v>
      </c>
      <c r="K1027">
        <v>4.6109999999999998</v>
      </c>
      <c r="L1027" s="509">
        <f t="shared" si="38"/>
        <v>1.0159504117571485</v>
      </c>
    </row>
    <row r="1028" spans="1:12">
      <c r="A1028" s="397" t="str">
        <f t="shared" si="39"/>
        <v>-</v>
      </c>
      <c r="F1028" s="496"/>
      <c r="G1028" s="398"/>
      <c r="I1028" t="s">
        <v>851</v>
      </c>
      <c r="J1028">
        <v>6.7290458201316277</v>
      </c>
      <c r="K1028">
        <v>6.6210000000000004</v>
      </c>
      <c r="L1028" s="509">
        <f t="shared" si="38"/>
        <v>1.0163186558120567</v>
      </c>
    </row>
    <row r="1029" spans="1:12">
      <c r="A1029" s="397" t="str">
        <f t="shared" si="39"/>
        <v>-</v>
      </c>
      <c r="F1029" s="496"/>
      <c r="G1029" s="398"/>
      <c r="I1029" t="s">
        <v>88</v>
      </c>
      <c r="J1029">
        <v>6.5491566265060142</v>
      </c>
      <c r="K1029">
        <v>6.4349999999999996</v>
      </c>
      <c r="L1029" s="509">
        <f t="shared" si="38"/>
        <v>1.0177399574989923</v>
      </c>
    </row>
    <row r="1030" spans="1:12">
      <c r="A1030" s="397" t="str">
        <f t="shared" si="39"/>
        <v>-</v>
      </c>
      <c r="F1030" s="496"/>
      <c r="G1030" s="398"/>
      <c r="I1030" t="s">
        <v>159</v>
      </c>
      <c r="J1030">
        <v>9.2096685529506477</v>
      </c>
      <c r="K1030">
        <v>9.0470000000000006</v>
      </c>
      <c r="L1030" s="509">
        <f t="shared" si="38"/>
        <v>1.0179803860893828</v>
      </c>
    </row>
    <row r="1031" spans="1:12">
      <c r="A1031" s="397" t="str">
        <f t="shared" si="39"/>
        <v>-</v>
      </c>
      <c r="F1031" s="496"/>
      <c r="G1031" s="398"/>
      <c r="I1031" t="s">
        <v>436</v>
      </c>
      <c r="J1031">
        <v>11.664098360655746</v>
      </c>
      <c r="K1031">
        <v>11.45</v>
      </c>
      <c r="L1031" s="509">
        <f t="shared" ref="L1031:L1094" si="40">J1031/K1031</f>
        <v>1.0186985467821612</v>
      </c>
    </row>
    <row r="1032" spans="1:12">
      <c r="A1032" s="397" t="str">
        <f t="shared" si="39"/>
        <v>-</v>
      </c>
      <c r="F1032" s="496"/>
      <c r="G1032" s="398"/>
      <c r="I1032" t="s">
        <v>787</v>
      </c>
      <c r="J1032">
        <v>7.0729910344007187</v>
      </c>
      <c r="K1032">
        <v>6.9349999999999996</v>
      </c>
      <c r="L1032" s="509">
        <f t="shared" si="40"/>
        <v>1.0198977699207958</v>
      </c>
    </row>
    <row r="1033" spans="1:12">
      <c r="A1033" s="397" t="str">
        <f t="shared" si="39"/>
        <v>-</v>
      </c>
      <c r="F1033" s="496"/>
      <c r="G1033" s="398"/>
      <c r="I1033" t="s">
        <v>786</v>
      </c>
      <c r="J1033">
        <v>4.9825597827594974</v>
      </c>
      <c r="K1033">
        <v>4.8810000000000002</v>
      </c>
      <c r="L1033" s="509">
        <f t="shared" si="40"/>
        <v>1.0208071671295835</v>
      </c>
    </row>
    <row r="1034" spans="1:12">
      <c r="A1034" s="397" t="str">
        <f t="shared" si="39"/>
        <v>-</v>
      </c>
      <c r="F1034" s="496"/>
      <c r="G1034" s="398"/>
      <c r="I1034" t="s">
        <v>553</v>
      </c>
      <c r="J1034">
        <v>9.1981718464350841</v>
      </c>
      <c r="K1034">
        <v>9.01</v>
      </c>
      <c r="L1034" s="509">
        <f t="shared" si="40"/>
        <v>1.0208847776287553</v>
      </c>
    </row>
    <row r="1035" spans="1:12">
      <c r="A1035" s="397" t="str">
        <f t="shared" si="39"/>
        <v>-</v>
      </c>
      <c r="F1035" s="496"/>
      <c r="G1035" s="398"/>
      <c r="I1035" t="s">
        <v>284</v>
      </c>
      <c r="J1035">
        <v>12.285277777777768</v>
      </c>
      <c r="K1035">
        <v>12.032</v>
      </c>
      <c r="L1035" s="509">
        <f t="shared" si="40"/>
        <v>1.0210503472222214</v>
      </c>
    </row>
    <row r="1036" spans="1:12">
      <c r="A1036" s="397" t="str">
        <f t="shared" si="39"/>
        <v>-</v>
      </c>
      <c r="F1036" s="496"/>
      <c r="G1036" s="398"/>
      <c r="I1036" t="s">
        <v>813</v>
      </c>
      <c r="J1036">
        <v>6.817119790530394</v>
      </c>
      <c r="K1036">
        <v>6.6760000000000002</v>
      </c>
      <c r="L1036" s="509">
        <f t="shared" si="40"/>
        <v>1.0211383748547624</v>
      </c>
    </row>
    <row r="1037" spans="1:12">
      <c r="A1037" s="397" t="str">
        <f t="shared" si="39"/>
        <v>-</v>
      </c>
      <c r="F1037" s="496"/>
      <c r="G1037" s="398"/>
      <c r="I1037" t="s">
        <v>788</v>
      </c>
      <c r="J1037">
        <v>7.4273682868799362</v>
      </c>
      <c r="K1037">
        <v>7.2690000000000001</v>
      </c>
      <c r="L1037" s="509">
        <f t="shared" si="40"/>
        <v>1.0217868051836478</v>
      </c>
    </row>
    <row r="1038" spans="1:12">
      <c r="A1038" s="397" t="str">
        <f t="shared" si="39"/>
        <v>-</v>
      </c>
      <c r="F1038" s="496"/>
      <c r="G1038" s="398"/>
      <c r="I1038" t="s">
        <v>793</v>
      </c>
      <c r="J1038">
        <v>9.0485363859362362</v>
      </c>
      <c r="K1038">
        <v>8.8320000000000007</v>
      </c>
      <c r="L1038" s="509">
        <f t="shared" si="40"/>
        <v>1.0245172538424179</v>
      </c>
    </row>
    <row r="1039" spans="1:12">
      <c r="A1039" s="397" t="str">
        <f t="shared" ref="A1039:A1101" si="41">B1039&amp;"-"&amp;C1039</f>
        <v>-</v>
      </c>
      <c r="F1039" s="496"/>
      <c r="G1039" s="398"/>
      <c r="I1039" t="s">
        <v>814</v>
      </c>
      <c r="J1039">
        <v>6.4696815207491243</v>
      </c>
      <c r="K1039">
        <v>6.2969999999999997</v>
      </c>
      <c r="L1039" s="509">
        <f t="shared" si="40"/>
        <v>1.0274228236857432</v>
      </c>
    </row>
    <row r="1040" spans="1:12">
      <c r="A1040" s="397" t="str">
        <f t="shared" si="41"/>
        <v>-</v>
      </c>
      <c r="F1040" s="496"/>
      <c r="G1040" s="398"/>
      <c r="I1040" t="s">
        <v>340</v>
      </c>
      <c r="J1040">
        <v>9.3865690376569013</v>
      </c>
      <c r="K1040">
        <v>9.1289999999999996</v>
      </c>
      <c r="L1040" s="509">
        <f t="shared" si="40"/>
        <v>1.028214375907208</v>
      </c>
    </row>
    <row r="1041" spans="1:12">
      <c r="A1041" s="397" t="str">
        <f t="shared" si="41"/>
        <v>-</v>
      </c>
      <c r="F1041" s="496"/>
      <c r="G1041" s="398"/>
      <c r="I1041" t="s">
        <v>785</v>
      </c>
      <c r="J1041">
        <v>4.7024307368227865</v>
      </c>
      <c r="K1041">
        <v>4.6109999999999998</v>
      </c>
      <c r="L1041" s="509">
        <f t="shared" si="40"/>
        <v>1.0198288303671192</v>
      </c>
    </row>
    <row r="1042" spans="1:12">
      <c r="A1042" s="397" t="str">
        <f t="shared" si="41"/>
        <v>-</v>
      </c>
      <c r="F1042" s="496"/>
      <c r="G1042" s="398"/>
      <c r="I1042" t="s">
        <v>735</v>
      </c>
      <c r="J1042">
        <v>4.7221183850731263</v>
      </c>
      <c r="K1042">
        <v>4.673</v>
      </c>
      <c r="L1042" s="509">
        <f t="shared" si="40"/>
        <v>1.0105111031613794</v>
      </c>
    </row>
    <row r="1043" spans="1:12">
      <c r="A1043" s="397" t="str">
        <f t="shared" si="41"/>
        <v>-</v>
      </c>
      <c r="F1043" s="496"/>
      <c r="G1043" s="398"/>
      <c r="I1043" t="s">
        <v>786</v>
      </c>
      <c r="J1043">
        <v>4.9605170848378997</v>
      </c>
      <c r="K1043">
        <v>4.8810000000000002</v>
      </c>
      <c r="L1043" s="509">
        <f t="shared" si="40"/>
        <v>1.0162911462482891</v>
      </c>
    </row>
    <row r="1044" spans="1:12">
      <c r="A1044" s="397" t="str">
        <f t="shared" si="41"/>
        <v>-</v>
      </c>
      <c r="F1044" s="496"/>
      <c r="G1044" s="398"/>
      <c r="I1044" t="s">
        <v>387</v>
      </c>
      <c r="J1044">
        <v>5.3963115693012478</v>
      </c>
      <c r="K1044">
        <v>5.367</v>
      </c>
      <c r="L1044" s="509">
        <f t="shared" si="40"/>
        <v>1.0054614438794947</v>
      </c>
    </row>
    <row r="1045" spans="1:12">
      <c r="A1045" s="397" t="str">
        <f t="shared" si="41"/>
        <v>-</v>
      </c>
      <c r="F1045" s="496"/>
      <c r="G1045" s="398"/>
      <c r="I1045" t="s">
        <v>410</v>
      </c>
      <c r="J1045">
        <v>6.2710909090909013</v>
      </c>
      <c r="K1045">
        <v>6.1509999999999998</v>
      </c>
      <c r="L1045" s="509">
        <f t="shared" si="40"/>
        <v>1.0195238024859212</v>
      </c>
    </row>
    <row r="1046" spans="1:12">
      <c r="A1046" s="397" t="str">
        <f t="shared" si="41"/>
        <v>-</v>
      </c>
      <c r="F1046" s="496"/>
      <c r="G1046" s="398"/>
      <c r="I1046" t="s">
        <v>814</v>
      </c>
      <c r="J1046">
        <v>6.4706813514069506</v>
      </c>
      <c r="K1046">
        <v>6.2969999999999997</v>
      </c>
      <c r="L1046" s="509">
        <f t="shared" si="40"/>
        <v>1.0275816025737574</v>
      </c>
    </row>
    <row r="1047" spans="1:12">
      <c r="A1047" s="397" t="str">
        <f t="shared" si="41"/>
        <v>-</v>
      </c>
      <c r="F1047" s="496"/>
      <c r="G1047" s="398"/>
      <c r="I1047" t="s">
        <v>435</v>
      </c>
      <c r="J1047">
        <v>6.4855528846153794</v>
      </c>
      <c r="K1047">
        <v>6.3879999999999999</v>
      </c>
      <c r="L1047" s="509">
        <f t="shared" si="40"/>
        <v>1.0152712718558827</v>
      </c>
    </row>
    <row r="1048" spans="1:12">
      <c r="A1048" s="397" t="str">
        <f t="shared" si="41"/>
        <v>-</v>
      </c>
      <c r="F1048" s="496"/>
      <c r="G1048" s="398"/>
      <c r="I1048" t="s">
        <v>431</v>
      </c>
      <c r="J1048">
        <v>6.5513517745302954</v>
      </c>
      <c r="K1048">
        <v>6.5460000000000003</v>
      </c>
      <c r="L1048" s="509">
        <f t="shared" si="40"/>
        <v>1.0008175640895653</v>
      </c>
    </row>
    <row r="1049" spans="1:12">
      <c r="A1049" s="397" t="str">
        <f t="shared" si="41"/>
        <v>-</v>
      </c>
      <c r="F1049" s="496"/>
      <c r="G1049" s="398"/>
      <c r="I1049" t="s">
        <v>88</v>
      </c>
      <c r="J1049">
        <v>6.5623529411764698</v>
      </c>
      <c r="K1049">
        <v>6.4349999999999996</v>
      </c>
      <c r="L1049" s="509">
        <f t="shared" si="40"/>
        <v>1.0197906668494903</v>
      </c>
    </row>
    <row r="1050" spans="1:12">
      <c r="A1050" s="397" t="str">
        <f t="shared" si="41"/>
        <v>-</v>
      </c>
      <c r="F1050" s="496"/>
      <c r="G1050" s="398"/>
      <c r="I1050" t="s">
        <v>851</v>
      </c>
      <c r="J1050">
        <v>6.7236556701030601</v>
      </c>
      <c r="K1050">
        <v>6.6120000000000001</v>
      </c>
      <c r="L1050" s="509">
        <f t="shared" si="40"/>
        <v>1.0168868224596279</v>
      </c>
    </row>
    <row r="1051" spans="1:12">
      <c r="A1051" s="397" t="str">
        <f t="shared" si="41"/>
        <v>-</v>
      </c>
      <c r="F1051" s="496"/>
      <c r="G1051" s="398"/>
      <c r="I1051" t="s">
        <v>791</v>
      </c>
      <c r="J1051">
        <v>6.8008274557028123</v>
      </c>
      <c r="K1051">
        <v>6.7169999999999996</v>
      </c>
      <c r="L1051" s="509">
        <f t="shared" si="40"/>
        <v>1.0124798951470615</v>
      </c>
    </row>
    <row r="1052" spans="1:12">
      <c r="A1052" s="397" t="str">
        <f t="shared" si="41"/>
        <v>-</v>
      </c>
      <c r="F1052" s="496"/>
      <c r="G1052" s="398"/>
      <c r="I1052" t="s">
        <v>813</v>
      </c>
      <c r="J1052">
        <v>6.8028695501130354</v>
      </c>
      <c r="K1052">
        <v>6.6760000000000002</v>
      </c>
      <c r="L1052" s="509">
        <f t="shared" si="40"/>
        <v>1.0190038271589328</v>
      </c>
    </row>
    <row r="1053" spans="1:12">
      <c r="A1053" s="397" t="str">
        <f t="shared" si="41"/>
        <v>-</v>
      </c>
      <c r="F1053" s="496"/>
      <c r="G1053" s="398"/>
      <c r="I1053" t="s">
        <v>852</v>
      </c>
      <c r="J1053">
        <v>6.8646311934072601</v>
      </c>
      <c r="K1053">
        <v>6.843</v>
      </c>
      <c r="L1053" s="509">
        <f t="shared" si="40"/>
        <v>1.0031610687428409</v>
      </c>
    </row>
    <row r="1054" spans="1:12">
      <c r="A1054" s="397" t="str">
        <f t="shared" si="41"/>
        <v>-</v>
      </c>
      <c r="F1054" s="496"/>
      <c r="G1054" s="398"/>
      <c r="I1054" t="s">
        <v>789</v>
      </c>
      <c r="J1054">
        <v>6.8649935226706447</v>
      </c>
      <c r="K1054">
        <v>6.7880000000000003</v>
      </c>
      <c r="L1054" s="509">
        <f t="shared" si="40"/>
        <v>1.0113425932042788</v>
      </c>
    </row>
    <row r="1055" spans="1:12">
      <c r="A1055" s="397" t="str">
        <f t="shared" si="41"/>
        <v>-</v>
      </c>
      <c r="F1055" s="496"/>
      <c r="G1055" s="398"/>
      <c r="I1055" t="s">
        <v>412</v>
      </c>
      <c r="J1055">
        <v>6.9915479876161015</v>
      </c>
      <c r="K1055">
        <v>6.9329999999999998</v>
      </c>
      <c r="L1055" s="509">
        <f t="shared" si="40"/>
        <v>1.0084448272920961</v>
      </c>
    </row>
    <row r="1056" spans="1:12">
      <c r="A1056" s="397" t="str">
        <f t="shared" si="41"/>
        <v>-</v>
      </c>
      <c r="F1056" s="496"/>
      <c r="G1056" s="398"/>
      <c r="I1056" t="s">
        <v>787</v>
      </c>
      <c r="J1056">
        <v>7.0572161113551894</v>
      </c>
      <c r="K1056">
        <v>6.9349999999999996</v>
      </c>
      <c r="L1056" s="509">
        <f t="shared" si="40"/>
        <v>1.0176230874340577</v>
      </c>
    </row>
    <row r="1057" spans="1:12">
      <c r="A1057" s="397" t="str">
        <f t="shared" si="41"/>
        <v>-</v>
      </c>
      <c r="F1057" s="496"/>
      <c r="G1057" s="398"/>
      <c r="I1057" t="s">
        <v>52</v>
      </c>
      <c r="J1057">
        <v>7.1062998790810221</v>
      </c>
      <c r="K1057">
        <v>7.0179999999999998</v>
      </c>
      <c r="L1057" s="509">
        <f t="shared" si="40"/>
        <v>1.0125819149445743</v>
      </c>
    </row>
    <row r="1058" spans="1:12">
      <c r="A1058" s="397" t="str">
        <f t="shared" si="41"/>
        <v>-</v>
      </c>
      <c r="F1058" s="496"/>
      <c r="G1058" s="398"/>
      <c r="I1058" t="s">
        <v>790</v>
      </c>
      <c r="J1058">
        <v>7.3151520493609912</v>
      </c>
      <c r="K1058">
        <v>7.2830000000000004</v>
      </c>
      <c r="L1058" s="509">
        <f t="shared" si="40"/>
        <v>1.0044146710642581</v>
      </c>
    </row>
    <row r="1059" spans="1:12">
      <c r="A1059" s="397" t="str">
        <f t="shared" si="41"/>
        <v>-</v>
      </c>
      <c r="F1059" s="496"/>
      <c r="G1059" s="398"/>
      <c r="I1059" t="s">
        <v>788</v>
      </c>
      <c r="J1059">
        <v>7.42178746624033</v>
      </c>
      <c r="K1059">
        <v>7.2690000000000001</v>
      </c>
      <c r="L1059" s="509">
        <f t="shared" si="40"/>
        <v>1.0210190488705915</v>
      </c>
    </row>
    <row r="1060" spans="1:12">
      <c r="A1060" s="397" t="str">
        <f t="shared" si="41"/>
        <v>-</v>
      </c>
      <c r="F1060" s="496"/>
      <c r="G1060" s="398"/>
      <c r="I1060" t="s">
        <v>61</v>
      </c>
      <c r="J1060">
        <v>7.5251419558359443</v>
      </c>
      <c r="K1060">
        <v>7.5019999999999998</v>
      </c>
      <c r="L1060" s="509">
        <f t="shared" si="40"/>
        <v>1.0030847715057245</v>
      </c>
    </row>
    <row r="1061" spans="1:12">
      <c r="A1061" s="397" t="str">
        <f t="shared" si="41"/>
        <v>-</v>
      </c>
      <c r="F1061" s="496"/>
      <c r="G1061" s="398"/>
      <c r="I1061" t="s">
        <v>261</v>
      </c>
      <c r="J1061">
        <v>7.5617089494162997</v>
      </c>
      <c r="K1061">
        <v>7.4820000000000002</v>
      </c>
      <c r="L1061" s="509">
        <f t="shared" si="40"/>
        <v>1.0106534281497326</v>
      </c>
    </row>
    <row r="1062" spans="1:12">
      <c r="A1062" s="397" t="str">
        <f t="shared" si="41"/>
        <v>-</v>
      </c>
      <c r="F1062" s="496"/>
      <c r="G1062" s="398"/>
      <c r="I1062" t="s">
        <v>349</v>
      </c>
      <c r="J1062">
        <v>7.7160800000000211</v>
      </c>
      <c r="K1062">
        <v>7.7359999999999998</v>
      </c>
      <c r="L1062" s="509">
        <f t="shared" si="40"/>
        <v>0.99742502585315684</v>
      </c>
    </row>
    <row r="1063" spans="1:12">
      <c r="A1063" s="397" t="str">
        <f t="shared" si="41"/>
        <v>-</v>
      </c>
      <c r="F1063" s="496"/>
      <c r="G1063" s="398"/>
      <c r="I1063" t="s">
        <v>418</v>
      </c>
      <c r="J1063">
        <v>7.9740000000000011</v>
      </c>
      <c r="K1063">
        <v>7.968</v>
      </c>
      <c r="L1063" s="509">
        <f t="shared" si="40"/>
        <v>1.0007530120481929</v>
      </c>
    </row>
    <row r="1064" spans="1:12">
      <c r="A1064" s="397" t="str">
        <f t="shared" si="41"/>
        <v>-</v>
      </c>
      <c r="F1064" s="496"/>
      <c r="G1064" s="398"/>
      <c r="I1064" t="s">
        <v>582</v>
      </c>
      <c r="J1064">
        <v>8.3545826153551186</v>
      </c>
      <c r="K1064">
        <v>8.2379999999999995</v>
      </c>
      <c r="L1064" s="509">
        <f t="shared" si="40"/>
        <v>1.0141518105553677</v>
      </c>
    </row>
    <row r="1065" spans="1:12">
      <c r="A1065" s="397" t="str">
        <f t="shared" si="41"/>
        <v>-</v>
      </c>
      <c r="F1065" s="496"/>
      <c r="G1065" s="398"/>
      <c r="I1065" t="s">
        <v>133</v>
      </c>
      <c r="J1065">
        <v>8.4308917197452349</v>
      </c>
      <c r="K1065">
        <v>8.3230000000000004</v>
      </c>
      <c r="L1065" s="509">
        <f t="shared" si="40"/>
        <v>1.012963080589359</v>
      </c>
    </row>
    <row r="1066" spans="1:12">
      <c r="A1066" s="397" t="str">
        <f t="shared" si="41"/>
        <v>-</v>
      </c>
      <c r="F1066" s="496"/>
      <c r="G1066" s="398"/>
      <c r="I1066" t="s">
        <v>302</v>
      </c>
      <c r="J1066">
        <v>8.4492253521126806</v>
      </c>
      <c r="K1066">
        <v>8.5340000000000007</v>
      </c>
      <c r="L1066" s="509">
        <f t="shared" si="40"/>
        <v>0.99006624702515578</v>
      </c>
    </row>
    <row r="1067" spans="1:12">
      <c r="A1067" s="397" t="str">
        <f t="shared" si="41"/>
        <v>-</v>
      </c>
      <c r="F1067" s="496"/>
      <c r="G1067" s="398"/>
      <c r="I1067" t="s">
        <v>58</v>
      </c>
      <c r="J1067">
        <v>8.5200689655172521</v>
      </c>
      <c r="K1067">
        <v>8.4610000000000003</v>
      </c>
      <c r="L1067" s="509">
        <f t="shared" si="40"/>
        <v>1.0069813220088939</v>
      </c>
    </row>
    <row r="1068" spans="1:12">
      <c r="A1068" s="397" t="str">
        <f t="shared" si="41"/>
        <v>-</v>
      </c>
      <c r="F1068" s="496"/>
      <c r="G1068" s="398"/>
      <c r="I1068" t="s">
        <v>138</v>
      </c>
      <c r="J1068">
        <v>8.5240731070496167</v>
      </c>
      <c r="K1068">
        <v>8.4960000000000004</v>
      </c>
      <c r="L1068" s="509">
        <f t="shared" si="40"/>
        <v>1.003304273428627</v>
      </c>
    </row>
    <row r="1069" spans="1:12">
      <c r="A1069" s="397" t="str">
        <f t="shared" si="41"/>
        <v>-</v>
      </c>
      <c r="F1069" s="496"/>
      <c r="G1069" s="398"/>
      <c r="I1069" t="s">
        <v>63</v>
      </c>
      <c r="J1069">
        <v>8.7024050910686679</v>
      </c>
      <c r="K1069">
        <v>8.5839999999999996</v>
      </c>
      <c r="L1069" s="509">
        <f t="shared" si="40"/>
        <v>1.0137936965364245</v>
      </c>
    </row>
    <row r="1070" spans="1:12">
      <c r="A1070" s="397" t="str">
        <f t="shared" si="41"/>
        <v>-</v>
      </c>
      <c r="F1070" s="496"/>
      <c r="G1070" s="398"/>
      <c r="I1070" t="s">
        <v>354</v>
      </c>
      <c r="J1070">
        <v>8.7919519519519493</v>
      </c>
      <c r="K1070">
        <v>8.6999999999999993</v>
      </c>
      <c r="L1070" s="509">
        <f t="shared" si="40"/>
        <v>1.0105691898795346</v>
      </c>
    </row>
    <row r="1071" spans="1:12">
      <c r="A1071" s="397" t="str">
        <f t="shared" si="41"/>
        <v>-</v>
      </c>
      <c r="F1071" s="496"/>
      <c r="G1071" s="398"/>
      <c r="I1071" t="s">
        <v>840</v>
      </c>
      <c r="J1071">
        <v>8.82</v>
      </c>
      <c r="K1071">
        <v>8.81</v>
      </c>
      <c r="L1071" s="509">
        <f t="shared" si="40"/>
        <v>1.0011350737797957</v>
      </c>
    </row>
    <row r="1072" spans="1:12">
      <c r="A1072" s="397" t="str">
        <f t="shared" si="41"/>
        <v>-</v>
      </c>
      <c r="F1072" s="496"/>
      <c r="G1072" s="398"/>
      <c r="I1072" t="s">
        <v>298</v>
      </c>
      <c r="J1072">
        <v>8.8734074074074076</v>
      </c>
      <c r="K1072">
        <v>8.8089999999999993</v>
      </c>
      <c r="L1072" s="509">
        <f t="shared" si="40"/>
        <v>1.0073115458516755</v>
      </c>
    </row>
    <row r="1073" spans="1:12">
      <c r="A1073" s="397" t="str">
        <f t="shared" si="41"/>
        <v>-</v>
      </c>
      <c r="F1073" s="496"/>
      <c r="G1073" s="398"/>
      <c r="I1073" t="s">
        <v>221</v>
      </c>
      <c r="J1073">
        <v>8.9213057851239679</v>
      </c>
      <c r="K1073">
        <v>8.8420000000000005</v>
      </c>
      <c r="L1073" s="509">
        <f t="shared" si="40"/>
        <v>1.0089692134272752</v>
      </c>
    </row>
    <row r="1074" spans="1:12">
      <c r="A1074" s="397" t="str">
        <f t="shared" si="41"/>
        <v>-</v>
      </c>
      <c r="F1074" s="496"/>
      <c r="G1074" s="398"/>
      <c r="I1074" t="s">
        <v>793</v>
      </c>
      <c r="J1074">
        <v>9.0605536423841482</v>
      </c>
      <c r="K1074">
        <v>8.8320000000000007</v>
      </c>
      <c r="L1074" s="509">
        <f t="shared" si="40"/>
        <v>1.0258779033496543</v>
      </c>
    </row>
    <row r="1075" spans="1:12">
      <c r="A1075" s="397" t="str">
        <f t="shared" si="41"/>
        <v>-</v>
      </c>
      <c r="F1075" s="496"/>
      <c r="G1075" s="398"/>
      <c r="I1075" t="s">
        <v>189</v>
      </c>
      <c r="J1075">
        <v>9.1178852487431801</v>
      </c>
      <c r="K1075">
        <v>8.9689999999999994</v>
      </c>
      <c r="L1075" s="509">
        <f t="shared" si="40"/>
        <v>1.0165999831355983</v>
      </c>
    </row>
    <row r="1076" spans="1:12">
      <c r="A1076" s="397" t="str">
        <f t="shared" si="41"/>
        <v>-</v>
      </c>
      <c r="F1076" s="496"/>
      <c r="G1076" s="398"/>
      <c r="I1076" t="s">
        <v>419</v>
      </c>
      <c r="J1076">
        <v>9.123582342954176</v>
      </c>
      <c r="K1076">
        <v>9.0589999999999993</v>
      </c>
      <c r="L1076" s="509">
        <f t="shared" si="40"/>
        <v>1.0071290807985624</v>
      </c>
    </row>
    <row r="1077" spans="1:12">
      <c r="A1077" s="397" t="str">
        <f t="shared" si="41"/>
        <v>-</v>
      </c>
      <c r="F1077" s="496"/>
      <c r="G1077" s="398"/>
      <c r="I1077" t="s">
        <v>254</v>
      </c>
      <c r="J1077">
        <v>9.1410089020771519</v>
      </c>
      <c r="K1077">
        <v>9.02</v>
      </c>
      <c r="L1077" s="509">
        <f t="shared" si="40"/>
        <v>1.0134156210728551</v>
      </c>
    </row>
    <row r="1078" spans="1:12">
      <c r="A1078" s="397" t="str">
        <f t="shared" si="41"/>
        <v>-</v>
      </c>
      <c r="F1078" s="496"/>
      <c r="G1078" s="398"/>
      <c r="I1078" t="s">
        <v>553</v>
      </c>
      <c r="J1078">
        <v>9.1525118893212323</v>
      </c>
      <c r="K1078">
        <v>9.01</v>
      </c>
      <c r="L1078" s="509">
        <f t="shared" si="40"/>
        <v>1.0158170798358748</v>
      </c>
    </row>
    <row r="1079" spans="1:12">
      <c r="A1079" s="397" t="str">
        <f t="shared" si="41"/>
        <v>-</v>
      </c>
      <c r="F1079" s="496"/>
      <c r="G1079" s="398"/>
      <c r="I1079" t="s">
        <v>422</v>
      </c>
      <c r="J1079">
        <v>9.1972468354429928</v>
      </c>
      <c r="K1079">
        <v>9.2040000000000006</v>
      </c>
      <c r="L1079" s="509">
        <f t="shared" si="40"/>
        <v>0.99926627938320212</v>
      </c>
    </row>
    <row r="1080" spans="1:12">
      <c r="A1080" s="397" t="str">
        <f t="shared" si="41"/>
        <v>-</v>
      </c>
      <c r="F1080" s="496"/>
      <c r="G1080" s="398"/>
      <c r="I1080" t="s">
        <v>340</v>
      </c>
      <c r="J1080">
        <v>9.2033333333333331</v>
      </c>
      <c r="K1080">
        <v>9.1289999999999996</v>
      </c>
      <c r="L1080" s="509">
        <f t="shared" si="40"/>
        <v>1.0081425493847447</v>
      </c>
    </row>
    <row r="1081" spans="1:12">
      <c r="A1081" s="397" t="str">
        <f t="shared" si="41"/>
        <v>-</v>
      </c>
      <c r="F1081" s="496"/>
      <c r="G1081" s="398"/>
      <c r="I1081" t="s">
        <v>425</v>
      </c>
      <c r="J1081">
        <v>9.2108411214953367</v>
      </c>
      <c r="K1081">
        <v>9.1379999999999999</v>
      </c>
      <c r="L1081" s="509">
        <f t="shared" si="40"/>
        <v>1.0079712323807548</v>
      </c>
    </row>
    <row r="1082" spans="1:12">
      <c r="A1082" s="397" t="str">
        <f t="shared" si="41"/>
        <v>-</v>
      </c>
      <c r="F1082" s="496"/>
      <c r="G1082" s="398"/>
      <c r="I1082" t="s">
        <v>159</v>
      </c>
      <c r="J1082">
        <v>9.212055929570143</v>
      </c>
      <c r="K1082">
        <v>9.0470000000000006</v>
      </c>
      <c r="L1082" s="509">
        <f t="shared" si="40"/>
        <v>1.0182442720868954</v>
      </c>
    </row>
    <row r="1083" spans="1:12">
      <c r="A1083" s="397" t="str">
        <f t="shared" si="41"/>
        <v>-</v>
      </c>
      <c r="F1083" s="496"/>
      <c r="G1083" s="398"/>
      <c r="I1083" t="s">
        <v>565</v>
      </c>
      <c r="J1083">
        <v>9.2279649342516947</v>
      </c>
      <c r="K1083">
        <v>9.141</v>
      </c>
      <c r="L1083" s="509">
        <f t="shared" si="40"/>
        <v>1.0095137221585926</v>
      </c>
    </row>
    <row r="1084" spans="1:12">
      <c r="A1084" s="397" t="str">
        <f t="shared" si="41"/>
        <v>-</v>
      </c>
      <c r="F1084" s="496"/>
      <c r="G1084" s="398"/>
      <c r="I1084" t="s">
        <v>421</v>
      </c>
      <c r="J1084">
        <v>9.5086167800453651</v>
      </c>
      <c r="K1084">
        <v>9.516</v>
      </c>
      <c r="L1084" s="509">
        <f t="shared" si="40"/>
        <v>0.99922412568782737</v>
      </c>
    </row>
    <row r="1085" spans="1:12">
      <c r="A1085" s="397" t="str">
        <f t="shared" si="41"/>
        <v>-</v>
      </c>
      <c r="F1085" s="496"/>
      <c r="G1085" s="398"/>
      <c r="I1085" t="s">
        <v>142</v>
      </c>
      <c r="J1085">
        <v>9.6493837535013895</v>
      </c>
      <c r="K1085">
        <v>9.5809999999999995</v>
      </c>
      <c r="L1085" s="509">
        <f t="shared" si="40"/>
        <v>1.0071374338275116</v>
      </c>
    </row>
    <row r="1086" spans="1:12">
      <c r="A1086" s="397" t="str">
        <f t="shared" si="41"/>
        <v>-</v>
      </c>
      <c r="F1086" s="496"/>
      <c r="G1086" s="398"/>
      <c r="I1086" t="s">
        <v>420</v>
      </c>
      <c r="J1086">
        <v>9.7351323828920435</v>
      </c>
      <c r="K1086">
        <v>9.7560000000000002</v>
      </c>
      <c r="L1086" s="509">
        <f t="shared" si="40"/>
        <v>0.99786104785691299</v>
      </c>
    </row>
    <row r="1087" spans="1:12">
      <c r="A1087" s="397" t="str">
        <f t="shared" si="41"/>
        <v>-</v>
      </c>
      <c r="F1087" s="496"/>
      <c r="G1087" s="398"/>
      <c r="I1087" t="s">
        <v>424</v>
      </c>
      <c r="J1087">
        <v>9.8342735042734954</v>
      </c>
      <c r="K1087">
        <v>9.7769999999999992</v>
      </c>
      <c r="L1087" s="509">
        <f t="shared" si="40"/>
        <v>1.0058579834584735</v>
      </c>
    </row>
    <row r="1088" spans="1:12">
      <c r="A1088" s="397" t="str">
        <f t="shared" si="41"/>
        <v>-</v>
      </c>
      <c r="F1088" s="496"/>
      <c r="G1088" s="398"/>
      <c r="I1088" t="s">
        <v>336</v>
      </c>
      <c r="J1088">
        <v>9.9053246753246746</v>
      </c>
      <c r="K1088">
        <v>9.7070000000000007</v>
      </c>
      <c r="L1088" s="509">
        <f t="shared" si="40"/>
        <v>1.0204310987251133</v>
      </c>
    </row>
    <row r="1089" spans="1:12">
      <c r="A1089" s="397" t="str">
        <f t="shared" si="41"/>
        <v>-</v>
      </c>
      <c r="F1089" s="496"/>
      <c r="G1089" s="398"/>
      <c r="I1089" t="s">
        <v>332</v>
      </c>
      <c r="J1089">
        <v>9.9429230769230852</v>
      </c>
      <c r="K1089">
        <v>9.7729999999999997</v>
      </c>
      <c r="L1089" s="509">
        <f t="shared" si="40"/>
        <v>1.0173869924202481</v>
      </c>
    </row>
    <row r="1090" spans="1:12">
      <c r="A1090" s="397" t="str">
        <f t="shared" si="41"/>
        <v>-</v>
      </c>
      <c r="F1090" s="496"/>
      <c r="G1090" s="398"/>
      <c r="I1090" t="s">
        <v>784</v>
      </c>
      <c r="J1090">
        <v>9.9729428989750737</v>
      </c>
      <c r="K1090">
        <v>9.9239999999999995</v>
      </c>
      <c r="L1090" s="509">
        <f t="shared" si="40"/>
        <v>1.0049317713598422</v>
      </c>
    </row>
    <row r="1091" spans="1:12">
      <c r="A1091" s="397" t="str">
        <f t="shared" si="41"/>
        <v>-</v>
      </c>
      <c r="F1091" s="496"/>
      <c r="G1091" s="398"/>
      <c r="I1091" t="s">
        <v>423</v>
      </c>
      <c r="J1091">
        <v>10.022412451361873</v>
      </c>
      <c r="K1091">
        <v>9.952</v>
      </c>
      <c r="L1091" s="509">
        <f t="shared" si="40"/>
        <v>1.0070752061255901</v>
      </c>
    </row>
    <row r="1092" spans="1:12">
      <c r="A1092" s="397" t="str">
        <f t="shared" si="41"/>
        <v>-</v>
      </c>
      <c r="F1092" s="496"/>
      <c r="G1092" s="398"/>
      <c r="I1092" t="s">
        <v>304</v>
      </c>
      <c r="J1092">
        <v>10.040620200826973</v>
      </c>
      <c r="K1092">
        <v>9.9700000000000006</v>
      </c>
      <c r="L1092" s="509">
        <f t="shared" si="40"/>
        <v>1.0070832698923744</v>
      </c>
    </row>
    <row r="1093" spans="1:12">
      <c r="A1093" s="397" t="str">
        <f t="shared" si="41"/>
        <v>-</v>
      </c>
      <c r="F1093" s="496"/>
      <c r="G1093" s="398"/>
      <c r="I1093" t="s">
        <v>232</v>
      </c>
      <c r="J1093">
        <v>10.273157894736851</v>
      </c>
      <c r="K1093">
        <v>10.227</v>
      </c>
      <c r="L1093" s="509">
        <f t="shared" si="40"/>
        <v>1.0045133367299159</v>
      </c>
    </row>
    <row r="1094" spans="1:12">
      <c r="A1094" s="397" t="str">
        <f t="shared" si="41"/>
        <v>-</v>
      </c>
      <c r="F1094" s="496"/>
      <c r="G1094" s="398"/>
      <c r="I1094" t="s">
        <v>255</v>
      </c>
      <c r="J1094">
        <v>10.548544303797447</v>
      </c>
      <c r="K1094">
        <v>10.54</v>
      </c>
      <c r="L1094" s="509">
        <f t="shared" si="40"/>
        <v>1.0008106550092455</v>
      </c>
    </row>
    <row r="1095" spans="1:12">
      <c r="A1095" s="397" t="str">
        <f t="shared" si="41"/>
        <v>-</v>
      </c>
      <c r="F1095" s="496"/>
      <c r="G1095" s="398"/>
      <c r="I1095" t="s">
        <v>471</v>
      </c>
      <c r="J1095">
        <v>10.567687969924849</v>
      </c>
      <c r="K1095">
        <v>10.374000000000001</v>
      </c>
      <c r="L1095" s="509">
        <f t="shared" ref="L1095:L1158" si="42">J1095/K1095</f>
        <v>1.0186705195609069</v>
      </c>
    </row>
    <row r="1096" spans="1:12">
      <c r="A1096" s="397" t="str">
        <f t="shared" si="41"/>
        <v>-</v>
      </c>
      <c r="F1096" s="496"/>
      <c r="G1096" s="398"/>
      <c r="I1096" t="s">
        <v>157</v>
      </c>
      <c r="J1096">
        <v>10.6128156996587</v>
      </c>
      <c r="K1096">
        <v>10.481</v>
      </c>
      <c r="L1096" s="509">
        <f t="shared" si="42"/>
        <v>1.0125766338764144</v>
      </c>
    </row>
    <row r="1097" spans="1:12">
      <c r="A1097" s="397" t="str">
        <f t="shared" si="41"/>
        <v>-</v>
      </c>
      <c r="F1097" s="496"/>
      <c r="G1097" s="398"/>
      <c r="I1097" t="s">
        <v>830</v>
      </c>
      <c r="J1097">
        <v>10.641562499999994</v>
      </c>
      <c r="K1097">
        <v>10.48</v>
      </c>
      <c r="L1097" s="509">
        <f t="shared" si="42"/>
        <v>1.0154162690839688</v>
      </c>
    </row>
    <row r="1098" spans="1:12">
      <c r="A1098" s="397" t="str">
        <f t="shared" si="41"/>
        <v>-</v>
      </c>
      <c r="F1098" s="496"/>
      <c r="G1098" s="398"/>
      <c r="I1098" t="s">
        <v>301</v>
      </c>
      <c r="J1098">
        <v>10.808596491228061</v>
      </c>
      <c r="K1098">
        <v>10.753</v>
      </c>
      <c r="L1098" s="509">
        <f t="shared" si="42"/>
        <v>1.0051703237448211</v>
      </c>
    </row>
    <row r="1099" spans="1:12">
      <c r="A1099" s="397" t="str">
        <f t="shared" si="41"/>
        <v>-</v>
      </c>
      <c r="F1099" s="496"/>
      <c r="G1099" s="398"/>
      <c r="I1099" t="s">
        <v>190</v>
      </c>
      <c r="J1099">
        <v>10.833890510948905</v>
      </c>
      <c r="K1099">
        <v>10.723000000000001</v>
      </c>
      <c r="L1099" s="509">
        <f t="shared" si="42"/>
        <v>1.0103413700409312</v>
      </c>
    </row>
    <row r="1100" spans="1:12">
      <c r="A1100" s="397" t="str">
        <f t="shared" si="41"/>
        <v>-</v>
      </c>
      <c r="F1100" s="496"/>
      <c r="G1100" s="398"/>
      <c r="I1100" t="s">
        <v>75</v>
      </c>
      <c r="J1100">
        <v>10.834155112651672</v>
      </c>
      <c r="K1100">
        <v>10.731999999999999</v>
      </c>
      <c r="L1100" s="509">
        <f t="shared" si="42"/>
        <v>1.0095187395314642</v>
      </c>
    </row>
    <row r="1101" spans="1:12">
      <c r="A1101" s="397" t="str">
        <f t="shared" si="41"/>
        <v>-</v>
      </c>
      <c r="F1101" s="496"/>
      <c r="G1101" s="398"/>
      <c r="I1101" t="s">
        <v>576</v>
      </c>
      <c r="J1101">
        <v>10.890692307692305</v>
      </c>
      <c r="K1101">
        <v>10.77</v>
      </c>
      <c r="L1101" s="509">
        <f t="shared" si="42"/>
        <v>1.0112063424041138</v>
      </c>
    </row>
    <row r="1102" spans="1:12">
      <c r="A1102" s="397" t="str">
        <f t="shared" ref="A1102:A1165" si="43">B1102&amp;"-"&amp;C1102</f>
        <v>-</v>
      </c>
      <c r="F1102" s="496"/>
      <c r="G1102" s="398"/>
      <c r="I1102" t="s">
        <v>303</v>
      </c>
      <c r="J1102">
        <v>10.919326633165827</v>
      </c>
      <c r="K1102">
        <v>10.737</v>
      </c>
      <c r="L1102" s="509">
        <f t="shared" si="42"/>
        <v>1.0169811523857528</v>
      </c>
    </row>
    <row r="1103" spans="1:12">
      <c r="A1103" s="397" t="str">
        <f t="shared" si="43"/>
        <v>-</v>
      </c>
      <c r="F1103" s="496"/>
      <c r="G1103" s="398"/>
      <c r="I1103" t="s">
        <v>404</v>
      </c>
      <c r="J1103">
        <v>11.041459854014581</v>
      </c>
      <c r="K1103">
        <v>10.983000000000001</v>
      </c>
      <c r="L1103" s="509">
        <f t="shared" si="42"/>
        <v>1.0053227582640973</v>
      </c>
    </row>
    <row r="1104" spans="1:12">
      <c r="A1104" s="397" t="str">
        <f t="shared" si="43"/>
        <v>-</v>
      </c>
      <c r="F1104" s="496"/>
      <c r="G1104" s="398"/>
      <c r="I1104" t="s">
        <v>153</v>
      </c>
      <c r="J1104">
        <v>11.16</v>
      </c>
      <c r="K1104">
        <v>11.143000000000001</v>
      </c>
      <c r="L1104" s="509">
        <f t="shared" si="42"/>
        <v>1.0015256214663915</v>
      </c>
    </row>
    <row r="1105" spans="1:12">
      <c r="A1105" s="397" t="str">
        <f t="shared" si="43"/>
        <v>-</v>
      </c>
      <c r="F1105" s="496"/>
      <c r="G1105" s="398"/>
      <c r="I1105" t="s">
        <v>406</v>
      </c>
      <c r="J1105">
        <v>11.547322695035486</v>
      </c>
      <c r="K1105">
        <v>11.420999999999999</v>
      </c>
      <c r="L1105" s="509">
        <f t="shared" si="42"/>
        <v>1.0110605634388834</v>
      </c>
    </row>
    <row r="1106" spans="1:12">
      <c r="A1106" s="397" t="str">
        <f t="shared" si="43"/>
        <v>-</v>
      </c>
      <c r="F1106" s="496"/>
      <c r="G1106" s="398"/>
      <c r="I1106" t="s">
        <v>436</v>
      </c>
      <c r="J1106">
        <v>11.640323398858559</v>
      </c>
      <c r="K1106">
        <v>11.45</v>
      </c>
      <c r="L1106" s="509">
        <f t="shared" si="42"/>
        <v>1.0166221309046777</v>
      </c>
    </row>
    <row r="1107" spans="1:12">
      <c r="A1107" s="397" t="str">
        <f t="shared" si="43"/>
        <v>-</v>
      </c>
      <c r="F1107" s="496"/>
      <c r="G1107" s="398"/>
      <c r="I1107" t="s">
        <v>188</v>
      </c>
      <c r="J1107">
        <v>11.6563432835821</v>
      </c>
      <c r="K1107">
        <v>11.629</v>
      </c>
      <c r="L1107" s="509">
        <f t="shared" si="42"/>
        <v>1.0023513013657321</v>
      </c>
    </row>
    <row r="1108" spans="1:12">
      <c r="A1108" s="397" t="str">
        <f t="shared" si="43"/>
        <v>-</v>
      </c>
      <c r="F1108" s="496"/>
      <c r="G1108" s="398"/>
      <c r="I1108" t="s">
        <v>180</v>
      </c>
      <c r="J1108">
        <v>11.722666666666681</v>
      </c>
      <c r="K1108">
        <v>11.726000000000001</v>
      </c>
      <c r="L1108" s="509">
        <f t="shared" si="42"/>
        <v>0.9997157314230497</v>
      </c>
    </row>
    <row r="1109" spans="1:12">
      <c r="A1109" s="397" t="str">
        <f t="shared" si="43"/>
        <v>-</v>
      </c>
      <c r="F1109" s="496"/>
      <c r="G1109" s="398"/>
      <c r="I1109" t="s">
        <v>262</v>
      </c>
      <c r="J1109">
        <v>11.797181818181809</v>
      </c>
      <c r="K1109">
        <v>11.811999999999999</v>
      </c>
      <c r="L1109" s="509">
        <f t="shared" si="42"/>
        <v>0.99874549764492115</v>
      </c>
    </row>
    <row r="1110" spans="1:12">
      <c r="A1110" s="397" t="str">
        <f t="shared" si="43"/>
        <v>-</v>
      </c>
      <c r="F1110" s="496"/>
      <c r="G1110" s="398"/>
      <c r="I1110" t="s">
        <v>155</v>
      </c>
      <c r="J1110">
        <v>12.021714731099005</v>
      </c>
      <c r="K1110">
        <v>11.92</v>
      </c>
      <c r="L1110" s="509">
        <f t="shared" si="42"/>
        <v>1.0085331150250842</v>
      </c>
    </row>
    <row r="1111" spans="1:12">
      <c r="A1111" s="397" t="str">
        <f t="shared" si="43"/>
        <v>-</v>
      </c>
      <c r="F1111" s="496"/>
      <c r="G1111" s="398"/>
      <c r="I1111" t="s">
        <v>183</v>
      </c>
      <c r="J1111">
        <v>12.123172413793098</v>
      </c>
      <c r="K1111">
        <v>12.114000000000001</v>
      </c>
      <c r="L1111" s="509">
        <f t="shared" si="42"/>
        <v>1.0007571746568513</v>
      </c>
    </row>
    <row r="1112" spans="1:12">
      <c r="A1112" s="397" t="str">
        <f t="shared" si="43"/>
        <v>-</v>
      </c>
      <c r="F1112" s="496"/>
      <c r="G1112" s="398"/>
      <c r="I1112" t="s">
        <v>885</v>
      </c>
      <c r="J1112">
        <v>12.129386792452824</v>
      </c>
      <c r="K1112">
        <v>11.997999999999999</v>
      </c>
      <c r="L1112" s="509">
        <f t="shared" si="42"/>
        <v>1.0109507244918172</v>
      </c>
    </row>
    <row r="1113" spans="1:12">
      <c r="A1113" s="397" t="str">
        <f t="shared" si="43"/>
        <v>-</v>
      </c>
      <c r="F1113" s="496"/>
      <c r="G1113" s="398"/>
      <c r="I1113" t="s">
        <v>563</v>
      </c>
      <c r="J1113">
        <v>12.21</v>
      </c>
      <c r="K1113">
        <v>12.188000000000001</v>
      </c>
      <c r="L1113" s="509">
        <f t="shared" si="42"/>
        <v>1.0018050541516246</v>
      </c>
    </row>
    <row r="1114" spans="1:12">
      <c r="A1114" s="397" t="str">
        <f t="shared" si="43"/>
        <v>-</v>
      </c>
      <c r="F1114" s="496"/>
      <c r="G1114" s="398"/>
      <c r="I1114" t="s">
        <v>206</v>
      </c>
      <c r="J1114">
        <v>12.259399224806183</v>
      </c>
      <c r="K1114">
        <v>12.295</v>
      </c>
      <c r="L1114" s="509">
        <f t="shared" si="42"/>
        <v>0.9971044509805761</v>
      </c>
    </row>
    <row r="1115" spans="1:12">
      <c r="A1115" s="397" t="str">
        <f t="shared" si="43"/>
        <v>-</v>
      </c>
      <c r="F1115" s="496"/>
      <c r="G1115" s="398"/>
      <c r="I1115" t="s">
        <v>202</v>
      </c>
      <c r="J1115">
        <v>12.435207373271894</v>
      </c>
      <c r="K1115">
        <v>12.352</v>
      </c>
      <c r="L1115" s="509">
        <f t="shared" si="42"/>
        <v>1.0067363482247322</v>
      </c>
    </row>
    <row r="1116" spans="1:12">
      <c r="A1116" s="397" t="str">
        <f t="shared" si="43"/>
        <v>-</v>
      </c>
      <c r="F1116" s="496"/>
      <c r="G1116" s="398"/>
      <c r="I1116" t="s">
        <v>581</v>
      </c>
      <c r="J1116">
        <v>12.464113924050697</v>
      </c>
      <c r="K1116">
        <v>12.222</v>
      </c>
      <c r="L1116" s="509">
        <f t="shared" si="42"/>
        <v>1.0198096812347159</v>
      </c>
    </row>
    <row r="1117" spans="1:12">
      <c r="A1117" s="397" t="str">
        <f t="shared" si="43"/>
        <v>-</v>
      </c>
      <c r="F1117" s="496"/>
      <c r="G1117" s="398"/>
      <c r="I1117" t="s">
        <v>222</v>
      </c>
      <c r="J1117">
        <v>12.553846153846145</v>
      </c>
      <c r="K1117">
        <v>12.435</v>
      </c>
      <c r="L1117" s="509">
        <f t="shared" si="42"/>
        <v>1.0095573907395372</v>
      </c>
    </row>
    <row r="1118" spans="1:12">
      <c r="A1118" s="397" t="str">
        <f t="shared" si="43"/>
        <v>-</v>
      </c>
      <c r="F1118" s="496"/>
      <c r="G1118" s="398"/>
      <c r="I1118" t="s">
        <v>346</v>
      </c>
      <c r="J1118">
        <v>12.613442367601266</v>
      </c>
      <c r="K1118">
        <v>12.435</v>
      </c>
      <c r="L1118" s="509">
        <f t="shared" si="42"/>
        <v>1.014350009457279</v>
      </c>
    </row>
    <row r="1119" spans="1:12">
      <c r="A1119" s="397" t="str">
        <f t="shared" si="43"/>
        <v>-</v>
      </c>
      <c r="F1119" s="496"/>
      <c r="G1119" s="398"/>
      <c r="I1119" t="s">
        <v>476</v>
      </c>
      <c r="J1119">
        <v>12.681605839416049</v>
      </c>
      <c r="K1119">
        <v>12.566000000000001</v>
      </c>
      <c r="L1119" s="509">
        <f t="shared" si="42"/>
        <v>1.009199891724976</v>
      </c>
    </row>
    <row r="1120" spans="1:12">
      <c r="A1120" s="397" t="str">
        <f t="shared" si="43"/>
        <v>-</v>
      </c>
      <c r="F1120" s="496"/>
      <c r="G1120" s="398"/>
      <c r="I1120" t="s">
        <v>182</v>
      </c>
      <c r="J1120">
        <v>12.731470588235293</v>
      </c>
      <c r="K1120">
        <v>12.612</v>
      </c>
      <c r="L1120" s="509">
        <f t="shared" si="42"/>
        <v>1.0094727710303912</v>
      </c>
    </row>
    <row r="1121" spans="1:12">
      <c r="A1121" s="397" t="str">
        <f t="shared" si="43"/>
        <v>-</v>
      </c>
      <c r="F1121" s="496"/>
      <c r="G1121" s="398"/>
      <c r="I1121" t="s">
        <v>334</v>
      </c>
      <c r="J1121">
        <v>12.747563025210082</v>
      </c>
      <c r="K1121">
        <v>12.635</v>
      </c>
      <c r="L1121" s="509">
        <f t="shared" si="42"/>
        <v>1.00890882668857</v>
      </c>
    </row>
    <row r="1122" spans="1:12">
      <c r="A1122" s="397" t="str">
        <f t="shared" si="43"/>
        <v>-</v>
      </c>
      <c r="F1122" s="496"/>
      <c r="G1122" s="398"/>
      <c r="I1122" t="s">
        <v>207</v>
      </c>
      <c r="J1122">
        <v>13.476434782608701</v>
      </c>
      <c r="K1122">
        <v>13.335000000000001</v>
      </c>
      <c r="L1122" s="509">
        <f t="shared" si="42"/>
        <v>1.0106062829102886</v>
      </c>
    </row>
    <row r="1123" spans="1:12">
      <c r="A1123" s="397" t="str">
        <f t="shared" si="43"/>
        <v>-</v>
      </c>
      <c r="F1123" s="496"/>
      <c r="G1123" s="398"/>
      <c r="I1123" t="s">
        <v>178</v>
      </c>
      <c r="J1123">
        <v>13.48840579710145</v>
      </c>
      <c r="K1123">
        <v>13.46</v>
      </c>
      <c r="L1123" s="509">
        <f t="shared" si="42"/>
        <v>1.0021103861145206</v>
      </c>
    </row>
    <row r="1124" spans="1:12">
      <c r="A1124" s="397" t="str">
        <f t="shared" si="43"/>
        <v>-</v>
      </c>
      <c r="F1124" s="496"/>
      <c r="G1124" s="398"/>
      <c r="I1124" t="s">
        <v>831</v>
      </c>
      <c r="J1124">
        <v>13.523333333333332</v>
      </c>
      <c r="K1124">
        <v>13.428000000000001</v>
      </c>
      <c r="L1124" s="509">
        <f t="shared" si="42"/>
        <v>1.0070995928904773</v>
      </c>
    </row>
    <row r="1125" spans="1:12">
      <c r="A1125" s="397" t="str">
        <f t="shared" si="43"/>
        <v>-</v>
      </c>
      <c r="F1125" s="496"/>
      <c r="G1125" s="398"/>
      <c r="I1125" t="s">
        <v>220</v>
      </c>
      <c r="J1125">
        <v>14.109999999999991</v>
      </c>
      <c r="K1125">
        <v>13.974</v>
      </c>
      <c r="L1125" s="509">
        <f t="shared" si="42"/>
        <v>1.0097323600973229</v>
      </c>
    </row>
    <row r="1126" spans="1:12">
      <c r="A1126" s="397" t="str">
        <f t="shared" si="43"/>
        <v>-</v>
      </c>
      <c r="F1126" s="496"/>
      <c r="G1126" s="398"/>
      <c r="I1126" t="s">
        <v>414</v>
      </c>
      <c r="J1126">
        <v>15.272512315270932</v>
      </c>
      <c r="K1126">
        <v>15.095000000000001</v>
      </c>
      <c r="L1126" s="509">
        <f t="shared" si="42"/>
        <v>1.0117596764008567</v>
      </c>
    </row>
    <row r="1127" spans="1:12">
      <c r="A1127" s="397" t="str">
        <f t="shared" si="43"/>
        <v>-</v>
      </c>
      <c r="F1127" s="496"/>
      <c r="G1127" s="398"/>
      <c r="I1127" t="s">
        <v>555</v>
      </c>
      <c r="J1127">
        <v>16.449687500000003</v>
      </c>
      <c r="K1127">
        <v>16.266999999999999</v>
      </c>
      <c r="L1127" s="509">
        <f t="shared" si="42"/>
        <v>1.0112305588000248</v>
      </c>
    </row>
    <row r="1128" spans="1:12">
      <c r="A1128" s="397" t="str">
        <f t="shared" si="43"/>
        <v>-</v>
      </c>
      <c r="F1128" s="496"/>
      <c r="G1128" s="398"/>
      <c r="I1128" t="s">
        <v>1764</v>
      </c>
      <c r="J1128">
        <v>6.7038235294117623</v>
      </c>
      <c r="K1128">
        <v>6.5910000000000002</v>
      </c>
      <c r="L1128" s="509">
        <f t="shared" si="42"/>
        <v>1.0171178166305208</v>
      </c>
    </row>
    <row r="1129" spans="1:12">
      <c r="A1129" s="397" t="str">
        <f t="shared" si="43"/>
        <v>-</v>
      </c>
      <c r="F1129" s="496"/>
      <c r="G1129" s="398"/>
      <c r="I1129" t="s">
        <v>1765</v>
      </c>
      <c r="J1129">
        <v>6.8495349156262577</v>
      </c>
      <c r="K1129">
        <v>6.7880000000000003</v>
      </c>
      <c r="L1129" s="509">
        <f t="shared" si="42"/>
        <v>1.0090652497976218</v>
      </c>
    </row>
    <row r="1130" spans="1:12">
      <c r="A1130" s="397" t="str">
        <f t="shared" si="43"/>
        <v>-</v>
      </c>
      <c r="F1130" s="496"/>
      <c r="G1130" s="398"/>
      <c r="I1130" t="s">
        <v>1766</v>
      </c>
      <c r="J1130">
        <v>6.7655615850580189</v>
      </c>
      <c r="K1130">
        <v>6.7169999999999996</v>
      </c>
      <c r="L1130" s="509">
        <f t="shared" si="42"/>
        <v>1.0072296538719696</v>
      </c>
    </row>
    <row r="1131" spans="1:12">
      <c r="A1131" s="397" t="str">
        <f t="shared" si="43"/>
        <v>-</v>
      </c>
      <c r="F1131" s="496"/>
      <c r="G1131" s="398"/>
      <c r="I1131" t="s">
        <v>1767</v>
      </c>
      <c r="J1131">
        <v>7.293339960238602</v>
      </c>
      <c r="K1131">
        <v>7.2830000000000004</v>
      </c>
      <c r="L1131" s="509">
        <f t="shared" si="42"/>
        <v>1.0014197391512565</v>
      </c>
    </row>
    <row r="1132" spans="1:12">
      <c r="A1132" s="397" t="str">
        <f t="shared" si="43"/>
        <v>-</v>
      </c>
      <c r="F1132" s="496"/>
      <c r="G1132" s="398"/>
      <c r="I1132" t="s">
        <v>1768</v>
      </c>
      <c r="J1132">
        <v>12.141</v>
      </c>
      <c r="K1132">
        <v>12.188000000000001</v>
      </c>
      <c r="L1132" s="509">
        <f t="shared" si="42"/>
        <v>0.99614374794880201</v>
      </c>
    </row>
    <row r="1133" spans="1:12">
      <c r="A1133" s="397" t="str">
        <f t="shared" si="43"/>
        <v>-</v>
      </c>
      <c r="F1133" s="496"/>
      <c r="G1133" s="398"/>
      <c r="I1133" t="s">
        <v>1769</v>
      </c>
      <c r="J1133">
        <v>9.819795918367344</v>
      </c>
      <c r="K1133">
        <v>9.7560000000000002</v>
      </c>
      <c r="L1133" s="509">
        <f t="shared" si="42"/>
        <v>1.0065391470241229</v>
      </c>
    </row>
    <row r="1134" spans="1:12">
      <c r="A1134" s="397" t="str">
        <f t="shared" si="43"/>
        <v>-</v>
      </c>
      <c r="F1134" s="496"/>
      <c r="G1134" s="398"/>
      <c r="I1134" t="s">
        <v>1770</v>
      </c>
      <c r="J1134">
        <v>6.5227884615384593</v>
      </c>
      <c r="K1134">
        <v>6.3879999999999999</v>
      </c>
      <c r="L1134" s="509">
        <f t="shared" si="42"/>
        <v>1.0211002601030776</v>
      </c>
    </row>
    <row r="1135" spans="1:12">
      <c r="A1135" s="397" t="str">
        <f t="shared" si="43"/>
        <v>-</v>
      </c>
      <c r="F1135" s="496"/>
      <c r="G1135" s="398"/>
      <c r="I1135" t="s">
        <v>1771</v>
      </c>
      <c r="J1135">
        <v>12.472566371681424</v>
      </c>
      <c r="K1135">
        <v>12.352</v>
      </c>
      <c r="L1135" s="509">
        <f t="shared" si="42"/>
        <v>1.0097608785363847</v>
      </c>
    </row>
    <row r="1136" spans="1:12">
      <c r="A1136" s="397" t="str">
        <f t="shared" si="43"/>
        <v>-</v>
      </c>
      <c r="F1136" s="496"/>
      <c r="G1136" s="398"/>
      <c r="I1136" t="s">
        <v>1772</v>
      </c>
      <c r="J1136">
        <v>11.02878338278934</v>
      </c>
      <c r="K1136">
        <v>10.946999999999999</v>
      </c>
      <c r="L1136" s="509">
        <f t="shared" si="42"/>
        <v>1.0074708488891333</v>
      </c>
    </row>
    <row r="1137" spans="1:12">
      <c r="A1137" s="397" t="str">
        <f t="shared" si="43"/>
        <v>-</v>
      </c>
      <c r="F1137" s="496"/>
      <c r="G1137" s="398"/>
      <c r="I1137" t="s">
        <v>1773</v>
      </c>
      <c r="J1137">
        <v>4.6890425412504113</v>
      </c>
      <c r="K1137">
        <v>4.6109999999999998</v>
      </c>
      <c r="L1137" s="509">
        <f t="shared" si="42"/>
        <v>1.0169252963024098</v>
      </c>
    </row>
    <row r="1138" spans="1:12">
      <c r="A1138" s="397" t="str">
        <f t="shared" si="43"/>
        <v>-</v>
      </c>
      <c r="F1138" s="496"/>
      <c r="G1138" s="398"/>
      <c r="I1138" t="s">
        <v>1774</v>
      </c>
      <c r="J1138">
        <v>7.0192158828837865</v>
      </c>
      <c r="K1138">
        <v>6.9349999999999996</v>
      </c>
      <c r="L1138" s="509">
        <f t="shared" si="42"/>
        <v>1.0121436024345762</v>
      </c>
    </row>
    <row r="1139" spans="1:12">
      <c r="A1139" s="397" t="str">
        <f t="shared" si="43"/>
        <v>-</v>
      </c>
      <c r="F1139" s="496"/>
      <c r="G1139" s="398"/>
      <c r="I1139" t="s">
        <v>1775</v>
      </c>
      <c r="J1139">
        <v>10.050260663507119</v>
      </c>
      <c r="K1139">
        <v>10.023</v>
      </c>
      <c r="L1139" s="509">
        <f t="shared" si="42"/>
        <v>1.0027198107859043</v>
      </c>
    </row>
    <row r="1140" spans="1:12">
      <c r="A1140" s="397" t="str">
        <f t="shared" si="43"/>
        <v>-</v>
      </c>
      <c r="F1140" s="496"/>
      <c r="G1140" s="398"/>
      <c r="I1140" t="s">
        <v>1776</v>
      </c>
      <c r="J1140">
        <v>8.3551282051281994</v>
      </c>
      <c r="K1140">
        <v>8.2469999999999999</v>
      </c>
      <c r="L1140" s="509">
        <f t="shared" si="42"/>
        <v>1.0131112168216563</v>
      </c>
    </row>
    <row r="1141" spans="1:12">
      <c r="A1141" s="397" t="str">
        <f t="shared" si="43"/>
        <v>-</v>
      </c>
      <c r="F1141" s="496"/>
      <c r="G1141" s="398"/>
      <c r="I1141" t="s">
        <v>1777</v>
      </c>
      <c r="J1141">
        <v>7.405431143114277</v>
      </c>
      <c r="K1141">
        <v>7.2690000000000001</v>
      </c>
      <c r="L1141" s="509">
        <f t="shared" si="42"/>
        <v>1.0187689012400987</v>
      </c>
    </row>
    <row r="1142" spans="1:12">
      <c r="A1142" s="397" t="str">
        <f t="shared" si="43"/>
        <v>-</v>
      </c>
      <c r="F1142" s="496"/>
      <c r="G1142" s="398"/>
      <c r="I1142" t="s">
        <v>1778</v>
      </c>
      <c r="J1142">
        <v>9.2142596348884176</v>
      </c>
      <c r="K1142">
        <v>9.2040000000000006</v>
      </c>
      <c r="L1142" s="509">
        <f t="shared" si="42"/>
        <v>1.0011146930561079</v>
      </c>
    </row>
    <row r="1143" spans="1:12">
      <c r="A1143" s="397" t="str">
        <f t="shared" si="43"/>
        <v>-</v>
      </c>
      <c r="F1143" s="496"/>
      <c r="G1143" s="398"/>
      <c r="I1143" t="s">
        <v>1779</v>
      </c>
      <c r="J1143">
        <v>11.842407407407405</v>
      </c>
      <c r="K1143">
        <v>11.811999999999999</v>
      </c>
      <c r="L1143" s="509">
        <f t="shared" si="42"/>
        <v>1.0025742810199294</v>
      </c>
    </row>
    <row r="1144" spans="1:12">
      <c r="A1144" s="397" t="str">
        <f t="shared" si="43"/>
        <v>-</v>
      </c>
      <c r="F1144" s="496"/>
      <c r="G1144" s="398"/>
      <c r="I1144" t="s">
        <v>1780</v>
      </c>
      <c r="J1144">
        <v>4.7310291262135902</v>
      </c>
      <c r="K1144">
        <v>4.673</v>
      </c>
      <c r="L1144" s="509">
        <f t="shared" si="42"/>
        <v>1.0124179598145924</v>
      </c>
    </row>
    <row r="1145" spans="1:12">
      <c r="A1145" s="397" t="str">
        <f t="shared" si="43"/>
        <v>-</v>
      </c>
      <c r="F1145" s="496"/>
      <c r="G1145" s="398"/>
      <c r="I1145" t="s">
        <v>1781</v>
      </c>
      <c r="J1145">
        <v>4.9410326339340829</v>
      </c>
      <c r="K1145">
        <v>4.8810000000000002</v>
      </c>
      <c r="L1145" s="509">
        <f t="shared" si="42"/>
        <v>1.012299248910896</v>
      </c>
    </row>
    <row r="1146" spans="1:12">
      <c r="A1146" s="397" t="str">
        <f t="shared" si="43"/>
        <v>-</v>
      </c>
      <c r="F1146" s="496"/>
      <c r="G1146" s="398"/>
      <c r="I1146" t="s">
        <v>1782</v>
      </c>
      <c r="J1146">
        <v>14.179428571428573</v>
      </c>
      <c r="K1146">
        <v>13.974</v>
      </c>
      <c r="L1146" s="509">
        <f t="shared" si="42"/>
        <v>1.0147007708192768</v>
      </c>
    </row>
    <row r="1147" spans="1:12">
      <c r="A1147" s="397" t="str">
        <f t="shared" si="43"/>
        <v>-</v>
      </c>
      <c r="F1147" s="496"/>
      <c r="G1147" s="398"/>
      <c r="I1147" t="s">
        <v>1783</v>
      </c>
      <c r="J1147">
        <v>7.9679452054794702</v>
      </c>
      <c r="K1147">
        <v>7.968</v>
      </c>
      <c r="L1147" s="509">
        <f t="shared" si="42"/>
        <v>0.99999312317764433</v>
      </c>
    </row>
    <row r="1148" spans="1:12">
      <c r="A1148" s="397" t="str">
        <f t="shared" si="43"/>
        <v>-</v>
      </c>
      <c r="F1148" s="496"/>
      <c r="G1148" s="398"/>
      <c r="I1148" t="s">
        <v>1784</v>
      </c>
      <c r="J1148">
        <v>6.5665405405405375</v>
      </c>
      <c r="K1148">
        <v>6.5460000000000003</v>
      </c>
      <c r="L1148" s="509">
        <f t="shared" si="42"/>
        <v>1.0031378766484169</v>
      </c>
    </row>
    <row r="1149" spans="1:12">
      <c r="A1149" s="397" t="str">
        <f t="shared" si="43"/>
        <v>-</v>
      </c>
      <c r="F1149" s="496"/>
      <c r="G1149" s="398"/>
      <c r="I1149" t="s">
        <v>1785</v>
      </c>
      <c r="J1149">
        <v>10.87</v>
      </c>
      <c r="K1149">
        <v>10.819000000000001</v>
      </c>
      <c r="L1149" s="509">
        <f t="shared" si="42"/>
        <v>1.0047139291986318</v>
      </c>
    </row>
    <row r="1150" spans="1:12">
      <c r="A1150" s="397" t="str">
        <f t="shared" si="43"/>
        <v>-</v>
      </c>
      <c r="F1150" s="496"/>
      <c r="G1150" s="398"/>
      <c r="I1150" t="s">
        <v>1786</v>
      </c>
      <c r="J1150">
        <v>10.904183673469396</v>
      </c>
      <c r="K1150">
        <v>10.848000000000001</v>
      </c>
      <c r="L1150" s="509">
        <f t="shared" si="42"/>
        <v>1.0051791734392879</v>
      </c>
    </row>
    <row r="1151" spans="1:12">
      <c r="A1151" s="397" t="str">
        <f t="shared" si="43"/>
        <v>-</v>
      </c>
      <c r="F1151" s="496"/>
      <c r="G1151" s="398"/>
      <c r="I1151" t="s">
        <v>1787</v>
      </c>
      <c r="J1151">
        <v>9.0793580959250537</v>
      </c>
      <c r="K1151">
        <v>8.9689999999999994</v>
      </c>
      <c r="L1151" s="509">
        <f t="shared" si="42"/>
        <v>1.0123043924545718</v>
      </c>
    </row>
    <row r="1152" spans="1:12">
      <c r="A1152" s="397" t="str">
        <f t="shared" si="43"/>
        <v>-</v>
      </c>
      <c r="F1152" s="496"/>
      <c r="G1152" s="398"/>
      <c r="I1152" t="s">
        <v>1788</v>
      </c>
      <c r="J1152">
        <v>10.474119850187259</v>
      </c>
      <c r="K1152">
        <v>10.526999999999999</v>
      </c>
      <c r="L1152" s="509">
        <f t="shared" si="42"/>
        <v>0.99497671228149143</v>
      </c>
    </row>
    <row r="1153" spans="1:12">
      <c r="A1153" s="397" t="str">
        <f t="shared" si="43"/>
        <v>-</v>
      </c>
      <c r="F1153" s="496"/>
      <c r="G1153" s="398"/>
      <c r="I1153" t="s">
        <v>1789</v>
      </c>
      <c r="J1153">
        <v>16.392656250000002</v>
      </c>
      <c r="K1153">
        <v>16.079999999999998</v>
      </c>
      <c r="L1153" s="509">
        <f t="shared" si="42"/>
        <v>1.0194437966417913</v>
      </c>
    </row>
    <row r="1154" spans="1:12">
      <c r="A1154" s="397" t="str">
        <f t="shared" si="43"/>
        <v>-</v>
      </c>
      <c r="F1154" s="496"/>
      <c r="G1154" s="398"/>
      <c r="I1154" t="s">
        <v>1790</v>
      </c>
      <c r="J1154">
        <v>8.4523000000000099</v>
      </c>
      <c r="K1154">
        <v>8.5340000000000007</v>
      </c>
      <c r="L1154" s="509">
        <f t="shared" si="42"/>
        <v>0.99042652917740914</v>
      </c>
    </row>
    <row r="1155" spans="1:12">
      <c r="A1155" s="397" t="str">
        <f t="shared" si="43"/>
        <v>-</v>
      </c>
      <c r="F1155" s="496"/>
      <c r="G1155" s="398"/>
      <c r="I1155" t="s">
        <v>1791</v>
      </c>
      <c r="J1155">
        <v>9.0576030368763885</v>
      </c>
      <c r="K1155">
        <v>8.8320000000000007</v>
      </c>
      <c r="L1155" s="509">
        <f t="shared" si="42"/>
        <v>1.0255438221100983</v>
      </c>
    </row>
    <row r="1156" spans="1:12">
      <c r="A1156" s="397" t="str">
        <f t="shared" si="43"/>
        <v>-</v>
      </c>
      <c r="F1156" s="496"/>
      <c r="G1156" s="398"/>
      <c r="I1156" t="s">
        <v>1792</v>
      </c>
      <c r="J1156">
        <v>6.2575714285714268</v>
      </c>
      <c r="K1156">
        <v>6.1509999999999998</v>
      </c>
      <c r="L1156" s="509">
        <f t="shared" si="42"/>
        <v>1.0173258703578973</v>
      </c>
    </row>
    <row r="1157" spans="1:12">
      <c r="A1157" s="397" t="str">
        <f t="shared" si="43"/>
        <v>-</v>
      </c>
      <c r="F1157" s="496"/>
      <c r="G1157" s="398"/>
      <c r="I1157" t="s">
        <v>1793</v>
      </c>
      <c r="J1157">
        <v>10.742282608695659</v>
      </c>
      <c r="K1157">
        <v>10.753</v>
      </c>
      <c r="L1157" s="509">
        <f t="shared" si="42"/>
        <v>0.99900331151266242</v>
      </c>
    </row>
    <row r="1158" spans="1:12">
      <c r="A1158" s="397" t="str">
        <f t="shared" si="43"/>
        <v>-</v>
      </c>
      <c r="F1158" s="496"/>
      <c r="G1158" s="398"/>
      <c r="I1158" t="s">
        <v>1794</v>
      </c>
      <c r="J1158">
        <v>5.3970940170940223</v>
      </c>
      <c r="K1158">
        <v>5.367</v>
      </c>
      <c r="L1158" s="509">
        <f t="shared" si="42"/>
        <v>1.0056072325496594</v>
      </c>
    </row>
    <row r="1159" spans="1:12">
      <c r="A1159" s="397" t="str">
        <f t="shared" si="43"/>
        <v>-</v>
      </c>
      <c r="F1159" s="496"/>
      <c r="G1159" s="398"/>
      <c r="I1159" t="s">
        <v>1795</v>
      </c>
      <c r="J1159">
        <v>10.841492537313423</v>
      </c>
      <c r="K1159">
        <v>10.77</v>
      </c>
      <c r="L1159" s="509">
        <f t="shared" ref="L1159:L1222" si="44">J1159/K1159</f>
        <v>1.0066381185992037</v>
      </c>
    </row>
    <row r="1160" spans="1:12">
      <c r="A1160" s="397" t="str">
        <f t="shared" si="43"/>
        <v>-</v>
      </c>
      <c r="F1160" s="496"/>
      <c r="G1160" s="398"/>
      <c r="I1160" t="s">
        <v>1796</v>
      </c>
      <c r="J1160">
        <v>11.807848101265828</v>
      </c>
      <c r="K1160">
        <v>11.726000000000001</v>
      </c>
      <c r="L1160" s="509">
        <f t="shared" si="44"/>
        <v>1.0069800529819057</v>
      </c>
    </row>
    <row r="1161" spans="1:12">
      <c r="A1161" s="397" t="str">
        <f t="shared" si="43"/>
        <v>-</v>
      </c>
      <c r="F1161" s="496"/>
      <c r="G1161" s="398"/>
      <c r="I1161" t="s">
        <v>1797</v>
      </c>
      <c r="J1161">
        <v>8.4254211087419737</v>
      </c>
      <c r="K1161">
        <v>8.3230000000000004</v>
      </c>
      <c r="L1161" s="509">
        <f t="shared" si="44"/>
        <v>1.0123057922314038</v>
      </c>
    </row>
    <row r="1162" spans="1:12">
      <c r="A1162" s="397" t="str">
        <f t="shared" si="43"/>
        <v>-</v>
      </c>
      <c r="F1162" s="496"/>
      <c r="G1162" s="398"/>
      <c r="I1162" t="s">
        <v>1798</v>
      </c>
      <c r="J1162">
        <v>12.828749999999996</v>
      </c>
      <c r="K1162">
        <v>12.635</v>
      </c>
      <c r="L1162" s="509">
        <f t="shared" si="44"/>
        <v>1.0153343886030863</v>
      </c>
    </row>
    <row r="1163" spans="1:12">
      <c r="A1163" s="397" t="str">
        <f t="shared" si="43"/>
        <v>-</v>
      </c>
      <c r="F1163" s="496"/>
      <c r="G1163" s="398"/>
      <c r="I1163" t="s">
        <v>1799</v>
      </c>
      <c r="J1163">
        <v>6.756087235407354</v>
      </c>
      <c r="K1163">
        <v>6.6479999999999997</v>
      </c>
      <c r="L1163" s="509">
        <f t="shared" si="44"/>
        <v>1.0162586094174721</v>
      </c>
    </row>
    <row r="1164" spans="1:12">
      <c r="A1164" s="397" t="str">
        <f t="shared" si="43"/>
        <v>-</v>
      </c>
      <c r="F1164" s="496"/>
      <c r="G1164" s="398"/>
      <c r="I1164" t="s">
        <v>1800</v>
      </c>
      <c r="J1164">
        <v>11.543214285714283</v>
      </c>
      <c r="K1164">
        <v>11.487</v>
      </c>
      <c r="L1164" s="509">
        <f t="shared" si="44"/>
        <v>1.0048937308012782</v>
      </c>
    </row>
    <row r="1165" spans="1:12">
      <c r="A1165" s="397" t="str">
        <f t="shared" si="43"/>
        <v>-</v>
      </c>
      <c r="F1165" s="496"/>
      <c r="G1165" s="398"/>
      <c r="I1165" t="s">
        <v>1801</v>
      </c>
      <c r="J1165">
        <v>10.203900000000004</v>
      </c>
      <c r="K1165">
        <v>10.199999999999999</v>
      </c>
      <c r="L1165" s="509">
        <f t="shared" si="44"/>
        <v>1.0003823529411771</v>
      </c>
    </row>
    <row r="1166" spans="1:12">
      <c r="A1166" s="397" t="str">
        <f t="shared" ref="A1166:A1229" si="45">B1166&amp;"-"&amp;C1166</f>
        <v>-</v>
      </c>
      <c r="F1166" s="496"/>
      <c r="G1166" s="398"/>
      <c r="I1166" t="s">
        <v>1802</v>
      </c>
      <c r="J1166">
        <v>7.5421428571428546</v>
      </c>
      <c r="K1166">
        <v>7.5060000000000002</v>
      </c>
      <c r="L1166" s="509">
        <f t="shared" si="44"/>
        <v>1.0048151954626772</v>
      </c>
    </row>
    <row r="1167" spans="1:12">
      <c r="A1167" s="397" t="str">
        <f t="shared" si="45"/>
        <v>-</v>
      </c>
      <c r="F1167" s="496"/>
      <c r="G1167" s="398"/>
      <c r="I1167" t="s">
        <v>1803</v>
      </c>
      <c r="J1167">
        <v>6.9868965517241408</v>
      </c>
      <c r="K1167">
        <v>6.9329999999999998</v>
      </c>
      <c r="L1167" s="509">
        <f t="shared" si="44"/>
        <v>1.0077739148599656</v>
      </c>
    </row>
    <row r="1168" spans="1:12">
      <c r="A1168" s="397" t="str">
        <f t="shared" si="45"/>
        <v>-</v>
      </c>
      <c r="F1168" s="496"/>
      <c r="G1168" s="398"/>
      <c r="I1168" t="s">
        <v>1804</v>
      </c>
      <c r="J1168">
        <v>6.8719261926192514</v>
      </c>
      <c r="K1168">
        <v>6.843</v>
      </c>
      <c r="L1168" s="509">
        <f t="shared" si="44"/>
        <v>1.0042271215284599</v>
      </c>
    </row>
    <row r="1169" spans="1:12">
      <c r="A1169" s="397" t="str">
        <f t="shared" si="45"/>
        <v>-</v>
      </c>
      <c r="F1169" s="496"/>
      <c r="G1169" s="398"/>
      <c r="I1169" t="s">
        <v>1805</v>
      </c>
      <c r="J1169">
        <v>10.917583547557845</v>
      </c>
      <c r="K1169">
        <v>10.737</v>
      </c>
      <c r="L1169" s="509">
        <f t="shared" si="44"/>
        <v>1.0168188085645753</v>
      </c>
    </row>
    <row r="1170" spans="1:12">
      <c r="A1170" s="397" t="str">
        <f t="shared" si="45"/>
        <v>-</v>
      </c>
      <c r="F1170" s="496"/>
      <c r="G1170" s="398"/>
      <c r="I1170" t="s">
        <v>1806</v>
      </c>
      <c r="J1170">
        <v>10.239692307692311</v>
      </c>
      <c r="K1170">
        <v>10.227</v>
      </c>
      <c r="L1170" s="509">
        <f t="shared" si="44"/>
        <v>1.0012410587359255</v>
      </c>
    </row>
    <row r="1171" spans="1:12">
      <c r="A1171" s="397" t="str">
        <f t="shared" si="45"/>
        <v>-</v>
      </c>
      <c r="F1171" s="496"/>
      <c r="G1171" s="398"/>
      <c r="I1171" t="s">
        <v>1807</v>
      </c>
      <c r="J1171">
        <v>12.770575539568341</v>
      </c>
      <c r="K1171">
        <v>12.635</v>
      </c>
      <c r="L1171" s="509">
        <f t="shared" si="44"/>
        <v>1.0107301574648471</v>
      </c>
    </row>
    <row r="1172" spans="1:12">
      <c r="A1172" s="397" t="str">
        <f t="shared" si="45"/>
        <v>-</v>
      </c>
      <c r="F1172" s="496"/>
      <c r="G1172" s="398"/>
      <c r="I1172" t="s">
        <v>1808</v>
      </c>
      <c r="J1172">
        <v>7.1787986463620941</v>
      </c>
      <c r="K1172">
        <v>7.1260000000000003</v>
      </c>
      <c r="L1172" s="509">
        <f t="shared" si="44"/>
        <v>1.0074092964302686</v>
      </c>
    </row>
    <row r="1173" spans="1:12">
      <c r="A1173" s="397" t="str">
        <f t="shared" si="45"/>
        <v>-</v>
      </c>
      <c r="F1173" s="496"/>
      <c r="G1173" s="398"/>
      <c r="I1173" t="s">
        <v>1809</v>
      </c>
      <c r="J1173">
        <v>10.014663573085848</v>
      </c>
      <c r="K1173">
        <v>9.9700000000000006</v>
      </c>
      <c r="L1173" s="509">
        <f t="shared" si="44"/>
        <v>1.0044797966986807</v>
      </c>
    </row>
    <row r="1174" spans="1:12">
      <c r="A1174" s="397" t="str">
        <f t="shared" si="45"/>
        <v>-</v>
      </c>
      <c r="F1174" s="496"/>
      <c r="G1174" s="398"/>
      <c r="I1174" t="s">
        <v>1810</v>
      </c>
      <c r="J1174">
        <v>14.415833333333332</v>
      </c>
      <c r="K1174">
        <v>14.24</v>
      </c>
      <c r="L1174" s="509">
        <f t="shared" si="44"/>
        <v>1.0123478464419475</v>
      </c>
    </row>
    <row r="1175" spans="1:12">
      <c r="A1175" s="397" t="str">
        <f t="shared" si="45"/>
        <v>-</v>
      </c>
      <c r="F1175" s="496"/>
      <c r="G1175" s="398"/>
      <c r="I1175" t="s">
        <v>1811</v>
      </c>
      <c r="J1175">
        <v>7.0204090909090917</v>
      </c>
      <c r="K1175">
        <v>7.0179999999999998</v>
      </c>
      <c r="L1175" s="509">
        <f t="shared" si="44"/>
        <v>1.0003432731417914</v>
      </c>
    </row>
    <row r="1176" spans="1:12">
      <c r="A1176" s="397" t="str">
        <f t="shared" si="45"/>
        <v>-</v>
      </c>
      <c r="F1176" s="496"/>
      <c r="G1176" s="398"/>
      <c r="I1176" t="s">
        <v>1812</v>
      </c>
      <c r="J1176">
        <v>10.667</v>
      </c>
      <c r="K1176">
        <v>10.474</v>
      </c>
      <c r="L1176" s="509">
        <f t="shared" si="44"/>
        <v>1.0184265801031125</v>
      </c>
    </row>
    <row r="1177" spans="1:12">
      <c r="A1177" s="397" t="str">
        <f t="shared" si="45"/>
        <v>-</v>
      </c>
      <c r="F1177" s="496"/>
      <c r="G1177" s="398"/>
      <c r="I1177" t="s">
        <v>1813</v>
      </c>
      <c r="J1177">
        <v>10.58045945945946</v>
      </c>
      <c r="K1177">
        <v>10.481</v>
      </c>
      <c r="L1177" s="509">
        <f t="shared" si="44"/>
        <v>1.0094895009502396</v>
      </c>
    </row>
    <row r="1178" spans="1:12">
      <c r="A1178" s="397" t="str">
        <f t="shared" si="45"/>
        <v>-</v>
      </c>
      <c r="F1178" s="496"/>
      <c r="G1178" s="398"/>
      <c r="I1178" t="s">
        <v>1814</v>
      </c>
      <c r="J1178">
        <v>8.977707468879661</v>
      </c>
      <c r="K1178">
        <v>8.8420000000000005</v>
      </c>
      <c r="L1178" s="509">
        <f t="shared" si="44"/>
        <v>1.0153480512191428</v>
      </c>
    </row>
    <row r="1179" spans="1:12">
      <c r="A1179" s="397" t="str">
        <f t="shared" si="45"/>
        <v>-</v>
      </c>
      <c r="F1179" s="496"/>
      <c r="G1179" s="398"/>
      <c r="I1179" t="s">
        <v>1815</v>
      </c>
      <c r="J1179">
        <v>10.01388888888888</v>
      </c>
      <c r="K1179">
        <v>9.952</v>
      </c>
      <c r="L1179" s="509">
        <f t="shared" si="44"/>
        <v>1.0062187388352974</v>
      </c>
    </row>
    <row r="1180" spans="1:12">
      <c r="A1180" s="397" t="str">
        <f t="shared" si="45"/>
        <v>-</v>
      </c>
      <c r="F1180" s="496"/>
      <c r="G1180" s="398"/>
      <c r="I1180" t="s">
        <v>1816</v>
      </c>
      <c r="J1180">
        <v>8.9347368421052824</v>
      </c>
      <c r="K1180">
        <v>8.891</v>
      </c>
      <c r="L1180" s="509">
        <f t="shared" si="44"/>
        <v>1.0049192264205693</v>
      </c>
    </row>
    <row r="1181" spans="1:12">
      <c r="A1181" s="397" t="str">
        <f t="shared" si="45"/>
        <v>-</v>
      </c>
      <c r="F1181" s="496"/>
      <c r="G1181" s="398"/>
      <c r="I1181" t="s">
        <v>1817</v>
      </c>
      <c r="J1181">
        <v>6.5537122557726564</v>
      </c>
      <c r="K1181">
        <v>6.4349999999999996</v>
      </c>
      <c r="L1181" s="509">
        <f t="shared" si="44"/>
        <v>1.0184479029949738</v>
      </c>
    </row>
    <row r="1182" spans="1:12">
      <c r="A1182" s="397" t="str">
        <f t="shared" si="45"/>
        <v>-</v>
      </c>
      <c r="F1182" s="496"/>
      <c r="G1182" s="398"/>
      <c r="I1182" t="s">
        <v>1818</v>
      </c>
      <c r="J1182">
        <v>8.7628787878787939</v>
      </c>
      <c r="K1182">
        <v>8.6240000000000006</v>
      </c>
      <c r="L1182" s="509">
        <f t="shared" si="44"/>
        <v>1.0161037555518082</v>
      </c>
    </row>
    <row r="1183" spans="1:12">
      <c r="A1183" s="397" t="str">
        <f t="shared" si="45"/>
        <v>-</v>
      </c>
      <c r="F1183" s="496"/>
      <c r="G1183" s="398"/>
      <c r="I1183" t="s">
        <v>1819</v>
      </c>
      <c r="J1183">
        <v>9.8655882352941102</v>
      </c>
      <c r="K1183">
        <v>9.7769999999999992</v>
      </c>
      <c r="L1183" s="509">
        <f t="shared" si="44"/>
        <v>1.0090608811797188</v>
      </c>
    </row>
    <row r="1184" spans="1:12">
      <c r="A1184" s="397" t="str">
        <f t="shared" si="45"/>
        <v>-</v>
      </c>
      <c r="F1184" s="496"/>
      <c r="G1184" s="398"/>
      <c r="I1184" t="s">
        <v>1820</v>
      </c>
      <c r="J1184">
        <v>11.057785234899319</v>
      </c>
      <c r="K1184">
        <v>10.983000000000001</v>
      </c>
      <c r="L1184" s="509">
        <f t="shared" si="44"/>
        <v>1.0068091809978437</v>
      </c>
    </row>
    <row r="1185" spans="1:12">
      <c r="A1185" s="397" t="str">
        <f t="shared" si="45"/>
        <v>-</v>
      </c>
      <c r="F1185" s="496"/>
      <c r="G1185" s="398"/>
      <c r="I1185" t="s">
        <v>1821</v>
      </c>
      <c r="J1185">
        <v>11.573374999999993</v>
      </c>
      <c r="K1185">
        <v>11.554</v>
      </c>
      <c r="L1185" s="509">
        <f t="shared" si="44"/>
        <v>1.0016769084299804</v>
      </c>
    </row>
    <row r="1186" spans="1:12">
      <c r="A1186" s="397" t="str">
        <f t="shared" si="45"/>
        <v>-</v>
      </c>
      <c r="F1186" s="496"/>
      <c r="G1186" s="398"/>
      <c r="I1186" t="s">
        <v>1822</v>
      </c>
      <c r="J1186">
        <v>11.611176470588241</v>
      </c>
      <c r="K1186">
        <v>11.45</v>
      </c>
      <c r="L1186" s="509">
        <f t="shared" si="44"/>
        <v>1.0140765476496281</v>
      </c>
    </row>
    <row r="1187" spans="1:12">
      <c r="A1187" s="397" t="str">
        <f t="shared" si="45"/>
        <v>-</v>
      </c>
      <c r="F1187" s="496"/>
      <c r="G1187" s="398"/>
      <c r="I1187" t="s">
        <v>1823</v>
      </c>
      <c r="J1187">
        <v>13.484727272727271</v>
      </c>
      <c r="K1187">
        <v>13.335000000000001</v>
      </c>
      <c r="L1187" s="509">
        <f t="shared" si="44"/>
        <v>1.0112281419368032</v>
      </c>
    </row>
    <row r="1188" spans="1:12">
      <c r="A1188" s="397" t="str">
        <f t="shared" si="45"/>
        <v>-</v>
      </c>
      <c r="F1188" s="496"/>
      <c r="G1188" s="398"/>
      <c r="I1188" t="s">
        <v>1824</v>
      </c>
      <c r="J1188">
        <v>11.986220930232564</v>
      </c>
      <c r="K1188">
        <v>11.92</v>
      </c>
      <c r="L1188" s="509">
        <f t="shared" si="44"/>
        <v>1.0055554471671615</v>
      </c>
    </row>
    <row r="1189" spans="1:12">
      <c r="A1189" s="397" t="str">
        <f t="shared" si="45"/>
        <v>-</v>
      </c>
      <c r="F1189" s="496"/>
      <c r="G1189" s="398"/>
      <c r="I1189" t="s">
        <v>1825</v>
      </c>
      <c r="J1189">
        <v>11.690462375339971</v>
      </c>
      <c r="K1189">
        <v>11.629</v>
      </c>
      <c r="L1189" s="509">
        <f t="shared" si="44"/>
        <v>1.005285267464096</v>
      </c>
    </row>
    <row r="1190" spans="1:12">
      <c r="A1190" s="397" t="str">
        <f t="shared" si="45"/>
        <v>-</v>
      </c>
      <c r="F1190" s="496"/>
      <c r="G1190" s="398"/>
      <c r="I1190" t="s">
        <v>1826</v>
      </c>
      <c r="J1190">
        <v>12.270514705882373</v>
      </c>
      <c r="K1190">
        <v>12.295</v>
      </c>
      <c r="L1190" s="509">
        <f t="shared" si="44"/>
        <v>0.99800851613520725</v>
      </c>
    </row>
    <row r="1191" spans="1:12">
      <c r="A1191" s="397" t="str">
        <f t="shared" si="45"/>
        <v>-</v>
      </c>
      <c r="F1191" s="496"/>
      <c r="G1191" s="398"/>
      <c r="I1191" t="s">
        <v>1827</v>
      </c>
      <c r="J1191">
        <v>10.87</v>
      </c>
      <c r="K1191">
        <v>10.664</v>
      </c>
      <c r="L1191" s="509">
        <f t="shared" si="44"/>
        <v>1.019317329332333</v>
      </c>
    </row>
    <row r="1192" spans="1:12">
      <c r="A1192" s="397" t="str">
        <f t="shared" si="45"/>
        <v>-</v>
      </c>
      <c r="F1192" s="496"/>
      <c r="G1192" s="398"/>
      <c r="I1192" t="s">
        <v>1828</v>
      </c>
      <c r="J1192">
        <v>12.587387387387391</v>
      </c>
      <c r="K1192">
        <v>12.435</v>
      </c>
      <c r="L1192" s="509">
        <f t="shared" si="44"/>
        <v>1.0122547155116519</v>
      </c>
    </row>
    <row r="1193" spans="1:12">
      <c r="A1193" s="397" t="str">
        <f t="shared" si="45"/>
        <v>-</v>
      </c>
      <c r="F1193" s="496"/>
      <c r="G1193" s="398"/>
      <c r="I1193" t="s">
        <v>1829</v>
      </c>
      <c r="J1193">
        <v>12.062661870503595</v>
      </c>
      <c r="K1193">
        <v>12.114000000000001</v>
      </c>
      <c r="L1193" s="509">
        <f t="shared" si="44"/>
        <v>0.99576208275578615</v>
      </c>
    </row>
    <row r="1194" spans="1:12">
      <c r="A1194" s="397" t="str">
        <f t="shared" si="45"/>
        <v>-</v>
      </c>
      <c r="F1194" s="496"/>
      <c r="G1194" s="398"/>
      <c r="I1194" t="s">
        <v>1830</v>
      </c>
      <c r="J1194">
        <v>9.2960526315789451</v>
      </c>
      <c r="K1194">
        <v>9.2710000000000008</v>
      </c>
      <c r="L1194" s="509">
        <f t="shared" si="44"/>
        <v>1.0027022577477018</v>
      </c>
    </row>
    <row r="1195" spans="1:12">
      <c r="A1195" s="397" t="str">
        <f t="shared" si="45"/>
        <v>-</v>
      </c>
      <c r="F1195" s="496"/>
      <c r="G1195" s="398"/>
      <c r="I1195" t="s">
        <v>1831</v>
      </c>
      <c r="J1195">
        <v>11.380344827586207</v>
      </c>
      <c r="K1195">
        <v>11.298999999999999</v>
      </c>
      <c r="L1195" s="509">
        <f t="shared" si="44"/>
        <v>1.0071992944142143</v>
      </c>
    </row>
    <row r="1196" spans="1:12">
      <c r="A1196" s="397" t="str">
        <f t="shared" si="45"/>
        <v>-</v>
      </c>
      <c r="F1196" s="496"/>
      <c r="G1196" s="398"/>
      <c r="I1196" t="s">
        <v>1832</v>
      </c>
      <c r="J1196">
        <v>7.5238043478260748</v>
      </c>
      <c r="K1196">
        <v>7.5019999999999998</v>
      </c>
      <c r="L1196" s="509">
        <f t="shared" si="44"/>
        <v>1.002906471317792</v>
      </c>
    </row>
    <row r="1197" spans="1:12">
      <c r="A1197" s="397" t="str">
        <f t="shared" si="45"/>
        <v>-</v>
      </c>
      <c r="F1197" s="496"/>
      <c r="G1197" s="398"/>
      <c r="I1197" t="s">
        <v>1833</v>
      </c>
      <c r="J1197">
        <v>13.72875</v>
      </c>
      <c r="K1197">
        <v>13.510999999999999</v>
      </c>
      <c r="L1197" s="509">
        <f t="shared" si="44"/>
        <v>1.0161164976685664</v>
      </c>
    </row>
    <row r="1198" spans="1:12">
      <c r="A1198" s="397" t="str">
        <f t="shared" si="45"/>
        <v>-</v>
      </c>
      <c r="F1198" s="496"/>
      <c r="G1198" s="398"/>
      <c r="I1198" t="s">
        <v>1834</v>
      </c>
      <c r="J1198">
        <v>7.4582067510548535</v>
      </c>
      <c r="K1198">
        <v>7.3860000000000001</v>
      </c>
      <c r="L1198" s="509">
        <f t="shared" si="44"/>
        <v>1.0097761645078329</v>
      </c>
    </row>
    <row r="1199" spans="1:12">
      <c r="A1199" s="397" t="str">
        <f t="shared" si="45"/>
        <v>-</v>
      </c>
      <c r="F1199" s="496"/>
      <c r="G1199" s="398"/>
      <c r="I1199" t="s">
        <v>1835</v>
      </c>
      <c r="J1199">
        <v>8.4924895833333469</v>
      </c>
      <c r="K1199">
        <v>8.39</v>
      </c>
      <c r="L1199" s="509">
        <f t="shared" si="44"/>
        <v>1.0122156833531999</v>
      </c>
    </row>
    <row r="1200" spans="1:12">
      <c r="A1200" s="397" t="str">
        <f t="shared" si="45"/>
        <v>-</v>
      </c>
      <c r="F1200" s="496"/>
      <c r="G1200" s="398"/>
      <c r="I1200" t="s">
        <v>1836</v>
      </c>
      <c r="J1200">
        <v>10.669624277456643</v>
      </c>
      <c r="K1200">
        <v>10.683</v>
      </c>
      <c r="L1200" s="509">
        <f t="shared" si="44"/>
        <v>0.99874794322349936</v>
      </c>
    </row>
    <row r="1201" spans="1:12">
      <c r="A1201" s="397" t="str">
        <f t="shared" si="45"/>
        <v>-</v>
      </c>
      <c r="F1201" s="496"/>
      <c r="G1201" s="398"/>
      <c r="I1201" t="s">
        <v>1837</v>
      </c>
      <c r="J1201">
        <v>9.9206779661016959</v>
      </c>
      <c r="K1201">
        <v>9.9239999999999995</v>
      </c>
      <c r="L1201" s="509">
        <f t="shared" si="44"/>
        <v>0.99966525252939298</v>
      </c>
    </row>
    <row r="1202" spans="1:12">
      <c r="A1202" s="397" t="str">
        <f t="shared" si="45"/>
        <v>-</v>
      </c>
      <c r="F1202" s="496"/>
      <c r="G1202" s="398"/>
      <c r="I1202" t="s">
        <v>1838</v>
      </c>
      <c r="J1202">
        <v>6.6890127388534664</v>
      </c>
      <c r="K1202">
        <v>6.6790000000000003</v>
      </c>
      <c r="L1202" s="509">
        <f t="shared" si="44"/>
        <v>1.0014991374237858</v>
      </c>
    </row>
    <row r="1203" spans="1:12">
      <c r="A1203" s="397" t="str">
        <f t="shared" si="45"/>
        <v>-</v>
      </c>
      <c r="F1203" s="496"/>
      <c r="G1203" s="398"/>
      <c r="I1203" t="s">
        <v>1839</v>
      </c>
      <c r="J1203">
        <v>9.1494949494949545</v>
      </c>
      <c r="K1203">
        <v>9.01</v>
      </c>
      <c r="L1203" s="509">
        <f t="shared" si="44"/>
        <v>1.0154822363479417</v>
      </c>
    </row>
    <row r="1204" spans="1:12">
      <c r="A1204" s="397" t="str">
        <f t="shared" si="45"/>
        <v>-</v>
      </c>
      <c r="F1204" s="496"/>
      <c r="G1204" s="398"/>
      <c r="I1204" t="s">
        <v>1840</v>
      </c>
      <c r="J1204">
        <v>15.522</v>
      </c>
      <c r="K1204">
        <v>15.347</v>
      </c>
      <c r="L1204" s="509">
        <f t="shared" si="44"/>
        <v>1.0114028800417021</v>
      </c>
    </row>
    <row r="1205" spans="1:12">
      <c r="A1205" s="397" t="str">
        <f t="shared" si="45"/>
        <v>-</v>
      </c>
      <c r="F1205" s="496"/>
      <c r="G1205" s="398"/>
      <c r="I1205" t="s">
        <v>1841</v>
      </c>
      <c r="J1205">
        <v>9.5085443037974642</v>
      </c>
      <c r="K1205">
        <v>9.516</v>
      </c>
      <c r="L1205" s="509">
        <f t="shared" si="44"/>
        <v>0.99921650943647167</v>
      </c>
    </row>
    <row r="1206" spans="1:12">
      <c r="A1206" s="397" t="str">
        <f t="shared" si="45"/>
        <v>-</v>
      </c>
      <c r="F1206" s="496"/>
      <c r="G1206" s="398"/>
      <c r="I1206" t="s">
        <v>1842</v>
      </c>
      <c r="J1206">
        <v>9.1928482697426936</v>
      </c>
      <c r="K1206">
        <v>9.02</v>
      </c>
      <c r="L1206" s="509">
        <f t="shared" si="44"/>
        <v>1.0191627793506313</v>
      </c>
    </row>
    <row r="1207" spans="1:12">
      <c r="A1207" s="397" t="str">
        <f t="shared" si="45"/>
        <v>-</v>
      </c>
      <c r="F1207" s="496"/>
      <c r="G1207" s="398"/>
      <c r="I1207" t="s">
        <v>1843</v>
      </c>
      <c r="J1207">
        <v>6.4551053442960198</v>
      </c>
      <c r="K1207">
        <v>6.2969999999999997</v>
      </c>
      <c r="L1207" s="509">
        <f t="shared" si="44"/>
        <v>1.025108042606959</v>
      </c>
    </row>
    <row r="1208" spans="1:12">
      <c r="A1208" s="397" t="str">
        <f t="shared" si="45"/>
        <v>-</v>
      </c>
      <c r="F1208" s="496"/>
      <c r="G1208" s="398"/>
      <c r="I1208" t="s">
        <v>1844</v>
      </c>
      <c r="J1208">
        <v>8.5407438016528872</v>
      </c>
      <c r="K1208">
        <v>8.4960000000000004</v>
      </c>
      <c r="L1208" s="509">
        <f t="shared" si="44"/>
        <v>1.0052664549968087</v>
      </c>
    </row>
    <row r="1209" spans="1:12">
      <c r="A1209" s="397" t="str">
        <f t="shared" si="45"/>
        <v>-</v>
      </c>
      <c r="F1209" s="496"/>
      <c r="G1209" s="398"/>
      <c r="I1209" t="s">
        <v>1845</v>
      </c>
      <c r="J1209">
        <v>8.691674528301883</v>
      </c>
      <c r="K1209">
        <v>8.5839999999999996</v>
      </c>
      <c r="L1209" s="509">
        <f t="shared" si="44"/>
        <v>1.0125436309764542</v>
      </c>
    </row>
    <row r="1210" spans="1:12">
      <c r="A1210" s="397" t="str">
        <f t="shared" si="45"/>
        <v>-</v>
      </c>
      <c r="F1210" s="496"/>
      <c r="G1210" s="398"/>
      <c r="I1210" t="s">
        <v>1846</v>
      </c>
      <c r="J1210">
        <v>8.3513237187740934</v>
      </c>
      <c r="K1210">
        <v>8.2379999999999995</v>
      </c>
      <c r="L1210" s="509">
        <f t="shared" si="44"/>
        <v>1.0137562173797152</v>
      </c>
    </row>
    <row r="1211" spans="1:12">
      <c r="A1211" s="397" t="str">
        <f t="shared" si="45"/>
        <v>-</v>
      </c>
      <c r="F1211" s="496"/>
      <c r="G1211" s="398"/>
      <c r="I1211" t="s">
        <v>1847</v>
      </c>
      <c r="J1211">
        <v>12.402755700325709</v>
      </c>
      <c r="K1211">
        <v>12.222</v>
      </c>
      <c r="L1211" s="509">
        <f t="shared" si="44"/>
        <v>1.0147893716515881</v>
      </c>
    </row>
    <row r="1212" spans="1:12">
      <c r="A1212" s="397" t="str">
        <f t="shared" si="45"/>
        <v>-</v>
      </c>
      <c r="F1212" s="496"/>
      <c r="G1212" s="398"/>
      <c r="I1212" t="s">
        <v>1848</v>
      </c>
      <c r="J1212">
        <v>8.587747747747752</v>
      </c>
      <c r="K1212">
        <v>8.5120000000000005</v>
      </c>
      <c r="L1212" s="509">
        <f t="shared" si="44"/>
        <v>1.0088989365305159</v>
      </c>
    </row>
    <row r="1213" spans="1:12">
      <c r="A1213" s="397" t="str">
        <f t="shared" si="45"/>
        <v>-</v>
      </c>
      <c r="F1213" s="496"/>
      <c r="G1213" s="398"/>
      <c r="I1213" t="s">
        <v>1849</v>
      </c>
      <c r="J1213">
        <v>12.779803921568632</v>
      </c>
      <c r="K1213">
        <v>12.523</v>
      </c>
      <c r="L1213" s="509">
        <f t="shared" si="44"/>
        <v>1.0205065816153185</v>
      </c>
    </row>
    <row r="1214" spans="1:12">
      <c r="A1214" s="397" t="str">
        <f t="shared" si="45"/>
        <v>-</v>
      </c>
      <c r="F1214" s="496"/>
      <c r="G1214" s="398"/>
      <c r="I1214" t="s">
        <v>402</v>
      </c>
      <c r="J1214">
        <v>8.0652068965517092</v>
      </c>
      <c r="K1214">
        <v>8.16</v>
      </c>
      <c r="L1214" s="509">
        <f t="shared" si="44"/>
        <v>0.98838319810682707</v>
      </c>
    </row>
    <row r="1215" spans="1:12">
      <c r="A1215" s="397" t="str">
        <f t="shared" si="45"/>
        <v>-</v>
      </c>
      <c r="F1215" s="496"/>
      <c r="G1215" s="398"/>
      <c r="I1215" t="s">
        <v>852</v>
      </c>
      <c r="J1215">
        <v>6.7678947368421136</v>
      </c>
      <c r="K1215">
        <v>6.843</v>
      </c>
      <c r="L1215" s="509">
        <f t="shared" si="44"/>
        <v>0.98902451217917775</v>
      </c>
    </row>
    <row r="1216" spans="1:12">
      <c r="A1216" s="397" t="str">
        <f t="shared" si="45"/>
        <v>-</v>
      </c>
      <c r="F1216" s="496"/>
      <c r="G1216" s="398"/>
      <c r="I1216" t="s">
        <v>302</v>
      </c>
      <c r="J1216">
        <v>8.461005484460669</v>
      </c>
      <c r="K1216">
        <v>8.5340000000000007</v>
      </c>
      <c r="L1216" s="509">
        <f t="shared" si="44"/>
        <v>0.99144662344277812</v>
      </c>
    </row>
    <row r="1217" spans="1:12">
      <c r="A1217" s="397" t="str">
        <f t="shared" si="45"/>
        <v>-</v>
      </c>
      <c r="F1217" s="496"/>
      <c r="G1217" s="398"/>
      <c r="I1217" t="s">
        <v>421</v>
      </c>
      <c r="J1217">
        <v>9.4445517241379306</v>
      </c>
      <c r="K1217">
        <v>9.516</v>
      </c>
      <c r="L1217" s="509">
        <f t="shared" si="44"/>
        <v>0.99249177428940005</v>
      </c>
    </row>
    <row r="1218" spans="1:12">
      <c r="A1218" s="397" t="str">
        <f t="shared" si="45"/>
        <v>-</v>
      </c>
      <c r="F1218" s="496"/>
      <c r="G1218" s="398"/>
      <c r="I1218" t="s">
        <v>563</v>
      </c>
      <c r="J1218">
        <v>12.237652250661984</v>
      </c>
      <c r="K1218">
        <v>12.303000000000001</v>
      </c>
      <c r="L1218" s="509">
        <f t="shared" si="44"/>
        <v>0.99468847034560537</v>
      </c>
    </row>
    <row r="1219" spans="1:12">
      <c r="A1219" s="397" t="str">
        <f t="shared" si="45"/>
        <v>-</v>
      </c>
      <c r="F1219" s="496"/>
      <c r="G1219" s="398"/>
      <c r="I1219" t="s">
        <v>411</v>
      </c>
      <c r="J1219">
        <v>10.811450980392141</v>
      </c>
      <c r="K1219">
        <v>10.848000000000001</v>
      </c>
      <c r="L1219" s="509">
        <f t="shared" si="44"/>
        <v>0.99663080571461471</v>
      </c>
    </row>
    <row r="1220" spans="1:12">
      <c r="A1220" s="397" t="str">
        <f t="shared" si="45"/>
        <v>-</v>
      </c>
      <c r="F1220" s="496"/>
      <c r="G1220" s="398"/>
      <c r="I1220" t="s">
        <v>222</v>
      </c>
      <c r="J1220">
        <v>12.39315789473684</v>
      </c>
      <c r="K1220">
        <v>12.435</v>
      </c>
      <c r="L1220" s="509">
        <f t="shared" si="44"/>
        <v>0.99663513427718853</v>
      </c>
    </row>
    <row r="1221" spans="1:12">
      <c r="A1221" s="397" t="str">
        <f t="shared" si="45"/>
        <v>-</v>
      </c>
      <c r="F1221" s="496"/>
      <c r="G1221" s="398"/>
      <c r="I1221" t="s">
        <v>301</v>
      </c>
      <c r="J1221">
        <v>10.722517985611489</v>
      </c>
      <c r="K1221">
        <v>10.753</v>
      </c>
      <c r="L1221" s="509">
        <f t="shared" si="44"/>
        <v>0.99716525486947727</v>
      </c>
    </row>
    <row r="1222" spans="1:12">
      <c r="A1222" s="397" t="str">
        <f t="shared" si="45"/>
        <v>-</v>
      </c>
      <c r="F1222" s="496"/>
      <c r="G1222" s="398"/>
      <c r="I1222" t="s">
        <v>297</v>
      </c>
      <c r="J1222">
        <v>8.4881656804733492</v>
      </c>
      <c r="K1222">
        <v>8.5120000000000005</v>
      </c>
      <c r="L1222" s="509">
        <f t="shared" si="44"/>
        <v>0.99719991546914344</v>
      </c>
    </row>
    <row r="1223" spans="1:12">
      <c r="A1223" s="397" t="str">
        <f t="shared" si="45"/>
        <v>-</v>
      </c>
      <c r="F1223" s="496"/>
      <c r="G1223" s="398"/>
      <c r="I1223" t="s">
        <v>328</v>
      </c>
      <c r="J1223">
        <v>11.790707587382766</v>
      </c>
      <c r="K1223">
        <v>11.804</v>
      </c>
      <c r="L1223" s="509">
        <f t="shared" ref="L1223:L1286" si="46">J1223/K1223</f>
        <v>0.99887390608122373</v>
      </c>
    </row>
    <row r="1224" spans="1:12">
      <c r="A1224" s="397" t="str">
        <f t="shared" si="45"/>
        <v>-</v>
      </c>
      <c r="F1224" s="496"/>
      <c r="G1224" s="398"/>
      <c r="I1224" t="s">
        <v>232</v>
      </c>
      <c r="J1224">
        <v>10.216426155580598</v>
      </c>
      <c r="K1224">
        <v>10.227</v>
      </c>
      <c r="L1224" s="509">
        <f t="shared" si="46"/>
        <v>0.9989660854190473</v>
      </c>
    </row>
    <row r="1225" spans="1:12">
      <c r="A1225" s="397" t="str">
        <f t="shared" si="45"/>
        <v>-</v>
      </c>
      <c r="F1225" s="496"/>
      <c r="G1225" s="398"/>
      <c r="I1225" t="s">
        <v>427</v>
      </c>
      <c r="J1225">
        <v>6.6749203539822739</v>
      </c>
      <c r="K1225">
        <v>6.6790000000000003</v>
      </c>
      <c r="L1225" s="509">
        <f t="shared" si="46"/>
        <v>0.99938918310859015</v>
      </c>
    </row>
    <row r="1226" spans="1:12">
      <c r="A1226" s="397" t="str">
        <f t="shared" si="45"/>
        <v>-</v>
      </c>
      <c r="F1226" s="496"/>
      <c r="G1226" s="398"/>
      <c r="I1226" t="s">
        <v>299</v>
      </c>
      <c r="J1226">
        <v>8.5305325443787385</v>
      </c>
      <c r="K1226">
        <v>8.5350000000000001</v>
      </c>
      <c r="L1226" s="509">
        <f t="shared" si="46"/>
        <v>0.99947657227636066</v>
      </c>
    </row>
    <row r="1227" spans="1:12">
      <c r="A1227" s="397" t="str">
        <f t="shared" si="45"/>
        <v>-</v>
      </c>
      <c r="F1227" s="496"/>
      <c r="G1227" s="398"/>
      <c r="I1227" t="s">
        <v>304</v>
      </c>
      <c r="J1227">
        <v>9.966772283091478</v>
      </c>
      <c r="K1227">
        <v>9.9700000000000006</v>
      </c>
      <c r="L1227" s="509">
        <f t="shared" si="46"/>
        <v>0.99967625708038887</v>
      </c>
    </row>
    <row r="1228" spans="1:12">
      <c r="A1228" s="397" t="str">
        <f t="shared" si="45"/>
        <v>-</v>
      </c>
      <c r="F1228" s="496"/>
      <c r="G1228" s="398"/>
      <c r="I1228" t="s">
        <v>791</v>
      </c>
      <c r="J1228">
        <v>6.7636477960242045</v>
      </c>
      <c r="K1228">
        <v>6.7640000000000002</v>
      </c>
      <c r="L1228" s="509">
        <f t="shared" si="46"/>
        <v>0.99994792963101775</v>
      </c>
    </row>
    <row r="1229" spans="1:12">
      <c r="A1229" s="397" t="str">
        <f t="shared" si="45"/>
        <v>-</v>
      </c>
      <c r="F1229" s="496"/>
      <c r="G1229" s="398"/>
      <c r="I1229" t="s">
        <v>790</v>
      </c>
      <c r="J1229">
        <v>7.2833159488558721</v>
      </c>
      <c r="K1229">
        <v>7.2830000000000004</v>
      </c>
      <c r="L1229" s="509">
        <f t="shared" si="46"/>
        <v>1.0000433816910437</v>
      </c>
    </row>
    <row r="1230" spans="1:12">
      <c r="A1230" s="397" t="str">
        <f t="shared" ref="A1230:A1293" si="47">B1230&amp;"-"&amp;C1230</f>
        <v>-</v>
      </c>
      <c r="F1230" s="496"/>
      <c r="G1230" s="398"/>
      <c r="I1230" t="s">
        <v>431</v>
      </c>
      <c r="J1230">
        <v>6.5477788602046418</v>
      </c>
      <c r="K1230">
        <v>6.5460000000000003</v>
      </c>
      <c r="L1230" s="509">
        <f t="shared" si="46"/>
        <v>1.0002717476634038</v>
      </c>
    </row>
    <row r="1231" spans="1:12">
      <c r="A1231" s="397" t="str">
        <f t="shared" si="47"/>
        <v>-</v>
      </c>
      <c r="F1231" s="496"/>
      <c r="G1231" s="398"/>
      <c r="I1231" t="s">
        <v>178</v>
      </c>
      <c r="J1231">
        <v>13.464142857142869</v>
      </c>
      <c r="K1231">
        <v>13.46</v>
      </c>
      <c r="L1231" s="509">
        <f t="shared" si="46"/>
        <v>1.0003077902780735</v>
      </c>
    </row>
    <row r="1232" spans="1:12">
      <c r="A1232" s="397" t="str">
        <f t="shared" si="47"/>
        <v>-</v>
      </c>
      <c r="F1232" s="496"/>
      <c r="G1232" s="398"/>
      <c r="I1232" t="s">
        <v>300</v>
      </c>
      <c r="J1232">
        <v>10.203469387755117</v>
      </c>
      <c r="K1232">
        <v>10.199999999999999</v>
      </c>
      <c r="L1232" s="509">
        <f t="shared" si="46"/>
        <v>1.0003401360544233</v>
      </c>
    </row>
    <row r="1233" spans="1:12">
      <c r="A1233" s="397" t="str">
        <f t="shared" si="47"/>
        <v>-</v>
      </c>
      <c r="F1233" s="496"/>
      <c r="G1233" s="398"/>
      <c r="I1233" t="s">
        <v>424</v>
      </c>
      <c r="J1233">
        <v>9.7830567685589447</v>
      </c>
      <c r="K1233">
        <v>9.7769999999999992</v>
      </c>
      <c r="L1233" s="509">
        <f t="shared" si="46"/>
        <v>1.0006194915167173</v>
      </c>
    </row>
    <row r="1234" spans="1:12">
      <c r="A1234" s="397" t="str">
        <f t="shared" si="47"/>
        <v>-</v>
      </c>
      <c r="F1234" s="496"/>
      <c r="G1234" s="398"/>
      <c r="I1234" t="s">
        <v>298</v>
      </c>
      <c r="J1234">
        <v>8.8150297029703069</v>
      </c>
      <c r="K1234">
        <v>8.8089999999999993</v>
      </c>
      <c r="L1234" s="509">
        <f t="shared" si="46"/>
        <v>1.0006844934692141</v>
      </c>
    </row>
    <row r="1235" spans="1:12">
      <c r="A1235" s="397" t="str">
        <f t="shared" si="47"/>
        <v>-</v>
      </c>
      <c r="F1235" s="496"/>
      <c r="G1235" s="398"/>
      <c r="I1235" t="s">
        <v>784</v>
      </c>
      <c r="J1235">
        <v>9.9318855932203238</v>
      </c>
      <c r="K1235">
        <v>9.9239999999999995</v>
      </c>
      <c r="L1235" s="509">
        <f t="shared" si="46"/>
        <v>1.000794598268876</v>
      </c>
    </row>
    <row r="1236" spans="1:12">
      <c r="A1236" s="397" t="str">
        <f t="shared" si="47"/>
        <v>-</v>
      </c>
      <c r="F1236" s="496"/>
      <c r="G1236" s="398"/>
      <c r="I1236" t="s">
        <v>422</v>
      </c>
      <c r="J1236">
        <v>9.2152641509433852</v>
      </c>
      <c r="K1236">
        <v>9.2040000000000006</v>
      </c>
      <c r="L1236" s="509">
        <f t="shared" si="46"/>
        <v>1.0012238321320497</v>
      </c>
    </row>
    <row r="1237" spans="1:12">
      <c r="A1237" s="397" t="str">
        <f t="shared" si="47"/>
        <v>-</v>
      </c>
      <c r="F1237" s="496"/>
      <c r="G1237" s="398"/>
      <c r="I1237" t="s">
        <v>404</v>
      </c>
      <c r="J1237">
        <v>11.000652395514756</v>
      </c>
      <c r="K1237">
        <v>10.983000000000001</v>
      </c>
      <c r="L1237" s="509">
        <f t="shared" si="46"/>
        <v>1.0016072471560371</v>
      </c>
    </row>
    <row r="1238" spans="1:12">
      <c r="A1238" s="397" t="str">
        <f t="shared" si="47"/>
        <v>-</v>
      </c>
      <c r="F1238" s="496"/>
      <c r="G1238" s="398"/>
      <c r="I1238" t="s">
        <v>472</v>
      </c>
      <c r="J1238">
        <v>10.967777777777769</v>
      </c>
      <c r="K1238">
        <v>10.946999999999999</v>
      </c>
      <c r="L1238" s="509">
        <f t="shared" si="46"/>
        <v>1.0018980339616124</v>
      </c>
    </row>
    <row r="1239" spans="1:12">
      <c r="A1239" s="397" t="str">
        <f t="shared" si="47"/>
        <v>-</v>
      </c>
      <c r="F1239" s="496"/>
      <c r="G1239" s="398"/>
      <c r="I1239" t="s">
        <v>418</v>
      </c>
      <c r="J1239">
        <v>7.9908547008547099</v>
      </c>
      <c r="K1239">
        <v>7.968</v>
      </c>
      <c r="L1239" s="509">
        <f t="shared" si="46"/>
        <v>1.0028683108502396</v>
      </c>
    </row>
    <row r="1240" spans="1:12">
      <c r="A1240" s="397" t="str">
        <f t="shared" si="47"/>
        <v>-</v>
      </c>
      <c r="F1240" s="496"/>
      <c r="G1240" s="398"/>
      <c r="I1240" t="s">
        <v>206</v>
      </c>
      <c r="J1240">
        <v>12.338014492753638</v>
      </c>
      <c r="K1240">
        <v>12.295</v>
      </c>
      <c r="L1240" s="509">
        <f t="shared" si="46"/>
        <v>1.0034985354008652</v>
      </c>
    </row>
    <row r="1241" spans="1:12">
      <c r="A1241" s="397" t="str">
        <f t="shared" si="47"/>
        <v>-</v>
      </c>
      <c r="F1241" s="496"/>
      <c r="G1241" s="398"/>
      <c r="I1241" t="s">
        <v>155</v>
      </c>
      <c r="J1241">
        <v>11.9701536772777</v>
      </c>
      <c r="K1241">
        <v>11.92</v>
      </c>
      <c r="L1241" s="509">
        <f t="shared" si="46"/>
        <v>1.0042075232615522</v>
      </c>
    </row>
    <row r="1242" spans="1:12">
      <c r="A1242" s="397" t="str">
        <f t="shared" si="47"/>
        <v>-</v>
      </c>
      <c r="F1242" s="496"/>
      <c r="G1242" s="398"/>
      <c r="I1242" t="s">
        <v>202</v>
      </c>
      <c r="J1242">
        <v>12.405741239892173</v>
      </c>
      <c r="K1242">
        <v>12.352</v>
      </c>
      <c r="L1242" s="509">
        <f t="shared" si="46"/>
        <v>1.0043508128151046</v>
      </c>
    </row>
    <row r="1243" spans="1:12">
      <c r="A1243" s="397" t="str">
        <f t="shared" si="47"/>
        <v>-</v>
      </c>
      <c r="F1243" s="496"/>
      <c r="G1243" s="398"/>
      <c r="I1243" t="s">
        <v>831</v>
      </c>
      <c r="J1243">
        <v>13.493409836065592</v>
      </c>
      <c r="K1243">
        <v>13.428000000000001</v>
      </c>
      <c r="L1243" s="509">
        <f t="shared" si="46"/>
        <v>1.0048711525220131</v>
      </c>
    </row>
    <row r="1244" spans="1:12">
      <c r="A1244" s="397" t="str">
        <f t="shared" si="47"/>
        <v>-</v>
      </c>
      <c r="F1244" s="496"/>
      <c r="G1244" s="398"/>
      <c r="I1244" t="s">
        <v>75</v>
      </c>
      <c r="J1244">
        <v>10.78695121951219</v>
      </c>
      <c r="K1244">
        <v>10.731999999999999</v>
      </c>
      <c r="L1244" s="509">
        <f t="shared" si="46"/>
        <v>1.0051203149005024</v>
      </c>
    </row>
    <row r="1245" spans="1:12">
      <c r="A1245" s="397" t="str">
        <f t="shared" si="47"/>
        <v>-</v>
      </c>
      <c r="F1245" s="496"/>
      <c r="G1245" s="398"/>
      <c r="I1245" t="s">
        <v>157</v>
      </c>
      <c r="J1245">
        <v>10.54239472349065</v>
      </c>
      <c r="K1245">
        <v>10.481</v>
      </c>
      <c r="L1245" s="509">
        <f t="shared" si="46"/>
        <v>1.0058577161998521</v>
      </c>
    </row>
    <row r="1246" spans="1:12">
      <c r="A1246" s="397" t="str">
        <f t="shared" si="47"/>
        <v>-</v>
      </c>
      <c r="F1246" s="496"/>
      <c r="G1246" s="398"/>
      <c r="I1246" t="s">
        <v>576</v>
      </c>
      <c r="J1246">
        <v>10.833488475177319</v>
      </c>
      <c r="K1246">
        <v>10.77</v>
      </c>
      <c r="L1246" s="509">
        <f t="shared" si="46"/>
        <v>1.0058949373423696</v>
      </c>
    </row>
    <row r="1247" spans="1:12">
      <c r="A1247" s="397" t="str">
        <f t="shared" si="47"/>
        <v>-</v>
      </c>
      <c r="F1247" s="496"/>
      <c r="G1247" s="398"/>
      <c r="I1247" t="s">
        <v>142</v>
      </c>
      <c r="J1247">
        <v>9.6397490589711285</v>
      </c>
      <c r="K1247">
        <v>9.5809999999999995</v>
      </c>
      <c r="L1247" s="509">
        <f t="shared" si="46"/>
        <v>1.0061318295554877</v>
      </c>
    </row>
    <row r="1248" spans="1:12">
      <c r="A1248" s="397" t="str">
        <f t="shared" si="47"/>
        <v>-</v>
      </c>
      <c r="F1248" s="496"/>
      <c r="G1248" s="398"/>
      <c r="I1248" t="s">
        <v>429</v>
      </c>
      <c r="J1248">
        <v>6.3206282722512919</v>
      </c>
      <c r="K1248">
        <v>6.2770000000000001</v>
      </c>
      <c r="L1248" s="509">
        <f t="shared" si="46"/>
        <v>1.0069504974113894</v>
      </c>
    </row>
    <row r="1249" spans="1:12">
      <c r="A1249" s="397" t="str">
        <f t="shared" si="47"/>
        <v>-</v>
      </c>
      <c r="F1249" s="496"/>
      <c r="G1249" s="398"/>
      <c r="I1249" t="s">
        <v>52</v>
      </c>
      <c r="J1249">
        <v>7.0678787878787857</v>
      </c>
      <c r="K1249">
        <v>7.0179999999999998</v>
      </c>
      <c r="L1249" s="509">
        <f t="shared" si="46"/>
        <v>1.0071072653004824</v>
      </c>
    </row>
    <row r="1250" spans="1:12">
      <c r="A1250" s="397" t="str">
        <f t="shared" si="47"/>
        <v>-</v>
      </c>
      <c r="F1250" s="496"/>
      <c r="G1250" s="398"/>
      <c r="I1250" t="s">
        <v>58</v>
      </c>
      <c r="J1250">
        <v>8.5227454545454187</v>
      </c>
      <c r="K1250">
        <v>8.4610000000000003</v>
      </c>
      <c r="L1250" s="509">
        <f t="shared" si="46"/>
        <v>1.0072976544788343</v>
      </c>
    </row>
    <row r="1251" spans="1:12">
      <c r="A1251" s="397" t="str">
        <f t="shared" si="47"/>
        <v>-</v>
      </c>
      <c r="F1251" s="496"/>
      <c r="G1251" s="398"/>
      <c r="I1251" t="s">
        <v>416</v>
      </c>
      <c r="J1251">
        <v>13.615238095238093</v>
      </c>
      <c r="K1251">
        <v>13.510999999999999</v>
      </c>
      <c r="L1251" s="509">
        <f t="shared" si="46"/>
        <v>1.0077150540476718</v>
      </c>
    </row>
    <row r="1252" spans="1:12">
      <c r="A1252" s="397" t="str">
        <f t="shared" si="47"/>
        <v>-</v>
      </c>
      <c r="F1252" s="496"/>
      <c r="G1252" s="398"/>
      <c r="I1252" t="s">
        <v>423</v>
      </c>
      <c r="J1252">
        <v>10.036135531135553</v>
      </c>
      <c r="K1252">
        <v>9.952</v>
      </c>
      <c r="L1252" s="509">
        <f t="shared" si="46"/>
        <v>1.0084541329517236</v>
      </c>
    </row>
    <row r="1253" spans="1:12">
      <c r="A1253" s="397" t="str">
        <f t="shared" si="47"/>
        <v>-</v>
      </c>
      <c r="F1253" s="496"/>
      <c r="G1253" s="398"/>
      <c r="I1253" t="s">
        <v>138</v>
      </c>
      <c r="J1253">
        <v>8.5678301886792418</v>
      </c>
      <c r="K1253">
        <v>8.4960000000000004</v>
      </c>
      <c r="L1253" s="509">
        <f t="shared" si="46"/>
        <v>1.0084545890629992</v>
      </c>
    </row>
    <row r="1254" spans="1:12">
      <c r="A1254" s="397" t="str">
        <f t="shared" si="47"/>
        <v>-</v>
      </c>
      <c r="F1254" s="496"/>
      <c r="G1254" s="398"/>
      <c r="I1254" t="s">
        <v>236</v>
      </c>
      <c r="J1254">
        <v>12.746607142857156</v>
      </c>
      <c r="K1254">
        <v>12.635</v>
      </c>
      <c r="L1254" s="509">
        <f t="shared" si="46"/>
        <v>1.0088331731584612</v>
      </c>
    </row>
    <row r="1255" spans="1:12">
      <c r="A1255" s="397" t="str">
        <f t="shared" si="47"/>
        <v>-</v>
      </c>
      <c r="F1255" s="496"/>
      <c r="G1255" s="398"/>
      <c r="I1255" t="s">
        <v>287</v>
      </c>
      <c r="J1255">
        <v>12.325555555555544</v>
      </c>
      <c r="K1255">
        <v>12.217000000000001</v>
      </c>
      <c r="L1255" s="509">
        <f t="shared" si="46"/>
        <v>1.0088856147626704</v>
      </c>
    </row>
    <row r="1256" spans="1:12">
      <c r="A1256" s="397" t="str">
        <f t="shared" si="47"/>
        <v>-</v>
      </c>
      <c r="F1256" s="496"/>
      <c r="G1256" s="398"/>
      <c r="I1256" t="s">
        <v>346</v>
      </c>
      <c r="J1256">
        <v>12.546404555314508</v>
      </c>
      <c r="K1256">
        <v>12.435</v>
      </c>
      <c r="L1256" s="509">
        <f t="shared" si="46"/>
        <v>1.0089589509702057</v>
      </c>
    </row>
    <row r="1257" spans="1:12">
      <c r="A1257" s="397" t="str">
        <f t="shared" si="47"/>
        <v>-</v>
      </c>
      <c r="F1257" s="496"/>
      <c r="G1257" s="398"/>
      <c r="I1257" t="s">
        <v>461</v>
      </c>
      <c r="J1257">
        <v>15.485955056179773</v>
      </c>
      <c r="K1257">
        <v>15.347</v>
      </c>
      <c r="L1257" s="509">
        <f t="shared" si="46"/>
        <v>1.0090542162103195</v>
      </c>
    </row>
    <row r="1258" spans="1:12">
      <c r="A1258" s="397" t="str">
        <f t="shared" si="47"/>
        <v>-</v>
      </c>
      <c r="F1258" s="496"/>
      <c r="G1258" s="398"/>
      <c r="I1258" t="s">
        <v>406</v>
      </c>
      <c r="J1258">
        <v>11.528049327354271</v>
      </c>
      <c r="K1258">
        <v>11.420999999999999</v>
      </c>
      <c r="L1258" s="509">
        <f t="shared" si="46"/>
        <v>1.0093730257730735</v>
      </c>
    </row>
    <row r="1259" spans="1:12">
      <c r="A1259" s="397" t="str">
        <f t="shared" si="47"/>
        <v>-</v>
      </c>
      <c r="F1259" s="496"/>
      <c r="G1259" s="398"/>
      <c r="I1259" t="s">
        <v>234</v>
      </c>
      <c r="J1259">
        <v>12.395163669893952</v>
      </c>
      <c r="K1259">
        <v>12.278</v>
      </c>
      <c r="L1259" s="509">
        <f t="shared" si="46"/>
        <v>1.0095425696281113</v>
      </c>
    </row>
    <row r="1260" spans="1:12">
      <c r="A1260" s="397" t="str">
        <f t="shared" si="47"/>
        <v>-</v>
      </c>
      <c r="F1260" s="496"/>
      <c r="G1260" s="398"/>
      <c r="I1260" t="s">
        <v>555</v>
      </c>
      <c r="J1260">
        <v>16.428648255813943</v>
      </c>
      <c r="K1260">
        <v>16.266999999999999</v>
      </c>
      <c r="L1260" s="509">
        <f t="shared" si="46"/>
        <v>1.0099371891445224</v>
      </c>
    </row>
    <row r="1261" spans="1:12">
      <c r="A1261" s="397" t="str">
        <f t="shared" si="47"/>
        <v>-</v>
      </c>
      <c r="F1261" s="496"/>
      <c r="G1261" s="398"/>
      <c r="I1261" t="s">
        <v>786</v>
      </c>
      <c r="J1261">
        <v>4.939866524380764</v>
      </c>
      <c r="K1261">
        <v>4.8899999999999997</v>
      </c>
      <c r="L1261" s="509">
        <f t="shared" si="46"/>
        <v>1.0101976532476</v>
      </c>
    </row>
    <row r="1262" spans="1:12">
      <c r="A1262" s="397" t="str">
        <f t="shared" si="47"/>
        <v>-</v>
      </c>
      <c r="F1262" s="496"/>
      <c r="G1262" s="398"/>
      <c r="I1262" t="s">
        <v>792</v>
      </c>
      <c r="J1262">
        <v>8.3334402017291254</v>
      </c>
      <c r="K1262">
        <v>8.2469999999999999</v>
      </c>
      <c r="L1262" s="509">
        <f t="shared" si="46"/>
        <v>1.0104814116320027</v>
      </c>
    </row>
    <row r="1263" spans="1:12">
      <c r="A1263" s="397" t="str">
        <f t="shared" si="47"/>
        <v>-</v>
      </c>
      <c r="F1263" s="496"/>
      <c r="G1263" s="398"/>
      <c r="I1263" t="s">
        <v>419</v>
      </c>
      <c r="J1263">
        <v>9.1550031505985849</v>
      </c>
      <c r="K1263">
        <v>9.0589999999999993</v>
      </c>
      <c r="L1263" s="509">
        <f t="shared" si="46"/>
        <v>1.0105975439450916</v>
      </c>
    </row>
    <row r="1264" spans="1:12">
      <c r="A1264" s="397" t="str">
        <f t="shared" si="47"/>
        <v>-</v>
      </c>
      <c r="F1264" s="496"/>
      <c r="G1264" s="398"/>
      <c r="I1264" t="s">
        <v>63</v>
      </c>
      <c r="J1264">
        <v>8.677741721854229</v>
      </c>
      <c r="K1264">
        <v>8.5839999999999996</v>
      </c>
      <c r="L1264" s="509">
        <f t="shared" si="46"/>
        <v>1.0109205174573892</v>
      </c>
    </row>
    <row r="1265" spans="1:12">
      <c r="A1265" s="397" t="str">
        <f t="shared" si="47"/>
        <v>-</v>
      </c>
      <c r="F1265" s="496"/>
      <c r="G1265" s="398"/>
      <c r="I1265" t="s">
        <v>61</v>
      </c>
      <c r="J1265">
        <v>7.5852816901408362</v>
      </c>
      <c r="K1265">
        <v>7.5019999999999998</v>
      </c>
      <c r="L1265" s="509">
        <f t="shared" si="46"/>
        <v>1.0111012650147742</v>
      </c>
    </row>
    <row r="1266" spans="1:12">
      <c r="A1266" s="397" t="str">
        <f t="shared" si="47"/>
        <v>-</v>
      </c>
      <c r="F1266" s="496"/>
      <c r="G1266" s="398"/>
      <c r="I1266" t="s">
        <v>581</v>
      </c>
      <c r="J1266">
        <v>12.375749868628514</v>
      </c>
      <c r="K1266">
        <v>12.237</v>
      </c>
      <c r="L1266" s="509">
        <f t="shared" si="46"/>
        <v>1.0113385526377801</v>
      </c>
    </row>
    <row r="1267" spans="1:12">
      <c r="A1267" s="397" t="str">
        <f t="shared" si="47"/>
        <v>-</v>
      </c>
      <c r="F1267" s="496"/>
      <c r="G1267" s="398"/>
      <c r="I1267" t="s">
        <v>420</v>
      </c>
      <c r="J1267">
        <v>9.867521367521352</v>
      </c>
      <c r="K1267">
        <v>9.7560000000000002</v>
      </c>
      <c r="L1267" s="509">
        <f t="shared" si="46"/>
        <v>1.0114310544814833</v>
      </c>
    </row>
    <row r="1268" spans="1:12">
      <c r="A1268" s="397" t="str">
        <f t="shared" si="47"/>
        <v>-</v>
      </c>
      <c r="F1268" s="496"/>
      <c r="G1268" s="398"/>
      <c r="I1268" t="s">
        <v>189</v>
      </c>
      <c r="J1268">
        <v>9.0745796661609077</v>
      </c>
      <c r="K1268">
        <v>8.9689999999999994</v>
      </c>
      <c r="L1268" s="509">
        <f t="shared" si="46"/>
        <v>1.0117716207114402</v>
      </c>
    </row>
    <row r="1269" spans="1:12">
      <c r="A1269" s="397" t="str">
        <f t="shared" si="47"/>
        <v>-</v>
      </c>
      <c r="F1269" s="496"/>
      <c r="G1269" s="398"/>
      <c r="I1269" t="s">
        <v>303</v>
      </c>
      <c r="J1269">
        <v>10.863629130966892</v>
      </c>
      <c r="K1269">
        <v>10.737</v>
      </c>
      <c r="L1269" s="509">
        <f t="shared" si="46"/>
        <v>1.011793716211874</v>
      </c>
    </row>
    <row r="1270" spans="1:12">
      <c r="A1270" s="397" t="str">
        <f t="shared" si="47"/>
        <v>-</v>
      </c>
      <c r="F1270" s="496"/>
      <c r="G1270" s="398"/>
      <c r="I1270" t="s">
        <v>334</v>
      </c>
      <c r="J1270">
        <v>12.785811518324612</v>
      </c>
      <c r="K1270">
        <v>12.635</v>
      </c>
      <c r="L1270" s="509">
        <f t="shared" si="46"/>
        <v>1.011936012530638</v>
      </c>
    </row>
    <row r="1271" spans="1:12">
      <c r="A1271" s="397" t="str">
        <f t="shared" si="47"/>
        <v>-</v>
      </c>
      <c r="F1271" s="496"/>
      <c r="G1271" s="398"/>
      <c r="I1271" t="s">
        <v>336</v>
      </c>
      <c r="J1271">
        <v>9.8247368421052759</v>
      </c>
      <c r="K1271">
        <v>9.7070000000000007</v>
      </c>
      <c r="L1271" s="509">
        <f t="shared" si="46"/>
        <v>1.0121290658396287</v>
      </c>
    </row>
    <row r="1272" spans="1:12">
      <c r="A1272" s="397" t="str">
        <f t="shared" si="47"/>
        <v>-</v>
      </c>
      <c r="F1272" s="496"/>
      <c r="G1272" s="398"/>
      <c r="I1272" t="s">
        <v>387</v>
      </c>
      <c r="J1272">
        <v>5.3744644595910387</v>
      </c>
      <c r="K1272">
        <v>5.31</v>
      </c>
      <c r="L1272" s="509">
        <f t="shared" si="46"/>
        <v>1.0121401995463351</v>
      </c>
    </row>
    <row r="1273" spans="1:12">
      <c r="A1273" s="397" t="str">
        <f t="shared" si="47"/>
        <v>-</v>
      </c>
      <c r="F1273" s="496"/>
      <c r="G1273" s="398"/>
      <c r="I1273" t="s">
        <v>340</v>
      </c>
      <c r="J1273">
        <v>9.2238020833333447</v>
      </c>
      <c r="K1273">
        <v>9.1129999999999995</v>
      </c>
      <c r="L1273" s="509">
        <f t="shared" si="46"/>
        <v>1.0121586835656036</v>
      </c>
    </row>
    <row r="1274" spans="1:12">
      <c r="A1274" s="397" t="str">
        <f t="shared" si="47"/>
        <v>-</v>
      </c>
      <c r="F1274" s="496"/>
      <c r="G1274" s="398"/>
      <c r="I1274" t="s">
        <v>354</v>
      </c>
      <c r="J1274">
        <v>8.8086620127981821</v>
      </c>
      <c r="K1274">
        <v>8.6999999999999993</v>
      </c>
      <c r="L1274" s="509">
        <f t="shared" si="46"/>
        <v>1.0124898865285268</v>
      </c>
    </row>
    <row r="1275" spans="1:12">
      <c r="A1275" s="397" t="str">
        <f t="shared" si="47"/>
        <v>-</v>
      </c>
      <c r="F1275" s="496"/>
      <c r="G1275" s="398"/>
      <c r="I1275" t="s">
        <v>565</v>
      </c>
      <c r="J1275">
        <v>9.2557547169811372</v>
      </c>
      <c r="K1275">
        <v>9.141</v>
      </c>
      <c r="L1275" s="509">
        <f t="shared" si="46"/>
        <v>1.0125538471700184</v>
      </c>
    </row>
    <row r="1276" spans="1:12">
      <c r="A1276" s="397" t="str">
        <f t="shared" si="47"/>
        <v>-</v>
      </c>
      <c r="F1276" s="496"/>
      <c r="G1276" s="398"/>
      <c r="I1276" t="s">
        <v>412</v>
      </c>
      <c r="J1276">
        <v>7.0210434782608591</v>
      </c>
      <c r="K1276">
        <v>6.9329999999999998</v>
      </c>
      <c r="L1276" s="509">
        <f t="shared" si="46"/>
        <v>1.0126991891332553</v>
      </c>
    </row>
    <row r="1277" spans="1:12">
      <c r="A1277" s="397" t="str">
        <f t="shared" si="47"/>
        <v>-</v>
      </c>
      <c r="F1277" s="496"/>
      <c r="G1277" s="398"/>
      <c r="I1277" t="s">
        <v>261</v>
      </c>
      <c r="J1277">
        <v>7.5771152983400949</v>
      </c>
      <c r="K1277">
        <v>7.4820000000000002</v>
      </c>
      <c r="L1277" s="509">
        <f t="shared" si="46"/>
        <v>1.0127125498984355</v>
      </c>
    </row>
    <row r="1278" spans="1:12">
      <c r="A1278" s="397" t="str">
        <f t="shared" si="47"/>
        <v>-</v>
      </c>
      <c r="F1278" s="496"/>
      <c r="G1278" s="398"/>
      <c r="I1278" t="s">
        <v>787</v>
      </c>
      <c r="J1278">
        <v>7.0242493711821465</v>
      </c>
      <c r="K1278">
        <v>6.9349999999999996</v>
      </c>
      <c r="L1278" s="509">
        <f t="shared" si="46"/>
        <v>1.0128694118503456</v>
      </c>
    </row>
    <row r="1279" spans="1:12">
      <c r="A1279" s="397" t="str">
        <f t="shared" si="47"/>
        <v>-</v>
      </c>
      <c r="F1279" s="496"/>
      <c r="G1279" s="398"/>
      <c r="I1279" t="s">
        <v>433</v>
      </c>
      <c r="J1279">
        <v>8.1954401268833887</v>
      </c>
      <c r="K1279">
        <v>8.0890000000000004</v>
      </c>
      <c r="L1279" s="509">
        <f t="shared" si="46"/>
        <v>1.0131586261445653</v>
      </c>
    </row>
    <row r="1280" spans="1:12">
      <c r="A1280" s="397" t="str">
        <f t="shared" si="47"/>
        <v>-</v>
      </c>
      <c r="F1280" s="496"/>
      <c r="G1280" s="398"/>
      <c r="I1280" t="s">
        <v>476</v>
      </c>
      <c r="J1280">
        <v>12.692577447335811</v>
      </c>
      <c r="K1280">
        <v>12.523</v>
      </c>
      <c r="L1280" s="509">
        <f t="shared" si="46"/>
        <v>1.0135412798319741</v>
      </c>
    </row>
    <row r="1281" spans="1:12">
      <c r="A1281" s="397" t="str">
        <f t="shared" si="47"/>
        <v>-</v>
      </c>
      <c r="F1281" s="496"/>
      <c r="G1281" s="398"/>
      <c r="I1281" t="s">
        <v>580</v>
      </c>
      <c r="J1281">
        <v>10.764814814814814</v>
      </c>
      <c r="K1281">
        <v>10.617000000000001</v>
      </c>
      <c r="L1281" s="509">
        <f t="shared" si="46"/>
        <v>1.0139224653682597</v>
      </c>
    </row>
    <row r="1282" spans="1:12">
      <c r="A1282" s="397" t="str">
        <f t="shared" si="47"/>
        <v>-</v>
      </c>
      <c r="F1282" s="496"/>
      <c r="G1282" s="398"/>
      <c r="I1282" t="s">
        <v>788</v>
      </c>
      <c r="J1282">
        <v>7.3732743669789471</v>
      </c>
      <c r="K1282">
        <v>7.2690000000000001</v>
      </c>
      <c r="L1282" s="509">
        <f t="shared" si="46"/>
        <v>1.0143450773117275</v>
      </c>
    </row>
    <row r="1283" spans="1:12">
      <c r="A1283" s="397" t="str">
        <f t="shared" si="47"/>
        <v>-</v>
      </c>
      <c r="F1283" s="496"/>
      <c r="G1283" s="398"/>
      <c r="I1283" t="s">
        <v>582</v>
      </c>
      <c r="J1283">
        <v>8.3572822580645241</v>
      </c>
      <c r="K1283">
        <v>8.2379999999999995</v>
      </c>
      <c r="L1283" s="509">
        <f t="shared" si="46"/>
        <v>1.0144795166380827</v>
      </c>
    </row>
    <row r="1284" spans="1:12">
      <c r="A1284" s="397" t="str">
        <f t="shared" si="47"/>
        <v>-</v>
      </c>
      <c r="F1284" s="496"/>
      <c r="G1284" s="398"/>
      <c r="I1284" t="s">
        <v>460</v>
      </c>
      <c r="J1284">
        <v>6.9516379310344867</v>
      </c>
      <c r="K1284">
        <v>6.8470000000000004</v>
      </c>
      <c r="L1284" s="509">
        <f t="shared" si="46"/>
        <v>1.015282303349567</v>
      </c>
    </row>
    <row r="1285" spans="1:12">
      <c r="A1285" s="397" t="str">
        <f t="shared" si="47"/>
        <v>-</v>
      </c>
      <c r="F1285" s="496"/>
      <c r="G1285" s="398"/>
      <c r="I1285" t="s">
        <v>135</v>
      </c>
      <c r="J1285">
        <v>8.196100000000003</v>
      </c>
      <c r="K1285">
        <v>8.07</v>
      </c>
      <c r="L1285" s="509">
        <f t="shared" si="46"/>
        <v>1.0156257744733586</v>
      </c>
    </row>
    <row r="1286" spans="1:12">
      <c r="A1286" s="397" t="str">
        <f t="shared" si="47"/>
        <v>-</v>
      </c>
      <c r="F1286" s="496"/>
      <c r="G1286" s="398"/>
      <c r="I1286" t="s">
        <v>789</v>
      </c>
      <c r="J1286">
        <v>6.8982522349212658</v>
      </c>
      <c r="K1286">
        <v>6.7880000000000003</v>
      </c>
      <c r="L1286" s="509">
        <f t="shared" si="46"/>
        <v>1.0162422267120308</v>
      </c>
    </row>
    <row r="1287" spans="1:12">
      <c r="A1287" s="397" t="str">
        <f t="shared" si="47"/>
        <v>-</v>
      </c>
      <c r="F1287" s="496"/>
      <c r="G1287" s="398"/>
      <c r="I1287" t="s">
        <v>553</v>
      </c>
      <c r="J1287">
        <v>9.1569269521410703</v>
      </c>
      <c r="K1287">
        <v>9.01</v>
      </c>
      <c r="L1287" s="509">
        <f t="shared" ref="L1287:L1350" si="48">J1287/K1287</f>
        <v>1.0163070979068891</v>
      </c>
    </row>
    <row r="1288" spans="1:12">
      <c r="A1288" s="397" t="str">
        <f t="shared" si="47"/>
        <v>-</v>
      </c>
      <c r="F1288" s="496"/>
      <c r="G1288" s="398"/>
      <c r="I1288" t="s">
        <v>221</v>
      </c>
      <c r="J1288">
        <v>8.9877238805970148</v>
      </c>
      <c r="K1288">
        <v>8.8420000000000005</v>
      </c>
      <c r="L1288" s="509">
        <f t="shared" si="48"/>
        <v>1.0164808731731525</v>
      </c>
    </row>
    <row r="1289" spans="1:12">
      <c r="A1289" s="397" t="str">
        <f t="shared" si="47"/>
        <v>-</v>
      </c>
      <c r="F1289" s="496"/>
      <c r="G1289" s="398"/>
      <c r="I1289" t="s">
        <v>813</v>
      </c>
      <c r="J1289">
        <v>6.7582099104041244</v>
      </c>
      <c r="K1289">
        <v>6.6479999999999997</v>
      </c>
      <c r="L1289" s="509">
        <f t="shared" si="48"/>
        <v>1.0165779046937613</v>
      </c>
    </row>
    <row r="1290" spans="1:12">
      <c r="A1290" s="397" t="str">
        <f t="shared" si="47"/>
        <v>-</v>
      </c>
      <c r="F1290" s="496"/>
      <c r="G1290" s="398"/>
      <c r="I1290" t="s">
        <v>556</v>
      </c>
      <c r="J1290">
        <v>16.360605459057076</v>
      </c>
      <c r="K1290">
        <v>16.079999999999998</v>
      </c>
      <c r="L1290" s="509">
        <f t="shared" si="48"/>
        <v>1.0174505882498184</v>
      </c>
    </row>
    <row r="1291" spans="1:12">
      <c r="A1291" s="397" t="str">
        <f t="shared" si="47"/>
        <v>-</v>
      </c>
      <c r="F1291" s="496"/>
      <c r="G1291" s="398"/>
      <c r="I1291" t="s">
        <v>164</v>
      </c>
      <c r="J1291">
        <v>5.2861980830670747</v>
      </c>
      <c r="K1291">
        <v>5.1929999999999996</v>
      </c>
      <c r="L1291" s="509">
        <f t="shared" si="48"/>
        <v>1.0179468675268775</v>
      </c>
    </row>
    <row r="1292" spans="1:12">
      <c r="A1292" s="397" t="str">
        <f t="shared" si="47"/>
        <v>-</v>
      </c>
      <c r="F1292" s="496"/>
      <c r="G1292" s="398"/>
      <c r="I1292" t="s">
        <v>814</v>
      </c>
      <c r="J1292">
        <v>6.4139030841963267</v>
      </c>
      <c r="K1292">
        <v>6.2969999999999997</v>
      </c>
      <c r="L1292" s="509">
        <f t="shared" si="48"/>
        <v>1.01856488553221</v>
      </c>
    </row>
    <row r="1293" spans="1:12">
      <c r="A1293" s="397" t="str">
        <f t="shared" si="47"/>
        <v>-</v>
      </c>
      <c r="F1293" s="496"/>
      <c r="G1293" s="398"/>
      <c r="I1293" t="s">
        <v>158</v>
      </c>
      <c r="J1293">
        <v>10.215024925224295</v>
      </c>
      <c r="K1293">
        <v>10.016999999999999</v>
      </c>
      <c r="L1293" s="509">
        <f t="shared" si="48"/>
        <v>1.0197688854172202</v>
      </c>
    </row>
    <row r="1294" spans="1:12">
      <c r="A1294" s="397" t="str">
        <f t="shared" ref="A1294:A1357" si="49">B1294&amp;"-"&amp;C1294</f>
        <v>-</v>
      </c>
      <c r="F1294" s="496"/>
      <c r="G1294" s="398"/>
      <c r="I1294" t="s">
        <v>332</v>
      </c>
      <c r="J1294">
        <v>9.9678412698412693</v>
      </c>
      <c r="K1294">
        <v>9.7729999999999997</v>
      </c>
      <c r="L1294" s="509">
        <f t="shared" si="48"/>
        <v>1.0199366898435762</v>
      </c>
    </row>
    <row r="1295" spans="1:12">
      <c r="A1295" s="397" t="str">
        <f t="shared" si="49"/>
        <v>-</v>
      </c>
      <c r="F1295" s="496"/>
      <c r="G1295" s="398"/>
      <c r="I1295" t="s">
        <v>159</v>
      </c>
      <c r="J1295">
        <v>9.2286494091164784</v>
      </c>
      <c r="K1295">
        <v>9.0470000000000006</v>
      </c>
      <c r="L1295" s="509">
        <f t="shared" si="48"/>
        <v>1.0200784137411825</v>
      </c>
    </row>
    <row r="1296" spans="1:12">
      <c r="A1296" s="397" t="str">
        <f t="shared" si="49"/>
        <v>-</v>
      </c>
      <c r="F1296" s="496"/>
      <c r="G1296" s="398"/>
      <c r="I1296" t="s">
        <v>785</v>
      </c>
      <c r="J1296">
        <v>4.7126853707412906</v>
      </c>
      <c r="K1296">
        <v>4.6109999999999998</v>
      </c>
      <c r="L1296" s="509">
        <f t="shared" si="48"/>
        <v>1.0220527804687249</v>
      </c>
    </row>
    <row r="1297" spans="1:12">
      <c r="A1297" s="397" t="str">
        <f t="shared" si="49"/>
        <v>-</v>
      </c>
      <c r="F1297" s="496"/>
      <c r="G1297" s="398"/>
      <c r="I1297" t="s">
        <v>793</v>
      </c>
      <c r="J1297">
        <v>9.0569220183486614</v>
      </c>
      <c r="K1297">
        <v>8.8320000000000007</v>
      </c>
      <c r="L1297" s="509">
        <f t="shared" si="48"/>
        <v>1.0254667140340421</v>
      </c>
    </row>
    <row r="1298" spans="1:12">
      <c r="A1298" s="397" t="str">
        <f t="shared" si="49"/>
        <v>-</v>
      </c>
      <c r="F1298" s="496"/>
      <c r="G1298" s="398"/>
      <c r="I1298" t="s">
        <v>435</v>
      </c>
      <c r="J1298">
        <v>6.5743884892086335</v>
      </c>
      <c r="K1298">
        <v>6.3879999999999999</v>
      </c>
      <c r="L1298" s="509">
        <f t="shared" si="48"/>
        <v>1.0291779100201368</v>
      </c>
    </row>
    <row r="1299" spans="1:12">
      <c r="A1299" s="397" t="str">
        <f t="shared" si="49"/>
        <v>-</v>
      </c>
      <c r="F1299" s="496"/>
      <c r="G1299" s="398"/>
      <c r="I1299" t="s">
        <v>302</v>
      </c>
      <c r="J1299">
        <v>8.359906249999991</v>
      </c>
      <c r="K1299">
        <v>8.5340000000000007</v>
      </c>
      <c r="L1299" s="509">
        <f t="shared" si="48"/>
        <v>0.97959998242324708</v>
      </c>
    </row>
    <row r="1300" spans="1:12">
      <c r="A1300" s="397" t="str">
        <f t="shared" si="49"/>
        <v>-</v>
      </c>
      <c r="F1300" s="496"/>
      <c r="G1300" s="398"/>
      <c r="I1300" t="s">
        <v>421</v>
      </c>
      <c r="J1300">
        <v>9.419351230425054</v>
      </c>
      <c r="K1300">
        <v>9.516</v>
      </c>
      <c r="L1300" s="509">
        <f t="shared" si="48"/>
        <v>0.98984355090637388</v>
      </c>
    </row>
    <row r="1301" spans="1:12">
      <c r="A1301" s="397" t="str">
        <f t="shared" si="49"/>
        <v>-</v>
      </c>
      <c r="F1301" s="496"/>
      <c r="G1301" s="398"/>
      <c r="I1301" t="s">
        <v>424</v>
      </c>
      <c r="J1301">
        <v>9.6794642857143067</v>
      </c>
      <c r="K1301">
        <v>9.7769999999999992</v>
      </c>
      <c r="L1301" s="509">
        <f t="shared" si="48"/>
        <v>0.99002396294510664</v>
      </c>
    </row>
    <row r="1302" spans="1:12">
      <c r="A1302" s="397" t="str">
        <f t="shared" si="49"/>
        <v>-</v>
      </c>
      <c r="F1302" s="496"/>
      <c r="G1302" s="398"/>
      <c r="I1302" t="s">
        <v>411</v>
      </c>
      <c r="J1302">
        <v>10.742798165137621</v>
      </c>
      <c r="K1302">
        <v>10.848000000000001</v>
      </c>
      <c r="L1302" s="509">
        <f t="shared" si="48"/>
        <v>0.99030219073908743</v>
      </c>
    </row>
    <row r="1303" spans="1:12">
      <c r="A1303" s="397" t="str">
        <f t="shared" si="49"/>
        <v>-</v>
      </c>
      <c r="F1303" s="496"/>
      <c r="G1303" s="398"/>
      <c r="I1303" t="s">
        <v>183</v>
      </c>
      <c r="J1303">
        <v>12.012651515151504</v>
      </c>
      <c r="K1303">
        <v>12.114000000000001</v>
      </c>
      <c r="L1303" s="509">
        <f t="shared" si="48"/>
        <v>0.99163377209439518</v>
      </c>
    </row>
    <row r="1304" spans="1:12">
      <c r="A1304" s="397" t="str">
        <f t="shared" si="49"/>
        <v>-</v>
      </c>
      <c r="F1304" s="496"/>
      <c r="G1304" s="398"/>
      <c r="I1304" t="s">
        <v>472</v>
      </c>
      <c r="J1304">
        <v>10.855520833333307</v>
      </c>
      <c r="K1304">
        <v>10.946999999999999</v>
      </c>
      <c r="L1304" s="509">
        <f t="shared" si="48"/>
        <v>0.99164344873785581</v>
      </c>
    </row>
    <row r="1305" spans="1:12">
      <c r="A1305" s="397" t="str">
        <f t="shared" si="49"/>
        <v>-</v>
      </c>
      <c r="F1305" s="496"/>
      <c r="G1305" s="398"/>
      <c r="I1305" t="s">
        <v>255</v>
      </c>
      <c r="J1305">
        <v>10.439955752212398</v>
      </c>
      <c r="K1305">
        <v>10.526999999999999</v>
      </c>
      <c r="L1305" s="509">
        <f t="shared" si="48"/>
        <v>0.9917313339234729</v>
      </c>
    </row>
    <row r="1306" spans="1:12">
      <c r="A1306" s="397" t="str">
        <f t="shared" si="49"/>
        <v>-</v>
      </c>
      <c r="F1306" s="496"/>
      <c r="G1306" s="398"/>
      <c r="I1306" t="s">
        <v>208</v>
      </c>
      <c r="J1306">
        <v>7.0479588083854816</v>
      </c>
      <c r="K1306">
        <v>7.0960000000000001</v>
      </c>
      <c r="L1306" s="509">
        <f t="shared" si="48"/>
        <v>0.99322982079840494</v>
      </c>
    </row>
    <row r="1307" spans="1:12">
      <c r="A1307" s="397" t="str">
        <f t="shared" si="49"/>
        <v>-</v>
      </c>
      <c r="F1307" s="496"/>
      <c r="G1307" s="398"/>
      <c r="I1307" t="s">
        <v>328</v>
      </c>
      <c r="J1307">
        <v>11.740577281191817</v>
      </c>
      <c r="K1307">
        <v>11.804</v>
      </c>
      <c r="L1307" s="509">
        <f t="shared" si="48"/>
        <v>0.99462701467229886</v>
      </c>
    </row>
    <row r="1308" spans="1:12">
      <c r="A1308" s="397" t="str">
        <f t="shared" si="49"/>
        <v>-</v>
      </c>
      <c r="F1308" s="496"/>
      <c r="G1308" s="398"/>
      <c r="I1308" t="s">
        <v>301</v>
      </c>
      <c r="J1308">
        <v>10.697052280311441</v>
      </c>
      <c r="K1308">
        <v>10.753</v>
      </c>
      <c r="L1308" s="509">
        <f t="shared" si="48"/>
        <v>0.99479701295558831</v>
      </c>
    </row>
    <row r="1309" spans="1:12">
      <c r="A1309" s="397" t="str">
        <f t="shared" si="49"/>
        <v>-</v>
      </c>
      <c r="F1309" s="496"/>
      <c r="G1309" s="398"/>
      <c r="I1309" t="s">
        <v>304</v>
      </c>
      <c r="J1309">
        <v>9.9202973168962796</v>
      </c>
      <c r="K1309">
        <v>9.9610000000000003</v>
      </c>
      <c r="L1309" s="509">
        <f t="shared" si="48"/>
        <v>0.99591379549204695</v>
      </c>
    </row>
    <row r="1310" spans="1:12">
      <c r="A1310" s="397" t="str">
        <f t="shared" si="49"/>
        <v>-</v>
      </c>
      <c r="F1310" s="496"/>
      <c r="G1310" s="398"/>
      <c r="I1310" t="s">
        <v>431</v>
      </c>
      <c r="J1310">
        <v>6.5243936731107457</v>
      </c>
      <c r="K1310">
        <v>6.5460000000000003</v>
      </c>
      <c r="L1310" s="509">
        <f t="shared" si="48"/>
        <v>0.99669930844954868</v>
      </c>
    </row>
    <row r="1311" spans="1:12">
      <c r="A1311" s="397" t="str">
        <f t="shared" si="49"/>
        <v>-</v>
      </c>
      <c r="F1311" s="496"/>
      <c r="G1311" s="398"/>
      <c r="I1311" t="s">
        <v>831</v>
      </c>
      <c r="J1311">
        <v>13.38801759530795</v>
      </c>
      <c r="K1311">
        <v>13.428000000000001</v>
      </c>
      <c r="L1311" s="509">
        <f t="shared" si="48"/>
        <v>0.99702246018081242</v>
      </c>
    </row>
    <row r="1312" spans="1:12">
      <c r="A1312" s="397" t="str">
        <f t="shared" si="49"/>
        <v>-</v>
      </c>
      <c r="F1312" s="496"/>
      <c r="G1312" s="398"/>
      <c r="I1312" t="s">
        <v>420</v>
      </c>
      <c r="J1312">
        <v>9.7301818181817676</v>
      </c>
      <c r="K1312">
        <v>9.7560000000000002</v>
      </c>
      <c r="L1312" s="509">
        <f t="shared" si="48"/>
        <v>0.99735360989973021</v>
      </c>
    </row>
    <row r="1313" spans="1:12">
      <c r="A1313" s="397" t="str">
        <f t="shared" si="49"/>
        <v>-</v>
      </c>
      <c r="F1313" s="496"/>
      <c r="G1313" s="398"/>
      <c r="I1313" t="s">
        <v>404</v>
      </c>
      <c r="J1313">
        <v>10.955100083402787</v>
      </c>
      <c r="K1313">
        <v>10.983000000000001</v>
      </c>
      <c r="L1313" s="509">
        <f t="shared" si="48"/>
        <v>0.99745971805542988</v>
      </c>
    </row>
    <row r="1314" spans="1:12">
      <c r="A1314" s="397" t="str">
        <f t="shared" si="49"/>
        <v>-</v>
      </c>
      <c r="F1314" s="496"/>
      <c r="G1314" s="398"/>
      <c r="I1314" t="s">
        <v>422</v>
      </c>
      <c r="J1314">
        <v>9.1813913690476401</v>
      </c>
      <c r="K1314">
        <v>9.2040000000000006</v>
      </c>
      <c r="L1314" s="509">
        <f t="shared" si="48"/>
        <v>0.99754360811034759</v>
      </c>
    </row>
    <row r="1315" spans="1:12">
      <c r="A1315" s="397" t="str">
        <f t="shared" si="49"/>
        <v>-</v>
      </c>
      <c r="F1315" s="496"/>
      <c r="G1315" s="398"/>
      <c r="I1315" t="s">
        <v>187</v>
      </c>
      <c r="J1315">
        <v>10.064381443298956</v>
      </c>
      <c r="K1315">
        <v>10.089</v>
      </c>
      <c r="L1315" s="509">
        <f t="shared" si="48"/>
        <v>0.99755986156199383</v>
      </c>
    </row>
    <row r="1316" spans="1:12">
      <c r="A1316" s="397" t="str">
        <f t="shared" si="49"/>
        <v>-</v>
      </c>
      <c r="F1316" s="496"/>
      <c r="G1316" s="398"/>
      <c r="I1316" t="s">
        <v>830</v>
      </c>
      <c r="J1316">
        <v>10.430793650793644</v>
      </c>
      <c r="K1316">
        <v>10.452</v>
      </c>
      <c r="L1316" s="509">
        <f t="shared" si="48"/>
        <v>0.9979710725979376</v>
      </c>
    </row>
    <row r="1317" spans="1:12">
      <c r="A1317" s="397" t="str">
        <f t="shared" si="49"/>
        <v>-</v>
      </c>
      <c r="F1317" s="496"/>
      <c r="G1317" s="398"/>
      <c r="I1317" t="s">
        <v>750</v>
      </c>
      <c r="J1317">
        <v>13.639905183312255</v>
      </c>
      <c r="K1317">
        <v>13.664999999999999</v>
      </c>
      <c r="L1317" s="509">
        <f t="shared" si="48"/>
        <v>0.99816356994601207</v>
      </c>
    </row>
    <row r="1318" spans="1:12">
      <c r="A1318" s="397" t="str">
        <f t="shared" si="49"/>
        <v>-</v>
      </c>
      <c r="F1318" s="496"/>
      <c r="G1318" s="398"/>
      <c r="I1318" t="s">
        <v>232</v>
      </c>
      <c r="J1318">
        <v>10.211074218749998</v>
      </c>
      <c r="K1318">
        <v>10.227</v>
      </c>
      <c r="L1318" s="509">
        <f t="shared" si="48"/>
        <v>0.99844277097389234</v>
      </c>
    </row>
    <row r="1319" spans="1:12">
      <c r="A1319" s="397" t="str">
        <f t="shared" si="49"/>
        <v>-</v>
      </c>
      <c r="F1319" s="496"/>
      <c r="G1319" s="398"/>
      <c r="I1319" t="s">
        <v>563</v>
      </c>
      <c r="J1319">
        <v>12.291345208845245</v>
      </c>
      <c r="K1319">
        <v>12.303000000000001</v>
      </c>
      <c r="L1319" s="509">
        <f t="shared" si="48"/>
        <v>0.99905268705561601</v>
      </c>
    </row>
    <row r="1320" spans="1:12">
      <c r="A1320" s="397" t="str">
        <f t="shared" si="49"/>
        <v>-</v>
      </c>
      <c r="F1320" s="496"/>
      <c r="G1320" s="398"/>
      <c r="I1320" t="s">
        <v>270</v>
      </c>
      <c r="J1320">
        <v>5.534365482233528</v>
      </c>
      <c r="K1320">
        <v>5.5380000000000003</v>
      </c>
      <c r="L1320" s="509">
        <f t="shared" si="48"/>
        <v>0.99934371293490931</v>
      </c>
    </row>
    <row r="1321" spans="1:12">
      <c r="A1321" s="397" t="str">
        <f t="shared" si="49"/>
        <v>-</v>
      </c>
      <c r="F1321" s="496"/>
      <c r="G1321" s="398"/>
      <c r="I1321" t="s">
        <v>155</v>
      </c>
      <c r="J1321">
        <v>11.914697986577192</v>
      </c>
      <c r="K1321">
        <v>11.92</v>
      </c>
      <c r="L1321" s="509">
        <f t="shared" si="48"/>
        <v>0.99955520021620736</v>
      </c>
    </row>
    <row r="1322" spans="1:12">
      <c r="A1322" s="397" t="str">
        <f t="shared" si="49"/>
        <v>-</v>
      </c>
      <c r="F1322" s="496"/>
      <c r="G1322" s="398"/>
      <c r="I1322" t="s">
        <v>190</v>
      </c>
      <c r="J1322">
        <v>10.721612466124649</v>
      </c>
      <c r="K1322">
        <v>10.723000000000001</v>
      </c>
      <c r="L1322" s="509">
        <f t="shared" si="48"/>
        <v>0.99987060208194045</v>
      </c>
    </row>
    <row r="1323" spans="1:12">
      <c r="A1323" s="397" t="str">
        <f t="shared" si="49"/>
        <v>-</v>
      </c>
      <c r="F1323" s="496"/>
      <c r="G1323" s="398"/>
      <c r="I1323" t="s">
        <v>151</v>
      </c>
      <c r="J1323">
        <v>10.266686746987933</v>
      </c>
      <c r="K1323">
        <v>10.268000000000001</v>
      </c>
      <c r="L1323" s="509">
        <f t="shared" si="48"/>
        <v>0.99987210235566149</v>
      </c>
    </row>
    <row r="1324" spans="1:12">
      <c r="A1324" s="397" t="str">
        <f t="shared" si="49"/>
        <v>-</v>
      </c>
      <c r="F1324" s="496"/>
      <c r="G1324" s="398"/>
      <c r="I1324" t="s">
        <v>550</v>
      </c>
      <c r="J1324">
        <v>10.361896551724136</v>
      </c>
      <c r="K1324">
        <v>10.36</v>
      </c>
      <c r="L1324" s="509">
        <f t="shared" si="48"/>
        <v>1.000183064838237</v>
      </c>
    </row>
    <row r="1325" spans="1:12">
      <c r="A1325" s="397" t="str">
        <f t="shared" si="49"/>
        <v>-</v>
      </c>
      <c r="F1325" s="496"/>
      <c r="G1325" s="398"/>
      <c r="I1325" t="s">
        <v>414</v>
      </c>
      <c r="J1325">
        <v>15.100437158469951</v>
      </c>
      <c r="K1325">
        <v>15.095000000000001</v>
      </c>
      <c r="L1325" s="509">
        <f t="shared" si="48"/>
        <v>1.0003601959900597</v>
      </c>
    </row>
    <row r="1326" spans="1:12">
      <c r="A1326" s="397" t="str">
        <f t="shared" si="49"/>
        <v>-</v>
      </c>
      <c r="F1326" s="496"/>
      <c r="G1326" s="398"/>
      <c r="I1326" t="s">
        <v>295</v>
      </c>
      <c r="J1326">
        <v>10.688766519823808</v>
      </c>
      <c r="K1326">
        <v>10.683</v>
      </c>
      <c r="L1326" s="509">
        <f t="shared" si="48"/>
        <v>1.0005397846881783</v>
      </c>
    </row>
    <row r="1327" spans="1:12">
      <c r="A1327" s="397" t="str">
        <f t="shared" si="49"/>
        <v>-</v>
      </c>
      <c r="F1327" s="496"/>
      <c r="G1327" s="398"/>
      <c r="I1327" t="s">
        <v>142</v>
      </c>
      <c r="J1327">
        <v>9.588275776397543</v>
      </c>
      <c r="K1327">
        <v>9.5809999999999995</v>
      </c>
      <c r="L1327" s="509">
        <f t="shared" si="48"/>
        <v>1.0007593963466803</v>
      </c>
    </row>
    <row r="1328" spans="1:12">
      <c r="A1328" s="397" t="str">
        <f t="shared" si="49"/>
        <v>-</v>
      </c>
      <c r="F1328" s="496"/>
      <c r="G1328" s="398"/>
      <c r="I1328" t="s">
        <v>222</v>
      </c>
      <c r="J1328">
        <v>12.444696132596686</v>
      </c>
      <c r="K1328">
        <v>12.435</v>
      </c>
      <c r="L1328" s="509">
        <f t="shared" si="48"/>
        <v>1.0007797452832075</v>
      </c>
    </row>
    <row r="1329" spans="1:12">
      <c r="A1329" s="397" t="str">
        <f t="shared" si="49"/>
        <v>-</v>
      </c>
      <c r="F1329" s="496"/>
      <c r="G1329" s="398"/>
      <c r="I1329" t="s">
        <v>188</v>
      </c>
      <c r="J1329">
        <v>11.638955823293188</v>
      </c>
      <c r="K1329">
        <v>11.629</v>
      </c>
      <c r="L1329" s="509">
        <f t="shared" si="48"/>
        <v>1.0008561203279034</v>
      </c>
    </row>
    <row r="1330" spans="1:12">
      <c r="A1330" s="397" t="str">
        <f t="shared" si="49"/>
        <v>-</v>
      </c>
      <c r="F1330" s="496"/>
      <c r="G1330" s="398"/>
      <c r="I1330" t="s">
        <v>790</v>
      </c>
      <c r="J1330">
        <v>7.2893492233529358</v>
      </c>
      <c r="K1330">
        <v>7.2830000000000004</v>
      </c>
      <c r="L1330" s="509">
        <f t="shared" si="48"/>
        <v>1.0008717868121564</v>
      </c>
    </row>
    <row r="1331" spans="1:12">
      <c r="A1331" s="397" t="str">
        <f t="shared" si="49"/>
        <v>-</v>
      </c>
      <c r="F1331" s="496"/>
      <c r="G1331" s="398"/>
      <c r="I1331" t="s">
        <v>153</v>
      </c>
      <c r="J1331">
        <v>11.15478632478634</v>
      </c>
      <c r="K1331">
        <v>11.143000000000001</v>
      </c>
      <c r="L1331" s="509">
        <f t="shared" si="48"/>
        <v>1.0010577335355235</v>
      </c>
    </row>
    <row r="1332" spans="1:12">
      <c r="A1332" s="397" t="str">
        <f t="shared" si="49"/>
        <v>-</v>
      </c>
      <c r="F1332" s="496"/>
      <c r="G1332" s="398"/>
      <c r="I1332" t="s">
        <v>395</v>
      </c>
      <c r="J1332">
        <v>11.569984025559119</v>
      </c>
      <c r="K1332">
        <v>11.554</v>
      </c>
      <c r="L1332" s="509">
        <f t="shared" si="48"/>
        <v>1.0013834192105866</v>
      </c>
    </row>
    <row r="1333" spans="1:12">
      <c r="A1333" s="397" t="str">
        <f t="shared" si="49"/>
        <v>-</v>
      </c>
      <c r="F1333" s="496"/>
      <c r="G1333" s="398"/>
      <c r="I1333" t="s">
        <v>436</v>
      </c>
      <c r="J1333">
        <v>11.466976351351338</v>
      </c>
      <c r="K1333">
        <v>11.45</v>
      </c>
      <c r="L1333" s="509">
        <f t="shared" si="48"/>
        <v>1.0014826507730428</v>
      </c>
    </row>
    <row r="1334" spans="1:12">
      <c r="A1334" s="397" t="str">
        <f t="shared" si="49"/>
        <v>-</v>
      </c>
      <c r="F1334" s="496"/>
      <c r="G1334" s="398"/>
      <c r="I1334" t="s">
        <v>419</v>
      </c>
      <c r="J1334">
        <v>9.0732644017725406</v>
      </c>
      <c r="K1334">
        <v>9.0589999999999993</v>
      </c>
      <c r="L1334" s="509">
        <f t="shared" si="48"/>
        <v>1.0015746110798698</v>
      </c>
    </row>
    <row r="1335" spans="1:12">
      <c r="A1335" s="397" t="str">
        <f t="shared" si="49"/>
        <v>-</v>
      </c>
      <c r="F1335" s="496"/>
      <c r="G1335" s="398"/>
      <c r="I1335" t="s">
        <v>576</v>
      </c>
      <c r="J1335">
        <v>10.787005899705058</v>
      </c>
      <c r="K1335">
        <v>10.77</v>
      </c>
      <c r="L1335" s="509">
        <f t="shared" si="48"/>
        <v>1.0015790064721501</v>
      </c>
    </row>
    <row r="1336" spans="1:12">
      <c r="A1336" s="397" t="str">
        <f t="shared" si="49"/>
        <v>-</v>
      </c>
      <c r="F1336" s="496"/>
      <c r="G1336" s="398"/>
      <c r="I1336" t="s">
        <v>179</v>
      </c>
      <c r="J1336">
        <v>10.838260869565218</v>
      </c>
      <c r="K1336">
        <v>10.819000000000001</v>
      </c>
      <c r="L1336" s="509">
        <f t="shared" si="48"/>
        <v>1.0017802818712651</v>
      </c>
    </row>
    <row r="1337" spans="1:12">
      <c r="A1337" s="397" t="str">
        <f t="shared" si="49"/>
        <v>-</v>
      </c>
      <c r="F1337" s="496"/>
      <c r="G1337" s="398"/>
      <c r="I1337" t="s">
        <v>244</v>
      </c>
      <c r="J1337">
        <v>9.2858159722222418</v>
      </c>
      <c r="K1337">
        <v>9.2680000000000007</v>
      </c>
      <c r="L1337" s="509">
        <f t="shared" si="48"/>
        <v>1.001922310339042</v>
      </c>
    </row>
    <row r="1338" spans="1:12">
      <c r="A1338" s="397" t="str">
        <f t="shared" si="49"/>
        <v>-</v>
      </c>
      <c r="F1338" s="496"/>
      <c r="G1338" s="398"/>
      <c r="I1338" t="s">
        <v>157</v>
      </c>
      <c r="J1338">
        <v>10.503005390835575</v>
      </c>
      <c r="K1338">
        <v>10.481</v>
      </c>
      <c r="L1338" s="509">
        <f t="shared" si="48"/>
        <v>1.0020995506951222</v>
      </c>
    </row>
    <row r="1339" spans="1:12">
      <c r="A1339" s="397" t="str">
        <f t="shared" si="49"/>
        <v>-</v>
      </c>
      <c r="F1339" s="496"/>
      <c r="G1339" s="398"/>
      <c r="I1339" t="s">
        <v>334</v>
      </c>
      <c r="J1339">
        <v>12.641681415929208</v>
      </c>
      <c r="K1339">
        <v>12.613</v>
      </c>
      <c r="L1339" s="509">
        <f t="shared" si="48"/>
        <v>1.0022739567057171</v>
      </c>
    </row>
    <row r="1340" spans="1:12">
      <c r="A1340" s="397" t="str">
        <f t="shared" si="49"/>
        <v>-</v>
      </c>
      <c r="F1340" s="496"/>
      <c r="G1340" s="398"/>
      <c r="I1340" t="s">
        <v>202</v>
      </c>
      <c r="J1340">
        <v>12.380555555555556</v>
      </c>
      <c r="K1340">
        <v>12.352</v>
      </c>
      <c r="L1340" s="509">
        <f t="shared" si="48"/>
        <v>1.0023118163500289</v>
      </c>
    </row>
    <row r="1341" spans="1:12">
      <c r="A1341" s="397" t="str">
        <f t="shared" si="49"/>
        <v>-</v>
      </c>
      <c r="F1341" s="496"/>
      <c r="G1341" s="398"/>
      <c r="I1341" t="s">
        <v>418</v>
      </c>
      <c r="J1341">
        <v>7.9868000000000015</v>
      </c>
      <c r="K1341">
        <v>7.968</v>
      </c>
      <c r="L1341" s="509">
        <f t="shared" si="48"/>
        <v>1.0023594377510041</v>
      </c>
    </row>
    <row r="1342" spans="1:12">
      <c r="A1342" s="397" t="str">
        <f t="shared" si="49"/>
        <v>-</v>
      </c>
      <c r="F1342" s="496"/>
      <c r="G1342" s="398"/>
      <c r="I1342" t="s">
        <v>245</v>
      </c>
      <c r="J1342">
        <v>14.274527027027037</v>
      </c>
      <c r="K1342">
        <v>14.24</v>
      </c>
      <c r="L1342" s="509">
        <f t="shared" si="48"/>
        <v>1.0024246507743706</v>
      </c>
    </row>
    <row r="1343" spans="1:12">
      <c r="A1343" s="397" t="str">
        <f t="shared" si="49"/>
        <v>-</v>
      </c>
      <c r="F1343" s="496"/>
      <c r="G1343" s="398"/>
      <c r="I1343" t="s">
        <v>346</v>
      </c>
      <c r="J1343">
        <v>12.465750315258488</v>
      </c>
      <c r="K1343">
        <v>12.435</v>
      </c>
      <c r="L1343" s="509">
        <f t="shared" si="48"/>
        <v>1.0024728842186157</v>
      </c>
    </row>
    <row r="1344" spans="1:12">
      <c r="A1344" s="397" t="str">
        <f t="shared" si="49"/>
        <v>-</v>
      </c>
      <c r="F1344" s="496"/>
      <c r="G1344" s="398"/>
      <c r="I1344" t="s">
        <v>406</v>
      </c>
      <c r="J1344">
        <v>11.456339285714298</v>
      </c>
      <c r="K1344">
        <v>11.420999999999999</v>
      </c>
      <c r="L1344" s="509">
        <f t="shared" si="48"/>
        <v>1.0030942374323</v>
      </c>
    </row>
    <row r="1345" spans="1:12">
      <c r="A1345" s="397" t="str">
        <f t="shared" si="49"/>
        <v>-</v>
      </c>
      <c r="F1345" s="496"/>
      <c r="G1345" s="398"/>
      <c r="I1345" t="s">
        <v>52</v>
      </c>
      <c r="J1345">
        <v>7.0412707423581082</v>
      </c>
      <c r="K1345">
        <v>7.0179999999999998</v>
      </c>
      <c r="L1345" s="509">
        <f t="shared" si="48"/>
        <v>1.0033158652547889</v>
      </c>
    </row>
    <row r="1346" spans="1:12">
      <c r="A1346" s="397" t="str">
        <f t="shared" si="49"/>
        <v>-</v>
      </c>
      <c r="F1346" s="496"/>
      <c r="G1346" s="398"/>
      <c r="I1346" t="s">
        <v>423</v>
      </c>
      <c r="J1346">
        <v>9.985438144329887</v>
      </c>
      <c r="K1346">
        <v>9.952</v>
      </c>
      <c r="L1346" s="509">
        <f t="shared" si="48"/>
        <v>1.0033599421553343</v>
      </c>
    </row>
    <row r="1347" spans="1:12">
      <c r="A1347" s="397" t="str">
        <f t="shared" si="49"/>
        <v>-</v>
      </c>
      <c r="F1347" s="496"/>
      <c r="G1347" s="398"/>
      <c r="I1347" t="s">
        <v>206</v>
      </c>
      <c r="J1347">
        <v>12.340864197530859</v>
      </c>
      <c r="K1347">
        <v>12.295</v>
      </c>
      <c r="L1347" s="509">
        <f t="shared" si="48"/>
        <v>1.003730312934596</v>
      </c>
    </row>
    <row r="1348" spans="1:12">
      <c r="A1348" s="397" t="str">
        <f t="shared" si="49"/>
        <v>-</v>
      </c>
      <c r="F1348" s="496"/>
      <c r="G1348" s="398"/>
      <c r="I1348" t="s">
        <v>181</v>
      </c>
      <c r="J1348">
        <v>12.586642857142866</v>
      </c>
      <c r="K1348">
        <v>12.536</v>
      </c>
      <c r="L1348" s="509">
        <f t="shared" si="48"/>
        <v>1.0040397939648107</v>
      </c>
    </row>
    <row r="1349" spans="1:12">
      <c r="A1349" s="397" t="str">
        <f t="shared" si="49"/>
        <v>-</v>
      </c>
      <c r="F1349" s="496"/>
      <c r="G1349" s="398"/>
      <c r="I1349" t="s">
        <v>177</v>
      </c>
      <c r="J1349">
        <v>11.345204918032772</v>
      </c>
      <c r="K1349">
        <v>11.298999999999999</v>
      </c>
      <c r="L1349" s="509">
        <f t="shared" si="48"/>
        <v>1.0040892926836686</v>
      </c>
    </row>
    <row r="1350" spans="1:12">
      <c r="A1350" s="397" t="str">
        <f t="shared" si="49"/>
        <v>-</v>
      </c>
      <c r="F1350" s="496"/>
      <c r="G1350" s="398"/>
      <c r="I1350" t="s">
        <v>555</v>
      </c>
      <c r="J1350">
        <v>16.334705882352942</v>
      </c>
      <c r="K1350">
        <v>16.266999999999999</v>
      </c>
      <c r="L1350" s="509">
        <f t="shared" si="48"/>
        <v>1.0041621615757634</v>
      </c>
    </row>
    <row r="1351" spans="1:12">
      <c r="A1351" s="397" t="str">
        <f t="shared" si="49"/>
        <v>-</v>
      </c>
      <c r="F1351" s="496"/>
      <c r="G1351" s="398"/>
      <c r="I1351" t="s">
        <v>61</v>
      </c>
      <c r="J1351">
        <v>7.534322580645167</v>
      </c>
      <c r="K1351">
        <v>7.5019999999999998</v>
      </c>
      <c r="L1351" s="509">
        <f t="shared" ref="L1351:L1414" si="50">J1351/K1351</f>
        <v>1.0043085284784281</v>
      </c>
    </row>
    <row r="1352" spans="1:12">
      <c r="A1352" s="397" t="str">
        <f t="shared" si="49"/>
        <v>-</v>
      </c>
      <c r="F1352" s="496"/>
      <c r="G1352" s="398"/>
      <c r="I1352" t="s">
        <v>70</v>
      </c>
      <c r="J1352">
        <v>6.8214478114477863</v>
      </c>
      <c r="K1352">
        <v>6.7919999999999998</v>
      </c>
      <c r="L1352" s="509">
        <f t="shared" si="50"/>
        <v>1.0043356612850098</v>
      </c>
    </row>
    <row r="1353" spans="1:12">
      <c r="A1353" s="397" t="str">
        <f t="shared" si="49"/>
        <v>-</v>
      </c>
      <c r="F1353" s="496"/>
      <c r="G1353" s="398"/>
      <c r="I1353" t="s">
        <v>207</v>
      </c>
      <c r="J1353">
        <v>13.394035433070872</v>
      </c>
      <c r="K1353">
        <v>13.335000000000001</v>
      </c>
      <c r="L1353" s="509">
        <f t="shared" si="50"/>
        <v>1.0044271040923038</v>
      </c>
    </row>
    <row r="1354" spans="1:12">
      <c r="A1354" s="397" t="str">
        <f t="shared" si="49"/>
        <v>-</v>
      </c>
      <c r="F1354" s="496"/>
      <c r="G1354" s="398"/>
      <c r="I1354" t="s">
        <v>786</v>
      </c>
      <c r="J1354">
        <v>4.9118782542445665</v>
      </c>
      <c r="K1354">
        <v>4.8899999999999997</v>
      </c>
      <c r="L1354" s="509">
        <f t="shared" si="50"/>
        <v>1.0044740806226109</v>
      </c>
    </row>
    <row r="1355" spans="1:12">
      <c r="A1355" s="397" t="str">
        <f t="shared" si="49"/>
        <v>-</v>
      </c>
      <c r="F1355" s="496"/>
      <c r="G1355" s="398"/>
      <c r="I1355" t="s">
        <v>791</v>
      </c>
      <c r="J1355">
        <v>6.7949182036053104</v>
      </c>
      <c r="K1355">
        <v>6.7640000000000002</v>
      </c>
      <c r="L1355" s="509">
        <f t="shared" si="50"/>
        <v>1.0045709940279879</v>
      </c>
    </row>
    <row r="1356" spans="1:12">
      <c r="A1356" s="397" t="str">
        <f t="shared" si="49"/>
        <v>-</v>
      </c>
      <c r="F1356" s="496"/>
      <c r="G1356" s="398"/>
      <c r="I1356" t="s">
        <v>180</v>
      </c>
      <c r="J1356">
        <v>11.780873786407764</v>
      </c>
      <c r="K1356">
        <v>11.726000000000001</v>
      </c>
      <c r="L1356" s="509">
        <f t="shared" si="50"/>
        <v>1.0046796679522227</v>
      </c>
    </row>
    <row r="1357" spans="1:12">
      <c r="A1357" s="397" t="str">
        <f t="shared" si="49"/>
        <v>-</v>
      </c>
      <c r="F1357" s="496"/>
      <c r="G1357" s="398"/>
      <c r="I1357" t="s">
        <v>59</v>
      </c>
      <c r="J1357">
        <v>10.130310077519379</v>
      </c>
      <c r="K1357">
        <v>10.076000000000001</v>
      </c>
      <c r="L1357" s="509">
        <f t="shared" si="50"/>
        <v>1.0053900434219312</v>
      </c>
    </row>
    <row r="1358" spans="1:12">
      <c r="A1358" s="397" t="str">
        <f t="shared" ref="A1358:A1398" si="51">B1358&amp;"-"&amp;C1358</f>
        <v>-</v>
      </c>
      <c r="F1358" s="496"/>
      <c r="G1358" s="398"/>
      <c r="I1358" t="s">
        <v>261</v>
      </c>
      <c r="J1358">
        <v>7.5226533479007225</v>
      </c>
      <c r="K1358">
        <v>7.4820000000000002</v>
      </c>
      <c r="L1358" s="509">
        <f t="shared" si="50"/>
        <v>1.005433486754975</v>
      </c>
    </row>
    <row r="1359" spans="1:12">
      <c r="A1359" s="397" t="str">
        <f t="shared" si="51"/>
        <v>-</v>
      </c>
      <c r="F1359" s="496"/>
      <c r="G1359" s="398"/>
      <c r="I1359" t="s">
        <v>173</v>
      </c>
      <c r="J1359">
        <v>4.6910762331838587</v>
      </c>
      <c r="K1359">
        <v>4.6639999999999997</v>
      </c>
      <c r="L1359" s="509">
        <f t="shared" si="50"/>
        <v>1.0058053673207246</v>
      </c>
    </row>
    <row r="1360" spans="1:12">
      <c r="A1360" s="397" t="str">
        <f t="shared" si="51"/>
        <v>-</v>
      </c>
      <c r="F1360" s="496"/>
      <c r="G1360" s="398"/>
      <c r="I1360" t="s">
        <v>172</v>
      </c>
      <c r="J1360">
        <v>8.4432277710109336</v>
      </c>
      <c r="K1360">
        <v>8.3940000000000001</v>
      </c>
      <c r="L1360" s="509">
        <f t="shared" si="50"/>
        <v>1.0058646379569851</v>
      </c>
    </row>
    <row r="1361" spans="1:12">
      <c r="A1361" s="397" t="str">
        <f t="shared" si="51"/>
        <v>-</v>
      </c>
      <c r="F1361" s="496"/>
      <c r="G1361" s="398"/>
      <c r="I1361" t="s">
        <v>305</v>
      </c>
      <c r="J1361">
        <v>11.211558935361207</v>
      </c>
      <c r="K1361">
        <v>11.135999999999999</v>
      </c>
      <c r="L1361" s="509">
        <f t="shared" si="50"/>
        <v>1.0067851055460855</v>
      </c>
    </row>
    <row r="1362" spans="1:12">
      <c r="A1362" s="397" t="str">
        <f t="shared" si="51"/>
        <v>-</v>
      </c>
      <c r="F1362" s="496"/>
      <c r="G1362" s="398"/>
      <c r="I1362" t="s">
        <v>234</v>
      </c>
      <c r="J1362">
        <v>12.361803278688512</v>
      </c>
      <c r="K1362">
        <v>12.278</v>
      </c>
      <c r="L1362" s="509">
        <f t="shared" si="50"/>
        <v>1.0068254828708676</v>
      </c>
    </row>
    <row r="1363" spans="1:12">
      <c r="A1363" s="397" t="str">
        <f t="shared" si="51"/>
        <v>-</v>
      </c>
      <c r="F1363" s="496"/>
      <c r="G1363" s="398"/>
      <c r="I1363" t="s">
        <v>792</v>
      </c>
      <c r="J1363">
        <v>8.3035172413792537</v>
      </c>
      <c r="K1363">
        <v>8.2469999999999999</v>
      </c>
      <c r="L1363" s="509">
        <f t="shared" si="50"/>
        <v>1.0068530667369049</v>
      </c>
    </row>
    <row r="1364" spans="1:12">
      <c r="A1364" s="397" t="str">
        <f t="shared" si="51"/>
        <v>-</v>
      </c>
      <c r="F1364" s="496"/>
      <c r="G1364" s="398"/>
      <c r="I1364" t="s">
        <v>297</v>
      </c>
      <c r="J1364">
        <v>8.5715897435897315</v>
      </c>
      <c r="K1364">
        <v>8.5120000000000005</v>
      </c>
      <c r="L1364" s="509">
        <f t="shared" si="50"/>
        <v>1.0070006747638311</v>
      </c>
    </row>
    <row r="1365" spans="1:12">
      <c r="A1365" s="397" t="str">
        <f t="shared" si="51"/>
        <v>-</v>
      </c>
      <c r="F1365" s="496"/>
      <c r="G1365" s="398"/>
      <c r="I1365" t="s">
        <v>186</v>
      </c>
      <c r="J1365">
        <v>7.5991072535647817</v>
      </c>
      <c r="K1365">
        <v>7.5460000000000003</v>
      </c>
      <c r="L1365" s="509">
        <f t="shared" si="50"/>
        <v>1.0070378019566368</v>
      </c>
    </row>
    <row r="1366" spans="1:12">
      <c r="A1366" s="397" t="str">
        <f t="shared" si="51"/>
        <v>-</v>
      </c>
      <c r="F1366" s="496"/>
      <c r="G1366" s="398"/>
      <c r="I1366" t="s">
        <v>221</v>
      </c>
      <c r="J1366">
        <v>8.9046296296296319</v>
      </c>
      <c r="K1366">
        <v>8.8420000000000005</v>
      </c>
      <c r="L1366" s="509">
        <f t="shared" si="50"/>
        <v>1.0070831971985559</v>
      </c>
    </row>
    <row r="1367" spans="1:12">
      <c r="A1367" s="397" t="str">
        <f t="shared" si="51"/>
        <v>-</v>
      </c>
      <c r="F1367" s="496"/>
      <c r="G1367" s="398"/>
      <c r="I1367" t="s">
        <v>166</v>
      </c>
      <c r="J1367">
        <v>4.8585220994475025</v>
      </c>
      <c r="K1367">
        <v>4.8220000000000001</v>
      </c>
      <c r="L1367" s="509">
        <f t="shared" si="50"/>
        <v>1.0075740562935509</v>
      </c>
    </row>
    <row r="1368" spans="1:12">
      <c r="A1368" s="397" t="str">
        <f t="shared" si="51"/>
        <v>-</v>
      </c>
      <c r="F1368" s="496"/>
      <c r="G1368" s="398"/>
      <c r="I1368" t="s">
        <v>182</v>
      </c>
      <c r="J1368">
        <v>12.707904761904766</v>
      </c>
      <c r="K1368">
        <v>12.612</v>
      </c>
      <c r="L1368" s="509">
        <f t="shared" si="50"/>
        <v>1.0076042469001558</v>
      </c>
    </row>
    <row r="1369" spans="1:12">
      <c r="A1369" s="397" t="str">
        <f t="shared" si="51"/>
        <v>-</v>
      </c>
      <c r="F1369" s="496"/>
      <c r="G1369" s="398"/>
      <c r="I1369" t="s">
        <v>189</v>
      </c>
      <c r="J1369">
        <v>9.0388804607387829</v>
      </c>
      <c r="K1369">
        <v>8.9689999999999994</v>
      </c>
      <c r="L1369" s="509">
        <f t="shared" si="50"/>
        <v>1.0077913324494128</v>
      </c>
    </row>
    <row r="1370" spans="1:12">
      <c r="A1370" s="397" t="str">
        <f t="shared" ref="A1370" si="52">B1370&amp;"-"&amp;C1370</f>
        <v>-</v>
      </c>
      <c r="F1370" s="496"/>
      <c r="G1370" s="398"/>
      <c r="I1370" t="s">
        <v>581</v>
      </c>
      <c r="J1370">
        <v>12.335219512195124</v>
      </c>
      <c r="K1370">
        <v>12.237</v>
      </c>
      <c r="L1370" s="509">
        <f t="shared" si="50"/>
        <v>1.0080264372146053</v>
      </c>
    </row>
    <row r="1371" spans="1:12">
      <c r="A1371" s="397" t="str">
        <f t="shared" si="51"/>
        <v>-</v>
      </c>
      <c r="F1371" s="496"/>
      <c r="G1371" s="398"/>
      <c r="I1371" t="s">
        <v>412</v>
      </c>
      <c r="J1371">
        <v>6.9918584070796523</v>
      </c>
      <c r="K1371">
        <v>6.9329999999999998</v>
      </c>
      <c r="L1371" s="509">
        <f t="shared" si="50"/>
        <v>1.0084896014827134</v>
      </c>
    </row>
    <row r="1372" spans="1:12">
      <c r="A1372" s="397" t="str">
        <f t="shared" si="51"/>
        <v>-</v>
      </c>
      <c r="F1372" s="496"/>
      <c r="G1372" s="398"/>
      <c r="I1372" t="s">
        <v>303</v>
      </c>
      <c r="J1372">
        <v>10.831752265861075</v>
      </c>
      <c r="K1372">
        <v>10.737</v>
      </c>
      <c r="L1372" s="509">
        <f t="shared" si="50"/>
        <v>1.008824836161039</v>
      </c>
    </row>
    <row r="1373" spans="1:12">
      <c r="A1373" s="397" t="str">
        <f t="shared" si="51"/>
        <v>-</v>
      </c>
      <c r="F1373" s="496"/>
      <c r="G1373" s="398"/>
      <c r="I1373" t="s">
        <v>788</v>
      </c>
      <c r="J1373">
        <v>7.3332530005714966</v>
      </c>
      <c r="K1373">
        <v>7.2690000000000001</v>
      </c>
      <c r="L1373" s="509">
        <f t="shared" si="50"/>
        <v>1.0088393177289168</v>
      </c>
    </row>
    <row r="1374" spans="1:12">
      <c r="A1374" s="397" t="str">
        <f t="shared" si="51"/>
        <v>-</v>
      </c>
      <c r="F1374" s="496"/>
      <c r="G1374" s="398"/>
      <c r="I1374" t="s">
        <v>336</v>
      </c>
      <c r="J1374">
        <v>9.7949596774193406</v>
      </c>
      <c r="K1374">
        <v>9.7070000000000007</v>
      </c>
      <c r="L1374" s="509">
        <f t="shared" si="50"/>
        <v>1.0090614687771031</v>
      </c>
    </row>
    <row r="1375" spans="1:12">
      <c r="A1375" s="397" t="str">
        <f t="shared" si="51"/>
        <v>-</v>
      </c>
      <c r="F1375" s="496"/>
      <c r="G1375" s="398"/>
      <c r="I1375" t="s">
        <v>354</v>
      </c>
      <c r="J1375">
        <v>8.7797965116279109</v>
      </c>
      <c r="K1375">
        <v>8.6999999999999993</v>
      </c>
      <c r="L1375" s="509">
        <f t="shared" si="50"/>
        <v>1.0091720128307944</v>
      </c>
    </row>
    <row r="1376" spans="1:12">
      <c r="A1376" s="397" t="str">
        <f t="shared" si="51"/>
        <v>-</v>
      </c>
      <c r="F1376" s="496"/>
      <c r="G1376" s="398"/>
      <c r="I1376" t="s">
        <v>433</v>
      </c>
      <c r="J1376">
        <v>8.1662363919128289</v>
      </c>
      <c r="K1376">
        <v>8.0890000000000004</v>
      </c>
      <c r="L1376" s="509">
        <f t="shared" si="50"/>
        <v>1.0095483238858731</v>
      </c>
    </row>
    <row r="1377" spans="1:12">
      <c r="A1377" s="397" t="str">
        <f t="shared" si="51"/>
        <v>-</v>
      </c>
      <c r="F1377" s="496"/>
      <c r="G1377" s="398"/>
      <c r="I1377" t="s">
        <v>583</v>
      </c>
      <c r="J1377">
        <v>8.2977609561753258</v>
      </c>
      <c r="K1377">
        <v>8.218</v>
      </c>
      <c r="L1377" s="509">
        <f t="shared" si="50"/>
        <v>1.0097056408098475</v>
      </c>
    </row>
    <row r="1378" spans="1:12">
      <c r="A1378" s="397" t="str">
        <f t="shared" si="51"/>
        <v>-</v>
      </c>
      <c r="F1378" s="496"/>
      <c r="G1378" s="398"/>
      <c r="I1378" t="s">
        <v>556</v>
      </c>
      <c r="J1378">
        <v>16.240295504558318</v>
      </c>
      <c r="K1378">
        <v>16.079999999999998</v>
      </c>
      <c r="L1378" s="509">
        <f t="shared" si="50"/>
        <v>1.0099686259053682</v>
      </c>
    </row>
    <row r="1379" spans="1:12">
      <c r="A1379" s="397" t="str">
        <f t="shared" si="51"/>
        <v>-</v>
      </c>
      <c r="F1379" s="496"/>
      <c r="G1379" s="398"/>
      <c r="I1379" t="s">
        <v>236</v>
      </c>
      <c r="J1379">
        <v>12.751607142857145</v>
      </c>
      <c r="K1379">
        <v>12.613</v>
      </c>
      <c r="L1379" s="509">
        <f t="shared" si="50"/>
        <v>1.0109892288002176</v>
      </c>
    </row>
    <row r="1380" spans="1:12">
      <c r="A1380" s="397" t="str">
        <f t="shared" si="51"/>
        <v>-</v>
      </c>
      <c r="F1380" s="496"/>
      <c r="G1380" s="398"/>
      <c r="I1380" t="s">
        <v>174</v>
      </c>
      <c r="J1380">
        <v>10.589928315412191</v>
      </c>
      <c r="K1380">
        <v>10.474</v>
      </c>
      <c r="L1380" s="509">
        <f t="shared" si="50"/>
        <v>1.0110681989127546</v>
      </c>
    </row>
    <row r="1381" spans="1:12">
      <c r="A1381" s="397" t="str">
        <f t="shared" si="51"/>
        <v>-</v>
      </c>
      <c r="F1381" s="496"/>
      <c r="G1381" s="398"/>
      <c r="I1381" t="s">
        <v>813</v>
      </c>
      <c r="J1381">
        <v>6.7229747199080281</v>
      </c>
      <c r="K1381">
        <v>6.6479999999999997</v>
      </c>
      <c r="L1381" s="509">
        <f t="shared" si="50"/>
        <v>1.0112777857864061</v>
      </c>
    </row>
    <row r="1382" spans="1:12">
      <c r="A1382" s="397" t="str">
        <f t="shared" si="51"/>
        <v>-</v>
      </c>
      <c r="F1382" s="496"/>
      <c r="G1382" s="398"/>
      <c r="I1382" t="s">
        <v>582</v>
      </c>
      <c r="J1382">
        <v>8.3447064056939677</v>
      </c>
      <c r="K1382">
        <v>8.2509999999999994</v>
      </c>
      <c r="L1382" s="509">
        <f t="shared" si="50"/>
        <v>1.0113569756022263</v>
      </c>
    </row>
    <row r="1383" spans="1:12">
      <c r="A1383" s="397" t="str">
        <f t="shared" si="51"/>
        <v>-</v>
      </c>
      <c r="F1383" s="496"/>
      <c r="G1383" s="398"/>
      <c r="I1383" t="s">
        <v>254</v>
      </c>
      <c r="J1383">
        <v>9.1290532544378848</v>
      </c>
      <c r="K1383">
        <v>9.02</v>
      </c>
      <c r="L1383" s="509">
        <f t="shared" si="50"/>
        <v>1.0120901612458852</v>
      </c>
    </row>
    <row r="1384" spans="1:12">
      <c r="A1384" s="397" t="str">
        <f t="shared" si="51"/>
        <v>-</v>
      </c>
      <c r="F1384" s="496"/>
      <c r="G1384" s="398"/>
      <c r="I1384" t="s">
        <v>789</v>
      </c>
      <c r="J1384">
        <v>6.870490100219965</v>
      </c>
      <c r="K1384">
        <v>6.7880000000000003</v>
      </c>
      <c r="L1384" s="509">
        <f t="shared" si="50"/>
        <v>1.0121523424012913</v>
      </c>
    </row>
    <row r="1385" spans="1:12">
      <c r="A1385" s="397" t="str">
        <f t="shared" si="51"/>
        <v>-</v>
      </c>
      <c r="F1385" s="496"/>
      <c r="G1385" s="398"/>
      <c r="I1385" t="s">
        <v>158</v>
      </c>
      <c r="J1385">
        <v>10.142678870016599</v>
      </c>
      <c r="K1385">
        <v>10.016999999999999</v>
      </c>
      <c r="L1385" s="509">
        <f t="shared" si="50"/>
        <v>1.0125465578533093</v>
      </c>
    </row>
    <row r="1386" spans="1:12">
      <c r="A1386" s="397" t="str">
        <f t="shared" si="51"/>
        <v>-</v>
      </c>
      <c r="F1386" s="496"/>
      <c r="G1386" s="398"/>
      <c r="I1386" t="s">
        <v>580</v>
      </c>
      <c r="J1386">
        <v>10.751942148760344</v>
      </c>
      <c r="K1386">
        <v>10.617000000000001</v>
      </c>
      <c r="L1386" s="509">
        <f t="shared" si="50"/>
        <v>1.0127100074183237</v>
      </c>
    </row>
    <row r="1387" spans="1:12">
      <c r="A1387" s="397" t="str">
        <f t="shared" si="51"/>
        <v>-</v>
      </c>
      <c r="F1387" s="496"/>
      <c r="G1387" s="398"/>
      <c r="I1387" t="s">
        <v>735</v>
      </c>
      <c r="J1387">
        <v>4.735081967213115</v>
      </c>
      <c r="K1387">
        <v>4.673</v>
      </c>
      <c r="L1387" s="509">
        <f t="shared" si="50"/>
        <v>1.013285248708135</v>
      </c>
    </row>
    <row r="1388" spans="1:12">
      <c r="A1388" s="397" t="str">
        <f t="shared" si="51"/>
        <v>-</v>
      </c>
      <c r="F1388" s="496"/>
      <c r="G1388" s="398"/>
      <c r="I1388" t="s">
        <v>164</v>
      </c>
      <c r="J1388">
        <v>5.2638136798038948</v>
      </c>
      <c r="K1388">
        <v>5.1929999999999996</v>
      </c>
      <c r="L1388" s="509">
        <f t="shared" si="50"/>
        <v>1.0136363720015205</v>
      </c>
    </row>
    <row r="1389" spans="1:12">
      <c r="A1389" s="397" t="str">
        <f t="shared" si="51"/>
        <v>-</v>
      </c>
      <c r="F1389" s="496"/>
      <c r="G1389" s="398"/>
      <c r="I1389" t="s">
        <v>159</v>
      </c>
      <c r="J1389">
        <v>9.1711302192268196</v>
      </c>
      <c r="K1389">
        <v>9.0470000000000006</v>
      </c>
      <c r="L1389" s="509">
        <f t="shared" si="50"/>
        <v>1.0137205945868044</v>
      </c>
    </row>
    <row r="1390" spans="1:12">
      <c r="A1390" s="397" t="str">
        <f t="shared" si="51"/>
        <v>-</v>
      </c>
      <c r="F1390" s="496"/>
      <c r="G1390" s="398"/>
      <c r="I1390" t="s">
        <v>814</v>
      </c>
      <c r="J1390">
        <v>6.3859431936264537</v>
      </c>
      <c r="K1390">
        <v>6.2969999999999997</v>
      </c>
      <c r="L1390" s="509">
        <f t="shared" si="50"/>
        <v>1.0141246932867165</v>
      </c>
    </row>
    <row r="1391" spans="1:12">
      <c r="A1391" s="397" t="str">
        <f t="shared" si="51"/>
        <v>-</v>
      </c>
      <c r="F1391" s="496"/>
      <c r="G1391" s="398"/>
      <c r="I1391" t="s">
        <v>787</v>
      </c>
      <c r="J1391">
        <v>7.0146424769339957</v>
      </c>
      <c r="K1391">
        <v>6.9119999999999999</v>
      </c>
      <c r="L1391" s="509">
        <f t="shared" si="50"/>
        <v>1.0148498953897562</v>
      </c>
    </row>
    <row r="1392" spans="1:12">
      <c r="A1392" s="397" t="str">
        <f t="shared" si="51"/>
        <v>-</v>
      </c>
      <c r="F1392" s="496"/>
      <c r="G1392" s="398"/>
      <c r="I1392" t="s">
        <v>280</v>
      </c>
      <c r="J1392">
        <v>6.5609957627118582</v>
      </c>
      <c r="K1392">
        <v>6.4640000000000004</v>
      </c>
      <c r="L1392" s="509">
        <f t="shared" si="50"/>
        <v>1.0150055325977503</v>
      </c>
    </row>
    <row r="1393" spans="1:12">
      <c r="A1393" s="397" t="str">
        <f t="shared" si="51"/>
        <v>-</v>
      </c>
      <c r="F1393" s="496"/>
      <c r="G1393" s="398"/>
      <c r="I1393" t="s">
        <v>476</v>
      </c>
      <c r="J1393">
        <v>12.712691823899373</v>
      </c>
      <c r="K1393">
        <v>12.523</v>
      </c>
      <c r="L1393" s="509">
        <f t="shared" si="50"/>
        <v>1.0151474745587619</v>
      </c>
    </row>
    <row r="1394" spans="1:12">
      <c r="A1394" s="397" t="str">
        <f t="shared" si="51"/>
        <v>-</v>
      </c>
      <c r="F1394" s="496"/>
      <c r="G1394" s="398"/>
      <c r="I1394" t="s">
        <v>400</v>
      </c>
      <c r="J1394">
        <v>11.989528301886796</v>
      </c>
      <c r="K1394">
        <v>11.805999999999999</v>
      </c>
      <c r="L1394" s="509">
        <f t="shared" si="50"/>
        <v>1.0155453415116718</v>
      </c>
    </row>
    <row r="1395" spans="1:12">
      <c r="A1395" s="397" t="str">
        <f t="shared" si="51"/>
        <v>-</v>
      </c>
      <c r="F1395" s="496"/>
      <c r="G1395" s="398"/>
      <c r="I1395" t="s">
        <v>553</v>
      </c>
      <c r="J1395">
        <v>9.1699136442141622</v>
      </c>
      <c r="K1395">
        <v>9.01</v>
      </c>
      <c r="L1395" s="509">
        <f t="shared" si="50"/>
        <v>1.0177484621769326</v>
      </c>
    </row>
    <row r="1396" spans="1:12">
      <c r="A1396" s="397" t="str">
        <f t="shared" si="51"/>
        <v>-</v>
      </c>
      <c r="F1396" s="496"/>
      <c r="G1396" s="398"/>
      <c r="I1396" t="s">
        <v>785</v>
      </c>
      <c r="J1396">
        <v>4.697520269236696</v>
      </c>
      <c r="K1396">
        <v>4.6109999999999998</v>
      </c>
      <c r="L1396" s="509">
        <f t="shared" si="50"/>
        <v>1.0187638840244406</v>
      </c>
    </row>
    <row r="1397" spans="1:12">
      <c r="A1397" s="397" t="str">
        <f t="shared" si="51"/>
        <v>-</v>
      </c>
      <c r="F1397" s="496"/>
      <c r="G1397" s="398"/>
      <c r="I1397" t="s">
        <v>793</v>
      </c>
      <c r="J1397">
        <v>8.9842912513842439</v>
      </c>
      <c r="K1397">
        <v>8.8170000000000002</v>
      </c>
      <c r="L1397" s="509">
        <f t="shared" si="50"/>
        <v>1.0189737157065037</v>
      </c>
    </row>
    <row r="1398" spans="1:12">
      <c r="A1398" s="397" t="str">
        <f t="shared" si="51"/>
        <v>-</v>
      </c>
      <c r="F1398" s="496"/>
      <c r="G1398" s="398"/>
      <c r="I1398" t="s">
        <v>387</v>
      </c>
      <c r="J1398">
        <v>5.4155329949238666</v>
      </c>
      <c r="K1398">
        <v>5.31</v>
      </c>
      <c r="L1398" s="509">
        <f t="shared" si="50"/>
        <v>1.0198743869913121</v>
      </c>
    </row>
    <row r="1399" spans="1:12">
      <c r="A1399" s="397" t="str">
        <f t="shared" ref="A1399:A1462" si="53">B1399&amp;"-"&amp;C1399</f>
        <v>-</v>
      </c>
      <c r="F1399" s="496"/>
      <c r="G1399" s="398"/>
      <c r="I1399" t="s">
        <v>300</v>
      </c>
      <c r="J1399">
        <v>10113.432624113488</v>
      </c>
      <c r="K1399">
        <v>10200</v>
      </c>
      <c r="L1399" s="509">
        <f t="shared" si="50"/>
        <v>0.99151300236406748</v>
      </c>
    </row>
    <row r="1400" spans="1:12">
      <c r="A1400" s="397" t="str">
        <f t="shared" si="53"/>
        <v>-</v>
      </c>
      <c r="F1400" s="496"/>
      <c r="G1400" s="398"/>
      <c r="I1400" t="s">
        <v>411</v>
      </c>
      <c r="J1400">
        <v>10760.051635111889</v>
      </c>
      <c r="K1400">
        <v>10848</v>
      </c>
      <c r="L1400" s="509">
        <f t="shared" si="50"/>
        <v>0.99189266547860333</v>
      </c>
    </row>
    <row r="1401" spans="1:12">
      <c r="A1401" s="397" t="str">
        <f t="shared" si="53"/>
        <v>-</v>
      </c>
      <c r="F1401" s="496"/>
      <c r="G1401" s="398"/>
      <c r="I1401" t="s">
        <v>853</v>
      </c>
      <c r="J1401">
        <v>6718.75</v>
      </c>
      <c r="K1401">
        <v>6771</v>
      </c>
      <c r="L1401" s="509">
        <f t="shared" si="50"/>
        <v>0.99228326687343082</v>
      </c>
    </row>
    <row r="1402" spans="1:12">
      <c r="A1402" s="397" t="str">
        <f t="shared" si="53"/>
        <v>-</v>
      </c>
      <c r="F1402" s="496"/>
      <c r="G1402" s="398"/>
      <c r="I1402" t="s">
        <v>427</v>
      </c>
      <c r="J1402">
        <v>6632.5156445556941</v>
      </c>
      <c r="K1402">
        <v>6679</v>
      </c>
      <c r="L1402" s="509">
        <f t="shared" si="50"/>
        <v>0.99304022227215061</v>
      </c>
    </row>
    <row r="1403" spans="1:12">
      <c r="A1403" s="397" t="str">
        <f t="shared" si="53"/>
        <v>-</v>
      </c>
      <c r="F1403" s="496"/>
      <c r="G1403" s="398"/>
      <c r="I1403" t="s">
        <v>421</v>
      </c>
      <c r="J1403">
        <v>9474.693140794232</v>
      </c>
      <c r="K1403">
        <v>9516</v>
      </c>
      <c r="L1403" s="509">
        <f t="shared" si="50"/>
        <v>0.9956592203440765</v>
      </c>
    </row>
    <row r="1404" spans="1:12">
      <c r="A1404" s="397" t="str">
        <f t="shared" si="53"/>
        <v>-</v>
      </c>
      <c r="F1404" s="496"/>
      <c r="G1404" s="398"/>
      <c r="I1404" t="s">
        <v>750</v>
      </c>
      <c r="J1404">
        <v>13614.015564202336</v>
      </c>
      <c r="K1404">
        <v>13665</v>
      </c>
      <c r="L1404" s="509">
        <f t="shared" si="50"/>
        <v>0.99626897652413737</v>
      </c>
    </row>
    <row r="1405" spans="1:12">
      <c r="A1405" s="397" t="str">
        <f t="shared" si="53"/>
        <v>-</v>
      </c>
      <c r="F1405" s="496"/>
      <c r="G1405" s="398"/>
      <c r="I1405" t="s">
        <v>791</v>
      </c>
      <c r="J1405">
        <v>6523.056133056155</v>
      </c>
      <c r="K1405">
        <v>6546</v>
      </c>
      <c r="L1405" s="509">
        <f t="shared" si="50"/>
        <v>0.99649497907976703</v>
      </c>
    </row>
    <row r="1406" spans="1:12">
      <c r="A1406" s="397" t="str">
        <f t="shared" si="53"/>
        <v>-</v>
      </c>
      <c r="F1406" s="496"/>
      <c r="G1406" s="398"/>
      <c r="I1406" t="s">
        <v>151</v>
      </c>
      <c r="J1406">
        <v>10243.372549019607</v>
      </c>
      <c r="K1406">
        <v>10268</v>
      </c>
      <c r="L1406" s="509">
        <f t="shared" si="50"/>
        <v>0.99760153379622196</v>
      </c>
    </row>
    <row r="1407" spans="1:12">
      <c r="A1407" s="397" t="str">
        <f t="shared" si="53"/>
        <v>-</v>
      </c>
      <c r="F1407" s="496"/>
      <c r="G1407" s="398"/>
      <c r="I1407" t="s">
        <v>262</v>
      </c>
      <c r="J1407">
        <v>11785.104438642338</v>
      </c>
      <c r="K1407">
        <v>11812</v>
      </c>
      <c r="L1407" s="509">
        <f t="shared" si="50"/>
        <v>0.99772303070117996</v>
      </c>
    </row>
    <row r="1408" spans="1:12">
      <c r="A1408" s="397" t="str">
        <f t="shared" si="53"/>
        <v>-</v>
      </c>
      <c r="F1408" s="496"/>
      <c r="G1408" s="398"/>
      <c r="I1408" t="s">
        <v>418</v>
      </c>
      <c r="J1408">
        <v>7961.1864406779896</v>
      </c>
      <c r="K1408">
        <v>7968</v>
      </c>
      <c r="L1408" s="509">
        <f t="shared" si="50"/>
        <v>0.99914488462324169</v>
      </c>
    </row>
    <row r="1409" spans="1:12">
      <c r="A1409" s="397" t="str">
        <f t="shared" si="53"/>
        <v>-</v>
      </c>
      <c r="F1409" s="496"/>
      <c r="G1409" s="398"/>
      <c r="I1409" t="s">
        <v>171</v>
      </c>
      <c r="J1409">
        <v>7898.0137623209621</v>
      </c>
      <c r="K1409">
        <v>7892</v>
      </c>
      <c r="L1409" s="509">
        <f t="shared" si="50"/>
        <v>1.0007620073898837</v>
      </c>
    </row>
    <row r="1410" spans="1:12">
      <c r="A1410" s="397" t="str">
        <f t="shared" si="53"/>
        <v>-</v>
      </c>
      <c r="F1410" s="496"/>
      <c r="G1410" s="398"/>
      <c r="I1410" t="s">
        <v>244</v>
      </c>
      <c r="J1410">
        <v>9278.8537626067173</v>
      </c>
      <c r="K1410">
        <v>9268</v>
      </c>
      <c r="L1410" s="509">
        <f t="shared" si="50"/>
        <v>1.0011711008423303</v>
      </c>
    </row>
    <row r="1411" spans="1:12">
      <c r="A1411" s="397" t="str">
        <f t="shared" si="53"/>
        <v>-</v>
      </c>
      <c r="F1411" s="496"/>
      <c r="G1411" s="398"/>
      <c r="I1411" t="s">
        <v>142</v>
      </c>
      <c r="J1411">
        <v>9594.7830394293524</v>
      </c>
      <c r="K1411">
        <v>9581</v>
      </c>
      <c r="L1411" s="509">
        <f t="shared" si="50"/>
        <v>1.0014385804643933</v>
      </c>
    </row>
    <row r="1412" spans="1:12">
      <c r="A1412" s="397" t="str">
        <f t="shared" si="53"/>
        <v>-</v>
      </c>
      <c r="F1412" s="496"/>
      <c r="G1412" s="398"/>
      <c r="I1412" t="s">
        <v>790</v>
      </c>
      <c r="J1412">
        <v>7273.8028747431754</v>
      </c>
      <c r="K1412">
        <v>7263</v>
      </c>
      <c r="L1412" s="509">
        <f t="shared" si="50"/>
        <v>1.0014873846541616</v>
      </c>
    </row>
    <row r="1413" spans="1:12">
      <c r="A1413" s="397" t="str">
        <f t="shared" si="53"/>
        <v>-</v>
      </c>
      <c r="F1413" s="496"/>
      <c r="G1413" s="398"/>
      <c r="I1413" t="s">
        <v>874</v>
      </c>
      <c r="J1413">
        <v>6949.3750000000009</v>
      </c>
      <c r="K1413">
        <v>6939</v>
      </c>
      <c r="L1413" s="509">
        <f t="shared" si="50"/>
        <v>1.0014951722150167</v>
      </c>
    </row>
    <row r="1414" spans="1:12">
      <c r="A1414" s="397" t="str">
        <f t="shared" si="53"/>
        <v>-</v>
      </c>
      <c r="F1414" s="496"/>
      <c r="G1414" s="398"/>
      <c r="I1414" t="s">
        <v>220</v>
      </c>
      <c r="J1414">
        <v>14000.064724919082</v>
      </c>
      <c r="K1414">
        <v>13974</v>
      </c>
      <c r="L1414" s="509">
        <f t="shared" si="50"/>
        <v>1.0018652300643396</v>
      </c>
    </row>
    <row r="1415" spans="1:12">
      <c r="A1415" s="397" t="str">
        <f t="shared" si="53"/>
        <v>-</v>
      </c>
      <c r="F1415" s="496"/>
      <c r="G1415" s="398"/>
      <c r="I1415" t="s">
        <v>178</v>
      </c>
      <c r="J1415">
        <v>13486.956521739141</v>
      </c>
      <c r="K1415">
        <v>13460</v>
      </c>
      <c r="L1415" s="509">
        <f t="shared" ref="L1415:L1478" si="54">J1415/K1415</f>
        <v>1.0020027133535765</v>
      </c>
    </row>
    <row r="1416" spans="1:12">
      <c r="A1416" s="397" t="str">
        <f t="shared" si="53"/>
        <v>-</v>
      </c>
      <c r="F1416" s="496"/>
      <c r="G1416" s="398"/>
      <c r="I1416" t="s">
        <v>138</v>
      </c>
      <c r="J1416">
        <v>8513.281786941563</v>
      </c>
      <c r="K1416">
        <v>8496</v>
      </c>
      <c r="L1416" s="509">
        <f t="shared" si="54"/>
        <v>1.0020341086324815</v>
      </c>
    </row>
    <row r="1417" spans="1:12">
      <c r="A1417" s="397" t="str">
        <f t="shared" si="53"/>
        <v>-</v>
      </c>
      <c r="F1417" s="496"/>
      <c r="G1417" s="398"/>
      <c r="I1417" t="s">
        <v>284</v>
      </c>
      <c r="J1417">
        <v>12057.378640776704</v>
      </c>
      <c r="K1417">
        <v>12032</v>
      </c>
      <c r="L1417" s="509">
        <f t="shared" si="54"/>
        <v>1.0021092620326384</v>
      </c>
    </row>
    <row r="1418" spans="1:12">
      <c r="A1418" s="397" t="str">
        <f t="shared" si="53"/>
        <v>-</v>
      </c>
      <c r="F1418" s="496"/>
      <c r="G1418" s="398"/>
      <c r="I1418" t="s">
        <v>187</v>
      </c>
      <c r="J1418">
        <v>10154.426896012448</v>
      </c>
      <c r="K1418">
        <v>10130</v>
      </c>
      <c r="L1418" s="509">
        <f t="shared" si="54"/>
        <v>1.0024113421532526</v>
      </c>
    </row>
    <row r="1419" spans="1:12">
      <c r="A1419" s="397" t="str">
        <f t="shared" si="53"/>
        <v>-</v>
      </c>
      <c r="F1419" s="496"/>
      <c r="G1419" s="398"/>
      <c r="I1419" t="s">
        <v>332</v>
      </c>
      <c r="J1419">
        <v>9798.4516129032254</v>
      </c>
      <c r="K1419">
        <v>9773</v>
      </c>
      <c r="L1419" s="509">
        <f t="shared" si="54"/>
        <v>1.0026042784102349</v>
      </c>
    </row>
    <row r="1420" spans="1:12">
      <c r="A1420" s="397" t="str">
        <f t="shared" si="53"/>
        <v>-</v>
      </c>
      <c r="F1420" s="496"/>
      <c r="G1420" s="398"/>
      <c r="I1420" t="s">
        <v>261</v>
      </c>
      <c r="J1420">
        <v>7503.3430321592423</v>
      </c>
      <c r="K1420">
        <v>7482</v>
      </c>
      <c r="L1420" s="509">
        <f t="shared" si="54"/>
        <v>1.0028525838224061</v>
      </c>
    </row>
    <row r="1421" spans="1:12">
      <c r="A1421" s="397" t="str">
        <f t="shared" si="53"/>
        <v>-</v>
      </c>
      <c r="F1421" s="496"/>
      <c r="G1421" s="398"/>
      <c r="I1421" t="s">
        <v>188</v>
      </c>
      <c r="J1421">
        <v>11662.376775271505</v>
      </c>
      <c r="K1421">
        <v>11629</v>
      </c>
      <c r="L1421" s="509">
        <f t="shared" si="54"/>
        <v>1.0028701328808587</v>
      </c>
    </row>
    <row r="1422" spans="1:12">
      <c r="A1422" s="397" t="str">
        <f t="shared" si="53"/>
        <v>-</v>
      </c>
      <c r="F1422" s="496"/>
      <c r="G1422" s="398"/>
      <c r="I1422" t="s">
        <v>155</v>
      </c>
      <c r="J1422">
        <v>11965.777993213778</v>
      </c>
      <c r="K1422">
        <v>11920</v>
      </c>
      <c r="L1422" s="509">
        <f t="shared" si="54"/>
        <v>1.0038404356722967</v>
      </c>
    </row>
    <row r="1423" spans="1:12">
      <c r="A1423" s="397" t="str">
        <f t="shared" si="53"/>
        <v>-</v>
      </c>
      <c r="F1423" s="496"/>
      <c r="G1423" s="398"/>
      <c r="I1423" t="s">
        <v>346</v>
      </c>
      <c r="J1423">
        <v>12484.76666666665</v>
      </c>
      <c r="K1423">
        <v>12435</v>
      </c>
      <c r="L1423" s="509">
        <f t="shared" si="54"/>
        <v>1.0040021444846523</v>
      </c>
    </row>
    <row r="1424" spans="1:12">
      <c r="A1424" s="397" t="str">
        <f t="shared" si="53"/>
        <v>-</v>
      </c>
      <c r="F1424" s="496"/>
      <c r="G1424" s="398"/>
      <c r="I1424" t="s">
        <v>792</v>
      </c>
      <c r="J1424">
        <v>8280.610875706172</v>
      </c>
      <c r="K1424">
        <v>8247</v>
      </c>
      <c r="L1424" s="509">
        <f t="shared" si="54"/>
        <v>1.0040755275501603</v>
      </c>
    </row>
    <row r="1425" spans="1:12">
      <c r="A1425" s="397" t="str">
        <f t="shared" si="53"/>
        <v>-</v>
      </c>
      <c r="F1425" s="496"/>
      <c r="G1425" s="398"/>
      <c r="I1425" t="s">
        <v>270</v>
      </c>
      <c r="J1425">
        <v>5560.7202351788555</v>
      </c>
      <c r="K1425">
        <v>5538</v>
      </c>
      <c r="L1425" s="509">
        <f t="shared" si="54"/>
        <v>1.0041026065689518</v>
      </c>
    </row>
    <row r="1426" spans="1:12">
      <c r="A1426" s="397" t="str">
        <f t="shared" si="53"/>
        <v>-</v>
      </c>
      <c r="F1426" s="496"/>
      <c r="G1426" s="398"/>
      <c r="I1426" t="s">
        <v>298</v>
      </c>
      <c r="J1426">
        <v>8848.0150753768885</v>
      </c>
      <c r="K1426">
        <v>8809</v>
      </c>
      <c r="L1426" s="509">
        <f t="shared" si="54"/>
        <v>1.0044290016320683</v>
      </c>
    </row>
    <row r="1427" spans="1:12">
      <c r="A1427" s="397" t="str">
        <f t="shared" si="53"/>
        <v>-</v>
      </c>
      <c r="F1427" s="496"/>
      <c r="G1427" s="398"/>
      <c r="I1427" t="s">
        <v>208</v>
      </c>
      <c r="J1427">
        <v>7127.9257142857005</v>
      </c>
      <c r="K1427">
        <v>7096</v>
      </c>
      <c r="L1427" s="509">
        <f t="shared" si="54"/>
        <v>1.0044991141890784</v>
      </c>
    </row>
    <row r="1428" spans="1:12">
      <c r="A1428" s="397" t="str">
        <f t="shared" si="53"/>
        <v>-</v>
      </c>
      <c r="F1428" s="496"/>
      <c r="G1428" s="398"/>
      <c r="I1428" t="s">
        <v>157</v>
      </c>
      <c r="J1428">
        <v>10528.552062301724</v>
      </c>
      <c r="K1428">
        <v>10481</v>
      </c>
      <c r="L1428" s="509">
        <f t="shared" si="54"/>
        <v>1.004536977607263</v>
      </c>
    </row>
    <row r="1429" spans="1:12">
      <c r="A1429" s="397" t="str">
        <f t="shared" si="53"/>
        <v>-</v>
      </c>
      <c r="F1429" s="496"/>
      <c r="G1429" s="398"/>
      <c r="I1429" t="s">
        <v>788</v>
      </c>
      <c r="J1429">
        <v>7225.2439024390396</v>
      </c>
      <c r="K1429">
        <v>7192</v>
      </c>
      <c r="L1429" s="509">
        <f t="shared" si="54"/>
        <v>1.0046223446105449</v>
      </c>
    </row>
    <row r="1430" spans="1:12">
      <c r="A1430" s="397" t="str">
        <f t="shared" si="53"/>
        <v>-</v>
      </c>
      <c r="F1430" s="496"/>
      <c r="G1430" s="398"/>
      <c r="I1430" t="s">
        <v>255</v>
      </c>
      <c r="J1430">
        <v>10576.650717703327</v>
      </c>
      <c r="K1430">
        <v>10527</v>
      </c>
      <c r="L1430" s="509">
        <f t="shared" si="54"/>
        <v>1.0047165116085615</v>
      </c>
    </row>
    <row r="1431" spans="1:12">
      <c r="A1431" s="397" t="str">
        <f t="shared" si="53"/>
        <v>-</v>
      </c>
      <c r="F1431" s="496"/>
      <c r="G1431" s="398"/>
      <c r="I1431" t="s">
        <v>419</v>
      </c>
      <c r="J1431">
        <v>9104.3333333333449</v>
      </c>
      <c r="K1431">
        <v>9059</v>
      </c>
      <c r="L1431" s="509">
        <f t="shared" si="54"/>
        <v>1.0050042315193006</v>
      </c>
    </row>
    <row r="1432" spans="1:12">
      <c r="A1432" s="397" t="str">
        <f t="shared" si="53"/>
        <v>-</v>
      </c>
      <c r="F1432" s="496"/>
      <c r="G1432" s="398"/>
      <c r="I1432" t="s">
        <v>791</v>
      </c>
      <c r="J1432">
        <v>6851.2209503986978</v>
      </c>
      <c r="K1432">
        <v>6817</v>
      </c>
      <c r="L1432" s="509">
        <f t="shared" si="54"/>
        <v>1.0050199428485693</v>
      </c>
    </row>
    <row r="1433" spans="1:12">
      <c r="A1433" s="397" t="str">
        <f t="shared" si="53"/>
        <v>-</v>
      </c>
      <c r="F1433" s="496"/>
      <c r="G1433" s="398"/>
      <c r="I1433" t="s">
        <v>422</v>
      </c>
      <c r="J1433">
        <v>9256.416275430347</v>
      </c>
      <c r="K1433">
        <v>9210</v>
      </c>
      <c r="L1433" s="509">
        <f t="shared" si="54"/>
        <v>1.0050397693192559</v>
      </c>
    </row>
    <row r="1434" spans="1:12">
      <c r="A1434" s="397" t="str">
        <f t="shared" si="53"/>
        <v>-</v>
      </c>
      <c r="F1434" s="496"/>
      <c r="G1434" s="398"/>
      <c r="I1434" t="s">
        <v>813</v>
      </c>
      <c r="J1434">
        <v>6681.5122228538949</v>
      </c>
      <c r="K1434">
        <v>6648</v>
      </c>
      <c r="L1434" s="509">
        <f t="shared" si="54"/>
        <v>1.0050409480827158</v>
      </c>
    </row>
    <row r="1435" spans="1:12">
      <c r="A1435" s="397" t="str">
        <f t="shared" si="53"/>
        <v>-</v>
      </c>
      <c r="F1435" s="496"/>
      <c r="G1435" s="398"/>
      <c r="I1435" t="s">
        <v>285</v>
      </c>
      <c r="J1435">
        <v>5647.8044280442664</v>
      </c>
      <c r="K1435">
        <v>5619</v>
      </c>
      <c r="L1435" s="509">
        <f t="shared" si="54"/>
        <v>1.0051262552134306</v>
      </c>
    </row>
    <row r="1436" spans="1:12">
      <c r="A1436" s="397" t="str">
        <f t="shared" si="53"/>
        <v>-</v>
      </c>
      <c r="F1436" s="496"/>
      <c r="G1436" s="398"/>
      <c r="I1436" t="s">
        <v>830</v>
      </c>
      <c r="J1436">
        <v>10512.621359223296</v>
      </c>
      <c r="K1436">
        <v>10452</v>
      </c>
      <c r="L1436" s="509">
        <f t="shared" si="54"/>
        <v>1.0057999769635759</v>
      </c>
    </row>
    <row r="1437" spans="1:12">
      <c r="A1437" s="397" t="str">
        <f t="shared" si="53"/>
        <v>-</v>
      </c>
      <c r="F1437" s="496"/>
      <c r="G1437" s="398"/>
      <c r="I1437" t="s">
        <v>206</v>
      </c>
      <c r="J1437">
        <v>12366.33300297325</v>
      </c>
      <c r="K1437">
        <v>12295</v>
      </c>
      <c r="L1437" s="509">
        <f t="shared" si="54"/>
        <v>1.0058017895870883</v>
      </c>
    </row>
    <row r="1438" spans="1:12">
      <c r="A1438" s="397" t="str">
        <f t="shared" si="53"/>
        <v>-</v>
      </c>
      <c r="F1438" s="496"/>
      <c r="G1438" s="398"/>
      <c r="I1438" t="s">
        <v>305</v>
      </c>
      <c r="J1438">
        <v>11201.610228058023</v>
      </c>
      <c r="K1438">
        <v>11136</v>
      </c>
      <c r="L1438" s="509">
        <f t="shared" si="54"/>
        <v>1.0058917230655553</v>
      </c>
    </row>
    <row r="1439" spans="1:12">
      <c r="A1439" s="397" t="str">
        <f t="shared" si="53"/>
        <v>-</v>
      </c>
      <c r="F1439" s="496"/>
      <c r="G1439" s="398"/>
      <c r="I1439" t="s">
        <v>173</v>
      </c>
      <c r="J1439">
        <v>4691.5790756628958</v>
      </c>
      <c r="K1439">
        <v>4664</v>
      </c>
      <c r="L1439" s="509">
        <f t="shared" si="54"/>
        <v>1.0059131808882709</v>
      </c>
    </row>
    <row r="1440" spans="1:12">
      <c r="A1440" s="397" t="str">
        <f t="shared" si="53"/>
        <v>-</v>
      </c>
      <c r="F1440" s="496"/>
      <c r="G1440" s="398"/>
      <c r="I1440" t="s">
        <v>563</v>
      </c>
      <c r="J1440">
        <v>12377.674074074072</v>
      </c>
      <c r="K1440">
        <v>12303</v>
      </c>
      <c r="L1440" s="509">
        <f t="shared" si="54"/>
        <v>1.0060695825468644</v>
      </c>
    </row>
    <row r="1441" spans="1:12">
      <c r="A1441" s="397" t="str">
        <f t="shared" si="53"/>
        <v>-</v>
      </c>
      <c r="F1441" s="496"/>
      <c r="G1441" s="398"/>
      <c r="I1441" t="s">
        <v>58</v>
      </c>
      <c r="J1441">
        <v>8513.6451169188349</v>
      </c>
      <c r="K1441">
        <v>8461</v>
      </c>
      <c r="L1441" s="509">
        <f t="shared" si="54"/>
        <v>1.0062220915871452</v>
      </c>
    </row>
    <row r="1442" spans="1:12">
      <c r="A1442" s="397" t="str">
        <f t="shared" si="53"/>
        <v>-</v>
      </c>
      <c r="F1442" s="496"/>
      <c r="G1442" s="398"/>
      <c r="I1442" t="s">
        <v>406</v>
      </c>
      <c r="J1442">
        <v>11494.423868312741</v>
      </c>
      <c r="K1442">
        <v>11421</v>
      </c>
      <c r="L1442" s="509">
        <f t="shared" si="54"/>
        <v>1.0064288475888925</v>
      </c>
    </row>
    <row r="1443" spans="1:12">
      <c r="A1443" s="397" t="str">
        <f t="shared" si="53"/>
        <v>-</v>
      </c>
      <c r="F1443" s="496"/>
      <c r="G1443" s="398"/>
      <c r="I1443" t="s">
        <v>477</v>
      </c>
      <c r="J1443">
        <v>15214.955752212392</v>
      </c>
      <c r="K1443">
        <v>15115</v>
      </c>
      <c r="L1443" s="509">
        <f t="shared" si="54"/>
        <v>1.0066130170170289</v>
      </c>
    </row>
    <row r="1444" spans="1:12">
      <c r="A1444" s="397" t="str">
        <f t="shared" si="53"/>
        <v>-</v>
      </c>
      <c r="F1444" s="496"/>
      <c r="G1444" s="398"/>
      <c r="I1444" t="s">
        <v>420</v>
      </c>
      <c r="J1444">
        <v>9822.0204081632783</v>
      </c>
      <c r="K1444">
        <v>9756</v>
      </c>
      <c r="L1444" s="509">
        <f t="shared" si="54"/>
        <v>1.0067671595083312</v>
      </c>
    </row>
    <row r="1445" spans="1:12">
      <c r="A1445" s="397" t="str">
        <f t="shared" si="53"/>
        <v>-</v>
      </c>
      <c r="F1445" s="496"/>
      <c r="G1445" s="398"/>
      <c r="I1445" t="s">
        <v>436</v>
      </c>
      <c r="J1445">
        <v>11533.225250086267</v>
      </c>
      <c r="K1445">
        <v>11450</v>
      </c>
      <c r="L1445" s="509">
        <f t="shared" si="54"/>
        <v>1.0072685807935604</v>
      </c>
    </row>
    <row r="1446" spans="1:12">
      <c r="A1446" s="397" t="str">
        <f t="shared" si="53"/>
        <v>-</v>
      </c>
      <c r="F1446" s="496"/>
      <c r="G1446" s="398"/>
      <c r="I1446" t="s">
        <v>190</v>
      </c>
      <c r="J1446">
        <v>10801.829824561448</v>
      </c>
      <c r="K1446">
        <v>10723</v>
      </c>
      <c r="L1446" s="509">
        <f t="shared" si="54"/>
        <v>1.0073514710959104</v>
      </c>
    </row>
    <row r="1447" spans="1:12">
      <c r="A1447" s="397" t="str">
        <f t="shared" si="53"/>
        <v>-</v>
      </c>
      <c r="F1447" s="496"/>
      <c r="G1447" s="398"/>
      <c r="I1447" t="s">
        <v>404</v>
      </c>
      <c r="J1447">
        <v>11015.714285714286</v>
      </c>
      <c r="K1447">
        <v>10935</v>
      </c>
      <c r="L1447" s="509">
        <f t="shared" si="54"/>
        <v>1.0073812789862173</v>
      </c>
    </row>
    <row r="1448" spans="1:12">
      <c r="A1448" s="397" t="str">
        <f t="shared" si="53"/>
        <v>-</v>
      </c>
      <c r="F1448" s="496"/>
      <c r="G1448" s="398"/>
      <c r="I1448" t="s">
        <v>555</v>
      </c>
      <c r="J1448">
        <v>16391.862197392922</v>
      </c>
      <c r="K1448">
        <v>16267</v>
      </c>
      <c r="L1448" s="509">
        <f t="shared" si="54"/>
        <v>1.00767579746683</v>
      </c>
    </row>
    <row r="1449" spans="1:12">
      <c r="A1449" s="397" t="str">
        <f t="shared" si="53"/>
        <v>-</v>
      </c>
      <c r="F1449" s="496"/>
      <c r="G1449" s="398"/>
      <c r="I1449" t="s">
        <v>849</v>
      </c>
      <c r="J1449">
        <v>6253.0769230769238</v>
      </c>
      <c r="K1449">
        <v>6204</v>
      </c>
      <c r="L1449" s="509">
        <f t="shared" si="54"/>
        <v>1.0079105291871251</v>
      </c>
    </row>
    <row r="1450" spans="1:12">
      <c r="A1450" s="397" t="str">
        <f t="shared" si="53"/>
        <v>-</v>
      </c>
      <c r="F1450" s="496"/>
      <c r="G1450" s="398"/>
      <c r="I1450" t="s">
        <v>735</v>
      </c>
      <c r="J1450">
        <v>4710.4949211151434</v>
      </c>
      <c r="K1450">
        <v>4673</v>
      </c>
      <c r="L1450" s="509">
        <f t="shared" si="54"/>
        <v>1.0080237365964355</v>
      </c>
    </row>
    <row r="1451" spans="1:12">
      <c r="A1451" s="397" t="str">
        <f t="shared" si="53"/>
        <v>-</v>
      </c>
      <c r="F1451" s="496"/>
      <c r="G1451" s="398"/>
      <c r="I1451" t="s">
        <v>814</v>
      </c>
      <c r="J1451">
        <v>6348.6666666666697</v>
      </c>
      <c r="K1451">
        <v>6297</v>
      </c>
      <c r="L1451" s="509">
        <f t="shared" si="54"/>
        <v>1.008204965327405</v>
      </c>
    </row>
    <row r="1452" spans="1:12">
      <c r="A1452" s="397" t="str">
        <f t="shared" si="53"/>
        <v>-</v>
      </c>
      <c r="F1452" s="496"/>
      <c r="G1452" s="398"/>
      <c r="I1452" t="s">
        <v>580</v>
      </c>
      <c r="J1452">
        <v>10706.704545454568</v>
      </c>
      <c r="K1452">
        <v>10617</v>
      </c>
      <c r="L1452" s="509">
        <f t="shared" si="54"/>
        <v>1.0084491424559261</v>
      </c>
    </row>
    <row r="1453" spans="1:12">
      <c r="A1453" s="397" t="str">
        <f t="shared" si="53"/>
        <v>-</v>
      </c>
      <c r="F1453" s="496"/>
      <c r="G1453" s="398"/>
      <c r="I1453" t="s">
        <v>471</v>
      </c>
      <c r="J1453">
        <v>10470.813261547162</v>
      </c>
      <c r="K1453">
        <v>10383</v>
      </c>
      <c r="L1453" s="509">
        <f t="shared" si="54"/>
        <v>1.0084574074494042</v>
      </c>
    </row>
    <row r="1454" spans="1:12">
      <c r="A1454" s="397" t="str">
        <f t="shared" si="53"/>
        <v>-</v>
      </c>
      <c r="F1454" s="496"/>
      <c r="G1454" s="398"/>
      <c r="I1454" t="s">
        <v>303</v>
      </c>
      <c r="J1454">
        <v>10828.010517090299</v>
      </c>
      <c r="K1454">
        <v>10737</v>
      </c>
      <c r="L1454" s="509">
        <f t="shared" si="54"/>
        <v>1.008476345076865</v>
      </c>
    </row>
    <row r="1455" spans="1:12">
      <c r="A1455" s="397" t="str">
        <f t="shared" si="53"/>
        <v>-</v>
      </c>
      <c r="F1455" s="496"/>
      <c r="G1455" s="398"/>
      <c r="I1455" t="s">
        <v>577</v>
      </c>
      <c r="J1455">
        <v>13438.482905982904</v>
      </c>
      <c r="K1455">
        <v>13323</v>
      </c>
      <c r="L1455" s="509">
        <f t="shared" si="54"/>
        <v>1.0086679355988069</v>
      </c>
    </row>
    <row r="1456" spans="1:12">
      <c r="A1456" s="397" t="str">
        <f t="shared" si="53"/>
        <v>-</v>
      </c>
      <c r="F1456" s="496"/>
      <c r="G1456" s="398"/>
      <c r="I1456" t="s">
        <v>565</v>
      </c>
      <c r="J1456">
        <v>9222.9675278502236</v>
      </c>
      <c r="K1456">
        <v>9141</v>
      </c>
      <c r="L1456" s="509">
        <f t="shared" si="54"/>
        <v>1.008967019784512</v>
      </c>
    </row>
    <row r="1457" spans="1:12">
      <c r="A1457" s="397" t="str">
        <f t="shared" si="53"/>
        <v>-</v>
      </c>
      <c r="F1457" s="496"/>
      <c r="G1457" s="398"/>
      <c r="I1457" t="s">
        <v>423</v>
      </c>
      <c r="J1457">
        <v>10042.499999999984</v>
      </c>
      <c r="K1457">
        <v>9952</v>
      </c>
      <c r="L1457" s="509">
        <f t="shared" si="54"/>
        <v>1.0090936495176832</v>
      </c>
    </row>
    <row r="1458" spans="1:12">
      <c r="A1458" s="397" t="str">
        <f t="shared" si="53"/>
        <v>-</v>
      </c>
      <c r="F1458" s="496"/>
      <c r="G1458" s="398"/>
      <c r="I1458" t="s">
        <v>179</v>
      </c>
      <c r="J1458">
        <v>10921</v>
      </c>
      <c r="K1458">
        <v>10819</v>
      </c>
      <c r="L1458" s="509">
        <f t="shared" si="54"/>
        <v>1.009427858397264</v>
      </c>
    </row>
    <row r="1459" spans="1:12">
      <c r="A1459" s="397" t="str">
        <f t="shared" si="53"/>
        <v>-</v>
      </c>
      <c r="F1459" s="496"/>
      <c r="G1459" s="398"/>
      <c r="I1459" t="s">
        <v>164</v>
      </c>
      <c r="J1459">
        <v>5242.3862277557282</v>
      </c>
      <c r="K1459">
        <v>5193</v>
      </c>
      <c r="L1459" s="509">
        <f t="shared" si="54"/>
        <v>1.0095101536213611</v>
      </c>
    </row>
    <row r="1460" spans="1:12">
      <c r="A1460" s="397" t="str">
        <f t="shared" si="53"/>
        <v>-</v>
      </c>
      <c r="F1460" s="496"/>
      <c r="G1460" s="398"/>
      <c r="I1460" t="s">
        <v>221</v>
      </c>
      <c r="J1460">
        <v>8926.7993263605331</v>
      </c>
      <c r="K1460">
        <v>8842</v>
      </c>
      <c r="L1460" s="509">
        <f t="shared" si="54"/>
        <v>1.0095905141778481</v>
      </c>
    </row>
    <row r="1461" spans="1:12">
      <c r="A1461" s="397" t="str">
        <f t="shared" si="53"/>
        <v>-</v>
      </c>
      <c r="F1461" s="496"/>
      <c r="G1461" s="398"/>
      <c r="I1461" t="s">
        <v>185</v>
      </c>
      <c r="J1461">
        <v>10261.788253477609</v>
      </c>
      <c r="K1461">
        <v>10163</v>
      </c>
      <c r="L1461" s="509">
        <f t="shared" si="54"/>
        <v>1.0097203831031791</v>
      </c>
    </row>
    <row r="1462" spans="1:12">
      <c r="A1462" s="397" t="str">
        <f t="shared" si="53"/>
        <v>-</v>
      </c>
      <c r="F1462" s="496"/>
      <c r="G1462" s="398"/>
      <c r="I1462" t="s">
        <v>433</v>
      </c>
      <c r="J1462">
        <v>8168.7552358403955</v>
      </c>
      <c r="K1462">
        <v>8089</v>
      </c>
      <c r="L1462" s="509">
        <f t="shared" si="54"/>
        <v>1.0098597151490167</v>
      </c>
    </row>
    <row r="1463" spans="1:12">
      <c r="A1463" s="397" t="str">
        <f t="shared" ref="A1463:A1526" si="55">B1463&amp;"-"&amp;C1463</f>
        <v>-</v>
      </c>
      <c r="F1463" s="496"/>
      <c r="G1463" s="398"/>
      <c r="I1463" t="s">
        <v>172</v>
      </c>
      <c r="J1463">
        <v>8477.6815533979989</v>
      </c>
      <c r="K1463">
        <v>8394</v>
      </c>
      <c r="L1463" s="509">
        <f t="shared" si="54"/>
        <v>1.0099692105549201</v>
      </c>
    </row>
    <row r="1464" spans="1:12">
      <c r="A1464" s="397" t="str">
        <f t="shared" si="55"/>
        <v>-</v>
      </c>
      <c r="F1464" s="496"/>
      <c r="G1464" s="398"/>
      <c r="I1464" t="s">
        <v>789</v>
      </c>
      <c r="J1464">
        <v>6847.0381293448254</v>
      </c>
      <c r="K1464">
        <v>6779</v>
      </c>
      <c r="L1464" s="509">
        <f t="shared" si="54"/>
        <v>1.0100366026471199</v>
      </c>
    </row>
    <row r="1465" spans="1:12">
      <c r="A1465" s="397" t="str">
        <f t="shared" si="55"/>
        <v>-</v>
      </c>
      <c r="F1465" s="496"/>
      <c r="G1465" s="398"/>
      <c r="I1465" t="s">
        <v>576</v>
      </c>
      <c r="J1465">
        <v>10876.028301886781</v>
      </c>
      <c r="K1465">
        <v>10764</v>
      </c>
      <c r="L1465" s="509">
        <f t="shared" si="54"/>
        <v>1.010407683192752</v>
      </c>
    </row>
    <row r="1466" spans="1:12">
      <c r="A1466" s="397" t="str">
        <f t="shared" si="55"/>
        <v>-</v>
      </c>
      <c r="F1466" s="496"/>
      <c r="G1466" s="398"/>
      <c r="I1466" t="s">
        <v>186</v>
      </c>
      <c r="J1466">
        <v>7625.3105791005601</v>
      </c>
      <c r="K1466">
        <v>7546</v>
      </c>
      <c r="L1466" s="509">
        <f t="shared" si="54"/>
        <v>1.010510280824352</v>
      </c>
    </row>
    <row r="1467" spans="1:12">
      <c r="A1467" s="397" t="str">
        <f t="shared" si="55"/>
        <v>-</v>
      </c>
      <c r="F1467" s="496"/>
      <c r="G1467" s="398"/>
      <c r="I1467" t="s">
        <v>189</v>
      </c>
      <c r="J1467">
        <v>9065.3663152203189</v>
      </c>
      <c r="K1467">
        <v>8969</v>
      </c>
      <c r="L1467" s="509">
        <f t="shared" si="54"/>
        <v>1.0107443767666762</v>
      </c>
    </row>
    <row r="1468" spans="1:12">
      <c r="A1468" s="397" t="str">
        <f t="shared" si="55"/>
        <v>-</v>
      </c>
      <c r="F1468" s="496"/>
      <c r="G1468" s="398"/>
      <c r="I1468" t="s">
        <v>202</v>
      </c>
      <c r="J1468">
        <v>12486.241134751786</v>
      </c>
      <c r="K1468">
        <v>12352</v>
      </c>
      <c r="L1468" s="509">
        <f t="shared" si="54"/>
        <v>1.0108679675155268</v>
      </c>
    </row>
    <row r="1469" spans="1:12">
      <c r="A1469" s="397" t="str">
        <f t="shared" si="55"/>
        <v>-</v>
      </c>
      <c r="F1469" s="496"/>
      <c r="G1469" s="398"/>
      <c r="I1469" t="s">
        <v>170</v>
      </c>
      <c r="J1469">
        <v>5717.0121334680489</v>
      </c>
      <c r="K1469">
        <v>5655</v>
      </c>
      <c r="L1469" s="509">
        <f t="shared" si="54"/>
        <v>1.0109658945124755</v>
      </c>
    </row>
    <row r="1470" spans="1:12">
      <c r="A1470" s="397" t="str">
        <f t="shared" si="55"/>
        <v>-</v>
      </c>
      <c r="F1470" s="496"/>
      <c r="G1470" s="398"/>
      <c r="I1470" t="s">
        <v>63</v>
      </c>
      <c r="J1470">
        <v>8681.4429790534996</v>
      </c>
      <c r="K1470">
        <v>8584</v>
      </c>
      <c r="L1470" s="509">
        <f t="shared" si="54"/>
        <v>1.0113516983985904</v>
      </c>
    </row>
    <row r="1471" spans="1:12">
      <c r="A1471" s="397" t="str">
        <f t="shared" si="55"/>
        <v>-</v>
      </c>
      <c r="F1471" s="496"/>
      <c r="G1471" s="398"/>
      <c r="I1471" t="s">
        <v>789</v>
      </c>
      <c r="J1471">
        <v>6977.6763005780231</v>
      </c>
      <c r="K1471">
        <v>6895</v>
      </c>
      <c r="L1471" s="509">
        <f t="shared" si="54"/>
        <v>1.011990761505152</v>
      </c>
    </row>
    <row r="1472" spans="1:12">
      <c r="A1472" s="397" t="str">
        <f t="shared" si="55"/>
        <v>-</v>
      </c>
      <c r="F1472" s="496"/>
      <c r="G1472" s="398"/>
      <c r="I1472" t="s">
        <v>336</v>
      </c>
      <c r="J1472">
        <v>9825.7264957264888</v>
      </c>
      <c r="K1472">
        <v>9707</v>
      </c>
      <c r="L1472" s="509">
        <f t="shared" si="54"/>
        <v>1.0122310184121242</v>
      </c>
    </row>
    <row r="1473" spans="1:12">
      <c r="A1473" s="397" t="str">
        <f t="shared" si="55"/>
        <v>-</v>
      </c>
      <c r="F1473" s="496"/>
      <c r="G1473" s="398"/>
      <c r="I1473" t="s">
        <v>280</v>
      </c>
      <c r="J1473">
        <v>6546.4385150812495</v>
      </c>
      <c r="K1473">
        <v>6464</v>
      </c>
      <c r="L1473" s="509">
        <f t="shared" si="54"/>
        <v>1.0127534831499458</v>
      </c>
    </row>
    <row r="1474" spans="1:12">
      <c r="A1474" s="397" t="str">
        <f t="shared" si="55"/>
        <v>-</v>
      </c>
      <c r="F1474" s="496"/>
      <c r="G1474" s="398"/>
      <c r="I1474" t="s">
        <v>158</v>
      </c>
      <c r="J1474">
        <v>10148.649021864179</v>
      </c>
      <c r="K1474">
        <v>10017</v>
      </c>
      <c r="L1474" s="509">
        <f t="shared" si="54"/>
        <v>1.013142559834699</v>
      </c>
    </row>
    <row r="1475" spans="1:12">
      <c r="A1475" s="397" t="str">
        <f t="shared" si="55"/>
        <v>-</v>
      </c>
      <c r="F1475" s="496"/>
      <c r="G1475" s="398"/>
      <c r="I1475" t="s">
        <v>184</v>
      </c>
      <c r="J1475">
        <v>8505.1693113038691</v>
      </c>
      <c r="K1475">
        <v>8390</v>
      </c>
      <c r="L1475" s="509">
        <f t="shared" si="54"/>
        <v>1.0137269739337151</v>
      </c>
    </row>
    <row r="1476" spans="1:12">
      <c r="A1476" s="397" t="str">
        <f t="shared" si="55"/>
        <v>-</v>
      </c>
      <c r="F1476" s="496"/>
      <c r="G1476" s="398"/>
      <c r="I1476" t="s">
        <v>166</v>
      </c>
      <c r="J1476">
        <v>4821.5041525684846</v>
      </c>
      <c r="K1476">
        <v>4756</v>
      </c>
      <c r="L1476" s="509">
        <f t="shared" si="54"/>
        <v>1.0137729504979993</v>
      </c>
    </row>
    <row r="1477" spans="1:12">
      <c r="A1477" s="397" t="str">
        <f t="shared" si="55"/>
        <v>-</v>
      </c>
      <c r="F1477" s="496"/>
      <c r="G1477" s="398"/>
      <c r="I1477" t="s">
        <v>340</v>
      </c>
      <c r="J1477">
        <v>9239.7802197802084</v>
      </c>
      <c r="K1477">
        <v>9113</v>
      </c>
      <c r="L1477" s="509">
        <f t="shared" si="54"/>
        <v>1.0139120179721506</v>
      </c>
    </row>
    <row r="1478" spans="1:12">
      <c r="A1478" s="397" t="str">
        <f t="shared" si="55"/>
        <v>-</v>
      </c>
      <c r="F1478" s="496"/>
      <c r="G1478" s="398"/>
      <c r="I1478" t="s">
        <v>159</v>
      </c>
      <c r="J1478">
        <v>9176.9062466969099</v>
      </c>
      <c r="K1478">
        <v>9047</v>
      </c>
      <c r="L1478" s="509">
        <f t="shared" si="54"/>
        <v>1.0143590413061689</v>
      </c>
    </row>
    <row r="1479" spans="1:12">
      <c r="A1479" s="397" t="str">
        <f t="shared" si="55"/>
        <v>-</v>
      </c>
      <c r="F1479" s="496"/>
      <c r="G1479" s="398"/>
      <c r="I1479" t="s">
        <v>787</v>
      </c>
      <c r="J1479">
        <v>7002.316076294258</v>
      </c>
      <c r="K1479">
        <v>6903</v>
      </c>
      <c r="L1479" s="509">
        <f t="shared" ref="L1479:L1542" si="56">J1479/K1479</f>
        <v>1.0143873788634301</v>
      </c>
    </row>
    <row r="1480" spans="1:12">
      <c r="A1480" s="397" t="str">
        <f t="shared" si="55"/>
        <v>-</v>
      </c>
      <c r="F1480" s="496"/>
      <c r="G1480" s="398"/>
      <c r="I1480" t="s">
        <v>556</v>
      </c>
      <c r="J1480">
        <v>16311.862155388482</v>
      </c>
      <c r="K1480">
        <v>16080</v>
      </c>
      <c r="L1480" s="509">
        <f t="shared" si="56"/>
        <v>1.0144192882704279</v>
      </c>
    </row>
    <row r="1481" spans="1:12">
      <c r="A1481" s="397" t="str">
        <f t="shared" si="55"/>
        <v>-</v>
      </c>
      <c r="F1481" s="496"/>
      <c r="G1481" s="398"/>
      <c r="I1481" t="s">
        <v>476</v>
      </c>
      <c r="J1481">
        <v>12706.313065976692</v>
      </c>
      <c r="K1481">
        <v>12523</v>
      </c>
      <c r="L1481" s="509">
        <f t="shared" si="56"/>
        <v>1.0146381111536127</v>
      </c>
    </row>
    <row r="1482" spans="1:12">
      <c r="A1482" s="397" t="str">
        <f t="shared" si="55"/>
        <v>-</v>
      </c>
      <c r="F1482" s="496"/>
      <c r="G1482" s="398"/>
      <c r="I1482" t="s">
        <v>182</v>
      </c>
      <c r="J1482">
        <v>12800</v>
      </c>
      <c r="K1482">
        <v>12613</v>
      </c>
      <c r="L1482" s="509">
        <f t="shared" si="56"/>
        <v>1.0148259732022515</v>
      </c>
    </row>
    <row r="1483" spans="1:12">
      <c r="A1483" s="397" t="str">
        <f t="shared" si="55"/>
        <v>-</v>
      </c>
      <c r="F1483" s="496"/>
      <c r="G1483" s="398"/>
      <c r="I1483" t="s">
        <v>243</v>
      </c>
      <c r="J1483">
        <v>7261.5790280545743</v>
      </c>
      <c r="K1483">
        <v>7155</v>
      </c>
      <c r="L1483" s="509">
        <f t="shared" si="56"/>
        <v>1.0148957411676554</v>
      </c>
    </row>
    <row r="1484" spans="1:12">
      <c r="A1484" s="397" t="str">
        <f t="shared" si="55"/>
        <v>-</v>
      </c>
      <c r="F1484" s="496"/>
      <c r="G1484" s="398"/>
      <c r="I1484" t="s">
        <v>786</v>
      </c>
      <c r="J1484">
        <v>4880.6469298245502</v>
      </c>
      <c r="K1484">
        <v>4809</v>
      </c>
      <c r="L1484" s="509">
        <f t="shared" si="56"/>
        <v>1.0148985090090559</v>
      </c>
    </row>
    <row r="1485" spans="1:12">
      <c r="A1485" s="397" t="str">
        <f t="shared" si="55"/>
        <v>-</v>
      </c>
      <c r="F1485" s="496"/>
      <c r="G1485" s="398"/>
      <c r="I1485" t="s">
        <v>169</v>
      </c>
      <c r="J1485">
        <v>7078.5446700009534</v>
      </c>
      <c r="K1485">
        <v>6971</v>
      </c>
      <c r="L1485" s="509">
        <f t="shared" si="56"/>
        <v>1.0154274379573882</v>
      </c>
    </row>
    <row r="1486" spans="1:12">
      <c r="A1486" s="397" t="str">
        <f t="shared" si="55"/>
        <v>-</v>
      </c>
      <c r="F1486" s="496"/>
      <c r="G1486" s="398"/>
      <c r="I1486" t="s">
        <v>793</v>
      </c>
      <c r="J1486">
        <v>8961.9784449576509</v>
      </c>
      <c r="K1486">
        <v>8817</v>
      </c>
      <c r="L1486" s="509">
        <f t="shared" si="56"/>
        <v>1.0164430582916697</v>
      </c>
    </row>
    <row r="1487" spans="1:12">
      <c r="A1487" s="397" t="str">
        <f t="shared" si="55"/>
        <v>-</v>
      </c>
      <c r="F1487" s="496"/>
      <c r="G1487" s="398"/>
      <c r="I1487" t="s">
        <v>174</v>
      </c>
      <c r="J1487">
        <v>10646.666666666655</v>
      </c>
      <c r="K1487">
        <v>10466</v>
      </c>
      <c r="L1487" s="509">
        <f t="shared" si="56"/>
        <v>1.017262246002929</v>
      </c>
    </row>
    <row r="1488" spans="1:12">
      <c r="A1488" s="397" t="str">
        <f t="shared" si="55"/>
        <v>-</v>
      </c>
      <c r="F1488" s="496"/>
      <c r="G1488" s="398"/>
      <c r="I1488" t="s">
        <v>254</v>
      </c>
      <c r="J1488">
        <v>9176.6706091070064</v>
      </c>
      <c r="K1488">
        <v>9020</v>
      </c>
      <c r="L1488" s="509">
        <f t="shared" si="56"/>
        <v>1.0173692471293798</v>
      </c>
    </row>
    <row r="1489" spans="1:12">
      <c r="A1489" s="397" t="str">
        <f t="shared" si="55"/>
        <v>-</v>
      </c>
      <c r="F1489" s="496"/>
      <c r="G1489" s="398"/>
      <c r="I1489" t="s">
        <v>167</v>
      </c>
      <c r="J1489">
        <v>8579.2098609355526</v>
      </c>
      <c r="K1489">
        <v>8426</v>
      </c>
      <c r="L1489" s="509">
        <f t="shared" si="56"/>
        <v>1.0181829884803646</v>
      </c>
    </row>
    <row r="1490" spans="1:12">
      <c r="A1490" s="397" t="str">
        <f t="shared" si="55"/>
        <v>-</v>
      </c>
      <c r="F1490" s="496"/>
      <c r="G1490" s="398"/>
      <c r="I1490" t="s">
        <v>133</v>
      </c>
      <c r="J1490">
        <v>8468.6709886547542</v>
      </c>
      <c r="K1490">
        <v>8315</v>
      </c>
      <c r="L1490" s="509">
        <f t="shared" si="56"/>
        <v>1.0184811772284732</v>
      </c>
    </row>
    <row r="1491" spans="1:12">
      <c r="A1491" s="397" t="str">
        <f t="shared" si="55"/>
        <v>-</v>
      </c>
      <c r="F1491" s="496"/>
      <c r="G1491" s="398"/>
      <c r="I1491" t="s">
        <v>583</v>
      </c>
      <c r="J1491">
        <v>8302.2248953037652</v>
      </c>
      <c r="K1491">
        <v>8147</v>
      </c>
      <c r="L1491" s="509">
        <f t="shared" si="56"/>
        <v>1.0190530128027206</v>
      </c>
    </row>
    <row r="1492" spans="1:12">
      <c r="A1492" s="397" t="str">
        <f t="shared" si="55"/>
        <v>-</v>
      </c>
      <c r="F1492" s="496"/>
      <c r="G1492" s="398"/>
      <c r="I1492" t="s">
        <v>168</v>
      </c>
      <c r="J1492">
        <v>6116.5227984685025</v>
      </c>
      <c r="K1492">
        <v>5996</v>
      </c>
      <c r="L1492" s="509">
        <f t="shared" si="56"/>
        <v>1.0201005334337063</v>
      </c>
    </row>
    <row r="1493" spans="1:12">
      <c r="A1493" s="397" t="str">
        <f t="shared" si="55"/>
        <v>-</v>
      </c>
      <c r="F1493" s="496"/>
      <c r="G1493" s="398"/>
      <c r="I1493" t="s">
        <v>785</v>
      </c>
      <c r="J1493">
        <v>4631.4285714285725</v>
      </c>
      <c r="K1493">
        <v>4519</v>
      </c>
      <c r="L1493" s="509">
        <f t="shared" si="56"/>
        <v>1.0248790819713594</v>
      </c>
    </row>
    <row r="1494" spans="1:12">
      <c r="A1494" s="397" t="str">
        <f t="shared" si="55"/>
        <v>-</v>
      </c>
      <c r="F1494" s="496"/>
      <c r="G1494" s="398"/>
      <c r="I1494" t="s">
        <v>1850</v>
      </c>
      <c r="J1494">
        <v>12087.407407407412</v>
      </c>
      <c r="K1494">
        <v>11678</v>
      </c>
      <c r="L1494" s="509">
        <f t="shared" si="56"/>
        <v>1.0350580071422686</v>
      </c>
    </row>
    <row r="1495" spans="1:12">
      <c r="A1495" s="397" t="str">
        <f t="shared" si="55"/>
        <v>-</v>
      </c>
      <c r="F1495" s="496"/>
      <c r="G1495" s="398"/>
      <c r="I1495" t="s">
        <v>851</v>
      </c>
      <c r="J1495">
        <v>6928.2352941176478</v>
      </c>
      <c r="K1495">
        <v>6684</v>
      </c>
      <c r="L1495" s="509">
        <f t="shared" si="56"/>
        <v>1.0365402893652973</v>
      </c>
    </row>
    <row r="1496" spans="1:12">
      <c r="A1496" s="397" t="str">
        <f t="shared" si="55"/>
        <v>-</v>
      </c>
      <c r="F1496" s="496"/>
      <c r="G1496" s="398"/>
      <c r="I1496" t="s">
        <v>789</v>
      </c>
      <c r="J1496">
        <v>8443.2861189801661</v>
      </c>
      <c r="K1496">
        <v>8534</v>
      </c>
      <c r="L1496" s="509">
        <f t="shared" si="56"/>
        <v>0.98937029751349492</v>
      </c>
    </row>
    <row r="1497" spans="1:12">
      <c r="A1497" s="397" t="str">
        <f t="shared" si="55"/>
        <v>-</v>
      </c>
      <c r="F1497" s="496"/>
      <c r="G1497" s="398"/>
      <c r="I1497" t="s">
        <v>328</v>
      </c>
      <c r="J1497">
        <v>11729.416058394159</v>
      </c>
      <c r="K1497">
        <v>11804</v>
      </c>
      <c r="L1497" s="509">
        <f t="shared" si="56"/>
        <v>0.9936814688575194</v>
      </c>
    </row>
    <row r="1498" spans="1:12">
      <c r="A1498" s="397" t="str">
        <f t="shared" si="55"/>
        <v>-</v>
      </c>
      <c r="F1498" s="496"/>
      <c r="G1498" s="398"/>
      <c r="I1498" t="s">
        <v>427</v>
      </c>
      <c r="J1498">
        <v>6637.6299376299339</v>
      </c>
      <c r="K1498">
        <v>6679</v>
      </c>
      <c r="L1498" s="509">
        <f t="shared" si="56"/>
        <v>0.99380594963766045</v>
      </c>
    </row>
    <row r="1499" spans="1:12">
      <c r="A1499" s="397" t="str">
        <f t="shared" si="55"/>
        <v>-</v>
      </c>
      <c r="F1499" s="496"/>
      <c r="G1499" s="398"/>
      <c r="I1499" t="s">
        <v>411</v>
      </c>
      <c r="J1499">
        <v>10810.628803245454</v>
      </c>
      <c r="K1499">
        <v>10848</v>
      </c>
      <c r="L1499" s="509">
        <f t="shared" si="56"/>
        <v>0.99655501504843791</v>
      </c>
    </row>
    <row r="1500" spans="1:12">
      <c r="A1500" s="397" t="str">
        <f t="shared" si="55"/>
        <v>-</v>
      </c>
      <c r="F1500" s="496"/>
      <c r="G1500" s="398"/>
      <c r="I1500" t="s">
        <v>285</v>
      </c>
      <c r="J1500">
        <v>5611.7350848385604</v>
      </c>
      <c r="K1500">
        <v>5619</v>
      </c>
      <c r="L1500" s="509">
        <f t="shared" si="56"/>
        <v>0.99870708041262868</v>
      </c>
    </row>
    <row r="1501" spans="1:12">
      <c r="A1501" s="397" t="str">
        <f t="shared" si="55"/>
        <v>-</v>
      </c>
      <c r="F1501" s="496"/>
      <c r="G1501" s="398"/>
      <c r="I1501" t="s">
        <v>431</v>
      </c>
      <c r="J1501">
        <v>6538.2193396226539</v>
      </c>
      <c r="K1501">
        <v>6546</v>
      </c>
      <c r="L1501" s="509">
        <f t="shared" si="56"/>
        <v>0.99881138704898476</v>
      </c>
    </row>
    <row r="1502" spans="1:12">
      <c r="A1502" s="397" t="str">
        <f t="shared" si="55"/>
        <v>-</v>
      </c>
      <c r="F1502" s="496"/>
      <c r="G1502" s="398"/>
      <c r="I1502" t="s">
        <v>171</v>
      </c>
      <c r="J1502">
        <v>7883.1378522468449</v>
      </c>
      <c r="K1502">
        <v>7892</v>
      </c>
      <c r="L1502" s="509">
        <f t="shared" si="56"/>
        <v>0.99887707200289466</v>
      </c>
    </row>
    <row r="1503" spans="1:12">
      <c r="A1503" s="397" t="str">
        <f t="shared" si="55"/>
        <v>-</v>
      </c>
      <c r="F1503" s="496"/>
      <c r="G1503" s="398"/>
      <c r="I1503" t="s">
        <v>421</v>
      </c>
      <c r="J1503">
        <v>9509.2768079800553</v>
      </c>
      <c r="K1503">
        <v>9516</v>
      </c>
      <c r="L1503" s="509">
        <f t="shared" si="56"/>
        <v>0.99929348549601249</v>
      </c>
    </row>
    <row r="1504" spans="1:12">
      <c r="A1504" s="397" t="str">
        <f t="shared" si="55"/>
        <v>-</v>
      </c>
      <c r="F1504" s="496"/>
      <c r="G1504" s="398"/>
      <c r="I1504" t="s">
        <v>418</v>
      </c>
      <c r="J1504">
        <v>7971.1059907833769</v>
      </c>
      <c r="K1504">
        <v>7968</v>
      </c>
      <c r="L1504" s="509">
        <f t="shared" si="56"/>
        <v>1.0003898080802431</v>
      </c>
    </row>
    <row r="1505" spans="1:12">
      <c r="A1505" s="397" t="str">
        <f t="shared" si="55"/>
        <v>-</v>
      </c>
      <c r="F1505" s="496"/>
      <c r="G1505" s="398"/>
      <c r="I1505" t="s">
        <v>412</v>
      </c>
      <c r="J1505">
        <v>6936.7092651757421</v>
      </c>
      <c r="K1505">
        <v>6933</v>
      </c>
      <c r="L1505" s="509">
        <f t="shared" si="56"/>
        <v>1.0005350158914961</v>
      </c>
    </row>
    <row r="1506" spans="1:12">
      <c r="A1506" s="397" t="str">
        <f t="shared" si="55"/>
        <v>-</v>
      </c>
      <c r="F1506" s="496"/>
      <c r="G1506" s="398"/>
      <c r="I1506" t="s">
        <v>297</v>
      </c>
      <c r="J1506">
        <v>8518.9830508474515</v>
      </c>
      <c r="K1506">
        <v>8512</v>
      </c>
      <c r="L1506" s="509">
        <f t="shared" si="56"/>
        <v>1.0008203772142212</v>
      </c>
    </row>
    <row r="1507" spans="1:12">
      <c r="A1507" s="397" t="str">
        <f t="shared" si="55"/>
        <v>-</v>
      </c>
      <c r="F1507" s="496"/>
      <c r="G1507" s="398"/>
      <c r="I1507" t="s">
        <v>342</v>
      </c>
      <c r="J1507">
        <v>7513.8788522848263</v>
      </c>
      <c r="K1507">
        <v>7506</v>
      </c>
      <c r="L1507" s="509">
        <f t="shared" si="56"/>
        <v>1.0010496738988577</v>
      </c>
    </row>
    <row r="1508" spans="1:12">
      <c r="A1508" s="397" t="str">
        <f t="shared" si="55"/>
        <v>-</v>
      </c>
      <c r="F1508" s="496"/>
      <c r="G1508" s="398"/>
      <c r="I1508" t="s">
        <v>550</v>
      </c>
      <c r="J1508">
        <v>10371.759999999998</v>
      </c>
      <c r="K1508">
        <v>10360</v>
      </c>
      <c r="L1508" s="509">
        <f t="shared" si="56"/>
        <v>1.001135135135135</v>
      </c>
    </row>
    <row r="1509" spans="1:12">
      <c r="A1509" s="397" t="str">
        <f t="shared" si="55"/>
        <v>-</v>
      </c>
      <c r="F1509" s="496"/>
      <c r="G1509" s="398"/>
      <c r="I1509" t="s">
        <v>790</v>
      </c>
      <c r="J1509">
        <v>7271.7080452545169</v>
      </c>
      <c r="K1509">
        <v>7263</v>
      </c>
      <c r="L1509" s="509">
        <f t="shared" si="56"/>
        <v>1.0011989598312705</v>
      </c>
    </row>
    <row r="1510" spans="1:12">
      <c r="A1510" s="397" t="str">
        <f t="shared" si="55"/>
        <v>-</v>
      </c>
      <c r="F1510" s="496"/>
      <c r="G1510" s="398"/>
      <c r="I1510" t="s">
        <v>295</v>
      </c>
      <c r="J1510">
        <v>10699.552669552641</v>
      </c>
      <c r="K1510">
        <v>10683</v>
      </c>
      <c r="L1510" s="509">
        <f t="shared" si="56"/>
        <v>1.0015494401902687</v>
      </c>
    </row>
    <row r="1511" spans="1:12">
      <c r="A1511" s="397" t="str">
        <f t="shared" si="55"/>
        <v>-</v>
      </c>
      <c r="F1511" s="496"/>
      <c r="G1511" s="398"/>
      <c r="I1511" t="s">
        <v>262</v>
      </c>
      <c r="J1511">
        <v>11832.246117084858</v>
      </c>
      <c r="K1511">
        <v>11812</v>
      </c>
      <c r="L1511" s="509">
        <f t="shared" si="56"/>
        <v>1.0017140295534082</v>
      </c>
    </row>
    <row r="1512" spans="1:12">
      <c r="A1512" s="397" t="str">
        <f t="shared" si="55"/>
        <v>-</v>
      </c>
      <c r="F1512" s="496"/>
      <c r="G1512" s="398"/>
      <c r="I1512" t="s">
        <v>299</v>
      </c>
      <c r="J1512">
        <v>8551.9196428571195</v>
      </c>
      <c r="K1512">
        <v>8535</v>
      </c>
      <c r="L1512" s="509">
        <f t="shared" si="56"/>
        <v>1.0019823834630486</v>
      </c>
    </row>
    <row r="1513" spans="1:12">
      <c r="A1513" s="397" t="str">
        <f t="shared" si="55"/>
        <v>-</v>
      </c>
      <c r="F1513" s="496"/>
      <c r="G1513" s="398"/>
      <c r="I1513" t="s">
        <v>420</v>
      </c>
      <c r="J1513">
        <v>9775.5829903978338</v>
      </c>
      <c r="K1513">
        <v>9756</v>
      </c>
      <c r="L1513" s="509">
        <f t="shared" si="56"/>
        <v>1.0020072765885439</v>
      </c>
    </row>
    <row r="1514" spans="1:12">
      <c r="A1514" s="397" t="str">
        <f t="shared" si="55"/>
        <v>-</v>
      </c>
      <c r="F1514" s="496"/>
      <c r="G1514" s="398"/>
      <c r="I1514" t="s">
        <v>346</v>
      </c>
      <c r="J1514">
        <v>12461.694323144082</v>
      </c>
      <c r="K1514">
        <v>12435</v>
      </c>
      <c r="L1514" s="509">
        <f t="shared" si="56"/>
        <v>1.0021467087369587</v>
      </c>
    </row>
    <row r="1515" spans="1:12">
      <c r="A1515" s="397" t="str">
        <f t="shared" si="55"/>
        <v>-</v>
      </c>
      <c r="F1515" s="496"/>
      <c r="G1515" s="398"/>
      <c r="I1515" t="s">
        <v>244</v>
      </c>
      <c r="J1515">
        <v>9289.7595473833571</v>
      </c>
      <c r="K1515">
        <v>9268</v>
      </c>
      <c r="L1515" s="509">
        <f t="shared" si="56"/>
        <v>1.00234781478025</v>
      </c>
    </row>
    <row r="1516" spans="1:12">
      <c r="A1516" s="397" t="str">
        <f t="shared" si="55"/>
        <v>-</v>
      </c>
      <c r="F1516" s="496"/>
      <c r="G1516" s="398"/>
      <c r="I1516" t="s">
        <v>187</v>
      </c>
      <c r="J1516">
        <v>10157.808803568018</v>
      </c>
      <c r="K1516">
        <v>10130</v>
      </c>
      <c r="L1516" s="509">
        <f t="shared" si="56"/>
        <v>1.0027451928497548</v>
      </c>
    </row>
    <row r="1517" spans="1:12">
      <c r="A1517" s="397" t="str">
        <f t="shared" si="55"/>
        <v>-</v>
      </c>
      <c r="F1517" s="496"/>
      <c r="G1517" s="398"/>
      <c r="I1517" t="s">
        <v>304</v>
      </c>
      <c r="J1517">
        <v>9991.4863347060473</v>
      </c>
      <c r="K1517">
        <v>9961</v>
      </c>
      <c r="L1517" s="509">
        <f t="shared" si="56"/>
        <v>1.0030605696924051</v>
      </c>
    </row>
    <row r="1518" spans="1:12">
      <c r="A1518" s="397" t="str">
        <f t="shared" si="55"/>
        <v>-</v>
      </c>
      <c r="F1518" s="496"/>
      <c r="G1518" s="398"/>
      <c r="I1518" t="s">
        <v>436</v>
      </c>
      <c r="J1518">
        <v>11488.284936479127</v>
      </c>
      <c r="K1518">
        <v>11450</v>
      </c>
      <c r="L1518" s="509">
        <f t="shared" si="56"/>
        <v>1.0033436625745962</v>
      </c>
    </row>
    <row r="1519" spans="1:12">
      <c r="A1519" s="397" t="str">
        <f t="shared" si="55"/>
        <v>-</v>
      </c>
      <c r="F1519" s="496"/>
      <c r="G1519" s="398"/>
      <c r="I1519" t="s">
        <v>206</v>
      </c>
      <c r="J1519">
        <v>12337.618719889928</v>
      </c>
      <c r="K1519">
        <v>12295</v>
      </c>
      <c r="L1519" s="509">
        <f t="shared" si="56"/>
        <v>1.0034663456600186</v>
      </c>
    </row>
    <row r="1520" spans="1:12">
      <c r="A1520" s="397" t="str">
        <f t="shared" si="55"/>
        <v>-</v>
      </c>
      <c r="F1520" s="496"/>
      <c r="G1520" s="398"/>
      <c r="I1520" t="s">
        <v>579</v>
      </c>
      <c r="J1520">
        <v>9723.6686390532504</v>
      </c>
      <c r="K1520">
        <v>9689</v>
      </c>
      <c r="L1520" s="509">
        <f t="shared" si="56"/>
        <v>1.0035781441896223</v>
      </c>
    </row>
    <row r="1521" spans="1:12">
      <c r="A1521" s="397" t="str">
        <f t="shared" si="55"/>
        <v>-</v>
      </c>
      <c r="F1521" s="496"/>
      <c r="G1521" s="398"/>
      <c r="I1521" t="s">
        <v>208</v>
      </c>
      <c r="J1521">
        <v>7122.6566217288</v>
      </c>
      <c r="K1521">
        <v>7096</v>
      </c>
      <c r="L1521" s="509">
        <f t="shared" si="56"/>
        <v>1.0037565701421647</v>
      </c>
    </row>
    <row r="1522" spans="1:12">
      <c r="A1522" s="397" t="str">
        <f t="shared" si="55"/>
        <v>-</v>
      </c>
      <c r="F1522" s="496"/>
      <c r="G1522" s="398"/>
      <c r="I1522" t="s">
        <v>422</v>
      </c>
      <c r="J1522">
        <v>9245.8579881656788</v>
      </c>
      <c r="K1522">
        <v>9210</v>
      </c>
      <c r="L1522" s="509">
        <f t="shared" si="56"/>
        <v>1.0038933754794439</v>
      </c>
    </row>
    <row r="1523" spans="1:12">
      <c r="A1523" s="397" t="str">
        <f t="shared" si="55"/>
        <v>-</v>
      </c>
      <c r="F1523" s="496"/>
      <c r="G1523" s="398"/>
      <c r="I1523" t="s">
        <v>255</v>
      </c>
      <c r="J1523">
        <v>10568.750000000007</v>
      </c>
      <c r="K1523">
        <v>10527</v>
      </c>
      <c r="L1523" s="509">
        <f t="shared" si="56"/>
        <v>1.0039659922105071</v>
      </c>
    </row>
    <row r="1524" spans="1:12">
      <c r="A1524" s="397" t="str">
        <f t="shared" si="55"/>
        <v>-</v>
      </c>
      <c r="F1524" s="496"/>
      <c r="G1524" s="398"/>
      <c r="I1524" t="s">
        <v>155</v>
      </c>
      <c r="J1524">
        <v>11969.999999999998</v>
      </c>
      <c r="K1524">
        <v>11920</v>
      </c>
      <c r="L1524" s="509">
        <f t="shared" si="56"/>
        <v>1.0041946308724832</v>
      </c>
    </row>
    <row r="1525" spans="1:12">
      <c r="A1525" s="397" t="str">
        <f t="shared" si="55"/>
        <v>-</v>
      </c>
      <c r="F1525" s="496"/>
      <c r="G1525" s="398"/>
      <c r="I1525" t="s">
        <v>354</v>
      </c>
      <c r="J1525">
        <v>8736.8156424580902</v>
      </c>
      <c r="K1525">
        <v>8700</v>
      </c>
      <c r="L1525" s="509">
        <f t="shared" si="56"/>
        <v>1.0042316830411597</v>
      </c>
    </row>
    <row r="1526" spans="1:12">
      <c r="A1526" s="397" t="str">
        <f t="shared" si="55"/>
        <v>-</v>
      </c>
      <c r="F1526" s="496"/>
      <c r="G1526" s="398"/>
      <c r="I1526" t="s">
        <v>330</v>
      </c>
      <c r="J1526">
        <v>9315.1518691588899</v>
      </c>
      <c r="K1526">
        <v>9271</v>
      </c>
      <c r="L1526" s="509">
        <f t="shared" si="56"/>
        <v>1.0047623631926319</v>
      </c>
    </row>
    <row r="1527" spans="1:12">
      <c r="A1527" s="397" t="str">
        <f t="shared" ref="A1527:A1590" si="57">B1527&amp;"-"&amp;C1527</f>
        <v>-</v>
      </c>
      <c r="F1527" s="496"/>
      <c r="G1527" s="398"/>
      <c r="I1527" t="s">
        <v>404</v>
      </c>
      <c r="J1527">
        <v>10988.280254777066</v>
      </c>
      <c r="K1527">
        <v>10935</v>
      </c>
      <c r="L1527" s="509">
        <f t="shared" si="56"/>
        <v>1.0048724512827678</v>
      </c>
    </row>
    <row r="1528" spans="1:12">
      <c r="A1528" s="397" t="str">
        <f t="shared" si="57"/>
        <v>-</v>
      </c>
      <c r="F1528" s="496"/>
      <c r="G1528" s="398"/>
      <c r="I1528" t="s">
        <v>472</v>
      </c>
      <c r="J1528">
        <v>11001.764705882355</v>
      </c>
      <c r="K1528">
        <v>10947</v>
      </c>
      <c r="L1528" s="509">
        <f t="shared" si="56"/>
        <v>1.0050027136094231</v>
      </c>
    </row>
    <row r="1529" spans="1:12">
      <c r="A1529" s="397" t="str">
        <f t="shared" si="57"/>
        <v>-</v>
      </c>
      <c r="F1529" s="496"/>
      <c r="G1529" s="398"/>
      <c r="I1529" t="s">
        <v>305</v>
      </c>
      <c r="J1529">
        <v>11195.292792792787</v>
      </c>
      <c r="K1529">
        <v>11136</v>
      </c>
      <c r="L1529" s="509">
        <f t="shared" si="56"/>
        <v>1.0053244246401569</v>
      </c>
    </row>
    <row r="1530" spans="1:12">
      <c r="A1530" s="397" t="str">
        <f t="shared" si="57"/>
        <v>-</v>
      </c>
      <c r="F1530" s="496"/>
      <c r="G1530" s="398"/>
      <c r="I1530" t="s">
        <v>168</v>
      </c>
      <c r="J1530">
        <v>6028.0330222541515</v>
      </c>
      <c r="K1530">
        <v>5996</v>
      </c>
      <c r="L1530" s="509">
        <f t="shared" si="56"/>
        <v>1.0053423986414529</v>
      </c>
    </row>
    <row r="1531" spans="1:12">
      <c r="A1531" s="397" t="str">
        <f t="shared" si="57"/>
        <v>-</v>
      </c>
      <c r="F1531" s="496"/>
      <c r="G1531" s="398"/>
      <c r="I1531" t="s">
        <v>387</v>
      </c>
      <c r="J1531">
        <v>5338.4776902886942</v>
      </c>
      <c r="K1531">
        <v>5310</v>
      </c>
      <c r="L1531" s="509">
        <f t="shared" si="56"/>
        <v>1.0053630301861949</v>
      </c>
    </row>
    <row r="1532" spans="1:12">
      <c r="A1532" s="397" t="str">
        <f t="shared" si="57"/>
        <v>-</v>
      </c>
      <c r="F1532" s="496"/>
      <c r="G1532" s="398"/>
      <c r="I1532" t="s">
        <v>138</v>
      </c>
      <c r="J1532">
        <v>8541.9416243654869</v>
      </c>
      <c r="K1532">
        <v>8496</v>
      </c>
      <c r="L1532" s="509">
        <f t="shared" si="56"/>
        <v>1.0054074416626044</v>
      </c>
    </row>
    <row r="1533" spans="1:12">
      <c r="A1533" s="397" t="str">
        <f t="shared" si="57"/>
        <v>-</v>
      </c>
      <c r="F1533" s="496"/>
      <c r="G1533" s="398"/>
      <c r="I1533" t="s">
        <v>167</v>
      </c>
      <c r="J1533">
        <v>8472.2079395084911</v>
      </c>
      <c r="K1533">
        <v>8426</v>
      </c>
      <c r="L1533" s="509">
        <f t="shared" si="56"/>
        <v>1.0054839709836805</v>
      </c>
    </row>
    <row r="1534" spans="1:12">
      <c r="A1534" s="397" t="str">
        <f t="shared" si="57"/>
        <v>-</v>
      </c>
      <c r="F1534" s="496"/>
      <c r="G1534" s="398"/>
      <c r="I1534" t="s">
        <v>177</v>
      </c>
      <c r="J1534">
        <v>11363.326110509202</v>
      </c>
      <c r="K1534">
        <v>11299</v>
      </c>
      <c r="L1534" s="509">
        <f t="shared" si="56"/>
        <v>1.005693079963643</v>
      </c>
    </row>
    <row r="1535" spans="1:12">
      <c r="A1535" s="397" t="str">
        <f t="shared" si="57"/>
        <v>-</v>
      </c>
      <c r="F1535" s="496"/>
      <c r="G1535" s="398"/>
      <c r="I1535" t="s">
        <v>343</v>
      </c>
      <c r="J1535">
        <v>7428.0730223123646</v>
      </c>
      <c r="K1535">
        <v>7386</v>
      </c>
      <c r="L1535" s="509">
        <f t="shared" si="56"/>
        <v>1.0056963203780618</v>
      </c>
    </row>
    <row r="1536" spans="1:12">
      <c r="A1536" s="397" t="str">
        <f t="shared" si="57"/>
        <v>-</v>
      </c>
      <c r="F1536" s="496"/>
      <c r="G1536" s="398"/>
      <c r="I1536" t="s">
        <v>172</v>
      </c>
      <c r="J1536">
        <v>8442.1782178217672</v>
      </c>
      <c r="K1536">
        <v>8394</v>
      </c>
      <c r="L1536" s="509">
        <f t="shared" si="56"/>
        <v>1.0057396018372369</v>
      </c>
    </row>
    <row r="1537" spans="1:12">
      <c r="A1537" s="397" t="str">
        <f t="shared" si="57"/>
        <v>-</v>
      </c>
      <c r="F1537" s="496"/>
      <c r="G1537" s="398"/>
      <c r="I1537" t="s">
        <v>735</v>
      </c>
      <c r="J1537">
        <v>4700.6975920679306</v>
      </c>
      <c r="K1537">
        <v>4673</v>
      </c>
      <c r="L1537" s="509">
        <f t="shared" si="56"/>
        <v>1.0059271543051425</v>
      </c>
    </row>
    <row r="1538" spans="1:12">
      <c r="A1538" s="397" t="str">
        <f t="shared" si="57"/>
        <v>-</v>
      </c>
      <c r="F1538" s="496"/>
      <c r="G1538" s="398"/>
      <c r="I1538" t="s">
        <v>157</v>
      </c>
      <c r="J1538">
        <v>10543.203747072652</v>
      </c>
      <c r="K1538">
        <v>10481</v>
      </c>
      <c r="L1538" s="509">
        <f t="shared" si="56"/>
        <v>1.0059349057411173</v>
      </c>
    </row>
    <row r="1539" spans="1:12">
      <c r="A1539" s="397" t="str">
        <f t="shared" si="57"/>
        <v>-</v>
      </c>
      <c r="F1539" s="496"/>
      <c r="G1539" s="398"/>
      <c r="I1539" t="s">
        <v>58</v>
      </c>
      <c r="J1539">
        <v>8513.8461538461524</v>
      </c>
      <c r="K1539">
        <v>8461</v>
      </c>
      <c r="L1539" s="509">
        <f t="shared" si="56"/>
        <v>1.006245852008764</v>
      </c>
    </row>
    <row r="1540" spans="1:12">
      <c r="A1540" s="397" t="str">
        <f t="shared" si="57"/>
        <v>-</v>
      </c>
      <c r="F1540" s="496"/>
      <c r="G1540" s="398"/>
      <c r="I1540" t="s">
        <v>406</v>
      </c>
      <c r="J1540">
        <v>11495.993485342009</v>
      </c>
      <c r="K1540">
        <v>11421</v>
      </c>
      <c r="L1540" s="509">
        <f t="shared" si="56"/>
        <v>1.0065662801280106</v>
      </c>
    </row>
    <row r="1541" spans="1:12">
      <c r="A1541" s="397" t="str">
        <f t="shared" si="57"/>
        <v>-</v>
      </c>
      <c r="F1541" s="496"/>
      <c r="G1541" s="398"/>
      <c r="I1541" t="s">
        <v>577</v>
      </c>
      <c r="J1541">
        <v>13411.203931203923</v>
      </c>
      <c r="K1541">
        <v>13323</v>
      </c>
      <c r="L1541" s="509">
        <f t="shared" si="56"/>
        <v>1.0066204256701887</v>
      </c>
    </row>
    <row r="1542" spans="1:12">
      <c r="A1542" s="397" t="str">
        <f t="shared" si="57"/>
        <v>-</v>
      </c>
      <c r="F1542" s="496"/>
      <c r="G1542" s="398"/>
      <c r="I1542" t="s">
        <v>75</v>
      </c>
      <c r="J1542">
        <v>10804.590316573594</v>
      </c>
      <c r="K1542">
        <v>10732</v>
      </c>
      <c r="L1542" s="509">
        <f t="shared" si="56"/>
        <v>1.006763913210361</v>
      </c>
    </row>
    <row r="1543" spans="1:12">
      <c r="A1543" s="397" t="str">
        <f t="shared" si="57"/>
        <v>-</v>
      </c>
      <c r="F1543" s="496"/>
      <c r="G1543" s="398"/>
      <c r="I1543" t="s">
        <v>59</v>
      </c>
      <c r="J1543">
        <v>10144.679487179501</v>
      </c>
      <c r="K1543">
        <v>10076</v>
      </c>
      <c r="L1543" s="509">
        <f t="shared" ref="L1543:L1606" si="58">J1543/K1543</f>
        <v>1.0068161460082872</v>
      </c>
    </row>
    <row r="1544" spans="1:12">
      <c r="A1544" s="397" t="str">
        <f t="shared" si="57"/>
        <v>-</v>
      </c>
      <c r="F1544" s="496"/>
      <c r="G1544" s="398"/>
      <c r="I1544" t="s">
        <v>52</v>
      </c>
      <c r="J1544">
        <v>7066.0447761194318</v>
      </c>
      <c r="K1544">
        <v>7018</v>
      </c>
      <c r="L1544" s="509">
        <f t="shared" si="58"/>
        <v>1.0068459356112043</v>
      </c>
    </row>
    <row r="1545" spans="1:12">
      <c r="A1545" s="397" t="str">
        <f t="shared" si="57"/>
        <v>-</v>
      </c>
      <c r="F1545" s="496"/>
      <c r="G1545" s="398"/>
      <c r="I1545" t="s">
        <v>576</v>
      </c>
      <c r="J1545">
        <v>10838.101123595516</v>
      </c>
      <c r="K1545">
        <v>10764</v>
      </c>
      <c r="L1545" s="509">
        <f t="shared" si="58"/>
        <v>1.0068841623555849</v>
      </c>
    </row>
    <row r="1546" spans="1:12">
      <c r="A1546" s="397" t="str">
        <f t="shared" si="57"/>
        <v>-</v>
      </c>
      <c r="F1546" s="496"/>
      <c r="G1546" s="398"/>
      <c r="I1546" t="s">
        <v>410</v>
      </c>
      <c r="J1546">
        <v>6194.1150442478138</v>
      </c>
      <c r="K1546">
        <v>6151</v>
      </c>
      <c r="L1546" s="509">
        <f t="shared" si="58"/>
        <v>1.0070094365546762</v>
      </c>
    </row>
    <row r="1547" spans="1:12">
      <c r="A1547" s="397" t="str">
        <f t="shared" si="57"/>
        <v>-</v>
      </c>
      <c r="F1547" s="496"/>
      <c r="G1547" s="398"/>
      <c r="I1547" t="s">
        <v>165</v>
      </c>
      <c r="J1547">
        <v>6943.4044298605058</v>
      </c>
      <c r="K1547">
        <v>6895</v>
      </c>
      <c r="L1547" s="509">
        <f t="shared" si="58"/>
        <v>1.0070202218796962</v>
      </c>
    </row>
    <row r="1548" spans="1:12">
      <c r="A1548" s="397" t="str">
        <f t="shared" si="57"/>
        <v>-</v>
      </c>
      <c r="F1548" s="496"/>
      <c r="G1548" s="398"/>
      <c r="I1548" t="s">
        <v>213</v>
      </c>
      <c r="J1548">
        <v>8376.8279569892456</v>
      </c>
      <c r="K1548">
        <v>8318</v>
      </c>
      <c r="L1548" s="509">
        <f t="shared" si="58"/>
        <v>1.0070723679958218</v>
      </c>
    </row>
    <row r="1549" spans="1:12">
      <c r="A1549" s="397" t="str">
        <f t="shared" si="57"/>
        <v>-</v>
      </c>
      <c r="F1549" s="496"/>
      <c r="G1549" s="398"/>
      <c r="I1549" t="s">
        <v>221</v>
      </c>
      <c r="J1549">
        <v>8905.2268816229916</v>
      </c>
      <c r="K1549">
        <v>8842</v>
      </c>
      <c r="L1549" s="509">
        <f t="shared" si="58"/>
        <v>1.0071507443590808</v>
      </c>
    </row>
    <row r="1550" spans="1:12">
      <c r="A1550" s="397" t="str">
        <f t="shared" si="57"/>
        <v>-</v>
      </c>
      <c r="F1550" s="496"/>
      <c r="G1550" s="398"/>
      <c r="I1550" t="s">
        <v>563</v>
      </c>
      <c r="J1550">
        <v>12391.363907087565</v>
      </c>
      <c r="K1550">
        <v>12303</v>
      </c>
      <c r="L1550" s="509">
        <f t="shared" si="58"/>
        <v>1.0071823057049147</v>
      </c>
    </row>
    <row r="1551" spans="1:12">
      <c r="A1551" s="397" t="str">
        <f t="shared" si="57"/>
        <v>-</v>
      </c>
      <c r="F1551" s="496"/>
      <c r="G1551" s="398"/>
      <c r="I1551" t="s">
        <v>419</v>
      </c>
      <c r="J1551">
        <v>9126.4634146341632</v>
      </c>
      <c r="K1551">
        <v>9059</v>
      </c>
      <c r="L1551" s="509">
        <f t="shared" si="58"/>
        <v>1.0074471149833495</v>
      </c>
    </row>
    <row r="1552" spans="1:12">
      <c r="A1552" s="397" t="str">
        <f t="shared" si="57"/>
        <v>-</v>
      </c>
      <c r="F1552" s="496"/>
      <c r="G1552" s="398"/>
      <c r="I1552" t="s">
        <v>173</v>
      </c>
      <c r="J1552">
        <v>4699.0702773170451</v>
      </c>
      <c r="K1552">
        <v>4664</v>
      </c>
      <c r="L1552" s="509">
        <f t="shared" si="58"/>
        <v>1.0075193562000526</v>
      </c>
    </row>
    <row r="1553" spans="1:12">
      <c r="A1553" s="397" t="str">
        <f t="shared" si="57"/>
        <v>-</v>
      </c>
      <c r="F1553" s="496"/>
      <c r="G1553" s="398"/>
      <c r="I1553" t="s">
        <v>232</v>
      </c>
      <c r="J1553">
        <v>10304.726688102894</v>
      </c>
      <c r="K1553">
        <v>10227</v>
      </c>
      <c r="L1553" s="509">
        <f t="shared" si="58"/>
        <v>1.0076001455072743</v>
      </c>
    </row>
    <row r="1554" spans="1:12">
      <c r="A1554" s="397" t="str">
        <f t="shared" si="57"/>
        <v>-</v>
      </c>
      <c r="F1554" s="496"/>
      <c r="G1554" s="398"/>
      <c r="I1554" t="s">
        <v>789</v>
      </c>
      <c r="J1554">
        <v>6831.6974358973694</v>
      </c>
      <c r="K1554">
        <v>6779</v>
      </c>
      <c r="L1554" s="509">
        <f t="shared" si="58"/>
        <v>1.0077736297237601</v>
      </c>
    </row>
    <row r="1555" spans="1:12">
      <c r="A1555" s="397" t="str">
        <f t="shared" si="57"/>
        <v>-</v>
      </c>
      <c r="F1555" s="496"/>
      <c r="G1555" s="398"/>
      <c r="I1555" t="s">
        <v>791</v>
      </c>
      <c r="J1555">
        <v>6872.3830179972747</v>
      </c>
      <c r="K1555">
        <v>6817</v>
      </c>
      <c r="L1555" s="509">
        <f t="shared" si="58"/>
        <v>1.0081242508430797</v>
      </c>
    </row>
    <row r="1556" spans="1:12">
      <c r="A1556" s="397" t="str">
        <f t="shared" si="57"/>
        <v>-</v>
      </c>
      <c r="F1556" s="496"/>
      <c r="G1556" s="398"/>
      <c r="I1556" t="s">
        <v>188</v>
      </c>
      <c r="J1556">
        <v>11724.495354053199</v>
      </c>
      <c r="K1556">
        <v>11629</v>
      </c>
      <c r="L1556" s="509">
        <f t="shared" si="58"/>
        <v>1.0082118285366926</v>
      </c>
    </row>
    <row r="1557" spans="1:12">
      <c r="A1557" s="397" t="str">
        <f t="shared" si="57"/>
        <v>-</v>
      </c>
      <c r="F1557" s="496"/>
      <c r="G1557" s="398"/>
      <c r="I1557" t="s">
        <v>161</v>
      </c>
      <c r="J1557">
        <v>8173.0000000000127</v>
      </c>
      <c r="K1557">
        <v>8104</v>
      </c>
      <c r="L1557" s="509">
        <f t="shared" si="58"/>
        <v>1.008514313919054</v>
      </c>
    </row>
    <row r="1558" spans="1:12">
      <c r="A1558" s="397" t="str">
        <f t="shared" si="57"/>
        <v>-</v>
      </c>
      <c r="F1558" s="496"/>
      <c r="G1558" s="398"/>
      <c r="I1558" t="s">
        <v>280</v>
      </c>
      <c r="J1558">
        <v>6520.7071747339587</v>
      </c>
      <c r="K1558">
        <v>6464</v>
      </c>
      <c r="L1558" s="509">
        <f t="shared" si="58"/>
        <v>1.0087727683684962</v>
      </c>
    </row>
    <row r="1559" spans="1:12">
      <c r="A1559" s="397" t="str">
        <f t="shared" si="57"/>
        <v>-</v>
      </c>
      <c r="F1559" s="496"/>
      <c r="G1559" s="398"/>
      <c r="I1559" t="s">
        <v>142</v>
      </c>
      <c r="J1559">
        <v>9666.032058492674</v>
      </c>
      <c r="K1559">
        <v>9581</v>
      </c>
      <c r="L1559" s="509">
        <f t="shared" si="58"/>
        <v>1.0088750713383441</v>
      </c>
    </row>
    <row r="1560" spans="1:12">
      <c r="A1560" s="397" t="str">
        <f t="shared" si="57"/>
        <v>-</v>
      </c>
      <c r="F1560" s="496"/>
      <c r="G1560" s="398"/>
      <c r="I1560" t="s">
        <v>750</v>
      </c>
      <c r="J1560">
        <v>13789.669421487626</v>
      </c>
      <c r="K1560">
        <v>13665</v>
      </c>
      <c r="L1560" s="509">
        <f t="shared" si="58"/>
        <v>1.0091232653851172</v>
      </c>
    </row>
    <row r="1561" spans="1:12">
      <c r="A1561" s="397" t="str">
        <f t="shared" si="57"/>
        <v>-</v>
      </c>
      <c r="F1561" s="496"/>
      <c r="G1561" s="398"/>
      <c r="I1561" t="s">
        <v>565</v>
      </c>
      <c r="J1561">
        <v>9224.8103843216759</v>
      </c>
      <c r="K1561">
        <v>9141</v>
      </c>
      <c r="L1561" s="509">
        <f t="shared" si="58"/>
        <v>1.0091686231617629</v>
      </c>
    </row>
    <row r="1562" spans="1:12">
      <c r="A1562" s="397" t="str">
        <f t="shared" si="57"/>
        <v>-</v>
      </c>
      <c r="F1562" s="496"/>
      <c r="G1562" s="398"/>
      <c r="I1562" t="s">
        <v>270</v>
      </c>
      <c r="J1562">
        <v>5591.0914245216363</v>
      </c>
      <c r="K1562">
        <v>5538</v>
      </c>
      <c r="L1562" s="509">
        <f t="shared" si="58"/>
        <v>1.0095867505456186</v>
      </c>
    </row>
    <row r="1563" spans="1:12">
      <c r="A1563" s="397" t="str">
        <f t="shared" si="57"/>
        <v>-</v>
      </c>
      <c r="F1563" s="496"/>
      <c r="G1563" s="398"/>
      <c r="I1563" t="s">
        <v>84</v>
      </c>
      <c r="J1563">
        <v>10122.486828240249</v>
      </c>
      <c r="K1563">
        <v>10023</v>
      </c>
      <c r="L1563" s="509">
        <f t="shared" si="58"/>
        <v>1.009925853361294</v>
      </c>
    </row>
    <row r="1564" spans="1:12">
      <c r="A1564" s="397" t="str">
        <f t="shared" si="57"/>
        <v>-</v>
      </c>
      <c r="F1564" s="496"/>
      <c r="G1564" s="398"/>
      <c r="I1564" t="s">
        <v>433</v>
      </c>
      <c r="J1564">
        <v>8170.8238636362585</v>
      </c>
      <c r="K1564">
        <v>8089</v>
      </c>
      <c r="L1564" s="509">
        <f t="shared" si="58"/>
        <v>1.0101154485889798</v>
      </c>
    </row>
    <row r="1565" spans="1:12">
      <c r="A1565" s="397" t="str">
        <f t="shared" si="57"/>
        <v>-</v>
      </c>
      <c r="F1565" s="496"/>
      <c r="G1565" s="398"/>
      <c r="I1565" t="s">
        <v>190</v>
      </c>
      <c r="J1565">
        <v>10834.73909657321</v>
      </c>
      <c r="K1565">
        <v>10723</v>
      </c>
      <c r="L1565" s="509">
        <f t="shared" si="58"/>
        <v>1.0104205070011387</v>
      </c>
    </row>
    <row r="1566" spans="1:12">
      <c r="A1566" s="397" t="str">
        <f t="shared" si="57"/>
        <v>-</v>
      </c>
      <c r="F1566" s="496"/>
      <c r="G1566" s="398"/>
      <c r="I1566" t="s">
        <v>303</v>
      </c>
      <c r="J1566">
        <v>10849.787083037627</v>
      </c>
      <c r="K1566">
        <v>10737</v>
      </c>
      <c r="L1566" s="509">
        <f t="shared" si="58"/>
        <v>1.0105045248242179</v>
      </c>
    </row>
    <row r="1567" spans="1:12">
      <c r="A1567" s="397" t="str">
        <f t="shared" si="57"/>
        <v>-</v>
      </c>
      <c r="F1567" s="496"/>
      <c r="G1567" s="398"/>
      <c r="I1567" t="s">
        <v>63</v>
      </c>
      <c r="J1567">
        <v>8675.4195459032453</v>
      </c>
      <c r="K1567">
        <v>8584</v>
      </c>
      <c r="L1567" s="509">
        <f t="shared" si="58"/>
        <v>1.0106499936979549</v>
      </c>
    </row>
    <row r="1568" spans="1:12">
      <c r="A1568" s="397" t="str">
        <f t="shared" si="57"/>
        <v>-</v>
      </c>
      <c r="F1568" s="496"/>
      <c r="G1568" s="398"/>
      <c r="I1568" t="s">
        <v>164</v>
      </c>
      <c r="J1568">
        <v>5248.6162377610372</v>
      </c>
      <c r="K1568">
        <v>5193</v>
      </c>
      <c r="L1568" s="509">
        <f t="shared" si="58"/>
        <v>1.0107098474409855</v>
      </c>
    </row>
    <row r="1569" spans="1:12">
      <c r="A1569" s="397" t="str">
        <f t="shared" si="57"/>
        <v>-</v>
      </c>
      <c r="F1569" s="496"/>
      <c r="G1569" s="398"/>
      <c r="I1569" t="s">
        <v>182</v>
      </c>
      <c r="J1569">
        <v>12748.260869565216</v>
      </c>
      <c r="K1569">
        <v>12613</v>
      </c>
      <c r="L1569" s="509">
        <f t="shared" si="58"/>
        <v>1.0107239252806799</v>
      </c>
    </row>
    <row r="1570" spans="1:12">
      <c r="A1570" s="397" t="str">
        <f t="shared" si="57"/>
        <v>-</v>
      </c>
      <c r="F1570" s="496"/>
      <c r="G1570" s="398"/>
      <c r="I1570" t="s">
        <v>186</v>
      </c>
      <c r="J1570">
        <v>7627.9464285714384</v>
      </c>
      <c r="K1570">
        <v>7546</v>
      </c>
      <c r="L1570" s="509">
        <f t="shared" si="58"/>
        <v>1.0108595850213939</v>
      </c>
    </row>
    <row r="1571" spans="1:12">
      <c r="A1571" s="397" t="str">
        <f t="shared" si="57"/>
        <v>-</v>
      </c>
      <c r="F1571" s="496"/>
      <c r="G1571" s="398"/>
      <c r="I1571" t="s">
        <v>423</v>
      </c>
      <c r="J1571">
        <v>10063.344537815145</v>
      </c>
      <c r="K1571">
        <v>9952</v>
      </c>
      <c r="L1571" s="509">
        <f t="shared" si="58"/>
        <v>1.0111881569348016</v>
      </c>
    </row>
    <row r="1572" spans="1:12">
      <c r="A1572" s="397" t="str">
        <f t="shared" si="57"/>
        <v>-</v>
      </c>
      <c r="F1572" s="496"/>
      <c r="G1572" s="398"/>
      <c r="I1572" t="s">
        <v>275</v>
      </c>
      <c r="J1572">
        <v>6505.2243644429218</v>
      </c>
      <c r="K1572">
        <v>6433</v>
      </c>
      <c r="L1572" s="509">
        <f t="shared" si="58"/>
        <v>1.0112271668650585</v>
      </c>
    </row>
    <row r="1573" spans="1:12">
      <c r="A1573" s="397" t="str">
        <f t="shared" si="57"/>
        <v>-</v>
      </c>
      <c r="F1573" s="496"/>
      <c r="G1573" s="398"/>
      <c r="I1573" t="s">
        <v>555</v>
      </c>
      <c r="J1573">
        <v>16450.337209302314</v>
      </c>
      <c r="K1573">
        <v>16267</v>
      </c>
      <c r="L1573" s="509">
        <f t="shared" si="58"/>
        <v>1.0112704991272092</v>
      </c>
    </row>
    <row r="1574" spans="1:12">
      <c r="A1574" s="397" t="str">
        <f t="shared" si="57"/>
        <v>-</v>
      </c>
      <c r="F1574" s="496"/>
      <c r="G1574" s="398"/>
      <c r="I1574" t="s">
        <v>254</v>
      </c>
      <c r="J1574">
        <v>9124.8467432950511</v>
      </c>
      <c r="K1574">
        <v>9020</v>
      </c>
      <c r="L1574" s="509">
        <f t="shared" si="58"/>
        <v>1.0116238074606487</v>
      </c>
    </row>
    <row r="1575" spans="1:12">
      <c r="A1575" s="397" t="str">
        <f t="shared" si="57"/>
        <v>-</v>
      </c>
      <c r="F1575" s="496"/>
      <c r="G1575" s="398"/>
      <c r="I1575" t="s">
        <v>471</v>
      </c>
      <c r="J1575">
        <v>10504.265734265735</v>
      </c>
      <c r="K1575">
        <v>10383</v>
      </c>
      <c r="L1575" s="509">
        <f t="shared" si="58"/>
        <v>1.0116792578508846</v>
      </c>
    </row>
    <row r="1576" spans="1:12">
      <c r="A1576" s="397" t="str">
        <f t="shared" si="57"/>
        <v>-</v>
      </c>
      <c r="F1576" s="496"/>
      <c r="G1576" s="398"/>
      <c r="I1576" t="s">
        <v>86</v>
      </c>
      <c r="J1576">
        <v>8995.7181571815727</v>
      </c>
      <c r="K1576">
        <v>8891</v>
      </c>
      <c r="L1576" s="509">
        <f t="shared" si="58"/>
        <v>1.0117779954090174</v>
      </c>
    </row>
    <row r="1577" spans="1:12">
      <c r="A1577" s="397" t="str">
        <f t="shared" si="57"/>
        <v>-</v>
      </c>
      <c r="F1577" s="496"/>
      <c r="G1577" s="398"/>
      <c r="I1577" t="s">
        <v>287</v>
      </c>
      <c r="J1577">
        <v>12361.11969111968</v>
      </c>
      <c r="K1577">
        <v>12217</v>
      </c>
      <c r="L1577" s="509">
        <f t="shared" si="58"/>
        <v>1.0117966514790604</v>
      </c>
    </row>
    <row r="1578" spans="1:12">
      <c r="A1578" s="397" t="str">
        <f t="shared" si="57"/>
        <v>-</v>
      </c>
      <c r="F1578" s="496"/>
      <c r="G1578" s="398"/>
      <c r="I1578" t="s">
        <v>166</v>
      </c>
      <c r="J1578">
        <v>4817.1015255130351</v>
      </c>
      <c r="K1578">
        <v>4756</v>
      </c>
      <c r="L1578" s="509">
        <f t="shared" si="58"/>
        <v>1.0128472509489139</v>
      </c>
    </row>
    <row r="1579" spans="1:12">
      <c r="A1579" s="397" t="str">
        <f t="shared" si="57"/>
        <v>-</v>
      </c>
      <c r="F1579" s="496"/>
      <c r="G1579" s="398"/>
      <c r="I1579" t="s">
        <v>180</v>
      </c>
      <c r="J1579">
        <v>11876.653696498073</v>
      </c>
      <c r="K1579">
        <v>11726</v>
      </c>
      <c r="L1579" s="509">
        <f t="shared" si="58"/>
        <v>1.0128478335747972</v>
      </c>
    </row>
    <row r="1580" spans="1:12">
      <c r="A1580" s="397" t="str">
        <f t="shared" si="57"/>
        <v>-</v>
      </c>
      <c r="F1580" s="496"/>
      <c r="G1580" s="398"/>
      <c r="I1580" t="s">
        <v>791</v>
      </c>
      <c r="J1580">
        <v>7745.4574811625534</v>
      </c>
      <c r="K1580">
        <v>7646</v>
      </c>
      <c r="L1580" s="509">
        <f t="shared" si="58"/>
        <v>1.0130077793830177</v>
      </c>
    </row>
    <row r="1581" spans="1:12">
      <c r="A1581" s="397" t="str">
        <f t="shared" si="57"/>
        <v>-</v>
      </c>
      <c r="F1581" s="496"/>
      <c r="G1581" s="398"/>
      <c r="I1581" t="s">
        <v>581</v>
      </c>
      <c r="J1581">
        <v>12399.755658436181</v>
      </c>
      <c r="K1581">
        <v>12237</v>
      </c>
      <c r="L1581" s="509">
        <f t="shared" si="58"/>
        <v>1.013300290793183</v>
      </c>
    </row>
    <row r="1582" spans="1:12">
      <c r="A1582" s="397" t="str">
        <f t="shared" si="57"/>
        <v>-</v>
      </c>
      <c r="F1582" s="496"/>
      <c r="G1582" s="398"/>
      <c r="I1582" t="s">
        <v>189</v>
      </c>
      <c r="J1582">
        <v>9092.0397111913026</v>
      </c>
      <c r="K1582">
        <v>8969</v>
      </c>
      <c r="L1582" s="509">
        <f t="shared" si="58"/>
        <v>1.0137183310504296</v>
      </c>
    </row>
    <row r="1583" spans="1:12">
      <c r="A1583" s="397" t="str">
        <f t="shared" si="57"/>
        <v>-</v>
      </c>
      <c r="F1583" s="496"/>
      <c r="G1583" s="398"/>
      <c r="I1583" t="s">
        <v>170</v>
      </c>
      <c r="J1583">
        <v>5732.6657933519091</v>
      </c>
      <c r="K1583">
        <v>5655</v>
      </c>
      <c r="L1583" s="509">
        <f t="shared" si="58"/>
        <v>1.0137340041294269</v>
      </c>
    </row>
    <row r="1584" spans="1:12">
      <c r="A1584" s="397" t="str">
        <f t="shared" si="57"/>
        <v>-</v>
      </c>
      <c r="F1584" s="496"/>
      <c r="G1584" s="398"/>
      <c r="I1584" t="s">
        <v>332</v>
      </c>
      <c r="J1584">
        <v>9909.5622895622837</v>
      </c>
      <c r="K1584">
        <v>9773</v>
      </c>
      <c r="L1584" s="509">
        <f t="shared" si="58"/>
        <v>1.0139734257200741</v>
      </c>
    </row>
    <row r="1585" spans="1:12">
      <c r="A1585" s="397" t="str">
        <f t="shared" si="57"/>
        <v>-</v>
      </c>
      <c r="F1585" s="496"/>
      <c r="G1585" s="398"/>
      <c r="I1585" t="s">
        <v>169</v>
      </c>
      <c r="J1585">
        <v>7069.1781502171671</v>
      </c>
      <c r="K1585">
        <v>6971</v>
      </c>
      <c r="L1585" s="509">
        <f t="shared" si="58"/>
        <v>1.0140837971908143</v>
      </c>
    </row>
    <row r="1586" spans="1:12">
      <c r="A1586" s="397" t="str">
        <f t="shared" si="57"/>
        <v>-</v>
      </c>
      <c r="F1586" s="496"/>
      <c r="G1586" s="398"/>
      <c r="I1586" t="s">
        <v>184</v>
      </c>
      <c r="J1586">
        <v>8508.5578979529419</v>
      </c>
      <c r="K1586">
        <v>8390</v>
      </c>
      <c r="L1586" s="509">
        <f t="shared" si="58"/>
        <v>1.0141308579204937</v>
      </c>
    </row>
    <row r="1587" spans="1:12">
      <c r="A1587" s="397" t="str">
        <f t="shared" si="57"/>
        <v>-</v>
      </c>
      <c r="F1587" s="496"/>
      <c r="G1587" s="398"/>
      <c r="I1587" t="s">
        <v>185</v>
      </c>
      <c r="J1587">
        <v>10307.609860664541</v>
      </c>
      <c r="K1587">
        <v>10163</v>
      </c>
      <c r="L1587" s="509">
        <f t="shared" si="58"/>
        <v>1.0142290525105324</v>
      </c>
    </row>
    <row r="1588" spans="1:12">
      <c r="A1588" s="397" t="str">
        <f t="shared" si="57"/>
        <v>-</v>
      </c>
      <c r="F1588" s="496"/>
      <c r="G1588" s="398"/>
      <c r="I1588" t="s">
        <v>88</v>
      </c>
      <c r="J1588">
        <v>6529.2159559835191</v>
      </c>
      <c r="K1588">
        <v>6435</v>
      </c>
      <c r="L1588" s="509">
        <f t="shared" si="58"/>
        <v>1.0146411742010131</v>
      </c>
    </row>
    <row r="1589" spans="1:12">
      <c r="A1589" s="397" t="str">
        <f t="shared" si="57"/>
        <v>-</v>
      </c>
      <c r="F1589" s="496"/>
      <c r="G1589" s="398"/>
      <c r="I1589" t="s">
        <v>202</v>
      </c>
      <c r="J1589">
        <v>12533.741496598654</v>
      </c>
      <c r="K1589">
        <v>12352</v>
      </c>
      <c r="L1589" s="509">
        <f t="shared" si="58"/>
        <v>1.0147135278982071</v>
      </c>
    </row>
    <row r="1590" spans="1:12">
      <c r="A1590" s="397" t="str">
        <f t="shared" si="57"/>
        <v>-</v>
      </c>
      <c r="F1590" s="496"/>
      <c r="G1590" s="398"/>
      <c r="I1590" t="s">
        <v>133</v>
      </c>
      <c r="J1590">
        <v>8446.7282321899711</v>
      </c>
      <c r="K1590">
        <v>8315</v>
      </c>
      <c r="L1590" s="509">
        <f t="shared" si="58"/>
        <v>1.01584224079254</v>
      </c>
    </row>
    <row r="1591" spans="1:12">
      <c r="A1591" s="397" t="str">
        <f t="shared" ref="A1591:A1654" si="59">B1591&amp;"-"&amp;C1591</f>
        <v>-</v>
      </c>
      <c r="F1591" s="496"/>
      <c r="G1591" s="398"/>
      <c r="I1591" t="s">
        <v>476</v>
      </c>
      <c r="J1591">
        <v>12726.58559401308</v>
      </c>
      <c r="K1591">
        <v>12523</v>
      </c>
      <c r="L1591" s="509">
        <f t="shared" si="58"/>
        <v>1.0162569347610861</v>
      </c>
    </row>
    <row r="1592" spans="1:12">
      <c r="A1592" s="397" t="str">
        <f t="shared" si="59"/>
        <v>-</v>
      </c>
      <c r="F1592" s="496"/>
      <c r="G1592" s="398"/>
      <c r="I1592" t="s">
        <v>243</v>
      </c>
      <c r="J1592">
        <v>7271.9357732328108</v>
      </c>
      <c r="K1592">
        <v>7155</v>
      </c>
      <c r="L1592" s="509">
        <f t="shared" si="58"/>
        <v>1.0163432247704838</v>
      </c>
    </row>
    <row r="1593" spans="1:12">
      <c r="A1593" s="397" t="str">
        <f t="shared" si="59"/>
        <v>-</v>
      </c>
      <c r="F1593" s="496"/>
      <c r="G1593" s="398"/>
      <c r="I1593" t="s">
        <v>556</v>
      </c>
      <c r="J1593">
        <v>16346.519154557442</v>
      </c>
      <c r="K1593">
        <v>16080</v>
      </c>
      <c r="L1593" s="509">
        <f t="shared" si="58"/>
        <v>1.016574574288398</v>
      </c>
    </row>
    <row r="1594" spans="1:12">
      <c r="A1594" s="397" t="str">
        <f t="shared" si="59"/>
        <v>-</v>
      </c>
      <c r="F1594" s="496"/>
      <c r="G1594" s="398"/>
      <c r="I1594" t="s">
        <v>340</v>
      </c>
      <c r="J1594">
        <v>9264.8773841961756</v>
      </c>
      <c r="K1594">
        <v>9113</v>
      </c>
      <c r="L1594" s="509">
        <f t="shared" si="58"/>
        <v>1.0166660138479289</v>
      </c>
    </row>
    <row r="1595" spans="1:12">
      <c r="A1595" s="397" t="str">
        <f t="shared" si="59"/>
        <v>-</v>
      </c>
      <c r="F1595" s="496"/>
      <c r="G1595" s="398"/>
      <c r="I1595" t="s">
        <v>174</v>
      </c>
      <c r="J1595">
        <v>10645.489510489491</v>
      </c>
      <c r="K1595">
        <v>10466</v>
      </c>
      <c r="L1595" s="509">
        <f t="shared" si="58"/>
        <v>1.0171497716882756</v>
      </c>
    </row>
    <row r="1596" spans="1:12">
      <c r="A1596" s="397" t="str">
        <f t="shared" si="59"/>
        <v>-</v>
      </c>
      <c r="F1596" s="496"/>
      <c r="G1596" s="398"/>
      <c r="I1596" t="s">
        <v>553</v>
      </c>
      <c r="J1596">
        <v>9147.6805637111029</v>
      </c>
      <c r="K1596">
        <v>8992</v>
      </c>
      <c r="L1596" s="509">
        <f t="shared" si="58"/>
        <v>1.0173132299500782</v>
      </c>
    </row>
    <row r="1597" spans="1:12">
      <c r="A1597" s="397" t="str">
        <f t="shared" si="59"/>
        <v>-</v>
      </c>
      <c r="F1597" s="496"/>
      <c r="G1597" s="398"/>
      <c r="I1597" t="s">
        <v>181</v>
      </c>
      <c r="J1597">
        <v>12753.6</v>
      </c>
      <c r="K1597">
        <v>12536</v>
      </c>
      <c r="L1597" s="509">
        <f t="shared" si="58"/>
        <v>1.0173580089342693</v>
      </c>
    </row>
    <row r="1598" spans="1:12">
      <c r="A1598" s="397" t="str">
        <f t="shared" si="59"/>
        <v>-</v>
      </c>
      <c r="F1598" s="496"/>
      <c r="G1598" s="398"/>
      <c r="I1598" t="s">
        <v>336</v>
      </c>
      <c r="J1598">
        <v>9875.6103896103959</v>
      </c>
      <c r="K1598">
        <v>9707</v>
      </c>
      <c r="L1598" s="509">
        <f t="shared" si="58"/>
        <v>1.0173699793561755</v>
      </c>
    </row>
    <row r="1599" spans="1:12">
      <c r="A1599" s="397" t="str">
        <f t="shared" si="59"/>
        <v>-</v>
      </c>
      <c r="F1599" s="496"/>
      <c r="G1599" s="398"/>
      <c r="I1599" t="s">
        <v>158</v>
      </c>
      <c r="J1599">
        <v>10193.472429210084</v>
      </c>
      <c r="K1599">
        <v>10017</v>
      </c>
      <c r="L1599" s="509">
        <f t="shared" si="58"/>
        <v>1.0176172935220209</v>
      </c>
    </row>
    <row r="1600" spans="1:12">
      <c r="A1600" s="397" t="str">
        <f t="shared" si="59"/>
        <v>-</v>
      </c>
      <c r="F1600" s="496"/>
      <c r="G1600" s="398"/>
      <c r="I1600" t="s">
        <v>583</v>
      </c>
      <c r="J1600">
        <v>8294.5759253862107</v>
      </c>
      <c r="K1600">
        <v>8147</v>
      </c>
      <c r="L1600" s="509">
        <f t="shared" si="58"/>
        <v>1.0181141432903167</v>
      </c>
    </row>
    <row r="1601" spans="1:12">
      <c r="A1601" s="397" t="str">
        <f t="shared" si="59"/>
        <v>-</v>
      </c>
      <c r="F1601" s="496"/>
      <c r="G1601" s="398"/>
      <c r="I1601" t="s">
        <v>435</v>
      </c>
      <c r="J1601">
        <v>6525.6370656370509</v>
      </c>
      <c r="K1601">
        <v>6388</v>
      </c>
      <c r="L1601" s="509">
        <f t="shared" si="58"/>
        <v>1.0215461906131889</v>
      </c>
    </row>
    <row r="1602" spans="1:12">
      <c r="A1602" s="397" t="str">
        <f t="shared" si="59"/>
        <v>-</v>
      </c>
      <c r="F1602" s="496"/>
      <c r="G1602" s="398"/>
      <c r="I1602" t="s">
        <v>790</v>
      </c>
      <c r="J1602">
        <v>7068.0778894473015</v>
      </c>
      <c r="K1602">
        <v>7263</v>
      </c>
      <c r="L1602" s="509">
        <f t="shared" si="58"/>
        <v>0.97316231439450662</v>
      </c>
    </row>
    <row r="1603" spans="1:12">
      <c r="A1603" s="397" t="str">
        <f t="shared" si="59"/>
        <v>-</v>
      </c>
      <c r="F1603" s="496"/>
      <c r="G1603" s="398"/>
      <c r="I1603" t="s">
        <v>429</v>
      </c>
      <c r="J1603">
        <v>6204.5845786013042</v>
      </c>
      <c r="K1603">
        <v>6277</v>
      </c>
      <c r="L1603" s="509">
        <f t="shared" si="58"/>
        <v>0.98846337081429092</v>
      </c>
    </row>
    <row r="1604" spans="1:12">
      <c r="A1604" s="397" t="str">
        <f t="shared" si="59"/>
        <v>-</v>
      </c>
      <c r="F1604" s="496"/>
      <c r="G1604" s="398"/>
      <c r="I1604" t="s">
        <v>579</v>
      </c>
      <c r="J1604">
        <v>9588.0277777777792</v>
      </c>
      <c r="K1604">
        <v>9689</v>
      </c>
      <c r="L1604" s="509">
        <f t="shared" si="58"/>
        <v>0.98957867455648463</v>
      </c>
    </row>
    <row r="1605" spans="1:12">
      <c r="A1605" s="397" t="str">
        <f t="shared" si="59"/>
        <v>-</v>
      </c>
      <c r="F1605" s="496"/>
      <c r="G1605" s="398"/>
      <c r="I1605" t="s">
        <v>328</v>
      </c>
      <c r="J1605">
        <v>11849.888475836437</v>
      </c>
      <c r="K1605">
        <v>11913</v>
      </c>
      <c r="L1605" s="509">
        <f t="shared" si="58"/>
        <v>0.99470229798005849</v>
      </c>
    </row>
    <row r="1606" spans="1:12">
      <c r="A1606" s="397" t="str">
        <f t="shared" si="59"/>
        <v>-</v>
      </c>
      <c r="F1606" s="496"/>
      <c r="G1606" s="398"/>
      <c r="I1606" t="s">
        <v>295</v>
      </c>
      <c r="J1606">
        <v>10643.631961259071</v>
      </c>
      <c r="K1606">
        <v>10683</v>
      </c>
      <c r="L1606" s="509">
        <f t="shared" si="58"/>
        <v>0.99631488919395961</v>
      </c>
    </row>
    <row r="1607" spans="1:12">
      <c r="A1607" s="397" t="str">
        <f t="shared" si="59"/>
        <v>-</v>
      </c>
      <c r="F1607" s="496"/>
      <c r="G1607" s="398"/>
      <c r="I1607" t="s">
        <v>427</v>
      </c>
      <c r="J1607">
        <v>6654.9690402476708</v>
      </c>
      <c r="K1607">
        <v>6679</v>
      </c>
      <c r="L1607" s="509">
        <f t="shared" ref="L1607:L1670" si="60">J1607/K1607</f>
        <v>0.99640201231436909</v>
      </c>
    </row>
    <row r="1608" spans="1:12">
      <c r="A1608" s="397" t="str">
        <f t="shared" si="59"/>
        <v>-</v>
      </c>
      <c r="F1608" s="496"/>
      <c r="G1608" s="398"/>
      <c r="I1608" t="s">
        <v>304</v>
      </c>
      <c r="J1608">
        <v>9929.002865329463</v>
      </c>
      <c r="K1608">
        <v>9961</v>
      </c>
      <c r="L1608" s="509">
        <f t="shared" si="60"/>
        <v>0.99678775879223602</v>
      </c>
    </row>
    <row r="1609" spans="1:12">
      <c r="A1609" s="397" t="str">
        <f t="shared" si="59"/>
        <v>-</v>
      </c>
      <c r="F1609" s="496"/>
      <c r="G1609" s="398"/>
      <c r="I1609" t="s">
        <v>791</v>
      </c>
      <c r="J1609">
        <v>6780.4375045497718</v>
      </c>
      <c r="K1609">
        <v>6797</v>
      </c>
      <c r="L1609" s="509">
        <f t="shared" si="60"/>
        <v>0.99756326387373428</v>
      </c>
    </row>
    <row r="1610" spans="1:12">
      <c r="A1610" s="397" t="str">
        <f t="shared" si="59"/>
        <v>-</v>
      </c>
      <c r="F1610" s="496"/>
      <c r="G1610" s="398"/>
      <c r="I1610" t="s">
        <v>270</v>
      </c>
      <c r="J1610">
        <v>5526.4973021583301</v>
      </c>
      <c r="K1610">
        <v>5538</v>
      </c>
      <c r="L1610" s="509">
        <f t="shared" si="60"/>
        <v>0.99792295091338568</v>
      </c>
    </row>
    <row r="1611" spans="1:12">
      <c r="A1611" s="397" t="str">
        <f t="shared" si="59"/>
        <v>-</v>
      </c>
      <c r="F1611" s="496"/>
      <c r="G1611" s="398"/>
      <c r="I1611" t="s">
        <v>421</v>
      </c>
      <c r="J1611">
        <v>9498.8209606986838</v>
      </c>
      <c r="K1611">
        <v>9516</v>
      </c>
      <c r="L1611" s="509">
        <f t="shared" si="60"/>
        <v>0.9981947205442081</v>
      </c>
    </row>
    <row r="1612" spans="1:12">
      <c r="A1612" s="397" t="str">
        <f t="shared" si="59"/>
        <v>-</v>
      </c>
      <c r="F1612" s="496"/>
      <c r="G1612" s="398"/>
      <c r="I1612" t="s">
        <v>208</v>
      </c>
      <c r="J1612">
        <v>7093.8656774697574</v>
      </c>
      <c r="K1612">
        <v>7096</v>
      </c>
      <c r="L1612" s="509">
        <f t="shared" si="60"/>
        <v>0.99969922174038295</v>
      </c>
    </row>
    <row r="1613" spans="1:12">
      <c r="A1613" s="397" t="str">
        <f t="shared" si="59"/>
        <v>-</v>
      </c>
      <c r="F1613" s="496"/>
      <c r="G1613" s="398"/>
      <c r="I1613" t="s">
        <v>550</v>
      </c>
      <c r="J1613">
        <v>10359.007936507927</v>
      </c>
      <c r="K1613">
        <v>10360</v>
      </c>
      <c r="L1613" s="509">
        <f t="shared" si="60"/>
        <v>0.99990424097566866</v>
      </c>
    </row>
    <row r="1614" spans="1:12">
      <c r="A1614" s="397" t="str">
        <f t="shared" si="59"/>
        <v>-</v>
      </c>
      <c r="F1614" s="496"/>
      <c r="G1614" s="398"/>
      <c r="I1614" t="s">
        <v>577</v>
      </c>
      <c r="J1614">
        <v>13331.844444444459</v>
      </c>
      <c r="K1614">
        <v>13323</v>
      </c>
      <c r="L1614" s="509">
        <f t="shared" si="60"/>
        <v>1.0006638478153913</v>
      </c>
    </row>
    <row r="1615" spans="1:12">
      <c r="A1615" s="397" t="str">
        <f t="shared" si="59"/>
        <v>-</v>
      </c>
      <c r="F1615" s="496"/>
      <c r="G1615" s="398"/>
      <c r="I1615" t="s">
        <v>420</v>
      </c>
      <c r="J1615">
        <v>9762.5669957687023</v>
      </c>
      <c r="K1615">
        <v>9756</v>
      </c>
      <c r="L1615" s="509">
        <f t="shared" si="60"/>
        <v>1.0006731237975299</v>
      </c>
    </row>
    <row r="1616" spans="1:12">
      <c r="A1616" s="397" t="str">
        <f t="shared" si="59"/>
        <v>-</v>
      </c>
      <c r="F1616" s="496"/>
      <c r="G1616" s="398"/>
      <c r="I1616" t="s">
        <v>157</v>
      </c>
      <c r="J1616">
        <v>10489.908503767434</v>
      </c>
      <c r="K1616">
        <v>10481</v>
      </c>
      <c r="L1616" s="509">
        <f t="shared" si="60"/>
        <v>1.0008499669656936</v>
      </c>
    </row>
    <row r="1617" spans="1:12">
      <c r="A1617" s="397" t="str">
        <f t="shared" si="59"/>
        <v>-</v>
      </c>
      <c r="F1617" s="496"/>
      <c r="G1617" s="398"/>
      <c r="I1617" t="s">
        <v>576</v>
      </c>
      <c r="J1617">
        <v>10766.102236421735</v>
      </c>
      <c r="K1617">
        <v>10754</v>
      </c>
      <c r="L1617" s="509">
        <f t="shared" si="60"/>
        <v>1.0011253706919969</v>
      </c>
    </row>
    <row r="1618" spans="1:12">
      <c r="A1618" s="397" t="str">
        <f t="shared" si="59"/>
        <v>-</v>
      </c>
      <c r="F1618" s="496"/>
      <c r="G1618" s="398"/>
      <c r="I1618" t="s">
        <v>789</v>
      </c>
      <c r="J1618">
        <v>10239.595015576349</v>
      </c>
      <c r="K1618">
        <v>10227</v>
      </c>
      <c r="L1618" s="509">
        <f t="shared" si="60"/>
        <v>1.0012315454753447</v>
      </c>
    </row>
    <row r="1619" spans="1:12">
      <c r="A1619" s="397" t="str">
        <f t="shared" si="59"/>
        <v>-</v>
      </c>
      <c r="F1619" s="496"/>
      <c r="G1619" s="398"/>
      <c r="I1619" t="s">
        <v>190</v>
      </c>
      <c r="J1619">
        <v>10737.9</v>
      </c>
      <c r="K1619">
        <v>10723</v>
      </c>
      <c r="L1619" s="509">
        <f t="shared" si="60"/>
        <v>1.0013895365103049</v>
      </c>
    </row>
    <row r="1620" spans="1:12">
      <c r="A1620" s="397" t="str">
        <f t="shared" si="59"/>
        <v>-</v>
      </c>
      <c r="F1620" s="496"/>
      <c r="G1620" s="398"/>
      <c r="I1620" t="s">
        <v>471</v>
      </c>
      <c r="J1620">
        <v>10398.572905894531</v>
      </c>
      <c r="K1620">
        <v>10383</v>
      </c>
      <c r="L1620" s="509">
        <f t="shared" si="60"/>
        <v>1.0014998464696649</v>
      </c>
    </row>
    <row r="1621" spans="1:12">
      <c r="A1621" s="397" t="str">
        <f t="shared" si="59"/>
        <v>-</v>
      </c>
      <c r="F1621" s="496"/>
      <c r="G1621" s="398"/>
      <c r="I1621" t="s">
        <v>419</v>
      </c>
      <c r="J1621">
        <v>9072.9591836734744</v>
      </c>
      <c r="K1621">
        <v>9059</v>
      </c>
      <c r="L1621" s="509">
        <f t="shared" si="60"/>
        <v>1.0015409188291726</v>
      </c>
    </row>
    <row r="1622" spans="1:12">
      <c r="A1622" s="397" t="str">
        <f t="shared" si="59"/>
        <v>-</v>
      </c>
      <c r="F1622" s="496"/>
      <c r="G1622" s="398"/>
      <c r="I1622" t="s">
        <v>75</v>
      </c>
      <c r="J1622">
        <v>10750.302325581391</v>
      </c>
      <c r="K1622">
        <v>10732</v>
      </c>
      <c r="L1622" s="509">
        <f t="shared" si="60"/>
        <v>1.0017053974637897</v>
      </c>
    </row>
    <row r="1623" spans="1:12">
      <c r="A1623" s="397" t="str">
        <f t="shared" si="59"/>
        <v>-</v>
      </c>
      <c r="F1623" s="496"/>
      <c r="G1623" s="398"/>
      <c r="I1623" t="s">
        <v>70</v>
      </c>
      <c r="J1623">
        <v>6793.9848675914491</v>
      </c>
      <c r="K1623">
        <v>6778</v>
      </c>
      <c r="L1623" s="509">
        <f t="shared" si="60"/>
        <v>1.0023583457644509</v>
      </c>
    </row>
    <row r="1624" spans="1:12">
      <c r="A1624" s="397" t="str">
        <f t="shared" si="59"/>
        <v>-</v>
      </c>
      <c r="F1624" s="496"/>
      <c r="G1624" s="398"/>
      <c r="I1624" t="s">
        <v>173</v>
      </c>
      <c r="J1624">
        <v>4675.0410444071067</v>
      </c>
      <c r="K1624">
        <v>4664</v>
      </c>
      <c r="L1624" s="509">
        <f t="shared" si="60"/>
        <v>1.0023672908248513</v>
      </c>
    </row>
    <row r="1625" spans="1:12">
      <c r="A1625" s="397" t="str">
        <f t="shared" si="59"/>
        <v>-</v>
      </c>
      <c r="F1625" s="496"/>
      <c r="G1625" s="398"/>
      <c r="I1625" t="s">
        <v>59</v>
      </c>
      <c r="J1625">
        <v>10102.371342078732</v>
      </c>
      <c r="K1625">
        <v>10076</v>
      </c>
      <c r="L1625" s="509">
        <f t="shared" si="60"/>
        <v>1.0026172431598583</v>
      </c>
    </row>
    <row r="1626" spans="1:12">
      <c r="A1626" s="397" t="str">
        <f t="shared" si="59"/>
        <v>-</v>
      </c>
      <c r="F1626" s="496"/>
      <c r="G1626" s="398"/>
      <c r="I1626" t="s">
        <v>244</v>
      </c>
      <c r="J1626">
        <v>9297.3956780924182</v>
      </c>
      <c r="K1626">
        <v>9268</v>
      </c>
      <c r="L1626" s="509">
        <f t="shared" si="60"/>
        <v>1.0031717391122592</v>
      </c>
    </row>
    <row r="1627" spans="1:12">
      <c r="A1627" s="397" t="str">
        <f t="shared" si="59"/>
        <v>-</v>
      </c>
      <c r="F1627" s="496"/>
      <c r="G1627" s="398"/>
      <c r="I1627" t="s">
        <v>412</v>
      </c>
      <c r="J1627">
        <v>6955.4702495201527</v>
      </c>
      <c r="K1627">
        <v>6933</v>
      </c>
      <c r="L1627" s="509">
        <f t="shared" si="60"/>
        <v>1.0032410571931563</v>
      </c>
    </row>
    <row r="1628" spans="1:12">
      <c r="A1628" s="397" t="str">
        <f t="shared" si="59"/>
        <v>-</v>
      </c>
      <c r="F1628" s="496"/>
      <c r="G1628" s="398"/>
      <c r="I1628" t="s">
        <v>387</v>
      </c>
      <c r="J1628">
        <v>5327.6536312849094</v>
      </c>
      <c r="K1628">
        <v>5310</v>
      </c>
      <c r="L1628" s="509">
        <f t="shared" si="60"/>
        <v>1.0033246009952748</v>
      </c>
    </row>
    <row r="1629" spans="1:12">
      <c r="A1629" s="397" t="str">
        <f t="shared" si="59"/>
        <v>-</v>
      </c>
      <c r="F1629" s="496"/>
      <c r="G1629" s="398"/>
      <c r="I1629" t="s">
        <v>170</v>
      </c>
      <c r="J1629">
        <v>5677.0432555491752</v>
      </c>
      <c r="K1629">
        <v>5655</v>
      </c>
      <c r="L1629" s="509">
        <f t="shared" si="60"/>
        <v>1.003898011591366</v>
      </c>
    </row>
    <row r="1630" spans="1:12">
      <c r="A1630" s="397" t="str">
        <f t="shared" si="59"/>
        <v>-</v>
      </c>
      <c r="F1630" s="496"/>
      <c r="G1630" s="398"/>
      <c r="I1630" t="s">
        <v>791</v>
      </c>
      <c r="J1630">
        <v>7512.4999999999973</v>
      </c>
      <c r="K1630">
        <v>7482</v>
      </c>
      <c r="L1630" s="509">
        <f t="shared" si="60"/>
        <v>1.0040764501470192</v>
      </c>
    </row>
    <row r="1631" spans="1:12">
      <c r="A1631" s="397" t="str">
        <f t="shared" si="59"/>
        <v>-</v>
      </c>
      <c r="F1631" s="496"/>
      <c r="G1631" s="398"/>
      <c r="I1631" t="s">
        <v>422</v>
      </c>
      <c r="J1631">
        <v>9236.8269230769074</v>
      </c>
      <c r="K1631">
        <v>9199</v>
      </c>
      <c r="L1631" s="509">
        <f t="shared" si="60"/>
        <v>1.0041120690376026</v>
      </c>
    </row>
    <row r="1632" spans="1:12">
      <c r="A1632" s="397" t="str">
        <f t="shared" si="59"/>
        <v>-</v>
      </c>
      <c r="F1632" s="496"/>
      <c r="G1632" s="398"/>
      <c r="I1632" t="s">
        <v>86</v>
      </c>
      <c r="J1632">
        <v>8929.8640776698867</v>
      </c>
      <c r="K1632">
        <v>8891</v>
      </c>
      <c r="L1632" s="509">
        <f t="shared" si="60"/>
        <v>1.0043711705848484</v>
      </c>
    </row>
    <row r="1633" spans="1:12">
      <c r="A1633" s="397" t="str">
        <f t="shared" si="59"/>
        <v>-</v>
      </c>
      <c r="F1633" s="496"/>
      <c r="G1633" s="398"/>
      <c r="I1633" t="s">
        <v>404</v>
      </c>
      <c r="J1633">
        <v>10983.589041095873</v>
      </c>
      <c r="K1633">
        <v>10935</v>
      </c>
      <c r="L1633" s="509">
        <f t="shared" si="60"/>
        <v>1.0044434422584245</v>
      </c>
    </row>
    <row r="1634" spans="1:12">
      <c r="A1634" s="397" t="str">
        <f t="shared" si="59"/>
        <v>-</v>
      </c>
      <c r="F1634" s="496"/>
      <c r="G1634" s="398"/>
      <c r="I1634" t="s">
        <v>52</v>
      </c>
      <c r="J1634">
        <v>7049.806763285038</v>
      </c>
      <c r="K1634">
        <v>7018</v>
      </c>
      <c r="L1634" s="509">
        <f t="shared" si="60"/>
        <v>1.0045321691771214</v>
      </c>
    </row>
    <row r="1635" spans="1:12">
      <c r="A1635" s="397" t="str">
        <f t="shared" si="59"/>
        <v>-</v>
      </c>
      <c r="F1635" s="496"/>
      <c r="G1635" s="398"/>
      <c r="I1635" t="s">
        <v>789</v>
      </c>
      <c r="J1635">
        <v>6789.7246856387255</v>
      </c>
      <c r="K1635">
        <v>6759</v>
      </c>
      <c r="L1635" s="509">
        <f t="shared" si="60"/>
        <v>1.0045457442874279</v>
      </c>
    </row>
    <row r="1636" spans="1:12">
      <c r="A1636" s="397" t="str">
        <f t="shared" si="59"/>
        <v>-</v>
      </c>
      <c r="F1636" s="496"/>
      <c r="G1636" s="398"/>
      <c r="I1636" t="s">
        <v>172</v>
      </c>
      <c r="J1636">
        <v>8332.8632236096055</v>
      </c>
      <c r="K1636">
        <v>8295</v>
      </c>
      <c r="L1636" s="509">
        <f t="shared" si="60"/>
        <v>1.0045645839191808</v>
      </c>
    </row>
    <row r="1637" spans="1:12">
      <c r="A1637" s="397" t="str">
        <f t="shared" si="59"/>
        <v>-</v>
      </c>
      <c r="F1637" s="496"/>
      <c r="G1637" s="398"/>
      <c r="I1637" t="s">
        <v>178</v>
      </c>
      <c r="J1637">
        <v>13525.517241379301</v>
      </c>
      <c r="K1637">
        <v>13460</v>
      </c>
      <c r="L1637" s="509">
        <f t="shared" si="60"/>
        <v>1.0048675513654755</v>
      </c>
    </row>
    <row r="1638" spans="1:12">
      <c r="A1638" s="397" t="str">
        <f t="shared" si="59"/>
        <v>-</v>
      </c>
      <c r="F1638" s="496"/>
      <c r="G1638" s="398"/>
      <c r="I1638" t="s">
        <v>330</v>
      </c>
      <c r="J1638">
        <v>9317.7992277992489</v>
      </c>
      <c r="K1638">
        <v>9271</v>
      </c>
      <c r="L1638" s="509">
        <f t="shared" si="60"/>
        <v>1.0050479158450274</v>
      </c>
    </row>
    <row r="1639" spans="1:12">
      <c r="A1639" s="397" t="str">
        <f t="shared" si="59"/>
        <v>-</v>
      </c>
      <c r="F1639" s="496"/>
      <c r="G1639" s="398"/>
      <c r="I1639" t="s">
        <v>165</v>
      </c>
      <c r="J1639">
        <v>6931.8402590393671</v>
      </c>
      <c r="K1639">
        <v>6895</v>
      </c>
      <c r="L1639" s="509">
        <f t="shared" si="60"/>
        <v>1.0053430397446508</v>
      </c>
    </row>
    <row r="1640" spans="1:12">
      <c r="A1640" s="397" t="str">
        <f t="shared" si="59"/>
        <v>-</v>
      </c>
      <c r="F1640" s="496"/>
      <c r="G1640" s="398"/>
      <c r="I1640" t="s">
        <v>750</v>
      </c>
      <c r="J1640">
        <v>13739.886605244512</v>
      </c>
      <c r="K1640">
        <v>13665</v>
      </c>
      <c r="L1640" s="509">
        <f t="shared" si="60"/>
        <v>1.0054801760149661</v>
      </c>
    </row>
    <row r="1641" spans="1:12">
      <c r="A1641" s="397" t="str">
        <f t="shared" si="59"/>
        <v>-</v>
      </c>
      <c r="F1641" s="496"/>
      <c r="G1641" s="398"/>
      <c r="I1641" t="s">
        <v>565</v>
      </c>
      <c r="J1641">
        <v>9178.5212121212062</v>
      </c>
      <c r="K1641">
        <v>9128</v>
      </c>
      <c r="L1641" s="509">
        <f t="shared" si="60"/>
        <v>1.0055347515470208</v>
      </c>
    </row>
    <row r="1642" spans="1:12">
      <c r="A1642" s="397" t="str">
        <f t="shared" si="59"/>
        <v>-</v>
      </c>
      <c r="F1642" s="496"/>
      <c r="G1642" s="398"/>
      <c r="I1642" t="s">
        <v>84</v>
      </c>
      <c r="J1642">
        <v>10083.445121951263</v>
      </c>
      <c r="K1642">
        <v>10023</v>
      </c>
      <c r="L1642" s="509">
        <f t="shared" si="60"/>
        <v>1.0060306417191722</v>
      </c>
    </row>
    <row r="1643" spans="1:12">
      <c r="A1643" s="397" t="str">
        <f t="shared" si="59"/>
        <v>-</v>
      </c>
      <c r="F1643" s="496"/>
      <c r="G1643" s="398"/>
      <c r="I1643" t="s">
        <v>354</v>
      </c>
      <c r="J1643">
        <v>8753.5272727272659</v>
      </c>
      <c r="K1643">
        <v>8700</v>
      </c>
      <c r="L1643" s="509">
        <f t="shared" si="60"/>
        <v>1.0061525600835939</v>
      </c>
    </row>
    <row r="1644" spans="1:12">
      <c r="A1644" s="397" t="str">
        <f t="shared" si="59"/>
        <v>-</v>
      </c>
      <c r="F1644" s="496"/>
      <c r="G1644" s="398"/>
      <c r="I1644" t="s">
        <v>303</v>
      </c>
      <c r="J1644">
        <v>10811.528556279314</v>
      </c>
      <c r="K1644">
        <v>10737</v>
      </c>
      <c r="L1644" s="509">
        <f t="shared" si="60"/>
        <v>1.0069412830659694</v>
      </c>
    </row>
    <row r="1645" spans="1:12">
      <c r="A1645" s="397" t="str">
        <f t="shared" si="59"/>
        <v>-</v>
      </c>
      <c r="F1645" s="496"/>
      <c r="G1645" s="398"/>
      <c r="I1645" t="s">
        <v>433</v>
      </c>
      <c r="J1645">
        <v>8145.9267439720179</v>
      </c>
      <c r="K1645">
        <v>8089</v>
      </c>
      <c r="L1645" s="509">
        <f t="shared" si="60"/>
        <v>1.0070375502499713</v>
      </c>
    </row>
    <row r="1646" spans="1:12">
      <c r="A1646" s="397" t="str">
        <f t="shared" si="59"/>
        <v>-</v>
      </c>
      <c r="F1646" s="496"/>
      <c r="G1646" s="398"/>
      <c r="I1646" t="s">
        <v>164</v>
      </c>
      <c r="J1646">
        <v>5229.8727446091671</v>
      </c>
      <c r="K1646">
        <v>5193</v>
      </c>
      <c r="L1646" s="509">
        <f t="shared" si="60"/>
        <v>1.0071004707508506</v>
      </c>
    </row>
    <row r="1647" spans="1:12">
      <c r="A1647" s="397" t="str">
        <f t="shared" si="59"/>
        <v>-</v>
      </c>
      <c r="F1647" s="496"/>
      <c r="G1647" s="398"/>
      <c r="I1647" t="s">
        <v>167</v>
      </c>
      <c r="J1647">
        <v>8418.8586156111724</v>
      </c>
      <c r="K1647">
        <v>8359</v>
      </c>
      <c r="L1647" s="509">
        <f t="shared" si="60"/>
        <v>1.007160978060913</v>
      </c>
    </row>
    <row r="1648" spans="1:12">
      <c r="A1648" s="397" t="str">
        <f t="shared" si="59"/>
        <v>-</v>
      </c>
      <c r="F1648" s="496"/>
      <c r="G1648" s="398"/>
      <c r="I1648" t="s">
        <v>179</v>
      </c>
      <c r="J1648">
        <v>10897.638888888903</v>
      </c>
      <c r="K1648">
        <v>10819</v>
      </c>
      <c r="L1648" s="509">
        <f t="shared" si="60"/>
        <v>1.0072685912643409</v>
      </c>
    </row>
    <row r="1649" spans="1:12">
      <c r="A1649" s="397" t="str">
        <f t="shared" si="59"/>
        <v>-</v>
      </c>
      <c r="F1649" s="496"/>
      <c r="G1649" s="398"/>
      <c r="I1649" t="s">
        <v>202</v>
      </c>
      <c r="J1649">
        <v>12444.803921568631</v>
      </c>
      <c r="K1649">
        <v>12352</v>
      </c>
      <c r="L1649" s="509">
        <f t="shared" si="60"/>
        <v>1.0075132708523826</v>
      </c>
    </row>
    <row r="1650" spans="1:12">
      <c r="A1650" s="397" t="str">
        <f t="shared" si="59"/>
        <v>-</v>
      </c>
      <c r="F1650" s="496"/>
      <c r="G1650" s="398"/>
      <c r="I1650" t="s">
        <v>142</v>
      </c>
      <c r="J1650">
        <v>9654.5786758383638</v>
      </c>
      <c r="K1650">
        <v>9581</v>
      </c>
      <c r="L1650" s="509">
        <f t="shared" si="60"/>
        <v>1.007679644696625</v>
      </c>
    </row>
    <row r="1651" spans="1:12">
      <c r="A1651" s="397" t="str">
        <f t="shared" si="59"/>
        <v>-</v>
      </c>
      <c r="F1651" s="496"/>
      <c r="G1651" s="398"/>
      <c r="I1651" t="s">
        <v>186</v>
      </c>
      <c r="J1651">
        <v>7606.033268101758</v>
      </c>
      <c r="K1651">
        <v>7546</v>
      </c>
      <c r="L1651" s="509">
        <f t="shared" si="60"/>
        <v>1.007955641147861</v>
      </c>
    </row>
    <row r="1652" spans="1:12">
      <c r="A1652" s="397" t="str">
        <f t="shared" si="59"/>
        <v>-</v>
      </c>
      <c r="F1652" s="496"/>
      <c r="G1652" s="398"/>
      <c r="I1652" t="s">
        <v>221</v>
      </c>
      <c r="J1652">
        <v>8912.8962801608286</v>
      </c>
      <c r="K1652">
        <v>8842</v>
      </c>
      <c r="L1652" s="509">
        <f t="shared" si="60"/>
        <v>1.0080181271387501</v>
      </c>
    </row>
    <row r="1653" spans="1:12">
      <c r="A1653" s="397" t="str">
        <f t="shared" si="59"/>
        <v>-</v>
      </c>
      <c r="F1653" s="496"/>
      <c r="G1653" s="398"/>
      <c r="I1653" t="s">
        <v>262</v>
      </c>
      <c r="J1653">
        <v>11859.305680793523</v>
      </c>
      <c r="K1653">
        <v>11763</v>
      </c>
      <c r="L1653" s="509">
        <f t="shared" si="60"/>
        <v>1.0081871700071006</v>
      </c>
    </row>
    <row r="1654" spans="1:12">
      <c r="A1654" s="397" t="str">
        <f t="shared" si="59"/>
        <v>-</v>
      </c>
      <c r="F1654" s="496"/>
      <c r="G1654" s="398"/>
      <c r="I1654" t="s">
        <v>138</v>
      </c>
      <c r="J1654">
        <v>8566.5238764045098</v>
      </c>
      <c r="K1654">
        <v>8496</v>
      </c>
      <c r="L1654" s="509">
        <f t="shared" si="60"/>
        <v>1.0083008329101353</v>
      </c>
    </row>
    <row r="1655" spans="1:12">
      <c r="A1655" s="397" t="str">
        <f t="shared" ref="A1655:A1718" si="61">B1655&amp;"-"&amp;C1655</f>
        <v>-</v>
      </c>
      <c r="F1655" s="496"/>
      <c r="G1655" s="398"/>
      <c r="I1655" t="s">
        <v>166</v>
      </c>
      <c r="J1655">
        <v>4796.1418356924978</v>
      </c>
      <c r="K1655">
        <v>4756</v>
      </c>
      <c r="L1655" s="509">
        <f t="shared" si="60"/>
        <v>1.0084402514071695</v>
      </c>
    </row>
    <row r="1656" spans="1:12">
      <c r="A1656" s="397" t="str">
        <f t="shared" si="61"/>
        <v>-</v>
      </c>
      <c r="F1656" s="496"/>
      <c r="G1656" s="398"/>
      <c r="I1656" t="s">
        <v>73</v>
      </c>
      <c r="J1656">
        <v>5488.1084656084768</v>
      </c>
      <c r="K1656">
        <v>5441</v>
      </c>
      <c r="L1656" s="509">
        <f t="shared" si="60"/>
        <v>1.0086580528594884</v>
      </c>
    </row>
    <row r="1657" spans="1:12">
      <c r="A1657" s="397" t="str">
        <f t="shared" si="61"/>
        <v>-</v>
      </c>
      <c r="F1657" s="496"/>
      <c r="G1657" s="398"/>
      <c r="I1657" t="s">
        <v>187</v>
      </c>
      <c r="J1657">
        <v>10221.106353827774</v>
      </c>
      <c r="K1657">
        <v>10130</v>
      </c>
      <c r="L1657" s="509">
        <f t="shared" si="60"/>
        <v>1.0089937170609846</v>
      </c>
    </row>
    <row r="1658" spans="1:12">
      <c r="A1658" s="397" t="str">
        <f t="shared" si="61"/>
        <v>-</v>
      </c>
      <c r="F1658" s="496"/>
      <c r="G1658" s="398"/>
      <c r="I1658" t="s">
        <v>280</v>
      </c>
      <c r="J1658">
        <v>6522.8890931373271</v>
      </c>
      <c r="K1658">
        <v>6464</v>
      </c>
      <c r="L1658" s="509">
        <f t="shared" si="60"/>
        <v>1.0091103176264429</v>
      </c>
    </row>
    <row r="1659" spans="1:12">
      <c r="A1659" s="397" t="str">
        <f t="shared" si="61"/>
        <v>-</v>
      </c>
      <c r="F1659" s="496"/>
      <c r="G1659" s="398"/>
      <c r="I1659" t="s">
        <v>243</v>
      </c>
      <c r="J1659">
        <v>7221.6331877729035</v>
      </c>
      <c r="K1659">
        <v>7155</v>
      </c>
      <c r="L1659" s="509">
        <f t="shared" si="60"/>
        <v>1.0093128145035504</v>
      </c>
    </row>
    <row r="1660" spans="1:12">
      <c r="A1660" s="397" t="str">
        <f t="shared" si="61"/>
        <v>-</v>
      </c>
      <c r="F1660" s="496"/>
      <c r="G1660" s="398"/>
      <c r="I1660" t="s">
        <v>182</v>
      </c>
      <c r="J1660">
        <v>12732.285714285714</v>
      </c>
      <c r="K1660">
        <v>12613</v>
      </c>
      <c r="L1660" s="509">
        <f t="shared" si="60"/>
        <v>1.009457362585088</v>
      </c>
    </row>
    <row r="1661" spans="1:12">
      <c r="A1661" s="397" t="str">
        <f t="shared" si="61"/>
        <v>-</v>
      </c>
      <c r="F1661" s="496"/>
      <c r="G1661" s="398"/>
      <c r="I1661" t="s">
        <v>581</v>
      </c>
      <c r="J1661">
        <v>12356.62941709442</v>
      </c>
      <c r="K1661">
        <v>12234</v>
      </c>
      <c r="L1661" s="509">
        <f t="shared" si="60"/>
        <v>1.0100236567839154</v>
      </c>
    </row>
    <row r="1662" spans="1:12">
      <c r="A1662" s="397" t="str">
        <f t="shared" si="61"/>
        <v>-</v>
      </c>
      <c r="F1662" s="496"/>
      <c r="G1662" s="398"/>
      <c r="I1662" t="s">
        <v>254</v>
      </c>
      <c r="J1662">
        <v>9094.6758577141627</v>
      </c>
      <c r="K1662">
        <v>9001</v>
      </c>
      <c r="L1662" s="509">
        <f t="shared" si="60"/>
        <v>1.0104072722713213</v>
      </c>
    </row>
    <row r="1663" spans="1:12">
      <c r="A1663" s="397" t="str">
        <f t="shared" si="61"/>
        <v>-</v>
      </c>
      <c r="F1663" s="496"/>
      <c r="G1663" s="398"/>
      <c r="I1663" t="s">
        <v>184</v>
      </c>
      <c r="J1663">
        <v>8448.1757719714751</v>
      </c>
      <c r="K1663">
        <v>8360</v>
      </c>
      <c r="L1663" s="509">
        <f t="shared" si="60"/>
        <v>1.0105473411449133</v>
      </c>
    </row>
    <row r="1664" spans="1:12">
      <c r="A1664" s="397" t="str">
        <f t="shared" si="61"/>
        <v>-</v>
      </c>
      <c r="F1664" s="496"/>
      <c r="G1664" s="398"/>
      <c r="I1664" t="s">
        <v>168</v>
      </c>
      <c r="J1664">
        <v>6100.0367985280845</v>
      </c>
      <c r="K1664">
        <v>6035</v>
      </c>
      <c r="L1664" s="509">
        <f t="shared" si="60"/>
        <v>1.010776602904405</v>
      </c>
    </row>
    <row r="1665" spans="1:12">
      <c r="A1665" s="397" t="str">
        <f t="shared" si="61"/>
        <v>-</v>
      </c>
      <c r="F1665" s="496"/>
      <c r="G1665" s="398"/>
      <c r="I1665" t="s">
        <v>61</v>
      </c>
      <c r="J1665">
        <v>7583.0874785591868</v>
      </c>
      <c r="K1665">
        <v>7502</v>
      </c>
      <c r="L1665" s="509">
        <f t="shared" si="60"/>
        <v>1.0108087814661673</v>
      </c>
    </row>
    <row r="1666" spans="1:12">
      <c r="A1666" s="397" t="str">
        <f t="shared" si="61"/>
        <v>-</v>
      </c>
      <c r="F1666" s="496"/>
      <c r="G1666" s="398"/>
      <c r="I1666" t="s">
        <v>476</v>
      </c>
      <c r="J1666">
        <v>12661.298119964204</v>
      </c>
      <c r="K1666">
        <v>12523</v>
      </c>
      <c r="L1666" s="509">
        <f t="shared" si="60"/>
        <v>1.011043529502851</v>
      </c>
    </row>
    <row r="1667" spans="1:12">
      <c r="A1667" s="397" t="str">
        <f t="shared" si="61"/>
        <v>-</v>
      </c>
      <c r="F1667" s="496"/>
      <c r="G1667" s="398"/>
      <c r="I1667" t="s">
        <v>563</v>
      </c>
      <c r="J1667">
        <v>12443.694852941162</v>
      </c>
      <c r="K1667">
        <v>12303</v>
      </c>
      <c r="L1667" s="509">
        <f t="shared" si="60"/>
        <v>1.0114358167065889</v>
      </c>
    </row>
    <row r="1668" spans="1:12">
      <c r="A1668" s="397" t="str">
        <f t="shared" si="61"/>
        <v>-</v>
      </c>
      <c r="F1668" s="496"/>
      <c r="G1668" s="398"/>
      <c r="I1668" t="s">
        <v>275</v>
      </c>
      <c r="J1668">
        <v>6506.6879042378887</v>
      </c>
      <c r="K1668">
        <v>6433</v>
      </c>
      <c r="L1668" s="509">
        <f t="shared" si="60"/>
        <v>1.0114546718852617</v>
      </c>
    </row>
    <row r="1669" spans="1:12">
      <c r="A1669" s="397" t="str">
        <f t="shared" si="61"/>
        <v>-</v>
      </c>
      <c r="F1669" s="496"/>
      <c r="G1669" s="398"/>
      <c r="I1669" t="s">
        <v>180</v>
      </c>
      <c r="J1669">
        <v>11861.397058823528</v>
      </c>
      <c r="K1669">
        <v>11726</v>
      </c>
      <c r="L1669" s="509">
        <f t="shared" si="60"/>
        <v>1.011546738770555</v>
      </c>
    </row>
    <row r="1670" spans="1:12">
      <c r="A1670" s="397" t="str">
        <f t="shared" si="61"/>
        <v>-</v>
      </c>
      <c r="F1670" s="496"/>
      <c r="G1670" s="398"/>
      <c r="I1670" t="s">
        <v>169</v>
      </c>
      <c r="J1670">
        <v>7053.5489833642314</v>
      </c>
      <c r="K1670">
        <v>6971</v>
      </c>
      <c r="L1670" s="509">
        <f t="shared" si="60"/>
        <v>1.0118417706733942</v>
      </c>
    </row>
    <row r="1671" spans="1:12">
      <c r="A1671" s="397" t="str">
        <f t="shared" si="61"/>
        <v>-</v>
      </c>
      <c r="F1671" s="496"/>
      <c r="G1671" s="398"/>
      <c r="I1671" t="s">
        <v>735</v>
      </c>
      <c r="J1671">
        <v>4729.6771826852355</v>
      </c>
      <c r="K1671">
        <v>4673</v>
      </c>
      <c r="L1671" s="509">
        <f t="shared" ref="L1671:L1734" si="62">J1671/K1671</f>
        <v>1.0121286502643345</v>
      </c>
    </row>
    <row r="1672" spans="1:12">
      <c r="A1672" s="397" t="str">
        <f t="shared" si="61"/>
        <v>-</v>
      </c>
      <c r="F1672" s="496"/>
      <c r="G1672" s="398"/>
      <c r="I1672" t="s">
        <v>555</v>
      </c>
      <c r="J1672">
        <v>16477.999999999985</v>
      </c>
      <c r="K1672">
        <v>16267</v>
      </c>
      <c r="L1672" s="509">
        <f t="shared" si="62"/>
        <v>1.0129710456752927</v>
      </c>
    </row>
    <row r="1673" spans="1:12">
      <c r="A1673" s="397" t="str">
        <f t="shared" si="61"/>
        <v>-</v>
      </c>
      <c r="F1673" s="496"/>
      <c r="G1673" s="398"/>
      <c r="I1673" t="s">
        <v>49</v>
      </c>
      <c r="J1673">
        <v>6206.269052352477</v>
      </c>
      <c r="K1673">
        <v>6126</v>
      </c>
      <c r="L1673" s="509">
        <f t="shared" si="62"/>
        <v>1.0131030121371984</v>
      </c>
    </row>
    <row r="1674" spans="1:12">
      <c r="A1674" s="397" t="str">
        <f t="shared" si="61"/>
        <v>-</v>
      </c>
      <c r="F1674" s="496"/>
      <c r="G1674" s="398"/>
      <c r="I1674" t="s">
        <v>189</v>
      </c>
      <c r="J1674">
        <v>9093.4849965107205</v>
      </c>
      <c r="K1674">
        <v>8969</v>
      </c>
      <c r="L1674" s="509">
        <f t="shared" si="62"/>
        <v>1.0138794733538545</v>
      </c>
    </row>
    <row r="1675" spans="1:12">
      <c r="A1675" s="397" t="str">
        <f t="shared" si="61"/>
        <v>-</v>
      </c>
      <c r="F1675" s="496"/>
      <c r="G1675" s="398"/>
      <c r="I1675" t="s">
        <v>58</v>
      </c>
      <c r="J1675">
        <v>8533.5917901938574</v>
      </c>
      <c r="K1675">
        <v>8413</v>
      </c>
      <c r="L1675" s="509">
        <f t="shared" si="62"/>
        <v>1.0143339819557657</v>
      </c>
    </row>
    <row r="1676" spans="1:12">
      <c r="A1676" s="397" t="str">
        <f t="shared" si="61"/>
        <v>-</v>
      </c>
      <c r="F1676" s="496"/>
      <c r="G1676" s="398"/>
      <c r="I1676" t="s">
        <v>583</v>
      </c>
      <c r="J1676">
        <v>8240.6903829784187</v>
      </c>
      <c r="K1676">
        <v>8124</v>
      </c>
      <c r="L1676" s="509">
        <f t="shared" si="62"/>
        <v>1.014363661124867</v>
      </c>
    </row>
    <row r="1677" spans="1:12">
      <c r="A1677" s="397" t="str">
        <f t="shared" si="61"/>
        <v>-</v>
      </c>
      <c r="F1677" s="496"/>
      <c r="G1677" s="398"/>
      <c r="I1677" t="s">
        <v>226</v>
      </c>
      <c r="J1677">
        <v>8750.7154162710085</v>
      </c>
      <c r="K1677">
        <v>8624</v>
      </c>
      <c r="L1677" s="509">
        <f t="shared" si="62"/>
        <v>1.0146933460425567</v>
      </c>
    </row>
    <row r="1678" spans="1:12">
      <c r="A1678" s="397" t="str">
        <f t="shared" si="61"/>
        <v>-</v>
      </c>
      <c r="F1678" s="496"/>
      <c r="G1678" s="398"/>
      <c r="I1678" t="s">
        <v>88</v>
      </c>
      <c r="J1678">
        <v>6530.9401709401718</v>
      </c>
      <c r="K1678">
        <v>6435</v>
      </c>
      <c r="L1678" s="509">
        <f t="shared" si="62"/>
        <v>1.0149091174732201</v>
      </c>
    </row>
    <row r="1679" spans="1:12">
      <c r="A1679" s="397" t="str">
        <f t="shared" si="61"/>
        <v>-</v>
      </c>
      <c r="F1679" s="496"/>
      <c r="G1679" s="398"/>
      <c r="I1679" t="s">
        <v>582</v>
      </c>
      <c r="J1679">
        <v>8374.2738425009848</v>
      </c>
      <c r="K1679">
        <v>8251</v>
      </c>
      <c r="L1679" s="509">
        <f t="shared" si="62"/>
        <v>1.0149404729730924</v>
      </c>
    </row>
    <row r="1680" spans="1:12">
      <c r="A1680" s="397" t="str">
        <f t="shared" si="61"/>
        <v>-</v>
      </c>
      <c r="F1680" s="496"/>
      <c r="G1680" s="398"/>
      <c r="I1680" t="s">
        <v>188</v>
      </c>
      <c r="J1680">
        <v>11804.460236886674</v>
      </c>
      <c r="K1680">
        <v>11629</v>
      </c>
      <c r="L1680" s="509">
        <f t="shared" si="62"/>
        <v>1.0150881620850181</v>
      </c>
    </row>
    <row r="1681" spans="1:12">
      <c r="A1681" s="397" t="str">
        <f t="shared" si="61"/>
        <v>-</v>
      </c>
      <c r="F1681" s="496"/>
      <c r="G1681" s="398"/>
      <c r="I1681" t="s">
        <v>556</v>
      </c>
      <c r="J1681">
        <v>16327.966710182771</v>
      </c>
      <c r="K1681">
        <v>16080</v>
      </c>
      <c r="L1681" s="509">
        <f t="shared" si="62"/>
        <v>1.0154208153098738</v>
      </c>
    </row>
    <row r="1682" spans="1:12">
      <c r="A1682" s="397" t="str">
        <f t="shared" si="61"/>
        <v>-</v>
      </c>
      <c r="F1682" s="496"/>
      <c r="G1682" s="398"/>
      <c r="I1682" t="s">
        <v>181</v>
      </c>
      <c r="J1682">
        <v>12741.016949152545</v>
      </c>
      <c r="K1682">
        <v>12536</v>
      </c>
      <c r="L1682" s="509">
        <f t="shared" si="62"/>
        <v>1.0163542556758571</v>
      </c>
    </row>
    <row r="1683" spans="1:12">
      <c r="A1683" s="397" t="str">
        <f t="shared" si="61"/>
        <v>-</v>
      </c>
      <c r="F1683" s="496"/>
      <c r="G1683" s="398"/>
      <c r="I1683" t="s">
        <v>63</v>
      </c>
      <c r="J1683">
        <v>8736.2196861626107</v>
      </c>
      <c r="K1683">
        <v>8584</v>
      </c>
      <c r="L1683" s="509">
        <f t="shared" si="62"/>
        <v>1.0177329550515624</v>
      </c>
    </row>
    <row r="1684" spans="1:12">
      <c r="A1684" s="397" t="str">
        <f t="shared" si="61"/>
        <v>-</v>
      </c>
      <c r="F1684" s="496"/>
      <c r="G1684" s="398"/>
      <c r="I1684" t="s">
        <v>343</v>
      </c>
      <c r="J1684">
        <v>7519.8097826087051</v>
      </c>
      <c r="K1684">
        <v>7386</v>
      </c>
      <c r="L1684" s="509">
        <f t="shared" si="62"/>
        <v>1.018116677851165</v>
      </c>
    </row>
    <row r="1685" spans="1:12">
      <c r="A1685" s="397" t="str">
        <f t="shared" si="61"/>
        <v>-</v>
      </c>
      <c r="F1685" s="496"/>
      <c r="G1685" s="398"/>
      <c r="I1685" t="s">
        <v>553</v>
      </c>
      <c r="J1685">
        <v>9166.3233376792396</v>
      </c>
      <c r="K1685">
        <v>8992</v>
      </c>
      <c r="L1685" s="509">
        <f t="shared" si="62"/>
        <v>1.0193864921796307</v>
      </c>
    </row>
    <row r="1686" spans="1:12">
      <c r="A1686" s="397" t="str">
        <f t="shared" si="61"/>
        <v>-</v>
      </c>
      <c r="F1686" s="496"/>
      <c r="G1686" s="398"/>
      <c r="I1686" t="s">
        <v>429</v>
      </c>
      <c r="J1686">
        <v>6233.6118598382764</v>
      </c>
      <c r="K1686">
        <v>6277</v>
      </c>
      <c r="L1686" s="509">
        <f t="shared" si="62"/>
        <v>0.99308775845758746</v>
      </c>
    </row>
    <row r="1687" spans="1:12">
      <c r="A1687" s="397" t="str">
        <f t="shared" si="61"/>
        <v>-</v>
      </c>
      <c r="F1687" s="496"/>
      <c r="G1687" s="398"/>
      <c r="I1687" t="s">
        <v>302</v>
      </c>
      <c r="J1687">
        <v>8486.7477876105932</v>
      </c>
      <c r="K1687">
        <v>8534</v>
      </c>
      <c r="L1687" s="509">
        <f t="shared" si="62"/>
        <v>0.99446306393374662</v>
      </c>
    </row>
    <row r="1688" spans="1:12">
      <c r="A1688" s="397" t="str">
        <f t="shared" si="61"/>
        <v>-</v>
      </c>
      <c r="F1688" s="496"/>
      <c r="G1688" s="398"/>
      <c r="I1688" t="s">
        <v>424</v>
      </c>
      <c r="J1688">
        <v>9726.4516129032327</v>
      </c>
      <c r="K1688">
        <v>9777</v>
      </c>
      <c r="L1688" s="509">
        <f t="shared" si="62"/>
        <v>0.99482986733182288</v>
      </c>
    </row>
    <row r="1689" spans="1:12">
      <c r="A1689" s="397" t="str">
        <f t="shared" si="61"/>
        <v>-</v>
      </c>
      <c r="F1689" s="496"/>
      <c r="G1689" s="398"/>
      <c r="I1689" t="s">
        <v>411</v>
      </c>
      <c r="J1689">
        <v>10805.454545454551</v>
      </c>
      <c r="K1689">
        <v>10848</v>
      </c>
      <c r="L1689" s="509">
        <f t="shared" si="62"/>
        <v>0.99607803700724107</v>
      </c>
    </row>
    <row r="1690" spans="1:12">
      <c r="A1690" s="397" t="str">
        <f t="shared" si="61"/>
        <v>-</v>
      </c>
      <c r="F1690" s="496"/>
      <c r="G1690" s="398"/>
      <c r="I1690" t="s">
        <v>328</v>
      </c>
      <c r="J1690">
        <v>11866.701461377863</v>
      </c>
      <c r="K1690">
        <v>11913</v>
      </c>
      <c r="L1690" s="509">
        <f t="shared" si="62"/>
        <v>0.99611361213614225</v>
      </c>
    </row>
    <row r="1691" spans="1:12">
      <c r="A1691" s="397" t="str">
        <f t="shared" si="61"/>
        <v>-</v>
      </c>
      <c r="F1691" s="496"/>
      <c r="G1691" s="398"/>
      <c r="I1691" t="s">
        <v>346</v>
      </c>
      <c r="J1691">
        <v>12318.206896551726</v>
      </c>
      <c r="K1691">
        <v>12348</v>
      </c>
      <c r="L1691" s="509">
        <f t="shared" si="62"/>
        <v>0.99758721222479163</v>
      </c>
    </row>
    <row r="1692" spans="1:12">
      <c r="A1692" s="397" t="str">
        <f t="shared" si="61"/>
        <v>-</v>
      </c>
      <c r="F1692" s="496"/>
      <c r="G1692" s="398"/>
      <c r="I1692" t="s">
        <v>300</v>
      </c>
      <c r="J1692">
        <v>10175.959595959608</v>
      </c>
      <c r="K1692">
        <v>10200</v>
      </c>
      <c r="L1692" s="509">
        <f t="shared" si="62"/>
        <v>0.99764309764309889</v>
      </c>
    </row>
    <row r="1693" spans="1:12">
      <c r="A1693" s="397" t="str">
        <f t="shared" si="61"/>
        <v>-</v>
      </c>
      <c r="F1693" s="496"/>
      <c r="G1693" s="398"/>
      <c r="I1693" t="s">
        <v>301</v>
      </c>
      <c r="J1693">
        <v>10729.95850622406</v>
      </c>
      <c r="K1693">
        <v>10753</v>
      </c>
      <c r="L1693" s="509">
        <f t="shared" si="62"/>
        <v>0.9978572032199442</v>
      </c>
    </row>
    <row r="1694" spans="1:12">
      <c r="A1694" s="397" t="str">
        <f t="shared" si="61"/>
        <v>-</v>
      </c>
      <c r="F1694" s="496"/>
      <c r="G1694" s="398"/>
      <c r="I1694" t="s">
        <v>86</v>
      </c>
      <c r="J1694">
        <v>8878.9141989369837</v>
      </c>
      <c r="K1694">
        <v>8891</v>
      </c>
      <c r="L1694" s="509">
        <f t="shared" si="62"/>
        <v>0.99864067022123315</v>
      </c>
    </row>
    <row r="1695" spans="1:12">
      <c r="A1695" s="397" t="str">
        <f t="shared" si="61"/>
        <v>-</v>
      </c>
      <c r="F1695" s="496"/>
      <c r="G1695" s="398"/>
      <c r="I1695" t="s">
        <v>550</v>
      </c>
      <c r="J1695">
        <v>10347.598152424958</v>
      </c>
      <c r="K1695">
        <v>10360</v>
      </c>
      <c r="L1695" s="509">
        <f t="shared" si="62"/>
        <v>0.99880291046572955</v>
      </c>
    </row>
    <row r="1696" spans="1:12">
      <c r="A1696" s="397" t="str">
        <f t="shared" si="61"/>
        <v>-</v>
      </c>
      <c r="F1696" s="496"/>
      <c r="G1696" s="398"/>
      <c r="I1696" t="s">
        <v>431</v>
      </c>
      <c r="J1696">
        <v>6538.7177835052153</v>
      </c>
      <c r="K1696">
        <v>6546</v>
      </c>
      <c r="L1696" s="509">
        <f t="shared" si="62"/>
        <v>0.99888753185230905</v>
      </c>
    </row>
    <row r="1697" spans="1:12">
      <c r="A1697" s="397" t="str">
        <f t="shared" si="61"/>
        <v>-</v>
      </c>
      <c r="F1697" s="496"/>
      <c r="G1697" s="398"/>
      <c r="I1697" t="s">
        <v>270</v>
      </c>
      <c r="J1697">
        <v>5533.311931514223</v>
      </c>
      <c r="K1697">
        <v>5538</v>
      </c>
      <c r="L1697" s="509">
        <f t="shared" si="62"/>
        <v>0.99915347264612187</v>
      </c>
    </row>
    <row r="1698" spans="1:12">
      <c r="A1698" s="397" t="str">
        <f t="shared" si="61"/>
        <v>-</v>
      </c>
      <c r="F1698" s="496"/>
      <c r="G1698" s="398"/>
      <c r="I1698" t="s">
        <v>171</v>
      </c>
      <c r="J1698">
        <v>7886.5784313725399</v>
      </c>
      <c r="K1698">
        <v>7892</v>
      </c>
      <c r="L1698" s="509">
        <f t="shared" si="62"/>
        <v>0.99931302982419412</v>
      </c>
    </row>
    <row r="1699" spans="1:12">
      <c r="A1699" s="397" t="str">
        <f t="shared" si="61"/>
        <v>-</v>
      </c>
      <c r="F1699" s="496"/>
      <c r="G1699" s="398"/>
      <c r="I1699" t="s">
        <v>791</v>
      </c>
      <c r="J1699">
        <v>6735.6721027922622</v>
      </c>
      <c r="K1699">
        <v>6737</v>
      </c>
      <c r="L1699" s="509">
        <f t="shared" si="62"/>
        <v>0.99980289487787777</v>
      </c>
    </row>
    <row r="1700" spans="1:12">
      <c r="A1700" s="397" t="str">
        <f t="shared" si="61"/>
        <v>-</v>
      </c>
      <c r="F1700" s="496"/>
      <c r="G1700" s="398"/>
      <c r="I1700" t="s">
        <v>422</v>
      </c>
      <c r="J1700">
        <v>9207.6603773585048</v>
      </c>
      <c r="K1700">
        <v>9199</v>
      </c>
      <c r="L1700" s="509">
        <f t="shared" si="62"/>
        <v>1.0009414476963263</v>
      </c>
    </row>
    <row r="1701" spans="1:12">
      <c r="A1701" s="397" t="str">
        <f t="shared" si="61"/>
        <v>-</v>
      </c>
      <c r="F1701" s="496"/>
      <c r="G1701" s="398"/>
      <c r="I1701" t="s">
        <v>735</v>
      </c>
      <c r="J1701">
        <v>4725.2554937781006</v>
      </c>
      <c r="K1701">
        <v>4719</v>
      </c>
      <c r="L1701" s="509">
        <f t="shared" si="62"/>
        <v>1.0013255973253021</v>
      </c>
    </row>
    <row r="1702" spans="1:12">
      <c r="A1702" s="397" t="str">
        <f t="shared" si="61"/>
        <v>-</v>
      </c>
      <c r="F1702" s="496"/>
      <c r="G1702" s="398"/>
      <c r="I1702" t="s">
        <v>52</v>
      </c>
      <c r="J1702">
        <v>7030.3481012658049</v>
      </c>
      <c r="K1702">
        <v>7018</v>
      </c>
      <c r="L1702" s="509">
        <f t="shared" si="62"/>
        <v>1.0017594900635232</v>
      </c>
    </row>
    <row r="1703" spans="1:12">
      <c r="A1703" s="397" t="str">
        <f t="shared" si="61"/>
        <v>-</v>
      </c>
      <c r="F1703" s="496"/>
      <c r="G1703" s="398"/>
      <c r="I1703" t="s">
        <v>255</v>
      </c>
      <c r="J1703">
        <v>10548.452380952378</v>
      </c>
      <c r="K1703">
        <v>10527</v>
      </c>
      <c r="L1703" s="509">
        <f t="shared" si="62"/>
        <v>1.0020378437306334</v>
      </c>
    </row>
    <row r="1704" spans="1:12">
      <c r="A1704" s="397" t="str">
        <f t="shared" si="61"/>
        <v>-</v>
      </c>
      <c r="F1704" s="496"/>
      <c r="G1704" s="398"/>
      <c r="I1704" t="s">
        <v>404</v>
      </c>
      <c r="J1704">
        <v>10965.660377358463</v>
      </c>
      <c r="K1704">
        <v>10935</v>
      </c>
      <c r="L1704" s="509">
        <f t="shared" si="62"/>
        <v>1.002803875387148</v>
      </c>
    </row>
    <row r="1705" spans="1:12">
      <c r="A1705" s="397" t="str">
        <f t="shared" si="61"/>
        <v>-</v>
      </c>
      <c r="F1705" s="496"/>
      <c r="G1705" s="398"/>
      <c r="I1705" t="s">
        <v>222</v>
      </c>
      <c r="J1705">
        <v>12385.202952029529</v>
      </c>
      <c r="K1705">
        <v>12348</v>
      </c>
      <c r="L1705" s="509">
        <f t="shared" si="62"/>
        <v>1.0030128726943253</v>
      </c>
    </row>
    <row r="1706" spans="1:12">
      <c r="A1706" s="397" t="str">
        <f t="shared" si="61"/>
        <v>-</v>
      </c>
      <c r="F1706" s="496"/>
      <c r="G1706" s="398"/>
      <c r="I1706" t="s">
        <v>59</v>
      </c>
      <c r="J1706">
        <v>10107.966804979236</v>
      </c>
      <c r="K1706">
        <v>10076</v>
      </c>
      <c r="L1706" s="509">
        <f t="shared" si="62"/>
        <v>1.0031725689737234</v>
      </c>
    </row>
    <row r="1707" spans="1:12">
      <c r="A1707" s="397" t="str">
        <f t="shared" si="61"/>
        <v>-</v>
      </c>
      <c r="F1707" s="496"/>
      <c r="G1707" s="398"/>
      <c r="I1707" t="s">
        <v>577</v>
      </c>
      <c r="J1707">
        <v>13365.740402193807</v>
      </c>
      <c r="K1707">
        <v>13323</v>
      </c>
      <c r="L1707" s="509">
        <f t="shared" si="62"/>
        <v>1.0032080163772279</v>
      </c>
    </row>
    <row r="1708" spans="1:12">
      <c r="A1708" s="397" t="str">
        <f t="shared" si="61"/>
        <v>-</v>
      </c>
      <c r="F1708" s="496"/>
      <c r="G1708" s="398"/>
      <c r="I1708" t="s">
        <v>418</v>
      </c>
      <c r="J1708">
        <v>7998.8972431077518</v>
      </c>
      <c r="K1708">
        <v>7968</v>
      </c>
      <c r="L1708" s="509">
        <f t="shared" si="62"/>
        <v>1.0038776660526798</v>
      </c>
    </row>
    <row r="1709" spans="1:12">
      <c r="A1709" s="397" t="str">
        <f t="shared" si="61"/>
        <v>-</v>
      </c>
      <c r="F1709" s="496"/>
      <c r="G1709" s="398"/>
      <c r="I1709" t="s">
        <v>406</v>
      </c>
      <c r="J1709">
        <v>11467.100000000006</v>
      </c>
      <c r="K1709">
        <v>11421</v>
      </c>
      <c r="L1709" s="509">
        <f t="shared" si="62"/>
        <v>1.0040364241309874</v>
      </c>
    </row>
    <row r="1710" spans="1:12">
      <c r="A1710" s="397" t="str">
        <f t="shared" si="61"/>
        <v>-</v>
      </c>
      <c r="F1710" s="496"/>
      <c r="G1710" s="398"/>
      <c r="I1710" t="s">
        <v>295</v>
      </c>
      <c r="J1710">
        <v>10730.540958268903</v>
      </c>
      <c r="K1710">
        <v>10683</v>
      </c>
      <c r="L1710" s="509">
        <f t="shared" si="62"/>
        <v>1.0044501505446881</v>
      </c>
    </row>
    <row r="1711" spans="1:12">
      <c r="A1711" s="397" t="str">
        <f t="shared" si="61"/>
        <v>-</v>
      </c>
      <c r="F1711" s="496"/>
      <c r="G1711" s="398"/>
      <c r="I1711" t="s">
        <v>789</v>
      </c>
      <c r="J1711">
        <v>6755.4295733489116</v>
      </c>
      <c r="K1711">
        <v>6725</v>
      </c>
      <c r="L1711" s="509">
        <f t="shared" si="62"/>
        <v>1.004524843620656</v>
      </c>
    </row>
    <row r="1712" spans="1:12">
      <c r="A1712" s="397" t="str">
        <f t="shared" si="61"/>
        <v>-</v>
      </c>
      <c r="F1712" s="496"/>
      <c r="G1712" s="398"/>
      <c r="I1712" t="s">
        <v>334</v>
      </c>
      <c r="J1712">
        <v>12673.596837944662</v>
      </c>
      <c r="K1712">
        <v>12613</v>
      </c>
      <c r="L1712" s="509">
        <f t="shared" si="62"/>
        <v>1.0048043160187634</v>
      </c>
    </row>
    <row r="1713" spans="1:12">
      <c r="A1713" s="397" t="str">
        <f t="shared" si="61"/>
        <v>-</v>
      </c>
      <c r="F1713" s="496"/>
      <c r="G1713" s="398"/>
      <c r="I1713" t="s">
        <v>412</v>
      </c>
      <c r="J1713">
        <v>6966.6497461929121</v>
      </c>
      <c r="K1713">
        <v>6933</v>
      </c>
      <c r="L1713" s="509">
        <f t="shared" si="62"/>
        <v>1.0048535621221566</v>
      </c>
    </row>
    <row r="1714" spans="1:12">
      <c r="A1714" s="397" t="str">
        <f t="shared" si="61"/>
        <v>-</v>
      </c>
      <c r="F1714" s="496"/>
      <c r="G1714" s="398"/>
      <c r="I1714" t="s">
        <v>165</v>
      </c>
      <c r="J1714">
        <v>6931.7353704236721</v>
      </c>
      <c r="K1714">
        <v>6895</v>
      </c>
      <c r="L1714" s="509">
        <f t="shared" si="62"/>
        <v>1.0053278274726138</v>
      </c>
    </row>
    <row r="1715" spans="1:12">
      <c r="A1715" s="397" t="str">
        <f t="shared" si="61"/>
        <v>-</v>
      </c>
      <c r="F1715" s="496"/>
      <c r="G1715" s="398"/>
      <c r="I1715" t="s">
        <v>421</v>
      </c>
      <c r="J1715">
        <v>9567.1223021582591</v>
      </c>
      <c r="K1715">
        <v>9516</v>
      </c>
      <c r="L1715" s="509">
        <f t="shared" si="62"/>
        <v>1.005372246969132</v>
      </c>
    </row>
    <row r="1716" spans="1:12">
      <c r="A1716" s="397" t="str">
        <f t="shared" si="61"/>
        <v>-</v>
      </c>
      <c r="F1716" s="496"/>
      <c r="G1716" s="398"/>
      <c r="I1716" t="s">
        <v>340</v>
      </c>
      <c r="J1716">
        <v>9168.0071813285249</v>
      </c>
      <c r="K1716">
        <v>9113</v>
      </c>
      <c r="L1716" s="509">
        <f t="shared" si="62"/>
        <v>1.0060361221692664</v>
      </c>
    </row>
    <row r="1717" spans="1:12">
      <c r="A1717" s="397" t="str">
        <f t="shared" si="61"/>
        <v>-</v>
      </c>
      <c r="F1717" s="496"/>
      <c r="G1717" s="398"/>
      <c r="I1717" t="s">
        <v>172</v>
      </c>
      <c r="J1717">
        <v>8345.386403253955</v>
      </c>
      <c r="K1717">
        <v>8295</v>
      </c>
      <c r="L1717" s="509">
        <f t="shared" si="62"/>
        <v>1.006074310217475</v>
      </c>
    </row>
    <row r="1718" spans="1:12">
      <c r="A1718" s="397" t="str">
        <f t="shared" si="61"/>
        <v>-</v>
      </c>
      <c r="F1718" s="496"/>
      <c r="G1718" s="398"/>
      <c r="I1718" t="s">
        <v>234</v>
      </c>
      <c r="J1718">
        <v>12353.023648648645</v>
      </c>
      <c r="K1718">
        <v>12278</v>
      </c>
      <c r="L1718" s="509">
        <f t="shared" si="62"/>
        <v>1.0061104128236393</v>
      </c>
    </row>
    <row r="1719" spans="1:12">
      <c r="A1719" s="397" t="str">
        <f t="shared" ref="A1719:A1782" si="63">B1719&amp;"-"&amp;C1719</f>
        <v>-</v>
      </c>
      <c r="F1719" s="496"/>
      <c r="G1719" s="398"/>
      <c r="I1719" t="s">
        <v>157</v>
      </c>
      <c r="J1719">
        <v>10545.769911504436</v>
      </c>
      <c r="K1719">
        <v>10481</v>
      </c>
      <c r="L1719" s="509">
        <f t="shared" si="62"/>
        <v>1.0061797453968548</v>
      </c>
    </row>
    <row r="1720" spans="1:12">
      <c r="A1720" s="397" t="str">
        <f t="shared" si="63"/>
        <v>-</v>
      </c>
      <c r="F1720" s="496"/>
      <c r="G1720" s="398"/>
      <c r="I1720" t="s">
        <v>565</v>
      </c>
      <c r="J1720">
        <v>9181.7563665003781</v>
      </c>
      <c r="K1720">
        <v>9125</v>
      </c>
      <c r="L1720" s="509">
        <f t="shared" si="62"/>
        <v>1.0062198757808634</v>
      </c>
    </row>
    <row r="1721" spans="1:12">
      <c r="A1721" s="397" t="str">
        <f t="shared" si="63"/>
        <v>-</v>
      </c>
      <c r="F1721" s="496"/>
      <c r="G1721" s="398"/>
      <c r="I1721" t="s">
        <v>170</v>
      </c>
      <c r="J1721">
        <v>5691.5434202727147</v>
      </c>
      <c r="K1721">
        <v>5655</v>
      </c>
      <c r="L1721" s="509">
        <f t="shared" si="62"/>
        <v>1.0064621432842997</v>
      </c>
    </row>
    <row r="1722" spans="1:12">
      <c r="A1722" s="397" t="str">
        <f t="shared" si="63"/>
        <v>-</v>
      </c>
      <c r="F1722" s="496"/>
      <c r="G1722" s="398"/>
      <c r="I1722" t="s">
        <v>582</v>
      </c>
      <c r="J1722">
        <v>8308.1522323828285</v>
      </c>
      <c r="K1722">
        <v>8251</v>
      </c>
      <c r="L1722" s="509">
        <f t="shared" si="62"/>
        <v>1.00692670371868</v>
      </c>
    </row>
    <row r="1723" spans="1:12">
      <c r="A1723" s="397" t="str">
        <f t="shared" si="63"/>
        <v>-</v>
      </c>
      <c r="F1723" s="496"/>
      <c r="G1723" s="398"/>
      <c r="I1723" t="s">
        <v>336</v>
      </c>
      <c r="J1723">
        <v>9775.0497512437723</v>
      </c>
      <c r="K1723">
        <v>9707</v>
      </c>
      <c r="L1723" s="509">
        <f t="shared" si="62"/>
        <v>1.0070103792359919</v>
      </c>
    </row>
    <row r="1724" spans="1:12">
      <c r="A1724" s="397" t="str">
        <f t="shared" si="63"/>
        <v>-</v>
      </c>
      <c r="F1724" s="496"/>
      <c r="G1724" s="398"/>
      <c r="I1724" t="s">
        <v>750</v>
      </c>
      <c r="J1724">
        <v>13761.408695652166</v>
      </c>
      <c r="K1724">
        <v>13665</v>
      </c>
      <c r="L1724" s="509">
        <f t="shared" si="62"/>
        <v>1.0070551551885962</v>
      </c>
    </row>
    <row r="1725" spans="1:12">
      <c r="A1725" s="397" t="str">
        <f t="shared" si="63"/>
        <v>-</v>
      </c>
      <c r="F1725" s="496"/>
      <c r="G1725" s="398"/>
      <c r="I1725" t="s">
        <v>167</v>
      </c>
      <c r="J1725">
        <v>8419.6929133858048</v>
      </c>
      <c r="K1725">
        <v>8359</v>
      </c>
      <c r="L1725" s="509">
        <f t="shared" si="62"/>
        <v>1.0072607863842331</v>
      </c>
    </row>
    <row r="1726" spans="1:12">
      <c r="A1726" s="397" t="str">
        <f t="shared" si="63"/>
        <v>-</v>
      </c>
      <c r="F1726" s="496"/>
      <c r="G1726" s="398"/>
      <c r="I1726" t="s">
        <v>236</v>
      </c>
      <c r="J1726">
        <v>12706.726384364803</v>
      </c>
      <c r="K1726">
        <v>12613</v>
      </c>
      <c r="L1726" s="509">
        <f t="shared" si="62"/>
        <v>1.0074309350959172</v>
      </c>
    </row>
    <row r="1727" spans="1:12">
      <c r="A1727" s="397" t="str">
        <f t="shared" si="63"/>
        <v>-</v>
      </c>
      <c r="F1727" s="496"/>
      <c r="G1727" s="398"/>
      <c r="I1727" t="s">
        <v>239</v>
      </c>
      <c r="J1727">
        <v>7975.4074074074151</v>
      </c>
      <c r="K1727">
        <v>7916</v>
      </c>
      <c r="L1727" s="509">
        <f t="shared" si="62"/>
        <v>1.0075047255441403</v>
      </c>
    </row>
    <row r="1728" spans="1:12">
      <c r="A1728" s="397" t="str">
        <f t="shared" si="63"/>
        <v>-</v>
      </c>
      <c r="F1728" s="496"/>
      <c r="G1728" s="398"/>
      <c r="I1728" t="s">
        <v>480</v>
      </c>
      <c r="J1728">
        <v>9454.830670926478</v>
      </c>
      <c r="K1728">
        <v>9384</v>
      </c>
      <c r="L1728" s="509">
        <f t="shared" si="62"/>
        <v>1.0075480254610483</v>
      </c>
    </row>
    <row r="1729" spans="1:12">
      <c r="A1729" s="397" t="str">
        <f t="shared" si="63"/>
        <v>-</v>
      </c>
      <c r="F1729" s="496"/>
      <c r="G1729" s="398"/>
      <c r="I1729" t="s">
        <v>299</v>
      </c>
      <c r="J1729">
        <v>8601.4563106795977</v>
      </c>
      <c r="K1729">
        <v>8535</v>
      </c>
      <c r="L1729" s="509">
        <f t="shared" si="62"/>
        <v>1.0077863281405504</v>
      </c>
    </row>
    <row r="1730" spans="1:12">
      <c r="A1730" s="397" t="str">
        <f t="shared" si="63"/>
        <v>-</v>
      </c>
      <c r="F1730" s="496"/>
      <c r="G1730" s="398"/>
      <c r="I1730" t="s">
        <v>420</v>
      </c>
      <c r="J1730">
        <v>9837.0014347202377</v>
      </c>
      <c r="K1730">
        <v>9756</v>
      </c>
      <c r="L1730" s="509">
        <f t="shared" si="62"/>
        <v>1.0083027300861251</v>
      </c>
    </row>
    <row r="1731" spans="1:12">
      <c r="A1731" s="397" t="str">
        <f t="shared" si="63"/>
        <v>-</v>
      </c>
      <c r="F1731" s="496"/>
      <c r="G1731" s="398"/>
      <c r="I1731" t="s">
        <v>304</v>
      </c>
      <c r="J1731">
        <v>10035.636658556383</v>
      </c>
      <c r="K1731">
        <v>9952</v>
      </c>
      <c r="L1731" s="509">
        <f t="shared" si="62"/>
        <v>1.0084040050800225</v>
      </c>
    </row>
    <row r="1732" spans="1:12">
      <c r="A1732" s="397" t="str">
        <f t="shared" si="63"/>
        <v>-</v>
      </c>
      <c r="F1732" s="496"/>
      <c r="G1732" s="398"/>
      <c r="I1732" t="s">
        <v>563</v>
      </c>
      <c r="J1732">
        <v>12408.893416927956</v>
      </c>
      <c r="K1732">
        <v>12303</v>
      </c>
      <c r="L1732" s="509">
        <f t="shared" si="62"/>
        <v>1.0086071215905028</v>
      </c>
    </row>
    <row r="1733" spans="1:12">
      <c r="A1733" s="397" t="str">
        <f t="shared" si="63"/>
        <v>-</v>
      </c>
      <c r="F1733" s="496"/>
      <c r="G1733" s="398"/>
      <c r="I1733" t="s">
        <v>471</v>
      </c>
      <c r="J1733">
        <v>10473.213213213196</v>
      </c>
      <c r="K1733">
        <v>10383</v>
      </c>
      <c r="L1733" s="509">
        <f t="shared" si="62"/>
        <v>1.0086885498616196</v>
      </c>
    </row>
    <row r="1734" spans="1:12">
      <c r="A1734" s="397" t="str">
        <f t="shared" si="63"/>
        <v>-</v>
      </c>
      <c r="F1734" s="496"/>
      <c r="G1734" s="398"/>
      <c r="I1734" t="s">
        <v>423</v>
      </c>
      <c r="J1734">
        <v>10043.981481481482</v>
      </c>
      <c r="K1734">
        <v>9952</v>
      </c>
      <c r="L1734" s="509">
        <f t="shared" si="62"/>
        <v>1.0092425122067405</v>
      </c>
    </row>
    <row r="1735" spans="1:12">
      <c r="A1735" s="397" t="str">
        <f t="shared" si="63"/>
        <v>-</v>
      </c>
      <c r="F1735" s="496"/>
      <c r="G1735" s="398"/>
      <c r="I1735" t="s">
        <v>262</v>
      </c>
      <c r="J1735">
        <v>11872.000000000009</v>
      </c>
      <c r="K1735">
        <v>11763</v>
      </c>
      <c r="L1735" s="509">
        <f t="shared" ref="L1735:L1798" si="64">J1735/K1735</f>
        <v>1.0092663436198257</v>
      </c>
    </row>
    <row r="1736" spans="1:12">
      <c r="A1736" s="397" t="str">
        <f t="shared" si="63"/>
        <v>-</v>
      </c>
      <c r="F1736" s="496"/>
      <c r="G1736" s="398"/>
      <c r="I1736" t="s">
        <v>580</v>
      </c>
      <c r="J1736">
        <v>10660.838709677428</v>
      </c>
      <c r="K1736">
        <v>10562</v>
      </c>
      <c r="L1736" s="509">
        <f t="shared" si="64"/>
        <v>1.0093579539554467</v>
      </c>
    </row>
    <row r="1737" spans="1:12">
      <c r="A1737" s="397" t="str">
        <f t="shared" si="63"/>
        <v>-</v>
      </c>
      <c r="F1737" s="496"/>
      <c r="G1737" s="398"/>
      <c r="I1737" t="s">
        <v>164</v>
      </c>
      <c r="J1737">
        <v>5241.6344364432389</v>
      </c>
      <c r="K1737">
        <v>5193</v>
      </c>
      <c r="L1737" s="509">
        <f t="shared" si="64"/>
        <v>1.009365383486085</v>
      </c>
    </row>
    <row r="1738" spans="1:12">
      <c r="A1738" s="397" t="str">
        <f t="shared" si="63"/>
        <v>-</v>
      </c>
      <c r="F1738" s="496"/>
      <c r="G1738" s="398"/>
      <c r="I1738" t="s">
        <v>244</v>
      </c>
      <c r="J1738">
        <v>9356.0902011681155</v>
      </c>
      <c r="K1738">
        <v>9268</v>
      </c>
      <c r="L1738" s="509">
        <f t="shared" si="64"/>
        <v>1.0095047692240091</v>
      </c>
    </row>
    <row r="1739" spans="1:12">
      <c r="A1739" s="397" t="str">
        <f t="shared" si="63"/>
        <v>-</v>
      </c>
      <c r="F1739" s="496"/>
      <c r="G1739" s="398"/>
      <c r="I1739" t="s">
        <v>461</v>
      </c>
      <c r="J1739">
        <v>15495.497382198946</v>
      </c>
      <c r="K1739">
        <v>15347</v>
      </c>
      <c r="L1739" s="509">
        <f t="shared" si="64"/>
        <v>1.0096759876326935</v>
      </c>
    </row>
    <row r="1740" spans="1:12">
      <c r="A1740" s="397" t="str">
        <f t="shared" si="63"/>
        <v>-</v>
      </c>
      <c r="F1740" s="496"/>
      <c r="G1740" s="398"/>
      <c r="I1740" t="s">
        <v>190</v>
      </c>
      <c r="J1740">
        <v>10827.09734513277</v>
      </c>
      <c r="K1740">
        <v>10723</v>
      </c>
      <c r="L1740" s="509">
        <f t="shared" si="64"/>
        <v>1.009707856489114</v>
      </c>
    </row>
    <row r="1741" spans="1:12">
      <c r="A1741" s="397" t="str">
        <f t="shared" si="63"/>
        <v>-</v>
      </c>
      <c r="F1741" s="496"/>
      <c r="G1741" s="398"/>
      <c r="I1741" t="s">
        <v>142</v>
      </c>
      <c r="J1741">
        <v>9675.952080706149</v>
      </c>
      <c r="K1741">
        <v>9581</v>
      </c>
      <c r="L1741" s="509">
        <f t="shared" si="64"/>
        <v>1.0099104561847563</v>
      </c>
    </row>
    <row r="1742" spans="1:12">
      <c r="A1742" s="397" t="str">
        <f t="shared" si="63"/>
        <v>-</v>
      </c>
      <c r="F1742" s="496"/>
      <c r="G1742" s="398"/>
      <c r="I1742" t="s">
        <v>342</v>
      </c>
      <c r="J1742">
        <v>7580.7370184254733</v>
      </c>
      <c r="K1742">
        <v>7506</v>
      </c>
      <c r="L1742" s="509">
        <f t="shared" si="64"/>
        <v>1.009956970213892</v>
      </c>
    </row>
    <row r="1743" spans="1:12">
      <c r="A1743" s="397" t="str">
        <f t="shared" si="63"/>
        <v>-</v>
      </c>
      <c r="F1743" s="496"/>
      <c r="G1743" s="398"/>
      <c r="I1743" t="s">
        <v>583</v>
      </c>
      <c r="J1743">
        <v>8141.1039142330355</v>
      </c>
      <c r="K1743">
        <v>8058</v>
      </c>
      <c r="L1743" s="509">
        <f t="shared" si="64"/>
        <v>1.0103132184454002</v>
      </c>
    </row>
    <row r="1744" spans="1:12">
      <c r="A1744" s="397" t="str">
        <f t="shared" si="63"/>
        <v>-</v>
      </c>
      <c r="F1744" s="496"/>
      <c r="G1744" s="398"/>
      <c r="I1744" t="s">
        <v>138</v>
      </c>
      <c r="J1744">
        <v>8585.7516339869326</v>
      </c>
      <c r="K1744">
        <v>8496</v>
      </c>
      <c r="L1744" s="509">
        <f t="shared" si="64"/>
        <v>1.0105639870511927</v>
      </c>
    </row>
    <row r="1745" spans="1:12">
      <c r="A1745" s="397" t="str">
        <f t="shared" si="63"/>
        <v>-</v>
      </c>
      <c r="F1745" s="496"/>
      <c r="G1745" s="398"/>
      <c r="I1745" t="s">
        <v>179</v>
      </c>
      <c r="J1745">
        <v>10933.636363636379</v>
      </c>
      <c r="K1745">
        <v>10819</v>
      </c>
      <c r="L1745" s="509">
        <f t="shared" si="64"/>
        <v>1.0105958372896182</v>
      </c>
    </row>
    <row r="1746" spans="1:12">
      <c r="A1746" s="397" t="str">
        <f t="shared" si="63"/>
        <v>-</v>
      </c>
      <c r="F1746" s="496"/>
      <c r="G1746" s="398"/>
      <c r="I1746" t="s">
        <v>75</v>
      </c>
      <c r="J1746">
        <v>10847.264653641218</v>
      </c>
      <c r="K1746">
        <v>10732</v>
      </c>
      <c r="L1746" s="509">
        <f t="shared" si="64"/>
        <v>1.0107402770817384</v>
      </c>
    </row>
    <row r="1747" spans="1:12">
      <c r="A1747" s="397" t="str">
        <f t="shared" si="63"/>
        <v>-</v>
      </c>
      <c r="F1747" s="496"/>
      <c r="G1747" s="398"/>
      <c r="I1747" t="s">
        <v>178</v>
      </c>
      <c r="J1747">
        <v>13605.518072289162</v>
      </c>
      <c r="K1747">
        <v>13460</v>
      </c>
      <c r="L1747" s="509">
        <f t="shared" si="64"/>
        <v>1.0108111495014236</v>
      </c>
    </row>
    <row r="1748" spans="1:12">
      <c r="A1748" s="397" t="str">
        <f t="shared" si="63"/>
        <v>-</v>
      </c>
      <c r="F1748" s="496"/>
      <c r="G1748" s="398"/>
      <c r="I1748" t="s">
        <v>206</v>
      </c>
      <c r="J1748">
        <v>12428.8271604938</v>
      </c>
      <c r="K1748">
        <v>12295</v>
      </c>
      <c r="L1748" s="509">
        <f t="shared" si="64"/>
        <v>1.0108846816180399</v>
      </c>
    </row>
    <row r="1749" spans="1:12">
      <c r="A1749" s="397" t="str">
        <f t="shared" si="63"/>
        <v>-</v>
      </c>
      <c r="F1749" s="496"/>
      <c r="G1749" s="398"/>
      <c r="I1749" t="s">
        <v>280</v>
      </c>
      <c r="J1749">
        <v>6535.5928190965187</v>
      </c>
      <c r="K1749">
        <v>6464</v>
      </c>
      <c r="L1749" s="509">
        <f t="shared" si="64"/>
        <v>1.0110756217661694</v>
      </c>
    </row>
    <row r="1750" spans="1:12">
      <c r="A1750" s="397" t="str">
        <f t="shared" si="63"/>
        <v>-</v>
      </c>
      <c r="F1750" s="496"/>
      <c r="G1750" s="398"/>
      <c r="I1750" t="s">
        <v>166</v>
      </c>
      <c r="J1750">
        <v>4808.9579020014444</v>
      </c>
      <c r="K1750">
        <v>4756</v>
      </c>
      <c r="L1750" s="509">
        <f t="shared" si="64"/>
        <v>1.0111349667791094</v>
      </c>
    </row>
    <row r="1751" spans="1:12">
      <c r="A1751" s="397" t="str">
        <f t="shared" si="63"/>
        <v>-</v>
      </c>
      <c r="F1751" s="496"/>
      <c r="G1751" s="398"/>
      <c r="I1751" t="s">
        <v>208</v>
      </c>
      <c r="J1751">
        <v>7175.0412465627796</v>
      </c>
      <c r="K1751">
        <v>7096</v>
      </c>
      <c r="L1751" s="509">
        <f t="shared" si="64"/>
        <v>1.0111388453442474</v>
      </c>
    </row>
    <row r="1752" spans="1:12">
      <c r="A1752" s="397" t="str">
        <f t="shared" si="63"/>
        <v>-</v>
      </c>
      <c r="F1752" s="496"/>
      <c r="G1752" s="398"/>
      <c r="I1752" t="s">
        <v>419</v>
      </c>
      <c r="J1752">
        <v>9162.4045261668889</v>
      </c>
      <c r="K1752">
        <v>9059</v>
      </c>
      <c r="L1752" s="509">
        <f t="shared" si="64"/>
        <v>1.0114145629944684</v>
      </c>
    </row>
    <row r="1753" spans="1:12">
      <c r="A1753" s="397" t="str">
        <f t="shared" si="63"/>
        <v>-</v>
      </c>
      <c r="F1753" s="496"/>
      <c r="G1753" s="398"/>
      <c r="I1753" t="s">
        <v>173</v>
      </c>
      <c r="J1753">
        <v>4717.869272668926</v>
      </c>
      <c r="K1753">
        <v>4664</v>
      </c>
      <c r="L1753" s="509">
        <f t="shared" si="64"/>
        <v>1.0115500155808161</v>
      </c>
    </row>
    <row r="1754" spans="1:12">
      <c r="A1754" s="397" t="str">
        <f t="shared" si="63"/>
        <v>-</v>
      </c>
      <c r="F1754" s="496"/>
      <c r="G1754" s="398"/>
      <c r="I1754" t="s">
        <v>555</v>
      </c>
      <c r="J1754">
        <v>16457.812499999967</v>
      </c>
      <c r="K1754">
        <v>16267</v>
      </c>
      <c r="L1754" s="509">
        <f t="shared" si="64"/>
        <v>1.0117300362697466</v>
      </c>
    </row>
    <row r="1755" spans="1:12">
      <c r="A1755" s="397" t="str">
        <f t="shared" si="63"/>
        <v>-</v>
      </c>
      <c r="F1755" s="496"/>
      <c r="G1755" s="398"/>
      <c r="I1755" t="s">
        <v>84</v>
      </c>
      <c r="J1755">
        <v>10143.261231281213</v>
      </c>
      <c r="K1755">
        <v>10023</v>
      </c>
      <c r="L1755" s="509">
        <f t="shared" si="64"/>
        <v>1.0119985265171318</v>
      </c>
    </row>
    <row r="1756" spans="1:12">
      <c r="A1756" s="397" t="str">
        <f t="shared" si="63"/>
        <v>-</v>
      </c>
      <c r="F1756" s="496"/>
      <c r="G1756" s="398"/>
      <c r="I1756" t="s">
        <v>303</v>
      </c>
      <c r="J1756">
        <v>10881.696696696699</v>
      </c>
      <c r="K1756">
        <v>10737</v>
      </c>
      <c r="L1756" s="509">
        <f t="shared" si="64"/>
        <v>1.0134764549405513</v>
      </c>
    </row>
    <row r="1757" spans="1:12">
      <c r="A1757" s="397" t="str">
        <f t="shared" si="63"/>
        <v>-</v>
      </c>
      <c r="F1757" s="496"/>
      <c r="G1757" s="398"/>
      <c r="I1757" t="s">
        <v>63</v>
      </c>
      <c r="J1757">
        <v>8699.8827772767945</v>
      </c>
      <c r="K1757">
        <v>8584</v>
      </c>
      <c r="L1757" s="509">
        <f t="shared" si="64"/>
        <v>1.0134998575578744</v>
      </c>
    </row>
    <row r="1758" spans="1:12">
      <c r="A1758" s="397" t="str">
        <f t="shared" si="63"/>
        <v>-</v>
      </c>
      <c r="F1758" s="496"/>
      <c r="G1758" s="398"/>
      <c r="I1758" t="s">
        <v>61</v>
      </c>
      <c r="J1758">
        <v>7605.6880733945054</v>
      </c>
      <c r="K1758">
        <v>7502</v>
      </c>
      <c r="L1758" s="509">
        <f t="shared" si="64"/>
        <v>1.0138213907484011</v>
      </c>
    </row>
    <row r="1759" spans="1:12">
      <c r="A1759" s="397" t="str">
        <f t="shared" si="63"/>
        <v>-</v>
      </c>
      <c r="F1759" s="496"/>
      <c r="G1759" s="398"/>
      <c r="I1759" t="s">
        <v>275</v>
      </c>
      <c r="J1759">
        <v>6522.2266401591378</v>
      </c>
      <c r="K1759">
        <v>6433</v>
      </c>
      <c r="L1759" s="509">
        <f t="shared" si="64"/>
        <v>1.0138701445918137</v>
      </c>
    </row>
    <row r="1760" spans="1:12">
      <c r="A1760" s="397" t="str">
        <f t="shared" si="63"/>
        <v>-</v>
      </c>
      <c r="F1760" s="496"/>
      <c r="G1760" s="398"/>
      <c r="I1760" t="s">
        <v>476</v>
      </c>
      <c r="J1760">
        <v>12699.977246871427</v>
      </c>
      <c r="K1760">
        <v>12523</v>
      </c>
      <c r="L1760" s="509">
        <f t="shared" si="64"/>
        <v>1.0141321765448716</v>
      </c>
    </row>
    <row r="1761" spans="1:12">
      <c r="A1761" s="397" t="str">
        <f t="shared" si="63"/>
        <v>-</v>
      </c>
      <c r="F1761" s="496"/>
      <c r="G1761" s="398"/>
      <c r="I1761" t="s">
        <v>414</v>
      </c>
      <c r="J1761">
        <v>15314.172185430452</v>
      </c>
      <c r="K1761">
        <v>15095</v>
      </c>
      <c r="L1761" s="509">
        <f t="shared" si="64"/>
        <v>1.0145195220556775</v>
      </c>
    </row>
    <row r="1762" spans="1:12">
      <c r="A1762" s="397" t="str">
        <f t="shared" si="63"/>
        <v>-</v>
      </c>
      <c r="F1762" s="496"/>
      <c r="G1762" s="398"/>
      <c r="I1762" t="s">
        <v>243</v>
      </c>
      <c r="J1762">
        <v>7260.4780361757075</v>
      </c>
      <c r="K1762">
        <v>7155</v>
      </c>
      <c r="L1762" s="509">
        <f t="shared" si="64"/>
        <v>1.014741863895976</v>
      </c>
    </row>
    <row r="1763" spans="1:12">
      <c r="A1763" s="397" t="str">
        <f t="shared" si="63"/>
        <v>-</v>
      </c>
      <c r="F1763" s="496"/>
      <c r="G1763" s="398"/>
      <c r="I1763" t="s">
        <v>433</v>
      </c>
      <c r="J1763">
        <v>8209.7223620196492</v>
      </c>
      <c r="K1763">
        <v>8089</v>
      </c>
      <c r="L1763" s="509">
        <f t="shared" si="64"/>
        <v>1.0149242628284891</v>
      </c>
    </row>
    <row r="1764" spans="1:12">
      <c r="A1764" s="397" t="str">
        <f t="shared" si="63"/>
        <v>-</v>
      </c>
      <c r="F1764" s="496"/>
      <c r="G1764" s="398"/>
      <c r="I1764" t="s">
        <v>261</v>
      </c>
      <c r="J1764">
        <v>7594.1849912740336</v>
      </c>
      <c r="K1764">
        <v>7482</v>
      </c>
      <c r="L1764" s="509">
        <f t="shared" si="64"/>
        <v>1.0149939843990956</v>
      </c>
    </row>
    <row r="1765" spans="1:12">
      <c r="A1765" s="397" t="str">
        <f t="shared" si="63"/>
        <v>-</v>
      </c>
      <c r="F1765" s="496"/>
      <c r="G1765" s="398"/>
      <c r="I1765" t="s">
        <v>180</v>
      </c>
      <c r="J1765">
        <v>11904.047619047624</v>
      </c>
      <c r="K1765">
        <v>11726</v>
      </c>
      <c r="L1765" s="509">
        <f t="shared" si="64"/>
        <v>1.0151840029888815</v>
      </c>
    </row>
    <row r="1766" spans="1:12">
      <c r="A1766" s="397" t="str">
        <f t="shared" si="63"/>
        <v>-</v>
      </c>
      <c r="F1766" s="496"/>
      <c r="G1766" s="398"/>
      <c r="I1766" t="s">
        <v>202</v>
      </c>
      <c r="J1766">
        <v>12539.999999999995</v>
      </c>
      <c r="K1766">
        <v>12352</v>
      </c>
      <c r="L1766" s="509">
        <f t="shared" si="64"/>
        <v>1.0152202072538856</v>
      </c>
    </row>
    <row r="1767" spans="1:12">
      <c r="A1767" s="397" t="str">
        <f t="shared" si="63"/>
        <v>-</v>
      </c>
      <c r="F1767" s="496"/>
      <c r="G1767" s="398"/>
      <c r="I1767" t="s">
        <v>183</v>
      </c>
      <c r="J1767">
        <v>12298.411214953267</v>
      </c>
      <c r="K1767">
        <v>12114</v>
      </c>
      <c r="L1767" s="509">
        <f t="shared" si="64"/>
        <v>1.0152229829084751</v>
      </c>
    </row>
    <row r="1768" spans="1:12">
      <c r="A1768" s="397" t="str">
        <f t="shared" si="63"/>
        <v>-</v>
      </c>
      <c r="F1768" s="496"/>
      <c r="G1768" s="398"/>
      <c r="I1768" t="s">
        <v>187</v>
      </c>
      <c r="J1768">
        <v>10284.781144781131</v>
      </c>
      <c r="K1768">
        <v>10130</v>
      </c>
      <c r="L1768" s="509">
        <f t="shared" si="64"/>
        <v>1.0152794812222241</v>
      </c>
    </row>
    <row r="1769" spans="1:12">
      <c r="A1769" s="397" t="str">
        <f t="shared" si="63"/>
        <v>-</v>
      </c>
      <c r="F1769" s="496"/>
      <c r="G1769" s="398"/>
      <c r="I1769" t="s">
        <v>88</v>
      </c>
      <c r="J1769">
        <v>6538.3100000000268</v>
      </c>
      <c r="K1769">
        <v>6435</v>
      </c>
      <c r="L1769" s="509">
        <f t="shared" si="64"/>
        <v>1.0160543900543941</v>
      </c>
    </row>
    <row r="1770" spans="1:12">
      <c r="A1770" s="397" t="str">
        <f t="shared" si="63"/>
        <v>-</v>
      </c>
      <c r="F1770" s="496"/>
      <c r="G1770" s="398"/>
      <c r="I1770" t="s">
        <v>553</v>
      </c>
      <c r="J1770">
        <v>9139.8415492957756</v>
      </c>
      <c r="K1770">
        <v>8992</v>
      </c>
      <c r="L1770" s="509">
        <f t="shared" si="64"/>
        <v>1.0164414534359181</v>
      </c>
    </row>
    <row r="1771" spans="1:12">
      <c r="A1771" s="397" t="str">
        <f t="shared" si="63"/>
        <v>-</v>
      </c>
      <c r="F1771" s="496"/>
      <c r="G1771" s="398"/>
      <c r="I1771" t="s">
        <v>581</v>
      </c>
      <c r="J1771">
        <v>12378.420744057205</v>
      </c>
      <c r="K1771">
        <v>12169</v>
      </c>
      <c r="L1771" s="509">
        <f t="shared" si="64"/>
        <v>1.0172093634692418</v>
      </c>
    </row>
    <row r="1772" spans="1:12">
      <c r="A1772" s="397" t="str">
        <f t="shared" si="63"/>
        <v>-</v>
      </c>
      <c r="F1772" s="496"/>
      <c r="G1772" s="398"/>
      <c r="I1772" t="s">
        <v>354</v>
      </c>
      <c r="J1772">
        <v>8849.7278911564626</v>
      </c>
      <c r="K1772">
        <v>8700</v>
      </c>
      <c r="L1772" s="509">
        <f t="shared" si="64"/>
        <v>1.0172101024317772</v>
      </c>
    </row>
    <row r="1773" spans="1:12">
      <c r="A1773" s="397" t="str">
        <f t="shared" si="63"/>
        <v>-</v>
      </c>
      <c r="F1773" s="496"/>
      <c r="G1773" s="398"/>
      <c r="I1773" t="s">
        <v>169</v>
      </c>
      <c r="J1773">
        <v>7091.9297059818018</v>
      </c>
      <c r="K1773">
        <v>6971</v>
      </c>
      <c r="L1773" s="509">
        <f t="shared" si="64"/>
        <v>1.0173475406658732</v>
      </c>
    </row>
    <row r="1774" spans="1:12">
      <c r="A1774" s="397" t="str">
        <f t="shared" si="63"/>
        <v>-</v>
      </c>
      <c r="F1774" s="496"/>
      <c r="G1774" s="398"/>
      <c r="I1774" t="s">
        <v>416</v>
      </c>
      <c r="J1774">
        <v>13747.818181818173</v>
      </c>
      <c r="K1774">
        <v>13511</v>
      </c>
      <c r="L1774" s="509">
        <f t="shared" si="64"/>
        <v>1.0175278056263912</v>
      </c>
    </row>
    <row r="1775" spans="1:12">
      <c r="A1775" s="397" t="str">
        <f t="shared" si="63"/>
        <v>-</v>
      </c>
      <c r="F1775" s="496"/>
      <c r="G1775" s="398"/>
      <c r="I1775" t="s">
        <v>245</v>
      </c>
      <c r="J1775">
        <v>14496.521739130432</v>
      </c>
      <c r="K1775">
        <v>14240</v>
      </c>
      <c r="L1775" s="509">
        <f t="shared" si="64"/>
        <v>1.0180141670737664</v>
      </c>
    </row>
    <row r="1776" spans="1:12">
      <c r="A1776" s="397" t="str">
        <f t="shared" si="63"/>
        <v>-</v>
      </c>
      <c r="F1776" s="496"/>
      <c r="G1776" s="398"/>
      <c r="I1776" t="s">
        <v>330</v>
      </c>
      <c r="J1776">
        <v>9441.5610510046117</v>
      </c>
      <c r="K1776">
        <v>9271</v>
      </c>
      <c r="L1776" s="509">
        <f t="shared" si="64"/>
        <v>1.0183972657754947</v>
      </c>
    </row>
    <row r="1777" spans="1:12">
      <c r="A1777" s="397" t="str">
        <f t="shared" si="63"/>
        <v>-</v>
      </c>
      <c r="F1777" s="496"/>
      <c r="G1777" s="398"/>
      <c r="I1777" t="s">
        <v>221</v>
      </c>
      <c r="J1777">
        <v>9004.705882352946</v>
      </c>
      <c r="K1777">
        <v>8842</v>
      </c>
      <c r="L1777" s="509">
        <f t="shared" si="64"/>
        <v>1.0184014795694352</v>
      </c>
    </row>
    <row r="1778" spans="1:12">
      <c r="A1778" s="397" t="str">
        <f t="shared" si="63"/>
        <v>-</v>
      </c>
      <c r="F1778" s="496"/>
      <c r="G1778" s="398"/>
      <c r="I1778" t="s">
        <v>254</v>
      </c>
      <c r="J1778">
        <v>9169.0713150576375</v>
      </c>
      <c r="K1778">
        <v>9001</v>
      </c>
      <c r="L1778" s="509">
        <f t="shared" si="64"/>
        <v>1.0186725158379777</v>
      </c>
    </row>
    <row r="1779" spans="1:12">
      <c r="A1779" s="397" t="str">
        <f t="shared" si="63"/>
        <v>-</v>
      </c>
      <c r="F1779" s="496"/>
      <c r="G1779" s="398"/>
      <c r="I1779" t="s">
        <v>189</v>
      </c>
      <c r="J1779">
        <v>9138.9788779765913</v>
      </c>
      <c r="K1779">
        <v>8969</v>
      </c>
      <c r="L1779" s="509">
        <f t="shared" si="64"/>
        <v>1.0189518204901986</v>
      </c>
    </row>
    <row r="1780" spans="1:12">
      <c r="A1780" s="397" t="str">
        <f t="shared" si="63"/>
        <v>-</v>
      </c>
      <c r="F1780" s="496"/>
      <c r="G1780" s="398"/>
      <c r="I1780" t="s">
        <v>186</v>
      </c>
      <c r="J1780">
        <v>7691.0304287690051</v>
      </c>
      <c r="K1780">
        <v>7546</v>
      </c>
      <c r="L1780" s="509">
        <f t="shared" si="64"/>
        <v>1.0192195108360729</v>
      </c>
    </row>
    <row r="1781" spans="1:12">
      <c r="A1781" s="397" t="str">
        <f t="shared" si="63"/>
        <v>-</v>
      </c>
      <c r="F1781" s="496"/>
      <c r="G1781" s="398"/>
      <c r="I1781" t="s">
        <v>343</v>
      </c>
      <c r="J1781">
        <v>7529.5802469135888</v>
      </c>
      <c r="K1781">
        <v>7386</v>
      </c>
      <c r="L1781" s="509">
        <f t="shared" si="64"/>
        <v>1.0194395135274288</v>
      </c>
    </row>
    <row r="1782" spans="1:12">
      <c r="A1782" s="397" t="str">
        <f t="shared" si="63"/>
        <v>-</v>
      </c>
      <c r="F1782" s="496"/>
      <c r="G1782" s="398"/>
      <c r="I1782" t="s">
        <v>387</v>
      </c>
      <c r="J1782">
        <v>5415.9756097561185</v>
      </c>
      <c r="K1782">
        <v>5303</v>
      </c>
      <c r="L1782" s="509">
        <f t="shared" si="64"/>
        <v>1.0213040938631186</v>
      </c>
    </row>
    <row r="1783" spans="1:12">
      <c r="A1783" s="397" t="str">
        <f t="shared" ref="A1783:A1846" si="65">B1783&amp;"-"&amp;C1783</f>
        <v>-</v>
      </c>
      <c r="F1783" s="496"/>
      <c r="G1783" s="398"/>
      <c r="I1783" t="s">
        <v>168</v>
      </c>
      <c r="J1783">
        <v>6173.6706689536704</v>
      </c>
      <c r="K1783">
        <v>6039</v>
      </c>
      <c r="L1783" s="509">
        <f t="shared" si="64"/>
        <v>1.0223001604493576</v>
      </c>
    </row>
    <row r="1784" spans="1:12">
      <c r="A1784" s="397" t="str">
        <f t="shared" si="65"/>
        <v>-</v>
      </c>
      <c r="F1784" s="496"/>
      <c r="G1784" s="398"/>
      <c r="I1784" t="s">
        <v>184</v>
      </c>
      <c r="J1784">
        <v>8551.9590770571031</v>
      </c>
      <c r="K1784">
        <v>8360</v>
      </c>
      <c r="L1784" s="509">
        <f t="shared" si="64"/>
        <v>1.0229616120881702</v>
      </c>
    </row>
    <row r="1785" spans="1:12">
      <c r="A1785" s="397" t="str">
        <f t="shared" si="65"/>
        <v>-</v>
      </c>
      <c r="F1785" s="496"/>
      <c r="G1785" s="398"/>
      <c r="I1785" t="s">
        <v>232</v>
      </c>
      <c r="J1785">
        <v>10156.962616822433</v>
      </c>
      <c r="K1785">
        <v>10227</v>
      </c>
      <c r="L1785" s="509">
        <f t="shared" si="64"/>
        <v>0.99315171769066524</v>
      </c>
    </row>
    <row r="1786" spans="1:12">
      <c r="A1786" s="397" t="str">
        <f t="shared" si="65"/>
        <v>-</v>
      </c>
      <c r="F1786" s="496"/>
      <c r="G1786" s="398"/>
      <c r="I1786" t="s">
        <v>418</v>
      </c>
      <c r="J1786">
        <v>7919.2662473794562</v>
      </c>
      <c r="K1786">
        <v>7968</v>
      </c>
      <c r="L1786" s="509">
        <f t="shared" si="64"/>
        <v>0.9938838161871808</v>
      </c>
    </row>
    <row r="1787" spans="1:12">
      <c r="A1787" s="397" t="str">
        <f t="shared" si="65"/>
        <v>-</v>
      </c>
      <c r="F1787" s="496"/>
      <c r="G1787" s="398"/>
      <c r="I1787" t="s">
        <v>250</v>
      </c>
      <c r="J1787">
        <v>7445.6058158319165</v>
      </c>
      <c r="K1787">
        <v>7488</v>
      </c>
      <c r="L1787" s="509">
        <f t="shared" si="64"/>
        <v>0.9943383835245615</v>
      </c>
    </row>
    <row r="1788" spans="1:12">
      <c r="A1788" s="397" t="str">
        <f t="shared" si="65"/>
        <v>-</v>
      </c>
      <c r="F1788" s="496"/>
      <c r="G1788" s="398"/>
      <c r="I1788" t="s">
        <v>209</v>
      </c>
      <c r="J1788">
        <v>8878.0993150685172</v>
      </c>
      <c r="K1788">
        <v>8923</v>
      </c>
      <c r="L1788" s="509">
        <f t="shared" si="64"/>
        <v>0.99496798330925895</v>
      </c>
    </row>
    <row r="1789" spans="1:12">
      <c r="A1789" s="397" t="str">
        <f t="shared" si="65"/>
        <v>-</v>
      </c>
      <c r="F1789" s="496"/>
      <c r="G1789" s="398"/>
      <c r="I1789" t="s">
        <v>260</v>
      </c>
      <c r="J1789">
        <v>6797.8838174274333</v>
      </c>
      <c r="K1789">
        <v>6829</v>
      </c>
      <c r="L1789" s="509">
        <f t="shared" si="64"/>
        <v>0.99544352283312831</v>
      </c>
    </row>
    <row r="1790" spans="1:12">
      <c r="A1790" s="397" t="str">
        <f t="shared" si="65"/>
        <v>-</v>
      </c>
      <c r="F1790" s="496"/>
      <c r="G1790" s="398"/>
      <c r="I1790" t="s">
        <v>307</v>
      </c>
      <c r="J1790">
        <v>8716.4935064935125</v>
      </c>
      <c r="K1790">
        <v>8750</v>
      </c>
      <c r="L1790" s="509">
        <f t="shared" si="64"/>
        <v>0.99617068645640139</v>
      </c>
    </row>
    <row r="1791" spans="1:12">
      <c r="A1791" s="397" t="str">
        <f t="shared" si="65"/>
        <v>-</v>
      </c>
      <c r="F1791" s="496"/>
      <c r="G1791" s="398"/>
      <c r="I1791" t="s">
        <v>427</v>
      </c>
      <c r="J1791">
        <v>6657.8846153846162</v>
      </c>
      <c r="K1791">
        <v>6679</v>
      </c>
      <c r="L1791" s="509">
        <f t="shared" si="64"/>
        <v>0.99683854100682978</v>
      </c>
    </row>
    <row r="1792" spans="1:12">
      <c r="A1792" s="397" t="str">
        <f t="shared" si="65"/>
        <v>-</v>
      </c>
      <c r="F1792" s="496"/>
      <c r="G1792" s="398"/>
      <c r="I1792" t="s">
        <v>431</v>
      </c>
      <c r="J1792">
        <v>6529.8310810811408</v>
      </c>
      <c r="K1792">
        <v>6546</v>
      </c>
      <c r="L1792" s="509">
        <f t="shared" si="64"/>
        <v>0.99752995433564629</v>
      </c>
    </row>
    <row r="1793" spans="1:12">
      <c r="A1793" s="397" t="str">
        <f t="shared" si="65"/>
        <v>-</v>
      </c>
      <c r="F1793" s="496"/>
      <c r="G1793" s="398"/>
      <c r="I1793" t="s">
        <v>270</v>
      </c>
      <c r="J1793">
        <v>5524.4730490748307</v>
      </c>
      <c r="K1793">
        <v>5538</v>
      </c>
      <c r="L1793" s="509">
        <f t="shared" si="64"/>
        <v>0.99755743031325939</v>
      </c>
    </row>
    <row r="1794" spans="1:12">
      <c r="A1794" s="397" t="str">
        <f t="shared" si="65"/>
        <v>-</v>
      </c>
      <c r="F1794" s="496"/>
      <c r="G1794" s="398"/>
      <c r="I1794" t="s">
        <v>411</v>
      </c>
      <c r="J1794">
        <v>10823.375680580781</v>
      </c>
      <c r="K1794">
        <v>10848</v>
      </c>
      <c r="L1794" s="509">
        <f t="shared" si="64"/>
        <v>0.9977300590505882</v>
      </c>
    </row>
    <row r="1795" spans="1:12">
      <c r="A1795" s="397" t="str">
        <f t="shared" si="65"/>
        <v>-</v>
      </c>
      <c r="F1795" s="496"/>
      <c r="G1795" s="398"/>
      <c r="I1795" t="s">
        <v>404</v>
      </c>
      <c r="J1795">
        <v>10910.673934588689</v>
      </c>
      <c r="K1795">
        <v>10935</v>
      </c>
      <c r="L1795" s="509">
        <f t="shared" si="64"/>
        <v>0.99777539410961946</v>
      </c>
    </row>
    <row r="1796" spans="1:12">
      <c r="A1796" s="397" t="str">
        <f t="shared" si="65"/>
        <v>-</v>
      </c>
      <c r="F1796" s="496"/>
      <c r="G1796" s="398"/>
      <c r="I1796" t="s">
        <v>576</v>
      </c>
      <c r="J1796">
        <v>10730.677042801561</v>
      </c>
      <c r="K1796">
        <v>10754</v>
      </c>
      <c r="L1796" s="509">
        <f t="shared" si="64"/>
        <v>0.99783122957053749</v>
      </c>
    </row>
    <row r="1797" spans="1:12">
      <c r="A1797" s="397" t="str">
        <f t="shared" si="65"/>
        <v>-</v>
      </c>
      <c r="F1797" s="496"/>
      <c r="G1797" s="398"/>
      <c r="I1797" t="s">
        <v>299</v>
      </c>
      <c r="J1797">
        <v>8516.6406249999964</v>
      </c>
      <c r="K1797">
        <v>8535</v>
      </c>
      <c r="L1797" s="509">
        <f t="shared" si="64"/>
        <v>0.99784893087287596</v>
      </c>
    </row>
    <row r="1798" spans="1:12">
      <c r="A1798" s="397" t="str">
        <f t="shared" si="65"/>
        <v>-</v>
      </c>
      <c r="F1798" s="496"/>
      <c r="G1798" s="398"/>
      <c r="I1798" t="s">
        <v>342</v>
      </c>
      <c r="J1798">
        <v>7495.2905811623086</v>
      </c>
      <c r="K1798">
        <v>7506</v>
      </c>
      <c r="L1798" s="509">
        <f t="shared" si="64"/>
        <v>0.9985732189131773</v>
      </c>
    </row>
    <row r="1799" spans="1:12">
      <c r="A1799" s="397" t="str">
        <f t="shared" si="65"/>
        <v>-</v>
      </c>
      <c r="F1799" s="496"/>
      <c r="G1799" s="398"/>
      <c r="I1799" t="s">
        <v>330</v>
      </c>
      <c r="J1799">
        <v>9261.9586374695918</v>
      </c>
      <c r="K1799">
        <v>9271</v>
      </c>
      <c r="L1799" s="509">
        <f t="shared" ref="L1799:L1862" si="66">J1799/K1799</f>
        <v>0.99902476943906715</v>
      </c>
    </row>
    <row r="1800" spans="1:12">
      <c r="A1800" s="397" t="str">
        <f t="shared" si="65"/>
        <v>-</v>
      </c>
      <c r="F1800" s="496"/>
      <c r="G1800" s="398"/>
      <c r="I1800" t="s">
        <v>421</v>
      </c>
      <c r="J1800">
        <v>9513.6141906873836</v>
      </c>
      <c r="K1800">
        <v>9516</v>
      </c>
      <c r="L1800" s="509">
        <f t="shared" si="66"/>
        <v>0.99974928443541233</v>
      </c>
    </row>
    <row r="1801" spans="1:12">
      <c r="A1801" s="397" t="str">
        <f t="shared" si="65"/>
        <v>-</v>
      </c>
      <c r="F1801" s="496"/>
      <c r="G1801" s="398"/>
      <c r="I1801" t="s">
        <v>244</v>
      </c>
      <c r="J1801">
        <v>9267.3684210526317</v>
      </c>
      <c r="K1801">
        <v>9268</v>
      </c>
      <c r="L1801" s="509">
        <f t="shared" si="66"/>
        <v>0.99993185380369354</v>
      </c>
    </row>
    <row r="1802" spans="1:12">
      <c r="A1802" s="397" t="str">
        <f t="shared" si="65"/>
        <v>-</v>
      </c>
      <c r="F1802" s="496"/>
      <c r="G1802" s="398"/>
      <c r="I1802" t="s">
        <v>346</v>
      </c>
      <c r="J1802">
        <v>12347.17110920035</v>
      </c>
      <c r="K1802">
        <v>12348</v>
      </c>
      <c r="L1802" s="509">
        <f t="shared" si="66"/>
        <v>0.9999328724652049</v>
      </c>
    </row>
    <row r="1803" spans="1:12">
      <c r="A1803" s="397" t="str">
        <f t="shared" si="65"/>
        <v>-</v>
      </c>
      <c r="F1803" s="496"/>
      <c r="G1803" s="398"/>
      <c r="I1803" t="s">
        <v>173</v>
      </c>
      <c r="J1803">
        <v>4664.2129304286254</v>
      </c>
      <c r="K1803">
        <v>4664</v>
      </c>
      <c r="L1803" s="509">
        <f t="shared" si="66"/>
        <v>1.0000456540370124</v>
      </c>
    </row>
    <row r="1804" spans="1:12">
      <c r="A1804" s="397" t="str">
        <f t="shared" si="65"/>
        <v>-</v>
      </c>
      <c r="F1804" s="496"/>
      <c r="G1804" s="398"/>
      <c r="I1804" t="s">
        <v>304</v>
      </c>
      <c r="J1804">
        <v>9954.5404595404307</v>
      </c>
      <c r="K1804">
        <v>9952</v>
      </c>
      <c r="L1804" s="509">
        <f t="shared" si="66"/>
        <v>1.0002552712560722</v>
      </c>
    </row>
    <row r="1805" spans="1:12">
      <c r="A1805" s="397" t="str">
        <f t="shared" si="65"/>
        <v>-</v>
      </c>
      <c r="F1805" s="496"/>
      <c r="G1805" s="398"/>
      <c r="I1805" t="s">
        <v>422</v>
      </c>
      <c r="J1805">
        <v>9202.3368251409829</v>
      </c>
      <c r="K1805">
        <v>9199</v>
      </c>
      <c r="L1805" s="509">
        <f t="shared" si="66"/>
        <v>1.0003627378129125</v>
      </c>
    </row>
    <row r="1806" spans="1:12">
      <c r="A1806" s="397" t="str">
        <f t="shared" si="65"/>
        <v>-</v>
      </c>
      <c r="F1806" s="496"/>
      <c r="G1806" s="398"/>
      <c r="I1806" t="s">
        <v>295</v>
      </c>
      <c r="J1806">
        <v>10689.860139860113</v>
      </c>
      <c r="K1806">
        <v>10683</v>
      </c>
      <c r="L1806" s="509">
        <f t="shared" si="66"/>
        <v>1.0006421548123292</v>
      </c>
    </row>
    <row r="1807" spans="1:12">
      <c r="A1807" s="397" t="str">
        <f t="shared" si="65"/>
        <v>-</v>
      </c>
      <c r="F1807" s="496"/>
      <c r="G1807" s="398"/>
      <c r="I1807" t="s">
        <v>275</v>
      </c>
      <c r="J1807">
        <v>6441.2359367358176</v>
      </c>
      <c r="K1807">
        <v>6433</v>
      </c>
      <c r="L1807" s="509">
        <f t="shared" si="66"/>
        <v>1.0012802637549849</v>
      </c>
    </row>
    <row r="1808" spans="1:12">
      <c r="A1808" s="397" t="str">
        <f t="shared" si="65"/>
        <v>-</v>
      </c>
      <c r="F1808" s="496"/>
      <c r="G1808" s="398"/>
      <c r="I1808" t="s">
        <v>73</v>
      </c>
      <c r="J1808">
        <v>5448.3960843372743</v>
      </c>
      <c r="K1808">
        <v>5441</v>
      </c>
      <c r="L1808" s="509">
        <f t="shared" si="66"/>
        <v>1.0013593244508867</v>
      </c>
    </row>
    <row r="1809" spans="1:12">
      <c r="A1809" s="397" t="str">
        <f t="shared" si="65"/>
        <v>-</v>
      </c>
      <c r="F1809" s="496"/>
      <c r="G1809" s="398"/>
      <c r="I1809" t="s">
        <v>336</v>
      </c>
      <c r="J1809">
        <v>9721.8571428571431</v>
      </c>
      <c r="K1809">
        <v>9707</v>
      </c>
      <c r="L1809" s="509">
        <f t="shared" si="66"/>
        <v>1.0015305596844692</v>
      </c>
    </row>
    <row r="1810" spans="1:12">
      <c r="A1810" s="397" t="str">
        <f t="shared" si="65"/>
        <v>-</v>
      </c>
      <c r="F1810" s="496"/>
      <c r="G1810" s="398"/>
      <c r="I1810" t="s">
        <v>300</v>
      </c>
      <c r="J1810">
        <v>10215.941320293401</v>
      </c>
      <c r="K1810">
        <v>10200</v>
      </c>
      <c r="L1810" s="509">
        <f t="shared" si="66"/>
        <v>1.0015628745385687</v>
      </c>
    </row>
    <row r="1811" spans="1:12">
      <c r="A1811" s="397" t="str">
        <f t="shared" si="65"/>
        <v>-</v>
      </c>
      <c r="F1811" s="496"/>
      <c r="G1811" s="398"/>
      <c r="I1811" t="s">
        <v>86</v>
      </c>
      <c r="J1811">
        <v>8873.5714285714275</v>
      </c>
      <c r="K1811">
        <v>8859</v>
      </c>
      <c r="L1811" s="509">
        <f t="shared" si="66"/>
        <v>1.0016448164094625</v>
      </c>
    </row>
    <row r="1812" spans="1:12">
      <c r="A1812" s="397" t="str">
        <f t="shared" si="65"/>
        <v>-</v>
      </c>
      <c r="F1812" s="496"/>
      <c r="G1812" s="398"/>
      <c r="I1812" t="s">
        <v>52</v>
      </c>
      <c r="J1812">
        <v>7032.3584905660746</v>
      </c>
      <c r="K1812">
        <v>7018</v>
      </c>
      <c r="L1812" s="509">
        <f t="shared" si="66"/>
        <v>1.002045951918791</v>
      </c>
    </row>
    <row r="1813" spans="1:12">
      <c r="A1813" s="397" t="str">
        <f t="shared" si="65"/>
        <v>-</v>
      </c>
      <c r="F1813" s="496"/>
      <c r="G1813" s="398"/>
      <c r="I1813" t="s">
        <v>262</v>
      </c>
      <c r="J1813">
        <v>11789.047314578034</v>
      </c>
      <c r="K1813">
        <v>11763</v>
      </c>
      <c r="L1813" s="509">
        <f t="shared" si="66"/>
        <v>1.0022143428188417</v>
      </c>
    </row>
    <row r="1814" spans="1:12">
      <c r="A1814" s="397" t="str">
        <f t="shared" si="65"/>
        <v>-</v>
      </c>
      <c r="F1814" s="496"/>
      <c r="G1814" s="398"/>
      <c r="I1814" t="s">
        <v>70</v>
      </c>
      <c r="J1814">
        <v>6793.7062937062883</v>
      </c>
      <c r="K1814">
        <v>6778</v>
      </c>
      <c r="L1814" s="509">
        <f t="shared" si="66"/>
        <v>1.0023172460469589</v>
      </c>
    </row>
    <row r="1815" spans="1:12">
      <c r="A1815" s="397" t="str">
        <f t="shared" si="65"/>
        <v>-</v>
      </c>
      <c r="F1815" s="496"/>
      <c r="G1815" s="398"/>
      <c r="I1815" t="s">
        <v>222</v>
      </c>
      <c r="J1815">
        <v>12380.996093749984</v>
      </c>
      <c r="K1815">
        <v>12348</v>
      </c>
      <c r="L1815" s="509">
        <f t="shared" si="66"/>
        <v>1.0026721812236785</v>
      </c>
    </row>
    <row r="1816" spans="1:12">
      <c r="A1816" s="397" t="str">
        <f t="shared" si="65"/>
        <v>-</v>
      </c>
      <c r="F1816" s="496"/>
      <c r="G1816" s="398"/>
      <c r="I1816" t="s">
        <v>412</v>
      </c>
      <c r="J1816">
        <v>6952.8571428571613</v>
      </c>
      <c r="K1816">
        <v>6933</v>
      </c>
      <c r="L1816" s="509">
        <f t="shared" si="66"/>
        <v>1.0028641486884697</v>
      </c>
    </row>
    <row r="1817" spans="1:12">
      <c r="A1817" s="397" t="str">
        <f t="shared" si="65"/>
        <v>-</v>
      </c>
      <c r="F1817" s="496"/>
      <c r="G1817" s="398"/>
      <c r="I1817" t="s">
        <v>239</v>
      </c>
      <c r="J1817">
        <v>7938.9631336405146</v>
      </c>
      <c r="K1817">
        <v>7916</v>
      </c>
      <c r="L1817" s="509">
        <f t="shared" si="66"/>
        <v>1.0029008506367503</v>
      </c>
    </row>
    <row r="1818" spans="1:12">
      <c r="A1818" s="397" t="str">
        <f t="shared" si="65"/>
        <v>-</v>
      </c>
      <c r="F1818" s="496"/>
      <c r="G1818" s="398"/>
      <c r="I1818" t="s">
        <v>565</v>
      </c>
      <c r="J1818">
        <v>9152.904800650902</v>
      </c>
      <c r="K1818">
        <v>9125</v>
      </c>
      <c r="L1818" s="509">
        <f t="shared" si="66"/>
        <v>1.0030580603453043</v>
      </c>
    </row>
    <row r="1819" spans="1:12">
      <c r="A1819" s="397" t="str">
        <f t="shared" si="65"/>
        <v>-</v>
      </c>
      <c r="F1819" s="496"/>
      <c r="G1819" s="398"/>
      <c r="I1819" t="s">
        <v>142</v>
      </c>
      <c r="J1819">
        <v>9611.6283473086332</v>
      </c>
      <c r="K1819">
        <v>9581</v>
      </c>
      <c r="L1819" s="509">
        <f t="shared" si="66"/>
        <v>1.0031967798046795</v>
      </c>
    </row>
    <row r="1820" spans="1:12">
      <c r="A1820" s="397" t="str">
        <f t="shared" si="65"/>
        <v>-</v>
      </c>
      <c r="F1820" s="496"/>
      <c r="G1820" s="398"/>
      <c r="I1820" t="s">
        <v>297</v>
      </c>
      <c r="J1820">
        <v>8539.9019607843147</v>
      </c>
      <c r="K1820">
        <v>8512</v>
      </c>
      <c r="L1820" s="509">
        <f t="shared" si="66"/>
        <v>1.00327795591921</v>
      </c>
    </row>
    <row r="1821" spans="1:12">
      <c r="A1821" s="397" t="str">
        <f t="shared" si="65"/>
        <v>-</v>
      </c>
      <c r="F1821" s="496"/>
      <c r="G1821" s="398"/>
      <c r="I1821" t="s">
        <v>249</v>
      </c>
      <c r="J1821">
        <v>7943.3253588516745</v>
      </c>
      <c r="K1821">
        <v>7916</v>
      </c>
      <c r="L1821" s="509">
        <f t="shared" si="66"/>
        <v>1.0034519149635768</v>
      </c>
    </row>
    <row r="1822" spans="1:12">
      <c r="A1822" s="397" t="str">
        <f t="shared" si="65"/>
        <v>-</v>
      </c>
      <c r="F1822" s="496"/>
      <c r="G1822" s="398"/>
      <c r="I1822" t="s">
        <v>236</v>
      </c>
      <c r="J1822">
        <v>12661.091492776901</v>
      </c>
      <c r="K1822">
        <v>12597</v>
      </c>
      <c r="L1822" s="509">
        <f t="shared" si="66"/>
        <v>1.0050878378008177</v>
      </c>
    </row>
    <row r="1823" spans="1:12">
      <c r="A1823" s="397" t="str">
        <f t="shared" si="65"/>
        <v>-</v>
      </c>
      <c r="F1823" s="496"/>
      <c r="G1823" s="398"/>
      <c r="I1823" t="s">
        <v>213</v>
      </c>
      <c r="J1823">
        <v>8361.402272727335</v>
      </c>
      <c r="K1823">
        <v>8318</v>
      </c>
      <c r="L1823" s="509">
        <f t="shared" si="66"/>
        <v>1.0052178736147312</v>
      </c>
    </row>
    <row r="1824" spans="1:12">
      <c r="A1824" s="397" t="str">
        <f t="shared" si="65"/>
        <v>-</v>
      </c>
      <c r="F1824" s="496"/>
      <c r="G1824" s="398"/>
      <c r="I1824" t="s">
        <v>164</v>
      </c>
      <c r="J1824">
        <v>5220.1731908318543</v>
      </c>
      <c r="K1824">
        <v>5193</v>
      </c>
      <c r="L1824" s="509">
        <f t="shared" si="66"/>
        <v>1.0052326575836423</v>
      </c>
    </row>
    <row r="1825" spans="1:12">
      <c r="A1825" s="397" t="str">
        <f t="shared" si="65"/>
        <v>-</v>
      </c>
      <c r="F1825" s="496"/>
      <c r="G1825" s="398"/>
      <c r="I1825" t="s">
        <v>157</v>
      </c>
      <c r="J1825">
        <v>10536.989414694905</v>
      </c>
      <c r="K1825">
        <v>10481</v>
      </c>
      <c r="L1825" s="509">
        <f t="shared" si="66"/>
        <v>1.005341991670156</v>
      </c>
    </row>
    <row r="1826" spans="1:12">
      <c r="A1826" s="397" t="str">
        <f t="shared" si="65"/>
        <v>-</v>
      </c>
      <c r="F1826" s="496"/>
      <c r="G1826" s="398"/>
      <c r="I1826" t="s">
        <v>234</v>
      </c>
      <c r="J1826">
        <v>12344.920782851845</v>
      </c>
      <c r="K1826">
        <v>12278</v>
      </c>
      <c r="L1826" s="509">
        <f t="shared" si="66"/>
        <v>1.0054504628483341</v>
      </c>
    </row>
    <row r="1827" spans="1:12">
      <c r="A1827" s="397" t="str">
        <f t="shared" si="65"/>
        <v>-</v>
      </c>
      <c r="F1827" s="496"/>
      <c r="G1827" s="398"/>
      <c r="I1827" t="s">
        <v>343</v>
      </c>
      <c r="J1827">
        <v>7428.1563126252386</v>
      </c>
      <c r="K1827">
        <v>7386</v>
      </c>
      <c r="L1827" s="509">
        <f t="shared" si="66"/>
        <v>1.0057075971602001</v>
      </c>
    </row>
    <row r="1828" spans="1:12">
      <c r="A1828" s="397" t="str">
        <f t="shared" si="65"/>
        <v>-</v>
      </c>
      <c r="F1828" s="496"/>
      <c r="G1828" s="398"/>
      <c r="I1828" t="s">
        <v>258</v>
      </c>
      <c r="J1828">
        <v>8801.9117647058883</v>
      </c>
      <c r="K1828">
        <v>8750</v>
      </c>
      <c r="L1828" s="509">
        <f t="shared" si="66"/>
        <v>1.0059327731092444</v>
      </c>
    </row>
    <row r="1829" spans="1:12">
      <c r="A1829" s="397" t="str">
        <f t="shared" si="65"/>
        <v>-</v>
      </c>
      <c r="F1829" s="496"/>
      <c r="G1829" s="398"/>
      <c r="I1829" t="s">
        <v>261</v>
      </c>
      <c r="J1829">
        <v>7529.3435754190068</v>
      </c>
      <c r="K1829">
        <v>7482</v>
      </c>
      <c r="L1829" s="509">
        <f t="shared" si="66"/>
        <v>1.0063276631140079</v>
      </c>
    </row>
    <row r="1830" spans="1:12">
      <c r="A1830" s="397" t="str">
        <f t="shared" si="65"/>
        <v>-</v>
      </c>
      <c r="F1830" s="496"/>
      <c r="G1830" s="398"/>
      <c r="I1830" t="s">
        <v>190</v>
      </c>
      <c r="J1830">
        <v>10795.387247278321</v>
      </c>
      <c r="K1830">
        <v>10723</v>
      </c>
      <c r="L1830" s="509">
        <f t="shared" si="66"/>
        <v>1.0067506525485703</v>
      </c>
    </row>
    <row r="1831" spans="1:12">
      <c r="A1831" s="397" t="str">
        <f t="shared" si="65"/>
        <v>-</v>
      </c>
      <c r="F1831" s="496"/>
      <c r="G1831" s="398"/>
      <c r="I1831" t="s">
        <v>406</v>
      </c>
      <c r="J1831">
        <v>11499.668674698793</v>
      </c>
      <c r="K1831">
        <v>11421</v>
      </c>
      <c r="L1831" s="509">
        <f t="shared" si="66"/>
        <v>1.0068880723840987</v>
      </c>
    </row>
    <row r="1832" spans="1:12">
      <c r="A1832" s="397" t="str">
        <f t="shared" si="65"/>
        <v>-</v>
      </c>
      <c r="F1832" s="496"/>
      <c r="G1832" s="398"/>
      <c r="I1832" t="s">
        <v>419</v>
      </c>
      <c r="J1832">
        <v>9122.9253731343306</v>
      </c>
      <c r="K1832">
        <v>9059</v>
      </c>
      <c r="L1832" s="509">
        <f t="shared" si="66"/>
        <v>1.007056559568863</v>
      </c>
    </row>
    <row r="1833" spans="1:12">
      <c r="A1833" s="397" t="str">
        <f t="shared" si="65"/>
        <v>-</v>
      </c>
      <c r="F1833" s="496"/>
      <c r="G1833" s="398"/>
      <c r="I1833" t="s">
        <v>471</v>
      </c>
      <c r="J1833">
        <v>10457.391304347822</v>
      </c>
      <c r="K1833">
        <v>10383</v>
      </c>
      <c r="L1833" s="509">
        <f t="shared" si="66"/>
        <v>1.0071647215975943</v>
      </c>
    </row>
    <row r="1834" spans="1:12">
      <c r="A1834" s="397" t="str">
        <f t="shared" si="65"/>
        <v>-</v>
      </c>
      <c r="F1834" s="496"/>
      <c r="G1834" s="398"/>
      <c r="I1834" t="s">
        <v>750</v>
      </c>
      <c r="J1834">
        <v>13764.474772539308</v>
      </c>
      <c r="K1834">
        <v>13665</v>
      </c>
      <c r="L1834" s="509">
        <f t="shared" si="66"/>
        <v>1.0072795296406372</v>
      </c>
    </row>
    <row r="1835" spans="1:12">
      <c r="A1835" s="397" t="str">
        <f t="shared" si="65"/>
        <v>-</v>
      </c>
      <c r="F1835" s="496"/>
      <c r="G1835" s="398"/>
      <c r="I1835" t="s">
        <v>153</v>
      </c>
      <c r="J1835">
        <v>11229.391304347837</v>
      </c>
      <c r="K1835">
        <v>11143</v>
      </c>
      <c r="L1835" s="509">
        <f t="shared" si="66"/>
        <v>1.0077529663778011</v>
      </c>
    </row>
    <row r="1836" spans="1:12">
      <c r="A1836" s="397" t="str">
        <f t="shared" si="65"/>
        <v>-</v>
      </c>
      <c r="F1836" s="496"/>
      <c r="G1836" s="398"/>
      <c r="I1836" t="s">
        <v>138</v>
      </c>
      <c r="J1836">
        <v>8563.3333333333485</v>
      </c>
      <c r="K1836">
        <v>8496</v>
      </c>
      <c r="L1836" s="509">
        <f t="shared" si="66"/>
        <v>1.0079252981795372</v>
      </c>
    </row>
    <row r="1837" spans="1:12">
      <c r="A1837" s="397" t="str">
        <f t="shared" si="65"/>
        <v>-</v>
      </c>
      <c r="F1837" s="496"/>
      <c r="G1837" s="398"/>
      <c r="I1837" t="s">
        <v>208</v>
      </c>
      <c r="J1837">
        <v>7154.352378103441</v>
      </c>
      <c r="K1837">
        <v>7096</v>
      </c>
      <c r="L1837" s="509">
        <f t="shared" si="66"/>
        <v>1.0082232776357725</v>
      </c>
    </row>
    <row r="1838" spans="1:12">
      <c r="A1838" s="397" t="str">
        <f t="shared" si="65"/>
        <v>-</v>
      </c>
      <c r="F1838" s="496"/>
      <c r="G1838" s="398"/>
      <c r="I1838" t="s">
        <v>553</v>
      </c>
      <c r="J1838">
        <v>9067.1641791044767</v>
      </c>
      <c r="K1838">
        <v>8992</v>
      </c>
      <c r="L1838" s="509">
        <f t="shared" si="66"/>
        <v>1.0083590056833271</v>
      </c>
    </row>
    <row r="1839" spans="1:12">
      <c r="A1839" s="397" t="str">
        <f t="shared" si="65"/>
        <v>-</v>
      </c>
      <c r="F1839" s="496"/>
      <c r="G1839" s="398"/>
      <c r="I1839" t="s">
        <v>49</v>
      </c>
      <c r="J1839">
        <v>6177.3076923077015</v>
      </c>
      <c r="K1839">
        <v>6126</v>
      </c>
      <c r="L1839" s="509">
        <f t="shared" si="66"/>
        <v>1.008375398679024</v>
      </c>
    </row>
    <row r="1840" spans="1:12">
      <c r="A1840" s="397" t="str">
        <f t="shared" si="65"/>
        <v>-</v>
      </c>
      <c r="F1840" s="496"/>
      <c r="G1840" s="398"/>
      <c r="I1840" t="s">
        <v>305</v>
      </c>
      <c r="J1840">
        <v>11229.586321014856</v>
      </c>
      <c r="K1840">
        <v>11136</v>
      </c>
      <c r="L1840" s="509">
        <f t="shared" si="66"/>
        <v>1.0084039440566501</v>
      </c>
    </row>
    <row r="1841" spans="1:12">
      <c r="A1841" s="397" t="str">
        <f t="shared" si="65"/>
        <v>-</v>
      </c>
      <c r="F1841" s="496"/>
      <c r="G1841" s="398"/>
      <c r="I1841" t="s">
        <v>84</v>
      </c>
      <c r="J1841">
        <v>10108.146194423525</v>
      </c>
      <c r="K1841">
        <v>10023</v>
      </c>
      <c r="L1841" s="509">
        <f t="shared" si="66"/>
        <v>1.0084950807566122</v>
      </c>
    </row>
    <row r="1842" spans="1:12">
      <c r="A1842" s="397" t="str">
        <f t="shared" si="65"/>
        <v>-</v>
      </c>
      <c r="F1842" s="496"/>
      <c r="G1842" s="398"/>
      <c r="I1842" t="s">
        <v>61</v>
      </c>
      <c r="J1842">
        <v>7567.3604060913722</v>
      </c>
      <c r="K1842">
        <v>7502</v>
      </c>
      <c r="L1842" s="509">
        <f t="shared" si="66"/>
        <v>1.0087123975061814</v>
      </c>
    </row>
    <row r="1843" spans="1:12">
      <c r="A1843" s="397" t="str">
        <f t="shared" si="65"/>
        <v>-</v>
      </c>
      <c r="F1843" s="496"/>
      <c r="G1843" s="398"/>
      <c r="I1843" t="s">
        <v>88</v>
      </c>
      <c r="J1843">
        <v>6492.452674897103</v>
      </c>
      <c r="K1843">
        <v>6435</v>
      </c>
      <c r="L1843" s="509">
        <f t="shared" si="66"/>
        <v>1.0089281546071645</v>
      </c>
    </row>
    <row r="1844" spans="1:12">
      <c r="A1844" s="397" t="str">
        <f t="shared" si="65"/>
        <v>-</v>
      </c>
      <c r="F1844" s="496"/>
      <c r="G1844" s="398"/>
      <c r="I1844" t="s">
        <v>298</v>
      </c>
      <c r="J1844">
        <v>8889.709762532997</v>
      </c>
      <c r="K1844">
        <v>8809</v>
      </c>
      <c r="L1844" s="509">
        <f t="shared" si="66"/>
        <v>1.0091621934990347</v>
      </c>
    </row>
    <row r="1845" spans="1:12">
      <c r="A1845" s="397" t="str">
        <f t="shared" si="65"/>
        <v>-</v>
      </c>
      <c r="F1845" s="496"/>
      <c r="G1845" s="398"/>
      <c r="I1845" t="s">
        <v>556</v>
      </c>
      <c r="J1845">
        <v>16231.655629139033</v>
      </c>
      <c r="K1845">
        <v>16080</v>
      </c>
      <c r="L1845" s="509">
        <f t="shared" si="66"/>
        <v>1.0094313202200891</v>
      </c>
    </row>
    <row r="1846" spans="1:12">
      <c r="A1846" s="397" t="str">
        <f t="shared" si="65"/>
        <v>-</v>
      </c>
      <c r="F1846" s="496"/>
      <c r="G1846" s="398"/>
      <c r="I1846" t="s">
        <v>185</v>
      </c>
      <c r="J1846">
        <v>10261.075949367096</v>
      </c>
      <c r="K1846">
        <v>10163</v>
      </c>
      <c r="L1846" s="509">
        <f t="shared" si="66"/>
        <v>1.0096502951261532</v>
      </c>
    </row>
    <row r="1847" spans="1:12">
      <c r="A1847" s="397" t="str">
        <f t="shared" ref="A1847:A1910" si="67">B1847&amp;"-"&amp;C1847</f>
        <v>-</v>
      </c>
      <c r="F1847" s="496"/>
      <c r="G1847" s="398"/>
      <c r="I1847" t="s">
        <v>287</v>
      </c>
      <c r="J1847">
        <v>12336.538461538446</v>
      </c>
      <c r="K1847">
        <v>12217</v>
      </c>
      <c r="L1847" s="509">
        <f t="shared" si="66"/>
        <v>1.0097846002732624</v>
      </c>
    </row>
    <row r="1848" spans="1:12">
      <c r="A1848" s="397" t="str">
        <f t="shared" si="67"/>
        <v>-</v>
      </c>
      <c r="F1848" s="496"/>
      <c r="G1848" s="398"/>
      <c r="I1848" t="s">
        <v>161</v>
      </c>
      <c r="J1848">
        <v>8187.7343750000036</v>
      </c>
      <c r="K1848">
        <v>8104</v>
      </c>
      <c r="L1848" s="509">
        <f t="shared" si="66"/>
        <v>1.0103324747038505</v>
      </c>
    </row>
    <row r="1849" spans="1:12">
      <c r="A1849" s="397" t="str">
        <f t="shared" si="67"/>
        <v>-</v>
      </c>
      <c r="F1849" s="496"/>
      <c r="G1849" s="398"/>
      <c r="I1849" t="s">
        <v>221</v>
      </c>
      <c r="J1849">
        <v>8934.8417146917054</v>
      </c>
      <c r="K1849">
        <v>8842</v>
      </c>
      <c r="L1849" s="509">
        <f t="shared" si="66"/>
        <v>1.0105000808291908</v>
      </c>
    </row>
    <row r="1850" spans="1:12">
      <c r="A1850" s="397" t="str">
        <f t="shared" si="67"/>
        <v>-</v>
      </c>
      <c r="F1850" s="496"/>
      <c r="G1850" s="398"/>
      <c r="I1850" t="s">
        <v>132</v>
      </c>
      <c r="J1850">
        <v>7475.8064516129089</v>
      </c>
      <c r="K1850">
        <v>7398</v>
      </c>
      <c r="L1850" s="509">
        <f t="shared" si="66"/>
        <v>1.0105172278471086</v>
      </c>
    </row>
    <row r="1851" spans="1:12">
      <c r="A1851" s="397" t="str">
        <f t="shared" si="67"/>
        <v>-</v>
      </c>
      <c r="F1851" s="496"/>
      <c r="G1851" s="398"/>
      <c r="I1851" t="s">
        <v>165</v>
      </c>
      <c r="J1851">
        <v>6933</v>
      </c>
      <c r="K1851">
        <v>6860</v>
      </c>
      <c r="L1851" s="509">
        <f t="shared" si="66"/>
        <v>1.0106413994169097</v>
      </c>
    </row>
    <row r="1852" spans="1:12">
      <c r="A1852" s="397" t="str">
        <f t="shared" si="67"/>
        <v>-</v>
      </c>
      <c r="F1852" s="496"/>
      <c r="G1852" s="398"/>
      <c r="I1852" t="s">
        <v>433</v>
      </c>
      <c r="J1852">
        <v>8175.2868549459854</v>
      </c>
      <c r="K1852">
        <v>8089</v>
      </c>
      <c r="L1852" s="509">
        <f t="shared" si="66"/>
        <v>1.0106671844413382</v>
      </c>
    </row>
    <row r="1853" spans="1:12">
      <c r="A1853" s="397" t="str">
        <f t="shared" si="67"/>
        <v>-</v>
      </c>
      <c r="F1853" s="496"/>
      <c r="G1853" s="398"/>
      <c r="I1853" t="s">
        <v>583</v>
      </c>
      <c r="J1853">
        <v>8088.7836425399073</v>
      </c>
      <c r="K1853">
        <v>8001</v>
      </c>
      <c r="L1853" s="509">
        <f t="shared" si="66"/>
        <v>1.0109715838695048</v>
      </c>
    </row>
    <row r="1854" spans="1:12">
      <c r="A1854" s="397" t="str">
        <f t="shared" si="67"/>
        <v>-</v>
      </c>
      <c r="F1854" s="496"/>
      <c r="G1854" s="398"/>
      <c r="I1854" t="s">
        <v>254</v>
      </c>
      <c r="J1854">
        <v>9100.10104102882</v>
      </c>
      <c r="K1854">
        <v>9001</v>
      </c>
      <c r="L1854" s="509">
        <f t="shared" si="66"/>
        <v>1.0110100034472635</v>
      </c>
    </row>
    <row r="1855" spans="1:12">
      <c r="A1855" s="397" t="str">
        <f t="shared" si="67"/>
        <v>-</v>
      </c>
      <c r="F1855" s="496"/>
      <c r="G1855" s="398"/>
      <c r="I1855" t="s">
        <v>58</v>
      </c>
      <c r="J1855">
        <v>8506.7991631799432</v>
      </c>
      <c r="K1855">
        <v>8413</v>
      </c>
      <c r="L1855" s="509">
        <f t="shared" si="66"/>
        <v>1.0111493121573687</v>
      </c>
    </row>
    <row r="1856" spans="1:12">
      <c r="A1856" s="397" t="str">
        <f t="shared" si="67"/>
        <v>-</v>
      </c>
      <c r="F1856" s="496"/>
      <c r="G1856" s="398"/>
      <c r="I1856" t="s">
        <v>555</v>
      </c>
      <c r="J1856">
        <v>16451.357285429123</v>
      </c>
      <c r="K1856">
        <v>16267</v>
      </c>
      <c r="L1856" s="509">
        <f t="shared" si="66"/>
        <v>1.0113332074401624</v>
      </c>
    </row>
    <row r="1857" spans="1:12">
      <c r="A1857" s="397" t="str">
        <f t="shared" si="67"/>
        <v>-</v>
      </c>
      <c r="F1857" s="496"/>
      <c r="G1857" s="398"/>
      <c r="I1857" t="s">
        <v>395</v>
      </c>
      <c r="J1857">
        <v>11687.307692307708</v>
      </c>
      <c r="K1857">
        <v>11554</v>
      </c>
      <c r="L1857" s="509">
        <f t="shared" si="66"/>
        <v>1.0115377957683667</v>
      </c>
    </row>
    <row r="1858" spans="1:12">
      <c r="A1858" s="397" t="str">
        <f t="shared" si="67"/>
        <v>-</v>
      </c>
      <c r="F1858" s="496"/>
      <c r="G1858" s="398"/>
      <c r="I1858" t="s">
        <v>133</v>
      </c>
      <c r="J1858">
        <v>8411.8749999999945</v>
      </c>
      <c r="K1858">
        <v>8315</v>
      </c>
      <c r="L1858" s="509">
        <f t="shared" si="66"/>
        <v>1.0116506313890552</v>
      </c>
    </row>
    <row r="1859" spans="1:12">
      <c r="A1859" s="397" t="str">
        <f t="shared" si="67"/>
        <v>-</v>
      </c>
      <c r="F1859" s="496"/>
      <c r="G1859" s="398"/>
      <c r="I1859" t="s">
        <v>158</v>
      </c>
      <c r="J1859">
        <v>10138.214285714284</v>
      </c>
      <c r="K1859">
        <v>10017</v>
      </c>
      <c r="L1859" s="509">
        <f t="shared" si="66"/>
        <v>1.0121008571143342</v>
      </c>
    </row>
    <row r="1860" spans="1:12">
      <c r="A1860" s="397" t="str">
        <f t="shared" si="67"/>
        <v>-</v>
      </c>
      <c r="F1860" s="496"/>
      <c r="G1860" s="398"/>
      <c r="I1860" t="s">
        <v>303</v>
      </c>
      <c r="J1860">
        <v>10847.191833590125</v>
      </c>
      <c r="K1860">
        <v>10715</v>
      </c>
      <c r="L1860" s="509">
        <f t="shared" si="66"/>
        <v>1.0123370819962785</v>
      </c>
    </row>
    <row r="1861" spans="1:12">
      <c r="A1861" s="397" t="str">
        <f t="shared" si="67"/>
        <v>-</v>
      </c>
      <c r="F1861" s="496"/>
      <c r="G1861" s="398"/>
      <c r="I1861" t="s">
        <v>186</v>
      </c>
      <c r="J1861">
        <v>7640.335010593335</v>
      </c>
      <c r="K1861">
        <v>7546</v>
      </c>
      <c r="L1861" s="509">
        <f t="shared" si="66"/>
        <v>1.0125013266092413</v>
      </c>
    </row>
    <row r="1862" spans="1:12">
      <c r="A1862" s="397" t="str">
        <f t="shared" si="67"/>
        <v>-</v>
      </c>
      <c r="F1862" s="496"/>
      <c r="G1862" s="398"/>
      <c r="I1862" t="s">
        <v>159</v>
      </c>
      <c r="J1862">
        <v>9160.819672131136</v>
      </c>
      <c r="K1862">
        <v>9047</v>
      </c>
      <c r="L1862" s="509">
        <f t="shared" si="66"/>
        <v>1.012580929825482</v>
      </c>
    </row>
    <row r="1863" spans="1:12">
      <c r="A1863" s="397" t="str">
        <f t="shared" si="67"/>
        <v>-</v>
      </c>
      <c r="F1863" s="496"/>
      <c r="G1863" s="398"/>
      <c r="I1863" t="s">
        <v>189</v>
      </c>
      <c r="J1863">
        <v>9082.8319912651241</v>
      </c>
      <c r="K1863">
        <v>8969</v>
      </c>
      <c r="L1863" s="509">
        <f t="shared" ref="L1863:L1926" si="68">J1863/K1863</f>
        <v>1.0126917149364616</v>
      </c>
    </row>
    <row r="1864" spans="1:12">
      <c r="A1864" s="397" t="str">
        <f t="shared" si="67"/>
        <v>-</v>
      </c>
      <c r="F1864" s="496"/>
      <c r="G1864" s="398"/>
      <c r="I1864" t="s">
        <v>163</v>
      </c>
      <c r="J1864">
        <v>10425.294815987325</v>
      </c>
      <c r="K1864">
        <v>10291</v>
      </c>
      <c r="L1864" s="509">
        <f t="shared" si="68"/>
        <v>1.0130497343297371</v>
      </c>
    </row>
    <row r="1865" spans="1:12">
      <c r="A1865" s="397" t="str">
        <f t="shared" si="67"/>
        <v>-</v>
      </c>
      <c r="F1865" s="496"/>
      <c r="G1865" s="398"/>
      <c r="I1865" t="s">
        <v>188</v>
      </c>
      <c r="J1865">
        <v>11782.460339549099</v>
      </c>
      <c r="K1865">
        <v>11629</v>
      </c>
      <c r="L1865" s="509">
        <f t="shared" si="68"/>
        <v>1.0131963487444406</v>
      </c>
    </row>
    <row r="1866" spans="1:12">
      <c r="A1866" s="397" t="str">
        <f t="shared" si="67"/>
        <v>-</v>
      </c>
      <c r="F1866" s="496"/>
      <c r="G1866" s="398"/>
      <c r="I1866" t="s">
        <v>177</v>
      </c>
      <c r="J1866">
        <v>11451.508379888293</v>
      </c>
      <c r="K1866">
        <v>11299</v>
      </c>
      <c r="L1866" s="509">
        <f t="shared" si="68"/>
        <v>1.0134975112742981</v>
      </c>
    </row>
    <row r="1867" spans="1:12">
      <c r="A1867" s="397" t="str">
        <f t="shared" si="67"/>
        <v>-</v>
      </c>
      <c r="F1867" s="496"/>
      <c r="G1867" s="398"/>
      <c r="I1867" t="s">
        <v>184</v>
      </c>
      <c r="J1867">
        <v>8474.1369047618718</v>
      </c>
      <c r="K1867">
        <v>8360</v>
      </c>
      <c r="L1867" s="509">
        <f t="shared" si="68"/>
        <v>1.0136527398040516</v>
      </c>
    </row>
    <row r="1868" spans="1:12">
      <c r="A1868" s="397" t="str">
        <f t="shared" si="67"/>
        <v>-</v>
      </c>
      <c r="F1868" s="496"/>
      <c r="G1868" s="398"/>
      <c r="I1868" t="s">
        <v>63</v>
      </c>
      <c r="J1868">
        <v>8703.9668002289418</v>
      </c>
      <c r="K1868">
        <v>8584</v>
      </c>
      <c r="L1868" s="509">
        <f t="shared" si="68"/>
        <v>1.0139756291040241</v>
      </c>
    </row>
    <row r="1869" spans="1:12">
      <c r="A1869" s="397" t="str">
        <f t="shared" si="67"/>
        <v>-</v>
      </c>
      <c r="F1869" s="496"/>
      <c r="G1869" s="398"/>
      <c r="I1869" t="s">
        <v>582</v>
      </c>
      <c r="J1869">
        <v>8263.4070929668706</v>
      </c>
      <c r="K1869">
        <v>8143</v>
      </c>
      <c r="L1869" s="509">
        <f t="shared" si="68"/>
        <v>1.0147865765647637</v>
      </c>
    </row>
    <row r="1870" spans="1:12">
      <c r="A1870" s="397" t="str">
        <f t="shared" si="67"/>
        <v>-</v>
      </c>
      <c r="F1870" s="496"/>
      <c r="G1870" s="398"/>
      <c r="I1870" t="s">
        <v>187</v>
      </c>
      <c r="J1870">
        <v>10286.515434985924</v>
      </c>
      <c r="K1870">
        <v>10130</v>
      </c>
      <c r="L1870" s="509">
        <f t="shared" si="68"/>
        <v>1.0154506845988078</v>
      </c>
    </row>
    <row r="1871" spans="1:12">
      <c r="A1871" s="397" t="str">
        <f t="shared" si="67"/>
        <v>-</v>
      </c>
      <c r="F1871" s="496"/>
      <c r="G1871" s="398"/>
      <c r="I1871" t="s">
        <v>354</v>
      </c>
      <c r="J1871">
        <v>8836.9428571428598</v>
      </c>
      <c r="K1871">
        <v>8700</v>
      </c>
      <c r="L1871" s="509">
        <f t="shared" si="68"/>
        <v>1.0157405582922827</v>
      </c>
    </row>
    <row r="1872" spans="1:12">
      <c r="A1872" s="397" t="str">
        <f t="shared" si="67"/>
        <v>-</v>
      </c>
      <c r="F1872" s="496"/>
      <c r="G1872" s="398"/>
      <c r="I1872" t="s">
        <v>410</v>
      </c>
      <c r="J1872">
        <v>6248.7500000000009</v>
      </c>
      <c r="K1872">
        <v>6151</v>
      </c>
      <c r="L1872" s="509">
        <f t="shared" si="68"/>
        <v>1.015891724922777</v>
      </c>
    </row>
    <row r="1873" spans="1:12">
      <c r="A1873" s="397" t="str">
        <f t="shared" si="67"/>
        <v>-</v>
      </c>
      <c r="F1873" s="496"/>
      <c r="G1873" s="398"/>
      <c r="I1873" t="s">
        <v>387</v>
      </c>
      <c r="J1873">
        <v>5390.4469273742998</v>
      </c>
      <c r="K1873">
        <v>5303</v>
      </c>
      <c r="L1873" s="509">
        <f t="shared" si="68"/>
        <v>1.016490086248218</v>
      </c>
    </row>
    <row r="1874" spans="1:12">
      <c r="A1874" s="397" t="str">
        <f t="shared" si="67"/>
        <v>-</v>
      </c>
      <c r="F1874" s="496"/>
      <c r="G1874" s="398"/>
      <c r="I1874" t="s">
        <v>581</v>
      </c>
      <c r="J1874">
        <v>12152.819929051941</v>
      </c>
      <c r="K1874">
        <v>11939</v>
      </c>
      <c r="L1874" s="509">
        <f t="shared" si="68"/>
        <v>1.0179093667017289</v>
      </c>
    </row>
    <row r="1875" spans="1:12">
      <c r="A1875" s="397" t="str">
        <f t="shared" si="67"/>
        <v>-</v>
      </c>
      <c r="F1875" s="496"/>
      <c r="G1875" s="398"/>
      <c r="I1875" t="s">
        <v>226</v>
      </c>
      <c r="J1875">
        <v>8800.3070761015188</v>
      </c>
      <c r="K1875">
        <v>8624</v>
      </c>
      <c r="L1875" s="509">
        <f t="shared" si="68"/>
        <v>1.0204437704199349</v>
      </c>
    </row>
    <row r="1876" spans="1:12">
      <c r="A1876" s="397" t="str">
        <f t="shared" si="67"/>
        <v>-</v>
      </c>
      <c r="F1876" s="496"/>
      <c r="G1876" s="398"/>
      <c r="I1876" t="s">
        <v>429</v>
      </c>
      <c r="J1876">
        <v>6198.1428571428814</v>
      </c>
      <c r="K1876">
        <v>6277</v>
      </c>
      <c r="L1876" s="509">
        <f t="shared" si="68"/>
        <v>0.98743712874667544</v>
      </c>
    </row>
    <row r="1877" spans="1:12">
      <c r="A1877" s="397" t="str">
        <f t="shared" si="67"/>
        <v>-</v>
      </c>
      <c r="F1877" s="496"/>
      <c r="G1877" s="398"/>
      <c r="I1877" t="s">
        <v>302</v>
      </c>
      <c r="J1877">
        <v>8435.2407407407136</v>
      </c>
      <c r="K1877">
        <v>8534</v>
      </c>
      <c r="L1877" s="509">
        <f t="shared" si="68"/>
        <v>0.98842755340294275</v>
      </c>
    </row>
    <row r="1878" spans="1:12">
      <c r="A1878" s="397" t="str">
        <f t="shared" si="67"/>
        <v>-</v>
      </c>
      <c r="F1878" s="496"/>
      <c r="G1878" s="398"/>
      <c r="I1878" t="s">
        <v>285</v>
      </c>
      <c r="J1878">
        <v>5579.51406649617</v>
      </c>
      <c r="K1878">
        <v>5619</v>
      </c>
      <c r="L1878" s="509">
        <f t="shared" si="68"/>
        <v>0.99297278278985046</v>
      </c>
    </row>
    <row r="1879" spans="1:12">
      <c r="A1879" s="397" t="str">
        <f t="shared" si="67"/>
        <v>-</v>
      </c>
      <c r="F1879" s="496"/>
      <c r="G1879" s="398"/>
      <c r="I1879" t="s">
        <v>70</v>
      </c>
      <c r="J1879">
        <v>6742.7435897435998</v>
      </c>
      <c r="K1879">
        <v>6778</v>
      </c>
      <c r="L1879" s="509">
        <f t="shared" si="68"/>
        <v>0.99479840509642958</v>
      </c>
    </row>
    <row r="1880" spans="1:12">
      <c r="A1880" s="397" t="str">
        <f t="shared" si="67"/>
        <v>-</v>
      </c>
      <c r="F1880" s="496"/>
      <c r="G1880" s="398"/>
      <c r="I1880" t="s">
        <v>342</v>
      </c>
      <c r="J1880">
        <v>7477.1900826446326</v>
      </c>
      <c r="K1880">
        <v>7506</v>
      </c>
      <c r="L1880" s="509">
        <f t="shared" si="68"/>
        <v>0.99616174828732118</v>
      </c>
    </row>
    <row r="1881" spans="1:12">
      <c r="A1881" s="397" t="str">
        <f t="shared" si="67"/>
        <v>-</v>
      </c>
      <c r="F1881" s="496"/>
      <c r="G1881" s="398"/>
      <c r="I1881" t="s">
        <v>421</v>
      </c>
      <c r="J1881">
        <v>9480.0348432055689</v>
      </c>
      <c r="K1881">
        <v>9516</v>
      </c>
      <c r="L1881" s="509">
        <f t="shared" si="68"/>
        <v>0.99622055939528886</v>
      </c>
    </row>
    <row r="1882" spans="1:12">
      <c r="A1882" s="397" t="str">
        <f t="shared" si="67"/>
        <v>-</v>
      </c>
      <c r="F1882" s="496"/>
      <c r="G1882" s="398"/>
      <c r="I1882" t="s">
        <v>424</v>
      </c>
      <c r="J1882">
        <v>9742.2406639004093</v>
      </c>
      <c r="K1882">
        <v>9777</v>
      </c>
      <c r="L1882" s="509">
        <f t="shared" si="68"/>
        <v>0.99644478509772005</v>
      </c>
    </row>
    <row r="1883" spans="1:12">
      <c r="A1883" s="397" t="str">
        <f t="shared" si="67"/>
        <v>-</v>
      </c>
      <c r="F1883" s="496"/>
      <c r="G1883" s="398"/>
      <c r="I1883" t="s">
        <v>297</v>
      </c>
      <c r="J1883">
        <v>8482.2352941176632</v>
      </c>
      <c r="K1883">
        <v>8512</v>
      </c>
      <c r="L1883" s="509">
        <f t="shared" si="68"/>
        <v>0.99650320654577806</v>
      </c>
    </row>
    <row r="1884" spans="1:12">
      <c r="A1884" s="397" t="str">
        <f t="shared" si="67"/>
        <v>-</v>
      </c>
      <c r="F1884" s="496"/>
      <c r="G1884" s="398"/>
      <c r="I1884" t="s">
        <v>431</v>
      </c>
      <c r="J1884">
        <v>6523.413506012972</v>
      </c>
      <c r="K1884">
        <v>6546</v>
      </c>
      <c r="L1884" s="509">
        <f t="shared" si="68"/>
        <v>0.99654957317643933</v>
      </c>
    </row>
    <row r="1885" spans="1:12">
      <c r="A1885" s="397" t="str">
        <f t="shared" si="67"/>
        <v>-</v>
      </c>
      <c r="F1885" s="496"/>
      <c r="G1885" s="398"/>
      <c r="I1885" t="s">
        <v>59</v>
      </c>
      <c r="J1885">
        <v>10047.73584905666</v>
      </c>
      <c r="K1885">
        <v>10076</v>
      </c>
      <c r="L1885" s="509">
        <f t="shared" si="68"/>
        <v>0.9971949036380171</v>
      </c>
    </row>
    <row r="1886" spans="1:12">
      <c r="A1886" s="397" t="str">
        <f t="shared" si="67"/>
        <v>-</v>
      </c>
      <c r="F1886" s="496"/>
      <c r="G1886" s="398"/>
      <c r="I1886" t="s">
        <v>299</v>
      </c>
      <c r="J1886">
        <v>8516.4238410595917</v>
      </c>
      <c r="K1886">
        <v>8535</v>
      </c>
      <c r="L1886" s="509">
        <f t="shared" si="68"/>
        <v>0.99782353146568148</v>
      </c>
    </row>
    <row r="1887" spans="1:12">
      <c r="A1887" s="397" t="str">
        <f t="shared" si="67"/>
        <v>-</v>
      </c>
      <c r="F1887" s="496"/>
      <c r="G1887" s="398"/>
      <c r="I1887" t="s">
        <v>232</v>
      </c>
      <c r="J1887">
        <v>10212.425531914905</v>
      </c>
      <c r="K1887">
        <v>10227</v>
      </c>
      <c r="L1887" s="509">
        <f t="shared" si="68"/>
        <v>0.99857490289575679</v>
      </c>
    </row>
    <row r="1888" spans="1:12">
      <c r="A1888" s="397" t="str">
        <f t="shared" si="67"/>
        <v>-</v>
      </c>
      <c r="F1888" s="496"/>
      <c r="G1888" s="398"/>
      <c r="I1888" t="s">
        <v>164</v>
      </c>
      <c r="J1888">
        <v>5186.8613261528862</v>
      </c>
      <c r="K1888">
        <v>5193</v>
      </c>
      <c r="L1888" s="509">
        <f t="shared" si="68"/>
        <v>0.99881789450277036</v>
      </c>
    </row>
    <row r="1889" spans="1:12">
      <c r="A1889" s="397" t="str">
        <f t="shared" si="67"/>
        <v>-</v>
      </c>
      <c r="F1889" s="496"/>
      <c r="G1889" s="398"/>
      <c r="I1889" t="s">
        <v>295</v>
      </c>
      <c r="J1889">
        <v>10672.199687987513</v>
      </c>
      <c r="K1889">
        <v>10683</v>
      </c>
      <c r="L1889" s="509">
        <f t="shared" si="68"/>
        <v>0.99898901881377078</v>
      </c>
    </row>
    <row r="1890" spans="1:12">
      <c r="A1890" s="397" t="str">
        <f t="shared" si="67"/>
        <v>-</v>
      </c>
      <c r="F1890" s="496"/>
      <c r="G1890" s="398"/>
      <c r="I1890" t="s">
        <v>581</v>
      </c>
      <c r="J1890">
        <v>11896.70469504171</v>
      </c>
      <c r="K1890">
        <v>11904</v>
      </c>
      <c r="L1890" s="509">
        <f t="shared" si="68"/>
        <v>0.99938715516143395</v>
      </c>
    </row>
    <row r="1891" spans="1:12">
      <c r="A1891" s="397" t="str">
        <f t="shared" si="67"/>
        <v>-</v>
      </c>
      <c r="F1891" s="496"/>
      <c r="G1891" s="398"/>
      <c r="I1891" t="s">
        <v>1851</v>
      </c>
      <c r="J1891">
        <v>8234.6875000000018</v>
      </c>
      <c r="K1891">
        <v>8239</v>
      </c>
      <c r="L1891" s="509">
        <f t="shared" si="68"/>
        <v>0.99947657482704233</v>
      </c>
    </row>
    <row r="1892" spans="1:12">
      <c r="A1892" s="397" t="str">
        <f t="shared" si="67"/>
        <v>-</v>
      </c>
      <c r="F1892" s="496"/>
      <c r="G1892" s="398"/>
      <c r="I1892" t="s">
        <v>420</v>
      </c>
      <c r="J1892">
        <v>9754.8611111111222</v>
      </c>
      <c r="K1892">
        <v>9756</v>
      </c>
      <c r="L1892" s="509">
        <f t="shared" si="68"/>
        <v>0.99988326272151729</v>
      </c>
    </row>
    <row r="1893" spans="1:12">
      <c r="A1893" s="397" t="str">
        <f t="shared" si="67"/>
        <v>-</v>
      </c>
      <c r="F1893" s="496"/>
      <c r="G1893" s="398"/>
      <c r="I1893" t="s">
        <v>281</v>
      </c>
      <c r="J1893">
        <v>6829.872036130997</v>
      </c>
      <c r="K1893">
        <v>6829</v>
      </c>
      <c r="L1893" s="509">
        <f t="shared" si="68"/>
        <v>1.0001276960215255</v>
      </c>
    </row>
    <row r="1894" spans="1:12">
      <c r="A1894" s="397" t="str">
        <f t="shared" si="67"/>
        <v>-</v>
      </c>
      <c r="F1894" s="496"/>
      <c r="G1894" s="398"/>
      <c r="I1894" t="s">
        <v>275</v>
      </c>
      <c r="J1894">
        <v>6449.2454441913778</v>
      </c>
      <c r="K1894">
        <v>6448</v>
      </c>
      <c r="L1894" s="509">
        <f t="shared" si="68"/>
        <v>1.0001931520147918</v>
      </c>
    </row>
    <row r="1895" spans="1:12">
      <c r="A1895" s="397" t="str">
        <f t="shared" si="67"/>
        <v>-</v>
      </c>
      <c r="F1895" s="496"/>
      <c r="G1895" s="398"/>
      <c r="I1895" t="s">
        <v>255</v>
      </c>
      <c r="J1895">
        <v>10551.097560975608</v>
      </c>
      <c r="K1895">
        <v>10548</v>
      </c>
      <c r="L1895" s="509">
        <f t="shared" si="68"/>
        <v>1.0002936633461896</v>
      </c>
    </row>
    <row r="1896" spans="1:12">
      <c r="A1896" s="397" t="str">
        <f t="shared" si="67"/>
        <v>-</v>
      </c>
      <c r="F1896" s="496"/>
      <c r="G1896" s="398"/>
      <c r="I1896" t="s">
        <v>142</v>
      </c>
      <c r="J1896">
        <v>9586.7473884140873</v>
      </c>
      <c r="K1896">
        <v>9581</v>
      </c>
      <c r="L1896" s="509">
        <f t="shared" si="68"/>
        <v>1.0005998735428543</v>
      </c>
    </row>
    <row r="1897" spans="1:12">
      <c r="A1897" s="397" t="str">
        <f t="shared" si="67"/>
        <v>-</v>
      </c>
      <c r="F1897" s="496"/>
      <c r="G1897" s="398"/>
      <c r="I1897" t="s">
        <v>301</v>
      </c>
      <c r="J1897">
        <v>10763.810289389075</v>
      </c>
      <c r="K1897">
        <v>10753</v>
      </c>
      <c r="L1897" s="509">
        <f t="shared" si="68"/>
        <v>1.001005327758679</v>
      </c>
    </row>
    <row r="1898" spans="1:12">
      <c r="A1898" s="397" t="str">
        <f t="shared" si="67"/>
        <v>-</v>
      </c>
      <c r="F1898" s="496"/>
      <c r="G1898" s="398"/>
      <c r="I1898" t="s">
        <v>151</v>
      </c>
      <c r="J1898">
        <v>10280.296296296316</v>
      </c>
      <c r="K1898">
        <v>10268</v>
      </c>
      <c r="L1898" s="509">
        <f t="shared" si="68"/>
        <v>1.0011975356735796</v>
      </c>
    </row>
    <row r="1899" spans="1:12">
      <c r="A1899" s="397" t="str">
        <f t="shared" si="67"/>
        <v>-</v>
      </c>
      <c r="F1899" s="496"/>
      <c r="G1899" s="398"/>
      <c r="I1899" t="s">
        <v>412</v>
      </c>
      <c r="J1899">
        <v>6941.476377952752</v>
      </c>
      <c r="K1899">
        <v>6933</v>
      </c>
      <c r="L1899" s="509">
        <f t="shared" si="68"/>
        <v>1.0012226132919013</v>
      </c>
    </row>
    <row r="1900" spans="1:12">
      <c r="A1900" s="397" t="str">
        <f t="shared" si="67"/>
        <v>-</v>
      </c>
      <c r="F1900" s="496"/>
      <c r="G1900" s="398"/>
      <c r="I1900" t="s">
        <v>563</v>
      </c>
      <c r="J1900">
        <v>12320.76530612247</v>
      </c>
      <c r="K1900">
        <v>12303</v>
      </c>
      <c r="L1900" s="509">
        <f t="shared" si="68"/>
        <v>1.001443981640451</v>
      </c>
    </row>
    <row r="1901" spans="1:12">
      <c r="A1901" s="397" t="str">
        <f t="shared" si="67"/>
        <v>-</v>
      </c>
      <c r="F1901" s="496"/>
      <c r="G1901" s="398"/>
      <c r="I1901" t="s">
        <v>262</v>
      </c>
      <c r="J1901">
        <v>11784.04929577467</v>
      </c>
      <c r="K1901">
        <v>11763</v>
      </c>
      <c r="L1901" s="509">
        <f t="shared" si="68"/>
        <v>1.0017894496110407</v>
      </c>
    </row>
    <row r="1902" spans="1:12">
      <c r="A1902" s="397" t="str">
        <f t="shared" si="67"/>
        <v>-</v>
      </c>
      <c r="F1902" s="496"/>
      <c r="G1902" s="398"/>
      <c r="I1902" t="s">
        <v>330</v>
      </c>
      <c r="J1902">
        <v>9287.8791946308775</v>
      </c>
      <c r="K1902">
        <v>9271</v>
      </c>
      <c r="L1902" s="509">
        <f t="shared" si="68"/>
        <v>1.0018206444429811</v>
      </c>
    </row>
    <row r="1903" spans="1:12">
      <c r="A1903" s="397" t="str">
        <f t="shared" si="67"/>
        <v>-</v>
      </c>
      <c r="F1903" s="496"/>
      <c r="G1903" s="398"/>
      <c r="I1903" t="s">
        <v>157</v>
      </c>
      <c r="J1903">
        <v>10500.211210398051</v>
      </c>
      <c r="K1903">
        <v>10481</v>
      </c>
      <c r="L1903" s="509">
        <f t="shared" si="68"/>
        <v>1.0018329558628043</v>
      </c>
    </row>
    <row r="1904" spans="1:12">
      <c r="A1904" s="397" t="str">
        <f t="shared" si="67"/>
        <v>-</v>
      </c>
      <c r="F1904" s="496"/>
      <c r="G1904" s="398"/>
      <c r="I1904" t="s">
        <v>163</v>
      </c>
      <c r="J1904">
        <v>10310.987654320974</v>
      </c>
      <c r="K1904">
        <v>10291</v>
      </c>
      <c r="L1904" s="509">
        <f t="shared" si="68"/>
        <v>1.0019422460714191</v>
      </c>
    </row>
    <row r="1905" spans="1:12">
      <c r="A1905" s="397" t="str">
        <f t="shared" si="67"/>
        <v>-</v>
      </c>
      <c r="F1905" s="496"/>
      <c r="G1905" s="398"/>
      <c r="I1905" t="s">
        <v>411</v>
      </c>
      <c r="J1905">
        <v>10869.776951672866</v>
      </c>
      <c r="K1905">
        <v>10848</v>
      </c>
      <c r="L1905" s="509">
        <f t="shared" si="68"/>
        <v>1.0020074623592243</v>
      </c>
    </row>
    <row r="1906" spans="1:12">
      <c r="A1906" s="397" t="str">
        <f t="shared" si="67"/>
        <v>-</v>
      </c>
      <c r="F1906" s="496"/>
      <c r="G1906" s="398"/>
      <c r="I1906" t="s">
        <v>206</v>
      </c>
      <c r="J1906">
        <v>12320.759289176098</v>
      </c>
      <c r="K1906">
        <v>12295</v>
      </c>
      <c r="L1906" s="509">
        <f t="shared" si="68"/>
        <v>1.0020951028203415</v>
      </c>
    </row>
    <row r="1907" spans="1:12">
      <c r="A1907" s="397" t="str">
        <f t="shared" si="67"/>
        <v>-</v>
      </c>
      <c r="F1907" s="496"/>
      <c r="G1907" s="398"/>
      <c r="I1907" t="s">
        <v>400</v>
      </c>
      <c r="J1907">
        <v>11835.323383084555</v>
      </c>
      <c r="K1907">
        <v>11806</v>
      </c>
      <c r="L1907" s="509">
        <f t="shared" si="68"/>
        <v>1.0024837695311328</v>
      </c>
    </row>
    <row r="1908" spans="1:12">
      <c r="A1908" s="397" t="str">
        <f t="shared" si="67"/>
        <v>-</v>
      </c>
      <c r="F1908" s="496"/>
      <c r="G1908" s="398"/>
      <c r="I1908" t="s">
        <v>173</v>
      </c>
      <c r="J1908">
        <v>4675.9315323707533</v>
      </c>
      <c r="K1908">
        <v>4664</v>
      </c>
      <c r="L1908" s="509">
        <f t="shared" si="68"/>
        <v>1.0025582187758906</v>
      </c>
    </row>
    <row r="1909" spans="1:12">
      <c r="A1909" s="397" t="str">
        <f t="shared" si="67"/>
        <v>-</v>
      </c>
      <c r="F1909" s="496"/>
      <c r="G1909" s="398"/>
      <c r="I1909" t="s">
        <v>180</v>
      </c>
      <c r="J1909">
        <v>11830</v>
      </c>
      <c r="K1909">
        <v>11792</v>
      </c>
      <c r="L1909" s="509">
        <f t="shared" si="68"/>
        <v>1.0032225237449117</v>
      </c>
    </row>
    <row r="1910" spans="1:12">
      <c r="A1910" s="397" t="str">
        <f t="shared" si="67"/>
        <v>-</v>
      </c>
      <c r="F1910" s="496"/>
      <c r="G1910" s="398"/>
      <c r="I1910" t="s">
        <v>280</v>
      </c>
      <c r="J1910">
        <v>6486.3339253996064</v>
      </c>
      <c r="K1910">
        <v>6464</v>
      </c>
      <c r="L1910" s="509">
        <f t="shared" si="68"/>
        <v>1.0034551245977115</v>
      </c>
    </row>
    <row r="1911" spans="1:12">
      <c r="A1911" s="397" t="str">
        <f t="shared" ref="A1911:A1974" si="69">B1911&amp;"-"&amp;C1911</f>
        <v>-</v>
      </c>
      <c r="F1911" s="496"/>
      <c r="G1911" s="398"/>
      <c r="I1911" t="s">
        <v>419</v>
      </c>
      <c r="J1911">
        <v>9092.1362799263479</v>
      </c>
      <c r="K1911">
        <v>9059</v>
      </c>
      <c r="L1911" s="509">
        <f t="shared" si="68"/>
        <v>1.0036578297744065</v>
      </c>
    </row>
    <row r="1912" spans="1:12">
      <c r="A1912" s="397" t="str">
        <f t="shared" si="69"/>
        <v>-</v>
      </c>
      <c r="F1912" s="496"/>
      <c r="G1912" s="398"/>
      <c r="I1912" t="s">
        <v>555</v>
      </c>
      <c r="J1912">
        <v>16329.27272727273</v>
      </c>
      <c r="K1912">
        <v>16267</v>
      </c>
      <c r="L1912" s="509">
        <f t="shared" si="68"/>
        <v>1.0038281629847379</v>
      </c>
    </row>
    <row r="1913" spans="1:12">
      <c r="A1913" s="397" t="str">
        <f t="shared" si="69"/>
        <v>-</v>
      </c>
      <c r="F1913" s="496"/>
      <c r="G1913" s="398"/>
      <c r="I1913" t="s">
        <v>190</v>
      </c>
      <c r="J1913">
        <v>10764.502014968351</v>
      </c>
      <c r="K1913">
        <v>10723</v>
      </c>
      <c r="L1913" s="509">
        <f t="shared" si="68"/>
        <v>1.0038703734932717</v>
      </c>
    </row>
    <row r="1914" spans="1:12">
      <c r="A1914" s="397" t="str">
        <f t="shared" si="69"/>
        <v>-</v>
      </c>
      <c r="F1914" s="496"/>
      <c r="G1914" s="398"/>
      <c r="I1914" t="s">
        <v>565</v>
      </c>
      <c r="J1914">
        <v>9160.7692307692305</v>
      </c>
      <c r="K1914">
        <v>9125</v>
      </c>
      <c r="L1914" s="509">
        <f t="shared" si="68"/>
        <v>1.0039199157007377</v>
      </c>
    </row>
    <row r="1915" spans="1:12">
      <c r="A1915" s="397" t="str">
        <f t="shared" si="69"/>
        <v>-</v>
      </c>
      <c r="F1915" s="496"/>
      <c r="G1915" s="398"/>
      <c r="I1915" t="s">
        <v>298</v>
      </c>
      <c r="J1915">
        <v>8844.0601503759426</v>
      </c>
      <c r="K1915">
        <v>8809</v>
      </c>
      <c r="L1915" s="509">
        <f t="shared" si="68"/>
        <v>1.0039800375043639</v>
      </c>
    </row>
    <row r="1916" spans="1:12">
      <c r="A1916" s="397" t="str">
        <f t="shared" si="69"/>
        <v>-</v>
      </c>
      <c r="F1916" s="496"/>
      <c r="G1916" s="398"/>
      <c r="I1916" t="s">
        <v>336</v>
      </c>
      <c r="J1916">
        <v>9746.0256410256516</v>
      </c>
      <c r="K1916">
        <v>9707</v>
      </c>
      <c r="L1916" s="509">
        <f t="shared" si="68"/>
        <v>1.0040203606702021</v>
      </c>
    </row>
    <row r="1917" spans="1:12">
      <c r="A1917" s="397" t="str">
        <f t="shared" si="69"/>
        <v>-</v>
      </c>
      <c r="F1917" s="496"/>
      <c r="G1917" s="398"/>
      <c r="I1917" t="s">
        <v>183</v>
      </c>
      <c r="J1917">
        <v>12166.574074074082</v>
      </c>
      <c r="K1917">
        <v>12114</v>
      </c>
      <c r="L1917" s="509">
        <f t="shared" si="68"/>
        <v>1.0043399433774214</v>
      </c>
    </row>
    <row r="1918" spans="1:12">
      <c r="A1918" s="397" t="str">
        <f t="shared" si="69"/>
        <v>-</v>
      </c>
      <c r="F1918" s="496"/>
      <c r="G1918" s="398"/>
      <c r="I1918" t="s">
        <v>177</v>
      </c>
      <c r="J1918">
        <v>11349.655172413784</v>
      </c>
      <c r="K1918">
        <v>11299</v>
      </c>
      <c r="L1918" s="509">
        <f t="shared" si="68"/>
        <v>1.0044831553601012</v>
      </c>
    </row>
    <row r="1919" spans="1:12">
      <c r="A1919" s="397" t="str">
        <f t="shared" si="69"/>
        <v>-</v>
      </c>
      <c r="F1919" s="496"/>
      <c r="G1919" s="398"/>
      <c r="I1919" t="s">
        <v>404</v>
      </c>
      <c r="J1919">
        <v>10984.259776536299</v>
      </c>
      <c r="K1919">
        <v>10935</v>
      </c>
      <c r="L1919" s="509">
        <f t="shared" si="68"/>
        <v>1.0045047806617557</v>
      </c>
    </row>
    <row r="1920" spans="1:12">
      <c r="A1920" s="397" t="str">
        <f t="shared" si="69"/>
        <v>-</v>
      </c>
      <c r="F1920" s="496"/>
      <c r="G1920" s="398"/>
      <c r="I1920" t="s">
        <v>162</v>
      </c>
      <c r="J1920">
        <v>8141.2956810631222</v>
      </c>
      <c r="K1920">
        <v>8104</v>
      </c>
      <c r="L1920" s="509">
        <f t="shared" si="68"/>
        <v>1.0046021324115402</v>
      </c>
    </row>
    <row r="1921" spans="1:12">
      <c r="A1921" s="397" t="str">
        <f t="shared" si="69"/>
        <v>-</v>
      </c>
      <c r="F1921" s="496"/>
      <c r="G1921" s="398"/>
      <c r="I1921" t="s">
        <v>556</v>
      </c>
      <c r="J1921">
        <v>16155.360863095182</v>
      </c>
      <c r="K1921">
        <v>16080</v>
      </c>
      <c r="L1921" s="509">
        <f t="shared" si="68"/>
        <v>1.0046866208392526</v>
      </c>
    </row>
    <row r="1922" spans="1:12">
      <c r="A1922" s="397" t="str">
        <f t="shared" si="69"/>
        <v>-</v>
      </c>
      <c r="F1922" s="496"/>
      <c r="G1922" s="398"/>
      <c r="I1922" t="s">
        <v>75</v>
      </c>
      <c r="J1922">
        <v>10782.453468697173</v>
      </c>
      <c r="K1922">
        <v>10732</v>
      </c>
      <c r="L1922" s="509">
        <f t="shared" si="68"/>
        <v>1.0047012177317529</v>
      </c>
    </row>
    <row r="1923" spans="1:12">
      <c r="A1923" s="397" t="str">
        <f t="shared" si="69"/>
        <v>-</v>
      </c>
      <c r="F1923" s="496"/>
      <c r="G1923" s="398"/>
      <c r="I1923" t="s">
        <v>86</v>
      </c>
      <c r="J1923">
        <v>8902.5225225225095</v>
      </c>
      <c r="K1923">
        <v>8859</v>
      </c>
      <c r="L1923" s="509">
        <f t="shared" si="68"/>
        <v>1.0049128030841528</v>
      </c>
    </row>
    <row r="1924" spans="1:12">
      <c r="A1924" s="397" t="str">
        <f t="shared" si="69"/>
        <v>-</v>
      </c>
      <c r="F1924" s="496"/>
      <c r="G1924" s="398"/>
      <c r="I1924" t="s">
        <v>423</v>
      </c>
      <c r="J1924">
        <v>10001.273031825798</v>
      </c>
      <c r="K1924">
        <v>9952</v>
      </c>
      <c r="L1924" s="509">
        <f t="shared" si="68"/>
        <v>1.0049510683104701</v>
      </c>
    </row>
    <row r="1925" spans="1:12">
      <c r="A1925" s="397" t="str">
        <f t="shared" si="69"/>
        <v>-</v>
      </c>
      <c r="F1925" s="496"/>
      <c r="G1925" s="398"/>
      <c r="I1925" t="s">
        <v>43</v>
      </c>
      <c r="J1925">
        <v>5976.3832487309101</v>
      </c>
      <c r="K1925">
        <v>5946</v>
      </c>
      <c r="L1925" s="509">
        <f t="shared" si="68"/>
        <v>1.0051098635605298</v>
      </c>
    </row>
    <row r="1926" spans="1:12">
      <c r="A1926" s="397" t="str">
        <f t="shared" si="69"/>
        <v>-</v>
      </c>
      <c r="F1926" s="496"/>
      <c r="G1926" s="398"/>
      <c r="I1926" t="s">
        <v>249</v>
      </c>
      <c r="J1926">
        <v>7957.6183819674998</v>
      </c>
      <c r="K1926">
        <v>7916</v>
      </c>
      <c r="L1926" s="509">
        <f t="shared" si="68"/>
        <v>1.0052575015118115</v>
      </c>
    </row>
    <row r="1927" spans="1:12">
      <c r="A1927" s="397" t="str">
        <f t="shared" si="69"/>
        <v>-</v>
      </c>
      <c r="F1927" s="496"/>
      <c r="G1927" s="398"/>
      <c r="I1927" t="s">
        <v>346</v>
      </c>
      <c r="J1927">
        <v>12415.552523874474</v>
      </c>
      <c r="K1927">
        <v>12348</v>
      </c>
      <c r="L1927" s="509">
        <f t="shared" ref="L1927:L1990" si="70">J1927/K1927</f>
        <v>1.0054707259373561</v>
      </c>
    </row>
    <row r="1928" spans="1:12">
      <c r="A1928" s="397" t="str">
        <f t="shared" si="69"/>
        <v>-</v>
      </c>
      <c r="F1928" s="496"/>
      <c r="G1928" s="398"/>
      <c r="I1928" t="s">
        <v>307</v>
      </c>
      <c r="J1928">
        <v>8799.6802131912627</v>
      </c>
      <c r="K1928">
        <v>8750</v>
      </c>
      <c r="L1928" s="509">
        <f t="shared" si="70"/>
        <v>1.0056777386504301</v>
      </c>
    </row>
    <row r="1929" spans="1:12">
      <c r="A1929" s="397" t="str">
        <f t="shared" si="69"/>
        <v>-</v>
      </c>
      <c r="F1929" s="496"/>
      <c r="G1929" s="398"/>
      <c r="I1929" t="s">
        <v>61</v>
      </c>
      <c r="J1929">
        <v>7545.4383735705314</v>
      </c>
      <c r="K1929">
        <v>7502</v>
      </c>
      <c r="L1929" s="509">
        <f t="shared" si="70"/>
        <v>1.0057902390789832</v>
      </c>
    </row>
    <row r="1930" spans="1:12">
      <c r="A1930" s="397" t="str">
        <f t="shared" si="69"/>
        <v>-</v>
      </c>
      <c r="F1930" s="496"/>
      <c r="G1930" s="398"/>
      <c r="I1930" t="s">
        <v>160</v>
      </c>
      <c r="J1930">
        <v>8154.1812719078307</v>
      </c>
      <c r="K1930">
        <v>8104</v>
      </c>
      <c r="L1930" s="509">
        <f t="shared" si="70"/>
        <v>1.0061921608968203</v>
      </c>
    </row>
    <row r="1931" spans="1:12">
      <c r="A1931" s="397" t="str">
        <f t="shared" si="69"/>
        <v>-</v>
      </c>
      <c r="F1931" s="496"/>
      <c r="G1931" s="398"/>
      <c r="I1931" t="s">
        <v>208</v>
      </c>
      <c r="J1931">
        <v>7141.2227602905559</v>
      </c>
      <c r="K1931">
        <v>7096</v>
      </c>
      <c r="L1931" s="509">
        <f t="shared" si="70"/>
        <v>1.0063729932765721</v>
      </c>
    </row>
    <row r="1932" spans="1:12">
      <c r="A1932" s="397" t="str">
        <f t="shared" si="69"/>
        <v>-</v>
      </c>
      <c r="F1932" s="496"/>
      <c r="G1932" s="398"/>
      <c r="I1932" t="s">
        <v>576</v>
      </c>
      <c r="J1932">
        <v>10694.780033840856</v>
      </c>
      <c r="K1932">
        <v>10625</v>
      </c>
      <c r="L1932" s="509">
        <f t="shared" si="70"/>
        <v>1.0065675325967864</v>
      </c>
    </row>
    <row r="1933" spans="1:12">
      <c r="A1933" s="397" t="str">
        <f t="shared" si="69"/>
        <v>-</v>
      </c>
      <c r="F1933" s="496"/>
      <c r="G1933" s="398"/>
      <c r="I1933" t="s">
        <v>49</v>
      </c>
      <c r="J1933">
        <v>6167.6628352490525</v>
      </c>
      <c r="K1933">
        <v>6126</v>
      </c>
      <c r="L1933" s="509">
        <f t="shared" si="70"/>
        <v>1.0068009851859374</v>
      </c>
    </row>
    <row r="1934" spans="1:12">
      <c r="A1934" s="397" t="str">
        <f t="shared" si="69"/>
        <v>-</v>
      </c>
      <c r="F1934" s="496"/>
      <c r="G1934" s="398"/>
      <c r="I1934" t="s">
        <v>332</v>
      </c>
      <c r="J1934">
        <v>9840.0793650793585</v>
      </c>
      <c r="K1934">
        <v>9773</v>
      </c>
      <c r="L1934" s="509">
        <f t="shared" si="70"/>
        <v>1.0068637434850465</v>
      </c>
    </row>
    <row r="1935" spans="1:12">
      <c r="A1935" s="397" t="str">
        <f t="shared" si="69"/>
        <v>-</v>
      </c>
      <c r="F1935" s="496"/>
      <c r="G1935" s="398"/>
      <c r="I1935" t="s">
        <v>138</v>
      </c>
      <c r="J1935">
        <v>8555.2043269231071</v>
      </c>
      <c r="K1935">
        <v>8496</v>
      </c>
      <c r="L1935" s="509">
        <f t="shared" si="70"/>
        <v>1.0069684942235295</v>
      </c>
    </row>
    <row r="1936" spans="1:12">
      <c r="A1936" s="397" t="str">
        <f t="shared" si="69"/>
        <v>-</v>
      </c>
      <c r="F1936" s="496"/>
      <c r="G1936" s="398"/>
      <c r="I1936" t="s">
        <v>334</v>
      </c>
      <c r="J1936">
        <v>12685.398550724651</v>
      </c>
      <c r="K1936">
        <v>12597</v>
      </c>
      <c r="L1936" s="509">
        <f t="shared" si="70"/>
        <v>1.0070174288104032</v>
      </c>
    </row>
    <row r="1937" spans="1:12">
      <c r="A1937" s="397" t="str">
        <f t="shared" si="69"/>
        <v>-</v>
      </c>
      <c r="F1937" s="496"/>
      <c r="G1937" s="398"/>
      <c r="I1937" t="s">
        <v>258</v>
      </c>
      <c r="J1937">
        <v>8811.9986645893805</v>
      </c>
      <c r="K1937">
        <v>8750</v>
      </c>
      <c r="L1937" s="509">
        <f t="shared" si="70"/>
        <v>1.0070855616673577</v>
      </c>
    </row>
    <row r="1938" spans="1:12">
      <c r="A1938" s="397" t="str">
        <f t="shared" si="69"/>
        <v>-</v>
      </c>
      <c r="F1938" s="496"/>
      <c r="G1938" s="398"/>
      <c r="I1938" t="s">
        <v>186</v>
      </c>
      <c r="J1938">
        <v>7608.9306291772473</v>
      </c>
      <c r="K1938">
        <v>7546</v>
      </c>
      <c r="L1938" s="509">
        <f t="shared" si="70"/>
        <v>1.008339601004141</v>
      </c>
    </row>
    <row r="1939" spans="1:12">
      <c r="A1939" s="397" t="str">
        <f t="shared" si="69"/>
        <v>-</v>
      </c>
      <c r="F1939" s="496"/>
      <c r="G1939" s="398"/>
      <c r="I1939" t="s">
        <v>73</v>
      </c>
      <c r="J1939">
        <v>5486.6666666666724</v>
      </c>
      <c r="K1939">
        <v>5441</v>
      </c>
      <c r="L1939" s="509">
        <f t="shared" si="70"/>
        <v>1.0083930650003075</v>
      </c>
    </row>
    <row r="1940" spans="1:12">
      <c r="A1940" s="397" t="str">
        <f t="shared" si="69"/>
        <v>-</v>
      </c>
      <c r="F1940" s="496"/>
      <c r="G1940" s="398"/>
      <c r="I1940" t="s">
        <v>416</v>
      </c>
      <c r="J1940">
        <v>13631.199999999999</v>
      </c>
      <c r="K1940">
        <v>13511</v>
      </c>
      <c r="L1940" s="509">
        <f t="shared" si="70"/>
        <v>1.0088964547405816</v>
      </c>
    </row>
    <row r="1941" spans="1:12">
      <c r="A1941" s="397" t="str">
        <f t="shared" si="69"/>
        <v>-</v>
      </c>
      <c r="F1941" s="496"/>
      <c r="G1941" s="398"/>
      <c r="I1941" t="s">
        <v>343</v>
      </c>
      <c r="J1941">
        <v>7451.8701298701317</v>
      </c>
      <c r="K1941">
        <v>7386</v>
      </c>
      <c r="L1941" s="509">
        <f t="shared" si="70"/>
        <v>1.0089182412496793</v>
      </c>
    </row>
    <row r="1942" spans="1:12">
      <c r="A1942" s="397" t="str">
        <f t="shared" si="69"/>
        <v>-</v>
      </c>
      <c r="F1942" s="496"/>
      <c r="G1942" s="398"/>
      <c r="I1942" t="s">
        <v>189</v>
      </c>
      <c r="J1942">
        <v>9049.4902093180026</v>
      </c>
      <c r="K1942">
        <v>8969</v>
      </c>
      <c r="L1942" s="509">
        <f t="shared" si="70"/>
        <v>1.0089742679583011</v>
      </c>
    </row>
    <row r="1943" spans="1:12">
      <c r="A1943" s="397" t="str">
        <f t="shared" si="69"/>
        <v>-</v>
      </c>
      <c r="F1943" s="496"/>
      <c r="G1943" s="398"/>
      <c r="I1943" t="s">
        <v>58</v>
      </c>
      <c r="J1943">
        <v>8490.205580029351</v>
      </c>
      <c r="K1943">
        <v>8413</v>
      </c>
      <c r="L1943" s="509">
        <f t="shared" si="70"/>
        <v>1.0091769380755202</v>
      </c>
    </row>
    <row r="1944" spans="1:12">
      <c r="A1944" s="397" t="str">
        <f t="shared" si="69"/>
        <v>-</v>
      </c>
      <c r="F1944" s="496"/>
      <c r="G1944" s="398"/>
      <c r="I1944" t="s">
        <v>220</v>
      </c>
      <c r="J1944">
        <v>14103.103448275844</v>
      </c>
      <c r="K1944">
        <v>13974</v>
      </c>
      <c r="L1944" s="509">
        <f t="shared" si="70"/>
        <v>1.0092388327090198</v>
      </c>
    </row>
    <row r="1945" spans="1:12">
      <c r="A1945" s="397" t="str">
        <f t="shared" si="69"/>
        <v>-</v>
      </c>
      <c r="F1945" s="496"/>
      <c r="G1945" s="398"/>
      <c r="I1945" t="s">
        <v>221</v>
      </c>
      <c r="J1945">
        <v>8923.9378513098145</v>
      </c>
      <c r="K1945">
        <v>8842</v>
      </c>
      <c r="L1945" s="509">
        <f t="shared" si="70"/>
        <v>1.009266891123028</v>
      </c>
    </row>
    <row r="1946" spans="1:12">
      <c r="A1946" s="397" t="str">
        <f t="shared" si="69"/>
        <v>-</v>
      </c>
      <c r="F1946" s="496"/>
      <c r="G1946" s="398"/>
      <c r="I1946" t="s">
        <v>433</v>
      </c>
      <c r="J1946">
        <v>8166.3657086224275</v>
      </c>
      <c r="K1946">
        <v>8089</v>
      </c>
      <c r="L1946" s="509">
        <f t="shared" si="70"/>
        <v>1.0095643106221321</v>
      </c>
    </row>
    <row r="1947" spans="1:12">
      <c r="A1947" s="397" t="str">
        <f t="shared" si="69"/>
        <v>-</v>
      </c>
      <c r="F1947" s="496"/>
      <c r="G1947" s="398"/>
      <c r="I1947" t="s">
        <v>187</v>
      </c>
      <c r="J1947">
        <v>10234.761904761937</v>
      </c>
      <c r="K1947">
        <v>10130</v>
      </c>
      <c r="L1947" s="509">
        <f t="shared" si="70"/>
        <v>1.0103417477553738</v>
      </c>
    </row>
    <row r="1948" spans="1:12">
      <c r="A1948" s="397" t="str">
        <f t="shared" si="69"/>
        <v>-</v>
      </c>
      <c r="F1948" s="496"/>
      <c r="G1948" s="398"/>
      <c r="I1948" t="s">
        <v>254</v>
      </c>
      <c r="J1948">
        <v>9088.3540802212592</v>
      </c>
      <c r="K1948">
        <v>8991</v>
      </c>
      <c r="L1948" s="509">
        <f t="shared" si="70"/>
        <v>1.0108279479725568</v>
      </c>
    </row>
    <row r="1949" spans="1:12">
      <c r="A1949" s="397" t="str">
        <f t="shared" si="69"/>
        <v>-</v>
      </c>
      <c r="F1949" s="496"/>
      <c r="G1949" s="398"/>
      <c r="I1949" t="s">
        <v>247</v>
      </c>
      <c r="J1949">
        <v>15171.44144144146</v>
      </c>
      <c r="K1949">
        <v>15007</v>
      </c>
      <c r="L1949" s="509">
        <f t="shared" si="70"/>
        <v>1.0109576491931405</v>
      </c>
    </row>
    <row r="1950" spans="1:12">
      <c r="A1950" s="397" t="str">
        <f t="shared" si="69"/>
        <v>-</v>
      </c>
      <c r="F1950" s="496"/>
      <c r="G1950" s="398"/>
      <c r="I1950" t="s">
        <v>476</v>
      </c>
      <c r="J1950">
        <v>12660.767097966707</v>
      </c>
      <c r="K1950">
        <v>12523</v>
      </c>
      <c r="L1950" s="509">
        <f t="shared" si="70"/>
        <v>1.0110011257659273</v>
      </c>
    </row>
    <row r="1951" spans="1:12">
      <c r="A1951" s="397" t="str">
        <f t="shared" si="69"/>
        <v>-</v>
      </c>
      <c r="F1951" s="496"/>
      <c r="G1951" s="398"/>
      <c r="I1951" t="s">
        <v>207</v>
      </c>
      <c r="J1951">
        <v>13481.811175337185</v>
      </c>
      <c r="K1951">
        <v>13335</v>
      </c>
      <c r="L1951" s="509">
        <f t="shared" si="70"/>
        <v>1.0110094619675429</v>
      </c>
    </row>
    <row r="1952" spans="1:12">
      <c r="A1952" s="397" t="str">
        <f t="shared" si="69"/>
        <v>-</v>
      </c>
      <c r="F1952" s="496"/>
      <c r="G1952" s="398"/>
      <c r="I1952" t="s">
        <v>406</v>
      </c>
      <c r="J1952">
        <v>11553.09352517984</v>
      </c>
      <c r="K1952">
        <v>11421</v>
      </c>
      <c r="L1952" s="509">
        <f t="shared" si="70"/>
        <v>1.0115658458260959</v>
      </c>
    </row>
    <row r="1953" spans="1:12">
      <c r="A1953" s="397" t="str">
        <f t="shared" si="69"/>
        <v>-</v>
      </c>
      <c r="F1953" s="496"/>
      <c r="G1953" s="398"/>
      <c r="I1953" t="s">
        <v>284</v>
      </c>
      <c r="J1953">
        <v>12173.648648648657</v>
      </c>
      <c r="K1953">
        <v>12032</v>
      </c>
      <c r="L1953" s="509">
        <f t="shared" si="70"/>
        <v>1.0117726602932726</v>
      </c>
    </row>
    <row r="1954" spans="1:12">
      <c r="A1954" s="397" t="str">
        <f t="shared" si="69"/>
        <v>-</v>
      </c>
      <c r="F1954" s="496"/>
      <c r="G1954" s="398"/>
      <c r="I1954" t="s">
        <v>159</v>
      </c>
      <c r="J1954">
        <v>9154.1646904897298</v>
      </c>
      <c r="K1954">
        <v>9047</v>
      </c>
      <c r="L1954" s="509">
        <f t="shared" si="70"/>
        <v>1.0118453288924207</v>
      </c>
    </row>
    <row r="1955" spans="1:12">
      <c r="A1955" s="397" t="str">
        <f t="shared" si="69"/>
        <v>-</v>
      </c>
      <c r="F1955" s="496"/>
      <c r="G1955" s="398"/>
      <c r="I1955" t="s">
        <v>63</v>
      </c>
      <c r="J1955">
        <v>8686.5531619179728</v>
      </c>
      <c r="K1955">
        <v>8584</v>
      </c>
      <c r="L1955" s="509">
        <f t="shared" si="70"/>
        <v>1.011947013270966</v>
      </c>
    </row>
    <row r="1956" spans="1:12">
      <c r="A1956" s="397" t="str">
        <f t="shared" si="69"/>
        <v>-</v>
      </c>
      <c r="F1956" s="496"/>
      <c r="G1956" s="398"/>
      <c r="I1956" t="s">
        <v>303</v>
      </c>
      <c r="J1956">
        <v>10846.258913878235</v>
      </c>
      <c r="K1956">
        <v>10715</v>
      </c>
      <c r="L1956" s="509">
        <f t="shared" si="70"/>
        <v>1.0122500152942824</v>
      </c>
    </row>
    <row r="1957" spans="1:12">
      <c r="A1957" s="397" t="str">
        <f t="shared" si="69"/>
        <v>-</v>
      </c>
      <c r="F1957" s="496"/>
      <c r="G1957" s="398"/>
      <c r="I1957" t="s">
        <v>185</v>
      </c>
      <c r="J1957">
        <v>10288.389206868334</v>
      </c>
      <c r="K1957">
        <v>10163</v>
      </c>
      <c r="L1957" s="509">
        <f t="shared" si="70"/>
        <v>1.0123378143135231</v>
      </c>
    </row>
    <row r="1958" spans="1:12">
      <c r="A1958" s="397" t="str">
        <f t="shared" si="69"/>
        <v>-</v>
      </c>
      <c r="F1958" s="496"/>
      <c r="G1958" s="398"/>
      <c r="I1958" t="s">
        <v>245</v>
      </c>
      <c r="J1958">
        <v>14417.165354330711</v>
      </c>
      <c r="K1958">
        <v>14240</v>
      </c>
      <c r="L1958" s="509">
        <f t="shared" si="70"/>
        <v>1.0124413872423252</v>
      </c>
    </row>
    <row r="1959" spans="1:12">
      <c r="A1959" s="397" t="str">
        <f t="shared" si="69"/>
        <v>-</v>
      </c>
      <c r="F1959" s="496"/>
      <c r="G1959" s="398"/>
      <c r="I1959" t="s">
        <v>410</v>
      </c>
      <c r="J1959">
        <v>6227.5625000000082</v>
      </c>
      <c r="K1959">
        <v>6151</v>
      </c>
      <c r="L1959" s="509">
        <f t="shared" si="70"/>
        <v>1.0124471630629179</v>
      </c>
    </row>
    <row r="1960" spans="1:12">
      <c r="A1960" s="397" t="str">
        <f t="shared" si="69"/>
        <v>-</v>
      </c>
      <c r="F1960" s="496"/>
      <c r="G1960" s="398"/>
      <c r="I1960" t="s">
        <v>202</v>
      </c>
      <c r="J1960">
        <v>12506.010928961767</v>
      </c>
      <c r="K1960">
        <v>12352</v>
      </c>
      <c r="L1960" s="509">
        <f t="shared" si="70"/>
        <v>1.0124685013732</v>
      </c>
    </row>
    <row r="1961" spans="1:12">
      <c r="A1961" s="397" t="str">
        <f t="shared" si="69"/>
        <v>-</v>
      </c>
      <c r="F1961" s="496"/>
      <c r="G1961" s="398"/>
      <c r="I1961" t="s">
        <v>234</v>
      </c>
      <c r="J1961">
        <v>12435.923344947738</v>
      </c>
      <c r="K1961">
        <v>12278</v>
      </c>
      <c r="L1961" s="509">
        <f t="shared" si="70"/>
        <v>1.0128623020807737</v>
      </c>
    </row>
    <row r="1962" spans="1:12">
      <c r="A1962" s="397" t="str">
        <f t="shared" si="69"/>
        <v>-</v>
      </c>
      <c r="F1962" s="496"/>
      <c r="G1962" s="398"/>
      <c r="I1962" t="s">
        <v>158</v>
      </c>
      <c r="J1962">
        <v>10151.4972196862</v>
      </c>
      <c r="K1962">
        <v>10017</v>
      </c>
      <c r="L1962" s="509">
        <f t="shared" si="70"/>
        <v>1.0134268962450035</v>
      </c>
    </row>
    <row r="1963" spans="1:12">
      <c r="A1963" s="397" t="str">
        <f t="shared" si="69"/>
        <v>-</v>
      </c>
      <c r="F1963" s="496"/>
      <c r="G1963" s="398"/>
      <c r="I1963" t="s">
        <v>174</v>
      </c>
      <c r="J1963">
        <v>10610.075503355702</v>
      </c>
      <c r="K1963">
        <v>10466</v>
      </c>
      <c r="L1963" s="509">
        <f t="shared" si="70"/>
        <v>1.0137660522984617</v>
      </c>
    </row>
    <row r="1964" spans="1:12">
      <c r="A1964" s="397" t="str">
        <f t="shared" si="69"/>
        <v>-</v>
      </c>
      <c r="F1964" s="496"/>
      <c r="G1964" s="398"/>
      <c r="I1964" t="s">
        <v>387</v>
      </c>
      <c r="J1964">
        <v>5376.3825136612195</v>
      </c>
      <c r="K1964">
        <v>5303</v>
      </c>
      <c r="L1964" s="509">
        <f t="shared" si="70"/>
        <v>1.013837924507113</v>
      </c>
    </row>
    <row r="1965" spans="1:12">
      <c r="A1965" s="397" t="str">
        <f t="shared" si="69"/>
        <v>-</v>
      </c>
      <c r="F1965" s="496"/>
      <c r="G1965" s="398"/>
      <c r="I1965" t="s">
        <v>261</v>
      </c>
      <c r="J1965">
        <v>7589.6534148828514</v>
      </c>
      <c r="K1965">
        <v>7481</v>
      </c>
      <c r="L1965" s="509">
        <f t="shared" si="70"/>
        <v>1.0145239159046719</v>
      </c>
    </row>
    <row r="1966" spans="1:12">
      <c r="A1966" s="397" t="str">
        <f t="shared" si="69"/>
        <v>-</v>
      </c>
      <c r="F1966" s="496"/>
      <c r="G1966" s="398"/>
      <c r="I1966" t="s">
        <v>582</v>
      </c>
      <c r="J1966">
        <v>8247.7082607183074</v>
      </c>
      <c r="K1966">
        <v>8124</v>
      </c>
      <c r="L1966" s="509">
        <f t="shared" si="70"/>
        <v>1.0152275062430216</v>
      </c>
    </row>
    <row r="1967" spans="1:12">
      <c r="A1967" s="397" t="str">
        <f t="shared" si="69"/>
        <v>-</v>
      </c>
      <c r="F1967" s="496"/>
      <c r="G1967" s="398"/>
      <c r="I1967" t="s">
        <v>88</v>
      </c>
      <c r="J1967">
        <v>6551.4432989690795</v>
      </c>
      <c r="K1967">
        <v>6435</v>
      </c>
      <c r="L1967" s="509">
        <f t="shared" si="70"/>
        <v>1.0180953067551017</v>
      </c>
    </row>
    <row r="1968" spans="1:12">
      <c r="A1968" s="397" t="str">
        <f t="shared" si="69"/>
        <v>-</v>
      </c>
      <c r="F1968" s="496"/>
      <c r="G1968" s="398"/>
      <c r="I1968" t="s">
        <v>421</v>
      </c>
      <c r="J1968">
        <v>9413.8935574229599</v>
      </c>
      <c r="K1968">
        <v>9516</v>
      </c>
      <c r="L1968" s="509">
        <f t="shared" si="70"/>
        <v>0.98927002494986971</v>
      </c>
    </row>
    <row r="1969" spans="1:12">
      <c r="A1969" s="397" t="str">
        <f t="shared" si="69"/>
        <v>-</v>
      </c>
      <c r="F1969" s="496"/>
      <c r="G1969" s="398"/>
      <c r="I1969" t="s">
        <v>138</v>
      </c>
      <c r="J1969">
        <v>8437.5</v>
      </c>
      <c r="K1969">
        <v>8527</v>
      </c>
      <c r="L1969" s="509">
        <f t="shared" si="70"/>
        <v>0.98950392869707982</v>
      </c>
    </row>
    <row r="1970" spans="1:12">
      <c r="A1970" s="397" t="str">
        <f t="shared" si="69"/>
        <v>-</v>
      </c>
      <c r="F1970" s="496"/>
      <c r="G1970" s="398"/>
      <c r="I1970" t="s">
        <v>302</v>
      </c>
      <c r="J1970">
        <v>8454.9438202247147</v>
      </c>
      <c r="K1970">
        <v>8534</v>
      </c>
      <c r="L1970" s="509">
        <f t="shared" si="70"/>
        <v>0.9907363276569856</v>
      </c>
    </row>
    <row r="1971" spans="1:12">
      <c r="A1971" s="397" t="str">
        <f t="shared" si="69"/>
        <v>-</v>
      </c>
      <c r="F1971" s="496"/>
      <c r="G1971" s="398"/>
      <c r="I1971" t="s">
        <v>424</v>
      </c>
      <c r="J1971">
        <v>9694.5038167939019</v>
      </c>
      <c r="K1971">
        <v>9777</v>
      </c>
      <c r="L1971" s="509">
        <f t="shared" si="70"/>
        <v>0.99156221916681009</v>
      </c>
    </row>
    <row r="1972" spans="1:12">
      <c r="A1972" s="397" t="str">
        <f t="shared" si="69"/>
        <v>-</v>
      </c>
      <c r="F1972" s="496"/>
      <c r="G1972" s="398"/>
      <c r="I1972" t="s">
        <v>431</v>
      </c>
      <c r="J1972">
        <v>6492.3871614844265</v>
      </c>
      <c r="K1972">
        <v>6546</v>
      </c>
      <c r="L1972" s="509">
        <f t="shared" si="70"/>
        <v>0.99180983218521634</v>
      </c>
    </row>
    <row r="1973" spans="1:12">
      <c r="A1973" s="397" t="str">
        <f t="shared" si="69"/>
        <v>-</v>
      </c>
      <c r="F1973" s="496"/>
      <c r="G1973" s="398"/>
      <c r="I1973" t="s">
        <v>285</v>
      </c>
      <c r="J1973">
        <v>5573.0077907624027</v>
      </c>
      <c r="K1973">
        <v>5619</v>
      </c>
      <c r="L1973" s="509">
        <f t="shared" si="70"/>
        <v>0.9918148764481941</v>
      </c>
    </row>
    <row r="1974" spans="1:12">
      <c r="A1974" s="397" t="str">
        <f t="shared" si="69"/>
        <v>-</v>
      </c>
      <c r="F1974" s="496"/>
      <c r="G1974" s="398"/>
      <c r="I1974" t="s">
        <v>735</v>
      </c>
      <c r="J1974">
        <v>4680.5</v>
      </c>
      <c r="K1974">
        <v>4719</v>
      </c>
      <c r="L1974" s="509">
        <f t="shared" si="70"/>
        <v>0.99184149184149184</v>
      </c>
    </row>
    <row r="1975" spans="1:12">
      <c r="A1975" s="397" t="str">
        <f t="shared" ref="A1975:A2038" si="71">B1975&amp;"-"&amp;C1975</f>
        <v>-</v>
      </c>
      <c r="F1975" s="496"/>
      <c r="G1975" s="398"/>
      <c r="I1975" t="s">
        <v>418</v>
      </c>
      <c r="J1975">
        <v>7909.5230125522703</v>
      </c>
      <c r="K1975">
        <v>7968</v>
      </c>
      <c r="L1975" s="509">
        <f t="shared" si="70"/>
        <v>0.9926610206516403</v>
      </c>
    </row>
    <row r="1976" spans="1:12">
      <c r="A1976" s="397" t="str">
        <f t="shared" si="71"/>
        <v>-</v>
      </c>
      <c r="F1976" s="496"/>
      <c r="G1976" s="398"/>
      <c r="I1976" t="s">
        <v>232</v>
      </c>
      <c r="J1976">
        <v>10159.641185647408</v>
      </c>
      <c r="K1976">
        <v>10227</v>
      </c>
      <c r="L1976" s="509">
        <f t="shared" si="70"/>
        <v>0.99341362918230247</v>
      </c>
    </row>
    <row r="1977" spans="1:12">
      <c r="A1977" s="397" t="str">
        <f t="shared" si="71"/>
        <v>-</v>
      </c>
      <c r="F1977" s="496"/>
      <c r="G1977" s="398"/>
      <c r="I1977" t="s">
        <v>128</v>
      </c>
      <c r="J1977">
        <v>7350.6868131867977</v>
      </c>
      <c r="K1977">
        <v>7397</v>
      </c>
      <c r="L1977" s="509">
        <f t="shared" si="70"/>
        <v>0.99373892296698629</v>
      </c>
    </row>
    <row r="1978" spans="1:12">
      <c r="A1978" s="397" t="str">
        <f t="shared" si="71"/>
        <v>-</v>
      </c>
      <c r="F1978" s="496"/>
      <c r="G1978" s="398"/>
      <c r="I1978" t="s">
        <v>422</v>
      </c>
      <c r="J1978">
        <v>9141.5650741350728</v>
      </c>
      <c r="K1978">
        <v>9199</v>
      </c>
      <c r="L1978" s="509">
        <f t="shared" si="70"/>
        <v>0.99375639462279297</v>
      </c>
    </row>
    <row r="1979" spans="1:12">
      <c r="A1979" s="397" t="str">
        <f t="shared" si="71"/>
        <v>-</v>
      </c>
      <c r="F1979" s="496"/>
      <c r="G1979" s="398"/>
      <c r="I1979" t="s">
        <v>151</v>
      </c>
      <c r="J1979">
        <v>10211.420047732687</v>
      </c>
      <c r="K1979">
        <v>10268</v>
      </c>
      <c r="L1979" s="509">
        <f t="shared" si="70"/>
        <v>0.99448968131405213</v>
      </c>
    </row>
    <row r="1980" spans="1:12">
      <c r="A1980" s="397" t="str">
        <f t="shared" si="71"/>
        <v>-</v>
      </c>
      <c r="F1980" s="496"/>
      <c r="G1980" s="398"/>
      <c r="I1980" t="s">
        <v>59</v>
      </c>
      <c r="J1980">
        <v>9989.9999999999982</v>
      </c>
      <c r="K1980">
        <v>10040</v>
      </c>
      <c r="L1980" s="509">
        <f t="shared" si="70"/>
        <v>0.99501992031872488</v>
      </c>
    </row>
    <row r="1981" spans="1:12">
      <c r="A1981" s="397" t="str">
        <f t="shared" si="71"/>
        <v>-</v>
      </c>
      <c r="F1981" s="496"/>
      <c r="G1981" s="398"/>
      <c r="I1981" t="s">
        <v>406</v>
      </c>
      <c r="J1981">
        <v>11377.633136094671</v>
      </c>
      <c r="K1981">
        <v>11421</v>
      </c>
      <c r="L1981" s="509">
        <f t="shared" si="70"/>
        <v>0.99620288381881372</v>
      </c>
    </row>
    <row r="1982" spans="1:12">
      <c r="A1982" s="397" t="str">
        <f t="shared" si="71"/>
        <v>-</v>
      </c>
      <c r="F1982" s="496"/>
      <c r="G1982" s="398"/>
      <c r="I1982" t="s">
        <v>52</v>
      </c>
      <c r="J1982">
        <v>6992.4734785036599</v>
      </c>
      <c r="K1982">
        <v>7018</v>
      </c>
      <c r="L1982" s="509">
        <f t="shared" si="70"/>
        <v>0.99636270711080932</v>
      </c>
    </row>
    <row r="1983" spans="1:12">
      <c r="A1983" s="397" t="str">
        <f t="shared" si="71"/>
        <v>-</v>
      </c>
      <c r="F1983" s="496"/>
      <c r="G1983" s="398"/>
      <c r="I1983" t="s">
        <v>206</v>
      </c>
      <c r="J1983">
        <v>12263.712643678151</v>
      </c>
      <c r="K1983">
        <v>12305</v>
      </c>
      <c r="L1983" s="509">
        <f t="shared" si="70"/>
        <v>0.99664466832004472</v>
      </c>
    </row>
    <row r="1984" spans="1:12">
      <c r="A1984" s="397" t="str">
        <f t="shared" si="71"/>
        <v>-</v>
      </c>
      <c r="F1984" s="496"/>
      <c r="G1984" s="398"/>
      <c r="I1984" t="s">
        <v>183</v>
      </c>
      <c r="J1984">
        <v>12073.989898989883</v>
      </c>
      <c r="K1984">
        <v>12114</v>
      </c>
      <c r="L1984" s="509">
        <f t="shared" si="70"/>
        <v>0.99669720150155872</v>
      </c>
    </row>
    <row r="1985" spans="1:12">
      <c r="A1985" s="397" t="str">
        <f t="shared" si="71"/>
        <v>-</v>
      </c>
      <c r="F1985" s="496"/>
      <c r="G1985" s="398"/>
      <c r="I1985" t="s">
        <v>208</v>
      </c>
      <c r="J1985">
        <v>7074.3624525230935</v>
      </c>
      <c r="K1985">
        <v>7096</v>
      </c>
      <c r="L1985" s="509">
        <f t="shared" si="70"/>
        <v>0.9969507402090042</v>
      </c>
    </row>
    <row r="1986" spans="1:12">
      <c r="A1986" s="397" t="str">
        <f t="shared" si="71"/>
        <v>-</v>
      </c>
      <c r="F1986" s="496"/>
      <c r="G1986" s="398"/>
      <c r="I1986" t="s">
        <v>281</v>
      </c>
      <c r="J1986">
        <v>6808.8825757575732</v>
      </c>
      <c r="K1986">
        <v>6829</v>
      </c>
      <c r="L1986" s="509">
        <f t="shared" si="70"/>
        <v>0.99705411857630299</v>
      </c>
    </row>
    <row r="1987" spans="1:12">
      <c r="A1987" s="397" t="str">
        <f t="shared" si="71"/>
        <v>-</v>
      </c>
      <c r="F1987" s="496"/>
      <c r="G1987" s="398"/>
      <c r="I1987" t="s">
        <v>49</v>
      </c>
      <c r="J1987">
        <v>6110.3571428571477</v>
      </c>
      <c r="K1987">
        <v>6126</v>
      </c>
      <c r="L1987" s="509">
        <f t="shared" si="70"/>
        <v>0.99744648104099698</v>
      </c>
    </row>
    <row r="1988" spans="1:12">
      <c r="A1988" s="397" t="str">
        <f t="shared" si="71"/>
        <v>-</v>
      </c>
      <c r="F1988" s="496"/>
      <c r="G1988" s="398"/>
      <c r="I1988" t="s">
        <v>576</v>
      </c>
      <c r="J1988">
        <v>10601.168582375485</v>
      </c>
      <c r="K1988">
        <v>10625</v>
      </c>
      <c r="L1988" s="509">
        <f t="shared" si="70"/>
        <v>0.99775704304710444</v>
      </c>
    </row>
    <row r="1989" spans="1:12">
      <c r="A1989" s="397" t="str">
        <f t="shared" si="71"/>
        <v>-</v>
      </c>
      <c r="F1989" s="496"/>
      <c r="G1989" s="398"/>
      <c r="I1989" t="s">
        <v>411</v>
      </c>
      <c r="J1989">
        <v>10828.631921824101</v>
      </c>
      <c r="K1989">
        <v>10848</v>
      </c>
      <c r="L1989" s="509">
        <f t="shared" si="70"/>
        <v>0.99821459456343109</v>
      </c>
    </row>
    <row r="1990" spans="1:12">
      <c r="A1990" s="397" t="str">
        <f t="shared" si="71"/>
        <v>-</v>
      </c>
      <c r="F1990" s="496"/>
      <c r="G1990" s="398"/>
      <c r="I1990" t="s">
        <v>404</v>
      </c>
      <c r="J1990">
        <v>10917.544783983101</v>
      </c>
      <c r="K1990">
        <v>10935</v>
      </c>
      <c r="L1990" s="509">
        <f t="shared" si="70"/>
        <v>0.99840372967380897</v>
      </c>
    </row>
    <row r="1991" spans="1:12">
      <c r="A1991" s="397" t="str">
        <f t="shared" si="71"/>
        <v>-</v>
      </c>
      <c r="F1991" s="496"/>
      <c r="G1991" s="398"/>
      <c r="I1991" t="s">
        <v>423</v>
      </c>
      <c r="J1991">
        <v>9936.8257756563216</v>
      </c>
      <c r="K1991">
        <v>9952</v>
      </c>
      <c r="L1991" s="509">
        <f t="shared" ref="L1991:L2054" si="72">J1991/K1991</f>
        <v>0.9984752588079101</v>
      </c>
    </row>
    <row r="1992" spans="1:12">
      <c r="A1992" s="397" t="str">
        <f t="shared" si="71"/>
        <v>-</v>
      </c>
      <c r="F1992" s="496"/>
      <c r="G1992" s="398"/>
      <c r="I1992" t="s">
        <v>275</v>
      </c>
      <c r="J1992">
        <v>6442.2765120322338</v>
      </c>
      <c r="K1992">
        <v>6448</v>
      </c>
      <c r="L1992" s="509">
        <f t="shared" si="72"/>
        <v>0.99911236228787748</v>
      </c>
    </row>
    <row r="1993" spans="1:12">
      <c r="A1993" s="397" t="str">
        <f t="shared" si="71"/>
        <v>-</v>
      </c>
      <c r="F1993" s="496"/>
      <c r="G1993" s="398"/>
      <c r="I1993" t="s">
        <v>342</v>
      </c>
      <c r="J1993">
        <v>7472.935222672043</v>
      </c>
      <c r="K1993">
        <v>7475</v>
      </c>
      <c r="L1993" s="509">
        <f t="shared" si="72"/>
        <v>0.99972377560830006</v>
      </c>
    </row>
    <row r="1994" spans="1:12">
      <c r="A1994" s="397" t="str">
        <f t="shared" si="71"/>
        <v>-</v>
      </c>
      <c r="F1994" s="496"/>
      <c r="G1994" s="398"/>
      <c r="I1994" t="s">
        <v>420</v>
      </c>
      <c r="J1994">
        <v>9675.121951219513</v>
      </c>
      <c r="K1994">
        <v>9672</v>
      </c>
      <c r="L1994" s="509">
        <f t="shared" si="72"/>
        <v>1.0003227823841514</v>
      </c>
    </row>
    <row r="1995" spans="1:12">
      <c r="A1995" s="397" t="str">
        <f t="shared" si="71"/>
        <v>-</v>
      </c>
      <c r="F1995" s="496"/>
      <c r="G1995" s="398"/>
      <c r="I1995" t="s">
        <v>295</v>
      </c>
      <c r="J1995">
        <v>10686.625716625684</v>
      </c>
      <c r="K1995">
        <v>10683</v>
      </c>
      <c r="L1995" s="509">
        <f t="shared" si="72"/>
        <v>1.0003393912408203</v>
      </c>
    </row>
    <row r="1996" spans="1:12">
      <c r="A1996" s="397" t="str">
        <f t="shared" si="71"/>
        <v>-</v>
      </c>
      <c r="F1996" s="496"/>
      <c r="G1996" s="398"/>
      <c r="I1996" t="s">
        <v>260</v>
      </c>
      <c r="J1996">
        <v>6832.8699551569362</v>
      </c>
      <c r="K1996">
        <v>6829</v>
      </c>
      <c r="L1996" s="509">
        <f t="shared" si="72"/>
        <v>1.000566694268112</v>
      </c>
    </row>
    <row r="1997" spans="1:12">
      <c r="A1997" s="397" t="str">
        <f t="shared" si="71"/>
        <v>-</v>
      </c>
      <c r="F1997" s="496"/>
      <c r="G1997" s="398"/>
      <c r="I1997" t="s">
        <v>61</v>
      </c>
      <c r="J1997">
        <v>7509.1769547325084</v>
      </c>
      <c r="K1997">
        <v>7502</v>
      </c>
      <c r="L1997" s="509">
        <f t="shared" si="72"/>
        <v>1.0009566721850851</v>
      </c>
    </row>
    <row r="1998" spans="1:12">
      <c r="A1998" s="397" t="str">
        <f t="shared" si="71"/>
        <v>-</v>
      </c>
      <c r="F1998" s="496"/>
      <c r="G1998" s="398"/>
      <c r="I1998" t="s">
        <v>563</v>
      </c>
      <c r="J1998">
        <v>12315.15558698729</v>
      </c>
      <c r="K1998">
        <v>12303</v>
      </c>
      <c r="L1998" s="509">
        <f t="shared" si="72"/>
        <v>1.0009880181246273</v>
      </c>
    </row>
    <row r="1999" spans="1:12">
      <c r="A1999" s="397" t="str">
        <f t="shared" si="71"/>
        <v>-</v>
      </c>
      <c r="F1999" s="496"/>
      <c r="G1999" s="398"/>
      <c r="I1999" t="s">
        <v>84</v>
      </c>
      <c r="J1999">
        <v>10034.872918492572</v>
      </c>
      <c r="K1999">
        <v>10023</v>
      </c>
      <c r="L1999" s="509">
        <f t="shared" si="72"/>
        <v>1.0011845673443651</v>
      </c>
    </row>
    <row r="2000" spans="1:12">
      <c r="A2000" s="397" t="str">
        <f t="shared" si="71"/>
        <v>-</v>
      </c>
      <c r="F2000" s="496"/>
      <c r="G2000" s="398"/>
      <c r="I2000" t="s">
        <v>304</v>
      </c>
      <c r="J2000">
        <v>9965.6675657450542</v>
      </c>
      <c r="K2000">
        <v>9952</v>
      </c>
      <c r="L2000" s="509">
        <f t="shared" si="72"/>
        <v>1.0013733486480159</v>
      </c>
    </row>
    <row r="2001" spans="1:12">
      <c r="A2001" s="397" t="str">
        <f t="shared" si="71"/>
        <v>-</v>
      </c>
      <c r="F2001" s="496"/>
      <c r="G2001" s="398"/>
      <c r="I2001" t="s">
        <v>262</v>
      </c>
      <c r="J2001">
        <v>11779.720049403088</v>
      </c>
      <c r="K2001">
        <v>11763</v>
      </c>
      <c r="L2001" s="509">
        <f t="shared" si="72"/>
        <v>1.0014214103037564</v>
      </c>
    </row>
    <row r="2002" spans="1:12">
      <c r="A2002" s="397" t="str">
        <f t="shared" si="71"/>
        <v>-</v>
      </c>
      <c r="F2002" s="496"/>
      <c r="G2002" s="398"/>
      <c r="I2002" t="s">
        <v>301</v>
      </c>
      <c r="J2002">
        <v>10769.018691588786</v>
      </c>
      <c r="K2002">
        <v>10753</v>
      </c>
      <c r="L2002" s="509">
        <f t="shared" si="72"/>
        <v>1.0014896951165988</v>
      </c>
    </row>
    <row r="2003" spans="1:12">
      <c r="A2003" s="397" t="str">
        <f t="shared" si="71"/>
        <v>-</v>
      </c>
      <c r="F2003" s="496"/>
      <c r="G2003" s="398"/>
      <c r="I2003" t="s">
        <v>565</v>
      </c>
      <c r="J2003">
        <v>9139.5038167938892</v>
      </c>
      <c r="K2003">
        <v>9125</v>
      </c>
      <c r="L2003" s="509">
        <f t="shared" si="72"/>
        <v>1.0015894593746728</v>
      </c>
    </row>
    <row r="2004" spans="1:12">
      <c r="A2004" s="397" t="str">
        <f t="shared" si="71"/>
        <v>-</v>
      </c>
      <c r="F2004" s="496"/>
      <c r="G2004" s="398"/>
      <c r="I2004" t="s">
        <v>395</v>
      </c>
      <c r="J2004">
        <v>11575.43307086614</v>
      </c>
      <c r="K2004">
        <v>11554</v>
      </c>
      <c r="L2004" s="509">
        <f t="shared" si="72"/>
        <v>1.0018550346950095</v>
      </c>
    </row>
    <row r="2005" spans="1:12">
      <c r="A2005" s="397" t="str">
        <f t="shared" si="71"/>
        <v>-</v>
      </c>
      <c r="F2005" s="496"/>
      <c r="G2005" s="398"/>
      <c r="I2005" t="s">
        <v>190</v>
      </c>
      <c r="J2005">
        <v>10743.241650294682</v>
      </c>
      <c r="K2005">
        <v>10723</v>
      </c>
      <c r="L2005" s="509">
        <f t="shared" si="72"/>
        <v>1.0018876853767305</v>
      </c>
    </row>
    <row r="2006" spans="1:12">
      <c r="A2006" s="397" t="str">
        <f t="shared" si="71"/>
        <v>-</v>
      </c>
      <c r="F2006" s="496"/>
      <c r="G2006" s="398"/>
      <c r="I2006" t="s">
        <v>222</v>
      </c>
      <c r="J2006">
        <v>12372.419354838714</v>
      </c>
      <c r="K2006">
        <v>12348</v>
      </c>
      <c r="L2006" s="509">
        <f t="shared" si="72"/>
        <v>1.0019775959538966</v>
      </c>
    </row>
    <row r="2007" spans="1:12">
      <c r="A2007" s="397" t="str">
        <f t="shared" si="71"/>
        <v>-</v>
      </c>
      <c r="F2007" s="496"/>
      <c r="G2007" s="398"/>
      <c r="I2007" t="s">
        <v>180</v>
      </c>
      <c r="J2007">
        <v>11816.24161073826</v>
      </c>
      <c r="K2007">
        <v>11792</v>
      </c>
      <c r="L2007" s="509">
        <f t="shared" si="72"/>
        <v>1.0020557675320776</v>
      </c>
    </row>
    <row r="2008" spans="1:12">
      <c r="A2008" s="397" t="str">
        <f t="shared" si="71"/>
        <v>-</v>
      </c>
      <c r="F2008" s="496"/>
      <c r="G2008" s="398"/>
      <c r="I2008" t="s">
        <v>346</v>
      </c>
      <c r="J2008">
        <v>12375.074397126769</v>
      </c>
      <c r="K2008">
        <v>12348</v>
      </c>
      <c r="L2008" s="509">
        <f t="shared" si="72"/>
        <v>1.0021926139558446</v>
      </c>
    </row>
    <row r="2009" spans="1:12">
      <c r="A2009" s="397" t="str">
        <f t="shared" si="71"/>
        <v>-</v>
      </c>
      <c r="F2009" s="496"/>
      <c r="G2009" s="398"/>
      <c r="I2009" t="s">
        <v>43</v>
      </c>
      <c r="J2009">
        <v>5960.0293642636998</v>
      </c>
      <c r="K2009">
        <v>5946</v>
      </c>
      <c r="L2009" s="509">
        <f t="shared" si="72"/>
        <v>1.0023594625401446</v>
      </c>
    </row>
    <row r="2010" spans="1:12">
      <c r="A2010" s="397" t="str">
        <f t="shared" si="71"/>
        <v>-</v>
      </c>
      <c r="F2010" s="496"/>
      <c r="G2010" s="398"/>
      <c r="I2010" t="s">
        <v>142</v>
      </c>
      <c r="J2010">
        <v>9608.5458167330744</v>
      </c>
      <c r="K2010">
        <v>9581</v>
      </c>
      <c r="L2010" s="509">
        <f t="shared" si="72"/>
        <v>1.0028750461051117</v>
      </c>
    </row>
    <row r="2011" spans="1:12">
      <c r="A2011" s="397" t="str">
        <f t="shared" si="71"/>
        <v>-</v>
      </c>
      <c r="F2011" s="496"/>
      <c r="G2011" s="398"/>
      <c r="I2011" t="s">
        <v>173</v>
      </c>
      <c r="J2011">
        <v>4679.4302848574644</v>
      </c>
      <c r="K2011">
        <v>4664</v>
      </c>
      <c r="L2011" s="509">
        <f t="shared" si="72"/>
        <v>1.0033083801152367</v>
      </c>
    </row>
    <row r="2012" spans="1:12">
      <c r="A2012" s="397" t="str">
        <f t="shared" si="71"/>
        <v>-</v>
      </c>
      <c r="F2012" s="496"/>
      <c r="G2012" s="398"/>
      <c r="I2012" t="s">
        <v>419</v>
      </c>
      <c r="J2012">
        <v>9091.2268188302387</v>
      </c>
      <c r="K2012">
        <v>9059</v>
      </c>
      <c r="L2012" s="509">
        <f t="shared" si="72"/>
        <v>1.0035574366740523</v>
      </c>
    </row>
    <row r="2013" spans="1:12">
      <c r="A2013" s="397" t="str">
        <f t="shared" si="71"/>
        <v>-</v>
      </c>
      <c r="F2013" s="496"/>
      <c r="G2013" s="398"/>
      <c r="I2013" t="s">
        <v>177</v>
      </c>
      <c r="J2013">
        <v>11341.693877551024</v>
      </c>
      <c r="K2013">
        <v>11299</v>
      </c>
      <c r="L2013" s="509">
        <f t="shared" si="72"/>
        <v>1.0037785536375807</v>
      </c>
    </row>
    <row r="2014" spans="1:12">
      <c r="A2014" s="397" t="str">
        <f t="shared" si="71"/>
        <v>-</v>
      </c>
      <c r="F2014" s="496"/>
      <c r="G2014" s="398"/>
      <c r="I2014" t="s">
        <v>476</v>
      </c>
      <c r="J2014">
        <v>12573.333333333318</v>
      </c>
      <c r="K2014">
        <v>12523</v>
      </c>
      <c r="L2014" s="509">
        <f t="shared" si="72"/>
        <v>1.0040192712076434</v>
      </c>
    </row>
    <row r="2015" spans="1:12">
      <c r="A2015" s="397" t="str">
        <f t="shared" si="71"/>
        <v>-</v>
      </c>
      <c r="F2015" s="496"/>
      <c r="G2015" s="398"/>
      <c r="I2015" t="s">
        <v>582</v>
      </c>
      <c r="J2015">
        <v>8221.1499624468688</v>
      </c>
      <c r="K2015">
        <v>8188</v>
      </c>
      <c r="L2015" s="509">
        <f t="shared" si="72"/>
        <v>1.0040486031322506</v>
      </c>
    </row>
    <row r="2016" spans="1:12">
      <c r="A2016" s="397" t="str">
        <f t="shared" si="71"/>
        <v>-</v>
      </c>
      <c r="F2016" s="496"/>
      <c r="G2016" s="398"/>
      <c r="I2016" t="s">
        <v>186</v>
      </c>
      <c r="J2016">
        <v>7578.1747615879722</v>
      </c>
      <c r="K2016">
        <v>7546</v>
      </c>
      <c r="L2016" s="509">
        <f t="shared" si="72"/>
        <v>1.0042638168020106</v>
      </c>
    </row>
    <row r="2017" spans="1:12">
      <c r="A2017" s="397" t="str">
        <f t="shared" si="71"/>
        <v>-</v>
      </c>
      <c r="F2017" s="496"/>
      <c r="G2017" s="398"/>
      <c r="I2017" t="s">
        <v>157</v>
      </c>
      <c r="J2017">
        <v>10528.66917293233</v>
      </c>
      <c r="K2017">
        <v>10481</v>
      </c>
      <c r="L2017" s="509">
        <f t="shared" si="72"/>
        <v>1.0045481512195715</v>
      </c>
    </row>
    <row r="2018" spans="1:12">
      <c r="A2018" s="397" t="str">
        <f t="shared" si="71"/>
        <v>-</v>
      </c>
      <c r="F2018" s="496"/>
      <c r="G2018" s="398"/>
      <c r="I2018" t="s">
        <v>330</v>
      </c>
      <c r="J2018">
        <v>9314.4363636363796</v>
      </c>
      <c r="K2018">
        <v>9271</v>
      </c>
      <c r="L2018" s="509">
        <f t="shared" si="72"/>
        <v>1.0046851864563024</v>
      </c>
    </row>
    <row r="2019" spans="1:12">
      <c r="A2019" s="397" t="str">
        <f t="shared" si="71"/>
        <v>-</v>
      </c>
      <c r="F2019" s="496"/>
      <c r="G2019" s="398"/>
      <c r="I2019" t="s">
        <v>160</v>
      </c>
      <c r="J2019">
        <v>8142.0162460110887</v>
      </c>
      <c r="K2019">
        <v>8104</v>
      </c>
      <c r="L2019" s="509">
        <f t="shared" si="72"/>
        <v>1.0046910471385846</v>
      </c>
    </row>
    <row r="2020" spans="1:12">
      <c r="A2020" s="397" t="str">
        <f t="shared" si="71"/>
        <v>-</v>
      </c>
      <c r="F2020" s="496"/>
      <c r="G2020" s="398"/>
      <c r="I2020" t="s">
        <v>162</v>
      </c>
      <c r="J2020">
        <v>8146.3001336898305</v>
      </c>
      <c r="K2020">
        <v>8104</v>
      </c>
      <c r="L2020" s="509">
        <f t="shared" si="72"/>
        <v>1.0052196611167115</v>
      </c>
    </row>
    <row r="2021" spans="1:12">
      <c r="A2021" s="397" t="str">
        <f t="shared" si="71"/>
        <v>-</v>
      </c>
      <c r="F2021" s="496"/>
      <c r="G2021" s="398"/>
      <c r="I2021" t="s">
        <v>182</v>
      </c>
      <c r="J2021">
        <v>12679.649122807024</v>
      </c>
      <c r="K2021">
        <v>12613</v>
      </c>
      <c r="L2021" s="509">
        <f t="shared" si="72"/>
        <v>1.0052841610090402</v>
      </c>
    </row>
    <row r="2022" spans="1:12">
      <c r="A2022" s="397" t="str">
        <f t="shared" si="71"/>
        <v>-</v>
      </c>
      <c r="F2022" s="496"/>
      <c r="G2022" s="398"/>
      <c r="I2022" t="s">
        <v>179</v>
      </c>
      <c r="J2022">
        <v>10877.285714285726</v>
      </c>
      <c r="K2022">
        <v>10819</v>
      </c>
      <c r="L2022" s="509">
        <f t="shared" si="72"/>
        <v>1.0053873476555806</v>
      </c>
    </row>
    <row r="2023" spans="1:12">
      <c r="A2023" s="397" t="str">
        <f t="shared" si="71"/>
        <v>-</v>
      </c>
      <c r="F2023" s="496"/>
      <c r="G2023" s="398"/>
      <c r="I2023" t="s">
        <v>189</v>
      </c>
      <c r="J2023">
        <v>9017.6733737057893</v>
      </c>
      <c r="K2023">
        <v>8969</v>
      </c>
      <c r="L2023" s="509">
        <f t="shared" si="72"/>
        <v>1.0054268451004336</v>
      </c>
    </row>
    <row r="2024" spans="1:12">
      <c r="A2024" s="397" t="str">
        <f t="shared" si="71"/>
        <v>-</v>
      </c>
      <c r="F2024" s="496"/>
      <c r="G2024" s="398"/>
      <c r="I2024" t="s">
        <v>435</v>
      </c>
      <c r="J2024">
        <v>6424.9595375722438</v>
      </c>
      <c r="K2024">
        <v>6388</v>
      </c>
      <c r="L2024" s="509">
        <f t="shared" si="72"/>
        <v>1.0057857760758053</v>
      </c>
    </row>
    <row r="2025" spans="1:12">
      <c r="A2025" s="397" t="str">
        <f t="shared" si="71"/>
        <v>-</v>
      </c>
      <c r="F2025" s="496"/>
      <c r="G2025" s="398"/>
      <c r="I2025" t="s">
        <v>188</v>
      </c>
      <c r="J2025">
        <v>11696.346210557394</v>
      </c>
      <c r="K2025">
        <v>11629</v>
      </c>
      <c r="L2025" s="509">
        <f t="shared" si="72"/>
        <v>1.005791229732341</v>
      </c>
    </row>
    <row r="2026" spans="1:12">
      <c r="A2026" s="397" t="str">
        <f t="shared" si="71"/>
        <v>-</v>
      </c>
      <c r="F2026" s="496"/>
      <c r="G2026" s="398"/>
      <c r="I2026" t="s">
        <v>234</v>
      </c>
      <c r="J2026">
        <v>12352</v>
      </c>
      <c r="K2026">
        <v>12278</v>
      </c>
      <c r="L2026" s="509">
        <f t="shared" si="72"/>
        <v>1.0060270402345659</v>
      </c>
    </row>
    <row r="2027" spans="1:12">
      <c r="A2027" s="397" t="str">
        <f t="shared" si="71"/>
        <v>-</v>
      </c>
      <c r="F2027" s="496"/>
      <c r="G2027" s="398"/>
      <c r="I2027" t="s">
        <v>555</v>
      </c>
      <c r="J2027">
        <v>16367.71050800283</v>
      </c>
      <c r="K2027">
        <v>16267</v>
      </c>
      <c r="L2027" s="509">
        <f t="shared" si="72"/>
        <v>1.0061910928876148</v>
      </c>
    </row>
    <row r="2028" spans="1:12">
      <c r="A2028" s="397" t="str">
        <f t="shared" si="71"/>
        <v>-</v>
      </c>
      <c r="F2028" s="496"/>
      <c r="G2028" s="398"/>
      <c r="I2028" t="s">
        <v>171</v>
      </c>
      <c r="J2028">
        <v>7942.6990360585514</v>
      </c>
      <c r="K2028">
        <v>7892</v>
      </c>
      <c r="L2028" s="509">
        <f t="shared" si="72"/>
        <v>1.0064241049237901</v>
      </c>
    </row>
    <row r="2029" spans="1:12">
      <c r="A2029" s="397" t="str">
        <f t="shared" si="71"/>
        <v>-</v>
      </c>
      <c r="F2029" s="496"/>
      <c r="G2029" s="398"/>
      <c r="I2029" t="s">
        <v>414</v>
      </c>
      <c r="J2029">
        <v>15194.0625</v>
      </c>
      <c r="K2029">
        <v>15095</v>
      </c>
      <c r="L2029" s="509">
        <f t="shared" si="72"/>
        <v>1.0065626035110964</v>
      </c>
    </row>
    <row r="2030" spans="1:12">
      <c r="A2030" s="397" t="str">
        <f t="shared" si="71"/>
        <v>-</v>
      </c>
      <c r="F2030" s="496"/>
      <c r="G2030" s="398"/>
      <c r="I2030" t="s">
        <v>202</v>
      </c>
      <c r="J2030">
        <v>12436.597938144345</v>
      </c>
      <c r="K2030">
        <v>12352</v>
      </c>
      <c r="L2030" s="509">
        <f t="shared" si="72"/>
        <v>1.0068489263394063</v>
      </c>
    </row>
    <row r="2031" spans="1:12">
      <c r="A2031" s="397" t="str">
        <f t="shared" si="71"/>
        <v>-</v>
      </c>
      <c r="F2031" s="496"/>
      <c r="G2031" s="398"/>
      <c r="I2031" t="s">
        <v>258</v>
      </c>
      <c r="J2031">
        <v>8810.416580310899</v>
      </c>
      <c r="K2031">
        <v>8750</v>
      </c>
      <c r="L2031" s="509">
        <f t="shared" si="72"/>
        <v>1.0069047520355314</v>
      </c>
    </row>
    <row r="2032" spans="1:12">
      <c r="A2032" s="397" t="str">
        <f t="shared" si="71"/>
        <v>-</v>
      </c>
      <c r="F2032" s="496"/>
      <c r="G2032" s="398"/>
      <c r="I2032" t="s">
        <v>433</v>
      </c>
      <c r="J2032">
        <v>8145.3502874402448</v>
      </c>
      <c r="K2032">
        <v>8089</v>
      </c>
      <c r="L2032" s="509">
        <f t="shared" si="72"/>
        <v>1.0069662859982995</v>
      </c>
    </row>
    <row r="2033" spans="1:12">
      <c r="A2033" s="397" t="str">
        <f t="shared" si="71"/>
        <v>-</v>
      </c>
      <c r="F2033" s="496"/>
      <c r="G2033" s="398"/>
      <c r="I2033" t="s">
        <v>170</v>
      </c>
      <c r="J2033">
        <v>5680.4513888888941</v>
      </c>
      <c r="K2033">
        <v>5641</v>
      </c>
      <c r="L2033" s="509">
        <f t="shared" si="72"/>
        <v>1.006993687092518</v>
      </c>
    </row>
    <row r="2034" spans="1:12">
      <c r="A2034" s="397" t="str">
        <f t="shared" si="71"/>
        <v>-</v>
      </c>
      <c r="F2034" s="496"/>
      <c r="G2034" s="398"/>
      <c r="I2034" t="s">
        <v>181</v>
      </c>
      <c r="J2034">
        <v>12624.689265536699</v>
      </c>
      <c r="K2034">
        <v>12536</v>
      </c>
      <c r="L2034" s="509">
        <f t="shared" si="72"/>
        <v>1.0070747659170947</v>
      </c>
    </row>
    <row r="2035" spans="1:12">
      <c r="A2035" s="397" t="str">
        <f t="shared" si="71"/>
        <v>-</v>
      </c>
      <c r="F2035" s="496"/>
      <c r="G2035" s="398"/>
      <c r="I2035" t="s">
        <v>164</v>
      </c>
      <c r="J2035">
        <v>5236.8292682926913</v>
      </c>
      <c r="K2035">
        <v>5200</v>
      </c>
      <c r="L2035" s="509">
        <f t="shared" si="72"/>
        <v>1.0070825515947484</v>
      </c>
    </row>
    <row r="2036" spans="1:12">
      <c r="A2036" s="397" t="str">
        <f t="shared" si="71"/>
        <v>-</v>
      </c>
      <c r="F2036" s="496"/>
      <c r="G2036" s="398"/>
      <c r="I2036" t="s">
        <v>63</v>
      </c>
      <c r="J2036">
        <v>8629.0759377859231</v>
      </c>
      <c r="K2036">
        <v>8567</v>
      </c>
      <c r="L2036" s="509">
        <f t="shared" si="72"/>
        <v>1.0072459364755366</v>
      </c>
    </row>
    <row r="2037" spans="1:12">
      <c r="A2037" s="397" t="str">
        <f t="shared" si="71"/>
        <v>-</v>
      </c>
      <c r="F2037" s="496"/>
      <c r="G2037" s="398"/>
      <c r="I2037" t="s">
        <v>436</v>
      </c>
      <c r="J2037">
        <v>11533.666044776128</v>
      </c>
      <c r="K2037">
        <v>11450</v>
      </c>
      <c r="L2037" s="509">
        <f t="shared" si="72"/>
        <v>1.0073070781463866</v>
      </c>
    </row>
    <row r="2038" spans="1:12">
      <c r="A2038" s="397" t="str">
        <f t="shared" si="71"/>
        <v>-</v>
      </c>
      <c r="F2038" s="496"/>
      <c r="G2038" s="398"/>
      <c r="I2038" t="s">
        <v>213</v>
      </c>
      <c r="J2038">
        <v>8379.1250921602896</v>
      </c>
      <c r="K2038">
        <v>8318</v>
      </c>
      <c r="L2038" s="509">
        <f t="shared" si="72"/>
        <v>1.007348532358775</v>
      </c>
    </row>
    <row r="2039" spans="1:12">
      <c r="A2039" s="397" t="str">
        <f t="shared" ref="A2039:A2102" si="73">B2039&amp;"-"&amp;C2039</f>
        <v>-</v>
      </c>
      <c r="F2039" s="496"/>
      <c r="G2039" s="398"/>
      <c r="I2039" t="s">
        <v>461</v>
      </c>
      <c r="J2039">
        <v>15461.067961165058</v>
      </c>
      <c r="K2039">
        <v>15347</v>
      </c>
      <c r="L2039" s="509">
        <f t="shared" si="72"/>
        <v>1.0074325901586667</v>
      </c>
    </row>
    <row r="2040" spans="1:12">
      <c r="A2040" s="397" t="str">
        <f t="shared" si="73"/>
        <v>-</v>
      </c>
      <c r="F2040" s="496"/>
      <c r="G2040" s="398"/>
      <c r="I2040" t="s">
        <v>307</v>
      </c>
      <c r="J2040">
        <v>8815.0951604133134</v>
      </c>
      <c r="K2040">
        <v>8750</v>
      </c>
      <c r="L2040" s="509">
        <f t="shared" si="72"/>
        <v>1.0074394469043786</v>
      </c>
    </row>
    <row r="2041" spans="1:12">
      <c r="A2041" s="397" t="str">
        <f t="shared" si="73"/>
        <v>-</v>
      </c>
      <c r="F2041" s="496"/>
      <c r="G2041" s="398"/>
      <c r="I2041" t="s">
        <v>254</v>
      </c>
      <c r="J2041">
        <v>9060.2736156351348</v>
      </c>
      <c r="K2041">
        <v>8991</v>
      </c>
      <c r="L2041" s="509">
        <f t="shared" si="72"/>
        <v>1.007704773177081</v>
      </c>
    </row>
    <row r="2042" spans="1:12">
      <c r="A2042" s="397" t="str">
        <f t="shared" si="73"/>
        <v>-</v>
      </c>
      <c r="F2042" s="496"/>
      <c r="G2042" s="398"/>
      <c r="I2042" t="s">
        <v>159</v>
      </c>
      <c r="J2042">
        <v>9117.5863874345523</v>
      </c>
      <c r="K2042">
        <v>9047</v>
      </c>
      <c r="L2042" s="509">
        <f t="shared" si="72"/>
        <v>1.0078021871818892</v>
      </c>
    </row>
    <row r="2043" spans="1:12">
      <c r="A2043" s="397" t="str">
        <f t="shared" si="73"/>
        <v>-</v>
      </c>
      <c r="F2043" s="496"/>
      <c r="G2043" s="398"/>
      <c r="I2043" t="s">
        <v>163</v>
      </c>
      <c r="J2043">
        <v>10373.135228251511</v>
      </c>
      <c r="K2043">
        <v>10291</v>
      </c>
      <c r="L2043" s="509">
        <f t="shared" si="72"/>
        <v>1.0079812679284337</v>
      </c>
    </row>
    <row r="2044" spans="1:12">
      <c r="A2044" s="397" t="str">
        <f t="shared" si="73"/>
        <v>-</v>
      </c>
      <c r="F2044" s="496"/>
      <c r="G2044" s="398"/>
      <c r="I2044" t="s">
        <v>556</v>
      </c>
      <c r="J2044">
        <v>16215.611460517124</v>
      </c>
      <c r="K2044">
        <v>16080</v>
      </c>
      <c r="L2044" s="509">
        <f t="shared" si="72"/>
        <v>1.0084335485396221</v>
      </c>
    </row>
    <row r="2045" spans="1:12">
      <c r="A2045" s="397" t="str">
        <f t="shared" si="73"/>
        <v>-</v>
      </c>
      <c r="F2045" s="496"/>
      <c r="G2045" s="398"/>
      <c r="I2045" t="s">
        <v>207</v>
      </c>
      <c r="J2045">
        <v>13450.17441860466</v>
      </c>
      <c r="K2045">
        <v>13335</v>
      </c>
      <c r="L2045" s="509">
        <f t="shared" si="72"/>
        <v>1.0086370017701283</v>
      </c>
    </row>
    <row r="2046" spans="1:12">
      <c r="A2046" s="397" t="str">
        <f t="shared" si="73"/>
        <v>-</v>
      </c>
      <c r="F2046" s="496"/>
      <c r="G2046" s="398"/>
      <c r="I2046" t="s">
        <v>249</v>
      </c>
      <c r="J2046">
        <v>7988.3041873897882</v>
      </c>
      <c r="K2046">
        <v>7916</v>
      </c>
      <c r="L2046" s="509">
        <f t="shared" si="72"/>
        <v>1.0091339296854205</v>
      </c>
    </row>
    <row r="2047" spans="1:12">
      <c r="A2047" s="397" t="str">
        <f t="shared" si="73"/>
        <v>-</v>
      </c>
      <c r="F2047" s="496"/>
      <c r="G2047" s="398"/>
      <c r="I2047" t="s">
        <v>158</v>
      </c>
      <c r="J2047">
        <v>10102.952853598023</v>
      </c>
      <c r="K2047">
        <v>10010</v>
      </c>
      <c r="L2047" s="509">
        <f t="shared" si="72"/>
        <v>1.0092859993604417</v>
      </c>
    </row>
    <row r="2048" spans="1:12">
      <c r="A2048" s="397" t="str">
        <f t="shared" si="73"/>
        <v>-</v>
      </c>
      <c r="F2048" s="496"/>
      <c r="G2048" s="398"/>
      <c r="I2048" t="s">
        <v>387</v>
      </c>
      <c r="J2048">
        <v>5352.7453027139945</v>
      </c>
      <c r="K2048">
        <v>5303</v>
      </c>
      <c r="L2048" s="509">
        <f t="shared" si="72"/>
        <v>1.0093805964009042</v>
      </c>
    </row>
    <row r="2049" spans="1:12">
      <c r="A2049" s="397" t="str">
        <f t="shared" si="73"/>
        <v>-</v>
      </c>
      <c r="F2049" s="496"/>
      <c r="G2049" s="398"/>
      <c r="I2049" t="s">
        <v>178</v>
      </c>
      <c r="J2049">
        <v>13590.140845070406</v>
      </c>
      <c r="K2049">
        <v>13460</v>
      </c>
      <c r="L2049" s="509">
        <f t="shared" si="72"/>
        <v>1.0096687106293021</v>
      </c>
    </row>
    <row r="2050" spans="1:12">
      <c r="A2050" s="397" t="str">
        <f t="shared" si="73"/>
        <v>-</v>
      </c>
      <c r="F2050" s="496"/>
      <c r="G2050" s="398"/>
      <c r="I2050" t="s">
        <v>221</v>
      </c>
      <c r="J2050">
        <v>8904.8394842151483</v>
      </c>
      <c r="K2050">
        <v>8818</v>
      </c>
      <c r="L2050" s="509">
        <f t="shared" si="72"/>
        <v>1.0098479796116067</v>
      </c>
    </row>
    <row r="2051" spans="1:12">
      <c r="A2051" s="397" t="str">
        <f t="shared" si="73"/>
        <v>-</v>
      </c>
      <c r="F2051" s="496"/>
      <c r="G2051" s="398"/>
      <c r="I2051" t="s">
        <v>347</v>
      </c>
      <c r="J2051">
        <v>12681.825726141091</v>
      </c>
      <c r="K2051">
        <v>12553</v>
      </c>
      <c r="L2051" s="509">
        <f t="shared" si="72"/>
        <v>1.0102625449009075</v>
      </c>
    </row>
    <row r="2052" spans="1:12">
      <c r="A2052" s="397" t="str">
        <f t="shared" si="73"/>
        <v>-</v>
      </c>
      <c r="F2052" s="496"/>
      <c r="G2052" s="398"/>
      <c r="I2052" t="s">
        <v>169</v>
      </c>
      <c r="J2052">
        <v>7042.979752190975</v>
      </c>
      <c r="K2052">
        <v>6971</v>
      </c>
      <c r="L2052" s="509">
        <f t="shared" si="72"/>
        <v>1.0103255992240676</v>
      </c>
    </row>
    <row r="2053" spans="1:12">
      <c r="A2053" s="397" t="str">
        <f t="shared" si="73"/>
        <v>-</v>
      </c>
      <c r="F2053" s="496"/>
      <c r="G2053" s="398"/>
      <c r="I2053" t="s">
        <v>187</v>
      </c>
      <c r="J2053">
        <v>10161.72064056944</v>
      </c>
      <c r="K2053">
        <v>10057</v>
      </c>
      <c r="L2053" s="509">
        <f t="shared" si="72"/>
        <v>1.0104127116008192</v>
      </c>
    </row>
    <row r="2054" spans="1:12">
      <c r="A2054" s="397" t="str">
        <f t="shared" si="73"/>
        <v>-</v>
      </c>
      <c r="F2054" s="496"/>
      <c r="G2054" s="398"/>
      <c r="I2054" t="s">
        <v>243</v>
      </c>
      <c r="J2054">
        <v>7232.9760289461701</v>
      </c>
      <c r="K2054">
        <v>7155</v>
      </c>
      <c r="L2054" s="509">
        <f t="shared" si="72"/>
        <v>1.0108981172531335</v>
      </c>
    </row>
    <row r="2055" spans="1:12">
      <c r="A2055" s="397" t="str">
        <f t="shared" si="73"/>
        <v>-</v>
      </c>
      <c r="F2055" s="496"/>
      <c r="G2055" s="398"/>
      <c r="I2055" t="s">
        <v>73</v>
      </c>
      <c r="J2055">
        <v>5501</v>
      </c>
      <c r="K2055">
        <v>5441</v>
      </c>
      <c r="L2055" s="509">
        <f t="shared" ref="L2055:L2063" si="74">J2055/K2055</f>
        <v>1.0110273846719353</v>
      </c>
    </row>
    <row r="2056" spans="1:12">
      <c r="A2056" s="397" t="str">
        <f t="shared" si="73"/>
        <v>-</v>
      </c>
      <c r="F2056" s="496"/>
      <c r="G2056" s="398"/>
      <c r="I2056" t="s">
        <v>174</v>
      </c>
      <c r="J2056">
        <v>10589.024911032058</v>
      </c>
      <c r="K2056">
        <v>10466</v>
      </c>
      <c r="L2056" s="509">
        <f t="shared" si="74"/>
        <v>1.0117547210999482</v>
      </c>
    </row>
    <row r="2057" spans="1:12">
      <c r="A2057" s="397" t="str">
        <f t="shared" si="73"/>
        <v>-</v>
      </c>
      <c r="F2057" s="496"/>
      <c r="G2057" s="398"/>
      <c r="I2057" t="s">
        <v>553</v>
      </c>
      <c r="J2057">
        <v>9099.7661870503762</v>
      </c>
      <c r="K2057">
        <v>8992</v>
      </c>
      <c r="L2057" s="509">
        <f t="shared" si="74"/>
        <v>1.0119846738267768</v>
      </c>
    </row>
    <row r="2058" spans="1:12">
      <c r="A2058" s="397" t="str">
        <f t="shared" si="73"/>
        <v>-</v>
      </c>
      <c r="F2058" s="496"/>
      <c r="G2058" s="398"/>
      <c r="I2058" t="s">
        <v>226</v>
      </c>
      <c r="J2058">
        <v>8729.3971924029556</v>
      </c>
      <c r="K2058">
        <v>8624</v>
      </c>
      <c r="L2058" s="509">
        <f t="shared" si="74"/>
        <v>1.0122213813083205</v>
      </c>
    </row>
    <row r="2059" spans="1:12">
      <c r="A2059" s="397" t="str">
        <f t="shared" si="73"/>
        <v>-</v>
      </c>
      <c r="F2059" s="496"/>
      <c r="G2059" s="398"/>
      <c r="I2059" t="s">
        <v>303</v>
      </c>
      <c r="J2059">
        <v>10852.524734334953</v>
      </c>
      <c r="K2059">
        <v>10715</v>
      </c>
      <c r="L2059" s="509">
        <f t="shared" si="74"/>
        <v>1.0128347862188476</v>
      </c>
    </row>
    <row r="2060" spans="1:12">
      <c r="A2060" s="397" t="str">
        <f t="shared" si="73"/>
        <v>-</v>
      </c>
      <c r="F2060" s="496"/>
      <c r="G2060" s="398"/>
      <c r="I2060" t="s">
        <v>336</v>
      </c>
      <c r="J2060">
        <v>9842.2302158273342</v>
      </c>
      <c r="K2060">
        <v>9715</v>
      </c>
      <c r="L2060" s="509">
        <f t="shared" si="74"/>
        <v>1.0130962651392006</v>
      </c>
    </row>
    <row r="2061" spans="1:12">
      <c r="A2061" s="397" t="str">
        <f t="shared" si="73"/>
        <v>-</v>
      </c>
      <c r="F2061" s="496"/>
      <c r="G2061" s="398"/>
      <c r="I2061" t="s">
        <v>88</v>
      </c>
      <c r="J2061">
        <v>6506.1893396976902</v>
      </c>
      <c r="K2061">
        <v>6413</v>
      </c>
      <c r="L2061" s="509">
        <f t="shared" si="74"/>
        <v>1.0145313175889117</v>
      </c>
    </row>
    <row r="2062" spans="1:12">
      <c r="A2062" s="397" t="str">
        <f t="shared" si="73"/>
        <v>-</v>
      </c>
      <c r="F2062" s="496"/>
      <c r="G2062" s="398"/>
      <c r="I2062" t="s">
        <v>747</v>
      </c>
      <c r="J2062">
        <v>8043.5942492012909</v>
      </c>
      <c r="K2062">
        <v>7916</v>
      </c>
      <c r="L2062" s="509">
        <f t="shared" si="74"/>
        <v>1.0161185256696932</v>
      </c>
    </row>
    <row r="2063" spans="1:12">
      <c r="A2063" s="397" t="str">
        <f t="shared" si="73"/>
        <v>-</v>
      </c>
      <c r="F2063" s="496"/>
      <c r="G2063" s="398"/>
      <c r="I2063" t="s">
        <v>578</v>
      </c>
      <c r="J2063">
        <v>7.1787986463620941</v>
      </c>
      <c r="K2063">
        <v>7.1260000000000003</v>
      </c>
      <c r="L2063" s="509">
        <f t="shared" si="74"/>
        <v>1.0074092964302686</v>
      </c>
    </row>
    <row r="2064" spans="1:12">
      <c r="A2064" s="397" t="str">
        <f t="shared" si="73"/>
        <v>-</v>
      </c>
      <c r="F2064" s="496"/>
      <c r="G2064" s="398"/>
    </row>
    <row r="2065" spans="1:7">
      <c r="A2065" s="397" t="str">
        <f t="shared" si="73"/>
        <v>-</v>
      </c>
      <c r="F2065" s="496"/>
      <c r="G2065" s="398"/>
    </row>
    <row r="2066" spans="1:7">
      <c r="A2066" s="397" t="str">
        <f t="shared" si="73"/>
        <v>-</v>
      </c>
      <c r="F2066" s="496"/>
      <c r="G2066" s="398"/>
    </row>
    <row r="2067" spans="1:7">
      <c r="A2067" s="397" t="str">
        <f t="shared" si="73"/>
        <v>-</v>
      </c>
      <c r="F2067" s="496"/>
      <c r="G2067" s="398"/>
    </row>
    <row r="2068" spans="1:7">
      <c r="A2068" s="397" t="str">
        <f t="shared" si="73"/>
        <v>-</v>
      </c>
      <c r="F2068" s="496"/>
      <c r="G2068" s="398"/>
    </row>
    <row r="2069" spans="1:7">
      <c r="A2069" s="397" t="str">
        <f t="shared" si="73"/>
        <v>-</v>
      </c>
      <c r="F2069" s="496"/>
      <c r="G2069" s="398"/>
    </row>
    <row r="2070" spans="1:7">
      <c r="A2070" s="397" t="str">
        <f t="shared" si="73"/>
        <v>-</v>
      </c>
      <c r="F2070" s="496"/>
      <c r="G2070" s="398"/>
    </row>
    <row r="2071" spans="1:7">
      <c r="A2071" s="397" t="str">
        <f t="shared" si="73"/>
        <v>-</v>
      </c>
      <c r="F2071" s="496"/>
      <c r="G2071" s="398"/>
    </row>
    <row r="2072" spans="1:7">
      <c r="A2072" s="397" t="str">
        <f t="shared" si="73"/>
        <v>-</v>
      </c>
      <c r="F2072" s="496"/>
      <c r="G2072" s="398"/>
    </row>
    <row r="2073" spans="1:7">
      <c r="A2073" s="397" t="str">
        <f t="shared" si="73"/>
        <v>-</v>
      </c>
      <c r="F2073" s="496"/>
      <c r="G2073" s="398"/>
    </row>
    <row r="2074" spans="1:7">
      <c r="A2074" s="397" t="str">
        <f t="shared" si="73"/>
        <v>-</v>
      </c>
      <c r="F2074" s="496"/>
      <c r="G2074" s="398"/>
    </row>
    <row r="2075" spans="1:7">
      <c r="A2075" s="397" t="str">
        <f t="shared" si="73"/>
        <v>-</v>
      </c>
      <c r="F2075" s="496"/>
      <c r="G2075" s="398"/>
    </row>
    <row r="2076" spans="1:7">
      <c r="A2076" s="397" t="str">
        <f t="shared" si="73"/>
        <v>-</v>
      </c>
      <c r="F2076" s="496"/>
      <c r="G2076" s="398"/>
    </row>
    <row r="2077" spans="1:7">
      <c r="A2077" s="397" t="str">
        <f t="shared" si="73"/>
        <v>-</v>
      </c>
      <c r="F2077" s="496"/>
      <c r="G2077" s="398"/>
    </row>
    <row r="2078" spans="1:7">
      <c r="A2078" s="397" t="str">
        <f t="shared" si="73"/>
        <v>-</v>
      </c>
      <c r="F2078" s="496"/>
      <c r="G2078" s="398"/>
    </row>
    <row r="2079" spans="1:7">
      <c r="A2079" s="397" t="str">
        <f t="shared" si="73"/>
        <v>-</v>
      </c>
      <c r="F2079" s="496"/>
      <c r="G2079" s="398"/>
    </row>
    <row r="2080" spans="1:7">
      <c r="A2080" s="397" t="str">
        <f t="shared" si="73"/>
        <v>-</v>
      </c>
      <c r="F2080" s="496"/>
      <c r="G2080" s="398"/>
    </row>
    <row r="2081" spans="1:7">
      <c r="A2081" s="397" t="str">
        <f t="shared" si="73"/>
        <v>-</v>
      </c>
      <c r="F2081" s="496"/>
      <c r="G2081" s="398"/>
    </row>
    <row r="2082" spans="1:7">
      <c r="A2082" s="397" t="str">
        <f t="shared" si="73"/>
        <v>-</v>
      </c>
      <c r="F2082" s="496"/>
      <c r="G2082" s="398"/>
    </row>
    <row r="2083" spans="1:7">
      <c r="A2083" s="397" t="str">
        <f t="shared" si="73"/>
        <v>-</v>
      </c>
      <c r="F2083" s="496"/>
      <c r="G2083" s="398"/>
    </row>
    <row r="2084" spans="1:7">
      <c r="A2084" s="397" t="str">
        <f t="shared" si="73"/>
        <v>-</v>
      </c>
      <c r="F2084" s="496"/>
      <c r="G2084" s="398"/>
    </row>
    <row r="2085" spans="1:7">
      <c r="A2085" s="397" t="str">
        <f t="shared" si="73"/>
        <v>-</v>
      </c>
      <c r="F2085" s="496"/>
      <c r="G2085" s="398"/>
    </row>
    <row r="2086" spans="1:7">
      <c r="A2086" s="397" t="str">
        <f t="shared" si="73"/>
        <v>-</v>
      </c>
      <c r="F2086" s="496"/>
      <c r="G2086" s="398"/>
    </row>
    <row r="2087" spans="1:7">
      <c r="A2087" s="397" t="str">
        <f t="shared" si="73"/>
        <v>-</v>
      </c>
      <c r="F2087" s="496"/>
      <c r="G2087" s="398"/>
    </row>
    <row r="2088" spans="1:7">
      <c r="A2088" s="397" t="str">
        <f t="shared" si="73"/>
        <v>-</v>
      </c>
      <c r="F2088" s="496"/>
      <c r="G2088" s="398"/>
    </row>
    <row r="2089" spans="1:7">
      <c r="A2089" s="397" t="str">
        <f t="shared" si="73"/>
        <v>-</v>
      </c>
      <c r="F2089" s="496"/>
      <c r="G2089" s="398"/>
    </row>
    <row r="2090" spans="1:7">
      <c r="A2090" s="397" t="str">
        <f t="shared" si="73"/>
        <v>-</v>
      </c>
      <c r="F2090" s="496"/>
      <c r="G2090" s="398"/>
    </row>
    <row r="2091" spans="1:7">
      <c r="A2091" s="397" t="str">
        <f t="shared" si="73"/>
        <v>-</v>
      </c>
      <c r="F2091" s="496"/>
      <c r="G2091" s="398"/>
    </row>
    <row r="2092" spans="1:7">
      <c r="A2092" s="397" t="str">
        <f t="shared" si="73"/>
        <v>-</v>
      </c>
      <c r="F2092" s="496"/>
      <c r="G2092" s="398"/>
    </row>
    <row r="2093" spans="1:7">
      <c r="A2093" s="397" t="str">
        <f t="shared" si="73"/>
        <v>-</v>
      </c>
      <c r="F2093" s="496"/>
      <c r="G2093" s="398"/>
    </row>
    <row r="2094" spans="1:7">
      <c r="A2094" s="397" t="str">
        <f t="shared" si="73"/>
        <v>-</v>
      </c>
      <c r="F2094" s="496"/>
      <c r="G2094" s="398"/>
    </row>
    <row r="2095" spans="1:7">
      <c r="A2095" s="397" t="str">
        <f t="shared" si="73"/>
        <v>-</v>
      </c>
      <c r="F2095" s="496"/>
      <c r="G2095" s="398"/>
    </row>
    <row r="2096" spans="1:7">
      <c r="A2096" s="397" t="str">
        <f t="shared" si="73"/>
        <v>-</v>
      </c>
      <c r="F2096" s="496"/>
      <c r="G2096" s="398"/>
    </row>
    <row r="2097" spans="1:7">
      <c r="A2097" s="397" t="str">
        <f t="shared" si="73"/>
        <v>-</v>
      </c>
      <c r="F2097" s="496"/>
      <c r="G2097" s="398"/>
    </row>
    <row r="2098" spans="1:7">
      <c r="A2098" s="397" t="str">
        <f t="shared" si="73"/>
        <v>-</v>
      </c>
      <c r="F2098" s="496"/>
      <c r="G2098" s="398"/>
    </row>
    <row r="2099" spans="1:7">
      <c r="A2099" s="397" t="str">
        <f t="shared" si="73"/>
        <v>-</v>
      </c>
      <c r="F2099" s="496"/>
      <c r="G2099" s="398"/>
    </row>
    <row r="2100" spans="1:7">
      <c r="A2100" s="397" t="str">
        <f t="shared" si="73"/>
        <v>-</v>
      </c>
      <c r="F2100" s="496"/>
      <c r="G2100" s="398"/>
    </row>
    <row r="2101" spans="1:7">
      <c r="A2101" s="397" t="str">
        <f t="shared" si="73"/>
        <v>-</v>
      </c>
      <c r="F2101" s="496"/>
      <c r="G2101" s="398"/>
    </row>
    <row r="2102" spans="1:7">
      <c r="A2102" s="397" t="str">
        <f t="shared" si="73"/>
        <v>-</v>
      </c>
      <c r="F2102" s="496"/>
      <c r="G2102" s="398"/>
    </row>
    <row r="2103" spans="1:7">
      <c r="A2103" s="397" t="str">
        <f t="shared" ref="A2103:A2166" si="75">B2103&amp;"-"&amp;C2103</f>
        <v>-</v>
      </c>
      <c r="F2103" s="496"/>
      <c r="G2103" s="398"/>
    </row>
    <row r="2104" spans="1:7">
      <c r="A2104" s="397" t="str">
        <f t="shared" si="75"/>
        <v>-</v>
      </c>
      <c r="F2104" s="496"/>
      <c r="G2104" s="398"/>
    </row>
    <row r="2105" spans="1:7">
      <c r="A2105" s="397" t="str">
        <f t="shared" si="75"/>
        <v>-</v>
      </c>
      <c r="F2105" s="496"/>
      <c r="G2105" s="398"/>
    </row>
    <row r="2106" spans="1:7">
      <c r="A2106" s="397" t="str">
        <f t="shared" si="75"/>
        <v>-</v>
      </c>
      <c r="F2106" s="496"/>
      <c r="G2106" s="398"/>
    </row>
    <row r="2107" spans="1:7">
      <c r="A2107" s="397" t="str">
        <f t="shared" si="75"/>
        <v>-</v>
      </c>
      <c r="F2107" s="496"/>
      <c r="G2107" s="398"/>
    </row>
    <row r="2108" spans="1:7">
      <c r="A2108" s="397" t="str">
        <f t="shared" si="75"/>
        <v>-</v>
      </c>
      <c r="F2108" s="496"/>
      <c r="G2108" s="398"/>
    </row>
    <row r="2109" spans="1:7">
      <c r="A2109" s="397" t="str">
        <f t="shared" si="75"/>
        <v>-</v>
      </c>
      <c r="F2109" s="496"/>
      <c r="G2109" s="398"/>
    </row>
    <row r="2110" spans="1:7">
      <c r="A2110" s="397" t="str">
        <f t="shared" si="75"/>
        <v>-</v>
      </c>
      <c r="F2110" s="496"/>
      <c r="G2110" s="398"/>
    </row>
    <row r="2111" spans="1:7">
      <c r="A2111" s="397" t="str">
        <f t="shared" si="75"/>
        <v>-</v>
      </c>
      <c r="F2111" s="496"/>
      <c r="G2111" s="398"/>
    </row>
    <row r="2112" spans="1:7">
      <c r="A2112" s="397" t="str">
        <f t="shared" si="75"/>
        <v>-</v>
      </c>
      <c r="F2112" s="496"/>
      <c r="G2112" s="398"/>
    </row>
    <row r="2113" spans="1:7">
      <c r="A2113" s="397" t="str">
        <f t="shared" si="75"/>
        <v>-</v>
      </c>
      <c r="F2113" s="496"/>
      <c r="G2113" s="398"/>
    </row>
    <row r="2114" spans="1:7">
      <c r="A2114" s="397" t="str">
        <f t="shared" si="75"/>
        <v>-</v>
      </c>
      <c r="F2114" s="496"/>
      <c r="G2114" s="398"/>
    </row>
    <row r="2115" spans="1:7">
      <c r="A2115" s="397" t="str">
        <f t="shared" si="75"/>
        <v>-</v>
      </c>
      <c r="F2115" s="496"/>
      <c r="G2115" s="398"/>
    </row>
    <row r="2116" spans="1:7">
      <c r="A2116" s="397" t="str">
        <f t="shared" si="75"/>
        <v>-</v>
      </c>
      <c r="F2116" s="496"/>
      <c r="G2116" s="398"/>
    </row>
    <row r="2117" spans="1:7">
      <c r="A2117" s="397" t="str">
        <f t="shared" si="75"/>
        <v>-</v>
      </c>
      <c r="F2117" s="496"/>
      <c r="G2117" s="398"/>
    </row>
    <row r="2118" spans="1:7">
      <c r="A2118" s="397" t="str">
        <f t="shared" si="75"/>
        <v>-</v>
      </c>
      <c r="F2118" s="496"/>
      <c r="G2118" s="398"/>
    </row>
    <row r="2119" spans="1:7">
      <c r="A2119" s="397" t="str">
        <f t="shared" si="75"/>
        <v>-</v>
      </c>
      <c r="F2119" s="496"/>
      <c r="G2119" s="398"/>
    </row>
    <row r="2120" spans="1:7">
      <c r="A2120" s="397" t="str">
        <f t="shared" si="75"/>
        <v>-</v>
      </c>
      <c r="F2120" s="496"/>
      <c r="G2120" s="398"/>
    </row>
    <row r="2121" spans="1:7">
      <c r="A2121" s="397" t="str">
        <f t="shared" si="75"/>
        <v>-</v>
      </c>
      <c r="F2121" s="496"/>
      <c r="G2121" s="398"/>
    </row>
    <row r="2122" spans="1:7">
      <c r="A2122" s="397" t="str">
        <f t="shared" si="75"/>
        <v>-</v>
      </c>
      <c r="F2122" s="496"/>
      <c r="G2122" s="398"/>
    </row>
    <row r="2123" spans="1:7">
      <c r="A2123" s="397" t="str">
        <f t="shared" si="75"/>
        <v>-</v>
      </c>
      <c r="F2123" s="496"/>
      <c r="G2123" s="398"/>
    </row>
    <row r="2124" spans="1:7">
      <c r="A2124" s="397" t="str">
        <f t="shared" si="75"/>
        <v>-</v>
      </c>
      <c r="F2124" s="496"/>
      <c r="G2124" s="398"/>
    </row>
    <row r="2125" spans="1:7">
      <c r="A2125" s="397" t="str">
        <f t="shared" si="75"/>
        <v>-</v>
      </c>
      <c r="F2125" s="496"/>
      <c r="G2125" s="398"/>
    </row>
    <row r="2126" spans="1:7">
      <c r="A2126" s="397" t="str">
        <f t="shared" si="75"/>
        <v>-</v>
      </c>
      <c r="F2126" s="496"/>
      <c r="G2126" s="398"/>
    </row>
    <row r="2127" spans="1:7">
      <c r="A2127" s="397" t="str">
        <f t="shared" si="75"/>
        <v>-</v>
      </c>
      <c r="F2127" s="496"/>
      <c r="G2127" s="398"/>
    </row>
    <row r="2128" spans="1:7">
      <c r="A2128" s="397" t="str">
        <f t="shared" si="75"/>
        <v>-</v>
      </c>
      <c r="F2128" s="496"/>
      <c r="G2128" s="398"/>
    </row>
    <row r="2129" spans="1:7">
      <c r="A2129" s="397" t="str">
        <f t="shared" si="75"/>
        <v>-</v>
      </c>
      <c r="F2129" s="496"/>
      <c r="G2129" s="398"/>
    </row>
    <row r="2130" spans="1:7">
      <c r="A2130" s="397" t="str">
        <f t="shared" si="75"/>
        <v>-</v>
      </c>
      <c r="F2130" s="496"/>
      <c r="G2130" s="398"/>
    </row>
    <row r="2131" spans="1:7">
      <c r="A2131" s="397" t="str">
        <f t="shared" si="75"/>
        <v>-</v>
      </c>
      <c r="F2131" s="496"/>
      <c r="G2131" s="398"/>
    </row>
    <row r="2132" spans="1:7">
      <c r="A2132" s="397" t="str">
        <f t="shared" si="75"/>
        <v>-</v>
      </c>
      <c r="F2132" s="496"/>
      <c r="G2132" s="398"/>
    </row>
    <row r="2133" spans="1:7">
      <c r="A2133" s="397" t="str">
        <f t="shared" si="75"/>
        <v>-</v>
      </c>
      <c r="F2133" s="496"/>
      <c r="G2133" s="398"/>
    </row>
    <row r="2134" spans="1:7">
      <c r="A2134" s="397" t="str">
        <f t="shared" si="75"/>
        <v>-</v>
      </c>
      <c r="F2134" s="496"/>
      <c r="G2134" s="398"/>
    </row>
    <row r="2135" spans="1:7">
      <c r="A2135" s="397" t="str">
        <f t="shared" si="75"/>
        <v>-</v>
      </c>
      <c r="F2135" s="496"/>
      <c r="G2135" s="398"/>
    </row>
    <row r="2136" spans="1:7">
      <c r="A2136" s="397" t="str">
        <f t="shared" si="75"/>
        <v>-</v>
      </c>
      <c r="F2136" s="496"/>
      <c r="G2136" s="398"/>
    </row>
    <row r="2137" spans="1:7">
      <c r="A2137" s="397" t="str">
        <f t="shared" si="75"/>
        <v>-</v>
      </c>
      <c r="F2137" s="496"/>
      <c r="G2137" s="398"/>
    </row>
    <row r="2138" spans="1:7">
      <c r="A2138" s="397" t="str">
        <f t="shared" si="75"/>
        <v>-</v>
      </c>
      <c r="F2138" s="496"/>
      <c r="G2138" s="398"/>
    </row>
    <row r="2139" spans="1:7">
      <c r="A2139" s="397" t="str">
        <f t="shared" si="75"/>
        <v>-</v>
      </c>
      <c r="F2139" s="496"/>
      <c r="G2139" s="398"/>
    </row>
    <row r="2140" spans="1:7">
      <c r="A2140" s="397" t="str">
        <f t="shared" si="75"/>
        <v>-</v>
      </c>
      <c r="F2140" s="496"/>
      <c r="G2140" s="398"/>
    </row>
    <row r="2141" spans="1:7">
      <c r="A2141" s="397" t="str">
        <f t="shared" si="75"/>
        <v>-</v>
      </c>
      <c r="F2141" s="496"/>
      <c r="G2141" s="398"/>
    </row>
    <row r="2142" spans="1:7">
      <c r="A2142" s="397" t="str">
        <f t="shared" si="75"/>
        <v>-</v>
      </c>
      <c r="F2142" s="496"/>
      <c r="G2142" s="398"/>
    </row>
    <row r="2143" spans="1:7">
      <c r="A2143" s="397" t="str">
        <f t="shared" si="75"/>
        <v>-</v>
      </c>
      <c r="F2143" s="496"/>
      <c r="G2143" s="398"/>
    </row>
    <row r="2144" spans="1:7">
      <c r="A2144" s="397" t="str">
        <f t="shared" si="75"/>
        <v>-</v>
      </c>
      <c r="F2144" s="496"/>
      <c r="G2144" s="398"/>
    </row>
    <row r="2145" spans="1:7">
      <c r="A2145" s="397" t="str">
        <f t="shared" si="75"/>
        <v>-</v>
      </c>
      <c r="F2145" s="496"/>
      <c r="G2145" s="398"/>
    </row>
    <row r="2146" spans="1:7">
      <c r="A2146" s="397" t="str">
        <f t="shared" si="75"/>
        <v>-</v>
      </c>
      <c r="F2146" s="496"/>
      <c r="G2146" s="398"/>
    </row>
    <row r="2147" spans="1:7">
      <c r="A2147" s="397" t="str">
        <f t="shared" si="75"/>
        <v>-</v>
      </c>
      <c r="F2147" s="496"/>
      <c r="G2147" s="398"/>
    </row>
    <row r="2148" spans="1:7">
      <c r="A2148" s="397" t="str">
        <f t="shared" si="75"/>
        <v>-</v>
      </c>
      <c r="F2148" s="496"/>
      <c r="G2148" s="398"/>
    </row>
    <row r="2149" spans="1:7">
      <c r="A2149" s="397" t="str">
        <f t="shared" si="75"/>
        <v>-</v>
      </c>
      <c r="F2149" s="496"/>
      <c r="G2149" s="398"/>
    </row>
    <row r="2150" spans="1:7">
      <c r="A2150" s="397" t="str">
        <f t="shared" si="75"/>
        <v>-</v>
      </c>
      <c r="F2150" s="496"/>
      <c r="G2150" s="398"/>
    </row>
    <row r="2151" spans="1:7">
      <c r="A2151" s="397" t="str">
        <f t="shared" si="75"/>
        <v>-</v>
      </c>
      <c r="F2151" s="496"/>
      <c r="G2151" s="398"/>
    </row>
    <row r="2152" spans="1:7">
      <c r="A2152" s="397" t="str">
        <f t="shared" si="75"/>
        <v>-</v>
      </c>
      <c r="F2152" s="496"/>
      <c r="G2152" s="398"/>
    </row>
    <row r="2153" spans="1:7">
      <c r="A2153" s="397" t="str">
        <f t="shared" si="75"/>
        <v>-</v>
      </c>
      <c r="F2153" s="496"/>
      <c r="G2153" s="398"/>
    </row>
    <row r="2154" spans="1:7">
      <c r="A2154" s="397" t="str">
        <f t="shared" si="75"/>
        <v>-</v>
      </c>
      <c r="F2154" s="496"/>
      <c r="G2154" s="398"/>
    </row>
    <row r="2155" spans="1:7">
      <c r="A2155" s="397" t="str">
        <f t="shared" si="75"/>
        <v>-</v>
      </c>
      <c r="F2155" s="496"/>
      <c r="G2155" s="398"/>
    </row>
    <row r="2156" spans="1:7">
      <c r="A2156" s="397" t="str">
        <f t="shared" si="75"/>
        <v>-</v>
      </c>
      <c r="F2156" s="496"/>
      <c r="G2156" s="398"/>
    </row>
    <row r="2157" spans="1:7">
      <c r="A2157" s="397" t="str">
        <f t="shared" si="75"/>
        <v>-</v>
      </c>
      <c r="F2157" s="496"/>
      <c r="G2157" s="398"/>
    </row>
    <row r="2158" spans="1:7">
      <c r="A2158" s="397" t="str">
        <f t="shared" si="75"/>
        <v>-</v>
      </c>
      <c r="F2158" s="496"/>
      <c r="G2158" s="398"/>
    </row>
    <row r="2159" spans="1:7">
      <c r="A2159" s="397" t="str">
        <f t="shared" si="75"/>
        <v>-</v>
      </c>
      <c r="F2159" s="496"/>
      <c r="G2159" s="398"/>
    </row>
    <row r="2160" spans="1:7">
      <c r="A2160" s="397" t="str">
        <f t="shared" si="75"/>
        <v>-</v>
      </c>
      <c r="F2160" s="496"/>
      <c r="G2160" s="398"/>
    </row>
    <row r="2161" spans="1:7">
      <c r="A2161" s="397" t="str">
        <f t="shared" si="75"/>
        <v>-</v>
      </c>
      <c r="F2161" s="496"/>
      <c r="G2161" s="398"/>
    </row>
    <row r="2162" spans="1:7">
      <c r="A2162" s="397" t="str">
        <f t="shared" si="75"/>
        <v>-</v>
      </c>
      <c r="F2162" s="496"/>
      <c r="G2162" s="398"/>
    </row>
    <row r="2163" spans="1:7">
      <c r="A2163" s="397" t="str">
        <f t="shared" si="75"/>
        <v>-</v>
      </c>
      <c r="F2163" s="496"/>
      <c r="G2163" s="398"/>
    </row>
    <row r="2164" spans="1:7">
      <c r="A2164" s="397" t="str">
        <f t="shared" si="75"/>
        <v>-</v>
      </c>
      <c r="F2164" s="496"/>
      <c r="G2164" s="398"/>
    </row>
    <row r="2165" spans="1:7">
      <c r="A2165" s="397" t="str">
        <f t="shared" si="75"/>
        <v>-</v>
      </c>
      <c r="F2165" s="496"/>
      <c r="G2165" s="398"/>
    </row>
    <row r="2166" spans="1:7">
      <c r="A2166" s="397" t="str">
        <f t="shared" si="75"/>
        <v>-</v>
      </c>
      <c r="F2166" s="496"/>
      <c r="G2166" s="398"/>
    </row>
    <row r="2167" spans="1:7">
      <c r="A2167" s="397" t="str">
        <f t="shared" ref="A2167:A2230" si="76">B2167&amp;"-"&amp;C2167</f>
        <v>-</v>
      </c>
      <c r="F2167" s="496"/>
      <c r="G2167" s="398"/>
    </row>
    <row r="2168" spans="1:7">
      <c r="A2168" s="397" t="str">
        <f t="shared" si="76"/>
        <v>-</v>
      </c>
      <c r="F2168" s="496"/>
      <c r="G2168" s="398"/>
    </row>
    <row r="2169" spans="1:7">
      <c r="A2169" s="397" t="str">
        <f t="shared" si="76"/>
        <v>-</v>
      </c>
      <c r="F2169" s="496"/>
      <c r="G2169" s="398"/>
    </row>
    <row r="2170" spans="1:7">
      <c r="A2170" s="397" t="str">
        <f t="shared" si="76"/>
        <v>-</v>
      </c>
      <c r="F2170" s="496"/>
      <c r="G2170" s="398"/>
    </row>
    <row r="2171" spans="1:7">
      <c r="A2171" s="397" t="str">
        <f t="shared" si="76"/>
        <v>-</v>
      </c>
      <c r="F2171" s="496"/>
      <c r="G2171" s="398"/>
    </row>
    <row r="2172" spans="1:7">
      <c r="A2172" s="397" t="str">
        <f t="shared" si="76"/>
        <v>-</v>
      </c>
      <c r="F2172" s="496"/>
      <c r="G2172" s="398"/>
    </row>
    <row r="2173" spans="1:7">
      <c r="A2173" s="397" t="str">
        <f t="shared" si="76"/>
        <v>-</v>
      </c>
      <c r="F2173" s="496"/>
      <c r="G2173" s="398"/>
    </row>
    <row r="2174" spans="1:7">
      <c r="A2174" s="397" t="str">
        <f t="shared" si="76"/>
        <v>-</v>
      </c>
      <c r="F2174" s="496"/>
      <c r="G2174" s="398"/>
    </row>
    <row r="2175" spans="1:7">
      <c r="A2175" s="397" t="str">
        <f t="shared" si="76"/>
        <v>-</v>
      </c>
      <c r="F2175" s="496"/>
      <c r="G2175" s="398"/>
    </row>
    <row r="2176" spans="1:7">
      <c r="A2176" s="397" t="str">
        <f t="shared" si="76"/>
        <v>-</v>
      </c>
      <c r="F2176" s="496"/>
      <c r="G2176" s="398"/>
    </row>
    <row r="2177" spans="1:7">
      <c r="A2177" s="397" t="str">
        <f t="shared" si="76"/>
        <v>-</v>
      </c>
      <c r="F2177" s="496"/>
      <c r="G2177" s="398"/>
    </row>
    <row r="2178" spans="1:7">
      <c r="A2178" s="397" t="str">
        <f t="shared" si="76"/>
        <v>-</v>
      </c>
      <c r="F2178" s="496"/>
      <c r="G2178" s="398"/>
    </row>
    <row r="2179" spans="1:7">
      <c r="A2179" s="397" t="str">
        <f t="shared" si="76"/>
        <v>-</v>
      </c>
      <c r="F2179" s="496"/>
      <c r="G2179" s="398"/>
    </row>
    <row r="2180" spans="1:7">
      <c r="A2180" s="397" t="str">
        <f t="shared" si="76"/>
        <v>-</v>
      </c>
      <c r="F2180" s="496"/>
      <c r="G2180" s="398"/>
    </row>
    <row r="2181" spans="1:7">
      <c r="A2181" s="397" t="str">
        <f t="shared" si="76"/>
        <v>-</v>
      </c>
      <c r="F2181" s="496"/>
      <c r="G2181" s="398"/>
    </row>
    <row r="2182" spans="1:7">
      <c r="A2182" s="397" t="str">
        <f t="shared" si="76"/>
        <v>-</v>
      </c>
      <c r="F2182" s="496"/>
      <c r="G2182" s="398"/>
    </row>
    <row r="2183" spans="1:7">
      <c r="A2183" s="397" t="str">
        <f t="shared" si="76"/>
        <v>-</v>
      </c>
      <c r="F2183" s="496"/>
      <c r="G2183" s="398"/>
    </row>
    <row r="2184" spans="1:7">
      <c r="A2184" s="397" t="str">
        <f t="shared" si="76"/>
        <v>-</v>
      </c>
      <c r="F2184" s="496"/>
      <c r="G2184" s="398"/>
    </row>
    <row r="2185" spans="1:7">
      <c r="A2185" s="397" t="str">
        <f t="shared" si="76"/>
        <v>-</v>
      </c>
      <c r="F2185" s="496"/>
      <c r="G2185" s="398"/>
    </row>
    <row r="2186" spans="1:7">
      <c r="A2186" s="397" t="str">
        <f t="shared" si="76"/>
        <v>-</v>
      </c>
      <c r="F2186" s="496"/>
      <c r="G2186" s="398"/>
    </row>
    <row r="2187" spans="1:7">
      <c r="A2187" s="397" t="str">
        <f t="shared" si="76"/>
        <v>-</v>
      </c>
      <c r="F2187" s="496"/>
      <c r="G2187" s="398"/>
    </row>
    <row r="2188" spans="1:7">
      <c r="A2188" s="397" t="str">
        <f t="shared" si="76"/>
        <v>-</v>
      </c>
      <c r="F2188" s="496"/>
      <c r="G2188" s="398"/>
    </row>
    <row r="2189" spans="1:7">
      <c r="A2189" s="397" t="str">
        <f t="shared" si="76"/>
        <v>-</v>
      </c>
      <c r="F2189" s="496"/>
      <c r="G2189" s="398"/>
    </row>
    <row r="2190" spans="1:7">
      <c r="A2190" s="397" t="str">
        <f t="shared" si="76"/>
        <v>-</v>
      </c>
      <c r="F2190" s="496"/>
      <c r="G2190" s="398"/>
    </row>
    <row r="2191" spans="1:7">
      <c r="A2191" s="397" t="str">
        <f t="shared" si="76"/>
        <v>-</v>
      </c>
      <c r="F2191" s="496"/>
      <c r="G2191" s="398"/>
    </row>
    <row r="2192" spans="1:7">
      <c r="A2192" s="397" t="str">
        <f t="shared" si="76"/>
        <v>-</v>
      </c>
      <c r="F2192" s="496"/>
      <c r="G2192" s="398"/>
    </row>
    <row r="2193" spans="1:7">
      <c r="A2193" s="397" t="str">
        <f t="shared" si="76"/>
        <v>-</v>
      </c>
      <c r="F2193" s="496"/>
      <c r="G2193" s="398"/>
    </row>
    <row r="2194" spans="1:7">
      <c r="A2194" s="397" t="str">
        <f t="shared" si="76"/>
        <v>-</v>
      </c>
      <c r="F2194" s="496"/>
      <c r="G2194" s="398"/>
    </row>
    <row r="2195" spans="1:7">
      <c r="A2195" s="397" t="str">
        <f t="shared" si="76"/>
        <v>-</v>
      </c>
      <c r="F2195" s="496"/>
      <c r="G2195" s="398"/>
    </row>
    <row r="2196" spans="1:7">
      <c r="A2196" s="397" t="str">
        <f t="shared" si="76"/>
        <v>-</v>
      </c>
      <c r="F2196" s="496"/>
      <c r="G2196" s="398"/>
    </row>
    <row r="2197" spans="1:7">
      <c r="A2197" s="397" t="str">
        <f t="shared" si="76"/>
        <v>-</v>
      </c>
      <c r="F2197" s="496"/>
      <c r="G2197" s="398"/>
    </row>
    <row r="2198" spans="1:7">
      <c r="A2198" s="397" t="str">
        <f t="shared" si="76"/>
        <v>-</v>
      </c>
      <c r="F2198" s="496"/>
      <c r="G2198" s="398"/>
    </row>
    <row r="2199" spans="1:7">
      <c r="A2199" s="397" t="str">
        <f t="shared" si="76"/>
        <v>-</v>
      </c>
      <c r="F2199" s="496"/>
      <c r="G2199" s="398"/>
    </row>
    <row r="2200" spans="1:7">
      <c r="A2200" s="397" t="str">
        <f t="shared" si="76"/>
        <v>-</v>
      </c>
      <c r="F2200" s="496"/>
      <c r="G2200" s="398"/>
    </row>
    <row r="2201" spans="1:7">
      <c r="A2201" s="397" t="str">
        <f t="shared" si="76"/>
        <v>-</v>
      </c>
      <c r="F2201" s="496"/>
      <c r="G2201" s="398"/>
    </row>
    <row r="2202" spans="1:7">
      <c r="A2202" s="397" t="str">
        <f t="shared" si="76"/>
        <v>-</v>
      </c>
      <c r="F2202" s="496"/>
      <c r="G2202" s="398"/>
    </row>
    <row r="2203" spans="1:7">
      <c r="A2203" s="397" t="str">
        <f t="shared" si="76"/>
        <v>-</v>
      </c>
      <c r="F2203" s="496"/>
      <c r="G2203" s="398"/>
    </row>
    <row r="2204" spans="1:7">
      <c r="A2204" s="397" t="str">
        <f t="shared" si="76"/>
        <v>-</v>
      </c>
      <c r="F2204" s="496"/>
      <c r="G2204" s="398"/>
    </row>
    <row r="2205" spans="1:7">
      <c r="A2205" s="397" t="str">
        <f t="shared" si="76"/>
        <v>-</v>
      </c>
      <c r="F2205" s="496"/>
      <c r="G2205" s="398"/>
    </row>
    <row r="2206" spans="1:7">
      <c r="A2206" s="397" t="str">
        <f t="shared" si="76"/>
        <v>-</v>
      </c>
      <c r="F2206" s="496"/>
      <c r="G2206" s="398"/>
    </row>
    <row r="2207" spans="1:7">
      <c r="A2207" s="397" t="str">
        <f t="shared" si="76"/>
        <v>-</v>
      </c>
      <c r="F2207" s="496"/>
      <c r="G2207" s="398"/>
    </row>
    <row r="2208" spans="1:7">
      <c r="A2208" s="397" t="str">
        <f t="shared" si="76"/>
        <v>-</v>
      </c>
      <c r="F2208" s="496"/>
      <c r="G2208" s="398"/>
    </row>
    <row r="2209" spans="1:7">
      <c r="A2209" s="397" t="str">
        <f t="shared" si="76"/>
        <v>-</v>
      </c>
      <c r="F2209" s="496"/>
      <c r="G2209" s="398"/>
    </row>
    <row r="2210" spans="1:7">
      <c r="A2210" s="397" t="str">
        <f t="shared" si="76"/>
        <v>-</v>
      </c>
      <c r="F2210" s="496"/>
      <c r="G2210" s="398"/>
    </row>
    <row r="2211" spans="1:7">
      <c r="A2211" s="397" t="str">
        <f t="shared" si="76"/>
        <v>-</v>
      </c>
      <c r="F2211" s="496"/>
      <c r="G2211" s="398"/>
    </row>
    <row r="2212" spans="1:7">
      <c r="A2212" s="397" t="str">
        <f t="shared" si="76"/>
        <v>-</v>
      </c>
      <c r="F2212" s="496"/>
      <c r="G2212" s="398"/>
    </row>
    <row r="2213" spans="1:7">
      <c r="A2213" s="397" t="str">
        <f t="shared" si="76"/>
        <v>-</v>
      </c>
      <c r="F2213" s="496"/>
      <c r="G2213" s="398"/>
    </row>
    <row r="2214" spans="1:7">
      <c r="A2214" s="397" t="str">
        <f t="shared" si="76"/>
        <v>-</v>
      </c>
      <c r="F2214" s="496"/>
      <c r="G2214" s="398"/>
    </row>
    <row r="2215" spans="1:7">
      <c r="A2215" s="397" t="str">
        <f t="shared" si="76"/>
        <v>-</v>
      </c>
      <c r="F2215" s="496"/>
      <c r="G2215" s="398"/>
    </row>
    <row r="2216" spans="1:7">
      <c r="A2216" s="397" t="str">
        <f t="shared" si="76"/>
        <v>-</v>
      </c>
      <c r="F2216" s="496"/>
      <c r="G2216" s="398"/>
    </row>
    <row r="2217" spans="1:7">
      <c r="A2217" s="397" t="str">
        <f t="shared" si="76"/>
        <v>-</v>
      </c>
      <c r="F2217" s="496"/>
      <c r="G2217" s="398"/>
    </row>
    <row r="2218" spans="1:7">
      <c r="A2218" s="397" t="str">
        <f t="shared" si="76"/>
        <v>-</v>
      </c>
      <c r="F2218" s="496"/>
      <c r="G2218" s="398"/>
    </row>
    <row r="2219" spans="1:7">
      <c r="A2219" s="397" t="str">
        <f t="shared" si="76"/>
        <v>-</v>
      </c>
      <c r="F2219" s="496"/>
      <c r="G2219" s="398"/>
    </row>
    <row r="2220" spans="1:7">
      <c r="A2220" s="397" t="str">
        <f t="shared" si="76"/>
        <v>-</v>
      </c>
      <c r="F2220" s="496"/>
      <c r="G2220" s="398"/>
    </row>
    <row r="2221" spans="1:7">
      <c r="A2221" s="397" t="str">
        <f t="shared" si="76"/>
        <v>-</v>
      </c>
      <c r="F2221" s="496"/>
      <c r="G2221" s="398"/>
    </row>
    <row r="2222" spans="1:7">
      <c r="A2222" s="397" t="str">
        <f t="shared" si="76"/>
        <v>-</v>
      </c>
      <c r="F2222" s="496"/>
      <c r="G2222" s="398"/>
    </row>
    <row r="2223" spans="1:7">
      <c r="A2223" s="397" t="str">
        <f t="shared" si="76"/>
        <v>-</v>
      </c>
      <c r="F2223" s="496"/>
      <c r="G2223" s="398"/>
    </row>
    <row r="2224" spans="1:7">
      <c r="A2224" s="397" t="str">
        <f t="shared" si="76"/>
        <v>-</v>
      </c>
      <c r="F2224" s="496"/>
      <c r="G2224" s="398"/>
    </row>
    <row r="2225" spans="1:7">
      <c r="A2225" s="397" t="str">
        <f t="shared" si="76"/>
        <v>-</v>
      </c>
      <c r="F2225" s="496"/>
      <c r="G2225" s="398"/>
    </row>
    <row r="2226" spans="1:7">
      <c r="A2226" s="397" t="str">
        <f t="shared" si="76"/>
        <v>-</v>
      </c>
      <c r="F2226" s="496"/>
      <c r="G2226" s="398"/>
    </row>
    <row r="2227" spans="1:7">
      <c r="A2227" s="397" t="str">
        <f t="shared" si="76"/>
        <v>-</v>
      </c>
      <c r="F2227" s="496"/>
      <c r="G2227" s="398"/>
    </row>
    <row r="2228" spans="1:7">
      <c r="A2228" s="397" t="str">
        <f t="shared" si="76"/>
        <v>-</v>
      </c>
      <c r="F2228" s="496"/>
      <c r="G2228" s="398"/>
    </row>
    <row r="2229" spans="1:7">
      <c r="A2229" s="397" t="str">
        <f t="shared" si="76"/>
        <v>-</v>
      </c>
      <c r="F2229" s="496"/>
      <c r="G2229" s="398"/>
    </row>
    <row r="2230" spans="1:7">
      <c r="A2230" s="397" t="str">
        <f t="shared" si="76"/>
        <v>-</v>
      </c>
      <c r="F2230" s="496"/>
      <c r="G2230" s="398"/>
    </row>
    <row r="2231" spans="1:7">
      <c r="A2231" s="397" t="str">
        <f t="shared" ref="A2231:A2294" si="77">B2231&amp;"-"&amp;C2231</f>
        <v>-</v>
      </c>
      <c r="F2231" s="496"/>
    </row>
    <row r="2232" spans="1:7">
      <c r="A2232" s="397" t="str">
        <f t="shared" si="77"/>
        <v>-</v>
      </c>
      <c r="F2232" s="496"/>
    </row>
    <row r="2233" spans="1:7">
      <c r="A2233" s="397" t="str">
        <f t="shared" si="77"/>
        <v>-</v>
      </c>
      <c r="F2233" s="496"/>
    </row>
    <row r="2234" spans="1:7">
      <c r="A2234" s="397" t="str">
        <f t="shared" si="77"/>
        <v>-</v>
      </c>
      <c r="F2234" s="496"/>
    </row>
    <row r="2235" spans="1:7">
      <c r="A2235" s="397" t="str">
        <f t="shared" si="77"/>
        <v>-</v>
      </c>
      <c r="F2235" s="496"/>
    </row>
    <row r="2236" spans="1:7">
      <c r="A2236" s="397" t="str">
        <f t="shared" si="77"/>
        <v>-</v>
      </c>
      <c r="F2236" s="496"/>
    </row>
    <row r="2237" spans="1:7">
      <c r="A2237" s="397" t="str">
        <f t="shared" si="77"/>
        <v>-</v>
      </c>
      <c r="F2237" s="496"/>
    </row>
    <row r="2238" spans="1:7">
      <c r="A2238" s="397" t="str">
        <f t="shared" si="77"/>
        <v>-</v>
      </c>
      <c r="F2238" s="496"/>
    </row>
    <row r="2239" spans="1:7">
      <c r="A2239" s="397" t="str">
        <f t="shared" si="77"/>
        <v>-</v>
      </c>
      <c r="F2239" s="496"/>
    </row>
    <row r="2240" spans="1:7">
      <c r="A2240" s="397" t="str">
        <f t="shared" si="77"/>
        <v>-</v>
      </c>
      <c r="F2240" s="496"/>
    </row>
    <row r="2241" spans="1:6">
      <c r="A2241" s="397" t="str">
        <f t="shared" si="77"/>
        <v>-</v>
      </c>
      <c r="F2241" s="496"/>
    </row>
    <row r="2242" spans="1:6">
      <c r="A2242" s="397" t="str">
        <f t="shared" si="77"/>
        <v>-</v>
      </c>
      <c r="F2242" s="496"/>
    </row>
    <row r="2243" spans="1:6">
      <c r="A2243" s="397" t="str">
        <f t="shared" si="77"/>
        <v>-</v>
      </c>
      <c r="F2243" s="496"/>
    </row>
    <row r="2244" spans="1:6">
      <c r="A2244" s="397" t="str">
        <f t="shared" si="77"/>
        <v>-</v>
      </c>
      <c r="F2244" s="496"/>
    </row>
    <row r="2245" spans="1:6">
      <c r="A2245" s="397" t="str">
        <f t="shared" si="77"/>
        <v>-</v>
      </c>
      <c r="F2245" s="496"/>
    </row>
    <row r="2246" spans="1:6">
      <c r="A2246" s="397" t="str">
        <f t="shared" si="77"/>
        <v>-</v>
      </c>
      <c r="F2246" s="496"/>
    </row>
    <row r="2247" spans="1:6">
      <c r="A2247" s="397" t="str">
        <f t="shared" si="77"/>
        <v>-</v>
      </c>
      <c r="F2247" s="496"/>
    </row>
    <row r="2248" spans="1:6">
      <c r="A2248" s="397" t="str">
        <f t="shared" si="77"/>
        <v>-</v>
      </c>
      <c r="F2248" s="496"/>
    </row>
    <row r="2249" spans="1:6">
      <c r="A2249" s="397" t="str">
        <f t="shared" si="77"/>
        <v>-</v>
      </c>
      <c r="F2249" s="496"/>
    </row>
    <row r="2250" spans="1:6">
      <c r="A2250" s="397" t="str">
        <f t="shared" si="77"/>
        <v>-</v>
      </c>
      <c r="F2250" s="496"/>
    </row>
    <row r="2251" spans="1:6">
      <c r="A2251" s="397" t="str">
        <f t="shared" si="77"/>
        <v>-</v>
      </c>
      <c r="F2251" s="496"/>
    </row>
    <row r="2252" spans="1:6">
      <c r="A2252" s="397" t="str">
        <f t="shared" si="77"/>
        <v>-</v>
      </c>
      <c r="F2252" s="496"/>
    </row>
    <row r="2253" spans="1:6">
      <c r="A2253" s="397" t="str">
        <f t="shared" si="77"/>
        <v>-</v>
      </c>
      <c r="F2253" s="496"/>
    </row>
    <row r="2254" spans="1:6">
      <c r="A2254" s="397" t="str">
        <f t="shared" si="77"/>
        <v>-</v>
      </c>
      <c r="F2254" s="496"/>
    </row>
    <row r="2255" spans="1:6">
      <c r="A2255" s="397" t="str">
        <f t="shared" si="77"/>
        <v>-</v>
      </c>
      <c r="F2255" s="496"/>
    </row>
    <row r="2256" spans="1:6">
      <c r="A2256" s="397" t="str">
        <f t="shared" si="77"/>
        <v>-</v>
      </c>
      <c r="F2256" s="496"/>
    </row>
    <row r="2257" spans="1:6">
      <c r="A2257" s="397" t="str">
        <f t="shared" si="77"/>
        <v>-</v>
      </c>
      <c r="F2257" s="496"/>
    </row>
    <row r="2258" spans="1:6">
      <c r="A2258" s="397" t="str">
        <f t="shared" si="77"/>
        <v>-</v>
      </c>
      <c r="F2258" s="496"/>
    </row>
    <row r="2259" spans="1:6">
      <c r="A2259" s="397" t="str">
        <f t="shared" si="77"/>
        <v>-</v>
      </c>
      <c r="F2259" s="496"/>
    </row>
    <row r="2260" spans="1:6">
      <c r="A2260" s="397" t="str">
        <f t="shared" si="77"/>
        <v>-</v>
      </c>
      <c r="F2260" s="496"/>
    </row>
    <row r="2261" spans="1:6">
      <c r="A2261" s="397" t="str">
        <f t="shared" si="77"/>
        <v>-</v>
      </c>
      <c r="F2261" s="496"/>
    </row>
    <row r="2262" spans="1:6">
      <c r="A2262" s="397" t="str">
        <f t="shared" si="77"/>
        <v>-</v>
      </c>
      <c r="F2262" s="496"/>
    </row>
    <row r="2263" spans="1:6">
      <c r="A2263" s="397" t="str">
        <f t="shared" si="77"/>
        <v>-</v>
      </c>
      <c r="F2263" s="496"/>
    </row>
    <row r="2264" spans="1:6">
      <c r="A2264" s="397" t="str">
        <f t="shared" si="77"/>
        <v>-</v>
      </c>
      <c r="F2264" s="496"/>
    </row>
    <row r="2265" spans="1:6">
      <c r="A2265" s="397" t="str">
        <f t="shared" si="77"/>
        <v>-</v>
      </c>
      <c r="F2265" s="496"/>
    </row>
    <row r="2266" spans="1:6">
      <c r="A2266" s="397" t="str">
        <f t="shared" si="77"/>
        <v>-</v>
      </c>
      <c r="F2266" s="496"/>
    </row>
    <row r="2267" spans="1:6">
      <c r="A2267" s="397" t="str">
        <f t="shared" si="77"/>
        <v>-</v>
      </c>
      <c r="F2267" s="496"/>
    </row>
    <row r="2268" spans="1:6">
      <c r="A2268" s="397" t="str">
        <f t="shared" si="77"/>
        <v>-</v>
      </c>
      <c r="F2268" s="496"/>
    </row>
    <row r="2269" spans="1:6">
      <c r="A2269" s="397" t="str">
        <f t="shared" si="77"/>
        <v>-</v>
      </c>
      <c r="F2269" s="496"/>
    </row>
    <row r="2270" spans="1:6">
      <c r="A2270" s="397" t="str">
        <f t="shared" si="77"/>
        <v>-</v>
      </c>
      <c r="F2270" s="496"/>
    </row>
    <row r="2271" spans="1:6">
      <c r="A2271" s="397" t="str">
        <f t="shared" si="77"/>
        <v>-</v>
      </c>
      <c r="F2271" s="496"/>
    </row>
    <row r="2272" spans="1:6">
      <c r="A2272" s="397" t="str">
        <f t="shared" si="77"/>
        <v>-</v>
      </c>
      <c r="F2272" s="496"/>
    </row>
    <row r="2273" spans="1:6">
      <c r="A2273" s="397" t="str">
        <f t="shared" si="77"/>
        <v>-</v>
      </c>
      <c r="F2273" s="496"/>
    </row>
    <row r="2274" spans="1:6">
      <c r="A2274" s="397" t="str">
        <f t="shared" si="77"/>
        <v>-</v>
      </c>
      <c r="F2274" s="496"/>
    </row>
    <row r="2275" spans="1:6">
      <c r="A2275" s="397" t="str">
        <f t="shared" si="77"/>
        <v>-</v>
      </c>
      <c r="F2275" s="496"/>
    </row>
    <row r="2276" spans="1:6">
      <c r="A2276" s="397" t="str">
        <f t="shared" si="77"/>
        <v>-</v>
      </c>
      <c r="F2276" s="496"/>
    </row>
    <row r="2277" spans="1:6">
      <c r="A2277" s="397" t="str">
        <f t="shared" si="77"/>
        <v>-</v>
      </c>
      <c r="F2277" s="496"/>
    </row>
    <row r="2278" spans="1:6">
      <c r="A2278" s="397" t="str">
        <f t="shared" si="77"/>
        <v>-</v>
      </c>
      <c r="F2278" s="496"/>
    </row>
    <row r="2279" spans="1:6">
      <c r="A2279" s="397" t="str">
        <f t="shared" si="77"/>
        <v>-</v>
      </c>
      <c r="F2279" s="496"/>
    </row>
    <row r="2280" spans="1:6">
      <c r="A2280" s="397" t="str">
        <f t="shared" si="77"/>
        <v>-</v>
      </c>
      <c r="F2280" s="496"/>
    </row>
    <row r="2281" spans="1:6">
      <c r="A2281" s="397" t="str">
        <f t="shared" si="77"/>
        <v>-</v>
      </c>
      <c r="F2281" s="496"/>
    </row>
    <row r="2282" spans="1:6">
      <c r="A2282" s="397" t="str">
        <f t="shared" si="77"/>
        <v>-</v>
      </c>
      <c r="F2282" s="496"/>
    </row>
    <row r="2283" spans="1:6">
      <c r="A2283" s="397" t="str">
        <f t="shared" si="77"/>
        <v>-</v>
      </c>
      <c r="F2283" s="496"/>
    </row>
    <row r="2284" spans="1:6">
      <c r="A2284" s="397" t="str">
        <f t="shared" si="77"/>
        <v>-</v>
      </c>
      <c r="F2284" s="496"/>
    </row>
    <row r="2285" spans="1:6">
      <c r="A2285" s="397" t="str">
        <f t="shared" si="77"/>
        <v>-</v>
      </c>
      <c r="F2285" s="496"/>
    </row>
    <row r="2286" spans="1:6">
      <c r="A2286" s="397" t="str">
        <f t="shared" si="77"/>
        <v>-</v>
      </c>
      <c r="F2286" s="496"/>
    </row>
    <row r="2287" spans="1:6">
      <c r="A2287" s="397" t="str">
        <f t="shared" si="77"/>
        <v>-</v>
      </c>
      <c r="F2287" s="496"/>
    </row>
    <row r="2288" spans="1:6">
      <c r="A2288" s="397" t="str">
        <f t="shared" si="77"/>
        <v>-</v>
      </c>
      <c r="F2288" s="496"/>
    </row>
    <row r="2289" spans="1:6">
      <c r="A2289" s="397" t="str">
        <f t="shared" si="77"/>
        <v>-</v>
      </c>
      <c r="F2289" s="496"/>
    </row>
    <row r="2290" spans="1:6">
      <c r="A2290" s="397" t="str">
        <f t="shared" si="77"/>
        <v>-</v>
      </c>
      <c r="F2290" s="496"/>
    </row>
    <row r="2291" spans="1:6">
      <c r="A2291" s="397" t="str">
        <f t="shared" si="77"/>
        <v>-</v>
      </c>
      <c r="F2291" s="496"/>
    </row>
    <row r="2292" spans="1:6">
      <c r="A2292" s="397" t="str">
        <f t="shared" si="77"/>
        <v>-</v>
      </c>
      <c r="F2292" s="496"/>
    </row>
    <row r="2293" spans="1:6">
      <c r="A2293" s="397" t="str">
        <f t="shared" si="77"/>
        <v>-</v>
      </c>
      <c r="F2293" s="496"/>
    </row>
    <row r="2294" spans="1:6">
      <c r="A2294" s="397" t="str">
        <f t="shared" si="77"/>
        <v>-</v>
      </c>
      <c r="F2294" s="496"/>
    </row>
    <row r="2295" spans="1:6">
      <c r="A2295" s="397" t="str">
        <f t="shared" ref="A2295:A2358" si="78">B2295&amp;"-"&amp;C2295</f>
        <v>-</v>
      </c>
      <c r="F2295" s="496"/>
    </row>
    <row r="2296" spans="1:6">
      <c r="A2296" s="397" t="str">
        <f t="shared" si="78"/>
        <v>-</v>
      </c>
      <c r="F2296" s="496"/>
    </row>
    <row r="2297" spans="1:6">
      <c r="A2297" s="397" t="str">
        <f t="shared" si="78"/>
        <v>-</v>
      </c>
      <c r="F2297" s="496"/>
    </row>
    <row r="2298" spans="1:6">
      <c r="A2298" s="397" t="str">
        <f t="shared" si="78"/>
        <v>-</v>
      </c>
      <c r="F2298" s="496"/>
    </row>
    <row r="2299" spans="1:6">
      <c r="A2299" s="397" t="str">
        <f t="shared" si="78"/>
        <v>-</v>
      </c>
      <c r="F2299" s="496"/>
    </row>
    <row r="2300" spans="1:6">
      <c r="A2300" s="397" t="str">
        <f t="shared" si="78"/>
        <v>-</v>
      </c>
      <c r="F2300" s="496"/>
    </row>
    <row r="2301" spans="1:6">
      <c r="A2301" s="397" t="str">
        <f t="shared" si="78"/>
        <v>-</v>
      </c>
      <c r="F2301" s="496"/>
    </row>
    <row r="2302" spans="1:6">
      <c r="A2302" s="397" t="str">
        <f t="shared" si="78"/>
        <v>-</v>
      </c>
      <c r="F2302" s="496"/>
    </row>
    <row r="2303" spans="1:6">
      <c r="A2303" s="397" t="str">
        <f t="shared" si="78"/>
        <v>-</v>
      </c>
      <c r="F2303" s="496"/>
    </row>
    <row r="2304" spans="1:6">
      <c r="A2304" s="397" t="str">
        <f t="shared" si="78"/>
        <v>-</v>
      </c>
      <c r="F2304" s="496"/>
    </row>
    <row r="2305" spans="1:6">
      <c r="A2305" s="397" t="str">
        <f t="shared" si="78"/>
        <v>-</v>
      </c>
      <c r="F2305" s="496"/>
    </row>
    <row r="2306" spans="1:6">
      <c r="A2306" s="397" t="str">
        <f t="shared" si="78"/>
        <v>-</v>
      </c>
      <c r="F2306" s="496"/>
    </row>
    <row r="2307" spans="1:6">
      <c r="A2307" s="397" t="str">
        <f t="shared" si="78"/>
        <v>-</v>
      </c>
      <c r="F2307" s="496"/>
    </row>
    <row r="2308" spans="1:6">
      <c r="A2308" s="397" t="str">
        <f t="shared" si="78"/>
        <v>-</v>
      </c>
      <c r="F2308" s="496"/>
    </row>
    <row r="2309" spans="1:6">
      <c r="A2309" s="397" t="str">
        <f t="shared" si="78"/>
        <v>-</v>
      </c>
      <c r="F2309" s="496"/>
    </row>
    <row r="2310" spans="1:6">
      <c r="A2310" s="397" t="str">
        <f t="shared" si="78"/>
        <v>-</v>
      </c>
      <c r="F2310" s="496"/>
    </row>
    <row r="2311" spans="1:6">
      <c r="A2311" s="397" t="str">
        <f t="shared" si="78"/>
        <v>-</v>
      </c>
      <c r="F2311" s="496"/>
    </row>
    <row r="2312" spans="1:6">
      <c r="A2312" s="397" t="str">
        <f t="shared" si="78"/>
        <v>-</v>
      </c>
      <c r="F2312" s="496"/>
    </row>
    <row r="2313" spans="1:6">
      <c r="A2313" s="397" t="str">
        <f t="shared" si="78"/>
        <v>-</v>
      </c>
      <c r="F2313" s="496"/>
    </row>
    <row r="2314" spans="1:6">
      <c r="A2314" s="397" t="str">
        <f t="shared" si="78"/>
        <v>-</v>
      </c>
      <c r="F2314" s="496"/>
    </row>
    <row r="2315" spans="1:6">
      <c r="A2315" s="397" t="str">
        <f t="shared" si="78"/>
        <v>-</v>
      </c>
      <c r="F2315" s="496"/>
    </row>
    <row r="2316" spans="1:6">
      <c r="A2316" s="397" t="str">
        <f t="shared" si="78"/>
        <v>-</v>
      </c>
      <c r="F2316" s="496"/>
    </row>
    <row r="2317" spans="1:6">
      <c r="A2317" s="397" t="str">
        <f t="shared" si="78"/>
        <v>-</v>
      </c>
      <c r="F2317" s="496"/>
    </row>
    <row r="2318" spans="1:6">
      <c r="A2318" s="397" t="str">
        <f t="shared" si="78"/>
        <v>-</v>
      </c>
      <c r="F2318" s="496"/>
    </row>
    <row r="2319" spans="1:6">
      <c r="A2319" s="397" t="str">
        <f t="shared" si="78"/>
        <v>-</v>
      </c>
      <c r="F2319" s="496"/>
    </row>
    <row r="2320" spans="1:6">
      <c r="A2320" s="397" t="str">
        <f t="shared" si="78"/>
        <v>-</v>
      </c>
      <c r="F2320" s="496"/>
    </row>
    <row r="2321" spans="1:6">
      <c r="A2321" s="397" t="str">
        <f t="shared" si="78"/>
        <v>-</v>
      </c>
      <c r="F2321" s="496"/>
    </row>
    <row r="2322" spans="1:6">
      <c r="A2322" s="397" t="str">
        <f t="shared" si="78"/>
        <v>-</v>
      </c>
      <c r="F2322" s="496"/>
    </row>
    <row r="2323" spans="1:6">
      <c r="A2323" s="397" t="str">
        <f t="shared" si="78"/>
        <v>-</v>
      </c>
      <c r="F2323" s="496"/>
    </row>
    <row r="2324" spans="1:6">
      <c r="A2324" s="397" t="str">
        <f t="shared" si="78"/>
        <v>-</v>
      </c>
      <c r="F2324" s="496"/>
    </row>
    <row r="2325" spans="1:6">
      <c r="A2325" s="397" t="str">
        <f t="shared" si="78"/>
        <v>-</v>
      </c>
      <c r="F2325" s="496"/>
    </row>
    <row r="2326" spans="1:6">
      <c r="A2326" s="397" t="str">
        <f t="shared" si="78"/>
        <v>-</v>
      </c>
      <c r="F2326" s="496"/>
    </row>
    <row r="2327" spans="1:6">
      <c r="A2327" s="397" t="str">
        <f t="shared" si="78"/>
        <v>-</v>
      </c>
      <c r="F2327" s="496"/>
    </row>
    <row r="2328" spans="1:6">
      <c r="A2328" s="397" t="str">
        <f t="shared" si="78"/>
        <v>-</v>
      </c>
      <c r="F2328" s="496"/>
    </row>
    <row r="2329" spans="1:6">
      <c r="A2329" s="397" t="str">
        <f t="shared" si="78"/>
        <v>-</v>
      </c>
      <c r="F2329" s="496"/>
    </row>
    <row r="2330" spans="1:6">
      <c r="A2330" s="397" t="str">
        <f t="shared" si="78"/>
        <v>-</v>
      </c>
      <c r="F2330" s="496"/>
    </row>
    <row r="2331" spans="1:6">
      <c r="A2331" s="397" t="str">
        <f t="shared" si="78"/>
        <v>-</v>
      </c>
      <c r="F2331" s="496"/>
    </row>
    <row r="2332" spans="1:6">
      <c r="A2332" s="397" t="str">
        <f t="shared" si="78"/>
        <v>-</v>
      </c>
      <c r="F2332" s="496"/>
    </row>
    <row r="2333" spans="1:6">
      <c r="A2333" s="397" t="str">
        <f t="shared" si="78"/>
        <v>-</v>
      </c>
      <c r="F2333" s="496"/>
    </row>
    <row r="2334" spans="1:6">
      <c r="A2334" s="397" t="str">
        <f t="shared" si="78"/>
        <v>-</v>
      </c>
      <c r="F2334" s="496"/>
    </row>
    <row r="2335" spans="1:6">
      <c r="A2335" s="397" t="str">
        <f t="shared" si="78"/>
        <v>-</v>
      </c>
      <c r="F2335" s="496"/>
    </row>
    <row r="2336" spans="1:6">
      <c r="A2336" s="397" t="str">
        <f t="shared" si="78"/>
        <v>-</v>
      </c>
      <c r="F2336" s="496"/>
    </row>
    <row r="2337" spans="1:6">
      <c r="A2337" s="397" t="str">
        <f t="shared" si="78"/>
        <v>-</v>
      </c>
      <c r="F2337" s="496"/>
    </row>
    <row r="2338" spans="1:6">
      <c r="A2338" s="397" t="str">
        <f t="shared" si="78"/>
        <v>-</v>
      </c>
      <c r="F2338" s="496"/>
    </row>
    <row r="2339" spans="1:6">
      <c r="A2339" s="397" t="str">
        <f t="shared" si="78"/>
        <v>-</v>
      </c>
      <c r="F2339" s="496"/>
    </row>
    <row r="2340" spans="1:6">
      <c r="A2340" s="397" t="str">
        <f t="shared" si="78"/>
        <v>-</v>
      </c>
      <c r="F2340" s="496"/>
    </row>
    <row r="2341" spans="1:6">
      <c r="A2341" s="397" t="str">
        <f t="shared" si="78"/>
        <v>-</v>
      </c>
      <c r="F2341" s="496"/>
    </row>
    <row r="2342" spans="1:6">
      <c r="A2342" s="397" t="str">
        <f t="shared" si="78"/>
        <v>-</v>
      </c>
      <c r="F2342" s="496"/>
    </row>
    <row r="2343" spans="1:6">
      <c r="A2343" s="397" t="str">
        <f t="shared" si="78"/>
        <v>-</v>
      </c>
      <c r="F2343" s="496"/>
    </row>
    <row r="2344" spans="1:6">
      <c r="A2344" s="397" t="str">
        <f t="shared" si="78"/>
        <v>-</v>
      </c>
      <c r="F2344" s="496"/>
    </row>
    <row r="2345" spans="1:6">
      <c r="A2345" s="397" t="str">
        <f t="shared" si="78"/>
        <v>-</v>
      </c>
      <c r="F2345" s="496"/>
    </row>
    <row r="2346" spans="1:6">
      <c r="A2346" s="397" t="str">
        <f t="shared" si="78"/>
        <v>-</v>
      </c>
      <c r="F2346" s="496"/>
    </row>
    <row r="2347" spans="1:6">
      <c r="A2347" s="397" t="str">
        <f t="shared" si="78"/>
        <v>-</v>
      </c>
      <c r="F2347" s="496"/>
    </row>
    <row r="2348" spans="1:6">
      <c r="A2348" s="397" t="str">
        <f t="shared" si="78"/>
        <v>-</v>
      </c>
      <c r="F2348" s="496"/>
    </row>
    <row r="2349" spans="1:6">
      <c r="A2349" s="397" t="str">
        <f t="shared" si="78"/>
        <v>-</v>
      </c>
      <c r="F2349" s="496"/>
    </row>
    <row r="2350" spans="1:6">
      <c r="A2350" s="397" t="str">
        <f t="shared" si="78"/>
        <v>-</v>
      </c>
      <c r="F2350" s="496"/>
    </row>
    <row r="2351" spans="1:6">
      <c r="A2351" s="397" t="str">
        <f t="shared" si="78"/>
        <v>-</v>
      </c>
      <c r="F2351" s="496"/>
    </row>
    <row r="2352" spans="1:6">
      <c r="A2352" s="397" t="str">
        <f t="shared" si="78"/>
        <v>-</v>
      </c>
      <c r="F2352" s="496"/>
    </row>
    <row r="2353" spans="1:6">
      <c r="A2353" s="397" t="str">
        <f t="shared" si="78"/>
        <v>-</v>
      </c>
      <c r="F2353" s="496"/>
    </row>
    <row r="2354" spans="1:6">
      <c r="A2354" s="397" t="str">
        <f t="shared" si="78"/>
        <v>-</v>
      </c>
      <c r="F2354" s="496"/>
    </row>
    <row r="2355" spans="1:6">
      <c r="A2355" s="397" t="str">
        <f t="shared" si="78"/>
        <v>-</v>
      </c>
      <c r="F2355" s="496"/>
    </row>
    <row r="2356" spans="1:6">
      <c r="A2356" s="397" t="str">
        <f t="shared" si="78"/>
        <v>-</v>
      </c>
      <c r="F2356" s="496"/>
    </row>
    <row r="2357" spans="1:6">
      <c r="A2357" s="397" t="str">
        <f t="shared" si="78"/>
        <v>-</v>
      </c>
      <c r="F2357" s="496"/>
    </row>
    <row r="2358" spans="1:6">
      <c r="A2358" s="397" t="str">
        <f t="shared" si="78"/>
        <v>-</v>
      </c>
      <c r="F2358" s="496"/>
    </row>
    <row r="2359" spans="1:6">
      <c r="A2359" s="397" t="str">
        <f t="shared" ref="A2359:A2422" si="79">B2359&amp;"-"&amp;C2359</f>
        <v>-</v>
      </c>
      <c r="F2359" s="496"/>
    </row>
    <row r="2360" spans="1:6">
      <c r="A2360" s="397" t="str">
        <f t="shared" si="79"/>
        <v>-</v>
      </c>
      <c r="F2360" s="496"/>
    </row>
    <row r="2361" spans="1:6">
      <c r="A2361" s="397" t="str">
        <f t="shared" si="79"/>
        <v>-</v>
      </c>
      <c r="F2361" s="496"/>
    </row>
    <row r="2362" spans="1:6">
      <c r="A2362" s="397" t="str">
        <f t="shared" si="79"/>
        <v>-</v>
      </c>
      <c r="F2362" s="496"/>
    </row>
    <row r="2363" spans="1:6">
      <c r="A2363" s="397" t="str">
        <f t="shared" si="79"/>
        <v>-</v>
      </c>
      <c r="F2363" s="496"/>
    </row>
    <row r="2364" spans="1:6">
      <c r="A2364" s="397" t="str">
        <f t="shared" si="79"/>
        <v>-</v>
      </c>
      <c r="F2364" s="496"/>
    </row>
    <row r="2365" spans="1:6">
      <c r="A2365" s="397" t="str">
        <f t="shared" si="79"/>
        <v>-</v>
      </c>
      <c r="F2365" s="496"/>
    </row>
    <row r="2366" spans="1:6">
      <c r="A2366" s="397" t="str">
        <f t="shared" si="79"/>
        <v>-</v>
      </c>
      <c r="F2366" s="496"/>
    </row>
    <row r="2367" spans="1:6">
      <c r="A2367" s="397" t="str">
        <f t="shared" si="79"/>
        <v>-</v>
      </c>
      <c r="F2367" s="496"/>
    </row>
    <row r="2368" spans="1:6">
      <c r="A2368" s="397" t="str">
        <f t="shared" si="79"/>
        <v>-</v>
      </c>
      <c r="F2368" s="496"/>
    </row>
    <row r="2369" spans="1:6">
      <c r="A2369" s="397" t="str">
        <f t="shared" si="79"/>
        <v>-</v>
      </c>
      <c r="F2369" s="496"/>
    </row>
    <row r="2370" spans="1:6">
      <c r="A2370" s="397" t="str">
        <f t="shared" si="79"/>
        <v>-</v>
      </c>
      <c r="F2370" s="496"/>
    </row>
    <row r="2371" spans="1:6">
      <c r="A2371" s="397" t="str">
        <f t="shared" si="79"/>
        <v>-</v>
      </c>
      <c r="F2371" s="496"/>
    </row>
    <row r="2372" spans="1:6">
      <c r="A2372" s="397" t="str">
        <f t="shared" si="79"/>
        <v>-</v>
      </c>
      <c r="F2372" s="496"/>
    </row>
    <row r="2373" spans="1:6">
      <c r="A2373" s="397" t="str">
        <f t="shared" si="79"/>
        <v>-</v>
      </c>
      <c r="F2373" s="496"/>
    </row>
    <row r="2374" spans="1:6">
      <c r="A2374" s="397" t="str">
        <f t="shared" si="79"/>
        <v>-</v>
      </c>
      <c r="F2374" s="496"/>
    </row>
    <row r="2375" spans="1:6">
      <c r="A2375" s="397" t="str">
        <f t="shared" si="79"/>
        <v>-</v>
      </c>
      <c r="F2375" s="496"/>
    </row>
    <row r="2376" spans="1:6">
      <c r="A2376" s="397" t="str">
        <f t="shared" si="79"/>
        <v>-</v>
      </c>
      <c r="F2376" s="496"/>
    </row>
    <row r="2377" spans="1:6">
      <c r="A2377" s="397" t="str">
        <f t="shared" si="79"/>
        <v>-</v>
      </c>
      <c r="F2377" s="496"/>
    </row>
    <row r="2378" spans="1:6">
      <c r="A2378" s="397" t="str">
        <f t="shared" si="79"/>
        <v>-</v>
      </c>
      <c r="F2378" s="496"/>
    </row>
    <row r="2379" spans="1:6">
      <c r="A2379" s="397" t="str">
        <f t="shared" si="79"/>
        <v>-</v>
      </c>
      <c r="F2379" s="496"/>
    </row>
    <row r="2380" spans="1:6">
      <c r="A2380" s="397" t="str">
        <f t="shared" si="79"/>
        <v>-</v>
      </c>
      <c r="F2380" s="496"/>
    </row>
    <row r="2381" spans="1:6">
      <c r="A2381" s="397" t="str">
        <f t="shared" si="79"/>
        <v>-</v>
      </c>
      <c r="F2381" s="496"/>
    </row>
    <row r="2382" spans="1:6">
      <c r="A2382" s="397" t="str">
        <f t="shared" si="79"/>
        <v>-</v>
      </c>
      <c r="F2382" s="496"/>
    </row>
    <row r="2383" spans="1:6">
      <c r="A2383" s="397" t="str">
        <f t="shared" si="79"/>
        <v>-</v>
      </c>
      <c r="F2383" s="496"/>
    </row>
    <row r="2384" spans="1:6">
      <c r="A2384" s="397" t="str">
        <f t="shared" si="79"/>
        <v>-</v>
      </c>
      <c r="F2384" s="496"/>
    </row>
    <row r="2385" spans="1:6">
      <c r="A2385" s="397" t="str">
        <f t="shared" si="79"/>
        <v>-</v>
      </c>
      <c r="F2385" s="496"/>
    </row>
    <row r="2386" spans="1:6">
      <c r="A2386" s="397" t="str">
        <f t="shared" si="79"/>
        <v>-</v>
      </c>
      <c r="F2386" s="496"/>
    </row>
    <row r="2387" spans="1:6">
      <c r="A2387" s="397" t="str">
        <f t="shared" si="79"/>
        <v>-</v>
      </c>
      <c r="F2387" s="496"/>
    </row>
    <row r="2388" spans="1:6">
      <c r="A2388" s="397" t="str">
        <f t="shared" si="79"/>
        <v>-</v>
      </c>
      <c r="F2388" s="496"/>
    </row>
    <row r="2389" spans="1:6">
      <c r="A2389" s="397" t="str">
        <f t="shared" si="79"/>
        <v>-</v>
      </c>
      <c r="F2389" s="496"/>
    </row>
    <row r="2390" spans="1:6">
      <c r="A2390" s="397" t="str">
        <f t="shared" si="79"/>
        <v>-</v>
      </c>
      <c r="F2390" s="496"/>
    </row>
    <row r="2391" spans="1:6">
      <c r="A2391" s="397" t="str">
        <f t="shared" si="79"/>
        <v>-</v>
      </c>
      <c r="F2391" s="496"/>
    </row>
    <row r="2392" spans="1:6">
      <c r="A2392" s="397" t="str">
        <f t="shared" si="79"/>
        <v>-</v>
      </c>
      <c r="F2392" s="496"/>
    </row>
    <row r="2393" spans="1:6">
      <c r="A2393" s="397" t="str">
        <f t="shared" si="79"/>
        <v>-</v>
      </c>
      <c r="F2393" s="496"/>
    </row>
    <row r="2394" spans="1:6">
      <c r="A2394" s="397" t="str">
        <f t="shared" si="79"/>
        <v>-</v>
      </c>
      <c r="F2394" s="496"/>
    </row>
    <row r="2395" spans="1:6">
      <c r="A2395" s="397" t="str">
        <f t="shared" si="79"/>
        <v>-</v>
      </c>
      <c r="F2395" s="496"/>
    </row>
    <row r="2396" spans="1:6">
      <c r="A2396" s="397" t="str">
        <f t="shared" si="79"/>
        <v>-</v>
      </c>
      <c r="F2396" s="496"/>
    </row>
    <row r="2397" spans="1:6">
      <c r="A2397" s="397" t="str">
        <f t="shared" si="79"/>
        <v>-</v>
      </c>
      <c r="F2397" s="496"/>
    </row>
    <row r="2398" spans="1:6">
      <c r="A2398" s="397" t="str">
        <f t="shared" si="79"/>
        <v>-</v>
      </c>
      <c r="F2398" s="496"/>
    </row>
    <row r="2399" spans="1:6">
      <c r="A2399" s="397" t="str">
        <f t="shared" si="79"/>
        <v>-</v>
      </c>
      <c r="F2399" s="496"/>
    </row>
    <row r="2400" spans="1:6">
      <c r="A2400" s="397" t="str">
        <f t="shared" si="79"/>
        <v>-</v>
      </c>
      <c r="F2400" s="496"/>
    </row>
    <row r="2401" spans="1:6">
      <c r="A2401" s="397" t="str">
        <f t="shared" si="79"/>
        <v>-</v>
      </c>
      <c r="F2401" s="496"/>
    </row>
    <row r="2402" spans="1:6">
      <c r="A2402" s="397" t="str">
        <f t="shared" si="79"/>
        <v>-</v>
      </c>
      <c r="F2402" s="496"/>
    </row>
    <row r="2403" spans="1:6">
      <c r="A2403" s="397" t="str">
        <f t="shared" si="79"/>
        <v>-</v>
      </c>
      <c r="F2403" s="496"/>
    </row>
    <row r="2404" spans="1:6">
      <c r="A2404" s="397" t="str">
        <f t="shared" si="79"/>
        <v>-</v>
      </c>
      <c r="F2404" s="496"/>
    </row>
    <row r="2405" spans="1:6">
      <c r="A2405" s="397" t="str">
        <f t="shared" si="79"/>
        <v>-</v>
      </c>
      <c r="F2405" s="496"/>
    </row>
    <row r="2406" spans="1:6">
      <c r="A2406" s="397" t="str">
        <f t="shared" si="79"/>
        <v>-</v>
      </c>
      <c r="F2406" s="496"/>
    </row>
    <row r="2407" spans="1:6">
      <c r="A2407" s="397" t="str">
        <f t="shared" si="79"/>
        <v>-</v>
      </c>
      <c r="F2407" s="496"/>
    </row>
    <row r="2408" spans="1:6">
      <c r="A2408" s="397" t="str">
        <f t="shared" si="79"/>
        <v>-</v>
      </c>
      <c r="F2408" s="496"/>
    </row>
    <row r="2409" spans="1:6">
      <c r="A2409" s="397" t="str">
        <f t="shared" si="79"/>
        <v>-</v>
      </c>
      <c r="F2409" s="496"/>
    </row>
    <row r="2410" spans="1:6">
      <c r="A2410" s="397" t="str">
        <f t="shared" si="79"/>
        <v>-</v>
      </c>
      <c r="F2410" s="496"/>
    </row>
    <row r="2411" spans="1:6">
      <c r="A2411" s="397" t="str">
        <f t="shared" si="79"/>
        <v>-</v>
      </c>
      <c r="F2411" s="496"/>
    </row>
    <row r="2412" spans="1:6">
      <c r="A2412" s="397" t="str">
        <f t="shared" si="79"/>
        <v>-</v>
      </c>
      <c r="F2412" s="496"/>
    </row>
    <row r="2413" spans="1:6">
      <c r="A2413" s="397" t="str">
        <f t="shared" si="79"/>
        <v>-</v>
      </c>
      <c r="F2413" s="496"/>
    </row>
    <row r="2414" spans="1:6">
      <c r="A2414" s="397" t="str">
        <f t="shared" si="79"/>
        <v>-</v>
      </c>
      <c r="F2414" s="496"/>
    </row>
    <row r="2415" spans="1:6">
      <c r="A2415" s="397" t="str">
        <f t="shared" si="79"/>
        <v>-</v>
      </c>
      <c r="F2415" s="496"/>
    </row>
    <row r="2416" spans="1:6">
      <c r="A2416" s="397" t="str">
        <f t="shared" si="79"/>
        <v>-</v>
      </c>
      <c r="F2416" s="496"/>
    </row>
    <row r="2417" spans="1:6">
      <c r="A2417" s="397" t="str">
        <f t="shared" si="79"/>
        <v>-</v>
      </c>
      <c r="F2417" s="496"/>
    </row>
    <row r="2418" spans="1:6">
      <c r="A2418" s="397" t="str">
        <f t="shared" si="79"/>
        <v>-</v>
      </c>
      <c r="F2418" s="496"/>
    </row>
    <row r="2419" spans="1:6">
      <c r="A2419" s="397" t="str">
        <f t="shared" si="79"/>
        <v>-</v>
      </c>
      <c r="F2419" s="496"/>
    </row>
    <row r="2420" spans="1:6">
      <c r="A2420" s="397" t="str">
        <f t="shared" si="79"/>
        <v>-</v>
      </c>
      <c r="F2420" s="496"/>
    </row>
    <row r="2421" spans="1:6">
      <c r="A2421" s="397" t="str">
        <f t="shared" si="79"/>
        <v>-</v>
      </c>
      <c r="F2421" s="496"/>
    </row>
    <row r="2422" spans="1:6">
      <c r="A2422" s="397" t="str">
        <f t="shared" si="79"/>
        <v>-</v>
      </c>
      <c r="F2422" s="496"/>
    </row>
    <row r="2423" spans="1:6">
      <c r="A2423" s="397" t="str">
        <f t="shared" ref="A2423:A2486" si="80">B2423&amp;"-"&amp;C2423</f>
        <v>-</v>
      </c>
      <c r="F2423" s="496"/>
    </row>
    <row r="2424" spans="1:6">
      <c r="A2424" s="397" t="str">
        <f t="shared" si="80"/>
        <v>-</v>
      </c>
      <c r="F2424" s="496"/>
    </row>
    <row r="2425" spans="1:6">
      <c r="A2425" s="397" t="str">
        <f t="shared" si="80"/>
        <v>-</v>
      </c>
      <c r="F2425" s="496"/>
    </row>
    <row r="2426" spans="1:6">
      <c r="A2426" s="397" t="str">
        <f t="shared" si="80"/>
        <v>-</v>
      </c>
      <c r="F2426" s="496"/>
    </row>
    <row r="2427" spans="1:6">
      <c r="A2427" s="397" t="str">
        <f t="shared" si="80"/>
        <v>-</v>
      </c>
      <c r="F2427" s="496"/>
    </row>
    <row r="2428" spans="1:6">
      <c r="A2428" s="397" t="str">
        <f t="shared" si="80"/>
        <v>-</v>
      </c>
      <c r="F2428" s="496"/>
    </row>
    <row r="2429" spans="1:6">
      <c r="A2429" s="397" t="str">
        <f t="shared" si="80"/>
        <v>-</v>
      </c>
      <c r="F2429" s="496"/>
    </row>
    <row r="2430" spans="1:6">
      <c r="A2430" s="397" t="str">
        <f t="shared" si="80"/>
        <v>-</v>
      </c>
      <c r="F2430" s="496"/>
    </row>
    <row r="2431" spans="1:6">
      <c r="A2431" s="397" t="str">
        <f t="shared" si="80"/>
        <v>-</v>
      </c>
      <c r="F2431" s="496"/>
    </row>
    <row r="2432" spans="1:6">
      <c r="A2432" s="397" t="str">
        <f t="shared" si="80"/>
        <v>-</v>
      </c>
      <c r="F2432" s="496"/>
    </row>
    <row r="2433" spans="1:6">
      <c r="A2433" s="397" t="str">
        <f t="shared" si="80"/>
        <v>-</v>
      </c>
      <c r="F2433" s="496"/>
    </row>
    <row r="2434" spans="1:6">
      <c r="A2434" s="397" t="str">
        <f t="shared" si="80"/>
        <v>-</v>
      </c>
      <c r="F2434" s="496"/>
    </row>
    <row r="2435" spans="1:6">
      <c r="A2435" s="397" t="str">
        <f t="shared" si="80"/>
        <v>-</v>
      </c>
      <c r="F2435" s="496"/>
    </row>
    <row r="2436" spans="1:6">
      <c r="A2436" s="397" t="str">
        <f t="shared" si="80"/>
        <v>-</v>
      </c>
      <c r="F2436" s="496"/>
    </row>
    <row r="2437" spans="1:6">
      <c r="A2437" s="397" t="str">
        <f t="shared" si="80"/>
        <v>-</v>
      </c>
      <c r="F2437" s="496"/>
    </row>
    <row r="2438" spans="1:6">
      <c r="A2438" s="397" t="str">
        <f t="shared" si="80"/>
        <v>-</v>
      </c>
      <c r="F2438" s="496"/>
    </row>
    <row r="2439" spans="1:6">
      <c r="A2439" s="397" t="str">
        <f t="shared" si="80"/>
        <v>-</v>
      </c>
      <c r="F2439" s="496"/>
    </row>
    <row r="2440" spans="1:6">
      <c r="A2440" s="397" t="str">
        <f t="shared" si="80"/>
        <v>-</v>
      </c>
      <c r="F2440" s="496"/>
    </row>
    <row r="2441" spans="1:6">
      <c r="A2441" s="397" t="str">
        <f t="shared" si="80"/>
        <v>-</v>
      </c>
      <c r="F2441" s="496"/>
    </row>
    <row r="2442" spans="1:6">
      <c r="A2442" s="397" t="str">
        <f t="shared" si="80"/>
        <v>-</v>
      </c>
      <c r="F2442" s="496"/>
    </row>
    <row r="2443" spans="1:6">
      <c r="A2443" s="397" t="str">
        <f t="shared" si="80"/>
        <v>-</v>
      </c>
      <c r="F2443" s="496"/>
    </row>
    <row r="2444" spans="1:6">
      <c r="A2444" s="397" t="str">
        <f t="shared" si="80"/>
        <v>-</v>
      </c>
      <c r="F2444" s="496"/>
    </row>
    <row r="2445" spans="1:6">
      <c r="A2445" s="397" t="str">
        <f t="shared" si="80"/>
        <v>-</v>
      </c>
      <c r="F2445" s="496"/>
    </row>
    <row r="2446" spans="1:6">
      <c r="A2446" s="397" t="str">
        <f t="shared" si="80"/>
        <v>-</v>
      </c>
      <c r="F2446" s="496"/>
    </row>
    <row r="2447" spans="1:6">
      <c r="A2447" s="397" t="str">
        <f t="shared" si="80"/>
        <v>-</v>
      </c>
      <c r="F2447" s="496"/>
    </row>
    <row r="2448" spans="1:6">
      <c r="A2448" s="397" t="str">
        <f t="shared" si="80"/>
        <v>-</v>
      </c>
      <c r="F2448" s="496"/>
    </row>
    <row r="2449" spans="1:6">
      <c r="A2449" s="397" t="str">
        <f t="shared" si="80"/>
        <v>-</v>
      </c>
      <c r="F2449" s="496"/>
    </row>
    <row r="2450" spans="1:6">
      <c r="A2450" s="397" t="str">
        <f t="shared" si="80"/>
        <v>-</v>
      </c>
      <c r="F2450" s="496"/>
    </row>
    <row r="2451" spans="1:6">
      <c r="A2451" s="397" t="str">
        <f t="shared" si="80"/>
        <v>-</v>
      </c>
      <c r="F2451" s="496"/>
    </row>
    <row r="2452" spans="1:6">
      <c r="A2452" s="397" t="str">
        <f t="shared" si="80"/>
        <v>-</v>
      </c>
      <c r="F2452" s="496"/>
    </row>
    <row r="2453" spans="1:6">
      <c r="A2453" s="397" t="str">
        <f t="shared" si="80"/>
        <v>-</v>
      </c>
      <c r="F2453" s="496"/>
    </row>
    <row r="2454" spans="1:6">
      <c r="A2454" s="397" t="str">
        <f t="shared" si="80"/>
        <v>-</v>
      </c>
      <c r="F2454" s="496"/>
    </row>
    <row r="2455" spans="1:6">
      <c r="A2455" s="397" t="str">
        <f t="shared" si="80"/>
        <v>-</v>
      </c>
      <c r="F2455" s="496"/>
    </row>
    <row r="2456" spans="1:6">
      <c r="A2456" s="397" t="str">
        <f t="shared" si="80"/>
        <v>-</v>
      </c>
      <c r="F2456" s="496"/>
    </row>
    <row r="2457" spans="1:6">
      <c r="A2457" s="397" t="str">
        <f t="shared" si="80"/>
        <v>-</v>
      </c>
      <c r="F2457" s="496"/>
    </row>
    <row r="2458" spans="1:6">
      <c r="A2458" s="397" t="str">
        <f t="shared" si="80"/>
        <v>-</v>
      </c>
      <c r="F2458" s="496"/>
    </row>
    <row r="2459" spans="1:6">
      <c r="A2459" s="397" t="str">
        <f t="shared" si="80"/>
        <v>-</v>
      </c>
      <c r="F2459" s="496"/>
    </row>
    <row r="2460" spans="1:6">
      <c r="A2460" s="397" t="str">
        <f t="shared" si="80"/>
        <v>-</v>
      </c>
      <c r="F2460" s="496"/>
    </row>
    <row r="2461" spans="1:6">
      <c r="A2461" s="397" t="str">
        <f t="shared" si="80"/>
        <v>-</v>
      </c>
      <c r="F2461" s="496"/>
    </row>
    <row r="2462" spans="1:6">
      <c r="A2462" s="397" t="str">
        <f t="shared" si="80"/>
        <v>-</v>
      </c>
      <c r="F2462" s="496"/>
    </row>
    <row r="2463" spans="1:6">
      <c r="A2463" s="397" t="str">
        <f t="shared" si="80"/>
        <v>-</v>
      </c>
      <c r="F2463" s="496"/>
    </row>
    <row r="2464" spans="1:6">
      <c r="A2464" s="397" t="str">
        <f t="shared" si="80"/>
        <v>-</v>
      </c>
      <c r="F2464" s="496"/>
    </row>
    <row r="2465" spans="1:6">
      <c r="A2465" s="397" t="str">
        <f t="shared" si="80"/>
        <v>-</v>
      </c>
      <c r="F2465" s="496"/>
    </row>
    <row r="2466" spans="1:6">
      <c r="A2466" s="397" t="str">
        <f t="shared" si="80"/>
        <v>-</v>
      </c>
      <c r="F2466" s="496"/>
    </row>
    <row r="2467" spans="1:6">
      <c r="A2467" s="397" t="str">
        <f t="shared" si="80"/>
        <v>-</v>
      </c>
      <c r="F2467" s="496"/>
    </row>
    <row r="2468" spans="1:6">
      <c r="A2468" s="397" t="str">
        <f t="shared" si="80"/>
        <v>-</v>
      </c>
      <c r="F2468" s="496"/>
    </row>
    <row r="2469" spans="1:6">
      <c r="A2469" s="397" t="str">
        <f t="shared" si="80"/>
        <v>-</v>
      </c>
      <c r="F2469" s="496"/>
    </row>
    <row r="2470" spans="1:6">
      <c r="A2470" s="397" t="str">
        <f t="shared" si="80"/>
        <v>-</v>
      </c>
      <c r="F2470" s="496"/>
    </row>
    <row r="2471" spans="1:6">
      <c r="A2471" s="397" t="str">
        <f t="shared" si="80"/>
        <v>-</v>
      </c>
      <c r="F2471" s="496"/>
    </row>
    <row r="2472" spans="1:6">
      <c r="A2472" s="397" t="str">
        <f t="shared" si="80"/>
        <v>-</v>
      </c>
      <c r="F2472" s="496"/>
    </row>
    <row r="2473" spans="1:6">
      <c r="A2473" s="397" t="str">
        <f t="shared" si="80"/>
        <v>-</v>
      </c>
      <c r="F2473" s="496"/>
    </row>
    <row r="2474" spans="1:6">
      <c r="A2474" s="397" t="str">
        <f t="shared" si="80"/>
        <v>-</v>
      </c>
      <c r="F2474" s="496"/>
    </row>
    <row r="2475" spans="1:6">
      <c r="A2475" s="397" t="str">
        <f t="shared" si="80"/>
        <v>-</v>
      </c>
      <c r="F2475" s="496"/>
    </row>
    <row r="2476" spans="1:6">
      <c r="A2476" s="397" t="str">
        <f t="shared" si="80"/>
        <v>-</v>
      </c>
      <c r="F2476" s="496"/>
    </row>
    <row r="2477" spans="1:6">
      <c r="A2477" s="397" t="str">
        <f t="shared" si="80"/>
        <v>-</v>
      </c>
      <c r="F2477" s="496"/>
    </row>
    <row r="2478" spans="1:6">
      <c r="A2478" s="397" t="str">
        <f t="shared" si="80"/>
        <v>-</v>
      </c>
      <c r="F2478" s="496"/>
    </row>
    <row r="2479" spans="1:6">
      <c r="A2479" s="397" t="str">
        <f t="shared" si="80"/>
        <v>-</v>
      </c>
      <c r="F2479" s="496"/>
    </row>
    <row r="2480" spans="1:6">
      <c r="A2480" s="397" t="str">
        <f t="shared" si="80"/>
        <v>-</v>
      </c>
      <c r="F2480" s="496"/>
    </row>
    <row r="2481" spans="1:6">
      <c r="A2481" s="397" t="str">
        <f t="shared" si="80"/>
        <v>-</v>
      </c>
      <c r="F2481" s="496"/>
    </row>
    <row r="2482" spans="1:6">
      <c r="A2482" s="397" t="str">
        <f t="shared" si="80"/>
        <v>-</v>
      </c>
      <c r="F2482" s="496"/>
    </row>
    <row r="2483" spans="1:6">
      <c r="A2483" s="397" t="str">
        <f t="shared" si="80"/>
        <v>-</v>
      </c>
      <c r="F2483" s="496"/>
    </row>
    <row r="2484" spans="1:6">
      <c r="A2484" s="397" t="str">
        <f t="shared" si="80"/>
        <v>-</v>
      </c>
      <c r="F2484" s="496"/>
    </row>
    <row r="2485" spans="1:6">
      <c r="A2485" s="397" t="str">
        <f t="shared" si="80"/>
        <v>-</v>
      </c>
      <c r="F2485" s="496"/>
    </row>
    <row r="2486" spans="1:6">
      <c r="A2486" s="397" t="str">
        <f t="shared" si="80"/>
        <v>-</v>
      </c>
      <c r="F2486" s="496"/>
    </row>
    <row r="2487" spans="1:6">
      <c r="A2487" s="397" t="str">
        <f t="shared" ref="A2487:A2550" si="81">B2487&amp;"-"&amp;C2487</f>
        <v>-</v>
      </c>
      <c r="F2487" s="496"/>
    </row>
    <row r="2488" spans="1:6">
      <c r="A2488" s="397" t="str">
        <f t="shared" si="81"/>
        <v>-</v>
      </c>
      <c r="F2488" s="496"/>
    </row>
    <row r="2489" spans="1:6">
      <c r="A2489" s="397" t="str">
        <f t="shared" si="81"/>
        <v>-</v>
      </c>
      <c r="F2489" s="496"/>
    </row>
    <row r="2490" spans="1:6">
      <c r="A2490" s="397" t="str">
        <f t="shared" si="81"/>
        <v>-</v>
      </c>
      <c r="F2490" s="496"/>
    </row>
    <row r="2491" spans="1:6">
      <c r="A2491" s="397" t="str">
        <f t="shared" si="81"/>
        <v>-</v>
      </c>
      <c r="F2491" s="496"/>
    </row>
    <row r="2492" spans="1:6">
      <c r="A2492" s="397" t="str">
        <f t="shared" si="81"/>
        <v>-</v>
      </c>
      <c r="F2492" s="496"/>
    </row>
    <row r="2493" spans="1:6">
      <c r="A2493" s="397" t="str">
        <f t="shared" si="81"/>
        <v>-</v>
      </c>
      <c r="F2493" s="496"/>
    </row>
    <row r="2494" spans="1:6">
      <c r="A2494" s="397" t="str">
        <f t="shared" si="81"/>
        <v>-</v>
      </c>
      <c r="F2494" s="496"/>
    </row>
    <row r="2495" spans="1:6">
      <c r="A2495" s="397" t="str">
        <f t="shared" si="81"/>
        <v>-</v>
      </c>
      <c r="F2495" s="496"/>
    </row>
    <row r="2496" spans="1:6">
      <c r="A2496" s="397" t="str">
        <f t="shared" si="81"/>
        <v>-</v>
      </c>
      <c r="F2496" s="496"/>
    </row>
    <row r="2497" spans="1:6">
      <c r="A2497" s="397" t="str">
        <f t="shared" si="81"/>
        <v>-</v>
      </c>
      <c r="F2497" s="496"/>
    </row>
    <row r="2498" spans="1:6">
      <c r="A2498" s="397" t="str">
        <f t="shared" si="81"/>
        <v>-</v>
      </c>
      <c r="F2498" s="496"/>
    </row>
    <row r="2499" spans="1:6">
      <c r="A2499" s="397" t="str">
        <f t="shared" si="81"/>
        <v>-</v>
      </c>
      <c r="F2499" s="496"/>
    </row>
    <row r="2500" spans="1:6">
      <c r="A2500" s="397" t="str">
        <f t="shared" si="81"/>
        <v>-</v>
      </c>
      <c r="F2500" s="496"/>
    </row>
    <row r="2501" spans="1:6">
      <c r="A2501" s="397" t="str">
        <f t="shared" si="81"/>
        <v>-</v>
      </c>
      <c r="F2501" s="496"/>
    </row>
    <row r="2502" spans="1:6">
      <c r="A2502" s="397" t="str">
        <f t="shared" si="81"/>
        <v>-</v>
      </c>
      <c r="F2502" s="496"/>
    </row>
    <row r="2503" spans="1:6">
      <c r="A2503" s="397" t="str">
        <f t="shared" si="81"/>
        <v>-</v>
      </c>
      <c r="F2503" s="496"/>
    </row>
    <row r="2504" spans="1:6">
      <c r="A2504" s="397" t="str">
        <f t="shared" si="81"/>
        <v>-</v>
      </c>
      <c r="F2504" s="496"/>
    </row>
    <row r="2505" spans="1:6">
      <c r="A2505" s="397" t="str">
        <f t="shared" si="81"/>
        <v>-</v>
      </c>
      <c r="F2505" s="496"/>
    </row>
    <row r="2506" spans="1:6">
      <c r="A2506" s="397" t="str">
        <f t="shared" si="81"/>
        <v>-</v>
      </c>
      <c r="F2506" s="496"/>
    </row>
    <row r="2507" spans="1:6">
      <c r="A2507" s="397" t="str">
        <f t="shared" si="81"/>
        <v>-</v>
      </c>
      <c r="F2507" s="496"/>
    </row>
    <row r="2508" spans="1:6">
      <c r="A2508" s="397" t="str">
        <f t="shared" si="81"/>
        <v>-</v>
      </c>
      <c r="F2508" s="496"/>
    </row>
    <row r="2509" spans="1:6">
      <c r="A2509" s="397" t="str">
        <f t="shared" si="81"/>
        <v>-</v>
      </c>
      <c r="F2509" s="496"/>
    </row>
    <row r="2510" spans="1:6">
      <c r="A2510" s="397" t="str">
        <f t="shared" si="81"/>
        <v>-</v>
      </c>
      <c r="F2510" s="496"/>
    </row>
    <row r="2511" spans="1:6">
      <c r="A2511" s="397" t="str">
        <f t="shared" si="81"/>
        <v>-</v>
      </c>
      <c r="F2511" s="496"/>
    </row>
    <row r="2512" spans="1:6">
      <c r="A2512" s="397" t="str">
        <f t="shared" si="81"/>
        <v>-</v>
      </c>
      <c r="F2512" s="496"/>
    </row>
    <row r="2513" spans="1:6">
      <c r="A2513" s="397" t="str">
        <f t="shared" si="81"/>
        <v>-</v>
      </c>
      <c r="F2513" s="496"/>
    </row>
    <row r="2514" spans="1:6">
      <c r="A2514" s="397" t="str">
        <f t="shared" si="81"/>
        <v>-</v>
      </c>
      <c r="F2514" s="496"/>
    </row>
    <row r="2515" spans="1:6">
      <c r="A2515" s="397" t="str">
        <f t="shared" si="81"/>
        <v>-</v>
      </c>
      <c r="F2515" s="496"/>
    </row>
    <row r="2516" spans="1:6">
      <c r="A2516" s="397" t="str">
        <f t="shared" si="81"/>
        <v>-</v>
      </c>
      <c r="F2516" s="496"/>
    </row>
    <row r="2517" spans="1:6">
      <c r="A2517" s="397" t="str">
        <f t="shared" si="81"/>
        <v>-</v>
      </c>
      <c r="F2517" s="496"/>
    </row>
    <row r="2518" spans="1:6">
      <c r="A2518" s="397" t="str">
        <f t="shared" si="81"/>
        <v>-</v>
      </c>
      <c r="F2518" s="496"/>
    </row>
    <row r="2519" spans="1:6">
      <c r="A2519" s="397" t="str">
        <f t="shared" si="81"/>
        <v>-</v>
      </c>
      <c r="F2519" s="496"/>
    </row>
    <row r="2520" spans="1:6">
      <c r="A2520" s="397" t="str">
        <f t="shared" si="81"/>
        <v>-</v>
      </c>
      <c r="F2520" s="496"/>
    </row>
    <row r="2521" spans="1:6">
      <c r="A2521" s="397" t="str">
        <f t="shared" si="81"/>
        <v>-</v>
      </c>
      <c r="F2521" s="496"/>
    </row>
    <row r="2522" spans="1:6">
      <c r="A2522" s="397" t="str">
        <f t="shared" si="81"/>
        <v>-</v>
      </c>
      <c r="F2522" s="496"/>
    </row>
    <row r="2523" spans="1:6">
      <c r="A2523" s="397" t="str">
        <f t="shared" si="81"/>
        <v>-</v>
      </c>
      <c r="F2523" s="496"/>
    </row>
    <row r="2524" spans="1:6">
      <c r="A2524" s="397" t="str">
        <f t="shared" si="81"/>
        <v>-</v>
      </c>
      <c r="F2524" s="496"/>
    </row>
    <row r="2525" spans="1:6">
      <c r="A2525" s="397" t="str">
        <f t="shared" si="81"/>
        <v>-</v>
      </c>
      <c r="F2525" s="496"/>
    </row>
    <row r="2526" spans="1:6">
      <c r="A2526" s="397" t="str">
        <f t="shared" si="81"/>
        <v>-</v>
      </c>
      <c r="F2526" s="496"/>
    </row>
    <row r="2527" spans="1:6">
      <c r="A2527" s="397" t="str">
        <f t="shared" si="81"/>
        <v>-</v>
      </c>
      <c r="F2527" s="496"/>
    </row>
    <row r="2528" spans="1:6">
      <c r="A2528" s="397" t="str">
        <f t="shared" si="81"/>
        <v>-</v>
      </c>
      <c r="F2528" s="496"/>
    </row>
    <row r="2529" spans="1:6">
      <c r="A2529" s="397" t="str">
        <f t="shared" si="81"/>
        <v>-</v>
      </c>
      <c r="F2529" s="496"/>
    </row>
    <row r="2530" spans="1:6">
      <c r="A2530" s="397" t="str">
        <f t="shared" si="81"/>
        <v>-</v>
      </c>
      <c r="F2530" s="496"/>
    </row>
    <row r="2531" spans="1:6">
      <c r="A2531" s="397" t="str">
        <f t="shared" si="81"/>
        <v>-</v>
      </c>
      <c r="F2531" s="496"/>
    </row>
    <row r="2532" spans="1:6">
      <c r="A2532" s="397" t="str">
        <f t="shared" si="81"/>
        <v>-</v>
      </c>
      <c r="F2532" s="496"/>
    </row>
    <row r="2533" spans="1:6">
      <c r="A2533" s="397" t="str">
        <f t="shared" si="81"/>
        <v>-</v>
      </c>
      <c r="F2533" s="496"/>
    </row>
    <row r="2534" spans="1:6">
      <c r="A2534" s="397" t="str">
        <f t="shared" si="81"/>
        <v>-</v>
      </c>
      <c r="F2534" s="496"/>
    </row>
    <row r="2535" spans="1:6">
      <c r="A2535" s="397" t="str">
        <f t="shared" si="81"/>
        <v>-</v>
      </c>
      <c r="F2535" s="496"/>
    </row>
    <row r="2536" spans="1:6">
      <c r="A2536" s="397" t="str">
        <f t="shared" si="81"/>
        <v>-</v>
      </c>
      <c r="F2536" s="496"/>
    </row>
    <row r="2537" spans="1:6">
      <c r="A2537" s="397" t="str">
        <f t="shared" si="81"/>
        <v>-</v>
      </c>
      <c r="F2537" s="496"/>
    </row>
    <row r="2538" spans="1:6">
      <c r="A2538" s="397" t="str">
        <f t="shared" si="81"/>
        <v>-</v>
      </c>
      <c r="F2538" s="496"/>
    </row>
    <row r="2539" spans="1:6">
      <c r="A2539" s="397" t="str">
        <f t="shared" si="81"/>
        <v>-</v>
      </c>
      <c r="F2539" s="496"/>
    </row>
    <row r="2540" spans="1:6">
      <c r="A2540" s="397" t="str">
        <f t="shared" si="81"/>
        <v>-</v>
      </c>
      <c r="F2540" s="496"/>
    </row>
    <row r="2541" spans="1:6">
      <c r="A2541" s="397" t="str">
        <f t="shared" si="81"/>
        <v>-</v>
      </c>
      <c r="F2541" s="496"/>
    </row>
    <row r="2542" spans="1:6">
      <c r="A2542" s="397" t="str">
        <f t="shared" si="81"/>
        <v>-</v>
      </c>
      <c r="F2542" s="496"/>
    </row>
    <row r="2543" spans="1:6">
      <c r="A2543" s="397" t="str">
        <f t="shared" si="81"/>
        <v>-</v>
      </c>
      <c r="F2543" s="496"/>
    </row>
    <row r="2544" spans="1:6">
      <c r="A2544" s="397" t="str">
        <f t="shared" si="81"/>
        <v>-</v>
      </c>
      <c r="F2544" s="496"/>
    </row>
    <row r="2545" spans="1:6">
      <c r="A2545" s="397" t="str">
        <f t="shared" si="81"/>
        <v>-</v>
      </c>
      <c r="F2545" s="496"/>
    </row>
    <row r="2546" spans="1:6">
      <c r="A2546" s="397" t="str">
        <f t="shared" si="81"/>
        <v>-</v>
      </c>
      <c r="F2546" s="496"/>
    </row>
    <row r="2547" spans="1:6">
      <c r="A2547" s="397" t="str">
        <f t="shared" si="81"/>
        <v>-</v>
      </c>
      <c r="F2547" s="496"/>
    </row>
    <row r="2548" spans="1:6">
      <c r="A2548" s="397" t="str">
        <f t="shared" si="81"/>
        <v>-</v>
      </c>
      <c r="F2548" s="496"/>
    </row>
    <row r="2549" spans="1:6">
      <c r="A2549" s="397" t="str">
        <f t="shared" si="81"/>
        <v>-</v>
      </c>
      <c r="F2549" s="496"/>
    </row>
    <row r="2550" spans="1:6">
      <c r="A2550" s="397" t="str">
        <f t="shared" si="81"/>
        <v>-</v>
      </c>
      <c r="F2550" s="496"/>
    </row>
    <row r="2551" spans="1:6">
      <c r="A2551" s="397" t="str">
        <f t="shared" ref="A2551:A2614" si="82">B2551&amp;"-"&amp;C2551</f>
        <v>-</v>
      </c>
      <c r="F2551" s="496"/>
    </row>
    <row r="2552" spans="1:6">
      <c r="A2552" s="397" t="str">
        <f t="shared" si="82"/>
        <v>-</v>
      </c>
      <c r="F2552" s="496"/>
    </row>
    <row r="2553" spans="1:6">
      <c r="A2553" s="397" t="str">
        <f t="shared" si="82"/>
        <v>-</v>
      </c>
      <c r="F2553" s="496"/>
    </row>
    <row r="2554" spans="1:6">
      <c r="A2554" s="397" t="str">
        <f t="shared" si="82"/>
        <v>-</v>
      </c>
      <c r="F2554" s="496"/>
    </row>
    <row r="2555" spans="1:6">
      <c r="A2555" s="397" t="str">
        <f t="shared" si="82"/>
        <v>-</v>
      </c>
      <c r="F2555" s="496"/>
    </row>
    <row r="2556" spans="1:6">
      <c r="A2556" s="397" t="str">
        <f t="shared" si="82"/>
        <v>-</v>
      </c>
      <c r="F2556" s="496"/>
    </row>
    <row r="2557" spans="1:6">
      <c r="A2557" s="397" t="str">
        <f t="shared" si="82"/>
        <v>-</v>
      </c>
      <c r="F2557" s="496"/>
    </row>
    <row r="2558" spans="1:6">
      <c r="A2558" s="397" t="str">
        <f t="shared" si="82"/>
        <v>-</v>
      </c>
      <c r="F2558" s="496"/>
    </row>
    <row r="2559" spans="1:6">
      <c r="A2559" s="397" t="str">
        <f t="shared" si="82"/>
        <v>-</v>
      </c>
      <c r="F2559" s="496"/>
    </row>
    <row r="2560" spans="1:6">
      <c r="A2560" s="397" t="str">
        <f t="shared" si="82"/>
        <v>-</v>
      </c>
      <c r="F2560" s="496"/>
    </row>
    <row r="2561" spans="1:6">
      <c r="A2561" s="397" t="str">
        <f t="shared" si="82"/>
        <v>-</v>
      </c>
      <c r="F2561" s="496"/>
    </row>
    <row r="2562" spans="1:6">
      <c r="A2562" s="397" t="str">
        <f t="shared" si="82"/>
        <v>-</v>
      </c>
      <c r="F2562" s="496"/>
    </row>
    <row r="2563" spans="1:6">
      <c r="A2563" s="397" t="str">
        <f t="shared" si="82"/>
        <v>-</v>
      </c>
      <c r="F2563" s="496"/>
    </row>
    <row r="2564" spans="1:6">
      <c r="A2564" s="397" t="str">
        <f t="shared" si="82"/>
        <v>-</v>
      </c>
      <c r="F2564" s="496"/>
    </row>
    <row r="2565" spans="1:6">
      <c r="A2565" s="397" t="str">
        <f t="shared" si="82"/>
        <v>-</v>
      </c>
      <c r="F2565" s="496"/>
    </row>
    <row r="2566" spans="1:6">
      <c r="A2566" s="397" t="str">
        <f t="shared" si="82"/>
        <v>-</v>
      </c>
      <c r="F2566" s="496"/>
    </row>
    <row r="2567" spans="1:6">
      <c r="A2567" s="397" t="str">
        <f t="shared" si="82"/>
        <v>-</v>
      </c>
      <c r="F2567" s="496"/>
    </row>
    <row r="2568" spans="1:6">
      <c r="A2568" s="397" t="str">
        <f t="shared" si="82"/>
        <v>-</v>
      </c>
      <c r="F2568" s="496"/>
    </row>
    <row r="2569" spans="1:6">
      <c r="A2569" s="397" t="str">
        <f t="shared" si="82"/>
        <v>-</v>
      </c>
      <c r="F2569" s="496"/>
    </row>
    <row r="2570" spans="1:6">
      <c r="A2570" s="397" t="str">
        <f t="shared" si="82"/>
        <v>-</v>
      </c>
      <c r="F2570" s="496"/>
    </row>
    <row r="2571" spans="1:6">
      <c r="A2571" s="397" t="str">
        <f t="shared" si="82"/>
        <v>-</v>
      </c>
      <c r="F2571" s="496"/>
    </row>
    <row r="2572" spans="1:6">
      <c r="A2572" s="397" t="str">
        <f t="shared" si="82"/>
        <v>-</v>
      </c>
      <c r="F2572" s="496"/>
    </row>
    <row r="2573" spans="1:6">
      <c r="A2573" s="397" t="str">
        <f t="shared" si="82"/>
        <v>-</v>
      </c>
      <c r="F2573" s="496"/>
    </row>
    <row r="2574" spans="1:6">
      <c r="A2574" s="397" t="str">
        <f t="shared" si="82"/>
        <v>-</v>
      </c>
      <c r="F2574" s="496"/>
    </row>
    <row r="2575" spans="1:6">
      <c r="A2575" s="397" t="str">
        <f t="shared" si="82"/>
        <v>-</v>
      </c>
      <c r="F2575" s="496"/>
    </row>
    <row r="2576" spans="1:6">
      <c r="A2576" s="397" t="str">
        <f t="shared" si="82"/>
        <v>-</v>
      </c>
      <c r="F2576" s="496"/>
    </row>
    <row r="2577" spans="1:6">
      <c r="A2577" s="397" t="str">
        <f t="shared" si="82"/>
        <v>-</v>
      </c>
      <c r="F2577" s="496"/>
    </row>
    <row r="2578" spans="1:6">
      <c r="A2578" s="397" t="str">
        <f t="shared" si="82"/>
        <v>-</v>
      </c>
      <c r="F2578" s="496"/>
    </row>
    <row r="2579" spans="1:6">
      <c r="A2579" s="397" t="str">
        <f t="shared" si="82"/>
        <v>-</v>
      </c>
      <c r="F2579" s="496"/>
    </row>
    <row r="2580" spans="1:6">
      <c r="A2580" s="397" t="str">
        <f t="shared" si="82"/>
        <v>-</v>
      </c>
      <c r="F2580" s="496"/>
    </row>
    <row r="2581" spans="1:6">
      <c r="A2581" s="397" t="str">
        <f t="shared" si="82"/>
        <v>-</v>
      </c>
      <c r="F2581" s="496"/>
    </row>
    <row r="2582" spans="1:6">
      <c r="A2582" s="397" t="str">
        <f t="shared" si="82"/>
        <v>-</v>
      </c>
      <c r="F2582" s="496"/>
    </row>
    <row r="2583" spans="1:6">
      <c r="A2583" s="397" t="str">
        <f t="shared" si="82"/>
        <v>-</v>
      </c>
      <c r="F2583" s="496"/>
    </row>
    <row r="2584" spans="1:6">
      <c r="A2584" s="397" t="str">
        <f t="shared" si="82"/>
        <v>-</v>
      </c>
      <c r="F2584" s="496"/>
    </row>
    <row r="2585" spans="1:6">
      <c r="A2585" s="397" t="str">
        <f t="shared" si="82"/>
        <v>-</v>
      </c>
      <c r="F2585" s="496"/>
    </row>
    <row r="2586" spans="1:6">
      <c r="A2586" s="397" t="str">
        <f t="shared" si="82"/>
        <v>-</v>
      </c>
      <c r="F2586" s="496"/>
    </row>
    <row r="2587" spans="1:6">
      <c r="A2587" s="397" t="str">
        <f t="shared" si="82"/>
        <v>-</v>
      </c>
      <c r="F2587" s="496"/>
    </row>
    <row r="2588" spans="1:6">
      <c r="A2588" s="397" t="str">
        <f t="shared" si="82"/>
        <v>-</v>
      </c>
      <c r="F2588" s="496"/>
    </row>
    <row r="2589" spans="1:6">
      <c r="A2589" s="397" t="str">
        <f t="shared" si="82"/>
        <v>-</v>
      </c>
      <c r="F2589" s="496"/>
    </row>
    <row r="2590" spans="1:6">
      <c r="A2590" s="397" t="str">
        <f t="shared" si="82"/>
        <v>-</v>
      </c>
      <c r="F2590" s="496"/>
    </row>
    <row r="2591" spans="1:6">
      <c r="A2591" s="397" t="str">
        <f t="shared" si="82"/>
        <v>-</v>
      </c>
      <c r="F2591" s="496"/>
    </row>
    <row r="2592" spans="1:6">
      <c r="A2592" s="397" t="str">
        <f t="shared" si="82"/>
        <v>-</v>
      </c>
      <c r="F2592" s="496"/>
    </row>
    <row r="2593" spans="1:6">
      <c r="A2593" s="397" t="str">
        <f t="shared" si="82"/>
        <v>-</v>
      </c>
      <c r="F2593" s="496"/>
    </row>
    <row r="2594" spans="1:6">
      <c r="A2594" s="397" t="str">
        <f t="shared" si="82"/>
        <v>-</v>
      </c>
      <c r="F2594" s="496"/>
    </row>
    <row r="2595" spans="1:6">
      <c r="A2595" s="397" t="str">
        <f t="shared" si="82"/>
        <v>-</v>
      </c>
      <c r="F2595" s="496"/>
    </row>
    <row r="2596" spans="1:6">
      <c r="A2596" s="397" t="str">
        <f t="shared" si="82"/>
        <v>-</v>
      </c>
      <c r="F2596" s="496"/>
    </row>
    <row r="2597" spans="1:6">
      <c r="A2597" s="397" t="str">
        <f t="shared" si="82"/>
        <v>-</v>
      </c>
      <c r="F2597" s="496"/>
    </row>
    <row r="2598" spans="1:6">
      <c r="A2598" s="397" t="str">
        <f t="shared" si="82"/>
        <v>-</v>
      </c>
      <c r="F2598" s="496"/>
    </row>
    <row r="2599" spans="1:6">
      <c r="A2599" s="397" t="str">
        <f t="shared" si="82"/>
        <v>-</v>
      </c>
      <c r="F2599" s="496"/>
    </row>
    <row r="2600" spans="1:6">
      <c r="A2600" s="397" t="str">
        <f t="shared" si="82"/>
        <v>-</v>
      </c>
      <c r="F2600" s="496"/>
    </row>
    <row r="2601" spans="1:6">
      <c r="A2601" s="397" t="str">
        <f t="shared" si="82"/>
        <v>-</v>
      </c>
      <c r="F2601" s="496"/>
    </row>
    <row r="2602" spans="1:6">
      <c r="A2602" s="397" t="str">
        <f t="shared" si="82"/>
        <v>-</v>
      </c>
      <c r="F2602" s="496"/>
    </row>
    <row r="2603" spans="1:6">
      <c r="A2603" s="397" t="str">
        <f t="shared" si="82"/>
        <v>-</v>
      </c>
      <c r="F2603" s="496"/>
    </row>
    <row r="2604" spans="1:6">
      <c r="A2604" s="397" t="str">
        <f t="shared" si="82"/>
        <v>-</v>
      </c>
      <c r="F2604" s="496"/>
    </row>
    <row r="2605" spans="1:6">
      <c r="A2605" s="397" t="str">
        <f t="shared" si="82"/>
        <v>-</v>
      </c>
      <c r="F2605" s="496"/>
    </row>
    <row r="2606" spans="1:6">
      <c r="A2606" s="397" t="str">
        <f t="shared" si="82"/>
        <v>-</v>
      </c>
      <c r="F2606" s="496"/>
    </row>
    <row r="2607" spans="1:6">
      <c r="A2607" s="397" t="str">
        <f t="shared" si="82"/>
        <v>-</v>
      </c>
      <c r="F2607" s="496"/>
    </row>
    <row r="2608" spans="1:6">
      <c r="A2608" s="397" t="str">
        <f t="shared" si="82"/>
        <v>-</v>
      </c>
      <c r="F2608" s="496"/>
    </row>
    <row r="2609" spans="1:6">
      <c r="A2609" s="397" t="str">
        <f t="shared" si="82"/>
        <v>-</v>
      </c>
      <c r="F2609" s="496"/>
    </row>
    <row r="2610" spans="1:6">
      <c r="A2610" s="397" t="str">
        <f t="shared" si="82"/>
        <v>-</v>
      </c>
      <c r="F2610" s="496"/>
    </row>
    <row r="2611" spans="1:6">
      <c r="A2611" s="397" t="str">
        <f t="shared" si="82"/>
        <v>-</v>
      </c>
      <c r="F2611" s="496"/>
    </row>
    <row r="2612" spans="1:6">
      <c r="A2612" s="397" t="str">
        <f t="shared" si="82"/>
        <v>-</v>
      </c>
      <c r="F2612" s="496"/>
    </row>
    <row r="2613" spans="1:6">
      <c r="A2613" s="397" t="str">
        <f t="shared" si="82"/>
        <v>-</v>
      </c>
      <c r="F2613" s="496"/>
    </row>
    <row r="2614" spans="1:6">
      <c r="A2614" s="397" t="str">
        <f t="shared" si="82"/>
        <v>-</v>
      </c>
      <c r="F2614" s="496"/>
    </row>
    <row r="2615" spans="1:6">
      <c r="A2615" s="397" t="str">
        <f t="shared" ref="A2615:A2678" si="83">B2615&amp;"-"&amp;C2615</f>
        <v>-</v>
      </c>
      <c r="F2615" s="496"/>
    </row>
    <row r="2616" spans="1:6">
      <c r="A2616" s="397" t="str">
        <f t="shared" si="83"/>
        <v>-</v>
      </c>
      <c r="F2616" s="496"/>
    </row>
    <row r="2617" spans="1:6">
      <c r="A2617" s="397" t="str">
        <f t="shared" si="83"/>
        <v>-</v>
      </c>
      <c r="F2617" s="496"/>
    </row>
    <row r="2618" spans="1:6">
      <c r="A2618" s="397" t="str">
        <f t="shared" si="83"/>
        <v>-</v>
      </c>
      <c r="F2618" s="496"/>
    </row>
    <row r="2619" spans="1:6">
      <c r="A2619" s="397" t="str">
        <f t="shared" si="83"/>
        <v>-</v>
      </c>
      <c r="F2619" s="496"/>
    </row>
    <row r="2620" spans="1:6">
      <c r="A2620" s="397" t="str">
        <f t="shared" si="83"/>
        <v>-</v>
      </c>
      <c r="F2620" s="496"/>
    </row>
    <row r="2621" spans="1:6">
      <c r="A2621" s="397" t="str">
        <f t="shared" si="83"/>
        <v>-</v>
      </c>
      <c r="F2621" s="496"/>
    </row>
    <row r="2622" spans="1:6">
      <c r="A2622" s="397" t="str">
        <f t="shared" si="83"/>
        <v>-</v>
      </c>
      <c r="F2622" s="496"/>
    </row>
    <row r="2623" spans="1:6">
      <c r="A2623" s="397" t="str">
        <f t="shared" si="83"/>
        <v>-</v>
      </c>
      <c r="F2623" s="496"/>
    </row>
    <row r="2624" spans="1:6">
      <c r="A2624" s="397" t="str">
        <f t="shared" si="83"/>
        <v>-</v>
      </c>
      <c r="F2624" s="496"/>
    </row>
    <row r="2625" spans="1:6">
      <c r="A2625" s="397" t="str">
        <f t="shared" si="83"/>
        <v>-</v>
      </c>
      <c r="F2625" s="496"/>
    </row>
    <row r="2626" spans="1:6">
      <c r="A2626" s="397" t="str">
        <f t="shared" si="83"/>
        <v>-</v>
      </c>
      <c r="F2626" s="496"/>
    </row>
    <row r="2627" spans="1:6">
      <c r="A2627" s="397" t="str">
        <f t="shared" si="83"/>
        <v>-</v>
      </c>
      <c r="F2627" s="496"/>
    </row>
    <row r="2628" spans="1:6">
      <c r="A2628" s="397" t="str">
        <f t="shared" si="83"/>
        <v>-</v>
      </c>
      <c r="F2628" s="496"/>
    </row>
    <row r="2629" spans="1:6">
      <c r="A2629" s="397" t="str">
        <f t="shared" si="83"/>
        <v>-</v>
      </c>
      <c r="F2629" s="496"/>
    </row>
    <row r="2630" spans="1:6">
      <c r="A2630" s="397" t="str">
        <f t="shared" si="83"/>
        <v>-</v>
      </c>
      <c r="F2630" s="496"/>
    </row>
    <row r="2631" spans="1:6">
      <c r="A2631" s="397" t="str">
        <f t="shared" si="83"/>
        <v>-</v>
      </c>
      <c r="F2631" s="496"/>
    </row>
    <row r="2632" spans="1:6">
      <c r="A2632" s="397" t="str">
        <f t="shared" si="83"/>
        <v>-</v>
      </c>
      <c r="F2632" s="496"/>
    </row>
    <row r="2633" spans="1:6">
      <c r="A2633" s="397" t="str">
        <f t="shared" si="83"/>
        <v>-</v>
      </c>
      <c r="F2633" s="496"/>
    </row>
    <row r="2634" spans="1:6">
      <c r="A2634" s="397" t="str">
        <f t="shared" si="83"/>
        <v>-</v>
      </c>
      <c r="F2634" s="496"/>
    </row>
    <row r="2635" spans="1:6">
      <c r="A2635" s="397" t="str">
        <f t="shared" si="83"/>
        <v>-</v>
      </c>
      <c r="F2635" s="496"/>
    </row>
    <row r="2636" spans="1:6">
      <c r="A2636" s="397" t="str">
        <f t="shared" si="83"/>
        <v>-</v>
      </c>
      <c r="F2636" s="496"/>
    </row>
    <row r="2637" spans="1:6">
      <c r="A2637" s="397" t="str">
        <f t="shared" si="83"/>
        <v>-</v>
      </c>
      <c r="F2637" s="496"/>
    </row>
    <row r="2638" spans="1:6">
      <c r="A2638" s="397" t="str">
        <f t="shared" si="83"/>
        <v>-</v>
      </c>
      <c r="F2638" s="496"/>
    </row>
    <row r="2639" spans="1:6">
      <c r="A2639" s="397" t="str">
        <f t="shared" si="83"/>
        <v>-</v>
      </c>
      <c r="F2639" s="496"/>
    </row>
    <row r="2640" spans="1:6">
      <c r="A2640" s="397" t="str">
        <f t="shared" si="83"/>
        <v>-</v>
      </c>
      <c r="F2640" s="496"/>
    </row>
    <row r="2641" spans="1:6">
      <c r="A2641" s="397" t="str">
        <f t="shared" si="83"/>
        <v>-</v>
      </c>
      <c r="F2641" s="496"/>
    </row>
    <row r="2642" spans="1:6">
      <c r="A2642" s="397" t="str">
        <f t="shared" si="83"/>
        <v>-</v>
      </c>
      <c r="F2642" s="496"/>
    </row>
    <row r="2643" spans="1:6">
      <c r="A2643" s="397" t="str">
        <f t="shared" si="83"/>
        <v>-</v>
      </c>
      <c r="F2643" s="496"/>
    </row>
    <row r="2644" spans="1:6">
      <c r="A2644" s="397" t="str">
        <f t="shared" si="83"/>
        <v>-</v>
      </c>
      <c r="F2644" s="496"/>
    </row>
    <row r="2645" spans="1:6">
      <c r="A2645" s="397" t="str">
        <f t="shared" si="83"/>
        <v>-</v>
      </c>
      <c r="F2645" s="496"/>
    </row>
    <row r="2646" spans="1:6">
      <c r="A2646" s="397" t="str">
        <f t="shared" si="83"/>
        <v>-</v>
      </c>
      <c r="F2646" s="496"/>
    </row>
    <row r="2647" spans="1:6">
      <c r="A2647" s="397" t="str">
        <f t="shared" si="83"/>
        <v>-</v>
      </c>
      <c r="F2647" s="496"/>
    </row>
    <row r="2648" spans="1:6">
      <c r="A2648" s="397" t="str">
        <f t="shared" si="83"/>
        <v>-</v>
      </c>
      <c r="F2648" s="496"/>
    </row>
    <row r="2649" spans="1:6">
      <c r="A2649" s="397" t="str">
        <f t="shared" si="83"/>
        <v>-</v>
      </c>
      <c r="F2649" s="496"/>
    </row>
    <row r="2650" spans="1:6">
      <c r="A2650" s="397" t="str">
        <f t="shared" si="83"/>
        <v>-</v>
      </c>
      <c r="F2650" s="496"/>
    </row>
    <row r="2651" spans="1:6">
      <c r="A2651" s="397" t="str">
        <f t="shared" si="83"/>
        <v>-</v>
      </c>
      <c r="F2651" s="496"/>
    </row>
    <row r="2652" spans="1:6">
      <c r="A2652" s="397" t="str">
        <f t="shared" si="83"/>
        <v>-</v>
      </c>
      <c r="F2652" s="496"/>
    </row>
    <row r="2653" spans="1:6">
      <c r="A2653" s="397" t="str">
        <f t="shared" si="83"/>
        <v>-</v>
      </c>
      <c r="F2653" s="496"/>
    </row>
    <row r="2654" spans="1:6">
      <c r="A2654" s="397" t="str">
        <f t="shared" si="83"/>
        <v>-</v>
      </c>
      <c r="F2654" s="496"/>
    </row>
    <row r="2655" spans="1:6">
      <c r="A2655" s="397" t="str">
        <f t="shared" si="83"/>
        <v>-</v>
      </c>
      <c r="F2655" s="496"/>
    </row>
    <row r="2656" spans="1:6">
      <c r="A2656" s="397" t="str">
        <f t="shared" si="83"/>
        <v>-</v>
      </c>
      <c r="F2656" s="496"/>
    </row>
    <row r="2657" spans="1:6">
      <c r="A2657" s="397" t="str">
        <f t="shared" si="83"/>
        <v>-</v>
      </c>
      <c r="F2657" s="496"/>
    </row>
    <row r="2658" spans="1:6">
      <c r="A2658" s="397" t="str">
        <f t="shared" si="83"/>
        <v>-</v>
      </c>
      <c r="F2658" s="496"/>
    </row>
    <row r="2659" spans="1:6">
      <c r="A2659" s="397" t="str">
        <f t="shared" si="83"/>
        <v>-</v>
      </c>
      <c r="F2659" s="496"/>
    </row>
    <row r="2660" spans="1:6">
      <c r="A2660" s="397" t="str">
        <f t="shared" si="83"/>
        <v>-</v>
      </c>
      <c r="F2660" s="496"/>
    </row>
    <row r="2661" spans="1:6">
      <c r="A2661" s="397" t="str">
        <f t="shared" si="83"/>
        <v>-</v>
      </c>
      <c r="F2661" s="496"/>
    </row>
    <row r="2662" spans="1:6">
      <c r="A2662" s="397" t="str">
        <f t="shared" si="83"/>
        <v>-</v>
      </c>
      <c r="F2662" s="496"/>
    </row>
    <row r="2663" spans="1:6">
      <c r="A2663" s="397" t="str">
        <f t="shared" si="83"/>
        <v>-</v>
      </c>
      <c r="F2663" s="496"/>
    </row>
    <row r="2664" spans="1:6">
      <c r="A2664" s="397" t="str">
        <f t="shared" si="83"/>
        <v>-</v>
      </c>
      <c r="F2664" s="496"/>
    </row>
    <row r="2665" spans="1:6">
      <c r="A2665" s="397" t="str">
        <f t="shared" si="83"/>
        <v>-</v>
      </c>
      <c r="F2665" s="496"/>
    </row>
    <row r="2666" spans="1:6">
      <c r="A2666" s="397" t="str">
        <f t="shared" si="83"/>
        <v>-</v>
      </c>
      <c r="F2666" s="496"/>
    </row>
    <row r="2667" spans="1:6">
      <c r="A2667" s="397" t="str">
        <f t="shared" si="83"/>
        <v>-</v>
      </c>
      <c r="F2667" s="496"/>
    </row>
    <row r="2668" spans="1:6">
      <c r="A2668" s="397" t="str">
        <f t="shared" si="83"/>
        <v>-</v>
      </c>
      <c r="F2668" s="496"/>
    </row>
    <row r="2669" spans="1:6">
      <c r="A2669" s="397" t="str">
        <f t="shared" si="83"/>
        <v>-</v>
      </c>
      <c r="F2669" s="496"/>
    </row>
    <row r="2670" spans="1:6">
      <c r="A2670" s="397" t="str">
        <f t="shared" si="83"/>
        <v>-</v>
      </c>
      <c r="F2670" s="496"/>
    </row>
    <row r="2671" spans="1:6">
      <c r="A2671" s="397" t="str">
        <f t="shared" si="83"/>
        <v>-</v>
      </c>
      <c r="F2671" s="496"/>
    </row>
    <row r="2672" spans="1:6">
      <c r="A2672" s="397" t="str">
        <f t="shared" si="83"/>
        <v>-</v>
      </c>
      <c r="F2672" s="496"/>
    </row>
    <row r="2673" spans="1:6">
      <c r="A2673" s="397" t="str">
        <f t="shared" si="83"/>
        <v>-</v>
      </c>
      <c r="F2673" s="496"/>
    </row>
    <row r="2674" spans="1:6">
      <c r="A2674" s="397" t="str">
        <f t="shared" si="83"/>
        <v>-</v>
      </c>
      <c r="F2674" s="496"/>
    </row>
    <row r="2675" spans="1:6">
      <c r="A2675" s="397" t="str">
        <f t="shared" si="83"/>
        <v>-</v>
      </c>
      <c r="F2675" s="496"/>
    </row>
    <row r="2676" spans="1:6">
      <c r="A2676" s="397" t="str">
        <f t="shared" si="83"/>
        <v>-</v>
      </c>
      <c r="F2676" s="496"/>
    </row>
    <row r="2677" spans="1:6">
      <c r="A2677" s="397" t="str">
        <f t="shared" si="83"/>
        <v>-</v>
      </c>
      <c r="F2677" s="496"/>
    </row>
    <row r="2678" spans="1:6">
      <c r="A2678" s="397" t="str">
        <f t="shared" si="83"/>
        <v>-</v>
      </c>
      <c r="F2678" s="496"/>
    </row>
    <row r="2679" spans="1:6">
      <c r="A2679" s="397" t="str">
        <f t="shared" ref="A2679:A2742" si="84">B2679&amp;"-"&amp;C2679</f>
        <v>-</v>
      </c>
      <c r="F2679" s="496"/>
    </row>
    <row r="2680" spans="1:6">
      <c r="A2680" s="397" t="str">
        <f t="shared" si="84"/>
        <v>-</v>
      </c>
      <c r="F2680" s="496"/>
    </row>
    <row r="2681" spans="1:6">
      <c r="A2681" s="397" t="str">
        <f t="shared" si="84"/>
        <v>-</v>
      </c>
      <c r="F2681" s="496"/>
    </row>
    <row r="2682" spans="1:6">
      <c r="A2682" s="397" t="str">
        <f t="shared" si="84"/>
        <v>-</v>
      </c>
      <c r="F2682" s="496"/>
    </row>
    <row r="2683" spans="1:6">
      <c r="A2683" s="397" t="str">
        <f t="shared" si="84"/>
        <v>-</v>
      </c>
      <c r="F2683" s="496"/>
    </row>
    <row r="2684" spans="1:6">
      <c r="A2684" s="397" t="str">
        <f t="shared" si="84"/>
        <v>-</v>
      </c>
      <c r="F2684" s="496"/>
    </row>
    <row r="2685" spans="1:6">
      <c r="A2685" s="397" t="str">
        <f t="shared" si="84"/>
        <v>-</v>
      </c>
      <c r="F2685" s="496"/>
    </row>
    <row r="2686" spans="1:6">
      <c r="A2686" s="397" t="str">
        <f t="shared" si="84"/>
        <v>-</v>
      </c>
      <c r="F2686" s="496"/>
    </row>
    <row r="2687" spans="1:6">
      <c r="A2687" s="397" t="str">
        <f t="shared" si="84"/>
        <v>-</v>
      </c>
      <c r="F2687" s="496"/>
    </row>
    <row r="2688" spans="1:6">
      <c r="A2688" s="397" t="str">
        <f t="shared" si="84"/>
        <v>-</v>
      </c>
      <c r="F2688" s="496"/>
    </row>
    <row r="2689" spans="1:6">
      <c r="A2689" s="397" t="str">
        <f t="shared" si="84"/>
        <v>-</v>
      </c>
      <c r="F2689" s="496"/>
    </row>
    <row r="2690" spans="1:6">
      <c r="A2690" s="397" t="str">
        <f t="shared" si="84"/>
        <v>-</v>
      </c>
      <c r="F2690" s="496"/>
    </row>
    <row r="2691" spans="1:6">
      <c r="A2691" s="397" t="str">
        <f t="shared" si="84"/>
        <v>-</v>
      </c>
      <c r="F2691" s="496"/>
    </row>
    <row r="2692" spans="1:6">
      <c r="A2692" s="397" t="str">
        <f t="shared" si="84"/>
        <v>-</v>
      </c>
      <c r="F2692" s="496"/>
    </row>
    <row r="2693" spans="1:6">
      <c r="A2693" s="397" t="str">
        <f t="shared" si="84"/>
        <v>-</v>
      </c>
      <c r="F2693" s="496"/>
    </row>
    <row r="2694" spans="1:6">
      <c r="A2694" s="397" t="str">
        <f t="shared" si="84"/>
        <v>-</v>
      </c>
      <c r="F2694" s="496"/>
    </row>
    <row r="2695" spans="1:6">
      <c r="A2695" s="397" t="str">
        <f t="shared" si="84"/>
        <v>-</v>
      </c>
      <c r="F2695" s="496"/>
    </row>
    <row r="2696" spans="1:6">
      <c r="A2696" s="397" t="str">
        <f t="shared" si="84"/>
        <v>-</v>
      </c>
      <c r="F2696" s="496"/>
    </row>
    <row r="2697" spans="1:6">
      <c r="A2697" s="397" t="str">
        <f t="shared" si="84"/>
        <v>-</v>
      </c>
      <c r="F2697" s="496"/>
    </row>
    <row r="2698" spans="1:6">
      <c r="A2698" s="397" t="str">
        <f t="shared" si="84"/>
        <v>-</v>
      </c>
      <c r="F2698" s="496"/>
    </row>
    <row r="2699" spans="1:6">
      <c r="A2699" s="397" t="str">
        <f t="shared" si="84"/>
        <v>-</v>
      </c>
      <c r="F2699" s="496"/>
    </row>
    <row r="2700" spans="1:6">
      <c r="A2700" s="397" t="str">
        <f t="shared" si="84"/>
        <v>-</v>
      </c>
      <c r="F2700" s="496"/>
    </row>
    <row r="2701" spans="1:6">
      <c r="A2701" s="397" t="str">
        <f t="shared" si="84"/>
        <v>-</v>
      </c>
      <c r="F2701" s="496"/>
    </row>
    <row r="2702" spans="1:6">
      <c r="A2702" s="397" t="str">
        <f t="shared" si="84"/>
        <v>-</v>
      </c>
      <c r="F2702" s="496"/>
    </row>
    <row r="2703" spans="1:6">
      <c r="A2703" s="397" t="str">
        <f t="shared" si="84"/>
        <v>-</v>
      </c>
      <c r="F2703" s="496"/>
    </row>
    <row r="2704" spans="1:6">
      <c r="A2704" s="397" t="str">
        <f t="shared" si="84"/>
        <v>-</v>
      </c>
      <c r="F2704" s="496"/>
    </row>
    <row r="2705" spans="1:6">
      <c r="A2705" s="397" t="str">
        <f t="shared" si="84"/>
        <v>-</v>
      </c>
      <c r="F2705" s="496"/>
    </row>
    <row r="2706" spans="1:6">
      <c r="A2706" s="397" t="str">
        <f t="shared" si="84"/>
        <v>-</v>
      </c>
      <c r="F2706" s="496"/>
    </row>
    <row r="2707" spans="1:6">
      <c r="A2707" s="397" t="str">
        <f t="shared" si="84"/>
        <v>-</v>
      </c>
      <c r="F2707" s="496"/>
    </row>
    <row r="2708" spans="1:6">
      <c r="A2708" s="397" t="str">
        <f t="shared" si="84"/>
        <v>-</v>
      </c>
      <c r="F2708" s="496"/>
    </row>
    <row r="2709" spans="1:6">
      <c r="A2709" s="397" t="str">
        <f t="shared" si="84"/>
        <v>-</v>
      </c>
      <c r="F2709" s="496"/>
    </row>
    <row r="2710" spans="1:6">
      <c r="A2710" s="397" t="str">
        <f t="shared" si="84"/>
        <v>-</v>
      </c>
      <c r="F2710" s="496"/>
    </row>
    <row r="2711" spans="1:6">
      <c r="A2711" s="397" t="str">
        <f t="shared" si="84"/>
        <v>-</v>
      </c>
      <c r="F2711" s="496"/>
    </row>
    <row r="2712" spans="1:6">
      <c r="A2712" s="397" t="str">
        <f t="shared" si="84"/>
        <v>-</v>
      </c>
      <c r="F2712" s="496"/>
    </row>
    <row r="2713" spans="1:6">
      <c r="A2713" s="397" t="str">
        <f t="shared" si="84"/>
        <v>-</v>
      </c>
      <c r="F2713" s="496"/>
    </row>
    <row r="2714" spans="1:6">
      <c r="A2714" s="397" t="str">
        <f t="shared" si="84"/>
        <v>-</v>
      </c>
      <c r="F2714" s="496"/>
    </row>
    <row r="2715" spans="1:6">
      <c r="A2715" s="397" t="str">
        <f t="shared" si="84"/>
        <v>-</v>
      </c>
      <c r="F2715" s="496"/>
    </row>
    <row r="2716" spans="1:6">
      <c r="A2716" s="397" t="str">
        <f t="shared" si="84"/>
        <v>-</v>
      </c>
      <c r="F2716" s="496"/>
    </row>
    <row r="2717" spans="1:6">
      <c r="A2717" s="397" t="str">
        <f t="shared" si="84"/>
        <v>-</v>
      </c>
      <c r="F2717" s="496"/>
    </row>
    <row r="2718" spans="1:6">
      <c r="A2718" s="397" t="str">
        <f t="shared" si="84"/>
        <v>-</v>
      </c>
      <c r="F2718" s="496"/>
    </row>
    <row r="2719" spans="1:6">
      <c r="A2719" s="397" t="str">
        <f t="shared" si="84"/>
        <v>-</v>
      </c>
      <c r="F2719" s="496"/>
    </row>
    <row r="2720" spans="1:6">
      <c r="A2720" s="397" t="str">
        <f t="shared" si="84"/>
        <v>-</v>
      </c>
      <c r="F2720" s="496"/>
    </row>
    <row r="2721" spans="1:6">
      <c r="A2721" s="397" t="str">
        <f t="shared" si="84"/>
        <v>-</v>
      </c>
      <c r="F2721" s="496"/>
    </row>
    <row r="2722" spans="1:6">
      <c r="A2722" s="397" t="str">
        <f t="shared" si="84"/>
        <v>-</v>
      </c>
      <c r="F2722" s="496"/>
    </row>
    <row r="2723" spans="1:6">
      <c r="A2723" s="397" t="str">
        <f t="shared" si="84"/>
        <v>-</v>
      </c>
      <c r="F2723" s="496"/>
    </row>
    <row r="2724" spans="1:6">
      <c r="A2724" s="397" t="str">
        <f t="shared" si="84"/>
        <v>-</v>
      </c>
      <c r="F2724" s="496"/>
    </row>
    <row r="2725" spans="1:6">
      <c r="A2725" s="397" t="str">
        <f t="shared" si="84"/>
        <v>-</v>
      </c>
      <c r="F2725" s="496"/>
    </row>
    <row r="2726" spans="1:6">
      <c r="A2726" s="397" t="str">
        <f t="shared" si="84"/>
        <v>-</v>
      </c>
      <c r="F2726" s="496"/>
    </row>
    <row r="2727" spans="1:6">
      <c r="A2727" s="397" t="str">
        <f t="shared" si="84"/>
        <v>-</v>
      </c>
      <c r="F2727" s="496"/>
    </row>
    <row r="2728" spans="1:6">
      <c r="A2728" s="397" t="str">
        <f t="shared" si="84"/>
        <v>-</v>
      </c>
      <c r="F2728" s="496"/>
    </row>
    <row r="2729" spans="1:6">
      <c r="A2729" s="397" t="str">
        <f t="shared" si="84"/>
        <v>-</v>
      </c>
      <c r="F2729" s="496"/>
    </row>
    <row r="2730" spans="1:6">
      <c r="A2730" s="397" t="str">
        <f t="shared" si="84"/>
        <v>-</v>
      </c>
      <c r="F2730" s="496"/>
    </row>
    <row r="2731" spans="1:6">
      <c r="A2731" s="397" t="str">
        <f t="shared" si="84"/>
        <v>-</v>
      </c>
      <c r="F2731" s="496"/>
    </row>
    <row r="2732" spans="1:6">
      <c r="A2732" s="397" t="str">
        <f t="shared" si="84"/>
        <v>-</v>
      </c>
      <c r="F2732" s="496"/>
    </row>
    <row r="2733" spans="1:6">
      <c r="A2733" s="397" t="str">
        <f t="shared" si="84"/>
        <v>-</v>
      </c>
      <c r="F2733" s="496"/>
    </row>
    <row r="2734" spans="1:6">
      <c r="A2734" s="397" t="str">
        <f t="shared" si="84"/>
        <v>-</v>
      </c>
      <c r="F2734" s="496"/>
    </row>
    <row r="2735" spans="1:6">
      <c r="A2735" s="397" t="str">
        <f t="shared" si="84"/>
        <v>-</v>
      </c>
      <c r="F2735" s="496"/>
    </row>
    <row r="2736" spans="1:6">
      <c r="A2736" s="397" t="str">
        <f t="shared" si="84"/>
        <v>-</v>
      </c>
      <c r="F2736" s="496"/>
    </row>
    <row r="2737" spans="1:6">
      <c r="A2737" s="397" t="str">
        <f t="shared" si="84"/>
        <v>-</v>
      </c>
      <c r="F2737" s="496"/>
    </row>
    <row r="2738" spans="1:6">
      <c r="A2738" s="397" t="str">
        <f t="shared" si="84"/>
        <v>-</v>
      </c>
      <c r="F2738" s="496"/>
    </row>
    <row r="2739" spans="1:6">
      <c r="A2739" s="397" t="str">
        <f t="shared" si="84"/>
        <v>-</v>
      </c>
      <c r="F2739" s="496"/>
    </row>
    <row r="2740" spans="1:6">
      <c r="A2740" s="397" t="str">
        <f t="shared" si="84"/>
        <v>-</v>
      </c>
      <c r="F2740" s="496"/>
    </row>
    <row r="2741" spans="1:6">
      <c r="A2741" s="397" t="str">
        <f t="shared" si="84"/>
        <v>-</v>
      </c>
      <c r="F2741" s="496"/>
    </row>
    <row r="2742" spans="1:6">
      <c r="A2742" s="397" t="str">
        <f t="shared" si="84"/>
        <v>-</v>
      </c>
      <c r="F2742" s="496"/>
    </row>
    <row r="2743" spans="1:6">
      <c r="A2743" s="397" t="str">
        <f t="shared" ref="A2743:A2806" si="85">B2743&amp;"-"&amp;C2743</f>
        <v>-</v>
      </c>
      <c r="F2743" s="496"/>
    </row>
    <row r="2744" spans="1:6">
      <c r="A2744" s="397" t="str">
        <f t="shared" si="85"/>
        <v>-</v>
      </c>
      <c r="F2744" s="496"/>
    </row>
    <row r="2745" spans="1:6">
      <c r="A2745" s="397" t="str">
        <f t="shared" si="85"/>
        <v>-</v>
      </c>
      <c r="F2745" s="496"/>
    </row>
    <row r="2746" spans="1:6">
      <c r="A2746" s="397" t="str">
        <f t="shared" si="85"/>
        <v>-</v>
      </c>
      <c r="F2746" s="496"/>
    </row>
    <row r="2747" spans="1:6">
      <c r="A2747" s="397" t="str">
        <f t="shared" si="85"/>
        <v>-</v>
      </c>
      <c r="F2747" s="496"/>
    </row>
    <row r="2748" spans="1:6">
      <c r="A2748" s="397" t="str">
        <f t="shared" si="85"/>
        <v>-</v>
      </c>
      <c r="F2748" s="496"/>
    </row>
    <row r="2749" spans="1:6">
      <c r="A2749" s="397" t="str">
        <f t="shared" si="85"/>
        <v>-</v>
      </c>
      <c r="F2749" s="496"/>
    </row>
    <row r="2750" spans="1:6">
      <c r="A2750" s="397" t="str">
        <f t="shared" si="85"/>
        <v>-</v>
      </c>
      <c r="F2750" s="496"/>
    </row>
    <row r="2751" spans="1:6">
      <c r="A2751" s="397" t="str">
        <f t="shared" si="85"/>
        <v>-</v>
      </c>
      <c r="F2751" s="496"/>
    </row>
    <row r="2752" spans="1:6">
      <c r="A2752" s="397" t="str">
        <f t="shared" si="85"/>
        <v>-</v>
      </c>
      <c r="F2752" s="496"/>
    </row>
    <row r="2753" spans="1:6">
      <c r="A2753" s="397" t="str">
        <f t="shared" si="85"/>
        <v>-</v>
      </c>
      <c r="F2753" s="496"/>
    </row>
    <row r="2754" spans="1:6">
      <c r="A2754" s="397" t="str">
        <f t="shared" si="85"/>
        <v>-</v>
      </c>
      <c r="F2754" s="496"/>
    </row>
    <row r="2755" spans="1:6">
      <c r="A2755" s="397" t="str">
        <f t="shared" si="85"/>
        <v>-</v>
      </c>
      <c r="F2755" s="496"/>
    </row>
    <row r="2756" spans="1:6">
      <c r="A2756" s="397" t="str">
        <f t="shared" si="85"/>
        <v>-</v>
      </c>
      <c r="F2756" s="496"/>
    </row>
    <row r="2757" spans="1:6">
      <c r="A2757" s="397" t="str">
        <f t="shared" si="85"/>
        <v>-</v>
      </c>
      <c r="F2757" s="496"/>
    </row>
    <row r="2758" spans="1:6">
      <c r="A2758" s="397" t="str">
        <f t="shared" si="85"/>
        <v>-</v>
      </c>
      <c r="F2758" s="496"/>
    </row>
    <row r="2759" spans="1:6">
      <c r="A2759" s="397" t="str">
        <f t="shared" si="85"/>
        <v>-</v>
      </c>
      <c r="F2759" s="496"/>
    </row>
    <row r="2760" spans="1:6">
      <c r="A2760" s="397" t="str">
        <f t="shared" si="85"/>
        <v>-</v>
      </c>
      <c r="F2760" s="496"/>
    </row>
    <row r="2761" spans="1:6">
      <c r="A2761" s="397" t="str">
        <f t="shared" si="85"/>
        <v>-</v>
      </c>
      <c r="F2761" s="496"/>
    </row>
    <row r="2762" spans="1:6">
      <c r="A2762" s="397" t="str">
        <f t="shared" si="85"/>
        <v>-</v>
      </c>
      <c r="F2762" s="496"/>
    </row>
    <row r="2763" spans="1:6">
      <c r="A2763" s="397" t="str">
        <f t="shared" si="85"/>
        <v>-</v>
      </c>
      <c r="F2763" s="496"/>
    </row>
    <row r="2764" spans="1:6">
      <c r="A2764" s="397" t="str">
        <f t="shared" si="85"/>
        <v>-</v>
      </c>
      <c r="F2764" s="496"/>
    </row>
    <row r="2765" spans="1:6">
      <c r="A2765" s="397" t="str">
        <f t="shared" si="85"/>
        <v>-</v>
      </c>
      <c r="F2765" s="496"/>
    </row>
    <row r="2766" spans="1:6">
      <c r="A2766" s="397" t="str">
        <f t="shared" si="85"/>
        <v>-</v>
      </c>
      <c r="F2766" s="496"/>
    </row>
    <row r="2767" spans="1:6">
      <c r="A2767" s="397" t="str">
        <f t="shared" si="85"/>
        <v>-</v>
      </c>
      <c r="F2767" s="496"/>
    </row>
    <row r="2768" spans="1:6">
      <c r="A2768" s="397" t="str">
        <f t="shared" si="85"/>
        <v>-</v>
      </c>
      <c r="F2768" s="496"/>
    </row>
    <row r="2769" spans="1:6">
      <c r="A2769" s="397" t="str">
        <f t="shared" si="85"/>
        <v>-</v>
      </c>
      <c r="F2769" s="496"/>
    </row>
    <row r="2770" spans="1:6">
      <c r="A2770" s="397" t="str">
        <f t="shared" si="85"/>
        <v>-</v>
      </c>
      <c r="F2770" s="496"/>
    </row>
    <row r="2771" spans="1:6">
      <c r="A2771" s="397" t="str">
        <f t="shared" si="85"/>
        <v>-</v>
      </c>
      <c r="F2771" s="496"/>
    </row>
    <row r="2772" spans="1:6">
      <c r="A2772" s="397" t="str">
        <f t="shared" si="85"/>
        <v>-</v>
      </c>
      <c r="F2772" s="496"/>
    </row>
    <row r="2773" spans="1:6">
      <c r="A2773" s="397" t="str">
        <f t="shared" si="85"/>
        <v>-</v>
      </c>
      <c r="F2773" s="496"/>
    </row>
    <row r="2774" spans="1:6">
      <c r="A2774" s="397" t="str">
        <f t="shared" si="85"/>
        <v>-</v>
      </c>
      <c r="F2774" s="496"/>
    </row>
    <row r="2775" spans="1:6">
      <c r="A2775" s="397" t="str">
        <f t="shared" si="85"/>
        <v>-</v>
      </c>
      <c r="F2775" s="496"/>
    </row>
    <row r="2776" spans="1:6">
      <c r="A2776" s="397" t="str">
        <f t="shared" si="85"/>
        <v>-</v>
      </c>
      <c r="F2776" s="496"/>
    </row>
    <row r="2777" spans="1:6">
      <c r="A2777" s="397" t="str">
        <f t="shared" si="85"/>
        <v>-</v>
      </c>
      <c r="F2777" s="496"/>
    </row>
    <row r="2778" spans="1:6">
      <c r="A2778" s="397" t="str">
        <f t="shared" si="85"/>
        <v>-</v>
      </c>
      <c r="F2778" s="496"/>
    </row>
    <row r="2779" spans="1:6">
      <c r="A2779" s="397" t="str">
        <f t="shared" si="85"/>
        <v>-</v>
      </c>
      <c r="F2779" s="496"/>
    </row>
    <row r="2780" spans="1:6">
      <c r="A2780" s="397" t="str">
        <f t="shared" si="85"/>
        <v>-</v>
      </c>
      <c r="F2780" s="496"/>
    </row>
    <row r="2781" spans="1:6">
      <c r="A2781" s="397" t="str">
        <f t="shared" si="85"/>
        <v>-</v>
      </c>
      <c r="F2781" s="496"/>
    </row>
    <row r="2782" spans="1:6">
      <c r="A2782" s="397" t="str">
        <f t="shared" si="85"/>
        <v>-</v>
      </c>
      <c r="F2782" s="496"/>
    </row>
    <row r="2783" spans="1:6">
      <c r="A2783" s="397" t="str">
        <f t="shared" si="85"/>
        <v>-</v>
      </c>
      <c r="F2783" s="496"/>
    </row>
    <row r="2784" spans="1:6">
      <c r="A2784" s="397" t="str">
        <f t="shared" si="85"/>
        <v>-</v>
      </c>
      <c r="F2784" s="496"/>
    </row>
    <row r="2785" spans="1:6">
      <c r="A2785" s="397" t="str">
        <f t="shared" si="85"/>
        <v>-</v>
      </c>
      <c r="F2785" s="496"/>
    </row>
    <row r="2786" spans="1:6">
      <c r="A2786" s="397" t="str">
        <f t="shared" si="85"/>
        <v>-</v>
      </c>
      <c r="F2786" s="496"/>
    </row>
    <row r="2787" spans="1:6">
      <c r="A2787" s="397" t="str">
        <f t="shared" si="85"/>
        <v>-</v>
      </c>
      <c r="F2787" s="496"/>
    </row>
    <row r="2788" spans="1:6">
      <c r="A2788" s="397" t="str">
        <f t="shared" si="85"/>
        <v>-</v>
      </c>
      <c r="F2788" s="496"/>
    </row>
    <row r="2789" spans="1:6">
      <c r="A2789" s="397" t="str">
        <f t="shared" si="85"/>
        <v>-</v>
      </c>
      <c r="F2789" s="496"/>
    </row>
    <row r="2790" spans="1:6">
      <c r="A2790" s="397" t="str">
        <f t="shared" si="85"/>
        <v>-</v>
      </c>
      <c r="F2790" s="496"/>
    </row>
    <row r="2791" spans="1:6">
      <c r="A2791" s="397" t="str">
        <f t="shared" si="85"/>
        <v>-</v>
      </c>
      <c r="F2791" s="496"/>
    </row>
    <row r="2792" spans="1:6">
      <c r="A2792" s="397" t="str">
        <f t="shared" si="85"/>
        <v>-</v>
      </c>
      <c r="F2792" s="496"/>
    </row>
    <row r="2793" spans="1:6">
      <c r="A2793" s="397" t="str">
        <f t="shared" si="85"/>
        <v>-</v>
      </c>
      <c r="F2793" s="496"/>
    </row>
    <row r="2794" spans="1:6">
      <c r="A2794" s="397" t="str">
        <f t="shared" si="85"/>
        <v>-</v>
      </c>
      <c r="F2794" s="496"/>
    </row>
    <row r="2795" spans="1:6">
      <c r="A2795" s="397" t="str">
        <f t="shared" si="85"/>
        <v>-</v>
      </c>
      <c r="F2795" s="496"/>
    </row>
    <row r="2796" spans="1:6">
      <c r="A2796" s="397" t="str">
        <f t="shared" si="85"/>
        <v>-</v>
      </c>
      <c r="F2796" s="496"/>
    </row>
    <row r="2797" spans="1:6">
      <c r="A2797" s="397" t="str">
        <f t="shared" si="85"/>
        <v>-</v>
      </c>
      <c r="F2797" s="496"/>
    </row>
    <row r="2798" spans="1:6">
      <c r="A2798" s="397" t="str">
        <f t="shared" si="85"/>
        <v>-</v>
      </c>
      <c r="F2798" s="496"/>
    </row>
    <row r="2799" spans="1:6">
      <c r="A2799" s="397" t="str">
        <f t="shared" si="85"/>
        <v>-</v>
      </c>
      <c r="F2799" s="496"/>
    </row>
    <row r="2800" spans="1:6">
      <c r="A2800" s="397" t="str">
        <f t="shared" si="85"/>
        <v>-</v>
      </c>
      <c r="F2800" s="496"/>
    </row>
    <row r="2801" spans="1:6">
      <c r="A2801" s="397" t="str">
        <f t="shared" si="85"/>
        <v>-</v>
      </c>
      <c r="F2801" s="496"/>
    </row>
    <row r="2802" spans="1:6">
      <c r="A2802" s="397" t="str">
        <f t="shared" si="85"/>
        <v>-</v>
      </c>
      <c r="F2802" s="496"/>
    </row>
    <row r="2803" spans="1:6">
      <c r="A2803" s="397" t="str">
        <f t="shared" si="85"/>
        <v>-</v>
      </c>
      <c r="F2803" s="496"/>
    </row>
    <row r="2804" spans="1:6">
      <c r="A2804" s="397" t="str">
        <f t="shared" si="85"/>
        <v>-</v>
      </c>
      <c r="F2804" s="496"/>
    </row>
    <row r="2805" spans="1:6">
      <c r="A2805" s="397" t="str">
        <f t="shared" si="85"/>
        <v>-</v>
      </c>
      <c r="F2805" s="496"/>
    </row>
    <row r="2806" spans="1:6">
      <c r="A2806" s="397" t="str">
        <f t="shared" si="85"/>
        <v>-</v>
      </c>
      <c r="F2806" s="496"/>
    </row>
    <row r="2807" spans="1:6">
      <c r="A2807" s="397" t="str">
        <f t="shared" ref="A2807:A2870" si="86">B2807&amp;"-"&amp;C2807</f>
        <v>-</v>
      </c>
      <c r="F2807" s="496"/>
    </row>
    <row r="2808" spans="1:6">
      <c r="A2808" s="397" t="str">
        <f t="shared" si="86"/>
        <v>-</v>
      </c>
      <c r="F2808" s="496"/>
    </row>
    <row r="2809" spans="1:6">
      <c r="A2809" s="397" t="str">
        <f t="shared" si="86"/>
        <v>-</v>
      </c>
      <c r="F2809" s="496"/>
    </row>
    <row r="2810" spans="1:6">
      <c r="A2810" s="397" t="str">
        <f t="shared" si="86"/>
        <v>-</v>
      </c>
      <c r="F2810" s="496"/>
    </row>
    <row r="2811" spans="1:6">
      <c r="A2811" s="397" t="str">
        <f t="shared" si="86"/>
        <v>-</v>
      </c>
      <c r="F2811" s="496"/>
    </row>
    <row r="2812" spans="1:6">
      <c r="A2812" s="397" t="str">
        <f t="shared" si="86"/>
        <v>-</v>
      </c>
      <c r="F2812" s="496"/>
    </row>
    <row r="2813" spans="1:6">
      <c r="A2813" s="397" t="str">
        <f t="shared" si="86"/>
        <v>-</v>
      </c>
      <c r="F2813" s="496"/>
    </row>
    <row r="2814" spans="1:6">
      <c r="A2814" s="397" t="str">
        <f t="shared" si="86"/>
        <v>-</v>
      </c>
      <c r="F2814" s="496"/>
    </row>
    <row r="2815" spans="1:6">
      <c r="A2815" s="397" t="str">
        <f t="shared" si="86"/>
        <v>-</v>
      </c>
      <c r="F2815" s="496"/>
    </row>
    <row r="2816" spans="1:6">
      <c r="A2816" s="397" t="str">
        <f t="shared" si="86"/>
        <v>-</v>
      </c>
      <c r="F2816" s="496"/>
    </row>
    <row r="2817" spans="1:6">
      <c r="A2817" s="397" t="str">
        <f t="shared" si="86"/>
        <v>-</v>
      </c>
      <c r="F2817" s="496"/>
    </row>
    <row r="2818" spans="1:6">
      <c r="A2818" s="397" t="str">
        <f t="shared" si="86"/>
        <v>-</v>
      </c>
      <c r="F2818" s="496"/>
    </row>
    <row r="2819" spans="1:6">
      <c r="A2819" s="397" t="str">
        <f t="shared" si="86"/>
        <v>-</v>
      </c>
      <c r="F2819" s="496"/>
    </row>
    <row r="2820" spans="1:6">
      <c r="A2820" s="397" t="str">
        <f t="shared" si="86"/>
        <v>-</v>
      </c>
      <c r="F2820" s="496"/>
    </row>
    <row r="2821" spans="1:6">
      <c r="A2821" s="397" t="str">
        <f t="shared" si="86"/>
        <v>-</v>
      </c>
      <c r="F2821" s="496"/>
    </row>
    <row r="2822" spans="1:6">
      <c r="A2822" s="397" t="str">
        <f t="shared" si="86"/>
        <v>-</v>
      </c>
      <c r="F2822" s="496"/>
    </row>
    <row r="2823" spans="1:6">
      <c r="A2823" s="397" t="str">
        <f t="shared" si="86"/>
        <v>-</v>
      </c>
      <c r="F2823" s="496"/>
    </row>
    <row r="2824" spans="1:6">
      <c r="A2824" s="397" t="str">
        <f t="shared" si="86"/>
        <v>-</v>
      </c>
      <c r="F2824" s="496"/>
    </row>
    <row r="2825" spans="1:6">
      <c r="A2825" s="397" t="str">
        <f t="shared" si="86"/>
        <v>-</v>
      </c>
      <c r="F2825" s="496"/>
    </row>
    <row r="2826" spans="1:6">
      <c r="A2826" s="397" t="str">
        <f t="shared" si="86"/>
        <v>-</v>
      </c>
      <c r="F2826" s="496"/>
    </row>
    <row r="2827" spans="1:6">
      <c r="A2827" s="397" t="str">
        <f t="shared" si="86"/>
        <v>-</v>
      </c>
      <c r="F2827" s="496"/>
    </row>
    <row r="2828" spans="1:6">
      <c r="A2828" s="397" t="str">
        <f t="shared" si="86"/>
        <v>-</v>
      </c>
      <c r="F2828" s="496"/>
    </row>
    <row r="2829" spans="1:6">
      <c r="A2829" s="397" t="str">
        <f t="shared" si="86"/>
        <v>-</v>
      </c>
      <c r="F2829" s="496"/>
    </row>
    <row r="2830" spans="1:6">
      <c r="A2830" s="397" t="str">
        <f t="shared" si="86"/>
        <v>-</v>
      </c>
      <c r="F2830" s="496"/>
    </row>
    <row r="2831" spans="1:6">
      <c r="A2831" s="397" t="str">
        <f t="shared" si="86"/>
        <v>-</v>
      </c>
      <c r="F2831" s="496"/>
    </row>
    <row r="2832" spans="1:6">
      <c r="A2832" s="397" t="str">
        <f t="shared" si="86"/>
        <v>-</v>
      </c>
      <c r="F2832" s="496"/>
    </row>
    <row r="2833" spans="1:6">
      <c r="A2833" s="397" t="str">
        <f t="shared" si="86"/>
        <v>-</v>
      </c>
      <c r="F2833" s="496"/>
    </row>
    <row r="2834" spans="1:6">
      <c r="A2834" s="397" t="str">
        <f t="shared" si="86"/>
        <v>-</v>
      </c>
      <c r="F2834" s="496"/>
    </row>
    <row r="2835" spans="1:6">
      <c r="A2835" s="397" t="str">
        <f t="shared" si="86"/>
        <v>-</v>
      </c>
      <c r="F2835" s="496"/>
    </row>
    <row r="2836" spans="1:6">
      <c r="A2836" s="397" t="str">
        <f t="shared" si="86"/>
        <v>-</v>
      </c>
      <c r="F2836" s="496"/>
    </row>
    <row r="2837" spans="1:6">
      <c r="A2837" s="397" t="str">
        <f t="shared" si="86"/>
        <v>-</v>
      </c>
      <c r="F2837" s="496"/>
    </row>
    <row r="2838" spans="1:6">
      <c r="A2838" s="397" t="str">
        <f t="shared" si="86"/>
        <v>-</v>
      </c>
      <c r="F2838" s="496"/>
    </row>
    <row r="2839" spans="1:6">
      <c r="A2839" s="397" t="str">
        <f t="shared" si="86"/>
        <v>-</v>
      </c>
      <c r="F2839" s="496"/>
    </row>
    <row r="2840" spans="1:6">
      <c r="A2840" s="397" t="str">
        <f t="shared" si="86"/>
        <v>-</v>
      </c>
      <c r="F2840" s="496"/>
    </row>
    <row r="2841" spans="1:6">
      <c r="A2841" s="397" t="str">
        <f t="shared" si="86"/>
        <v>-</v>
      </c>
      <c r="F2841" s="496"/>
    </row>
    <row r="2842" spans="1:6">
      <c r="A2842" s="397" t="str">
        <f t="shared" si="86"/>
        <v>-</v>
      </c>
      <c r="F2842" s="496"/>
    </row>
    <row r="2843" spans="1:6">
      <c r="A2843" s="397" t="str">
        <f t="shared" si="86"/>
        <v>-</v>
      </c>
      <c r="F2843" s="496"/>
    </row>
    <row r="2844" spans="1:6">
      <c r="A2844" s="397" t="str">
        <f t="shared" si="86"/>
        <v>-</v>
      </c>
      <c r="F2844" s="496"/>
    </row>
    <row r="2845" spans="1:6">
      <c r="A2845" s="397" t="str">
        <f t="shared" si="86"/>
        <v>-</v>
      </c>
      <c r="F2845" s="496"/>
    </row>
    <row r="2846" spans="1:6">
      <c r="A2846" s="397" t="str">
        <f t="shared" si="86"/>
        <v>-</v>
      </c>
      <c r="F2846" s="496"/>
    </row>
    <row r="2847" spans="1:6">
      <c r="A2847" s="397" t="str">
        <f t="shared" si="86"/>
        <v>-</v>
      </c>
      <c r="F2847" s="496"/>
    </row>
    <row r="2848" spans="1:6">
      <c r="A2848" s="397" t="str">
        <f t="shared" si="86"/>
        <v>-</v>
      </c>
      <c r="F2848" s="496"/>
    </row>
    <row r="2849" spans="1:6">
      <c r="A2849" s="397" t="str">
        <f t="shared" si="86"/>
        <v>-</v>
      </c>
      <c r="F2849" s="496"/>
    </row>
    <row r="2850" spans="1:6">
      <c r="A2850" s="397" t="str">
        <f t="shared" si="86"/>
        <v>-</v>
      </c>
      <c r="F2850" s="496"/>
    </row>
    <row r="2851" spans="1:6">
      <c r="A2851" s="397" t="str">
        <f t="shared" si="86"/>
        <v>-</v>
      </c>
      <c r="F2851" s="496"/>
    </row>
    <row r="2852" spans="1:6">
      <c r="A2852" s="397" t="str">
        <f t="shared" si="86"/>
        <v>-</v>
      </c>
      <c r="F2852" s="496"/>
    </row>
    <row r="2853" spans="1:6">
      <c r="A2853" s="397" t="str">
        <f t="shared" si="86"/>
        <v>-</v>
      </c>
      <c r="F2853" s="496"/>
    </row>
    <row r="2854" spans="1:6">
      <c r="A2854" s="397" t="str">
        <f t="shared" si="86"/>
        <v>-</v>
      </c>
      <c r="F2854" s="496"/>
    </row>
    <row r="2855" spans="1:6">
      <c r="A2855" s="397" t="str">
        <f t="shared" si="86"/>
        <v>-</v>
      </c>
      <c r="F2855" s="496"/>
    </row>
    <row r="2856" spans="1:6">
      <c r="A2856" s="397" t="str">
        <f t="shared" si="86"/>
        <v>-</v>
      </c>
      <c r="F2856" s="496"/>
    </row>
    <row r="2857" spans="1:6">
      <c r="A2857" s="397" t="str">
        <f t="shared" si="86"/>
        <v>-</v>
      </c>
      <c r="F2857" s="496"/>
    </row>
    <row r="2858" spans="1:6">
      <c r="A2858" s="397" t="str">
        <f t="shared" si="86"/>
        <v>-</v>
      </c>
      <c r="F2858" s="496"/>
    </row>
    <row r="2859" spans="1:6">
      <c r="A2859" s="397" t="str">
        <f t="shared" si="86"/>
        <v>-</v>
      </c>
      <c r="F2859" s="496"/>
    </row>
    <row r="2860" spans="1:6">
      <c r="A2860" s="397" t="str">
        <f t="shared" si="86"/>
        <v>-</v>
      </c>
      <c r="F2860" s="496"/>
    </row>
    <row r="2861" spans="1:6">
      <c r="A2861" s="397" t="str">
        <f t="shared" si="86"/>
        <v>-</v>
      </c>
      <c r="F2861" s="496"/>
    </row>
    <row r="2862" spans="1:6">
      <c r="A2862" s="397" t="str">
        <f t="shared" si="86"/>
        <v>-</v>
      </c>
      <c r="F2862" s="496"/>
    </row>
    <row r="2863" spans="1:6">
      <c r="A2863" s="397" t="str">
        <f t="shared" si="86"/>
        <v>-</v>
      </c>
      <c r="F2863" s="496"/>
    </row>
    <row r="2864" spans="1:6">
      <c r="A2864" s="397" t="str">
        <f t="shared" si="86"/>
        <v>-</v>
      </c>
      <c r="F2864" s="496"/>
    </row>
    <row r="2865" spans="1:6">
      <c r="A2865" s="397" t="str">
        <f t="shared" si="86"/>
        <v>-</v>
      </c>
      <c r="F2865" s="496"/>
    </row>
    <row r="2866" spans="1:6">
      <c r="A2866" s="397" t="str">
        <f t="shared" si="86"/>
        <v>-</v>
      </c>
      <c r="F2866" s="496"/>
    </row>
    <row r="2867" spans="1:6">
      <c r="A2867" s="397" t="str">
        <f t="shared" si="86"/>
        <v>-</v>
      </c>
      <c r="F2867" s="496"/>
    </row>
    <row r="2868" spans="1:6">
      <c r="A2868" s="397" t="str">
        <f t="shared" si="86"/>
        <v>-</v>
      </c>
      <c r="F2868" s="496"/>
    </row>
    <row r="2869" spans="1:6">
      <c r="A2869" s="397" t="str">
        <f t="shared" si="86"/>
        <v>-</v>
      </c>
      <c r="F2869" s="496"/>
    </row>
    <row r="2870" spans="1:6">
      <c r="A2870" s="397" t="str">
        <f t="shared" si="86"/>
        <v>-</v>
      </c>
      <c r="F2870" s="496"/>
    </row>
    <row r="2871" spans="1:6">
      <c r="A2871" s="397" t="str">
        <f t="shared" ref="A2871:A2895" si="87">B2871&amp;"-"&amp;C2871</f>
        <v>-</v>
      </c>
      <c r="F2871" s="496"/>
    </row>
    <row r="2872" spans="1:6">
      <c r="A2872" s="397" t="str">
        <f t="shared" si="87"/>
        <v>-</v>
      </c>
      <c r="F2872" s="496"/>
    </row>
    <row r="2873" spans="1:6">
      <c r="A2873" s="397" t="str">
        <f t="shared" si="87"/>
        <v>-</v>
      </c>
      <c r="F2873" s="496"/>
    </row>
    <row r="2874" spans="1:6">
      <c r="A2874" s="397" t="str">
        <f t="shared" si="87"/>
        <v>-</v>
      </c>
      <c r="F2874" s="496"/>
    </row>
    <row r="2875" spans="1:6">
      <c r="A2875" s="397" t="str">
        <f t="shared" si="87"/>
        <v>-</v>
      </c>
      <c r="F2875" s="496"/>
    </row>
    <row r="2876" spans="1:6">
      <c r="A2876" s="397" t="str">
        <f t="shared" si="87"/>
        <v>-</v>
      </c>
      <c r="F2876" s="496"/>
    </row>
    <row r="2877" spans="1:6">
      <c r="A2877" s="397" t="str">
        <f t="shared" si="87"/>
        <v>-</v>
      </c>
      <c r="F2877" s="496"/>
    </row>
    <row r="2878" spans="1:6">
      <c r="A2878" s="397" t="str">
        <f t="shared" si="87"/>
        <v>-</v>
      </c>
      <c r="F2878" s="496"/>
    </row>
    <row r="2879" spans="1:6">
      <c r="A2879" s="397" t="str">
        <f t="shared" si="87"/>
        <v>-</v>
      </c>
      <c r="F2879" s="496"/>
    </row>
    <row r="2880" spans="1:6">
      <c r="A2880" s="397" t="str">
        <f t="shared" si="87"/>
        <v>-</v>
      </c>
      <c r="F2880" s="496"/>
    </row>
    <row r="2881" spans="1:6">
      <c r="A2881" s="397" t="str">
        <f t="shared" si="87"/>
        <v>-</v>
      </c>
      <c r="F2881" s="496"/>
    </row>
    <row r="2882" spans="1:6">
      <c r="A2882" s="397" t="str">
        <f t="shared" si="87"/>
        <v>-</v>
      </c>
      <c r="F2882" s="496"/>
    </row>
    <row r="2883" spans="1:6">
      <c r="A2883" s="397" t="str">
        <f t="shared" si="87"/>
        <v>-</v>
      </c>
      <c r="F2883" s="496"/>
    </row>
    <row r="2884" spans="1:6">
      <c r="A2884" s="397" t="str">
        <f t="shared" si="87"/>
        <v>-</v>
      </c>
      <c r="F2884" s="496"/>
    </row>
    <row r="2885" spans="1:6">
      <c r="A2885" s="397" t="str">
        <f t="shared" si="87"/>
        <v>-</v>
      </c>
      <c r="F2885" s="496"/>
    </row>
    <row r="2886" spans="1:6">
      <c r="A2886" s="397" t="str">
        <f t="shared" si="87"/>
        <v>-</v>
      </c>
      <c r="F2886" s="496"/>
    </row>
    <row r="2887" spans="1:6">
      <c r="A2887" s="397" t="str">
        <f t="shared" si="87"/>
        <v>-</v>
      </c>
      <c r="F2887" s="496"/>
    </row>
    <row r="2888" spans="1:6">
      <c r="A2888" s="397" t="str">
        <f t="shared" si="87"/>
        <v>-</v>
      </c>
      <c r="F2888" s="496"/>
    </row>
    <row r="2889" spans="1:6">
      <c r="A2889" s="397" t="str">
        <f t="shared" si="87"/>
        <v>-</v>
      </c>
      <c r="F2889" s="496"/>
    </row>
    <row r="2890" spans="1:6">
      <c r="A2890" s="397" t="str">
        <f t="shared" si="87"/>
        <v>-</v>
      </c>
      <c r="F2890" s="496"/>
    </row>
    <row r="2891" spans="1:6">
      <c r="A2891" s="397" t="str">
        <f t="shared" si="87"/>
        <v>-</v>
      </c>
      <c r="F2891" s="496"/>
    </row>
    <row r="2892" spans="1:6">
      <c r="A2892" s="397" t="str">
        <f t="shared" si="87"/>
        <v>-</v>
      </c>
      <c r="F2892" s="496"/>
    </row>
    <row r="2893" spans="1:6">
      <c r="A2893" s="397" t="str">
        <f t="shared" si="87"/>
        <v>-</v>
      </c>
      <c r="F2893" s="496"/>
    </row>
    <row r="2894" spans="1:6">
      <c r="A2894" s="397" t="str">
        <f t="shared" si="87"/>
        <v>-</v>
      </c>
      <c r="F2894" s="496"/>
    </row>
    <row r="2895" spans="1:6">
      <c r="A2895" s="397" t="str">
        <f t="shared" si="87"/>
        <v>-</v>
      </c>
      <c r="F2895" s="496"/>
    </row>
  </sheetData>
  <hyperlinks>
    <hyperlink ref="C3" r:id="rId1" xr:uid="{20890FA0-615D-48D6-9D5D-2B0F4C308105}"/>
    <hyperlink ref="I3" r:id="rId2" xr:uid="{50452CC9-1BFE-4E54-825B-F7C40ECF96D3}"/>
  </hyperlinks>
  <pageMargins left="0.7" right="0.7" top="0.75" bottom="0.75" header="0.3" footer="0.3"/>
  <customProperties>
    <customPr name="_pios_id" r:id="rId3"/>
  </customProperties>
  <legacy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7">
    <tabColor rgb="FFFFFF00"/>
  </sheetPr>
  <dimension ref="B1:AE175"/>
  <sheetViews>
    <sheetView showGridLines="0" workbookViewId="0">
      <pane xSplit="4" ySplit="5" topLeftCell="E110" activePane="bottomRight" state="frozen"/>
      <selection pane="topRight" activeCell="E1" sqref="E1"/>
      <selection pane="bottomLeft" activeCell="A6" sqref="A6"/>
      <selection pane="bottomRight" activeCell="C118" sqref="C118"/>
    </sheetView>
  </sheetViews>
  <sheetFormatPr defaultColWidth="9.140625" defaultRowHeight="15" outlineLevelCol="1"/>
  <cols>
    <col min="1" max="1" width="3.7109375" customWidth="1"/>
    <col min="2" max="4" width="12.7109375" customWidth="1"/>
    <col min="5" max="5" width="10.7109375" customWidth="1"/>
    <col min="6" max="6" width="14.5703125" customWidth="1"/>
    <col min="7" max="7" width="10.7109375" customWidth="1"/>
    <col min="8" max="8" width="14.5703125" customWidth="1"/>
    <col min="9" max="9" width="13.7109375" customWidth="1"/>
    <col min="10" max="10" width="7.140625" customWidth="1"/>
    <col min="11" max="11" width="17.140625" customWidth="1"/>
    <col min="12" max="12" width="10.7109375" customWidth="1"/>
    <col min="13" max="14" width="14.85546875" customWidth="1"/>
    <col min="15" max="15" width="3.7109375" customWidth="1"/>
    <col min="21" max="21" width="9.5703125" customWidth="1"/>
    <col min="22" max="22" width="10.28515625" customWidth="1"/>
    <col min="23" max="23" width="15.140625" customWidth="1" outlineLevel="1"/>
    <col min="25" max="26" width="9.28515625" customWidth="1"/>
    <col min="27" max="28" width="11.28515625" customWidth="1"/>
  </cols>
  <sheetData>
    <row r="1" spans="2:23" ht="21">
      <c r="B1" s="361" t="s">
        <v>109</v>
      </c>
      <c r="M1" s="27"/>
    </row>
    <row r="2" spans="2:23" ht="16.5">
      <c r="B2" s="366" t="s">
        <v>110</v>
      </c>
      <c r="C2" s="366" t="str">
        <f>'FACTORY COST'!G2</f>
        <v>Jan</v>
      </c>
      <c r="E2" s="492"/>
    </row>
    <row r="3" spans="2:23" ht="15.75" thickBot="1"/>
    <row r="4" spans="2:23" ht="15.75" thickBot="1">
      <c r="E4" s="538" t="s">
        <v>111</v>
      </c>
      <c r="F4" s="539"/>
      <c r="G4" s="538" t="s">
        <v>490</v>
      </c>
      <c r="H4" s="539"/>
      <c r="I4" s="540" t="s">
        <v>491</v>
      </c>
      <c r="J4" s="539"/>
      <c r="K4" s="538" t="s">
        <v>547</v>
      </c>
      <c r="L4" s="540"/>
      <c r="M4" s="539"/>
      <c r="N4" s="401" t="s">
        <v>492</v>
      </c>
    </row>
    <row r="5" spans="2:23" ht="30">
      <c r="B5" s="402" t="s">
        <v>112</v>
      </c>
      <c r="C5" s="403" t="s">
        <v>107</v>
      </c>
      <c r="D5" s="404" t="s">
        <v>27</v>
      </c>
      <c r="E5" s="405" t="s">
        <v>548</v>
      </c>
      <c r="F5" s="406" t="s">
        <v>144</v>
      </c>
      <c r="G5" s="405" t="s">
        <v>548</v>
      </c>
      <c r="H5" s="406" t="s">
        <v>144</v>
      </c>
      <c r="I5" s="406" t="s">
        <v>323</v>
      </c>
      <c r="J5" s="406" t="s">
        <v>129</v>
      </c>
      <c r="K5" s="407" t="s">
        <v>546</v>
      </c>
      <c r="L5" s="406" t="s">
        <v>108</v>
      </c>
      <c r="M5" s="406" t="s">
        <v>144</v>
      </c>
      <c r="N5" s="406" t="s">
        <v>323</v>
      </c>
    </row>
    <row r="6" spans="2:23">
      <c r="B6" s="408" t="s">
        <v>387</v>
      </c>
      <c r="C6" s="409" t="str">
        <f>VLOOKUP(B6,'MFG COST SUMMARY'!C:E,3,0)</f>
        <v>GSGVA</v>
      </c>
      <c r="D6" s="85">
        <v>433</v>
      </c>
      <c r="E6" s="24">
        <v>12.295983745030506</v>
      </c>
      <c r="F6" s="25">
        <f t="shared" ref="F6:F37" si="0">E6*D6</f>
        <v>5324.1609615982088</v>
      </c>
      <c r="G6" s="24">
        <v>9.7010120932009976</v>
      </c>
      <c r="H6" s="26">
        <f t="shared" ref="H6:H37" si="1">+D6*G6</f>
        <v>4200.538236356032</v>
      </c>
      <c r="I6" s="26">
        <f t="shared" ref="I6:I37" si="2">H6-F6</f>
        <v>-1123.6227252421768</v>
      </c>
      <c r="J6" s="154">
        <f t="shared" ref="J6:J37" si="3">+H6/F6</f>
        <v>0.78895778445719877</v>
      </c>
      <c r="K6" s="244">
        <f>IFERROR(VLOOKUP($B6,'Tire Weight'!$I:$L,4,0),1)</f>
        <v>1.0007392848771157</v>
      </c>
      <c r="L6" s="26">
        <f t="shared" ref="L6:L37" si="4">G6*K6</f>
        <v>9.7081839047342182</v>
      </c>
      <c r="M6" s="26">
        <f t="shared" ref="M6:M37" si="5">+H6*K6</f>
        <v>4203.6436307499162</v>
      </c>
      <c r="N6" s="26">
        <f t="shared" ref="N6:N37" si="6">M6-H6</f>
        <v>3.1053943938841257</v>
      </c>
      <c r="O6" s="27"/>
      <c r="V6" s="27"/>
      <c r="W6" s="109"/>
    </row>
    <row r="7" spans="2:23">
      <c r="B7" s="408" t="s">
        <v>52</v>
      </c>
      <c r="C7" s="409" t="str">
        <f>VLOOKUP(B7,'MFG COST SUMMARY'!C:E,3,0)</f>
        <v>P2PVA</v>
      </c>
      <c r="D7" s="85">
        <v>564</v>
      </c>
      <c r="E7" s="24">
        <v>15.901027243831043</v>
      </c>
      <c r="F7" s="25">
        <f t="shared" si="0"/>
        <v>8968.1793655207093</v>
      </c>
      <c r="G7" s="24">
        <v>12.686868426854899</v>
      </c>
      <c r="H7" s="26">
        <f t="shared" si="1"/>
        <v>7155.3937927461629</v>
      </c>
      <c r="I7" s="26">
        <f t="shared" si="2"/>
        <v>-1812.7855727745464</v>
      </c>
      <c r="J7" s="154">
        <f t="shared" si="3"/>
        <v>0.79786470599104786</v>
      </c>
      <c r="K7" s="244">
        <f>IFERROR(VLOOKUP($B7,'Tire Weight'!$I:$L,4,0),1)</f>
        <v>0.99890657437488095</v>
      </c>
      <c r="L7" s="26">
        <f t="shared" si="4"/>
        <v>12.672996279814461</v>
      </c>
      <c r="M7" s="155">
        <f t="shared" si="5"/>
        <v>7147.5699018153564</v>
      </c>
      <c r="N7" s="26">
        <f t="shared" si="6"/>
        <v>-7.8238909308065558</v>
      </c>
      <c r="O7" s="27"/>
      <c r="V7" s="27"/>
      <c r="W7" s="109"/>
    </row>
    <row r="8" spans="2:23">
      <c r="B8" s="408" t="s">
        <v>84</v>
      </c>
      <c r="C8" s="409" t="str">
        <f>VLOOKUP(B8,'MFG COST SUMMARY'!C:E,3,0)</f>
        <v>BJTVA</v>
      </c>
      <c r="D8" s="85">
        <v>2</v>
      </c>
      <c r="E8" s="24">
        <v>23.539557211769431</v>
      </c>
      <c r="F8" s="25">
        <f t="shared" si="0"/>
        <v>47.079114423538861</v>
      </c>
      <c r="G8" s="24">
        <v>18.906536270116618</v>
      </c>
      <c r="H8" s="26">
        <f t="shared" si="1"/>
        <v>37.813072540233236</v>
      </c>
      <c r="I8" s="26">
        <f t="shared" si="2"/>
        <v>-9.2660418833056255</v>
      </c>
      <c r="J8" s="154">
        <f t="shared" si="3"/>
        <v>0.80318147448685351</v>
      </c>
      <c r="K8" s="244">
        <f>IFERROR(VLOOKUP($B8,'Tire Weight'!$I:$L,4,0),1)</f>
        <v>0.98959060826765088</v>
      </c>
      <c r="L8" s="26">
        <f t="shared" si="4"/>
        <v>18.709730727779107</v>
      </c>
      <c r="M8" s="155">
        <f t="shared" si="5"/>
        <v>37.419461455558213</v>
      </c>
      <c r="N8" s="26">
        <f t="shared" si="6"/>
        <v>-0.39361108467502248</v>
      </c>
      <c r="O8" s="27"/>
      <c r="V8" s="27"/>
      <c r="W8" s="109"/>
    </row>
    <row r="9" spans="2:23">
      <c r="B9" s="408" t="s">
        <v>61</v>
      </c>
      <c r="C9" s="409" t="str">
        <f>VLOOKUP(B9,'MFG COST SUMMARY'!C:E,3,0)</f>
        <v>VVVVA</v>
      </c>
      <c r="D9" s="85">
        <v>328</v>
      </c>
      <c r="E9" s="24">
        <v>16.942699030252978</v>
      </c>
      <c r="F9" s="25">
        <f t="shared" si="0"/>
        <v>5557.2052819229766</v>
      </c>
      <c r="G9" s="24">
        <v>13.531536847436074</v>
      </c>
      <c r="H9" s="26">
        <f t="shared" si="1"/>
        <v>4438.3440859590328</v>
      </c>
      <c r="I9" s="26">
        <f t="shared" si="2"/>
        <v>-1118.8611959639438</v>
      </c>
      <c r="J9" s="154">
        <f t="shared" si="3"/>
        <v>0.79866477137285441</v>
      </c>
      <c r="K9" s="244">
        <f>IFERROR(VLOOKUP($B9,'Tire Weight'!$I:$L,4,0),1)</f>
        <v>1.005056092271688</v>
      </c>
      <c r="L9" s="26">
        <f t="shared" si="4"/>
        <v>13.599953546314458</v>
      </c>
      <c r="M9" s="155">
        <f t="shared" si="5"/>
        <v>4460.7847631911427</v>
      </c>
      <c r="N9" s="26">
        <f t="shared" si="6"/>
        <v>22.44067723210992</v>
      </c>
      <c r="O9" s="27"/>
      <c r="V9" s="27"/>
      <c r="W9" s="109"/>
    </row>
    <row r="10" spans="2:23">
      <c r="B10" s="408" t="s">
        <v>330</v>
      </c>
      <c r="C10" s="409" t="str">
        <f>VLOOKUP(B10,'MFG COST SUMMARY'!C:E,3,0)</f>
        <v>TZNVA</v>
      </c>
      <c r="D10" s="85">
        <v>1</v>
      </c>
      <c r="E10" s="24">
        <v>21.690230572389243</v>
      </c>
      <c r="F10" s="25">
        <f t="shared" si="0"/>
        <v>21.690230572389243</v>
      </c>
      <c r="G10" s="24">
        <v>17.394403497039271</v>
      </c>
      <c r="H10" s="26">
        <f t="shared" si="1"/>
        <v>17.394403497039271</v>
      </c>
      <c r="I10" s="26">
        <f t="shared" si="2"/>
        <v>-4.2958270753499725</v>
      </c>
      <c r="J10" s="154">
        <f t="shared" si="3"/>
        <v>0.80194645414150734</v>
      </c>
      <c r="K10" s="244">
        <f>IFERROR(VLOOKUP($B10,'Tire Weight'!$I:$L,4,0),1)</f>
        <v>1.0016103350015346</v>
      </c>
      <c r="L10" s="26">
        <f t="shared" si="4"/>
        <v>17.422414313821371</v>
      </c>
      <c r="M10" s="155">
        <f t="shared" si="5"/>
        <v>17.422414313821371</v>
      </c>
      <c r="N10" s="26">
        <f t="shared" si="6"/>
        <v>2.8010816782099823E-2</v>
      </c>
      <c r="O10" s="27"/>
      <c r="V10" s="27"/>
      <c r="W10" s="109"/>
    </row>
    <row r="11" spans="2:23">
      <c r="B11" s="408" t="s">
        <v>58</v>
      </c>
      <c r="C11" s="409" t="str">
        <f>VLOOKUP(B11,'MFG COST SUMMARY'!C:E,3,0)</f>
        <v>3MCVA</v>
      </c>
      <c r="D11" s="85">
        <v>423</v>
      </c>
      <c r="E11" s="24">
        <v>19.017484076424726</v>
      </c>
      <c r="F11" s="25">
        <f t="shared" si="0"/>
        <v>8044.395764327659</v>
      </c>
      <c r="G11" s="24">
        <v>15.220952706734524</v>
      </c>
      <c r="H11" s="26">
        <f t="shared" si="1"/>
        <v>6438.4629949487035</v>
      </c>
      <c r="I11" s="26">
        <f t="shared" si="2"/>
        <v>-1605.9327693789555</v>
      </c>
      <c r="J11" s="154">
        <f t="shared" si="3"/>
        <v>0.80036626535701316</v>
      </c>
      <c r="K11" s="244">
        <f>IFERROR(VLOOKUP($B11,'Tire Weight'!$I:$L,4,0),1)</f>
        <v>1.0052784839735533</v>
      </c>
      <c r="L11" s="26">
        <f t="shared" si="4"/>
        <v>15.301296261659235</v>
      </c>
      <c r="M11" s="155">
        <f t="shared" si="5"/>
        <v>6472.4483186818561</v>
      </c>
      <c r="N11" s="26">
        <f t="shared" si="6"/>
        <v>33.985323733152654</v>
      </c>
      <c r="O11" s="27"/>
      <c r="V11" s="27"/>
      <c r="W11" s="109"/>
    </row>
    <row r="12" spans="2:23">
      <c r="B12" s="408" t="s">
        <v>261</v>
      </c>
      <c r="C12" s="409" t="str">
        <f>VLOOKUP(B12,'MFG COST SUMMARY'!C:E,3,0)</f>
        <v>EHSVA</v>
      </c>
      <c r="D12" s="85">
        <v>4421</v>
      </c>
      <c r="E12" s="24">
        <v>17.370006183933199</v>
      </c>
      <c r="F12" s="25">
        <f t="shared" si="0"/>
        <v>76792.797339168668</v>
      </c>
      <c r="G12" s="24">
        <v>13.706193432284838</v>
      </c>
      <c r="H12" s="26">
        <f t="shared" si="1"/>
        <v>60595.081164131268</v>
      </c>
      <c r="I12" s="26">
        <f t="shared" si="2"/>
        <v>-16197.7161750374</v>
      </c>
      <c r="J12" s="154">
        <f t="shared" si="3"/>
        <v>0.78907245553906069</v>
      </c>
      <c r="K12" s="244">
        <f>IFERROR(VLOOKUP($B12,'Tire Weight'!$I:$L,4,0),1)</f>
        <v>1.0010138169102771</v>
      </c>
      <c r="L12" s="26">
        <f t="shared" si="4"/>
        <v>13.720089002962018</v>
      </c>
      <c r="M12" s="155">
        <f t="shared" si="5"/>
        <v>60656.513482095077</v>
      </c>
      <c r="N12" s="26">
        <f t="shared" si="6"/>
        <v>61.4323179638086</v>
      </c>
      <c r="O12" s="27"/>
      <c r="V12" s="27"/>
      <c r="W12" s="109"/>
    </row>
    <row r="13" spans="2:23">
      <c r="B13" s="408" t="s">
        <v>342</v>
      </c>
      <c r="C13" s="409" t="str">
        <f>VLOOKUP(B13,'MFG COST SUMMARY'!C:E,3,0)</f>
        <v>JZTVA</v>
      </c>
      <c r="D13" s="85">
        <v>103</v>
      </c>
      <c r="E13" s="24">
        <v>17.219285213236265</v>
      </c>
      <c r="F13" s="25">
        <f t="shared" si="0"/>
        <v>1773.5863769633354</v>
      </c>
      <c r="G13" s="24">
        <v>13.794321473471685</v>
      </c>
      <c r="H13" s="26">
        <f t="shared" si="1"/>
        <v>1420.8151117675836</v>
      </c>
      <c r="I13" s="26">
        <f t="shared" si="2"/>
        <v>-352.77126519575177</v>
      </c>
      <c r="J13" s="154">
        <f t="shared" si="3"/>
        <v>0.80109721760506936</v>
      </c>
      <c r="K13" s="244">
        <f>IFERROR(VLOOKUP($B13,'Tire Weight'!$I:$L,4,0),1)</f>
        <v>0.99869811752936821</v>
      </c>
      <c r="L13" s="26">
        <f t="shared" si="4"/>
        <v>13.776362888151112</v>
      </c>
      <c r="M13" s="155">
        <f t="shared" si="5"/>
        <v>1418.9653774795647</v>
      </c>
      <c r="N13" s="26">
        <f t="shared" si="6"/>
        <v>-1.849734288018908</v>
      </c>
      <c r="O13" s="27"/>
      <c r="V13" s="27"/>
      <c r="W13" s="109"/>
    </row>
    <row r="14" spans="2:23">
      <c r="B14" s="408" t="s">
        <v>63</v>
      </c>
      <c r="C14" s="409" t="str">
        <f>VLOOKUP(B14,'MFG COST SUMMARY'!C:E,3,0)</f>
        <v>YYYVA</v>
      </c>
      <c r="D14" s="85">
        <v>913</v>
      </c>
      <c r="E14" s="24">
        <v>19.332254196923799</v>
      </c>
      <c r="F14" s="25">
        <f t="shared" si="0"/>
        <v>17650.348081791428</v>
      </c>
      <c r="G14" s="24">
        <v>15.467714667958491</v>
      </c>
      <c r="H14" s="26">
        <f t="shared" si="1"/>
        <v>14122.023491846103</v>
      </c>
      <c r="I14" s="26">
        <f t="shared" si="2"/>
        <v>-3528.324589945325</v>
      </c>
      <c r="J14" s="154">
        <f t="shared" si="3"/>
        <v>0.80009886640223038</v>
      </c>
      <c r="K14" s="244">
        <f>IFERROR(VLOOKUP($B14,'Tire Weight'!$I:$L,4,0),1)</f>
        <v>0.98759319664491685</v>
      </c>
      <c r="L14" s="26">
        <f t="shared" si="4"/>
        <v>15.275809773720594</v>
      </c>
      <c r="M14" s="155">
        <f t="shared" si="5"/>
        <v>13946.814323406903</v>
      </c>
      <c r="N14" s="26">
        <f t="shared" si="6"/>
        <v>-175.20916843919986</v>
      </c>
      <c r="O14" s="27"/>
      <c r="V14" s="27"/>
      <c r="W14" s="109"/>
    </row>
    <row r="15" spans="2:23">
      <c r="B15" s="408" t="s">
        <v>75</v>
      </c>
      <c r="C15" s="409" t="str">
        <f>VLOOKUP(B15,'MFG COST SUMMARY'!C:E,3,0)</f>
        <v>F91VA</v>
      </c>
      <c r="D15" s="85">
        <v>1081</v>
      </c>
      <c r="E15" s="24">
        <v>24.7136180451716</v>
      </c>
      <c r="F15" s="25">
        <f t="shared" si="0"/>
        <v>26715.421106830501</v>
      </c>
      <c r="G15" s="24">
        <v>19.750077889091287</v>
      </c>
      <c r="H15" s="26">
        <f t="shared" si="1"/>
        <v>21349.834198107681</v>
      </c>
      <c r="I15" s="26">
        <f t="shared" si="2"/>
        <v>-5365.5869087228202</v>
      </c>
      <c r="J15" s="154">
        <f t="shared" si="3"/>
        <v>0.79915768921377894</v>
      </c>
      <c r="K15" s="244">
        <f>IFERROR(VLOOKUP($B15,'Tire Weight'!$I:$L,4,0),1)</f>
        <v>1.0053371728301184</v>
      </c>
      <c r="L15" s="26">
        <f t="shared" si="4"/>
        <v>19.855487468193665</v>
      </c>
      <c r="M15" s="155">
        <f t="shared" si="5"/>
        <v>21463.781953117352</v>
      </c>
      <c r="N15" s="26">
        <f t="shared" si="6"/>
        <v>113.9477550096708</v>
      </c>
      <c r="O15" s="27"/>
      <c r="V15" s="27"/>
      <c r="W15" s="109"/>
    </row>
    <row r="16" spans="2:23">
      <c r="B16" s="408" t="s">
        <v>177</v>
      </c>
      <c r="C16" s="409" t="str">
        <f>VLOOKUP(B16,'MFG COST SUMMARY'!C:E,3,0)</f>
        <v>VGBVA</v>
      </c>
      <c r="D16" s="85">
        <v>1</v>
      </c>
      <c r="E16" s="24">
        <v>26.0278670556687</v>
      </c>
      <c r="F16" s="25">
        <f t="shared" si="0"/>
        <v>26.0278670556687</v>
      </c>
      <c r="G16" s="24">
        <v>20.514742675616997</v>
      </c>
      <c r="H16" s="26">
        <f t="shared" si="1"/>
        <v>20.514742675616997</v>
      </c>
      <c r="I16" s="26">
        <f t="shared" si="2"/>
        <v>-5.5131243800517034</v>
      </c>
      <c r="J16" s="154">
        <f t="shared" si="3"/>
        <v>0.78818378131945388</v>
      </c>
      <c r="K16" s="244">
        <f>IFERROR(VLOOKUP($B16,'Tire Weight'!$I:$L,4,0),1)</f>
        <v>0.98932835229945948</v>
      </c>
      <c r="L16" s="26">
        <f t="shared" si="4"/>
        <v>20.295816569115569</v>
      </c>
      <c r="M16" s="155">
        <f t="shared" si="5"/>
        <v>20.295816569115569</v>
      </c>
      <c r="N16" s="26">
        <f t="shared" si="6"/>
        <v>-0.21892610650142785</v>
      </c>
      <c r="O16" s="27"/>
      <c r="V16" s="27"/>
      <c r="W16" s="109"/>
    </row>
    <row r="17" spans="2:23">
      <c r="B17" s="408" t="s">
        <v>138</v>
      </c>
      <c r="C17" s="409" t="str">
        <f>VLOOKUP(B17,'MFG COST SUMMARY'!C:E,3,0)</f>
        <v>YSLVA</v>
      </c>
      <c r="D17" s="85">
        <v>465</v>
      </c>
      <c r="E17" s="24">
        <v>19.014857321042157</v>
      </c>
      <c r="F17" s="25">
        <f t="shared" si="0"/>
        <v>8841.9086542846035</v>
      </c>
      <c r="G17" s="24">
        <v>15.174665130639164</v>
      </c>
      <c r="H17" s="26">
        <f t="shared" si="1"/>
        <v>7056.2192857472119</v>
      </c>
      <c r="I17" s="26">
        <f t="shared" si="2"/>
        <v>-1785.6893685373916</v>
      </c>
      <c r="J17" s="154">
        <f t="shared" si="3"/>
        <v>0.79804254507061845</v>
      </c>
      <c r="K17" s="244">
        <f>IFERROR(VLOOKUP($B17,'Tire Weight'!$I:$L,4,0),1)</f>
        <v>0.99162369461796263</v>
      </c>
      <c r="L17" s="26">
        <f t="shared" si="4"/>
        <v>15.047557501434778</v>
      </c>
      <c r="M17" s="155">
        <f t="shared" si="5"/>
        <v>6997.1142381671716</v>
      </c>
      <c r="N17" s="26">
        <f t="shared" si="6"/>
        <v>-59.105047580040264</v>
      </c>
      <c r="O17" s="27"/>
      <c r="V17" s="27"/>
      <c r="W17" s="109"/>
    </row>
    <row r="18" spans="2:23">
      <c r="B18" s="408" t="s">
        <v>142</v>
      </c>
      <c r="C18" s="409" t="str">
        <f>VLOOKUP(B18,'MFG COST SUMMARY'!C:E,3,0)</f>
        <v>TMVVA</v>
      </c>
      <c r="D18" s="85">
        <v>483</v>
      </c>
      <c r="E18" s="24">
        <v>23.667057540286155</v>
      </c>
      <c r="F18" s="25">
        <f t="shared" si="0"/>
        <v>11431.188791958213</v>
      </c>
      <c r="G18" s="24">
        <v>18.913801597048497</v>
      </c>
      <c r="H18" s="26">
        <f t="shared" si="1"/>
        <v>9135.3661713744241</v>
      </c>
      <c r="I18" s="26">
        <f t="shared" si="2"/>
        <v>-2295.8226205837891</v>
      </c>
      <c r="J18" s="154">
        <f t="shared" si="3"/>
        <v>0.79916151658706835</v>
      </c>
      <c r="K18" s="244">
        <f>IFERROR(VLOOKUP($B18,'Tire Weight'!$I:$L,4,0),1)</f>
        <v>1.0003757158959277</v>
      </c>
      <c r="L18" s="26">
        <f t="shared" si="4"/>
        <v>18.92090781296093</v>
      </c>
      <c r="M18" s="155">
        <f t="shared" si="5"/>
        <v>9138.7984736601302</v>
      </c>
      <c r="N18" s="26">
        <f t="shared" si="6"/>
        <v>3.4323022857061005</v>
      </c>
      <c r="O18" s="27"/>
      <c r="V18" s="27"/>
      <c r="W18" s="109"/>
    </row>
    <row r="19" spans="2:23">
      <c r="B19" s="408" t="s">
        <v>255</v>
      </c>
      <c r="C19" s="409" t="str">
        <f>VLOOKUP(B19,'MFG COST SUMMARY'!C:E,3,0)</f>
        <v>ETDVA</v>
      </c>
      <c r="D19" s="85">
        <v>187</v>
      </c>
      <c r="E19" s="24">
        <v>24.348546126101283</v>
      </c>
      <c r="F19" s="25">
        <f t="shared" si="0"/>
        <v>4553.1781255809401</v>
      </c>
      <c r="G19" s="24">
        <v>19.205989820671302</v>
      </c>
      <c r="H19" s="26">
        <f t="shared" si="1"/>
        <v>3591.5200964655337</v>
      </c>
      <c r="I19" s="26">
        <f t="shared" si="2"/>
        <v>-961.65802911540641</v>
      </c>
      <c r="J19" s="154">
        <f t="shared" si="3"/>
        <v>0.78879411202637528</v>
      </c>
      <c r="K19" s="244">
        <f>IFERROR(VLOOKUP($B19,'Tire Weight'!$I:$L,4,0),1)</f>
        <v>0.99784143047900087</v>
      </c>
      <c r="L19" s="26">
        <f t="shared" si="4"/>
        <v>19.164532356423781</v>
      </c>
      <c r="M19" s="155">
        <f t="shared" si="5"/>
        <v>3583.7675506512473</v>
      </c>
      <c r="N19" s="26">
        <f t="shared" si="6"/>
        <v>-7.7525458142863499</v>
      </c>
      <c r="O19" s="27"/>
      <c r="V19" s="27"/>
      <c r="W19" s="109"/>
    </row>
    <row r="20" spans="2:23">
      <c r="B20" s="408" t="s">
        <v>232</v>
      </c>
      <c r="C20" s="409" t="str">
        <f>VLOOKUP(B20,'MFG COST SUMMARY'!C:E,3,0)</f>
        <v>MQTVA</v>
      </c>
      <c r="D20" s="85">
        <v>654</v>
      </c>
      <c r="E20" s="24">
        <v>24.344561510109617</v>
      </c>
      <c r="F20" s="25">
        <f t="shared" si="0"/>
        <v>15921.343227611689</v>
      </c>
      <c r="G20" s="24">
        <v>19.466923504239571</v>
      </c>
      <c r="H20" s="26">
        <f t="shared" si="1"/>
        <v>12731.367971772679</v>
      </c>
      <c r="I20" s="26">
        <f t="shared" si="2"/>
        <v>-3189.9752558390101</v>
      </c>
      <c r="J20" s="154">
        <f t="shared" si="3"/>
        <v>0.79964157481971898</v>
      </c>
      <c r="K20" s="244">
        <f>IFERROR(VLOOKUP($B20,'Tire Weight'!$I:$L,4,0),1)</f>
        <v>0.99165017246568399</v>
      </c>
      <c r="L20" s="26">
        <f t="shared" si="4"/>
        <v>19.304378050355446</v>
      </c>
      <c r="M20" s="155">
        <f t="shared" si="5"/>
        <v>12625.063244932462</v>
      </c>
      <c r="N20" s="26">
        <f t="shared" si="6"/>
        <v>-106.30472684021697</v>
      </c>
      <c r="O20" s="27"/>
      <c r="V20" s="27"/>
      <c r="W20" s="109"/>
    </row>
    <row r="21" spans="2:23">
      <c r="B21" s="408" t="s">
        <v>202</v>
      </c>
      <c r="C21" s="409" t="str">
        <f>VLOOKUP(B21,'MFG COST SUMMARY'!C:E,3,0)</f>
        <v>AMMZA</v>
      </c>
      <c r="D21" s="85">
        <v>550</v>
      </c>
      <c r="E21" s="24">
        <v>28.827782962605351</v>
      </c>
      <c r="F21" s="25">
        <f t="shared" si="0"/>
        <v>15855.280629432944</v>
      </c>
      <c r="G21" s="24">
        <v>22.760757873672226</v>
      </c>
      <c r="H21" s="26">
        <f t="shared" si="1"/>
        <v>12518.416830519724</v>
      </c>
      <c r="I21" s="26">
        <f t="shared" si="2"/>
        <v>-3336.8637989132203</v>
      </c>
      <c r="J21" s="154">
        <f t="shared" si="3"/>
        <v>0.78954243214599218</v>
      </c>
      <c r="K21" s="244">
        <f>IFERROR(VLOOKUP($B21,'Tire Weight'!$I:$L,4,0),1)</f>
        <v>0.99708210720153201</v>
      </c>
      <c r="L21" s="26">
        <f t="shared" si="4"/>
        <v>22.694344422184965</v>
      </c>
      <c r="M21" s="155">
        <f t="shared" si="5"/>
        <v>12481.88943220173</v>
      </c>
      <c r="N21" s="26">
        <f t="shared" si="6"/>
        <v>-36.527398317994084</v>
      </c>
      <c r="O21" s="27"/>
      <c r="V21" s="27"/>
      <c r="W21" s="109"/>
    </row>
    <row r="22" spans="2:23">
      <c r="B22" s="408" t="s">
        <v>340</v>
      </c>
      <c r="C22" s="409" t="str">
        <f>VLOOKUP(B22,'MFG COST SUMMARY'!C:E,3,0)</f>
        <v>HCNVA</v>
      </c>
      <c r="D22" s="85">
        <v>312</v>
      </c>
      <c r="E22" s="24">
        <v>22.068179188466829</v>
      </c>
      <c r="F22" s="25">
        <f t="shared" si="0"/>
        <v>6885.2719068016504</v>
      </c>
      <c r="G22" s="24">
        <v>17.62518895466431</v>
      </c>
      <c r="H22" s="26">
        <f t="shared" si="1"/>
        <v>5499.0589538552649</v>
      </c>
      <c r="I22" s="26">
        <f t="shared" si="2"/>
        <v>-1386.2129529463855</v>
      </c>
      <c r="J22" s="154">
        <f t="shared" si="3"/>
        <v>0.79866983153170634</v>
      </c>
      <c r="K22" s="244">
        <f>IFERROR(VLOOKUP($B22,'Tire Weight'!$I:$L,4,0),1)</f>
        <v>1.0084811811750842</v>
      </c>
      <c r="L22" s="26">
        <f t="shared" si="4"/>
        <v>17.774671375433911</v>
      </c>
      <c r="M22" s="155">
        <f t="shared" si="5"/>
        <v>5545.6974691353807</v>
      </c>
      <c r="N22" s="26">
        <f t="shared" si="6"/>
        <v>46.638515280115826</v>
      </c>
      <c r="O22" s="27"/>
      <c r="V22" s="27"/>
      <c r="W22" s="109"/>
    </row>
    <row r="23" spans="2:23">
      <c r="B23" s="408" t="s">
        <v>178</v>
      </c>
      <c r="C23" s="409" t="str">
        <f>VLOOKUP(B23,'MFG COST SUMMARY'!C:E,3,0)</f>
        <v>LCDZA</v>
      </c>
      <c r="D23" s="85">
        <v>122</v>
      </c>
      <c r="E23" s="24">
        <v>31.754656965634805</v>
      </c>
      <c r="F23" s="25">
        <f t="shared" si="0"/>
        <v>3874.0681498074464</v>
      </c>
      <c r="G23" s="24">
        <v>25.215872762026624</v>
      </c>
      <c r="H23" s="26">
        <f t="shared" si="1"/>
        <v>3076.336476967248</v>
      </c>
      <c r="I23" s="26">
        <f t="shared" si="2"/>
        <v>-797.73167284019837</v>
      </c>
      <c r="J23" s="154">
        <f t="shared" si="3"/>
        <v>0.79408424374779052</v>
      </c>
      <c r="K23" s="244">
        <f>IFERROR(VLOOKUP($B23,'Tire Weight'!$I:$L,4,0),1)</f>
        <v>1.0046348154074745</v>
      </c>
      <c r="L23" s="26">
        <f t="shared" si="4"/>
        <v>25.332743677616982</v>
      </c>
      <c r="M23" s="155">
        <f t="shared" si="5"/>
        <v>3090.5947286692717</v>
      </c>
      <c r="N23" s="26">
        <f t="shared" si="6"/>
        <v>14.258251702023699</v>
      </c>
      <c r="O23" s="27"/>
      <c r="V23" s="27"/>
      <c r="W23" s="109"/>
    </row>
    <row r="24" spans="2:23">
      <c r="B24" s="408" t="s">
        <v>179</v>
      </c>
      <c r="C24" s="409" t="str">
        <f>VLOOKUP(B24,'MFG COST SUMMARY'!C:E,3,0)</f>
        <v>7DTMA</v>
      </c>
      <c r="D24" s="85">
        <v>114</v>
      </c>
      <c r="E24" s="24">
        <v>24.089763383833585</v>
      </c>
      <c r="F24" s="25">
        <f t="shared" si="0"/>
        <v>2746.2330257570288</v>
      </c>
      <c r="G24" s="24">
        <v>19.039581414021626</v>
      </c>
      <c r="H24" s="26">
        <f t="shared" si="1"/>
        <v>2170.5122811984652</v>
      </c>
      <c r="I24" s="26">
        <f t="shared" si="2"/>
        <v>-575.72074455856364</v>
      </c>
      <c r="J24" s="154">
        <f t="shared" si="3"/>
        <v>0.79035983503262253</v>
      </c>
      <c r="K24" s="244">
        <f>IFERROR(VLOOKUP($B24,'Tire Weight'!$I:$L,4,0),1)</f>
        <v>0.98968959847869531</v>
      </c>
      <c r="L24" s="26">
        <f t="shared" si="4"/>
        <v>18.843275684845494</v>
      </c>
      <c r="M24" s="155">
        <f t="shared" si="5"/>
        <v>2148.1334280723859</v>
      </c>
      <c r="N24" s="26">
        <f t="shared" si="6"/>
        <v>-22.378853126079321</v>
      </c>
      <c r="O24" s="27"/>
      <c r="V24" s="27"/>
      <c r="W24" s="109"/>
    </row>
    <row r="25" spans="2:23">
      <c r="B25" s="408" t="s">
        <v>395</v>
      </c>
      <c r="C25" s="409" t="str">
        <f>VLOOKUP(B25,'MFG COST SUMMARY'!C:E,3,0)</f>
        <v>SCLZA</v>
      </c>
      <c r="D25" s="85">
        <v>200</v>
      </c>
      <c r="E25" s="24">
        <v>28.116345962371138</v>
      </c>
      <c r="F25" s="25">
        <f t="shared" si="0"/>
        <v>5623.2691924742276</v>
      </c>
      <c r="G25" s="24">
        <v>22.718953391259515</v>
      </c>
      <c r="H25" s="26">
        <f t="shared" si="1"/>
        <v>4543.790678251903</v>
      </c>
      <c r="I25" s="26">
        <f t="shared" si="2"/>
        <v>-1079.4785142223245</v>
      </c>
      <c r="J25" s="154">
        <f t="shared" si="3"/>
        <v>0.80803364070369965</v>
      </c>
      <c r="K25" s="244">
        <f>IFERROR(VLOOKUP($B25,'Tire Weight'!$I:$L,4,0),1)</f>
        <v>1.0045944901070754</v>
      </c>
      <c r="L25" s="26">
        <f t="shared" si="4"/>
        <v>22.823335397858763</v>
      </c>
      <c r="M25" s="155">
        <f t="shared" si="5"/>
        <v>4564.6670795717528</v>
      </c>
      <c r="N25" s="26">
        <f t="shared" si="6"/>
        <v>20.87640131984972</v>
      </c>
      <c r="O25" s="27"/>
      <c r="V25" s="27"/>
      <c r="W25" s="109"/>
    </row>
    <row r="26" spans="2:23">
      <c r="B26" s="408" t="s">
        <v>297</v>
      </c>
      <c r="C26" s="409" t="str">
        <f>VLOOKUP(B26,'MFG COST SUMMARY'!C:E,3,0)</f>
        <v>ZJFVA</v>
      </c>
      <c r="D26" s="85">
        <v>216</v>
      </c>
      <c r="E26" s="24">
        <v>20.215590634183584</v>
      </c>
      <c r="F26" s="25">
        <f t="shared" si="0"/>
        <v>4366.5675769836544</v>
      </c>
      <c r="G26" s="24">
        <v>16.143241481798828</v>
      </c>
      <c r="H26" s="26">
        <f t="shared" si="1"/>
        <v>3486.9401600685469</v>
      </c>
      <c r="I26" s="26">
        <f t="shared" si="2"/>
        <v>-879.62741691510746</v>
      </c>
      <c r="J26" s="154">
        <f t="shared" si="3"/>
        <v>0.79855403554231996</v>
      </c>
      <c r="K26" s="244">
        <f>IFERROR(VLOOKUP($B26,'Tire Weight'!$I:$L,4,0),1)</f>
        <v>1.00051756695887</v>
      </c>
      <c r="L26" s="26">
        <f t="shared" si="4"/>
        <v>16.151596690198865</v>
      </c>
      <c r="M26" s="155">
        <f t="shared" si="5"/>
        <v>3488.7448850829551</v>
      </c>
      <c r="N26" s="26">
        <f t="shared" si="6"/>
        <v>1.8047250144081772</v>
      </c>
      <c r="O26" s="27"/>
      <c r="V26" s="27"/>
      <c r="W26" s="109"/>
    </row>
    <row r="27" spans="2:23">
      <c r="B27" s="408" t="s">
        <v>298</v>
      </c>
      <c r="C27" s="409" t="str">
        <f>VLOOKUP(B27,'MFG COST SUMMARY'!C:E,3,0)</f>
        <v>QWAVA</v>
      </c>
      <c r="D27" s="85">
        <v>532</v>
      </c>
      <c r="E27" s="24">
        <v>21.010698457709559</v>
      </c>
      <c r="F27" s="25">
        <f t="shared" si="0"/>
        <v>11177.691579501485</v>
      </c>
      <c r="G27" s="24">
        <v>16.796266134735863</v>
      </c>
      <c r="H27" s="26">
        <f t="shared" si="1"/>
        <v>8935.6135836794783</v>
      </c>
      <c r="I27" s="26">
        <f t="shared" si="2"/>
        <v>-2242.0779958220064</v>
      </c>
      <c r="J27" s="154">
        <f t="shared" si="3"/>
        <v>0.79941493466023861</v>
      </c>
      <c r="K27" s="244">
        <f>IFERROR(VLOOKUP($B27,'Tire Weight'!$I:$L,4,0),1)</f>
        <v>0.99239167004377549</v>
      </c>
      <c r="L27" s="26">
        <f t="shared" si="4"/>
        <v>16.668474599950233</v>
      </c>
      <c r="M27" s="155">
        <f t="shared" si="5"/>
        <v>8867.6284871735224</v>
      </c>
      <c r="N27" s="26">
        <f t="shared" si="6"/>
        <v>-67.98509650595588</v>
      </c>
      <c r="O27" s="27"/>
      <c r="V27" s="27"/>
      <c r="W27" s="109"/>
    </row>
    <row r="28" spans="2:23">
      <c r="B28" s="408" t="s">
        <v>300</v>
      </c>
      <c r="C28" s="409" t="str">
        <f>VLOOKUP(B28,'MFG COST SUMMARY'!C:E,3,0)</f>
        <v>JXKVA</v>
      </c>
      <c r="D28" s="85">
        <v>323</v>
      </c>
      <c r="E28" s="24">
        <v>24.842094005695788</v>
      </c>
      <c r="F28" s="25">
        <f t="shared" si="0"/>
        <v>8023.9963638397394</v>
      </c>
      <c r="G28" s="24">
        <v>20.072120504026678</v>
      </c>
      <c r="H28" s="26">
        <f t="shared" si="1"/>
        <v>6483.2949228006173</v>
      </c>
      <c r="I28" s="26">
        <f t="shared" si="2"/>
        <v>-1540.7014410391221</v>
      </c>
      <c r="J28" s="154">
        <f t="shared" si="3"/>
        <v>0.80798826779355026</v>
      </c>
      <c r="K28" s="244">
        <f>IFERROR(VLOOKUP($B28,'Tire Weight'!$I:$L,4,0),1)</f>
        <v>0.99665570028054107</v>
      </c>
      <c r="L28" s="26">
        <f t="shared" si="4"/>
        <v>20.004993317056115</v>
      </c>
      <c r="M28" s="155">
        <f t="shared" si="5"/>
        <v>6461.6128414091254</v>
      </c>
      <c r="N28" s="26">
        <f t="shared" si="6"/>
        <v>-21.68208139149192</v>
      </c>
      <c r="O28" s="27"/>
      <c r="V28" s="27"/>
      <c r="W28" s="109"/>
    </row>
    <row r="29" spans="2:23">
      <c r="B29" s="408" t="s">
        <v>301</v>
      </c>
      <c r="C29" s="409" t="str">
        <f>VLOOKUP(B29,'MFG COST SUMMARY'!C:E,3,0)</f>
        <v>GJDZA</v>
      </c>
      <c r="D29" s="85">
        <v>303</v>
      </c>
      <c r="E29" s="24">
        <v>26.162500055540413</v>
      </c>
      <c r="F29" s="25">
        <f t="shared" si="0"/>
        <v>7927.2375168287454</v>
      </c>
      <c r="G29" s="24">
        <v>21.14757297822327</v>
      </c>
      <c r="H29" s="26">
        <f t="shared" si="1"/>
        <v>6407.7146124016508</v>
      </c>
      <c r="I29" s="26">
        <f t="shared" si="2"/>
        <v>-1519.5229044270945</v>
      </c>
      <c r="J29" s="154">
        <f t="shared" si="3"/>
        <v>0.80831621340961501</v>
      </c>
      <c r="K29" s="244">
        <f>IFERROR(VLOOKUP($B29,'Tire Weight'!$I:$L,4,0),1)</f>
        <v>0.99996267871389699</v>
      </c>
      <c r="L29" s="26">
        <f t="shared" si="4"/>
        <v>21.146783723601764</v>
      </c>
      <c r="M29" s="155">
        <f t="shared" si="5"/>
        <v>6407.4754682513349</v>
      </c>
      <c r="N29" s="26">
        <f t="shared" si="6"/>
        <v>-0.23914415031595126</v>
      </c>
      <c r="O29" s="27"/>
      <c r="V29" s="27"/>
      <c r="W29" s="109"/>
    </row>
    <row r="30" spans="2:23">
      <c r="B30" s="408" t="s">
        <v>180</v>
      </c>
      <c r="C30" s="409" t="str">
        <f>VLOOKUP(B30,'MFG COST SUMMARY'!C:E,3,0)</f>
        <v>7HGMA</v>
      </c>
      <c r="D30" s="85">
        <v>254</v>
      </c>
      <c r="E30" s="24">
        <v>26.454740573317679</v>
      </c>
      <c r="F30" s="25">
        <f t="shared" si="0"/>
        <v>6719.5041056226901</v>
      </c>
      <c r="G30" s="24">
        <v>20.878596412157243</v>
      </c>
      <c r="H30" s="26">
        <f t="shared" si="1"/>
        <v>5303.1634886879401</v>
      </c>
      <c r="I30" s="26">
        <f t="shared" si="2"/>
        <v>-1416.34061693475</v>
      </c>
      <c r="J30" s="154">
        <f t="shared" si="3"/>
        <v>0.78921947294449957</v>
      </c>
      <c r="K30" s="244">
        <f>IFERROR(VLOOKUP($B30,'Tire Weight'!$I:$L,4,0),1)</f>
        <v>1.0023965274202549</v>
      </c>
      <c r="L30" s="26">
        <f t="shared" si="4"/>
        <v>20.928632540955412</v>
      </c>
      <c r="M30" s="155">
        <f t="shared" si="5"/>
        <v>5315.872665402675</v>
      </c>
      <c r="N30" s="26">
        <f t="shared" si="6"/>
        <v>12.709176714734895</v>
      </c>
      <c r="O30" s="27"/>
      <c r="V30" s="27"/>
      <c r="W30" s="109"/>
    </row>
    <row r="31" spans="2:23">
      <c r="B31" s="408" t="s">
        <v>302</v>
      </c>
      <c r="C31" s="409" t="str">
        <f>VLOOKUP(B31,'MFG COST SUMMARY'!C:E,3,0)</f>
        <v>FMNVA</v>
      </c>
      <c r="D31" s="85">
        <v>762</v>
      </c>
      <c r="E31" s="24">
        <v>20.324579672928014</v>
      </c>
      <c r="F31" s="25">
        <f t="shared" si="0"/>
        <v>15487.329710771146</v>
      </c>
      <c r="G31" s="24">
        <v>16.238339234336703</v>
      </c>
      <c r="H31" s="26">
        <f t="shared" si="1"/>
        <v>12373.614496564567</v>
      </c>
      <c r="I31" s="26">
        <f t="shared" si="2"/>
        <v>-3113.7152142065788</v>
      </c>
      <c r="J31" s="154">
        <f t="shared" si="3"/>
        <v>0.79895080221343462</v>
      </c>
      <c r="K31" s="244">
        <f>IFERROR(VLOOKUP($B31,'Tire Weight'!$I:$L,4,0),1)</f>
        <v>0.99467009478080592</v>
      </c>
      <c r="L31" s="26">
        <f t="shared" si="4"/>
        <v>16.151790425300568</v>
      </c>
      <c r="M31" s="155">
        <f t="shared" si="5"/>
        <v>12307.664304079031</v>
      </c>
      <c r="N31" s="26">
        <f t="shared" si="6"/>
        <v>-65.950192485535808</v>
      </c>
      <c r="O31" s="27"/>
      <c r="V31" s="27"/>
      <c r="W31" s="109"/>
    </row>
    <row r="32" spans="2:23">
      <c r="B32" s="408" t="s">
        <v>303</v>
      </c>
      <c r="C32" s="409" t="str">
        <f>VLOOKUP(B32,'MFG COST SUMMARY'!C:E,3,0)</f>
        <v>LZRVA</v>
      </c>
      <c r="D32" s="85">
        <v>2798</v>
      </c>
      <c r="E32" s="24">
        <v>25.406577404731358</v>
      </c>
      <c r="F32" s="25">
        <f t="shared" si="0"/>
        <v>71087.603578438342</v>
      </c>
      <c r="G32" s="24">
        <v>20.268891636880628</v>
      </c>
      <c r="H32" s="26">
        <f t="shared" si="1"/>
        <v>56712.358799991998</v>
      </c>
      <c r="I32" s="26">
        <f t="shared" si="2"/>
        <v>-14375.244778446344</v>
      </c>
      <c r="J32" s="154">
        <f t="shared" si="3"/>
        <v>0.79778127191213244</v>
      </c>
      <c r="K32" s="244">
        <f>IFERROR(VLOOKUP($B32,'Tire Weight'!$I:$L,4,0),1)</f>
        <v>1.0063333975388602</v>
      </c>
      <c r="L32" s="26">
        <f t="shared" si="4"/>
        <v>20.397262585289074</v>
      </c>
      <c r="M32" s="155">
        <f t="shared" si="5"/>
        <v>57071.540713638824</v>
      </c>
      <c r="N32" s="26">
        <f t="shared" si="6"/>
        <v>359.18191364682571</v>
      </c>
      <c r="O32" s="27"/>
      <c r="V32" s="27"/>
      <c r="W32" s="109"/>
    </row>
    <row r="33" spans="2:23">
      <c r="B33" s="408" t="s">
        <v>304</v>
      </c>
      <c r="C33" s="409" t="str">
        <f>VLOOKUP(B33,'MFG COST SUMMARY'!C:E,3,0)</f>
        <v>NJSVA</v>
      </c>
      <c r="D33" s="85">
        <v>1845</v>
      </c>
      <c r="E33" s="24">
        <v>23.812555546946417</v>
      </c>
      <c r="F33" s="25">
        <f t="shared" si="0"/>
        <v>43934.164984116142</v>
      </c>
      <c r="G33" s="24">
        <v>19.010506087952411</v>
      </c>
      <c r="H33" s="26">
        <f t="shared" si="1"/>
        <v>35074.383732272196</v>
      </c>
      <c r="I33" s="26">
        <f t="shared" si="2"/>
        <v>-8859.7812518439459</v>
      </c>
      <c r="J33" s="154">
        <f t="shared" si="3"/>
        <v>0.79833960074017363</v>
      </c>
      <c r="K33" s="244">
        <f>IFERROR(VLOOKUP($B33,'Tire Weight'!$I:$L,4,0),1)</f>
        <v>0.99635882579556512</v>
      </c>
      <c r="L33" s="26">
        <f t="shared" si="4"/>
        <v>18.941285523571707</v>
      </c>
      <c r="M33" s="155">
        <f t="shared" si="5"/>
        <v>34946.671790989792</v>
      </c>
      <c r="N33" s="26">
        <f t="shared" si="6"/>
        <v>-127.71194128240313</v>
      </c>
      <c r="O33" s="27"/>
      <c r="V33" s="27"/>
      <c r="W33" s="109"/>
    </row>
    <row r="34" spans="2:23">
      <c r="B34" s="408" t="s">
        <v>181</v>
      </c>
      <c r="C34" s="409" t="str">
        <f>VLOOKUP(B34,'MFG COST SUMMARY'!C:E,3,0)</f>
        <v>PKMZA</v>
      </c>
      <c r="D34" s="85">
        <v>37</v>
      </c>
      <c r="E34" s="24">
        <v>29.339198504847115</v>
      </c>
      <c r="F34" s="25">
        <f t="shared" si="0"/>
        <v>1085.5503446793432</v>
      </c>
      <c r="G34" s="24">
        <v>23.186725661065818</v>
      </c>
      <c r="H34" s="26">
        <f t="shared" si="1"/>
        <v>857.90884945943526</v>
      </c>
      <c r="I34" s="26">
        <f t="shared" si="2"/>
        <v>-227.64149521990794</v>
      </c>
      <c r="J34" s="154">
        <f t="shared" si="3"/>
        <v>0.79029853720220578</v>
      </c>
      <c r="K34" s="244">
        <f>IFERROR(VLOOKUP($B34,'Tire Weight'!$I:$L,4,0),1)</f>
        <v>0.99772981681609441</v>
      </c>
      <c r="L34" s="26">
        <f t="shared" si="4"/>
        <v>23.134087546380233</v>
      </c>
      <c r="M34" s="155">
        <f t="shared" si="5"/>
        <v>855.96123921606863</v>
      </c>
      <c r="N34" s="26">
        <f t="shared" si="6"/>
        <v>-1.9476102433666256</v>
      </c>
      <c r="O34" s="27"/>
      <c r="V34" s="27"/>
      <c r="W34" s="109"/>
    </row>
    <row r="35" spans="2:23">
      <c r="B35" s="408" t="s">
        <v>404</v>
      </c>
      <c r="C35" s="409" t="str">
        <f>VLOOKUP(B35,'MFG COST SUMMARY'!C:E,3,0)</f>
        <v>SBGMA</v>
      </c>
      <c r="D35" s="85">
        <v>867</v>
      </c>
      <c r="E35" s="24">
        <v>26.630790966287858</v>
      </c>
      <c r="F35" s="25">
        <f t="shared" si="0"/>
        <v>23088.895767771573</v>
      </c>
      <c r="G35" s="24">
        <v>21.500041877450428</v>
      </c>
      <c r="H35" s="26">
        <f t="shared" si="1"/>
        <v>18640.53630774952</v>
      </c>
      <c r="I35" s="26">
        <f t="shared" si="2"/>
        <v>-4448.3594600220531</v>
      </c>
      <c r="J35" s="154">
        <f t="shared" si="3"/>
        <v>0.80733771312566383</v>
      </c>
      <c r="K35" s="244">
        <f>IFERROR(VLOOKUP($B35,'Tire Weight'!$I:$L,4,0),1)</f>
        <v>1.0033371916083522</v>
      </c>
      <c r="L35" s="26">
        <f t="shared" si="4"/>
        <v>21.571791636783079</v>
      </c>
      <c r="M35" s="155">
        <f t="shared" si="5"/>
        <v>18702.743349090928</v>
      </c>
      <c r="N35" s="26">
        <f t="shared" si="6"/>
        <v>62.207041341407603</v>
      </c>
      <c r="O35" s="27"/>
      <c r="V35" s="27"/>
      <c r="W35" s="109"/>
    </row>
    <row r="36" spans="2:23">
      <c r="B36" s="408" t="s">
        <v>406</v>
      </c>
      <c r="C36" s="409" t="str">
        <f>VLOOKUP(B36,'MFG COST SUMMARY'!C:E,3,0)</f>
        <v>NDKMA</v>
      </c>
      <c r="D36" s="85">
        <v>231</v>
      </c>
      <c r="E36" s="24">
        <v>27.649957721270635</v>
      </c>
      <c r="F36" s="25">
        <f t="shared" si="0"/>
        <v>6387.140233613517</v>
      </c>
      <c r="G36" s="24">
        <v>22.323370293651607</v>
      </c>
      <c r="H36" s="26">
        <f t="shared" si="1"/>
        <v>5156.6985378335212</v>
      </c>
      <c r="I36" s="26">
        <f t="shared" si="2"/>
        <v>-1230.4416957799958</v>
      </c>
      <c r="J36" s="154">
        <f t="shared" si="3"/>
        <v>0.80735639883017329</v>
      </c>
      <c r="K36" s="244">
        <f>IFERROR(VLOOKUP($B36,'Tire Weight'!$I:$L,4,0),1)</f>
        <v>1.0064630522675246</v>
      </c>
      <c r="L36" s="26">
        <f t="shared" si="4"/>
        <v>22.467647402646783</v>
      </c>
      <c r="M36" s="155">
        <f t="shared" si="5"/>
        <v>5190.0265500114074</v>
      </c>
      <c r="N36" s="26">
        <f t="shared" si="6"/>
        <v>33.328012177886194</v>
      </c>
      <c r="O36" s="27"/>
      <c r="V36" s="27"/>
      <c r="W36" s="109"/>
    </row>
    <row r="37" spans="2:23">
      <c r="B37" s="408" t="s">
        <v>182</v>
      </c>
      <c r="C37" s="409" t="str">
        <f>VLOOKUP(B37,'MFG COST SUMMARY'!C:E,3,0)</f>
        <v>ZDMZA</v>
      </c>
      <c r="D37" s="85">
        <v>110</v>
      </c>
      <c r="E37" s="24">
        <v>29.89822089787755</v>
      </c>
      <c r="F37" s="25">
        <f t="shared" si="0"/>
        <v>3288.8042987665303</v>
      </c>
      <c r="G37" s="24">
        <v>23.812888287989239</v>
      </c>
      <c r="H37" s="26">
        <f t="shared" si="1"/>
        <v>2619.4177116788164</v>
      </c>
      <c r="I37" s="26">
        <f t="shared" si="2"/>
        <v>-669.38658708771391</v>
      </c>
      <c r="J37" s="154">
        <f t="shared" si="3"/>
        <v>0.79646505955408531</v>
      </c>
      <c r="K37" s="244">
        <f>IFERROR(VLOOKUP($B37,'Tire Weight'!$I:$L,4,0),1)</f>
        <v>1.0030688450630194</v>
      </c>
      <c r="L37" s="26">
        <f t="shared" si="4"/>
        <v>23.885966352648069</v>
      </c>
      <c r="M37" s="155">
        <f t="shared" si="5"/>
        <v>2627.4562987912877</v>
      </c>
      <c r="N37" s="26">
        <f t="shared" si="6"/>
        <v>8.0385871124713049</v>
      </c>
      <c r="O37" s="27"/>
      <c r="V37" s="27"/>
      <c r="W37" s="109"/>
    </row>
    <row r="38" spans="2:23">
      <c r="B38" s="408" t="s">
        <v>410</v>
      </c>
      <c r="C38" s="409" t="str">
        <f>VLOOKUP(B38,'MFG COST SUMMARY'!C:E,3,0)</f>
        <v>FQCVA</v>
      </c>
      <c r="D38" s="85">
        <v>101</v>
      </c>
      <c r="E38" s="24">
        <v>14.12767337152942</v>
      </c>
      <c r="F38" s="25">
        <f t="shared" ref="F38:F98" si="7">E38*D38</f>
        <v>1426.8950105244714</v>
      </c>
      <c r="G38" s="24">
        <v>11.263655733688401</v>
      </c>
      <c r="H38" s="26">
        <f t="shared" ref="H38:H98" si="8">+D38*G38</f>
        <v>1137.6292291025284</v>
      </c>
      <c r="I38" s="26">
        <f t="shared" ref="I38:I98" si="9">H38-F38</f>
        <v>-289.26578142194307</v>
      </c>
      <c r="J38" s="154">
        <f t="shared" ref="J38:J98" si="10">+H38/F38</f>
        <v>0.79727605795214029</v>
      </c>
      <c r="K38" s="244">
        <f>IFERROR(VLOOKUP($B38,'Tire Weight'!$I:$L,4,0),1)</f>
        <v>1.0085778533958105</v>
      </c>
      <c r="L38" s="26">
        <f t="shared" ref="L38:L98" si="11">G38*K38</f>
        <v>11.36027372127286</v>
      </c>
      <c r="M38" s="155">
        <f t="shared" ref="M38:M98" si="12">+H38*K38</f>
        <v>1147.3876458485588</v>
      </c>
      <c r="N38" s="26">
        <f t="shared" ref="N38:N98" si="13">M38-H38</f>
        <v>9.7584167460304343</v>
      </c>
      <c r="O38" s="27"/>
      <c r="V38" s="27"/>
      <c r="W38" s="109"/>
    </row>
    <row r="39" spans="2:23">
      <c r="B39" s="408" t="s">
        <v>411</v>
      </c>
      <c r="C39" s="409" t="str">
        <f>VLOOKUP(B39,'MFG COST SUMMARY'!C:E,3,0)</f>
        <v>EKTMA</v>
      </c>
      <c r="D39" s="85">
        <v>158</v>
      </c>
      <c r="E39" s="24">
        <v>26.681649226632025</v>
      </c>
      <c r="F39" s="25">
        <f t="shared" si="7"/>
        <v>4215.7005778078601</v>
      </c>
      <c r="G39" s="24">
        <v>21.733298188407112</v>
      </c>
      <c r="H39" s="26">
        <f t="shared" si="8"/>
        <v>3433.8611137683238</v>
      </c>
      <c r="I39" s="26">
        <f t="shared" si="9"/>
        <v>-781.83946403953632</v>
      </c>
      <c r="J39" s="154">
        <f t="shared" si="10"/>
        <v>0.81454103544372491</v>
      </c>
      <c r="K39" s="244">
        <f>IFERROR(VLOOKUP($B39,'Tire Weight'!$I:$L,4,0),1)</f>
        <v>1.004963320912903</v>
      </c>
      <c r="L39" s="26">
        <f t="shared" si="11"/>
        <v>21.84116752181199</v>
      </c>
      <c r="M39" s="155">
        <f t="shared" si="12"/>
        <v>3450.9044684462942</v>
      </c>
      <c r="N39" s="26">
        <f t="shared" si="13"/>
        <v>17.043354677970456</v>
      </c>
      <c r="O39" s="27"/>
      <c r="V39" s="27"/>
      <c r="W39" s="109"/>
    </row>
    <row r="40" spans="2:23">
      <c r="B40" s="408" t="s">
        <v>433</v>
      </c>
      <c r="C40" s="409" t="str">
        <f>VLOOKUP(B40,'MFG COST SUMMARY'!C:E,3,0)</f>
        <v>VRQVA</v>
      </c>
      <c r="D40" s="85">
        <v>1047</v>
      </c>
      <c r="E40" s="24">
        <v>20.008002274149796</v>
      </c>
      <c r="F40" s="25">
        <f t="shared" si="7"/>
        <v>20948.378381034836</v>
      </c>
      <c r="G40" s="24">
        <v>16.048754862681786</v>
      </c>
      <c r="H40" s="26">
        <f t="shared" si="8"/>
        <v>16803.04634122783</v>
      </c>
      <c r="I40" s="26">
        <f t="shared" si="9"/>
        <v>-4145.3320398070064</v>
      </c>
      <c r="J40" s="154">
        <f t="shared" si="10"/>
        <v>0.80211680520531869</v>
      </c>
      <c r="K40" s="244">
        <f>IFERROR(VLOOKUP($B40,'Tire Weight'!$I:$L,4,0),1)</f>
        <v>1.0030268928276016</v>
      </c>
      <c r="L40" s="26">
        <f t="shared" si="11"/>
        <v>16.097332723667574</v>
      </c>
      <c r="M40" s="155">
        <f t="shared" si="12"/>
        <v>16853.907361679951</v>
      </c>
      <c r="N40" s="26">
        <f t="shared" si="13"/>
        <v>50.861020452121011</v>
      </c>
      <c r="O40" s="27"/>
      <c r="V40" s="27"/>
      <c r="W40" s="109"/>
    </row>
    <row r="41" spans="2:23">
      <c r="B41" s="408" t="s">
        <v>183</v>
      </c>
      <c r="C41" s="409" t="str">
        <f>VLOOKUP(B41,'MFG COST SUMMARY'!C:E,3,0)</f>
        <v>TXLZA</v>
      </c>
      <c r="D41" s="85">
        <v>156</v>
      </c>
      <c r="E41" s="24">
        <v>27.490079402756255</v>
      </c>
      <c r="F41" s="25">
        <f t="shared" si="7"/>
        <v>4288.4523868299757</v>
      </c>
      <c r="G41" s="24">
        <v>21.735059950053909</v>
      </c>
      <c r="H41" s="26">
        <f t="shared" si="8"/>
        <v>3390.6693522084097</v>
      </c>
      <c r="I41" s="26">
        <f t="shared" si="9"/>
        <v>-897.783034621566</v>
      </c>
      <c r="J41" s="154">
        <f t="shared" si="10"/>
        <v>0.7906510429313155</v>
      </c>
      <c r="K41" s="244">
        <f>IFERROR(VLOOKUP($B41,'Tire Weight'!$I:$L,4,0),1)</f>
        <v>0.99320874766639922</v>
      </c>
      <c r="L41" s="26">
        <f t="shared" si="11"/>
        <v>21.587451673447152</v>
      </c>
      <c r="M41" s="155">
        <f t="shared" si="12"/>
        <v>3367.6424610577556</v>
      </c>
      <c r="N41" s="26">
        <f t="shared" si="13"/>
        <v>-23.026891150654137</v>
      </c>
      <c r="O41" s="27"/>
      <c r="V41" s="27"/>
      <c r="W41" s="109"/>
    </row>
    <row r="42" spans="2:23">
      <c r="B42" s="408" t="s">
        <v>461</v>
      </c>
      <c r="C42" s="409" t="str">
        <f>VLOOKUP(B42,'MFG COST SUMMARY'!C:E,3,0)</f>
        <v>XSYKA</v>
      </c>
      <c r="D42" s="85">
        <v>4</v>
      </c>
      <c r="E42" s="24">
        <v>38.145295568899179</v>
      </c>
      <c r="F42" s="25">
        <f t="shared" si="7"/>
        <v>152.58118227559672</v>
      </c>
      <c r="G42" s="24">
        <v>30.858044756602727</v>
      </c>
      <c r="H42" s="26">
        <f t="shared" si="8"/>
        <v>123.43217902641091</v>
      </c>
      <c r="I42" s="26">
        <f t="shared" si="9"/>
        <v>-29.14900324918581</v>
      </c>
      <c r="J42" s="154">
        <f t="shared" si="10"/>
        <v>0.80896069348488853</v>
      </c>
      <c r="K42" s="244">
        <f>IFERROR(VLOOKUP($B42,'Tire Weight'!$I:$L,4,0),1)</f>
        <v>1.0036109057419778</v>
      </c>
      <c r="L42" s="26">
        <f t="shared" si="11"/>
        <v>30.969470247600551</v>
      </c>
      <c r="M42" s="155">
        <f t="shared" si="12"/>
        <v>123.8778809904022</v>
      </c>
      <c r="N42" s="26">
        <f t="shared" si="13"/>
        <v>0.44570196399129713</v>
      </c>
      <c r="O42" s="27"/>
      <c r="V42" s="27"/>
      <c r="W42" s="109"/>
    </row>
    <row r="43" spans="2:23">
      <c r="B43" s="408" t="s">
        <v>220</v>
      </c>
      <c r="C43" s="409" t="str">
        <f>VLOOKUP(B43,'MFG COST SUMMARY'!C:E,3,0)</f>
        <v>DHHZA</v>
      </c>
      <c r="D43" s="85">
        <v>142</v>
      </c>
      <c r="E43" s="24">
        <v>33.030282667734568</v>
      </c>
      <c r="F43" s="25">
        <f t="shared" si="7"/>
        <v>4690.3001388183084</v>
      </c>
      <c r="G43" s="24">
        <v>26.237062932481059</v>
      </c>
      <c r="H43" s="26">
        <f t="shared" si="8"/>
        <v>3725.6629364123105</v>
      </c>
      <c r="I43" s="26">
        <f t="shared" si="9"/>
        <v>-964.63720240599787</v>
      </c>
      <c r="J43" s="154">
        <f t="shared" si="10"/>
        <v>0.79433358764775508</v>
      </c>
      <c r="K43" s="244">
        <f>IFERROR(VLOOKUP($B43,'Tire Weight'!$I:$L,4,0),1)</f>
        <v>1.0029823726689331</v>
      </c>
      <c r="L43" s="26">
        <f t="shared" si="11"/>
        <v>26.315311631883969</v>
      </c>
      <c r="M43" s="155">
        <f t="shared" si="12"/>
        <v>3736.7742517275237</v>
      </c>
      <c r="N43" s="26">
        <f t="shared" si="13"/>
        <v>11.111315315213233</v>
      </c>
      <c r="O43" s="27"/>
      <c r="V43" s="27"/>
      <c r="W43" s="109"/>
    </row>
    <row r="44" spans="2:23">
      <c r="B44" s="408" t="s">
        <v>576</v>
      </c>
      <c r="C44" s="409" t="str">
        <f>VLOOKUP(B44,'MFG COST SUMMARY'!C:E,3,0)</f>
        <v>HFAVA</v>
      </c>
      <c r="D44" s="85">
        <v>1</v>
      </c>
      <c r="E44" s="24">
        <v>26.473883885387377</v>
      </c>
      <c r="F44" s="25">
        <f t="shared" si="7"/>
        <v>26.473883885387377</v>
      </c>
      <c r="G44" s="24">
        <v>21.408008621606392</v>
      </c>
      <c r="H44" s="26">
        <f t="shared" si="8"/>
        <v>21.408008621606392</v>
      </c>
      <c r="I44" s="26">
        <f t="shared" si="9"/>
        <v>-5.0658752637809847</v>
      </c>
      <c r="J44" s="154">
        <f t="shared" si="10"/>
        <v>0.80864631401601172</v>
      </c>
      <c r="K44" s="244">
        <f>IFERROR(VLOOKUP($B44,'Tire Weight'!$I:$L,4,0),1)</f>
        <v>1.0024849201418804</v>
      </c>
      <c r="L44" s="26">
        <f t="shared" si="11"/>
        <v>21.461205813427771</v>
      </c>
      <c r="M44" s="155">
        <f t="shared" si="12"/>
        <v>21.461205813427771</v>
      </c>
      <c r="N44" s="26">
        <f t="shared" si="13"/>
        <v>5.3197191821379164E-2</v>
      </c>
      <c r="O44" s="27"/>
      <c r="V44" s="27"/>
      <c r="W44" s="109"/>
    </row>
    <row r="45" spans="2:23">
      <c r="B45" s="408" t="s">
        <v>476</v>
      </c>
      <c r="C45" s="409" t="str">
        <f>VLOOKUP(B45,'MFG COST SUMMARY'!C:E,3,0)</f>
        <v>ZV2KA</v>
      </c>
      <c r="D45" s="85">
        <v>12</v>
      </c>
      <c r="E45" s="24">
        <v>30.942817907901301</v>
      </c>
      <c r="F45" s="25">
        <f t="shared" si="7"/>
        <v>371.31381489481561</v>
      </c>
      <c r="G45" s="24">
        <v>24.886646685290902</v>
      </c>
      <c r="H45" s="26">
        <f t="shared" si="8"/>
        <v>298.63976022349084</v>
      </c>
      <c r="I45" s="26">
        <f t="shared" si="9"/>
        <v>-72.674054671324768</v>
      </c>
      <c r="J45" s="154">
        <f t="shared" si="10"/>
        <v>0.80427861351748631</v>
      </c>
      <c r="K45" s="244">
        <f>IFERROR(VLOOKUP($B45,'Tire Weight'!$I:$L,4,0),1)</f>
        <v>1.0008247363014195</v>
      </c>
      <c r="L45" s="26">
        <f t="shared" si="11"/>
        <v>24.907171606232865</v>
      </c>
      <c r="M45" s="155">
        <f t="shared" si="12"/>
        <v>298.88605927479438</v>
      </c>
      <c r="N45" s="26">
        <f t="shared" si="13"/>
        <v>0.24629905130353791</v>
      </c>
      <c r="O45" s="27"/>
      <c r="V45" s="27"/>
      <c r="W45" s="109"/>
    </row>
    <row r="46" spans="2:23">
      <c r="B46" s="408" t="s">
        <v>245</v>
      </c>
      <c r="C46" s="409" t="str">
        <f>VLOOKUP(B46,'MFG COST SUMMARY'!C:E,3,0)</f>
        <v>NQTZA</v>
      </c>
      <c r="D46" s="85">
        <v>2</v>
      </c>
      <c r="E46" s="24">
        <v>33.74191946694765</v>
      </c>
      <c r="F46" s="25">
        <f t="shared" si="7"/>
        <v>67.483838933895299</v>
      </c>
      <c r="G46" s="24">
        <v>26.847214523164535</v>
      </c>
      <c r="H46" s="26">
        <f t="shared" si="8"/>
        <v>53.69442904632907</v>
      </c>
      <c r="I46" s="26">
        <f t="shared" si="9"/>
        <v>-13.789409887566229</v>
      </c>
      <c r="J46" s="154">
        <f t="shared" si="10"/>
        <v>0.79566352321666478</v>
      </c>
      <c r="K46" s="244">
        <f>IFERROR(VLOOKUP($B46,'Tire Weight'!$I:$L,4,0),1)</f>
        <v>1.0056179775280898</v>
      </c>
      <c r="L46" s="26">
        <f t="shared" si="11"/>
        <v>26.99804157104748</v>
      </c>
      <c r="M46" s="155">
        <f t="shared" si="12"/>
        <v>53.99608314209496</v>
      </c>
      <c r="N46" s="26">
        <f t="shared" si="13"/>
        <v>0.30165409576589042</v>
      </c>
      <c r="O46" s="27"/>
      <c r="V46" s="27"/>
      <c r="W46" s="109"/>
    </row>
    <row r="47" spans="2:23">
      <c r="B47" s="408" t="s">
        <v>555</v>
      </c>
      <c r="C47" s="409" t="str">
        <f>VLOOKUP(B47,'MFG COST SUMMARY'!C:E,3,0)</f>
        <v>FX8KA</v>
      </c>
      <c r="D47" s="85">
        <v>541</v>
      </c>
      <c r="E47" s="24">
        <v>39.06575986640869</v>
      </c>
      <c r="F47" s="25">
        <f t="shared" si="7"/>
        <v>21134.576087727102</v>
      </c>
      <c r="G47" s="24">
        <v>31.217633864708318</v>
      </c>
      <c r="H47" s="26">
        <f t="shared" si="8"/>
        <v>16888.739920807202</v>
      </c>
      <c r="I47" s="26">
        <f t="shared" si="9"/>
        <v>-4245.8361669199003</v>
      </c>
      <c r="J47" s="154">
        <f t="shared" si="10"/>
        <v>0.79910473958427453</v>
      </c>
      <c r="K47" s="244">
        <f>IFERROR(VLOOKUP($B47,'Tire Weight'!$I:$L,4,0),1)</f>
        <v>1.0210298513919349</v>
      </c>
      <c r="L47" s="26">
        <f t="shared" si="11"/>
        <v>31.874136065690969</v>
      </c>
      <c r="M47" s="155">
        <f t="shared" si="12"/>
        <v>17243.907611538816</v>
      </c>
      <c r="N47" s="26">
        <f t="shared" si="13"/>
        <v>355.16769073161413</v>
      </c>
      <c r="O47" s="27"/>
      <c r="V47" s="27"/>
      <c r="W47" s="109"/>
    </row>
    <row r="48" spans="2:23">
      <c r="B48" s="408" t="s">
        <v>556</v>
      </c>
      <c r="C48" s="409" t="str">
        <f>VLOOKUP(B48,'MFG COST SUMMARY'!C:E,3,0)</f>
        <v>F17KA</v>
      </c>
      <c r="D48" s="85">
        <v>326</v>
      </c>
      <c r="E48" s="24">
        <v>38.435483590618489</v>
      </c>
      <c r="F48" s="25">
        <f t="shared" si="7"/>
        <v>12529.967650541628</v>
      </c>
      <c r="G48" s="24">
        <v>30.680885239964013</v>
      </c>
      <c r="H48" s="26">
        <f t="shared" si="8"/>
        <v>10001.968588228268</v>
      </c>
      <c r="I48" s="26">
        <f t="shared" si="9"/>
        <v>-2527.9990623133599</v>
      </c>
      <c r="J48" s="154">
        <f t="shared" si="10"/>
        <v>0.79824376783573869</v>
      </c>
      <c r="K48" s="244">
        <f>IFERROR(VLOOKUP($B48,'Tire Weight'!$I:$L,4,0),1)</f>
        <v>1.0244906420279547</v>
      </c>
      <c r="L48" s="26">
        <f t="shared" si="11"/>
        <v>31.432279817476729</v>
      </c>
      <c r="M48" s="155">
        <f t="shared" si="12"/>
        <v>10246.923220497414</v>
      </c>
      <c r="N48" s="26">
        <f t="shared" si="13"/>
        <v>244.9546322691458</v>
      </c>
      <c r="O48" s="27"/>
      <c r="V48" s="27"/>
      <c r="W48" s="109"/>
    </row>
    <row r="49" spans="2:23">
      <c r="B49" s="408" t="s">
        <v>553</v>
      </c>
      <c r="C49" s="409" t="str">
        <f>VLOOKUP(B49,'MFG COST SUMMARY'!C:E,3,0)</f>
        <v>XPDVA</v>
      </c>
      <c r="D49" s="85">
        <v>1005</v>
      </c>
      <c r="E49" s="24">
        <v>21.557733414603383</v>
      </c>
      <c r="F49" s="25">
        <f t="shared" si="7"/>
        <v>21665.522081676401</v>
      </c>
      <c r="G49" s="24">
        <v>17.243519608372722</v>
      </c>
      <c r="H49" s="26">
        <f t="shared" si="8"/>
        <v>17329.737206414586</v>
      </c>
      <c r="I49" s="26">
        <f t="shared" si="9"/>
        <v>-4335.7848752618156</v>
      </c>
      <c r="J49" s="154">
        <f t="shared" si="10"/>
        <v>0.79987627997532529</v>
      </c>
      <c r="K49" s="244">
        <f>IFERROR(VLOOKUP($B49,'Tire Weight'!$I:$L,4,0),1)</f>
        <v>1.0067958512935706</v>
      </c>
      <c r="L49" s="26">
        <f t="shared" si="11"/>
        <v>17.360704003408991</v>
      </c>
      <c r="M49" s="155">
        <f t="shared" si="12"/>
        <v>17447.507523426037</v>
      </c>
      <c r="N49" s="26">
        <f t="shared" si="13"/>
        <v>117.77031701145097</v>
      </c>
      <c r="O49" s="27"/>
      <c r="V49" s="27"/>
      <c r="W49" s="109"/>
    </row>
    <row r="50" spans="2:23">
      <c r="B50" s="408" t="s">
        <v>206</v>
      </c>
      <c r="C50" s="409" t="str">
        <f>VLOOKUP(B50,'MFG COST SUMMARY'!C:E,3,0)</f>
        <v>TGAZA</v>
      </c>
      <c r="D50" s="85">
        <v>671</v>
      </c>
      <c r="E50" s="24">
        <v>27.767836832564459</v>
      </c>
      <c r="F50" s="25">
        <f t="shared" si="7"/>
        <v>18632.218514650751</v>
      </c>
      <c r="G50" s="24">
        <v>21.937525962338288</v>
      </c>
      <c r="H50" s="26">
        <f t="shared" si="8"/>
        <v>14720.079920728991</v>
      </c>
      <c r="I50" s="26">
        <f t="shared" si="9"/>
        <v>-3912.1385939217598</v>
      </c>
      <c r="J50" s="154">
        <f t="shared" si="10"/>
        <v>0.79003366717465262</v>
      </c>
      <c r="K50" s="244">
        <f>IFERROR(VLOOKUP($B50,'Tire Weight'!$I:$L,4,0),1)</f>
        <v>0.99676593351292031</v>
      </c>
      <c r="L50" s="26">
        <f t="shared" si="11"/>
        <v>21.86657854481405</v>
      </c>
      <c r="M50" s="155">
        <f t="shared" si="12"/>
        <v>14672.474203570227</v>
      </c>
      <c r="N50" s="26">
        <f t="shared" si="13"/>
        <v>-47.605717158763582</v>
      </c>
      <c r="O50" s="27"/>
      <c r="V50" s="27"/>
      <c r="W50" s="109"/>
    </row>
    <row r="51" spans="2:23">
      <c r="B51" s="408" t="s">
        <v>207</v>
      </c>
      <c r="C51" s="409" t="str">
        <f>VLOOKUP(B51,'MFG COST SUMMARY'!C:E,3,0)</f>
        <v>SMLZA</v>
      </c>
      <c r="D51" s="85">
        <v>274</v>
      </c>
      <c r="E51" s="24">
        <v>31.628749168743816</v>
      </c>
      <c r="F51" s="25">
        <f t="shared" si="7"/>
        <v>8666.2772722358059</v>
      </c>
      <c r="G51" s="24">
        <v>25.17751066450932</v>
      </c>
      <c r="H51" s="26">
        <f t="shared" si="8"/>
        <v>6898.6379220755534</v>
      </c>
      <c r="I51" s="26">
        <f t="shared" si="9"/>
        <v>-1767.6393501602524</v>
      </c>
      <c r="J51" s="154">
        <f t="shared" si="10"/>
        <v>0.79603244915515836</v>
      </c>
      <c r="K51" s="244">
        <f>IFERROR(VLOOKUP($B51,'Tire Weight'!$I:$L,4,0),1)</f>
        <v>0.99427367497430164</v>
      </c>
      <c r="L51" s="26">
        <f t="shared" si="11"/>
        <v>25.033336055106354</v>
      </c>
      <c r="M51" s="155">
        <f t="shared" si="12"/>
        <v>6859.1340790991408</v>
      </c>
      <c r="N51" s="26">
        <f t="shared" si="13"/>
        <v>-39.50384297641267</v>
      </c>
      <c r="O51" s="27"/>
      <c r="V51" s="27"/>
      <c r="W51" s="109"/>
    </row>
    <row r="52" spans="2:23">
      <c r="B52" s="408" t="s">
        <v>750</v>
      </c>
      <c r="C52" s="409" t="str">
        <f>VLOOKUP(B52,'MFG COST SUMMARY'!C:E,3,0)</f>
        <v>NX4KA</v>
      </c>
      <c r="D52" s="85">
        <v>498</v>
      </c>
      <c r="E52" s="24">
        <v>33.996916909974523</v>
      </c>
      <c r="F52" s="25">
        <f t="shared" si="7"/>
        <v>16930.464621167313</v>
      </c>
      <c r="G52" s="24">
        <v>27.313537604713812</v>
      </c>
      <c r="H52" s="26">
        <f t="shared" si="8"/>
        <v>13602.141727147478</v>
      </c>
      <c r="I52" s="26">
        <f t="shared" si="9"/>
        <v>-3328.3228940198351</v>
      </c>
      <c r="J52" s="154">
        <f t="shared" si="10"/>
        <v>0.80341219402457509</v>
      </c>
      <c r="K52" s="244">
        <f>IFERROR(VLOOKUP($B52,'Tire Weight'!$I:$L,4,0),1)</f>
        <v>1.0060004367173019</v>
      </c>
      <c r="L52" s="26">
        <f t="shared" si="11"/>
        <v>27.477430758636544</v>
      </c>
      <c r="M52" s="155">
        <f t="shared" si="12"/>
        <v>13683.760517800998</v>
      </c>
      <c r="N52" s="26">
        <f t="shared" si="13"/>
        <v>81.618790653519682</v>
      </c>
      <c r="O52" s="27"/>
      <c r="V52" s="27"/>
      <c r="W52" s="109"/>
    </row>
    <row r="53" spans="2:23">
      <c r="B53" s="408" t="s">
        <v>792</v>
      </c>
      <c r="C53" s="409" t="str">
        <f>VLOOKUP(B53,'MFG COST SUMMARY'!C:E,3,0)</f>
        <v>BXWVA</v>
      </c>
      <c r="D53" s="85">
        <v>1986</v>
      </c>
      <c r="E53" s="24">
        <v>19.872844263086957</v>
      </c>
      <c r="F53" s="25">
        <f t="shared" si="7"/>
        <v>39467.468706490698</v>
      </c>
      <c r="G53" s="24">
        <v>16.002366383982274</v>
      </c>
      <c r="H53" s="26">
        <f t="shared" si="8"/>
        <v>31780.699638588794</v>
      </c>
      <c r="I53" s="26">
        <f t="shared" si="9"/>
        <v>-7686.7690679019033</v>
      </c>
      <c r="J53" s="154">
        <f t="shared" si="10"/>
        <v>0.80523784980824575</v>
      </c>
      <c r="K53" s="244">
        <f>IFERROR(VLOOKUP($B53,'Tire Weight'!$I:$L,4,0),1)</f>
        <v>1.0047435041593957</v>
      </c>
      <c r="L53" s="26">
        <f t="shared" si="11"/>
        <v>16.078273675484869</v>
      </c>
      <c r="M53" s="155">
        <f t="shared" si="12"/>
        <v>31931.451519512946</v>
      </c>
      <c r="N53" s="26">
        <f t="shared" si="13"/>
        <v>150.75188092415192</v>
      </c>
      <c r="O53" s="27"/>
      <c r="V53" s="27"/>
      <c r="W53" s="109"/>
    </row>
    <row r="54" spans="2:23">
      <c r="B54" s="408" t="s">
        <v>793</v>
      </c>
      <c r="C54" s="409" t="str">
        <f>VLOOKUP(B54,'MFG COST SUMMARY'!C:E,3,0)</f>
        <v>FNTZA</v>
      </c>
      <c r="D54" s="85">
        <v>826</v>
      </c>
      <c r="E54" s="24">
        <v>22.259145108054561</v>
      </c>
      <c r="F54" s="25">
        <f t="shared" si="7"/>
        <v>18386.053859253068</v>
      </c>
      <c r="G54" s="24">
        <v>18.002246727275686</v>
      </c>
      <c r="H54" s="26">
        <f t="shared" si="8"/>
        <v>14869.855796729717</v>
      </c>
      <c r="I54" s="26">
        <f t="shared" si="9"/>
        <v>-3516.1980625233518</v>
      </c>
      <c r="J54" s="154">
        <f t="shared" si="10"/>
        <v>0.80875732827499736</v>
      </c>
      <c r="K54" s="244">
        <f>IFERROR(VLOOKUP($B54,'Tire Weight'!$I:$L,4,0),1)</f>
        <v>1.0154192439213625</v>
      </c>
      <c r="L54" s="26">
        <f t="shared" si="11"/>
        <v>18.279827760696101</v>
      </c>
      <c r="M54" s="155">
        <f t="shared" si="12"/>
        <v>15099.137730334978</v>
      </c>
      <c r="N54" s="26">
        <f t="shared" si="13"/>
        <v>229.28193360526166</v>
      </c>
      <c r="O54" s="27"/>
      <c r="V54" s="27"/>
      <c r="W54" s="109"/>
    </row>
    <row r="55" spans="2:23">
      <c r="B55" s="408" t="s">
        <v>412</v>
      </c>
      <c r="C55" s="409" t="str">
        <f>VLOOKUP(B55,'MFG COST SUMMARY'!C:E,3,0)</f>
        <v>KSAVA</v>
      </c>
      <c r="D55" s="85">
        <v>409</v>
      </c>
      <c r="E55" s="24">
        <v>15.569925211634851</v>
      </c>
      <c r="F55" s="25">
        <f t="shared" si="7"/>
        <v>6368.0994115586545</v>
      </c>
      <c r="G55" s="24">
        <v>12.446007173340419</v>
      </c>
      <c r="H55" s="26">
        <f t="shared" si="8"/>
        <v>5090.4169338962311</v>
      </c>
      <c r="I55" s="26">
        <f t="shared" si="9"/>
        <v>-1277.6824776624235</v>
      </c>
      <c r="J55" s="154">
        <f t="shared" si="10"/>
        <v>0.79936203958384844</v>
      </c>
      <c r="K55" s="244">
        <f>IFERROR(VLOOKUP($B55,'Tire Weight'!$I:$L,4,0),1)</f>
        <v>0.99264250992745029</v>
      </c>
      <c r="L55" s="26">
        <f t="shared" si="11"/>
        <v>12.354435799119685</v>
      </c>
      <c r="M55" s="155">
        <f t="shared" si="12"/>
        <v>5052.9642418399508</v>
      </c>
      <c r="N55" s="26">
        <f t="shared" si="13"/>
        <v>-37.452692056280284</v>
      </c>
      <c r="O55" s="27"/>
      <c r="V55" s="27"/>
      <c r="W55" s="109"/>
    </row>
    <row r="56" spans="2:23">
      <c r="B56" s="408" t="s">
        <v>354</v>
      </c>
      <c r="C56" s="409" t="str">
        <f>VLOOKUP(B56,'MFG COST SUMMARY'!C:E,3,0)</f>
        <v>WNPVA</v>
      </c>
      <c r="D56" s="85">
        <v>432</v>
      </c>
      <c r="E56" s="24">
        <v>20.125756689278397</v>
      </c>
      <c r="F56" s="25">
        <f t="shared" si="7"/>
        <v>8694.3268897682683</v>
      </c>
      <c r="G56" s="24">
        <v>15.898911492592973</v>
      </c>
      <c r="H56" s="26">
        <f t="shared" si="8"/>
        <v>6868.3297648001644</v>
      </c>
      <c r="I56" s="26">
        <f t="shared" si="9"/>
        <v>-1825.9971249681039</v>
      </c>
      <c r="J56" s="154">
        <f t="shared" si="10"/>
        <v>0.78997832171263427</v>
      </c>
      <c r="K56" s="244">
        <f>IFERROR(VLOOKUP($B56,'Tire Weight'!$I:$L,4,0),1)</f>
        <v>1.0108591712547101</v>
      </c>
      <c r="L56" s="26">
        <f t="shared" si="11"/>
        <v>16.07156049525452</v>
      </c>
      <c r="M56" s="155">
        <f t="shared" si="12"/>
        <v>6942.9141339499529</v>
      </c>
      <c r="N56" s="26">
        <f t="shared" si="13"/>
        <v>74.584369149788472</v>
      </c>
      <c r="O56" s="27"/>
      <c r="V56" s="27"/>
      <c r="W56" s="109"/>
    </row>
    <row r="57" spans="2:23">
      <c r="B57" s="408" t="s">
        <v>435</v>
      </c>
      <c r="C57" s="409" t="str">
        <f>VLOOKUP(B57,'MFG COST SUMMARY'!C:E,3,0)</f>
        <v>AJNVA</v>
      </c>
      <c r="D57" s="85">
        <v>146</v>
      </c>
      <c r="E57" s="24">
        <v>14.22073369939551</v>
      </c>
      <c r="F57" s="25">
        <f t="shared" si="7"/>
        <v>2076.2271201117446</v>
      </c>
      <c r="G57" s="24">
        <v>11.435698820906859</v>
      </c>
      <c r="H57" s="26">
        <f t="shared" si="8"/>
        <v>1669.6120278524015</v>
      </c>
      <c r="I57" s="26">
        <f t="shared" si="9"/>
        <v>-406.6150922593431</v>
      </c>
      <c r="J57" s="154">
        <f t="shared" si="10"/>
        <v>0.80415673780551589</v>
      </c>
      <c r="K57" s="244">
        <f>IFERROR(VLOOKUP($B57,'Tire Weight'!$I:$L,4,0),1)</f>
        <v>1.0016284874417298</v>
      </c>
      <c r="L57" s="26">
        <f t="shared" si="11"/>
        <v>11.454321712824111</v>
      </c>
      <c r="M57" s="155">
        <f t="shared" si="12"/>
        <v>1672.3309700723203</v>
      </c>
      <c r="N57" s="26">
        <f t="shared" si="13"/>
        <v>2.7189422199187447</v>
      </c>
      <c r="O57" s="27"/>
      <c r="V57" s="27"/>
      <c r="W57" s="109"/>
    </row>
    <row r="58" spans="2:23">
      <c r="B58" s="408" t="s">
        <v>418</v>
      </c>
      <c r="C58" s="409" t="str">
        <f>VLOOKUP(B58,'MFG COST SUMMARY'!C:E,3,0)</f>
        <v>DJKVA</v>
      </c>
      <c r="D58" s="85">
        <v>190</v>
      </c>
      <c r="E58" s="24">
        <v>18.227749886731416</v>
      </c>
      <c r="F58" s="25">
        <f t="shared" si="7"/>
        <v>3463.2724784789693</v>
      </c>
      <c r="G58" s="24">
        <v>14.755731652315859</v>
      </c>
      <c r="H58" s="26">
        <f t="shared" si="8"/>
        <v>2803.589013940013</v>
      </c>
      <c r="I58" s="26">
        <f t="shared" si="9"/>
        <v>-659.68346453895629</v>
      </c>
      <c r="J58" s="154">
        <f t="shared" si="10"/>
        <v>0.80952019552654952</v>
      </c>
      <c r="K58" s="244">
        <f>IFERROR(VLOOKUP($B58,'Tire Weight'!$I:$L,4,0),1)</f>
        <v>0.99874497991968059</v>
      </c>
      <c r="L58" s="26">
        <f t="shared" si="11"/>
        <v>14.737212912792398</v>
      </c>
      <c r="M58" s="155">
        <f t="shared" si="12"/>
        <v>2800.0704534305555</v>
      </c>
      <c r="N58" s="26">
        <f t="shared" si="13"/>
        <v>-3.5185605094575294</v>
      </c>
      <c r="O58" s="27"/>
      <c r="V58" s="27"/>
      <c r="W58" s="109"/>
    </row>
    <row r="59" spans="2:23">
      <c r="B59" s="408" t="s">
        <v>419</v>
      </c>
      <c r="C59" s="409" t="str">
        <f>VLOOKUP(B59,'MFG COST SUMMARY'!C:E,3,0)</f>
        <v>KRLVA</v>
      </c>
      <c r="D59" s="85">
        <v>497</v>
      </c>
      <c r="E59" s="24">
        <v>20.100482653848001</v>
      </c>
      <c r="F59" s="25">
        <f t="shared" si="7"/>
        <v>9989.9398789624556</v>
      </c>
      <c r="G59" s="24">
        <v>16.214845791861659</v>
      </c>
      <c r="H59" s="26">
        <f t="shared" si="8"/>
        <v>8058.7783585552443</v>
      </c>
      <c r="I59" s="26">
        <f t="shared" si="9"/>
        <v>-1931.1615204072114</v>
      </c>
      <c r="J59" s="154">
        <f t="shared" si="10"/>
        <v>0.80668937513087624</v>
      </c>
      <c r="K59" s="244">
        <f>IFERROR(VLOOKUP($B59,'Tire Weight'!$I:$L,4,0),1)</f>
        <v>0.98904514847113112</v>
      </c>
      <c r="L59" s="26">
        <f t="shared" si="11"/>
        <v>16.037214563648309</v>
      </c>
      <c r="M59" s="155">
        <f t="shared" si="12"/>
        <v>7970.4956381332095</v>
      </c>
      <c r="N59" s="26">
        <f t="shared" si="13"/>
        <v>-88.282720422034799</v>
      </c>
      <c r="O59" s="27"/>
      <c r="V59" s="27"/>
      <c r="W59" s="109"/>
    </row>
    <row r="60" spans="2:23">
      <c r="B60" s="408" t="s">
        <v>420</v>
      </c>
      <c r="C60" s="409" t="str">
        <f>VLOOKUP(B60,'MFG COST SUMMARY'!C:E,3,0)</f>
        <v>AETMA</v>
      </c>
      <c r="D60" s="85">
        <v>488</v>
      </c>
      <c r="E60" s="24">
        <v>22.377412602530878</v>
      </c>
      <c r="F60" s="25">
        <f t="shared" si="7"/>
        <v>10920.177350035068</v>
      </c>
      <c r="G60" s="24">
        <v>17.919862965449148</v>
      </c>
      <c r="H60" s="26">
        <f t="shared" si="8"/>
        <v>8744.8931271391848</v>
      </c>
      <c r="I60" s="26">
        <f t="shared" si="9"/>
        <v>-2175.2842228958834</v>
      </c>
      <c r="J60" s="154">
        <f t="shared" si="10"/>
        <v>0.80080138324045647</v>
      </c>
      <c r="K60" s="244">
        <f>IFERROR(VLOOKUP($B60,'Tire Weight'!$I:$L,4,0),1)</f>
        <v>0.98973546671284529</v>
      </c>
      <c r="L60" s="26">
        <f t="shared" si="11"/>
        <v>17.735923935539045</v>
      </c>
      <c r="M60" s="155">
        <f t="shared" si="12"/>
        <v>8655.1308805430544</v>
      </c>
      <c r="N60" s="26">
        <f t="shared" si="13"/>
        <v>-89.762246596130353</v>
      </c>
      <c r="O60" s="27"/>
      <c r="V60" s="27"/>
      <c r="W60" s="109"/>
    </row>
    <row r="61" spans="2:23">
      <c r="B61" s="408" t="s">
        <v>421</v>
      </c>
      <c r="C61" s="409" t="str">
        <f>VLOOKUP(B61,'MFG COST SUMMARY'!C:E,3,0)</f>
        <v>XTHMA</v>
      </c>
      <c r="D61" s="85">
        <v>362</v>
      </c>
      <c r="E61" s="24">
        <v>22.015845585330467</v>
      </c>
      <c r="F61" s="25">
        <f t="shared" si="7"/>
        <v>7969.736101889629</v>
      </c>
      <c r="G61" s="24">
        <v>17.900953448721793</v>
      </c>
      <c r="H61" s="26">
        <f t="shared" si="8"/>
        <v>6480.1451484372892</v>
      </c>
      <c r="I61" s="26">
        <f t="shared" si="9"/>
        <v>-1489.5909534523398</v>
      </c>
      <c r="J61" s="154">
        <f t="shared" si="10"/>
        <v>0.81309406805839446</v>
      </c>
      <c r="K61" s="244">
        <f>IFERROR(VLOOKUP($B61,'Tire Weight'!$I:$L,4,0),1)</f>
        <v>0.99282349026201411</v>
      </c>
      <c r="L61" s="26">
        <f t="shared" si="11"/>
        <v>17.772487081977808</v>
      </c>
      <c r="M61" s="155">
        <f t="shared" si="12"/>
        <v>6433.640323675967</v>
      </c>
      <c r="N61" s="26">
        <f t="shared" si="13"/>
        <v>-46.504824761322197</v>
      </c>
      <c r="O61" s="27"/>
      <c r="V61" s="27"/>
      <c r="W61" s="109"/>
    </row>
    <row r="62" spans="2:23">
      <c r="B62" s="408" t="s">
        <v>422</v>
      </c>
      <c r="C62" s="409" t="str">
        <f>VLOOKUP(B62,'MFG COST SUMMARY'!C:E,3,0)</f>
        <v>CSBMA</v>
      </c>
      <c r="D62" s="85">
        <v>334</v>
      </c>
      <c r="E62" s="24">
        <v>21.358622986568644</v>
      </c>
      <c r="F62" s="25">
        <f t="shared" si="7"/>
        <v>7133.7800775139267</v>
      </c>
      <c r="G62" s="24">
        <v>17.296652474738373</v>
      </c>
      <c r="H62" s="26">
        <f t="shared" si="8"/>
        <v>5777.0819265626169</v>
      </c>
      <c r="I62" s="26">
        <f t="shared" si="9"/>
        <v>-1356.6981509513098</v>
      </c>
      <c r="J62" s="154">
        <f t="shared" si="10"/>
        <v>0.80982058092487341</v>
      </c>
      <c r="K62" s="244">
        <f>IFERROR(VLOOKUP($B62,'Tire Weight'!$I:$L,4,0),1)</f>
        <v>1.0009741003524528</v>
      </c>
      <c r="L62" s="26">
        <f t="shared" si="11"/>
        <v>17.313501150010271</v>
      </c>
      <c r="M62" s="155">
        <f t="shared" si="12"/>
        <v>5782.7093841034302</v>
      </c>
      <c r="N62" s="26">
        <f t="shared" si="13"/>
        <v>5.6274575408133387</v>
      </c>
      <c r="O62" s="27"/>
      <c r="V62" s="27"/>
      <c r="W62" s="109"/>
    </row>
    <row r="63" spans="2:23">
      <c r="B63" s="408" t="s">
        <v>423</v>
      </c>
      <c r="C63" s="409" t="str">
        <f>VLOOKUP(B63,'MFG COST SUMMARY'!C:E,3,0)</f>
        <v>QCCMA</v>
      </c>
      <c r="D63" s="85">
        <v>169</v>
      </c>
      <c r="E63" s="24">
        <v>23.18006177076623</v>
      </c>
      <c r="F63" s="25">
        <f t="shared" si="7"/>
        <v>3917.4304392594927</v>
      </c>
      <c r="G63" s="24">
        <v>18.780154544562123</v>
      </c>
      <c r="H63" s="26">
        <f t="shared" si="8"/>
        <v>3173.8461180309987</v>
      </c>
      <c r="I63" s="26">
        <f t="shared" si="9"/>
        <v>-743.58432122849399</v>
      </c>
      <c r="J63" s="154">
        <f t="shared" si="10"/>
        <v>0.81018569882531144</v>
      </c>
      <c r="K63" s="244">
        <f>IFERROR(VLOOKUP($B63,'Tire Weight'!$I:$L,4,0),1)</f>
        <v>0.99322824399516874</v>
      </c>
      <c r="L63" s="26">
        <f t="shared" si="11"/>
        <v>18.652979920253326</v>
      </c>
      <c r="M63" s="155">
        <f t="shared" si="12"/>
        <v>3152.3536065228118</v>
      </c>
      <c r="N63" s="26">
        <f t="shared" si="13"/>
        <v>-21.492511508186908</v>
      </c>
      <c r="O63" s="27"/>
      <c r="V63" s="27"/>
      <c r="W63" s="109"/>
    </row>
    <row r="64" spans="2:23">
      <c r="B64" s="408" t="s">
        <v>424</v>
      </c>
      <c r="C64" s="409" t="str">
        <f>VLOOKUP(B64,'MFG COST SUMMARY'!C:E,3,0)</f>
        <v>RJAZA</v>
      </c>
      <c r="D64" s="85">
        <v>314</v>
      </c>
      <c r="E64" s="24">
        <v>22.720182520431266</v>
      </c>
      <c r="F64" s="25">
        <f t="shared" si="7"/>
        <v>7134.1373114154176</v>
      </c>
      <c r="G64" s="24">
        <v>18.402124579717402</v>
      </c>
      <c r="H64" s="26">
        <f t="shared" si="8"/>
        <v>5778.2671180312645</v>
      </c>
      <c r="I64" s="26">
        <f t="shared" si="9"/>
        <v>-1355.870193384153</v>
      </c>
      <c r="J64" s="154">
        <f t="shared" si="10"/>
        <v>0.80994615968288008</v>
      </c>
      <c r="K64" s="244">
        <f>IFERROR(VLOOKUP($B64,'Tire Weight'!$I:$L,4,0),1)</f>
        <v>0.99442261220395578</v>
      </c>
      <c r="L64" s="26">
        <f t="shared" si="11"/>
        <v>18.299488794665201</v>
      </c>
      <c r="M64" s="155">
        <f t="shared" si="12"/>
        <v>5746.0394815248737</v>
      </c>
      <c r="N64" s="26">
        <f t="shared" si="13"/>
        <v>-32.227636506390809</v>
      </c>
      <c r="O64" s="27"/>
      <c r="V64" s="27"/>
      <c r="W64" s="109"/>
    </row>
    <row r="65" spans="2:23">
      <c r="B65" s="408" t="s">
        <v>184</v>
      </c>
      <c r="C65" s="409" t="str">
        <f>VLOOKUP(B65,'MFG COST SUMMARY'!C:E,3,0)</f>
        <v>WETVA</v>
      </c>
      <c r="D65" s="85">
        <v>4322</v>
      </c>
      <c r="E65" s="24">
        <v>18.943704375644025</v>
      </c>
      <c r="F65" s="25">
        <f t="shared" si="7"/>
        <v>81874.690311533472</v>
      </c>
      <c r="G65" s="24">
        <v>15.108787340372759</v>
      </c>
      <c r="H65" s="26">
        <f t="shared" si="8"/>
        <v>65300.178885091067</v>
      </c>
      <c r="I65" s="26">
        <f t="shared" si="9"/>
        <v>-16574.511426442405</v>
      </c>
      <c r="J65" s="154">
        <f t="shared" si="10"/>
        <v>0.79756245350820465</v>
      </c>
      <c r="K65" s="244">
        <f>IFERROR(VLOOKUP($B65,'Tire Weight'!$I:$L,4,0),1)</f>
        <v>0.99988541578718571</v>
      </c>
      <c r="L65" s="26">
        <f t="shared" si="11"/>
        <v>15.107056111868784</v>
      </c>
      <c r="M65" s="155">
        <f t="shared" si="12"/>
        <v>65292.696515496886</v>
      </c>
      <c r="N65" s="26">
        <f t="shared" si="13"/>
        <v>-7.4823695941813639</v>
      </c>
      <c r="O65" s="27"/>
      <c r="V65" s="27"/>
      <c r="W65" s="109"/>
    </row>
    <row r="66" spans="2:23">
      <c r="B66" s="408" t="s">
        <v>185</v>
      </c>
      <c r="C66" s="409" t="str">
        <f>VLOOKUP(B66,'MFG COST SUMMARY'!C:E,3,0)</f>
        <v>FDPVA</v>
      </c>
      <c r="D66" s="85">
        <v>1419</v>
      </c>
      <c r="E66" s="24">
        <v>23.005281913193791</v>
      </c>
      <c r="F66" s="25">
        <f t="shared" si="7"/>
        <v>32644.49503482199</v>
      </c>
      <c r="G66" s="24">
        <v>18.312181619653717</v>
      </c>
      <c r="H66" s="26">
        <f t="shared" si="8"/>
        <v>25984.985718288626</v>
      </c>
      <c r="I66" s="26">
        <f t="shared" si="9"/>
        <v>-6659.5093165333637</v>
      </c>
      <c r="J66" s="154">
        <f t="shared" si="10"/>
        <v>0.79599900965140846</v>
      </c>
      <c r="K66" s="244">
        <f>IFERROR(VLOOKUP($B66,'Tire Weight'!$I:$L,4,0),1)</f>
        <v>0.99932664360347279</v>
      </c>
      <c r="L66" s="26">
        <f t="shared" si="11"/>
        <v>18.299850995025757</v>
      </c>
      <c r="M66" s="155">
        <f t="shared" si="12"/>
        <v>25967.488561941547</v>
      </c>
      <c r="N66" s="26">
        <f t="shared" si="13"/>
        <v>-17.497156347078999</v>
      </c>
      <c r="O66" s="27"/>
      <c r="V66" s="27"/>
      <c r="W66" s="109"/>
    </row>
    <row r="67" spans="2:23">
      <c r="B67" s="408" t="s">
        <v>187</v>
      </c>
      <c r="C67" s="409" t="str">
        <f>VLOOKUP(B67,'MFG COST SUMMARY'!C:E,3,0)</f>
        <v>ENGVA</v>
      </c>
      <c r="D67" s="85">
        <v>1644</v>
      </c>
      <c r="E67" s="24">
        <v>22.937181280371046</v>
      </c>
      <c r="F67" s="25">
        <f t="shared" si="7"/>
        <v>37708.726024930002</v>
      </c>
      <c r="G67" s="24">
        <v>18.270029132781758</v>
      </c>
      <c r="H67" s="26">
        <f t="shared" si="8"/>
        <v>30035.927894293211</v>
      </c>
      <c r="I67" s="26">
        <f t="shared" si="9"/>
        <v>-7672.798130636791</v>
      </c>
      <c r="J67" s="154">
        <f t="shared" si="10"/>
        <v>0.79652459949020427</v>
      </c>
      <c r="K67" s="244">
        <f>IFERROR(VLOOKUP($B67,'Tire Weight'!$I:$L,4,0),1)</f>
        <v>1.0042861236820397</v>
      </c>
      <c r="L67" s="26">
        <f t="shared" si="11"/>
        <v>18.348336737319329</v>
      </c>
      <c r="M67" s="155">
        <f t="shared" si="12"/>
        <v>30164.66559615298</v>
      </c>
      <c r="N67" s="26">
        <f t="shared" si="13"/>
        <v>128.737701859769</v>
      </c>
      <c r="O67" s="27"/>
      <c r="V67" s="27"/>
      <c r="W67" s="109"/>
    </row>
    <row r="68" spans="2:23">
      <c r="B68" s="408" t="s">
        <v>188</v>
      </c>
      <c r="C68" s="409" t="str">
        <f>VLOOKUP(B68,'MFG COST SUMMARY'!C:E,3,0)</f>
        <v>TCTVA</v>
      </c>
      <c r="D68" s="85">
        <v>1332</v>
      </c>
      <c r="E68" s="24">
        <v>26.775349277816868</v>
      </c>
      <c r="F68" s="25">
        <f t="shared" si="7"/>
        <v>35664.765238052067</v>
      </c>
      <c r="G68" s="24">
        <v>21.31751526960122</v>
      </c>
      <c r="H68" s="26">
        <f t="shared" si="8"/>
        <v>28394.930339108825</v>
      </c>
      <c r="I68" s="26">
        <f t="shared" si="9"/>
        <v>-7269.8348989432416</v>
      </c>
      <c r="J68" s="154">
        <f t="shared" si="10"/>
        <v>0.7961619864754701</v>
      </c>
      <c r="K68" s="244">
        <f>IFERROR(VLOOKUP($B68,'Tire Weight'!$I:$L,4,0),1)</f>
        <v>1.0001100472989526</v>
      </c>
      <c r="L68" s="26">
        <f t="shared" si="11"/>
        <v>21.31986120457702</v>
      </c>
      <c r="M68" s="155">
        <f t="shared" si="12"/>
        <v>28398.05512449659</v>
      </c>
      <c r="N68" s="26">
        <f t="shared" si="13"/>
        <v>3.1247853877648595</v>
      </c>
      <c r="O68" s="27"/>
      <c r="V68" s="27"/>
      <c r="W68" s="109"/>
    </row>
    <row r="69" spans="2:23">
      <c r="B69" s="408" t="s">
        <v>221</v>
      </c>
      <c r="C69" s="409" t="str">
        <f>VLOOKUP(B69,'MFG COST SUMMARY'!C:E,3,0)</f>
        <v>QBVVA</v>
      </c>
      <c r="D69" s="85">
        <v>2617</v>
      </c>
      <c r="E69" s="24">
        <v>19.931482062865165</v>
      </c>
      <c r="F69" s="25">
        <f t="shared" si="7"/>
        <v>52160.688558518137</v>
      </c>
      <c r="G69" s="24">
        <v>15.888107124506204</v>
      </c>
      <c r="H69" s="26">
        <f t="shared" si="8"/>
        <v>41579.176344832733</v>
      </c>
      <c r="I69" s="26">
        <f t="shared" si="9"/>
        <v>-10581.512213685404</v>
      </c>
      <c r="J69" s="154">
        <f t="shared" si="10"/>
        <v>0.79713626284257744</v>
      </c>
      <c r="K69" s="244">
        <f>IFERROR(VLOOKUP($B69,'Tire Weight'!$I:$L,4,0),1)</f>
        <v>1.0007300008853919</v>
      </c>
      <c r="L69" s="26">
        <f t="shared" si="11"/>
        <v>15.899705456774294</v>
      </c>
      <c r="M69" s="155">
        <f t="shared" si="12"/>
        <v>41609.529180378326</v>
      </c>
      <c r="N69" s="26">
        <f t="shared" si="13"/>
        <v>30.352835545592825</v>
      </c>
      <c r="O69" s="27"/>
      <c r="V69" s="27"/>
      <c r="W69" s="109"/>
    </row>
    <row r="70" spans="2:23">
      <c r="B70" s="408" t="s">
        <v>189</v>
      </c>
      <c r="C70" s="409" t="str">
        <f>VLOOKUP(B70,'MFG COST SUMMARY'!C:E,3,0)</f>
        <v>EMYVA</v>
      </c>
      <c r="D70" s="85">
        <v>2297</v>
      </c>
      <c r="E70" s="24">
        <v>20.213562471730583</v>
      </c>
      <c r="F70" s="25">
        <f t="shared" si="7"/>
        <v>46430.552997565152</v>
      </c>
      <c r="G70" s="24">
        <v>16.128279937830847</v>
      </c>
      <c r="H70" s="26">
        <f t="shared" si="8"/>
        <v>37046.659017197453</v>
      </c>
      <c r="I70" s="26">
        <f t="shared" si="9"/>
        <v>-9383.8939803676985</v>
      </c>
      <c r="J70" s="154">
        <f t="shared" si="10"/>
        <v>0.79789398629691544</v>
      </c>
      <c r="K70" s="244">
        <f>IFERROR(VLOOKUP($B70,'Tire Weight'!$I:$L,4,0),1)</f>
        <v>1.0024546238225331</v>
      </c>
      <c r="L70" s="26">
        <f t="shared" si="11"/>
        <v>16.167868797982731</v>
      </c>
      <c r="M70" s="155">
        <f t="shared" si="12"/>
        <v>37137.594628966326</v>
      </c>
      <c r="N70" s="26">
        <f t="shared" si="13"/>
        <v>90.935611768873059</v>
      </c>
      <c r="O70" s="27"/>
      <c r="V70" s="27"/>
      <c r="W70" s="109"/>
    </row>
    <row r="71" spans="2:23">
      <c r="B71" s="408" t="s">
        <v>159</v>
      </c>
      <c r="C71" s="409" t="str">
        <f>VLOOKUP(B71,'MFG COST SUMMARY'!C:E,3,0)</f>
        <v>GMDVA</v>
      </c>
      <c r="D71" s="85">
        <v>2315</v>
      </c>
      <c r="E71" s="24">
        <v>20.442390926711106</v>
      </c>
      <c r="F71" s="25">
        <f t="shared" si="7"/>
        <v>47324.134995336208</v>
      </c>
      <c r="G71" s="24">
        <v>16.306696924172666</v>
      </c>
      <c r="H71" s="26">
        <f t="shared" si="8"/>
        <v>37750.003379459718</v>
      </c>
      <c r="I71" s="26">
        <f t="shared" si="9"/>
        <v>-9574.1316158764894</v>
      </c>
      <c r="J71" s="154">
        <f t="shared" si="10"/>
        <v>0.79769029868543784</v>
      </c>
      <c r="K71" s="244">
        <f>IFERROR(VLOOKUP($B71,'Tire Weight'!$I:$L,4,0),1)</f>
        <v>1.0070280718898086</v>
      </c>
      <c r="L71" s="26">
        <f t="shared" si="11"/>
        <v>16.421301562441073</v>
      </c>
      <c r="M71" s="155">
        <f t="shared" si="12"/>
        <v>38015.313117051075</v>
      </c>
      <c r="N71" s="26">
        <f t="shared" si="13"/>
        <v>265.30973759135668</v>
      </c>
      <c r="O71" s="27"/>
      <c r="V71" s="27"/>
      <c r="W71" s="109"/>
    </row>
    <row r="72" spans="2:23">
      <c r="B72" s="408" t="s">
        <v>471</v>
      </c>
      <c r="C72" s="409" t="str">
        <f>VLOOKUP(B72,'MFG COST SUMMARY'!C:E,3,0)</f>
        <v>FVCMA</v>
      </c>
      <c r="D72" s="85">
        <v>1</v>
      </c>
      <c r="E72" s="24">
        <v>25.595154846654037</v>
      </c>
      <c r="F72" s="25">
        <f t="shared" si="7"/>
        <v>25.595154846654037</v>
      </c>
      <c r="G72" s="24">
        <v>20.881847617632321</v>
      </c>
      <c r="H72" s="26">
        <f t="shared" si="8"/>
        <v>20.881847617632321</v>
      </c>
      <c r="I72" s="26">
        <f t="shared" si="9"/>
        <v>-4.7133072290217157</v>
      </c>
      <c r="J72" s="154">
        <f t="shared" si="10"/>
        <v>0.81585158373683875</v>
      </c>
      <c r="K72" s="244">
        <f>IFERROR(VLOOKUP($B72,'Tire Weight'!$I:$L,4,0),1)</f>
        <v>1.0023660899106506</v>
      </c>
      <c r="L72" s="26">
        <f t="shared" si="11"/>
        <v>20.931255946596142</v>
      </c>
      <c r="M72" s="155">
        <f t="shared" si="12"/>
        <v>20.931255946596142</v>
      </c>
      <c r="N72" s="26">
        <f t="shared" si="13"/>
        <v>4.9408328963821191E-2</v>
      </c>
      <c r="O72" s="27"/>
      <c r="V72" s="27"/>
      <c r="W72" s="109"/>
    </row>
    <row r="73" spans="2:23">
      <c r="B73" s="408" t="s">
        <v>582</v>
      </c>
      <c r="C73" s="409" t="str">
        <f>VLOOKUP(B73,'MFG COST SUMMARY'!C:E,3,0)</f>
        <v>ZCWVA</v>
      </c>
      <c r="D73" s="85">
        <v>7</v>
      </c>
      <c r="E73" s="24">
        <v>18.585972447428702</v>
      </c>
      <c r="F73" s="25">
        <f t="shared" si="7"/>
        <v>130.10180713200091</v>
      </c>
      <c r="G73" s="24">
        <v>14.839767882354499</v>
      </c>
      <c r="H73" s="26">
        <f t="shared" si="8"/>
        <v>103.8783751764815</v>
      </c>
      <c r="I73" s="26">
        <f t="shared" si="9"/>
        <v>-26.223431955519416</v>
      </c>
      <c r="J73" s="154">
        <f t="shared" si="10"/>
        <v>0.79843914136478367</v>
      </c>
      <c r="K73" s="244">
        <f>IFERROR(VLOOKUP($B73,'Tire Weight'!$I:$L,4,0),1)</f>
        <v>1.0074373210585157</v>
      </c>
      <c r="L73" s="26">
        <f t="shared" si="11"/>
        <v>14.950136000529419</v>
      </c>
      <c r="M73" s="155">
        <f t="shared" si="12"/>
        <v>104.65095200370594</v>
      </c>
      <c r="N73" s="26">
        <f t="shared" si="13"/>
        <v>0.77257682722444088</v>
      </c>
      <c r="O73" s="27"/>
      <c r="V73" s="27"/>
      <c r="W73" s="109"/>
    </row>
    <row r="74" spans="2:23">
      <c r="B74" s="408" t="s">
        <v>789</v>
      </c>
      <c r="C74" s="409" t="str">
        <f>VLOOKUP(B74,'MFG COST SUMMARY'!C:E,3,0)</f>
        <v>32TVA</v>
      </c>
      <c r="D74" s="85">
        <v>716</v>
      </c>
      <c r="E74" s="24">
        <v>15.804847712907215</v>
      </c>
      <c r="F74" s="25">
        <f t="shared" si="7"/>
        <v>11316.270962441566</v>
      </c>
      <c r="G74" s="24">
        <v>12.54083931342195</v>
      </c>
      <c r="H74" s="26">
        <f t="shared" si="8"/>
        <v>8979.2409484101154</v>
      </c>
      <c r="I74" s="26">
        <f t="shared" si="9"/>
        <v>-2337.0300140314503</v>
      </c>
      <c r="J74" s="154">
        <f t="shared" si="10"/>
        <v>0.79348055363926884</v>
      </c>
      <c r="K74" s="244">
        <f>IFERROR(VLOOKUP($B74,'Tire Weight'!$I:$L,4,0),1)</f>
        <v>0.99638532619722775</v>
      </c>
      <c r="L74" s="26">
        <f t="shared" si="11"/>
        <v>12.495508270090948</v>
      </c>
      <c r="M74" s="155">
        <f t="shared" si="12"/>
        <v>8946.7839213851166</v>
      </c>
      <c r="N74" s="26">
        <f t="shared" si="13"/>
        <v>-32.457027024998752</v>
      </c>
      <c r="O74" s="27"/>
      <c r="V74" s="27"/>
      <c r="W74" s="109"/>
    </row>
    <row r="75" spans="2:23">
      <c r="B75" s="408" t="s">
        <v>790</v>
      </c>
      <c r="C75" s="409" t="str">
        <f>VLOOKUP(B75,'MFG COST SUMMARY'!C:E,3,0)</f>
        <v>34RVA</v>
      </c>
      <c r="D75" s="85">
        <v>7585</v>
      </c>
      <c r="E75" s="24">
        <v>17.12777685770951</v>
      </c>
      <c r="F75" s="25">
        <f t="shared" si="7"/>
        <v>129914.18746572663</v>
      </c>
      <c r="G75" s="24">
        <v>13.725258395126412</v>
      </c>
      <c r="H75" s="26">
        <f t="shared" si="8"/>
        <v>104106.08492703384</v>
      </c>
      <c r="I75" s="26">
        <f t="shared" si="9"/>
        <v>-25808.102538692794</v>
      </c>
      <c r="J75" s="154">
        <f t="shared" si="10"/>
        <v>0.80134500286582344</v>
      </c>
      <c r="K75" s="244">
        <f>IFERROR(VLOOKUP($B75,'Tire Weight'!$I:$L,4,0),1)</f>
        <v>0.998346022145985</v>
      </c>
      <c r="L75" s="26">
        <f t="shared" si="11"/>
        <v>13.70255712170024</v>
      </c>
      <c r="M75" s="155">
        <f t="shared" si="12"/>
        <v>103933.89576809632</v>
      </c>
      <c r="N75" s="26">
        <f t="shared" si="13"/>
        <v>-172.18915893751546</v>
      </c>
      <c r="O75" s="27"/>
      <c r="V75" s="27"/>
      <c r="W75" s="109"/>
    </row>
    <row r="76" spans="2:23">
      <c r="B76" s="408" t="s">
        <v>786</v>
      </c>
      <c r="C76" s="409" t="str">
        <f>VLOOKUP(B76,'MFG COST SUMMARY'!C:E,3,0)</f>
        <v>DFYVA</v>
      </c>
      <c r="D76" s="85">
        <v>58104</v>
      </c>
      <c r="E76" s="24">
        <v>11.682900923186393</v>
      </c>
      <c r="F76" s="25">
        <f t="shared" si="7"/>
        <v>678823.27524082223</v>
      </c>
      <c r="G76" s="24">
        <v>9.3412268251024937</v>
      </c>
      <c r="H76" s="26">
        <f t="shared" si="8"/>
        <v>542762.64344575524</v>
      </c>
      <c r="I76" s="26">
        <f t="shared" si="9"/>
        <v>-136060.63179506699</v>
      </c>
      <c r="J76" s="154">
        <f t="shared" si="10"/>
        <v>0.79956398556487684</v>
      </c>
      <c r="K76" s="244">
        <f>IFERROR(VLOOKUP($B76,'Tire Weight'!$I:$L,4,0),1)</f>
        <v>1.0025007401420483</v>
      </c>
      <c r="L76" s="26">
        <f t="shared" si="11"/>
        <v>9.3645868060000055</v>
      </c>
      <c r="M76" s="155">
        <f t="shared" si="12"/>
        <v>544119.9517758243</v>
      </c>
      <c r="N76" s="26">
        <f t="shared" si="13"/>
        <v>1357.3083300690632</v>
      </c>
      <c r="O76" s="27"/>
      <c r="V76" s="27"/>
      <c r="W76" s="109"/>
    </row>
    <row r="77" spans="2:23">
      <c r="B77" s="408" t="s">
        <v>787</v>
      </c>
      <c r="C77" s="409" t="str">
        <f>VLOOKUP(B77,'MFG COST SUMMARY'!C:E,3,0)</f>
        <v>BG5VA</v>
      </c>
      <c r="D77" s="85">
        <v>6</v>
      </c>
      <c r="E77" s="24">
        <v>16.623164429168028</v>
      </c>
      <c r="F77" s="25">
        <f t="shared" si="7"/>
        <v>99.73898657500817</v>
      </c>
      <c r="G77" s="24">
        <v>13.289847263193336</v>
      </c>
      <c r="H77" s="26">
        <f t="shared" si="8"/>
        <v>79.73908357916001</v>
      </c>
      <c r="I77" s="26">
        <f t="shared" si="9"/>
        <v>-19.99990299584816</v>
      </c>
      <c r="J77" s="154">
        <f t="shared" si="10"/>
        <v>0.79947757960416677</v>
      </c>
      <c r="K77" s="244">
        <f>IFERROR(VLOOKUP($B77,'Tire Weight'!$I:$L,4,0),1)</f>
        <v>1.0097075867081746</v>
      </c>
      <c r="L77" s="26">
        <f t="shared" si="11"/>
        <v>13.418859607839183</v>
      </c>
      <c r="M77" s="155">
        <f t="shared" si="12"/>
        <v>80.513157647035086</v>
      </c>
      <c r="N77" s="26">
        <f t="shared" si="13"/>
        <v>0.77407406787507682</v>
      </c>
      <c r="O77" s="27"/>
      <c r="V77" s="27"/>
      <c r="W77" s="109"/>
    </row>
    <row r="78" spans="2:23">
      <c r="B78" s="408" t="s">
        <v>813</v>
      </c>
      <c r="C78" s="409" t="str">
        <f>VLOOKUP(B78,'MFG COST SUMMARY'!C:E,3,0)</f>
        <v>HXHVA</v>
      </c>
      <c r="D78" s="85">
        <v>1</v>
      </c>
      <c r="E78" s="24">
        <v>15.999674455888808</v>
      </c>
      <c r="F78" s="25">
        <f t="shared" si="7"/>
        <v>15.999674455888808</v>
      </c>
      <c r="G78" s="24">
        <v>12.772738435511558</v>
      </c>
      <c r="H78" s="26">
        <f t="shared" si="8"/>
        <v>12.772738435511558</v>
      </c>
      <c r="I78" s="26">
        <f t="shared" si="9"/>
        <v>-3.2269360203772504</v>
      </c>
      <c r="J78" s="154">
        <f t="shared" si="10"/>
        <v>0.79831239508816687</v>
      </c>
      <c r="K78" s="244">
        <f>IFERROR(VLOOKUP($B78,'Tire Weight'!$I:$L,4,0),1)</f>
        <v>1.0060674092415169</v>
      </c>
      <c r="L78" s="26">
        <f t="shared" si="11"/>
        <v>12.850235866734659</v>
      </c>
      <c r="M78" s="155">
        <f t="shared" si="12"/>
        <v>12.850235866734659</v>
      </c>
      <c r="N78" s="26">
        <f t="shared" si="13"/>
        <v>7.7497431223100932E-2</v>
      </c>
      <c r="O78" s="27"/>
      <c r="V78" s="27"/>
      <c r="W78" s="109"/>
    </row>
    <row r="79" spans="2:23">
      <c r="B79" s="408" t="s">
        <v>814</v>
      </c>
      <c r="C79" s="409" t="str">
        <f>VLOOKUP(B79,'MFG COST SUMMARY'!C:E,3,0)</f>
        <v>YC4VA</v>
      </c>
      <c r="D79" s="85">
        <v>1</v>
      </c>
      <c r="E79" s="24">
        <v>15.104638262068244</v>
      </c>
      <c r="F79" s="25">
        <f t="shared" si="7"/>
        <v>15.104638262068244</v>
      </c>
      <c r="G79" s="24">
        <v>12.070290121328251</v>
      </c>
      <c r="H79" s="26">
        <f t="shared" si="8"/>
        <v>12.070290121328251</v>
      </c>
      <c r="I79" s="26">
        <f t="shared" si="9"/>
        <v>-3.0343481407399935</v>
      </c>
      <c r="J79" s="154">
        <f t="shared" si="10"/>
        <v>0.79911149885925792</v>
      </c>
      <c r="K79" s="244">
        <f>IFERROR(VLOOKUP($B79,'Tire Weight'!$I:$L,4,0),1)</f>
        <v>1.0090771644270378</v>
      </c>
      <c r="L79" s="26">
        <f t="shared" si="11"/>
        <v>12.179854129441596</v>
      </c>
      <c r="M79" s="155">
        <f t="shared" si="12"/>
        <v>12.179854129441596</v>
      </c>
      <c r="N79" s="26">
        <f t="shared" si="13"/>
        <v>0.10956400811334532</v>
      </c>
      <c r="O79" s="27"/>
      <c r="V79" s="27"/>
      <c r="W79" s="109"/>
    </row>
    <row r="80" spans="2:23">
      <c r="B80" s="408" t="s">
        <v>830</v>
      </c>
      <c r="C80" s="409" t="str">
        <f>VLOOKUP(B80,'MFG COST SUMMARY'!C:E,3,0)</f>
        <v>7VFMA</v>
      </c>
      <c r="D80" s="85">
        <v>11</v>
      </c>
      <c r="E80" s="24">
        <v>25.117478876684437</v>
      </c>
      <c r="F80" s="25">
        <f t="shared" si="7"/>
        <v>276.29226764352882</v>
      </c>
      <c r="G80" s="24">
        <v>20.00355651506915</v>
      </c>
      <c r="H80" s="26">
        <f t="shared" si="8"/>
        <v>220.03912166576066</v>
      </c>
      <c r="I80" s="26">
        <f t="shared" si="9"/>
        <v>-56.253145977768156</v>
      </c>
      <c r="J80" s="154">
        <f t="shared" si="10"/>
        <v>0.79639985419227965</v>
      </c>
      <c r="K80" s="244">
        <f>IFERROR(VLOOKUP($B80,'Tire Weight'!$I:$L,4,0),1)</f>
        <v>1.0076753584444624</v>
      </c>
      <c r="L80" s="26">
        <f t="shared" si="11"/>
        <v>20.157090981486366</v>
      </c>
      <c r="M80" s="155">
        <f t="shared" si="12"/>
        <v>221.72800079635005</v>
      </c>
      <c r="N80" s="26">
        <f t="shared" si="13"/>
        <v>1.6888791305893847</v>
      </c>
      <c r="O80" s="27"/>
      <c r="V80" s="27"/>
      <c r="W80" s="109"/>
    </row>
    <row r="81" spans="2:23">
      <c r="B81" s="408" t="s">
        <v>831</v>
      </c>
      <c r="C81" s="409" t="str">
        <f>VLOOKUP(B81,'MFG COST SUMMARY'!C:E,3,0)</f>
        <v>8TSZA</v>
      </c>
      <c r="D81" s="85">
        <v>1390</v>
      </c>
      <c r="E81" s="24">
        <v>33.868965184814485</v>
      </c>
      <c r="F81" s="25">
        <f t="shared" si="7"/>
        <v>47077.861606892133</v>
      </c>
      <c r="G81" s="24">
        <v>27.245464016328029</v>
      </c>
      <c r="H81" s="26">
        <f t="shared" si="8"/>
        <v>37871.194982695961</v>
      </c>
      <c r="I81" s="26">
        <f t="shared" si="9"/>
        <v>-9206.6666241961721</v>
      </c>
      <c r="J81" s="154">
        <f t="shared" si="10"/>
        <v>0.80443745085379303</v>
      </c>
      <c r="K81" s="244">
        <f>IFERROR(VLOOKUP($B81,'Tire Weight'!$I:$L,4,0),1)</f>
        <v>1.0018793040004195</v>
      </c>
      <c r="L81" s="26">
        <f t="shared" si="11"/>
        <v>27.296666525847201</v>
      </c>
      <c r="M81" s="155">
        <f t="shared" si="12"/>
        <v>37942.366470927605</v>
      </c>
      <c r="N81" s="26">
        <f t="shared" si="13"/>
        <v>71.171488231644616</v>
      </c>
      <c r="O81" s="27"/>
      <c r="V81" s="27"/>
      <c r="W81" s="109"/>
    </row>
    <row r="82" spans="2:23">
      <c r="B82" s="408" t="s">
        <v>784</v>
      </c>
      <c r="C82" s="409" t="str">
        <f>VLOOKUP(B82,'MFG COST SUMMARY'!C:E,3,0)</f>
        <v>XCQZA</v>
      </c>
      <c r="D82" s="85">
        <v>552</v>
      </c>
      <c r="E82" s="24">
        <v>23.706810070690597</v>
      </c>
      <c r="F82" s="25">
        <f t="shared" si="7"/>
        <v>13086.15915902121</v>
      </c>
      <c r="G82" s="24">
        <v>19.187441817040611</v>
      </c>
      <c r="H82" s="26">
        <f t="shared" si="8"/>
        <v>10591.467883006417</v>
      </c>
      <c r="I82" s="26">
        <f t="shared" si="9"/>
        <v>-2494.6912760147934</v>
      </c>
      <c r="J82" s="154">
        <f t="shared" si="10"/>
        <v>0.80936413460209011</v>
      </c>
      <c r="K82" s="244">
        <f>IFERROR(VLOOKUP($B82,'Tire Weight'!$I:$L,4,0),1)</f>
        <v>1.0005826893083074</v>
      </c>
      <c r="L82" s="26">
        <f t="shared" si="11"/>
        <v>19.19862213424117</v>
      </c>
      <c r="M82" s="155">
        <f t="shared" si="12"/>
        <v>10597.639418101126</v>
      </c>
      <c r="N82" s="26">
        <f t="shared" si="13"/>
        <v>6.1715350947088154</v>
      </c>
      <c r="O82" s="27"/>
      <c r="V82" s="27"/>
      <c r="W82" s="109"/>
    </row>
    <row r="83" spans="2:23">
      <c r="B83" s="408" t="s">
        <v>852</v>
      </c>
      <c r="C83" s="409" t="str">
        <f>VLOOKUP(B83,'MFG COST SUMMARY'!C:E,3,0)</f>
        <v>KYVVA</v>
      </c>
      <c r="D83" s="85">
        <v>5643</v>
      </c>
      <c r="E83" s="24">
        <v>16.781078697980526</v>
      </c>
      <c r="F83" s="25">
        <f t="shared" si="7"/>
        <v>94695.627092704104</v>
      </c>
      <c r="G83" s="24">
        <v>13.743390015250096</v>
      </c>
      <c r="H83" s="26">
        <f t="shared" si="8"/>
        <v>77553.949856056293</v>
      </c>
      <c r="I83" s="26">
        <f t="shared" si="9"/>
        <v>-17141.677236647811</v>
      </c>
      <c r="J83" s="154">
        <f t="shared" si="10"/>
        <v>0.81898132191609396</v>
      </c>
      <c r="K83" s="244">
        <f>IFERROR(VLOOKUP($B83,'Tire Weight'!$I:$L,4,0),1)</f>
        <v>1.003261125547354</v>
      </c>
      <c r="L83" s="26">
        <f t="shared" si="11"/>
        <v>13.788208935536078</v>
      </c>
      <c r="M83" s="155">
        <f t="shared" si="12"/>
        <v>77806.863023230093</v>
      </c>
      <c r="N83" s="26">
        <f t="shared" si="13"/>
        <v>252.91316717379959</v>
      </c>
      <c r="O83" s="27"/>
      <c r="V83" s="27"/>
      <c r="W83" s="109"/>
    </row>
    <row r="84" spans="2:23">
      <c r="B84" s="408" t="s">
        <v>851</v>
      </c>
      <c r="C84" s="409" t="str">
        <f>VLOOKUP(B84,'MFG COST SUMMARY'!C:E,3,0)</f>
        <v>2CVVA</v>
      </c>
      <c r="D84" s="85">
        <v>1796</v>
      </c>
      <c r="E84" s="24">
        <v>16.267432079626474</v>
      </c>
      <c r="F84" s="25">
        <f t="shared" si="7"/>
        <v>29216.308015009148</v>
      </c>
      <c r="G84" s="24">
        <v>13.312440418644096</v>
      </c>
      <c r="H84" s="26">
        <f t="shared" si="8"/>
        <v>23909.142991884797</v>
      </c>
      <c r="I84" s="26">
        <f t="shared" si="9"/>
        <v>-5307.1650231243511</v>
      </c>
      <c r="J84" s="154">
        <f t="shared" si="10"/>
        <v>0.81834922398826271</v>
      </c>
      <c r="K84" s="244">
        <f>IFERROR(VLOOKUP($B84,'Tire Weight'!$I:$L,4,0),1)</f>
        <v>1.0141344542740331</v>
      </c>
      <c r="L84" s="26">
        <f t="shared" si="11"/>
        <v>13.500604499017211</v>
      </c>
      <c r="M84" s="155">
        <f t="shared" si="12"/>
        <v>24247.085680234912</v>
      </c>
      <c r="N84" s="26">
        <f t="shared" si="13"/>
        <v>337.94268835011462</v>
      </c>
      <c r="O84" s="27"/>
      <c r="V84" s="27"/>
      <c r="W84" s="109"/>
    </row>
    <row r="85" spans="2:23">
      <c r="B85" s="408" t="s">
        <v>885</v>
      </c>
      <c r="C85" s="409" t="str">
        <f>VLOOKUP(B85,'MFG COST SUMMARY'!C:E,3,0)</f>
        <v>E33KA</v>
      </c>
      <c r="D85" s="85">
        <v>1141</v>
      </c>
      <c r="E85" s="24">
        <v>29.023638005213517</v>
      </c>
      <c r="F85" s="25">
        <f t="shared" si="7"/>
        <v>33115.970963948625</v>
      </c>
      <c r="G85" s="24">
        <v>23.411095865611415</v>
      </c>
      <c r="H85" s="26">
        <f t="shared" si="8"/>
        <v>26712.060382662625</v>
      </c>
      <c r="I85" s="26">
        <f t="shared" si="9"/>
        <v>-6403.9105812859998</v>
      </c>
      <c r="J85" s="154">
        <f t="shared" si="10"/>
        <v>0.80662168751574415</v>
      </c>
      <c r="K85" s="244">
        <f>IFERROR(VLOOKUP($B85,'Tire Weight'!$I:$L,4,0),1)</f>
        <v>1.0094991629470971</v>
      </c>
      <c r="L85" s="26">
        <f t="shared" si="11"/>
        <v>23.63348168000897</v>
      </c>
      <c r="M85" s="155">
        <f t="shared" si="12"/>
        <v>26965.802596890233</v>
      </c>
      <c r="N85" s="26">
        <f t="shared" si="13"/>
        <v>253.7422142276082</v>
      </c>
      <c r="O85" s="27"/>
      <c r="V85" s="27"/>
      <c r="W85" s="109"/>
    </row>
    <row r="86" spans="2:23">
      <c r="B86" s="408" t="s">
        <v>850</v>
      </c>
      <c r="C86" s="409" t="str">
        <f>VLOOKUP(B86,'MFG COST SUMMARY'!C:E,3,0)</f>
        <v>4QAVA</v>
      </c>
      <c r="D86" s="85">
        <v>13</v>
      </c>
      <c r="E86" s="24">
        <v>17.296976295473932</v>
      </c>
      <c r="F86" s="25">
        <f t="shared" si="7"/>
        <v>224.86069184116113</v>
      </c>
      <c r="G86" s="24">
        <v>14.197519175274024</v>
      </c>
      <c r="H86" s="26">
        <f t="shared" si="8"/>
        <v>184.5677492785623</v>
      </c>
      <c r="I86" s="26">
        <f t="shared" si="9"/>
        <v>-40.292942562598824</v>
      </c>
      <c r="J86" s="154">
        <f t="shared" si="10"/>
        <v>0.82080930983232381</v>
      </c>
      <c r="K86" s="244">
        <f>IFERROR(VLOOKUP($B86,'Tire Weight'!$I:$L,4,0),1)</f>
        <v>1.0162881509606194</v>
      </c>
      <c r="L86" s="26">
        <f t="shared" si="11"/>
        <v>14.428770510867176</v>
      </c>
      <c r="M86" s="155">
        <f t="shared" si="12"/>
        <v>187.57401664127329</v>
      </c>
      <c r="N86" s="26">
        <f t="shared" si="13"/>
        <v>3.0062673627109859</v>
      </c>
      <c r="O86" s="27"/>
      <c r="V86" s="27"/>
      <c r="W86" s="109"/>
    </row>
    <row r="87" spans="2:23">
      <c r="B87" s="408" t="s">
        <v>846</v>
      </c>
      <c r="C87" s="409" t="str">
        <f>VLOOKUP(B87,'MFG COST SUMMARY'!C:E,3,0)</f>
        <v>K47VA</v>
      </c>
      <c r="D87" s="85">
        <v>41985</v>
      </c>
      <c r="E87" s="24">
        <v>12.327759239899391</v>
      </c>
      <c r="F87" s="25">
        <f t="shared" si="7"/>
        <v>517580.97168717597</v>
      </c>
      <c r="G87" s="24">
        <v>10.112881172052191</v>
      </c>
      <c r="H87" s="26">
        <f t="shared" si="8"/>
        <v>424589.31600861123</v>
      </c>
      <c r="I87" s="26">
        <f t="shared" si="9"/>
        <v>-92991.655678564741</v>
      </c>
      <c r="J87" s="154">
        <f t="shared" si="10"/>
        <v>0.82033409115594658</v>
      </c>
      <c r="K87" s="244">
        <f>IFERROR(VLOOKUP($B87,'Tire Weight'!$I:$L,4,0),1)</f>
        <v>1.0023876659093007</v>
      </c>
      <c r="L87" s="26">
        <f t="shared" si="11"/>
        <v>10.13702735367151</v>
      </c>
      <c r="M87" s="155">
        <f t="shared" si="12"/>
        <v>425603.09344389831</v>
      </c>
      <c r="N87" s="26">
        <f t="shared" si="13"/>
        <v>1013.7774352870765</v>
      </c>
      <c r="O87" s="27"/>
      <c r="V87" s="27"/>
      <c r="W87" s="109"/>
    </row>
    <row r="88" spans="2:23">
      <c r="B88" s="408" t="s">
        <v>847</v>
      </c>
      <c r="C88" s="409" t="str">
        <f>VLOOKUP(B88,'MFG COST SUMMARY'!C:E,3,0)</f>
        <v>35NVA</v>
      </c>
      <c r="D88" s="85">
        <v>3</v>
      </c>
      <c r="E88" s="24">
        <v>13.84444898927274</v>
      </c>
      <c r="F88" s="25">
        <f t="shared" si="7"/>
        <v>41.533346967818218</v>
      </c>
      <c r="G88" s="24">
        <v>11.400677454169784</v>
      </c>
      <c r="H88" s="26">
        <f t="shared" si="8"/>
        <v>34.202032362509357</v>
      </c>
      <c r="I88" s="26">
        <f t="shared" si="9"/>
        <v>-7.3313146053088616</v>
      </c>
      <c r="J88" s="154">
        <f t="shared" si="10"/>
        <v>0.82348365492938791</v>
      </c>
      <c r="K88" s="244">
        <f>IFERROR(VLOOKUP($B88,'Tire Weight'!$I:$L,4,0),1)</f>
        <v>1.0194234487607663</v>
      </c>
      <c r="L88" s="26">
        <f t="shared" si="11"/>
        <v>11.622117928538875</v>
      </c>
      <c r="M88" s="155">
        <f t="shared" si="12"/>
        <v>34.866353785616624</v>
      </c>
      <c r="N88" s="26">
        <f t="shared" si="13"/>
        <v>0.66432142310726761</v>
      </c>
      <c r="O88" s="27"/>
      <c r="V88" s="27"/>
      <c r="W88" s="109"/>
    </row>
    <row r="89" spans="2:23">
      <c r="B89" s="408" t="s">
        <v>848</v>
      </c>
      <c r="C89" s="409" t="str">
        <f>VLOOKUP(B89,'MFG COST SUMMARY'!C:E,3,0)</f>
        <v>36TVA</v>
      </c>
      <c r="D89" s="85">
        <v>2</v>
      </c>
      <c r="E89" s="24">
        <v>14.991756907388888</v>
      </c>
      <c r="F89" s="25">
        <f t="shared" si="7"/>
        <v>29.983513814777776</v>
      </c>
      <c r="G89" s="24">
        <v>12.292296915834328</v>
      </c>
      <c r="H89" s="26">
        <f t="shared" si="8"/>
        <v>24.584593831668656</v>
      </c>
      <c r="I89" s="26">
        <f t="shared" si="9"/>
        <v>-5.3989199831091206</v>
      </c>
      <c r="J89" s="154">
        <f t="shared" si="10"/>
        <v>0.81993704885755614</v>
      </c>
      <c r="K89" s="244">
        <f>IFERROR(VLOOKUP($B89,'Tire Weight'!$I:$L,4,0),1)</f>
        <v>1.0150552989413331</v>
      </c>
      <c r="L89" s="26">
        <f t="shared" si="11"/>
        <v>12.477361120577839</v>
      </c>
      <c r="M89" s="155">
        <f t="shared" si="12"/>
        <v>24.954722241155679</v>
      </c>
      <c r="N89" s="26">
        <f t="shared" si="13"/>
        <v>0.37012840948702319</v>
      </c>
      <c r="O89" s="27"/>
      <c r="V89" s="27"/>
      <c r="W89" s="109"/>
    </row>
    <row r="90" spans="2:23">
      <c r="B90" s="408" t="s">
        <v>849</v>
      </c>
      <c r="C90" s="409" t="str">
        <f>VLOOKUP(B90,'MFG COST SUMMARY'!C:E,3,0)</f>
        <v>37AVA</v>
      </c>
      <c r="D90" s="85">
        <v>17</v>
      </c>
      <c r="E90" s="24">
        <v>15.171410003666502</v>
      </c>
      <c r="F90" s="25">
        <f t="shared" si="7"/>
        <v>257.91397006233052</v>
      </c>
      <c r="G90" s="24">
        <v>12.453686097488468</v>
      </c>
      <c r="H90" s="26">
        <f t="shared" si="8"/>
        <v>211.71266365730395</v>
      </c>
      <c r="I90" s="26">
        <f t="shared" si="9"/>
        <v>-46.201306405026571</v>
      </c>
      <c r="J90" s="154">
        <f t="shared" si="10"/>
        <v>0.82086543666533063</v>
      </c>
      <c r="K90" s="244">
        <f>IFERROR(VLOOKUP($B90,'Tire Weight'!$I:$L,4,0),1)</f>
        <v>1.0112222589999107</v>
      </c>
      <c r="L90" s="26">
        <f t="shared" si="11"/>
        <v>12.593444588378071</v>
      </c>
      <c r="M90" s="155">
        <f t="shared" si="12"/>
        <v>214.08855800242719</v>
      </c>
      <c r="N90" s="26">
        <f t="shared" si="13"/>
        <v>2.3758943451232426</v>
      </c>
      <c r="O90" s="27"/>
      <c r="V90" s="27"/>
      <c r="W90" s="109"/>
    </row>
    <row r="91" spans="2:23">
      <c r="B91" s="408" t="s">
        <v>853</v>
      </c>
      <c r="C91" s="409" t="str">
        <f>VLOOKUP(B91,'MFG COST SUMMARY'!C:E,3,0)</f>
        <v>N98VA</v>
      </c>
      <c r="D91" s="85">
        <v>2</v>
      </c>
      <c r="E91" s="24">
        <v>15.472976492466319</v>
      </c>
      <c r="F91" s="25">
        <f t="shared" si="7"/>
        <v>30.945952984932639</v>
      </c>
      <c r="G91" s="24">
        <v>12.284567862470075</v>
      </c>
      <c r="H91" s="26">
        <f t="shared" si="8"/>
        <v>24.56913572494015</v>
      </c>
      <c r="I91" s="26">
        <f t="shared" si="9"/>
        <v>-6.3768172599924888</v>
      </c>
      <c r="J91" s="154">
        <f t="shared" si="10"/>
        <v>0.79393695637367134</v>
      </c>
      <c r="K91" s="244">
        <f>IFERROR(VLOOKUP($B91,'Tire Weight'!$I:$L,4,0),1)</f>
        <v>0.99836760795665636</v>
      </c>
      <c r="L91" s="26">
        <f t="shared" si="11"/>
        <v>12.264514631635464</v>
      </c>
      <c r="M91" s="155">
        <f t="shared" si="12"/>
        <v>24.529029263270928</v>
      </c>
      <c r="N91" s="26">
        <f t="shared" si="13"/>
        <v>-4.0106461669221716E-2</v>
      </c>
      <c r="O91" s="27"/>
      <c r="V91" s="27"/>
      <c r="W91" s="109"/>
    </row>
    <row r="92" spans="2:23">
      <c r="B92" s="408" t="s">
        <v>854</v>
      </c>
      <c r="C92" s="409" t="str">
        <f>VLOOKUP(B92,'MFG COST SUMMARY'!C:E,3,0)</f>
        <v>HZFVA</v>
      </c>
      <c r="D92" s="85">
        <v>276</v>
      </c>
      <c r="E92" s="24">
        <v>17.244374106649996</v>
      </c>
      <c r="F92" s="25">
        <f t="shared" si="7"/>
        <v>4759.447253435399</v>
      </c>
      <c r="G92" s="24">
        <v>13.675008056518495</v>
      </c>
      <c r="H92" s="26">
        <f t="shared" si="8"/>
        <v>3774.3022235991048</v>
      </c>
      <c r="I92" s="26">
        <f t="shared" si="9"/>
        <v>-985.14502983629427</v>
      </c>
      <c r="J92" s="154">
        <f t="shared" si="10"/>
        <v>0.79301272240695375</v>
      </c>
      <c r="K92" s="244">
        <f>IFERROR(VLOOKUP($B92,'Tire Weight'!$I:$L,4,0),1)</f>
        <v>0.9868043065547587</v>
      </c>
      <c r="L92" s="26">
        <f t="shared" si="11"/>
        <v>13.494556842343473</v>
      </c>
      <c r="M92" s="155">
        <f t="shared" si="12"/>
        <v>3724.4976884867983</v>
      </c>
      <c r="N92" s="26">
        <f t="shared" si="13"/>
        <v>-49.804535112306439</v>
      </c>
      <c r="O92" s="27"/>
      <c r="V92" s="27"/>
      <c r="W92" s="109"/>
    </row>
    <row r="93" spans="2:23">
      <c r="B93" s="408" t="s">
        <v>855</v>
      </c>
      <c r="C93" s="409" t="str">
        <f>VLOOKUP(B93,'MFG COST SUMMARY'!C:E,3,0)</f>
        <v>BQTVA</v>
      </c>
      <c r="D93" s="85">
        <v>1</v>
      </c>
      <c r="E93" s="24">
        <v>17.388712462691114</v>
      </c>
      <c r="F93" s="25">
        <f t="shared" si="7"/>
        <v>17.388712462691114</v>
      </c>
      <c r="G93" s="24">
        <v>13.785008773220138</v>
      </c>
      <c r="H93" s="26">
        <f t="shared" si="8"/>
        <v>13.785008773220138</v>
      </c>
      <c r="I93" s="26">
        <f t="shared" si="9"/>
        <v>-3.6037036894709757</v>
      </c>
      <c r="J93" s="154">
        <f t="shared" si="10"/>
        <v>0.79275615160104507</v>
      </c>
      <c r="K93" s="244">
        <f>IFERROR(VLOOKUP($B93,'Tire Weight'!$I:$L,4,0),1)</f>
        <v>1.0020752263517558</v>
      </c>
      <c r="L93" s="26">
        <f t="shared" si="11"/>
        <v>13.81361578668551</v>
      </c>
      <c r="M93" s="155">
        <f t="shared" si="12"/>
        <v>13.81361578668551</v>
      </c>
      <c r="N93" s="26">
        <f t="shared" si="13"/>
        <v>2.8607013465371978E-2</v>
      </c>
      <c r="O93" s="27"/>
      <c r="V93" s="27"/>
      <c r="W93" s="109"/>
    </row>
    <row r="94" spans="2:23">
      <c r="B94" s="408" t="s">
        <v>931</v>
      </c>
      <c r="C94" s="409" t="str">
        <f>VLOOKUP(B94,'MFG COST SUMMARY'!C:E,3,0)</f>
        <v>3YTZA</v>
      </c>
      <c r="D94" s="85">
        <v>1</v>
      </c>
      <c r="E94" s="24">
        <v>29.314944318218984</v>
      </c>
      <c r="F94" s="25">
        <f t="shared" si="7"/>
        <v>29.314944318218984</v>
      </c>
      <c r="G94" s="24">
        <v>23.928052118714696</v>
      </c>
      <c r="H94" s="26">
        <f t="shared" si="8"/>
        <v>23.928052118714696</v>
      </c>
      <c r="I94" s="26">
        <f t="shared" si="9"/>
        <v>-5.3868921995042882</v>
      </c>
      <c r="J94" s="154">
        <f t="shared" si="10"/>
        <v>0.81624074939291691</v>
      </c>
      <c r="K94" s="244">
        <f>IFERROR(VLOOKUP($B94,'Tire Weight'!$I:$L,4,0),1)</f>
        <v>1.0095063986209918</v>
      </c>
      <c r="L94" s="26">
        <f t="shared" si="11"/>
        <v>24.155521720379063</v>
      </c>
      <c r="M94" s="155">
        <f t="shared" si="12"/>
        <v>24.155521720379063</v>
      </c>
      <c r="N94" s="26">
        <f t="shared" si="13"/>
        <v>0.22746960166436736</v>
      </c>
      <c r="O94" s="27"/>
      <c r="V94" s="27"/>
      <c r="W94" s="109"/>
    </row>
    <row r="95" spans="2:23">
      <c r="B95" s="408" t="s">
        <v>400</v>
      </c>
      <c r="C95" s="409" t="str">
        <f>VLOOKUP(B95,'MFG COST SUMMARY'!C:E,3,0)</f>
        <v>JCGZA</v>
      </c>
      <c r="D95" s="85">
        <v>1</v>
      </c>
      <c r="E95" s="24">
        <v>29.517946275594902</v>
      </c>
      <c r="F95" s="25">
        <f t="shared" si="7"/>
        <v>29.517946275594902</v>
      </c>
      <c r="G95" s="24">
        <v>24.164584310521896</v>
      </c>
      <c r="H95" s="26">
        <f t="shared" si="8"/>
        <v>24.164584310521896</v>
      </c>
      <c r="I95" s="26">
        <f t="shared" si="9"/>
        <v>-5.353361965073006</v>
      </c>
      <c r="J95" s="154">
        <f t="shared" si="10"/>
        <v>0.81864043266793585</v>
      </c>
      <c r="K95" s="244">
        <f>IFERROR(VLOOKUP($B95,'Tire Weight'!$I:$L,4,0),1)</f>
        <v>1.015251618334797</v>
      </c>
      <c r="L95" s="26">
        <f t="shared" si="11"/>
        <v>24.533133327645</v>
      </c>
      <c r="M95" s="155">
        <f t="shared" si="12"/>
        <v>24.533133327645</v>
      </c>
      <c r="N95" s="26">
        <f t="shared" si="13"/>
        <v>0.36854901712310451</v>
      </c>
      <c r="O95" s="27"/>
      <c r="V95" s="27"/>
      <c r="W95" s="109"/>
    </row>
    <row r="96" spans="2:23">
      <c r="B96" s="408" t="s">
        <v>943</v>
      </c>
      <c r="C96" s="409" t="str">
        <f>VLOOKUP(B96,'MFG COST SUMMARY'!C:E,3,0)</f>
        <v>P6CZA</v>
      </c>
      <c r="D96" s="85">
        <v>17</v>
      </c>
      <c r="E96" s="24">
        <v>25.945556407031539</v>
      </c>
      <c r="F96" s="25">
        <f t="shared" si="7"/>
        <v>441.07445891953614</v>
      </c>
      <c r="G96" s="24">
        <v>21.206383524140058</v>
      </c>
      <c r="H96" s="26">
        <f t="shared" si="8"/>
        <v>360.50851991038098</v>
      </c>
      <c r="I96" s="26">
        <f t="shared" si="9"/>
        <v>-80.565939009155159</v>
      </c>
      <c r="J96" s="154">
        <f t="shared" si="10"/>
        <v>0.81734163613438215</v>
      </c>
      <c r="K96" s="244">
        <f>IFERROR(VLOOKUP($B96,'Tire Weight'!$I:$L,4,0),1)</f>
        <v>1.0107178068250486</v>
      </c>
      <c r="L96" s="26">
        <f t="shared" si="11"/>
        <v>21.433669446209684</v>
      </c>
      <c r="M96" s="155">
        <f t="shared" si="12"/>
        <v>364.37238058556466</v>
      </c>
      <c r="N96" s="26">
        <f t="shared" si="13"/>
        <v>3.8638606751836733</v>
      </c>
      <c r="O96" s="27"/>
      <c r="V96" s="27"/>
      <c r="W96" s="109"/>
    </row>
    <row r="97" spans="2:23">
      <c r="B97" s="408" t="s">
        <v>942</v>
      </c>
      <c r="C97" s="409" t="str">
        <f>VLOOKUP(B97,'MFG COST SUMMARY'!C:E,3,0)</f>
        <v>3DKZA</v>
      </c>
      <c r="D97" s="85">
        <v>9</v>
      </c>
      <c r="E97" s="24">
        <v>26.975255894642618</v>
      </c>
      <c r="F97" s="25">
        <f t="shared" si="7"/>
        <v>242.77730305178358</v>
      </c>
      <c r="G97" s="24">
        <v>22.015487409199313</v>
      </c>
      <c r="H97" s="26">
        <f t="shared" si="8"/>
        <v>198.13938668279383</v>
      </c>
      <c r="I97" s="26">
        <f t="shared" si="9"/>
        <v>-44.63791636898975</v>
      </c>
      <c r="J97" s="154">
        <f t="shared" si="10"/>
        <v>0.81613636938923972</v>
      </c>
      <c r="K97" s="244">
        <f>IFERROR(VLOOKUP($B97,'Tire Weight'!$I:$L,4,0),1)</f>
        <v>1.0098192300383757</v>
      </c>
      <c r="L97" s="26">
        <f t="shared" si="11"/>
        <v>22.231662544477206</v>
      </c>
      <c r="M97" s="155">
        <f t="shared" si="12"/>
        <v>200.08496290029487</v>
      </c>
      <c r="N97" s="26">
        <f t="shared" si="13"/>
        <v>1.945576217501042</v>
      </c>
      <c r="O97" s="27"/>
      <c r="V97" s="27"/>
      <c r="W97" s="109"/>
    </row>
    <row r="98" spans="2:23">
      <c r="B98" s="408" t="s">
        <v>936</v>
      </c>
      <c r="C98" s="409" t="str">
        <f>VLOOKUP(B98,'MFG COST SUMMARY'!C:E,3,0)</f>
        <v>3PTZA</v>
      </c>
      <c r="D98" s="85">
        <v>285</v>
      </c>
      <c r="E98" s="24">
        <v>30.513557882058766</v>
      </c>
      <c r="F98" s="25">
        <f t="shared" si="7"/>
        <v>8696.3639963867481</v>
      </c>
      <c r="G98" s="24">
        <v>24.848981770437081</v>
      </c>
      <c r="H98" s="26">
        <f t="shared" si="8"/>
        <v>7081.9598045745679</v>
      </c>
      <c r="I98" s="26">
        <f t="shared" si="9"/>
        <v>-1614.4041918121802</v>
      </c>
      <c r="J98" s="154">
        <f t="shared" si="10"/>
        <v>0.81435871446009522</v>
      </c>
      <c r="K98" s="244">
        <f>IFERROR(VLOOKUP($B98,'Tire Weight'!$I:$L,4,0),1)</f>
        <v>1.0018171145006283</v>
      </c>
      <c r="L98" s="26">
        <f t="shared" si="11"/>
        <v>24.89413521553799</v>
      </c>
      <c r="M98" s="155">
        <f t="shared" si="12"/>
        <v>7094.8285364283265</v>
      </c>
      <c r="N98" s="26">
        <f t="shared" si="13"/>
        <v>12.868731853758618</v>
      </c>
      <c r="O98" s="27"/>
      <c r="V98" s="27"/>
      <c r="W98" s="109"/>
    </row>
    <row r="99" spans="2:23">
      <c r="B99" s="408" t="s">
        <v>416</v>
      </c>
      <c r="C99" s="409" t="str">
        <f>VLOOKUP(B99,'MFG COST SUMMARY'!C:E,3,0)</f>
        <v>VYFZA</v>
      </c>
      <c r="D99" s="85">
        <v>10</v>
      </c>
      <c r="E99" s="24">
        <v>31.968327817621176</v>
      </c>
      <c r="F99" s="25">
        <f t="shared" ref="F99:F116" si="14">E99*D99</f>
        <v>319.68327817621179</v>
      </c>
      <c r="G99" s="24">
        <v>25.404436194809474</v>
      </c>
      <c r="H99" s="26">
        <f t="shared" ref="H99:H116" si="15">+D99*G99</f>
        <v>254.04436194809475</v>
      </c>
      <c r="I99" s="26">
        <f t="shared" ref="I99:I116" si="16">H99-F99</f>
        <v>-65.63891622811704</v>
      </c>
      <c r="J99" s="154">
        <f t="shared" ref="J99:J116" si="17">+H99/F99</f>
        <v>0.79467516536183547</v>
      </c>
      <c r="K99" s="244">
        <f>IFERROR(VLOOKUP($B99,'Tire Weight'!$I:$L,4,0),1)</f>
        <v>1.0031197924025992</v>
      </c>
      <c r="L99" s="26">
        <f t="shared" ref="L99:L116" si="18">G99*K99</f>
        <v>25.483692761842356</v>
      </c>
      <c r="M99" s="155">
        <f t="shared" ref="M99:M116" si="19">+H99*K99</f>
        <v>254.83692761842357</v>
      </c>
      <c r="N99" s="26">
        <f t="shared" ref="N99:N116" si="20">M99-H99</f>
        <v>0.79256567032882685</v>
      </c>
      <c r="O99" s="27"/>
      <c r="V99" s="27"/>
      <c r="W99" s="109"/>
    </row>
    <row r="100" spans="2:23">
      <c r="B100" s="408" t="s">
        <v>927</v>
      </c>
      <c r="C100" s="409" t="str">
        <f>VLOOKUP(B100,'MFG COST SUMMARY'!C:E,3,0)</f>
        <v>3KQVA</v>
      </c>
      <c r="D100" s="85">
        <v>25</v>
      </c>
      <c r="E100" s="24">
        <v>18.393803341848386</v>
      </c>
      <c r="F100" s="25">
        <f t="shared" si="14"/>
        <v>459.84508354620965</v>
      </c>
      <c r="G100" s="24">
        <v>14.642129958679982</v>
      </c>
      <c r="H100" s="26">
        <f t="shared" si="15"/>
        <v>366.05324896699955</v>
      </c>
      <c r="I100" s="26">
        <f t="shared" si="16"/>
        <v>-93.791834579210104</v>
      </c>
      <c r="J100" s="154">
        <f t="shared" si="17"/>
        <v>0.79603601748677821</v>
      </c>
      <c r="K100" s="244">
        <f>IFERROR(VLOOKUP($B100,'Tire Weight'!$I:$L,4,0),1)</f>
        <v>1.0028752657732869</v>
      </c>
      <c r="L100" s="26">
        <f t="shared" si="18"/>
        <v>14.684229973798194</v>
      </c>
      <c r="M100" s="155">
        <f t="shared" si="19"/>
        <v>367.1057493449548</v>
      </c>
      <c r="N100" s="26">
        <f t="shared" si="20"/>
        <v>1.0525003779552549</v>
      </c>
      <c r="O100" s="27"/>
      <c r="V100" s="27"/>
      <c r="W100" s="109"/>
    </row>
    <row r="101" spans="2:23">
      <c r="B101" s="408" t="s">
        <v>938</v>
      </c>
      <c r="C101" s="409" t="str">
        <f>VLOOKUP(B101,'MFG COST SUMMARY'!C:E,3,0)</f>
        <v>3APZA</v>
      </c>
      <c r="D101" s="85">
        <v>11</v>
      </c>
      <c r="E101" s="24">
        <v>27.125469381515273</v>
      </c>
      <c r="F101" s="25">
        <f t="shared" si="14"/>
        <v>298.38016319666804</v>
      </c>
      <c r="G101" s="24">
        <v>22.115922885011408</v>
      </c>
      <c r="H101" s="26">
        <f t="shared" si="15"/>
        <v>243.27515173512549</v>
      </c>
      <c r="I101" s="26">
        <f t="shared" si="16"/>
        <v>-55.105011461542546</v>
      </c>
      <c r="J101" s="154">
        <f t="shared" si="17"/>
        <v>0.81531945397716743</v>
      </c>
      <c r="K101" s="244">
        <f>IFERROR(VLOOKUP($B101,'Tire Weight'!$I:$L,4,0),1)</f>
        <v>1.0054693976224165</v>
      </c>
      <c r="L101" s="26">
        <f t="shared" si="18"/>
        <v>22.236883661056236</v>
      </c>
      <c r="M101" s="155">
        <f t="shared" si="19"/>
        <v>244.60572027161859</v>
      </c>
      <c r="N101" s="26">
        <f t="shared" si="20"/>
        <v>1.3305685364931037</v>
      </c>
      <c r="O101" s="27"/>
      <c r="V101" s="27"/>
      <c r="W101" s="109"/>
    </row>
    <row r="102" spans="2:23">
      <c r="B102" s="408" t="s">
        <v>1007</v>
      </c>
      <c r="C102" s="409" t="str">
        <f>VLOOKUP(B102,'MFG COST SUMMARY'!C:E,3,0)</f>
        <v>4VCVA</v>
      </c>
      <c r="D102" s="85">
        <v>11</v>
      </c>
      <c r="E102" s="24">
        <v>25.676250865857089</v>
      </c>
      <c r="F102" s="25">
        <f t="shared" si="14"/>
        <v>282.43875952442795</v>
      </c>
      <c r="G102" s="24">
        <v>20.437032674681838</v>
      </c>
      <c r="H102" s="26">
        <f t="shared" si="15"/>
        <v>224.80735942150022</v>
      </c>
      <c r="I102" s="26">
        <f t="shared" si="16"/>
        <v>-57.631400102927728</v>
      </c>
      <c r="J102" s="154">
        <f t="shared" si="17"/>
        <v>0.7959508100093351</v>
      </c>
      <c r="K102" s="244">
        <f>IFERROR(VLOOKUP($B102,'Tire Weight'!$I:$L,4,0),1)</f>
        <v>1.0023176779040162</v>
      </c>
      <c r="L102" s="26">
        <f t="shared" si="18"/>
        <v>20.484399133735604</v>
      </c>
      <c r="M102" s="155">
        <f t="shared" si="19"/>
        <v>225.32839047109167</v>
      </c>
      <c r="N102" s="26">
        <f t="shared" si="20"/>
        <v>0.52103104959144275</v>
      </c>
      <c r="O102" s="27"/>
      <c r="V102" s="27"/>
      <c r="W102" s="109"/>
    </row>
    <row r="103" spans="2:23">
      <c r="B103" s="408" t="s">
        <v>935</v>
      </c>
      <c r="C103" s="409" t="str">
        <f>VLOOKUP(B103,'MFG COST SUMMARY'!C:E,3,0)</f>
        <v>3XLMA</v>
      </c>
      <c r="D103" s="85">
        <v>1008</v>
      </c>
      <c r="E103" s="24">
        <v>29.915594561716716</v>
      </c>
      <c r="F103" s="25">
        <f t="shared" si="14"/>
        <v>30154.91931821045</v>
      </c>
      <c r="G103" s="24">
        <v>24.143653862520445</v>
      </c>
      <c r="H103" s="26">
        <f t="shared" si="15"/>
        <v>24336.803093420607</v>
      </c>
      <c r="I103" s="26">
        <f t="shared" si="16"/>
        <v>-5818.1162247898428</v>
      </c>
      <c r="J103" s="154">
        <f t="shared" si="17"/>
        <v>0.8070591347503191</v>
      </c>
      <c r="K103" s="244">
        <f>IFERROR(VLOOKUP($B103,'Tire Weight'!$I:$L,4,0),1)</f>
        <v>1.0052122282821669</v>
      </c>
      <c r="L103" s="26">
        <f t="shared" si="18"/>
        <v>24.269496098017523</v>
      </c>
      <c r="M103" s="155">
        <f t="shared" si="19"/>
        <v>24463.652066801664</v>
      </c>
      <c r="N103" s="26">
        <f t="shared" si="20"/>
        <v>126.84897338105657</v>
      </c>
      <c r="O103" s="27"/>
      <c r="V103" s="27"/>
      <c r="W103" s="109"/>
    </row>
    <row r="104" spans="2:23">
      <c r="B104" s="408" t="s">
        <v>1002</v>
      </c>
      <c r="C104" s="409" t="str">
        <f>VLOOKUP(B104,'MFG COST SUMMARY'!C:E,3,0)</f>
        <v>3ZFZA</v>
      </c>
      <c r="D104" s="85">
        <v>12954</v>
      </c>
      <c r="E104" s="24">
        <v>27.489027512503299</v>
      </c>
      <c r="F104" s="25">
        <f t="shared" si="14"/>
        <v>356092.86239696771</v>
      </c>
      <c r="G104" s="24">
        <v>21.837947027061343</v>
      </c>
      <c r="H104" s="26">
        <f t="shared" si="15"/>
        <v>282888.76578855264</v>
      </c>
      <c r="I104" s="26">
        <f t="shared" si="16"/>
        <v>-73204.096608415071</v>
      </c>
      <c r="J104" s="154">
        <f t="shared" si="17"/>
        <v>0.79442413949087221</v>
      </c>
      <c r="K104" s="244">
        <f>IFERROR(VLOOKUP($B104,'Tire Weight'!$I:$L,4,0),1)</f>
        <v>0.99925233585177731</v>
      </c>
      <c r="L104" s="26">
        <f t="shared" si="18"/>
        <v>21.821619576998422</v>
      </c>
      <c r="M104" s="155">
        <f t="shared" si="19"/>
        <v>282677.26000043756</v>
      </c>
      <c r="N104" s="26">
        <f t="shared" si="20"/>
        <v>-211.50578811508603</v>
      </c>
      <c r="O104" s="27"/>
      <c r="V104" s="27"/>
      <c r="W104" s="109"/>
    </row>
    <row r="105" spans="2:23">
      <c r="B105" s="408" t="s">
        <v>937</v>
      </c>
      <c r="C105" s="409" t="str">
        <f>VLOOKUP(B105,'MFG COST SUMMARY'!C:E,3,0)</f>
        <v>3SFZA</v>
      </c>
      <c r="D105" s="85">
        <v>37</v>
      </c>
      <c r="E105" s="24">
        <v>28.420330844293154</v>
      </c>
      <c r="F105" s="25">
        <f t="shared" si="14"/>
        <v>1051.5522412388468</v>
      </c>
      <c r="G105" s="24">
        <v>23.252935725200359</v>
      </c>
      <c r="H105" s="26">
        <f t="shared" si="15"/>
        <v>860.35862183241329</v>
      </c>
      <c r="I105" s="26">
        <f t="shared" si="16"/>
        <v>-191.19361940643353</v>
      </c>
      <c r="J105" s="154">
        <f t="shared" si="17"/>
        <v>0.81817962825966117</v>
      </c>
      <c r="K105" s="244">
        <f>IFERROR(VLOOKUP($B105,'Tire Weight'!$I:$L,4,0),1)</f>
        <v>1.0143213365813954</v>
      </c>
      <c r="L105" s="26">
        <f t="shared" si="18"/>
        <v>23.585948844226508</v>
      </c>
      <c r="M105" s="155">
        <f t="shared" si="19"/>
        <v>872.68010723638076</v>
      </c>
      <c r="N105" s="26">
        <f t="shared" si="20"/>
        <v>12.321485403967472</v>
      </c>
      <c r="O105" s="27"/>
      <c r="V105" s="27"/>
      <c r="W105" s="109"/>
    </row>
    <row r="106" spans="2:23">
      <c r="B106" s="408" t="s">
        <v>1004</v>
      </c>
      <c r="C106" s="409" t="str">
        <f>VLOOKUP(B106,'MFG COST SUMMARY'!C:E,3,0)</f>
        <v>KHAVA</v>
      </c>
      <c r="D106" s="85">
        <v>1875</v>
      </c>
      <c r="E106" s="24">
        <v>19.066859719386109</v>
      </c>
      <c r="F106" s="25">
        <f t="shared" si="14"/>
        <v>35750.361973848951</v>
      </c>
      <c r="G106" s="24">
        <v>15.179033342417458</v>
      </c>
      <c r="H106" s="26">
        <f t="shared" si="15"/>
        <v>28460.687517032733</v>
      </c>
      <c r="I106" s="26">
        <f t="shared" si="16"/>
        <v>-7289.6744568162176</v>
      </c>
      <c r="J106" s="154">
        <f t="shared" si="17"/>
        <v>0.79609508675328811</v>
      </c>
      <c r="K106" s="244">
        <f>IFERROR(VLOOKUP($B106,'Tire Weight'!$I:$L,4,0),1)</f>
        <v>0.99311980435609837</v>
      </c>
      <c r="L106" s="26">
        <f t="shared" si="18"/>
        <v>15.074598623336319</v>
      </c>
      <c r="M106" s="155">
        <f t="shared" si="19"/>
        <v>28264.8724187556</v>
      </c>
      <c r="N106" s="26">
        <f t="shared" si="20"/>
        <v>-195.81509827713307</v>
      </c>
      <c r="O106" s="27"/>
      <c r="V106" s="27"/>
      <c r="W106" s="109"/>
    </row>
    <row r="107" spans="2:23">
      <c r="B107" s="408" t="s">
        <v>1003</v>
      </c>
      <c r="C107" s="409" t="str">
        <f>VLOOKUP(B107,'MFG COST SUMMARY'!C:E,3,0)</f>
        <v>CMMVA</v>
      </c>
      <c r="D107" s="85">
        <v>5270</v>
      </c>
      <c r="E107" s="24">
        <v>19.756315796631124</v>
      </c>
      <c r="F107" s="25">
        <f t="shared" si="14"/>
        <v>104115.78424824603</v>
      </c>
      <c r="G107" s="24">
        <v>15.754209701163388</v>
      </c>
      <c r="H107" s="26">
        <f t="shared" si="15"/>
        <v>83024.685125131058</v>
      </c>
      <c r="I107" s="26">
        <f t="shared" si="16"/>
        <v>-21091.099123114967</v>
      </c>
      <c r="J107" s="154">
        <f t="shared" si="17"/>
        <v>0.79742649709263203</v>
      </c>
      <c r="K107" s="244">
        <f>IFERROR(VLOOKUP($B107,'Tire Weight'!$I:$L,4,0),1)</f>
        <v>0.99319926792559543</v>
      </c>
      <c r="L107" s="26">
        <f t="shared" si="18"/>
        <v>15.647069541941791</v>
      </c>
      <c r="M107" s="155">
        <f t="shared" si="19"/>
        <v>82460.056486033238</v>
      </c>
      <c r="N107" s="26">
        <f t="shared" si="20"/>
        <v>-564.62863909782027</v>
      </c>
      <c r="O107" s="27"/>
      <c r="V107" s="27"/>
      <c r="W107" s="109"/>
    </row>
    <row r="108" spans="2:23">
      <c r="B108" s="408" t="s">
        <v>1009</v>
      </c>
      <c r="C108" s="409" t="str">
        <f>VLOOKUP(B108,'MFG COST SUMMARY'!C:E,3,0)</f>
        <v>4NCZA</v>
      </c>
      <c r="D108" s="85">
        <v>32</v>
      </c>
      <c r="E108" s="24">
        <v>31.099977087023159</v>
      </c>
      <c r="F108" s="25">
        <f t="shared" si="14"/>
        <v>995.1992667847411</v>
      </c>
      <c r="G108" s="24">
        <v>25.345680659795079</v>
      </c>
      <c r="H108" s="26">
        <f t="shared" si="15"/>
        <v>811.06178111344252</v>
      </c>
      <c r="I108" s="26">
        <f t="shared" si="16"/>
        <v>-184.13748567129858</v>
      </c>
      <c r="J108" s="154">
        <f t="shared" si="17"/>
        <v>0.81497425508943122</v>
      </c>
      <c r="K108" s="244">
        <f>IFERROR(VLOOKUP($B108,'Tire Weight'!$I:$L,4,0),1)</f>
        <v>1.0101752140710107</v>
      </c>
      <c r="L108" s="26">
        <f t="shared" si="18"/>
        <v>25.603578386283971</v>
      </c>
      <c r="M108" s="155">
        <f t="shared" si="19"/>
        <v>819.31450836108706</v>
      </c>
      <c r="N108" s="26">
        <f t="shared" si="20"/>
        <v>8.2527272476445432</v>
      </c>
      <c r="O108" s="27"/>
      <c r="V108" s="27"/>
      <c r="W108" s="109"/>
    </row>
    <row r="109" spans="2:23">
      <c r="B109" s="408" t="s">
        <v>1010</v>
      </c>
      <c r="C109" s="409" t="str">
        <f>VLOOKUP(B109,'MFG COST SUMMARY'!C:E,3,0)</f>
        <v>4DHVA</v>
      </c>
      <c r="D109" s="85">
        <v>3112</v>
      </c>
      <c r="E109" s="24">
        <v>24.757603089006935</v>
      </c>
      <c r="F109" s="25">
        <f t="shared" si="14"/>
        <v>77045.660812989576</v>
      </c>
      <c r="G109" s="24">
        <v>19.704303193898831</v>
      </c>
      <c r="H109" s="26">
        <f t="shared" si="15"/>
        <v>61319.791539413163</v>
      </c>
      <c r="I109" s="26">
        <f t="shared" si="16"/>
        <v>-15725.869273576413</v>
      </c>
      <c r="J109" s="154">
        <f t="shared" si="17"/>
        <v>0.79588896885773619</v>
      </c>
      <c r="K109" s="244">
        <f>IFERROR(VLOOKUP($B109,'Tire Weight'!$I:$L,4,0),1)</f>
        <v>0.99654166409494782</v>
      </c>
      <c r="L109" s="26">
        <f t="shared" si="18"/>
        <v>19.636159094679336</v>
      </c>
      <c r="M109" s="155">
        <f t="shared" si="19"/>
        <v>61107.727102642093</v>
      </c>
      <c r="N109" s="26">
        <f t="shared" si="20"/>
        <v>-212.06443677107018</v>
      </c>
      <c r="O109" s="27"/>
      <c r="V109" s="27"/>
      <c r="W109" s="109"/>
    </row>
    <row r="110" spans="2:23">
      <c r="B110" s="408" t="s">
        <v>1042</v>
      </c>
      <c r="C110" s="409" t="str">
        <f>VLOOKUP(B110,'MFG COST SUMMARY'!C:E,3,0)</f>
        <v>4REVA</v>
      </c>
      <c r="D110" s="85">
        <v>6</v>
      </c>
      <c r="E110" s="24">
        <v>19.848169084330262</v>
      </c>
      <c r="F110" s="25">
        <f t="shared" si="14"/>
        <v>119.08901450598157</v>
      </c>
      <c r="G110" s="24">
        <v>15.836864247786064</v>
      </c>
      <c r="H110" s="26">
        <f t="shared" si="15"/>
        <v>95.021185486716377</v>
      </c>
      <c r="I110" s="26">
        <f t="shared" si="16"/>
        <v>-24.06782901926519</v>
      </c>
      <c r="J110" s="154">
        <f t="shared" si="17"/>
        <v>0.79790051064654399</v>
      </c>
      <c r="K110" s="244">
        <f>IFERROR(VLOOKUP($B110,'Tire Weight'!$I:$L,4,0),1)</f>
        <v>0.99497586208549549</v>
      </c>
      <c r="L110" s="26">
        <f t="shared" si="18"/>
        <v>15.7572976576719</v>
      </c>
      <c r="M110" s="155">
        <f t="shared" si="19"/>
        <v>94.543785946031406</v>
      </c>
      <c r="N110" s="26">
        <f t="shared" si="20"/>
        <v>-0.4773995406849707</v>
      </c>
      <c r="O110" s="27"/>
      <c r="V110" s="27"/>
      <c r="W110" s="109"/>
    </row>
    <row r="111" spans="2:23">
      <c r="B111" s="408" t="s">
        <v>1040</v>
      </c>
      <c r="C111" s="409" t="str">
        <f>VLOOKUP(B111,'MFG COST SUMMARY'!C:E,3,0)</f>
        <v>4STVA</v>
      </c>
      <c r="D111" s="85">
        <v>4223</v>
      </c>
      <c r="E111" s="24">
        <v>17.019264241214369</v>
      </c>
      <c r="F111" s="25">
        <f t="shared" si="14"/>
        <v>71872.352890648282</v>
      </c>
      <c r="G111" s="24">
        <v>13.576627075072336</v>
      </c>
      <c r="H111" s="26">
        <f t="shared" si="15"/>
        <v>57334.096138030473</v>
      </c>
      <c r="I111" s="26">
        <f t="shared" si="16"/>
        <v>-14538.25675261781</v>
      </c>
      <c r="J111" s="154">
        <f t="shared" si="17"/>
        <v>0.79772115190471993</v>
      </c>
      <c r="K111" s="244">
        <f>IFERROR(VLOOKUP($B111,'Tire Weight'!$I:$L,4,0),1)</f>
        <v>0.98544682529295613</v>
      </c>
      <c r="L111" s="26">
        <f t="shared" si="18"/>
        <v>13.379044049316427</v>
      </c>
      <c r="M111" s="155">
        <f t="shared" si="19"/>
        <v>56499.703020263267</v>
      </c>
      <c r="N111" s="26">
        <f t="shared" si="20"/>
        <v>-834.39311776720569</v>
      </c>
      <c r="O111" s="27"/>
      <c r="V111" s="27"/>
      <c r="W111" s="109"/>
    </row>
    <row r="112" spans="2:23">
      <c r="B112" s="408" t="s">
        <v>1044</v>
      </c>
      <c r="C112" s="409" t="str">
        <f>VLOOKUP(B112,'MFG COST SUMMARY'!C:E,3,0)</f>
        <v>4XTVA</v>
      </c>
      <c r="D112" s="85">
        <v>3071</v>
      </c>
      <c r="E112" s="24">
        <v>16.008712834215338</v>
      </c>
      <c r="F112" s="25">
        <f t="shared" si="14"/>
        <v>49162.757113875305</v>
      </c>
      <c r="G112" s="24">
        <v>12.767263994370941</v>
      </c>
      <c r="H112" s="26">
        <f t="shared" si="15"/>
        <v>39208.267726713158</v>
      </c>
      <c r="I112" s="26">
        <f t="shared" si="16"/>
        <v>-9954.4893871621462</v>
      </c>
      <c r="J112" s="154">
        <f t="shared" si="17"/>
        <v>0.79751970858541066</v>
      </c>
      <c r="K112" s="244">
        <f>IFERROR(VLOOKUP($B112,'Tire Weight'!$I:$L,4,0),1)</f>
        <v>1.0061752638290844</v>
      </c>
      <c r="L112" s="26">
        <f t="shared" si="18"/>
        <v>12.846105217911752</v>
      </c>
      <c r="M112" s="155">
        <f t="shared" si="19"/>
        <v>39450.389124206988</v>
      </c>
      <c r="N112" s="26">
        <f t="shared" si="20"/>
        <v>242.12139749382914</v>
      </c>
      <c r="O112" s="27"/>
      <c r="V112" s="27"/>
      <c r="W112" s="109"/>
    </row>
    <row r="113" spans="2:31">
      <c r="B113" s="408" t="s">
        <v>332</v>
      </c>
      <c r="C113" s="409" t="str">
        <f>VLOOKUP(B113,'MFG COST SUMMARY'!C:E,3,0)</f>
        <v>GKPVA</v>
      </c>
      <c r="D113" s="85">
        <v>1</v>
      </c>
      <c r="E113" s="24">
        <v>23.47842844096569</v>
      </c>
      <c r="F113" s="25">
        <f t="shared" si="14"/>
        <v>23.47842844096569</v>
      </c>
      <c r="G113" s="24">
        <v>18.748133598808213</v>
      </c>
      <c r="H113" s="26">
        <f t="shared" si="15"/>
        <v>18.748133598808213</v>
      </c>
      <c r="I113" s="26">
        <f t="shared" si="16"/>
        <v>-4.7302948421574769</v>
      </c>
      <c r="J113" s="154">
        <f t="shared" si="17"/>
        <v>0.79852591692619634</v>
      </c>
      <c r="K113" s="244">
        <f>IFERROR(VLOOKUP($B113,'Tire Weight'!$I:$L,4,0),1)</f>
        <v>1.0090282816519447</v>
      </c>
      <c r="L113" s="26">
        <f t="shared" si="18"/>
        <v>18.917397029386542</v>
      </c>
      <c r="M113" s="155">
        <f t="shared" si="19"/>
        <v>18.917397029386542</v>
      </c>
      <c r="N113" s="26">
        <f t="shared" si="20"/>
        <v>0.16926343057832938</v>
      </c>
      <c r="O113" s="27"/>
      <c r="V113" s="27"/>
      <c r="W113" s="109"/>
    </row>
    <row r="114" spans="2:31">
      <c r="B114" s="408" t="s">
        <v>477</v>
      </c>
      <c r="C114" s="409" t="str">
        <f>VLOOKUP(B114,'MFG COST SUMMARY'!C:E,3,0)</f>
        <v>ZX4KA</v>
      </c>
      <c r="D114" s="85">
        <v>89</v>
      </c>
      <c r="E114" s="24">
        <v>37.222947173049874</v>
      </c>
      <c r="F114" s="25">
        <f t="shared" si="14"/>
        <v>3312.8422984014387</v>
      </c>
      <c r="G114" s="24">
        <v>30.008654147813754</v>
      </c>
      <c r="H114" s="26">
        <f t="shared" si="15"/>
        <v>2670.770219155424</v>
      </c>
      <c r="I114" s="26">
        <f t="shared" si="16"/>
        <v>-642.07207924601471</v>
      </c>
      <c r="J114" s="154">
        <f t="shared" si="17"/>
        <v>0.8061869472157378</v>
      </c>
      <c r="K114" s="244">
        <f>IFERROR(VLOOKUP($B114,'Tire Weight'!$I:$L,4,0),1)</f>
        <v>1.0094089642636692</v>
      </c>
      <c r="L114" s="26">
        <f t="shared" si="18"/>
        <v>30.291004502291344</v>
      </c>
      <c r="M114" s="155">
        <f t="shared" si="19"/>
        <v>2695.8994007039296</v>
      </c>
      <c r="N114" s="26">
        <f t="shared" si="20"/>
        <v>25.129181548505585</v>
      </c>
      <c r="O114" s="27"/>
      <c r="V114" s="27"/>
      <c r="W114" s="109"/>
    </row>
    <row r="115" spans="2:31">
      <c r="B115" s="408" t="s">
        <v>1005</v>
      </c>
      <c r="C115" s="409" t="str">
        <f>VLOOKUP(B115,'MFG COST SUMMARY'!C:E,3,0)</f>
        <v>QTTZA</v>
      </c>
      <c r="D115" s="85">
        <v>94</v>
      </c>
      <c r="E115" s="24">
        <v>24.59753385823543</v>
      </c>
      <c r="F115" s="25">
        <f t="shared" si="14"/>
        <v>2312.1681826741305</v>
      </c>
      <c r="G115" s="24">
        <v>19.624737533133725</v>
      </c>
      <c r="H115" s="26">
        <f t="shared" si="15"/>
        <v>1844.7253281145702</v>
      </c>
      <c r="I115" s="26">
        <f t="shared" si="16"/>
        <v>-467.44285455956037</v>
      </c>
      <c r="J115" s="154">
        <f t="shared" si="17"/>
        <v>0.79783354080284041</v>
      </c>
      <c r="K115" s="244">
        <f>IFERROR(VLOOKUP($B115,'Tire Weight'!$I:$L,4,0),1)</f>
        <v>1.0094465526112686</v>
      </c>
      <c r="L115" s="26">
        <f t="shared" si="18"/>
        <v>19.810123648722811</v>
      </c>
      <c r="M115" s="155">
        <f t="shared" si="19"/>
        <v>1862.1516229799442</v>
      </c>
      <c r="N115" s="26">
        <f t="shared" si="20"/>
        <v>17.426294865374075</v>
      </c>
      <c r="O115" s="27"/>
      <c r="V115" s="27"/>
      <c r="W115" s="109"/>
    </row>
    <row r="116" spans="2:31" ht="15.75" thickBot="1">
      <c r="B116" s="408" t="s">
        <v>1015</v>
      </c>
      <c r="C116" s="409" t="str">
        <f>VLOOKUP(B116,'MFG COST SUMMARY'!C:E,3,0)</f>
        <v>4HXVA</v>
      </c>
      <c r="D116" s="85">
        <v>3142</v>
      </c>
      <c r="E116" s="24">
        <v>22.80888873173609</v>
      </c>
      <c r="F116" s="25">
        <f t="shared" si="14"/>
        <v>71665.528395114801</v>
      </c>
      <c r="G116" s="24">
        <v>18.199960796269337</v>
      </c>
      <c r="H116" s="26">
        <f t="shared" si="15"/>
        <v>57184.276821878258</v>
      </c>
      <c r="I116" s="26">
        <f t="shared" si="16"/>
        <v>-14481.251573236543</v>
      </c>
      <c r="J116" s="154">
        <f t="shared" si="17"/>
        <v>0.79793281515491232</v>
      </c>
      <c r="K116" s="244">
        <f>IFERROR(VLOOKUP($B116,'Tire Weight'!$I:$L,4,0),1)</f>
        <v>1.0095762802227399</v>
      </c>
      <c r="L116" s="26">
        <f t="shared" si="18"/>
        <v>18.374248720897295</v>
      </c>
      <c r="M116" s="155">
        <f t="shared" si="19"/>
        <v>57731.889481059297</v>
      </c>
      <c r="N116" s="26">
        <f t="shared" si="20"/>
        <v>547.61265918103891</v>
      </c>
      <c r="O116" s="27"/>
      <c r="V116" s="27"/>
      <c r="W116" s="109"/>
    </row>
    <row r="117" spans="2:31" ht="15.75" thickBot="1">
      <c r="B117" s="410" t="s">
        <v>4</v>
      </c>
      <c r="C117" s="411"/>
      <c r="D117" s="412">
        <f>SUM(D6:D116)</f>
        <v>201209</v>
      </c>
      <c r="E117" s="413" t="s">
        <v>925</v>
      </c>
      <c r="F117" s="414">
        <f>SUM(F6:F116)</f>
        <v>3399527.9181628833</v>
      </c>
      <c r="G117" s="413" t="s">
        <v>925</v>
      </c>
      <c r="H117" s="415">
        <f>SUM(H6:H116)</f>
        <v>2728414.3202088736</v>
      </c>
      <c r="I117" s="415">
        <f>SUM(I6:I116)</f>
        <v>-671113.59795401082</v>
      </c>
      <c r="J117" s="416">
        <f t="shared" ref="J117" si="21">+H117/F117</f>
        <v>0.80258623723358569</v>
      </c>
      <c r="K117" s="417" t="s">
        <v>925</v>
      </c>
      <c r="L117" s="417" t="s">
        <v>925</v>
      </c>
      <c r="M117" s="415">
        <f>SUM(M6:M116)</f>
        <v>2731957.4767274256</v>
      </c>
      <c r="N117" s="415">
        <f>SUM(N6:N116)</f>
        <v>3543.1565185522968</v>
      </c>
      <c r="O117" s="27"/>
      <c r="V117" s="27"/>
      <c r="W117" s="109"/>
      <c r="Y117" s="109"/>
      <c r="Z117" s="109"/>
      <c r="AA117" s="109"/>
      <c r="AB117" s="109"/>
    </row>
    <row r="118" spans="2:31">
      <c r="H118" s="147">
        <f>H117/F117</f>
        <v>0.80258623723358569</v>
      </c>
      <c r="M118" s="248">
        <f>M117/H117</f>
        <v>1.0012986138110729</v>
      </c>
      <c r="O118" s="27"/>
      <c r="V118" s="27"/>
      <c r="W118" s="109"/>
      <c r="Y118" s="109"/>
      <c r="Z118" s="109"/>
      <c r="AA118" s="109"/>
      <c r="AB118" s="109"/>
    </row>
    <row r="119" spans="2:31">
      <c r="B119" s="373" t="s">
        <v>922</v>
      </c>
      <c r="C119" s="373"/>
      <c r="D119" s="418">
        <v>201209</v>
      </c>
      <c r="E119" s="373"/>
      <c r="F119" s="418">
        <v>3399527.9181628833</v>
      </c>
      <c r="G119" s="373"/>
      <c r="H119" s="418">
        <v>2728414.3202088736</v>
      </c>
      <c r="M119" s="491">
        <f>M117/1000</f>
        <v>2731.9574767274257</v>
      </c>
      <c r="N119" s="373"/>
      <c r="O119" s="27"/>
      <c r="V119" s="27"/>
      <c r="W119" s="109"/>
      <c r="Y119" s="109"/>
      <c r="Z119" s="109"/>
      <c r="AA119" s="109"/>
      <c r="AB119" s="109"/>
    </row>
    <row r="120" spans="2:31">
      <c r="D120" s="419">
        <f>D117-D119</f>
        <v>0</v>
      </c>
      <c r="F120" s="419">
        <f>F117-F119</f>
        <v>0</v>
      </c>
      <c r="H120" s="419">
        <f>H117-H119</f>
        <v>0</v>
      </c>
      <c r="I120" s="420"/>
      <c r="J120" s="420"/>
      <c r="K120" s="420"/>
      <c r="O120" s="27"/>
      <c r="V120" s="27"/>
      <c r="W120" s="109"/>
      <c r="Y120" s="109"/>
      <c r="Z120" s="109"/>
      <c r="AA120" s="109"/>
      <c r="AB120" s="109"/>
    </row>
    <row r="121" spans="2:31">
      <c r="B121" s="373" t="s">
        <v>923</v>
      </c>
      <c r="C121" s="373"/>
      <c r="D121" s="421">
        <f>'MFG COST SUMMARY'!F130</f>
        <v>201209</v>
      </c>
      <c r="E121" s="373"/>
      <c r="F121" s="373"/>
      <c r="G121" s="373"/>
      <c r="H121" s="373"/>
      <c r="I121" s="373"/>
      <c r="J121" s="373"/>
      <c r="K121" s="373"/>
      <c r="L121" s="373"/>
      <c r="M121" s="373"/>
      <c r="N121" s="373"/>
      <c r="O121" s="27"/>
      <c r="V121" s="27"/>
      <c r="W121" s="109"/>
      <c r="Y121" s="109"/>
      <c r="Z121" s="109"/>
      <c r="AA121" s="109"/>
      <c r="AB121" s="109"/>
    </row>
    <row r="122" spans="2:31">
      <c r="D122" s="419">
        <f>D117-D121</f>
        <v>0</v>
      </c>
      <c r="F122" s="76"/>
      <c r="H122" s="147"/>
      <c r="I122" s="420"/>
      <c r="J122" s="420"/>
      <c r="K122" s="420"/>
      <c r="M122" s="248"/>
      <c r="O122" s="27"/>
      <c r="V122" s="27"/>
      <c r="W122" s="109"/>
      <c r="Y122" s="109"/>
      <c r="Z122" s="109"/>
      <c r="AA122" s="109"/>
      <c r="AB122" s="109"/>
    </row>
    <row r="123" spans="2:31">
      <c r="H123" s="27"/>
      <c r="M123" s="27"/>
      <c r="O123" s="27"/>
      <c r="V123" s="27"/>
      <c r="W123" s="109"/>
      <c r="Y123" s="109"/>
      <c r="Z123" s="109"/>
      <c r="AA123" s="109"/>
      <c r="AB123" s="109"/>
    </row>
    <row r="124" spans="2:31">
      <c r="O124" s="27"/>
      <c r="V124" s="27"/>
      <c r="W124" s="109"/>
      <c r="Y124" s="109"/>
      <c r="Z124" s="109"/>
      <c r="AA124" s="109"/>
      <c r="AB124" s="109"/>
    </row>
    <row r="125" spans="2:31">
      <c r="O125" s="27"/>
      <c r="V125" s="27"/>
      <c r="W125" s="109"/>
      <c r="Y125" s="109"/>
      <c r="Z125" s="109"/>
      <c r="AA125" s="109"/>
      <c r="AB125" s="109"/>
    </row>
    <row r="126" spans="2:31">
      <c r="O126" s="27"/>
      <c r="V126" s="27"/>
      <c r="W126" s="109"/>
      <c r="Y126" s="109"/>
      <c r="Z126" s="109"/>
      <c r="AA126" s="109"/>
      <c r="AB126" s="109"/>
    </row>
    <row r="127" spans="2:31">
      <c r="O127" s="27"/>
      <c r="V127" s="27"/>
      <c r="W127" s="109"/>
      <c r="Y127" s="109"/>
      <c r="Z127" s="109"/>
      <c r="AA127" s="109"/>
      <c r="AB127" s="109"/>
    </row>
    <row r="128" spans="2:31">
      <c r="O128" s="27"/>
      <c r="V128" s="27"/>
      <c r="W128" s="109"/>
      <c r="Y128" s="109"/>
      <c r="Z128" s="109"/>
      <c r="AA128" s="109"/>
      <c r="AB128" s="109"/>
      <c r="AC128" s="27"/>
      <c r="AE128" s="27"/>
    </row>
    <row r="129" spans="2:31">
      <c r="O129" s="27"/>
      <c r="V129" s="27"/>
      <c r="W129" s="109"/>
      <c r="Y129" s="109"/>
      <c r="Z129" s="109"/>
      <c r="AA129" s="109"/>
      <c r="AB129" s="109"/>
      <c r="AC129" s="27"/>
      <c r="AE129" s="27"/>
    </row>
    <row r="130" spans="2:31">
      <c r="O130" s="27"/>
      <c r="V130" s="27"/>
      <c r="W130" s="109"/>
      <c r="Y130" s="109"/>
      <c r="Z130" s="109"/>
      <c r="AA130" s="109"/>
      <c r="AB130" s="109"/>
    </row>
    <row r="131" spans="2:31">
      <c r="O131" s="27"/>
      <c r="V131" s="27"/>
      <c r="W131" s="109"/>
      <c r="Y131" s="109"/>
      <c r="Z131" s="109"/>
      <c r="AA131" s="109"/>
      <c r="AB131" s="109"/>
    </row>
    <row r="132" spans="2:31">
      <c r="O132" s="27"/>
      <c r="V132" s="27"/>
      <c r="W132" s="109"/>
      <c r="Y132" s="109"/>
      <c r="Z132" s="109"/>
      <c r="AA132" s="109"/>
      <c r="AB132" s="109"/>
    </row>
    <row r="133" spans="2:31">
      <c r="O133" s="27"/>
      <c r="V133" s="27"/>
      <c r="W133" s="109"/>
      <c r="Y133" s="109"/>
      <c r="Z133" s="109"/>
      <c r="AA133" s="109"/>
      <c r="AB133" s="109"/>
    </row>
    <row r="134" spans="2:31">
      <c r="O134" s="27"/>
      <c r="V134" s="27"/>
      <c r="W134" s="109"/>
      <c r="Y134" s="109"/>
      <c r="Z134" s="109"/>
      <c r="AA134" s="109"/>
      <c r="AB134" s="109"/>
    </row>
    <row r="135" spans="2:31">
      <c r="O135" s="27"/>
      <c r="V135" s="27"/>
      <c r="W135" s="109"/>
    </row>
    <row r="137" spans="2:31" s="373" customFormat="1"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2:31">
      <c r="W138" s="109"/>
    </row>
    <row r="139" spans="2:31">
      <c r="W139" s="109"/>
    </row>
    <row r="140" spans="2:31">
      <c r="W140" s="109"/>
    </row>
    <row r="141" spans="2:31">
      <c r="W141" s="109"/>
    </row>
    <row r="142" spans="2:31">
      <c r="W142" s="109"/>
    </row>
    <row r="143" spans="2:31">
      <c r="W143" s="109"/>
    </row>
    <row r="144" spans="2:31">
      <c r="W144" s="109"/>
    </row>
    <row r="145" spans="23:23">
      <c r="W145" s="109"/>
    </row>
    <row r="146" spans="23:23">
      <c r="W146" s="109"/>
    </row>
    <row r="147" spans="23:23">
      <c r="W147" s="109"/>
    </row>
    <row r="148" spans="23:23">
      <c r="W148" s="109"/>
    </row>
    <row r="149" spans="23:23">
      <c r="W149" s="109"/>
    </row>
    <row r="150" spans="23:23">
      <c r="W150" s="109"/>
    </row>
    <row r="151" spans="23:23">
      <c r="W151" s="109"/>
    </row>
    <row r="152" spans="23:23">
      <c r="W152" s="109"/>
    </row>
    <row r="153" spans="23:23">
      <c r="W153" s="109"/>
    </row>
    <row r="154" spans="23:23">
      <c r="W154" s="109"/>
    </row>
    <row r="155" spans="23:23">
      <c r="W155" s="109"/>
    </row>
    <row r="156" spans="23:23">
      <c r="W156" s="109"/>
    </row>
    <row r="157" spans="23:23">
      <c r="W157" s="109"/>
    </row>
    <row r="158" spans="23:23">
      <c r="W158" s="109"/>
    </row>
    <row r="159" spans="23:23">
      <c r="W159" s="109"/>
    </row>
    <row r="160" spans="23:23">
      <c r="W160" s="109"/>
    </row>
    <row r="161" spans="23:23">
      <c r="W161" s="109"/>
    </row>
    <row r="162" spans="23:23">
      <c r="W162" s="109"/>
    </row>
    <row r="163" spans="23:23">
      <c r="W163" s="109"/>
    </row>
    <row r="164" spans="23:23">
      <c r="W164" s="109"/>
    </row>
    <row r="165" spans="23:23">
      <c r="W165" s="109"/>
    </row>
    <row r="166" spans="23:23">
      <c r="W166" s="109"/>
    </row>
    <row r="167" spans="23:23">
      <c r="W167" s="109"/>
    </row>
    <row r="168" spans="23:23">
      <c r="W168" s="109"/>
    </row>
    <row r="169" spans="23:23">
      <c r="W169" s="109"/>
    </row>
    <row r="170" spans="23:23">
      <c r="W170" s="109"/>
    </row>
    <row r="171" spans="23:23">
      <c r="W171" s="109"/>
    </row>
    <row r="172" spans="23:23">
      <c r="W172" s="109"/>
    </row>
    <row r="173" spans="23:23">
      <c r="W173" s="109"/>
    </row>
    <row r="174" spans="23:23">
      <c r="W174" s="109"/>
    </row>
    <row r="175" spans="23:23">
      <c r="W175" s="109"/>
    </row>
  </sheetData>
  <autoFilter ref="B5:N122" xr:uid="{7FABF9CC-A183-4428-952C-7E98DAC708C7}"/>
  <customSheetViews>
    <customSheetView guid="{E6B00A95-BB65-4FB5-9392-F4C9A9557C0E}" showGridLines="0" showAutoFilter="1" hiddenColumns="1">
      <pane xSplit="4" ySplit="5" topLeftCell="E99" activePane="bottomRight" state="frozen"/>
      <selection pane="bottomRight" activeCell="D108" sqref="D108"/>
      <pageMargins left="0.7" right="0.7" top="0.75" bottom="0.75" header="0.3" footer="0.3"/>
      <pageSetup paperSize="9" orientation="portrait" horizontalDpi="300" verticalDpi="300" r:id="rId1"/>
      <autoFilter ref="B5:N109" xr:uid="{31BB06E0-FBF3-4A12-9856-B3829498D8E1}"/>
    </customSheetView>
    <customSheetView guid="{F2A3B428-09FA-4094-83F2-D6076B6D1BAF}" showGridLines="0" showAutoFilter="1">
      <selection activeCell="G9" sqref="G9"/>
      <pageMargins left="0.7" right="0.7" top="0.75" bottom="0.75" header="0.3" footer="0.3"/>
      <autoFilter ref="B5:J59" xr:uid="{74610B06-02F6-4944-8870-D7FA7F219FAA}"/>
    </customSheetView>
    <customSheetView guid="{E3F778A0-8637-4650-AED3-4EC5B694D9F0}" showGridLines="0" showAutoFilter="1">
      <selection activeCell="G9" sqref="G9"/>
      <pageMargins left="0.7" right="0.7" top="0.75" bottom="0.75" header="0.3" footer="0.3"/>
      <autoFilter ref="B5:J59" xr:uid="{83D8A11B-F275-49CD-91C1-A448C3020B26}"/>
    </customSheetView>
  </customSheetViews>
  <mergeCells count="4">
    <mergeCell ref="E4:F4"/>
    <mergeCell ref="G4:H4"/>
    <mergeCell ref="I4:J4"/>
    <mergeCell ref="K4:M4"/>
  </mergeCells>
  <conditionalFormatting sqref="B6:B116">
    <cfRule type="duplicateValues" dxfId="10" priority="307"/>
  </conditionalFormatting>
  <pageMargins left="0.7" right="0.7" top="0.75" bottom="0.75" header="0.3" footer="0.3"/>
  <pageSetup paperSize="9" orientation="portrait" horizontalDpi="300" verticalDpi="300" r:id="rId2"/>
  <customProperties>
    <customPr name="_pios_id" r:id="rId3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AC3F-59FF-4437-A6AF-15868C3C978A}">
  <sheetPr codeName="Sheet10">
    <pageSetUpPr fitToPage="1"/>
  </sheetPr>
  <dimension ref="A1:CU45"/>
  <sheetViews>
    <sheetView workbookViewId="0">
      <pane xSplit="1" ySplit="6" topLeftCell="B35" activePane="bottomRight" state="frozen"/>
      <selection pane="topRight" activeCell="B1" sqref="B1"/>
      <selection pane="bottomLeft" activeCell="A5" sqref="A5"/>
      <selection pane="bottomRight" activeCell="CX50" sqref="CX50"/>
    </sheetView>
  </sheetViews>
  <sheetFormatPr defaultColWidth="8.7109375" defaultRowHeight="16.5"/>
  <cols>
    <col min="1" max="1" width="15.140625" style="372" customWidth="1"/>
    <col min="2" max="3" width="11.42578125" style="372" customWidth="1"/>
    <col min="4" max="11" width="9.7109375" style="372" customWidth="1"/>
    <col min="12" max="18" width="9.7109375" style="372" hidden="1" customWidth="1"/>
    <col min="19" max="19" width="10.140625" style="372" hidden="1" customWidth="1"/>
    <col min="20" max="26" width="9.7109375" style="372" hidden="1" customWidth="1"/>
    <col min="27" max="27" width="12.7109375" style="372" hidden="1" customWidth="1"/>
    <col min="28" max="34" width="9.7109375" style="372" hidden="1" customWidth="1"/>
    <col min="35" max="35" width="10.140625" style="372" hidden="1" customWidth="1"/>
    <col min="36" max="42" width="9.7109375" style="372" hidden="1" customWidth="1"/>
    <col min="43" max="43" width="10.140625" style="372" hidden="1" customWidth="1"/>
    <col min="44" max="50" width="9.7109375" style="372" hidden="1" customWidth="1"/>
    <col min="51" max="51" width="10.5703125" style="372" hidden="1" customWidth="1"/>
    <col min="52" max="66" width="9.7109375" style="372" hidden="1" customWidth="1"/>
    <col min="67" max="67" width="10.5703125" style="372" hidden="1" customWidth="1"/>
    <col min="68" max="90" width="9.7109375" style="372" hidden="1" customWidth="1"/>
    <col min="91" max="91" width="10.140625" style="372" hidden="1" customWidth="1"/>
    <col min="92" max="98" width="9.7109375" style="372" hidden="1" customWidth="1"/>
    <col min="99" max="99" width="10.140625" style="372" hidden="1" customWidth="1"/>
    <col min="100" max="16384" width="8.7109375" style="372"/>
  </cols>
  <sheetData>
    <row r="1" spans="1:99" ht="21">
      <c r="A1" s="361" t="s">
        <v>768</v>
      </c>
      <c r="E1" s="422"/>
      <c r="I1" s="423"/>
    </row>
    <row r="2" spans="1:99">
      <c r="A2"/>
      <c r="B2" s="424"/>
      <c r="E2" s="422"/>
      <c r="I2" s="423"/>
    </row>
    <row r="3" spans="1:99" ht="12" customHeight="1">
      <c r="A3" s="425"/>
      <c r="E3" s="422"/>
      <c r="I3" s="423"/>
      <c r="AX3" s="426"/>
      <c r="AY3" s="426"/>
      <c r="BX3" s="364"/>
    </row>
    <row r="4" spans="1:99">
      <c r="D4" s="549" t="s">
        <v>309</v>
      </c>
      <c r="E4" s="550"/>
      <c r="F4" s="550"/>
      <c r="G4" s="550"/>
      <c r="H4" s="550"/>
      <c r="I4" s="550"/>
      <c r="J4" s="550"/>
      <c r="K4" s="551"/>
      <c r="L4" s="552" t="s">
        <v>310</v>
      </c>
      <c r="M4" s="553"/>
      <c r="N4" s="553"/>
      <c r="O4" s="553"/>
      <c r="P4" s="553"/>
      <c r="Q4" s="553"/>
      <c r="R4" s="553"/>
      <c r="S4" s="554"/>
      <c r="T4" s="549" t="s">
        <v>311</v>
      </c>
      <c r="U4" s="550"/>
      <c r="V4" s="550"/>
      <c r="W4" s="550"/>
      <c r="X4" s="550"/>
      <c r="Y4" s="550"/>
      <c r="Z4" s="550"/>
      <c r="AA4" s="551"/>
      <c r="AB4" s="552" t="s">
        <v>312</v>
      </c>
      <c r="AC4" s="553"/>
      <c r="AD4" s="553"/>
      <c r="AE4" s="553"/>
      <c r="AF4" s="553"/>
      <c r="AG4" s="553"/>
      <c r="AH4" s="553"/>
      <c r="AI4" s="554"/>
      <c r="AJ4" s="549" t="s">
        <v>313</v>
      </c>
      <c r="AK4" s="550"/>
      <c r="AL4" s="550"/>
      <c r="AM4" s="550"/>
      <c r="AN4" s="550"/>
      <c r="AO4" s="550"/>
      <c r="AP4" s="550"/>
      <c r="AQ4" s="551"/>
      <c r="AR4" s="552" t="s">
        <v>314</v>
      </c>
      <c r="AS4" s="553"/>
      <c r="AT4" s="553"/>
      <c r="AU4" s="553"/>
      <c r="AV4" s="553"/>
      <c r="AW4" s="553"/>
      <c r="AX4" s="553"/>
      <c r="AY4" s="554"/>
      <c r="AZ4" s="549" t="s">
        <v>315</v>
      </c>
      <c r="BA4" s="550"/>
      <c r="BB4" s="550"/>
      <c r="BC4" s="550"/>
      <c r="BD4" s="550"/>
      <c r="BE4" s="550"/>
      <c r="BF4" s="550"/>
      <c r="BG4" s="551"/>
      <c r="BH4" s="552" t="s">
        <v>316</v>
      </c>
      <c r="BI4" s="553"/>
      <c r="BJ4" s="553"/>
      <c r="BK4" s="553"/>
      <c r="BL4" s="553"/>
      <c r="BM4" s="553"/>
      <c r="BN4" s="553"/>
      <c r="BO4" s="554"/>
      <c r="BP4" s="549" t="s">
        <v>317</v>
      </c>
      <c r="BQ4" s="550"/>
      <c r="BR4" s="550"/>
      <c r="BS4" s="550"/>
      <c r="BT4" s="550"/>
      <c r="BU4" s="550"/>
      <c r="BV4" s="550"/>
      <c r="BW4" s="551"/>
      <c r="BX4" s="552" t="s">
        <v>318</v>
      </c>
      <c r="BY4" s="553"/>
      <c r="BZ4" s="553"/>
      <c r="CA4" s="553"/>
      <c r="CB4" s="553"/>
      <c r="CC4" s="553"/>
      <c r="CD4" s="553"/>
      <c r="CE4" s="554"/>
      <c r="CF4" s="549" t="s">
        <v>319</v>
      </c>
      <c r="CG4" s="550"/>
      <c r="CH4" s="550"/>
      <c r="CI4" s="550"/>
      <c r="CJ4" s="550"/>
      <c r="CK4" s="550"/>
      <c r="CL4" s="550"/>
      <c r="CM4" s="551"/>
      <c r="CN4" s="552" t="s">
        <v>320</v>
      </c>
      <c r="CO4" s="553"/>
      <c r="CP4" s="553"/>
      <c r="CQ4" s="553"/>
      <c r="CR4" s="553"/>
      <c r="CS4" s="553"/>
      <c r="CT4" s="553"/>
      <c r="CU4" s="554"/>
    </row>
    <row r="5" spans="1:99" s="427" customFormat="1" ht="15" customHeight="1">
      <c r="A5" s="545" t="s">
        <v>112</v>
      </c>
      <c r="B5" s="547" t="s">
        <v>769</v>
      </c>
      <c r="C5" s="548"/>
      <c r="D5" s="543" t="s">
        <v>770</v>
      </c>
      <c r="E5" s="544"/>
      <c r="F5" s="543" t="s">
        <v>771</v>
      </c>
      <c r="G5" s="544"/>
      <c r="H5" s="543" t="s">
        <v>772</v>
      </c>
      <c r="I5" s="544"/>
      <c r="J5" s="543" t="s">
        <v>773</v>
      </c>
      <c r="K5" s="544"/>
      <c r="L5" s="541" t="s">
        <v>770</v>
      </c>
      <c r="M5" s="542"/>
      <c r="N5" s="541" t="s">
        <v>771</v>
      </c>
      <c r="O5" s="542"/>
      <c r="P5" s="541" t="s">
        <v>772</v>
      </c>
      <c r="Q5" s="542"/>
      <c r="R5" s="541" t="s">
        <v>773</v>
      </c>
      <c r="S5" s="542"/>
      <c r="T5" s="543" t="s">
        <v>770</v>
      </c>
      <c r="U5" s="544"/>
      <c r="V5" s="543" t="s">
        <v>771</v>
      </c>
      <c r="W5" s="544"/>
      <c r="X5" s="543" t="s">
        <v>772</v>
      </c>
      <c r="Y5" s="544"/>
      <c r="Z5" s="543" t="s">
        <v>773</v>
      </c>
      <c r="AA5" s="544"/>
      <c r="AB5" s="541" t="s">
        <v>770</v>
      </c>
      <c r="AC5" s="542"/>
      <c r="AD5" s="541" t="s">
        <v>771</v>
      </c>
      <c r="AE5" s="542"/>
      <c r="AF5" s="541" t="s">
        <v>772</v>
      </c>
      <c r="AG5" s="542"/>
      <c r="AH5" s="541" t="s">
        <v>773</v>
      </c>
      <c r="AI5" s="542"/>
      <c r="AJ5" s="543" t="s">
        <v>770</v>
      </c>
      <c r="AK5" s="544"/>
      <c r="AL5" s="543" t="s">
        <v>771</v>
      </c>
      <c r="AM5" s="544"/>
      <c r="AN5" s="543" t="s">
        <v>772</v>
      </c>
      <c r="AO5" s="544"/>
      <c r="AP5" s="543" t="s">
        <v>773</v>
      </c>
      <c r="AQ5" s="544"/>
      <c r="AR5" s="541" t="s">
        <v>770</v>
      </c>
      <c r="AS5" s="542"/>
      <c r="AT5" s="541" t="s">
        <v>771</v>
      </c>
      <c r="AU5" s="542"/>
      <c r="AV5" s="541" t="s">
        <v>772</v>
      </c>
      <c r="AW5" s="542"/>
      <c r="AX5" s="541" t="s">
        <v>773</v>
      </c>
      <c r="AY5" s="542"/>
      <c r="AZ5" s="543" t="s">
        <v>770</v>
      </c>
      <c r="BA5" s="544"/>
      <c r="BB5" s="543" t="s">
        <v>771</v>
      </c>
      <c r="BC5" s="544"/>
      <c r="BD5" s="543" t="s">
        <v>772</v>
      </c>
      <c r="BE5" s="544"/>
      <c r="BF5" s="543" t="s">
        <v>773</v>
      </c>
      <c r="BG5" s="544"/>
      <c r="BH5" s="541" t="s">
        <v>770</v>
      </c>
      <c r="BI5" s="542"/>
      <c r="BJ5" s="541" t="s">
        <v>771</v>
      </c>
      <c r="BK5" s="542"/>
      <c r="BL5" s="541" t="s">
        <v>772</v>
      </c>
      <c r="BM5" s="542"/>
      <c r="BN5" s="541" t="s">
        <v>773</v>
      </c>
      <c r="BO5" s="542"/>
      <c r="BP5" s="543" t="s">
        <v>770</v>
      </c>
      <c r="BQ5" s="544"/>
      <c r="BR5" s="543" t="s">
        <v>771</v>
      </c>
      <c r="BS5" s="544"/>
      <c r="BT5" s="543" t="s">
        <v>772</v>
      </c>
      <c r="BU5" s="544"/>
      <c r="BV5" s="543" t="s">
        <v>773</v>
      </c>
      <c r="BW5" s="544"/>
      <c r="BX5" s="541" t="s">
        <v>770</v>
      </c>
      <c r="BY5" s="542"/>
      <c r="BZ5" s="541" t="s">
        <v>771</v>
      </c>
      <c r="CA5" s="542"/>
      <c r="CB5" s="541" t="s">
        <v>772</v>
      </c>
      <c r="CC5" s="542"/>
      <c r="CD5" s="541" t="s">
        <v>773</v>
      </c>
      <c r="CE5" s="542"/>
      <c r="CF5" s="543" t="s">
        <v>770</v>
      </c>
      <c r="CG5" s="544"/>
      <c r="CH5" s="543" t="s">
        <v>771</v>
      </c>
      <c r="CI5" s="544"/>
      <c r="CJ5" s="543" t="s">
        <v>772</v>
      </c>
      <c r="CK5" s="544"/>
      <c r="CL5" s="543" t="s">
        <v>773</v>
      </c>
      <c r="CM5" s="544"/>
      <c r="CN5" s="541" t="s">
        <v>770</v>
      </c>
      <c r="CO5" s="542"/>
      <c r="CP5" s="541" t="s">
        <v>771</v>
      </c>
      <c r="CQ5" s="542"/>
      <c r="CR5" s="541" t="s">
        <v>772</v>
      </c>
      <c r="CS5" s="542"/>
      <c r="CT5" s="541" t="s">
        <v>773</v>
      </c>
      <c r="CU5" s="542"/>
    </row>
    <row r="6" spans="1:99" s="427" customFormat="1" ht="15" customHeight="1">
      <c r="A6" s="546"/>
      <c r="B6" s="428" t="s">
        <v>774</v>
      </c>
      <c r="C6" s="428" t="s">
        <v>775</v>
      </c>
      <c r="D6" s="428" t="s">
        <v>774</v>
      </c>
      <c r="E6" s="428" t="s">
        <v>775</v>
      </c>
      <c r="F6" s="428" t="s">
        <v>774</v>
      </c>
      <c r="G6" s="428" t="s">
        <v>775</v>
      </c>
      <c r="H6" s="428" t="s">
        <v>774</v>
      </c>
      <c r="I6" s="428" t="s">
        <v>775</v>
      </c>
      <c r="J6" s="428" t="s">
        <v>774</v>
      </c>
      <c r="K6" s="428" t="s">
        <v>775</v>
      </c>
      <c r="L6" s="429" t="s">
        <v>774</v>
      </c>
      <c r="M6" s="429" t="s">
        <v>775</v>
      </c>
      <c r="N6" s="429" t="s">
        <v>774</v>
      </c>
      <c r="O6" s="429" t="s">
        <v>775</v>
      </c>
      <c r="P6" s="429" t="s">
        <v>774</v>
      </c>
      <c r="Q6" s="429" t="s">
        <v>775</v>
      </c>
      <c r="R6" s="429" t="s">
        <v>774</v>
      </c>
      <c r="S6" s="429" t="s">
        <v>775</v>
      </c>
      <c r="T6" s="428" t="s">
        <v>774</v>
      </c>
      <c r="U6" s="428" t="s">
        <v>775</v>
      </c>
      <c r="V6" s="428" t="s">
        <v>774</v>
      </c>
      <c r="W6" s="428" t="s">
        <v>775</v>
      </c>
      <c r="X6" s="428" t="s">
        <v>774</v>
      </c>
      <c r="Y6" s="428" t="s">
        <v>775</v>
      </c>
      <c r="Z6" s="428" t="s">
        <v>774</v>
      </c>
      <c r="AA6" s="428" t="s">
        <v>775</v>
      </c>
      <c r="AB6" s="429" t="s">
        <v>774</v>
      </c>
      <c r="AC6" s="429" t="s">
        <v>775</v>
      </c>
      <c r="AD6" s="429" t="s">
        <v>774</v>
      </c>
      <c r="AE6" s="429" t="s">
        <v>775</v>
      </c>
      <c r="AF6" s="429" t="s">
        <v>774</v>
      </c>
      <c r="AG6" s="429" t="s">
        <v>775</v>
      </c>
      <c r="AH6" s="429" t="s">
        <v>774</v>
      </c>
      <c r="AI6" s="429" t="s">
        <v>775</v>
      </c>
      <c r="AJ6" s="428" t="s">
        <v>774</v>
      </c>
      <c r="AK6" s="428" t="s">
        <v>775</v>
      </c>
      <c r="AL6" s="428" t="s">
        <v>774</v>
      </c>
      <c r="AM6" s="428" t="s">
        <v>775</v>
      </c>
      <c r="AN6" s="428" t="s">
        <v>774</v>
      </c>
      <c r="AO6" s="428" t="s">
        <v>775</v>
      </c>
      <c r="AP6" s="428" t="s">
        <v>774</v>
      </c>
      <c r="AQ6" s="428" t="s">
        <v>775</v>
      </c>
      <c r="AR6" s="429" t="s">
        <v>774</v>
      </c>
      <c r="AS6" s="429" t="s">
        <v>775</v>
      </c>
      <c r="AT6" s="429" t="s">
        <v>774</v>
      </c>
      <c r="AU6" s="429" t="s">
        <v>775</v>
      </c>
      <c r="AV6" s="429" t="s">
        <v>774</v>
      </c>
      <c r="AW6" s="429" t="s">
        <v>775</v>
      </c>
      <c r="AX6" s="429" t="s">
        <v>774</v>
      </c>
      <c r="AY6" s="429" t="s">
        <v>775</v>
      </c>
      <c r="AZ6" s="428" t="s">
        <v>774</v>
      </c>
      <c r="BA6" s="428" t="s">
        <v>775</v>
      </c>
      <c r="BB6" s="428" t="s">
        <v>774</v>
      </c>
      <c r="BC6" s="428" t="s">
        <v>775</v>
      </c>
      <c r="BD6" s="428" t="s">
        <v>774</v>
      </c>
      <c r="BE6" s="428" t="s">
        <v>775</v>
      </c>
      <c r="BF6" s="428" t="s">
        <v>774</v>
      </c>
      <c r="BG6" s="428" t="s">
        <v>775</v>
      </c>
      <c r="BH6" s="429" t="s">
        <v>774</v>
      </c>
      <c r="BI6" s="429" t="s">
        <v>775</v>
      </c>
      <c r="BJ6" s="429" t="s">
        <v>774</v>
      </c>
      <c r="BK6" s="429" t="s">
        <v>775</v>
      </c>
      <c r="BL6" s="429" t="s">
        <v>774</v>
      </c>
      <c r="BM6" s="429" t="s">
        <v>775</v>
      </c>
      <c r="BN6" s="429" t="s">
        <v>774</v>
      </c>
      <c r="BO6" s="429" t="s">
        <v>775</v>
      </c>
      <c r="BP6" s="428" t="s">
        <v>774</v>
      </c>
      <c r="BQ6" s="428" t="s">
        <v>775</v>
      </c>
      <c r="BR6" s="428" t="s">
        <v>774</v>
      </c>
      <c r="BS6" s="428" t="s">
        <v>775</v>
      </c>
      <c r="BT6" s="428" t="s">
        <v>774</v>
      </c>
      <c r="BU6" s="428" t="s">
        <v>775</v>
      </c>
      <c r="BV6" s="428" t="s">
        <v>774</v>
      </c>
      <c r="BW6" s="428" t="s">
        <v>775</v>
      </c>
      <c r="BX6" s="429" t="s">
        <v>774</v>
      </c>
      <c r="BY6" s="429" t="s">
        <v>775</v>
      </c>
      <c r="BZ6" s="429" t="s">
        <v>774</v>
      </c>
      <c r="CA6" s="429" t="s">
        <v>775</v>
      </c>
      <c r="CB6" s="429" t="s">
        <v>774</v>
      </c>
      <c r="CC6" s="429" t="s">
        <v>775</v>
      </c>
      <c r="CD6" s="429" t="s">
        <v>774</v>
      </c>
      <c r="CE6" s="429" t="s">
        <v>775</v>
      </c>
      <c r="CF6" s="428" t="s">
        <v>774</v>
      </c>
      <c r="CG6" s="428" t="s">
        <v>775</v>
      </c>
      <c r="CH6" s="428" t="s">
        <v>774</v>
      </c>
      <c r="CI6" s="428" t="s">
        <v>775</v>
      </c>
      <c r="CJ6" s="428" t="s">
        <v>774</v>
      </c>
      <c r="CK6" s="428" t="s">
        <v>775</v>
      </c>
      <c r="CL6" s="428" t="s">
        <v>774</v>
      </c>
      <c r="CM6" s="428" t="s">
        <v>775</v>
      </c>
      <c r="CN6" s="429" t="s">
        <v>774</v>
      </c>
      <c r="CO6" s="429" t="s">
        <v>775</v>
      </c>
      <c r="CP6" s="429" t="s">
        <v>774</v>
      </c>
      <c r="CQ6" s="429" t="s">
        <v>775</v>
      </c>
      <c r="CR6" s="429" t="s">
        <v>774</v>
      </c>
      <c r="CS6" s="429" t="s">
        <v>775</v>
      </c>
      <c r="CT6" s="429" t="s">
        <v>774</v>
      </c>
      <c r="CU6" s="429" t="s">
        <v>775</v>
      </c>
    </row>
    <row r="7" spans="1:99" ht="15" customHeight="1">
      <c r="A7" s="430" t="s">
        <v>151</v>
      </c>
      <c r="B7" s="431">
        <v>13</v>
      </c>
      <c r="C7" s="432">
        <v>709.93590909090904</v>
      </c>
      <c r="D7" s="431"/>
      <c r="E7" s="432"/>
      <c r="F7" s="431"/>
      <c r="G7" s="432"/>
      <c r="H7" s="431"/>
      <c r="I7" s="432"/>
      <c r="J7" s="431">
        <v>13</v>
      </c>
      <c r="K7" s="432">
        <v>709.93590909090904</v>
      </c>
      <c r="L7" s="432"/>
      <c r="M7" s="432"/>
      <c r="N7" s="432"/>
      <c r="O7" s="432"/>
      <c r="P7" s="432"/>
      <c r="Q7" s="432"/>
      <c r="R7" s="431"/>
      <c r="S7" s="432"/>
      <c r="T7" s="432"/>
      <c r="U7" s="432"/>
      <c r="V7" s="432"/>
      <c r="W7" s="432"/>
      <c r="X7" s="432"/>
      <c r="Y7" s="432"/>
      <c r="Z7" s="431"/>
      <c r="AA7" s="432"/>
      <c r="AB7" s="432"/>
      <c r="AC7" s="432"/>
      <c r="AD7" s="432"/>
      <c r="AE7" s="432"/>
      <c r="AF7" s="432"/>
      <c r="AG7" s="432"/>
      <c r="AH7" s="431"/>
      <c r="AI7" s="432"/>
      <c r="AJ7" s="432"/>
      <c r="AK7" s="432"/>
      <c r="AL7" s="432"/>
      <c r="AM7" s="432"/>
      <c r="AN7" s="432"/>
      <c r="AO7" s="432"/>
      <c r="AP7" s="431"/>
      <c r="AQ7" s="432"/>
      <c r="AR7" s="432"/>
      <c r="AS7" s="432"/>
      <c r="AT7" s="432"/>
      <c r="AU7" s="432"/>
      <c r="AV7" s="432"/>
      <c r="AW7" s="432"/>
      <c r="AX7" s="431"/>
      <c r="AY7" s="432"/>
      <c r="AZ7" s="432"/>
      <c r="BA7" s="432"/>
      <c r="BB7" s="432"/>
      <c r="BC7" s="432"/>
      <c r="BD7" s="432"/>
      <c r="BE7" s="432"/>
      <c r="BF7" s="431"/>
      <c r="BG7" s="432"/>
      <c r="BH7" s="432"/>
      <c r="BI7" s="432"/>
      <c r="BJ7" s="432"/>
      <c r="BK7" s="432"/>
      <c r="BL7" s="432"/>
      <c r="BM7" s="432"/>
      <c r="BN7" s="431"/>
      <c r="BO7" s="432"/>
      <c r="BP7" s="432"/>
      <c r="BQ7" s="432"/>
      <c r="BR7" s="432"/>
      <c r="BS7" s="432"/>
      <c r="BT7" s="432"/>
      <c r="BU7" s="432"/>
      <c r="BV7" s="431"/>
      <c r="BW7" s="432"/>
      <c r="BX7" s="432"/>
      <c r="BY7" s="432"/>
      <c r="BZ7" s="432"/>
      <c r="CA7" s="432"/>
      <c r="CB7" s="432"/>
      <c r="CC7" s="432"/>
      <c r="CD7" s="431"/>
      <c r="CE7" s="432"/>
      <c r="CF7" s="432"/>
      <c r="CG7" s="432"/>
      <c r="CH7" s="432"/>
      <c r="CI7" s="432"/>
      <c r="CJ7" s="432"/>
      <c r="CK7" s="432"/>
      <c r="CL7" s="431"/>
      <c r="CM7" s="432"/>
      <c r="CN7" s="432"/>
      <c r="CO7" s="432"/>
      <c r="CP7" s="432"/>
      <c r="CQ7" s="432"/>
      <c r="CR7" s="432"/>
      <c r="CS7" s="432"/>
      <c r="CT7" s="431"/>
      <c r="CU7" s="432"/>
    </row>
    <row r="8" spans="1:99" ht="15" customHeight="1">
      <c r="A8" s="430" t="s">
        <v>151</v>
      </c>
      <c r="B8" s="431">
        <v>4</v>
      </c>
      <c r="C8" s="432">
        <v>175.88000000000011</v>
      </c>
      <c r="D8" s="431"/>
      <c r="E8" s="432"/>
      <c r="F8" s="431"/>
      <c r="G8" s="432"/>
      <c r="H8" s="431"/>
      <c r="I8" s="432"/>
      <c r="J8" s="431">
        <v>4</v>
      </c>
      <c r="K8" s="432">
        <v>175.88000000000011</v>
      </c>
      <c r="L8" s="432"/>
      <c r="M8" s="432"/>
      <c r="N8" s="432"/>
      <c r="O8" s="432"/>
      <c r="P8" s="432"/>
      <c r="Q8" s="432"/>
      <c r="R8" s="431"/>
      <c r="S8" s="432"/>
      <c r="T8" s="432"/>
      <c r="U8" s="432"/>
      <c r="V8" s="432"/>
      <c r="W8" s="432"/>
      <c r="X8" s="432"/>
      <c r="Y8" s="432"/>
      <c r="Z8" s="431"/>
      <c r="AA8" s="432"/>
      <c r="AB8" s="432"/>
      <c r="AC8" s="432"/>
      <c r="AD8" s="432"/>
      <c r="AE8" s="432"/>
      <c r="AF8" s="432"/>
      <c r="AG8" s="432"/>
      <c r="AH8" s="431"/>
      <c r="AI8" s="432"/>
      <c r="AJ8" s="432"/>
      <c r="AK8" s="432"/>
      <c r="AL8" s="432"/>
      <c r="AM8" s="432"/>
      <c r="AN8" s="432"/>
      <c r="AO8" s="432"/>
      <c r="AP8" s="431"/>
      <c r="AQ8" s="432"/>
      <c r="AR8" s="432"/>
      <c r="AS8" s="432"/>
      <c r="AT8" s="432"/>
      <c r="AU8" s="432"/>
      <c r="AV8" s="432"/>
      <c r="AW8" s="432"/>
      <c r="AX8" s="431"/>
      <c r="AY8" s="432"/>
      <c r="AZ8" s="432"/>
      <c r="BA8" s="432"/>
      <c r="BB8" s="432"/>
      <c r="BC8" s="432"/>
      <c r="BD8" s="432"/>
      <c r="BE8" s="432"/>
      <c r="BF8" s="431"/>
      <c r="BG8" s="432"/>
      <c r="BH8" s="432"/>
      <c r="BI8" s="432"/>
      <c r="BJ8" s="432"/>
      <c r="BK8" s="432"/>
      <c r="BL8" s="432"/>
      <c r="BM8" s="432"/>
      <c r="BN8" s="431"/>
      <c r="BO8" s="432"/>
      <c r="BP8" s="432"/>
      <c r="BQ8" s="432"/>
      <c r="BR8" s="432"/>
      <c r="BS8" s="432"/>
      <c r="BT8" s="432"/>
      <c r="BU8" s="432"/>
      <c r="BV8" s="431"/>
      <c r="BW8" s="432"/>
      <c r="BX8" s="432"/>
      <c r="BY8" s="432"/>
      <c r="BZ8" s="432"/>
      <c r="CA8" s="432"/>
      <c r="CB8" s="432"/>
      <c r="CC8" s="432"/>
      <c r="CD8" s="431"/>
      <c r="CE8" s="432"/>
      <c r="CF8" s="432"/>
      <c r="CG8" s="432"/>
      <c r="CH8" s="432"/>
      <c r="CI8" s="432"/>
      <c r="CJ8" s="432"/>
      <c r="CK8" s="432"/>
      <c r="CL8" s="431"/>
      <c r="CM8" s="432"/>
      <c r="CN8" s="432"/>
      <c r="CO8" s="432"/>
      <c r="CP8" s="432"/>
      <c r="CQ8" s="432"/>
      <c r="CR8" s="432"/>
      <c r="CS8" s="432"/>
      <c r="CT8" s="431"/>
      <c r="CU8" s="432"/>
    </row>
    <row r="9" spans="1:99" ht="15" customHeight="1">
      <c r="A9" s="430" t="s">
        <v>151</v>
      </c>
      <c r="B9" s="431">
        <v>29</v>
      </c>
      <c r="C9" s="432">
        <v>1158.3468599033818</v>
      </c>
      <c r="D9" s="431"/>
      <c r="E9" s="432"/>
      <c r="F9" s="431"/>
      <c r="G9" s="432"/>
      <c r="H9" s="431"/>
      <c r="I9" s="432"/>
      <c r="J9" s="431">
        <v>29</v>
      </c>
      <c r="K9" s="432">
        <v>1158.3468599033818</v>
      </c>
      <c r="L9" s="432"/>
      <c r="M9" s="432"/>
      <c r="N9" s="432"/>
      <c r="O9" s="432"/>
      <c r="P9" s="432"/>
      <c r="Q9" s="432"/>
      <c r="R9" s="431"/>
      <c r="S9" s="432"/>
      <c r="T9" s="432"/>
      <c r="U9" s="432"/>
      <c r="V9" s="432"/>
      <c r="W9" s="432"/>
      <c r="X9" s="432"/>
      <c r="Y9" s="432"/>
      <c r="Z9" s="431"/>
      <c r="AA9" s="432"/>
      <c r="AB9" s="432"/>
      <c r="AC9" s="432"/>
      <c r="AD9" s="432"/>
      <c r="AE9" s="432"/>
      <c r="AF9" s="432"/>
      <c r="AG9" s="432"/>
      <c r="AH9" s="431"/>
      <c r="AI9" s="432"/>
      <c r="AJ9" s="432"/>
      <c r="AK9" s="432"/>
      <c r="AL9" s="432"/>
      <c r="AM9" s="432"/>
      <c r="AN9" s="432"/>
      <c r="AO9" s="432"/>
      <c r="AP9" s="431"/>
      <c r="AQ9" s="432"/>
      <c r="AR9" s="432"/>
      <c r="AS9" s="432"/>
      <c r="AT9" s="432"/>
      <c r="AU9" s="432"/>
      <c r="AV9" s="432"/>
      <c r="AW9" s="432"/>
      <c r="AX9" s="431"/>
      <c r="AY9" s="432"/>
      <c r="AZ9" s="432"/>
      <c r="BA9" s="432"/>
      <c r="BB9" s="432"/>
      <c r="BC9" s="432"/>
      <c r="BD9" s="432"/>
      <c r="BE9" s="432"/>
      <c r="BF9" s="431"/>
      <c r="BG9" s="432"/>
      <c r="BH9" s="432"/>
      <c r="BI9" s="432"/>
      <c r="BJ9" s="432"/>
      <c r="BK9" s="432"/>
      <c r="BL9" s="432"/>
      <c r="BM9" s="432"/>
      <c r="BN9" s="431"/>
      <c r="BO9" s="432"/>
      <c r="BP9" s="432"/>
      <c r="BQ9" s="432"/>
      <c r="BR9" s="432"/>
      <c r="BS9" s="432"/>
      <c r="BT9" s="432"/>
      <c r="BU9" s="432"/>
      <c r="BV9" s="431"/>
      <c r="BW9" s="432"/>
      <c r="BX9" s="432"/>
      <c r="BY9" s="432"/>
      <c r="BZ9" s="432"/>
      <c r="CA9" s="432"/>
      <c r="CB9" s="432"/>
      <c r="CC9" s="432"/>
      <c r="CD9" s="431"/>
      <c r="CE9" s="432"/>
      <c r="CF9" s="432"/>
      <c r="CG9" s="432"/>
      <c r="CH9" s="432"/>
      <c r="CI9" s="432"/>
      <c r="CJ9" s="432"/>
      <c r="CK9" s="432"/>
      <c r="CL9" s="431"/>
      <c r="CM9" s="432"/>
      <c r="CN9" s="432"/>
      <c r="CO9" s="432"/>
      <c r="CP9" s="432"/>
      <c r="CQ9" s="432"/>
      <c r="CR9" s="432"/>
      <c r="CS9" s="432"/>
      <c r="CT9" s="431"/>
      <c r="CU9" s="432"/>
    </row>
    <row r="10" spans="1:99" ht="15" customHeight="1">
      <c r="A10" s="430" t="s">
        <v>559</v>
      </c>
      <c r="B10" s="431">
        <v>4</v>
      </c>
      <c r="C10" s="432">
        <v>164.58500000000001</v>
      </c>
      <c r="D10" s="431"/>
      <c r="E10" s="432"/>
      <c r="F10" s="431"/>
      <c r="G10" s="432"/>
      <c r="H10" s="431"/>
      <c r="I10" s="432"/>
      <c r="J10" s="431">
        <v>4</v>
      </c>
      <c r="K10" s="432">
        <v>164.58500000000001</v>
      </c>
      <c r="L10" s="432"/>
      <c r="M10" s="432"/>
      <c r="N10" s="432"/>
      <c r="O10" s="432"/>
      <c r="P10" s="432"/>
      <c r="Q10" s="432"/>
      <c r="R10" s="431"/>
      <c r="S10" s="432"/>
      <c r="T10" s="432"/>
      <c r="U10" s="432"/>
      <c r="V10" s="432"/>
      <c r="W10" s="432"/>
      <c r="X10" s="432"/>
      <c r="Y10" s="432"/>
      <c r="Z10" s="431"/>
      <c r="AA10" s="432"/>
      <c r="AB10" s="432"/>
      <c r="AC10" s="432"/>
      <c r="AD10" s="432"/>
      <c r="AE10" s="432"/>
      <c r="AF10" s="432"/>
      <c r="AG10" s="432"/>
      <c r="AH10" s="431"/>
      <c r="AI10" s="432"/>
      <c r="AJ10" s="432"/>
      <c r="AK10" s="432"/>
      <c r="AL10" s="432"/>
      <c r="AM10" s="432"/>
      <c r="AN10" s="432"/>
      <c r="AO10" s="432"/>
      <c r="AP10" s="431"/>
      <c r="AQ10" s="432"/>
      <c r="AR10" s="432"/>
      <c r="AS10" s="432"/>
      <c r="AT10" s="432"/>
      <c r="AU10" s="432"/>
      <c r="AV10" s="432"/>
      <c r="AW10" s="432"/>
      <c r="AX10" s="431"/>
      <c r="AY10" s="432"/>
      <c r="AZ10" s="432"/>
      <c r="BA10" s="432"/>
      <c r="BB10" s="432"/>
      <c r="BC10" s="432"/>
      <c r="BD10" s="432"/>
      <c r="BE10" s="432"/>
      <c r="BF10" s="431"/>
      <c r="BG10" s="432"/>
      <c r="BH10" s="432"/>
      <c r="BI10" s="432"/>
      <c r="BJ10" s="432"/>
      <c r="BK10" s="432"/>
      <c r="BL10" s="432"/>
      <c r="BM10" s="432"/>
      <c r="BN10" s="431"/>
      <c r="BO10" s="432"/>
      <c r="BP10" s="432"/>
      <c r="BQ10" s="432"/>
      <c r="BR10" s="432"/>
      <c r="BS10" s="432"/>
      <c r="BT10" s="432"/>
      <c r="BU10" s="432"/>
      <c r="BV10" s="431"/>
      <c r="BW10" s="432"/>
      <c r="BX10" s="432"/>
      <c r="BY10" s="432"/>
      <c r="BZ10" s="432"/>
      <c r="CA10" s="432"/>
      <c r="CB10" s="432"/>
      <c r="CC10" s="432"/>
      <c r="CD10" s="431"/>
      <c r="CE10" s="432"/>
      <c r="CF10" s="432"/>
      <c r="CG10" s="432"/>
      <c r="CH10" s="432"/>
      <c r="CI10" s="432"/>
      <c r="CJ10" s="432"/>
      <c r="CK10" s="432"/>
      <c r="CL10" s="431"/>
      <c r="CM10" s="432"/>
      <c r="CN10" s="432"/>
      <c r="CO10" s="432"/>
      <c r="CP10" s="432"/>
      <c r="CQ10" s="432"/>
      <c r="CR10" s="432"/>
      <c r="CS10" s="432"/>
      <c r="CT10" s="431"/>
      <c r="CU10" s="432"/>
    </row>
    <row r="11" spans="1:99" ht="15" customHeight="1">
      <c r="A11" s="430" t="s">
        <v>202</v>
      </c>
      <c r="B11" s="431">
        <v>1</v>
      </c>
      <c r="C11" s="432">
        <v>48.987916666666663</v>
      </c>
      <c r="D11" s="431"/>
      <c r="E11" s="432"/>
      <c r="F11" s="431"/>
      <c r="G11" s="432"/>
      <c r="H11" s="431"/>
      <c r="I11" s="432"/>
      <c r="J11" s="431">
        <v>1</v>
      </c>
      <c r="K11" s="432">
        <v>48.987916666666663</v>
      </c>
      <c r="L11" s="432"/>
      <c r="M11" s="432"/>
      <c r="N11" s="432"/>
      <c r="O11" s="432"/>
      <c r="P11" s="432"/>
      <c r="Q11" s="432"/>
      <c r="R11" s="431"/>
      <c r="S11" s="432"/>
      <c r="T11" s="432"/>
      <c r="U11" s="432"/>
      <c r="V11" s="432"/>
      <c r="W11" s="432"/>
      <c r="X11" s="432"/>
      <c r="Y11" s="432"/>
      <c r="Z11" s="431"/>
      <c r="AA11" s="432"/>
      <c r="AB11" s="432"/>
      <c r="AC11" s="432"/>
      <c r="AD11" s="432"/>
      <c r="AE11" s="432"/>
      <c r="AF11" s="432"/>
      <c r="AG11" s="432"/>
      <c r="AH11" s="431"/>
      <c r="AI11" s="432"/>
      <c r="AJ11" s="432"/>
      <c r="AK11" s="432"/>
      <c r="AL11" s="432"/>
      <c r="AM11" s="432"/>
      <c r="AN11" s="432"/>
      <c r="AO11" s="432"/>
      <c r="AP11" s="431"/>
      <c r="AQ11" s="432"/>
      <c r="AR11" s="432"/>
      <c r="AS11" s="432"/>
      <c r="AT11" s="432"/>
      <c r="AU11" s="432"/>
      <c r="AV11" s="432"/>
      <c r="AW11" s="432"/>
      <c r="AX11" s="431"/>
      <c r="AY11" s="432"/>
      <c r="AZ11" s="432"/>
      <c r="BA11" s="432"/>
      <c r="BB11" s="432"/>
      <c r="BC11" s="432"/>
      <c r="BD11" s="432"/>
      <c r="BE11" s="432"/>
      <c r="BF11" s="431"/>
      <c r="BG11" s="432"/>
      <c r="BH11" s="432"/>
      <c r="BI11" s="432"/>
      <c r="BJ11" s="432"/>
      <c r="BK11" s="432"/>
      <c r="BL11" s="432"/>
      <c r="BM11" s="432"/>
      <c r="BN11" s="431"/>
      <c r="BO11" s="432"/>
      <c r="BP11" s="432"/>
      <c r="BQ11" s="432"/>
      <c r="BR11" s="432"/>
      <c r="BS11" s="432"/>
      <c r="BT11" s="432"/>
      <c r="BU11" s="432"/>
      <c r="BV11" s="431"/>
      <c r="BW11" s="432"/>
      <c r="BX11" s="432"/>
      <c r="BY11" s="432"/>
      <c r="BZ11" s="432"/>
      <c r="CA11" s="432"/>
      <c r="CB11" s="432"/>
      <c r="CC11" s="432"/>
      <c r="CD11" s="431"/>
      <c r="CE11" s="432"/>
      <c r="CF11" s="432"/>
      <c r="CG11" s="432"/>
      <c r="CH11" s="432"/>
      <c r="CI11" s="432"/>
      <c r="CJ11" s="432"/>
      <c r="CK11" s="432"/>
      <c r="CL11" s="431"/>
      <c r="CM11" s="432"/>
      <c r="CN11" s="432"/>
      <c r="CO11" s="432"/>
      <c r="CP11" s="432"/>
      <c r="CQ11" s="432"/>
      <c r="CR11" s="432"/>
      <c r="CS11" s="432"/>
      <c r="CT11" s="431"/>
      <c r="CU11" s="432"/>
    </row>
    <row r="12" spans="1:99" ht="15" customHeight="1">
      <c r="A12" s="430" t="s">
        <v>851</v>
      </c>
      <c r="B12" s="431">
        <v>1</v>
      </c>
      <c r="C12" s="432">
        <v>31.54</v>
      </c>
      <c r="D12" s="431"/>
      <c r="E12" s="432"/>
      <c r="F12" s="431"/>
      <c r="G12" s="432"/>
      <c r="H12" s="431"/>
      <c r="I12" s="432"/>
      <c r="J12" s="431">
        <v>1</v>
      </c>
      <c r="K12" s="432">
        <v>31.54</v>
      </c>
      <c r="L12" s="432"/>
      <c r="M12" s="432"/>
      <c r="N12" s="432"/>
      <c r="O12" s="432"/>
      <c r="P12" s="432"/>
      <c r="Q12" s="432"/>
      <c r="R12" s="431"/>
      <c r="S12" s="432"/>
      <c r="T12" s="432"/>
      <c r="U12" s="432"/>
      <c r="V12" s="432"/>
      <c r="W12" s="432"/>
      <c r="X12" s="432"/>
      <c r="Y12" s="432"/>
      <c r="Z12" s="431"/>
      <c r="AA12" s="432"/>
      <c r="AB12" s="432"/>
      <c r="AC12" s="432"/>
      <c r="AD12" s="432"/>
      <c r="AE12" s="432"/>
      <c r="AF12" s="432"/>
      <c r="AG12" s="432"/>
      <c r="AH12" s="431"/>
      <c r="AI12" s="432"/>
      <c r="AJ12" s="432"/>
      <c r="AK12" s="432"/>
      <c r="AL12" s="432"/>
      <c r="AM12" s="432"/>
      <c r="AN12" s="432"/>
      <c r="AO12" s="432"/>
      <c r="AP12" s="431"/>
      <c r="AQ12" s="432"/>
      <c r="AR12" s="432"/>
      <c r="AS12" s="432"/>
      <c r="AT12" s="432"/>
      <c r="AU12" s="432"/>
      <c r="AV12" s="432"/>
      <c r="AW12" s="432"/>
      <c r="AX12" s="431"/>
      <c r="AY12" s="432"/>
      <c r="AZ12" s="432"/>
      <c r="BA12" s="432"/>
      <c r="BB12" s="432"/>
      <c r="BC12" s="432"/>
      <c r="BD12" s="432"/>
      <c r="BE12" s="432"/>
      <c r="BF12" s="431"/>
      <c r="BG12" s="432"/>
      <c r="BH12" s="432"/>
      <c r="BI12" s="432"/>
      <c r="BJ12" s="432"/>
      <c r="BK12" s="432"/>
      <c r="BL12" s="432"/>
      <c r="BM12" s="432"/>
      <c r="BN12" s="431"/>
      <c r="BO12" s="432"/>
      <c r="BP12" s="432"/>
      <c r="BQ12" s="432"/>
      <c r="BR12" s="432"/>
      <c r="BS12" s="432"/>
      <c r="BT12" s="432"/>
      <c r="BU12" s="432"/>
      <c r="BV12" s="431"/>
      <c r="BW12" s="432"/>
      <c r="BX12" s="432"/>
      <c r="BY12" s="432"/>
      <c r="BZ12" s="432"/>
      <c r="CA12" s="432"/>
      <c r="CB12" s="432"/>
      <c r="CC12" s="432"/>
      <c r="CD12" s="431"/>
      <c r="CE12" s="432"/>
      <c r="CF12" s="432"/>
      <c r="CG12" s="432"/>
      <c r="CH12" s="432"/>
      <c r="CI12" s="432"/>
      <c r="CJ12" s="432"/>
      <c r="CK12" s="432"/>
      <c r="CL12" s="431"/>
      <c r="CM12" s="432"/>
      <c r="CN12" s="432"/>
      <c r="CO12" s="432"/>
      <c r="CP12" s="432"/>
      <c r="CQ12" s="432"/>
      <c r="CR12" s="432"/>
      <c r="CS12" s="432"/>
      <c r="CT12" s="431"/>
      <c r="CU12" s="432"/>
    </row>
    <row r="13" spans="1:99" ht="15" customHeight="1">
      <c r="A13" s="430" t="s">
        <v>851</v>
      </c>
      <c r="B13" s="431">
        <v>4</v>
      </c>
      <c r="C13" s="432">
        <v>126.08</v>
      </c>
      <c r="D13" s="431"/>
      <c r="E13" s="432"/>
      <c r="F13" s="431">
        <v>4</v>
      </c>
      <c r="G13" s="432">
        <v>126.08</v>
      </c>
      <c r="H13" s="431"/>
      <c r="I13" s="432"/>
      <c r="J13" s="431">
        <v>0</v>
      </c>
      <c r="K13" s="432">
        <v>0</v>
      </c>
      <c r="L13" s="432"/>
      <c r="M13" s="432"/>
      <c r="N13" s="432"/>
      <c r="O13" s="432"/>
      <c r="P13" s="432"/>
      <c r="Q13" s="432"/>
      <c r="R13" s="431"/>
      <c r="S13" s="432"/>
      <c r="T13" s="432"/>
      <c r="U13" s="432"/>
      <c r="V13" s="432"/>
      <c r="W13" s="432"/>
      <c r="X13" s="432"/>
      <c r="Y13" s="432"/>
      <c r="Z13" s="431"/>
      <c r="AA13" s="432"/>
      <c r="AB13" s="432"/>
      <c r="AC13" s="432"/>
      <c r="AD13" s="432"/>
      <c r="AE13" s="432"/>
      <c r="AF13" s="432"/>
      <c r="AG13" s="432"/>
      <c r="AH13" s="431"/>
      <c r="AI13" s="432"/>
      <c r="AJ13" s="432"/>
      <c r="AK13" s="432"/>
      <c r="AL13" s="432"/>
      <c r="AM13" s="432"/>
      <c r="AN13" s="432"/>
      <c r="AO13" s="432"/>
      <c r="AP13" s="431"/>
      <c r="AQ13" s="432"/>
      <c r="AR13" s="432"/>
      <c r="AS13" s="432"/>
      <c r="AT13" s="432"/>
      <c r="AU13" s="432"/>
      <c r="AV13" s="432"/>
      <c r="AW13" s="432"/>
      <c r="AX13" s="431"/>
      <c r="AY13" s="432"/>
      <c r="AZ13" s="432"/>
      <c r="BA13" s="432"/>
      <c r="BB13" s="432"/>
      <c r="BC13" s="432"/>
      <c r="BD13" s="432"/>
      <c r="BE13" s="432"/>
      <c r="BF13" s="431"/>
      <c r="BG13" s="432"/>
      <c r="BH13" s="432"/>
      <c r="BI13" s="432"/>
      <c r="BJ13" s="432"/>
      <c r="BK13" s="432"/>
      <c r="BL13" s="432"/>
      <c r="BM13" s="432"/>
      <c r="BN13" s="431"/>
      <c r="BO13" s="432"/>
      <c r="BP13" s="432"/>
      <c r="BQ13" s="432"/>
      <c r="BR13" s="432"/>
      <c r="BS13" s="432"/>
      <c r="BT13" s="432"/>
      <c r="BU13" s="432"/>
      <c r="BV13" s="431"/>
      <c r="BW13" s="432"/>
      <c r="BX13" s="432"/>
      <c r="BY13" s="432"/>
      <c r="BZ13" s="432"/>
      <c r="CA13" s="432"/>
      <c r="CB13" s="432"/>
      <c r="CC13" s="432"/>
      <c r="CD13" s="431"/>
      <c r="CE13" s="432"/>
      <c r="CF13" s="432"/>
      <c r="CG13" s="432"/>
      <c r="CH13" s="432"/>
      <c r="CI13" s="432"/>
      <c r="CJ13" s="432"/>
      <c r="CK13" s="432"/>
      <c r="CL13" s="431"/>
      <c r="CM13" s="432"/>
      <c r="CN13" s="432"/>
      <c r="CO13" s="432"/>
      <c r="CP13" s="432"/>
      <c r="CQ13" s="432"/>
      <c r="CR13" s="432"/>
      <c r="CS13" s="432"/>
      <c r="CT13" s="431"/>
      <c r="CU13" s="432"/>
    </row>
    <row r="14" spans="1:99" ht="15" customHeight="1">
      <c r="A14" s="430" t="s">
        <v>429</v>
      </c>
      <c r="B14" s="431">
        <v>3</v>
      </c>
      <c r="C14" s="432">
        <v>85.284999999999997</v>
      </c>
      <c r="D14" s="431"/>
      <c r="E14" s="432"/>
      <c r="F14" s="431">
        <v>3</v>
      </c>
      <c r="G14" s="432">
        <v>85.284999999999997</v>
      </c>
      <c r="H14" s="431"/>
      <c r="I14" s="432"/>
      <c r="J14" s="431">
        <v>0</v>
      </c>
      <c r="K14" s="432">
        <v>0</v>
      </c>
      <c r="L14" s="432"/>
      <c r="M14" s="432"/>
      <c r="N14" s="432"/>
      <c r="O14" s="432"/>
      <c r="P14" s="432"/>
      <c r="Q14" s="432"/>
      <c r="R14" s="431"/>
      <c r="S14" s="432"/>
      <c r="T14" s="432"/>
      <c r="U14" s="432"/>
      <c r="V14" s="432"/>
      <c r="W14" s="432"/>
      <c r="X14" s="432"/>
      <c r="Y14" s="432"/>
      <c r="Z14" s="431"/>
      <c r="AA14" s="432"/>
      <c r="AB14" s="432"/>
      <c r="AC14" s="432"/>
      <c r="AD14" s="432"/>
      <c r="AE14" s="432"/>
      <c r="AF14" s="432"/>
      <c r="AG14" s="432"/>
      <c r="AH14" s="431"/>
      <c r="AI14" s="432"/>
      <c r="AJ14" s="432"/>
      <c r="AK14" s="432"/>
      <c r="AL14" s="432"/>
      <c r="AM14" s="432"/>
      <c r="AN14" s="432"/>
      <c r="AO14" s="432"/>
      <c r="AP14" s="431"/>
      <c r="AQ14" s="432"/>
      <c r="AR14" s="432"/>
      <c r="AS14" s="432"/>
      <c r="AT14" s="432"/>
      <c r="AU14" s="432"/>
      <c r="AV14" s="432"/>
      <c r="AW14" s="432"/>
      <c r="AX14" s="431"/>
      <c r="AY14" s="432"/>
      <c r="AZ14" s="432"/>
      <c r="BA14" s="432"/>
      <c r="BB14" s="432"/>
      <c r="BC14" s="432"/>
      <c r="BD14" s="432"/>
      <c r="BE14" s="432"/>
      <c r="BF14" s="431"/>
      <c r="BG14" s="432"/>
      <c r="BH14" s="432"/>
      <c r="BI14" s="432"/>
      <c r="BJ14" s="432"/>
      <c r="BK14" s="432"/>
      <c r="BL14" s="432"/>
      <c r="BM14" s="432"/>
      <c r="BN14" s="431"/>
      <c r="BO14" s="432"/>
      <c r="BP14" s="432"/>
      <c r="BQ14" s="432"/>
      <c r="BR14" s="432"/>
      <c r="BS14" s="432"/>
      <c r="BT14" s="432"/>
      <c r="BU14" s="432"/>
      <c r="BV14" s="431"/>
      <c r="BW14" s="432"/>
      <c r="BX14" s="432"/>
      <c r="BY14" s="432"/>
      <c r="BZ14" s="432"/>
      <c r="CA14" s="432"/>
      <c r="CB14" s="432"/>
      <c r="CC14" s="432"/>
      <c r="CD14" s="431"/>
      <c r="CE14" s="432"/>
      <c r="CF14" s="432"/>
      <c r="CG14" s="432"/>
      <c r="CH14" s="432"/>
      <c r="CI14" s="432"/>
      <c r="CJ14" s="432"/>
      <c r="CK14" s="432"/>
      <c r="CL14" s="431"/>
      <c r="CM14" s="432"/>
      <c r="CN14" s="432"/>
      <c r="CO14" s="432"/>
      <c r="CP14" s="432"/>
      <c r="CQ14" s="432"/>
      <c r="CR14" s="432"/>
      <c r="CS14" s="432"/>
      <c r="CT14" s="431"/>
      <c r="CU14" s="432"/>
    </row>
    <row r="15" spans="1:99" ht="15" customHeight="1">
      <c r="A15" s="430" t="s">
        <v>402</v>
      </c>
      <c r="B15" s="431">
        <v>5</v>
      </c>
      <c r="C15" s="432">
        <v>173.45</v>
      </c>
      <c r="D15" s="431"/>
      <c r="E15" s="432"/>
      <c r="F15" s="431">
        <v>3</v>
      </c>
      <c r="G15" s="432">
        <v>104.07</v>
      </c>
      <c r="H15" s="431">
        <v>1</v>
      </c>
      <c r="I15" s="432">
        <v>34.69</v>
      </c>
      <c r="J15" s="431">
        <v>1</v>
      </c>
      <c r="K15" s="432">
        <v>34.69</v>
      </c>
      <c r="L15" s="432"/>
      <c r="M15" s="432"/>
      <c r="N15" s="432"/>
      <c r="O15" s="432"/>
      <c r="P15" s="432"/>
      <c r="Q15" s="432"/>
      <c r="R15" s="431"/>
      <c r="S15" s="432"/>
      <c r="T15" s="432"/>
      <c r="U15" s="432"/>
      <c r="V15" s="432"/>
      <c r="W15" s="432"/>
      <c r="X15" s="432"/>
      <c r="Y15" s="432"/>
      <c r="Z15" s="431"/>
      <c r="AA15" s="432"/>
      <c r="AB15" s="432"/>
      <c r="AC15" s="432"/>
      <c r="AD15" s="432"/>
      <c r="AE15" s="432"/>
      <c r="AF15" s="432"/>
      <c r="AG15" s="432"/>
      <c r="AH15" s="431"/>
      <c r="AI15" s="432"/>
      <c r="AJ15" s="432"/>
      <c r="AK15" s="432"/>
      <c r="AL15" s="432"/>
      <c r="AM15" s="432"/>
      <c r="AN15" s="432"/>
      <c r="AO15" s="432"/>
      <c r="AP15" s="431"/>
      <c r="AQ15" s="432"/>
      <c r="AR15" s="432"/>
      <c r="AS15" s="432"/>
      <c r="AT15" s="432"/>
      <c r="AU15" s="432"/>
      <c r="AV15" s="432"/>
      <c r="AW15" s="432"/>
      <c r="AX15" s="431"/>
      <c r="AY15" s="432"/>
      <c r="AZ15" s="432"/>
      <c r="BA15" s="432"/>
      <c r="BB15" s="432"/>
      <c r="BC15" s="432"/>
      <c r="BD15" s="432"/>
      <c r="BE15" s="432"/>
      <c r="BF15" s="431"/>
      <c r="BG15" s="432"/>
      <c r="BH15" s="432"/>
      <c r="BI15" s="432"/>
      <c r="BJ15" s="432"/>
      <c r="BK15" s="432"/>
      <c r="BL15" s="432"/>
      <c r="BM15" s="432"/>
      <c r="BN15" s="431"/>
      <c r="BO15" s="432"/>
      <c r="BP15" s="432"/>
      <c r="BQ15" s="432"/>
      <c r="BR15" s="432"/>
      <c r="BS15" s="432"/>
      <c r="BT15" s="432"/>
      <c r="BU15" s="432"/>
      <c r="BV15" s="431"/>
      <c r="BW15" s="432"/>
      <c r="BX15" s="432"/>
      <c r="BY15" s="432"/>
      <c r="BZ15" s="432"/>
      <c r="CA15" s="432"/>
      <c r="CB15" s="432"/>
      <c r="CC15" s="432"/>
      <c r="CD15" s="431"/>
      <c r="CE15" s="432"/>
      <c r="CF15" s="432"/>
      <c r="CG15" s="432"/>
      <c r="CH15" s="432"/>
      <c r="CI15" s="432"/>
      <c r="CJ15" s="432"/>
      <c r="CK15" s="432"/>
      <c r="CL15" s="431"/>
      <c r="CM15" s="432"/>
      <c r="CN15" s="432"/>
      <c r="CO15" s="432"/>
      <c r="CP15" s="432"/>
      <c r="CQ15" s="432"/>
      <c r="CR15" s="432"/>
      <c r="CS15" s="432"/>
      <c r="CT15" s="431"/>
      <c r="CU15" s="432"/>
    </row>
    <row r="16" spans="1:99" ht="15" customHeight="1">
      <c r="A16" s="430" t="s">
        <v>173</v>
      </c>
      <c r="B16" s="431">
        <v>1</v>
      </c>
      <c r="C16" s="432">
        <v>20.45</v>
      </c>
      <c r="D16" s="431"/>
      <c r="E16" s="432"/>
      <c r="F16" s="431"/>
      <c r="G16" s="432"/>
      <c r="H16" s="431">
        <v>1</v>
      </c>
      <c r="I16" s="432">
        <v>20.45</v>
      </c>
      <c r="J16" s="431">
        <v>0</v>
      </c>
      <c r="K16" s="432">
        <v>0</v>
      </c>
      <c r="L16" s="432"/>
      <c r="M16" s="432"/>
      <c r="N16" s="432"/>
      <c r="O16" s="432"/>
      <c r="P16" s="432"/>
      <c r="Q16" s="432"/>
      <c r="R16" s="431"/>
      <c r="S16" s="432"/>
      <c r="T16" s="432"/>
      <c r="U16" s="432"/>
      <c r="V16" s="432"/>
      <c r="W16" s="432"/>
      <c r="X16" s="432"/>
      <c r="Y16" s="432"/>
      <c r="Z16" s="431"/>
      <c r="AA16" s="432"/>
      <c r="AB16" s="432"/>
      <c r="AC16" s="432"/>
      <c r="AD16" s="432"/>
      <c r="AE16" s="432"/>
      <c r="AF16" s="432"/>
      <c r="AG16" s="432"/>
      <c r="AH16" s="431"/>
      <c r="AI16" s="432"/>
      <c r="AJ16" s="432"/>
      <c r="AK16" s="432"/>
      <c r="AL16" s="432"/>
      <c r="AM16" s="432"/>
      <c r="AN16" s="432"/>
      <c r="AO16" s="432"/>
      <c r="AP16" s="431"/>
      <c r="AQ16" s="432"/>
      <c r="AR16" s="432"/>
      <c r="AS16" s="432"/>
      <c r="AT16" s="432"/>
      <c r="AU16" s="432"/>
      <c r="AV16" s="432"/>
      <c r="AW16" s="432"/>
      <c r="AX16" s="431"/>
      <c r="AY16" s="432"/>
      <c r="AZ16" s="432"/>
      <c r="BA16" s="432"/>
      <c r="BB16" s="432"/>
      <c r="BC16" s="432"/>
      <c r="BD16" s="432"/>
      <c r="BE16" s="432"/>
      <c r="BF16" s="431"/>
      <c r="BG16" s="432"/>
      <c r="BH16" s="432"/>
      <c r="BI16" s="432"/>
      <c r="BJ16" s="432"/>
      <c r="BK16" s="432"/>
      <c r="BL16" s="432"/>
      <c r="BM16" s="432"/>
      <c r="BN16" s="431"/>
      <c r="BO16" s="432"/>
      <c r="BP16" s="432"/>
      <c r="BQ16" s="432"/>
      <c r="BR16" s="432"/>
      <c r="BS16" s="432"/>
      <c r="BT16" s="432"/>
      <c r="BU16" s="432"/>
      <c r="BV16" s="431"/>
      <c r="BW16" s="432"/>
      <c r="BX16" s="432"/>
      <c r="BY16" s="432"/>
      <c r="BZ16" s="432"/>
      <c r="CA16" s="432"/>
      <c r="CB16" s="432"/>
      <c r="CC16" s="432"/>
      <c r="CD16" s="431"/>
      <c r="CE16" s="432"/>
      <c r="CF16" s="432"/>
      <c r="CG16" s="432"/>
      <c r="CH16" s="432"/>
      <c r="CI16" s="432"/>
      <c r="CJ16" s="432"/>
      <c r="CK16" s="432"/>
      <c r="CL16" s="431"/>
      <c r="CM16" s="432"/>
      <c r="CN16" s="432"/>
      <c r="CO16" s="432"/>
      <c r="CP16" s="432"/>
      <c r="CQ16" s="432"/>
      <c r="CR16" s="432"/>
      <c r="CS16" s="432"/>
      <c r="CT16" s="431"/>
      <c r="CU16" s="432"/>
    </row>
    <row r="17" spans="1:99" ht="15" customHeight="1">
      <c r="A17" s="430" t="s">
        <v>169</v>
      </c>
      <c r="B17" s="431">
        <v>1</v>
      </c>
      <c r="C17" s="432">
        <v>27.86</v>
      </c>
      <c r="D17" s="431"/>
      <c r="E17" s="432"/>
      <c r="F17" s="431"/>
      <c r="G17" s="432"/>
      <c r="H17" s="431">
        <v>1</v>
      </c>
      <c r="I17" s="432">
        <v>27.86</v>
      </c>
      <c r="J17" s="431">
        <v>0</v>
      </c>
      <c r="K17" s="432">
        <v>0</v>
      </c>
      <c r="L17" s="432"/>
      <c r="M17" s="432"/>
      <c r="N17" s="432"/>
      <c r="O17" s="432"/>
      <c r="P17" s="432"/>
      <c r="Q17" s="432"/>
      <c r="R17" s="431"/>
      <c r="S17" s="432"/>
      <c r="T17" s="432"/>
      <c r="U17" s="432"/>
      <c r="V17" s="432"/>
      <c r="W17" s="432"/>
      <c r="X17" s="432"/>
      <c r="Y17" s="432"/>
      <c r="Z17" s="431"/>
      <c r="AA17" s="432"/>
      <c r="AB17" s="432"/>
      <c r="AC17" s="432"/>
      <c r="AD17" s="432"/>
      <c r="AE17" s="432"/>
      <c r="AF17" s="432"/>
      <c r="AG17" s="432"/>
      <c r="AH17" s="431"/>
      <c r="AI17" s="432"/>
      <c r="AJ17" s="432"/>
      <c r="AK17" s="432"/>
      <c r="AL17" s="432"/>
      <c r="AM17" s="432"/>
      <c r="AN17" s="432"/>
      <c r="AO17" s="432"/>
      <c r="AP17" s="431"/>
      <c r="AQ17" s="432"/>
      <c r="AR17" s="432"/>
      <c r="AS17" s="432"/>
      <c r="AT17" s="432"/>
      <c r="AU17" s="432"/>
      <c r="AV17" s="432"/>
      <c r="AW17" s="432"/>
      <c r="AX17" s="431"/>
      <c r="AY17" s="432"/>
      <c r="AZ17" s="432"/>
      <c r="BA17" s="432"/>
      <c r="BB17" s="432"/>
      <c r="BC17" s="432"/>
      <c r="BD17" s="432"/>
      <c r="BE17" s="432"/>
      <c r="BF17" s="431"/>
      <c r="BG17" s="432"/>
      <c r="BH17" s="432"/>
      <c r="BI17" s="432"/>
      <c r="BJ17" s="432"/>
      <c r="BK17" s="432"/>
      <c r="BL17" s="432"/>
      <c r="BM17" s="432"/>
      <c r="BN17" s="431"/>
      <c r="BO17" s="432"/>
      <c r="BP17" s="432"/>
      <c r="BQ17" s="432"/>
      <c r="BR17" s="432"/>
      <c r="BS17" s="432"/>
      <c r="BT17" s="432"/>
      <c r="BU17" s="432"/>
      <c r="BV17" s="431"/>
      <c r="BW17" s="432"/>
      <c r="BX17" s="432"/>
      <c r="BY17" s="432"/>
      <c r="BZ17" s="432"/>
      <c r="CA17" s="432"/>
      <c r="CB17" s="432"/>
      <c r="CC17" s="432"/>
      <c r="CD17" s="431"/>
      <c r="CE17" s="432"/>
      <c r="CF17" s="432"/>
      <c r="CG17" s="432"/>
      <c r="CH17" s="432"/>
      <c r="CI17" s="432"/>
      <c r="CJ17" s="432"/>
      <c r="CK17" s="432"/>
      <c r="CL17" s="431"/>
      <c r="CM17" s="432"/>
      <c r="CN17" s="432"/>
      <c r="CO17" s="432"/>
      <c r="CP17" s="432"/>
      <c r="CQ17" s="432"/>
      <c r="CR17" s="432"/>
      <c r="CS17" s="432"/>
      <c r="CT17" s="431"/>
      <c r="CU17" s="432"/>
    </row>
    <row r="18" spans="1:99" ht="15" customHeight="1">
      <c r="A18" s="430" t="s">
        <v>172</v>
      </c>
      <c r="B18" s="431">
        <v>1</v>
      </c>
      <c r="C18" s="432">
        <v>33.4</v>
      </c>
      <c r="D18" s="431"/>
      <c r="E18" s="432"/>
      <c r="F18" s="431"/>
      <c r="G18" s="432"/>
      <c r="H18" s="431">
        <v>1</v>
      </c>
      <c r="I18" s="432">
        <v>33.4</v>
      </c>
      <c r="J18" s="431">
        <v>0</v>
      </c>
      <c r="K18" s="432">
        <v>0</v>
      </c>
      <c r="L18" s="432"/>
      <c r="M18" s="432"/>
      <c r="N18" s="432"/>
      <c r="O18" s="432"/>
      <c r="P18" s="432"/>
      <c r="Q18" s="432"/>
      <c r="R18" s="431"/>
      <c r="S18" s="432"/>
      <c r="T18" s="432"/>
      <c r="U18" s="432"/>
      <c r="V18" s="432"/>
      <c r="W18" s="432"/>
      <c r="X18" s="432"/>
      <c r="Y18" s="432"/>
      <c r="Z18" s="431"/>
      <c r="AA18" s="432"/>
      <c r="AB18" s="432"/>
      <c r="AC18" s="432"/>
      <c r="AD18" s="432"/>
      <c r="AE18" s="432"/>
      <c r="AF18" s="432"/>
      <c r="AG18" s="432"/>
      <c r="AH18" s="431"/>
      <c r="AI18" s="432"/>
      <c r="AJ18" s="432"/>
      <c r="AK18" s="432"/>
      <c r="AL18" s="432"/>
      <c r="AM18" s="432"/>
      <c r="AN18" s="432"/>
      <c r="AO18" s="432"/>
      <c r="AP18" s="431"/>
      <c r="AQ18" s="432"/>
      <c r="AR18" s="433"/>
      <c r="AS18" s="433"/>
      <c r="AT18" s="433"/>
      <c r="AU18" s="433"/>
      <c r="AV18" s="433"/>
      <c r="AW18" s="433"/>
      <c r="AX18" s="431"/>
      <c r="AY18" s="432"/>
      <c r="AZ18" s="433"/>
      <c r="BA18" s="433"/>
      <c r="BB18" s="433"/>
      <c r="BC18" s="433"/>
      <c r="BD18" s="433"/>
      <c r="BE18" s="433"/>
      <c r="BF18" s="431"/>
      <c r="BG18" s="432"/>
      <c r="BH18" s="432"/>
      <c r="BI18" s="432"/>
      <c r="BJ18" s="432"/>
      <c r="BK18" s="432"/>
      <c r="BL18" s="432"/>
      <c r="BM18" s="432"/>
      <c r="BN18" s="431"/>
      <c r="BO18" s="432"/>
      <c r="BP18" s="432"/>
      <c r="BQ18" s="432"/>
      <c r="BR18" s="432"/>
      <c r="BS18" s="432"/>
      <c r="BT18" s="432"/>
      <c r="BU18" s="432"/>
      <c r="BV18" s="431"/>
      <c r="BW18" s="432"/>
      <c r="BX18" s="432"/>
      <c r="BY18" s="432"/>
      <c r="BZ18" s="432"/>
      <c r="CA18" s="432"/>
      <c r="CB18" s="432"/>
      <c r="CC18" s="432"/>
      <c r="CD18" s="431"/>
      <c r="CE18" s="432"/>
      <c r="CF18" s="432"/>
      <c r="CG18" s="432"/>
      <c r="CH18" s="432"/>
      <c r="CI18" s="432"/>
      <c r="CJ18" s="432"/>
      <c r="CK18" s="432"/>
      <c r="CL18" s="431"/>
      <c r="CM18" s="432"/>
      <c r="CN18" s="432"/>
      <c r="CO18" s="432"/>
      <c r="CP18" s="432"/>
      <c r="CQ18" s="432"/>
      <c r="CR18" s="432"/>
      <c r="CS18" s="432"/>
      <c r="CT18" s="431"/>
      <c r="CU18" s="432"/>
    </row>
    <row r="19" spans="1:99" ht="15" customHeight="1">
      <c r="A19" s="430" t="s">
        <v>244</v>
      </c>
      <c r="B19" s="431">
        <v>1</v>
      </c>
      <c r="C19" s="432">
        <v>38.03</v>
      </c>
      <c r="D19" s="431"/>
      <c r="E19" s="432"/>
      <c r="F19" s="431"/>
      <c r="G19" s="432"/>
      <c r="H19" s="431">
        <v>1</v>
      </c>
      <c r="I19" s="432">
        <v>38.03</v>
      </c>
      <c r="J19" s="431">
        <v>0</v>
      </c>
      <c r="K19" s="432">
        <v>0</v>
      </c>
      <c r="L19" s="432"/>
      <c r="M19" s="432"/>
      <c r="N19" s="432"/>
      <c r="O19" s="432"/>
      <c r="P19" s="432"/>
      <c r="Q19" s="432"/>
      <c r="R19" s="431"/>
      <c r="S19" s="432"/>
      <c r="T19" s="432"/>
      <c r="U19" s="432"/>
      <c r="V19" s="432"/>
      <c r="W19" s="432"/>
      <c r="X19" s="432"/>
      <c r="Y19" s="432"/>
      <c r="Z19" s="431"/>
      <c r="AA19" s="432"/>
      <c r="AB19" s="432"/>
      <c r="AC19" s="432"/>
      <c r="AD19" s="432"/>
      <c r="AE19" s="432"/>
      <c r="AF19" s="432"/>
      <c r="AG19" s="432"/>
      <c r="AH19" s="431"/>
      <c r="AI19" s="432"/>
      <c r="AJ19" s="432"/>
      <c r="AK19" s="432"/>
      <c r="AL19" s="432"/>
      <c r="AM19" s="432"/>
      <c r="AN19" s="432"/>
      <c r="AO19" s="432"/>
      <c r="AP19" s="431"/>
      <c r="AQ19" s="432"/>
      <c r="AR19" s="432"/>
      <c r="AS19" s="432"/>
      <c r="AT19" s="432"/>
      <c r="AU19" s="432"/>
      <c r="AV19" s="432"/>
      <c r="AW19" s="432"/>
      <c r="AX19" s="431"/>
      <c r="AY19" s="432"/>
      <c r="AZ19" s="432"/>
      <c r="BA19" s="432"/>
      <c r="BB19" s="432"/>
      <c r="BC19" s="432"/>
      <c r="BD19" s="432"/>
      <c r="BE19" s="432"/>
      <c r="BF19" s="431"/>
      <c r="BG19" s="432"/>
      <c r="BH19" s="432"/>
      <c r="BI19" s="432"/>
      <c r="BJ19" s="432"/>
      <c r="BK19" s="432"/>
      <c r="BL19" s="432"/>
      <c r="BM19" s="432"/>
      <c r="BN19" s="431"/>
      <c r="BO19" s="432"/>
      <c r="BP19" s="432"/>
      <c r="BQ19" s="432"/>
      <c r="BR19" s="432"/>
      <c r="BS19" s="432"/>
      <c r="BT19" s="432"/>
      <c r="BU19" s="432"/>
      <c r="BV19" s="431"/>
      <c r="BW19" s="432"/>
      <c r="BX19" s="432"/>
      <c r="BY19" s="432"/>
      <c r="BZ19" s="432"/>
      <c r="CA19" s="432"/>
      <c r="CB19" s="432"/>
      <c r="CC19" s="432"/>
      <c r="CD19" s="431"/>
      <c r="CE19" s="432"/>
      <c r="CF19" s="432"/>
      <c r="CG19" s="432"/>
      <c r="CH19" s="432"/>
      <c r="CI19" s="432"/>
      <c r="CJ19" s="432"/>
      <c r="CK19" s="432"/>
      <c r="CL19" s="431"/>
      <c r="CM19" s="432"/>
      <c r="CN19" s="432"/>
      <c r="CO19" s="432"/>
      <c r="CP19" s="432"/>
      <c r="CQ19" s="432"/>
      <c r="CR19" s="432"/>
      <c r="CS19" s="432"/>
      <c r="CT19" s="431"/>
      <c r="CU19" s="432"/>
    </row>
    <row r="20" spans="1:99" ht="15" customHeight="1">
      <c r="A20" s="430" t="s">
        <v>168</v>
      </c>
      <c r="B20" s="431">
        <v>1</v>
      </c>
      <c r="C20" s="432">
        <v>31.93</v>
      </c>
      <c r="D20" s="431"/>
      <c r="E20" s="432"/>
      <c r="F20" s="431"/>
      <c r="G20" s="432"/>
      <c r="H20" s="431">
        <v>1</v>
      </c>
      <c r="I20" s="432">
        <v>31.93</v>
      </c>
      <c r="J20" s="431">
        <v>0</v>
      </c>
      <c r="K20" s="432">
        <v>0</v>
      </c>
      <c r="L20" s="432"/>
      <c r="M20" s="432"/>
      <c r="N20" s="432"/>
      <c r="O20" s="432"/>
      <c r="P20" s="432"/>
      <c r="Q20" s="432"/>
      <c r="R20" s="431"/>
      <c r="S20" s="432"/>
      <c r="T20" s="432"/>
      <c r="U20" s="432"/>
      <c r="V20" s="432"/>
      <c r="W20" s="432"/>
      <c r="X20" s="432"/>
      <c r="Y20" s="432"/>
      <c r="Z20" s="431"/>
      <c r="AA20" s="432"/>
      <c r="AB20" s="432"/>
      <c r="AC20" s="432"/>
      <c r="AD20" s="432"/>
      <c r="AE20" s="432"/>
      <c r="AF20" s="432"/>
      <c r="AG20" s="432"/>
      <c r="AH20" s="431"/>
      <c r="AI20" s="432"/>
      <c r="AJ20" s="432"/>
      <c r="AK20" s="432"/>
      <c r="AL20" s="432"/>
      <c r="AM20" s="432"/>
      <c r="AN20" s="432"/>
      <c r="AO20" s="432"/>
      <c r="AP20" s="431"/>
      <c r="AQ20" s="432"/>
      <c r="AR20" s="433"/>
      <c r="AS20" s="433"/>
      <c r="AT20" s="433"/>
      <c r="AU20" s="433"/>
      <c r="AV20" s="433"/>
      <c r="AW20" s="433"/>
      <c r="AX20" s="431"/>
      <c r="AY20" s="432"/>
      <c r="AZ20" s="433"/>
      <c r="BA20" s="433"/>
      <c r="BB20" s="433"/>
      <c r="BC20" s="433"/>
      <c r="BD20" s="433"/>
      <c r="BE20" s="433"/>
      <c r="BF20" s="431"/>
      <c r="BG20" s="432"/>
      <c r="BH20" s="432"/>
      <c r="BI20" s="432"/>
      <c r="BJ20" s="432"/>
      <c r="BK20" s="432"/>
      <c r="BL20" s="432"/>
      <c r="BM20" s="432"/>
      <c r="BN20" s="431"/>
      <c r="BO20" s="432"/>
      <c r="BP20" s="432"/>
      <c r="BQ20" s="432"/>
      <c r="BR20" s="432"/>
      <c r="BS20" s="432"/>
      <c r="BT20" s="432"/>
      <c r="BU20" s="432"/>
      <c r="BV20" s="431"/>
      <c r="BW20" s="432"/>
      <c r="BX20" s="432"/>
      <c r="BY20" s="432"/>
      <c r="BZ20" s="432"/>
      <c r="CA20" s="432"/>
      <c r="CB20" s="432"/>
      <c r="CC20" s="432"/>
      <c r="CD20" s="431"/>
      <c r="CE20" s="432"/>
      <c r="CF20" s="432"/>
      <c r="CG20" s="432"/>
      <c r="CH20" s="432"/>
      <c r="CI20" s="432"/>
      <c r="CJ20" s="432"/>
      <c r="CK20" s="432"/>
      <c r="CL20" s="431"/>
      <c r="CM20" s="432"/>
      <c r="CN20" s="432"/>
      <c r="CO20" s="432"/>
      <c r="CP20" s="432"/>
      <c r="CQ20" s="432"/>
      <c r="CR20" s="432"/>
      <c r="CS20" s="432"/>
      <c r="CT20" s="431"/>
      <c r="CU20" s="432"/>
    </row>
    <row r="21" spans="1:99" ht="15" customHeight="1">
      <c r="A21" s="430" t="s">
        <v>167</v>
      </c>
      <c r="B21" s="431">
        <v>1</v>
      </c>
      <c r="C21" s="432">
        <v>36.61</v>
      </c>
      <c r="D21" s="431"/>
      <c r="E21" s="432"/>
      <c r="F21" s="431"/>
      <c r="G21" s="432"/>
      <c r="H21" s="431">
        <v>1</v>
      </c>
      <c r="I21" s="432">
        <v>36.61</v>
      </c>
      <c r="J21" s="431">
        <v>0</v>
      </c>
      <c r="K21" s="432">
        <v>0</v>
      </c>
      <c r="L21" s="432"/>
      <c r="M21" s="432"/>
      <c r="N21" s="432"/>
      <c r="O21" s="432"/>
      <c r="P21" s="432"/>
      <c r="Q21" s="432"/>
      <c r="R21" s="431"/>
      <c r="S21" s="432"/>
      <c r="T21" s="432"/>
      <c r="U21" s="432"/>
      <c r="V21" s="432"/>
      <c r="W21" s="432"/>
      <c r="X21" s="432"/>
      <c r="Y21" s="432"/>
      <c r="Z21" s="431"/>
      <c r="AA21" s="432"/>
      <c r="AB21" s="432"/>
      <c r="AC21" s="432"/>
      <c r="AD21" s="432"/>
      <c r="AE21" s="432"/>
      <c r="AF21" s="432"/>
      <c r="AG21" s="432"/>
      <c r="AH21" s="431"/>
      <c r="AI21" s="432"/>
      <c r="AJ21" s="432"/>
      <c r="AK21" s="432"/>
      <c r="AL21" s="432"/>
      <c r="AM21" s="432"/>
      <c r="AN21" s="432"/>
      <c r="AO21" s="432"/>
      <c r="AP21" s="431"/>
      <c r="AQ21" s="432"/>
      <c r="AR21" s="432"/>
      <c r="AS21" s="432"/>
      <c r="AT21" s="432"/>
      <c r="AU21" s="432"/>
      <c r="AV21" s="432"/>
      <c r="AW21" s="432"/>
      <c r="AX21" s="431"/>
      <c r="AY21" s="432"/>
      <c r="AZ21" s="433"/>
      <c r="BA21" s="433"/>
      <c r="BB21" s="433"/>
      <c r="BC21" s="433"/>
      <c r="BD21" s="433"/>
      <c r="BE21" s="433"/>
      <c r="BF21" s="431"/>
      <c r="BG21" s="432"/>
      <c r="BH21" s="432"/>
      <c r="BI21" s="432"/>
      <c r="BJ21" s="432"/>
      <c r="BK21" s="432"/>
      <c r="BL21" s="432"/>
      <c r="BM21" s="432"/>
      <c r="BN21" s="431"/>
      <c r="BO21" s="432"/>
      <c r="BP21" s="432"/>
      <c r="BQ21" s="432"/>
      <c r="BR21" s="432"/>
      <c r="BS21" s="432"/>
      <c r="BT21" s="432"/>
      <c r="BU21" s="432"/>
      <c r="BV21" s="431"/>
      <c r="BW21" s="432"/>
      <c r="BX21" s="432"/>
      <c r="BY21" s="432"/>
      <c r="BZ21" s="432"/>
      <c r="CA21" s="432"/>
      <c r="CB21" s="432"/>
      <c r="CC21" s="432"/>
      <c r="CD21" s="431"/>
      <c r="CE21" s="432"/>
      <c r="CF21" s="432"/>
      <c r="CG21" s="432"/>
      <c r="CH21" s="432"/>
      <c r="CI21" s="432"/>
      <c r="CJ21" s="432"/>
      <c r="CK21" s="432"/>
      <c r="CL21" s="431"/>
      <c r="CM21" s="432"/>
      <c r="CN21" s="432"/>
      <c r="CO21" s="432"/>
      <c r="CP21" s="432"/>
      <c r="CQ21" s="432"/>
      <c r="CR21" s="432"/>
      <c r="CS21" s="432"/>
      <c r="CT21" s="431"/>
      <c r="CU21" s="432"/>
    </row>
    <row r="22" spans="1:99" ht="15" customHeight="1">
      <c r="A22" s="430" t="s">
        <v>164</v>
      </c>
      <c r="B22" s="431">
        <v>1</v>
      </c>
      <c r="C22" s="432">
        <v>23.95</v>
      </c>
      <c r="D22" s="431"/>
      <c r="E22" s="432"/>
      <c r="F22" s="431"/>
      <c r="G22" s="432"/>
      <c r="H22" s="431">
        <v>1</v>
      </c>
      <c r="I22" s="432">
        <v>23.95</v>
      </c>
      <c r="J22" s="431">
        <v>0</v>
      </c>
      <c r="K22" s="432">
        <v>0</v>
      </c>
      <c r="L22" s="432"/>
      <c r="M22" s="432"/>
      <c r="N22" s="432"/>
      <c r="O22" s="432"/>
      <c r="P22" s="432"/>
      <c r="Q22" s="432"/>
      <c r="R22" s="431"/>
      <c r="S22" s="432"/>
      <c r="T22" s="432"/>
      <c r="U22" s="432"/>
      <c r="V22" s="432"/>
      <c r="W22" s="432"/>
      <c r="X22" s="432"/>
      <c r="Y22" s="432"/>
      <c r="Z22" s="431"/>
      <c r="AA22" s="432"/>
      <c r="AB22" s="432"/>
      <c r="AC22" s="432"/>
      <c r="AD22" s="432"/>
      <c r="AE22" s="432"/>
      <c r="AF22" s="432"/>
      <c r="AG22" s="432"/>
      <c r="AH22" s="431"/>
      <c r="AI22" s="432"/>
      <c r="AJ22" s="432"/>
      <c r="AK22" s="432"/>
      <c r="AL22" s="432"/>
      <c r="AM22" s="432"/>
      <c r="AN22" s="432"/>
      <c r="AO22" s="432"/>
      <c r="AP22" s="431"/>
      <c r="AQ22" s="432"/>
      <c r="AR22" s="432"/>
      <c r="AS22" s="432"/>
      <c r="AT22" s="432"/>
      <c r="AU22" s="432"/>
      <c r="AV22" s="432"/>
      <c r="AW22" s="432"/>
      <c r="AX22" s="431"/>
      <c r="AY22" s="432"/>
      <c r="AZ22" s="433"/>
      <c r="BA22" s="433"/>
      <c r="BB22" s="433"/>
      <c r="BC22" s="433"/>
      <c r="BD22" s="433"/>
      <c r="BE22" s="433"/>
      <c r="BF22" s="431"/>
      <c r="BG22" s="432"/>
      <c r="BH22" s="432"/>
      <c r="BI22" s="432"/>
      <c r="BJ22" s="432"/>
      <c r="BK22" s="432"/>
      <c r="BL22" s="432"/>
      <c r="BM22" s="432"/>
      <c r="BN22" s="431"/>
      <c r="BO22" s="432"/>
      <c r="BP22" s="432"/>
      <c r="BQ22" s="432"/>
      <c r="BR22" s="432"/>
      <c r="BS22" s="432"/>
      <c r="BT22" s="432"/>
      <c r="BU22" s="432"/>
      <c r="BV22" s="431"/>
      <c r="BW22" s="432"/>
      <c r="BX22" s="432"/>
      <c r="BY22" s="432"/>
      <c r="BZ22" s="432"/>
      <c r="CA22" s="432"/>
      <c r="CB22" s="432"/>
      <c r="CC22" s="432"/>
      <c r="CD22" s="431"/>
      <c r="CE22" s="432"/>
      <c r="CF22" s="432"/>
      <c r="CG22" s="432"/>
      <c r="CH22" s="432"/>
      <c r="CI22" s="432"/>
      <c r="CJ22" s="432"/>
      <c r="CK22" s="432"/>
      <c r="CL22" s="431"/>
      <c r="CM22" s="432"/>
      <c r="CN22" s="432"/>
      <c r="CO22" s="432"/>
      <c r="CP22" s="432"/>
      <c r="CQ22" s="432"/>
      <c r="CR22" s="432"/>
      <c r="CS22" s="432"/>
      <c r="CT22" s="431"/>
      <c r="CU22" s="432"/>
    </row>
    <row r="23" spans="1:99" ht="15" customHeight="1">
      <c r="A23" s="430" t="s">
        <v>813</v>
      </c>
      <c r="B23" s="431">
        <v>1</v>
      </c>
      <c r="C23" s="432">
        <v>29.85</v>
      </c>
      <c r="D23" s="431"/>
      <c r="E23" s="432"/>
      <c r="F23" s="431"/>
      <c r="G23" s="432"/>
      <c r="H23" s="431">
        <v>1</v>
      </c>
      <c r="I23" s="432">
        <v>29.85</v>
      </c>
      <c r="J23" s="431">
        <v>0</v>
      </c>
      <c r="K23" s="432">
        <v>0</v>
      </c>
      <c r="L23" s="432"/>
      <c r="M23" s="432"/>
      <c r="N23" s="432"/>
      <c r="O23" s="432"/>
      <c r="P23" s="432"/>
      <c r="Q23" s="432"/>
      <c r="R23" s="431"/>
      <c r="S23" s="432"/>
      <c r="T23" s="432"/>
      <c r="U23" s="432"/>
      <c r="V23" s="432"/>
      <c r="W23" s="432"/>
      <c r="X23" s="432"/>
      <c r="Y23" s="432"/>
      <c r="Z23" s="431"/>
      <c r="AA23" s="432"/>
      <c r="AB23" s="432"/>
      <c r="AC23" s="432"/>
      <c r="AD23" s="432"/>
      <c r="AE23" s="432"/>
      <c r="AF23" s="432"/>
      <c r="AG23" s="432"/>
      <c r="AH23" s="431"/>
      <c r="AI23" s="432"/>
      <c r="AJ23" s="432"/>
      <c r="AK23" s="432"/>
      <c r="AL23" s="432"/>
      <c r="AM23" s="432"/>
      <c r="AN23" s="432"/>
      <c r="AO23" s="432"/>
      <c r="AP23" s="431"/>
      <c r="AQ23" s="432"/>
      <c r="AR23" s="432"/>
      <c r="AS23" s="432"/>
      <c r="AT23" s="432"/>
      <c r="AU23" s="432"/>
      <c r="AV23" s="432"/>
      <c r="AW23" s="432"/>
      <c r="AX23" s="431"/>
      <c r="AY23" s="432"/>
      <c r="AZ23" s="433"/>
      <c r="BA23" s="433"/>
      <c r="BB23" s="433"/>
      <c r="BC23" s="433"/>
      <c r="BD23" s="433"/>
      <c r="BE23" s="433"/>
      <c r="BF23" s="431"/>
      <c r="BG23" s="432"/>
      <c r="BH23" s="432"/>
      <c r="BI23" s="432"/>
      <c r="BJ23" s="432"/>
      <c r="BK23" s="432"/>
      <c r="BL23" s="432"/>
      <c r="BM23" s="432"/>
      <c r="BN23" s="431"/>
      <c r="BO23" s="432"/>
      <c r="BP23" s="432"/>
      <c r="BQ23" s="432"/>
      <c r="BR23" s="432"/>
      <c r="BS23" s="432"/>
      <c r="BT23" s="432"/>
      <c r="BU23" s="432"/>
      <c r="BV23" s="431"/>
      <c r="BW23" s="432"/>
      <c r="BX23" s="432"/>
      <c r="BY23" s="432"/>
      <c r="BZ23" s="432"/>
      <c r="CA23" s="432"/>
      <c r="CB23" s="432"/>
      <c r="CC23" s="432"/>
      <c r="CD23" s="431"/>
      <c r="CE23" s="432"/>
      <c r="CF23" s="432"/>
      <c r="CG23" s="432"/>
      <c r="CH23" s="432"/>
      <c r="CI23" s="432"/>
      <c r="CJ23" s="432"/>
      <c r="CK23" s="432"/>
      <c r="CL23" s="431"/>
      <c r="CM23" s="432"/>
      <c r="CN23" s="432"/>
      <c r="CO23" s="432"/>
      <c r="CP23" s="432"/>
      <c r="CQ23" s="432"/>
      <c r="CR23" s="432"/>
      <c r="CS23" s="432"/>
      <c r="CT23" s="431"/>
      <c r="CU23" s="432"/>
    </row>
    <row r="24" spans="1:99" ht="15" customHeight="1">
      <c r="A24" s="430" t="s">
        <v>182</v>
      </c>
      <c r="B24" s="431">
        <v>1</v>
      </c>
      <c r="C24" s="432">
        <v>43.43</v>
      </c>
      <c r="D24" s="431"/>
      <c r="E24" s="432"/>
      <c r="F24" s="431"/>
      <c r="G24" s="432"/>
      <c r="H24" s="431"/>
      <c r="I24" s="432"/>
      <c r="J24" s="431">
        <v>1</v>
      </c>
      <c r="K24" s="432">
        <v>43.43</v>
      </c>
      <c r="L24" s="432"/>
      <c r="M24" s="432"/>
      <c r="N24" s="432"/>
      <c r="O24" s="432"/>
      <c r="P24" s="432"/>
      <c r="Q24" s="432"/>
      <c r="R24" s="431"/>
      <c r="S24" s="432"/>
      <c r="T24" s="432"/>
      <c r="U24" s="432"/>
      <c r="V24" s="432"/>
      <c r="W24" s="432"/>
      <c r="X24" s="432"/>
      <c r="Y24" s="432"/>
      <c r="Z24" s="431"/>
      <c r="AA24" s="432"/>
      <c r="AB24" s="432"/>
      <c r="AC24" s="432"/>
      <c r="AD24" s="432"/>
      <c r="AE24" s="432"/>
      <c r="AF24" s="432"/>
      <c r="AG24" s="432"/>
      <c r="AH24" s="431"/>
      <c r="AI24" s="432"/>
      <c r="AJ24" s="432"/>
      <c r="AK24" s="432"/>
      <c r="AL24" s="432"/>
      <c r="AM24" s="432"/>
      <c r="AN24" s="432"/>
      <c r="AO24" s="432"/>
      <c r="AP24" s="431"/>
      <c r="AQ24" s="432"/>
      <c r="AR24" s="432"/>
      <c r="AS24" s="432"/>
      <c r="AT24" s="432"/>
      <c r="AU24" s="432"/>
      <c r="AV24" s="432"/>
      <c r="AW24" s="432"/>
      <c r="AX24" s="431"/>
      <c r="AY24" s="432"/>
      <c r="AZ24" s="433"/>
      <c r="BA24" s="433"/>
      <c r="BB24" s="433"/>
      <c r="BC24" s="433"/>
      <c r="BD24" s="433"/>
      <c r="BE24" s="433"/>
      <c r="BF24" s="431"/>
      <c r="BG24" s="432"/>
      <c r="BH24" s="432"/>
      <c r="BI24" s="432"/>
      <c r="BJ24" s="432"/>
      <c r="BK24" s="432"/>
      <c r="BL24" s="432"/>
      <c r="BM24" s="432"/>
      <c r="BN24" s="431"/>
      <c r="BO24" s="432"/>
      <c r="BP24" s="432"/>
      <c r="BQ24" s="432"/>
      <c r="BR24" s="432"/>
      <c r="BS24" s="432"/>
      <c r="BT24" s="432"/>
      <c r="BU24" s="432"/>
      <c r="BV24" s="431"/>
      <c r="BW24" s="432"/>
      <c r="BX24" s="493"/>
      <c r="BY24" s="493"/>
      <c r="BZ24" s="432"/>
      <c r="CA24" s="432"/>
      <c r="CB24" s="432"/>
      <c r="CC24" s="432"/>
      <c r="CD24" s="431"/>
      <c r="CE24" s="432"/>
      <c r="CF24" s="432"/>
      <c r="CG24" s="432"/>
      <c r="CH24" s="432"/>
      <c r="CI24" s="432"/>
      <c r="CJ24" s="432"/>
      <c r="CK24" s="432"/>
      <c r="CL24" s="431"/>
      <c r="CM24" s="432"/>
      <c r="CN24" s="432"/>
      <c r="CO24" s="432"/>
      <c r="CP24" s="432"/>
      <c r="CQ24" s="432"/>
      <c r="CR24" s="432"/>
      <c r="CS24" s="432"/>
      <c r="CT24" s="431"/>
      <c r="CU24" s="432"/>
    </row>
    <row r="25" spans="1:99" ht="15" customHeight="1">
      <c r="A25" s="430" t="s">
        <v>330</v>
      </c>
      <c r="B25" s="431">
        <v>1</v>
      </c>
      <c r="C25" s="432">
        <v>36.04</v>
      </c>
      <c r="D25" s="431"/>
      <c r="E25" s="432"/>
      <c r="F25" s="431"/>
      <c r="G25" s="432"/>
      <c r="H25" s="431"/>
      <c r="I25" s="432"/>
      <c r="J25" s="431">
        <v>1</v>
      </c>
      <c r="K25" s="432">
        <v>36.04</v>
      </c>
      <c r="L25" s="432"/>
      <c r="M25" s="432"/>
      <c r="N25" s="432"/>
      <c r="O25" s="432"/>
      <c r="P25" s="432"/>
      <c r="Q25" s="432"/>
      <c r="R25" s="431"/>
      <c r="S25" s="432"/>
      <c r="T25" s="432"/>
      <c r="U25" s="432"/>
      <c r="V25" s="432"/>
      <c r="W25" s="432"/>
      <c r="X25" s="432"/>
      <c r="Y25" s="432"/>
      <c r="Z25" s="431"/>
      <c r="AA25" s="432"/>
      <c r="AB25" s="432"/>
      <c r="AC25" s="432"/>
      <c r="AD25" s="432"/>
      <c r="AE25" s="432"/>
      <c r="AF25" s="432"/>
      <c r="AG25" s="432"/>
      <c r="AH25" s="431"/>
      <c r="AI25" s="432"/>
      <c r="AJ25" s="432"/>
      <c r="AK25" s="432"/>
      <c r="AL25" s="432"/>
      <c r="AM25" s="432"/>
      <c r="AN25" s="432"/>
      <c r="AO25" s="432"/>
      <c r="AP25" s="431"/>
      <c r="AQ25" s="432"/>
      <c r="AR25" s="432"/>
      <c r="AS25" s="432"/>
      <c r="AT25" s="432"/>
      <c r="AU25" s="432"/>
      <c r="AV25" s="432"/>
      <c r="AW25" s="432"/>
      <c r="AX25" s="431"/>
      <c r="AY25" s="432"/>
      <c r="AZ25" s="433"/>
      <c r="BA25" s="433"/>
      <c r="BB25" s="433"/>
      <c r="BC25" s="433"/>
      <c r="BD25" s="433"/>
      <c r="BE25" s="433"/>
      <c r="BF25" s="431"/>
      <c r="BG25" s="432"/>
      <c r="BH25" s="432"/>
      <c r="BI25" s="432"/>
      <c r="BJ25" s="432"/>
      <c r="BK25" s="432"/>
      <c r="BL25" s="432"/>
      <c r="BM25" s="432"/>
      <c r="BN25" s="431"/>
      <c r="BO25" s="432"/>
      <c r="BP25" s="432"/>
      <c r="BQ25" s="432"/>
      <c r="BR25" s="432"/>
      <c r="BS25" s="432"/>
      <c r="BT25" s="432"/>
      <c r="BU25" s="432"/>
      <c r="BV25" s="431"/>
      <c r="BW25" s="432"/>
      <c r="BX25" s="432"/>
      <c r="BY25" s="432"/>
      <c r="BZ25" s="432"/>
      <c r="CA25" s="432"/>
      <c r="CB25" s="432"/>
      <c r="CC25" s="432"/>
      <c r="CD25" s="431"/>
      <c r="CE25" s="432"/>
      <c r="CF25" s="432"/>
      <c r="CG25" s="432"/>
      <c r="CH25" s="432"/>
      <c r="CI25" s="432"/>
      <c r="CJ25" s="432"/>
      <c r="CK25" s="432"/>
      <c r="CL25" s="431"/>
      <c r="CM25" s="432"/>
      <c r="CN25" s="432"/>
      <c r="CO25" s="432"/>
      <c r="CP25" s="432"/>
      <c r="CQ25" s="432"/>
      <c r="CR25" s="432"/>
      <c r="CS25" s="432"/>
      <c r="CT25" s="431"/>
      <c r="CU25" s="432"/>
    </row>
    <row r="26" spans="1:99">
      <c r="A26" s="430" t="s">
        <v>848</v>
      </c>
      <c r="B26" s="431">
        <v>1</v>
      </c>
      <c r="C26" s="432">
        <v>27.49</v>
      </c>
      <c r="D26" s="431"/>
      <c r="E26" s="432"/>
      <c r="F26" s="431">
        <v>1</v>
      </c>
      <c r="G26" s="432">
        <v>27.49</v>
      </c>
      <c r="H26" s="431"/>
      <c r="I26" s="432"/>
      <c r="J26" s="431">
        <v>0</v>
      </c>
      <c r="K26" s="432">
        <v>0</v>
      </c>
      <c r="L26" s="432"/>
      <c r="M26" s="432"/>
      <c r="N26" s="432"/>
      <c r="O26" s="432"/>
      <c r="P26" s="432"/>
      <c r="Q26" s="432"/>
      <c r="R26" s="431"/>
      <c r="S26" s="432"/>
      <c r="T26" s="432"/>
      <c r="U26" s="432"/>
      <c r="V26" s="432"/>
      <c r="W26" s="432"/>
      <c r="X26" s="432"/>
      <c r="Y26" s="432"/>
      <c r="Z26" s="431"/>
      <c r="AA26" s="432"/>
      <c r="AB26" s="432"/>
      <c r="AC26" s="432"/>
      <c r="AD26" s="432"/>
      <c r="AE26" s="432"/>
      <c r="AF26" s="432"/>
      <c r="AG26" s="432"/>
      <c r="AH26" s="431"/>
      <c r="AI26" s="432"/>
      <c r="AJ26" s="432"/>
      <c r="AK26" s="432"/>
      <c r="AL26" s="432"/>
      <c r="AM26" s="432"/>
      <c r="AN26" s="432"/>
      <c r="AO26" s="432"/>
      <c r="AP26" s="431"/>
      <c r="AQ26" s="432"/>
      <c r="AR26" s="432"/>
      <c r="AS26" s="432"/>
      <c r="AT26" s="432"/>
      <c r="AU26" s="432"/>
      <c r="AV26" s="432"/>
      <c r="AW26" s="432"/>
      <c r="AX26" s="431"/>
      <c r="AY26" s="432"/>
      <c r="AZ26" s="433"/>
      <c r="BA26" s="433"/>
      <c r="BB26" s="433"/>
      <c r="BC26" s="433"/>
      <c r="BD26" s="433"/>
      <c r="BE26" s="433"/>
      <c r="BF26" s="431"/>
      <c r="BG26" s="432"/>
      <c r="BH26" s="432"/>
      <c r="BI26" s="432"/>
      <c r="BJ26" s="432"/>
      <c r="BK26" s="432"/>
      <c r="BL26" s="432"/>
      <c r="BM26" s="432"/>
      <c r="BN26" s="431"/>
      <c r="BO26" s="432"/>
      <c r="BP26" s="432"/>
      <c r="BQ26" s="432"/>
      <c r="BR26" s="432"/>
      <c r="BS26" s="432"/>
      <c r="BT26" s="432"/>
      <c r="BU26" s="432"/>
      <c r="BV26" s="431"/>
      <c r="BW26" s="432"/>
      <c r="BX26" s="432"/>
      <c r="BY26" s="432"/>
      <c r="BZ26" s="432"/>
      <c r="CA26" s="432"/>
      <c r="CB26" s="432"/>
      <c r="CC26" s="432"/>
      <c r="CD26" s="431"/>
      <c r="CE26" s="432"/>
      <c r="CF26" s="432"/>
      <c r="CG26" s="432"/>
      <c r="CH26" s="432"/>
      <c r="CI26" s="432"/>
      <c r="CJ26" s="432"/>
      <c r="CK26" s="432"/>
      <c r="CL26" s="431"/>
      <c r="CM26" s="432"/>
      <c r="CN26" s="432"/>
      <c r="CO26" s="432"/>
      <c r="CP26" s="432"/>
      <c r="CQ26" s="432"/>
      <c r="CR26" s="432"/>
      <c r="CS26" s="432"/>
      <c r="CT26" s="431"/>
      <c r="CU26" s="432"/>
    </row>
    <row r="27" spans="1:99">
      <c r="A27" s="430" t="s">
        <v>563</v>
      </c>
      <c r="B27" s="431">
        <v>0</v>
      </c>
      <c r="C27" s="432">
        <v>0</v>
      </c>
      <c r="D27" s="431">
        <v>7</v>
      </c>
      <c r="E27" s="432">
        <v>321.93</v>
      </c>
      <c r="F27" s="431"/>
      <c r="G27" s="432"/>
      <c r="H27" s="431"/>
      <c r="I27" s="432"/>
      <c r="J27" s="431">
        <v>7</v>
      </c>
      <c r="K27" s="432">
        <v>321.93</v>
      </c>
      <c r="L27" s="432"/>
      <c r="M27" s="432"/>
      <c r="N27" s="432"/>
      <c r="O27" s="432"/>
      <c r="P27" s="432"/>
      <c r="Q27" s="432"/>
      <c r="R27" s="431"/>
      <c r="S27" s="432"/>
      <c r="T27" s="432"/>
      <c r="U27" s="432"/>
      <c r="V27" s="432"/>
      <c r="W27" s="432"/>
      <c r="X27" s="432"/>
      <c r="Y27" s="432"/>
      <c r="Z27" s="431"/>
      <c r="AA27" s="432"/>
      <c r="AB27" s="432"/>
      <c r="AC27" s="432"/>
      <c r="AD27" s="432"/>
      <c r="AE27" s="432"/>
      <c r="AF27" s="432"/>
      <c r="AG27" s="432"/>
      <c r="AH27" s="431"/>
      <c r="AI27" s="432"/>
      <c r="AJ27" s="432"/>
      <c r="AK27" s="432"/>
      <c r="AL27" s="432"/>
      <c r="AM27" s="432"/>
      <c r="AN27" s="432"/>
      <c r="AO27" s="432"/>
      <c r="AP27" s="431"/>
      <c r="AQ27" s="432"/>
      <c r="AR27" s="432"/>
      <c r="AS27" s="432"/>
      <c r="AT27" s="432"/>
      <c r="AU27" s="432"/>
      <c r="AV27" s="432"/>
      <c r="AW27" s="432"/>
      <c r="AX27" s="431"/>
      <c r="AY27" s="432"/>
      <c r="AZ27" s="432"/>
      <c r="BA27" s="432"/>
      <c r="BB27" s="432"/>
      <c r="BC27" s="432"/>
      <c r="BD27" s="432"/>
      <c r="BE27" s="432"/>
      <c r="BF27" s="431"/>
      <c r="BG27" s="432"/>
      <c r="BH27" s="432"/>
      <c r="BI27" s="432"/>
      <c r="BJ27" s="432"/>
      <c r="BK27" s="432"/>
      <c r="BL27" s="432"/>
      <c r="BM27" s="432"/>
      <c r="BN27" s="431"/>
      <c r="BO27" s="432"/>
      <c r="BP27" s="432"/>
      <c r="BQ27" s="432"/>
      <c r="BR27" s="432"/>
      <c r="BS27" s="432"/>
      <c r="BT27" s="432"/>
      <c r="BU27" s="432"/>
      <c r="BV27" s="431"/>
      <c r="BW27" s="432"/>
      <c r="BX27" s="432"/>
      <c r="BY27" s="432"/>
      <c r="BZ27" s="432"/>
      <c r="CA27" s="432"/>
      <c r="CB27" s="432"/>
      <c r="CC27" s="432"/>
      <c r="CD27" s="431"/>
      <c r="CE27" s="432"/>
      <c r="CF27" s="432"/>
      <c r="CG27" s="432"/>
      <c r="CH27" s="432"/>
      <c r="CI27" s="432"/>
      <c r="CJ27" s="432"/>
      <c r="CK27" s="432"/>
      <c r="CL27" s="431"/>
      <c r="CM27" s="432"/>
      <c r="CN27" s="432"/>
      <c r="CO27" s="432"/>
      <c r="CP27" s="432"/>
      <c r="CQ27" s="432"/>
      <c r="CR27" s="432"/>
      <c r="CS27" s="432"/>
      <c r="CT27" s="431"/>
      <c r="CU27" s="432"/>
    </row>
    <row r="28" spans="1:99">
      <c r="A28" s="430" t="s">
        <v>284</v>
      </c>
      <c r="B28" s="431">
        <v>0</v>
      </c>
      <c r="C28" s="432">
        <v>0</v>
      </c>
      <c r="D28" s="431">
        <v>1</v>
      </c>
      <c r="E28" s="432">
        <v>45.46</v>
      </c>
      <c r="F28" s="431"/>
      <c r="G28" s="432"/>
      <c r="H28" s="431"/>
      <c r="I28" s="432"/>
      <c r="J28" s="431">
        <v>1</v>
      </c>
      <c r="K28" s="432">
        <v>45.46</v>
      </c>
      <c r="L28" s="432"/>
      <c r="M28" s="432"/>
      <c r="N28" s="432"/>
      <c r="O28" s="432"/>
      <c r="P28" s="432"/>
      <c r="Q28" s="432"/>
      <c r="R28" s="431"/>
      <c r="S28" s="432"/>
      <c r="T28" s="432"/>
      <c r="U28" s="432"/>
      <c r="V28" s="432"/>
      <c r="W28" s="432"/>
      <c r="X28" s="432"/>
      <c r="Y28" s="432"/>
      <c r="Z28" s="431"/>
      <c r="AA28" s="432"/>
      <c r="AB28" s="432"/>
      <c r="AC28" s="432"/>
      <c r="AD28" s="432"/>
      <c r="AE28" s="432"/>
      <c r="AF28" s="432"/>
      <c r="AG28" s="432"/>
      <c r="AH28" s="431"/>
      <c r="AI28" s="432"/>
      <c r="AJ28" s="432"/>
      <c r="AK28" s="432"/>
      <c r="AL28" s="432"/>
      <c r="AM28" s="432"/>
      <c r="AN28" s="432"/>
      <c r="AO28" s="432"/>
      <c r="AP28" s="431"/>
      <c r="AQ28" s="432"/>
      <c r="AR28" s="432"/>
      <c r="AS28" s="432"/>
      <c r="AT28" s="432"/>
      <c r="AU28" s="432"/>
      <c r="AV28" s="432"/>
      <c r="AW28" s="432"/>
      <c r="AX28" s="431"/>
      <c r="AY28" s="432"/>
      <c r="AZ28" s="432"/>
      <c r="BA28" s="432"/>
      <c r="BB28" s="432"/>
      <c r="BC28" s="432"/>
      <c r="BD28" s="432"/>
      <c r="BE28" s="432"/>
      <c r="BF28" s="431"/>
      <c r="BG28" s="432"/>
      <c r="BH28" s="432"/>
      <c r="BI28" s="432"/>
      <c r="BJ28" s="432"/>
      <c r="BK28" s="432"/>
      <c r="BL28" s="432"/>
      <c r="BM28" s="432"/>
      <c r="BN28" s="431"/>
      <c r="BO28" s="432"/>
      <c r="BP28" s="432"/>
      <c r="BQ28" s="432"/>
      <c r="BR28" s="432"/>
      <c r="BS28" s="432"/>
      <c r="BT28" s="432"/>
      <c r="BU28" s="432"/>
      <c r="BV28" s="431"/>
      <c r="BW28" s="432"/>
      <c r="BX28" s="432"/>
      <c r="BY28" s="432"/>
      <c r="BZ28" s="432"/>
      <c r="CA28" s="432"/>
      <c r="CB28" s="432"/>
      <c r="CC28" s="432"/>
      <c r="CD28" s="431"/>
      <c r="CE28" s="432"/>
      <c r="CF28" s="432"/>
      <c r="CG28" s="432"/>
      <c r="CH28" s="432"/>
      <c r="CI28" s="432"/>
      <c r="CJ28" s="432"/>
      <c r="CK28" s="432"/>
      <c r="CL28" s="431"/>
      <c r="CM28" s="432"/>
      <c r="CN28" s="432"/>
      <c r="CO28" s="432"/>
      <c r="CP28" s="432"/>
      <c r="CQ28" s="432"/>
      <c r="CR28" s="432"/>
      <c r="CS28" s="432"/>
      <c r="CT28" s="431"/>
      <c r="CU28" s="432"/>
    </row>
    <row r="29" spans="1:99">
      <c r="A29" s="430" t="s">
        <v>478</v>
      </c>
      <c r="B29" s="431">
        <v>0</v>
      </c>
      <c r="C29" s="432">
        <v>0</v>
      </c>
      <c r="D29" s="431">
        <v>4</v>
      </c>
      <c r="E29" s="432">
        <v>210</v>
      </c>
      <c r="F29" s="431"/>
      <c r="G29" s="432"/>
      <c r="H29" s="431">
        <v>4</v>
      </c>
      <c r="I29" s="432">
        <v>210</v>
      </c>
      <c r="J29" s="431">
        <v>0</v>
      </c>
      <c r="K29" s="432">
        <v>0</v>
      </c>
      <c r="L29" s="432"/>
      <c r="M29" s="432"/>
      <c r="N29" s="432"/>
      <c r="O29" s="432"/>
      <c r="P29" s="432"/>
      <c r="Q29" s="432"/>
      <c r="R29" s="431"/>
      <c r="S29" s="432"/>
      <c r="T29" s="432"/>
      <c r="U29" s="432"/>
      <c r="V29" s="432"/>
      <c r="W29" s="432"/>
      <c r="X29" s="432"/>
      <c r="Y29" s="432"/>
      <c r="Z29" s="431"/>
      <c r="AA29" s="432"/>
      <c r="AB29" s="432"/>
      <c r="AC29" s="432"/>
      <c r="AD29" s="432"/>
      <c r="AE29" s="432"/>
      <c r="AF29" s="432"/>
      <c r="AG29" s="432"/>
      <c r="AH29" s="431"/>
      <c r="AI29" s="432"/>
      <c r="AJ29" s="432"/>
      <c r="AK29" s="432"/>
      <c r="AL29" s="432"/>
      <c r="AM29" s="432"/>
      <c r="AN29" s="432"/>
      <c r="AO29" s="432"/>
      <c r="AP29" s="431"/>
      <c r="AQ29" s="432"/>
      <c r="AR29" s="432"/>
      <c r="AS29" s="432"/>
      <c r="AT29" s="432"/>
      <c r="AU29" s="432"/>
      <c r="AV29" s="432"/>
      <c r="AW29" s="432"/>
      <c r="AX29" s="431"/>
      <c r="AY29" s="432"/>
      <c r="AZ29" s="432"/>
      <c r="BA29" s="432"/>
      <c r="BB29" s="432"/>
      <c r="BC29" s="432"/>
      <c r="BD29" s="432"/>
      <c r="BE29" s="432"/>
      <c r="BF29" s="431"/>
      <c r="BG29" s="432"/>
      <c r="BH29" s="432"/>
      <c r="BI29" s="432"/>
      <c r="BJ29" s="432"/>
      <c r="BK29" s="432"/>
      <c r="BL29" s="432"/>
      <c r="BM29" s="432"/>
      <c r="BN29" s="431"/>
      <c r="BO29" s="432"/>
      <c r="BP29" s="432"/>
      <c r="BQ29" s="432"/>
      <c r="BR29" s="432"/>
      <c r="BS29" s="432"/>
      <c r="BT29" s="432"/>
      <c r="BU29" s="432"/>
      <c r="BV29" s="431"/>
      <c r="BW29" s="432"/>
      <c r="BX29" s="432"/>
      <c r="BY29" s="432"/>
      <c r="BZ29" s="432"/>
      <c r="CA29" s="432"/>
      <c r="CB29" s="432"/>
      <c r="CC29" s="432"/>
      <c r="CD29" s="431"/>
      <c r="CE29" s="432"/>
      <c r="CF29" s="432"/>
      <c r="CG29" s="432"/>
      <c r="CH29" s="432"/>
      <c r="CI29" s="432"/>
      <c r="CJ29" s="432"/>
      <c r="CK29" s="432"/>
      <c r="CL29" s="431"/>
      <c r="CM29" s="432"/>
      <c r="CN29" s="432"/>
      <c r="CO29" s="432"/>
      <c r="CP29" s="432"/>
      <c r="CQ29" s="432"/>
      <c r="CR29" s="432"/>
      <c r="CS29" s="432"/>
      <c r="CT29" s="431"/>
      <c r="CU29" s="432"/>
    </row>
    <row r="30" spans="1:99">
      <c r="A30" s="430"/>
      <c r="B30" s="431"/>
      <c r="C30" s="432"/>
      <c r="D30" s="431"/>
      <c r="E30" s="432"/>
      <c r="F30" s="431"/>
      <c r="G30" s="432"/>
      <c r="H30" s="431"/>
      <c r="I30" s="432"/>
      <c r="J30" s="431"/>
      <c r="K30" s="432"/>
      <c r="L30" s="432"/>
      <c r="M30" s="432"/>
      <c r="N30" s="432"/>
      <c r="O30" s="432"/>
      <c r="P30" s="432"/>
      <c r="Q30" s="432"/>
      <c r="R30" s="431"/>
      <c r="S30" s="432"/>
      <c r="T30" s="432"/>
      <c r="U30" s="432"/>
      <c r="V30" s="432"/>
      <c r="W30" s="432"/>
      <c r="X30" s="432"/>
      <c r="Y30" s="432"/>
      <c r="Z30" s="431"/>
      <c r="AA30" s="432"/>
      <c r="AB30" s="432"/>
      <c r="AC30" s="432"/>
      <c r="AD30" s="432"/>
      <c r="AE30" s="432"/>
      <c r="AF30" s="432"/>
      <c r="AG30" s="432"/>
      <c r="AH30" s="431"/>
      <c r="AI30" s="432"/>
      <c r="AJ30" s="432"/>
      <c r="AK30" s="432"/>
      <c r="AL30" s="432"/>
      <c r="AM30" s="432"/>
      <c r="AN30" s="432"/>
      <c r="AO30" s="432"/>
      <c r="AP30" s="431"/>
      <c r="AQ30" s="432"/>
      <c r="AR30" s="432"/>
      <c r="AS30" s="432"/>
      <c r="AT30" s="432"/>
      <c r="AU30" s="432"/>
      <c r="AV30" s="432"/>
      <c r="AW30" s="432"/>
      <c r="AX30" s="431"/>
      <c r="AY30" s="432"/>
      <c r="AZ30" s="432"/>
      <c r="BA30" s="432"/>
      <c r="BB30" s="432"/>
      <c r="BC30" s="432"/>
      <c r="BD30" s="432"/>
      <c r="BE30" s="432"/>
      <c r="BF30" s="431"/>
      <c r="BG30" s="432"/>
      <c r="BH30" s="432"/>
      <c r="BI30" s="432"/>
      <c r="BJ30" s="432"/>
      <c r="BK30" s="432"/>
      <c r="BL30" s="432"/>
      <c r="BM30" s="432"/>
      <c r="BN30" s="431"/>
      <c r="BO30" s="432"/>
      <c r="BP30" s="432"/>
      <c r="BQ30" s="432"/>
      <c r="BR30" s="432"/>
      <c r="BS30" s="432"/>
      <c r="BT30" s="432"/>
      <c r="BU30" s="432"/>
      <c r="BV30" s="431"/>
      <c r="BW30" s="432"/>
      <c r="BX30" s="432"/>
      <c r="BY30" s="432"/>
      <c r="BZ30" s="432"/>
      <c r="CA30" s="432"/>
      <c r="CB30" s="432"/>
      <c r="CC30" s="432"/>
      <c r="CD30" s="431"/>
      <c r="CE30" s="432"/>
      <c r="CF30" s="432"/>
      <c r="CG30" s="432"/>
      <c r="CH30" s="432"/>
      <c r="CI30" s="432"/>
      <c r="CJ30" s="432"/>
      <c r="CK30" s="432"/>
      <c r="CL30" s="431"/>
      <c r="CM30" s="432"/>
      <c r="CN30" s="432"/>
      <c r="CO30" s="432"/>
      <c r="CP30" s="432"/>
      <c r="CQ30" s="432"/>
      <c r="CR30" s="432"/>
      <c r="CS30" s="432"/>
      <c r="CT30" s="431"/>
      <c r="CU30" s="432"/>
    </row>
    <row r="31" spans="1:99">
      <c r="A31" s="430"/>
      <c r="B31" s="431"/>
      <c r="C31" s="432"/>
      <c r="D31" s="431"/>
      <c r="E31" s="432"/>
      <c r="F31" s="431"/>
      <c r="G31" s="432"/>
      <c r="H31" s="431"/>
      <c r="I31" s="432"/>
      <c r="J31" s="431"/>
      <c r="K31" s="432"/>
      <c r="L31" s="432"/>
      <c r="M31" s="432"/>
      <c r="N31" s="432"/>
      <c r="O31" s="432"/>
      <c r="P31" s="432"/>
      <c r="Q31" s="432"/>
      <c r="R31" s="431"/>
      <c r="S31" s="432"/>
      <c r="T31" s="432"/>
      <c r="U31" s="432"/>
      <c r="V31" s="432"/>
      <c r="W31" s="432"/>
      <c r="X31" s="432"/>
      <c r="Y31" s="432"/>
      <c r="Z31" s="431"/>
      <c r="AA31" s="432"/>
      <c r="AB31" s="432"/>
      <c r="AC31" s="432"/>
      <c r="AD31" s="432"/>
      <c r="AE31" s="432"/>
      <c r="AF31" s="432"/>
      <c r="AG31" s="432"/>
      <c r="AH31" s="431"/>
      <c r="AI31" s="432"/>
      <c r="AJ31" s="432"/>
      <c r="AK31" s="432"/>
      <c r="AL31" s="432"/>
      <c r="AM31" s="432"/>
      <c r="AN31" s="432"/>
      <c r="AO31" s="432"/>
      <c r="AP31" s="431"/>
      <c r="AQ31" s="432"/>
      <c r="AR31" s="432"/>
      <c r="AS31" s="432"/>
      <c r="AT31" s="432"/>
      <c r="AU31" s="432"/>
      <c r="AV31" s="432"/>
      <c r="AW31" s="432"/>
      <c r="AX31" s="431"/>
      <c r="AY31" s="432"/>
      <c r="AZ31" s="432"/>
      <c r="BA31" s="432"/>
      <c r="BB31" s="432"/>
      <c r="BC31" s="432"/>
      <c r="BD31" s="432"/>
      <c r="BE31" s="432"/>
      <c r="BF31" s="431"/>
      <c r="BG31" s="432"/>
      <c r="BH31" s="432"/>
      <c r="BI31" s="432"/>
      <c r="BJ31" s="432"/>
      <c r="BK31" s="432"/>
      <c r="BL31" s="432"/>
      <c r="BM31" s="432"/>
      <c r="BN31" s="431"/>
      <c r="BO31" s="432"/>
      <c r="BP31" s="432"/>
      <c r="BQ31" s="432"/>
      <c r="BR31" s="432"/>
      <c r="BS31" s="432"/>
      <c r="BT31" s="432"/>
      <c r="BU31" s="432"/>
      <c r="BV31" s="431"/>
      <c r="BW31" s="432"/>
      <c r="BX31" s="432"/>
      <c r="BY31" s="432"/>
      <c r="BZ31" s="432"/>
      <c r="CA31" s="432"/>
      <c r="CB31" s="432"/>
      <c r="CC31" s="432"/>
      <c r="CD31" s="431"/>
      <c r="CE31" s="432"/>
      <c r="CF31" s="432"/>
      <c r="CG31" s="432"/>
      <c r="CH31" s="432"/>
      <c r="CI31" s="432"/>
      <c r="CJ31" s="432"/>
      <c r="CK31" s="432"/>
      <c r="CL31" s="431"/>
      <c r="CM31" s="432"/>
      <c r="CN31" s="432"/>
      <c r="CO31" s="432"/>
      <c r="CP31" s="432"/>
      <c r="CQ31" s="432"/>
      <c r="CR31" s="432"/>
      <c r="CS31" s="432"/>
      <c r="CT31" s="431"/>
      <c r="CU31" s="432"/>
    </row>
    <row r="32" spans="1:99">
      <c r="A32" s="430"/>
      <c r="B32" s="431"/>
      <c r="C32" s="432"/>
      <c r="D32" s="431"/>
      <c r="E32" s="432"/>
      <c r="F32" s="431"/>
      <c r="G32" s="432"/>
      <c r="H32" s="431"/>
      <c r="I32" s="432"/>
      <c r="J32" s="431"/>
      <c r="K32" s="432"/>
      <c r="L32" s="432"/>
      <c r="M32" s="432"/>
      <c r="N32" s="432"/>
      <c r="O32" s="432"/>
      <c r="P32" s="432"/>
      <c r="Q32" s="432"/>
      <c r="R32" s="431"/>
      <c r="S32" s="432"/>
      <c r="T32" s="432"/>
      <c r="U32" s="432"/>
      <c r="V32" s="432"/>
      <c r="W32" s="432"/>
      <c r="X32" s="432"/>
      <c r="Y32" s="432"/>
      <c r="Z32" s="431"/>
      <c r="AA32" s="432"/>
      <c r="AB32" s="432"/>
      <c r="AC32" s="432"/>
      <c r="AD32" s="432"/>
      <c r="AE32" s="432"/>
      <c r="AF32" s="432"/>
      <c r="AG32" s="432"/>
      <c r="AH32" s="431"/>
      <c r="AI32" s="432"/>
      <c r="AJ32" s="432"/>
      <c r="AK32" s="432"/>
      <c r="AL32" s="432"/>
      <c r="AM32" s="432"/>
      <c r="AN32" s="432"/>
      <c r="AO32" s="432"/>
      <c r="AP32" s="431"/>
      <c r="AQ32" s="432"/>
      <c r="AR32" s="432"/>
      <c r="AS32" s="432"/>
      <c r="AT32" s="432"/>
      <c r="AU32" s="432"/>
      <c r="AV32" s="432"/>
      <c r="AW32" s="432"/>
      <c r="AX32" s="431"/>
      <c r="AY32" s="432"/>
      <c r="AZ32" s="432"/>
      <c r="BA32" s="432"/>
      <c r="BB32" s="432"/>
      <c r="BC32" s="432"/>
      <c r="BD32" s="432"/>
      <c r="BE32" s="432"/>
      <c r="BF32" s="431"/>
      <c r="BG32" s="432"/>
      <c r="BH32" s="432"/>
      <c r="BI32" s="432"/>
      <c r="BJ32" s="432"/>
      <c r="BK32" s="432"/>
      <c r="BL32" s="432"/>
      <c r="BM32" s="432"/>
      <c r="BN32" s="431"/>
      <c r="BO32" s="432"/>
      <c r="BP32" s="432"/>
      <c r="BQ32" s="432"/>
      <c r="BR32" s="432"/>
      <c r="BS32" s="432"/>
      <c r="BT32" s="432"/>
      <c r="BU32" s="432"/>
      <c r="BV32" s="431"/>
      <c r="BW32" s="432"/>
      <c r="BX32" s="432"/>
      <c r="BY32" s="432"/>
      <c r="BZ32" s="432"/>
      <c r="CA32" s="432"/>
      <c r="CB32" s="432"/>
      <c r="CC32" s="432"/>
      <c r="CD32" s="431"/>
      <c r="CE32" s="432"/>
      <c r="CF32" s="432"/>
      <c r="CG32" s="432"/>
      <c r="CH32" s="432"/>
      <c r="CI32" s="432"/>
      <c r="CJ32" s="432"/>
      <c r="CK32" s="432"/>
      <c r="CL32" s="431"/>
      <c r="CM32" s="432"/>
      <c r="CN32" s="432"/>
      <c r="CO32" s="432"/>
      <c r="CP32" s="432"/>
      <c r="CQ32" s="432"/>
      <c r="CR32" s="432"/>
      <c r="CS32" s="432"/>
      <c r="CT32" s="431"/>
      <c r="CU32" s="432"/>
    </row>
    <row r="33" spans="1:99">
      <c r="A33" s="430"/>
      <c r="B33" s="431"/>
      <c r="C33" s="432"/>
      <c r="D33" s="431"/>
      <c r="E33" s="432"/>
      <c r="F33" s="431"/>
      <c r="G33" s="432"/>
      <c r="H33" s="431"/>
      <c r="I33" s="432"/>
      <c r="J33" s="431"/>
      <c r="K33" s="432"/>
      <c r="L33" s="432"/>
      <c r="M33" s="432"/>
      <c r="N33" s="432"/>
      <c r="O33" s="432"/>
      <c r="P33" s="432"/>
      <c r="Q33" s="432"/>
      <c r="R33" s="431"/>
      <c r="S33" s="432"/>
      <c r="T33" s="432"/>
      <c r="U33" s="432"/>
      <c r="V33" s="432"/>
      <c r="W33" s="432"/>
      <c r="X33" s="432"/>
      <c r="Y33" s="432"/>
      <c r="Z33" s="431"/>
      <c r="AA33" s="432"/>
      <c r="AB33" s="432"/>
      <c r="AC33" s="432"/>
      <c r="AD33" s="432"/>
      <c r="AE33" s="432"/>
      <c r="AF33" s="432"/>
      <c r="AG33" s="432"/>
      <c r="AH33" s="431"/>
      <c r="AI33" s="432"/>
      <c r="AJ33" s="432"/>
      <c r="AK33" s="432"/>
      <c r="AL33" s="432"/>
      <c r="AM33" s="432"/>
      <c r="AN33" s="432"/>
      <c r="AO33" s="432"/>
      <c r="AP33" s="431"/>
      <c r="AQ33" s="432"/>
      <c r="AR33" s="432"/>
      <c r="AS33" s="432"/>
      <c r="AT33" s="432"/>
      <c r="AU33" s="432"/>
      <c r="AV33" s="432"/>
      <c r="AW33" s="432"/>
      <c r="AX33" s="431"/>
      <c r="AY33" s="432"/>
      <c r="AZ33" s="432"/>
      <c r="BA33" s="432"/>
      <c r="BB33" s="432"/>
      <c r="BC33" s="432"/>
      <c r="BD33" s="432"/>
      <c r="BE33" s="432"/>
      <c r="BF33" s="431"/>
      <c r="BG33" s="432"/>
      <c r="BH33" s="432"/>
      <c r="BI33" s="432"/>
      <c r="BJ33" s="432"/>
      <c r="BK33" s="432"/>
      <c r="BL33" s="432"/>
      <c r="BM33" s="432"/>
      <c r="BN33" s="431"/>
      <c r="BO33" s="432"/>
      <c r="BP33" s="432"/>
      <c r="BQ33" s="432"/>
      <c r="BR33" s="432"/>
      <c r="BS33" s="432"/>
      <c r="BT33" s="432"/>
      <c r="BU33" s="432"/>
      <c r="BV33" s="431"/>
      <c r="BW33" s="432"/>
      <c r="BX33" s="432"/>
      <c r="BY33" s="432"/>
      <c r="BZ33" s="432"/>
      <c r="CA33" s="432"/>
      <c r="CB33" s="432"/>
      <c r="CC33" s="432"/>
      <c r="CD33" s="431"/>
      <c r="CE33" s="432"/>
      <c r="CF33" s="432"/>
      <c r="CG33" s="432"/>
      <c r="CH33" s="432"/>
      <c r="CI33" s="432"/>
      <c r="CJ33" s="432"/>
      <c r="CK33" s="432"/>
      <c r="CL33" s="431"/>
      <c r="CM33" s="432"/>
      <c r="CN33" s="432"/>
      <c r="CO33" s="432"/>
      <c r="CP33" s="432"/>
      <c r="CQ33" s="432"/>
      <c r="CR33" s="432"/>
      <c r="CS33" s="432"/>
      <c r="CT33" s="431"/>
      <c r="CU33" s="432"/>
    </row>
    <row r="34" spans="1:99">
      <c r="A34" s="430"/>
      <c r="B34" s="431"/>
      <c r="C34" s="432"/>
      <c r="D34" s="431"/>
      <c r="E34" s="432"/>
      <c r="F34" s="431"/>
      <c r="G34" s="432"/>
      <c r="H34" s="431"/>
      <c r="I34" s="432"/>
      <c r="J34" s="431"/>
      <c r="K34" s="432"/>
      <c r="L34" s="432"/>
      <c r="M34" s="432"/>
      <c r="N34" s="432"/>
      <c r="O34" s="432"/>
      <c r="P34" s="432"/>
      <c r="Q34" s="432"/>
      <c r="R34" s="431"/>
      <c r="S34" s="432"/>
      <c r="T34" s="432"/>
      <c r="U34" s="432"/>
      <c r="V34" s="432"/>
      <c r="W34" s="432"/>
      <c r="X34" s="432"/>
      <c r="Y34" s="432"/>
      <c r="Z34" s="431"/>
      <c r="AA34" s="432"/>
      <c r="AB34" s="432"/>
      <c r="AC34" s="432"/>
      <c r="AD34" s="432"/>
      <c r="AE34" s="432"/>
      <c r="AF34" s="432"/>
      <c r="AG34" s="432"/>
      <c r="AH34" s="431"/>
      <c r="AI34" s="432"/>
      <c r="AJ34" s="432"/>
      <c r="AK34" s="432"/>
      <c r="AL34" s="432"/>
      <c r="AM34" s="432"/>
      <c r="AN34" s="432"/>
      <c r="AO34" s="432"/>
      <c r="AP34" s="431"/>
      <c r="AQ34" s="432"/>
      <c r="AR34" s="432"/>
      <c r="AS34" s="432"/>
      <c r="AT34" s="432"/>
      <c r="AU34" s="432"/>
      <c r="AV34" s="432"/>
      <c r="AW34" s="432"/>
      <c r="AX34" s="431"/>
      <c r="AY34" s="432"/>
      <c r="AZ34" s="432"/>
      <c r="BA34" s="432"/>
      <c r="BB34" s="432"/>
      <c r="BC34" s="432"/>
      <c r="BD34" s="432"/>
      <c r="BE34" s="432"/>
      <c r="BF34" s="431"/>
      <c r="BG34" s="432"/>
      <c r="BH34" s="432"/>
      <c r="BI34" s="432"/>
      <c r="BJ34" s="432"/>
      <c r="BK34" s="432"/>
      <c r="BL34" s="432"/>
      <c r="BM34" s="432"/>
      <c r="BN34" s="431"/>
      <c r="BO34" s="432"/>
      <c r="BP34" s="432"/>
      <c r="BQ34" s="432"/>
      <c r="BR34" s="432"/>
      <c r="BS34" s="432"/>
      <c r="BT34" s="432"/>
      <c r="BU34" s="432"/>
      <c r="BV34" s="431"/>
      <c r="BW34" s="432"/>
      <c r="BX34" s="432"/>
      <c r="BY34" s="432"/>
      <c r="BZ34" s="432"/>
      <c r="CA34" s="432"/>
      <c r="CB34" s="432"/>
      <c r="CC34" s="432"/>
      <c r="CD34" s="431"/>
      <c r="CE34" s="432"/>
      <c r="CF34" s="432"/>
      <c r="CG34" s="432"/>
      <c r="CH34" s="432"/>
      <c r="CI34" s="432"/>
      <c r="CJ34" s="432"/>
      <c r="CK34" s="432"/>
      <c r="CL34" s="431"/>
      <c r="CM34" s="432"/>
      <c r="CN34" s="432"/>
      <c r="CO34" s="432"/>
      <c r="CP34" s="432"/>
      <c r="CQ34" s="432"/>
      <c r="CR34" s="432"/>
      <c r="CS34" s="432"/>
      <c r="CT34" s="431"/>
      <c r="CU34" s="432"/>
    </row>
    <row r="35" spans="1:99">
      <c r="A35" s="430"/>
      <c r="B35" s="431"/>
      <c r="C35" s="432"/>
      <c r="D35" s="431"/>
      <c r="E35" s="432"/>
      <c r="F35" s="431"/>
      <c r="G35" s="432"/>
      <c r="H35" s="431"/>
      <c r="I35" s="432"/>
      <c r="J35" s="431"/>
      <c r="K35" s="432"/>
      <c r="L35" s="432"/>
      <c r="M35" s="432"/>
      <c r="N35" s="432"/>
      <c r="O35" s="432"/>
      <c r="P35" s="432"/>
      <c r="Q35" s="432"/>
      <c r="R35" s="431"/>
      <c r="S35" s="432"/>
      <c r="T35" s="432"/>
      <c r="U35" s="432"/>
      <c r="V35" s="432"/>
      <c r="W35" s="432"/>
      <c r="X35" s="432"/>
      <c r="Y35" s="432"/>
      <c r="Z35" s="431"/>
      <c r="AA35" s="432"/>
      <c r="AB35" s="432"/>
      <c r="AC35" s="432"/>
      <c r="AD35" s="432"/>
      <c r="AE35" s="432"/>
      <c r="AF35" s="432"/>
      <c r="AG35" s="432"/>
      <c r="AH35" s="431"/>
      <c r="AI35" s="432"/>
      <c r="AJ35" s="432"/>
      <c r="AK35" s="432"/>
      <c r="AL35" s="432"/>
      <c r="AM35" s="432"/>
      <c r="AN35" s="432"/>
      <c r="AO35" s="432"/>
      <c r="AP35" s="431"/>
      <c r="AQ35" s="432"/>
      <c r="AR35" s="432"/>
      <c r="AS35" s="432"/>
      <c r="AT35" s="432"/>
      <c r="AU35" s="432"/>
      <c r="AV35" s="432"/>
      <c r="AW35" s="432"/>
      <c r="AX35" s="431"/>
      <c r="AY35" s="432"/>
      <c r="AZ35" s="432"/>
      <c r="BA35" s="432"/>
      <c r="BB35" s="432"/>
      <c r="BC35" s="432"/>
      <c r="BD35" s="432"/>
      <c r="BE35" s="432"/>
      <c r="BF35" s="431"/>
      <c r="BG35" s="432"/>
      <c r="BH35" s="432"/>
      <c r="BI35" s="432"/>
      <c r="BJ35" s="432"/>
      <c r="BK35" s="432"/>
      <c r="BL35" s="432"/>
      <c r="BM35" s="432"/>
      <c r="BN35" s="431"/>
      <c r="BO35" s="432"/>
      <c r="BP35" s="432"/>
      <c r="BQ35" s="432"/>
      <c r="BR35" s="432"/>
      <c r="BS35" s="432"/>
      <c r="BT35" s="432"/>
      <c r="BU35" s="432"/>
      <c r="BV35" s="431"/>
      <c r="BW35" s="432"/>
      <c r="BX35" s="432"/>
      <c r="BY35" s="432"/>
      <c r="BZ35" s="432"/>
      <c r="CA35" s="432"/>
      <c r="CB35" s="432"/>
      <c r="CC35" s="432"/>
      <c r="CD35" s="431"/>
      <c r="CE35" s="432"/>
      <c r="CF35" s="432"/>
      <c r="CG35" s="432"/>
      <c r="CH35" s="432"/>
      <c r="CI35" s="432"/>
      <c r="CJ35" s="432"/>
      <c r="CK35" s="432"/>
      <c r="CL35" s="431"/>
      <c r="CM35" s="432"/>
      <c r="CN35" s="432"/>
      <c r="CO35" s="432"/>
      <c r="CP35" s="432"/>
      <c r="CQ35" s="432"/>
      <c r="CR35" s="432"/>
      <c r="CS35" s="432"/>
      <c r="CT35" s="431"/>
      <c r="CU35" s="432"/>
    </row>
    <row r="36" spans="1:99">
      <c r="A36" s="430"/>
      <c r="B36" s="431"/>
      <c r="C36" s="432"/>
      <c r="D36" s="431"/>
      <c r="E36" s="432"/>
      <c r="F36" s="431"/>
      <c r="G36" s="432"/>
      <c r="H36" s="431"/>
      <c r="I36" s="432"/>
      <c r="J36" s="431"/>
      <c r="K36" s="432"/>
      <c r="L36" s="432"/>
      <c r="M36" s="432"/>
      <c r="N36" s="432"/>
      <c r="O36" s="432"/>
      <c r="P36" s="432"/>
      <c r="Q36" s="432"/>
      <c r="R36" s="431"/>
      <c r="S36" s="432"/>
      <c r="T36" s="432"/>
      <c r="U36" s="432"/>
      <c r="V36" s="432"/>
      <c r="W36" s="432"/>
      <c r="X36" s="432"/>
      <c r="Y36" s="432"/>
      <c r="Z36" s="431"/>
      <c r="AA36" s="432"/>
      <c r="AB36" s="432"/>
      <c r="AC36" s="432"/>
      <c r="AD36" s="432"/>
      <c r="AE36" s="432"/>
      <c r="AF36" s="432"/>
      <c r="AG36" s="432"/>
      <c r="AH36" s="431"/>
      <c r="AI36" s="432"/>
      <c r="AJ36" s="432"/>
      <c r="AK36" s="432"/>
      <c r="AL36" s="432"/>
      <c r="AM36" s="432"/>
      <c r="AN36" s="432"/>
      <c r="AO36" s="432"/>
      <c r="AP36" s="431"/>
      <c r="AQ36" s="432"/>
      <c r="AR36" s="432"/>
      <c r="AS36" s="432"/>
      <c r="AT36" s="432"/>
      <c r="AU36" s="432"/>
      <c r="AV36" s="432"/>
      <c r="AW36" s="432"/>
      <c r="AX36" s="431"/>
      <c r="AY36" s="432"/>
      <c r="AZ36" s="432"/>
      <c r="BA36" s="432"/>
      <c r="BB36" s="432"/>
      <c r="BC36" s="432"/>
      <c r="BD36" s="432"/>
      <c r="BE36" s="432"/>
      <c r="BF36" s="431"/>
      <c r="BG36" s="432"/>
      <c r="BH36" s="432"/>
      <c r="BI36" s="432"/>
      <c r="BJ36" s="432"/>
      <c r="BK36" s="432"/>
      <c r="BL36" s="432"/>
      <c r="BM36" s="432"/>
      <c r="BN36" s="431"/>
      <c r="BO36" s="432"/>
      <c r="BP36" s="432"/>
      <c r="BQ36" s="432"/>
      <c r="BR36" s="432"/>
      <c r="BS36" s="432"/>
      <c r="BT36" s="432"/>
      <c r="BU36" s="432"/>
      <c r="BV36" s="431"/>
      <c r="BW36" s="432"/>
      <c r="BX36" s="432"/>
      <c r="BY36" s="432"/>
      <c r="BZ36" s="432"/>
      <c r="CA36" s="432"/>
      <c r="CB36" s="432"/>
      <c r="CC36" s="432"/>
      <c r="CD36" s="431"/>
      <c r="CE36" s="432"/>
      <c r="CF36" s="432"/>
      <c r="CG36" s="432"/>
      <c r="CH36" s="432"/>
      <c r="CI36" s="432"/>
      <c r="CJ36" s="432"/>
      <c r="CK36" s="432"/>
      <c r="CL36" s="431"/>
      <c r="CM36" s="432"/>
      <c r="CN36" s="432"/>
      <c r="CO36" s="432"/>
      <c r="CP36" s="432"/>
      <c r="CQ36" s="432"/>
      <c r="CR36" s="432"/>
      <c r="CS36" s="432"/>
      <c r="CT36" s="431"/>
      <c r="CU36" s="432"/>
    </row>
    <row r="37" spans="1:99">
      <c r="A37" s="430"/>
      <c r="B37" s="431"/>
      <c r="C37" s="432"/>
      <c r="D37" s="431"/>
      <c r="E37" s="432"/>
      <c r="F37" s="431"/>
      <c r="G37" s="432"/>
      <c r="H37" s="431"/>
      <c r="I37" s="432"/>
      <c r="J37" s="431"/>
      <c r="K37" s="432"/>
      <c r="L37" s="432"/>
      <c r="M37" s="432"/>
      <c r="N37" s="432"/>
      <c r="O37" s="432"/>
      <c r="P37" s="432"/>
      <c r="Q37" s="432"/>
      <c r="R37" s="431"/>
      <c r="S37" s="432"/>
      <c r="T37" s="432"/>
      <c r="U37" s="432"/>
      <c r="V37" s="432"/>
      <c r="W37" s="432"/>
      <c r="X37" s="432"/>
      <c r="Y37" s="432"/>
      <c r="Z37" s="431"/>
      <c r="AA37" s="432"/>
      <c r="AB37" s="432"/>
      <c r="AC37" s="432"/>
      <c r="AD37" s="432"/>
      <c r="AE37" s="432"/>
      <c r="AF37" s="432"/>
      <c r="AG37" s="432"/>
      <c r="AH37" s="431"/>
      <c r="AI37" s="432"/>
      <c r="AJ37" s="432"/>
      <c r="AK37" s="432"/>
      <c r="AL37" s="432"/>
      <c r="AM37" s="432"/>
      <c r="AN37" s="432"/>
      <c r="AO37" s="432"/>
      <c r="AP37" s="431"/>
      <c r="AQ37" s="432"/>
      <c r="AR37" s="432"/>
      <c r="AS37" s="432"/>
      <c r="AT37" s="432"/>
      <c r="AU37" s="432"/>
      <c r="AV37" s="432"/>
      <c r="AW37" s="432"/>
      <c r="AX37" s="431"/>
      <c r="AY37" s="432"/>
      <c r="AZ37" s="432"/>
      <c r="BA37" s="432"/>
      <c r="BB37" s="432"/>
      <c r="BC37" s="432"/>
      <c r="BD37" s="432"/>
      <c r="BE37" s="432"/>
      <c r="BF37" s="431"/>
      <c r="BG37" s="432"/>
      <c r="BH37" s="432"/>
      <c r="BI37" s="432"/>
      <c r="BJ37" s="432"/>
      <c r="BK37" s="432"/>
      <c r="BL37" s="432"/>
      <c r="BM37" s="432"/>
      <c r="BN37" s="431"/>
      <c r="BO37" s="432"/>
      <c r="BP37" s="432"/>
      <c r="BQ37" s="432"/>
      <c r="BR37" s="432"/>
      <c r="BS37" s="432"/>
      <c r="BT37" s="432"/>
      <c r="BU37" s="432"/>
      <c r="BV37" s="431"/>
      <c r="BW37" s="432"/>
      <c r="BX37" s="432"/>
      <c r="BY37" s="432"/>
      <c r="BZ37" s="432"/>
      <c r="CA37" s="432"/>
      <c r="CB37" s="432"/>
      <c r="CC37" s="432"/>
      <c r="CD37" s="431"/>
      <c r="CE37" s="432"/>
      <c r="CF37" s="432"/>
      <c r="CG37" s="432"/>
      <c r="CH37" s="432"/>
      <c r="CI37" s="432"/>
      <c r="CJ37" s="432"/>
      <c r="CK37" s="432"/>
      <c r="CL37" s="431"/>
      <c r="CM37" s="432"/>
      <c r="CN37" s="432"/>
      <c r="CO37" s="432"/>
      <c r="CP37" s="432"/>
      <c r="CQ37" s="432"/>
      <c r="CR37" s="432"/>
      <c r="CS37" s="432"/>
      <c r="CT37" s="431"/>
      <c r="CU37" s="432"/>
    </row>
    <row r="38" spans="1:99">
      <c r="A38" s="430"/>
      <c r="B38" s="431"/>
      <c r="C38" s="432"/>
      <c r="D38" s="431"/>
      <c r="E38" s="432"/>
      <c r="F38" s="431"/>
      <c r="G38" s="432"/>
      <c r="H38" s="431"/>
      <c r="I38" s="432"/>
      <c r="J38" s="431"/>
      <c r="K38" s="432"/>
      <c r="L38" s="432"/>
      <c r="M38" s="432"/>
      <c r="N38" s="432"/>
      <c r="O38" s="432"/>
      <c r="P38" s="432"/>
      <c r="Q38" s="432"/>
      <c r="R38" s="431"/>
      <c r="S38" s="432"/>
      <c r="T38" s="432"/>
      <c r="U38" s="432"/>
      <c r="V38" s="432"/>
      <c r="W38" s="432"/>
      <c r="X38" s="432"/>
      <c r="Y38" s="432"/>
      <c r="Z38" s="431"/>
      <c r="AA38" s="432"/>
      <c r="AB38" s="432"/>
      <c r="AC38" s="432"/>
      <c r="AD38" s="432"/>
      <c r="AE38" s="432"/>
      <c r="AF38" s="432"/>
      <c r="AG38" s="432"/>
      <c r="AH38" s="431"/>
      <c r="AI38" s="432"/>
      <c r="AJ38" s="432"/>
      <c r="AK38" s="432"/>
      <c r="AL38" s="432"/>
      <c r="AM38" s="432"/>
      <c r="AN38" s="432"/>
      <c r="AO38" s="432"/>
      <c r="AP38" s="431"/>
      <c r="AQ38" s="432"/>
      <c r="AR38" s="432"/>
      <c r="AS38" s="432"/>
      <c r="AT38" s="432"/>
      <c r="AU38" s="432"/>
      <c r="AV38" s="432"/>
      <c r="AW38" s="432"/>
      <c r="AX38" s="431"/>
      <c r="AY38" s="432"/>
      <c r="AZ38" s="432"/>
      <c r="BA38" s="432"/>
      <c r="BB38" s="432"/>
      <c r="BC38" s="432"/>
      <c r="BD38" s="432"/>
      <c r="BE38" s="432"/>
      <c r="BF38" s="431"/>
      <c r="BG38" s="432"/>
      <c r="BH38" s="432"/>
      <c r="BI38" s="432"/>
      <c r="BJ38" s="432"/>
      <c r="BK38" s="432"/>
      <c r="BL38" s="432"/>
      <c r="BM38" s="432"/>
      <c r="BN38" s="431"/>
      <c r="BO38" s="432"/>
      <c r="BP38" s="432"/>
      <c r="BQ38" s="432"/>
      <c r="BR38" s="432"/>
      <c r="BS38" s="432"/>
      <c r="BT38" s="432"/>
      <c r="BU38" s="432"/>
      <c r="BV38" s="431"/>
      <c r="BW38" s="432"/>
      <c r="BX38" s="432"/>
      <c r="BY38" s="432"/>
      <c r="BZ38" s="432"/>
      <c r="CA38" s="432"/>
      <c r="CB38" s="432"/>
      <c r="CC38" s="432"/>
      <c r="CD38" s="431"/>
      <c r="CE38" s="432"/>
      <c r="CF38" s="432"/>
      <c r="CG38" s="432"/>
      <c r="CH38" s="432"/>
      <c r="CI38" s="432"/>
      <c r="CJ38" s="432"/>
      <c r="CK38" s="432"/>
      <c r="CL38" s="431"/>
      <c r="CM38" s="432"/>
      <c r="CN38" s="432"/>
      <c r="CO38" s="432"/>
      <c r="CP38" s="432"/>
      <c r="CQ38" s="432"/>
      <c r="CR38" s="432"/>
      <c r="CS38" s="432"/>
      <c r="CT38" s="431"/>
      <c r="CU38" s="432"/>
    </row>
    <row r="39" spans="1:99">
      <c r="A39" s="430"/>
      <c r="B39" s="431"/>
      <c r="C39" s="432"/>
      <c r="D39" s="431"/>
      <c r="E39" s="432"/>
      <c r="F39" s="431"/>
      <c r="G39" s="432"/>
      <c r="H39" s="431"/>
      <c r="I39" s="432"/>
      <c r="J39" s="431"/>
      <c r="K39" s="432"/>
      <c r="L39" s="432"/>
      <c r="M39" s="432"/>
      <c r="N39" s="432"/>
      <c r="O39" s="432"/>
      <c r="P39" s="432"/>
      <c r="Q39" s="432"/>
      <c r="R39" s="431"/>
      <c r="S39" s="432"/>
      <c r="T39" s="432"/>
      <c r="U39" s="432"/>
      <c r="V39" s="432"/>
      <c r="W39" s="432"/>
      <c r="X39" s="432"/>
      <c r="Y39" s="432"/>
      <c r="Z39" s="431"/>
      <c r="AA39" s="432"/>
      <c r="AB39" s="432"/>
      <c r="AC39" s="432"/>
      <c r="AD39" s="432"/>
      <c r="AE39" s="432"/>
      <c r="AF39" s="432"/>
      <c r="AG39" s="432"/>
      <c r="AH39" s="431"/>
      <c r="AI39" s="432"/>
      <c r="AJ39" s="432"/>
      <c r="AK39" s="432"/>
      <c r="AL39" s="432"/>
      <c r="AM39" s="432"/>
      <c r="AN39" s="432"/>
      <c r="AO39" s="432"/>
      <c r="AP39" s="431"/>
      <c r="AQ39" s="432"/>
      <c r="AR39" s="432"/>
      <c r="AS39" s="432"/>
      <c r="AT39" s="432"/>
      <c r="AU39" s="432"/>
      <c r="AV39" s="432"/>
      <c r="AW39" s="432"/>
      <c r="AX39" s="431"/>
      <c r="AY39" s="432"/>
      <c r="AZ39" s="432"/>
      <c r="BA39" s="432"/>
      <c r="BB39" s="432"/>
      <c r="BC39" s="432"/>
      <c r="BD39" s="432"/>
      <c r="BE39" s="432"/>
      <c r="BF39" s="431"/>
      <c r="BG39" s="432"/>
      <c r="BH39" s="432"/>
      <c r="BI39" s="432"/>
      <c r="BJ39" s="432"/>
      <c r="BK39" s="432"/>
      <c r="BL39" s="432"/>
      <c r="BM39" s="432"/>
      <c r="BN39" s="431"/>
      <c r="BO39" s="432"/>
      <c r="BP39" s="432"/>
      <c r="BQ39" s="432"/>
      <c r="BR39" s="432"/>
      <c r="BS39" s="432"/>
      <c r="BT39" s="432"/>
      <c r="BU39" s="432"/>
      <c r="BV39" s="431"/>
      <c r="BW39" s="432"/>
      <c r="BX39" s="432"/>
      <c r="BY39" s="432"/>
      <c r="BZ39" s="432"/>
      <c r="CA39" s="432"/>
      <c r="CB39" s="432"/>
      <c r="CC39" s="432"/>
      <c r="CD39" s="431"/>
      <c r="CE39" s="432"/>
      <c r="CF39" s="432"/>
      <c r="CG39" s="432"/>
      <c r="CH39" s="432"/>
      <c r="CI39" s="432"/>
      <c r="CJ39" s="432"/>
      <c r="CK39" s="432"/>
      <c r="CL39" s="431"/>
      <c r="CM39" s="432"/>
      <c r="CN39" s="432"/>
      <c r="CO39" s="432"/>
      <c r="CP39" s="432"/>
      <c r="CQ39" s="432"/>
      <c r="CR39" s="432"/>
      <c r="CS39" s="432"/>
      <c r="CT39" s="431"/>
      <c r="CU39" s="432"/>
    </row>
    <row r="40" spans="1:99">
      <c r="A40" s="430"/>
      <c r="B40" s="431"/>
      <c r="C40" s="432"/>
      <c r="D40" s="431"/>
      <c r="E40" s="432"/>
      <c r="F40" s="431"/>
      <c r="G40" s="432"/>
      <c r="H40" s="431"/>
      <c r="I40" s="432"/>
      <c r="J40" s="431"/>
      <c r="K40" s="432"/>
      <c r="L40" s="432"/>
      <c r="M40" s="432"/>
      <c r="N40" s="432"/>
      <c r="O40" s="432"/>
      <c r="P40" s="432"/>
      <c r="Q40" s="432"/>
      <c r="R40" s="431"/>
      <c r="S40" s="432"/>
      <c r="T40" s="432"/>
      <c r="U40" s="432"/>
      <c r="V40" s="432"/>
      <c r="W40" s="432"/>
      <c r="X40" s="432"/>
      <c r="Y40" s="432"/>
      <c r="Z40" s="431"/>
      <c r="AA40" s="432"/>
      <c r="AB40" s="432"/>
      <c r="AC40" s="432"/>
      <c r="AD40" s="432"/>
      <c r="AE40" s="432"/>
      <c r="AF40" s="432"/>
      <c r="AG40" s="432"/>
      <c r="AH40" s="431"/>
      <c r="AI40" s="432"/>
      <c r="AJ40" s="432"/>
      <c r="AK40" s="432"/>
      <c r="AL40" s="432"/>
      <c r="AM40" s="432"/>
      <c r="AN40" s="432"/>
      <c r="AO40" s="432"/>
      <c r="AP40" s="431"/>
      <c r="AQ40" s="432"/>
      <c r="AR40" s="432"/>
      <c r="AS40" s="432"/>
      <c r="AT40" s="432"/>
      <c r="AU40" s="432"/>
      <c r="AV40" s="432"/>
      <c r="AW40" s="432"/>
      <c r="AX40" s="431"/>
      <c r="AY40" s="432"/>
      <c r="AZ40" s="432"/>
      <c r="BA40" s="432"/>
      <c r="BB40" s="432"/>
      <c r="BC40" s="432"/>
      <c r="BD40" s="432"/>
      <c r="BE40" s="432"/>
      <c r="BF40" s="431"/>
      <c r="BG40" s="432"/>
      <c r="BH40" s="432"/>
      <c r="BI40" s="432"/>
      <c r="BJ40" s="432"/>
      <c r="BK40" s="432"/>
      <c r="BL40" s="432"/>
      <c r="BM40" s="432"/>
      <c r="BN40" s="431"/>
      <c r="BO40" s="432"/>
      <c r="BP40" s="432"/>
      <c r="BQ40" s="432"/>
      <c r="BR40" s="432"/>
      <c r="BS40" s="432"/>
      <c r="BT40" s="432"/>
      <c r="BU40" s="432"/>
      <c r="BV40" s="431"/>
      <c r="BW40" s="432"/>
      <c r="BX40" s="432"/>
      <c r="BY40" s="432"/>
      <c r="BZ40" s="432"/>
      <c r="CA40" s="432"/>
      <c r="CB40" s="432"/>
      <c r="CC40" s="432"/>
      <c r="CD40" s="431"/>
      <c r="CE40" s="432"/>
      <c r="CF40" s="432"/>
      <c r="CG40" s="432"/>
      <c r="CH40" s="432"/>
      <c r="CI40" s="432"/>
      <c r="CJ40" s="432"/>
      <c r="CK40" s="432"/>
      <c r="CL40" s="431"/>
      <c r="CM40" s="432"/>
      <c r="CN40" s="432"/>
      <c r="CO40" s="432"/>
      <c r="CP40" s="432"/>
      <c r="CQ40" s="432"/>
      <c r="CR40" s="432"/>
      <c r="CS40" s="432"/>
      <c r="CT40" s="431"/>
      <c r="CU40" s="432"/>
    </row>
    <row r="41" spans="1:99">
      <c r="A41" s="430"/>
      <c r="B41" s="431"/>
      <c r="C41" s="432"/>
      <c r="D41" s="431"/>
      <c r="E41" s="432"/>
      <c r="F41" s="431"/>
      <c r="G41" s="432"/>
      <c r="H41" s="431"/>
      <c r="I41" s="432"/>
      <c r="J41" s="431"/>
      <c r="K41" s="432"/>
      <c r="L41" s="432"/>
      <c r="M41" s="432"/>
      <c r="N41" s="432"/>
      <c r="O41" s="432"/>
      <c r="P41" s="432"/>
      <c r="Q41" s="432"/>
      <c r="R41" s="431"/>
      <c r="S41" s="432"/>
      <c r="T41" s="432"/>
      <c r="U41" s="432"/>
      <c r="V41" s="432"/>
      <c r="W41" s="432"/>
      <c r="X41" s="432"/>
      <c r="Y41" s="432"/>
      <c r="Z41" s="431"/>
      <c r="AA41" s="432"/>
      <c r="AB41" s="432"/>
      <c r="AC41" s="432"/>
      <c r="AD41" s="432"/>
      <c r="AE41" s="432"/>
      <c r="AF41" s="432"/>
      <c r="AG41" s="432"/>
      <c r="AH41" s="431"/>
      <c r="AI41" s="432"/>
      <c r="AJ41" s="432"/>
      <c r="AK41" s="432"/>
      <c r="AL41" s="432"/>
      <c r="AM41" s="432"/>
      <c r="AN41" s="432"/>
      <c r="AO41" s="432"/>
      <c r="AP41" s="431"/>
      <c r="AQ41" s="432"/>
      <c r="AR41" s="432"/>
      <c r="AS41" s="432"/>
      <c r="AT41" s="432"/>
      <c r="AU41" s="432"/>
      <c r="AV41" s="432"/>
      <c r="AW41" s="432"/>
      <c r="AX41" s="431"/>
      <c r="AY41" s="432"/>
      <c r="AZ41" s="432"/>
      <c r="BA41" s="432"/>
      <c r="BB41" s="432"/>
      <c r="BC41" s="432"/>
      <c r="BD41" s="432"/>
      <c r="BE41" s="432"/>
      <c r="BF41" s="431"/>
      <c r="BG41" s="432"/>
      <c r="BH41" s="432"/>
      <c r="BI41" s="432"/>
      <c r="BJ41" s="432"/>
      <c r="BK41" s="432"/>
      <c r="BL41" s="432"/>
      <c r="BM41" s="432"/>
      <c r="BN41" s="431"/>
      <c r="BO41" s="432"/>
      <c r="BP41" s="432"/>
      <c r="BQ41" s="432"/>
      <c r="BR41" s="432"/>
      <c r="BS41" s="432"/>
      <c r="BT41" s="432"/>
      <c r="BU41" s="432"/>
      <c r="BV41" s="431"/>
      <c r="BW41" s="432"/>
      <c r="BX41" s="432"/>
      <c r="BY41" s="432"/>
      <c r="BZ41" s="432"/>
      <c r="CA41" s="432"/>
      <c r="CB41" s="432"/>
      <c r="CC41" s="432"/>
      <c r="CD41" s="431"/>
      <c r="CE41" s="432"/>
      <c r="CF41" s="432"/>
      <c r="CG41" s="432"/>
      <c r="CH41" s="432"/>
      <c r="CI41" s="432"/>
      <c r="CJ41" s="432"/>
      <c r="CK41" s="432"/>
      <c r="CL41" s="431"/>
      <c r="CM41" s="432"/>
      <c r="CN41" s="432"/>
      <c r="CO41" s="432"/>
      <c r="CP41" s="432"/>
      <c r="CQ41" s="432"/>
      <c r="CR41" s="432"/>
      <c r="CS41" s="432"/>
      <c r="CT41" s="431"/>
      <c r="CU41" s="432"/>
    </row>
    <row r="42" spans="1:99">
      <c r="A42" s="430"/>
      <c r="B42" s="431"/>
      <c r="C42" s="432"/>
      <c r="D42" s="431"/>
      <c r="E42" s="432"/>
      <c r="F42" s="431"/>
      <c r="G42" s="432"/>
      <c r="H42" s="431"/>
      <c r="I42" s="432"/>
      <c r="J42" s="431"/>
      <c r="K42" s="432"/>
      <c r="L42" s="432"/>
      <c r="M42" s="432"/>
      <c r="N42" s="432"/>
      <c r="O42" s="432"/>
      <c r="P42" s="432"/>
      <c r="Q42" s="432"/>
      <c r="R42" s="431"/>
      <c r="S42" s="432"/>
      <c r="T42" s="432"/>
      <c r="U42" s="432"/>
      <c r="V42" s="432"/>
      <c r="W42" s="432"/>
      <c r="X42" s="432"/>
      <c r="Y42" s="432"/>
      <c r="Z42" s="431"/>
      <c r="AA42" s="432"/>
      <c r="AB42" s="432"/>
      <c r="AC42" s="432"/>
      <c r="AD42" s="432"/>
      <c r="AE42" s="432"/>
      <c r="AF42" s="432"/>
      <c r="AG42" s="432"/>
      <c r="AH42" s="431"/>
      <c r="AI42" s="432"/>
      <c r="AJ42" s="432"/>
      <c r="AK42" s="432"/>
      <c r="AL42" s="432"/>
      <c r="AM42" s="432"/>
      <c r="AN42" s="432"/>
      <c r="AO42" s="432"/>
      <c r="AP42" s="431"/>
      <c r="AQ42" s="432"/>
      <c r="AR42" s="432"/>
      <c r="AS42" s="432"/>
      <c r="AT42" s="432"/>
      <c r="AU42" s="432"/>
      <c r="AV42" s="432"/>
      <c r="AW42" s="432"/>
      <c r="AX42" s="431"/>
      <c r="AY42" s="432"/>
      <c r="AZ42" s="432"/>
      <c r="BA42" s="432"/>
      <c r="BB42" s="432"/>
      <c r="BC42" s="432"/>
      <c r="BD42" s="432"/>
      <c r="BE42" s="432"/>
      <c r="BF42" s="431"/>
      <c r="BG42" s="432"/>
      <c r="BH42" s="432"/>
      <c r="BI42" s="432"/>
      <c r="BJ42" s="432"/>
      <c r="BK42" s="432"/>
      <c r="BL42" s="432"/>
      <c r="BM42" s="432"/>
      <c r="BN42" s="431"/>
      <c r="BO42" s="432"/>
      <c r="BP42" s="432"/>
      <c r="BQ42" s="432"/>
      <c r="BR42" s="432"/>
      <c r="BS42" s="432"/>
      <c r="BT42" s="432"/>
      <c r="BU42" s="432"/>
      <c r="BV42" s="431"/>
      <c r="BW42" s="432"/>
      <c r="BX42" s="432"/>
      <c r="BY42" s="432"/>
      <c r="BZ42" s="432"/>
      <c r="CA42" s="432"/>
      <c r="CB42" s="432"/>
      <c r="CC42" s="432"/>
      <c r="CD42" s="431"/>
      <c r="CE42" s="432"/>
      <c r="CF42" s="432"/>
      <c r="CG42" s="432"/>
      <c r="CH42" s="432"/>
      <c r="CI42" s="432"/>
      <c r="CJ42" s="432"/>
      <c r="CK42" s="432"/>
      <c r="CL42" s="431"/>
      <c r="CM42" s="432"/>
      <c r="CN42" s="432"/>
      <c r="CO42" s="432"/>
      <c r="CP42" s="432"/>
      <c r="CQ42" s="432"/>
      <c r="CR42" s="432"/>
      <c r="CS42" s="432"/>
      <c r="CT42" s="431"/>
      <c r="CU42" s="432"/>
    </row>
    <row r="43" spans="1:99" ht="15" customHeight="1">
      <c r="A43" s="430"/>
      <c r="B43" s="431"/>
      <c r="C43" s="432"/>
      <c r="D43" s="431"/>
      <c r="E43" s="432"/>
      <c r="F43" s="431"/>
      <c r="G43" s="432"/>
      <c r="H43" s="431"/>
      <c r="I43" s="432"/>
      <c r="J43" s="431">
        <f t="shared" ref="J43" si="0">B43+D43-F43-H43</f>
        <v>0</v>
      </c>
      <c r="K43" s="432">
        <f t="shared" ref="K43" si="1">C43+E43-G43-I43</f>
        <v>0</v>
      </c>
      <c r="L43" s="432"/>
      <c r="M43" s="432"/>
      <c r="N43" s="432"/>
      <c r="O43" s="432"/>
      <c r="P43" s="432"/>
      <c r="Q43" s="432"/>
      <c r="R43" s="431">
        <f t="shared" ref="R43" si="2">J43+L43-N43-P43</f>
        <v>0</v>
      </c>
      <c r="S43" s="432">
        <f t="shared" ref="S43" si="3">K43+M43-O43-Q43</f>
        <v>0</v>
      </c>
      <c r="T43" s="432"/>
      <c r="U43" s="432"/>
      <c r="V43" s="432"/>
      <c r="W43" s="432"/>
      <c r="X43" s="432"/>
      <c r="Y43" s="432"/>
      <c r="Z43" s="431">
        <f t="shared" ref="Z43" si="4">R43+T43-V43-X43</f>
        <v>0</v>
      </c>
      <c r="AA43" s="432">
        <f t="shared" ref="AA43" si="5">S43+U43-W43-Y43</f>
        <v>0</v>
      </c>
      <c r="AB43" s="432"/>
      <c r="AC43" s="432"/>
      <c r="AD43" s="432"/>
      <c r="AE43" s="432"/>
      <c r="AF43" s="432"/>
      <c r="AG43" s="432"/>
      <c r="AH43" s="431">
        <f t="shared" ref="AH43" si="6">Z43+AB43-AD43-AF43</f>
        <v>0</v>
      </c>
      <c r="AI43" s="432">
        <f t="shared" ref="AI43" si="7">AA43+AC43-AE43-AG43</f>
        <v>0</v>
      </c>
      <c r="AJ43" s="432"/>
      <c r="AK43" s="432"/>
      <c r="AL43" s="432"/>
      <c r="AM43" s="432"/>
      <c r="AN43" s="432"/>
      <c r="AO43" s="432"/>
      <c r="AP43" s="431">
        <f t="shared" ref="AP43" si="8">AH43+AJ43-AL43-AN43</f>
        <v>0</v>
      </c>
      <c r="AQ43" s="432">
        <f t="shared" ref="AQ43" si="9">AI43+AK43-AM43-AO43</f>
        <v>0</v>
      </c>
      <c r="AR43" s="432"/>
      <c r="AS43" s="432"/>
      <c r="AT43" s="432"/>
      <c r="AU43" s="432"/>
      <c r="AV43" s="432"/>
      <c r="AW43" s="432"/>
      <c r="AX43" s="431">
        <f t="shared" ref="AX43" si="10">AP43+AR43-AT43-AV43</f>
        <v>0</v>
      </c>
      <c r="AY43" s="432">
        <f t="shared" ref="AY43" si="11">AQ43+AS43-AU43-AW43</f>
        <v>0</v>
      </c>
      <c r="AZ43" s="432"/>
      <c r="BA43" s="432"/>
      <c r="BB43" s="432"/>
      <c r="BC43" s="432"/>
      <c r="BD43" s="432"/>
      <c r="BE43" s="432"/>
      <c r="BF43" s="431">
        <f t="shared" ref="BF43" si="12">AX43+AZ43-BB43-BD43</f>
        <v>0</v>
      </c>
      <c r="BG43" s="432">
        <f t="shared" ref="BG43" si="13">AY43+BA43-BC43-BE43</f>
        <v>0</v>
      </c>
      <c r="BH43" s="432"/>
      <c r="BI43" s="432"/>
      <c r="BJ43" s="432"/>
      <c r="BK43" s="432"/>
      <c r="BL43" s="432"/>
      <c r="BM43" s="432"/>
      <c r="BN43" s="431">
        <f t="shared" ref="BN43" si="14">BF43+BH43-BJ43-BL43</f>
        <v>0</v>
      </c>
      <c r="BO43" s="432">
        <f t="shared" ref="BO43" si="15">BG43+BI43-BK43-BM43</f>
        <v>0</v>
      </c>
      <c r="BP43" s="432"/>
      <c r="BQ43" s="432"/>
      <c r="BR43" s="432"/>
      <c r="BS43" s="432"/>
      <c r="BT43" s="432"/>
      <c r="BU43" s="432"/>
      <c r="BV43" s="431">
        <f t="shared" ref="BV43" si="16">BN43+BP43-BR43-BT43</f>
        <v>0</v>
      </c>
      <c r="BW43" s="432">
        <f t="shared" ref="BW43" si="17">BO43+BQ43-BS43-BU43</f>
        <v>0</v>
      </c>
      <c r="BX43" s="432"/>
      <c r="BY43" s="432"/>
      <c r="BZ43" s="432"/>
      <c r="CA43" s="432"/>
      <c r="CB43" s="432"/>
      <c r="CC43" s="432"/>
      <c r="CD43" s="431">
        <f t="shared" ref="CD43" si="18">BV43+BX43-BZ43-CB43</f>
        <v>0</v>
      </c>
      <c r="CE43" s="432">
        <f t="shared" ref="CE43" si="19">BW43+BY43-CA43-CC43</f>
        <v>0</v>
      </c>
      <c r="CF43" s="432"/>
      <c r="CG43" s="432"/>
      <c r="CH43" s="432"/>
      <c r="CI43" s="432"/>
      <c r="CJ43" s="432"/>
      <c r="CK43" s="432"/>
      <c r="CL43" s="431">
        <f t="shared" ref="CL43" si="20">CD43+CF43-CH43-CJ43</f>
        <v>0</v>
      </c>
      <c r="CM43" s="432">
        <f t="shared" ref="CM43" si="21">CE43+CG43-CI43-CK43</f>
        <v>0</v>
      </c>
      <c r="CN43" s="432"/>
      <c r="CO43" s="432"/>
      <c r="CP43" s="432"/>
      <c r="CQ43" s="432"/>
      <c r="CR43" s="432"/>
      <c r="CS43" s="432"/>
      <c r="CT43" s="431">
        <f t="shared" ref="CT43" si="22">CL43+CN43-CP43-CR43</f>
        <v>0</v>
      </c>
      <c r="CU43" s="432">
        <f t="shared" ref="CU43" si="23">CM43+CO43-CQ43-CS43</f>
        <v>0</v>
      </c>
    </row>
    <row r="44" spans="1:99" s="366" customFormat="1" ht="15" customHeight="1">
      <c r="A44" s="434" t="s">
        <v>4</v>
      </c>
      <c r="B44" s="435">
        <f t="shared" ref="B44:AG44" si="24">SUBTOTAL(9,B7:B43)</f>
        <v>75</v>
      </c>
      <c r="C44" s="436">
        <f t="shared" si="24"/>
        <v>3023.1306856609563</v>
      </c>
      <c r="D44" s="435">
        <f t="shared" si="24"/>
        <v>12</v>
      </c>
      <c r="E44" s="436">
        <f t="shared" si="24"/>
        <v>577.39</v>
      </c>
      <c r="F44" s="435">
        <f t="shared" si="24"/>
        <v>11</v>
      </c>
      <c r="G44" s="436">
        <f t="shared" si="24"/>
        <v>342.92500000000001</v>
      </c>
      <c r="H44" s="435">
        <f t="shared" si="24"/>
        <v>13</v>
      </c>
      <c r="I44" s="436">
        <f t="shared" si="24"/>
        <v>486.77000000000004</v>
      </c>
      <c r="J44" s="435">
        <f t="shared" si="24"/>
        <v>63</v>
      </c>
      <c r="K44" s="436">
        <f t="shared" si="24"/>
        <v>2770.8256856609569</v>
      </c>
      <c r="L44" s="436">
        <f t="shared" si="24"/>
        <v>0</v>
      </c>
      <c r="M44" s="436">
        <f t="shared" si="24"/>
        <v>0</v>
      </c>
      <c r="N44" s="436">
        <f t="shared" si="24"/>
        <v>0</v>
      </c>
      <c r="O44" s="436">
        <f t="shared" si="24"/>
        <v>0</v>
      </c>
      <c r="P44" s="436">
        <f t="shared" si="24"/>
        <v>0</v>
      </c>
      <c r="Q44" s="436">
        <f t="shared" si="24"/>
        <v>0</v>
      </c>
      <c r="R44" s="435">
        <f t="shared" si="24"/>
        <v>0</v>
      </c>
      <c r="S44" s="436">
        <f t="shared" si="24"/>
        <v>0</v>
      </c>
      <c r="T44" s="436">
        <f t="shared" si="24"/>
        <v>0</v>
      </c>
      <c r="U44" s="436">
        <f t="shared" si="24"/>
        <v>0</v>
      </c>
      <c r="V44" s="436">
        <f t="shared" si="24"/>
        <v>0</v>
      </c>
      <c r="W44" s="436">
        <f t="shared" si="24"/>
        <v>0</v>
      </c>
      <c r="X44" s="436">
        <f t="shared" si="24"/>
        <v>0</v>
      </c>
      <c r="Y44" s="436">
        <f t="shared" si="24"/>
        <v>0</v>
      </c>
      <c r="Z44" s="435">
        <f t="shared" si="24"/>
        <v>0</v>
      </c>
      <c r="AA44" s="436">
        <f t="shared" si="24"/>
        <v>0</v>
      </c>
      <c r="AB44" s="436">
        <f t="shared" si="24"/>
        <v>0</v>
      </c>
      <c r="AC44" s="436">
        <f t="shared" si="24"/>
        <v>0</v>
      </c>
      <c r="AD44" s="436">
        <f t="shared" si="24"/>
        <v>0</v>
      </c>
      <c r="AE44" s="436">
        <f t="shared" si="24"/>
        <v>0</v>
      </c>
      <c r="AF44" s="436">
        <f t="shared" si="24"/>
        <v>0</v>
      </c>
      <c r="AG44" s="436">
        <f t="shared" si="24"/>
        <v>0</v>
      </c>
      <c r="AH44" s="435">
        <f t="shared" ref="AH44:BM44" si="25">SUBTOTAL(9,AH7:AH43)</f>
        <v>0</v>
      </c>
      <c r="AI44" s="436">
        <f t="shared" si="25"/>
        <v>0</v>
      </c>
      <c r="AJ44" s="436">
        <f t="shared" si="25"/>
        <v>0</v>
      </c>
      <c r="AK44" s="436">
        <f t="shared" si="25"/>
        <v>0</v>
      </c>
      <c r="AL44" s="436">
        <f t="shared" si="25"/>
        <v>0</v>
      </c>
      <c r="AM44" s="436">
        <f t="shared" si="25"/>
        <v>0</v>
      </c>
      <c r="AN44" s="436">
        <f t="shared" si="25"/>
        <v>0</v>
      </c>
      <c r="AO44" s="436">
        <f t="shared" si="25"/>
        <v>0</v>
      </c>
      <c r="AP44" s="435">
        <f t="shared" si="25"/>
        <v>0</v>
      </c>
      <c r="AQ44" s="436">
        <f t="shared" si="25"/>
        <v>0</v>
      </c>
      <c r="AR44" s="436">
        <f t="shared" si="25"/>
        <v>0</v>
      </c>
      <c r="AS44" s="436">
        <f t="shared" si="25"/>
        <v>0</v>
      </c>
      <c r="AT44" s="436">
        <f t="shared" si="25"/>
        <v>0</v>
      </c>
      <c r="AU44" s="436">
        <f t="shared" si="25"/>
        <v>0</v>
      </c>
      <c r="AV44" s="436">
        <f t="shared" si="25"/>
        <v>0</v>
      </c>
      <c r="AW44" s="436">
        <f t="shared" si="25"/>
        <v>0</v>
      </c>
      <c r="AX44" s="435">
        <f t="shared" si="25"/>
        <v>0</v>
      </c>
      <c r="AY44" s="436">
        <f t="shared" si="25"/>
        <v>0</v>
      </c>
      <c r="AZ44" s="436">
        <f t="shared" si="25"/>
        <v>0</v>
      </c>
      <c r="BA44" s="436">
        <f t="shared" si="25"/>
        <v>0</v>
      </c>
      <c r="BB44" s="436">
        <f t="shared" si="25"/>
        <v>0</v>
      </c>
      <c r="BC44" s="436">
        <f t="shared" si="25"/>
        <v>0</v>
      </c>
      <c r="BD44" s="436">
        <f t="shared" si="25"/>
        <v>0</v>
      </c>
      <c r="BE44" s="436">
        <f t="shared" si="25"/>
        <v>0</v>
      </c>
      <c r="BF44" s="435">
        <f t="shared" si="25"/>
        <v>0</v>
      </c>
      <c r="BG44" s="436">
        <f t="shared" si="25"/>
        <v>0</v>
      </c>
      <c r="BH44" s="436">
        <f t="shared" si="25"/>
        <v>0</v>
      </c>
      <c r="BI44" s="436">
        <f t="shared" si="25"/>
        <v>0</v>
      </c>
      <c r="BJ44" s="436">
        <f t="shared" si="25"/>
        <v>0</v>
      </c>
      <c r="BK44" s="436">
        <f t="shared" si="25"/>
        <v>0</v>
      </c>
      <c r="BL44" s="436">
        <f t="shared" si="25"/>
        <v>0</v>
      </c>
      <c r="BM44" s="436">
        <f t="shared" si="25"/>
        <v>0</v>
      </c>
      <c r="BN44" s="435">
        <f t="shared" ref="BN44:CS44" si="26">SUBTOTAL(9,BN7:BN43)</f>
        <v>0</v>
      </c>
      <c r="BO44" s="436">
        <f t="shared" si="26"/>
        <v>0</v>
      </c>
      <c r="BP44" s="436">
        <f t="shared" si="26"/>
        <v>0</v>
      </c>
      <c r="BQ44" s="436">
        <f t="shared" si="26"/>
        <v>0</v>
      </c>
      <c r="BR44" s="436">
        <f t="shared" si="26"/>
        <v>0</v>
      </c>
      <c r="BS44" s="436">
        <f t="shared" si="26"/>
        <v>0</v>
      </c>
      <c r="BT44" s="436">
        <f t="shared" si="26"/>
        <v>0</v>
      </c>
      <c r="BU44" s="436">
        <f t="shared" si="26"/>
        <v>0</v>
      </c>
      <c r="BV44" s="435">
        <f t="shared" si="26"/>
        <v>0</v>
      </c>
      <c r="BW44" s="436">
        <f t="shared" si="26"/>
        <v>0</v>
      </c>
      <c r="BX44" s="436">
        <f t="shared" si="26"/>
        <v>0</v>
      </c>
      <c r="BY44" s="436">
        <f t="shared" si="26"/>
        <v>0</v>
      </c>
      <c r="BZ44" s="436">
        <f t="shared" si="26"/>
        <v>0</v>
      </c>
      <c r="CA44" s="436">
        <f t="shared" si="26"/>
        <v>0</v>
      </c>
      <c r="CB44" s="436">
        <f t="shared" si="26"/>
        <v>0</v>
      </c>
      <c r="CC44" s="436">
        <f t="shared" si="26"/>
        <v>0</v>
      </c>
      <c r="CD44" s="435">
        <f t="shared" si="26"/>
        <v>0</v>
      </c>
      <c r="CE44" s="436">
        <f t="shared" si="26"/>
        <v>0</v>
      </c>
      <c r="CF44" s="436">
        <f t="shared" si="26"/>
        <v>0</v>
      </c>
      <c r="CG44" s="436">
        <f t="shared" si="26"/>
        <v>0</v>
      </c>
      <c r="CH44" s="436">
        <f t="shared" si="26"/>
        <v>0</v>
      </c>
      <c r="CI44" s="436">
        <f t="shared" si="26"/>
        <v>0</v>
      </c>
      <c r="CJ44" s="436">
        <f t="shared" si="26"/>
        <v>0</v>
      </c>
      <c r="CK44" s="436">
        <f t="shared" si="26"/>
        <v>0</v>
      </c>
      <c r="CL44" s="435">
        <f t="shared" si="26"/>
        <v>0</v>
      </c>
      <c r="CM44" s="436">
        <f t="shared" si="26"/>
        <v>0</v>
      </c>
      <c r="CN44" s="436">
        <f t="shared" si="26"/>
        <v>0</v>
      </c>
      <c r="CO44" s="436">
        <f t="shared" si="26"/>
        <v>0</v>
      </c>
      <c r="CP44" s="436">
        <f t="shared" si="26"/>
        <v>0</v>
      </c>
      <c r="CQ44" s="436">
        <f t="shared" si="26"/>
        <v>0</v>
      </c>
      <c r="CR44" s="436">
        <f t="shared" si="26"/>
        <v>0</v>
      </c>
      <c r="CS44" s="436">
        <f t="shared" si="26"/>
        <v>0</v>
      </c>
      <c r="CT44" s="435">
        <f t="shared" ref="CT44:CU44" si="27">SUBTOTAL(9,CT7:CT43)</f>
        <v>0</v>
      </c>
      <c r="CU44" s="436">
        <f t="shared" si="27"/>
        <v>0</v>
      </c>
    </row>
    <row r="45" spans="1:99">
      <c r="CH45" s="27">
        <f>CF44-CH44</f>
        <v>0</v>
      </c>
      <c r="CI45" s="27">
        <f>CG44-CI44</f>
        <v>0</v>
      </c>
    </row>
  </sheetData>
  <autoFilter ref="A6:CU43" xr:uid="{C50EAC3F-59FF-4437-A6AF-15868C3C978A}"/>
  <mergeCells count="62">
    <mergeCell ref="CF4:CM4"/>
    <mergeCell ref="CN4:CU4"/>
    <mergeCell ref="D4:K4"/>
    <mergeCell ref="L4:S4"/>
    <mergeCell ref="T4:AA4"/>
    <mergeCell ref="AB4:AI4"/>
    <mergeCell ref="AJ4:AQ4"/>
    <mergeCell ref="AR4:AY4"/>
    <mergeCell ref="J5:K5"/>
    <mergeCell ref="AZ4:BG4"/>
    <mergeCell ref="BH4:BO4"/>
    <mergeCell ref="BP4:BW4"/>
    <mergeCell ref="BX4:CE4"/>
    <mergeCell ref="AH5:AI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5:A6"/>
    <mergeCell ref="B5:C5"/>
    <mergeCell ref="D5:E5"/>
    <mergeCell ref="F5:G5"/>
    <mergeCell ref="H5:I5"/>
    <mergeCell ref="AF5:AG5"/>
    <mergeCell ref="BF5:BG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CD5:CE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R5:CS5"/>
    <mergeCell ref="CT5:CU5"/>
    <mergeCell ref="CF5:CG5"/>
    <mergeCell ref="CH5:CI5"/>
    <mergeCell ref="CJ5:CK5"/>
    <mergeCell ref="CL5:CM5"/>
    <mergeCell ref="CN5:CO5"/>
    <mergeCell ref="CP5:CQ5"/>
  </mergeCells>
  <conditionalFormatting sqref="A7 A9:A43">
    <cfRule type="duplicateValues" dxfId="9" priority="163"/>
  </conditionalFormatting>
  <conditionalFormatting sqref="A8:A43">
    <cfRule type="duplicateValues" dxfId="8" priority="165"/>
  </conditionalFormatting>
  <conditionalFormatting sqref="A44:A1048576 A1:A3 A5 B2">
    <cfRule type="duplicateValues" dxfId="7" priority="4"/>
  </conditionalFormatting>
  <pageMargins left="0.1" right="0.1" top="0.75" bottom="0.75" header="0.3" footer="0.3"/>
  <pageSetup paperSize="8" scale="78" orientation="landscape" horizontalDpi="300" verticalDpi="300" r:id="rId1"/>
  <customProperties>
    <customPr name="_pios_id" r:id="rId2"/>
  </customProperties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957E0-A80A-434B-8E62-E4EE5657C64B}">
  <sheetPr codeName="Sheet11"/>
  <dimension ref="A2:U15"/>
  <sheetViews>
    <sheetView workbookViewId="0">
      <selection activeCell="E11" sqref="E11"/>
    </sheetView>
  </sheetViews>
  <sheetFormatPr defaultRowHeight="15"/>
  <cols>
    <col min="1" max="1" width="12" customWidth="1"/>
    <col min="2" max="2" width="22.140625" customWidth="1"/>
    <col min="3" max="6" width="11.140625" customWidth="1"/>
    <col min="7" max="7" width="11.140625" hidden="1" customWidth="1"/>
    <col min="8" max="12" width="11.140625" customWidth="1"/>
    <col min="13" max="15" width="10.7109375" customWidth="1"/>
    <col min="16" max="16" width="9.5703125" customWidth="1"/>
    <col min="21" max="21" width="11.140625" customWidth="1"/>
  </cols>
  <sheetData>
    <row r="2" spans="1:21" ht="18.75">
      <c r="A2" s="205" t="s">
        <v>821</v>
      </c>
      <c r="B2" s="205"/>
      <c r="C2" s="205"/>
      <c r="D2" s="205"/>
      <c r="E2" s="205"/>
      <c r="F2" s="205"/>
      <c r="G2" s="205"/>
      <c r="H2" s="205"/>
      <c r="I2" s="205"/>
      <c r="J2" s="205"/>
    </row>
    <row r="3" spans="1:21" s="199" customFormat="1" ht="15" customHeight="1">
      <c r="A3" t="s">
        <v>805</v>
      </c>
      <c r="B3" s="215" t="s">
        <v>824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 spans="1:21" s="199" customFormat="1" ht="15" customHeight="1">
      <c r="A4"/>
      <c r="B4" s="206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 spans="1:21" s="199" customFormat="1" ht="30">
      <c r="A5"/>
      <c r="B5"/>
      <c r="C5" s="203" t="s">
        <v>806</v>
      </c>
      <c r="D5" s="203" t="s">
        <v>377</v>
      </c>
      <c r="E5" s="203" t="s">
        <v>379</v>
      </c>
      <c r="F5" s="203" t="s">
        <v>380</v>
      </c>
      <c r="G5" s="203" t="s">
        <v>372</v>
      </c>
      <c r="H5" s="203" t="s">
        <v>426</v>
      </c>
      <c r="I5" s="203" t="s">
        <v>807</v>
      </c>
      <c r="J5" s="560" t="s">
        <v>808</v>
      </c>
      <c r="K5" s="561"/>
      <c r="L5" s="561"/>
      <c r="M5" s="561"/>
      <c r="N5" s="561"/>
      <c r="O5" s="562"/>
      <c r="P5" s="555" t="s">
        <v>809</v>
      </c>
      <c r="Q5" s="556"/>
      <c r="R5" s="556"/>
      <c r="S5" s="556"/>
      <c r="T5" s="556"/>
      <c r="U5" s="557"/>
    </row>
    <row r="6" spans="1:21">
      <c r="C6" s="207" t="s">
        <v>810</v>
      </c>
      <c r="D6" s="204"/>
      <c r="E6" s="207"/>
      <c r="F6" s="207"/>
      <c r="G6" s="207"/>
      <c r="H6" s="207"/>
      <c r="I6" s="207" t="s">
        <v>811</v>
      </c>
      <c r="J6" s="558" t="s">
        <v>781</v>
      </c>
      <c r="K6" s="560" t="s">
        <v>782</v>
      </c>
      <c r="L6" s="561"/>
      <c r="M6" s="562"/>
      <c r="N6" s="558" t="s">
        <v>381</v>
      </c>
      <c r="O6" s="558" t="s">
        <v>812</v>
      </c>
      <c r="P6" s="563" t="s">
        <v>781</v>
      </c>
      <c r="Q6" s="555" t="s">
        <v>782</v>
      </c>
      <c r="R6" s="556"/>
      <c r="S6" s="557"/>
      <c r="T6" s="563" t="s">
        <v>381</v>
      </c>
      <c r="U6" s="563" t="s">
        <v>812</v>
      </c>
    </row>
    <row r="7" spans="1:21">
      <c r="C7" s="208"/>
      <c r="D7" s="208"/>
      <c r="E7" s="208"/>
      <c r="F7" s="208"/>
      <c r="G7" s="208"/>
      <c r="H7" s="208"/>
      <c r="I7" s="208"/>
      <c r="J7" s="559"/>
      <c r="K7" s="209" t="s">
        <v>0</v>
      </c>
      <c r="L7" s="209" t="s">
        <v>14</v>
      </c>
      <c r="M7" s="209" t="s">
        <v>12</v>
      </c>
      <c r="N7" s="559"/>
      <c r="O7" s="559"/>
      <c r="P7" s="564"/>
      <c r="Q7" s="210" t="s">
        <v>0</v>
      </c>
      <c r="R7" s="210" t="s">
        <v>14</v>
      </c>
      <c r="S7" s="210" t="s">
        <v>12</v>
      </c>
      <c r="T7" s="564"/>
      <c r="U7" s="564"/>
    </row>
    <row r="8" spans="1:21">
      <c r="A8" s="195" t="s">
        <v>819</v>
      </c>
      <c r="B8" s="195" t="s">
        <v>822</v>
      </c>
      <c r="C8" s="185">
        <v>4</v>
      </c>
      <c r="D8" s="211" t="s">
        <v>645</v>
      </c>
      <c r="E8" s="211" t="s">
        <v>778</v>
      </c>
      <c r="F8" s="211" t="s">
        <v>823</v>
      </c>
      <c r="G8" s="212"/>
      <c r="H8" s="211">
        <v>13456</v>
      </c>
      <c r="I8" s="211">
        <v>6296.1483999791981</v>
      </c>
      <c r="J8" s="213">
        <v>30.481686988332932</v>
      </c>
      <c r="K8" s="214">
        <v>5.6200704156974588</v>
      </c>
      <c r="L8" s="214">
        <v>11.80350489593793</v>
      </c>
      <c r="M8" s="214">
        <v>7.2614900381816394</v>
      </c>
      <c r="N8" s="214">
        <v>0.84055779639402772</v>
      </c>
      <c r="O8" s="214">
        <f>SUM(J8:N8)</f>
        <v>56.007310134543999</v>
      </c>
      <c r="P8" s="213">
        <f>J8*$C8+0.01</f>
        <v>121.93674795333173</v>
      </c>
      <c r="Q8" s="214">
        <f t="shared" ref="Q8:T8" si="0">K8*$C8</f>
        <v>22.480281662789835</v>
      </c>
      <c r="R8" s="214">
        <f t="shared" si="0"/>
        <v>47.214019583751721</v>
      </c>
      <c r="S8" s="214">
        <f>M8*$C8</f>
        <v>29.045960152726558</v>
      </c>
      <c r="T8" s="214">
        <f t="shared" si="0"/>
        <v>3.3622311855761109</v>
      </c>
      <c r="U8" s="214">
        <f>+ROUND(SUM(P8:T8),2)</f>
        <v>224.04</v>
      </c>
    </row>
    <row r="10" spans="1:21">
      <c r="O10" s="27"/>
    </row>
    <row r="12" spans="1:21">
      <c r="B12" s="27"/>
      <c r="K12" s="196"/>
      <c r="L12" s="196"/>
      <c r="M12" s="196"/>
      <c r="N12" s="196"/>
    </row>
    <row r="13" spans="1:21">
      <c r="K13" s="197"/>
      <c r="L13" s="197"/>
      <c r="M13" s="197"/>
      <c r="N13" s="197"/>
      <c r="O13" s="27"/>
    </row>
    <row r="15" spans="1:21">
      <c r="K15" s="198"/>
      <c r="L15" s="198"/>
      <c r="M15" s="198"/>
      <c r="N15" s="198"/>
    </row>
  </sheetData>
  <mergeCells count="10">
    <mergeCell ref="P5:U5"/>
    <mergeCell ref="J6:J7"/>
    <mergeCell ref="K6:M6"/>
    <mergeCell ref="N6:N7"/>
    <mergeCell ref="O6:O7"/>
    <mergeCell ref="P6:P7"/>
    <mergeCell ref="Q6:S6"/>
    <mergeCell ref="T6:T7"/>
    <mergeCell ref="U6:U7"/>
    <mergeCell ref="J5:O5"/>
  </mergeCells>
  <hyperlinks>
    <hyperlink ref="B3" r:id="rId1" xr:uid="{E8983D5B-B8F2-48DC-8467-084C8179DBE8}"/>
  </hyperlinks>
  <pageMargins left="0.7" right="0.7" top="0.75" bottom="0.75" header="0.3" footer="0.3"/>
  <pageSetup paperSize="9" orientation="portrait" r:id="rId2"/>
  <customProperties>
    <customPr name="_pios_id" r:id="rId3"/>
  </customProperties>
  <ignoredErrors>
    <ignoredError sqref="O8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D18B-DDA1-4093-A978-DFCAF9771910}">
  <sheetPr codeName="Sheet24"/>
  <dimension ref="A1:O13"/>
  <sheetViews>
    <sheetView workbookViewId="0">
      <selection activeCell="O1" sqref="O1"/>
    </sheetView>
  </sheetViews>
  <sheetFormatPr defaultRowHeight="15"/>
  <cols>
    <col min="1" max="1" width="5.5703125" customWidth="1"/>
    <col min="2" max="3" width="11.42578125" customWidth="1"/>
    <col min="4" max="4" width="3.7109375" customWidth="1"/>
    <col min="5" max="5" width="6.7109375" customWidth="1"/>
    <col min="6" max="7" width="12.5703125" customWidth="1"/>
    <col min="8" max="8" width="3.7109375" customWidth="1"/>
    <col min="9" max="9" width="6.7109375" customWidth="1"/>
    <col min="10" max="11" width="12.5703125" customWidth="1"/>
    <col min="12" max="12" width="3.7109375" customWidth="1"/>
    <col min="13" max="13" width="6.7109375" customWidth="1"/>
    <col min="14" max="15" width="12.5703125" customWidth="1"/>
    <col min="16" max="16" width="11.5703125" customWidth="1"/>
    <col min="17" max="21" width="11.5703125" bestFit="1" customWidth="1"/>
  </cols>
  <sheetData>
    <row r="1" spans="1:15" s="247" customFormat="1" ht="45">
      <c r="A1" s="246" t="s">
        <v>1094</v>
      </c>
      <c r="B1" s="246" t="s">
        <v>748</v>
      </c>
      <c r="C1" s="246" t="s">
        <v>749</v>
      </c>
      <c r="E1" s="246" t="s">
        <v>916</v>
      </c>
      <c r="F1" s="246" t="s">
        <v>748</v>
      </c>
      <c r="G1" s="246" t="s">
        <v>749</v>
      </c>
      <c r="I1" s="246" t="s">
        <v>985</v>
      </c>
      <c r="J1" s="246" t="s">
        <v>748</v>
      </c>
      <c r="K1" s="246" t="s">
        <v>749</v>
      </c>
      <c r="M1" s="246" t="s">
        <v>1052</v>
      </c>
      <c r="N1" s="246" t="s">
        <v>748</v>
      </c>
      <c r="O1" s="246" t="s">
        <v>749</v>
      </c>
    </row>
    <row r="2" spans="1:15">
      <c r="A2" s="185" t="s">
        <v>309</v>
      </c>
      <c r="B2" s="515">
        <v>206640</v>
      </c>
      <c r="C2" s="514">
        <v>795.42376200000001</v>
      </c>
      <c r="E2" s="185" t="s">
        <v>309</v>
      </c>
      <c r="F2" s="186"/>
      <c r="G2" s="187"/>
      <c r="I2" s="185" t="s">
        <v>309</v>
      </c>
      <c r="J2" s="186"/>
      <c r="K2" s="187"/>
      <c r="M2" s="185" t="s">
        <v>309</v>
      </c>
      <c r="N2" s="186"/>
      <c r="O2" s="187"/>
    </row>
    <row r="3" spans="1:15">
      <c r="A3" s="185" t="s">
        <v>310</v>
      </c>
      <c r="B3" s="515">
        <v>146880</v>
      </c>
      <c r="C3" s="514">
        <v>574.30177899999978</v>
      </c>
      <c r="E3" s="185" t="s">
        <v>310</v>
      </c>
      <c r="F3" s="186"/>
      <c r="G3" s="187"/>
      <c r="I3" s="185" t="s">
        <v>310</v>
      </c>
      <c r="J3" s="186"/>
      <c r="K3" s="187"/>
      <c r="M3" s="185" t="s">
        <v>310</v>
      </c>
      <c r="N3" s="186"/>
      <c r="O3" s="187"/>
    </row>
    <row r="4" spans="1:15">
      <c r="A4" s="185" t="s">
        <v>311</v>
      </c>
      <c r="B4" s="515">
        <v>223200</v>
      </c>
      <c r="C4" s="514">
        <v>775.89054599999963</v>
      </c>
      <c r="E4" s="185" t="s">
        <v>311</v>
      </c>
      <c r="F4" s="186"/>
      <c r="G4" s="187"/>
      <c r="I4" s="185" t="s">
        <v>311</v>
      </c>
      <c r="J4" s="186"/>
      <c r="K4" s="187"/>
      <c r="M4" s="185" t="s">
        <v>311</v>
      </c>
      <c r="N4" s="186"/>
      <c r="O4" s="187"/>
    </row>
    <row r="5" spans="1:15">
      <c r="A5" s="185" t="s">
        <v>312</v>
      </c>
      <c r="B5" s="515">
        <v>190800</v>
      </c>
      <c r="C5" s="514">
        <v>775.16231299999993</v>
      </c>
      <c r="E5" s="185" t="s">
        <v>312</v>
      </c>
      <c r="F5" s="186"/>
      <c r="G5" s="187"/>
      <c r="I5" s="185" t="s">
        <v>312</v>
      </c>
      <c r="J5" s="186"/>
      <c r="K5" s="187"/>
      <c r="M5" s="185" t="s">
        <v>312</v>
      </c>
      <c r="N5" s="186"/>
      <c r="O5" s="187"/>
    </row>
    <row r="6" spans="1:15">
      <c r="A6" s="185" t="s">
        <v>313</v>
      </c>
      <c r="B6" s="515">
        <v>198720</v>
      </c>
      <c r="C6" s="514">
        <v>758.40554499999996</v>
      </c>
      <c r="E6" s="185" t="s">
        <v>313</v>
      </c>
      <c r="F6" s="186"/>
      <c r="G6" s="187"/>
      <c r="I6" s="185" t="s">
        <v>313</v>
      </c>
      <c r="J6" s="186"/>
      <c r="K6" s="187"/>
      <c r="M6" s="185" t="s">
        <v>313</v>
      </c>
      <c r="N6" s="186"/>
      <c r="O6" s="187"/>
    </row>
    <row r="7" spans="1:15">
      <c r="A7" s="185" t="s">
        <v>314</v>
      </c>
      <c r="B7" s="515">
        <v>216000</v>
      </c>
      <c r="C7" s="514">
        <v>855.31155500000045</v>
      </c>
      <c r="E7" s="185" t="s">
        <v>314</v>
      </c>
      <c r="F7" s="186"/>
      <c r="G7" s="187"/>
      <c r="I7" s="185" t="s">
        <v>314</v>
      </c>
      <c r="J7" s="186"/>
      <c r="K7" s="187"/>
      <c r="M7" s="185" t="s">
        <v>314</v>
      </c>
      <c r="N7" s="186"/>
      <c r="O7" s="187"/>
    </row>
    <row r="8" spans="1:15">
      <c r="A8" s="185" t="s">
        <v>315</v>
      </c>
      <c r="B8" s="515">
        <v>241800</v>
      </c>
      <c r="C8" s="514">
        <v>955.5535960000002</v>
      </c>
      <c r="E8" s="185" t="s">
        <v>315</v>
      </c>
      <c r="F8" s="186"/>
      <c r="G8" s="187"/>
      <c r="I8" s="185" t="s">
        <v>315</v>
      </c>
      <c r="J8" s="186"/>
      <c r="K8" s="187"/>
      <c r="M8" s="185" t="s">
        <v>315</v>
      </c>
      <c r="N8" s="186"/>
      <c r="O8" s="187"/>
    </row>
    <row r="9" spans="1:15">
      <c r="A9" s="185" t="s">
        <v>316</v>
      </c>
      <c r="B9" s="515">
        <v>240240</v>
      </c>
      <c r="C9" s="514">
        <v>931.35916399999974</v>
      </c>
      <c r="E9" s="185" t="s">
        <v>316</v>
      </c>
      <c r="F9" s="186"/>
      <c r="G9" s="187"/>
      <c r="I9" s="185" t="s">
        <v>316</v>
      </c>
      <c r="J9" s="186"/>
      <c r="K9" s="187"/>
      <c r="M9" s="185" t="s">
        <v>316</v>
      </c>
      <c r="N9" s="186"/>
      <c r="O9" s="187"/>
    </row>
    <row r="10" spans="1:15">
      <c r="A10" s="185" t="s">
        <v>317</v>
      </c>
      <c r="B10" s="515">
        <v>191880</v>
      </c>
      <c r="C10" s="514">
        <v>753.77862899999991</v>
      </c>
      <c r="E10" s="185" t="s">
        <v>317</v>
      </c>
      <c r="F10" s="186"/>
      <c r="G10" s="187"/>
      <c r="I10" s="185" t="s">
        <v>317</v>
      </c>
      <c r="J10" s="186"/>
      <c r="K10" s="187"/>
      <c r="M10" s="185" t="s">
        <v>317</v>
      </c>
      <c r="N10" s="186"/>
      <c r="O10" s="187"/>
    </row>
    <row r="11" spans="1:15">
      <c r="A11" s="185" t="s">
        <v>318</v>
      </c>
      <c r="B11" s="515">
        <v>241800</v>
      </c>
      <c r="C11" s="514">
        <v>984.6669280000001</v>
      </c>
      <c r="E11" s="185" t="s">
        <v>318</v>
      </c>
      <c r="F11" s="186"/>
      <c r="G11" s="187"/>
      <c r="I11" s="185" t="s">
        <v>318</v>
      </c>
      <c r="J11" s="186"/>
      <c r="K11" s="187"/>
      <c r="M11" s="185" t="s">
        <v>318</v>
      </c>
      <c r="N11" s="186"/>
      <c r="O11" s="187"/>
    </row>
    <row r="12" spans="1:15">
      <c r="A12" s="185" t="s">
        <v>319</v>
      </c>
      <c r="B12" s="515">
        <v>234000</v>
      </c>
      <c r="C12" s="514">
        <v>916.19473400000004</v>
      </c>
      <c r="E12" s="185" t="s">
        <v>319</v>
      </c>
      <c r="F12" s="186"/>
      <c r="G12" s="187"/>
      <c r="I12" s="185" t="s">
        <v>319</v>
      </c>
      <c r="J12" s="186"/>
      <c r="K12" s="187"/>
      <c r="M12" s="185" t="s">
        <v>319</v>
      </c>
      <c r="N12" s="186"/>
      <c r="O12" s="187"/>
    </row>
    <row r="13" spans="1:15">
      <c r="A13" s="185" t="s">
        <v>320</v>
      </c>
      <c r="B13" s="515">
        <v>231660</v>
      </c>
      <c r="C13" s="514">
        <v>902.54424999999981</v>
      </c>
      <c r="E13" s="185" t="s">
        <v>320</v>
      </c>
      <c r="F13" s="186"/>
      <c r="G13" s="187"/>
      <c r="I13" s="185" t="s">
        <v>320</v>
      </c>
      <c r="J13" s="186"/>
      <c r="K13" s="187"/>
      <c r="M13" s="185" t="s">
        <v>320</v>
      </c>
      <c r="N13" s="186"/>
      <c r="O13" s="187"/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2406-9267-4854-9459-431DC84F91FF}">
  <sheetPr codeName="Sheet23">
    <tabColor theme="1"/>
  </sheetPr>
  <dimension ref="A1"/>
  <sheetViews>
    <sheetView topLeftCell="XFD1" workbookViewId="0"/>
  </sheetViews>
  <sheetFormatPr defaultColWidth="0" defaultRowHeight="15"/>
  <cols>
    <col min="1" max="16384" width="9.140625" hidden="1"/>
  </cols>
  <sheetData/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5"/>
  <dimension ref="A1:BX86"/>
  <sheetViews>
    <sheetView showGridLines="0" zoomScale="106" zoomScaleNormal="106" workbookViewId="0">
      <pane xSplit="7" ySplit="7" topLeftCell="H8" activePane="bottomRight" state="frozen"/>
      <selection activeCell="E1" sqref="E1"/>
      <selection pane="topRight" activeCell="H1" sqref="H1"/>
      <selection pane="bottomLeft" activeCell="E8" sqref="E8"/>
      <selection pane="bottomRight" activeCell="I9" sqref="I9"/>
    </sheetView>
  </sheetViews>
  <sheetFormatPr defaultColWidth="9.140625" defaultRowHeight="20.100000000000001" customHeight="1" outlineLevelCol="1"/>
  <cols>
    <col min="1" max="1" width="12" style="1" customWidth="1" outlineLevel="1"/>
    <col min="2" max="2" width="19.28515625" style="1" customWidth="1" outlineLevel="1"/>
    <col min="3" max="3" width="14" style="1" customWidth="1" outlineLevel="1"/>
    <col min="4" max="4" width="9.42578125" style="1" customWidth="1" outlineLevel="1"/>
    <col min="5" max="5" width="8.5703125" style="1" customWidth="1"/>
    <col min="6" max="6" width="11.140625" style="1" customWidth="1"/>
    <col min="7" max="7" width="32" style="1" customWidth="1"/>
    <col min="8" max="8" width="13.7109375" style="1" customWidth="1"/>
    <col min="9" max="9" width="13.7109375" style="9" customWidth="1"/>
    <col min="10" max="20" width="13.7109375" style="9" hidden="1" customWidth="1"/>
    <col min="21" max="21" width="14.7109375" style="2" customWidth="1"/>
    <col min="22" max="24" width="16.7109375" style="9" hidden="1" customWidth="1" outlineLevel="1"/>
    <col min="25" max="25" width="1.7109375" style="2" customWidth="1" collapsed="1"/>
    <col min="26" max="26" width="9.140625" style="252" customWidth="1"/>
    <col min="27" max="27" width="14.5703125" style="9" customWidth="1"/>
    <col min="28" max="28" width="8.7109375" style="9" customWidth="1"/>
    <col min="29" max="29" width="1.7109375" customWidth="1"/>
    <col min="30" max="30" width="8.42578125" style="10" customWidth="1"/>
    <col min="31" max="31" width="15.28515625" style="10" customWidth="1"/>
    <col min="32" max="32" width="16.5703125" style="218" customWidth="1"/>
    <col min="33" max="33" width="1.7109375" customWidth="1"/>
    <col min="34" max="36" width="10.42578125" style="9" customWidth="1"/>
    <col min="37" max="37" width="1.7109375" customWidth="1"/>
    <col min="38" max="38" width="15.5703125" hidden="1" customWidth="1" outlineLevel="1"/>
    <col min="39" max="39" width="16.140625" hidden="1" customWidth="1" outlineLevel="1"/>
    <col min="40" max="40" width="14.42578125" style="91" hidden="1" customWidth="1" outlineLevel="1"/>
    <col min="41" max="41" width="8" style="91" hidden="1" customWidth="1" outlineLevel="1"/>
    <col min="42" max="42" width="13" hidden="1" customWidth="1" outlineLevel="1"/>
    <col min="43" max="43" width="1.7109375" hidden="1" customWidth="1" outlineLevel="1"/>
    <col min="44" max="44" width="15.7109375" style="350" hidden="1" customWidth="1" outlineLevel="1"/>
    <col min="45" max="45" width="1.7109375" style="1" hidden="1" customWidth="1" collapsed="1"/>
    <col min="46" max="52" width="13.7109375" style="1" hidden="1" customWidth="1" outlineLevel="1"/>
    <col min="53" max="57" width="13.7109375" hidden="1" customWidth="1" outlineLevel="1"/>
    <col min="58" max="58" width="3.7109375" hidden="1" customWidth="1" collapsed="1"/>
    <col min="59" max="68" width="14.28515625" hidden="1" customWidth="1" outlineLevel="1"/>
    <col min="69" max="69" width="19" hidden="1" customWidth="1" collapsed="1"/>
    <col min="71" max="71" width="12.140625" hidden="1" customWidth="1" outlineLevel="1"/>
    <col min="72" max="73" width="4.7109375" hidden="1" customWidth="1" outlineLevel="1"/>
    <col min="74" max="74" width="1.7109375" hidden="1" customWidth="1" outlineLevel="1"/>
    <col min="75" max="75" width="11" hidden="1" customWidth="1" outlineLevel="1"/>
    <col min="76" max="76" width="12.85546875" bestFit="1" customWidth="1" collapsed="1"/>
  </cols>
  <sheetData>
    <row r="1" spans="1:76" ht="17.25" customHeight="1">
      <c r="A1" s="10"/>
      <c r="B1" s="10"/>
      <c r="C1" s="10"/>
      <c r="D1" s="10"/>
      <c r="E1" s="10"/>
      <c r="F1" s="137" t="s">
        <v>205</v>
      </c>
      <c r="G1" s="10"/>
      <c r="H1" s="10"/>
      <c r="I1" s="10"/>
      <c r="J1" s="10"/>
      <c r="K1" s="10"/>
      <c r="L1" s="10"/>
      <c r="M1" s="10"/>
      <c r="N1" s="10"/>
      <c r="O1" s="10"/>
      <c r="P1" s="18"/>
      <c r="Q1" s="18"/>
      <c r="R1" s="18"/>
      <c r="S1" s="18"/>
      <c r="T1" s="18"/>
      <c r="U1" s="108"/>
      <c r="V1" s="18"/>
      <c r="W1" s="18"/>
      <c r="X1" s="18"/>
      <c r="Y1" s="108"/>
      <c r="Z1" s="250"/>
      <c r="AA1" s="10"/>
      <c r="AB1" s="10"/>
      <c r="AD1" s="87"/>
      <c r="AF1" s="219"/>
      <c r="AI1" s="18"/>
      <c r="AJ1" s="18"/>
      <c r="AS1" s="87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</row>
    <row r="2" spans="1:76" ht="17.25" customHeight="1">
      <c r="A2" s="10"/>
      <c r="B2" s="10"/>
      <c r="C2" s="10"/>
      <c r="D2" s="10"/>
      <c r="E2" s="10"/>
      <c r="F2" s="10" t="s">
        <v>110</v>
      </c>
      <c r="G2" s="476" t="s">
        <v>309</v>
      </c>
      <c r="I2" s="516"/>
      <c r="J2" s="86"/>
      <c r="K2" s="86"/>
      <c r="L2" s="86"/>
      <c r="M2" s="108"/>
      <c r="N2" s="86"/>
      <c r="O2" s="86"/>
      <c r="P2" s="86"/>
      <c r="Q2" s="86"/>
      <c r="R2" s="86"/>
      <c r="S2" s="86"/>
      <c r="T2" s="86"/>
      <c r="U2" s="271">
        <f>MATCH($G$2,$I$5:$T$5,0)</f>
        <v>1</v>
      </c>
      <c r="V2" s="86"/>
      <c r="W2" s="86"/>
      <c r="X2" s="86"/>
      <c r="Y2" s="18"/>
      <c r="Z2" s="251"/>
      <c r="AA2" s="86"/>
      <c r="AB2" s="86"/>
      <c r="AF2" s="219"/>
      <c r="AI2" s="152">
        <f>+AH3/AI3</f>
        <v>0.89342208456961159</v>
      </c>
      <c r="AJ2" s="181">
        <f>AH3/AJ3</f>
        <v>0.86500477087834315</v>
      </c>
      <c r="AK2" s="27"/>
      <c r="AL2" s="27"/>
      <c r="AM2" s="27"/>
      <c r="AN2" s="184"/>
      <c r="AO2" s="184"/>
      <c r="AP2" s="27"/>
      <c r="AR2" s="351"/>
      <c r="AS2" s="10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</row>
    <row r="3" spans="1:76" ht="17.25" customHeight="1" thickBot="1">
      <c r="A3" s="10"/>
      <c r="B3" s="10"/>
      <c r="C3" s="10"/>
      <c r="D3" s="10"/>
      <c r="E3" s="10"/>
      <c r="F3" s="10" t="s">
        <v>573</v>
      </c>
      <c r="G3" s="10" t="s">
        <v>1582</v>
      </c>
      <c r="H3" s="10"/>
      <c r="I3" s="156">
        <f ca="1">+I9/(I9+I8)</f>
        <v>3.2177732215450804E-2</v>
      </c>
      <c r="J3" s="86" t="e">
        <f ca="1">+J9/(J9+J8)</f>
        <v>#DIV/0!</v>
      </c>
      <c r="K3" s="86" t="e">
        <f ca="1">+K9/(K9+K8)</f>
        <v>#DIV/0!</v>
      </c>
      <c r="L3" s="200" t="e">
        <f t="shared" ref="L3:T3" ca="1" si="0">+L9/(L9+L8)</f>
        <v>#DIV/0!</v>
      </c>
      <c r="M3" s="86" t="e">
        <f t="shared" ca="1" si="0"/>
        <v>#DIV/0!</v>
      </c>
      <c r="N3" s="86" t="e">
        <f t="shared" ca="1" si="0"/>
        <v>#DIV/0!</v>
      </c>
      <c r="O3" s="86" t="e">
        <f t="shared" ca="1" si="0"/>
        <v>#DIV/0!</v>
      </c>
      <c r="P3" s="200" t="e">
        <f t="shared" ca="1" si="0"/>
        <v>#DIV/0!</v>
      </c>
      <c r="Q3" s="86" t="e">
        <f t="shared" ca="1" si="0"/>
        <v>#DIV/0!</v>
      </c>
      <c r="R3" s="86" t="e">
        <f t="shared" ca="1" si="0"/>
        <v>#DIV/0!</v>
      </c>
      <c r="S3" s="86" t="e">
        <f t="shared" ca="1" si="0"/>
        <v>#DIV/0!</v>
      </c>
      <c r="T3" s="86" t="e">
        <f t="shared" ca="1" si="0"/>
        <v>#DIV/0!</v>
      </c>
      <c r="U3" s="18"/>
      <c r="V3" s="86"/>
      <c r="W3" s="86"/>
      <c r="X3" s="86"/>
      <c r="Y3" s="18"/>
      <c r="Z3" s="251"/>
      <c r="AA3" s="18"/>
      <c r="AB3" s="18"/>
      <c r="AF3" s="218" t="s">
        <v>1046</v>
      </c>
      <c r="AH3" s="108">
        <f>'MFG COST SUMMARY'!J134</f>
        <v>688.04534899999976</v>
      </c>
      <c r="AI3" s="477">
        <v>770.1235069999999</v>
      </c>
      <c r="AJ3" s="108" cm="2">
        <f t="array" ref="AJ3">INDEX($AT$3:$BE$3,ROW()-2,MATCH($G$2,$AT$5:$BE$5,0))</f>
        <v>795.42376200000001</v>
      </c>
      <c r="AN3" s="157"/>
      <c r="AO3" s="157"/>
      <c r="AP3" s="157"/>
      <c r="AR3" s="352"/>
      <c r="AS3" s="16"/>
      <c r="AT3" s="202">
        <f>INDEX(Budget!$C$2:$C$13,MATCH(AT$5,Budget!$M$2:$M$13,0))</f>
        <v>795.42376200000001</v>
      </c>
      <c r="AU3" s="202">
        <f>INDEX(Budget!$C$2:$C$13,MATCH(AU$5,Budget!$M$2:$M$13,0))</f>
        <v>574.30177899999978</v>
      </c>
      <c r="AV3" s="202">
        <f>INDEX(Budget!$C$2:$C$13,MATCH(AV$5,Budget!$M$2:$M$13,0))</f>
        <v>775.89054599999963</v>
      </c>
      <c r="AW3" s="202">
        <f>INDEX(Budget!$C$2:$C$13,MATCH(AW$5,Budget!$M$2:$M$13,0))</f>
        <v>775.16231299999993</v>
      </c>
      <c r="AX3" s="202">
        <f>INDEX(Budget!$C$2:$C$13,MATCH(AX$5,Budget!$M$2:$M$13,0))</f>
        <v>758.40554499999996</v>
      </c>
      <c r="AY3" s="202">
        <f>INDEX(Budget!$C$2:$C$13,MATCH(AY$5,Budget!$M$2:$M$13,0))</f>
        <v>855.31155500000045</v>
      </c>
      <c r="AZ3" s="202">
        <f>INDEX(Budget!$C$2:$C$13,MATCH(AZ$5,Budget!$M$2:$M$13,0))</f>
        <v>955.5535960000002</v>
      </c>
      <c r="BA3" s="202">
        <f>INDEX(Budget!$C$2:$C$13,MATCH(BA$5,Budget!$M$2:$M$13,0))</f>
        <v>931.35916399999974</v>
      </c>
      <c r="BB3" s="202">
        <f>INDEX(Budget!$C$2:$C$13,MATCH(BB$5,Budget!$M$2:$M$13,0))</f>
        <v>753.77862899999991</v>
      </c>
      <c r="BC3" s="202">
        <f>INDEX(Budget!$C$2:$C$13,MATCH(BC$5,Budget!$M$2:$M$13,0))</f>
        <v>984.6669280000001</v>
      </c>
      <c r="BD3" s="202">
        <f>INDEX(Budget!$C$2:$C$13,MATCH(BD$5,Budget!$M$2:$M$13,0))</f>
        <v>916.19473400000004</v>
      </c>
      <c r="BE3" s="202">
        <f>INDEX(Budget!$C$2:$C$13,MATCH(BE$5,Budget!$M$2:$M$13,0))</f>
        <v>902.54424999999981</v>
      </c>
      <c r="BF3" s="157"/>
    </row>
    <row r="4" spans="1:76" ht="12" customHeight="1">
      <c r="A4" s="16"/>
      <c r="B4" s="16"/>
      <c r="C4" s="16"/>
      <c r="D4" s="16"/>
      <c r="E4" s="16"/>
      <c r="F4" s="16"/>
      <c r="G4" s="16"/>
      <c r="H4" s="16"/>
      <c r="I4" s="567" t="str">
        <f>CurYear &amp; "_ACT"</f>
        <v>2024_ACT</v>
      </c>
      <c r="J4" s="568"/>
      <c r="K4" s="568"/>
      <c r="L4" s="568"/>
      <c r="M4" s="568"/>
      <c r="N4" s="568"/>
      <c r="O4" s="568"/>
      <c r="P4" s="568"/>
      <c r="Q4" s="568"/>
      <c r="R4" s="568"/>
      <c r="S4" s="568"/>
      <c r="T4" s="568"/>
      <c r="U4" s="568"/>
      <c r="V4" s="568"/>
      <c r="W4" s="568"/>
      <c r="X4" s="569"/>
      <c r="Y4" s="135"/>
      <c r="Z4" s="565" t="s">
        <v>325</v>
      </c>
      <c r="AA4" s="565"/>
      <c r="AB4" s="565"/>
      <c r="AD4" s="566" t="str">
        <f>"vs. "&amp;$AT$4</f>
        <v>vs. 24OB</v>
      </c>
      <c r="AE4" s="566"/>
      <c r="AF4" s="566"/>
      <c r="AH4" s="574" t="s">
        <v>322</v>
      </c>
      <c r="AI4" s="575"/>
      <c r="AJ4" s="576"/>
      <c r="AK4" s="27"/>
      <c r="AL4" s="573" t="s">
        <v>572</v>
      </c>
      <c r="AM4" s="573"/>
      <c r="AN4" s="573"/>
      <c r="AO4" s="573"/>
      <c r="AP4" s="573"/>
      <c r="AR4" s="572" t="str">
        <f>"Remaining "&amp;$AT$4</f>
        <v>Remaining 24OB</v>
      </c>
      <c r="AS4" s="16"/>
      <c r="AT4" s="577" t="s">
        <v>1094</v>
      </c>
      <c r="AU4" s="578"/>
      <c r="AV4" s="578"/>
      <c r="AW4" s="578"/>
      <c r="AX4" s="578"/>
      <c r="AY4" s="578"/>
      <c r="AZ4" s="578"/>
      <c r="BA4" s="579"/>
      <c r="BB4" s="579"/>
      <c r="BC4" s="579"/>
      <c r="BD4" s="579"/>
      <c r="BE4" s="580"/>
      <c r="BF4" s="178"/>
      <c r="BG4" s="571" t="str">
        <f>$AT$4&amp;"_Accumulated"</f>
        <v>24OB_Accumulated</v>
      </c>
      <c r="BH4" s="571"/>
      <c r="BI4" s="571"/>
      <c r="BJ4" s="571"/>
      <c r="BK4" s="571"/>
      <c r="BL4" s="571"/>
      <c r="BM4" s="571"/>
      <c r="BN4" s="571"/>
      <c r="BO4" s="571"/>
      <c r="BP4" s="571"/>
      <c r="BQ4" s="571"/>
    </row>
    <row r="5" spans="1:76" s="11" customFormat="1" ht="24.75" customHeight="1">
      <c r="A5" s="110" t="s">
        <v>11</v>
      </c>
      <c r="B5" s="111" t="s">
        <v>6</v>
      </c>
      <c r="C5" s="111" t="s">
        <v>24</v>
      </c>
      <c r="D5" s="111" t="s">
        <v>23</v>
      </c>
      <c r="E5" s="112" t="s">
        <v>113</v>
      </c>
      <c r="F5" s="111" t="s">
        <v>7</v>
      </c>
      <c r="G5" s="111" t="s">
        <v>17</v>
      </c>
      <c r="H5" s="242" t="s">
        <v>1095</v>
      </c>
      <c r="I5" s="115" t="s">
        <v>309</v>
      </c>
      <c r="J5" s="116" t="s">
        <v>310</v>
      </c>
      <c r="K5" s="116" t="s">
        <v>311</v>
      </c>
      <c r="L5" s="116" t="s">
        <v>312</v>
      </c>
      <c r="M5" s="116" t="s">
        <v>313</v>
      </c>
      <c r="N5" s="116" t="s">
        <v>314</v>
      </c>
      <c r="O5" s="116" t="s">
        <v>315</v>
      </c>
      <c r="P5" s="116" t="s">
        <v>316</v>
      </c>
      <c r="Q5" s="116" t="s">
        <v>317</v>
      </c>
      <c r="R5" s="116" t="s">
        <v>318</v>
      </c>
      <c r="S5" s="116" t="s">
        <v>319</v>
      </c>
      <c r="T5" s="116" t="s">
        <v>320</v>
      </c>
      <c r="U5" s="117" t="str">
        <f>"Total cost " &amp;G2&amp;" "&amp; CurYear</f>
        <v>Total cost Jan 2024</v>
      </c>
      <c r="V5" s="233" t="s">
        <v>856</v>
      </c>
      <c r="W5" s="233" t="s">
        <v>857</v>
      </c>
      <c r="X5" s="237" t="s">
        <v>858</v>
      </c>
      <c r="Y5" s="136"/>
      <c r="Z5" s="216" t="s">
        <v>129</v>
      </c>
      <c r="AA5" s="216" t="s">
        <v>323</v>
      </c>
      <c r="AB5" s="161" t="s">
        <v>820</v>
      </c>
      <c r="AD5" s="217" t="s">
        <v>129</v>
      </c>
      <c r="AE5" s="217" t="s">
        <v>323</v>
      </c>
      <c r="AF5" s="161" t="s">
        <v>820</v>
      </c>
      <c r="AH5" s="161" t="str">
        <f>G2</f>
        <v>Jan</v>
      </c>
      <c r="AI5" s="161" t="s">
        <v>324</v>
      </c>
      <c r="AJ5" s="168" t="str">
        <f>$AT$4</f>
        <v>24OB</v>
      </c>
      <c r="AL5" s="570" t="str">
        <f>G3</f>
        <v>Jan_Jan-24</v>
      </c>
      <c r="AM5" s="570"/>
      <c r="AN5" s="571" t="str">
        <f>"Vs "&amp;$AT$4</f>
        <v>Vs 24OB</v>
      </c>
      <c r="AO5" s="571"/>
      <c r="AP5" s="299" t="s">
        <v>820</v>
      </c>
      <c r="AR5" s="572"/>
      <c r="AS5" s="15"/>
      <c r="AT5" s="163" t="s">
        <v>309</v>
      </c>
      <c r="AU5" s="188" t="s">
        <v>310</v>
      </c>
      <c r="AV5" s="188" t="s">
        <v>311</v>
      </c>
      <c r="AW5" s="188" t="s">
        <v>312</v>
      </c>
      <c r="AX5" s="188" t="s">
        <v>313</v>
      </c>
      <c r="AY5" s="188" t="s">
        <v>314</v>
      </c>
      <c r="AZ5" s="188" t="s">
        <v>315</v>
      </c>
      <c r="BA5" s="162" t="s">
        <v>316</v>
      </c>
      <c r="BB5" s="162" t="s">
        <v>317</v>
      </c>
      <c r="BC5" s="162" t="s">
        <v>318</v>
      </c>
      <c r="BD5" s="162" t="s">
        <v>319</v>
      </c>
      <c r="BE5" s="164" t="s">
        <v>320</v>
      </c>
      <c r="BF5" s="179"/>
      <c r="BG5" s="162" t="s">
        <v>1096</v>
      </c>
      <c r="BH5" s="162" t="s">
        <v>1097</v>
      </c>
      <c r="BI5" s="162" t="s">
        <v>1098</v>
      </c>
      <c r="BJ5" s="162" t="s">
        <v>1099</v>
      </c>
      <c r="BK5" s="162" t="s">
        <v>1100</v>
      </c>
      <c r="BL5" s="162" t="s">
        <v>1101</v>
      </c>
      <c r="BM5" s="162" t="s">
        <v>1102</v>
      </c>
      <c r="BN5" s="162" t="s">
        <v>1103</v>
      </c>
      <c r="BO5" s="162" t="s">
        <v>1104</v>
      </c>
      <c r="BP5" s="162" t="s">
        <v>1105</v>
      </c>
      <c r="BQ5" s="162" t="s">
        <v>1106</v>
      </c>
    </row>
    <row r="6" spans="1:76" s="11" customFormat="1" ht="7.5" customHeight="1">
      <c r="A6" s="113"/>
      <c r="B6" s="106"/>
      <c r="C6" s="5"/>
      <c r="D6" s="5"/>
      <c r="E6" s="5"/>
      <c r="F6" s="5"/>
      <c r="G6" s="5"/>
      <c r="H6" s="5"/>
      <c r="I6" s="114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5"/>
      <c r="V6" s="5"/>
      <c r="W6" s="5"/>
      <c r="X6" s="238"/>
      <c r="Y6" s="5"/>
      <c r="AA6" s="77"/>
      <c r="AB6" s="5"/>
      <c r="AD6" s="182"/>
      <c r="AE6" s="182"/>
      <c r="AF6" s="182"/>
      <c r="AH6" s="169"/>
      <c r="AI6" s="170"/>
      <c r="AJ6" s="170"/>
      <c r="AN6" s="96"/>
      <c r="AO6" s="96"/>
      <c r="AR6" s="1"/>
      <c r="AS6" s="5"/>
      <c r="AT6" s="165"/>
      <c r="AU6" s="5"/>
      <c r="AV6" s="5"/>
      <c r="AW6" s="5"/>
      <c r="AX6" s="5"/>
      <c r="AY6" s="5"/>
      <c r="AZ6" s="5"/>
      <c r="BE6" s="300"/>
    </row>
    <row r="7" spans="1:76" s="302" customFormat="1" ht="17.25" customHeight="1">
      <c r="A7" s="140"/>
      <c r="B7" s="139"/>
      <c r="C7" s="139"/>
      <c r="D7" s="139"/>
      <c r="E7" s="139"/>
      <c r="F7" s="139" t="s">
        <v>5</v>
      </c>
      <c r="G7" s="141"/>
      <c r="H7" s="144">
        <f t="shared" ref="H7:T7" si="1">+SUBTOTAL(9,H8:H83)</f>
        <v>6559482.9799999986</v>
      </c>
      <c r="I7" s="142">
        <f t="shared" ca="1" si="1"/>
        <v>6314761.259999997</v>
      </c>
      <c r="J7" s="138">
        <f t="shared" ca="1" si="1"/>
        <v>0</v>
      </c>
      <c r="K7" s="138">
        <f t="shared" ca="1" si="1"/>
        <v>0</v>
      </c>
      <c r="L7" s="138">
        <f t="shared" ca="1" si="1"/>
        <v>0</v>
      </c>
      <c r="M7" s="138">
        <f t="shared" ca="1" si="1"/>
        <v>0</v>
      </c>
      <c r="N7" s="138">
        <f t="shared" ca="1" si="1"/>
        <v>0</v>
      </c>
      <c r="O7" s="138">
        <f t="shared" ca="1" si="1"/>
        <v>0</v>
      </c>
      <c r="P7" s="138">
        <f t="shared" ca="1" si="1"/>
        <v>0</v>
      </c>
      <c r="Q7" s="138">
        <f t="shared" ca="1" si="1"/>
        <v>0</v>
      </c>
      <c r="R7" s="138">
        <f t="shared" ca="1" si="1"/>
        <v>0</v>
      </c>
      <c r="S7" s="138">
        <f t="shared" ca="1" si="1"/>
        <v>0</v>
      </c>
      <c r="T7" s="138">
        <f t="shared" ca="1" si="1"/>
        <v>0</v>
      </c>
      <c r="U7" s="143">
        <f ca="1">SUBTOTAL(9,U8:U83)</f>
        <v>6314761.259999997</v>
      </c>
      <c r="V7" s="234">
        <f>+SUBTOTAL(9,V8:V83)</f>
        <v>0</v>
      </c>
      <c r="W7" s="234">
        <f>+SUBTOTAL(9,W8:W83)</f>
        <v>0</v>
      </c>
      <c r="X7" s="143">
        <f ca="1">+SUBTOTAL(9,X8:X83)</f>
        <v>6314761.259999997</v>
      </c>
      <c r="Y7" s="145"/>
      <c r="Z7" s="284" cm="1">
        <f t="array" aca="1" ref="Z7" ca="1">IFERROR(U7/OFFSET($H7:$U7,,MATCH($G$2,$H$5:$U$5,0)-2,,1),"-")</f>
        <v>0.96269191935611953</v>
      </c>
      <c r="AA7" s="220">
        <f ca="1">SUBTOTAL(9,AA8:AA83)</f>
        <v>-244721.7199999998</v>
      </c>
      <c r="AB7" s="220"/>
      <c r="AC7" s="301"/>
      <c r="AD7" s="263" cm="1">
        <f t="array" aca="1" ref="AD7" ca="1">IFERROR(U7/OFFSET($AT7,,MATCH($G$2,$AT$5:$BE$5,0)-1,,),"-")</f>
        <v>0.89681435221052386</v>
      </c>
      <c r="AE7" s="220">
        <f ca="1">SUBTOTAL(9,AE8:AE83)</f>
        <v>-726563.67468127306</v>
      </c>
      <c r="AF7" s="285"/>
      <c r="AG7" s="1"/>
      <c r="AH7" s="107"/>
      <c r="AI7" s="107"/>
      <c r="AJ7" s="171"/>
      <c r="AL7" s="299" t="str">
        <f>"Act "&amp;LEFT(AL5,7)</f>
        <v>Act Jan_Jan</v>
      </c>
      <c r="AM7" s="299" t="str">
        <f>$AT$4&amp;" "&amp;LEFT(AL5,7)</f>
        <v>24OB Jan_Jan</v>
      </c>
      <c r="AN7" s="349" t="s">
        <v>574</v>
      </c>
      <c r="AO7" s="355" t="s">
        <v>129</v>
      </c>
      <c r="AP7" s="356"/>
      <c r="AQ7" s="11"/>
      <c r="AR7" s="353">
        <f ca="1">+SUBTOTAL(9,AR8:AR83)</f>
        <v>84683860.465492323</v>
      </c>
      <c r="AS7" s="30"/>
      <c r="AT7" s="180">
        <f t="shared" ref="AT7:BE7" si="2">+SUBTOTAL(9,AT8:AT83)</f>
        <v>7041324.9346812749</v>
      </c>
      <c r="AU7" s="189">
        <f t="shared" si="2"/>
        <v>5877425.2684245389</v>
      </c>
      <c r="AV7" s="189">
        <f t="shared" si="2"/>
        <v>7213914.5492612617</v>
      </c>
      <c r="AW7" s="189">
        <f t="shared" si="2"/>
        <v>7420362.1299054492</v>
      </c>
      <c r="AX7" s="189">
        <f t="shared" si="2"/>
        <v>7288949.6574449884</v>
      </c>
      <c r="AY7" s="189">
        <f t="shared" si="2"/>
        <v>7857651.5220275503</v>
      </c>
      <c r="AZ7" s="189">
        <f t="shared" si="2"/>
        <v>8202511.4695962518</v>
      </c>
      <c r="BA7" s="286">
        <f t="shared" si="2"/>
        <v>8137536.769892307</v>
      </c>
      <c r="BB7" s="286">
        <f t="shared" si="2"/>
        <v>7182708.5018670456</v>
      </c>
      <c r="BC7" s="286">
        <f t="shared" si="2"/>
        <v>8438339.5932315923</v>
      </c>
      <c r="BD7" s="286">
        <f t="shared" si="2"/>
        <v>7864302.6488557281</v>
      </c>
      <c r="BE7" s="287">
        <f t="shared" si="2"/>
        <v>8473594.6803043671</v>
      </c>
      <c r="BG7" s="274">
        <f t="shared" ref="BG7:BQ7" si="3">+SUBTOTAL(9,BG8:BG83)</f>
        <v>12918750.203105813</v>
      </c>
      <c r="BH7" s="274">
        <f t="shared" si="3"/>
        <v>20132664.752367068</v>
      </c>
      <c r="BI7" s="274">
        <f t="shared" si="3"/>
        <v>27553026.882272523</v>
      </c>
      <c r="BJ7" s="274">
        <f t="shared" si="3"/>
        <v>34841976.53971751</v>
      </c>
      <c r="BK7" s="274">
        <f t="shared" si="3"/>
        <v>42699628.061745062</v>
      </c>
      <c r="BL7" s="274">
        <f t="shared" si="3"/>
        <v>50902139.531341292</v>
      </c>
      <c r="BM7" s="274">
        <f t="shared" si="3"/>
        <v>59039676.301233627</v>
      </c>
      <c r="BN7" s="274">
        <f t="shared" si="3"/>
        <v>66222384.80310066</v>
      </c>
      <c r="BO7" s="274">
        <f t="shared" si="3"/>
        <v>74660724.396332249</v>
      </c>
      <c r="BP7" s="274">
        <f t="shared" si="3"/>
        <v>82525027.04518795</v>
      </c>
      <c r="BQ7" s="280">
        <f t="shared" si="3"/>
        <v>90998621.725492343</v>
      </c>
      <c r="BS7" s="303" t="s">
        <v>321</v>
      </c>
      <c r="BT7" s="304"/>
      <c r="BU7" s="305"/>
      <c r="BW7" s="498">
        <v>2024</v>
      </c>
    </row>
    <row r="8" spans="1:76" s="11" customFormat="1" ht="20.100000000000001" customHeight="1">
      <c r="A8" s="125" t="s">
        <v>8</v>
      </c>
      <c r="B8" s="126" t="s">
        <v>8</v>
      </c>
      <c r="C8" s="126" t="s">
        <v>25</v>
      </c>
      <c r="D8" s="126" t="s">
        <v>21</v>
      </c>
      <c r="E8" s="126">
        <v>600000</v>
      </c>
      <c r="F8" s="127">
        <v>62100100</v>
      </c>
      <c r="G8" s="128" t="s">
        <v>91</v>
      </c>
      <c r="H8" s="239">
        <v>2496210.4299999997</v>
      </c>
      <c r="I8" s="134">
        <f t="shared" ref="I8:T17" ca="1" si="4">SUMIFS(INDIRECT(I$5&amp;"!N:N"),INDIRECT(I$5&amp;"!L:L"),$E8,INDIRECT(I$5&amp;"!K:K"),50)-SUMIFS(INDIRECT(I$5&amp;"!N:N"),INDIRECT(I$5&amp;"!L:L"),$E8,INDIRECT(I$5&amp;"!K:K"),40)</f>
        <v>2981091.54</v>
      </c>
      <c r="J8" s="118">
        <f t="shared" ca="1" si="4"/>
        <v>0</v>
      </c>
      <c r="K8" s="118">
        <f t="shared" ca="1" si="4"/>
        <v>0</v>
      </c>
      <c r="L8" s="118">
        <f t="shared" ca="1" si="4"/>
        <v>0</v>
      </c>
      <c r="M8" s="118">
        <f t="shared" ca="1" si="4"/>
        <v>0</v>
      </c>
      <c r="N8" s="118">
        <f t="shared" ca="1" si="4"/>
        <v>0</v>
      </c>
      <c r="O8" s="118">
        <f t="shared" ca="1" si="4"/>
        <v>0</v>
      </c>
      <c r="P8" s="118">
        <f t="shared" ca="1" si="4"/>
        <v>0</v>
      </c>
      <c r="Q8" s="118">
        <f t="shared" ca="1" si="4"/>
        <v>0</v>
      </c>
      <c r="R8" s="118">
        <f t="shared" ca="1" si="4"/>
        <v>0</v>
      </c>
      <c r="S8" s="118">
        <f t="shared" ca="1" si="4"/>
        <v>0</v>
      </c>
      <c r="T8" s="118">
        <f t="shared" ca="1" si="4"/>
        <v>0</v>
      </c>
      <c r="U8" s="121" cm="2">
        <f t="array" aca="1" ref="U8" ca="1">INDEX($I8:$T8,$U$2)</f>
        <v>2981091.54</v>
      </c>
      <c r="V8" s="235"/>
      <c r="W8" s="235"/>
      <c r="X8" s="239">
        <f ca="1">U8+V8-W8</f>
        <v>2981091.54</v>
      </c>
      <c r="Y8" s="52"/>
      <c r="Z8" s="288" cm="1">
        <f t="array" aca="1" ref="Z8" ca="1">IFERROR(U8/OFFSET($H8,,MATCH($G$2,$H$5:$U$5,0)-2,,),"-")</f>
        <v>1.1942468888730668</v>
      </c>
      <c r="AA8" s="229" cm="1">
        <f t="array" aca="1" ref="AA8" ca="1">U8-OFFSET($H8,,MATCH($G$2,$H$5:$U$5,0)-2,,)</f>
        <v>484881.11000000034</v>
      </c>
      <c r="AB8" s="229"/>
      <c r="AC8" s="18"/>
      <c r="AD8" s="222" cm="1">
        <f t="array" aca="1" ref="AD8" ca="1">IFERROR(U8/OFFSET($AT8,,MATCH($G$2,$AT$5:$BE$5,0)-1,,),"-")</f>
        <v>0.88715729186625869</v>
      </c>
      <c r="AE8" s="223" cm="1">
        <f t="array" aca="1" ref="AE8" ca="1">U8-OFFSET($AT8,,MATCH($G$2,$AT$5:$BE$5,0)-1,,)</f>
        <v>-379182.4129186077</v>
      </c>
      <c r="AF8" s="357"/>
      <c r="AG8" s="201"/>
      <c r="AH8" s="107" cm="2">
        <f t="array" aca="1" ref="AH8" ca="1">IFERROR(INDEX($I8:$T8,$U$2)/$AH$3,0)</f>
        <v>4332.6963031327768</v>
      </c>
      <c r="AI8" s="107">
        <f>H8/PrvMonthProductionRRT</f>
        <v>3241.3118250654825</v>
      </c>
      <c r="AJ8" s="171" cm="1">
        <f t="array" aca="1" ref="AJ8" ca="1">IFERROR(OFFSET($AT8,,MATCH($G$2,$AT$5:$BE$5,0)-1,,)/$AJ$3,"")</f>
        <v>4224.5078830302882</v>
      </c>
      <c r="AK8" s="306"/>
      <c r="AL8" s="307">
        <f t="shared" ref="AL8:AL38" ca="1" si="5">SUM(I8:T8)</f>
        <v>2981091.54</v>
      </c>
      <c r="AM8" s="307" t="e" cm="1">
        <f t="array" ref="AM8">INDEX($BG$8:$BQ$83,ROW()-7,MATCH($G$3,$BG$5:$BQ$5,0))</f>
        <v>#N/A</v>
      </c>
      <c r="AN8" s="308" t="e">
        <f ca="1">AL8-AM8</f>
        <v>#N/A</v>
      </c>
      <c r="AO8" s="309" t="str">
        <f ca="1">IFERROR(AL8/AM8,"")</f>
        <v/>
      </c>
      <c r="AP8" s="310"/>
      <c r="AR8" s="278">
        <f ca="1">BQ8-AL8</f>
        <v>39616123.544826992</v>
      </c>
      <c r="AS8" s="1"/>
      <c r="AT8" s="166">
        <v>3360273.9529186077</v>
      </c>
      <c r="AU8" s="108">
        <v>2470065.069990966</v>
      </c>
      <c r="AV8" s="108">
        <v>3397741.4175761519</v>
      </c>
      <c r="AW8" s="108">
        <v>3331787.5998148588</v>
      </c>
      <c r="AX8" s="108">
        <v>3249758.5333930016</v>
      </c>
      <c r="AY8" s="108">
        <v>3678343.0621841932</v>
      </c>
      <c r="AZ8" s="108">
        <v>4076030.4743201132</v>
      </c>
      <c r="BA8" s="289">
        <v>3955084.0059219897</v>
      </c>
      <c r="BB8" s="289">
        <v>3199182.3093248731</v>
      </c>
      <c r="BC8" s="289">
        <v>4172372.4445945993</v>
      </c>
      <c r="BD8" s="289">
        <v>3877777.5111077372</v>
      </c>
      <c r="BE8" s="290">
        <v>3828798.7036798997</v>
      </c>
      <c r="BF8" s="20"/>
      <c r="BG8" s="275">
        <f>SUM(AT8:AU8)</f>
        <v>5830339.0229095742</v>
      </c>
      <c r="BH8" s="275">
        <f>SUM(AT8:AV8)</f>
        <v>9228080.440485727</v>
      </c>
      <c r="BI8" s="275">
        <f>SUM(AT8:AW8)</f>
        <v>12559868.040300585</v>
      </c>
      <c r="BJ8" s="275">
        <f>SUM(AT8:AX8)</f>
        <v>15809626.573693587</v>
      </c>
      <c r="BK8" s="275">
        <f>SUM(AT8:AY8)</f>
        <v>19487969.635877781</v>
      </c>
      <c r="BL8" s="275">
        <f>SUM(AT8:AZ8)</f>
        <v>23564000.110197894</v>
      </c>
      <c r="BM8" s="275">
        <f>SUM(AT8:BA8)</f>
        <v>27519084.116119884</v>
      </c>
      <c r="BN8" s="275">
        <f>SUM(AT8:BB8)</f>
        <v>30718266.425444756</v>
      </c>
      <c r="BO8" s="275">
        <f>SUM(AT8:BC8)</f>
        <v>34890638.870039359</v>
      </c>
      <c r="BP8" s="275">
        <f>SUM(AT8:BD8)</f>
        <v>38768416.381147094</v>
      </c>
      <c r="BQ8" s="281">
        <f>SUM(AT8:BE8)</f>
        <v>42597215.084826991</v>
      </c>
      <c r="BS8" s="311">
        <v>1</v>
      </c>
      <c r="BT8" s="11" t="s">
        <v>309</v>
      </c>
      <c r="BU8" s="63">
        <v>1</v>
      </c>
      <c r="BW8" s="499" t="str">
        <f>$BT$8&amp;"_"&amp;BT8&amp;"-"&amp;RIGHT($BW$7,2)</f>
        <v>Jan_Jan-24</v>
      </c>
      <c r="BX8" s="12"/>
    </row>
    <row r="9" spans="1:76" s="11" customFormat="1" ht="20.100000000000001" customHeight="1">
      <c r="A9" s="125" t="s">
        <v>19</v>
      </c>
      <c r="B9" s="126" t="s">
        <v>20</v>
      </c>
      <c r="C9" s="126" t="s">
        <v>3</v>
      </c>
      <c r="D9" s="126" t="s">
        <v>3</v>
      </c>
      <c r="E9" s="126">
        <v>691200</v>
      </c>
      <c r="F9" s="129">
        <v>62100200</v>
      </c>
      <c r="G9" s="128" t="s">
        <v>106</v>
      </c>
      <c r="H9" s="239">
        <v>107427.44</v>
      </c>
      <c r="I9" s="119">
        <f t="shared" ca="1" si="4"/>
        <v>99114.03</v>
      </c>
      <c r="J9" s="120">
        <f t="shared" ca="1" si="4"/>
        <v>0</v>
      </c>
      <c r="K9" s="120">
        <f t="shared" ca="1" si="4"/>
        <v>0</v>
      </c>
      <c r="L9" s="120">
        <f t="shared" ca="1" si="4"/>
        <v>0</v>
      </c>
      <c r="M9" s="120">
        <f t="shared" ca="1" si="4"/>
        <v>0</v>
      </c>
      <c r="N9" s="120">
        <f t="shared" ca="1" si="4"/>
        <v>0</v>
      </c>
      <c r="O9" s="120">
        <f t="shared" ca="1" si="4"/>
        <v>0</v>
      </c>
      <c r="P9" s="120">
        <f t="shared" ca="1" si="4"/>
        <v>0</v>
      </c>
      <c r="Q9" s="120">
        <f t="shared" ca="1" si="4"/>
        <v>0</v>
      </c>
      <c r="R9" s="120">
        <f t="shared" ca="1" si="4"/>
        <v>0</v>
      </c>
      <c r="S9" s="120">
        <f t="shared" ca="1" si="4"/>
        <v>0</v>
      </c>
      <c r="T9" s="120">
        <f t="shared" ca="1" si="4"/>
        <v>0</v>
      </c>
      <c r="U9" s="121" cm="2">
        <f t="array" aca="1" ref="U9" ca="1">INDEX($I9:$T9,$U$2)</f>
        <v>99114.03</v>
      </c>
      <c r="V9" s="235"/>
      <c r="W9" s="235"/>
      <c r="X9" s="239">
        <f t="shared" ref="X9:X71" ca="1" si="6">U9+V9-W9</f>
        <v>99114.03</v>
      </c>
      <c r="Y9" s="52"/>
      <c r="Z9" s="291" cm="1">
        <f t="array" aca="1" ref="Z9" ca="1">IFERROR(U9/OFFSET($H9,,MATCH($G$2,$H$5:$U$5,0)-2,,),"-")</f>
        <v>0.92261371954874838</v>
      </c>
      <c r="AA9" s="230" cm="1">
        <f t="array" aca="1" ref="AA9" ca="1">U9-OFFSET($H9,,MATCH($G$2,$H$5:$U$5,0)-2,,)</f>
        <v>-8313.4100000000035</v>
      </c>
      <c r="AB9" s="230"/>
      <c r="AC9" s="18"/>
      <c r="AD9" s="224" cm="1">
        <f t="array" aca="1" ref="AD9" ca="1">IFERROR(U9/OFFSET($AT9,,MATCH($G$2,$AT$5:$BE$5,0)-1,,),"-")</f>
        <v>0.98063494585860256</v>
      </c>
      <c r="AE9" s="225" cm="1">
        <f t="array" aca="1" ref="AE9" ca="1">U9-OFFSET($AT9,,MATCH($G$2,$AT$5:$BE$5,0)-1,,)</f>
        <v>-1957.250825322757</v>
      </c>
      <c r="AF9" s="358"/>
      <c r="AG9" s="201"/>
      <c r="AH9" s="172" cm="2">
        <f t="array" aca="1" ref="AH9" ca="1">IFERROR(INDEX($I9:$T9,$U$2)/$AH$3,0)</f>
        <v>144.05159506426665</v>
      </c>
      <c r="AI9" s="172">
        <f>H9/PrvMonthProductionRRT</f>
        <v>139.49378122280848</v>
      </c>
      <c r="AJ9" s="173" cm="1">
        <f t="array" aca="1" ref="AJ9" ca="1">IFERROR(OFFSET($AT9,,MATCH($G$2,$AT$5:$BE$5,0)-1,,)/$AJ$3,"")</f>
        <v>127.06595610268273</v>
      </c>
      <c r="AK9" s="306"/>
      <c r="AL9" s="312">
        <f t="shared" ca="1" si="5"/>
        <v>99114.03</v>
      </c>
      <c r="AM9" s="312" t="e" cm="1">
        <f t="array" ref="AM9">INDEX($BG$8:$BQ$83,ROW()-7,MATCH($G$3,$BG$5:$BQ$5,0))</f>
        <v>#N/A</v>
      </c>
      <c r="AN9" s="313" t="e">
        <f t="shared" ref="AN9:AN72" ca="1" si="7">AL9-AM9</f>
        <v>#N/A</v>
      </c>
      <c r="AO9" s="314" t="str">
        <f t="shared" ref="AO9:AO72" ca="1" si="8">IFERROR(AL9/AM9,"")</f>
        <v/>
      </c>
      <c r="AP9" s="315"/>
      <c r="AR9" s="278">
        <f t="shared" ref="AR9:AR72" ca="1" si="9">BQ9-AL9</f>
        <v>1184276.5195072</v>
      </c>
      <c r="AS9" s="16"/>
      <c r="AT9" s="166">
        <v>101071.28082532276</v>
      </c>
      <c r="AU9" s="108">
        <v>73771.253377691071</v>
      </c>
      <c r="AV9" s="108">
        <v>101477.34408826819</v>
      </c>
      <c r="AW9" s="108">
        <v>101275.35723290914</v>
      </c>
      <c r="AX9" s="108">
        <v>99472.151336465133</v>
      </c>
      <c r="AY9" s="108">
        <v>112200.07691740735</v>
      </c>
      <c r="AZ9" s="108">
        <v>123465.1720018662</v>
      </c>
      <c r="BA9" s="289">
        <v>119381.84956579198</v>
      </c>
      <c r="BB9" s="289">
        <v>96565.408121169035</v>
      </c>
      <c r="BC9" s="289">
        <v>123727.68369473275</v>
      </c>
      <c r="BD9" s="289">
        <v>116225.48725227638</v>
      </c>
      <c r="BE9" s="290">
        <v>114757.4850933001</v>
      </c>
      <c r="BF9" s="20"/>
      <c r="BG9" s="275">
        <f t="shared" ref="BG9:BG72" si="10">SUM(AT9:AU9)</f>
        <v>174842.53420301381</v>
      </c>
      <c r="BH9" s="275">
        <f t="shared" ref="BH9:BH72" si="11">SUM(AT9:AV9)</f>
        <v>276319.87829128199</v>
      </c>
      <c r="BI9" s="275">
        <f t="shared" ref="BI9:BI72" si="12">SUM(AT9:AW9)</f>
        <v>377595.23552419111</v>
      </c>
      <c r="BJ9" s="275">
        <f t="shared" ref="BJ9:BJ72" si="13">SUM(AT9:AX9)</f>
        <v>477067.38686065626</v>
      </c>
      <c r="BK9" s="275">
        <f t="shared" ref="BK9:BK72" si="14">SUM(AT9:AY9)</f>
        <v>589267.46377806365</v>
      </c>
      <c r="BL9" s="275">
        <f t="shared" ref="BL9:BL72" si="15">SUM(AT9:AZ9)</f>
        <v>712732.63577992981</v>
      </c>
      <c r="BM9" s="275">
        <f t="shared" ref="BM9:BM72" si="16">SUM(AT9:BA9)</f>
        <v>832114.48534572183</v>
      </c>
      <c r="BN9" s="275">
        <f t="shared" ref="BN9:BN72" si="17">SUM(AT9:BB9)</f>
        <v>928679.89346689091</v>
      </c>
      <c r="BO9" s="275">
        <f t="shared" ref="BO9:BO72" si="18">SUM(AT9:BC9)</f>
        <v>1052407.5771616236</v>
      </c>
      <c r="BP9" s="275">
        <f t="shared" ref="BP9:BP72" si="19">SUM(AT9:BD9)</f>
        <v>1168633.0644139</v>
      </c>
      <c r="BQ9" s="281">
        <f t="shared" ref="BQ9:BQ72" si="20">SUM(AT9:BE9)</f>
        <v>1283390.5495072</v>
      </c>
      <c r="BS9" s="311">
        <v>2</v>
      </c>
      <c r="BT9" s="11" t="s">
        <v>310</v>
      </c>
      <c r="BU9" s="63">
        <v>2</v>
      </c>
      <c r="BW9" s="499" t="str">
        <f t="shared" ref="BW9:BW19" si="21">$BT$8&amp;"_"&amp;BT9&amp;"-"&amp;RIGHT($BW$7,2)</f>
        <v>Jan_Feb-24</v>
      </c>
    </row>
    <row r="10" spans="1:76" s="11" customFormat="1" ht="12.75">
      <c r="A10" s="125" t="s">
        <v>0</v>
      </c>
      <c r="B10" s="126" t="s">
        <v>0</v>
      </c>
      <c r="C10" s="126" t="s">
        <v>46</v>
      </c>
      <c r="D10" s="126" t="s">
        <v>22</v>
      </c>
      <c r="E10" s="126">
        <v>621001</v>
      </c>
      <c r="F10" s="127">
        <v>62200101</v>
      </c>
      <c r="G10" s="128" t="s">
        <v>493</v>
      </c>
      <c r="H10" s="239">
        <v>417488.12</v>
      </c>
      <c r="I10" s="119">
        <f t="shared" ca="1" si="4"/>
        <v>383727.88</v>
      </c>
      <c r="J10" s="120">
        <f t="shared" ca="1" si="4"/>
        <v>0</v>
      </c>
      <c r="K10" s="120">
        <f t="shared" ca="1" si="4"/>
        <v>0</v>
      </c>
      <c r="L10" s="120">
        <f t="shared" ca="1" si="4"/>
        <v>0</v>
      </c>
      <c r="M10" s="120">
        <f t="shared" ca="1" si="4"/>
        <v>0</v>
      </c>
      <c r="N10" s="120">
        <f t="shared" ca="1" si="4"/>
        <v>0</v>
      </c>
      <c r="O10" s="120">
        <f t="shared" ca="1" si="4"/>
        <v>0</v>
      </c>
      <c r="P10" s="120">
        <f t="shared" ca="1" si="4"/>
        <v>0</v>
      </c>
      <c r="Q10" s="120">
        <f t="shared" ca="1" si="4"/>
        <v>0</v>
      </c>
      <c r="R10" s="120">
        <f t="shared" ca="1" si="4"/>
        <v>0</v>
      </c>
      <c r="S10" s="120">
        <f t="shared" ca="1" si="4"/>
        <v>0</v>
      </c>
      <c r="T10" s="120">
        <f t="shared" ca="1" si="4"/>
        <v>0</v>
      </c>
      <c r="U10" s="121" cm="2">
        <f t="array" aca="1" ref="U10" ca="1">INDEX($I10:$T10,$U$2)</f>
        <v>383727.88</v>
      </c>
      <c r="V10" s="235"/>
      <c r="W10" s="235"/>
      <c r="X10" s="239">
        <f t="shared" ca="1" si="6"/>
        <v>383727.88</v>
      </c>
      <c r="Y10" s="52"/>
      <c r="Z10" s="291" cm="1">
        <f t="array" aca="1" ref="Z10" ca="1">IFERROR(U10/OFFSET($H10,,MATCH($G$2,$H$5:$U$5,0)-2,,),"-")</f>
        <v>0.91913484867545459</v>
      </c>
      <c r="AA10" s="230" cm="1">
        <f t="array" aca="1" ref="AA10" ca="1">U10-OFFSET($H10,,MATCH($G$2,$H$5:$U$5,0)-2,,)</f>
        <v>-33760.239999999991</v>
      </c>
      <c r="AB10" s="243"/>
      <c r="AC10" s="18"/>
      <c r="AD10" s="224" cm="1">
        <f t="array" aca="1" ref="AD10" ca="1">IFERROR(U10/OFFSET($AT10,,MATCH($G$2,$AT$5:$BE$5,0)-1,,),"-")</f>
        <v>1.0027828538761658</v>
      </c>
      <c r="AE10" s="225" cm="1">
        <f t="array" aca="1" ref="AE10" ca="1">U10-OFFSET($AT10,,MATCH($G$2,$AT$5:$BE$5,0)-1,,)</f>
        <v>1064.8951705976506</v>
      </c>
      <c r="AF10" s="358"/>
      <c r="AG10" s="201"/>
      <c r="AH10" s="172"/>
      <c r="AI10" s="172"/>
      <c r="AJ10" s="173"/>
      <c r="AK10" s="316"/>
      <c r="AL10" s="312">
        <f t="shared" ca="1" si="5"/>
        <v>383727.88</v>
      </c>
      <c r="AM10" s="312" t="e" cm="1">
        <f t="array" ref="AM10">INDEX($BG$8:$BQ$83,ROW()-7,MATCH($G$3,$BG$5:$BQ$5,0))</f>
        <v>#N/A</v>
      </c>
      <c r="AN10" s="313" t="e">
        <f t="shared" ca="1" si="7"/>
        <v>#N/A</v>
      </c>
      <c r="AO10" s="314" t="str">
        <f t="shared" ca="1" si="8"/>
        <v/>
      </c>
      <c r="AP10" s="315"/>
      <c r="AR10" s="278">
        <f t="shared" ca="1" si="9"/>
        <v>4378479.9307416566</v>
      </c>
      <c r="AS10" s="16"/>
      <c r="AT10" s="166">
        <v>382662.98482940235</v>
      </c>
      <c r="AU10" s="108">
        <v>387894.51754623483</v>
      </c>
      <c r="AV10" s="108">
        <v>379786.30339439766</v>
      </c>
      <c r="AW10" s="108">
        <v>384176.0364439562</v>
      </c>
      <c r="AX10" s="108">
        <v>382458.0166642447</v>
      </c>
      <c r="AY10" s="108">
        <v>385713.95401224104</v>
      </c>
      <c r="AZ10" s="108">
        <v>397256.7909569515</v>
      </c>
      <c r="BA10" s="108">
        <v>414896.07951536059</v>
      </c>
      <c r="BB10" s="108">
        <v>411432.73367002653</v>
      </c>
      <c r="BC10" s="292">
        <v>415827.53610845894</v>
      </c>
      <c r="BD10" s="292">
        <v>412023.87118874426</v>
      </c>
      <c r="BE10" s="293">
        <v>408078.98641163792</v>
      </c>
      <c r="BF10" s="317"/>
      <c r="BG10" s="276">
        <f t="shared" si="10"/>
        <v>770557.50237563718</v>
      </c>
      <c r="BH10" s="276">
        <f t="shared" si="11"/>
        <v>1150343.8057700349</v>
      </c>
      <c r="BI10" s="276">
        <f t="shared" si="12"/>
        <v>1534519.8422139911</v>
      </c>
      <c r="BJ10" s="276">
        <f t="shared" si="13"/>
        <v>1916977.8588782358</v>
      </c>
      <c r="BK10" s="276">
        <f t="shared" si="14"/>
        <v>2302691.812890477</v>
      </c>
      <c r="BL10" s="276">
        <f t="shared" si="15"/>
        <v>2699948.6038474287</v>
      </c>
      <c r="BM10" s="276">
        <f t="shared" si="16"/>
        <v>3114844.6833627895</v>
      </c>
      <c r="BN10" s="276">
        <f t="shared" si="17"/>
        <v>3526277.417032816</v>
      </c>
      <c r="BO10" s="276">
        <f t="shared" si="18"/>
        <v>3942104.9531412749</v>
      </c>
      <c r="BP10" s="276">
        <f t="shared" si="19"/>
        <v>4354128.8243300188</v>
      </c>
      <c r="BQ10" s="278">
        <f t="shared" si="20"/>
        <v>4762207.8107416565</v>
      </c>
      <c r="BR10" s="12"/>
      <c r="BS10" s="311">
        <v>3</v>
      </c>
      <c r="BT10" s="11" t="s">
        <v>311</v>
      </c>
      <c r="BU10" s="63">
        <v>3</v>
      </c>
      <c r="BW10" s="499" t="str">
        <f t="shared" si="21"/>
        <v>Jan_Mar-24</v>
      </c>
    </row>
    <row r="11" spans="1:76" s="11" customFormat="1" ht="20.100000000000001" customHeight="1">
      <c r="A11" s="125" t="s">
        <v>0</v>
      </c>
      <c r="B11" s="126" t="s">
        <v>0</v>
      </c>
      <c r="C11" s="126" t="s">
        <v>46</v>
      </c>
      <c r="D11" s="126" t="s">
        <v>22</v>
      </c>
      <c r="E11" s="126">
        <v>621003</v>
      </c>
      <c r="F11" s="127">
        <v>62200103</v>
      </c>
      <c r="G11" s="128" t="s">
        <v>494</v>
      </c>
      <c r="H11" s="239">
        <v>0</v>
      </c>
      <c r="I11" s="119">
        <f t="shared" ca="1" si="4"/>
        <v>0</v>
      </c>
      <c r="J11" s="120">
        <f t="shared" ca="1" si="4"/>
        <v>0</v>
      </c>
      <c r="K11" s="120">
        <f t="shared" ca="1" si="4"/>
        <v>0</v>
      </c>
      <c r="L11" s="120">
        <f t="shared" ca="1" si="4"/>
        <v>0</v>
      </c>
      <c r="M11" s="120">
        <f t="shared" ca="1" si="4"/>
        <v>0</v>
      </c>
      <c r="N11" s="120">
        <f t="shared" ca="1" si="4"/>
        <v>0</v>
      </c>
      <c r="O11" s="120">
        <f t="shared" ca="1" si="4"/>
        <v>0</v>
      </c>
      <c r="P11" s="120">
        <f t="shared" ca="1" si="4"/>
        <v>0</v>
      </c>
      <c r="Q11" s="120">
        <f t="shared" ca="1" si="4"/>
        <v>0</v>
      </c>
      <c r="R11" s="120">
        <f t="shared" ca="1" si="4"/>
        <v>0</v>
      </c>
      <c r="S11" s="120">
        <f t="shared" ca="1" si="4"/>
        <v>0</v>
      </c>
      <c r="T11" s="120">
        <f t="shared" ca="1" si="4"/>
        <v>0</v>
      </c>
      <c r="U11" s="121" cm="2">
        <f t="array" aca="1" ref="U11" ca="1">INDEX($I11:$T11,$U$2)</f>
        <v>0</v>
      </c>
      <c r="V11" s="235"/>
      <c r="W11" s="235"/>
      <c r="X11" s="239">
        <f t="shared" ca="1" si="6"/>
        <v>0</v>
      </c>
      <c r="Y11" s="52"/>
      <c r="Z11" s="291" t="str" cm="1">
        <f t="array" aca="1" ref="Z11" ca="1">IFERROR(U11/OFFSET($H11,,MATCH($G$2,$H$5:$U$5,0)-2,,),"-")</f>
        <v>-</v>
      </c>
      <c r="AA11" s="230" cm="1">
        <f t="array" aca="1" ref="AA11" ca="1">U11-OFFSET($H11,,MATCH($G$2,$H$5:$U$5,0)-2,,)</f>
        <v>0</v>
      </c>
      <c r="AB11" s="230"/>
      <c r="AC11" s="18"/>
      <c r="AD11" s="224" t="str" cm="1">
        <f t="array" aca="1" ref="AD11" ca="1">IFERROR(U11/OFFSET($AT11,,MATCH($G$2,$AT$5:$BE$5,0)-1,,),"-")</f>
        <v>-</v>
      </c>
      <c r="AE11" s="225" cm="1">
        <f t="array" aca="1" ref="AE11" ca="1">U11-OFFSET($AT11,,MATCH($G$2,$AT$5:$BE$5,0)-1,,)</f>
        <v>0</v>
      </c>
      <c r="AF11" s="359"/>
      <c r="AG11" s="1"/>
      <c r="AH11" s="172"/>
      <c r="AI11" s="172"/>
      <c r="AJ11" s="173"/>
      <c r="AL11" s="312">
        <f t="shared" ca="1" si="5"/>
        <v>0</v>
      </c>
      <c r="AM11" s="312" t="e" cm="1">
        <f t="array" ref="AM11">INDEX($BG$8:$BQ$83,ROW()-7,MATCH($G$3,$BG$5:$BQ$5,0))</f>
        <v>#N/A</v>
      </c>
      <c r="AN11" s="313" t="e">
        <f t="shared" ca="1" si="7"/>
        <v>#N/A</v>
      </c>
      <c r="AO11" s="314" t="str">
        <f t="shared" ca="1" si="8"/>
        <v/>
      </c>
      <c r="AP11" s="315"/>
      <c r="AR11" s="278">
        <f t="shared" ca="1" si="9"/>
        <v>0</v>
      </c>
      <c r="AS11" s="16"/>
      <c r="AT11" s="166">
        <v>0</v>
      </c>
      <c r="AU11" s="108">
        <v>0</v>
      </c>
      <c r="AV11" s="108">
        <v>0</v>
      </c>
      <c r="AW11" s="108">
        <v>0</v>
      </c>
      <c r="AX11" s="108">
        <v>0</v>
      </c>
      <c r="AY11" s="108">
        <v>0</v>
      </c>
      <c r="AZ11" s="108">
        <v>0</v>
      </c>
      <c r="BA11" s="289">
        <v>0</v>
      </c>
      <c r="BB11" s="289">
        <v>0</v>
      </c>
      <c r="BC11" s="289">
        <v>0</v>
      </c>
      <c r="BD11" s="289">
        <v>0</v>
      </c>
      <c r="BE11" s="290">
        <v>0</v>
      </c>
      <c r="BF11" s="20"/>
      <c r="BG11" s="275">
        <f t="shared" si="10"/>
        <v>0</v>
      </c>
      <c r="BH11" s="275">
        <f t="shared" si="11"/>
        <v>0</v>
      </c>
      <c r="BI11" s="275">
        <f t="shared" si="12"/>
        <v>0</v>
      </c>
      <c r="BJ11" s="275">
        <f t="shared" si="13"/>
        <v>0</v>
      </c>
      <c r="BK11" s="275">
        <f t="shared" si="14"/>
        <v>0</v>
      </c>
      <c r="BL11" s="275">
        <f t="shared" si="15"/>
        <v>0</v>
      </c>
      <c r="BM11" s="275">
        <f t="shared" si="16"/>
        <v>0</v>
      </c>
      <c r="BN11" s="275">
        <f t="shared" si="17"/>
        <v>0</v>
      </c>
      <c r="BO11" s="275">
        <f t="shared" si="18"/>
        <v>0</v>
      </c>
      <c r="BP11" s="275">
        <f t="shared" si="19"/>
        <v>0</v>
      </c>
      <c r="BQ11" s="281">
        <f t="shared" si="20"/>
        <v>0</v>
      </c>
      <c r="BS11" s="311">
        <v>4</v>
      </c>
      <c r="BT11" s="11" t="s">
        <v>312</v>
      </c>
      <c r="BU11" s="63">
        <v>4</v>
      </c>
      <c r="BW11" s="499" t="str">
        <f t="shared" si="21"/>
        <v>Jan_Apr-24</v>
      </c>
    </row>
    <row r="12" spans="1:76" s="11" customFormat="1" ht="20.100000000000001" customHeight="1">
      <c r="A12" s="125" t="s">
        <v>0</v>
      </c>
      <c r="B12" s="126" t="s">
        <v>0</v>
      </c>
      <c r="C12" s="126" t="s">
        <v>46</v>
      </c>
      <c r="D12" s="126" t="s">
        <v>22</v>
      </c>
      <c r="E12" s="126">
        <v>622001</v>
      </c>
      <c r="F12" s="127">
        <v>62200401</v>
      </c>
      <c r="G12" s="128" t="s">
        <v>495</v>
      </c>
      <c r="H12" s="239">
        <v>32368.93</v>
      </c>
      <c r="I12" s="119">
        <f t="shared" ca="1" si="4"/>
        <v>96390.890000000014</v>
      </c>
      <c r="J12" s="120">
        <f t="shared" ca="1" si="4"/>
        <v>0</v>
      </c>
      <c r="K12" s="120">
        <f t="shared" ca="1" si="4"/>
        <v>0</v>
      </c>
      <c r="L12" s="120">
        <f t="shared" ca="1" si="4"/>
        <v>0</v>
      </c>
      <c r="M12" s="120">
        <f t="shared" ca="1" si="4"/>
        <v>0</v>
      </c>
      <c r="N12" s="120">
        <f t="shared" ca="1" si="4"/>
        <v>0</v>
      </c>
      <c r="O12" s="120">
        <f t="shared" ca="1" si="4"/>
        <v>0</v>
      </c>
      <c r="P12" s="120">
        <f t="shared" ca="1" si="4"/>
        <v>0</v>
      </c>
      <c r="Q12" s="120">
        <f t="shared" ca="1" si="4"/>
        <v>0</v>
      </c>
      <c r="R12" s="120">
        <f t="shared" ca="1" si="4"/>
        <v>0</v>
      </c>
      <c r="S12" s="120">
        <f t="shared" ca="1" si="4"/>
        <v>0</v>
      </c>
      <c r="T12" s="120">
        <f t="shared" ca="1" si="4"/>
        <v>0</v>
      </c>
      <c r="U12" s="121" cm="2">
        <f t="array" aca="1" ref="U12" ca="1">INDEX($I12:$T12,$U$2)</f>
        <v>96390.890000000014</v>
      </c>
      <c r="V12" s="235"/>
      <c r="W12" s="235"/>
      <c r="X12" s="239">
        <f t="shared" ca="1" si="6"/>
        <v>96390.890000000014</v>
      </c>
      <c r="Y12" s="52"/>
      <c r="Z12" s="291" cm="1">
        <f t="array" aca="1" ref="Z12" ca="1">IFERROR(U12/OFFSET($H12,,MATCH($G$2,$H$5:$U$5,0)-2,,),"-")</f>
        <v>2.9778831119842395</v>
      </c>
      <c r="AA12" s="230" cm="1">
        <f t="array" aca="1" ref="AA12" ca="1">U12-OFFSET($H12,,MATCH($G$2,$H$5:$U$5,0)-2,,)</f>
        <v>64021.960000000014</v>
      </c>
      <c r="AB12" s="230"/>
      <c r="AC12" s="18"/>
      <c r="AD12" s="224" cm="1">
        <f t="array" aca="1" ref="AD12" ca="1">IFERROR(U12/OFFSET($AT12,,MATCH($G$2,$AT$5:$BE$5,0)-1,,),"-")</f>
        <v>0.85858737495425308</v>
      </c>
      <c r="AE12" s="225" cm="1">
        <f t="array" aca="1" ref="AE12" ca="1">U12-OFFSET($AT12,,MATCH($G$2,$AT$5:$BE$5,0)-1,,)</f>
        <v>-15875.948311168817</v>
      </c>
      <c r="AF12" s="359"/>
      <c r="AG12" s="1"/>
      <c r="AH12" s="172"/>
      <c r="AI12" s="172"/>
      <c r="AJ12" s="173"/>
      <c r="AL12" s="312">
        <f t="shared" ca="1" si="5"/>
        <v>96390.890000000014</v>
      </c>
      <c r="AM12" s="312" t="e" cm="1">
        <f t="array" ref="AM12">INDEX($BG$8:$BQ$83,ROW()-7,MATCH($G$3,$BG$5:$BQ$5,0))</f>
        <v>#N/A</v>
      </c>
      <c r="AN12" s="313" t="e">
        <f t="shared" ca="1" si="7"/>
        <v>#N/A</v>
      </c>
      <c r="AO12" s="314" t="str">
        <f t="shared" ca="1" si="8"/>
        <v/>
      </c>
      <c r="AP12" s="315"/>
      <c r="AR12" s="278">
        <f t="shared" ca="1" si="9"/>
        <v>1272346.5069132056</v>
      </c>
      <c r="AS12" s="16"/>
      <c r="AT12" s="166">
        <v>112266.83831116883</v>
      </c>
      <c r="AU12" s="108">
        <v>110673.65451888574</v>
      </c>
      <c r="AV12" s="108">
        <v>107208.53736627882</v>
      </c>
      <c r="AW12" s="108">
        <v>126366.5469600254</v>
      </c>
      <c r="AX12" s="108">
        <v>103432.26850762841</v>
      </c>
      <c r="AY12" s="108">
        <v>106005.68034236276</v>
      </c>
      <c r="AZ12" s="108">
        <v>119188.01534743744</v>
      </c>
      <c r="BA12" s="292">
        <v>101699.70993132495</v>
      </c>
      <c r="BB12" s="292">
        <v>102854.74898219391</v>
      </c>
      <c r="BC12" s="292">
        <v>123484.06898386127</v>
      </c>
      <c r="BD12" s="292">
        <v>124942.46668171734</v>
      </c>
      <c r="BE12" s="293">
        <v>130614.86098032071</v>
      </c>
      <c r="BF12" s="317"/>
      <c r="BG12" s="276">
        <f t="shared" si="10"/>
        <v>222940.49283005457</v>
      </c>
      <c r="BH12" s="276">
        <f t="shared" si="11"/>
        <v>330149.03019633342</v>
      </c>
      <c r="BI12" s="276">
        <f t="shared" si="12"/>
        <v>456515.57715635881</v>
      </c>
      <c r="BJ12" s="276">
        <f t="shared" si="13"/>
        <v>559947.84566398722</v>
      </c>
      <c r="BK12" s="276">
        <f t="shared" si="14"/>
        <v>665953.52600634994</v>
      </c>
      <c r="BL12" s="276">
        <f t="shared" si="15"/>
        <v>785141.54135378741</v>
      </c>
      <c r="BM12" s="276">
        <f t="shared" si="16"/>
        <v>886841.25128511235</v>
      </c>
      <c r="BN12" s="276">
        <f t="shared" si="17"/>
        <v>989696.00026730623</v>
      </c>
      <c r="BO12" s="276">
        <f t="shared" si="18"/>
        <v>1113180.0692511676</v>
      </c>
      <c r="BP12" s="276">
        <f t="shared" si="19"/>
        <v>1238122.535932885</v>
      </c>
      <c r="BQ12" s="278">
        <f t="shared" si="20"/>
        <v>1368737.3969132057</v>
      </c>
      <c r="BS12" s="311">
        <v>5</v>
      </c>
      <c r="BT12" s="11" t="s">
        <v>313</v>
      </c>
      <c r="BU12" s="63">
        <v>5</v>
      </c>
      <c r="BW12" s="499" t="str">
        <f t="shared" si="21"/>
        <v>Jan_May-24</v>
      </c>
    </row>
    <row r="13" spans="1:76" s="11" customFormat="1" ht="20.100000000000001" customHeight="1">
      <c r="A13" s="125" t="s">
        <v>0</v>
      </c>
      <c r="B13" s="126" t="s">
        <v>0</v>
      </c>
      <c r="C13" s="126" t="s">
        <v>46</v>
      </c>
      <c r="D13" s="126" t="s">
        <v>22</v>
      </c>
      <c r="E13" s="126">
        <v>624010</v>
      </c>
      <c r="F13" s="127">
        <v>62202000</v>
      </c>
      <c r="G13" s="128" t="s">
        <v>496</v>
      </c>
      <c r="H13" s="239">
        <v>5787.46</v>
      </c>
      <c r="I13" s="119">
        <f t="shared" ca="1" si="4"/>
        <v>5738.88</v>
      </c>
      <c r="J13" s="120">
        <f t="shared" ca="1" si="4"/>
        <v>0</v>
      </c>
      <c r="K13" s="120">
        <f t="shared" ca="1" si="4"/>
        <v>0</v>
      </c>
      <c r="L13" s="120">
        <f t="shared" ca="1" si="4"/>
        <v>0</v>
      </c>
      <c r="M13" s="120">
        <f t="shared" ca="1" si="4"/>
        <v>0</v>
      </c>
      <c r="N13" s="120">
        <f t="shared" ca="1" si="4"/>
        <v>0</v>
      </c>
      <c r="O13" s="120">
        <f t="shared" ca="1" si="4"/>
        <v>0</v>
      </c>
      <c r="P13" s="120">
        <f t="shared" ca="1" si="4"/>
        <v>0</v>
      </c>
      <c r="Q13" s="120">
        <f t="shared" ca="1" si="4"/>
        <v>0</v>
      </c>
      <c r="R13" s="120">
        <f t="shared" ca="1" si="4"/>
        <v>0</v>
      </c>
      <c r="S13" s="120">
        <f t="shared" ca="1" si="4"/>
        <v>0</v>
      </c>
      <c r="T13" s="120">
        <f t="shared" ca="1" si="4"/>
        <v>0</v>
      </c>
      <c r="U13" s="121" cm="2">
        <f t="array" aca="1" ref="U13" ca="1">INDEX($I13:$T13,$U$2)</f>
        <v>5738.88</v>
      </c>
      <c r="V13" s="235"/>
      <c r="W13" s="235"/>
      <c r="X13" s="239">
        <f t="shared" ca="1" si="6"/>
        <v>5738.88</v>
      </c>
      <c r="Y13" s="52"/>
      <c r="Z13" s="291" cm="1">
        <f t="array" aca="1" ref="Z13" ca="1">IFERROR(U13/OFFSET($H13,,MATCH($G$2,$H$5:$U$5,0)-2,,),"-")</f>
        <v>0.9916059895014393</v>
      </c>
      <c r="AA13" s="230" cm="1">
        <f t="array" aca="1" ref="AA13" ca="1">U13-OFFSET($H13,,MATCH($G$2,$H$5:$U$5,0)-2,,)</f>
        <v>-48.579999999999927</v>
      </c>
      <c r="AB13" s="230"/>
      <c r="AC13" s="10"/>
      <c r="AD13" s="224" cm="1">
        <f t="array" aca="1" ref="AD13" ca="1">IFERROR(U13/OFFSET($AT13,,MATCH($G$2,$AT$5:$BE$5,0)-1,,),"-")</f>
        <v>1.0441346763091288</v>
      </c>
      <c r="AE13" s="225" cm="1">
        <f t="array" aca="1" ref="AE13" ca="1">U13-OFFSET($AT13,,MATCH($G$2,$AT$5:$BE$5,0)-1,,)</f>
        <v>242.57753039316322</v>
      </c>
      <c r="AF13" s="359"/>
      <c r="AG13" s="1"/>
      <c r="AH13" s="172"/>
      <c r="AI13" s="172"/>
      <c r="AJ13" s="173"/>
      <c r="AL13" s="312">
        <f t="shared" ca="1" si="5"/>
        <v>5738.88</v>
      </c>
      <c r="AM13" s="312" t="e" cm="1">
        <f t="array" ref="AM13">INDEX($BG$8:$BQ$83,ROW()-7,MATCH($G$3,$BG$5:$BQ$5,0))</f>
        <v>#N/A</v>
      </c>
      <c r="AN13" s="313" t="e">
        <f t="shared" ca="1" si="7"/>
        <v>#N/A</v>
      </c>
      <c r="AO13" s="314" t="str">
        <f t="shared" ca="1" si="8"/>
        <v/>
      </c>
      <c r="AP13" s="315"/>
      <c r="AR13" s="278">
        <f t="shared" ca="1" si="9"/>
        <v>58608.223967766688</v>
      </c>
      <c r="AS13" s="16"/>
      <c r="AT13" s="166">
        <v>5496.3024696068369</v>
      </c>
      <c r="AU13" s="108">
        <v>5597.563651369479</v>
      </c>
      <c r="AV13" s="108">
        <v>5433.2975511810409</v>
      </c>
      <c r="AW13" s="108">
        <v>5407.5714451285839</v>
      </c>
      <c r="AX13" s="108">
        <v>5309.0117850155193</v>
      </c>
      <c r="AY13" s="108">
        <v>5210.4521249024556</v>
      </c>
      <c r="AZ13" s="108">
        <v>5133.7946114811839</v>
      </c>
      <c r="BA13" s="289">
        <v>5226.8787349212998</v>
      </c>
      <c r="BB13" s="289">
        <v>5281.6341016507795</v>
      </c>
      <c r="BC13" s="289">
        <v>5371.4604599556751</v>
      </c>
      <c r="BD13" s="289">
        <v>5425.9469050126681</v>
      </c>
      <c r="BE13" s="290">
        <v>5453.1901275411628</v>
      </c>
      <c r="BF13" s="20"/>
      <c r="BG13" s="275">
        <f t="shared" si="10"/>
        <v>11093.866120976316</v>
      </c>
      <c r="BH13" s="275">
        <f t="shared" si="11"/>
        <v>16527.163672157356</v>
      </c>
      <c r="BI13" s="275">
        <f t="shared" si="12"/>
        <v>21934.735117285942</v>
      </c>
      <c r="BJ13" s="275">
        <f t="shared" si="13"/>
        <v>27243.74690230146</v>
      </c>
      <c r="BK13" s="275">
        <f t="shared" si="14"/>
        <v>32454.199027203915</v>
      </c>
      <c r="BL13" s="275">
        <f t="shared" si="15"/>
        <v>37587.993638685097</v>
      </c>
      <c r="BM13" s="275">
        <f t="shared" si="16"/>
        <v>42814.872373606398</v>
      </c>
      <c r="BN13" s="275">
        <f t="shared" si="17"/>
        <v>48096.506475257178</v>
      </c>
      <c r="BO13" s="275">
        <f t="shared" si="18"/>
        <v>53467.966935212855</v>
      </c>
      <c r="BP13" s="275">
        <f t="shared" si="19"/>
        <v>58893.913840225519</v>
      </c>
      <c r="BQ13" s="281">
        <f t="shared" si="20"/>
        <v>64347.103967766685</v>
      </c>
      <c r="BS13" s="311">
        <v>6</v>
      </c>
      <c r="BT13" s="11" t="s">
        <v>314</v>
      </c>
      <c r="BU13" s="63">
        <v>6</v>
      </c>
      <c r="BW13" s="499" t="str">
        <f t="shared" si="21"/>
        <v>Jan_Jun-24</v>
      </c>
    </row>
    <row r="14" spans="1:76" s="11" customFormat="1" ht="20.100000000000001" customHeight="1">
      <c r="A14" s="125" t="s">
        <v>0</v>
      </c>
      <c r="B14" s="126" t="s">
        <v>0</v>
      </c>
      <c r="C14" s="126" t="s">
        <v>46</v>
      </c>
      <c r="D14" s="126" t="s">
        <v>22</v>
      </c>
      <c r="E14" s="126">
        <v>624011</v>
      </c>
      <c r="F14" s="127">
        <v>62203100</v>
      </c>
      <c r="G14" s="128" t="s">
        <v>497</v>
      </c>
      <c r="H14" s="239">
        <v>40512.129999999997</v>
      </c>
      <c r="I14" s="119">
        <f t="shared" ca="1" si="4"/>
        <v>40172.18</v>
      </c>
      <c r="J14" s="120">
        <f t="shared" ca="1" si="4"/>
        <v>0</v>
      </c>
      <c r="K14" s="120">
        <f t="shared" ca="1" si="4"/>
        <v>0</v>
      </c>
      <c r="L14" s="120">
        <f t="shared" ca="1" si="4"/>
        <v>0</v>
      </c>
      <c r="M14" s="120">
        <f t="shared" ca="1" si="4"/>
        <v>0</v>
      </c>
      <c r="N14" s="120">
        <f t="shared" ca="1" si="4"/>
        <v>0</v>
      </c>
      <c r="O14" s="120">
        <f t="shared" ca="1" si="4"/>
        <v>0</v>
      </c>
      <c r="P14" s="120">
        <f t="shared" ca="1" si="4"/>
        <v>0</v>
      </c>
      <c r="Q14" s="120">
        <f t="shared" ca="1" si="4"/>
        <v>0</v>
      </c>
      <c r="R14" s="120">
        <f t="shared" ca="1" si="4"/>
        <v>0</v>
      </c>
      <c r="S14" s="120">
        <f t="shared" ca="1" si="4"/>
        <v>0</v>
      </c>
      <c r="T14" s="120">
        <f t="shared" ca="1" si="4"/>
        <v>0</v>
      </c>
      <c r="U14" s="121" cm="2">
        <f t="array" aca="1" ref="U14" ca="1">INDEX($I14:$T14,$U$2)</f>
        <v>40172.18</v>
      </c>
      <c r="V14" s="235"/>
      <c r="W14" s="235"/>
      <c r="X14" s="239">
        <f t="shared" ca="1" si="6"/>
        <v>40172.18</v>
      </c>
      <c r="Y14" s="52"/>
      <c r="Z14" s="291" cm="1">
        <f t="array" aca="1" ref="Z14" ca="1">IFERROR(U14/OFFSET($H14,,MATCH($G$2,$H$5:$U$5,0)-2,,),"-")</f>
        <v>0.99160868608982056</v>
      </c>
      <c r="AA14" s="230" cm="1">
        <f t="array" aca="1" ref="AA14" ca="1">U14-OFFSET($H14,,MATCH($G$2,$H$5:$U$5,0)-2,,)</f>
        <v>-339.94999999999709</v>
      </c>
      <c r="AB14" s="230"/>
      <c r="AC14" s="10"/>
      <c r="AD14" s="224" cm="1">
        <f t="array" aca="1" ref="AD14" ca="1">IFERROR(U14/OFFSET($AT14,,MATCH($G$2,$AT$5:$BE$5,0)-1,,),"-")</f>
        <v>1.0441351961391188</v>
      </c>
      <c r="AE14" s="226" cm="1">
        <f t="array" aca="1" ref="AE14" ca="1">U14-OFFSET($AT14,,MATCH($G$2,$AT$5:$BE$5,0)-1,,)</f>
        <v>1698.0627127521439</v>
      </c>
      <c r="AF14" s="359"/>
      <c r="AG14" s="1"/>
      <c r="AH14" s="172"/>
      <c r="AI14" s="172"/>
      <c r="AJ14" s="173"/>
      <c r="AL14" s="312">
        <f t="shared" ca="1" si="5"/>
        <v>40172.18</v>
      </c>
      <c r="AM14" s="312" t="e" cm="1">
        <f t="array" ref="AM14">INDEX($BG$8:$BQ$83,ROW()-7,MATCH($G$3,$BG$5:$BQ$5,0))</f>
        <v>#N/A</v>
      </c>
      <c r="AN14" s="313" t="e">
        <f t="shared" ca="1" si="7"/>
        <v>#N/A</v>
      </c>
      <c r="AO14" s="314" t="str">
        <f t="shared" ca="1" si="8"/>
        <v/>
      </c>
      <c r="AP14" s="315"/>
      <c r="AR14" s="278">
        <f t="shared" ca="1" si="9"/>
        <v>410257.5477743668</v>
      </c>
      <c r="AS14" s="16"/>
      <c r="AT14" s="166">
        <v>38474.117287247856</v>
      </c>
      <c r="AU14" s="108">
        <v>39182.945559586362</v>
      </c>
      <c r="AV14" s="108">
        <v>38033.082858267291</v>
      </c>
      <c r="AW14" s="108">
        <v>37853.000115900097</v>
      </c>
      <c r="AX14" s="108">
        <v>37163.082495108647</v>
      </c>
      <c r="AY14" s="108">
        <v>36473.164874317197</v>
      </c>
      <c r="AZ14" s="108">
        <v>35936.5622803683</v>
      </c>
      <c r="BA14" s="289">
        <v>36588.151144449097</v>
      </c>
      <c r="BB14" s="289">
        <v>36971.438711555464</v>
      </c>
      <c r="BC14" s="289">
        <v>37600.223219689738</v>
      </c>
      <c r="BD14" s="289">
        <v>37981.628335088673</v>
      </c>
      <c r="BE14" s="290">
        <v>38172.330892788137</v>
      </c>
      <c r="BF14" s="20"/>
      <c r="BG14" s="275">
        <f t="shared" si="10"/>
        <v>77657.062846834218</v>
      </c>
      <c r="BH14" s="275">
        <f t="shared" si="11"/>
        <v>115690.14570510152</v>
      </c>
      <c r="BI14" s="275">
        <f t="shared" si="12"/>
        <v>153543.14582100161</v>
      </c>
      <c r="BJ14" s="275">
        <f t="shared" si="13"/>
        <v>190706.22831611027</v>
      </c>
      <c r="BK14" s="275">
        <f t="shared" si="14"/>
        <v>227179.39319042745</v>
      </c>
      <c r="BL14" s="275">
        <f t="shared" si="15"/>
        <v>263115.95547079574</v>
      </c>
      <c r="BM14" s="275">
        <f t="shared" si="16"/>
        <v>299704.10661524482</v>
      </c>
      <c r="BN14" s="275">
        <f t="shared" si="17"/>
        <v>336675.54532680026</v>
      </c>
      <c r="BO14" s="275">
        <f t="shared" si="18"/>
        <v>374275.76854649</v>
      </c>
      <c r="BP14" s="275">
        <f t="shared" si="19"/>
        <v>412257.39688157866</v>
      </c>
      <c r="BQ14" s="281">
        <f t="shared" si="20"/>
        <v>450429.72777436679</v>
      </c>
      <c r="BS14" s="311">
        <v>7</v>
      </c>
      <c r="BT14" s="11" t="s">
        <v>315</v>
      </c>
      <c r="BU14" s="63">
        <v>7</v>
      </c>
      <c r="BW14" s="499" t="str">
        <f t="shared" si="21"/>
        <v>Jan_Jul-24</v>
      </c>
    </row>
    <row r="15" spans="1:76" s="11" customFormat="1" ht="20.100000000000001" customHeight="1">
      <c r="A15" s="125" t="s">
        <v>0</v>
      </c>
      <c r="B15" s="126" t="s">
        <v>0</v>
      </c>
      <c r="C15" s="126" t="s">
        <v>46</v>
      </c>
      <c r="D15" s="126" t="s">
        <v>22</v>
      </c>
      <c r="E15" s="126">
        <v>624014</v>
      </c>
      <c r="F15" s="127">
        <v>62203120</v>
      </c>
      <c r="G15" s="128" t="s">
        <v>498</v>
      </c>
      <c r="H15" s="239">
        <v>8681.16</v>
      </c>
      <c r="I15" s="119">
        <f t="shared" ca="1" si="4"/>
        <v>8608.32</v>
      </c>
      <c r="J15" s="120">
        <f t="shared" ca="1" si="4"/>
        <v>0</v>
      </c>
      <c r="K15" s="120">
        <f t="shared" ca="1" si="4"/>
        <v>0</v>
      </c>
      <c r="L15" s="120">
        <f t="shared" ca="1" si="4"/>
        <v>0</v>
      </c>
      <c r="M15" s="120">
        <f t="shared" ca="1" si="4"/>
        <v>0</v>
      </c>
      <c r="N15" s="120">
        <f t="shared" ca="1" si="4"/>
        <v>0</v>
      </c>
      <c r="O15" s="120">
        <f t="shared" ca="1" si="4"/>
        <v>0</v>
      </c>
      <c r="P15" s="120">
        <f t="shared" ca="1" si="4"/>
        <v>0</v>
      </c>
      <c r="Q15" s="120">
        <f t="shared" ca="1" si="4"/>
        <v>0</v>
      </c>
      <c r="R15" s="120">
        <f t="shared" ca="1" si="4"/>
        <v>0</v>
      </c>
      <c r="S15" s="120">
        <f t="shared" ca="1" si="4"/>
        <v>0</v>
      </c>
      <c r="T15" s="120">
        <f t="shared" ca="1" si="4"/>
        <v>0</v>
      </c>
      <c r="U15" s="121" cm="2">
        <f t="array" aca="1" ref="U15" ca="1">INDEX($I15:$T15,$U$2)</f>
        <v>8608.32</v>
      </c>
      <c r="V15" s="235"/>
      <c r="W15" s="235"/>
      <c r="X15" s="239">
        <f t="shared" ca="1" si="6"/>
        <v>8608.32</v>
      </c>
      <c r="Y15" s="52"/>
      <c r="Z15" s="291" cm="1">
        <f t="array" aca="1" ref="Z15" ca="1">IFERROR(U15/OFFSET($H15,,MATCH($G$2,$H$5:$U$5,0)-2,,),"-")</f>
        <v>0.99160941625312748</v>
      </c>
      <c r="AA15" s="230" cm="1">
        <f t="array" aca="1" ref="AA15" ca="1">U15-OFFSET($H15,,MATCH($G$2,$H$5:$U$5,0)-2,,)</f>
        <v>-72.840000000000146</v>
      </c>
      <c r="AB15" s="230"/>
      <c r="AC15" s="10"/>
      <c r="AD15" s="224" cm="1">
        <f t="array" aca="1" ref="AD15" ca="1">IFERROR(U15/OFFSET($AT15,,MATCH($G$2,$AT$5:$BE$5,0)-1,,),"-")</f>
        <v>1.0441346763091288</v>
      </c>
      <c r="AE15" s="225" cm="1">
        <f t="array" aca="1" ref="AE15" ca="1">U15-OFFSET($AT15,,MATCH($G$2,$AT$5:$BE$5,0)-1,,)</f>
        <v>363.86629558974528</v>
      </c>
      <c r="AF15" s="359"/>
      <c r="AG15" s="1"/>
      <c r="AH15" s="172"/>
      <c r="AI15" s="172"/>
      <c r="AJ15" s="173"/>
      <c r="AL15" s="312">
        <f t="shared" ca="1" si="5"/>
        <v>8608.32</v>
      </c>
      <c r="AM15" s="312" t="e" cm="1">
        <f t="array" ref="AM15">INDEX($BG$8:$BQ$83,ROW()-7,MATCH($G$3,$BG$5:$BQ$5,0))</f>
        <v>#N/A</v>
      </c>
      <c r="AN15" s="313" t="e">
        <f t="shared" ca="1" si="7"/>
        <v>#N/A</v>
      </c>
      <c r="AO15" s="314" t="str">
        <f t="shared" ca="1" si="8"/>
        <v/>
      </c>
      <c r="AP15" s="315"/>
      <c r="AR15" s="278">
        <f t="shared" ca="1" si="9"/>
        <v>87912.33595165005</v>
      </c>
      <c r="AS15" s="16"/>
      <c r="AT15" s="166">
        <v>8244.4537044102544</v>
      </c>
      <c r="AU15" s="108">
        <v>8396.3454770542212</v>
      </c>
      <c r="AV15" s="108">
        <v>8149.946326771561</v>
      </c>
      <c r="AW15" s="108">
        <v>8111.3571676928768</v>
      </c>
      <c r="AX15" s="108">
        <v>7963.5176775232803</v>
      </c>
      <c r="AY15" s="108">
        <v>7815.6781873536838</v>
      </c>
      <c r="AZ15" s="108">
        <v>7700.6919172217767</v>
      </c>
      <c r="BA15" s="289">
        <v>7840.3181023819488</v>
      </c>
      <c r="BB15" s="289">
        <v>7922.451152476171</v>
      </c>
      <c r="BC15" s="289">
        <v>8057.1906899335154</v>
      </c>
      <c r="BD15" s="289">
        <v>8138.9203575189995</v>
      </c>
      <c r="BE15" s="290">
        <v>8179.785191311742</v>
      </c>
      <c r="BF15" s="20"/>
      <c r="BG15" s="275">
        <f t="shared" si="10"/>
        <v>16640.799181464477</v>
      </c>
      <c r="BH15" s="275">
        <f t="shared" si="11"/>
        <v>24790.745508236039</v>
      </c>
      <c r="BI15" s="275">
        <f t="shared" si="12"/>
        <v>32902.102675928916</v>
      </c>
      <c r="BJ15" s="275">
        <f t="shared" si="13"/>
        <v>40865.620353452199</v>
      </c>
      <c r="BK15" s="275">
        <f t="shared" si="14"/>
        <v>48681.298540805881</v>
      </c>
      <c r="BL15" s="275">
        <f t="shared" si="15"/>
        <v>56381.990458027656</v>
      </c>
      <c r="BM15" s="275">
        <f t="shared" si="16"/>
        <v>64222.308560409605</v>
      </c>
      <c r="BN15" s="275">
        <f t="shared" si="17"/>
        <v>72144.759712885774</v>
      </c>
      <c r="BO15" s="275">
        <f t="shared" si="18"/>
        <v>80201.95040281929</v>
      </c>
      <c r="BP15" s="275">
        <f t="shared" si="19"/>
        <v>88340.870760338294</v>
      </c>
      <c r="BQ15" s="281">
        <f t="shared" si="20"/>
        <v>96520.655951650042</v>
      </c>
      <c r="BS15" s="311">
        <v>8</v>
      </c>
      <c r="BT15" s="11" t="s">
        <v>316</v>
      </c>
      <c r="BU15" s="63">
        <v>8</v>
      </c>
      <c r="BW15" s="499" t="str">
        <f t="shared" si="21"/>
        <v>Jan_Aug-24</v>
      </c>
    </row>
    <row r="16" spans="1:76" s="11" customFormat="1" ht="20.100000000000001" customHeight="1">
      <c r="A16" s="125" t="s">
        <v>0</v>
      </c>
      <c r="B16" s="126" t="s">
        <v>0</v>
      </c>
      <c r="C16" s="126" t="s">
        <v>46</v>
      </c>
      <c r="D16" s="126" t="s">
        <v>22</v>
      </c>
      <c r="E16" s="126">
        <v>624015</v>
      </c>
      <c r="F16" s="127">
        <v>62203300</v>
      </c>
      <c r="G16" s="128" t="s">
        <v>499</v>
      </c>
      <c r="H16" s="239">
        <v>1446.87</v>
      </c>
      <c r="I16" s="119">
        <f t="shared" ca="1" si="4"/>
        <v>1434.73</v>
      </c>
      <c r="J16" s="120">
        <f t="shared" ca="1" si="4"/>
        <v>0</v>
      </c>
      <c r="K16" s="120">
        <f t="shared" ca="1" si="4"/>
        <v>0</v>
      </c>
      <c r="L16" s="120">
        <f t="shared" ca="1" si="4"/>
        <v>0</v>
      </c>
      <c r="M16" s="120">
        <f t="shared" ca="1" si="4"/>
        <v>0</v>
      </c>
      <c r="N16" s="120">
        <f t="shared" ca="1" si="4"/>
        <v>0</v>
      </c>
      <c r="O16" s="120">
        <f t="shared" ca="1" si="4"/>
        <v>0</v>
      </c>
      <c r="P16" s="120">
        <f t="shared" ca="1" si="4"/>
        <v>0</v>
      </c>
      <c r="Q16" s="120">
        <f t="shared" ca="1" si="4"/>
        <v>0</v>
      </c>
      <c r="R16" s="120">
        <f t="shared" ca="1" si="4"/>
        <v>0</v>
      </c>
      <c r="S16" s="120">
        <f t="shared" ca="1" si="4"/>
        <v>0</v>
      </c>
      <c r="T16" s="120">
        <f t="shared" ca="1" si="4"/>
        <v>0</v>
      </c>
      <c r="U16" s="121" cm="2">
        <f t="array" aca="1" ref="U16" ca="1">INDEX($I16:$T16,$U$2)</f>
        <v>1434.73</v>
      </c>
      <c r="V16" s="235"/>
      <c r="W16" s="235"/>
      <c r="X16" s="239">
        <f t="shared" ca="1" si="6"/>
        <v>1434.73</v>
      </c>
      <c r="Y16" s="52"/>
      <c r="Z16" s="291" cm="1">
        <f t="array" aca="1" ref="Z16" ca="1">IFERROR(U16/OFFSET($H16,,MATCH($G$2,$H$5:$U$5,0)-2,,),"-")</f>
        <v>0.99160947424440349</v>
      </c>
      <c r="AA16" s="230" cm="1">
        <f t="array" aca="1" ref="AA16" ca="1">U16-OFFSET($H16,,MATCH($G$2,$H$5:$U$5,0)-2,,)</f>
        <v>-12.139999999999873</v>
      </c>
      <c r="AB16" s="230"/>
      <c r="AC16" s="10"/>
      <c r="AD16" s="224" cm="1">
        <f t="array" aca="1" ref="AD16" ca="1">IFERROR(U16/OFFSET($AT16,,MATCH($G$2,$AT$5:$BE$5,0)-1,,),"-")</f>
        <v>1.0441419539289871</v>
      </c>
      <c r="AE16" s="225" cm="1">
        <f t="array" aca="1" ref="AE16" ca="1">U16-OFFSET($AT16,,MATCH($G$2,$AT$5:$BE$5,0)-1,,)</f>
        <v>60.654382598290795</v>
      </c>
      <c r="AF16" s="359"/>
      <c r="AG16" s="1"/>
      <c r="AH16" s="172"/>
      <c r="AI16" s="172"/>
      <c r="AJ16" s="173"/>
      <c r="AL16" s="312">
        <f t="shared" ca="1" si="5"/>
        <v>1434.73</v>
      </c>
      <c r="AM16" s="312" t="e" cm="1">
        <f t="array" ref="AM16">INDEX($BG$8:$BQ$83,ROW()-7,MATCH($G$3,$BG$5:$BQ$5,0))</f>
        <v>#N/A</v>
      </c>
      <c r="AN16" s="313" t="e">
        <f t="shared" ca="1" si="7"/>
        <v>#N/A</v>
      </c>
      <c r="AO16" s="314" t="str">
        <f t="shared" ca="1" si="8"/>
        <v/>
      </c>
      <c r="AP16" s="315"/>
      <c r="AR16" s="278">
        <f t="shared" ca="1" si="9"/>
        <v>14652.045991941672</v>
      </c>
      <c r="AS16" s="16"/>
      <c r="AT16" s="166">
        <v>1374.0756174017092</v>
      </c>
      <c r="AU16" s="108">
        <v>1399.3909128423697</v>
      </c>
      <c r="AV16" s="108">
        <v>1358.3243877952602</v>
      </c>
      <c r="AW16" s="108">
        <v>1351.892861282146</v>
      </c>
      <c r="AX16" s="108">
        <v>1327.2529462538798</v>
      </c>
      <c r="AY16" s="108">
        <v>1302.6130312256139</v>
      </c>
      <c r="AZ16" s="108">
        <v>1283.448652870296</v>
      </c>
      <c r="BA16" s="289">
        <v>1306.719683730325</v>
      </c>
      <c r="BB16" s="289">
        <v>1320.4085254126949</v>
      </c>
      <c r="BC16" s="289">
        <v>1342.8651149889188</v>
      </c>
      <c r="BD16" s="289">
        <v>1356.486726253167</v>
      </c>
      <c r="BE16" s="290">
        <v>1363.2975318852907</v>
      </c>
      <c r="BF16" s="20"/>
      <c r="BG16" s="275">
        <f t="shared" si="10"/>
        <v>2773.466530244079</v>
      </c>
      <c r="BH16" s="275">
        <f t="shared" si="11"/>
        <v>4131.790918039339</v>
      </c>
      <c r="BI16" s="275">
        <f t="shared" si="12"/>
        <v>5483.6837793214854</v>
      </c>
      <c r="BJ16" s="275">
        <f t="shared" si="13"/>
        <v>6810.936725575365</v>
      </c>
      <c r="BK16" s="275">
        <f t="shared" si="14"/>
        <v>8113.5497568009787</v>
      </c>
      <c r="BL16" s="275">
        <f t="shared" si="15"/>
        <v>9396.9984096712742</v>
      </c>
      <c r="BM16" s="275">
        <f t="shared" si="16"/>
        <v>10703.7180934016</v>
      </c>
      <c r="BN16" s="275">
        <f t="shared" si="17"/>
        <v>12024.126618814294</v>
      </c>
      <c r="BO16" s="275">
        <f t="shared" si="18"/>
        <v>13366.991733803214</v>
      </c>
      <c r="BP16" s="275">
        <f t="shared" si="19"/>
        <v>14723.47846005638</v>
      </c>
      <c r="BQ16" s="281">
        <f t="shared" si="20"/>
        <v>16086.775991941671</v>
      </c>
      <c r="BS16" s="311">
        <v>9</v>
      </c>
      <c r="BT16" s="11" t="s">
        <v>317</v>
      </c>
      <c r="BU16" s="63">
        <v>9</v>
      </c>
      <c r="BW16" s="499" t="str">
        <f t="shared" si="21"/>
        <v>Jan_Sep-24</v>
      </c>
    </row>
    <row r="17" spans="1:75" s="11" customFormat="1" ht="20.100000000000001" customHeight="1">
      <c r="A17" s="125" t="s">
        <v>0</v>
      </c>
      <c r="B17" s="126" t="s">
        <v>0</v>
      </c>
      <c r="C17" s="126" t="s">
        <v>46</v>
      </c>
      <c r="D17" s="126" t="s">
        <v>22</v>
      </c>
      <c r="E17" s="126">
        <v>624013</v>
      </c>
      <c r="F17" s="127">
        <v>62204000</v>
      </c>
      <c r="G17" s="128" t="s">
        <v>500</v>
      </c>
      <c r="H17" s="239">
        <v>8754.2199999999993</v>
      </c>
      <c r="I17" s="119">
        <f t="shared" ca="1" si="4"/>
        <v>8623.52</v>
      </c>
      <c r="J17" s="120">
        <f t="shared" ca="1" si="4"/>
        <v>0</v>
      </c>
      <c r="K17" s="120">
        <f t="shared" ca="1" si="4"/>
        <v>0</v>
      </c>
      <c r="L17" s="120">
        <f t="shared" ca="1" si="4"/>
        <v>0</v>
      </c>
      <c r="M17" s="120">
        <f t="shared" ca="1" si="4"/>
        <v>0</v>
      </c>
      <c r="N17" s="120">
        <f t="shared" ca="1" si="4"/>
        <v>0</v>
      </c>
      <c r="O17" s="120">
        <f t="shared" ca="1" si="4"/>
        <v>0</v>
      </c>
      <c r="P17" s="120">
        <f t="shared" ca="1" si="4"/>
        <v>0</v>
      </c>
      <c r="Q17" s="120">
        <f t="shared" ca="1" si="4"/>
        <v>0</v>
      </c>
      <c r="R17" s="120">
        <f t="shared" ca="1" si="4"/>
        <v>0</v>
      </c>
      <c r="S17" s="120">
        <f t="shared" ca="1" si="4"/>
        <v>0</v>
      </c>
      <c r="T17" s="120">
        <f t="shared" ca="1" si="4"/>
        <v>0</v>
      </c>
      <c r="U17" s="121" cm="2">
        <f t="array" aca="1" ref="U17" ca="1">INDEX($I17:$T17,$U$2)</f>
        <v>8623.52</v>
      </c>
      <c r="V17" s="235"/>
      <c r="W17" s="235"/>
      <c r="X17" s="239">
        <f t="shared" ca="1" si="6"/>
        <v>8623.52</v>
      </c>
      <c r="Y17" s="52"/>
      <c r="Z17" s="291" cm="1">
        <f t="array" aca="1" ref="Z17" ca="1">IFERROR(U17/OFFSET($H17,,MATCH($G$2,$H$5:$U$5,0)-2,,),"-")</f>
        <v>0.98507005764077227</v>
      </c>
      <c r="AA17" s="230" cm="1">
        <f t="array" aca="1" ref="AA17" ca="1">U17-OFFSET($H17,,MATCH($G$2,$H$5:$U$5,0)-2,,)</f>
        <v>-130.69999999999891</v>
      </c>
      <c r="AB17" s="230"/>
      <c r="AC17" s="10"/>
      <c r="AD17" s="224" cm="1">
        <f t="array" aca="1" ref="AD17" ca="1">IFERROR(U17/OFFSET($AT17,,MATCH($G$2,$AT$5:$BE$5,0)-1,,),"-")</f>
        <v>1.0459783400065634</v>
      </c>
      <c r="AE17" s="225" cm="1">
        <f t="array" aca="1" ref="AE17" ca="1">U17-OFFSET($AT17,,MATCH($G$2,$AT$5:$BE$5,0)-1,,)</f>
        <v>379.06629558974601</v>
      </c>
      <c r="AF17" s="359"/>
      <c r="AG17" s="1"/>
      <c r="AH17" s="172"/>
      <c r="AI17" s="172"/>
      <c r="AJ17" s="173"/>
      <c r="AL17" s="312">
        <f t="shared" ca="1" si="5"/>
        <v>8623.52</v>
      </c>
      <c r="AM17" s="312" t="e" cm="1">
        <f t="array" ref="AM17">INDEX($BG$8:$BQ$83,ROW()-7,MATCH($G$3,$BG$5:$BQ$5,0))</f>
        <v>#N/A</v>
      </c>
      <c r="AN17" s="313" t="e">
        <f t="shared" ca="1" si="7"/>
        <v>#N/A</v>
      </c>
      <c r="AO17" s="314" t="str">
        <f t="shared" ca="1" si="8"/>
        <v/>
      </c>
      <c r="AP17" s="315"/>
      <c r="AR17" s="278">
        <f t="shared" ca="1" si="9"/>
        <v>87897.135951650038</v>
      </c>
      <c r="AS17" s="16"/>
      <c r="AT17" s="166">
        <v>8244.4537044102544</v>
      </c>
      <c r="AU17" s="108">
        <v>8396.3454770542212</v>
      </c>
      <c r="AV17" s="108">
        <v>8149.9463267715591</v>
      </c>
      <c r="AW17" s="108">
        <v>8111.3571676928768</v>
      </c>
      <c r="AX17" s="108">
        <v>7963.5176775232803</v>
      </c>
      <c r="AY17" s="108">
        <v>7815.6781873536847</v>
      </c>
      <c r="AZ17" s="108">
        <v>7700.6919172217767</v>
      </c>
      <c r="BA17" s="289">
        <v>7840.3181023819507</v>
      </c>
      <c r="BB17" s="289">
        <v>7922.4511524761701</v>
      </c>
      <c r="BC17" s="289">
        <v>8057.1906899335136</v>
      </c>
      <c r="BD17" s="289">
        <v>8138.9203575190013</v>
      </c>
      <c r="BE17" s="290">
        <v>8179.7851913117438</v>
      </c>
      <c r="BF17" s="20"/>
      <c r="BG17" s="275">
        <f t="shared" si="10"/>
        <v>16640.799181464477</v>
      </c>
      <c r="BH17" s="275">
        <f t="shared" si="11"/>
        <v>24790.745508236036</v>
      </c>
      <c r="BI17" s="275">
        <f t="shared" si="12"/>
        <v>32902.102675928909</v>
      </c>
      <c r="BJ17" s="275">
        <f t="shared" si="13"/>
        <v>40865.620353452192</v>
      </c>
      <c r="BK17" s="275">
        <f t="shared" si="14"/>
        <v>48681.298540805874</v>
      </c>
      <c r="BL17" s="275">
        <f t="shared" si="15"/>
        <v>56381.990458027649</v>
      </c>
      <c r="BM17" s="275">
        <f t="shared" si="16"/>
        <v>64222.308560409598</v>
      </c>
      <c r="BN17" s="275">
        <f t="shared" si="17"/>
        <v>72144.759712885774</v>
      </c>
      <c r="BO17" s="275">
        <f t="shared" si="18"/>
        <v>80201.95040281929</v>
      </c>
      <c r="BP17" s="275">
        <f t="shared" si="19"/>
        <v>88340.870760338294</v>
      </c>
      <c r="BQ17" s="281">
        <f t="shared" si="20"/>
        <v>96520.655951650042</v>
      </c>
      <c r="BS17" s="311">
        <v>10</v>
      </c>
      <c r="BT17" s="11" t="s">
        <v>318</v>
      </c>
      <c r="BU17" s="63">
        <v>10</v>
      </c>
      <c r="BW17" s="499" t="str">
        <f t="shared" si="21"/>
        <v>Jan_Oct-24</v>
      </c>
    </row>
    <row r="18" spans="1:75" s="11" customFormat="1" ht="20.100000000000001" customHeight="1">
      <c r="A18" s="125" t="s">
        <v>0</v>
      </c>
      <c r="B18" s="126" t="s">
        <v>0</v>
      </c>
      <c r="C18" s="126" t="s">
        <v>46</v>
      </c>
      <c r="D18" s="126" t="s">
        <v>22</v>
      </c>
      <c r="E18" s="126">
        <v>624100</v>
      </c>
      <c r="F18" s="127">
        <v>62204100</v>
      </c>
      <c r="G18" s="128" t="s">
        <v>501</v>
      </c>
      <c r="H18" s="239">
        <v>494.12</v>
      </c>
      <c r="I18" s="119">
        <f t="shared" ref="I18:T27" ca="1" si="22">SUMIFS(INDIRECT(I$5&amp;"!N:N"),INDIRECT(I$5&amp;"!L:L"),$E18,INDIRECT(I$5&amp;"!K:K"),50)-SUMIFS(INDIRECT(I$5&amp;"!N:N"),INDIRECT(I$5&amp;"!L:L"),$E18,INDIRECT(I$5&amp;"!K:K"),40)</f>
        <v>424.96</v>
      </c>
      <c r="J18" s="120">
        <f t="shared" ca="1" si="22"/>
        <v>0</v>
      </c>
      <c r="K18" s="120">
        <f t="shared" ca="1" si="22"/>
        <v>0</v>
      </c>
      <c r="L18" s="120">
        <f t="shared" ca="1" si="22"/>
        <v>0</v>
      </c>
      <c r="M18" s="120">
        <f t="shared" ca="1" si="22"/>
        <v>0</v>
      </c>
      <c r="N18" s="120">
        <f t="shared" ca="1" si="22"/>
        <v>0</v>
      </c>
      <c r="O18" s="120">
        <f t="shared" ca="1" si="22"/>
        <v>0</v>
      </c>
      <c r="P18" s="120">
        <f t="shared" ca="1" si="22"/>
        <v>0</v>
      </c>
      <c r="Q18" s="120">
        <f t="shared" ca="1" si="22"/>
        <v>0</v>
      </c>
      <c r="R18" s="120">
        <f t="shared" ca="1" si="22"/>
        <v>0</v>
      </c>
      <c r="S18" s="120">
        <f t="shared" ca="1" si="22"/>
        <v>0</v>
      </c>
      <c r="T18" s="120">
        <f t="shared" ca="1" si="22"/>
        <v>0</v>
      </c>
      <c r="U18" s="121" cm="2">
        <f t="array" aca="1" ref="U18" ca="1">INDEX($I18:$T18,$U$2)</f>
        <v>424.96</v>
      </c>
      <c r="V18" s="235"/>
      <c r="W18" s="235"/>
      <c r="X18" s="239">
        <f t="shared" ca="1" si="6"/>
        <v>424.96</v>
      </c>
      <c r="Y18" s="52"/>
      <c r="Z18" s="291" cm="1">
        <f t="array" aca="1" ref="Z18" ca="1">IFERROR(U18/OFFSET($H18,,MATCH($G$2,$H$5:$U$5,0)-2,,),"-")</f>
        <v>0.86003399983809592</v>
      </c>
      <c r="AA18" s="230" cm="1">
        <f t="array" aca="1" ref="AA18" ca="1">U18-OFFSET($H18,,MATCH($G$2,$H$5:$U$5,0)-2,,)</f>
        <v>-69.160000000000025</v>
      </c>
      <c r="AB18" s="230"/>
      <c r="AC18" s="10"/>
      <c r="AD18" s="224" cm="2">
        <f t="array" aca="1" ref="AD18" ca="1">IFERROR(U18/OFFSET($AT18,,MATCH($G$2,$AT$5:$BE$5,0)-1,,),"-")</f>
        <v>2.0422642899301818E-2</v>
      </c>
      <c r="AE18" s="225" cm="2">
        <f t="array" aca="1" ref="AE18" ca="1">U18-OFFSET($AT18,,MATCH($G$2,$AT$5:$BE$5,0)-1,,)</f>
        <v>-20383.316484848488</v>
      </c>
      <c r="AF18" s="358" t="s">
        <v>1703</v>
      </c>
      <c r="AG18" s="1"/>
      <c r="AH18" s="172"/>
      <c r="AI18" s="172"/>
      <c r="AJ18" s="173"/>
      <c r="AL18" s="312">
        <f t="shared" ca="1" si="5"/>
        <v>424.96</v>
      </c>
      <c r="AM18" s="312" t="e" cm="1">
        <f t="array" ref="AM18">INDEX($BG$8:$BQ$83,ROW()-7,MATCH($G$3,$BG$5:$BQ$5,0))</f>
        <v>#N/A</v>
      </c>
      <c r="AN18" s="313" t="e">
        <f t="shared" ca="1" si="7"/>
        <v>#N/A</v>
      </c>
      <c r="AO18" s="314" t="str">
        <f t="shared" ca="1" si="8"/>
        <v/>
      </c>
      <c r="AP18" s="315"/>
      <c r="AR18" s="278">
        <f t="shared" ca="1" si="9"/>
        <v>20383.316484848488</v>
      </c>
      <c r="AS18" s="16"/>
      <c r="AT18" s="166">
        <v>20808.276484848488</v>
      </c>
      <c r="AU18" s="108">
        <v>0</v>
      </c>
      <c r="AV18" s="108">
        <v>0</v>
      </c>
      <c r="AW18" s="108">
        <v>0</v>
      </c>
      <c r="AX18" s="108">
        <v>0</v>
      </c>
      <c r="AY18" s="108">
        <v>0</v>
      </c>
      <c r="AZ18" s="108">
        <v>0</v>
      </c>
      <c r="BA18" s="292">
        <v>0</v>
      </c>
      <c r="BB18" s="292">
        <v>0</v>
      </c>
      <c r="BC18" s="292">
        <v>0</v>
      </c>
      <c r="BD18" s="292">
        <v>0</v>
      </c>
      <c r="BE18" s="293">
        <v>0</v>
      </c>
      <c r="BF18" s="317"/>
      <c r="BG18" s="276">
        <f t="shared" si="10"/>
        <v>20808.276484848488</v>
      </c>
      <c r="BH18" s="276">
        <f t="shared" si="11"/>
        <v>20808.276484848488</v>
      </c>
      <c r="BI18" s="276">
        <f t="shared" si="12"/>
        <v>20808.276484848488</v>
      </c>
      <c r="BJ18" s="276">
        <f t="shared" si="13"/>
        <v>20808.276484848488</v>
      </c>
      <c r="BK18" s="276">
        <f t="shared" si="14"/>
        <v>20808.276484848488</v>
      </c>
      <c r="BL18" s="276">
        <f t="shared" si="15"/>
        <v>20808.276484848488</v>
      </c>
      <c r="BM18" s="276">
        <f t="shared" si="16"/>
        <v>20808.276484848488</v>
      </c>
      <c r="BN18" s="276">
        <f t="shared" si="17"/>
        <v>20808.276484848488</v>
      </c>
      <c r="BO18" s="276">
        <f t="shared" si="18"/>
        <v>20808.276484848488</v>
      </c>
      <c r="BP18" s="276">
        <f t="shared" si="19"/>
        <v>20808.276484848488</v>
      </c>
      <c r="BQ18" s="278">
        <f t="shared" si="20"/>
        <v>20808.276484848488</v>
      </c>
      <c r="BS18" s="311">
        <v>11</v>
      </c>
      <c r="BT18" s="11" t="s">
        <v>319</v>
      </c>
      <c r="BU18" s="63">
        <v>11</v>
      </c>
      <c r="BW18" s="499" t="str">
        <f t="shared" si="21"/>
        <v>Jan_Nov-24</v>
      </c>
    </row>
    <row r="19" spans="1:75" s="11" customFormat="1" ht="20.100000000000001" customHeight="1">
      <c r="A19" s="125" t="s">
        <v>0</v>
      </c>
      <c r="B19" s="126" t="s">
        <v>0</v>
      </c>
      <c r="C19" s="126" t="s">
        <v>46</v>
      </c>
      <c r="D19" s="126" t="s">
        <v>22</v>
      </c>
      <c r="E19" s="126">
        <v>624103</v>
      </c>
      <c r="F19" s="127">
        <v>62204200</v>
      </c>
      <c r="G19" s="128" t="s">
        <v>502</v>
      </c>
      <c r="H19" s="239">
        <v>0</v>
      </c>
      <c r="I19" s="119">
        <f t="shared" ca="1" si="22"/>
        <v>0</v>
      </c>
      <c r="J19" s="120">
        <f t="shared" ca="1" si="22"/>
        <v>0</v>
      </c>
      <c r="K19" s="120">
        <f t="shared" ca="1" si="22"/>
        <v>0</v>
      </c>
      <c r="L19" s="120">
        <f t="shared" ca="1" si="22"/>
        <v>0</v>
      </c>
      <c r="M19" s="120">
        <f t="shared" ca="1" si="22"/>
        <v>0</v>
      </c>
      <c r="N19" s="120">
        <f t="shared" ca="1" si="22"/>
        <v>0</v>
      </c>
      <c r="O19" s="120">
        <f t="shared" ca="1" si="22"/>
        <v>0</v>
      </c>
      <c r="P19" s="120">
        <f t="shared" ca="1" si="22"/>
        <v>0</v>
      </c>
      <c r="Q19" s="120">
        <f t="shared" ca="1" si="22"/>
        <v>0</v>
      </c>
      <c r="R19" s="120">
        <f t="shared" ca="1" si="22"/>
        <v>0</v>
      </c>
      <c r="S19" s="120">
        <f t="shared" ca="1" si="22"/>
        <v>0</v>
      </c>
      <c r="T19" s="120">
        <f t="shared" ca="1" si="22"/>
        <v>0</v>
      </c>
      <c r="U19" s="121" cm="2">
        <f t="array" aca="1" ref="U19" ca="1">INDEX($I19:$T19,$U$2)</f>
        <v>0</v>
      </c>
      <c r="V19" s="235"/>
      <c r="W19" s="235"/>
      <c r="X19" s="239">
        <f t="shared" ca="1" si="6"/>
        <v>0</v>
      </c>
      <c r="Y19" s="52"/>
      <c r="Z19" s="291" t="str" cm="1">
        <f t="array" aca="1" ref="Z19" ca="1">IFERROR(U19/OFFSET($H19,,MATCH($G$2,$H$5:$U$5,0)-2,,),"-")</f>
        <v>-</v>
      </c>
      <c r="AA19" s="230" cm="1">
        <f t="array" aca="1" ref="AA19" ca="1">U19-OFFSET($H19,,MATCH($G$2,$H$5:$U$5,0)-2,,)</f>
        <v>0</v>
      </c>
      <c r="AB19" s="230"/>
      <c r="AC19" s="10"/>
      <c r="AD19" s="224" t="str" cm="1">
        <f t="array" aca="1" ref="AD19" ca="1">IFERROR(U19/OFFSET($AT19,,MATCH($G$2,$AT$5:$BE$5,0)-1,,),"-")</f>
        <v>-</v>
      </c>
      <c r="AE19" s="225" cm="1">
        <f t="array" aca="1" ref="AE19" ca="1">U19-OFFSET($AT19,,MATCH($G$2,$AT$5:$BE$5,0)-1,,)</f>
        <v>0</v>
      </c>
      <c r="AF19" s="359"/>
      <c r="AG19" s="1"/>
      <c r="AH19" s="172"/>
      <c r="AI19" s="172"/>
      <c r="AJ19" s="173"/>
      <c r="AL19" s="312">
        <f t="shared" ca="1" si="5"/>
        <v>0</v>
      </c>
      <c r="AM19" s="312" t="e" cm="1">
        <f t="array" ref="AM19">INDEX($BG$8:$BQ$83,ROW()-7,MATCH($G$3,$BG$5:$BQ$5,0))</f>
        <v>#N/A</v>
      </c>
      <c r="AN19" s="313" t="e">
        <f t="shared" ca="1" si="7"/>
        <v>#N/A</v>
      </c>
      <c r="AO19" s="314" t="str">
        <f t="shared" ca="1" si="8"/>
        <v/>
      </c>
      <c r="AP19" s="315"/>
      <c r="AR19" s="278">
        <f t="shared" ca="1" si="9"/>
        <v>0</v>
      </c>
      <c r="AS19" s="16"/>
      <c r="AT19" s="166">
        <v>0</v>
      </c>
      <c r="AU19" s="108">
        <v>0</v>
      </c>
      <c r="AV19" s="108">
        <v>0</v>
      </c>
      <c r="AW19" s="108">
        <v>0</v>
      </c>
      <c r="AX19" s="108">
        <v>0</v>
      </c>
      <c r="AY19" s="108">
        <v>0</v>
      </c>
      <c r="AZ19" s="108">
        <v>0</v>
      </c>
      <c r="BA19" s="289">
        <v>0</v>
      </c>
      <c r="BB19" s="289">
        <v>0</v>
      </c>
      <c r="BC19" s="289">
        <v>0</v>
      </c>
      <c r="BD19" s="289">
        <v>0</v>
      </c>
      <c r="BE19" s="290">
        <v>0</v>
      </c>
      <c r="BF19" s="20"/>
      <c r="BG19" s="275">
        <f t="shared" si="10"/>
        <v>0</v>
      </c>
      <c r="BH19" s="275">
        <f t="shared" si="11"/>
        <v>0</v>
      </c>
      <c r="BI19" s="275">
        <f t="shared" si="12"/>
        <v>0</v>
      </c>
      <c r="BJ19" s="275">
        <f t="shared" si="13"/>
        <v>0</v>
      </c>
      <c r="BK19" s="275">
        <f t="shared" si="14"/>
        <v>0</v>
      </c>
      <c r="BL19" s="275">
        <f t="shared" si="15"/>
        <v>0</v>
      </c>
      <c r="BM19" s="275">
        <f t="shared" si="16"/>
        <v>0</v>
      </c>
      <c r="BN19" s="275">
        <f t="shared" si="17"/>
        <v>0</v>
      </c>
      <c r="BO19" s="275">
        <f t="shared" si="18"/>
        <v>0</v>
      </c>
      <c r="BP19" s="275">
        <f t="shared" si="19"/>
        <v>0</v>
      </c>
      <c r="BQ19" s="281">
        <f t="shared" si="20"/>
        <v>0</v>
      </c>
      <c r="BS19" s="311">
        <v>12</v>
      </c>
      <c r="BT19" s="11" t="s">
        <v>320</v>
      </c>
      <c r="BU19" s="63">
        <v>12</v>
      </c>
      <c r="BW19" s="499" t="str">
        <f t="shared" si="21"/>
        <v>Jan_Dec-24</v>
      </c>
    </row>
    <row r="20" spans="1:75" s="11" customFormat="1" ht="20.100000000000001" customHeight="1">
      <c r="A20" s="125" t="s">
        <v>0</v>
      </c>
      <c r="B20" s="126" t="s">
        <v>0</v>
      </c>
      <c r="C20" s="126" t="s">
        <v>46</v>
      </c>
      <c r="D20" s="126" t="s">
        <v>22</v>
      </c>
      <c r="E20" s="126">
        <v>624012</v>
      </c>
      <c r="F20" s="127">
        <v>62206000</v>
      </c>
      <c r="G20" s="128" t="s">
        <v>503</v>
      </c>
      <c r="H20" s="239">
        <v>2893.72</v>
      </c>
      <c r="I20" s="119">
        <f t="shared" ca="1" si="22"/>
        <v>2869.44</v>
      </c>
      <c r="J20" s="120">
        <f t="shared" ca="1" si="22"/>
        <v>0</v>
      </c>
      <c r="K20" s="120">
        <f t="shared" ca="1" si="22"/>
        <v>0</v>
      </c>
      <c r="L20" s="120">
        <f t="shared" ca="1" si="22"/>
        <v>0</v>
      </c>
      <c r="M20" s="120">
        <f t="shared" ca="1" si="22"/>
        <v>0</v>
      </c>
      <c r="N20" s="120">
        <f t="shared" ca="1" si="22"/>
        <v>0</v>
      </c>
      <c r="O20" s="120">
        <f t="shared" ca="1" si="22"/>
        <v>0</v>
      </c>
      <c r="P20" s="120">
        <f t="shared" ca="1" si="22"/>
        <v>0</v>
      </c>
      <c r="Q20" s="120">
        <f t="shared" ca="1" si="22"/>
        <v>0</v>
      </c>
      <c r="R20" s="120">
        <f t="shared" ca="1" si="22"/>
        <v>0</v>
      </c>
      <c r="S20" s="120">
        <f t="shared" ca="1" si="22"/>
        <v>0</v>
      </c>
      <c r="T20" s="120">
        <f t="shared" ca="1" si="22"/>
        <v>0</v>
      </c>
      <c r="U20" s="121" cm="2">
        <f t="array" aca="1" ref="U20" ca="1">INDEX($I20:$T20,$U$2)</f>
        <v>2869.44</v>
      </c>
      <c r="V20" s="235"/>
      <c r="W20" s="235"/>
      <c r="X20" s="239">
        <f t="shared" ca="1" si="6"/>
        <v>2869.44</v>
      </c>
      <c r="Y20" s="52"/>
      <c r="Z20" s="291" cm="1">
        <f t="array" aca="1" ref="Z20" ca="1">IFERROR(U20/OFFSET($H20,,MATCH($G$2,$H$5:$U$5,0)-2,,),"-")</f>
        <v>0.9916094162531276</v>
      </c>
      <c r="AA20" s="230" cm="1">
        <f t="array" aca="1" ref="AA20" ca="1">U20-OFFSET($H20,,MATCH($G$2,$H$5:$U$5,0)-2,,)</f>
        <v>-24.279999999999745</v>
      </c>
      <c r="AB20" s="230"/>
      <c r="AC20" s="10"/>
      <c r="AD20" s="224" cm="1">
        <f t="array" aca="1" ref="AD20" ca="1">IFERROR(U20/OFFSET($AT20,,MATCH($G$2,$AT$5:$BE$5,0)-1,,),"-")</f>
        <v>1.0440305427465777</v>
      </c>
      <c r="AE20" s="225" cm="1">
        <f t="array" aca="1" ref="AE20" ca="1">U20-OFFSET($AT20,,MATCH($G$2,$AT$5:$BE$5,0)-1,,)</f>
        <v>121.01465944316487</v>
      </c>
      <c r="AF20" s="359"/>
      <c r="AG20" s="1"/>
      <c r="AH20" s="172"/>
      <c r="AI20" s="172"/>
      <c r="AJ20" s="173"/>
      <c r="AL20" s="312">
        <f t="shared" ca="1" si="5"/>
        <v>2869.44</v>
      </c>
      <c r="AM20" s="312" t="e" cm="1">
        <f t="array" ref="AM20">INDEX($BG$8:$BQ$83,ROW()-7,MATCH($G$3,$BG$5:$BQ$5,0))</f>
        <v>#N/A</v>
      </c>
      <c r="AN20" s="313" t="e">
        <f t="shared" ca="1" si="7"/>
        <v>#N/A</v>
      </c>
      <c r="AO20" s="314" t="str">
        <f t="shared" ca="1" si="8"/>
        <v/>
      </c>
      <c r="AP20" s="315"/>
      <c r="AR20" s="278">
        <f t="shared" ca="1" si="9"/>
        <v>30804.328892285575</v>
      </c>
      <c r="AS20" s="16"/>
      <c r="AT20" s="166">
        <v>2748.4253405568352</v>
      </c>
      <c r="AU20" s="108">
        <v>2798.7532270091469</v>
      </c>
      <c r="AV20" s="108">
        <v>2716.620176914927</v>
      </c>
      <c r="AW20" s="108">
        <v>2703.785722564292</v>
      </c>
      <c r="AX20" s="108">
        <v>2654.5058925077597</v>
      </c>
      <c r="AY20" s="108">
        <v>2605.2260624512278</v>
      </c>
      <c r="AZ20" s="108">
        <v>2566.8973057405919</v>
      </c>
      <c r="BA20" s="289">
        <v>2613.4393674606499</v>
      </c>
      <c r="BB20" s="289">
        <v>2640.8170508253897</v>
      </c>
      <c r="BC20" s="289">
        <v>2685.7302299778376</v>
      </c>
      <c r="BD20" s="289">
        <v>2712.9734525063341</v>
      </c>
      <c r="BE20" s="290">
        <v>4226.595063770581</v>
      </c>
      <c r="BF20" s="20"/>
      <c r="BG20" s="275">
        <f t="shared" si="10"/>
        <v>5547.1785675659821</v>
      </c>
      <c r="BH20" s="275">
        <f t="shared" si="11"/>
        <v>8263.7987444809096</v>
      </c>
      <c r="BI20" s="275">
        <f t="shared" si="12"/>
        <v>10967.584467045202</v>
      </c>
      <c r="BJ20" s="275">
        <f t="shared" si="13"/>
        <v>13622.090359552962</v>
      </c>
      <c r="BK20" s="275">
        <f t="shared" si="14"/>
        <v>16227.316422004189</v>
      </c>
      <c r="BL20" s="275">
        <f t="shared" si="15"/>
        <v>18794.21372774478</v>
      </c>
      <c r="BM20" s="275">
        <f t="shared" si="16"/>
        <v>21407.653095205431</v>
      </c>
      <c r="BN20" s="275">
        <f t="shared" si="17"/>
        <v>24048.470146030821</v>
      </c>
      <c r="BO20" s="275">
        <f t="shared" si="18"/>
        <v>26734.200376008659</v>
      </c>
      <c r="BP20" s="275">
        <f t="shared" si="19"/>
        <v>29447.173828514991</v>
      </c>
      <c r="BQ20" s="281">
        <f t="shared" si="20"/>
        <v>33673.768892285574</v>
      </c>
      <c r="BS20" s="311"/>
      <c r="BU20" s="63"/>
      <c r="BW20" s="499"/>
    </row>
    <row r="21" spans="1:75" s="11" customFormat="1" ht="12.75">
      <c r="A21" s="125" t="s">
        <v>0</v>
      </c>
      <c r="B21" s="126" t="s">
        <v>0</v>
      </c>
      <c r="C21" s="126" t="s">
        <v>45</v>
      </c>
      <c r="D21" s="126" t="s">
        <v>22</v>
      </c>
      <c r="E21" s="126">
        <v>621011</v>
      </c>
      <c r="F21" s="127">
        <v>62710101</v>
      </c>
      <c r="G21" s="128" t="s">
        <v>504</v>
      </c>
      <c r="H21" s="239">
        <v>222758.41999999998</v>
      </c>
      <c r="I21" s="119">
        <f t="shared" ca="1" si="22"/>
        <v>209833.31</v>
      </c>
      <c r="J21" s="120">
        <f t="shared" ca="1" si="22"/>
        <v>0</v>
      </c>
      <c r="K21" s="120">
        <f t="shared" ca="1" si="22"/>
        <v>0</v>
      </c>
      <c r="L21" s="120">
        <f t="shared" ca="1" si="22"/>
        <v>0</v>
      </c>
      <c r="M21" s="120">
        <f t="shared" ca="1" si="22"/>
        <v>0</v>
      </c>
      <c r="N21" s="120">
        <f t="shared" ca="1" si="22"/>
        <v>0</v>
      </c>
      <c r="O21" s="120">
        <f t="shared" ca="1" si="22"/>
        <v>0</v>
      </c>
      <c r="P21" s="120">
        <f t="shared" ca="1" si="22"/>
        <v>0</v>
      </c>
      <c r="Q21" s="120">
        <f t="shared" ca="1" si="22"/>
        <v>0</v>
      </c>
      <c r="R21" s="120">
        <f t="shared" ca="1" si="22"/>
        <v>0</v>
      </c>
      <c r="S21" s="120">
        <f t="shared" ca="1" si="22"/>
        <v>0</v>
      </c>
      <c r="T21" s="120">
        <f t="shared" ca="1" si="22"/>
        <v>0</v>
      </c>
      <c r="U21" s="121" cm="2">
        <f t="array" aca="1" ref="U21" ca="1">INDEX($I21:$T21,$U$2)</f>
        <v>209833.31</v>
      </c>
      <c r="V21" s="235"/>
      <c r="W21" s="235"/>
      <c r="X21" s="239">
        <f t="shared" ca="1" si="6"/>
        <v>209833.31</v>
      </c>
      <c r="Y21" s="52"/>
      <c r="Z21" s="291" cm="1">
        <f t="array" aca="1" ref="Z21" ca="1">IFERROR(U21/OFFSET($H21,,MATCH($G$2,$H$5:$U$5,0)-2,,),"-")</f>
        <v>0.94197700809693308</v>
      </c>
      <c r="AA21" s="230" cm="1">
        <f t="array" aca="1" ref="AA21" ca="1">U21-OFFSET($H21,,MATCH($G$2,$H$5:$U$5,0)-2,,)</f>
        <v>-12925.109999999986</v>
      </c>
      <c r="AB21" s="243"/>
      <c r="AC21" s="10"/>
      <c r="AD21" s="224" cm="1">
        <f t="array" aca="1" ref="AD21" ca="1">IFERROR(U21/OFFSET($AT21,,MATCH($G$2,$AT$5:$BE$5,0)-1,,),"-")</f>
        <v>0.95870787277511083</v>
      </c>
      <c r="AE21" s="225" cm="1">
        <f t="array" aca="1" ref="AE21" ca="1">U21-OFFSET($AT21,,MATCH($G$2,$AT$5:$BE$5,0)-1,,)</f>
        <v>-9037.6474196035706</v>
      </c>
      <c r="AF21" s="358"/>
      <c r="AG21" s="1"/>
      <c r="AH21" s="172"/>
      <c r="AI21" s="172"/>
      <c r="AJ21" s="173"/>
      <c r="AL21" s="312">
        <f t="shared" ca="1" si="5"/>
        <v>209833.31</v>
      </c>
      <c r="AM21" s="312" t="e" cm="1">
        <f t="array" ref="AM21">INDEX($BG$8:$BQ$83,ROW()-7,MATCH($G$3,$BG$5:$BQ$5,0))</f>
        <v>#N/A</v>
      </c>
      <c r="AN21" s="313" t="e">
        <f t="shared" ca="1" si="7"/>
        <v>#N/A</v>
      </c>
      <c r="AO21" s="314" t="str">
        <f t="shared" ca="1" si="8"/>
        <v/>
      </c>
      <c r="AP21" s="315"/>
      <c r="AR21" s="278">
        <f t="shared" ca="1" si="9"/>
        <v>2567937.7317720144</v>
      </c>
      <c r="AS21" s="1"/>
      <c r="AT21" s="166">
        <v>218870.95741960357</v>
      </c>
      <c r="AU21" s="108">
        <v>219691.12086381277</v>
      </c>
      <c r="AV21" s="108">
        <v>219669.87049193127</v>
      </c>
      <c r="AW21" s="108">
        <v>235628.2502699937</v>
      </c>
      <c r="AX21" s="108">
        <v>234949.07673731833</v>
      </c>
      <c r="AY21" s="108">
        <v>234970.32710919983</v>
      </c>
      <c r="AZ21" s="108">
        <v>234916.3660617471</v>
      </c>
      <c r="BA21" s="292">
        <v>234916.3660617471</v>
      </c>
      <c r="BB21" s="292">
        <v>234916.3660617471</v>
      </c>
      <c r="BC21" s="292">
        <v>236433.49340993236</v>
      </c>
      <c r="BD21" s="292">
        <v>236433.49340993236</v>
      </c>
      <c r="BE21" s="293">
        <v>236375.35387504866</v>
      </c>
      <c r="BF21" s="317"/>
      <c r="BG21" s="276">
        <f t="shared" si="10"/>
        <v>438562.07828341634</v>
      </c>
      <c r="BH21" s="276">
        <f t="shared" si="11"/>
        <v>658231.94877534756</v>
      </c>
      <c r="BI21" s="276">
        <f t="shared" si="12"/>
        <v>893860.19904534123</v>
      </c>
      <c r="BJ21" s="276">
        <f t="shared" si="13"/>
        <v>1128809.2757826596</v>
      </c>
      <c r="BK21" s="276">
        <f t="shared" si="14"/>
        <v>1363779.6028918596</v>
      </c>
      <c r="BL21" s="276">
        <f t="shared" si="15"/>
        <v>1598695.9689536067</v>
      </c>
      <c r="BM21" s="276">
        <f t="shared" si="16"/>
        <v>1833612.3350153537</v>
      </c>
      <c r="BN21" s="276">
        <f t="shared" si="17"/>
        <v>2068528.7010771008</v>
      </c>
      <c r="BO21" s="276">
        <f t="shared" si="18"/>
        <v>2304962.1944870334</v>
      </c>
      <c r="BP21" s="276">
        <f t="shared" si="19"/>
        <v>2541395.687896966</v>
      </c>
      <c r="BQ21" s="278">
        <f t="shared" si="20"/>
        <v>2777771.0417720145</v>
      </c>
      <c r="BS21" s="318"/>
      <c r="BT21" s="319"/>
      <c r="BU21" s="320"/>
      <c r="BW21" s="500"/>
    </row>
    <row r="22" spans="1:75" s="96" customFormat="1" ht="20.100000000000001" customHeight="1">
      <c r="A22" s="125" t="s">
        <v>0</v>
      </c>
      <c r="B22" s="126" t="s">
        <v>0</v>
      </c>
      <c r="C22" s="126" t="s">
        <v>45</v>
      </c>
      <c r="D22" s="126" t="s">
        <v>22</v>
      </c>
      <c r="E22" s="126">
        <v>621012</v>
      </c>
      <c r="F22" s="127">
        <v>62710102</v>
      </c>
      <c r="G22" s="128" t="s">
        <v>505</v>
      </c>
      <c r="H22" s="239">
        <v>33078.050000000003</v>
      </c>
      <c r="I22" s="119">
        <f t="shared" ca="1" si="22"/>
        <v>32492.62</v>
      </c>
      <c r="J22" s="120">
        <f t="shared" ca="1" si="22"/>
        <v>0</v>
      </c>
      <c r="K22" s="120">
        <f t="shared" ca="1" si="22"/>
        <v>0</v>
      </c>
      <c r="L22" s="120">
        <f t="shared" ca="1" si="22"/>
        <v>0</v>
      </c>
      <c r="M22" s="120">
        <f t="shared" ca="1" si="22"/>
        <v>0</v>
      </c>
      <c r="N22" s="120">
        <f t="shared" ca="1" si="22"/>
        <v>0</v>
      </c>
      <c r="O22" s="120">
        <f t="shared" ca="1" si="22"/>
        <v>0</v>
      </c>
      <c r="P22" s="120">
        <f t="shared" ca="1" si="22"/>
        <v>0</v>
      </c>
      <c r="Q22" s="120">
        <f t="shared" ca="1" si="22"/>
        <v>0</v>
      </c>
      <c r="R22" s="120">
        <f t="shared" ca="1" si="22"/>
        <v>0</v>
      </c>
      <c r="S22" s="120">
        <f t="shared" ca="1" si="22"/>
        <v>0</v>
      </c>
      <c r="T22" s="120">
        <f t="shared" ca="1" si="22"/>
        <v>0</v>
      </c>
      <c r="U22" s="121" cm="2">
        <f t="array" aca="1" ref="U22" ca="1">INDEX($I22:$T22,$U$2)</f>
        <v>32492.62</v>
      </c>
      <c r="V22" s="235"/>
      <c r="W22" s="235"/>
      <c r="X22" s="239">
        <f t="shared" ca="1" si="6"/>
        <v>32492.62</v>
      </c>
      <c r="Y22" s="52"/>
      <c r="Z22" s="291" cm="1">
        <f t="array" aca="1" ref="Z22" ca="1">IFERROR(U22/OFFSET($H22,,MATCH($G$2,$H$5:$U$5,0)-2,,),"-")</f>
        <v>0.9823015564702271</v>
      </c>
      <c r="AA22" s="230" cm="1">
        <f t="array" aca="1" ref="AA22" ca="1">U22-OFFSET($H22,,MATCH($G$2,$H$5:$U$5,0)-2,,)</f>
        <v>-585.43000000000393</v>
      </c>
      <c r="AB22" s="230"/>
      <c r="AC22" s="10"/>
      <c r="AD22" s="224" cm="1">
        <f t="array" aca="1" ref="AD22" ca="1">IFERROR(U22/OFFSET($AT22,,MATCH($G$2,$AT$5:$BE$5,0)-1,,),"-")</f>
        <v>0.87807176130480535</v>
      </c>
      <c r="AE22" s="225" cm="1">
        <f t="array" aca="1" ref="AE22" ca="1">U22-OFFSET($AT22,,MATCH($G$2,$AT$5:$BE$5,0)-1,,)</f>
        <v>-4511.8953846153854</v>
      </c>
      <c r="AF22" s="359"/>
      <c r="AG22" s="10"/>
      <c r="AH22" s="172"/>
      <c r="AI22" s="172"/>
      <c r="AJ22" s="173"/>
      <c r="AL22" s="313">
        <f t="shared" ca="1" si="5"/>
        <v>32492.62</v>
      </c>
      <c r="AM22" s="313" t="e" cm="1">
        <f t="array" ref="AM22">INDEX($BG$8:$BQ$83,ROW()-7,MATCH($G$3,$BG$5:$BQ$5,0))</f>
        <v>#N/A</v>
      </c>
      <c r="AN22" s="313" t="e">
        <f t="shared" ca="1" si="7"/>
        <v>#N/A</v>
      </c>
      <c r="AO22" s="314" t="str">
        <f t="shared" ca="1" si="8"/>
        <v/>
      </c>
      <c r="AP22" s="518"/>
      <c r="AR22" s="282">
        <f t="shared" ca="1" si="9"/>
        <v>425728.46076923091</v>
      </c>
      <c r="AS22" s="10"/>
      <c r="AT22" s="166">
        <v>37004.515384615384</v>
      </c>
      <c r="AU22" s="108">
        <v>37004.515384615384</v>
      </c>
      <c r="AV22" s="108">
        <v>37004.515384615384</v>
      </c>
      <c r="AW22" s="108">
        <v>51171.411538461543</v>
      </c>
      <c r="AX22" s="108">
        <v>37004.515384615384</v>
      </c>
      <c r="AY22" s="108">
        <v>37004.515384615384</v>
      </c>
      <c r="AZ22" s="108">
        <v>37004.515384615384</v>
      </c>
      <c r="BA22" s="519">
        <v>37004.515384615384</v>
      </c>
      <c r="BB22" s="519">
        <v>37004.515384615384</v>
      </c>
      <c r="BC22" s="519">
        <v>37004.515384615384</v>
      </c>
      <c r="BD22" s="519">
        <v>37004.515384615384</v>
      </c>
      <c r="BE22" s="520">
        <v>37004.515384615384</v>
      </c>
      <c r="BF22" s="521"/>
      <c r="BG22" s="522">
        <f t="shared" si="10"/>
        <v>74009.030769230769</v>
      </c>
      <c r="BH22" s="522">
        <f t="shared" si="11"/>
        <v>111013.54615384615</v>
      </c>
      <c r="BI22" s="522">
        <f t="shared" si="12"/>
        <v>162184.95769230771</v>
      </c>
      <c r="BJ22" s="522">
        <f t="shared" si="13"/>
        <v>199189.47307692311</v>
      </c>
      <c r="BK22" s="522">
        <f t="shared" si="14"/>
        <v>236193.98846153851</v>
      </c>
      <c r="BL22" s="522">
        <f t="shared" si="15"/>
        <v>273198.50384615391</v>
      </c>
      <c r="BM22" s="522">
        <f t="shared" si="16"/>
        <v>310203.01923076931</v>
      </c>
      <c r="BN22" s="522">
        <f t="shared" si="17"/>
        <v>347207.53461538471</v>
      </c>
      <c r="BO22" s="522">
        <f t="shared" si="18"/>
        <v>384212.0500000001</v>
      </c>
      <c r="BP22" s="522">
        <f t="shared" si="19"/>
        <v>421216.5653846155</v>
      </c>
      <c r="BQ22" s="523">
        <f t="shared" si="20"/>
        <v>458221.0807692309</v>
      </c>
    </row>
    <row r="23" spans="1:75" s="11" customFormat="1" ht="20.100000000000001" customHeight="1">
      <c r="A23" s="125" t="s">
        <v>0</v>
      </c>
      <c r="B23" s="126" t="s">
        <v>0</v>
      </c>
      <c r="C23" s="126" t="s">
        <v>45</v>
      </c>
      <c r="D23" s="126" t="s">
        <v>22</v>
      </c>
      <c r="E23" s="126">
        <v>621013</v>
      </c>
      <c r="F23" s="127">
        <v>62710103</v>
      </c>
      <c r="G23" s="128" t="s">
        <v>506</v>
      </c>
      <c r="H23" s="239">
        <v>435.28</v>
      </c>
      <c r="I23" s="119">
        <f t="shared" ca="1" si="22"/>
        <v>266.28000000000003</v>
      </c>
      <c r="J23" s="120">
        <f t="shared" ca="1" si="22"/>
        <v>0</v>
      </c>
      <c r="K23" s="120">
        <f t="shared" ca="1" si="22"/>
        <v>0</v>
      </c>
      <c r="L23" s="120">
        <f t="shared" ca="1" si="22"/>
        <v>0</v>
      </c>
      <c r="M23" s="120">
        <f t="shared" ca="1" si="22"/>
        <v>0</v>
      </c>
      <c r="N23" s="120">
        <f t="shared" ca="1" si="22"/>
        <v>0</v>
      </c>
      <c r="O23" s="120">
        <f t="shared" ca="1" si="22"/>
        <v>0</v>
      </c>
      <c r="P23" s="120">
        <f t="shared" ca="1" si="22"/>
        <v>0</v>
      </c>
      <c r="Q23" s="120">
        <f t="shared" ca="1" si="22"/>
        <v>0</v>
      </c>
      <c r="R23" s="120">
        <f t="shared" ca="1" si="22"/>
        <v>0</v>
      </c>
      <c r="S23" s="120">
        <f t="shared" ca="1" si="22"/>
        <v>0</v>
      </c>
      <c r="T23" s="120">
        <f t="shared" ca="1" si="22"/>
        <v>0</v>
      </c>
      <c r="U23" s="121" cm="2">
        <f t="array" aca="1" ref="U23" ca="1">INDEX($I23:$T23,$U$2)</f>
        <v>266.28000000000003</v>
      </c>
      <c r="V23" s="235"/>
      <c r="W23" s="235"/>
      <c r="X23" s="239">
        <f t="shared" ca="1" si="6"/>
        <v>266.28000000000003</v>
      </c>
      <c r="Y23" s="52"/>
      <c r="Z23" s="291" cm="1">
        <f t="array" aca="1" ref="Z23" ca="1">IFERROR(U23/OFFSET($H23,,MATCH($G$2,$H$5:$U$5,0)-2,,),"-")</f>
        <v>0.61174416467561121</v>
      </c>
      <c r="AA23" s="230" cm="1">
        <f t="array" aca="1" ref="AA23" ca="1">U23-OFFSET($H23,,MATCH($G$2,$H$5:$U$5,0)-2,,)</f>
        <v>-168.99999999999994</v>
      </c>
      <c r="AB23" s="230"/>
      <c r="AC23" s="10"/>
      <c r="AD23" s="224" t="str" cm="1">
        <f t="array" aca="1" ref="AD23" ca="1">IFERROR(U23/OFFSET($AT23,,MATCH($G$2,$AT$5:$BE$5,0)-1,,),"-")</f>
        <v>-</v>
      </c>
      <c r="AE23" s="225" cm="1">
        <f t="array" aca="1" ref="AE23" ca="1">U23-OFFSET($AT23,,MATCH($G$2,$AT$5:$BE$5,0)-1,,)</f>
        <v>266.28000000000003</v>
      </c>
      <c r="AF23" s="359"/>
      <c r="AG23" s="1"/>
      <c r="AH23" s="172"/>
      <c r="AI23" s="172"/>
      <c r="AJ23" s="173"/>
      <c r="AL23" s="312">
        <f t="shared" ca="1" si="5"/>
        <v>266.28000000000003</v>
      </c>
      <c r="AM23" s="312" t="e" cm="1">
        <f t="array" ref="AM23">INDEX($BG$8:$BQ$83,ROW()-7,MATCH($G$3,$BG$5:$BQ$5,0))</f>
        <v>#N/A</v>
      </c>
      <c r="AN23" s="313" t="e">
        <f t="shared" ca="1" si="7"/>
        <v>#N/A</v>
      </c>
      <c r="AO23" s="314" t="str">
        <f t="shared" ca="1" si="8"/>
        <v/>
      </c>
      <c r="AP23" s="315"/>
      <c r="AR23" s="278">
        <f t="shared" ca="1" si="9"/>
        <v>-266.28000000000003</v>
      </c>
      <c r="AS23" s="1"/>
      <c r="AT23" s="166">
        <v>0</v>
      </c>
      <c r="AU23" s="108">
        <v>0</v>
      </c>
      <c r="AV23" s="108">
        <v>0</v>
      </c>
      <c r="AW23" s="108">
        <v>0</v>
      </c>
      <c r="AX23" s="108">
        <v>0</v>
      </c>
      <c r="AY23" s="108">
        <v>0</v>
      </c>
      <c r="AZ23" s="108">
        <v>0</v>
      </c>
      <c r="BA23" s="289">
        <v>0</v>
      </c>
      <c r="BB23" s="289">
        <v>0</v>
      </c>
      <c r="BC23" s="289">
        <v>0</v>
      </c>
      <c r="BD23" s="289">
        <v>0</v>
      </c>
      <c r="BE23" s="290">
        <v>0</v>
      </c>
      <c r="BF23" s="20"/>
      <c r="BG23" s="275">
        <f t="shared" si="10"/>
        <v>0</v>
      </c>
      <c r="BH23" s="275">
        <f t="shared" si="11"/>
        <v>0</v>
      </c>
      <c r="BI23" s="275">
        <f t="shared" si="12"/>
        <v>0</v>
      </c>
      <c r="BJ23" s="275">
        <f t="shared" si="13"/>
        <v>0</v>
      </c>
      <c r="BK23" s="275">
        <f t="shared" si="14"/>
        <v>0</v>
      </c>
      <c r="BL23" s="275">
        <f t="shared" si="15"/>
        <v>0</v>
      </c>
      <c r="BM23" s="275">
        <f t="shared" si="16"/>
        <v>0</v>
      </c>
      <c r="BN23" s="275">
        <f t="shared" si="17"/>
        <v>0</v>
      </c>
      <c r="BO23" s="275">
        <f t="shared" si="18"/>
        <v>0</v>
      </c>
      <c r="BP23" s="275">
        <f t="shared" si="19"/>
        <v>0</v>
      </c>
      <c r="BQ23" s="281">
        <f t="shared" si="20"/>
        <v>0</v>
      </c>
    </row>
    <row r="24" spans="1:75" s="11" customFormat="1" ht="20.100000000000001" customHeight="1">
      <c r="A24" s="125" t="s">
        <v>0</v>
      </c>
      <c r="B24" s="126" t="s">
        <v>0</v>
      </c>
      <c r="C24" s="126" t="s">
        <v>45</v>
      </c>
      <c r="D24" s="126" t="s">
        <v>22</v>
      </c>
      <c r="E24" s="126">
        <v>621014</v>
      </c>
      <c r="F24" s="127">
        <v>62710104</v>
      </c>
      <c r="G24" s="128" t="s">
        <v>507</v>
      </c>
      <c r="H24" s="239">
        <v>0</v>
      </c>
      <c r="I24" s="119">
        <f t="shared" ca="1" si="22"/>
        <v>0</v>
      </c>
      <c r="J24" s="120">
        <f t="shared" ca="1" si="22"/>
        <v>0</v>
      </c>
      <c r="K24" s="120">
        <f t="shared" ca="1" si="22"/>
        <v>0</v>
      </c>
      <c r="L24" s="120">
        <f t="shared" ca="1" si="22"/>
        <v>0</v>
      </c>
      <c r="M24" s="120">
        <f t="shared" ca="1" si="22"/>
        <v>0</v>
      </c>
      <c r="N24" s="120">
        <f t="shared" ca="1" si="22"/>
        <v>0</v>
      </c>
      <c r="O24" s="120">
        <f t="shared" ca="1" si="22"/>
        <v>0</v>
      </c>
      <c r="P24" s="120">
        <f t="shared" ca="1" si="22"/>
        <v>0</v>
      </c>
      <c r="Q24" s="120">
        <f t="shared" ca="1" si="22"/>
        <v>0</v>
      </c>
      <c r="R24" s="120">
        <f t="shared" ca="1" si="22"/>
        <v>0</v>
      </c>
      <c r="S24" s="120">
        <f t="shared" ca="1" si="22"/>
        <v>0</v>
      </c>
      <c r="T24" s="120">
        <f t="shared" ca="1" si="22"/>
        <v>0</v>
      </c>
      <c r="U24" s="121" cm="2">
        <f t="array" aca="1" ref="U24" ca="1">INDEX($I24:$T24,$U$2)</f>
        <v>0</v>
      </c>
      <c r="V24" s="235"/>
      <c r="W24" s="235"/>
      <c r="X24" s="239">
        <f t="shared" ca="1" si="6"/>
        <v>0</v>
      </c>
      <c r="Y24" s="52"/>
      <c r="Z24" s="291" t="str" cm="1">
        <f t="array" aca="1" ref="Z24" ca="1">IFERROR(U24/OFFSET($H24,,MATCH($G$2,$H$5:$U$5,0)-2,,),"-")</f>
        <v>-</v>
      </c>
      <c r="AA24" s="230" cm="1">
        <f t="array" aca="1" ref="AA24" ca="1">U24-OFFSET($H24,,MATCH($G$2,$H$5:$U$5,0)-2,,)</f>
        <v>0</v>
      </c>
      <c r="AB24" s="230"/>
      <c r="AC24" s="10"/>
      <c r="AD24" s="224" t="str" cm="1">
        <f t="array" aca="1" ref="AD24" ca="1">IFERROR(U24/OFFSET($AT24,,MATCH($G$2,$AT$5:$BE$5,0)-1,,),"-")</f>
        <v>-</v>
      </c>
      <c r="AE24" s="225" cm="1">
        <f t="array" aca="1" ref="AE24" ca="1">U24-OFFSET($AT24,,MATCH($G$2,$AT$5:$BE$5,0)-1,,)</f>
        <v>0</v>
      </c>
      <c r="AF24" s="359"/>
      <c r="AG24" s="1"/>
      <c r="AH24" s="172"/>
      <c r="AI24" s="172"/>
      <c r="AJ24" s="173"/>
      <c r="AL24" s="312">
        <f t="shared" ca="1" si="5"/>
        <v>0</v>
      </c>
      <c r="AM24" s="312" t="e" cm="1">
        <f t="array" ref="AM24">INDEX($BG$8:$BQ$83,ROW()-7,MATCH($G$3,$BG$5:$BQ$5,0))</f>
        <v>#N/A</v>
      </c>
      <c r="AN24" s="313" t="e">
        <f t="shared" ca="1" si="7"/>
        <v>#N/A</v>
      </c>
      <c r="AO24" s="314" t="str">
        <f t="shared" ca="1" si="8"/>
        <v/>
      </c>
      <c r="AP24" s="315"/>
      <c r="AR24" s="278">
        <f t="shared" ca="1" si="9"/>
        <v>0</v>
      </c>
      <c r="AS24" s="1"/>
      <c r="AT24" s="166">
        <v>0</v>
      </c>
      <c r="AU24" s="108">
        <v>0</v>
      </c>
      <c r="AV24" s="108">
        <v>0</v>
      </c>
      <c r="AW24" s="108">
        <v>0</v>
      </c>
      <c r="AX24" s="108">
        <v>0</v>
      </c>
      <c r="AY24" s="108">
        <v>0</v>
      </c>
      <c r="AZ24" s="108">
        <v>0</v>
      </c>
      <c r="BA24" s="289">
        <v>0</v>
      </c>
      <c r="BB24" s="289">
        <v>0</v>
      </c>
      <c r="BC24" s="289">
        <v>0</v>
      </c>
      <c r="BD24" s="289">
        <v>0</v>
      </c>
      <c r="BE24" s="290">
        <v>0</v>
      </c>
      <c r="BF24" s="20"/>
      <c r="BG24" s="275">
        <f t="shared" si="10"/>
        <v>0</v>
      </c>
      <c r="BH24" s="275">
        <f t="shared" si="11"/>
        <v>0</v>
      </c>
      <c r="BI24" s="275">
        <f t="shared" si="12"/>
        <v>0</v>
      </c>
      <c r="BJ24" s="275">
        <f t="shared" si="13"/>
        <v>0</v>
      </c>
      <c r="BK24" s="275">
        <f t="shared" si="14"/>
        <v>0</v>
      </c>
      <c r="BL24" s="275">
        <f t="shared" si="15"/>
        <v>0</v>
      </c>
      <c r="BM24" s="275">
        <f t="shared" si="16"/>
        <v>0</v>
      </c>
      <c r="BN24" s="275">
        <f t="shared" si="17"/>
        <v>0</v>
      </c>
      <c r="BO24" s="275">
        <f t="shared" si="18"/>
        <v>0</v>
      </c>
      <c r="BP24" s="275">
        <f t="shared" si="19"/>
        <v>0</v>
      </c>
      <c r="BQ24" s="281">
        <f t="shared" si="20"/>
        <v>0</v>
      </c>
    </row>
    <row r="25" spans="1:75" s="11" customFormat="1" ht="20.100000000000001" customHeight="1">
      <c r="A25" s="125" t="s">
        <v>0</v>
      </c>
      <c r="B25" s="126" t="s">
        <v>0</v>
      </c>
      <c r="C25" s="126" t="s">
        <v>45</v>
      </c>
      <c r="D25" s="126" t="s">
        <v>22</v>
      </c>
      <c r="E25" s="126">
        <v>622011</v>
      </c>
      <c r="F25" s="127">
        <v>62710401</v>
      </c>
      <c r="G25" s="128" t="s">
        <v>508</v>
      </c>
      <c r="H25" s="239">
        <v>16405.28</v>
      </c>
      <c r="I25" s="119">
        <f t="shared" ca="1" si="22"/>
        <v>33763.15</v>
      </c>
      <c r="J25" s="120">
        <f t="shared" ca="1" si="22"/>
        <v>0</v>
      </c>
      <c r="K25" s="120">
        <f t="shared" ca="1" si="22"/>
        <v>0</v>
      </c>
      <c r="L25" s="120">
        <f t="shared" ca="1" si="22"/>
        <v>0</v>
      </c>
      <c r="M25" s="120">
        <f t="shared" ca="1" si="22"/>
        <v>0</v>
      </c>
      <c r="N25" s="120">
        <f t="shared" ca="1" si="22"/>
        <v>0</v>
      </c>
      <c r="O25" s="120">
        <f t="shared" ca="1" si="22"/>
        <v>0</v>
      </c>
      <c r="P25" s="120">
        <f t="shared" ca="1" si="22"/>
        <v>0</v>
      </c>
      <c r="Q25" s="120">
        <f t="shared" ca="1" si="22"/>
        <v>0</v>
      </c>
      <c r="R25" s="120">
        <f t="shared" ca="1" si="22"/>
        <v>0</v>
      </c>
      <c r="S25" s="120">
        <f t="shared" ca="1" si="22"/>
        <v>0</v>
      </c>
      <c r="T25" s="120">
        <f t="shared" ca="1" si="22"/>
        <v>0</v>
      </c>
      <c r="U25" s="121" cm="2">
        <f t="array" aca="1" ref="U25" ca="1">INDEX($I25:$T25,$U$2)</f>
        <v>33763.15</v>
      </c>
      <c r="V25" s="235"/>
      <c r="W25" s="235"/>
      <c r="X25" s="239">
        <f t="shared" ca="1" si="6"/>
        <v>33763.15</v>
      </c>
      <c r="Y25" s="52"/>
      <c r="Z25" s="291" cm="1">
        <f t="array" aca="1" ref="Z25" ca="1">IFERROR(U25/OFFSET($H25,,MATCH($G$2,$H$5:$U$5,0)-2,,),"-")</f>
        <v>2.0580660616581983</v>
      </c>
      <c r="AA25" s="230" cm="1">
        <f t="array" aca="1" ref="AA25" ca="1">U25-OFFSET($H25,,MATCH($G$2,$H$5:$U$5,0)-2,,)</f>
        <v>17357.870000000003</v>
      </c>
      <c r="AB25" s="243"/>
      <c r="AC25" s="10"/>
      <c r="AD25" s="224" cm="1">
        <f t="array" aca="1" ref="AD25" ca="1">IFERROR(U25/OFFSET($AT25,,MATCH($G$2,$AT$5:$BE$5,0)-1,,),"-")</f>
        <v>0.79790362802999082</v>
      </c>
      <c r="AE25" s="225" cm="1">
        <f t="array" aca="1" ref="AE25" ca="1">U25-OFFSET($AT25,,MATCH($G$2,$AT$5:$BE$5,0)-1,,)</f>
        <v>-8551.6720084681001</v>
      </c>
      <c r="AF25" s="359"/>
      <c r="AG25" s="1"/>
      <c r="AH25" s="172"/>
      <c r="AI25" s="172"/>
      <c r="AJ25" s="173"/>
      <c r="AL25" s="312">
        <f t="shared" ca="1" si="5"/>
        <v>33763.15</v>
      </c>
      <c r="AM25" s="312" t="e" cm="1">
        <f t="array" ref="AM25">INDEX($BG$8:$BQ$83,ROW()-7,MATCH($G$3,$BG$5:$BQ$5,0))</f>
        <v>#N/A</v>
      </c>
      <c r="AN25" s="313" t="e">
        <f t="shared" ca="1" si="7"/>
        <v>#N/A</v>
      </c>
      <c r="AO25" s="314" t="str">
        <f t="shared" ca="1" si="8"/>
        <v/>
      </c>
      <c r="AP25" s="315"/>
      <c r="AR25" s="278">
        <f t="shared" ca="1" si="9"/>
        <v>554248.51266924909</v>
      </c>
      <c r="AS25" s="1"/>
      <c r="AT25" s="166">
        <v>42314.822008468102</v>
      </c>
      <c r="AU25" s="108">
        <v>42410.130660070397</v>
      </c>
      <c r="AV25" s="108">
        <v>42410.130660070397</v>
      </c>
      <c r="AW25" s="108">
        <v>52531.590186045389</v>
      </c>
      <c r="AX25" s="108">
        <v>44856.262316095723</v>
      </c>
      <c r="AY25" s="108">
        <v>46489.818402158387</v>
      </c>
      <c r="AZ25" s="108">
        <v>52441.537800163205</v>
      </c>
      <c r="BA25" s="292">
        <v>44856.262316095723</v>
      </c>
      <c r="BB25" s="292">
        <v>44856.262316095723</v>
      </c>
      <c r="BC25" s="292">
        <v>52663.772441671637</v>
      </c>
      <c r="BD25" s="292">
        <v>52678.080543946577</v>
      </c>
      <c r="BE25" s="293">
        <v>69502.993018367924</v>
      </c>
      <c r="BF25" s="317"/>
      <c r="BG25" s="276">
        <f t="shared" si="10"/>
        <v>84724.952668538492</v>
      </c>
      <c r="BH25" s="276">
        <f t="shared" si="11"/>
        <v>127135.08332860889</v>
      </c>
      <c r="BI25" s="276">
        <f t="shared" si="12"/>
        <v>179666.67351465428</v>
      </c>
      <c r="BJ25" s="276">
        <f t="shared" si="13"/>
        <v>224522.93583075001</v>
      </c>
      <c r="BK25" s="276">
        <f t="shared" si="14"/>
        <v>271012.75423290837</v>
      </c>
      <c r="BL25" s="276">
        <f t="shared" si="15"/>
        <v>323454.29203307157</v>
      </c>
      <c r="BM25" s="276">
        <f t="shared" si="16"/>
        <v>368310.55434916727</v>
      </c>
      <c r="BN25" s="276">
        <f t="shared" si="17"/>
        <v>413166.81666526297</v>
      </c>
      <c r="BO25" s="276">
        <f t="shared" si="18"/>
        <v>465830.58910693461</v>
      </c>
      <c r="BP25" s="276">
        <f t="shared" si="19"/>
        <v>518508.6696508812</v>
      </c>
      <c r="BQ25" s="278">
        <f t="shared" si="20"/>
        <v>588011.66266924911</v>
      </c>
    </row>
    <row r="26" spans="1:75" s="96" customFormat="1" ht="20.100000000000001" customHeight="1">
      <c r="A26" s="125" t="s">
        <v>0</v>
      </c>
      <c r="B26" s="126" t="s">
        <v>0</v>
      </c>
      <c r="C26" s="126" t="s">
        <v>45</v>
      </c>
      <c r="D26" s="126" t="s">
        <v>22</v>
      </c>
      <c r="E26" s="126">
        <v>622012</v>
      </c>
      <c r="F26" s="127">
        <v>62710402</v>
      </c>
      <c r="G26" s="128" t="s">
        <v>509</v>
      </c>
      <c r="H26" s="239">
        <v>6617.44</v>
      </c>
      <c r="I26" s="119">
        <f t="shared" ca="1" si="22"/>
        <v>4436.8100000000004</v>
      </c>
      <c r="J26" s="120">
        <f t="shared" ca="1" si="22"/>
        <v>0</v>
      </c>
      <c r="K26" s="120">
        <f t="shared" ca="1" si="22"/>
        <v>0</v>
      </c>
      <c r="L26" s="120">
        <f t="shared" ca="1" si="22"/>
        <v>0</v>
      </c>
      <c r="M26" s="120">
        <f t="shared" ca="1" si="22"/>
        <v>0</v>
      </c>
      <c r="N26" s="120">
        <f t="shared" ca="1" si="22"/>
        <v>0</v>
      </c>
      <c r="O26" s="120">
        <f t="shared" ca="1" si="22"/>
        <v>0</v>
      </c>
      <c r="P26" s="120">
        <f t="shared" ca="1" si="22"/>
        <v>0</v>
      </c>
      <c r="Q26" s="120">
        <f t="shared" ca="1" si="22"/>
        <v>0</v>
      </c>
      <c r="R26" s="120">
        <f t="shared" ca="1" si="22"/>
        <v>0</v>
      </c>
      <c r="S26" s="120">
        <f t="shared" ca="1" si="22"/>
        <v>0</v>
      </c>
      <c r="T26" s="120">
        <f t="shared" ca="1" si="22"/>
        <v>0</v>
      </c>
      <c r="U26" s="121" cm="2">
        <f t="array" aca="1" ref="U26" ca="1">INDEX($I26:$T26,$U$2)</f>
        <v>4436.8100000000004</v>
      </c>
      <c r="V26" s="235"/>
      <c r="W26" s="235"/>
      <c r="X26" s="239">
        <f t="shared" ca="1" si="6"/>
        <v>4436.8100000000004</v>
      </c>
      <c r="Y26" s="52"/>
      <c r="Z26" s="291" cm="1">
        <f t="array" aca="1" ref="Z26" ca="1">IFERROR(U26/OFFSET($H26,,MATCH($G$2,$H$5:$U$5,0)-2,,),"-")</f>
        <v>0.67047226722116116</v>
      </c>
      <c r="AA26" s="230" cm="1">
        <f t="array" aca="1" ref="AA26" ca="1">U26-OFFSET($H26,,MATCH($G$2,$H$5:$U$5,0)-2,,)</f>
        <v>-2180.6299999999992</v>
      </c>
      <c r="AB26" s="230"/>
      <c r="AC26" s="10"/>
      <c r="AD26" s="224" cm="1">
        <f t="array" aca="1" ref="AD26" ca="1">IFERROR(U26/OFFSET($AT26,,MATCH($G$2,$AT$5:$BE$5,0)-1,,),"-")</f>
        <v>0.64354541417576561</v>
      </c>
      <c r="AE26" s="225" cm="1">
        <f t="array" aca="1" ref="AE26" ca="1">U26-OFFSET($AT26,,MATCH($G$2,$AT$5:$BE$5,0)-1,,)</f>
        <v>-2457.5130769230764</v>
      </c>
      <c r="AF26" s="359"/>
      <c r="AG26" s="10"/>
      <c r="AH26" s="172"/>
      <c r="AI26" s="172"/>
      <c r="AJ26" s="173"/>
      <c r="AL26" s="313">
        <f t="shared" ca="1" si="5"/>
        <v>4436.8100000000004</v>
      </c>
      <c r="AM26" s="313" t="e" cm="1">
        <f t="array" ref="AM26">INDEX($BG$8:$BQ$83,ROW()-7,MATCH($G$3,$BG$5:$BQ$5,0))</f>
        <v>#N/A</v>
      </c>
      <c r="AN26" s="313" t="e">
        <f t="shared" ca="1" si="7"/>
        <v>#N/A</v>
      </c>
      <c r="AO26" s="314" t="str">
        <f t="shared" ca="1" si="8"/>
        <v/>
      </c>
      <c r="AP26" s="518"/>
      <c r="AR26" s="282">
        <f t="shared" ca="1" si="9"/>
        <v>81425.928461538468</v>
      </c>
      <c r="AS26" s="10"/>
      <c r="AT26" s="166">
        <v>6894.3230769230768</v>
      </c>
      <c r="AU26" s="108">
        <v>6894.3230769230768</v>
      </c>
      <c r="AV26" s="108">
        <v>6894.3230769230768</v>
      </c>
      <c r="AW26" s="108">
        <v>10025.184615384616</v>
      </c>
      <c r="AX26" s="108">
        <v>6894.3230769230768</v>
      </c>
      <c r="AY26" s="108">
        <v>6894.3230769230768</v>
      </c>
      <c r="AZ26" s="108">
        <v>6894.3230769230768</v>
      </c>
      <c r="BA26" s="519">
        <v>6894.3230769230768</v>
      </c>
      <c r="BB26" s="519">
        <v>6894.3230769230768</v>
      </c>
      <c r="BC26" s="519">
        <v>6894.3230769230768</v>
      </c>
      <c r="BD26" s="519">
        <v>6894.3230769230768</v>
      </c>
      <c r="BE26" s="520">
        <v>6894.3230769230768</v>
      </c>
      <c r="BF26" s="521"/>
      <c r="BG26" s="522">
        <f t="shared" si="10"/>
        <v>13788.646153846154</v>
      </c>
      <c r="BH26" s="522">
        <f t="shared" si="11"/>
        <v>20682.969230769231</v>
      </c>
      <c r="BI26" s="522">
        <f t="shared" si="12"/>
        <v>30708.153846153848</v>
      </c>
      <c r="BJ26" s="522">
        <f t="shared" si="13"/>
        <v>37602.476923076923</v>
      </c>
      <c r="BK26" s="522">
        <f t="shared" si="14"/>
        <v>44496.800000000003</v>
      </c>
      <c r="BL26" s="522">
        <f t="shared" si="15"/>
        <v>51391.123076923082</v>
      </c>
      <c r="BM26" s="522">
        <f t="shared" si="16"/>
        <v>58285.446153846162</v>
      </c>
      <c r="BN26" s="522">
        <f t="shared" si="17"/>
        <v>65179.769230769241</v>
      </c>
      <c r="BO26" s="522">
        <f t="shared" si="18"/>
        <v>72074.092307692321</v>
      </c>
      <c r="BP26" s="522">
        <f t="shared" si="19"/>
        <v>78968.415384615393</v>
      </c>
      <c r="BQ26" s="523">
        <f t="shared" si="20"/>
        <v>85862.738461538465</v>
      </c>
    </row>
    <row r="27" spans="1:75" s="11" customFormat="1" ht="20.100000000000001" customHeight="1">
      <c r="A27" s="125" t="s">
        <v>0</v>
      </c>
      <c r="B27" s="126" t="s">
        <v>0</v>
      </c>
      <c r="C27" s="126" t="s">
        <v>45</v>
      </c>
      <c r="D27" s="126" t="s">
        <v>22</v>
      </c>
      <c r="E27" s="126">
        <v>624020</v>
      </c>
      <c r="F27" s="127">
        <v>62712000</v>
      </c>
      <c r="G27" s="128" t="s">
        <v>510</v>
      </c>
      <c r="H27" s="239">
        <v>3354.32</v>
      </c>
      <c r="I27" s="119">
        <f t="shared" ca="1" si="22"/>
        <v>3339.19</v>
      </c>
      <c r="J27" s="120">
        <f t="shared" ca="1" si="22"/>
        <v>0</v>
      </c>
      <c r="K27" s="120">
        <f t="shared" ca="1" si="22"/>
        <v>0</v>
      </c>
      <c r="L27" s="120">
        <f t="shared" ca="1" si="22"/>
        <v>0</v>
      </c>
      <c r="M27" s="120">
        <f t="shared" ca="1" si="22"/>
        <v>0</v>
      </c>
      <c r="N27" s="120">
        <f t="shared" ca="1" si="22"/>
        <v>0</v>
      </c>
      <c r="O27" s="120">
        <f t="shared" ca="1" si="22"/>
        <v>0</v>
      </c>
      <c r="P27" s="120">
        <f t="shared" ca="1" si="22"/>
        <v>0</v>
      </c>
      <c r="Q27" s="120">
        <f t="shared" ca="1" si="22"/>
        <v>0</v>
      </c>
      <c r="R27" s="120">
        <f t="shared" ca="1" si="22"/>
        <v>0</v>
      </c>
      <c r="S27" s="120">
        <f t="shared" ca="1" si="22"/>
        <v>0</v>
      </c>
      <c r="T27" s="120">
        <f t="shared" ca="1" si="22"/>
        <v>0</v>
      </c>
      <c r="U27" s="121" cm="2">
        <f t="array" aca="1" ref="U27" ca="1">INDEX($I27:$T27,$U$2)</f>
        <v>3339.19</v>
      </c>
      <c r="V27" s="235"/>
      <c r="W27" s="235"/>
      <c r="X27" s="239">
        <f t="shared" ca="1" si="6"/>
        <v>3339.19</v>
      </c>
      <c r="Y27" s="249"/>
      <c r="Z27" s="291" cm="1">
        <f t="array" aca="1" ref="Z27" ca="1">IFERROR(U27/OFFSET($H27,,MATCH($G$2,$H$5:$U$5,0)-2,,),"-")</f>
        <v>0.99548939874549836</v>
      </c>
      <c r="AA27" s="230" cm="1">
        <f t="array" aca="1" ref="AA27" ca="1">U27-OFFSET($H27,,MATCH($G$2,$H$5:$U$5,0)-2,,)</f>
        <v>-15.130000000000109</v>
      </c>
      <c r="AB27" s="230"/>
      <c r="AC27" s="10"/>
      <c r="AD27" s="224" cm="1">
        <f t="array" aca="1" ref="AD27" ca="1">IFERROR(U27/OFFSET($AT27,,MATCH($G$2,$AT$5:$BE$5,0)-1,,),"-")</f>
        <v>0.98580587764743044</v>
      </c>
      <c r="AE27" s="225" cm="1">
        <f t="array" aca="1" ref="AE27" ca="1">U27-OFFSET($AT27,,MATCH($G$2,$AT$5:$BE$5,0)-1,,)</f>
        <v>-48.07931509962873</v>
      </c>
      <c r="AF27" s="359"/>
      <c r="AG27" s="1"/>
      <c r="AH27" s="172"/>
      <c r="AI27" s="172"/>
      <c r="AJ27" s="173"/>
      <c r="AL27" s="312">
        <f t="shared" ca="1" si="5"/>
        <v>3339.19</v>
      </c>
      <c r="AM27" s="312" t="e" cm="1">
        <f t="array" ref="AM27">INDEX($BG$8:$BQ$83,ROW()-7,MATCH($G$3,$BG$5:$BQ$5,0))</f>
        <v>#N/A</v>
      </c>
      <c r="AN27" s="313" t="e">
        <f t="shared" ca="1" si="7"/>
        <v>#N/A</v>
      </c>
      <c r="AO27" s="314" t="str">
        <f t="shared" ca="1" si="8"/>
        <v/>
      </c>
      <c r="AP27" s="315"/>
      <c r="AR27" s="278">
        <f t="shared" ca="1" si="9"/>
        <v>39356.195741104224</v>
      </c>
      <c r="AS27" s="1"/>
      <c r="AT27" s="166">
        <v>3387.2693150996288</v>
      </c>
      <c r="AU27" s="108">
        <v>3399.4363770063064</v>
      </c>
      <c r="AV27" s="108">
        <v>3399.4363770063064</v>
      </c>
      <c r="AW27" s="108">
        <v>3595.6168348684323</v>
      </c>
      <c r="AX27" s="108">
        <v>3583.297176598468</v>
      </c>
      <c r="AY27" s="108">
        <v>3583.297176598468</v>
      </c>
      <c r="AZ27" s="108">
        <v>3612.6729415923473</v>
      </c>
      <c r="BA27" s="289">
        <v>3612.6729415923473</v>
      </c>
      <c r="BB27" s="289">
        <v>3612.6729415923473</v>
      </c>
      <c r="BC27" s="289">
        <v>3636.3378863831899</v>
      </c>
      <c r="BD27" s="289">
        <v>3636.3378863831899</v>
      </c>
      <c r="BE27" s="290">
        <v>3636.3378863831899</v>
      </c>
      <c r="BF27" s="20"/>
      <c r="BG27" s="275">
        <f t="shared" si="10"/>
        <v>6786.7056921059357</v>
      </c>
      <c r="BH27" s="275">
        <f t="shared" si="11"/>
        <v>10186.142069112242</v>
      </c>
      <c r="BI27" s="275">
        <f t="shared" si="12"/>
        <v>13781.758903980673</v>
      </c>
      <c r="BJ27" s="275">
        <f t="shared" si="13"/>
        <v>17365.056080579143</v>
      </c>
      <c r="BK27" s="275">
        <f t="shared" si="14"/>
        <v>20948.353257177612</v>
      </c>
      <c r="BL27" s="275">
        <f t="shared" si="15"/>
        <v>24561.02619876996</v>
      </c>
      <c r="BM27" s="275">
        <f t="shared" si="16"/>
        <v>28173.699140362307</v>
      </c>
      <c r="BN27" s="275">
        <f t="shared" si="17"/>
        <v>31786.372081954654</v>
      </c>
      <c r="BO27" s="275">
        <f t="shared" si="18"/>
        <v>35422.709968337847</v>
      </c>
      <c r="BP27" s="275">
        <f t="shared" si="19"/>
        <v>39059.047854721037</v>
      </c>
      <c r="BQ27" s="281">
        <f t="shared" si="20"/>
        <v>42695.385741104226</v>
      </c>
    </row>
    <row r="28" spans="1:75" s="11" customFormat="1" ht="20.100000000000001" customHeight="1">
      <c r="A28" s="125" t="s">
        <v>0</v>
      </c>
      <c r="B28" s="126" t="s">
        <v>0</v>
      </c>
      <c r="C28" s="126" t="s">
        <v>45</v>
      </c>
      <c r="D28" s="126" t="s">
        <v>22</v>
      </c>
      <c r="E28" s="126">
        <v>624021</v>
      </c>
      <c r="F28" s="127">
        <v>62713100</v>
      </c>
      <c r="G28" s="128" t="s">
        <v>511</v>
      </c>
      <c r="H28" s="239">
        <v>23480.33</v>
      </c>
      <c r="I28" s="119">
        <f t="shared" ref="I28:T37" ca="1" si="23">SUMIFS(INDIRECT(I$5&amp;"!N:N"),INDIRECT(I$5&amp;"!L:L"),$E28,INDIRECT(I$5&amp;"!K:K"),50)-SUMIFS(INDIRECT(I$5&amp;"!N:N"),INDIRECT(I$5&amp;"!L:L"),$E28,INDIRECT(I$5&amp;"!K:K"),40)</f>
        <v>23305.63</v>
      </c>
      <c r="J28" s="120">
        <f t="shared" ca="1" si="23"/>
        <v>0</v>
      </c>
      <c r="K28" s="120">
        <f t="shared" ca="1" si="23"/>
        <v>0</v>
      </c>
      <c r="L28" s="120">
        <f t="shared" ca="1" si="23"/>
        <v>0</v>
      </c>
      <c r="M28" s="120">
        <f t="shared" ca="1" si="23"/>
        <v>0</v>
      </c>
      <c r="N28" s="120">
        <f t="shared" ca="1" si="23"/>
        <v>0</v>
      </c>
      <c r="O28" s="120">
        <f t="shared" ca="1" si="23"/>
        <v>0</v>
      </c>
      <c r="P28" s="120">
        <f t="shared" ca="1" si="23"/>
        <v>0</v>
      </c>
      <c r="Q28" s="120">
        <f t="shared" ca="1" si="23"/>
        <v>0</v>
      </c>
      <c r="R28" s="120">
        <f t="shared" ca="1" si="23"/>
        <v>0</v>
      </c>
      <c r="S28" s="120">
        <f t="shared" ca="1" si="23"/>
        <v>0</v>
      </c>
      <c r="T28" s="120">
        <f t="shared" ca="1" si="23"/>
        <v>0</v>
      </c>
      <c r="U28" s="121" cm="2">
        <f t="array" aca="1" ref="U28" ca="1">INDEX($I28:$T28,$U$2)</f>
        <v>23305.63</v>
      </c>
      <c r="V28" s="235"/>
      <c r="W28" s="235"/>
      <c r="X28" s="239">
        <f t="shared" ca="1" si="6"/>
        <v>23305.63</v>
      </c>
      <c r="Y28" s="249"/>
      <c r="Z28" s="291" cm="1">
        <f t="array" aca="1" ref="Z28" ca="1">IFERROR(U28/OFFSET($H28,,MATCH($G$2,$H$5:$U$5,0)-2,,),"-")</f>
        <v>0.99255972978233264</v>
      </c>
      <c r="AA28" s="230" cm="1">
        <f t="array" aca="1" ref="AA28" ca="1">U28-OFFSET($H28,,MATCH($G$2,$H$5:$U$5,0)-2,,)</f>
        <v>-174.70000000000073</v>
      </c>
      <c r="AB28" s="230"/>
      <c r="AC28" s="10"/>
      <c r="AD28" s="224" cm="1">
        <f t="array" aca="1" ref="AD28" ca="1">IFERROR(U28/OFFSET($AT28,,MATCH($G$2,$AT$5:$BE$5,0)-1,,),"-")</f>
        <v>0.98278085243999547</v>
      </c>
      <c r="AE28" s="225" cm="1">
        <f t="array" aca="1" ref="AE28" ca="1">U28-OFFSET($AT28,,MATCH($G$2,$AT$5:$BE$5,0)-1,,)</f>
        <v>-408.33424964734877</v>
      </c>
      <c r="AF28" s="359"/>
      <c r="AG28" s="1"/>
      <c r="AH28" s="172"/>
      <c r="AI28" s="172"/>
      <c r="AJ28" s="173"/>
      <c r="AL28" s="312">
        <f t="shared" ca="1" si="5"/>
        <v>23305.63</v>
      </c>
      <c r="AM28" s="312" t="e" cm="1">
        <f t="array" ref="AM28">INDEX($BG$8:$BQ$83,ROW()-7,MATCH($G$3,$BG$5:$BQ$5,0))</f>
        <v>#N/A</v>
      </c>
      <c r="AN28" s="313" t="e">
        <f t="shared" ca="1" si="7"/>
        <v>#N/A</v>
      </c>
      <c r="AO28" s="314" t="str">
        <f t="shared" ca="1" si="8"/>
        <v/>
      </c>
      <c r="AP28" s="315"/>
      <c r="AR28" s="278">
        <f t="shared" ca="1" si="9"/>
        <v>275546.15698361752</v>
      </c>
      <c r="AS28" s="1"/>
      <c r="AT28" s="166">
        <v>23713.96424964735</v>
      </c>
      <c r="AU28" s="108">
        <v>23794.483851610436</v>
      </c>
      <c r="AV28" s="108">
        <v>23794.483851610436</v>
      </c>
      <c r="AW28" s="108">
        <v>25167.604257787723</v>
      </c>
      <c r="AX28" s="108">
        <v>25081.366649897969</v>
      </c>
      <c r="AY28" s="108">
        <v>25081.366649897969</v>
      </c>
      <c r="AZ28" s="108">
        <v>25286.997004855129</v>
      </c>
      <c r="BA28" s="292">
        <v>25286.997004855129</v>
      </c>
      <c r="BB28" s="292">
        <v>25286.997004855129</v>
      </c>
      <c r="BC28" s="292">
        <v>25452.508819533421</v>
      </c>
      <c r="BD28" s="292">
        <v>25452.508819533421</v>
      </c>
      <c r="BE28" s="293">
        <v>25452.508819533421</v>
      </c>
      <c r="BF28" s="317"/>
      <c r="BG28" s="276">
        <f t="shared" si="10"/>
        <v>47508.448101257789</v>
      </c>
      <c r="BH28" s="276">
        <f t="shared" si="11"/>
        <v>71302.931952868224</v>
      </c>
      <c r="BI28" s="276">
        <f t="shared" si="12"/>
        <v>96470.536210655948</v>
      </c>
      <c r="BJ28" s="276">
        <f t="shared" si="13"/>
        <v>121551.90286055392</v>
      </c>
      <c r="BK28" s="276">
        <f t="shared" si="14"/>
        <v>146633.26951045188</v>
      </c>
      <c r="BL28" s="276">
        <f t="shared" si="15"/>
        <v>171920.26651530701</v>
      </c>
      <c r="BM28" s="276">
        <f t="shared" si="16"/>
        <v>197207.26352016215</v>
      </c>
      <c r="BN28" s="276">
        <f t="shared" si="17"/>
        <v>222494.26052501728</v>
      </c>
      <c r="BO28" s="276">
        <f t="shared" si="18"/>
        <v>247946.7693445507</v>
      </c>
      <c r="BP28" s="276">
        <f t="shared" si="19"/>
        <v>273399.27816408413</v>
      </c>
      <c r="BQ28" s="278">
        <f t="shared" si="20"/>
        <v>298851.78698361752</v>
      </c>
    </row>
    <row r="29" spans="1:75" s="11" customFormat="1" ht="20.100000000000001" customHeight="1">
      <c r="A29" s="125" t="s">
        <v>0</v>
      </c>
      <c r="B29" s="126" t="s">
        <v>0</v>
      </c>
      <c r="C29" s="126" t="s">
        <v>45</v>
      </c>
      <c r="D29" s="126" t="s">
        <v>22</v>
      </c>
      <c r="E29" s="126">
        <v>624024</v>
      </c>
      <c r="F29" s="127">
        <v>62713120</v>
      </c>
      <c r="G29" s="128" t="s">
        <v>512</v>
      </c>
      <c r="H29" s="239">
        <v>5031.51</v>
      </c>
      <c r="I29" s="119">
        <f t="shared" ca="1" si="23"/>
        <v>4994.07</v>
      </c>
      <c r="J29" s="120">
        <f t="shared" ca="1" si="23"/>
        <v>0</v>
      </c>
      <c r="K29" s="120">
        <f t="shared" ca="1" si="23"/>
        <v>0</v>
      </c>
      <c r="L29" s="120">
        <f t="shared" ca="1" si="23"/>
        <v>0</v>
      </c>
      <c r="M29" s="120">
        <f t="shared" ca="1" si="23"/>
        <v>0</v>
      </c>
      <c r="N29" s="120">
        <f t="shared" ca="1" si="23"/>
        <v>0</v>
      </c>
      <c r="O29" s="120">
        <f t="shared" ca="1" si="23"/>
        <v>0</v>
      </c>
      <c r="P29" s="120">
        <f t="shared" ca="1" si="23"/>
        <v>0</v>
      </c>
      <c r="Q29" s="120">
        <f t="shared" ca="1" si="23"/>
        <v>0</v>
      </c>
      <c r="R29" s="120">
        <f t="shared" ca="1" si="23"/>
        <v>0</v>
      </c>
      <c r="S29" s="120">
        <f t="shared" ca="1" si="23"/>
        <v>0</v>
      </c>
      <c r="T29" s="120">
        <f t="shared" ca="1" si="23"/>
        <v>0</v>
      </c>
      <c r="U29" s="121" cm="2">
        <f t="array" aca="1" ref="U29" ca="1">INDEX($I29:$T29,$U$2)</f>
        <v>4994.07</v>
      </c>
      <c r="V29" s="235"/>
      <c r="W29" s="235"/>
      <c r="X29" s="239">
        <f t="shared" ca="1" si="6"/>
        <v>4994.07</v>
      </c>
      <c r="Y29" s="249"/>
      <c r="Z29" s="291" cm="1">
        <f t="array" aca="1" ref="Z29" ca="1">IFERROR(U29/OFFSET($H29,,MATCH($G$2,$H$5:$U$5,0)-2,,),"-")</f>
        <v>0.9925588938509512</v>
      </c>
      <c r="AA29" s="230" cm="1">
        <f t="array" aca="1" ref="AA29" ca="1">U29-OFFSET($H29,,MATCH($G$2,$H$5:$U$5,0)-2,,)</f>
        <v>-37.440000000000509</v>
      </c>
      <c r="AB29" s="230"/>
      <c r="AC29" s="10"/>
      <c r="AD29" s="224" cm="1">
        <f t="array" aca="1" ref="AD29" ca="1">IFERROR(U29/OFFSET($AT29,,MATCH($G$2,$AT$5:$BE$5,0)-1,,),"-")</f>
        <v>0.98278211751738564</v>
      </c>
      <c r="AE29" s="225" cm="1">
        <f t="array" aca="1" ref="AE29" ca="1">U29-OFFSET($AT29,,MATCH($G$2,$AT$5:$BE$5,0)-1,,)</f>
        <v>-87.493767781574206</v>
      </c>
      <c r="AF29" s="359"/>
      <c r="AG29" s="1"/>
      <c r="AH29" s="172"/>
      <c r="AI29" s="172"/>
      <c r="AJ29" s="173"/>
      <c r="AL29" s="312">
        <f t="shared" ca="1" si="5"/>
        <v>4994.07</v>
      </c>
      <c r="AM29" s="312" t="e" cm="1">
        <f t="array" ref="AM29">INDEX($BG$8:$BQ$83,ROW()-7,MATCH($G$3,$BG$5:$BQ$5,0))</f>
        <v>#N/A</v>
      </c>
      <c r="AN29" s="313" t="e">
        <f t="shared" ca="1" si="7"/>
        <v>#N/A</v>
      </c>
      <c r="AO29" s="314" t="str">
        <f t="shared" ca="1" si="8"/>
        <v/>
      </c>
      <c r="AP29" s="315"/>
      <c r="AR29" s="278">
        <f t="shared" ca="1" si="9"/>
        <v>59045.598639346601</v>
      </c>
      <c r="AS29" s="1"/>
      <c r="AT29" s="166">
        <v>5081.5637677815739</v>
      </c>
      <c r="AU29" s="108">
        <v>5098.8179682022364</v>
      </c>
      <c r="AV29" s="108">
        <v>5098.8179682022364</v>
      </c>
      <c r="AW29" s="108">
        <v>5393.0580552402253</v>
      </c>
      <c r="AX29" s="108">
        <v>5374.5785678352777</v>
      </c>
      <c r="AY29" s="108">
        <v>5374.5785678352777</v>
      </c>
      <c r="AZ29" s="108">
        <v>5418.6422153260992</v>
      </c>
      <c r="BA29" s="289">
        <v>5418.6422153260992</v>
      </c>
      <c r="BB29" s="289">
        <v>5418.6422153260992</v>
      </c>
      <c r="BC29" s="289">
        <v>5454.1090327571601</v>
      </c>
      <c r="BD29" s="289">
        <v>5454.1090327571601</v>
      </c>
      <c r="BE29" s="290">
        <v>5454.1090327571601</v>
      </c>
      <c r="BF29" s="20"/>
      <c r="BG29" s="275">
        <f t="shared" si="10"/>
        <v>10180.38173598381</v>
      </c>
      <c r="BH29" s="275">
        <f t="shared" si="11"/>
        <v>15279.199704186047</v>
      </c>
      <c r="BI29" s="275">
        <f t="shared" si="12"/>
        <v>20672.257759426273</v>
      </c>
      <c r="BJ29" s="275">
        <f t="shared" si="13"/>
        <v>26046.83632726155</v>
      </c>
      <c r="BK29" s="275">
        <f t="shared" si="14"/>
        <v>31421.414895096827</v>
      </c>
      <c r="BL29" s="275">
        <f t="shared" si="15"/>
        <v>36840.057110422924</v>
      </c>
      <c r="BM29" s="275">
        <f t="shared" si="16"/>
        <v>42258.699325749025</v>
      </c>
      <c r="BN29" s="275">
        <f t="shared" si="17"/>
        <v>47677.341541075126</v>
      </c>
      <c r="BO29" s="275">
        <f t="shared" si="18"/>
        <v>53131.450573832284</v>
      </c>
      <c r="BP29" s="275">
        <f t="shared" si="19"/>
        <v>58585.559606589442</v>
      </c>
      <c r="BQ29" s="281">
        <f t="shared" si="20"/>
        <v>64039.668639346601</v>
      </c>
    </row>
    <row r="30" spans="1:75" s="11" customFormat="1" ht="20.100000000000001" customHeight="1">
      <c r="A30" s="125" t="s">
        <v>0</v>
      </c>
      <c r="B30" s="126" t="s">
        <v>0</v>
      </c>
      <c r="C30" s="126" t="s">
        <v>45</v>
      </c>
      <c r="D30" s="126" t="s">
        <v>22</v>
      </c>
      <c r="E30" s="126">
        <v>624025</v>
      </c>
      <c r="F30" s="127">
        <v>62713300</v>
      </c>
      <c r="G30" s="128" t="s">
        <v>513</v>
      </c>
      <c r="H30" s="239">
        <v>838.58</v>
      </c>
      <c r="I30" s="119">
        <f t="shared" ca="1" si="23"/>
        <v>832.36</v>
      </c>
      <c r="J30" s="120">
        <f t="shared" ca="1" si="23"/>
        <v>0</v>
      </c>
      <c r="K30" s="120">
        <f t="shared" ca="1" si="23"/>
        <v>0</v>
      </c>
      <c r="L30" s="120">
        <f t="shared" ca="1" si="23"/>
        <v>0</v>
      </c>
      <c r="M30" s="120">
        <f t="shared" ca="1" si="23"/>
        <v>0</v>
      </c>
      <c r="N30" s="120">
        <f t="shared" ca="1" si="23"/>
        <v>0</v>
      </c>
      <c r="O30" s="120">
        <f t="shared" ca="1" si="23"/>
        <v>0</v>
      </c>
      <c r="P30" s="120">
        <f t="shared" ca="1" si="23"/>
        <v>0</v>
      </c>
      <c r="Q30" s="120">
        <f t="shared" ca="1" si="23"/>
        <v>0</v>
      </c>
      <c r="R30" s="120">
        <f t="shared" ca="1" si="23"/>
        <v>0</v>
      </c>
      <c r="S30" s="120">
        <f t="shared" ca="1" si="23"/>
        <v>0</v>
      </c>
      <c r="T30" s="120">
        <f t="shared" ca="1" si="23"/>
        <v>0</v>
      </c>
      <c r="U30" s="121" cm="2">
        <f t="array" aca="1" ref="U30" ca="1">INDEX($I30:$T30,$U$2)</f>
        <v>832.36</v>
      </c>
      <c r="V30" s="235"/>
      <c r="W30" s="235"/>
      <c r="X30" s="239">
        <f t="shared" ca="1" si="6"/>
        <v>832.36</v>
      </c>
      <c r="Y30" s="249"/>
      <c r="Z30" s="291" cm="1">
        <f t="array" aca="1" ref="Z30" ca="1">IFERROR(U30/OFFSET($H30,,MATCH($G$2,$H$5:$U$5,0)-2,,),"-")</f>
        <v>0.9925826993250495</v>
      </c>
      <c r="AA30" s="230" cm="1">
        <f t="array" aca="1" ref="AA30" ca="1">U30-OFFSET($H30,,MATCH($G$2,$H$5:$U$5,0)-2,,)</f>
        <v>-6.2200000000000273</v>
      </c>
      <c r="AB30" s="230"/>
      <c r="AC30" s="10"/>
      <c r="AD30" s="224" cm="1">
        <f t="array" aca="1" ref="AD30" ca="1">IFERROR(U30/OFFSET($AT30,,MATCH($G$2,$AT$5:$BE$5,0)-1,,),"-")</f>
        <v>0.98292745284768479</v>
      </c>
      <c r="AE30" s="225" cm="1">
        <f t="array" aca="1" ref="AE30" ca="1">U30-OFFSET($AT30,,MATCH($G$2,$AT$5:$BE$5,0)-1,,)</f>
        <v>-14.457328774907182</v>
      </c>
      <c r="AF30" s="359"/>
      <c r="AG30" s="1"/>
      <c r="AH30" s="172"/>
      <c r="AI30" s="172"/>
      <c r="AJ30" s="173"/>
      <c r="AL30" s="312">
        <f t="shared" ca="1" si="5"/>
        <v>832.36</v>
      </c>
      <c r="AM30" s="312" t="e" cm="1">
        <f t="array" ref="AM30">INDEX($BG$8:$BQ$83,ROW()-7,MATCH($G$3,$BG$5:$BQ$5,0))</f>
        <v>#N/A</v>
      </c>
      <c r="AN30" s="313" t="e">
        <f t="shared" ca="1" si="7"/>
        <v>#N/A</v>
      </c>
      <c r="AO30" s="314" t="str">
        <f t="shared" ca="1" si="8"/>
        <v/>
      </c>
      <c r="AP30" s="315"/>
      <c r="AR30" s="278">
        <f t="shared" ca="1" si="9"/>
        <v>9840.0372542318819</v>
      </c>
      <c r="AS30" s="1"/>
      <c r="AT30" s="166">
        <v>846.8173287749072</v>
      </c>
      <c r="AU30" s="108">
        <v>849.85909425157661</v>
      </c>
      <c r="AV30" s="108">
        <v>849.85909425157661</v>
      </c>
      <c r="AW30" s="108">
        <v>898.17961819502193</v>
      </c>
      <c r="AX30" s="108">
        <v>895.09970362753074</v>
      </c>
      <c r="AY30" s="108">
        <v>895.824294149617</v>
      </c>
      <c r="AZ30" s="108">
        <v>903.16823539808684</v>
      </c>
      <c r="BA30" s="289">
        <v>903.16823539808684</v>
      </c>
      <c r="BB30" s="289">
        <v>903.16823539808684</v>
      </c>
      <c r="BC30" s="289">
        <v>909.08447159579748</v>
      </c>
      <c r="BD30" s="289">
        <v>909.08447159579748</v>
      </c>
      <c r="BE30" s="290">
        <v>909.08447159579748</v>
      </c>
      <c r="BF30" s="20"/>
      <c r="BG30" s="275">
        <f t="shared" si="10"/>
        <v>1696.6764230264839</v>
      </c>
      <c r="BH30" s="275">
        <f t="shared" si="11"/>
        <v>2546.5355172780605</v>
      </c>
      <c r="BI30" s="275">
        <f t="shared" si="12"/>
        <v>3444.7151354730822</v>
      </c>
      <c r="BJ30" s="275">
        <f t="shared" si="13"/>
        <v>4339.8148391006125</v>
      </c>
      <c r="BK30" s="275">
        <f t="shared" si="14"/>
        <v>5235.6391332502299</v>
      </c>
      <c r="BL30" s="275">
        <f t="shared" si="15"/>
        <v>6138.8073686483167</v>
      </c>
      <c r="BM30" s="275">
        <f t="shared" si="16"/>
        <v>7041.9756040464035</v>
      </c>
      <c r="BN30" s="275">
        <f t="shared" si="17"/>
        <v>7945.1438394444904</v>
      </c>
      <c r="BO30" s="275">
        <f t="shared" si="18"/>
        <v>8854.2283110402877</v>
      </c>
      <c r="BP30" s="275">
        <f t="shared" si="19"/>
        <v>9763.3127826360851</v>
      </c>
      <c r="BQ30" s="281">
        <f t="shared" si="20"/>
        <v>10672.397254231882</v>
      </c>
    </row>
    <row r="31" spans="1:75" s="11" customFormat="1" ht="20.100000000000001" customHeight="1">
      <c r="A31" s="125" t="s">
        <v>0</v>
      </c>
      <c r="B31" s="126" t="s">
        <v>0</v>
      </c>
      <c r="C31" s="126" t="s">
        <v>45</v>
      </c>
      <c r="D31" s="126" t="s">
        <v>22</v>
      </c>
      <c r="E31" s="126">
        <v>624023</v>
      </c>
      <c r="F31" s="127">
        <v>62714000</v>
      </c>
      <c r="G31" s="128" t="s">
        <v>514</v>
      </c>
      <c r="H31" s="239">
        <v>5031.51</v>
      </c>
      <c r="I31" s="119">
        <f t="shared" ca="1" si="23"/>
        <v>5011.38</v>
      </c>
      <c r="J31" s="120">
        <f t="shared" ca="1" si="23"/>
        <v>0</v>
      </c>
      <c r="K31" s="120">
        <f t="shared" ca="1" si="23"/>
        <v>0</v>
      </c>
      <c r="L31" s="120">
        <f t="shared" ca="1" si="23"/>
        <v>0</v>
      </c>
      <c r="M31" s="120">
        <f t="shared" ca="1" si="23"/>
        <v>0</v>
      </c>
      <c r="N31" s="120">
        <f t="shared" ca="1" si="23"/>
        <v>0</v>
      </c>
      <c r="O31" s="120">
        <f t="shared" ca="1" si="23"/>
        <v>0</v>
      </c>
      <c r="P31" s="120">
        <f t="shared" ca="1" si="23"/>
        <v>0</v>
      </c>
      <c r="Q31" s="120">
        <f t="shared" ca="1" si="23"/>
        <v>0</v>
      </c>
      <c r="R31" s="120">
        <f t="shared" ca="1" si="23"/>
        <v>0</v>
      </c>
      <c r="S31" s="120">
        <f t="shared" ca="1" si="23"/>
        <v>0</v>
      </c>
      <c r="T31" s="120">
        <f t="shared" ca="1" si="23"/>
        <v>0</v>
      </c>
      <c r="U31" s="121" cm="2">
        <f t="array" aca="1" ref="U31" ca="1">INDEX($I31:$T31,$U$2)</f>
        <v>5011.38</v>
      </c>
      <c r="V31" s="235"/>
      <c r="W31" s="235"/>
      <c r="X31" s="239">
        <f t="shared" ca="1" si="6"/>
        <v>5011.38</v>
      </c>
      <c r="Y31" s="249"/>
      <c r="Z31" s="291" cm="1">
        <f t="array" aca="1" ref="Z31" ca="1">IFERROR(U31/OFFSET($H31,,MATCH($G$2,$H$5:$U$5,0)-2,,),"-")</f>
        <v>0.99599921295992655</v>
      </c>
      <c r="AA31" s="230" cm="1">
        <f t="array" aca="1" ref="AA31" ca="1">U31-OFFSET($H31,,MATCH($G$2,$H$5:$U$5,0)-2,,)</f>
        <v>-20.130000000000109</v>
      </c>
      <c r="AB31" s="230"/>
      <c r="AC31" s="10"/>
      <c r="AD31" s="224" cm="1">
        <f t="array" aca="1" ref="AD31" ca="1">IFERROR(U31/OFFSET($AT31,,MATCH($G$2,$AT$5:$BE$5,0)-1,,),"-")</f>
        <v>0.98631661353497502</v>
      </c>
      <c r="AE31" s="225" cm="1">
        <f t="array" aca="1" ref="AE31" ca="1">U31-OFFSET($AT31,,MATCH($G$2,$AT$5:$BE$5,0)-1,,)</f>
        <v>-69.52397264944284</v>
      </c>
      <c r="AF31" s="359"/>
      <c r="AG31" s="1"/>
      <c r="AH31" s="172"/>
      <c r="AI31" s="172"/>
      <c r="AJ31" s="173"/>
      <c r="AL31" s="312">
        <f t="shared" ca="1" si="5"/>
        <v>5011.38</v>
      </c>
      <c r="AM31" s="312" t="e" cm="1">
        <f t="array" ref="AM31">INDEX($BG$8:$BQ$83,ROW()-7,MATCH($G$3,$BG$5:$BQ$5,0))</f>
        <v>#N/A</v>
      </c>
      <c r="AN31" s="313" t="e">
        <f t="shared" ca="1" si="7"/>
        <v>#N/A</v>
      </c>
      <c r="AO31" s="314" t="str">
        <f t="shared" ca="1" si="8"/>
        <v/>
      </c>
      <c r="AP31" s="315"/>
      <c r="AR31" s="278">
        <f t="shared" ca="1" si="9"/>
        <v>59031.698611656328</v>
      </c>
      <c r="AS31" s="1"/>
      <c r="AT31" s="166">
        <v>5080.9039726494429</v>
      </c>
      <c r="AU31" s="108">
        <v>5099.1545655094587</v>
      </c>
      <c r="AV31" s="108">
        <v>5099.1545655094587</v>
      </c>
      <c r="AW31" s="108">
        <v>5393.425252302648</v>
      </c>
      <c r="AX31" s="108">
        <v>5374.9457648977004</v>
      </c>
      <c r="AY31" s="108">
        <v>5374.9457648977004</v>
      </c>
      <c r="AZ31" s="108">
        <v>5419.009412388521</v>
      </c>
      <c r="BA31" s="289">
        <v>5419.009412388521</v>
      </c>
      <c r="BB31" s="289">
        <v>5419.009412388521</v>
      </c>
      <c r="BC31" s="289">
        <v>5454.5068295747851</v>
      </c>
      <c r="BD31" s="289">
        <v>5454.5068295747851</v>
      </c>
      <c r="BE31" s="290">
        <v>5454.5068295747851</v>
      </c>
      <c r="BF31" s="20"/>
      <c r="BG31" s="275">
        <f t="shared" si="10"/>
        <v>10180.058538158901</v>
      </c>
      <c r="BH31" s="275">
        <f t="shared" si="11"/>
        <v>15279.21310366836</v>
      </c>
      <c r="BI31" s="275">
        <f t="shared" si="12"/>
        <v>20672.638355971008</v>
      </c>
      <c r="BJ31" s="275">
        <f t="shared" si="13"/>
        <v>26047.584120868709</v>
      </c>
      <c r="BK31" s="275">
        <f t="shared" si="14"/>
        <v>31422.529885766409</v>
      </c>
      <c r="BL31" s="275">
        <f t="shared" si="15"/>
        <v>36841.53929815493</v>
      </c>
      <c r="BM31" s="275">
        <f t="shared" si="16"/>
        <v>42260.548710543451</v>
      </c>
      <c r="BN31" s="275">
        <f t="shared" si="17"/>
        <v>47679.558122931972</v>
      </c>
      <c r="BO31" s="275">
        <f t="shared" si="18"/>
        <v>53134.064952506757</v>
      </c>
      <c r="BP31" s="275">
        <f t="shared" si="19"/>
        <v>58588.571782081541</v>
      </c>
      <c r="BQ31" s="281">
        <f t="shared" si="20"/>
        <v>64043.078611656325</v>
      </c>
    </row>
    <row r="32" spans="1:75" s="11" customFormat="1" ht="20.100000000000001" customHeight="1">
      <c r="A32" s="125" t="s">
        <v>0</v>
      </c>
      <c r="B32" s="126" t="s">
        <v>0</v>
      </c>
      <c r="C32" s="126" t="s">
        <v>45</v>
      </c>
      <c r="D32" s="126" t="s">
        <v>22</v>
      </c>
      <c r="E32" s="126">
        <v>624101</v>
      </c>
      <c r="F32" s="127">
        <v>62714100</v>
      </c>
      <c r="G32" s="128" t="s">
        <v>515</v>
      </c>
      <c r="H32" s="239">
        <v>324.52</v>
      </c>
      <c r="I32" s="119">
        <f t="shared" ca="1" si="23"/>
        <v>256.44</v>
      </c>
      <c r="J32" s="120">
        <f t="shared" ca="1" si="23"/>
        <v>0</v>
      </c>
      <c r="K32" s="120">
        <f t="shared" ca="1" si="23"/>
        <v>0</v>
      </c>
      <c r="L32" s="120">
        <f t="shared" ca="1" si="23"/>
        <v>0</v>
      </c>
      <c r="M32" s="120">
        <f t="shared" ca="1" si="23"/>
        <v>0</v>
      </c>
      <c r="N32" s="120">
        <f t="shared" ca="1" si="23"/>
        <v>0</v>
      </c>
      <c r="O32" s="120">
        <f t="shared" ca="1" si="23"/>
        <v>0</v>
      </c>
      <c r="P32" s="120">
        <f t="shared" ca="1" si="23"/>
        <v>0</v>
      </c>
      <c r="Q32" s="120">
        <f t="shared" ca="1" si="23"/>
        <v>0</v>
      </c>
      <c r="R32" s="120">
        <f t="shared" ca="1" si="23"/>
        <v>0</v>
      </c>
      <c r="S32" s="120">
        <f t="shared" ca="1" si="23"/>
        <v>0</v>
      </c>
      <c r="T32" s="120">
        <f t="shared" ca="1" si="23"/>
        <v>0</v>
      </c>
      <c r="U32" s="121" cm="2">
        <f t="array" aca="1" ref="U32" ca="1">INDEX($I32:$T32,$U$2)</f>
        <v>256.44</v>
      </c>
      <c r="V32" s="235"/>
      <c r="W32" s="235"/>
      <c r="X32" s="239">
        <f t="shared" ca="1" si="6"/>
        <v>256.44</v>
      </c>
      <c r="Y32" s="52"/>
      <c r="Z32" s="291" cm="1">
        <f t="array" aca="1" ref="Z32" ca="1">IFERROR(U32/OFFSET($H32,,MATCH($G$2,$H$5:$U$5,0)-2,,),"-")</f>
        <v>0.79021323801306553</v>
      </c>
      <c r="AA32" s="230" cm="1">
        <f t="array" aca="1" ref="AA32" ca="1">U32-OFFSET($H32,,MATCH($G$2,$H$5:$U$5,0)-2,,)</f>
        <v>-68.079999999999984</v>
      </c>
      <c r="AB32" s="230"/>
      <c r="AC32" s="10"/>
      <c r="AD32" s="224" cm="1">
        <f t="array" aca="1" ref="AD32" ca="1">IFERROR(U32/OFFSET($AT32,,MATCH($G$2,$AT$5:$BE$5,0)-1,,),"-")</f>
        <v>1.8928409336905136E-2</v>
      </c>
      <c r="AE32" s="225" cm="1">
        <f t="array" aca="1" ref="AE32" ca="1">U32-OFFSET($AT32,,MATCH($G$2,$AT$5:$BE$5,0)-1,,)</f>
        <v>-13291.4496</v>
      </c>
      <c r="AF32" s="358" t="s">
        <v>1703</v>
      </c>
      <c r="AG32" s="1"/>
      <c r="AH32" s="172"/>
      <c r="AI32" s="172"/>
      <c r="AJ32" s="173"/>
      <c r="AL32" s="312">
        <f t="shared" ca="1" si="5"/>
        <v>256.44</v>
      </c>
      <c r="AM32" s="312" t="e" cm="1">
        <f t="array" ref="AM32">INDEX($BG$8:$BQ$83,ROW()-7,MATCH($G$3,$BG$5:$BQ$5,0))</f>
        <v>#N/A</v>
      </c>
      <c r="AN32" s="313" t="e">
        <f t="shared" ca="1" si="7"/>
        <v>#N/A</v>
      </c>
      <c r="AO32" s="314" t="str">
        <f t="shared" ca="1" si="8"/>
        <v/>
      </c>
      <c r="AP32" s="315"/>
      <c r="AR32" s="278">
        <f t="shared" ca="1" si="9"/>
        <v>13291.4496</v>
      </c>
      <c r="AS32" s="1"/>
      <c r="AT32" s="166">
        <v>13547.8896</v>
      </c>
      <c r="AU32" s="108">
        <v>0</v>
      </c>
      <c r="AV32" s="108">
        <v>0</v>
      </c>
      <c r="AW32" s="108">
        <v>0</v>
      </c>
      <c r="AX32" s="108">
        <v>0</v>
      </c>
      <c r="AY32" s="108">
        <v>0</v>
      </c>
      <c r="AZ32" s="108">
        <v>0</v>
      </c>
      <c r="BA32" s="292">
        <v>0</v>
      </c>
      <c r="BB32" s="292">
        <v>0</v>
      </c>
      <c r="BC32" s="292">
        <v>0</v>
      </c>
      <c r="BD32" s="292">
        <v>0</v>
      </c>
      <c r="BE32" s="293">
        <v>0</v>
      </c>
      <c r="BF32" s="317"/>
      <c r="BG32" s="276">
        <f t="shared" si="10"/>
        <v>13547.8896</v>
      </c>
      <c r="BH32" s="276">
        <f t="shared" si="11"/>
        <v>13547.8896</v>
      </c>
      <c r="BI32" s="276">
        <f t="shared" si="12"/>
        <v>13547.8896</v>
      </c>
      <c r="BJ32" s="276">
        <f t="shared" si="13"/>
        <v>13547.8896</v>
      </c>
      <c r="BK32" s="276">
        <f t="shared" si="14"/>
        <v>13547.8896</v>
      </c>
      <c r="BL32" s="276">
        <f t="shared" si="15"/>
        <v>13547.8896</v>
      </c>
      <c r="BM32" s="276">
        <f t="shared" si="16"/>
        <v>13547.8896</v>
      </c>
      <c r="BN32" s="276">
        <f t="shared" si="17"/>
        <v>13547.8896</v>
      </c>
      <c r="BO32" s="276">
        <f t="shared" si="18"/>
        <v>13547.8896</v>
      </c>
      <c r="BP32" s="276">
        <f t="shared" si="19"/>
        <v>13547.8896</v>
      </c>
      <c r="BQ32" s="278">
        <f t="shared" si="20"/>
        <v>13547.8896</v>
      </c>
    </row>
    <row r="33" spans="1:69" s="11" customFormat="1" ht="20.100000000000001" customHeight="1">
      <c r="A33" s="125" t="s">
        <v>0</v>
      </c>
      <c r="B33" s="126" t="s">
        <v>0</v>
      </c>
      <c r="C33" s="126" t="s">
        <v>45</v>
      </c>
      <c r="D33" s="126" t="s">
        <v>22</v>
      </c>
      <c r="E33" s="126">
        <v>624104</v>
      </c>
      <c r="F33" s="127">
        <v>62714200</v>
      </c>
      <c r="G33" s="128" t="s">
        <v>516</v>
      </c>
      <c r="H33" s="239">
        <v>0</v>
      </c>
      <c r="I33" s="119">
        <f t="shared" ca="1" si="23"/>
        <v>0</v>
      </c>
      <c r="J33" s="120">
        <f t="shared" ca="1" si="23"/>
        <v>0</v>
      </c>
      <c r="K33" s="120">
        <f t="shared" ca="1" si="23"/>
        <v>0</v>
      </c>
      <c r="L33" s="120">
        <f t="shared" ca="1" si="23"/>
        <v>0</v>
      </c>
      <c r="M33" s="120">
        <f t="shared" ca="1" si="23"/>
        <v>0</v>
      </c>
      <c r="N33" s="120">
        <f t="shared" ca="1" si="23"/>
        <v>0</v>
      </c>
      <c r="O33" s="120">
        <f t="shared" ca="1" si="23"/>
        <v>0</v>
      </c>
      <c r="P33" s="120">
        <f t="shared" ca="1" si="23"/>
        <v>0</v>
      </c>
      <c r="Q33" s="120">
        <f t="shared" ca="1" si="23"/>
        <v>0</v>
      </c>
      <c r="R33" s="120">
        <f t="shared" ca="1" si="23"/>
        <v>0</v>
      </c>
      <c r="S33" s="120">
        <f t="shared" ca="1" si="23"/>
        <v>0</v>
      </c>
      <c r="T33" s="120">
        <f t="shared" ca="1" si="23"/>
        <v>0</v>
      </c>
      <c r="U33" s="121" cm="2">
        <f t="array" aca="1" ref="U33" ca="1">INDEX($I33:$T33,$U$2)</f>
        <v>0</v>
      </c>
      <c r="V33" s="235"/>
      <c r="W33" s="235"/>
      <c r="X33" s="239">
        <f t="shared" ca="1" si="6"/>
        <v>0</v>
      </c>
      <c r="Y33" s="52"/>
      <c r="Z33" s="291" t="str" cm="1">
        <f t="array" aca="1" ref="Z33" ca="1">IFERROR(U33/OFFSET($H33,,MATCH($G$2,$H$5:$U$5,0)-2,,),"-")</f>
        <v>-</v>
      </c>
      <c r="AA33" s="230" cm="1">
        <f t="array" aca="1" ref="AA33" ca="1">U33-OFFSET($H33,,MATCH($G$2,$H$5:$U$5,0)-2,,)</f>
        <v>0</v>
      </c>
      <c r="AB33" s="230"/>
      <c r="AC33" s="10"/>
      <c r="AD33" s="224" t="str" cm="1">
        <f t="array" aca="1" ref="AD33" ca="1">IFERROR(U33/OFFSET($AT33,,MATCH($G$2,$AT$5:$BE$5,0)-1,,),"-")</f>
        <v>-</v>
      </c>
      <c r="AE33" s="225" cm="1">
        <f t="array" aca="1" ref="AE33" ca="1">U33-OFFSET($AT33,,MATCH($G$2,$AT$5:$BE$5,0)-1,,)</f>
        <v>0</v>
      </c>
      <c r="AF33" s="359"/>
      <c r="AG33" s="1"/>
      <c r="AH33" s="172"/>
      <c r="AI33" s="172"/>
      <c r="AJ33" s="173"/>
      <c r="AL33" s="312">
        <f t="shared" ca="1" si="5"/>
        <v>0</v>
      </c>
      <c r="AM33" s="312" t="e" cm="1">
        <f t="array" ref="AM33">INDEX($BG$8:$BQ$83,ROW()-7,MATCH($G$3,$BG$5:$BQ$5,0))</f>
        <v>#N/A</v>
      </c>
      <c r="AN33" s="313" t="e">
        <f t="shared" ca="1" si="7"/>
        <v>#N/A</v>
      </c>
      <c r="AO33" s="314" t="str">
        <f t="shared" ca="1" si="8"/>
        <v/>
      </c>
      <c r="AP33" s="315"/>
      <c r="AR33" s="278">
        <f t="shared" ca="1" si="9"/>
        <v>0</v>
      </c>
      <c r="AS33" s="1"/>
      <c r="AT33" s="166">
        <v>0</v>
      </c>
      <c r="AU33" s="108">
        <v>0</v>
      </c>
      <c r="AV33" s="108">
        <v>0</v>
      </c>
      <c r="AW33" s="108">
        <v>0</v>
      </c>
      <c r="AX33" s="108">
        <v>0</v>
      </c>
      <c r="AY33" s="108">
        <v>0</v>
      </c>
      <c r="AZ33" s="108">
        <v>0</v>
      </c>
      <c r="BA33" s="289">
        <v>0</v>
      </c>
      <c r="BB33" s="289">
        <v>0</v>
      </c>
      <c r="BC33" s="289">
        <v>0</v>
      </c>
      <c r="BD33" s="289">
        <v>0</v>
      </c>
      <c r="BE33" s="290">
        <v>0</v>
      </c>
      <c r="BF33" s="20"/>
      <c r="BG33" s="275">
        <f t="shared" si="10"/>
        <v>0</v>
      </c>
      <c r="BH33" s="275">
        <f t="shared" si="11"/>
        <v>0</v>
      </c>
      <c r="BI33" s="275">
        <f t="shared" si="12"/>
        <v>0</v>
      </c>
      <c r="BJ33" s="275">
        <f t="shared" si="13"/>
        <v>0</v>
      </c>
      <c r="BK33" s="275">
        <f t="shared" si="14"/>
        <v>0</v>
      </c>
      <c r="BL33" s="275">
        <f t="shared" si="15"/>
        <v>0</v>
      </c>
      <c r="BM33" s="275">
        <f t="shared" si="16"/>
        <v>0</v>
      </c>
      <c r="BN33" s="275">
        <f t="shared" si="17"/>
        <v>0</v>
      </c>
      <c r="BO33" s="275">
        <f t="shared" si="18"/>
        <v>0</v>
      </c>
      <c r="BP33" s="275">
        <f t="shared" si="19"/>
        <v>0</v>
      </c>
      <c r="BQ33" s="281">
        <f t="shared" si="20"/>
        <v>0</v>
      </c>
    </row>
    <row r="34" spans="1:69" s="11" customFormat="1" ht="20.100000000000001" customHeight="1">
      <c r="A34" s="125" t="s">
        <v>0</v>
      </c>
      <c r="B34" s="126" t="s">
        <v>0</v>
      </c>
      <c r="C34" s="126" t="s">
        <v>45</v>
      </c>
      <c r="D34" s="126" t="s">
        <v>22</v>
      </c>
      <c r="E34" s="126">
        <v>624022</v>
      </c>
      <c r="F34" s="127">
        <v>62716000</v>
      </c>
      <c r="G34" s="128" t="s">
        <v>517</v>
      </c>
      <c r="H34" s="239">
        <v>1800.51</v>
      </c>
      <c r="I34" s="119">
        <f t="shared" ca="1" si="23"/>
        <v>1786.99</v>
      </c>
      <c r="J34" s="120">
        <f t="shared" ca="1" si="23"/>
        <v>0</v>
      </c>
      <c r="K34" s="120">
        <f t="shared" ca="1" si="23"/>
        <v>0</v>
      </c>
      <c r="L34" s="120">
        <f t="shared" ca="1" si="23"/>
        <v>0</v>
      </c>
      <c r="M34" s="120">
        <f t="shared" ca="1" si="23"/>
        <v>0</v>
      </c>
      <c r="N34" s="120">
        <f t="shared" ca="1" si="23"/>
        <v>0</v>
      </c>
      <c r="O34" s="120">
        <f t="shared" ca="1" si="23"/>
        <v>0</v>
      </c>
      <c r="P34" s="120">
        <f t="shared" ca="1" si="23"/>
        <v>0</v>
      </c>
      <c r="Q34" s="120">
        <f t="shared" ca="1" si="23"/>
        <v>0</v>
      </c>
      <c r="R34" s="120">
        <f t="shared" ca="1" si="23"/>
        <v>0</v>
      </c>
      <c r="S34" s="120">
        <f t="shared" ca="1" si="23"/>
        <v>0</v>
      </c>
      <c r="T34" s="120">
        <f t="shared" ca="1" si="23"/>
        <v>0</v>
      </c>
      <c r="U34" s="121" cm="2">
        <f t="array" aca="1" ref="U34" ca="1">INDEX($I34:$T34,$U$2)</f>
        <v>1786.99</v>
      </c>
      <c r="V34" s="235"/>
      <c r="W34" s="235"/>
      <c r="X34" s="239">
        <f t="shared" ca="1" si="6"/>
        <v>1786.99</v>
      </c>
      <c r="Y34" s="52"/>
      <c r="Z34" s="291" cm="1">
        <f t="array" aca="1" ref="Z34" ca="1">IFERROR(U34/OFFSET($H34,,MATCH($G$2,$H$5:$U$5,0)-2,,),"-")</f>
        <v>0.99249101643423254</v>
      </c>
      <c r="AA34" s="230" cm="1">
        <f t="array" aca="1" ref="AA34" ca="1">U34-OFFSET($H34,,MATCH($G$2,$H$5:$U$5,0)-2,,)</f>
        <v>-13.519999999999982</v>
      </c>
      <c r="AB34" s="230"/>
      <c r="AC34" s="10"/>
      <c r="AD34" s="224" cm="1">
        <f t="array" aca="1" ref="AD34" ca="1">IFERROR(U34/OFFSET($AT34,,MATCH($G$2,$AT$5:$BE$5,0)-1,,),"-")</f>
        <v>0.98312644039288022</v>
      </c>
      <c r="AE34" s="225" cm="1">
        <f t="array" aca="1" ref="AE34" ca="1">U34-OFFSET($AT34,,MATCH($G$2,$AT$5:$BE$5,0)-1,,)</f>
        <v>-30.670401123864849</v>
      </c>
      <c r="AF34" s="359"/>
      <c r="AG34" s="1"/>
      <c r="AH34" s="172"/>
      <c r="AI34" s="172"/>
      <c r="AJ34" s="173"/>
      <c r="AL34" s="312">
        <f t="shared" ca="1" si="5"/>
        <v>1786.99</v>
      </c>
      <c r="AM34" s="312" t="e" cm="1">
        <f t="array" ref="AM34">INDEX($BG$8:$BQ$83,ROW()-7,MATCH($G$3,$BG$5:$BQ$5,0))</f>
        <v>#N/A</v>
      </c>
      <c r="AN34" s="313" t="e">
        <f t="shared" ca="1" si="7"/>
        <v>#N/A</v>
      </c>
      <c r="AO34" s="314" t="str">
        <f t="shared" ca="1" si="8"/>
        <v/>
      </c>
      <c r="AP34" s="315"/>
      <c r="AR34" s="278">
        <f t="shared" ca="1" si="9"/>
        <v>24424.910777902169</v>
      </c>
      <c r="AS34" s="1"/>
      <c r="AT34" s="166">
        <v>1817.6604011238649</v>
      </c>
      <c r="AU34" s="108">
        <v>1823.7439320772035</v>
      </c>
      <c r="AV34" s="108">
        <v>1823.7439320772035</v>
      </c>
      <c r="AW34" s="108">
        <v>1973.3926365019436</v>
      </c>
      <c r="AX34" s="108">
        <v>1967.2328073669614</v>
      </c>
      <c r="AY34" s="108">
        <v>1967.2328073669614</v>
      </c>
      <c r="AZ34" s="108">
        <v>1967.2328073669614</v>
      </c>
      <c r="BA34" s="289">
        <v>1967.2328073669614</v>
      </c>
      <c r="BB34" s="289">
        <v>1967.2328073669614</v>
      </c>
      <c r="BC34" s="289">
        <v>1979.0652797623827</v>
      </c>
      <c r="BD34" s="289">
        <v>1979.0652797623827</v>
      </c>
      <c r="BE34" s="290">
        <v>4979.0652797623825</v>
      </c>
      <c r="BF34" s="20"/>
      <c r="BG34" s="275">
        <f t="shared" si="10"/>
        <v>3641.4043332010683</v>
      </c>
      <c r="BH34" s="275">
        <f t="shared" si="11"/>
        <v>5465.1482652782715</v>
      </c>
      <c r="BI34" s="275">
        <f t="shared" si="12"/>
        <v>7438.5409017802149</v>
      </c>
      <c r="BJ34" s="275">
        <f t="shared" si="13"/>
        <v>9405.7737091471754</v>
      </c>
      <c r="BK34" s="275">
        <f t="shared" si="14"/>
        <v>11373.006516514137</v>
      </c>
      <c r="BL34" s="275">
        <f t="shared" si="15"/>
        <v>13340.239323881098</v>
      </c>
      <c r="BM34" s="275">
        <f t="shared" si="16"/>
        <v>15307.47213124806</v>
      </c>
      <c r="BN34" s="275">
        <f t="shared" si="17"/>
        <v>17274.704938615021</v>
      </c>
      <c r="BO34" s="275">
        <f t="shared" si="18"/>
        <v>19253.770218377405</v>
      </c>
      <c r="BP34" s="275">
        <f t="shared" si="19"/>
        <v>21232.83549813979</v>
      </c>
      <c r="BQ34" s="281">
        <f t="shared" si="20"/>
        <v>26211.90077790217</v>
      </c>
    </row>
    <row r="35" spans="1:69" s="11" customFormat="1" ht="12.75">
      <c r="A35" s="125" t="s">
        <v>12</v>
      </c>
      <c r="B35" s="126" t="s">
        <v>12</v>
      </c>
      <c r="C35" s="126" t="s">
        <v>12</v>
      </c>
      <c r="D35" s="126" t="s">
        <v>22</v>
      </c>
      <c r="E35" s="126">
        <v>665000</v>
      </c>
      <c r="F35" s="129">
        <v>62720100</v>
      </c>
      <c r="G35" s="128" t="s">
        <v>518</v>
      </c>
      <c r="H35" s="239">
        <v>79018.39</v>
      </c>
      <c r="I35" s="119">
        <f t="shared" ca="1" si="23"/>
        <v>49604.979999999996</v>
      </c>
      <c r="J35" s="120">
        <f t="shared" ca="1" si="23"/>
        <v>0</v>
      </c>
      <c r="K35" s="120">
        <f t="shared" ca="1" si="23"/>
        <v>0</v>
      </c>
      <c r="L35" s="120">
        <f t="shared" ca="1" si="23"/>
        <v>0</v>
      </c>
      <c r="M35" s="120">
        <f t="shared" ca="1" si="23"/>
        <v>0</v>
      </c>
      <c r="N35" s="120">
        <f t="shared" ca="1" si="23"/>
        <v>0</v>
      </c>
      <c r="O35" s="120">
        <f t="shared" ca="1" si="23"/>
        <v>0</v>
      </c>
      <c r="P35" s="120">
        <f t="shared" ca="1" si="23"/>
        <v>0</v>
      </c>
      <c r="Q35" s="120">
        <f t="shared" ca="1" si="23"/>
        <v>0</v>
      </c>
      <c r="R35" s="120">
        <f t="shared" ca="1" si="23"/>
        <v>0</v>
      </c>
      <c r="S35" s="120">
        <f t="shared" ca="1" si="23"/>
        <v>0</v>
      </c>
      <c r="T35" s="120">
        <f t="shared" ca="1" si="23"/>
        <v>0</v>
      </c>
      <c r="U35" s="121" cm="2">
        <f t="array" aca="1" ref="U35" ca="1">INDEX($I35:$T35,$U$2)</f>
        <v>49604.979999999996</v>
      </c>
      <c r="V35" s="235"/>
      <c r="W35" s="235"/>
      <c r="X35" s="239">
        <f t="shared" ca="1" si="6"/>
        <v>49604.979999999996</v>
      </c>
      <c r="Y35" s="52"/>
      <c r="Z35" s="291" cm="1">
        <f t="array" aca="1" ref="Z35" ca="1">IFERROR(U35/OFFSET($H35,,MATCH($G$2,$H$5:$U$5,0)-2,,),"-")</f>
        <v>0.62776500508299393</v>
      </c>
      <c r="AA35" s="230" cm="1">
        <f t="array" aca="1" ref="AA35" ca="1">U35-OFFSET($H35,,MATCH($G$2,$H$5:$U$5,0)-2,,)</f>
        <v>-29413.410000000003</v>
      </c>
      <c r="AB35" s="230"/>
      <c r="AC35" s="10"/>
      <c r="AD35" s="224" cm="1">
        <f t="array" aca="1" ref="AD35" ca="1">IFERROR(U35/OFFSET($AT35,,MATCH($G$2,$AT$5:$BE$5,0)-1,,),"-")</f>
        <v>0.75921147885976648</v>
      </c>
      <c r="AE35" s="225" cm="1">
        <f t="array" aca="1" ref="AE35" ca="1">U35-OFFSET($AT35,,MATCH($G$2,$AT$5:$BE$5,0)-1,,)</f>
        <v>-15732.520000000011</v>
      </c>
      <c r="AF35" s="359"/>
      <c r="AG35" s="1"/>
      <c r="AH35" s="172"/>
      <c r="AI35" s="172"/>
      <c r="AJ35" s="173"/>
      <c r="AK35" s="12"/>
      <c r="AL35" s="312">
        <f t="shared" ca="1" si="5"/>
        <v>49604.979999999996</v>
      </c>
      <c r="AM35" s="312" t="e" cm="1">
        <f t="array" ref="AM35">INDEX($BG$8:$BQ$83,ROW()-7,MATCH($G$3,$BG$5:$BQ$5,0))</f>
        <v>#N/A</v>
      </c>
      <c r="AN35" s="313" t="e">
        <f t="shared" ca="1" si="7"/>
        <v>#N/A</v>
      </c>
      <c r="AO35" s="314" t="str">
        <f t="shared" ca="1" si="8"/>
        <v/>
      </c>
      <c r="AP35" s="321"/>
      <c r="AR35" s="278">
        <f t="shared" ca="1" si="9"/>
        <v>700725.02</v>
      </c>
      <c r="AS35" s="1"/>
      <c r="AT35" s="166">
        <v>65337.500000000007</v>
      </c>
      <c r="AU35" s="108">
        <v>52687.5</v>
      </c>
      <c r="AV35" s="108">
        <v>65777.5</v>
      </c>
      <c r="AW35" s="108">
        <v>62117.500000000007</v>
      </c>
      <c r="AX35" s="108">
        <v>67377.5</v>
      </c>
      <c r="AY35" s="108">
        <v>64307.500000000007</v>
      </c>
      <c r="AZ35" s="108">
        <v>62207.499999999993</v>
      </c>
      <c r="BA35" s="289">
        <v>58117.500000000007</v>
      </c>
      <c r="BB35" s="289">
        <v>57137.5</v>
      </c>
      <c r="BC35" s="289">
        <v>61497.5</v>
      </c>
      <c r="BD35" s="289">
        <v>69167.5</v>
      </c>
      <c r="BE35" s="290">
        <v>64597.5</v>
      </c>
      <c r="BF35" s="20"/>
      <c r="BG35" s="275">
        <f t="shared" si="10"/>
        <v>118025</v>
      </c>
      <c r="BH35" s="275">
        <f t="shared" si="11"/>
        <v>183802.5</v>
      </c>
      <c r="BI35" s="275">
        <f t="shared" si="12"/>
        <v>245920</v>
      </c>
      <c r="BJ35" s="275">
        <f t="shared" si="13"/>
        <v>313297.5</v>
      </c>
      <c r="BK35" s="275">
        <f t="shared" si="14"/>
        <v>377605</v>
      </c>
      <c r="BL35" s="275">
        <f t="shared" si="15"/>
        <v>439812.5</v>
      </c>
      <c r="BM35" s="275">
        <f t="shared" si="16"/>
        <v>497930</v>
      </c>
      <c r="BN35" s="275">
        <f t="shared" si="17"/>
        <v>555067.5</v>
      </c>
      <c r="BO35" s="275">
        <f t="shared" si="18"/>
        <v>616565</v>
      </c>
      <c r="BP35" s="275">
        <f t="shared" si="19"/>
        <v>685732.5</v>
      </c>
      <c r="BQ35" s="281">
        <f t="shared" si="20"/>
        <v>750330</v>
      </c>
    </row>
    <row r="36" spans="1:69" s="96" customFormat="1" ht="27.75" customHeight="1">
      <c r="A36" s="125" t="s">
        <v>12</v>
      </c>
      <c r="B36" s="126" t="s">
        <v>9</v>
      </c>
      <c r="C36" s="126" t="s">
        <v>12</v>
      </c>
      <c r="D36" s="126" t="s">
        <v>22</v>
      </c>
      <c r="E36" s="126">
        <v>641000</v>
      </c>
      <c r="F36" s="127">
        <v>62720200</v>
      </c>
      <c r="G36" s="128" t="s">
        <v>96</v>
      </c>
      <c r="H36" s="239">
        <v>116160.72</v>
      </c>
      <c r="I36" s="119">
        <f t="shared" ca="1" si="23"/>
        <v>62012.18</v>
      </c>
      <c r="J36" s="120">
        <f t="shared" ca="1" si="23"/>
        <v>0</v>
      </c>
      <c r="K36" s="120">
        <f t="shared" ca="1" si="23"/>
        <v>0</v>
      </c>
      <c r="L36" s="120">
        <f t="shared" ca="1" si="23"/>
        <v>0</v>
      </c>
      <c r="M36" s="120">
        <f t="shared" ca="1" si="23"/>
        <v>0</v>
      </c>
      <c r="N36" s="120">
        <f t="shared" ca="1" si="23"/>
        <v>0</v>
      </c>
      <c r="O36" s="120">
        <f t="shared" ca="1" si="23"/>
        <v>0</v>
      </c>
      <c r="P36" s="120">
        <f t="shared" ca="1" si="23"/>
        <v>0</v>
      </c>
      <c r="Q36" s="120">
        <f t="shared" ca="1" si="23"/>
        <v>0</v>
      </c>
      <c r="R36" s="120">
        <f t="shared" ca="1" si="23"/>
        <v>0</v>
      </c>
      <c r="S36" s="120">
        <f t="shared" ca="1" si="23"/>
        <v>0</v>
      </c>
      <c r="T36" s="120">
        <f t="shared" ca="1" si="23"/>
        <v>0</v>
      </c>
      <c r="U36" s="121" cm="2">
        <f t="array" aca="1" ref="U36" ca="1">INDEX($I36:$T36,$U$2)</f>
        <v>62012.18</v>
      </c>
      <c r="V36" s="235"/>
      <c r="W36" s="235"/>
      <c r="X36" s="239">
        <f t="shared" ca="1" si="6"/>
        <v>62012.18</v>
      </c>
      <c r="Y36" s="52"/>
      <c r="Z36" s="291" cm="1">
        <f t="array" aca="1" ref="Z36" ca="1">IFERROR(U36/OFFSET($H36,,MATCH($G$2,$H$5:$U$5,0)-2,,),"-")</f>
        <v>0.53384810286988582</v>
      </c>
      <c r="AA36" s="230" cm="1">
        <f t="array" aca="1" ref="AA36" ca="1">U36-OFFSET($H36,,MATCH($G$2,$H$5:$U$5,0)-2,,)</f>
        <v>-54148.54</v>
      </c>
      <c r="AB36" s="230"/>
      <c r="AC36" s="10"/>
      <c r="AD36" s="224" cm="1">
        <f t="array" aca="1" ref="AD36" ca="1">IFERROR(U36/OFFSET($AT36,,MATCH($G$2,$AT$5:$BE$5,0)-1,,),"-")</f>
        <v>0.90450687918561534</v>
      </c>
      <c r="AE36" s="225" cm="1">
        <f t="array" aca="1" ref="AE36" ca="1">U36-OFFSET($AT36,,MATCH($G$2,$AT$5:$BE$5,0)-1,,)</f>
        <v>-6546.9226746346903</v>
      </c>
      <c r="AF36" s="358"/>
      <c r="AG36" s="10"/>
      <c r="AH36" s="172" cm="2">
        <f t="array" aca="1" ref="AH36" ca="1">IFERROR(INDEX($I36:$T36,$U$2)/$AH$3,0)</f>
        <v>90.128041836381954</v>
      </c>
      <c r="AI36" s="172">
        <f t="shared" ref="AI36:AI59" si="24">H36/PrvMonthProductionRRT</f>
        <v>150.83388436291429</v>
      </c>
      <c r="AJ36" s="173" cm="1">
        <f t="array" aca="1" ref="AJ36" ca="1">IFERROR(OFFSET($AT36,,MATCH($G$2,$AT$5:$BE$5,0)-1,,)/$AJ$3,"")</f>
        <v>86.191921777960019</v>
      </c>
      <c r="AK36" s="524"/>
      <c r="AL36" s="313">
        <f t="shared" ca="1" si="5"/>
        <v>62012.18</v>
      </c>
      <c r="AM36" s="313" t="e" cm="1">
        <f t="array" ref="AM36">INDEX($BG$8:$BQ$83,ROW()-7,MATCH($G$3,$BG$5:$BQ$5,0))</f>
        <v>#N/A</v>
      </c>
      <c r="AN36" s="313" t="e">
        <f t="shared" ref="AN36" ca="1" si="25">AL36-AM36</f>
        <v>#N/A</v>
      </c>
      <c r="AO36" s="322" t="str">
        <f t="shared" ref="AO36" ca="1" si="26">IFERROR(AL36/AM36,"")</f>
        <v/>
      </c>
      <c r="AP36" s="525"/>
      <c r="AR36" s="282">
        <f t="shared" ref="AR36" ca="1" si="27">BQ36-AL36</f>
        <v>926754.29058106767</v>
      </c>
      <c r="AS36" s="10"/>
      <c r="AT36" s="166">
        <v>68559.102674634691</v>
      </c>
      <c r="AU36" s="108">
        <v>56536.682284487579</v>
      </c>
      <c r="AV36" s="108">
        <v>77826.299683359364</v>
      </c>
      <c r="AW36" s="108">
        <v>88527.093228343467</v>
      </c>
      <c r="AX36" s="108">
        <v>75488.111588620712</v>
      </c>
      <c r="AY36" s="108">
        <v>84426.726166290333</v>
      </c>
      <c r="AZ36" s="108">
        <v>87248.773386623347</v>
      </c>
      <c r="BA36" s="294">
        <v>84381.349091193115</v>
      </c>
      <c r="BB36" s="294">
        <v>80453.241742250349</v>
      </c>
      <c r="BC36" s="294">
        <v>95603.845903497306</v>
      </c>
      <c r="BD36" s="294">
        <v>94047.921666135953</v>
      </c>
      <c r="BE36" s="295">
        <v>95667.323165631358</v>
      </c>
      <c r="BF36" s="325"/>
      <c r="BG36" s="277">
        <f t="shared" ref="BG36" si="28">SUM(AT36:AU36)</f>
        <v>125095.78495912228</v>
      </c>
      <c r="BH36" s="277">
        <f t="shared" ref="BH36" si="29">SUM(AT36:AV36)</f>
        <v>202922.08464248164</v>
      </c>
      <c r="BI36" s="277">
        <f t="shared" ref="BI36" si="30">SUM(AT36:AW36)</f>
        <v>291449.17787082511</v>
      </c>
      <c r="BJ36" s="277">
        <f t="shared" ref="BJ36" si="31">SUM(AT36:AX36)</f>
        <v>366937.2894594458</v>
      </c>
      <c r="BK36" s="277">
        <f t="shared" ref="BK36" si="32">SUM(AT36:AY36)</f>
        <v>451364.01562573615</v>
      </c>
      <c r="BL36" s="277">
        <f t="shared" ref="BL36" si="33">SUM(AT36:AZ36)</f>
        <v>538612.78901235946</v>
      </c>
      <c r="BM36" s="277">
        <f t="shared" ref="BM36" si="34">SUM(AT36:BA36)</f>
        <v>622994.13810355263</v>
      </c>
      <c r="BN36" s="277">
        <f t="shared" ref="BN36" si="35">SUM(AT36:BB36)</f>
        <v>703447.37984580302</v>
      </c>
      <c r="BO36" s="277">
        <f t="shared" ref="BO36" si="36">SUM(AT36:BC36)</f>
        <v>799051.22574930033</v>
      </c>
      <c r="BP36" s="277">
        <f t="shared" ref="BP36" si="37">SUM(AT36:BD36)</f>
        <v>893099.14741543634</v>
      </c>
      <c r="BQ36" s="282">
        <f t="shared" ref="BQ36" si="38">SUM(AT36:BE36)</f>
        <v>988766.47058106773</v>
      </c>
    </row>
    <row r="37" spans="1:69" s="96" customFormat="1" ht="12.75">
      <c r="A37" s="125" t="s">
        <v>12</v>
      </c>
      <c r="B37" s="126" t="s">
        <v>1</v>
      </c>
      <c r="C37" s="126" t="s">
        <v>12</v>
      </c>
      <c r="D37" s="126" t="s">
        <v>22</v>
      </c>
      <c r="E37" s="126">
        <v>642000</v>
      </c>
      <c r="F37" s="127">
        <v>62720300</v>
      </c>
      <c r="G37" s="128" t="s">
        <v>1</v>
      </c>
      <c r="H37" s="239">
        <v>96753.03</v>
      </c>
      <c r="I37" s="119">
        <f t="shared" ca="1" si="23"/>
        <v>76313.48</v>
      </c>
      <c r="J37" s="120">
        <f t="shared" ca="1" si="23"/>
        <v>0</v>
      </c>
      <c r="K37" s="120">
        <f t="shared" ca="1" si="23"/>
        <v>0</v>
      </c>
      <c r="L37" s="120">
        <f t="shared" ca="1" si="23"/>
        <v>0</v>
      </c>
      <c r="M37" s="120">
        <f t="shared" ca="1" si="23"/>
        <v>0</v>
      </c>
      <c r="N37" s="120">
        <f t="shared" ca="1" si="23"/>
        <v>0</v>
      </c>
      <c r="O37" s="120">
        <f t="shared" ca="1" si="23"/>
        <v>0</v>
      </c>
      <c r="P37" s="120">
        <f t="shared" ca="1" si="23"/>
        <v>0</v>
      </c>
      <c r="Q37" s="120">
        <f t="shared" ca="1" si="23"/>
        <v>0</v>
      </c>
      <c r="R37" s="120">
        <f t="shared" ca="1" si="23"/>
        <v>0</v>
      </c>
      <c r="S37" s="120">
        <f t="shared" ca="1" si="23"/>
        <v>0</v>
      </c>
      <c r="T37" s="120">
        <f t="shared" ca="1" si="23"/>
        <v>0</v>
      </c>
      <c r="U37" s="121" cm="2">
        <f t="array" aca="1" ref="U37" ca="1">INDEX($I37:$T37,$U$2)</f>
        <v>76313.48</v>
      </c>
      <c r="V37" s="235"/>
      <c r="W37" s="235"/>
      <c r="X37" s="239">
        <f t="shared" ca="1" si="6"/>
        <v>76313.48</v>
      </c>
      <c r="Y37" s="52"/>
      <c r="Z37" s="291" cm="1">
        <f t="array" aca="1" ref="Z37" ca="1">IFERROR(U37/OFFSET($H37,,MATCH($G$2,$H$5:$U$5,0)-2,,),"-")</f>
        <v>0.78874511733637698</v>
      </c>
      <c r="AA37" s="230" cm="1">
        <f t="array" aca="1" ref="AA37" ca="1">U37-OFFSET($H37,,MATCH($G$2,$H$5:$U$5,0)-2,,)</f>
        <v>-20439.550000000003</v>
      </c>
      <c r="AB37" s="230"/>
      <c r="AC37" s="10"/>
      <c r="AD37" s="224" cm="1">
        <f t="array" aca="1" ref="AD37" ca="1">IFERROR(U37/OFFSET($AT37,,MATCH($G$2,$AT$5:$BE$5,0)-1,,),"-")</f>
        <v>0.85033274646024581</v>
      </c>
      <c r="AE37" s="225" cm="1">
        <f t="array" aca="1" ref="AE37" ca="1">U37-OFFSET($AT37,,MATCH($G$2,$AT$5:$BE$5,0)-1,,)</f>
        <v>-13431.952382413554</v>
      </c>
      <c r="AF37" s="359"/>
      <c r="AG37" s="10"/>
      <c r="AH37" s="172" cm="2">
        <f t="array" aca="1" ref="AH37" ca="1">IFERROR(INDEX($I37:$T37,$U$2)/$AH$3,0)</f>
        <v>110.91344503805377</v>
      </c>
      <c r="AI37" s="172">
        <f t="shared" si="24"/>
        <v>125.63313432270029</v>
      </c>
      <c r="AJ37" s="173" cm="1">
        <f t="array" aca="1" ref="AJ37" ca="1">IFERROR(OFFSET($AT37,,MATCH($G$2,$AT$5:$BE$5,0)-1,,)/$AJ$3,"")</f>
        <v>112.82719560295654</v>
      </c>
      <c r="AK37" s="323"/>
      <c r="AL37" s="313">
        <f t="shared" ca="1" si="5"/>
        <v>76313.48</v>
      </c>
      <c r="AM37" s="313" t="e" cm="1">
        <f t="array" ref="AM37">INDEX($BG$8:$BQ$83,ROW()-7,MATCH($G$3,$BG$5:$BQ$5,0))</f>
        <v>#N/A</v>
      </c>
      <c r="AN37" s="313" t="e">
        <f t="shared" ca="1" si="7"/>
        <v>#N/A</v>
      </c>
      <c r="AO37" s="314" t="str">
        <f t="shared" ca="1" si="8"/>
        <v/>
      </c>
      <c r="AP37" s="324"/>
      <c r="AR37" s="282">
        <f t="shared" ca="1" si="9"/>
        <v>991850.37614878383</v>
      </c>
      <c r="AS37" s="18"/>
      <c r="AT37" s="166">
        <v>89745.43238241355</v>
      </c>
      <c r="AU37" s="108">
        <v>70814.39576056556</v>
      </c>
      <c r="AV37" s="108">
        <v>90447.285725867259</v>
      </c>
      <c r="AW37" s="108">
        <v>87030.763403215111</v>
      </c>
      <c r="AX37" s="108">
        <v>84188.51896121075</v>
      </c>
      <c r="AY37" s="108">
        <v>90578.425264972393</v>
      </c>
      <c r="AZ37" s="108">
        <v>92288.667484080492</v>
      </c>
      <c r="BA37" s="294">
        <v>96237.28753050782</v>
      </c>
      <c r="BB37" s="294">
        <v>80794.437233299323</v>
      </c>
      <c r="BC37" s="294">
        <v>99269.60711925436</v>
      </c>
      <c r="BD37" s="294">
        <v>93881.474686120942</v>
      </c>
      <c r="BE37" s="295">
        <v>92887.560597276126</v>
      </c>
      <c r="BF37" s="325"/>
      <c r="BG37" s="277">
        <f t="shared" si="10"/>
        <v>160559.82814297912</v>
      </c>
      <c r="BH37" s="277">
        <f t="shared" si="11"/>
        <v>251007.11386884638</v>
      </c>
      <c r="BI37" s="277">
        <f t="shared" si="12"/>
        <v>338037.87727206148</v>
      </c>
      <c r="BJ37" s="277">
        <f t="shared" si="13"/>
        <v>422226.39623327221</v>
      </c>
      <c r="BK37" s="277">
        <f t="shared" si="14"/>
        <v>512804.82149824459</v>
      </c>
      <c r="BL37" s="277">
        <f t="shared" si="15"/>
        <v>605093.48898232507</v>
      </c>
      <c r="BM37" s="277">
        <f t="shared" si="16"/>
        <v>701330.77651283285</v>
      </c>
      <c r="BN37" s="277">
        <f t="shared" si="17"/>
        <v>782125.21374613221</v>
      </c>
      <c r="BO37" s="277">
        <f t="shared" si="18"/>
        <v>881394.82086538663</v>
      </c>
      <c r="BP37" s="277">
        <f t="shared" si="19"/>
        <v>975276.29555150762</v>
      </c>
      <c r="BQ37" s="282">
        <f t="shared" si="20"/>
        <v>1068163.8561487838</v>
      </c>
    </row>
    <row r="38" spans="1:69" s="96" customFormat="1" ht="12.75">
      <c r="A38" s="125" t="s">
        <v>12</v>
      </c>
      <c r="B38" s="126" t="s">
        <v>9</v>
      </c>
      <c r="C38" s="126" t="s">
        <v>12</v>
      </c>
      <c r="D38" s="126" t="s">
        <v>22</v>
      </c>
      <c r="E38" s="126">
        <v>644100</v>
      </c>
      <c r="F38" s="127">
        <v>62720800</v>
      </c>
      <c r="G38" s="128" t="s">
        <v>99</v>
      </c>
      <c r="H38" s="239">
        <v>90169.650000000009</v>
      </c>
      <c r="I38" s="119">
        <f t="shared" ref="I38:T47" ca="1" si="39">SUMIFS(INDIRECT(I$5&amp;"!N:N"),INDIRECT(I$5&amp;"!L:L"),$E38,INDIRECT(I$5&amp;"!K:K"),50)-SUMIFS(INDIRECT(I$5&amp;"!N:N"),INDIRECT(I$5&amp;"!L:L"),$E38,INDIRECT(I$5&amp;"!K:K"),40)</f>
        <v>44790.709999999992</v>
      </c>
      <c r="J38" s="120">
        <f t="shared" ca="1" si="39"/>
        <v>0</v>
      </c>
      <c r="K38" s="120">
        <f t="shared" ca="1" si="39"/>
        <v>0</v>
      </c>
      <c r="L38" s="120">
        <f t="shared" ca="1" si="39"/>
        <v>0</v>
      </c>
      <c r="M38" s="120">
        <f t="shared" ca="1" si="39"/>
        <v>0</v>
      </c>
      <c r="N38" s="120">
        <f t="shared" ca="1" si="39"/>
        <v>0</v>
      </c>
      <c r="O38" s="120">
        <f t="shared" ca="1" si="39"/>
        <v>0</v>
      </c>
      <c r="P38" s="120">
        <f t="shared" ca="1" si="39"/>
        <v>0</v>
      </c>
      <c r="Q38" s="120">
        <f t="shared" ca="1" si="39"/>
        <v>0</v>
      </c>
      <c r="R38" s="120">
        <f t="shared" ca="1" si="39"/>
        <v>0</v>
      </c>
      <c r="S38" s="120">
        <f t="shared" ca="1" si="39"/>
        <v>0</v>
      </c>
      <c r="T38" s="120">
        <f t="shared" ca="1" si="39"/>
        <v>0</v>
      </c>
      <c r="U38" s="121" cm="2">
        <f t="array" aca="1" ref="U38" ca="1">INDEX($I38:$T38,$U$2)</f>
        <v>44790.709999999992</v>
      </c>
      <c r="V38" s="235"/>
      <c r="W38" s="235"/>
      <c r="X38" s="239">
        <f t="shared" ca="1" si="6"/>
        <v>44790.709999999992</v>
      </c>
      <c r="Y38" s="52"/>
      <c r="Z38" s="291" cm="1">
        <f t="array" aca="1" ref="Z38" ca="1">IFERROR(U38/OFFSET($H38,,MATCH($G$2,$H$5:$U$5,0)-2,,),"-")</f>
        <v>0.49673820404093827</v>
      </c>
      <c r="AA38" s="230" cm="1">
        <f t="array" aca="1" ref="AA38" ca="1">U38-OFFSET($H38,,MATCH($G$2,$H$5:$U$5,0)-2,,)</f>
        <v>-45378.940000000017</v>
      </c>
      <c r="AB38" s="230"/>
      <c r="AC38" s="10"/>
      <c r="AD38" s="224" cm="1">
        <f t="array" aca="1" ref="AD38" ca="1">IFERROR(U38/OFFSET($AT38,,MATCH($G$2,$AT$5:$BE$5,0)-1,,),"-")</f>
        <v>0.78256320645717703</v>
      </c>
      <c r="AE38" s="225" cm="1">
        <f t="array" aca="1" ref="AE38" ca="1">U38-OFFSET($AT38,,MATCH($G$2,$AT$5:$BE$5,0)-1,,)</f>
        <v>-12445.190730340568</v>
      </c>
      <c r="AF38" s="358"/>
      <c r="AG38" s="10"/>
      <c r="AH38" s="172"/>
      <c r="AI38" s="172">
        <f t="shared" si="24"/>
        <v>117.08466133082212</v>
      </c>
      <c r="AJ38" s="173"/>
      <c r="AK38" s="526"/>
      <c r="AL38" s="313">
        <f t="shared" ca="1" si="5"/>
        <v>44790.709999999992</v>
      </c>
      <c r="AM38" s="313" t="e" cm="1">
        <f t="array" ref="AM38">INDEX($BG$8:$BQ$83,ROW()-7,MATCH($G$3,$BG$5:$BQ$5,0))</f>
        <v>#N/A</v>
      </c>
      <c r="AN38" s="313" t="e">
        <f t="shared" ca="1" si="7"/>
        <v>#N/A</v>
      </c>
      <c r="AO38" s="314" t="str">
        <f t="shared" ca="1" si="8"/>
        <v/>
      </c>
      <c r="AP38" s="527"/>
      <c r="AR38" s="282">
        <f t="shared" ca="1" si="9"/>
        <v>1059850.7108845462</v>
      </c>
      <c r="AS38" s="10"/>
      <c r="AT38" s="166">
        <v>57235.90073034056</v>
      </c>
      <c r="AU38" s="108">
        <v>65155.881186248349</v>
      </c>
      <c r="AV38" s="108">
        <v>81054.143677988512</v>
      </c>
      <c r="AW38" s="108">
        <v>81716.542587740434</v>
      </c>
      <c r="AX38" s="108">
        <v>71214.437615028204</v>
      </c>
      <c r="AY38" s="108">
        <v>97663.042409373957</v>
      </c>
      <c r="AZ38" s="108">
        <v>106103.06019129681</v>
      </c>
      <c r="BA38" s="294">
        <v>111294.77477826203</v>
      </c>
      <c r="BB38" s="294">
        <v>101280.05914962463</v>
      </c>
      <c r="BC38" s="294">
        <v>118744.18373919361</v>
      </c>
      <c r="BD38" s="294">
        <v>110821.4300747129</v>
      </c>
      <c r="BE38" s="295">
        <v>102357.96474473625</v>
      </c>
      <c r="BF38" s="325"/>
      <c r="BG38" s="277">
        <f t="shared" si="10"/>
        <v>122391.78191658891</v>
      </c>
      <c r="BH38" s="277">
        <f t="shared" si="11"/>
        <v>203445.92559457742</v>
      </c>
      <c r="BI38" s="277">
        <f t="shared" si="12"/>
        <v>285162.46818231785</v>
      </c>
      <c r="BJ38" s="277">
        <f t="shared" si="13"/>
        <v>356376.90579734603</v>
      </c>
      <c r="BK38" s="277">
        <f t="shared" si="14"/>
        <v>454039.94820672</v>
      </c>
      <c r="BL38" s="277">
        <f t="shared" si="15"/>
        <v>560143.0083980168</v>
      </c>
      <c r="BM38" s="277">
        <f t="shared" si="16"/>
        <v>671437.78317627881</v>
      </c>
      <c r="BN38" s="277">
        <f t="shared" si="17"/>
        <v>772717.84232590348</v>
      </c>
      <c r="BO38" s="277">
        <f t="shared" si="18"/>
        <v>891462.02606509707</v>
      </c>
      <c r="BP38" s="277">
        <f t="shared" si="19"/>
        <v>1002283.4561398099</v>
      </c>
      <c r="BQ38" s="282">
        <f t="shared" si="20"/>
        <v>1104641.4208845461</v>
      </c>
    </row>
    <row r="39" spans="1:69" s="96" customFormat="1" ht="12.75">
      <c r="A39" s="125" t="s">
        <v>12</v>
      </c>
      <c r="B39" s="126" t="s">
        <v>12</v>
      </c>
      <c r="C39" s="126" t="s">
        <v>12</v>
      </c>
      <c r="D39" s="126" t="s">
        <v>22</v>
      </c>
      <c r="E39" s="126">
        <v>644500</v>
      </c>
      <c r="F39" s="127">
        <v>62730100</v>
      </c>
      <c r="G39" s="128" t="s">
        <v>519</v>
      </c>
      <c r="H39" s="239">
        <v>32144.450000000004</v>
      </c>
      <c r="I39" s="119">
        <f t="shared" ca="1" si="39"/>
        <v>17874.010000000006</v>
      </c>
      <c r="J39" s="120">
        <f t="shared" ca="1" si="39"/>
        <v>0</v>
      </c>
      <c r="K39" s="120">
        <f t="shared" ca="1" si="39"/>
        <v>0</v>
      </c>
      <c r="L39" s="120">
        <f t="shared" ca="1" si="39"/>
        <v>0</v>
      </c>
      <c r="M39" s="120">
        <f t="shared" ca="1" si="39"/>
        <v>0</v>
      </c>
      <c r="N39" s="120">
        <f t="shared" ca="1" si="39"/>
        <v>0</v>
      </c>
      <c r="O39" s="120">
        <f t="shared" ca="1" si="39"/>
        <v>0</v>
      </c>
      <c r="P39" s="120">
        <f ca="1">SUMIFS(INDIRECT(P$5&amp;"!N:N"),INDIRECT(P$5&amp;"!L:L"),$E39,INDIRECT(P$5&amp;"!K:K"),50)-SUMIFS(INDIRECT(P$5&amp;"!N:N"),INDIRECT(P$5&amp;"!L:L"),$E39,INDIRECT(P$5&amp;"!K:K"),40)</f>
        <v>0</v>
      </c>
      <c r="Q39" s="120">
        <f ca="1">SUMIFS(INDIRECT(Q$5&amp;"!N:N"),INDIRECT(Q$5&amp;"!L:L"),$E39,INDIRECT(Q$5&amp;"!K:K"),50)-SUMIFS(INDIRECT(Q$5&amp;"!N:N"),INDIRECT(Q$5&amp;"!L:L"),$E39,INDIRECT(Q$5&amp;"!K:K"),40)</f>
        <v>0</v>
      </c>
      <c r="R39" s="120">
        <f t="shared" ca="1" si="39"/>
        <v>0</v>
      </c>
      <c r="S39" s="120">
        <f t="shared" ca="1" si="39"/>
        <v>0</v>
      </c>
      <c r="T39" s="120">
        <f t="shared" ca="1" si="39"/>
        <v>0</v>
      </c>
      <c r="U39" s="121" cm="2">
        <f t="array" aca="1" ref="U39" ca="1">INDEX($I39:$T39,$U$2)</f>
        <v>17874.010000000006</v>
      </c>
      <c r="V39" s="235"/>
      <c r="W39" s="235"/>
      <c r="X39" s="239">
        <f t="shared" ca="1" si="6"/>
        <v>17874.010000000006</v>
      </c>
      <c r="Y39" s="52"/>
      <c r="Z39" s="291" cm="1">
        <f t="array" aca="1" ref="Z39" ca="1">IFERROR(U39/OFFSET($H39,,MATCH($G$2,$H$5:$U$5,0)-2,,),"-")</f>
        <v>0.55605275560788892</v>
      </c>
      <c r="AA39" s="230" cm="1">
        <f t="array" aca="1" ref="AA39" ca="1">U39-OFFSET($H39,,MATCH($G$2,$H$5:$U$5,0)-2,,)</f>
        <v>-14270.439999999999</v>
      </c>
      <c r="AB39" s="230"/>
      <c r="AC39" s="10"/>
      <c r="AD39" s="224" cm="1">
        <f t="array" aca="1" ref="AD39" ca="1">IFERROR(U39/OFFSET($AT39,,MATCH($G$2,$AT$5:$BE$5,0)-1,,),"-")</f>
        <v>0.38112380338918811</v>
      </c>
      <c r="AE39" s="225" cm="1">
        <f t="array" aca="1" ref="AE39" ca="1">U39-OFFSET($AT39,,MATCH($G$2,$AT$5:$BE$5,0)-1,,)</f>
        <v>-29024.162827446813</v>
      </c>
      <c r="AF39" s="358"/>
      <c r="AG39" s="10"/>
      <c r="AH39" s="172"/>
      <c r="AI39" s="172">
        <f t="shared" si="24"/>
        <v>41.739344024464387</v>
      </c>
      <c r="AJ39" s="173"/>
      <c r="AL39" s="313">
        <f t="shared" ref="AL39:AL70" ca="1" si="40">SUM(I39:T39)</f>
        <v>17874.010000000006</v>
      </c>
      <c r="AM39" s="313" t="e" cm="1">
        <f t="array" ref="AM39">INDEX($BG$8:$BQ$83,ROW()-7,MATCH($G$3,$BG$5:$BQ$5,0))</f>
        <v>#N/A</v>
      </c>
      <c r="AN39" s="313" t="e">
        <f t="shared" ca="1" si="7"/>
        <v>#N/A</v>
      </c>
      <c r="AO39" s="314" t="str">
        <f t="shared" ca="1" si="8"/>
        <v/>
      </c>
      <c r="AP39" s="527"/>
      <c r="AR39" s="282">
        <f t="shared" ca="1" si="9"/>
        <v>765542.33810471103</v>
      </c>
      <c r="AS39" s="10"/>
      <c r="AT39" s="166">
        <v>46898.172827446819</v>
      </c>
      <c r="AU39" s="108">
        <v>33065.430231041013</v>
      </c>
      <c r="AV39" s="108">
        <v>103268.98605186517</v>
      </c>
      <c r="AW39" s="108">
        <v>63030.752213735897</v>
      </c>
      <c r="AX39" s="108">
        <v>80236.072954386182</v>
      </c>
      <c r="AY39" s="108">
        <v>58941.56702884745</v>
      </c>
      <c r="AZ39" s="108">
        <v>51472.473385799363</v>
      </c>
      <c r="BA39" s="519">
        <v>149906.83699110328</v>
      </c>
      <c r="BB39" s="519">
        <v>56705.409627132067</v>
      </c>
      <c r="BC39" s="519">
        <v>59325.211067579294</v>
      </c>
      <c r="BD39" s="519">
        <v>25263.145638513648</v>
      </c>
      <c r="BE39" s="520">
        <v>55302.290087260779</v>
      </c>
      <c r="BF39" s="521"/>
      <c r="BG39" s="522">
        <f t="shared" si="10"/>
        <v>79963.603058487832</v>
      </c>
      <c r="BH39" s="522">
        <f t="shared" si="11"/>
        <v>183232.589110353</v>
      </c>
      <c r="BI39" s="522">
        <f t="shared" si="12"/>
        <v>246263.34132408889</v>
      </c>
      <c r="BJ39" s="522">
        <f t="shared" si="13"/>
        <v>326499.4142784751</v>
      </c>
      <c r="BK39" s="522">
        <f t="shared" si="14"/>
        <v>385440.98130732257</v>
      </c>
      <c r="BL39" s="522">
        <f t="shared" si="15"/>
        <v>436913.45469312195</v>
      </c>
      <c r="BM39" s="522">
        <f t="shared" si="16"/>
        <v>586820.2916842252</v>
      </c>
      <c r="BN39" s="522">
        <f t="shared" si="17"/>
        <v>643525.70131135732</v>
      </c>
      <c r="BO39" s="522">
        <f t="shared" si="18"/>
        <v>702850.91237893666</v>
      </c>
      <c r="BP39" s="522">
        <f t="shared" si="19"/>
        <v>728114.05801745027</v>
      </c>
      <c r="BQ39" s="523">
        <f t="shared" si="20"/>
        <v>783416.34810471104</v>
      </c>
    </row>
    <row r="40" spans="1:69" s="11" customFormat="1" ht="20.100000000000001" customHeight="1">
      <c r="A40" s="125" t="s">
        <v>12</v>
      </c>
      <c r="B40" s="126" t="s">
        <v>12</v>
      </c>
      <c r="C40" s="126" t="s">
        <v>12</v>
      </c>
      <c r="D40" s="126" t="s">
        <v>22</v>
      </c>
      <c r="E40" s="126">
        <v>667111</v>
      </c>
      <c r="F40" s="127">
        <v>62730300</v>
      </c>
      <c r="G40" s="128" t="s">
        <v>520</v>
      </c>
      <c r="H40" s="239">
        <v>2301.88</v>
      </c>
      <c r="I40" s="119">
        <f t="shared" ca="1" si="39"/>
        <v>1640.6699999999998</v>
      </c>
      <c r="J40" s="120">
        <f t="shared" ca="1" si="39"/>
        <v>0</v>
      </c>
      <c r="K40" s="120">
        <f t="shared" ca="1" si="39"/>
        <v>0</v>
      </c>
      <c r="L40" s="120">
        <f t="shared" ca="1" si="39"/>
        <v>0</v>
      </c>
      <c r="M40" s="120">
        <f t="shared" ca="1" si="39"/>
        <v>0</v>
      </c>
      <c r="N40" s="120">
        <f t="shared" ca="1" si="39"/>
        <v>0</v>
      </c>
      <c r="O40" s="120">
        <f t="shared" ca="1" si="39"/>
        <v>0</v>
      </c>
      <c r="P40" s="120">
        <f t="shared" ca="1" si="39"/>
        <v>0</v>
      </c>
      <c r="Q40" s="120">
        <f t="shared" ca="1" si="39"/>
        <v>0</v>
      </c>
      <c r="R40" s="120">
        <f t="shared" ca="1" si="39"/>
        <v>0</v>
      </c>
      <c r="S40" s="120">
        <f t="shared" ca="1" si="39"/>
        <v>0</v>
      </c>
      <c r="T40" s="120">
        <f t="shared" ca="1" si="39"/>
        <v>0</v>
      </c>
      <c r="U40" s="121" cm="2">
        <f t="array" aca="1" ref="U40" ca="1">INDEX($I40:$T40,$U$2)</f>
        <v>1640.6699999999998</v>
      </c>
      <c r="V40" s="235"/>
      <c r="W40" s="235"/>
      <c r="X40" s="239">
        <f t="shared" ca="1" si="6"/>
        <v>1640.6699999999998</v>
      </c>
      <c r="Y40" s="52"/>
      <c r="Z40" s="291" cm="1">
        <f t="array" aca="1" ref="Z40" ca="1">IFERROR(U40/OFFSET($H40,,MATCH($G$2,$H$5:$U$5,0)-2,,),"-")</f>
        <v>0.71275218517038241</v>
      </c>
      <c r="AA40" s="230" cm="1">
        <f t="array" aca="1" ref="AA40" ca="1">U40-OFFSET($H40,,MATCH($G$2,$H$5:$U$5,0)-2,,)</f>
        <v>-661.21000000000026</v>
      </c>
      <c r="AB40" s="230"/>
      <c r="AC40" s="10"/>
      <c r="AD40" s="224" cm="1">
        <f t="array" aca="1" ref="AD40" ca="1">IFERROR(U40/OFFSET($AT40,,MATCH($G$2,$AT$5:$BE$5,0)-1,,),"-")</f>
        <v>0.60814009671201719</v>
      </c>
      <c r="AE40" s="225" cm="1">
        <f t="array" aca="1" ref="AE40" ca="1">U40-OFFSET($AT40,,MATCH($G$2,$AT$5:$BE$5,0)-1,,)</f>
        <v>-1057.1787504285282</v>
      </c>
      <c r="AF40" s="359"/>
      <c r="AG40" s="1"/>
      <c r="AH40" s="172"/>
      <c r="AI40" s="172">
        <f t="shared" si="24"/>
        <v>2.9889751177274482</v>
      </c>
      <c r="AJ40" s="173"/>
      <c r="AL40" s="312">
        <f t="shared" ca="1" si="40"/>
        <v>1640.6699999999998</v>
      </c>
      <c r="AM40" s="312" t="e" cm="1">
        <f t="array" ref="AM40">INDEX($BG$8:$BQ$83,ROW()-7,MATCH($G$3,$BG$5:$BQ$5,0))</f>
        <v>#N/A</v>
      </c>
      <c r="AN40" s="313" t="e">
        <f t="shared" ca="1" si="7"/>
        <v>#N/A</v>
      </c>
      <c r="AO40" s="314" t="str">
        <f t="shared" ca="1" si="8"/>
        <v/>
      </c>
      <c r="AP40" s="315"/>
      <c r="AR40" s="278">
        <f t="shared" ca="1" si="9"/>
        <v>35516.624985253868</v>
      </c>
      <c r="AS40" s="1"/>
      <c r="AT40" s="166">
        <v>2697.8487504285281</v>
      </c>
      <c r="AU40" s="108">
        <v>3343.0362722573263</v>
      </c>
      <c r="AV40" s="108">
        <v>3952.7269525802858</v>
      </c>
      <c r="AW40" s="108">
        <v>2905.0039253038694</v>
      </c>
      <c r="AX40" s="108">
        <v>3008.0445677903604</v>
      </c>
      <c r="AY40" s="108">
        <v>2718.0347474072032</v>
      </c>
      <c r="AZ40" s="108">
        <v>2935.0599639658026</v>
      </c>
      <c r="BA40" s="289">
        <v>2957.1353678708683</v>
      </c>
      <c r="BB40" s="289">
        <v>3356.8984272097168</v>
      </c>
      <c r="BC40" s="289">
        <v>2792.7216182921002</v>
      </c>
      <c r="BD40" s="289">
        <v>2747.805310864363</v>
      </c>
      <c r="BE40" s="290">
        <v>3742.9790812834399</v>
      </c>
      <c r="BF40" s="20"/>
      <c r="BG40" s="275">
        <f t="shared" si="10"/>
        <v>6040.885022685854</v>
      </c>
      <c r="BH40" s="275">
        <f t="shared" si="11"/>
        <v>9993.6119752661398</v>
      </c>
      <c r="BI40" s="275">
        <f t="shared" si="12"/>
        <v>12898.61590057001</v>
      </c>
      <c r="BJ40" s="275">
        <f t="shared" si="13"/>
        <v>15906.660468360371</v>
      </c>
      <c r="BK40" s="275">
        <f t="shared" si="14"/>
        <v>18624.695215767573</v>
      </c>
      <c r="BL40" s="275">
        <f t="shared" si="15"/>
        <v>21559.755179733376</v>
      </c>
      <c r="BM40" s="275">
        <f t="shared" si="16"/>
        <v>24516.890547604246</v>
      </c>
      <c r="BN40" s="275">
        <f t="shared" si="17"/>
        <v>27873.788974813964</v>
      </c>
      <c r="BO40" s="275">
        <f t="shared" si="18"/>
        <v>30666.510593106064</v>
      </c>
      <c r="BP40" s="275">
        <f t="shared" si="19"/>
        <v>33414.315903970426</v>
      </c>
      <c r="BQ40" s="281">
        <f t="shared" si="20"/>
        <v>37157.294985253866</v>
      </c>
    </row>
    <row r="41" spans="1:69" s="11" customFormat="1" ht="28.5" customHeight="1">
      <c r="A41" s="125" t="s">
        <v>12</v>
      </c>
      <c r="B41" s="126" t="s">
        <v>10</v>
      </c>
      <c r="C41" s="126" t="s">
        <v>12</v>
      </c>
      <c r="D41" s="126" t="s">
        <v>22</v>
      </c>
      <c r="E41" s="126">
        <v>651110</v>
      </c>
      <c r="F41" s="127">
        <v>62730400</v>
      </c>
      <c r="G41" s="128" t="s">
        <v>521</v>
      </c>
      <c r="H41" s="239">
        <v>236981.26999999996</v>
      </c>
      <c r="I41" s="119">
        <f t="shared" ca="1" si="39"/>
        <v>171638.69999999998</v>
      </c>
      <c r="J41" s="120">
        <f t="shared" ca="1" si="39"/>
        <v>0</v>
      </c>
      <c r="K41" s="120">
        <f t="shared" ca="1" si="39"/>
        <v>0</v>
      </c>
      <c r="L41" s="120">
        <f t="shared" ca="1" si="39"/>
        <v>0</v>
      </c>
      <c r="M41" s="120">
        <f t="shared" ca="1" si="39"/>
        <v>0</v>
      </c>
      <c r="N41" s="120">
        <f t="shared" ca="1" si="39"/>
        <v>0</v>
      </c>
      <c r="O41" s="120">
        <f t="shared" ca="1" si="39"/>
        <v>0</v>
      </c>
      <c r="P41" s="120">
        <f t="shared" ca="1" si="39"/>
        <v>0</v>
      </c>
      <c r="Q41" s="120">
        <f t="shared" ca="1" si="39"/>
        <v>0</v>
      </c>
      <c r="R41" s="120">
        <f t="shared" ca="1" si="39"/>
        <v>0</v>
      </c>
      <c r="S41" s="120">
        <f t="shared" ca="1" si="39"/>
        <v>0</v>
      </c>
      <c r="T41" s="120">
        <f t="shared" ca="1" si="39"/>
        <v>0</v>
      </c>
      <c r="U41" s="121" cm="2">
        <f t="array" aca="1" ref="U41" ca="1">INDEX($I41:$T41,$U$2)</f>
        <v>171638.69999999998</v>
      </c>
      <c r="V41" s="235"/>
      <c r="W41" s="235"/>
      <c r="X41" s="239">
        <f t="shared" ca="1" si="6"/>
        <v>171638.69999999998</v>
      </c>
      <c r="Y41" s="52"/>
      <c r="Z41" s="291" cm="1">
        <f t="array" aca="1" ref="Z41" ca="1">IFERROR(U41/OFFSET($H41,,MATCH($G$2,$H$5:$U$5,0)-2,,),"-")</f>
        <v>0.72427116286447457</v>
      </c>
      <c r="AA41" s="230" cm="1">
        <f t="array" aca="1" ref="AA41" ca="1">U41-OFFSET($H41,,MATCH($G$2,$H$5:$U$5,0)-2,,)</f>
        <v>-65342.569999999978</v>
      </c>
      <c r="AB41" s="230"/>
      <c r="AC41" s="10"/>
      <c r="AD41" s="224" cm="1">
        <f t="array" aca="1" ref="AD41" ca="1">IFERROR(U41/OFFSET($AT41,,MATCH($G$2,$AT$5:$BE$5,0)-1,,),"-")</f>
        <v>0.76779842011083654</v>
      </c>
      <c r="AE41" s="225" cm="1">
        <f t="array" aca="1" ref="AE41" ca="1">U41-OFFSET($AT41,,MATCH($G$2,$AT$5:$BE$5,0)-1,,)</f>
        <v>-51907.865744720941</v>
      </c>
      <c r="AF41" s="358"/>
      <c r="AG41" s="1"/>
      <c r="AH41" s="172"/>
      <c r="AI41" s="172">
        <f t="shared" si="24"/>
        <v>307.71852546503294</v>
      </c>
      <c r="AJ41" s="173"/>
      <c r="AK41" s="12"/>
      <c r="AL41" s="312">
        <f t="shared" ca="1" si="40"/>
        <v>171638.69999999998</v>
      </c>
      <c r="AM41" s="312" t="e" cm="1">
        <f t="array" ref="AM41">INDEX($BG$8:$BQ$83,ROW()-7,MATCH($G$3,$BG$5:$BQ$5,0))</f>
        <v>#N/A</v>
      </c>
      <c r="AN41" s="313" t="e">
        <f t="shared" ca="1" si="7"/>
        <v>#N/A</v>
      </c>
      <c r="AO41" s="314" t="str">
        <f t="shared" ca="1" si="8"/>
        <v/>
      </c>
      <c r="AP41" s="326"/>
      <c r="AR41" s="278">
        <f t="shared" ca="1" si="9"/>
        <v>2904269.9438840575</v>
      </c>
      <c r="AS41" s="1"/>
      <c r="AT41" s="166">
        <v>223546.56574472092</v>
      </c>
      <c r="AU41" s="108">
        <v>214985.08377364546</v>
      </c>
      <c r="AV41" s="108">
        <v>223376.40068088946</v>
      </c>
      <c r="AW41" s="108">
        <v>318187.84509824682</v>
      </c>
      <c r="AX41" s="108">
        <v>314633.15977675345</v>
      </c>
      <c r="AY41" s="108">
        <v>274090.80846334063</v>
      </c>
      <c r="AZ41" s="108">
        <v>284492.42171447258</v>
      </c>
      <c r="BA41" s="292">
        <v>278350.7804741477</v>
      </c>
      <c r="BB41" s="292">
        <v>259777.98027909955</v>
      </c>
      <c r="BC41" s="292">
        <v>222169.07271514609</v>
      </c>
      <c r="BD41" s="292">
        <v>272297.52105914394</v>
      </c>
      <c r="BE41" s="293">
        <v>190001.00410445128</v>
      </c>
      <c r="BF41" s="317"/>
      <c r="BG41" s="276">
        <f t="shared" si="10"/>
        <v>438531.64951836638</v>
      </c>
      <c r="BH41" s="276">
        <f t="shared" si="11"/>
        <v>661908.05019925581</v>
      </c>
      <c r="BI41" s="276">
        <f t="shared" si="12"/>
        <v>980095.89529750263</v>
      </c>
      <c r="BJ41" s="276">
        <f t="shared" si="13"/>
        <v>1294729.0550742561</v>
      </c>
      <c r="BK41" s="276">
        <f t="shared" si="14"/>
        <v>1568819.8635375968</v>
      </c>
      <c r="BL41" s="276">
        <f t="shared" si="15"/>
        <v>1853312.2852520694</v>
      </c>
      <c r="BM41" s="276">
        <f t="shared" si="16"/>
        <v>2131663.0657262169</v>
      </c>
      <c r="BN41" s="276">
        <f t="shared" si="17"/>
        <v>2391441.0460053165</v>
      </c>
      <c r="BO41" s="276">
        <f t="shared" si="18"/>
        <v>2613610.1187204625</v>
      </c>
      <c r="BP41" s="276">
        <f t="shared" si="19"/>
        <v>2885907.6397796064</v>
      </c>
      <c r="BQ41" s="278">
        <f t="shared" si="20"/>
        <v>3075908.6438840576</v>
      </c>
    </row>
    <row r="42" spans="1:69" s="96" customFormat="1" ht="20.100000000000001" customHeight="1">
      <c r="A42" s="125" t="s">
        <v>0</v>
      </c>
      <c r="B42" s="126" t="s">
        <v>0</v>
      </c>
      <c r="C42" s="126" t="s">
        <v>45</v>
      </c>
      <c r="D42" s="126" t="s">
        <v>22</v>
      </c>
      <c r="E42" s="126">
        <v>624131</v>
      </c>
      <c r="F42" s="127">
        <v>62730501</v>
      </c>
      <c r="G42" s="128" t="s">
        <v>522</v>
      </c>
      <c r="H42" s="239">
        <v>36338.130000000012</v>
      </c>
      <c r="I42" s="119">
        <f t="shared" ca="1" si="39"/>
        <v>5921.9699999999993</v>
      </c>
      <c r="J42" s="120">
        <f t="shared" ca="1" si="39"/>
        <v>0</v>
      </c>
      <c r="K42" s="120">
        <f t="shared" ca="1" si="39"/>
        <v>0</v>
      </c>
      <c r="L42" s="120">
        <f t="shared" ca="1" si="39"/>
        <v>0</v>
      </c>
      <c r="M42" s="120">
        <f t="shared" ca="1" si="39"/>
        <v>0</v>
      </c>
      <c r="N42" s="120">
        <f t="shared" ca="1" si="39"/>
        <v>0</v>
      </c>
      <c r="O42" s="120">
        <f t="shared" ca="1" si="39"/>
        <v>0</v>
      </c>
      <c r="P42" s="120">
        <f t="shared" ca="1" si="39"/>
        <v>0</v>
      </c>
      <c r="Q42" s="120">
        <f t="shared" ca="1" si="39"/>
        <v>0</v>
      </c>
      <c r="R42" s="120">
        <f t="shared" ca="1" si="39"/>
        <v>0</v>
      </c>
      <c r="S42" s="120">
        <f t="shared" ca="1" si="39"/>
        <v>0</v>
      </c>
      <c r="T42" s="120">
        <f t="shared" ca="1" si="39"/>
        <v>0</v>
      </c>
      <c r="U42" s="121" cm="2">
        <f t="array" aca="1" ref="U42" ca="1">INDEX($I42:$T42,$U$2)</f>
        <v>5921.9699999999993</v>
      </c>
      <c r="V42" s="235"/>
      <c r="W42" s="235"/>
      <c r="X42" s="239">
        <f t="shared" ca="1" si="6"/>
        <v>5921.9699999999993</v>
      </c>
      <c r="Y42" s="52"/>
      <c r="Z42" s="291" cm="1">
        <f t="array" aca="1" ref="Z42" ca="1">IFERROR(U42/OFFSET($H42,,MATCH($G$2,$H$5:$U$5,0)-2,,),"-")</f>
        <v>0.1629684851697101</v>
      </c>
      <c r="AA42" s="230" cm="1">
        <f t="array" aca="1" ref="AA42" ca="1">U42-OFFSET($H42,,MATCH($G$2,$H$5:$U$5,0)-2,,)</f>
        <v>-30416.160000000011</v>
      </c>
      <c r="AB42" s="230"/>
      <c r="AC42" s="10"/>
      <c r="AD42" s="224" cm="1">
        <f t="array" aca="1" ref="AD42" ca="1">IFERROR(U42/OFFSET($AT42,,MATCH($G$2,$AT$5:$BE$5,0)-1,,),"-")</f>
        <v>0.57324354003492384</v>
      </c>
      <c r="AE42" s="225" cm="1">
        <f t="array" aca="1" ref="AE42" ca="1">U42-OFFSET($AT42,,MATCH($G$2,$AT$5:$BE$5,0)-1,,)</f>
        <v>-4408.6653869059119</v>
      </c>
      <c r="AF42" s="359"/>
      <c r="AG42" s="10"/>
      <c r="AH42" s="172"/>
      <c r="AI42" s="172">
        <f t="shared" si="24"/>
        <v>47.184808241413691</v>
      </c>
      <c r="AJ42" s="173"/>
      <c r="AL42" s="313">
        <f t="shared" ca="1" si="40"/>
        <v>5921.9699999999993</v>
      </c>
      <c r="AM42" s="313" t="e" cm="1">
        <f t="array" ref="AM42">INDEX($BG$8:$BQ$83,ROW()-7,MATCH($G$3,$BG$5:$BQ$5,0))</f>
        <v>#N/A</v>
      </c>
      <c r="AN42" s="313" t="e">
        <f t="shared" ca="1" si="7"/>
        <v>#N/A</v>
      </c>
      <c r="AO42" s="314" t="str">
        <f t="shared" ca="1" si="8"/>
        <v/>
      </c>
      <c r="AP42" s="518"/>
      <c r="AR42" s="282">
        <f t="shared" ca="1" si="9"/>
        <v>143300.40801159453</v>
      </c>
      <c r="AS42" s="10"/>
      <c r="AT42" s="166">
        <v>10330.635386905911</v>
      </c>
      <c r="AU42" s="108">
        <v>9185.6211175784501</v>
      </c>
      <c r="AV42" s="108">
        <v>10140.463411636483</v>
      </c>
      <c r="AW42" s="108">
        <v>16309.562556979718</v>
      </c>
      <c r="AX42" s="108">
        <v>10412.417342995221</v>
      </c>
      <c r="AY42" s="108">
        <v>9276.7541305132527</v>
      </c>
      <c r="AZ42" s="108">
        <v>10995.735003303165</v>
      </c>
      <c r="BA42" s="294">
        <v>13211.699364080187</v>
      </c>
      <c r="BB42" s="294">
        <v>10492.24581753798</v>
      </c>
      <c r="BC42" s="294">
        <v>23811.229210352791</v>
      </c>
      <c r="BD42" s="294">
        <v>13322.954953142393</v>
      </c>
      <c r="BE42" s="295">
        <v>11733.059716568998</v>
      </c>
      <c r="BF42" s="325"/>
      <c r="BG42" s="277">
        <f t="shared" si="10"/>
        <v>19516.256504484361</v>
      </c>
      <c r="BH42" s="277">
        <f t="shared" si="11"/>
        <v>29656.719916120845</v>
      </c>
      <c r="BI42" s="277">
        <f t="shared" si="12"/>
        <v>45966.28247310056</v>
      </c>
      <c r="BJ42" s="277">
        <f t="shared" si="13"/>
        <v>56378.699816095781</v>
      </c>
      <c r="BK42" s="277">
        <f t="shared" si="14"/>
        <v>65655.453946609035</v>
      </c>
      <c r="BL42" s="277">
        <f t="shared" si="15"/>
        <v>76651.188949912204</v>
      </c>
      <c r="BM42" s="277">
        <f t="shared" si="16"/>
        <v>89862.888313992386</v>
      </c>
      <c r="BN42" s="277">
        <f t="shared" si="17"/>
        <v>100355.13413153036</v>
      </c>
      <c r="BO42" s="277">
        <f t="shared" si="18"/>
        <v>124166.36334188315</v>
      </c>
      <c r="BP42" s="277">
        <f t="shared" si="19"/>
        <v>137489.31829502553</v>
      </c>
      <c r="BQ42" s="282">
        <f t="shared" si="20"/>
        <v>149222.37801159453</v>
      </c>
    </row>
    <row r="43" spans="1:69" s="11" customFormat="1" ht="20.100000000000001" customHeight="1">
      <c r="A43" s="125" t="s">
        <v>0</v>
      </c>
      <c r="B43" s="126" t="s">
        <v>0</v>
      </c>
      <c r="C43" s="126" t="s">
        <v>45</v>
      </c>
      <c r="D43" s="126" t="s">
        <v>22</v>
      </c>
      <c r="E43" s="126">
        <v>662101</v>
      </c>
      <c r="F43" s="127">
        <v>62730502</v>
      </c>
      <c r="G43" s="128" t="s">
        <v>101</v>
      </c>
      <c r="H43" s="239">
        <v>55.29</v>
      </c>
      <c r="I43" s="119">
        <f t="shared" ca="1" si="39"/>
        <v>0</v>
      </c>
      <c r="J43" s="120">
        <f t="shared" ca="1" si="39"/>
        <v>0</v>
      </c>
      <c r="K43" s="120">
        <f t="shared" ca="1" si="39"/>
        <v>0</v>
      </c>
      <c r="L43" s="120">
        <f t="shared" ca="1" si="39"/>
        <v>0</v>
      </c>
      <c r="M43" s="120">
        <f t="shared" ca="1" si="39"/>
        <v>0</v>
      </c>
      <c r="N43" s="120">
        <f t="shared" ca="1" si="39"/>
        <v>0</v>
      </c>
      <c r="O43" s="120">
        <f t="shared" ca="1" si="39"/>
        <v>0</v>
      </c>
      <c r="P43" s="120">
        <f t="shared" ca="1" si="39"/>
        <v>0</v>
      </c>
      <c r="Q43" s="120">
        <f t="shared" ca="1" si="39"/>
        <v>0</v>
      </c>
      <c r="R43" s="120">
        <f t="shared" ca="1" si="39"/>
        <v>0</v>
      </c>
      <c r="S43" s="120">
        <f t="shared" ca="1" si="39"/>
        <v>0</v>
      </c>
      <c r="T43" s="120">
        <f t="shared" ca="1" si="39"/>
        <v>0</v>
      </c>
      <c r="U43" s="121" cm="2">
        <f t="array" aca="1" ref="U43" ca="1">INDEX($I43:$T43,$U$2)</f>
        <v>0</v>
      </c>
      <c r="V43" s="235"/>
      <c r="W43" s="235"/>
      <c r="X43" s="239">
        <f t="shared" ca="1" si="6"/>
        <v>0</v>
      </c>
      <c r="Y43" s="52"/>
      <c r="Z43" s="291" cm="1">
        <f t="array" aca="1" ref="Z43" ca="1">IFERROR(U43/OFFSET($H43,,MATCH($G$2,$H$5:$U$5,0)-2,,),"-")</f>
        <v>0</v>
      </c>
      <c r="AA43" s="230" cm="1">
        <f t="array" aca="1" ref="AA43" ca="1">U43-OFFSET($H43,,MATCH($G$2,$H$5:$U$5,0)-2,,)</f>
        <v>-55.29</v>
      </c>
      <c r="AB43" s="230"/>
      <c r="AC43" s="10"/>
      <c r="AD43" s="224" t="str" cm="1">
        <f t="array" aca="1" ref="AD43" ca="1">IFERROR(U43/OFFSET($AT43,,MATCH($G$2,$AT$5:$BE$5,0)-1,,),"-")</f>
        <v>-</v>
      </c>
      <c r="AE43" s="225" cm="1">
        <f t="array" aca="1" ref="AE43" ca="1">U43-OFFSET($AT43,,MATCH($G$2,$AT$5:$BE$5,0)-1,,)</f>
        <v>0</v>
      </c>
      <c r="AF43" s="359"/>
      <c r="AG43" s="1"/>
      <c r="AH43" s="172"/>
      <c r="AI43" s="172">
        <f t="shared" si="24"/>
        <v>7.1793679192290918E-2</v>
      </c>
      <c r="AJ43" s="173"/>
      <c r="AL43" s="312">
        <f t="shared" ca="1" si="40"/>
        <v>0</v>
      </c>
      <c r="AM43" s="312" t="e" cm="1">
        <f t="array" ref="AM43">INDEX($BG$8:$BQ$83,ROW()-7,MATCH($G$3,$BG$5:$BQ$5,0))</f>
        <v>#N/A</v>
      </c>
      <c r="AN43" s="313" t="e">
        <f t="shared" ca="1" si="7"/>
        <v>#N/A</v>
      </c>
      <c r="AO43" s="314" t="str">
        <f t="shared" ca="1" si="8"/>
        <v/>
      </c>
      <c r="AP43" s="315"/>
      <c r="AR43" s="278">
        <f t="shared" ca="1" si="9"/>
        <v>140</v>
      </c>
      <c r="AS43" s="1"/>
      <c r="AT43" s="166">
        <v>0</v>
      </c>
      <c r="AU43" s="108">
        <v>0</v>
      </c>
      <c r="AV43" s="108">
        <v>100</v>
      </c>
      <c r="AW43" s="108">
        <v>0</v>
      </c>
      <c r="AX43" s="108">
        <v>0</v>
      </c>
      <c r="AY43" s="108">
        <v>20</v>
      </c>
      <c r="AZ43" s="108">
        <v>0</v>
      </c>
      <c r="BA43" s="289">
        <v>0</v>
      </c>
      <c r="BB43" s="289">
        <v>0</v>
      </c>
      <c r="BC43" s="289">
        <v>20</v>
      </c>
      <c r="BD43" s="289">
        <v>0</v>
      </c>
      <c r="BE43" s="290">
        <v>0</v>
      </c>
      <c r="BF43" s="20"/>
      <c r="BG43" s="275">
        <f t="shared" si="10"/>
        <v>0</v>
      </c>
      <c r="BH43" s="275">
        <f t="shared" si="11"/>
        <v>100</v>
      </c>
      <c r="BI43" s="275">
        <f t="shared" si="12"/>
        <v>100</v>
      </c>
      <c r="BJ43" s="275">
        <f t="shared" si="13"/>
        <v>100</v>
      </c>
      <c r="BK43" s="275">
        <f t="shared" si="14"/>
        <v>120</v>
      </c>
      <c r="BL43" s="275">
        <f t="shared" si="15"/>
        <v>120</v>
      </c>
      <c r="BM43" s="275">
        <f t="shared" si="16"/>
        <v>120</v>
      </c>
      <c r="BN43" s="275">
        <f t="shared" si="17"/>
        <v>120</v>
      </c>
      <c r="BO43" s="275">
        <f t="shared" si="18"/>
        <v>140</v>
      </c>
      <c r="BP43" s="275">
        <f t="shared" si="19"/>
        <v>140</v>
      </c>
      <c r="BQ43" s="281">
        <f t="shared" si="20"/>
        <v>140</v>
      </c>
    </row>
    <row r="44" spans="1:69" s="11" customFormat="1" ht="20.100000000000001" customHeight="1">
      <c r="A44" s="125" t="s">
        <v>2</v>
      </c>
      <c r="B44" s="126" t="s">
        <v>2</v>
      </c>
      <c r="C44" s="126" t="s">
        <v>2</v>
      </c>
      <c r="D44" s="126" t="s">
        <v>22</v>
      </c>
      <c r="E44" s="126">
        <v>654010</v>
      </c>
      <c r="F44" s="127">
        <v>62740000</v>
      </c>
      <c r="G44" s="128" t="s">
        <v>18</v>
      </c>
      <c r="H44" s="239">
        <v>1398740.2</v>
      </c>
      <c r="I44" s="119">
        <f t="shared" ca="1" si="39"/>
        <v>1391340.8599999999</v>
      </c>
      <c r="J44" s="120">
        <f t="shared" ca="1" si="39"/>
        <v>0</v>
      </c>
      <c r="K44" s="120">
        <f t="shared" ca="1" si="39"/>
        <v>0</v>
      </c>
      <c r="L44" s="120">
        <f t="shared" ca="1" si="39"/>
        <v>0</v>
      </c>
      <c r="M44" s="120">
        <f t="shared" ca="1" si="39"/>
        <v>0</v>
      </c>
      <c r="N44" s="120">
        <f t="shared" ca="1" si="39"/>
        <v>0</v>
      </c>
      <c r="O44" s="120">
        <f t="shared" ca="1" si="39"/>
        <v>0</v>
      </c>
      <c r="P44" s="120">
        <f t="shared" ca="1" si="39"/>
        <v>0</v>
      </c>
      <c r="Q44" s="120">
        <f t="shared" ca="1" si="39"/>
        <v>0</v>
      </c>
      <c r="R44" s="120">
        <f t="shared" ca="1" si="39"/>
        <v>0</v>
      </c>
      <c r="S44" s="120">
        <f t="shared" ca="1" si="39"/>
        <v>0</v>
      </c>
      <c r="T44" s="120">
        <f t="shared" ca="1" si="39"/>
        <v>0</v>
      </c>
      <c r="U44" s="121" cm="2">
        <f t="array" aca="1" ref="U44" ca="1">INDEX($I44:$T44,$U$2)</f>
        <v>1391340.8599999999</v>
      </c>
      <c r="V44" s="235"/>
      <c r="W44" s="235"/>
      <c r="X44" s="239">
        <f t="shared" ca="1" si="6"/>
        <v>1391340.8599999999</v>
      </c>
      <c r="Y44" s="52"/>
      <c r="Z44" s="291" cm="1">
        <f t="array" aca="1" ref="Z44" ca="1">IFERROR(U44/OFFSET($H44,,MATCH($G$2,$H$5:$U$5,0)-2,,),"-")</f>
        <v>0.99470999689577799</v>
      </c>
      <c r="AA44" s="230" cm="1">
        <f t="array" aca="1" ref="AA44" ca="1">U44-OFFSET($H44,,MATCH($G$2,$H$5:$U$5,0)-2,,)</f>
        <v>-7399.3400000000838</v>
      </c>
      <c r="AB44" s="230"/>
      <c r="AC44" s="10"/>
      <c r="AD44" s="224" cm="1">
        <f t="array" aca="1" ref="AD44" ca="1">IFERROR(U44/OFFSET($AT44,,MATCH($G$2,$AT$5:$BE$5,0)-1,,),"-")</f>
        <v>0.96779032683266464</v>
      </c>
      <c r="AE44" s="225" cm="1">
        <f t="array" aca="1" ref="AE44" ca="1">U44-OFFSET($AT44,,MATCH($G$2,$AT$5:$BE$5,0)-1,,)</f>
        <v>-46306.14000000013</v>
      </c>
      <c r="AF44" s="358"/>
      <c r="AG44" s="1"/>
      <c r="AH44" s="172"/>
      <c r="AI44" s="172">
        <f t="shared" si="24"/>
        <v>1816.2543894404203</v>
      </c>
      <c r="AJ44" s="173"/>
      <c r="AL44" s="312">
        <f t="shared" ca="1" si="40"/>
        <v>1391340.8599999999</v>
      </c>
      <c r="AM44" s="312" t="e" cm="1">
        <f t="array" ref="AM44">INDEX($BG$8:$BQ$83,ROW()-7,MATCH($G$3,$BG$5:$BQ$5,0))</f>
        <v>#N/A</v>
      </c>
      <c r="AN44" s="313" t="e">
        <f t="shared" ca="1" si="7"/>
        <v>#N/A</v>
      </c>
      <c r="AO44" s="314" t="str">
        <f t="shared" ca="1" si="8"/>
        <v/>
      </c>
      <c r="AP44" s="327"/>
      <c r="AR44" s="278">
        <f t="shared" ca="1" si="9"/>
        <v>16456636.205699589</v>
      </c>
      <c r="AS44" s="1"/>
      <c r="AT44" s="166">
        <v>1437647</v>
      </c>
      <c r="AU44" s="108">
        <v>1354121.9999999998</v>
      </c>
      <c r="AV44" s="108">
        <v>1455804.9999999998</v>
      </c>
      <c r="AW44" s="108">
        <v>1409353.9999999998</v>
      </c>
      <c r="AX44" s="108">
        <v>1456165.0038958904</v>
      </c>
      <c r="AY44" s="108">
        <v>1430995</v>
      </c>
      <c r="AZ44" s="108">
        <v>1484702</v>
      </c>
      <c r="BA44" s="289">
        <v>1534853.9999999998</v>
      </c>
      <c r="BB44" s="289">
        <v>1497253</v>
      </c>
      <c r="BC44" s="289">
        <v>1586580.6821534247</v>
      </c>
      <c r="BD44" s="289">
        <v>1540041.0000009998</v>
      </c>
      <c r="BE44" s="290">
        <v>1660458.3796492752</v>
      </c>
      <c r="BF44" s="20"/>
      <c r="BG44" s="275">
        <f t="shared" si="10"/>
        <v>2791769</v>
      </c>
      <c r="BH44" s="275">
        <f t="shared" si="11"/>
        <v>4247574</v>
      </c>
      <c r="BI44" s="275">
        <f t="shared" si="12"/>
        <v>5656928</v>
      </c>
      <c r="BJ44" s="275">
        <f t="shared" si="13"/>
        <v>7113093.00389589</v>
      </c>
      <c r="BK44" s="275">
        <f t="shared" si="14"/>
        <v>8544088.00389589</v>
      </c>
      <c r="BL44" s="275">
        <f t="shared" si="15"/>
        <v>10028790.00389589</v>
      </c>
      <c r="BM44" s="275">
        <f t="shared" si="16"/>
        <v>11563644.00389589</v>
      </c>
      <c r="BN44" s="275">
        <f t="shared" si="17"/>
        <v>13060897.00389589</v>
      </c>
      <c r="BO44" s="275">
        <f t="shared" si="18"/>
        <v>14647477.686049314</v>
      </c>
      <c r="BP44" s="275">
        <f t="shared" si="19"/>
        <v>16187518.686050314</v>
      </c>
      <c r="BQ44" s="281">
        <f t="shared" si="20"/>
        <v>17847977.065699589</v>
      </c>
    </row>
    <row r="45" spans="1:69" s="11" customFormat="1" ht="20.100000000000001" customHeight="1">
      <c r="A45" s="125" t="s">
        <v>2</v>
      </c>
      <c r="B45" s="126" t="s">
        <v>2</v>
      </c>
      <c r="C45" s="126" t="s">
        <v>47</v>
      </c>
      <c r="D45" s="126" t="s">
        <v>22</v>
      </c>
      <c r="E45" s="126">
        <v>654011</v>
      </c>
      <c r="F45" s="129">
        <v>62770101</v>
      </c>
      <c r="G45" s="128" t="s">
        <v>100</v>
      </c>
      <c r="H45" s="239">
        <v>0</v>
      </c>
      <c r="I45" s="119">
        <f t="shared" ca="1" si="39"/>
        <v>0</v>
      </c>
      <c r="J45" s="120">
        <f t="shared" ca="1" si="39"/>
        <v>0</v>
      </c>
      <c r="K45" s="120">
        <f t="shared" ca="1" si="39"/>
        <v>0</v>
      </c>
      <c r="L45" s="120">
        <f t="shared" ca="1" si="39"/>
        <v>0</v>
      </c>
      <c r="M45" s="120">
        <f t="shared" ca="1" si="39"/>
        <v>0</v>
      </c>
      <c r="N45" s="120">
        <f t="shared" ca="1" si="39"/>
        <v>0</v>
      </c>
      <c r="O45" s="120">
        <f t="shared" ca="1" si="39"/>
        <v>0</v>
      </c>
      <c r="P45" s="120">
        <f t="shared" ca="1" si="39"/>
        <v>0</v>
      </c>
      <c r="Q45" s="120">
        <f t="shared" ca="1" si="39"/>
        <v>0</v>
      </c>
      <c r="R45" s="120">
        <f t="shared" ca="1" si="39"/>
        <v>0</v>
      </c>
      <c r="S45" s="120">
        <f t="shared" ca="1" si="39"/>
        <v>0</v>
      </c>
      <c r="T45" s="120">
        <f t="shared" ca="1" si="39"/>
        <v>0</v>
      </c>
      <c r="U45" s="121" cm="2">
        <f t="array" aca="1" ref="U45" ca="1">INDEX($I45:$T45,$U$2)</f>
        <v>0</v>
      </c>
      <c r="V45" s="235"/>
      <c r="W45" s="235"/>
      <c r="X45" s="239">
        <f t="shared" ca="1" si="6"/>
        <v>0</v>
      </c>
      <c r="Y45" s="52"/>
      <c r="Z45" s="291" t="str" cm="1">
        <f t="array" aca="1" ref="Z45" ca="1">IFERROR(U45/OFFSET($H45,,MATCH($G$2,$H$5:$U$5,0)-2,,),"-")</f>
        <v>-</v>
      </c>
      <c r="AA45" s="230" cm="1">
        <f t="array" aca="1" ref="AA45" ca="1">U45-OFFSET($H45,,MATCH($G$2,$H$5:$U$5,0)-2,,)</f>
        <v>0</v>
      </c>
      <c r="AB45" s="230"/>
      <c r="AC45" s="10"/>
      <c r="AD45" s="224" t="str" cm="1">
        <f t="array" aca="1" ref="AD45" ca="1">IFERROR(U45/OFFSET($AT45,,MATCH($G$2,$AT$5:$BE$5,0)-1,,),"-")</f>
        <v>-</v>
      </c>
      <c r="AE45" s="225" cm="1">
        <f t="array" aca="1" ref="AE45" ca="1">U45-OFFSET($AT45,,MATCH($G$2,$AT$5:$BE$5,0)-1,,)</f>
        <v>0</v>
      </c>
      <c r="AF45" s="359"/>
      <c r="AG45" s="1"/>
      <c r="AH45" s="172"/>
      <c r="AI45" s="172">
        <f t="shared" si="24"/>
        <v>0</v>
      </c>
      <c r="AJ45" s="173"/>
      <c r="AL45" s="312">
        <f t="shared" ca="1" si="40"/>
        <v>0</v>
      </c>
      <c r="AM45" s="312" t="e" cm="1">
        <f t="array" ref="AM45">INDEX($BG$8:$BQ$83,ROW()-7,MATCH($G$3,$BG$5:$BQ$5,0))</f>
        <v>#N/A</v>
      </c>
      <c r="AN45" s="313" t="e">
        <f t="shared" ca="1" si="7"/>
        <v>#N/A</v>
      </c>
      <c r="AO45" s="314" t="str">
        <f t="shared" ca="1" si="8"/>
        <v/>
      </c>
      <c r="AP45" s="315"/>
      <c r="AR45" s="278">
        <f t="shared" ca="1" si="9"/>
        <v>0</v>
      </c>
      <c r="AS45" s="1"/>
      <c r="AT45" s="166">
        <v>0</v>
      </c>
      <c r="AU45" s="108">
        <v>0</v>
      </c>
      <c r="AV45" s="108">
        <v>0</v>
      </c>
      <c r="AW45" s="108">
        <v>0</v>
      </c>
      <c r="AX45" s="108">
        <v>0</v>
      </c>
      <c r="AY45" s="108">
        <v>0</v>
      </c>
      <c r="AZ45" s="108">
        <v>0</v>
      </c>
      <c r="BA45" s="289">
        <v>0</v>
      </c>
      <c r="BB45" s="289">
        <v>0</v>
      </c>
      <c r="BC45" s="289">
        <v>0</v>
      </c>
      <c r="BD45" s="289">
        <v>0</v>
      </c>
      <c r="BE45" s="290">
        <v>0</v>
      </c>
      <c r="BF45" s="20"/>
      <c r="BG45" s="275">
        <f t="shared" si="10"/>
        <v>0</v>
      </c>
      <c r="BH45" s="275">
        <f t="shared" si="11"/>
        <v>0</v>
      </c>
      <c r="BI45" s="275">
        <f t="shared" si="12"/>
        <v>0</v>
      </c>
      <c r="BJ45" s="275">
        <f t="shared" si="13"/>
        <v>0</v>
      </c>
      <c r="BK45" s="275">
        <f t="shared" si="14"/>
        <v>0</v>
      </c>
      <c r="BL45" s="275">
        <f t="shared" si="15"/>
        <v>0</v>
      </c>
      <c r="BM45" s="275">
        <f t="shared" si="16"/>
        <v>0</v>
      </c>
      <c r="BN45" s="275">
        <f t="shared" si="17"/>
        <v>0</v>
      </c>
      <c r="BO45" s="275">
        <f t="shared" si="18"/>
        <v>0</v>
      </c>
      <c r="BP45" s="275">
        <f t="shared" si="19"/>
        <v>0</v>
      </c>
      <c r="BQ45" s="281">
        <f t="shared" si="20"/>
        <v>0</v>
      </c>
    </row>
    <row r="46" spans="1:69" s="11" customFormat="1" ht="20.100000000000001" customHeight="1">
      <c r="A46" s="125" t="s">
        <v>12</v>
      </c>
      <c r="B46" s="126" t="s">
        <v>12</v>
      </c>
      <c r="C46" s="126" t="s">
        <v>12</v>
      </c>
      <c r="D46" s="126" t="s">
        <v>22</v>
      </c>
      <c r="E46" s="126">
        <v>673001</v>
      </c>
      <c r="F46" s="127">
        <v>62770102</v>
      </c>
      <c r="G46" s="128" t="s">
        <v>523</v>
      </c>
      <c r="H46" s="239">
        <v>31602.400000000001</v>
      </c>
      <c r="I46" s="119">
        <f t="shared" ca="1" si="39"/>
        <v>31603.72</v>
      </c>
      <c r="J46" s="120">
        <f t="shared" ca="1" si="39"/>
        <v>0</v>
      </c>
      <c r="K46" s="120">
        <f t="shared" ca="1" si="39"/>
        <v>0</v>
      </c>
      <c r="L46" s="120">
        <f t="shared" ca="1" si="39"/>
        <v>0</v>
      </c>
      <c r="M46" s="120">
        <f t="shared" ca="1" si="39"/>
        <v>0</v>
      </c>
      <c r="N46" s="120">
        <f t="shared" ca="1" si="39"/>
        <v>0</v>
      </c>
      <c r="O46" s="120">
        <f t="shared" ca="1" si="39"/>
        <v>0</v>
      </c>
      <c r="P46" s="120">
        <f t="shared" ca="1" si="39"/>
        <v>0</v>
      </c>
      <c r="Q46" s="120">
        <f t="shared" ca="1" si="39"/>
        <v>0</v>
      </c>
      <c r="R46" s="120">
        <f t="shared" ca="1" si="39"/>
        <v>0</v>
      </c>
      <c r="S46" s="120">
        <f t="shared" ca="1" si="39"/>
        <v>0</v>
      </c>
      <c r="T46" s="120">
        <f t="shared" ca="1" si="39"/>
        <v>0</v>
      </c>
      <c r="U46" s="121" cm="2">
        <f t="array" aca="1" ref="U46" ca="1">INDEX($I46:$T46,$U$2)</f>
        <v>31603.72</v>
      </c>
      <c r="V46" s="235"/>
      <c r="W46" s="235"/>
      <c r="X46" s="239">
        <f t="shared" ca="1" si="6"/>
        <v>31603.72</v>
      </c>
      <c r="Y46" s="52"/>
      <c r="Z46" s="291" cm="1">
        <f t="array" aca="1" ref="Z46" ca="1">IFERROR(U46/OFFSET($H46,,MATCH($G$2,$H$5:$U$5,0)-2,,),"-")</f>
        <v>1.0000417689795711</v>
      </c>
      <c r="AA46" s="231" cm="1">
        <f t="array" aca="1" ref="AA46" ca="1">U46-OFFSET($H46,,MATCH($G$2,$H$5:$U$5,0)-2,,)</f>
        <v>1.319999999999709</v>
      </c>
      <c r="AB46" s="231"/>
      <c r="AC46" s="10"/>
      <c r="AD46" s="224" cm="1">
        <f t="array" aca="1" ref="AD46" ca="1">IFERROR(U46/OFFSET($AT46,,MATCH($G$2,$AT$5:$BE$5,0)-1,,),"-")</f>
        <v>1.0000417689795711</v>
      </c>
      <c r="AE46" s="225" cm="1">
        <f t="array" aca="1" ref="AE46" ca="1">U46-OFFSET($AT46,,MATCH($G$2,$AT$5:$BE$5,0)-1,,)</f>
        <v>1.319999999999709</v>
      </c>
      <c r="AF46" s="359"/>
      <c r="AG46" s="1"/>
      <c r="AH46" s="174"/>
      <c r="AI46" s="174">
        <f t="shared" si="24"/>
        <v>41.035495881831338</v>
      </c>
      <c r="AJ46" s="175"/>
      <c r="AL46" s="312">
        <f t="shared" ca="1" si="40"/>
        <v>31603.72</v>
      </c>
      <c r="AM46" s="312" t="e" cm="1">
        <f t="array" ref="AM46">INDEX($BG$8:$BQ$83,ROW()-7,MATCH($G$3,$BG$5:$BQ$5,0))</f>
        <v>#N/A</v>
      </c>
      <c r="AN46" s="313" t="e">
        <f t="shared" ca="1" si="7"/>
        <v>#N/A</v>
      </c>
      <c r="AO46" s="314" t="str">
        <f t="shared" ca="1" si="8"/>
        <v/>
      </c>
      <c r="AP46" s="315"/>
      <c r="AR46" s="278">
        <f t="shared" ca="1" si="9"/>
        <v>347625.08000000007</v>
      </c>
      <c r="AS46" s="16"/>
      <c r="AT46" s="166">
        <v>31602.400000000001</v>
      </c>
      <c r="AU46" s="108">
        <v>31602.400000000001</v>
      </c>
      <c r="AV46" s="108">
        <v>31602.400000000001</v>
      </c>
      <c r="AW46" s="108">
        <v>31602.400000000001</v>
      </c>
      <c r="AX46" s="108">
        <v>31602.400000000001</v>
      </c>
      <c r="AY46" s="108">
        <v>31602.400000000001</v>
      </c>
      <c r="AZ46" s="108">
        <v>31602.400000000001</v>
      </c>
      <c r="BA46" s="289">
        <v>31602.400000000001</v>
      </c>
      <c r="BB46" s="289">
        <v>31602.400000000001</v>
      </c>
      <c r="BC46" s="289">
        <v>31602.400000000001</v>
      </c>
      <c r="BD46" s="289">
        <v>31602.400000000001</v>
      </c>
      <c r="BE46" s="290">
        <v>31602.400000000001</v>
      </c>
      <c r="BF46" s="20"/>
      <c r="BG46" s="275">
        <f t="shared" si="10"/>
        <v>63204.800000000003</v>
      </c>
      <c r="BH46" s="275">
        <f t="shared" si="11"/>
        <v>94807.200000000012</v>
      </c>
      <c r="BI46" s="275">
        <f t="shared" si="12"/>
        <v>126409.60000000001</v>
      </c>
      <c r="BJ46" s="275">
        <f t="shared" si="13"/>
        <v>158012</v>
      </c>
      <c r="BK46" s="275">
        <f t="shared" si="14"/>
        <v>189614.4</v>
      </c>
      <c r="BL46" s="275">
        <f t="shared" si="15"/>
        <v>221216.8</v>
      </c>
      <c r="BM46" s="275">
        <f t="shared" si="16"/>
        <v>252819.19999999998</v>
      </c>
      <c r="BN46" s="275">
        <f t="shared" si="17"/>
        <v>284421.59999999998</v>
      </c>
      <c r="BO46" s="275">
        <f t="shared" si="18"/>
        <v>316024</v>
      </c>
      <c r="BP46" s="275">
        <f t="shared" si="19"/>
        <v>347626.4</v>
      </c>
      <c r="BQ46" s="281">
        <f t="shared" si="20"/>
        <v>379228.80000000005</v>
      </c>
    </row>
    <row r="47" spans="1:69" s="11" customFormat="1" ht="20.100000000000001" customHeight="1">
      <c r="A47" s="125" t="s">
        <v>0</v>
      </c>
      <c r="B47" s="126" t="s">
        <v>0</v>
      </c>
      <c r="C47" s="126" t="s">
        <v>45</v>
      </c>
      <c r="D47" s="126" t="s">
        <v>22</v>
      </c>
      <c r="E47" s="126">
        <v>624184</v>
      </c>
      <c r="F47" s="127">
        <v>62770201</v>
      </c>
      <c r="G47" s="128" t="s">
        <v>524</v>
      </c>
      <c r="H47" s="239">
        <v>0</v>
      </c>
      <c r="I47" s="119">
        <f t="shared" ca="1" si="39"/>
        <v>0</v>
      </c>
      <c r="J47" s="120">
        <f t="shared" ca="1" si="39"/>
        <v>0</v>
      </c>
      <c r="K47" s="120">
        <f t="shared" ca="1" si="39"/>
        <v>0</v>
      </c>
      <c r="L47" s="120">
        <f t="shared" ca="1" si="39"/>
        <v>0</v>
      </c>
      <c r="M47" s="120">
        <f t="shared" ca="1" si="39"/>
        <v>0</v>
      </c>
      <c r="N47" s="120">
        <f t="shared" ca="1" si="39"/>
        <v>0</v>
      </c>
      <c r="O47" s="120">
        <f t="shared" ca="1" si="39"/>
        <v>0</v>
      </c>
      <c r="P47" s="120">
        <f t="shared" ca="1" si="39"/>
        <v>0</v>
      </c>
      <c r="Q47" s="120">
        <f t="shared" ca="1" si="39"/>
        <v>0</v>
      </c>
      <c r="R47" s="120">
        <f t="shared" ca="1" si="39"/>
        <v>0</v>
      </c>
      <c r="S47" s="120">
        <f t="shared" ca="1" si="39"/>
        <v>0</v>
      </c>
      <c r="T47" s="120">
        <f t="shared" ca="1" si="39"/>
        <v>0</v>
      </c>
      <c r="U47" s="121" cm="2">
        <f t="array" aca="1" ref="U47" ca="1">INDEX($I47:$T47,$U$2)</f>
        <v>0</v>
      </c>
      <c r="V47" s="235"/>
      <c r="W47" s="235"/>
      <c r="X47" s="239">
        <f t="shared" ca="1" si="6"/>
        <v>0</v>
      </c>
      <c r="Y47" s="52"/>
      <c r="Z47" s="291" t="str" cm="1">
        <f t="array" aca="1" ref="Z47" ca="1">IFERROR(U47/OFFSET($H47,,MATCH($G$2,$H$5:$U$5,0)-2,,),"-")</f>
        <v>-</v>
      </c>
      <c r="AA47" s="231" cm="1">
        <f t="array" aca="1" ref="AA47" ca="1">U47-OFFSET($H47,,MATCH($G$2,$H$5:$U$5,0)-2,,)</f>
        <v>0</v>
      </c>
      <c r="AB47" s="231"/>
      <c r="AC47" s="10"/>
      <c r="AD47" s="224" t="str" cm="1">
        <f t="array" aca="1" ref="AD47" ca="1">IFERROR(U47/OFFSET($AT47,,MATCH($G$2,$AT$5:$BE$5,0)-1,,),"-")</f>
        <v>-</v>
      </c>
      <c r="AE47" s="225" cm="1">
        <f t="array" aca="1" ref="AE47" ca="1">U47-OFFSET($AT47,,MATCH($G$2,$AT$5:$BE$5,0)-1,,)</f>
        <v>0</v>
      </c>
      <c r="AF47" s="359"/>
      <c r="AG47" s="1"/>
      <c r="AH47" s="174"/>
      <c r="AI47" s="174">
        <f t="shared" si="24"/>
        <v>0</v>
      </c>
      <c r="AJ47" s="175"/>
      <c r="AL47" s="312">
        <f t="shared" ca="1" si="40"/>
        <v>0</v>
      </c>
      <c r="AM47" s="312" t="e" cm="1">
        <f t="array" ref="AM47">INDEX($BG$8:$BQ$83,ROW()-7,MATCH($G$3,$BG$5:$BQ$5,0))</f>
        <v>#N/A</v>
      </c>
      <c r="AN47" s="313" t="e">
        <f t="shared" ca="1" si="7"/>
        <v>#N/A</v>
      </c>
      <c r="AO47" s="314" t="str">
        <f t="shared" ca="1" si="8"/>
        <v/>
      </c>
      <c r="AP47" s="315"/>
      <c r="AR47" s="278">
        <f t="shared" ca="1" si="9"/>
        <v>0</v>
      </c>
      <c r="AS47" s="13"/>
      <c r="AT47" s="166">
        <v>0</v>
      </c>
      <c r="AU47" s="108">
        <v>0</v>
      </c>
      <c r="AV47" s="108">
        <v>0</v>
      </c>
      <c r="AW47" s="108">
        <v>0</v>
      </c>
      <c r="AX47" s="108">
        <v>0</v>
      </c>
      <c r="AY47" s="108">
        <v>0</v>
      </c>
      <c r="AZ47" s="108">
        <v>0</v>
      </c>
      <c r="BA47" s="289">
        <v>0</v>
      </c>
      <c r="BB47" s="289">
        <v>0</v>
      </c>
      <c r="BC47" s="289">
        <v>0</v>
      </c>
      <c r="BD47" s="289">
        <v>0</v>
      </c>
      <c r="BE47" s="290">
        <v>0</v>
      </c>
      <c r="BF47" s="20"/>
      <c r="BG47" s="275">
        <f t="shared" si="10"/>
        <v>0</v>
      </c>
      <c r="BH47" s="275">
        <f t="shared" si="11"/>
        <v>0</v>
      </c>
      <c r="BI47" s="275">
        <f t="shared" si="12"/>
        <v>0</v>
      </c>
      <c r="BJ47" s="275">
        <f t="shared" si="13"/>
        <v>0</v>
      </c>
      <c r="BK47" s="275">
        <f t="shared" si="14"/>
        <v>0</v>
      </c>
      <c r="BL47" s="275">
        <f t="shared" si="15"/>
        <v>0</v>
      </c>
      <c r="BM47" s="275">
        <f t="shared" si="16"/>
        <v>0</v>
      </c>
      <c r="BN47" s="275">
        <f t="shared" si="17"/>
        <v>0</v>
      </c>
      <c r="BO47" s="275">
        <f t="shared" si="18"/>
        <v>0</v>
      </c>
      <c r="BP47" s="275">
        <f t="shared" si="19"/>
        <v>0</v>
      </c>
      <c r="BQ47" s="281">
        <f t="shared" si="20"/>
        <v>0</v>
      </c>
    </row>
    <row r="48" spans="1:69" s="11" customFormat="1" ht="20.100000000000001" customHeight="1">
      <c r="A48" s="125" t="s">
        <v>0</v>
      </c>
      <c r="B48" s="126" t="s">
        <v>0</v>
      </c>
      <c r="C48" s="126" t="s">
        <v>45</v>
      </c>
      <c r="D48" s="126" t="s">
        <v>22</v>
      </c>
      <c r="E48" s="126">
        <v>662201</v>
      </c>
      <c r="F48" s="127">
        <v>62770202</v>
      </c>
      <c r="G48" s="128" t="s">
        <v>102</v>
      </c>
      <c r="H48" s="239">
        <v>5376.79</v>
      </c>
      <c r="I48" s="119">
        <f t="shared" ref="I48:T57" ca="1" si="41">SUMIFS(INDIRECT(I$5&amp;"!N:N"),INDIRECT(I$5&amp;"!L:L"),$E48,INDIRECT(I$5&amp;"!K:K"),50)-SUMIFS(INDIRECT(I$5&amp;"!N:N"),INDIRECT(I$5&amp;"!L:L"),$E48,INDIRECT(I$5&amp;"!K:K"),40)</f>
        <v>5412.35</v>
      </c>
      <c r="J48" s="120">
        <f t="shared" ca="1" si="41"/>
        <v>0</v>
      </c>
      <c r="K48" s="120">
        <f t="shared" ca="1" si="41"/>
        <v>0</v>
      </c>
      <c r="L48" s="120">
        <f t="shared" ca="1" si="41"/>
        <v>0</v>
      </c>
      <c r="M48" s="120">
        <f t="shared" ca="1" si="41"/>
        <v>0</v>
      </c>
      <c r="N48" s="120">
        <f t="shared" ca="1" si="41"/>
        <v>0</v>
      </c>
      <c r="O48" s="120">
        <f t="shared" ca="1" si="41"/>
        <v>0</v>
      </c>
      <c r="P48" s="120">
        <f t="shared" ca="1" si="41"/>
        <v>0</v>
      </c>
      <c r="Q48" s="120">
        <f t="shared" ca="1" si="41"/>
        <v>0</v>
      </c>
      <c r="R48" s="120">
        <f t="shared" ca="1" si="41"/>
        <v>0</v>
      </c>
      <c r="S48" s="120">
        <f t="shared" ca="1" si="41"/>
        <v>0</v>
      </c>
      <c r="T48" s="120">
        <f t="shared" ca="1" si="41"/>
        <v>0</v>
      </c>
      <c r="U48" s="121" cm="2">
        <f t="array" aca="1" ref="U48" ca="1">INDEX($I48:$T48,$U$2)</f>
        <v>5412.35</v>
      </c>
      <c r="V48" s="235"/>
      <c r="W48" s="235"/>
      <c r="X48" s="239">
        <f t="shared" ca="1" si="6"/>
        <v>5412.35</v>
      </c>
      <c r="Y48" s="52"/>
      <c r="Z48" s="291" cm="1">
        <f t="array" aca="1" ref="Z48" ca="1">IFERROR(U48/OFFSET($H48,,MATCH($G$2,$H$5:$U$5,0)-2,,),"-")</f>
        <v>1.006613611467065</v>
      </c>
      <c r="AA48" s="230" cm="1">
        <f t="array" aca="1" ref="AA48" ca="1">U48-OFFSET($H48,,MATCH($G$2,$H$5:$U$5,0)-2,,)</f>
        <v>35.5600000000004</v>
      </c>
      <c r="AB48" s="230"/>
      <c r="AC48" s="10"/>
      <c r="AD48" s="224" cm="1">
        <f t="array" aca="1" ref="AD48" ca="1">IFERROR(U48/OFFSET($AT48,,MATCH($G$2,$AT$5:$BE$5,0)-1,,),"-")</f>
        <v>0.95624558303886931</v>
      </c>
      <c r="AE48" s="225" cm="1">
        <f t="array" aca="1" ref="AE48" ca="1">U48-OFFSET($AT48,,MATCH($G$2,$AT$5:$BE$5,0)-1,,)</f>
        <v>-247.64999999999964</v>
      </c>
      <c r="AF48" s="359"/>
      <c r="AG48" s="1"/>
      <c r="AH48" s="172"/>
      <c r="AI48" s="172">
        <f t="shared" si="24"/>
        <v>6.9817242963341988</v>
      </c>
      <c r="AJ48" s="173"/>
      <c r="AL48" s="312">
        <f t="shared" ca="1" si="40"/>
        <v>5412.35</v>
      </c>
      <c r="AM48" s="312" t="e" cm="1">
        <f t="array" ref="AM48">INDEX($BG$8:$BQ$83,ROW()-7,MATCH($G$3,$BG$5:$BQ$5,0))</f>
        <v>#N/A</v>
      </c>
      <c r="AN48" s="313" t="e">
        <f t="shared" ca="1" si="7"/>
        <v>#N/A</v>
      </c>
      <c r="AO48" s="314" t="str">
        <f t="shared" ca="1" si="8"/>
        <v/>
      </c>
      <c r="AP48" s="315"/>
      <c r="AR48" s="278">
        <f t="shared" ca="1" si="9"/>
        <v>64507.65</v>
      </c>
      <c r="AS48" s="4"/>
      <c r="AT48" s="166">
        <v>5660</v>
      </c>
      <c r="AU48" s="108">
        <v>5660</v>
      </c>
      <c r="AV48" s="108">
        <v>7660</v>
      </c>
      <c r="AW48" s="108">
        <v>5660</v>
      </c>
      <c r="AX48" s="108">
        <v>5660</v>
      </c>
      <c r="AY48" s="108">
        <v>5660</v>
      </c>
      <c r="AZ48" s="108">
        <v>5660</v>
      </c>
      <c r="BA48" s="289">
        <v>5660</v>
      </c>
      <c r="BB48" s="289">
        <v>5660</v>
      </c>
      <c r="BC48" s="289">
        <v>5660</v>
      </c>
      <c r="BD48" s="289">
        <v>5660</v>
      </c>
      <c r="BE48" s="290">
        <v>5660</v>
      </c>
      <c r="BF48" s="20"/>
      <c r="BG48" s="275">
        <f t="shared" si="10"/>
        <v>11320</v>
      </c>
      <c r="BH48" s="275">
        <f t="shared" si="11"/>
        <v>18980</v>
      </c>
      <c r="BI48" s="275">
        <f t="shared" si="12"/>
        <v>24640</v>
      </c>
      <c r="BJ48" s="275">
        <f t="shared" si="13"/>
        <v>30300</v>
      </c>
      <c r="BK48" s="275">
        <f t="shared" si="14"/>
        <v>35960</v>
      </c>
      <c r="BL48" s="275">
        <f t="shared" si="15"/>
        <v>41620</v>
      </c>
      <c r="BM48" s="275">
        <f t="shared" si="16"/>
        <v>47280</v>
      </c>
      <c r="BN48" s="275">
        <f t="shared" si="17"/>
        <v>52940</v>
      </c>
      <c r="BO48" s="275">
        <f t="shared" si="18"/>
        <v>58600</v>
      </c>
      <c r="BP48" s="275">
        <f t="shared" si="19"/>
        <v>64260</v>
      </c>
      <c r="BQ48" s="281">
        <f t="shared" si="20"/>
        <v>69920</v>
      </c>
    </row>
    <row r="49" spans="1:69" s="11" customFormat="1" ht="20.100000000000001" customHeight="1">
      <c r="A49" s="125" t="s">
        <v>12</v>
      </c>
      <c r="B49" s="126" t="s">
        <v>12</v>
      </c>
      <c r="C49" s="126" t="s">
        <v>12</v>
      </c>
      <c r="D49" s="126" t="s">
        <v>22</v>
      </c>
      <c r="E49" s="126">
        <v>673002</v>
      </c>
      <c r="F49" s="127">
        <v>62770300</v>
      </c>
      <c r="G49" s="128" t="s">
        <v>37</v>
      </c>
      <c r="H49" s="239">
        <v>831.6</v>
      </c>
      <c r="I49" s="119">
        <f t="shared" ca="1" si="41"/>
        <v>818.67</v>
      </c>
      <c r="J49" s="120">
        <f t="shared" ca="1" si="41"/>
        <v>0</v>
      </c>
      <c r="K49" s="120">
        <f t="shared" ca="1" si="41"/>
        <v>0</v>
      </c>
      <c r="L49" s="120">
        <f t="shared" ca="1" si="41"/>
        <v>0</v>
      </c>
      <c r="M49" s="120">
        <f t="shared" ca="1" si="41"/>
        <v>0</v>
      </c>
      <c r="N49" s="120">
        <f t="shared" ca="1" si="41"/>
        <v>0</v>
      </c>
      <c r="O49" s="120">
        <f t="shared" ca="1" si="41"/>
        <v>0</v>
      </c>
      <c r="P49" s="120">
        <f t="shared" ca="1" si="41"/>
        <v>0</v>
      </c>
      <c r="Q49" s="120">
        <f t="shared" ca="1" si="41"/>
        <v>0</v>
      </c>
      <c r="R49" s="120">
        <f t="shared" ca="1" si="41"/>
        <v>0</v>
      </c>
      <c r="S49" s="120">
        <f t="shared" ca="1" si="41"/>
        <v>0</v>
      </c>
      <c r="T49" s="120">
        <f t="shared" ca="1" si="41"/>
        <v>0</v>
      </c>
      <c r="U49" s="121" cm="2">
        <f t="array" aca="1" ref="U49" ca="1">INDEX($I49:$T49,$U$2)</f>
        <v>818.67</v>
      </c>
      <c r="V49" s="235"/>
      <c r="W49" s="235"/>
      <c r="X49" s="239">
        <f t="shared" ca="1" si="6"/>
        <v>818.67</v>
      </c>
      <c r="Y49" s="52"/>
      <c r="Z49" s="291" cm="1">
        <f t="array" aca="1" ref="Z49" ca="1">IFERROR(U49/OFFSET($H49,,MATCH($G$2,$H$5:$U$5,0)-2,,),"-")</f>
        <v>0.98445165945165936</v>
      </c>
      <c r="AA49" s="230" cm="1">
        <f t="array" aca="1" ref="AA49" ca="1">U49-OFFSET($H49,,MATCH($G$2,$H$5:$U$5,0)-2,,)</f>
        <v>-12.930000000000064</v>
      </c>
      <c r="AB49" s="230"/>
      <c r="AC49" s="10"/>
      <c r="AD49" s="224" cm="1">
        <f t="array" aca="1" ref="AD49" ca="1">IFERROR(U49/OFFSET($AT49,,MATCH($G$2,$AT$5:$BE$5,0)-1,,),"-")</f>
        <v>0.54577999999999993</v>
      </c>
      <c r="AE49" s="225" cm="1">
        <f t="array" aca="1" ref="AE49" ca="1">U49-OFFSET($AT49,,MATCH($G$2,$AT$5:$BE$5,0)-1,,)</f>
        <v>-681.33</v>
      </c>
      <c r="AF49" s="359"/>
      <c r="AG49" s="1"/>
      <c r="AH49" s="172"/>
      <c r="AI49" s="172">
        <f t="shared" si="24"/>
        <v>1.0798267971841042</v>
      </c>
      <c r="AJ49" s="173"/>
      <c r="AL49" s="312">
        <f t="shared" ca="1" si="40"/>
        <v>818.67</v>
      </c>
      <c r="AM49" s="312" t="e" cm="1">
        <f t="array" ref="AM49">INDEX($BG$8:$BQ$83,ROW()-7,MATCH($G$3,$BG$5:$BQ$5,0))</f>
        <v>#N/A</v>
      </c>
      <c r="AN49" s="313" t="e">
        <f t="shared" ca="1" si="7"/>
        <v>#N/A</v>
      </c>
      <c r="AO49" s="314" t="str">
        <f t="shared" ca="1" si="8"/>
        <v/>
      </c>
      <c r="AP49" s="315"/>
      <c r="AR49" s="278">
        <f t="shared" ca="1" si="9"/>
        <v>22381.33</v>
      </c>
      <c r="AS49" s="9"/>
      <c r="AT49" s="166">
        <v>1500</v>
      </c>
      <c r="AU49" s="108">
        <v>1500</v>
      </c>
      <c r="AV49" s="108">
        <v>2800</v>
      </c>
      <c r="AW49" s="108">
        <v>1500</v>
      </c>
      <c r="AX49" s="108">
        <v>2800</v>
      </c>
      <c r="AY49" s="108">
        <v>1500</v>
      </c>
      <c r="AZ49" s="108">
        <v>1500</v>
      </c>
      <c r="BA49" s="289">
        <v>1500</v>
      </c>
      <c r="BB49" s="289">
        <v>2800</v>
      </c>
      <c r="BC49" s="289">
        <v>1500</v>
      </c>
      <c r="BD49" s="289">
        <v>1500</v>
      </c>
      <c r="BE49" s="290">
        <v>2800</v>
      </c>
      <c r="BF49" s="20"/>
      <c r="BG49" s="275">
        <f t="shared" si="10"/>
        <v>3000</v>
      </c>
      <c r="BH49" s="275">
        <f t="shared" si="11"/>
        <v>5800</v>
      </c>
      <c r="BI49" s="275">
        <f t="shared" si="12"/>
        <v>7300</v>
      </c>
      <c r="BJ49" s="275">
        <f t="shared" si="13"/>
        <v>10100</v>
      </c>
      <c r="BK49" s="275">
        <f t="shared" si="14"/>
        <v>11600</v>
      </c>
      <c r="BL49" s="275">
        <f t="shared" si="15"/>
        <v>13100</v>
      </c>
      <c r="BM49" s="275">
        <f t="shared" si="16"/>
        <v>14600</v>
      </c>
      <c r="BN49" s="275">
        <f t="shared" si="17"/>
        <v>17400</v>
      </c>
      <c r="BO49" s="275">
        <f t="shared" si="18"/>
        <v>18900</v>
      </c>
      <c r="BP49" s="275">
        <f t="shared" si="19"/>
        <v>20400</v>
      </c>
      <c r="BQ49" s="281">
        <f t="shared" si="20"/>
        <v>23200</v>
      </c>
    </row>
    <row r="50" spans="1:69" s="96" customFormat="1" ht="20.100000000000001" customHeight="1">
      <c r="A50" s="125" t="s">
        <v>0</v>
      </c>
      <c r="B50" s="126" t="s">
        <v>0</v>
      </c>
      <c r="C50" s="126" t="s">
        <v>45</v>
      </c>
      <c r="D50" s="126" t="s">
        <v>22</v>
      </c>
      <c r="E50" s="126">
        <v>624133</v>
      </c>
      <c r="F50" s="127">
        <v>62770401</v>
      </c>
      <c r="G50" s="128" t="s">
        <v>525</v>
      </c>
      <c r="H50" s="239">
        <v>72059.170000000013</v>
      </c>
      <c r="I50" s="119">
        <f t="shared" ca="1" si="41"/>
        <v>50925.06</v>
      </c>
      <c r="J50" s="120">
        <f t="shared" ca="1" si="41"/>
        <v>0</v>
      </c>
      <c r="K50" s="120">
        <f t="shared" ca="1" si="41"/>
        <v>0</v>
      </c>
      <c r="L50" s="120">
        <f t="shared" ca="1" si="41"/>
        <v>0</v>
      </c>
      <c r="M50" s="120">
        <f t="shared" ca="1" si="41"/>
        <v>0</v>
      </c>
      <c r="N50" s="120">
        <f t="shared" ca="1" si="41"/>
        <v>0</v>
      </c>
      <c r="O50" s="120">
        <f t="shared" ca="1" si="41"/>
        <v>0</v>
      </c>
      <c r="P50" s="120">
        <f t="shared" ca="1" si="41"/>
        <v>0</v>
      </c>
      <c r="Q50" s="120">
        <f t="shared" ca="1" si="41"/>
        <v>0</v>
      </c>
      <c r="R50" s="120">
        <f t="shared" ca="1" si="41"/>
        <v>0</v>
      </c>
      <c r="S50" s="120">
        <f t="shared" ca="1" si="41"/>
        <v>0</v>
      </c>
      <c r="T50" s="120">
        <f t="shared" ca="1" si="41"/>
        <v>0</v>
      </c>
      <c r="U50" s="121" cm="2">
        <f t="array" aca="1" ref="U50" ca="1">INDEX($I50:$T50,$U$2)</f>
        <v>50925.06</v>
      </c>
      <c r="V50" s="235"/>
      <c r="W50" s="235"/>
      <c r="X50" s="239">
        <f t="shared" ca="1" si="6"/>
        <v>50925.06</v>
      </c>
      <c r="Y50" s="52"/>
      <c r="Z50" s="291" cm="1">
        <f t="array" aca="1" ref="Z50" ca="1">IFERROR(U50/OFFSET($H50,,MATCH($G$2,$H$5:$U$5,0)-2,,),"-")</f>
        <v>0.70671172038201369</v>
      </c>
      <c r="AA50" s="230" cm="1">
        <f t="array" aca="1" ref="AA50" ca="1">U50-OFFSET($H50,,MATCH($G$2,$H$5:$U$5,0)-2,,)</f>
        <v>-21134.110000000015</v>
      </c>
      <c r="AB50" s="230"/>
      <c r="AC50" s="10"/>
      <c r="AD50" s="224" cm="1">
        <f t="array" aca="1" ref="AD50" ca="1">IFERROR(U50/OFFSET($AT50,,MATCH($G$2,$AT$5:$BE$5,0)-1,,),"-")</f>
        <v>0.6629308794485691</v>
      </c>
      <c r="AE50" s="225" cm="1">
        <f t="array" aca="1" ref="AE50" ca="1">U50-OFFSET($AT50,,MATCH($G$2,$AT$5:$BE$5,0)-1,,)</f>
        <v>-25892.993855569148</v>
      </c>
      <c r="AF50" s="358"/>
      <c r="AG50" s="10"/>
      <c r="AH50" s="172"/>
      <c r="AI50" s="172">
        <f t="shared" si="24"/>
        <v>93.568329423815428</v>
      </c>
      <c r="AJ50" s="173"/>
      <c r="AL50" s="313">
        <f t="shared" ca="1" si="40"/>
        <v>50925.06</v>
      </c>
      <c r="AM50" s="313" t="e" cm="1">
        <f t="array" ref="AM50">INDEX($BG$8:$BQ$83,ROW()-7,MATCH($G$3,$BG$5:$BQ$5,0))</f>
        <v>#N/A</v>
      </c>
      <c r="AN50" s="313" t="e">
        <f t="shared" ca="1" si="7"/>
        <v>#N/A</v>
      </c>
      <c r="AO50" s="314" t="str">
        <f t="shared" ca="1" si="8"/>
        <v/>
      </c>
      <c r="AP50" s="518"/>
      <c r="AR50" s="282">
        <f t="shared" ca="1" si="9"/>
        <v>822534.58912280714</v>
      </c>
      <c r="AS50" s="108"/>
      <c r="AT50" s="166">
        <v>76818.053855569146</v>
      </c>
      <c r="AU50" s="108">
        <v>75088.147694818443</v>
      </c>
      <c r="AV50" s="108">
        <v>73466.360669114656</v>
      </c>
      <c r="AW50" s="108">
        <v>72277.050183598534</v>
      </c>
      <c r="AX50" s="108">
        <v>71303.977968176245</v>
      </c>
      <c r="AY50" s="108">
        <v>71330.905752753984</v>
      </c>
      <c r="AZ50" s="108">
        <v>70574.071807425542</v>
      </c>
      <c r="BA50" s="294">
        <v>71493.084455324351</v>
      </c>
      <c r="BB50" s="294">
        <v>72033.680130558947</v>
      </c>
      <c r="BC50" s="294">
        <v>72574.275805793543</v>
      </c>
      <c r="BD50" s="294">
        <v>73114.871481028153</v>
      </c>
      <c r="BE50" s="295">
        <v>73385.16931864545</v>
      </c>
      <c r="BF50" s="325"/>
      <c r="BG50" s="277">
        <f t="shared" si="10"/>
        <v>151906.2015503876</v>
      </c>
      <c r="BH50" s="277">
        <f t="shared" si="11"/>
        <v>225372.56221950226</v>
      </c>
      <c r="BI50" s="277">
        <f t="shared" si="12"/>
        <v>297649.61240310082</v>
      </c>
      <c r="BJ50" s="277">
        <f t="shared" si="13"/>
        <v>368953.59037127707</v>
      </c>
      <c r="BK50" s="277">
        <f t="shared" si="14"/>
        <v>440284.49612403102</v>
      </c>
      <c r="BL50" s="277">
        <f t="shared" si="15"/>
        <v>510858.56793145655</v>
      </c>
      <c r="BM50" s="277">
        <f t="shared" si="16"/>
        <v>582351.65238678094</v>
      </c>
      <c r="BN50" s="277">
        <f t="shared" si="17"/>
        <v>654385.33251733985</v>
      </c>
      <c r="BO50" s="277">
        <f t="shared" si="18"/>
        <v>726959.60832313343</v>
      </c>
      <c r="BP50" s="277">
        <f t="shared" si="19"/>
        <v>800074.47980416159</v>
      </c>
      <c r="BQ50" s="282">
        <f t="shared" si="20"/>
        <v>873459.64912280708</v>
      </c>
    </row>
    <row r="51" spans="1:69" s="11" customFormat="1" ht="20.100000000000001" customHeight="1">
      <c r="A51" s="125" t="s">
        <v>0</v>
      </c>
      <c r="B51" s="126" t="s">
        <v>0</v>
      </c>
      <c r="C51" s="126" t="s">
        <v>45</v>
      </c>
      <c r="D51" s="126" t="s">
        <v>22</v>
      </c>
      <c r="E51" s="126">
        <v>662301</v>
      </c>
      <c r="F51" s="127">
        <v>62770402</v>
      </c>
      <c r="G51" s="128" t="s">
        <v>526</v>
      </c>
      <c r="H51" s="239">
        <v>2162.5500000000002</v>
      </c>
      <c r="I51" s="119">
        <f t="shared" ca="1" si="41"/>
        <v>2098.54</v>
      </c>
      <c r="J51" s="120">
        <f t="shared" ca="1" si="41"/>
        <v>0</v>
      </c>
      <c r="K51" s="120">
        <f t="shared" ca="1" si="41"/>
        <v>0</v>
      </c>
      <c r="L51" s="120">
        <f t="shared" ca="1" si="41"/>
        <v>0</v>
      </c>
      <c r="M51" s="120">
        <f t="shared" ca="1" si="41"/>
        <v>0</v>
      </c>
      <c r="N51" s="120">
        <f t="shared" ca="1" si="41"/>
        <v>0</v>
      </c>
      <c r="O51" s="120">
        <f t="shared" ca="1" si="41"/>
        <v>0</v>
      </c>
      <c r="P51" s="120">
        <f t="shared" ca="1" si="41"/>
        <v>0</v>
      </c>
      <c r="Q51" s="120">
        <f t="shared" ca="1" si="41"/>
        <v>0</v>
      </c>
      <c r="R51" s="120">
        <f t="shared" ca="1" si="41"/>
        <v>0</v>
      </c>
      <c r="S51" s="120">
        <f t="shared" ca="1" si="41"/>
        <v>0</v>
      </c>
      <c r="T51" s="120">
        <f t="shared" ca="1" si="41"/>
        <v>0</v>
      </c>
      <c r="U51" s="121" cm="2">
        <f t="array" aca="1" ref="U51" ca="1">INDEX($I51:$T51,$U$2)</f>
        <v>2098.54</v>
      </c>
      <c r="V51" s="235"/>
      <c r="W51" s="235"/>
      <c r="X51" s="239">
        <f t="shared" ca="1" si="6"/>
        <v>2098.54</v>
      </c>
      <c r="Y51" s="52"/>
      <c r="Z51" s="291" cm="1">
        <f t="array" aca="1" ref="Z51" ca="1">IFERROR(U51/OFFSET($H51,,MATCH($G$2,$H$5:$U$5,0)-2,,),"-")</f>
        <v>0.9704006843772397</v>
      </c>
      <c r="AA51" s="230" cm="1">
        <f t="array" aca="1" ref="AA51" ca="1">U51-OFFSET($H51,,MATCH($G$2,$H$5:$U$5,0)-2,,)</f>
        <v>-64.010000000000218</v>
      </c>
      <c r="AB51" s="230"/>
      <c r="AC51" s="10"/>
      <c r="AD51" s="224" cm="1">
        <f t="array" aca="1" ref="AD51" ca="1">IFERROR(U51/OFFSET($AT51,,MATCH($G$2,$AT$5:$BE$5,0)-1,,),"-")</f>
        <v>0.93268444444444443</v>
      </c>
      <c r="AE51" s="225" cm="1">
        <f t="array" aca="1" ref="AE51" ca="1">U51-OFFSET($AT51,,MATCH($G$2,$AT$5:$BE$5,0)-1,,)</f>
        <v>-151.46000000000004</v>
      </c>
      <c r="AF51" s="359"/>
      <c r="AG51" s="1"/>
      <c r="AH51" s="172"/>
      <c r="AI51" s="172">
        <f t="shared" si="24"/>
        <v>2.8080560849572929</v>
      </c>
      <c r="AJ51" s="173"/>
      <c r="AL51" s="312">
        <f t="shared" ca="1" si="40"/>
        <v>2098.54</v>
      </c>
      <c r="AM51" s="312" t="e" cm="1">
        <f t="array" ref="AM51">INDEX($BG$8:$BQ$83,ROW()-7,MATCH($G$3,$BG$5:$BQ$5,0))</f>
        <v>#N/A</v>
      </c>
      <c r="AN51" s="313" t="e">
        <f t="shared" ca="1" si="7"/>
        <v>#N/A</v>
      </c>
      <c r="AO51" s="314" t="str">
        <f t="shared" ca="1" si="8"/>
        <v/>
      </c>
      <c r="AP51" s="315"/>
      <c r="AR51" s="278">
        <f t="shared" ca="1" si="9"/>
        <v>24901.46</v>
      </c>
      <c r="AS51" s="4"/>
      <c r="AT51" s="166">
        <v>2250</v>
      </c>
      <c r="AU51" s="108">
        <v>2250</v>
      </c>
      <c r="AV51" s="108">
        <v>2250</v>
      </c>
      <c r="AW51" s="108">
        <v>2250</v>
      </c>
      <c r="AX51" s="108">
        <v>2250</v>
      </c>
      <c r="AY51" s="108">
        <v>2250</v>
      </c>
      <c r="AZ51" s="108">
        <v>2250</v>
      </c>
      <c r="BA51" s="289">
        <v>2250</v>
      </c>
      <c r="BB51" s="289">
        <v>2250</v>
      </c>
      <c r="BC51" s="289">
        <v>2250</v>
      </c>
      <c r="BD51" s="289">
        <v>2250</v>
      </c>
      <c r="BE51" s="290">
        <v>2250</v>
      </c>
      <c r="BF51" s="20"/>
      <c r="BG51" s="275">
        <f t="shared" si="10"/>
        <v>4500</v>
      </c>
      <c r="BH51" s="275">
        <f t="shared" si="11"/>
        <v>6750</v>
      </c>
      <c r="BI51" s="275">
        <f t="shared" si="12"/>
        <v>9000</v>
      </c>
      <c r="BJ51" s="275">
        <f t="shared" si="13"/>
        <v>11250</v>
      </c>
      <c r="BK51" s="275">
        <f t="shared" si="14"/>
        <v>13500</v>
      </c>
      <c r="BL51" s="275">
        <f t="shared" si="15"/>
        <v>15750</v>
      </c>
      <c r="BM51" s="275">
        <f t="shared" si="16"/>
        <v>18000</v>
      </c>
      <c r="BN51" s="275">
        <f t="shared" si="17"/>
        <v>20250</v>
      </c>
      <c r="BO51" s="275">
        <f t="shared" si="18"/>
        <v>22500</v>
      </c>
      <c r="BP51" s="275">
        <f t="shared" si="19"/>
        <v>24750</v>
      </c>
      <c r="BQ51" s="281">
        <f t="shared" si="20"/>
        <v>27000</v>
      </c>
    </row>
    <row r="52" spans="1:69" s="11" customFormat="1" ht="20.100000000000001" customHeight="1">
      <c r="A52" s="125" t="s">
        <v>12</v>
      </c>
      <c r="B52" s="126" t="s">
        <v>12</v>
      </c>
      <c r="C52" s="126" t="s">
        <v>12</v>
      </c>
      <c r="D52" s="126" t="s">
        <v>22</v>
      </c>
      <c r="E52" s="126">
        <v>671000</v>
      </c>
      <c r="F52" s="127">
        <v>62770500</v>
      </c>
      <c r="G52" s="128" t="s">
        <v>105</v>
      </c>
      <c r="H52" s="239">
        <v>27290.41</v>
      </c>
      <c r="I52" s="119">
        <f t="shared" ca="1" si="41"/>
        <v>27866.14</v>
      </c>
      <c r="J52" s="120">
        <f t="shared" ca="1" si="41"/>
        <v>0</v>
      </c>
      <c r="K52" s="120">
        <f t="shared" ca="1" si="41"/>
        <v>0</v>
      </c>
      <c r="L52" s="120">
        <f t="shared" ca="1" si="41"/>
        <v>0</v>
      </c>
      <c r="M52" s="120">
        <f t="shared" ca="1" si="41"/>
        <v>0</v>
      </c>
      <c r="N52" s="120">
        <f t="shared" ca="1" si="41"/>
        <v>0</v>
      </c>
      <c r="O52" s="120">
        <f t="shared" ca="1" si="41"/>
        <v>0</v>
      </c>
      <c r="P52" s="120">
        <f t="shared" ca="1" si="41"/>
        <v>0</v>
      </c>
      <c r="Q52" s="120">
        <f t="shared" ca="1" si="41"/>
        <v>0</v>
      </c>
      <c r="R52" s="120">
        <f t="shared" ca="1" si="41"/>
        <v>0</v>
      </c>
      <c r="S52" s="120">
        <f t="shared" ca="1" si="41"/>
        <v>0</v>
      </c>
      <c r="T52" s="120">
        <f t="shared" ca="1" si="41"/>
        <v>0</v>
      </c>
      <c r="U52" s="121" cm="2">
        <f t="array" aca="1" ref="U52" ca="1">INDEX($I52:$T52,$U$2)</f>
        <v>27866.14</v>
      </c>
      <c r="V52" s="235"/>
      <c r="W52" s="235"/>
      <c r="X52" s="239">
        <f t="shared" ca="1" si="6"/>
        <v>27866.14</v>
      </c>
      <c r="Y52" s="52"/>
      <c r="Z52" s="291" cm="1">
        <f t="array" aca="1" ref="Z52" ca="1">IFERROR(U52/OFFSET($H52,,MATCH($G$2,$H$5:$U$5,0)-2,,),"-")</f>
        <v>1.0210964217833298</v>
      </c>
      <c r="AA52" s="230" cm="1">
        <f t="array" aca="1" ref="AA52" ca="1">U52-OFFSET($H52,,MATCH($G$2,$H$5:$U$5,0)-2,,)</f>
        <v>575.72999999999956</v>
      </c>
      <c r="AB52" s="230"/>
      <c r="AC52" s="10"/>
      <c r="AD52" s="224" cm="1">
        <f t="array" aca="1" ref="AD52" ca="1">IFERROR(U52/OFFSET($AT52,,MATCH($G$2,$AT$5:$BE$5,0)-1,,),"-")</f>
        <v>0.99321687665142766</v>
      </c>
      <c r="AE52" s="225" cm="1">
        <f t="array" aca="1" ref="AE52" ca="1">U52-OFFSET($AT52,,MATCH($G$2,$AT$5:$BE$5,0)-1,,)</f>
        <v>-190.31036353898162</v>
      </c>
      <c r="AF52" s="359"/>
      <c r="AG52" s="1"/>
      <c r="AH52" s="172"/>
      <c r="AI52" s="172">
        <f t="shared" si="24"/>
        <v>35.436406955436567</v>
      </c>
      <c r="AJ52" s="173"/>
      <c r="AL52" s="312">
        <f t="shared" ca="1" si="40"/>
        <v>27866.14</v>
      </c>
      <c r="AM52" s="312" t="e" cm="1">
        <f t="array" ref="AM52">INDEX($BG$8:$BQ$83,ROW()-7,MATCH($G$3,$BG$5:$BQ$5,0))</f>
        <v>#N/A</v>
      </c>
      <c r="AN52" s="313" t="e">
        <f t="shared" ca="1" si="7"/>
        <v>#N/A</v>
      </c>
      <c r="AO52" s="314" t="str">
        <f t="shared" ca="1" si="8"/>
        <v/>
      </c>
      <c r="AP52" s="315"/>
      <c r="AR52" s="278">
        <f t="shared" ca="1" si="9"/>
        <v>335381.02080230712</v>
      </c>
      <c r="AS52" s="4"/>
      <c r="AT52" s="166">
        <v>28056.450363538981</v>
      </c>
      <c r="AU52" s="108">
        <v>28027.644663538984</v>
      </c>
      <c r="AV52" s="108">
        <v>27930.094863538983</v>
      </c>
      <c r="AW52" s="108">
        <v>27923.193363538983</v>
      </c>
      <c r="AX52" s="108">
        <v>27929.06286353898</v>
      </c>
      <c r="AY52" s="108">
        <v>27860.925063538984</v>
      </c>
      <c r="AZ52" s="108">
        <v>28901.955264320619</v>
      </c>
      <c r="BA52" s="289">
        <v>28882.627452320619</v>
      </c>
      <c r="BB52" s="289">
        <v>29376.087965206196</v>
      </c>
      <c r="BC52" s="289">
        <v>29376.087965206196</v>
      </c>
      <c r="BD52" s="289">
        <v>29376.087965206196</v>
      </c>
      <c r="BE52" s="290">
        <v>49606.94300881344</v>
      </c>
      <c r="BF52" s="20"/>
      <c r="BG52" s="275">
        <f t="shared" si="10"/>
        <v>56084.095027077965</v>
      </c>
      <c r="BH52" s="275">
        <f t="shared" si="11"/>
        <v>84014.189890616952</v>
      </c>
      <c r="BI52" s="275">
        <f t="shared" si="12"/>
        <v>111937.38325415594</v>
      </c>
      <c r="BJ52" s="275">
        <f t="shared" si="13"/>
        <v>139866.44611769493</v>
      </c>
      <c r="BK52" s="275">
        <f t="shared" si="14"/>
        <v>167727.3711812339</v>
      </c>
      <c r="BL52" s="275">
        <f t="shared" si="15"/>
        <v>196629.32644555453</v>
      </c>
      <c r="BM52" s="275">
        <f t="shared" si="16"/>
        <v>225511.95389787515</v>
      </c>
      <c r="BN52" s="275">
        <f t="shared" si="17"/>
        <v>254888.04186308134</v>
      </c>
      <c r="BO52" s="275">
        <f t="shared" si="18"/>
        <v>284264.12982828752</v>
      </c>
      <c r="BP52" s="275">
        <f t="shared" si="19"/>
        <v>313640.21779349371</v>
      </c>
      <c r="BQ52" s="281">
        <f t="shared" si="20"/>
        <v>363247.16080230713</v>
      </c>
    </row>
    <row r="53" spans="1:69" s="1" customFormat="1" ht="12.75">
      <c r="A53" s="126" t="s">
        <v>12</v>
      </c>
      <c r="B53" s="126" t="s">
        <v>10</v>
      </c>
      <c r="C53" s="126" t="s">
        <v>12</v>
      </c>
      <c r="D53" s="126" t="s">
        <v>22</v>
      </c>
      <c r="E53" s="126">
        <v>652210</v>
      </c>
      <c r="F53" s="127">
        <v>62770600</v>
      </c>
      <c r="G53" s="128" t="s">
        <v>527</v>
      </c>
      <c r="H53" s="239">
        <v>360426.58999999997</v>
      </c>
      <c r="I53" s="119">
        <f t="shared" ca="1" si="41"/>
        <v>93464.400000000009</v>
      </c>
      <c r="J53" s="120">
        <f t="shared" ca="1" si="41"/>
        <v>0</v>
      </c>
      <c r="K53" s="120">
        <f t="shared" ca="1" si="41"/>
        <v>0</v>
      </c>
      <c r="L53" s="120">
        <f t="shared" ca="1" si="41"/>
        <v>0</v>
      </c>
      <c r="M53" s="120">
        <f t="shared" ca="1" si="41"/>
        <v>0</v>
      </c>
      <c r="N53" s="120">
        <f t="shared" ca="1" si="41"/>
        <v>0</v>
      </c>
      <c r="O53" s="120">
        <f t="shared" ca="1" si="41"/>
        <v>0</v>
      </c>
      <c r="P53" s="120">
        <f t="shared" ca="1" si="41"/>
        <v>0</v>
      </c>
      <c r="Q53" s="120">
        <f t="shared" ca="1" si="41"/>
        <v>0</v>
      </c>
      <c r="R53" s="120">
        <f t="shared" ca="1" si="41"/>
        <v>0</v>
      </c>
      <c r="S53" s="120">
        <f t="shared" ca="1" si="41"/>
        <v>0</v>
      </c>
      <c r="T53" s="120">
        <f t="shared" ca="1" si="41"/>
        <v>0</v>
      </c>
      <c r="U53" s="121" cm="2">
        <f t="array" aca="1" ref="U53" ca="1">INDEX($I53:$T53,$U$2)</f>
        <v>93464.400000000009</v>
      </c>
      <c r="V53" s="235"/>
      <c r="W53" s="235"/>
      <c r="X53" s="239">
        <f t="shared" ca="1" si="6"/>
        <v>93464.400000000009</v>
      </c>
      <c r="Y53" s="52"/>
      <c r="Z53" s="291" cm="1">
        <f t="array" aca="1" ref="Z53" ca="1">IFERROR(U53/OFFSET($H53,,MATCH($G$2,$H$5:$U$5,0)-2,,),"-")</f>
        <v>0.25931605101610294</v>
      </c>
      <c r="AA53" s="230" cm="1">
        <f t="array" aca="1" ref="AA53" ca="1">U53-OFFSET($H53,,MATCH($G$2,$H$5:$U$5,0)-2,,)</f>
        <v>-266962.18999999994</v>
      </c>
      <c r="AB53" s="230"/>
      <c r="AC53" s="10"/>
      <c r="AD53" s="224" cm="1">
        <f t="array" aca="1" ref="AD53" ca="1">IFERROR(U53/OFFSET($AT53,,MATCH($G$2,$AT$5:$BE$5,0)-1,,),"-")</f>
        <v>0.74366763363944655</v>
      </c>
      <c r="AE53" s="225" cm="1">
        <f t="array" aca="1" ref="AE53" ca="1">U53-OFFSET($AT53,,MATCH($G$2,$AT$5:$BE$5,0)-1,,)</f>
        <v>-32215.938597759232</v>
      </c>
      <c r="AF53" s="358"/>
      <c r="AH53" s="172"/>
      <c r="AI53" s="172">
        <f t="shared" si="24"/>
        <v>468.01141209678724</v>
      </c>
      <c r="AJ53" s="173"/>
      <c r="AL53" s="312">
        <f t="shared" ca="1" si="40"/>
        <v>93464.400000000009</v>
      </c>
      <c r="AM53" s="312" t="e" cm="1">
        <f t="array" ref="AM53">INDEX($BG$8:$BQ$83,ROW()-7,MATCH($G$3,$BG$5:$BQ$5,0))</f>
        <v>#N/A</v>
      </c>
      <c r="AN53" s="313" t="e">
        <f t="shared" ca="1" si="7"/>
        <v>#N/A</v>
      </c>
      <c r="AO53" s="314" t="str">
        <f t="shared" ca="1" si="8"/>
        <v/>
      </c>
      <c r="AP53" s="328"/>
      <c r="AQ53" s="11"/>
      <c r="AR53" s="278">
        <f t="shared" ca="1" si="9"/>
        <v>2990144.6932172854</v>
      </c>
      <c r="AS53" s="9"/>
      <c r="AT53" s="166">
        <v>125680.33859775924</v>
      </c>
      <c r="AU53" s="108">
        <v>135299.77321503533</v>
      </c>
      <c r="AV53" s="108">
        <v>204262.40447126536</v>
      </c>
      <c r="AW53" s="108">
        <v>362333.03637738188</v>
      </c>
      <c r="AX53" s="108">
        <v>367428.06844506069</v>
      </c>
      <c r="AY53" s="108">
        <v>357519.79657667864</v>
      </c>
      <c r="AZ53" s="108">
        <v>311835.5372604861</v>
      </c>
      <c r="BA53" s="292">
        <v>252295.67628577954</v>
      </c>
      <c r="BB53" s="292">
        <v>258146.36368943969</v>
      </c>
      <c r="BC53" s="292">
        <v>328572.32040566625</v>
      </c>
      <c r="BD53" s="292">
        <v>166859.71572585788</v>
      </c>
      <c r="BE53" s="293">
        <v>213376.06216687479</v>
      </c>
      <c r="BF53" s="292"/>
      <c r="BG53" s="278">
        <f t="shared" si="10"/>
        <v>260980.11181279458</v>
      </c>
      <c r="BH53" s="278">
        <f t="shared" si="11"/>
        <v>465242.51628405997</v>
      </c>
      <c r="BI53" s="278">
        <f t="shared" si="12"/>
        <v>827575.55266144185</v>
      </c>
      <c r="BJ53" s="278">
        <f t="shared" si="13"/>
        <v>1195003.6211065026</v>
      </c>
      <c r="BK53" s="278">
        <f t="shared" si="14"/>
        <v>1552523.4176831814</v>
      </c>
      <c r="BL53" s="278">
        <f t="shared" si="15"/>
        <v>1864358.9549436674</v>
      </c>
      <c r="BM53" s="278">
        <f t="shared" si="16"/>
        <v>2116654.6312294467</v>
      </c>
      <c r="BN53" s="278">
        <f t="shared" si="17"/>
        <v>2374800.9949188866</v>
      </c>
      <c r="BO53" s="278">
        <f t="shared" si="18"/>
        <v>2703373.3153245528</v>
      </c>
      <c r="BP53" s="278">
        <f t="shared" si="19"/>
        <v>2870233.0310504106</v>
      </c>
      <c r="BQ53" s="278">
        <f t="shared" si="20"/>
        <v>3083609.0932172853</v>
      </c>
    </row>
    <row r="54" spans="1:69" s="96" customFormat="1" ht="12.75">
      <c r="A54" s="126" t="s">
        <v>12</v>
      </c>
      <c r="B54" s="126" t="s">
        <v>12</v>
      </c>
      <c r="C54" s="126" t="s">
        <v>12</v>
      </c>
      <c r="D54" s="126" t="s">
        <v>22</v>
      </c>
      <c r="E54" s="126">
        <v>630406</v>
      </c>
      <c r="F54" s="129">
        <v>62770700</v>
      </c>
      <c r="G54" s="128" t="s">
        <v>65</v>
      </c>
      <c r="H54" s="239">
        <v>57204.09</v>
      </c>
      <c r="I54" s="119">
        <f t="shared" ca="1" si="41"/>
        <v>5230.7700000000004</v>
      </c>
      <c r="J54" s="120">
        <f t="shared" ca="1" si="41"/>
        <v>0</v>
      </c>
      <c r="K54" s="120">
        <f t="shared" ca="1" si="41"/>
        <v>0</v>
      </c>
      <c r="L54" s="120">
        <f t="shared" ca="1" si="41"/>
        <v>0</v>
      </c>
      <c r="M54" s="120">
        <f t="shared" ca="1" si="41"/>
        <v>0</v>
      </c>
      <c r="N54" s="120">
        <f t="shared" ca="1" si="41"/>
        <v>0</v>
      </c>
      <c r="O54" s="120">
        <f t="shared" ca="1" si="41"/>
        <v>0</v>
      </c>
      <c r="P54" s="120">
        <f t="shared" ca="1" si="41"/>
        <v>0</v>
      </c>
      <c r="Q54" s="120">
        <f t="shared" ca="1" si="41"/>
        <v>0</v>
      </c>
      <c r="R54" s="120">
        <f t="shared" ca="1" si="41"/>
        <v>0</v>
      </c>
      <c r="S54" s="120">
        <f t="shared" ca="1" si="41"/>
        <v>0</v>
      </c>
      <c r="T54" s="120">
        <f t="shared" ca="1" si="41"/>
        <v>0</v>
      </c>
      <c r="U54" s="121" cm="2">
        <f t="array" aca="1" ref="U54" ca="1">INDEX($I54:$T54,$U$2)</f>
        <v>5230.7700000000004</v>
      </c>
      <c r="V54" s="235"/>
      <c r="W54" s="235"/>
      <c r="X54" s="239">
        <f t="shared" ca="1" si="6"/>
        <v>5230.7700000000004</v>
      </c>
      <c r="Y54" s="52"/>
      <c r="Z54" s="291" cm="1">
        <f t="array" aca="1" ref="Z54" ca="1">IFERROR(U54/OFFSET($H54,,MATCH($G$2,$H$5:$U$5,0)-2,,),"-")</f>
        <v>9.1440489657295496E-2</v>
      </c>
      <c r="AA54" s="230" cm="1">
        <f t="array" aca="1" ref="AA54" ca="1">U54-OFFSET($H54,,MATCH($G$2,$H$5:$U$5,0)-2,,)</f>
        <v>-51973.319999999992</v>
      </c>
      <c r="AB54" s="230"/>
      <c r="AC54" s="10"/>
      <c r="AD54" s="224" cm="1">
        <f t="array" aca="1" ref="AD54" ca="1">IFERROR(U54/OFFSET($AT54,,MATCH($G$2,$AT$5:$BE$5,0)-1,,),"-")</f>
        <v>0.52294999989733204</v>
      </c>
      <c r="AE54" s="225" cm="1">
        <f t="array" aca="1" ref="AE54" ca="1">U54-OFFSET($AT54,,MATCH($G$2,$AT$5:$BE$5,0)-1,,)</f>
        <v>-4771.658532415966</v>
      </c>
      <c r="AF54" s="359"/>
      <c r="AG54" s="10"/>
      <c r="AH54" s="172"/>
      <c r="AI54" s="172">
        <f t="shared" si="24"/>
        <v>74.27911170097552</v>
      </c>
      <c r="AJ54" s="173"/>
      <c r="AL54" s="313">
        <f t="shared" ca="1" si="40"/>
        <v>5230.7700000000004</v>
      </c>
      <c r="AM54" s="313" t="e" cm="1">
        <f t="array" ref="AM54">INDEX($BG$8:$BQ$83,ROW()-7,MATCH($G$3,$BG$5:$BQ$5,0))</f>
        <v>#N/A</v>
      </c>
      <c r="AN54" s="313" t="e">
        <f t="shared" ca="1" si="7"/>
        <v>#N/A</v>
      </c>
      <c r="AO54" s="314" t="str">
        <f t="shared" ca="1" si="8"/>
        <v/>
      </c>
      <c r="AP54" s="518"/>
      <c r="AR54" s="282">
        <f t="shared" ca="1" si="9"/>
        <v>117591.83045556425</v>
      </c>
      <c r="AS54" s="10"/>
      <c r="AT54" s="166">
        <v>10002.428532415966</v>
      </c>
      <c r="AU54" s="108">
        <v>7622.6852214803839</v>
      </c>
      <c r="AV54" s="108">
        <v>9102.3483424859533</v>
      </c>
      <c r="AW54" s="108">
        <v>10607.781306624782</v>
      </c>
      <c r="AX54" s="108">
        <v>11758.354431213849</v>
      </c>
      <c r="AY54" s="108">
        <v>8503.469099570566</v>
      </c>
      <c r="AZ54" s="108">
        <v>10442.465581147975</v>
      </c>
      <c r="BA54" s="519">
        <v>10190.001929040889</v>
      </c>
      <c r="BB54" s="519">
        <v>8332.4036219691152</v>
      </c>
      <c r="BC54" s="519">
        <v>15156.878125016063</v>
      </c>
      <c r="BD54" s="519">
        <v>11054.357760905399</v>
      </c>
      <c r="BE54" s="520">
        <v>10049.426503693287</v>
      </c>
      <c r="BF54" s="521"/>
      <c r="BG54" s="522">
        <f t="shared" si="10"/>
        <v>17625.113753896352</v>
      </c>
      <c r="BH54" s="522">
        <f t="shared" si="11"/>
        <v>26727.462096382304</v>
      </c>
      <c r="BI54" s="522">
        <f t="shared" si="12"/>
        <v>37335.243403007087</v>
      </c>
      <c r="BJ54" s="522">
        <f t="shared" si="13"/>
        <v>49093.597834220935</v>
      </c>
      <c r="BK54" s="522">
        <f t="shared" si="14"/>
        <v>57597.066933791502</v>
      </c>
      <c r="BL54" s="522">
        <f t="shared" si="15"/>
        <v>68039.532514939478</v>
      </c>
      <c r="BM54" s="522">
        <f t="shared" si="16"/>
        <v>78229.534443980374</v>
      </c>
      <c r="BN54" s="522">
        <f t="shared" si="17"/>
        <v>86561.938065949493</v>
      </c>
      <c r="BO54" s="522">
        <f t="shared" si="18"/>
        <v>101718.81619096556</v>
      </c>
      <c r="BP54" s="522">
        <f t="shared" si="19"/>
        <v>112773.17395187097</v>
      </c>
      <c r="BQ54" s="523">
        <f t="shared" si="20"/>
        <v>122822.60045556426</v>
      </c>
    </row>
    <row r="55" spans="1:69" s="11" customFormat="1" ht="20.100000000000001" customHeight="1">
      <c r="A55" s="126" t="s">
        <v>12</v>
      </c>
      <c r="B55" s="126" t="s">
        <v>12</v>
      </c>
      <c r="C55" s="126" t="s">
        <v>12</v>
      </c>
      <c r="D55" s="126" t="s">
        <v>22</v>
      </c>
      <c r="E55" s="126">
        <v>630404</v>
      </c>
      <c r="F55" s="127">
        <v>62770800</v>
      </c>
      <c r="G55" s="128" t="s">
        <v>95</v>
      </c>
      <c r="H55" s="239">
        <v>7973.42</v>
      </c>
      <c r="I55" s="119">
        <f t="shared" ca="1" si="41"/>
        <v>7933.88</v>
      </c>
      <c r="J55" s="120">
        <f t="shared" ca="1" si="41"/>
        <v>0</v>
      </c>
      <c r="K55" s="120">
        <f t="shared" ca="1" si="41"/>
        <v>0</v>
      </c>
      <c r="L55" s="120">
        <f t="shared" ca="1" si="41"/>
        <v>0</v>
      </c>
      <c r="M55" s="120">
        <f t="shared" ca="1" si="41"/>
        <v>0</v>
      </c>
      <c r="N55" s="120">
        <f t="shared" ca="1" si="41"/>
        <v>0</v>
      </c>
      <c r="O55" s="120">
        <f t="shared" ca="1" si="41"/>
        <v>0</v>
      </c>
      <c r="P55" s="120">
        <f t="shared" ca="1" si="41"/>
        <v>0</v>
      </c>
      <c r="Q55" s="120">
        <f t="shared" ca="1" si="41"/>
        <v>0</v>
      </c>
      <c r="R55" s="120">
        <f t="shared" ca="1" si="41"/>
        <v>0</v>
      </c>
      <c r="S55" s="120">
        <f t="shared" ca="1" si="41"/>
        <v>0</v>
      </c>
      <c r="T55" s="120">
        <f t="shared" ca="1" si="41"/>
        <v>0</v>
      </c>
      <c r="U55" s="121" cm="2">
        <f t="array" aca="1" ref="U55" ca="1">INDEX($I55:$T55,$U$2)</f>
        <v>7933.88</v>
      </c>
      <c r="V55" s="235"/>
      <c r="W55" s="235"/>
      <c r="X55" s="239">
        <f t="shared" ca="1" si="6"/>
        <v>7933.88</v>
      </c>
      <c r="Y55" s="52"/>
      <c r="Z55" s="291" cm="1">
        <f t="array" aca="1" ref="Z55" ca="1">IFERROR(U55/OFFSET($H55,,MATCH($G$2,$H$5:$U$5,0)-2,,),"-")</f>
        <v>0.99504102380158077</v>
      </c>
      <c r="AA55" s="230" cm="1">
        <f t="array" aca="1" ref="AA55" ca="1">U55-OFFSET($H55,,MATCH($G$2,$H$5:$U$5,0)-2,,)</f>
        <v>-39.539999999999964</v>
      </c>
      <c r="AB55" s="230"/>
      <c r="AC55" s="10"/>
      <c r="AD55" s="224" cm="1">
        <f t="array" aca="1" ref="AD55" ca="1">IFERROR(U55/OFFSET($AT55,,MATCH($G$2,$AT$5:$BE$5,0)-1,,),"-")</f>
        <v>0.96168242424242423</v>
      </c>
      <c r="AE55" s="225" cm="1">
        <f t="array" aca="1" ref="AE55" ca="1">U55-OFFSET($AT55,,MATCH($G$2,$AT$5:$BE$5,0)-1,,)</f>
        <v>-316.11999999999989</v>
      </c>
      <c r="AF55" s="359"/>
      <c r="AG55" s="1"/>
      <c r="AH55" s="172"/>
      <c r="AI55" s="172">
        <f t="shared" si="24"/>
        <v>10.353430232327659</v>
      </c>
      <c r="AJ55" s="173"/>
      <c r="AL55" s="312">
        <f t="shared" ca="1" si="40"/>
        <v>7933.88</v>
      </c>
      <c r="AM55" s="312" t="e" cm="1">
        <f t="array" ref="AM55">INDEX($BG$8:$BQ$83,ROW()-7,MATCH($G$3,$BG$5:$BQ$5,0))</f>
        <v>#N/A</v>
      </c>
      <c r="AN55" s="313" t="e">
        <f t="shared" ca="1" si="7"/>
        <v>#N/A</v>
      </c>
      <c r="AO55" s="314" t="str">
        <f t="shared" ca="1" si="8"/>
        <v/>
      </c>
      <c r="AP55" s="315"/>
      <c r="AR55" s="278">
        <f t="shared" ca="1" si="9"/>
        <v>91066.12</v>
      </c>
      <c r="AS55" s="1"/>
      <c r="AT55" s="166">
        <v>8250</v>
      </c>
      <c r="AU55" s="108">
        <v>8250</v>
      </c>
      <c r="AV55" s="108">
        <v>8250</v>
      </c>
      <c r="AW55" s="108">
        <v>8250</v>
      </c>
      <c r="AX55" s="108">
        <v>8250</v>
      </c>
      <c r="AY55" s="108">
        <v>8250</v>
      </c>
      <c r="AZ55" s="108">
        <v>8250</v>
      </c>
      <c r="BA55" s="289">
        <v>8250</v>
      </c>
      <c r="BB55" s="289">
        <v>8250</v>
      </c>
      <c r="BC55" s="289">
        <v>8250</v>
      </c>
      <c r="BD55" s="289">
        <v>8250</v>
      </c>
      <c r="BE55" s="290">
        <v>8250</v>
      </c>
      <c r="BF55" s="20"/>
      <c r="BG55" s="275">
        <f t="shared" si="10"/>
        <v>16500</v>
      </c>
      <c r="BH55" s="275">
        <f t="shared" si="11"/>
        <v>24750</v>
      </c>
      <c r="BI55" s="275">
        <f t="shared" si="12"/>
        <v>33000</v>
      </c>
      <c r="BJ55" s="275">
        <f t="shared" si="13"/>
        <v>41250</v>
      </c>
      <c r="BK55" s="275">
        <f t="shared" si="14"/>
        <v>49500</v>
      </c>
      <c r="BL55" s="275">
        <f t="shared" si="15"/>
        <v>57750</v>
      </c>
      <c r="BM55" s="275">
        <f t="shared" si="16"/>
        <v>66000</v>
      </c>
      <c r="BN55" s="275">
        <f t="shared" si="17"/>
        <v>74250</v>
      </c>
      <c r="BO55" s="275">
        <f t="shared" si="18"/>
        <v>82500</v>
      </c>
      <c r="BP55" s="275">
        <f t="shared" si="19"/>
        <v>90750</v>
      </c>
      <c r="BQ55" s="281">
        <f t="shared" si="20"/>
        <v>99000</v>
      </c>
    </row>
    <row r="56" spans="1:69" s="11" customFormat="1" ht="12.75">
      <c r="A56" s="126" t="s">
        <v>12</v>
      </c>
      <c r="B56" s="126" t="s">
        <v>12</v>
      </c>
      <c r="C56" s="126" t="s">
        <v>12</v>
      </c>
      <c r="D56" s="126" t="s">
        <v>22</v>
      </c>
      <c r="E56" s="126">
        <v>667801</v>
      </c>
      <c r="F56" s="127">
        <v>62770900</v>
      </c>
      <c r="G56" s="128" t="s">
        <v>528</v>
      </c>
      <c r="H56" s="239">
        <v>0</v>
      </c>
      <c r="I56" s="119">
        <f t="shared" ca="1" si="41"/>
        <v>0</v>
      </c>
      <c r="J56" s="120">
        <f t="shared" ca="1" si="41"/>
        <v>0</v>
      </c>
      <c r="K56" s="120">
        <f t="shared" ca="1" si="41"/>
        <v>0</v>
      </c>
      <c r="L56" s="120">
        <f t="shared" ca="1" si="41"/>
        <v>0</v>
      </c>
      <c r="M56" s="120">
        <f t="shared" ca="1" si="41"/>
        <v>0</v>
      </c>
      <c r="N56" s="120">
        <f t="shared" ca="1" si="41"/>
        <v>0</v>
      </c>
      <c r="O56" s="120">
        <f t="shared" ca="1" si="41"/>
        <v>0</v>
      </c>
      <c r="P56" s="120">
        <f t="shared" ca="1" si="41"/>
        <v>0</v>
      </c>
      <c r="Q56" s="120">
        <f t="shared" ca="1" si="41"/>
        <v>0</v>
      </c>
      <c r="R56" s="120">
        <f t="shared" ca="1" si="41"/>
        <v>0</v>
      </c>
      <c r="S56" s="120">
        <f t="shared" ca="1" si="41"/>
        <v>0</v>
      </c>
      <c r="T56" s="120">
        <f t="shared" ca="1" si="41"/>
        <v>0</v>
      </c>
      <c r="U56" s="121" cm="2">
        <f t="array" aca="1" ref="U56" ca="1">INDEX($I56:$T56,$U$2)</f>
        <v>0</v>
      </c>
      <c r="V56" s="235"/>
      <c r="W56" s="235"/>
      <c r="X56" s="239">
        <f t="shared" ca="1" si="6"/>
        <v>0</v>
      </c>
      <c r="Y56" s="52"/>
      <c r="Z56" s="291" t="str" cm="1">
        <f t="array" aca="1" ref="Z56" ca="1">IFERROR(U56/OFFSET($H56,,MATCH($G$2,$H$5:$U$5,0)-2,,),"-")</f>
        <v>-</v>
      </c>
      <c r="AA56" s="230" cm="1">
        <f t="array" aca="1" ref="AA56" ca="1">U56-OFFSET($H56,,MATCH($G$2,$H$5:$U$5,0)-2,,)</f>
        <v>0</v>
      </c>
      <c r="AB56" s="230"/>
      <c r="AC56" s="10"/>
      <c r="AD56" s="224" t="str" cm="1">
        <f t="array" aca="1" ref="AD56" ca="1">IFERROR(U56/OFFSET($AT56,,MATCH($G$2,$AT$5:$BE$5,0)-1,,),"-")</f>
        <v>-</v>
      </c>
      <c r="AE56" s="225" cm="1">
        <f t="array" aca="1" ref="AE56" ca="1">U56-OFFSET($AT56,,MATCH($G$2,$AT$5:$BE$5,0)-1,,)</f>
        <v>0</v>
      </c>
      <c r="AF56" s="359"/>
      <c r="AG56" s="1"/>
      <c r="AH56" s="172"/>
      <c r="AI56" s="172">
        <f t="shared" si="24"/>
        <v>0</v>
      </c>
      <c r="AJ56" s="173"/>
      <c r="AL56" s="312">
        <f t="shared" ca="1" si="40"/>
        <v>0</v>
      </c>
      <c r="AM56" s="312" t="e" cm="1">
        <f t="array" ref="AM56">INDEX($BG$8:$BQ$83,ROW()-7,MATCH($G$3,$BG$5:$BQ$5,0))</f>
        <v>#N/A</v>
      </c>
      <c r="AN56" s="313" t="e">
        <f t="shared" ca="1" si="7"/>
        <v>#N/A</v>
      </c>
      <c r="AO56" s="314" t="str">
        <f t="shared" ca="1" si="8"/>
        <v/>
      </c>
      <c r="AP56" s="315"/>
      <c r="AR56" s="278">
        <f t="shared" ca="1" si="9"/>
        <v>52366.306871285749</v>
      </c>
      <c r="AS56" s="1"/>
      <c r="AT56" s="166">
        <v>0</v>
      </c>
      <c r="AU56" s="108">
        <v>6154.1278541788852</v>
      </c>
      <c r="AV56" s="108">
        <v>0</v>
      </c>
      <c r="AW56" s="108">
        <v>16594.946955817817</v>
      </c>
      <c r="AX56" s="108">
        <v>1133.3333333333333</v>
      </c>
      <c r="AY56" s="108">
        <v>0</v>
      </c>
      <c r="AZ56" s="108">
        <v>0</v>
      </c>
      <c r="BA56" s="292">
        <v>12300</v>
      </c>
      <c r="BB56" s="292">
        <v>14733.898727955722</v>
      </c>
      <c r="BC56" s="292">
        <v>0</v>
      </c>
      <c r="BD56" s="292">
        <v>0</v>
      </c>
      <c r="BE56" s="293">
        <v>1450</v>
      </c>
      <c r="BF56" s="317"/>
      <c r="BG56" s="276">
        <f t="shared" si="10"/>
        <v>6154.1278541788852</v>
      </c>
      <c r="BH56" s="276">
        <f t="shared" si="11"/>
        <v>6154.1278541788852</v>
      </c>
      <c r="BI56" s="276">
        <f t="shared" si="12"/>
        <v>22749.074809996702</v>
      </c>
      <c r="BJ56" s="276">
        <f t="shared" si="13"/>
        <v>23882.408143330034</v>
      </c>
      <c r="BK56" s="276">
        <f t="shared" si="14"/>
        <v>23882.408143330034</v>
      </c>
      <c r="BL56" s="276">
        <f t="shared" si="15"/>
        <v>23882.408143330034</v>
      </c>
      <c r="BM56" s="276">
        <f t="shared" si="16"/>
        <v>36182.408143330031</v>
      </c>
      <c r="BN56" s="276">
        <f t="shared" si="17"/>
        <v>50916.306871285749</v>
      </c>
      <c r="BO56" s="276">
        <f t="shared" si="18"/>
        <v>50916.306871285749</v>
      </c>
      <c r="BP56" s="276">
        <f t="shared" si="19"/>
        <v>50916.306871285749</v>
      </c>
      <c r="BQ56" s="278">
        <f t="shared" si="20"/>
        <v>52366.306871285749</v>
      </c>
    </row>
    <row r="57" spans="1:69" s="11" customFormat="1" ht="12.75">
      <c r="A57" s="125" t="s">
        <v>12</v>
      </c>
      <c r="B57" s="126" t="s">
        <v>12</v>
      </c>
      <c r="C57" s="126" t="s">
        <v>12</v>
      </c>
      <c r="D57" s="126" t="s">
        <v>22</v>
      </c>
      <c r="E57" s="126">
        <v>667802</v>
      </c>
      <c r="F57" s="127">
        <v>62770901</v>
      </c>
      <c r="G57" s="128" t="s">
        <v>529</v>
      </c>
      <c r="H57" s="239">
        <v>0</v>
      </c>
      <c r="I57" s="119">
        <f t="shared" ca="1" si="41"/>
        <v>0</v>
      </c>
      <c r="J57" s="120">
        <f t="shared" ca="1" si="41"/>
        <v>0</v>
      </c>
      <c r="K57" s="120">
        <f t="shared" ca="1" si="41"/>
        <v>0</v>
      </c>
      <c r="L57" s="120">
        <f t="shared" ca="1" si="41"/>
        <v>0</v>
      </c>
      <c r="M57" s="120">
        <f t="shared" ca="1" si="41"/>
        <v>0</v>
      </c>
      <c r="N57" s="120">
        <f t="shared" ca="1" si="41"/>
        <v>0</v>
      </c>
      <c r="O57" s="120">
        <f t="shared" ca="1" si="41"/>
        <v>0</v>
      </c>
      <c r="P57" s="120">
        <f t="shared" ca="1" si="41"/>
        <v>0</v>
      </c>
      <c r="Q57" s="120">
        <f t="shared" ca="1" si="41"/>
        <v>0</v>
      </c>
      <c r="R57" s="120">
        <f t="shared" ca="1" si="41"/>
        <v>0</v>
      </c>
      <c r="S57" s="120">
        <f t="shared" ca="1" si="41"/>
        <v>0</v>
      </c>
      <c r="T57" s="120">
        <f t="shared" ca="1" si="41"/>
        <v>0</v>
      </c>
      <c r="U57" s="121" cm="2">
        <f t="array" aca="1" ref="U57" ca="1">INDEX($I57:$T57,$U$2)</f>
        <v>0</v>
      </c>
      <c r="V57" s="235"/>
      <c r="W57" s="235"/>
      <c r="X57" s="239">
        <f t="shared" ca="1" si="6"/>
        <v>0</v>
      </c>
      <c r="Y57" s="52"/>
      <c r="Z57" s="291" t="str" cm="1">
        <f t="array" aca="1" ref="Z57" ca="1">IFERROR(U57/OFFSET($H57,,MATCH($G$2,$H$5:$U$5,0)-2,,),"-")</f>
        <v>-</v>
      </c>
      <c r="AA57" s="230" cm="1">
        <f t="array" aca="1" ref="AA57" ca="1">U57-OFFSET($H57,,MATCH($G$2,$H$5:$U$5,0)-2,,)</f>
        <v>0</v>
      </c>
      <c r="AB57" s="230"/>
      <c r="AC57" s="10"/>
      <c r="AD57" s="224" t="str" cm="1">
        <f t="array" aca="1" ref="AD57" ca="1">IFERROR(U57/OFFSET($AT57,,MATCH($G$2,$AT$5:$BE$5,0)-1,,),"-")</f>
        <v>-</v>
      </c>
      <c r="AE57" s="225" cm="1">
        <f t="array" aca="1" ref="AE57" ca="1">U57-OFFSET($AT57,,MATCH($G$2,$AT$5:$BE$5,0)-1,,)</f>
        <v>0</v>
      </c>
      <c r="AF57" s="359"/>
      <c r="AG57" s="1"/>
      <c r="AH57" s="172"/>
      <c r="AI57" s="172">
        <f t="shared" si="24"/>
        <v>0</v>
      </c>
      <c r="AJ57" s="173"/>
      <c r="AL57" s="312">
        <f t="shared" ca="1" si="40"/>
        <v>0</v>
      </c>
      <c r="AM57" s="312" t="e" cm="1">
        <f t="array" ref="AM57">INDEX($BG$8:$BQ$83,ROW()-7,MATCH($G$3,$BG$5:$BQ$5,0))</f>
        <v>#N/A</v>
      </c>
      <c r="AN57" s="313" t="e">
        <f t="shared" ca="1" si="7"/>
        <v>#N/A</v>
      </c>
      <c r="AO57" s="314" t="str">
        <f t="shared" ca="1" si="8"/>
        <v/>
      </c>
      <c r="AP57" s="315"/>
      <c r="AR57" s="278">
        <f t="shared" ca="1" si="9"/>
        <v>0</v>
      </c>
      <c r="AS57" s="1"/>
      <c r="AT57" s="166">
        <v>0</v>
      </c>
      <c r="AU57" s="108">
        <v>0</v>
      </c>
      <c r="AV57" s="108">
        <v>0</v>
      </c>
      <c r="AW57" s="108">
        <v>0</v>
      </c>
      <c r="AX57" s="108">
        <v>0</v>
      </c>
      <c r="AY57" s="108">
        <v>0</v>
      </c>
      <c r="AZ57" s="108">
        <v>0</v>
      </c>
      <c r="BA57" s="289">
        <v>0</v>
      </c>
      <c r="BB57" s="289">
        <v>0</v>
      </c>
      <c r="BC57" s="289">
        <v>0</v>
      </c>
      <c r="BD57" s="289">
        <v>0</v>
      </c>
      <c r="BE57" s="290">
        <v>0</v>
      </c>
      <c r="BF57" s="20"/>
      <c r="BG57" s="275">
        <f t="shared" si="10"/>
        <v>0</v>
      </c>
      <c r="BH57" s="275">
        <f t="shared" si="11"/>
        <v>0</v>
      </c>
      <c r="BI57" s="275">
        <f t="shared" si="12"/>
        <v>0</v>
      </c>
      <c r="BJ57" s="275">
        <f t="shared" si="13"/>
        <v>0</v>
      </c>
      <c r="BK57" s="275">
        <f t="shared" si="14"/>
        <v>0</v>
      </c>
      <c r="BL57" s="275">
        <f t="shared" si="15"/>
        <v>0</v>
      </c>
      <c r="BM57" s="275">
        <f t="shared" si="16"/>
        <v>0</v>
      </c>
      <c r="BN57" s="275">
        <f t="shared" si="17"/>
        <v>0</v>
      </c>
      <c r="BO57" s="275">
        <f t="shared" si="18"/>
        <v>0</v>
      </c>
      <c r="BP57" s="275">
        <f t="shared" si="19"/>
        <v>0</v>
      </c>
      <c r="BQ57" s="281">
        <f t="shared" si="20"/>
        <v>0</v>
      </c>
    </row>
    <row r="58" spans="1:69" s="11" customFormat="1" ht="20.100000000000001" customHeight="1">
      <c r="A58" s="125" t="s">
        <v>12</v>
      </c>
      <c r="B58" s="126" t="s">
        <v>12</v>
      </c>
      <c r="C58" s="126" t="s">
        <v>12</v>
      </c>
      <c r="D58" s="126" t="s">
        <v>22</v>
      </c>
      <c r="E58" s="126">
        <v>664001</v>
      </c>
      <c r="F58" s="127">
        <v>62771000</v>
      </c>
      <c r="G58" s="128" t="s">
        <v>530</v>
      </c>
      <c r="H58" s="239">
        <v>0</v>
      </c>
      <c r="I58" s="119">
        <f t="shared" ref="I58:T67" ca="1" si="42">SUMIFS(INDIRECT(I$5&amp;"!N:N"),INDIRECT(I$5&amp;"!L:L"),$E58,INDIRECT(I$5&amp;"!K:K"),50)-SUMIFS(INDIRECT(I$5&amp;"!N:N"),INDIRECT(I$5&amp;"!L:L"),$E58,INDIRECT(I$5&amp;"!K:K"),40)</f>
        <v>0</v>
      </c>
      <c r="J58" s="120">
        <f t="shared" ca="1" si="42"/>
        <v>0</v>
      </c>
      <c r="K58" s="120">
        <f t="shared" ca="1" si="42"/>
        <v>0</v>
      </c>
      <c r="L58" s="120">
        <f t="shared" ca="1" si="42"/>
        <v>0</v>
      </c>
      <c r="M58" s="120">
        <f t="shared" ca="1" si="42"/>
        <v>0</v>
      </c>
      <c r="N58" s="120">
        <f t="shared" ca="1" si="42"/>
        <v>0</v>
      </c>
      <c r="O58" s="120">
        <f t="shared" ca="1" si="42"/>
        <v>0</v>
      </c>
      <c r="P58" s="120">
        <f t="shared" ca="1" si="42"/>
        <v>0</v>
      </c>
      <c r="Q58" s="120">
        <f t="shared" ca="1" si="42"/>
        <v>0</v>
      </c>
      <c r="R58" s="120">
        <f t="shared" ca="1" si="42"/>
        <v>0</v>
      </c>
      <c r="S58" s="120">
        <f t="shared" ca="1" si="42"/>
        <v>0</v>
      </c>
      <c r="T58" s="120">
        <f t="shared" ca="1" si="42"/>
        <v>0</v>
      </c>
      <c r="U58" s="121" cm="2">
        <f t="array" aca="1" ref="U58" ca="1">INDEX($I58:$T58,$U$2)</f>
        <v>0</v>
      </c>
      <c r="V58" s="235"/>
      <c r="W58" s="235"/>
      <c r="X58" s="239">
        <f t="shared" ca="1" si="6"/>
        <v>0</v>
      </c>
      <c r="Y58" s="52"/>
      <c r="Z58" s="291" t="str" cm="1">
        <f t="array" aca="1" ref="Z58" ca="1">IFERROR(U58/OFFSET($H58,,MATCH($G$2,$H$5:$U$5,0)-2,,),"-")</f>
        <v>-</v>
      </c>
      <c r="AA58" s="230" cm="1">
        <f t="array" aca="1" ref="AA58" ca="1">U58-OFFSET($H58,,MATCH($G$2,$H$5:$U$5,0)-2,,)</f>
        <v>0</v>
      </c>
      <c r="AB58" s="230"/>
      <c r="AC58" s="10"/>
      <c r="AD58" s="224" t="str" cm="1">
        <f t="array" aca="1" ref="AD58" ca="1">IFERROR(U58/OFFSET($AT58,,MATCH($G$2,$AT$5:$BE$5,0)-1,,),"-")</f>
        <v>-</v>
      </c>
      <c r="AE58" s="225" cm="1">
        <f t="array" aca="1" ref="AE58" ca="1">U58-OFFSET($AT58,,MATCH($G$2,$AT$5:$BE$5,0)-1,,)</f>
        <v>0</v>
      </c>
      <c r="AF58" s="359"/>
      <c r="AG58" s="1"/>
      <c r="AH58" s="172"/>
      <c r="AI58" s="172">
        <f t="shared" si="24"/>
        <v>0</v>
      </c>
      <c r="AJ58" s="173"/>
      <c r="AL58" s="312">
        <f t="shared" ca="1" si="40"/>
        <v>0</v>
      </c>
      <c r="AM58" s="312" t="e" cm="1">
        <f t="array" ref="AM58">INDEX($BG$8:$BQ$83,ROW()-7,MATCH($G$3,$BG$5:$BQ$5,0))</f>
        <v>#N/A</v>
      </c>
      <c r="AN58" s="313" t="e">
        <f t="shared" ca="1" si="7"/>
        <v>#N/A</v>
      </c>
      <c r="AO58" s="314" t="str">
        <f t="shared" ca="1" si="8"/>
        <v/>
      </c>
      <c r="AP58" s="315"/>
      <c r="AR58" s="278">
        <f t="shared" ca="1" si="9"/>
        <v>0</v>
      </c>
      <c r="AS58" s="1"/>
      <c r="AT58" s="166">
        <v>0</v>
      </c>
      <c r="AU58" s="108">
        <v>0</v>
      </c>
      <c r="AV58" s="108">
        <v>0</v>
      </c>
      <c r="AW58" s="108">
        <v>0</v>
      </c>
      <c r="AX58" s="108">
        <v>0</v>
      </c>
      <c r="AY58" s="108">
        <v>0</v>
      </c>
      <c r="AZ58" s="108">
        <v>0</v>
      </c>
      <c r="BA58" s="289">
        <v>0</v>
      </c>
      <c r="BB58" s="289">
        <v>0</v>
      </c>
      <c r="BC58" s="289">
        <v>0</v>
      </c>
      <c r="BD58" s="289">
        <v>0</v>
      </c>
      <c r="BE58" s="290">
        <v>0</v>
      </c>
      <c r="BF58" s="20"/>
      <c r="BG58" s="275">
        <f t="shared" si="10"/>
        <v>0</v>
      </c>
      <c r="BH58" s="275">
        <f t="shared" si="11"/>
        <v>0</v>
      </c>
      <c r="BI58" s="275">
        <f t="shared" si="12"/>
        <v>0</v>
      </c>
      <c r="BJ58" s="275">
        <f t="shared" si="13"/>
        <v>0</v>
      </c>
      <c r="BK58" s="275">
        <f t="shared" si="14"/>
        <v>0</v>
      </c>
      <c r="BL58" s="275">
        <f t="shared" si="15"/>
        <v>0</v>
      </c>
      <c r="BM58" s="275">
        <f t="shared" si="16"/>
        <v>0</v>
      </c>
      <c r="BN58" s="275">
        <f t="shared" si="17"/>
        <v>0</v>
      </c>
      <c r="BO58" s="275">
        <f t="shared" si="18"/>
        <v>0</v>
      </c>
      <c r="BP58" s="275">
        <f t="shared" si="19"/>
        <v>0</v>
      </c>
      <c r="BQ58" s="281">
        <f t="shared" si="20"/>
        <v>0</v>
      </c>
    </row>
    <row r="59" spans="1:69" s="96" customFormat="1" ht="12.75">
      <c r="A59" s="125" t="s">
        <v>12</v>
      </c>
      <c r="B59" s="126" t="s">
        <v>1</v>
      </c>
      <c r="C59" s="126" t="s">
        <v>12</v>
      </c>
      <c r="D59" s="126" t="s">
        <v>22</v>
      </c>
      <c r="E59" s="126">
        <v>643001</v>
      </c>
      <c r="F59" s="127">
        <v>62771100</v>
      </c>
      <c r="G59" s="128" t="s">
        <v>97</v>
      </c>
      <c r="H59" s="239">
        <v>167388.76</v>
      </c>
      <c r="I59" s="119">
        <f t="shared" ca="1" si="42"/>
        <v>160671.47</v>
      </c>
      <c r="J59" s="120">
        <f t="shared" ca="1" si="42"/>
        <v>0</v>
      </c>
      <c r="K59" s="120">
        <f t="shared" ca="1" si="42"/>
        <v>0</v>
      </c>
      <c r="L59" s="120">
        <f t="shared" ca="1" si="42"/>
        <v>0</v>
      </c>
      <c r="M59" s="120">
        <f t="shared" ca="1" si="42"/>
        <v>0</v>
      </c>
      <c r="N59" s="120">
        <f t="shared" ca="1" si="42"/>
        <v>0</v>
      </c>
      <c r="O59" s="120">
        <f t="shared" ca="1" si="42"/>
        <v>0</v>
      </c>
      <c r="P59" s="120">
        <f t="shared" ca="1" si="42"/>
        <v>0</v>
      </c>
      <c r="Q59" s="120">
        <f t="shared" ca="1" si="42"/>
        <v>0</v>
      </c>
      <c r="R59" s="120">
        <f t="shared" ca="1" si="42"/>
        <v>0</v>
      </c>
      <c r="S59" s="120">
        <f t="shared" ca="1" si="42"/>
        <v>0</v>
      </c>
      <c r="T59" s="120">
        <f t="shared" ca="1" si="42"/>
        <v>0</v>
      </c>
      <c r="U59" s="121" cm="2">
        <f t="array" aca="1" ref="U59" ca="1">INDEX($I59:$T59,$U$2)</f>
        <v>160671.47</v>
      </c>
      <c r="V59" s="235"/>
      <c r="W59" s="235"/>
      <c r="X59" s="239">
        <f t="shared" ca="1" si="6"/>
        <v>160671.47</v>
      </c>
      <c r="Y59" s="52"/>
      <c r="Z59" s="291" cm="1">
        <f t="array" aca="1" ref="Z59" ca="1">IFERROR(U59/OFFSET($H59,,MATCH($G$2,$H$5:$U$5,0)-2,,),"-")</f>
        <v>0.95987012509083636</v>
      </c>
      <c r="AA59" s="230" cm="1">
        <f t="array" aca="1" ref="AA59" ca="1">U59-OFFSET($H59,,MATCH($G$2,$H$5:$U$5,0)-2,,)</f>
        <v>-6717.2900000000081</v>
      </c>
      <c r="AB59" s="230"/>
      <c r="AC59" s="10"/>
      <c r="AD59" s="224" cm="1">
        <f t="array" aca="1" ref="AD59" ca="1">IFERROR(U59/OFFSET($AT59,,MATCH($G$2,$AT$5:$BE$5,0)-1,,),"-")</f>
        <v>0.88009042921880398</v>
      </c>
      <c r="AE59" s="225" cm="1">
        <f t="array" aca="1" ref="AE59" ca="1">U59-OFFSET($AT59,,MATCH($G$2,$AT$5:$BE$5,0)-1,,)</f>
        <v>-21890.985704258783</v>
      </c>
      <c r="AF59" s="358"/>
      <c r="AG59" s="10"/>
      <c r="AH59" s="172" cm="2">
        <f t="array" aca="1" ref="AH59" ca="1">IFERROR(INDEX($I59:$T59,$U$2)/$AH$3,0)</f>
        <v>233.5187211620844</v>
      </c>
      <c r="AI59" s="172">
        <f t="shared" si="24"/>
        <v>217.35313683912784</v>
      </c>
      <c r="AJ59" s="173" cm="1">
        <f t="array" aca="1" ref="AJ59" ca="1">IFERROR(OFFSET($AT59,,MATCH($G$2,$AT$5:$BE$5,0)-1,,)/$AJ$3,"")</f>
        <v>229.51596925546559</v>
      </c>
      <c r="AK59" s="329"/>
      <c r="AL59" s="313">
        <f t="shared" ca="1" si="40"/>
        <v>160671.47</v>
      </c>
      <c r="AM59" s="313" t="e" cm="1">
        <f t="array" ref="AM59">INDEX($BG$8:$BQ$83,ROW()-7,MATCH($G$3,$BG$5:$BQ$5,0))</f>
        <v>#N/A</v>
      </c>
      <c r="AN59" s="313" t="e">
        <f t="shared" ca="1" si="7"/>
        <v>#N/A</v>
      </c>
      <c r="AO59" s="330" t="str">
        <f t="shared" ca="1" si="8"/>
        <v/>
      </c>
      <c r="AP59" s="331"/>
      <c r="AQ59" s="11"/>
      <c r="AR59" s="282">
        <f t="shared" ca="1" si="9"/>
        <v>2214247.7382934606</v>
      </c>
      <c r="AS59" s="10"/>
      <c r="AT59" s="166">
        <v>182562.45570425878</v>
      </c>
      <c r="AU59" s="108">
        <v>137437.16897997048</v>
      </c>
      <c r="AV59" s="108">
        <v>190241.91650829691</v>
      </c>
      <c r="AW59" s="108">
        <v>192961.5140484852</v>
      </c>
      <c r="AX59" s="108">
        <v>189879.75672453729</v>
      </c>
      <c r="AY59" s="108">
        <v>210305.23568004585</v>
      </c>
      <c r="AZ59" s="108">
        <v>233124.61690162588</v>
      </c>
      <c r="BA59" s="294">
        <v>222392.83777521356</v>
      </c>
      <c r="BB59" s="294">
        <v>188225.14932863941</v>
      </c>
      <c r="BC59" s="294">
        <v>221073.70422445677</v>
      </c>
      <c r="BD59" s="294">
        <v>208041.66773241881</v>
      </c>
      <c r="BE59" s="295">
        <v>198673.1846855116</v>
      </c>
      <c r="BF59" s="325"/>
      <c r="BG59" s="277">
        <f t="shared" si="10"/>
        <v>319999.62468422926</v>
      </c>
      <c r="BH59" s="277">
        <f t="shared" si="11"/>
        <v>510241.54119252617</v>
      </c>
      <c r="BI59" s="277">
        <f t="shared" si="12"/>
        <v>703203.05524101132</v>
      </c>
      <c r="BJ59" s="277">
        <f t="shared" si="13"/>
        <v>893082.81196554867</v>
      </c>
      <c r="BK59" s="277">
        <f t="shared" si="14"/>
        <v>1103388.0476455945</v>
      </c>
      <c r="BL59" s="277">
        <f t="shared" si="15"/>
        <v>1336512.6645472203</v>
      </c>
      <c r="BM59" s="277">
        <f t="shared" si="16"/>
        <v>1558905.502322434</v>
      </c>
      <c r="BN59" s="277">
        <f t="shared" si="17"/>
        <v>1747130.6516510735</v>
      </c>
      <c r="BO59" s="277">
        <f t="shared" si="18"/>
        <v>1968204.3558755303</v>
      </c>
      <c r="BP59" s="277">
        <f t="shared" si="19"/>
        <v>2176246.0236079493</v>
      </c>
      <c r="BQ59" s="282">
        <f t="shared" si="20"/>
        <v>2374919.2082934608</v>
      </c>
    </row>
    <row r="60" spans="1:69" s="11" customFormat="1" ht="20.100000000000001" customHeight="1">
      <c r="A60" s="125" t="s">
        <v>12</v>
      </c>
      <c r="B60" s="126" t="s">
        <v>12</v>
      </c>
      <c r="C60" s="126" t="s">
        <v>12</v>
      </c>
      <c r="D60" s="126" t="s">
        <v>22</v>
      </c>
      <c r="E60" s="126">
        <v>644041</v>
      </c>
      <c r="F60" s="127">
        <v>62771200</v>
      </c>
      <c r="G60" s="128" t="s">
        <v>98</v>
      </c>
      <c r="H60" s="239">
        <v>7583.7</v>
      </c>
      <c r="I60" s="119">
        <f t="shared" ca="1" si="42"/>
        <v>6099.119999999999</v>
      </c>
      <c r="J60" s="120">
        <f t="shared" ca="1" si="42"/>
        <v>0</v>
      </c>
      <c r="K60" s="120">
        <f t="shared" ca="1" si="42"/>
        <v>0</v>
      </c>
      <c r="L60" s="120">
        <f t="shared" ca="1" si="42"/>
        <v>0</v>
      </c>
      <c r="M60" s="120">
        <f t="shared" ca="1" si="42"/>
        <v>0</v>
      </c>
      <c r="N60" s="120">
        <f t="shared" ca="1" si="42"/>
        <v>0</v>
      </c>
      <c r="O60" s="120">
        <f t="shared" ca="1" si="42"/>
        <v>0</v>
      </c>
      <c r="P60" s="120">
        <f t="shared" ca="1" si="42"/>
        <v>0</v>
      </c>
      <c r="Q60" s="120">
        <f t="shared" ca="1" si="42"/>
        <v>0</v>
      </c>
      <c r="R60" s="120">
        <f t="shared" ca="1" si="42"/>
        <v>0</v>
      </c>
      <c r="S60" s="120">
        <f t="shared" ca="1" si="42"/>
        <v>0</v>
      </c>
      <c r="T60" s="120">
        <f t="shared" ca="1" si="42"/>
        <v>0</v>
      </c>
      <c r="U60" s="121" cm="2">
        <f t="array" aca="1" ref="U60" ca="1">INDEX($I60:$T60,$U$2)</f>
        <v>6099.119999999999</v>
      </c>
      <c r="V60" s="235"/>
      <c r="W60" s="235"/>
      <c r="X60" s="239">
        <f t="shared" ca="1" si="6"/>
        <v>6099.119999999999</v>
      </c>
      <c r="Y60" s="52"/>
      <c r="Z60" s="291" cm="1">
        <f t="array" aca="1" ref="Z60" ca="1">IFERROR(U60/OFFSET($H60,,MATCH($G$2,$H$5:$U$5,0)-2,,),"-")</f>
        <v>0.80424067407729727</v>
      </c>
      <c r="AA60" s="230" cm="1">
        <f t="array" aca="1" ref="AA60" ca="1">U60-OFFSET($H60,,MATCH($G$2,$H$5:$U$5,0)-2,,)</f>
        <v>-1484.5800000000008</v>
      </c>
      <c r="AB60" s="230"/>
      <c r="AC60" s="10"/>
      <c r="AD60" s="224" cm="1">
        <f t="array" aca="1" ref="AD60" ca="1">IFERROR(U60/OFFSET($AT60,,MATCH($G$2,$AT$5:$BE$5,0)-1,,),"-")</f>
        <v>0.87532382732423886</v>
      </c>
      <c r="AE60" s="225" cm="1">
        <f t="array" aca="1" ref="AE60" ca="1">U60-OFFSET($AT60,,MATCH($G$2,$AT$5:$BE$5,0)-1,,)</f>
        <v>-868.72413905912526</v>
      </c>
      <c r="AF60" s="359"/>
      <c r="AG60" s="1"/>
      <c r="AH60" s="172"/>
      <c r="AI60" s="172"/>
      <c r="AJ60" s="173"/>
      <c r="AK60" s="332"/>
      <c r="AL60" s="312">
        <f t="shared" ca="1" si="40"/>
        <v>6099.119999999999</v>
      </c>
      <c r="AM60" s="312" t="e" cm="1">
        <f t="array" ref="AM60">INDEX($BG$8:$BQ$83,ROW()-7,MATCH($G$3,$BG$5:$BQ$5,0))</f>
        <v>#N/A</v>
      </c>
      <c r="AN60" s="313" t="e">
        <f t="shared" ca="1" si="7"/>
        <v>#N/A</v>
      </c>
      <c r="AO60" s="314" t="str">
        <f t="shared" ca="1" si="8"/>
        <v/>
      </c>
      <c r="AP60" s="315"/>
      <c r="AR60" s="278">
        <f t="shared" ca="1" si="9"/>
        <v>100942.27807232623</v>
      </c>
      <c r="AS60" s="1"/>
      <c r="AT60" s="166">
        <v>6967.8441390591242</v>
      </c>
      <c r="AU60" s="108">
        <v>7287.650288937376</v>
      </c>
      <c r="AV60" s="108">
        <v>7499.8863351048412</v>
      </c>
      <c r="AW60" s="108">
        <v>9284.2154190513465</v>
      </c>
      <c r="AX60" s="108">
        <v>9014.3477795298277</v>
      </c>
      <c r="AY60" s="108">
        <v>9056.030469940446</v>
      </c>
      <c r="AZ60" s="108">
        <v>9657.3864918236086</v>
      </c>
      <c r="BA60" s="289">
        <v>8809.6200047787497</v>
      </c>
      <c r="BB60" s="289">
        <v>9383.3643232190116</v>
      </c>
      <c r="BC60" s="289">
        <v>10240.657638518207</v>
      </c>
      <c r="BD60" s="289">
        <v>9689.6374034241144</v>
      </c>
      <c r="BE60" s="290">
        <v>10150.757778939576</v>
      </c>
      <c r="BF60" s="20"/>
      <c r="BG60" s="275">
        <f t="shared" si="10"/>
        <v>14255.4944279965</v>
      </c>
      <c r="BH60" s="275">
        <f t="shared" si="11"/>
        <v>21755.380763101341</v>
      </c>
      <c r="BI60" s="275">
        <f t="shared" si="12"/>
        <v>31039.596182152687</v>
      </c>
      <c r="BJ60" s="275">
        <f t="shared" si="13"/>
        <v>40053.943961682511</v>
      </c>
      <c r="BK60" s="275">
        <f t="shared" si="14"/>
        <v>49109.974431622955</v>
      </c>
      <c r="BL60" s="275">
        <f t="shared" si="15"/>
        <v>58767.360923446562</v>
      </c>
      <c r="BM60" s="275">
        <f t="shared" si="16"/>
        <v>67576.980928225312</v>
      </c>
      <c r="BN60" s="275">
        <f t="shared" si="17"/>
        <v>76960.34525144432</v>
      </c>
      <c r="BO60" s="275">
        <f t="shared" si="18"/>
        <v>87201.002889962532</v>
      </c>
      <c r="BP60" s="275">
        <f t="shared" si="19"/>
        <v>96890.640293386648</v>
      </c>
      <c r="BQ60" s="281">
        <f t="shared" si="20"/>
        <v>107041.39807232622</v>
      </c>
    </row>
    <row r="61" spans="1:69" s="11" customFormat="1" ht="20.100000000000001" customHeight="1">
      <c r="A61" s="125" t="s">
        <v>12</v>
      </c>
      <c r="B61" s="126" t="s">
        <v>12</v>
      </c>
      <c r="C61" s="126" t="s">
        <v>12</v>
      </c>
      <c r="D61" s="126" t="s">
        <v>22</v>
      </c>
      <c r="E61" s="126">
        <v>665010</v>
      </c>
      <c r="F61" s="127">
        <v>62771300</v>
      </c>
      <c r="G61" s="127" t="s">
        <v>531</v>
      </c>
      <c r="H61" s="239">
        <v>5250.87</v>
      </c>
      <c r="I61" s="119">
        <f t="shared" ca="1" si="42"/>
        <v>3713.1600000000003</v>
      </c>
      <c r="J61" s="120">
        <f t="shared" ca="1" si="42"/>
        <v>0</v>
      </c>
      <c r="K61" s="120">
        <f t="shared" ca="1" si="42"/>
        <v>0</v>
      </c>
      <c r="L61" s="120">
        <f t="shared" ca="1" si="42"/>
        <v>0</v>
      </c>
      <c r="M61" s="120">
        <f t="shared" ca="1" si="42"/>
        <v>0</v>
      </c>
      <c r="N61" s="120">
        <f t="shared" ca="1" si="42"/>
        <v>0</v>
      </c>
      <c r="O61" s="120">
        <f t="shared" ca="1" si="42"/>
        <v>0</v>
      </c>
      <c r="P61" s="120">
        <f t="shared" ca="1" si="42"/>
        <v>0</v>
      </c>
      <c r="Q61" s="120">
        <f t="shared" ca="1" si="42"/>
        <v>0</v>
      </c>
      <c r="R61" s="120">
        <f t="shared" ca="1" si="42"/>
        <v>0</v>
      </c>
      <c r="S61" s="120">
        <f t="shared" ca="1" si="42"/>
        <v>0</v>
      </c>
      <c r="T61" s="120">
        <f t="shared" ca="1" si="42"/>
        <v>0</v>
      </c>
      <c r="U61" s="121" cm="2">
        <f t="array" aca="1" ref="U61" ca="1">INDEX($I61:$T61,$U$2)</f>
        <v>3713.1600000000003</v>
      </c>
      <c r="V61" s="235"/>
      <c r="W61" s="235"/>
      <c r="X61" s="239">
        <f t="shared" ca="1" si="6"/>
        <v>3713.1600000000003</v>
      </c>
      <c r="Y61" s="52"/>
      <c r="Z61" s="291" cm="1">
        <f t="array" aca="1" ref="Z61" ca="1">IFERROR(U61/OFFSET($H61,,MATCH($G$2,$H$5:$U$5,0)-2,,),"-")</f>
        <v>0.70715138634169206</v>
      </c>
      <c r="AA61" s="230" cm="1">
        <f t="array" aca="1" ref="AA61" ca="1">U61-OFFSET($H61,,MATCH($G$2,$H$5:$U$5,0)-2,,)</f>
        <v>-1537.7099999999996</v>
      </c>
      <c r="AB61" s="230"/>
      <c r="AC61" s="10"/>
      <c r="AD61" s="224" cm="1">
        <f t="array" aca="1" ref="AD61" ca="1">IFERROR(U61/OFFSET($AT61,,MATCH($G$2,$AT$5:$BE$5,0)-1,,),"-")</f>
        <v>0.47539603960396049</v>
      </c>
      <c r="AE61" s="225" cm="1">
        <f t="array" aca="1" ref="AE61" ca="1">U61-OFFSET($AT61,,MATCH($G$2,$AT$5:$BE$5,0)-1,,)</f>
        <v>-4097.5066666666662</v>
      </c>
      <c r="AF61" s="359"/>
      <c r="AG61" s="1"/>
      <c r="AH61" s="172"/>
      <c r="AI61" s="172"/>
      <c r="AJ61" s="173"/>
      <c r="AL61" s="312">
        <f t="shared" ca="1" si="40"/>
        <v>3713.1600000000003</v>
      </c>
      <c r="AM61" s="312" t="e" cm="1">
        <f t="array" ref="AM61">INDEX($BG$8:$BQ$83,ROW()-7,MATCH($G$3,$BG$5:$BQ$5,0))</f>
        <v>#N/A</v>
      </c>
      <c r="AN61" s="313" t="e">
        <f t="shared" ca="1" si="7"/>
        <v>#N/A</v>
      </c>
      <c r="AO61" s="314" t="str">
        <f t="shared" ca="1" si="8"/>
        <v/>
      </c>
      <c r="AP61" s="315"/>
      <c r="AR61" s="278">
        <f t="shared" ca="1" si="9"/>
        <v>76548.17333333334</v>
      </c>
      <c r="AS61" s="1"/>
      <c r="AT61" s="166">
        <v>7810.6666666666661</v>
      </c>
      <c r="AU61" s="108">
        <v>5515.6666666666679</v>
      </c>
      <c r="AV61" s="108">
        <v>8610.6666666666661</v>
      </c>
      <c r="AW61" s="108">
        <v>5449</v>
      </c>
      <c r="AX61" s="108">
        <v>6196.5</v>
      </c>
      <c r="AY61" s="108">
        <v>10839.5</v>
      </c>
      <c r="AZ61" s="108">
        <v>5406.1666666666679</v>
      </c>
      <c r="BA61" s="292">
        <v>4915.666666666667</v>
      </c>
      <c r="BB61" s="292">
        <v>5406.1666666666679</v>
      </c>
      <c r="BC61" s="292">
        <v>4839.5</v>
      </c>
      <c r="BD61" s="292">
        <v>5456.1666666666661</v>
      </c>
      <c r="BE61" s="293">
        <v>9815.6666666666661</v>
      </c>
      <c r="BF61" s="317"/>
      <c r="BG61" s="276">
        <f t="shared" si="10"/>
        <v>13326.333333333334</v>
      </c>
      <c r="BH61" s="276">
        <f t="shared" si="11"/>
        <v>21937</v>
      </c>
      <c r="BI61" s="276">
        <f t="shared" si="12"/>
        <v>27386</v>
      </c>
      <c r="BJ61" s="276">
        <f t="shared" si="13"/>
        <v>33582.5</v>
      </c>
      <c r="BK61" s="276">
        <f t="shared" si="14"/>
        <v>44422</v>
      </c>
      <c r="BL61" s="276">
        <f t="shared" si="15"/>
        <v>49828.166666666672</v>
      </c>
      <c r="BM61" s="276">
        <f t="shared" si="16"/>
        <v>54743.833333333336</v>
      </c>
      <c r="BN61" s="276">
        <f t="shared" si="17"/>
        <v>60150</v>
      </c>
      <c r="BO61" s="276">
        <f t="shared" si="18"/>
        <v>64989.5</v>
      </c>
      <c r="BP61" s="276">
        <f t="shared" si="19"/>
        <v>70445.666666666672</v>
      </c>
      <c r="BQ61" s="278">
        <f t="shared" si="20"/>
        <v>80261.333333333343</v>
      </c>
    </row>
    <row r="62" spans="1:69" s="11" customFormat="1" ht="20.100000000000001" customHeight="1">
      <c r="A62" s="125" t="s">
        <v>12</v>
      </c>
      <c r="B62" s="126" t="s">
        <v>12</v>
      </c>
      <c r="C62" s="126" t="s">
        <v>12</v>
      </c>
      <c r="D62" s="126" t="s">
        <v>22</v>
      </c>
      <c r="E62" s="126">
        <v>667001</v>
      </c>
      <c r="F62" s="127">
        <v>62771400</v>
      </c>
      <c r="G62" s="128" t="s">
        <v>532</v>
      </c>
      <c r="H62" s="239">
        <v>1130.3000000000002</v>
      </c>
      <c r="I62" s="119">
        <f t="shared" ca="1" si="42"/>
        <v>1327.53</v>
      </c>
      <c r="J62" s="120">
        <f t="shared" ca="1" si="42"/>
        <v>0</v>
      </c>
      <c r="K62" s="120">
        <f t="shared" ca="1" si="42"/>
        <v>0</v>
      </c>
      <c r="L62" s="120">
        <f t="shared" ca="1" si="42"/>
        <v>0</v>
      </c>
      <c r="M62" s="120">
        <f t="shared" ca="1" si="42"/>
        <v>0</v>
      </c>
      <c r="N62" s="120">
        <f t="shared" ca="1" si="42"/>
        <v>0</v>
      </c>
      <c r="O62" s="120">
        <f t="shared" ca="1" si="42"/>
        <v>0</v>
      </c>
      <c r="P62" s="120">
        <f t="shared" ca="1" si="42"/>
        <v>0</v>
      </c>
      <c r="Q62" s="120">
        <f t="shared" ca="1" si="42"/>
        <v>0</v>
      </c>
      <c r="R62" s="120">
        <f t="shared" ca="1" si="42"/>
        <v>0</v>
      </c>
      <c r="S62" s="120">
        <f t="shared" ca="1" si="42"/>
        <v>0</v>
      </c>
      <c r="T62" s="120">
        <f t="shared" ca="1" si="42"/>
        <v>0</v>
      </c>
      <c r="U62" s="121" cm="2">
        <f t="array" aca="1" ref="U62" ca="1">INDEX($I62:$T62,$U$2)</f>
        <v>1327.53</v>
      </c>
      <c r="V62" s="235"/>
      <c r="W62" s="235"/>
      <c r="X62" s="239">
        <f t="shared" ca="1" si="6"/>
        <v>1327.53</v>
      </c>
      <c r="Y62" s="52"/>
      <c r="Z62" s="291" cm="1">
        <f t="array" aca="1" ref="Z62" ca="1">IFERROR(U62/OFFSET($H62,,MATCH($G$2,$H$5:$U$5,0)-2,,),"-")</f>
        <v>1.1744934973016012</v>
      </c>
      <c r="AA62" s="230" cm="1">
        <f t="array" aca="1" ref="AA62" ca="1">U62-OFFSET($H62,,MATCH($G$2,$H$5:$U$5,0)-2,,)</f>
        <v>197.22999999999979</v>
      </c>
      <c r="AB62" s="230"/>
      <c r="AC62" s="10"/>
      <c r="AD62" s="224" cm="1">
        <f t="array" aca="1" ref="AD62" ca="1">IFERROR(U62/OFFSET($AT62,,MATCH($G$2,$AT$5:$BE$5,0)-1,,),"-")</f>
        <v>0.76076217765042986</v>
      </c>
      <c r="AE62" s="225" cm="1">
        <f t="array" aca="1" ref="AE62" ca="1">U62-OFFSET($AT62,,MATCH($G$2,$AT$5:$BE$5,0)-1,,)</f>
        <v>-417.4699999999998</v>
      </c>
      <c r="AF62" s="359"/>
      <c r="AG62" s="1"/>
      <c r="AH62" s="172"/>
      <c r="AI62" s="172"/>
      <c r="AJ62" s="173"/>
      <c r="AK62" s="12"/>
      <c r="AL62" s="312">
        <f t="shared" ca="1" si="40"/>
        <v>1327.53</v>
      </c>
      <c r="AM62" s="312" t="e" cm="1">
        <f t="array" ref="AM62">INDEX($BG$8:$BQ$83,ROW()-7,MATCH($G$3,$BG$5:$BQ$5,0))</f>
        <v>#N/A</v>
      </c>
      <c r="AN62" s="313" t="e">
        <f t="shared" ca="1" si="7"/>
        <v>#N/A</v>
      </c>
      <c r="AO62" s="314" t="str">
        <f t="shared" ca="1" si="8"/>
        <v/>
      </c>
      <c r="AP62" s="321"/>
      <c r="AR62" s="278">
        <f t="shared" ca="1" si="9"/>
        <v>17932.47</v>
      </c>
      <c r="AS62" s="1"/>
      <c r="AT62" s="166">
        <v>1744.9999999999998</v>
      </c>
      <c r="AU62" s="108">
        <v>1510</v>
      </c>
      <c r="AV62" s="108">
        <v>1555</v>
      </c>
      <c r="AW62" s="108">
        <v>1764.9999999999998</v>
      </c>
      <c r="AX62" s="108">
        <v>1510</v>
      </c>
      <c r="AY62" s="108">
        <v>1555</v>
      </c>
      <c r="AZ62" s="108">
        <v>1744.9999999999998</v>
      </c>
      <c r="BA62" s="289">
        <v>1510</v>
      </c>
      <c r="BB62" s="289">
        <v>1555</v>
      </c>
      <c r="BC62" s="289">
        <v>1744.9999999999998</v>
      </c>
      <c r="BD62" s="289">
        <v>1510</v>
      </c>
      <c r="BE62" s="290">
        <v>1555</v>
      </c>
      <c r="BF62" s="20"/>
      <c r="BG62" s="275">
        <f t="shared" si="10"/>
        <v>3255</v>
      </c>
      <c r="BH62" s="275">
        <f t="shared" si="11"/>
        <v>4810</v>
      </c>
      <c r="BI62" s="275">
        <f t="shared" si="12"/>
        <v>6575</v>
      </c>
      <c r="BJ62" s="275">
        <f t="shared" si="13"/>
        <v>8085</v>
      </c>
      <c r="BK62" s="275">
        <f t="shared" si="14"/>
        <v>9640</v>
      </c>
      <c r="BL62" s="275">
        <f t="shared" si="15"/>
        <v>11385</v>
      </c>
      <c r="BM62" s="275">
        <f t="shared" si="16"/>
        <v>12895</v>
      </c>
      <c r="BN62" s="275">
        <f t="shared" si="17"/>
        <v>14450</v>
      </c>
      <c r="BO62" s="275">
        <f t="shared" si="18"/>
        <v>16195</v>
      </c>
      <c r="BP62" s="275">
        <f t="shared" si="19"/>
        <v>17705</v>
      </c>
      <c r="BQ62" s="281">
        <f t="shared" si="20"/>
        <v>19260</v>
      </c>
    </row>
    <row r="63" spans="1:69" s="11" customFormat="1" ht="20.100000000000001" customHeight="1">
      <c r="A63" s="125" t="s">
        <v>12</v>
      </c>
      <c r="B63" s="126" t="s">
        <v>12</v>
      </c>
      <c r="C63" s="126" t="s">
        <v>12</v>
      </c>
      <c r="D63" s="126" t="s">
        <v>22</v>
      </c>
      <c r="E63" s="126">
        <v>668000</v>
      </c>
      <c r="F63" s="127">
        <v>62772200</v>
      </c>
      <c r="G63" s="128" t="s">
        <v>104</v>
      </c>
      <c r="H63" s="239">
        <v>166365.83000000002</v>
      </c>
      <c r="I63" s="119">
        <f t="shared" ca="1" si="42"/>
        <v>45184.34</v>
      </c>
      <c r="J63" s="120">
        <f t="shared" ca="1" si="42"/>
        <v>0</v>
      </c>
      <c r="K63" s="120">
        <f t="shared" ca="1" si="42"/>
        <v>0</v>
      </c>
      <c r="L63" s="120">
        <f t="shared" ca="1" si="42"/>
        <v>0</v>
      </c>
      <c r="M63" s="120">
        <f t="shared" ca="1" si="42"/>
        <v>0</v>
      </c>
      <c r="N63" s="120">
        <f t="shared" ca="1" si="42"/>
        <v>0</v>
      </c>
      <c r="O63" s="120">
        <f t="shared" ca="1" si="42"/>
        <v>0</v>
      </c>
      <c r="P63" s="120">
        <f t="shared" ca="1" si="42"/>
        <v>0</v>
      </c>
      <c r="Q63" s="120">
        <f t="shared" ca="1" si="42"/>
        <v>0</v>
      </c>
      <c r="R63" s="120">
        <f t="shared" ca="1" si="42"/>
        <v>0</v>
      </c>
      <c r="S63" s="120">
        <f t="shared" ca="1" si="42"/>
        <v>0</v>
      </c>
      <c r="T63" s="120">
        <f t="shared" ca="1" si="42"/>
        <v>0</v>
      </c>
      <c r="U63" s="121" cm="2">
        <f t="array" aca="1" ref="U63" ca="1">INDEX($I63:$T63,$U$2)</f>
        <v>45184.34</v>
      </c>
      <c r="V63" s="235"/>
      <c r="W63" s="235"/>
      <c r="X63" s="239">
        <f t="shared" ca="1" si="6"/>
        <v>45184.34</v>
      </c>
      <c r="Y63" s="52"/>
      <c r="Z63" s="291" cm="1">
        <f t="array" aca="1" ref="Z63" ca="1">IFERROR(U63/OFFSET($H63,,MATCH($G$2,$H$5:$U$5,0)-2,,),"-")</f>
        <v>0.27159627671138953</v>
      </c>
      <c r="AA63" s="230" cm="1">
        <f t="array" aca="1" ref="AA63" ca="1">U63-OFFSET($H63,,MATCH($G$2,$H$5:$U$5,0)-2,,)</f>
        <v>-121181.49000000002</v>
      </c>
      <c r="AB63" s="230"/>
      <c r="AC63" s="10"/>
      <c r="AD63" s="224" cm="1">
        <f t="array" aca="1" ref="AD63" ca="1">IFERROR(U63/OFFSET($AT63,,MATCH($G$2,$AT$5:$BE$5,0)-1,,),"-")</f>
        <v>4.111404913557779</v>
      </c>
      <c r="AE63" s="225" cm="1">
        <f t="array" aca="1" ref="AE63" ca="1">U63-OFFSET($AT63,,MATCH($G$2,$AT$5:$BE$5,0)-1,,)</f>
        <v>34194.339999999997</v>
      </c>
      <c r="AF63" s="358" t="s">
        <v>1865</v>
      </c>
      <c r="AG63" s="1"/>
      <c r="AH63" s="172"/>
      <c r="AI63" s="172"/>
      <c r="AJ63" s="173"/>
      <c r="AL63" s="312">
        <f t="shared" ca="1" si="40"/>
        <v>45184.34</v>
      </c>
      <c r="AM63" s="312" t="e" cm="1">
        <f t="array" ref="AM63">INDEX($BG$8:$BQ$83,ROW()-7,MATCH($G$3,$BG$5:$BQ$5,0))</f>
        <v>#N/A</v>
      </c>
      <c r="AN63" s="313" t="e">
        <f t="shared" ca="1" si="7"/>
        <v>#N/A</v>
      </c>
      <c r="AO63" s="314" t="str">
        <f t="shared" ca="1" si="8"/>
        <v/>
      </c>
      <c r="AP63" s="315"/>
      <c r="AR63" s="278">
        <f t="shared" ca="1" si="9"/>
        <v>344645.66000000003</v>
      </c>
      <c r="AS63" s="1"/>
      <c r="AT63" s="166">
        <v>10990</v>
      </c>
      <c r="AU63" s="108">
        <v>2990</v>
      </c>
      <c r="AV63" s="108">
        <v>8740</v>
      </c>
      <c r="AW63" s="108">
        <v>2990</v>
      </c>
      <c r="AX63" s="108">
        <v>2990</v>
      </c>
      <c r="AY63" s="108">
        <v>4590</v>
      </c>
      <c r="AZ63" s="108">
        <v>10190</v>
      </c>
      <c r="BA63" s="292">
        <v>2990</v>
      </c>
      <c r="BB63" s="292">
        <v>2990</v>
      </c>
      <c r="BC63" s="292">
        <v>2990</v>
      </c>
      <c r="BD63" s="292">
        <v>2990</v>
      </c>
      <c r="BE63" s="293">
        <v>334390.00000000006</v>
      </c>
      <c r="BF63" s="317"/>
      <c r="BG63" s="276">
        <f t="shared" si="10"/>
        <v>13980</v>
      </c>
      <c r="BH63" s="276">
        <f t="shared" si="11"/>
        <v>22720</v>
      </c>
      <c r="BI63" s="276">
        <f t="shared" si="12"/>
        <v>25710</v>
      </c>
      <c r="BJ63" s="276">
        <f t="shared" si="13"/>
        <v>28700</v>
      </c>
      <c r="BK63" s="276">
        <f t="shared" si="14"/>
        <v>33290</v>
      </c>
      <c r="BL63" s="276">
        <f t="shared" si="15"/>
        <v>43480</v>
      </c>
      <c r="BM63" s="276">
        <f t="shared" si="16"/>
        <v>46470</v>
      </c>
      <c r="BN63" s="276">
        <f t="shared" si="17"/>
        <v>49460</v>
      </c>
      <c r="BO63" s="276">
        <f t="shared" si="18"/>
        <v>52450</v>
      </c>
      <c r="BP63" s="276">
        <f t="shared" si="19"/>
        <v>55440</v>
      </c>
      <c r="BQ63" s="278">
        <f t="shared" si="20"/>
        <v>389830.00000000006</v>
      </c>
    </row>
    <row r="64" spans="1:69" s="11" customFormat="1" ht="20.100000000000001" customHeight="1">
      <c r="A64" s="125" t="s">
        <v>12</v>
      </c>
      <c r="B64" s="126" t="s">
        <v>12</v>
      </c>
      <c r="C64" s="126" t="s">
        <v>12</v>
      </c>
      <c r="D64" s="126" t="s">
        <v>22</v>
      </c>
      <c r="E64" s="126">
        <v>628001</v>
      </c>
      <c r="F64" s="127">
        <v>62772300</v>
      </c>
      <c r="G64" s="128" t="s">
        <v>94</v>
      </c>
      <c r="H64" s="239">
        <v>0</v>
      </c>
      <c r="I64" s="119">
        <f t="shared" ca="1" si="42"/>
        <v>0</v>
      </c>
      <c r="J64" s="120">
        <f t="shared" ca="1" si="42"/>
        <v>0</v>
      </c>
      <c r="K64" s="120">
        <f t="shared" ca="1" si="42"/>
        <v>0</v>
      </c>
      <c r="L64" s="120">
        <f t="shared" ca="1" si="42"/>
        <v>0</v>
      </c>
      <c r="M64" s="120">
        <f t="shared" ca="1" si="42"/>
        <v>0</v>
      </c>
      <c r="N64" s="120">
        <f t="shared" ca="1" si="42"/>
        <v>0</v>
      </c>
      <c r="O64" s="120">
        <f t="shared" ca="1" si="42"/>
        <v>0</v>
      </c>
      <c r="P64" s="120">
        <f t="shared" ca="1" si="42"/>
        <v>0</v>
      </c>
      <c r="Q64" s="120">
        <f t="shared" ca="1" si="42"/>
        <v>0</v>
      </c>
      <c r="R64" s="120">
        <f t="shared" ca="1" si="42"/>
        <v>0</v>
      </c>
      <c r="S64" s="120">
        <f t="shared" ca="1" si="42"/>
        <v>0</v>
      </c>
      <c r="T64" s="120">
        <f t="shared" ca="1" si="42"/>
        <v>0</v>
      </c>
      <c r="U64" s="121" cm="2">
        <f t="array" aca="1" ref="U64" ca="1">INDEX($I64:$T64,$U$2)</f>
        <v>0</v>
      </c>
      <c r="V64" s="235"/>
      <c r="W64" s="235"/>
      <c r="X64" s="239">
        <f t="shared" ca="1" si="6"/>
        <v>0</v>
      </c>
      <c r="Y64" s="52"/>
      <c r="Z64" s="291" t="str" cm="1">
        <f t="array" aca="1" ref="Z64" ca="1">IFERROR(U64/OFFSET($H64,,MATCH($G$2,$H$5:$U$5,0)-2,,),"-")</f>
        <v>-</v>
      </c>
      <c r="AA64" s="230" cm="1">
        <f t="array" aca="1" ref="AA64" ca="1">U64-OFFSET($H64,,MATCH($G$2,$H$5:$U$5,0)-2,,)</f>
        <v>0</v>
      </c>
      <c r="AB64" s="230"/>
      <c r="AC64" s="10"/>
      <c r="AD64" s="224" cm="1">
        <f t="array" aca="1" ref="AD64" ca="1">IFERROR(U64/OFFSET($AT64,,MATCH($G$2,$AT$5:$BE$5,0)-1,,),"-")</f>
        <v>0</v>
      </c>
      <c r="AE64" s="225" cm="1">
        <f t="array" aca="1" ref="AE64" ca="1">U64-OFFSET($AT64,,MATCH($G$2,$AT$5:$BE$5,0)-1,,)</f>
        <v>-387.5</v>
      </c>
      <c r="AF64" s="359"/>
      <c r="AG64" s="1"/>
      <c r="AH64" s="172"/>
      <c r="AI64" s="172"/>
      <c r="AJ64" s="173"/>
      <c r="AL64" s="312">
        <f t="shared" ca="1" si="40"/>
        <v>0</v>
      </c>
      <c r="AM64" s="312" t="e" cm="1">
        <f t="array" ref="AM64">INDEX($BG$8:$BQ$83,ROW()-7,MATCH($G$3,$BG$5:$BQ$5,0))</f>
        <v>#N/A</v>
      </c>
      <c r="AN64" s="313" t="e">
        <f t="shared" ca="1" si="7"/>
        <v>#N/A</v>
      </c>
      <c r="AO64" s="314" t="str">
        <f t="shared" ca="1" si="8"/>
        <v/>
      </c>
      <c r="AP64" s="315"/>
      <c r="AR64" s="278">
        <f t="shared" ca="1" si="9"/>
        <v>57950</v>
      </c>
      <c r="AS64" s="1"/>
      <c r="AT64" s="166">
        <v>387.5</v>
      </c>
      <c r="AU64" s="108">
        <v>0</v>
      </c>
      <c r="AV64" s="108">
        <v>15000</v>
      </c>
      <c r="AW64" s="108">
        <v>0</v>
      </c>
      <c r="AX64" s="108">
        <v>10000</v>
      </c>
      <c r="AY64" s="108">
        <v>0</v>
      </c>
      <c r="AZ64" s="108">
        <v>0</v>
      </c>
      <c r="BA64" s="289">
        <v>0</v>
      </c>
      <c r="BB64" s="289">
        <v>22500</v>
      </c>
      <c r="BC64" s="289">
        <v>10000</v>
      </c>
      <c r="BD64" s="289">
        <v>0</v>
      </c>
      <c r="BE64" s="290">
        <v>62.5</v>
      </c>
      <c r="BF64" s="20"/>
      <c r="BG64" s="275">
        <f t="shared" si="10"/>
        <v>387.5</v>
      </c>
      <c r="BH64" s="275">
        <f t="shared" si="11"/>
        <v>15387.5</v>
      </c>
      <c r="BI64" s="275">
        <f t="shared" si="12"/>
        <v>15387.5</v>
      </c>
      <c r="BJ64" s="275">
        <f t="shared" si="13"/>
        <v>25387.5</v>
      </c>
      <c r="BK64" s="275">
        <f t="shared" si="14"/>
        <v>25387.5</v>
      </c>
      <c r="BL64" s="275">
        <f t="shared" si="15"/>
        <v>25387.5</v>
      </c>
      <c r="BM64" s="275">
        <f t="shared" si="16"/>
        <v>25387.5</v>
      </c>
      <c r="BN64" s="275">
        <f t="shared" si="17"/>
        <v>47887.5</v>
      </c>
      <c r="BO64" s="275">
        <f t="shared" si="18"/>
        <v>57887.5</v>
      </c>
      <c r="BP64" s="275">
        <f t="shared" si="19"/>
        <v>57887.5</v>
      </c>
      <c r="BQ64" s="281">
        <f t="shared" si="20"/>
        <v>57950</v>
      </c>
    </row>
    <row r="65" spans="1:69" s="11" customFormat="1" ht="12.75">
      <c r="A65" s="125" t="s">
        <v>12</v>
      </c>
      <c r="B65" s="126" t="s">
        <v>12</v>
      </c>
      <c r="C65" s="126" t="s">
        <v>12</v>
      </c>
      <c r="D65" s="126" t="s">
        <v>22</v>
      </c>
      <c r="E65" s="126">
        <v>630303</v>
      </c>
      <c r="F65" s="127">
        <v>62772400</v>
      </c>
      <c r="G65" s="128" t="s">
        <v>533</v>
      </c>
      <c r="H65" s="239">
        <v>12033.3</v>
      </c>
      <c r="I65" s="119">
        <f t="shared" ca="1" si="42"/>
        <v>11982.19</v>
      </c>
      <c r="J65" s="120">
        <f t="shared" ca="1" si="42"/>
        <v>0</v>
      </c>
      <c r="K65" s="120">
        <f t="shared" ca="1" si="42"/>
        <v>0</v>
      </c>
      <c r="L65" s="120">
        <f t="shared" ca="1" si="42"/>
        <v>0</v>
      </c>
      <c r="M65" s="120">
        <f t="shared" ca="1" si="42"/>
        <v>0</v>
      </c>
      <c r="N65" s="120">
        <f t="shared" ca="1" si="42"/>
        <v>0</v>
      </c>
      <c r="O65" s="120">
        <f t="shared" ca="1" si="42"/>
        <v>0</v>
      </c>
      <c r="P65" s="120">
        <f t="shared" ca="1" si="42"/>
        <v>0</v>
      </c>
      <c r="Q65" s="120">
        <f t="shared" ca="1" si="42"/>
        <v>0</v>
      </c>
      <c r="R65" s="120">
        <f t="shared" ca="1" si="42"/>
        <v>0</v>
      </c>
      <c r="S65" s="120">
        <f t="shared" ca="1" si="42"/>
        <v>0</v>
      </c>
      <c r="T65" s="120">
        <f t="shared" ca="1" si="42"/>
        <v>0</v>
      </c>
      <c r="U65" s="121" cm="2">
        <f t="array" aca="1" ref="U65" ca="1">INDEX($I65:$T65,$U$2)</f>
        <v>11982.19</v>
      </c>
      <c r="V65" s="235"/>
      <c r="W65" s="235"/>
      <c r="X65" s="239">
        <f t="shared" ca="1" si="6"/>
        <v>11982.19</v>
      </c>
      <c r="Y65" s="52"/>
      <c r="Z65" s="291" cm="1">
        <f t="array" aca="1" ref="Z65" ca="1">IFERROR(U65/OFFSET($H65,,MATCH($G$2,$H$5:$U$5,0)-2,,),"-")</f>
        <v>0.99575261981335139</v>
      </c>
      <c r="AA65" s="230" cm="1">
        <f t="array" aca="1" ref="AA65" ca="1">U65-OFFSET($H65,,MATCH($G$2,$H$5:$U$5,0)-2,,)</f>
        <v>-51.109999999998763</v>
      </c>
      <c r="AB65" s="230"/>
      <c r="AC65" s="10"/>
      <c r="AD65" s="224" cm="1">
        <f t="array" aca="1" ref="AD65" ca="1">IFERROR(U65/OFFSET($AT65,,MATCH($G$2,$AT$5:$BE$5,0)-1,,),"-")</f>
        <v>1.0127016444827586</v>
      </c>
      <c r="AE65" s="225" cm="1">
        <f t="array" aca="1" ref="AE65" ca="1">U65-OFFSET($AT65,,MATCH($G$2,$AT$5:$BE$5,0)-1,,)</f>
        <v>150.28465524275816</v>
      </c>
      <c r="AF65" s="358"/>
      <c r="AG65" s="1"/>
      <c r="AH65" s="172"/>
      <c r="AI65" s="172"/>
      <c r="AJ65" s="173"/>
      <c r="AL65" s="312">
        <f t="shared" ca="1" si="40"/>
        <v>11982.19</v>
      </c>
      <c r="AM65" s="312" t="e" cm="1">
        <f t="array" ref="AM65">INDEX($BG$8:$BQ$83,ROW()-7,MATCH($G$3,$BG$5:$BQ$5,0))</f>
        <v>#N/A</v>
      </c>
      <c r="AN65" s="313" t="e">
        <f t="shared" ca="1" si="7"/>
        <v>#N/A</v>
      </c>
      <c r="AO65" s="314" t="str">
        <f t="shared" ca="1" si="8"/>
        <v/>
      </c>
      <c r="AP65" s="315"/>
      <c r="AR65" s="278">
        <f t="shared" ca="1" si="9"/>
        <v>136566.43019179479</v>
      </c>
      <c r="AS65" s="1"/>
      <c r="AT65" s="166">
        <v>11831.905344757242</v>
      </c>
      <c r="AU65" s="108">
        <v>11831.905344757242</v>
      </c>
      <c r="AV65" s="108">
        <v>11831.905344757242</v>
      </c>
      <c r="AW65" s="108">
        <v>11831.905344757242</v>
      </c>
      <c r="AX65" s="108">
        <v>11831.905344757242</v>
      </c>
      <c r="AY65" s="108">
        <v>13375.303788535188</v>
      </c>
      <c r="AZ65" s="108">
        <v>12672.497718930596</v>
      </c>
      <c r="BA65" s="292">
        <v>11831.905344757242</v>
      </c>
      <c r="BB65" s="292">
        <v>12900.231293636993</v>
      </c>
      <c r="BC65" s="292">
        <v>12669.308806813093</v>
      </c>
      <c r="BD65" s="292">
        <v>12782.662185322206</v>
      </c>
      <c r="BE65" s="293">
        <v>13157.184330013253</v>
      </c>
      <c r="BF65" s="317"/>
      <c r="BG65" s="276">
        <f t="shared" si="10"/>
        <v>23663.810689514485</v>
      </c>
      <c r="BH65" s="276">
        <f t="shared" si="11"/>
        <v>35495.716034271725</v>
      </c>
      <c r="BI65" s="276">
        <f t="shared" si="12"/>
        <v>47327.621379028969</v>
      </c>
      <c r="BJ65" s="276">
        <f t="shared" si="13"/>
        <v>59159.526723786214</v>
      </c>
      <c r="BK65" s="276">
        <f t="shared" si="14"/>
        <v>72534.830512321409</v>
      </c>
      <c r="BL65" s="276">
        <f t="shared" si="15"/>
        <v>85207.328231252002</v>
      </c>
      <c r="BM65" s="276">
        <f t="shared" si="16"/>
        <v>97039.233576009239</v>
      </c>
      <c r="BN65" s="276">
        <f t="shared" si="17"/>
        <v>109939.46486964624</v>
      </c>
      <c r="BO65" s="276">
        <f t="shared" si="18"/>
        <v>122608.77367645933</v>
      </c>
      <c r="BP65" s="276">
        <f t="shared" si="19"/>
        <v>135391.43586178153</v>
      </c>
      <c r="BQ65" s="278">
        <f t="shared" si="20"/>
        <v>148548.62019179479</v>
      </c>
    </row>
    <row r="66" spans="1:69" s="11" customFormat="1" ht="20.100000000000001" customHeight="1">
      <c r="A66" s="125" t="s">
        <v>12</v>
      </c>
      <c r="B66" s="126" t="s">
        <v>12</v>
      </c>
      <c r="C66" s="126" t="s">
        <v>12</v>
      </c>
      <c r="D66" s="126" t="s">
        <v>22</v>
      </c>
      <c r="E66" s="126">
        <v>666000</v>
      </c>
      <c r="F66" s="127">
        <v>62773000</v>
      </c>
      <c r="G66" s="128" t="s">
        <v>534</v>
      </c>
      <c r="H66" s="239">
        <v>8110.13</v>
      </c>
      <c r="I66" s="119">
        <f t="shared" ca="1" si="42"/>
        <v>0</v>
      </c>
      <c r="J66" s="120">
        <f t="shared" ca="1" si="42"/>
        <v>0</v>
      </c>
      <c r="K66" s="120">
        <f t="shared" ca="1" si="42"/>
        <v>0</v>
      </c>
      <c r="L66" s="120">
        <f t="shared" ca="1" si="42"/>
        <v>0</v>
      </c>
      <c r="M66" s="120">
        <f t="shared" ca="1" si="42"/>
        <v>0</v>
      </c>
      <c r="N66" s="120">
        <f t="shared" ca="1" si="42"/>
        <v>0</v>
      </c>
      <c r="O66" s="120">
        <f t="shared" ca="1" si="42"/>
        <v>0</v>
      </c>
      <c r="P66" s="120">
        <f t="shared" ca="1" si="42"/>
        <v>0</v>
      </c>
      <c r="Q66" s="120">
        <f t="shared" ca="1" si="42"/>
        <v>0</v>
      </c>
      <c r="R66" s="120">
        <f t="shared" ca="1" si="42"/>
        <v>0</v>
      </c>
      <c r="S66" s="120">
        <f t="shared" ca="1" si="42"/>
        <v>0</v>
      </c>
      <c r="T66" s="120">
        <f t="shared" ca="1" si="42"/>
        <v>0</v>
      </c>
      <c r="U66" s="121" cm="2">
        <f t="array" aca="1" ref="U66" ca="1">INDEX($I66:$T66,$U$2)</f>
        <v>0</v>
      </c>
      <c r="V66" s="235"/>
      <c r="W66" s="235"/>
      <c r="X66" s="239">
        <f t="shared" ca="1" si="6"/>
        <v>0</v>
      </c>
      <c r="Y66" s="52"/>
      <c r="Z66" s="291" cm="1">
        <f t="array" aca="1" ref="Z66" ca="1">IFERROR(U66/OFFSET($H66,,MATCH($G$2,$H$5:$U$5,0)-2,,),"-")</f>
        <v>0</v>
      </c>
      <c r="AA66" s="230" cm="1">
        <f t="array" aca="1" ref="AA66" ca="1">U66-OFFSET($H66,,MATCH($G$2,$H$5:$U$5,0)-2,,)</f>
        <v>-8110.13</v>
      </c>
      <c r="AB66" s="230"/>
      <c r="AC66" s="10"/>
      <c r="AD66" s="224" cm="1">
        <f t="array" aca="1" ref="AD66" ca="1">IFERROR(U66/OFFSET($AT66,,MATCH($G$2,$AT$5:$BE$5,0)-1,,),"-")</f>
        <v>0</v>
      </c>
      <c r="AE66" s="225" cm="1">
        <f t="array" aca="1" ref="AE66" ca="1">U66-OFFSET($AT66,,MATCH($G$2,$AT$5:$BE$5,0)-1,,)</f>
        <v>-2000</v>
      </c>
      <c r="AF66" s="358"/>
      <c r="AG66" s="1"/>
      <c r="AH66" s="172"/>
      <c r="AI66" s="172"/>
      <c r="AJ66" s="173"/>
      <c r="AL66" s="312">
        <f t="shared" ca="1" si="40"/>
        <v>0</v>
      </c>
      <c r="AM66" s="312" t="e" cm="1">
        <f t="array" ref="AM66">INDEX($BG$8:$BQ$83,ROW()-7,MATCH($G$3,$BG$5:$BQ$5,0))</f>
        <v>#N/A</v>
      </c>
      <c r="AN66" s="313" t="e">
        <f t="shared" ca="1" si="7"/>
        <v>#N/A</v>
      </c>
      <c r="AO66" s="314" t="str">
        <f t="shared" ca="1" si="8"/>
        <v/>
      </c>
      <c r="AP66" s="315"/>
      <c r="AR66" s="278">
        <f t="shared" ca="1" si="9"/>
        <v>256900</v>
      </c>
      <c r="AS66" s="1"/>
      <c r="AT66" s="166">
        <v>2000</v>
      </c>
      <c r="AU66" s="108">
        <v>2000</v>
      </c>
      <c r="AV66" s="108">
        <v>2000</v>
      </c>
      <c r="AW66" s="108">
        <v>2000</v>
      </c>
      <c r="AX66" s="108">
        <v>2000</v>
      </c>
      <c r="AY66" s="108">
        <v>54600</v>
      </c>
      <c r="AZ66" s="108">
        <v>2000</v>
      </c>
      <c r="BA66" s="289">
        <v>2000</v>
      </c>
      <c r="BB66" s="289">
        <v>2000</v>
      </c>
      <c r="BC66" s="289">
        <v>2000</v>
      </c>
      <c r="BD66" s="289">
        <v>2000</v>
      </c>
      <c r="BE66" s="290">
        <v>182300</v>
      </c>
      <c r="BF66" s="20"/>
      <c r="BG66" s="275">
        <f t="shared" si="10"/>
        <v>4000</v>
      </c>
      <c r="BH66" s="275">
        <f t="shared" si="11"/>
        <v>6000</v>
      </c>
      <c r="BI66" s="275">
        <f t="shared" si="12"/>
        <v>8000</v>
      </c>
      <c r="BJ66" s="275">
        <f t="shared" si="13"/>
        <v>10000</v>
      </c>
      <c r="BK66" s="275">
        <f t="shared" si="14"/>
        <v>64600</v>
      </c>
      <c r="BL66" s="275">
        <f t="shared" si="15"/>
        <v>66600</v>
      </c>
      <c r="BM66" s="275">
        <f t="shared" si="16"/>
        <v>68600</v>
      </c>
      <c r="BN66" s="275">
        <f t="shared" si="17"/>
        <v>70600</v>
      </c>
      <c r="BO66" s="275">
        <f t="shared" si="18"/>
        <v>72600</v>
      </c>
      <c r="BP66" s="275">
        <f t="shared" si="19"/>
        <v>74600</v>
      </c>
      <c r="BQ66" s="281">
        <f t="shared" si="20"/>
        <v>256900</v>
      </c>
    </row>
    <row r="67" spans="1:69" s="11" customFormat="1" ht="20.100000000000001" customHeight="1">
      <c r="A67" s="125" t="s">
        <v>12</v>
      </c>
      <c r="B67" s="126" t="s">
        <v>12</v>
      </c>
      <c r="C67" s="126" t="s">
        <v>12</v>
      </c>
      <c r="D67" s="126" t="s">
        <v>22</v>
      </c>
      <c r="E67" s="126">
        <v>630901</v>
      </c>
      <c r="F67" s="127">
        <v>62779900</v>
      </c>
      <c r="G67" s="128" t="s">
        <v>535</v>
      </c>
      <c r="H67" s="239">
        <v>1036.9100000000001</v>
      </c>
      <c r="I67" s="119">
        <f t="shared" ca="1" si="42"/>
        <v>232.63</v>
      </c>
      <c r="J67" s="120">
        <f t="shared" ca="1" si="42"/>
        <v>0</v>
      </c>
      <c r="K67" s="120">
        <f t="shared" ca="1" si="42"/>
        <v>0</v>
      </c>
      <c r="L67" s="120">
        <f t="shared" ca="1" si="42"/>
        <v>0</v>
      </c>
      <c r="M67" s="120">
        <f t="shared" ca="1" si="42"/>
        <v>0</v>
      </c>
      <c r="N67" s="120">
        <f t="shared" ca="1" si="42"/>
        <v>0</v>
      </c>
      <c r="O67" s="120">
        <f t="shared" ca="1" si="42"/>
        <v>0</v>
      </c>
      <c r="P67" s="120">
        <f t="shared" ca="1" si="42"/>
        <v>0</v>
      </c>
      <c r="Q67" s="120">
        <f t="shared" ca="1" si="42"/>
        <v>0</v>
      </c>
      <c r="R67" s="120">
        <f t="shared" ca="1" si="42"/>
        <v>0</v>
      </c>
      <c r="S67" s="120">
        <f t="shared" ca="1" si="42"/>
        <v>0</v>
      </c>
      <c r="T67" s="120">
        <f t="shared" ca="1" si="42"/>
        <v>0</v>
      </c>
      <c r="U67" s="121" cm="2">
        <f t="array" aca="1" ref="U67" ca="1">INDEX($I67:$T67,$U$2)</f>
        <v>232.63</v>
      </c>
      <c r="V67" s="235"/>
      <c r="W67" s="235"/>
      <c r="X67" s="239">
        <f t="shared" ca="1" si="6"/>
        <v>232.63</v>
      </c>
      <c r="Y67" s="52"/>
      <c r="Z67" s="291" cm="1">
        <f t="array" aca="1" ref="Z67" ca="1">IFERROR(U67/OFFSET($H67,,MATCH($G$2,$H$5:$U$5,0)-2,,),"-")</f>
        <v>0.2243492684996769</v>
      </c>
      <c r="AA67" s="230" cm="1">
        <f t="array" aca="1" ref="AA67" ca="1">U67-OFFSET($H67,,MATCH($G$2,$H$5:$U$5,0)-2,,)</f>
        <v>-804.28000000000009</v>
      </c>
      <c r="AB67" s="230"/>
      <c r="AC67" s="10"/>
      <c r="AD67" s="224" cm="1">
        <f t="array" aca="1" ref="AD67" ca="1">IFERROR(U67/OFFSET($AT67,,MATCH($G$2,$AT$5:$BE$5,0)-1,,),"-")</f>
        <v>0.23135842076271185</v>
      </c>
      <c r="AE67" s="225" cm="1">
        <f t="array" aca="1" ref="AE67" ca="1">U67-OFFSET($AT67,,MATCH($G$2,$AT$5:$BE$5,0)-1,,)</f>
        <v>-772.8661441779218</v>
      </c>
      <c r="AF67" s="358"/>
      <c r="AG67" s="1"/>
      <c r="AH67" s="172"/>
      <c r="AI67" s="172"/>
      <c r="AJ67" s="173"/>
      <c r="AL67" s="312">
        <f t="shared" ca="1" si="40"/>
        <v>232.63</v>
      </c>
      <c r="AM67" s="312" t="e" cm="1">
        <f t="array" ref="AM67">INDEX($BG$8:$BQ$83,ROW()-7,MATCH($G$3,$BG$5:$BQ$5,0))</f>
        <v>#N/A</v>
      </c>
      <c r="AN67" s="313" t="e">
        <f t="shared" ca="1" si="7"/>
        <v>#N/A</v>
      </c>
      <c r="AO67" s="314" t="str">
        <f t="shared" ca="1" si="8"/>
        <v/>
      </c>
      <c r="AP67" s="315"/>
      <c r="AR67" s="278">
        <f t="shared" ca="1" si="9"/>
        <v>52830.267970756729</v>
      </c>
      <c r="AS67" s="1"/>
      <c r="AT67" s="166">
        <v>1005.4961441779218</v>
      </c>
      <c r="AU67" s="108">
        <v>1164.934544866873</v>
      </c>
      <c r="AV67" s="108">
        <v>0</v>
      </c>
      <c r="AW67" s="108">
        <v>8110.1091954699104</v>
      </c>
      <c r="AX67" s="108">
        <v>440.63647490820074</v>
      </c>
      <c r="AY67" s="108">
        <v>0</v>
      </c>
      <c r="AZ67" s="108">
        <v>30738.59230539815</v>
      </c>
      <c r="BA67" s="289">
        <v>3484.9041207670339</v>
      </c>
      <c r="BB67" s="289">
        <v>1707.5403136879715</v>
      </c>
      <c r="BC67" s="289">
        <v>1462.8903753568231</v>
      </c>
      <c r="BD67" s="289">
        <v>1224.2980699586724</v>
      </c>
      <c r="BE67" s="290">
        <v>3723.4964261651849</v>
      </c>
      <c r="BF67" s="20"/>
      <c r="BG67" s="275">
        <f t="shared" si="10"/>
        <v>2170.4306890447947</v>
      </c>
      <c r="BH67" s="275">
        <f t="shared" si="11"/>
        <v>2170.4306890447947</v>
      </c>
      <c r="BI67" s="275">
        <f t="shared" si="12"/>
        <v>10280.539884514705</v>
      </c>
      <c r="BJ67" s="275">
        <f t="shared" si="13"/>
        <v>10721.176359422905</v>
      </c>
      <c r="BK67" s="275">
        <f t="shared" si="14"/>
        <v>10721.176359422905</v>
      </c>
      <c r="BL67" s="275">
        <f t="shared" si="15"/>
        <v>41459.768664821051</v>
      </c>
      <c r="BM67" s="275">
        <f t="shared" si="16"/>
        <v>44944.672785588082</v>
      </c>
      <c r="BN67" s="275">
        <f t="shared" si="17"/>
        <v>46652.21309927605</v>
      </c>
      <c r="BO67" s="275">
        <f t="shared" si="18"/>
        <v>48115.103474632873</v>
      </c>
      <c r="BP67" s="275">
        <f t="shared" si="19"/>
        <v>49339.401544591543</v>
      </c>
      <c r="BQ67" s="281">
        <f t="shared" si="20"/>
        <v>53062.897970756727</v>
      </c>
    </row>
    <row r="68" spans="1:69" s="11" customFormat="1" ht="20.100000000000001" customHeight="1">
      <c r="A68" s="125" t="s">
        <v>0</v>
      </c>
      <c r="B68" s="126" t="s">
        <v>0</v>
      </c>
      <c r="C68" s="126" t="s">
        <v>45</v>
      </c>
      <c r="D68" s="126" t="s">
        <v>22</v>
      </c>
      <c r="E68" s="126">
        <v>626001</v>
      </c>
      <c r="F68" s="129">
        <v>62780101</v>
      </c>
      <c r="G68" s="128" t="s">
        <v>536</v>
      </c>
      <c r="H68" s="239">
        <v>27452.01</v>
      </c>
      <c r="I68" s="119">
        <f t="shared" ref="I68:T77" ca="1" si="43">SUMIFS(INDIRECT(I$5&amp;"!N:N"),INDIRECT(I$5&amp;"!L:L"),$E68,INDIRECT(I$5&amp;"!K:K"),50)-SUMIFS(INDIRECT(I$5&amp;"!N:N"),INDIRECT(I$5&amp;"!L:L"),$E68,INDIRECT(I$5&amp;"!K:K"),40)</f>
        <v>0</v>
      </c>
      <c r="J68" s="120">
        <f t="shared" ca="1" si="43"/>
        <v>0</v>
      </c>
      <c r="K68" s="120">
        <f t="shared" ca="1" si="43"/>
        <v>0</v>
      </c>
      <c r="L68" s="120">
        <f t="shared" ca="1" si="43"/>
        <v>0</v>
      </c>
      <c r="M68" s="120">
        <f t="shared" ca="1" si="43"/>
        <v>0</v>
      </c>
      <c r="N68" s="120">
        <f t="shared" ca="1" si="43"/>
        <v>0</v>
      </c>
      <c r="O68" s="120">
        <f t="shared" ca="1" si="43"/>
        <v>0</v>
      </c>
      <c r="P68" s="120">
        <f t="shared" ca="1" si="43"/>
        <v>0</v>
      </c>
      <c r="Q68" s="120">
        <f t="shared" ca="1" si="43"/>
        <v>0</v>
      </c>
      <c r="R68" s="120">
        <f t="shared" ca="1" si="43"/>
        <v>0</v>
      </c>
      <c r="S68" s="120">
        <f t="shared" ca="1" si="43"/>
        <v>0</v>
      </c>
      <c r="T68" s="120">
        <f t="shared" ca="1" si="43"/>
        <v>0</v>
      </c>
      <c r="U68" s="121" cm="2">
        <f t="array" aca="1" ref="U68" ca="1">INDEX($I68:$T68,$U$2)</f>
        <v>0</v>
      </c>
      <c r="V68" s="235"/>
      <c r="W68" s="235"/>
      <c r="X68" s="239">
        <f t="shared" ca="1" si="6"/>
        <v>0</v>
      </c>
      <c r="Y68" s="52"/>
      <c r="Z68" s="291" cm="1">
        <f t="array" aca="1" ref="Z68" ca="1">IFERROR(U68/OFFSET($H68,,MATCH($G$2,$H$5:$U$5,0)-2,,),"-")</f>
        <v>0</v>
      </c>
      <c r="AA68" s="230" cm="1">
        <f t="array" aca="1" ref="AA68" ca="1">U68-OFFSET($H68,,MATCH($G$2,$H$5:$U$5,0)-2,,)</f>
        <v>-27452.01</v>
      </c>
      <c r="AB68" s="230"/>
      <c r="AC68" s="10"/>
      <c r="AD68" s="224" cm="1">
        <f t="array" aca="1" ref="AD68" ca="1">IFERROR(U68/OFFSET($AT68,,MATCH($G$2,$AT$5:$BE$5,0)-1,,),"-")</f>
        <v>0</v>
      </c>
      <c r="AE68" s="225" cm="1">
        <f t="array" aca="1" ref="AE68" ca="1">U68-OFFSET($AT68,,MATCH($G$2,$AT$5:$BE$5,0)-1,,)</f>
        <v>-557.51759046279301</v>
      </c>
      <c r="AF68" s="358"/>
      <c r="AG68" s="1"/>
      <c r="AH68" s="172"/>
      <c r="AI68" s="172"/>
      <c r="AJ68" s="173"/>
      <c r="AL68" s="312">
        <f t="shared" ca="1" si="40"/>
        <v>0</v>
      </c>
      <c r="AM68" s="312" t="e" cm="1">
        <f t="array" ref="AM68">INDEX($BG$8:$BQ$83,ROW()-7,MATCH($G$3,$BG$5:$BQ$5,0))</f>
        <v>#N/A</v>
      </c>
      <c r="AN68" s="313" t="e">
        <f t="shared" ca="1" si="7"/>
        <v>#N/A</v>
      </c>
      <c r="AO68" s="314" t="str">
        <f t="shared" ca="1" si="8"/>
        <v/>
      </c>
      <c r="AP68" s="326"/>
      <c r="AR68" s="278">
        <f t="shared" ca="1" si="9"/>
        <v>27270.328781199318</v>
      </c>
      <c r="AS68" s="1"/>
      <c r="AT68" s="166">
        <v>557.51759046279301</v>
      </c>
      <c r="AU68" s="108">
        <v>510.12065768054373</v>
      </c>
      <c r="AV68" s="108">
        <v>570.65168026992239</v>
      </c>
      <c r="AW68" s="108">
        <v>6385.2773417506451</v>
      </c>
      <c r="AX68" s="108">
        <v>2551.2360692506877</v>
      </c>
      <c r="AY68" s="108">
        <v>6364.9412064407352</v>
      </c>
      <c r="AZ68" s="108">
        <v>585.40373766198798</v>
      </c>
      <c r="BA68" s="289">
        <v>3884.1664683323306</v>
      </c>
      <c r="BB68" s="289">
        <v>545.81111911296045</v>
      </c>
      <c r="BC68" s="289">
        <v>2158.6240322037875</v>
      </c>
      <c r="BD68" s="289">
        <v>2579.2173910137026</v>
      </c>
      <c r="BE68" s="290">
        <v>577.36148701921672</v>
      </c>
      <c r="BF68" s="20"/>
      <c r="BG68" s="275">
        <f t="shared" si="10"/>
        <v>1067.6382481433368</v>
      </c>
      <c r="BH68" s="275">
        <f t="shared" si="11"/>
        <v>1638.2899284132591</v>
      </c>
      <c r="BI68" s="275">
        <f t="shared" si="12"/>
        <v>8023.5672701639041</v>
      </c>
      <c r="BJ68" s="275">
        <f t="shared" si="13"/>
        <v>10574.803339414591</v>
      </c>
      <c r="BK68" s="275">
        <f t="shared" si="14"/>
        <v>16939.744545855327</v>
      </c>
      <c r="BL68" s="275">
        <f t="shared" si="15"/>
        <v>17525.148283517316</v>
      </c>
      <c r="BM68" s="275">
        <f t="shared" si="16"/>
        <v>21409.314751849648</v>
      </c>
      <c r="BN68" s="275">
        <f t="shared" si="17"/>
        <v>21955.125870962609</v>
      </c>
      <c r="BO68" s="275">
        <f t="shared" si="18"/>
        <v>24113.749903166397</v>
      </c>
      <c r="BP68" s="275">
        <f t="shared" si="19"/>
        <v>26692.9672941801</v>
      </c>
      <c r="BQ68" s="281">
        <f t="shared" si="20"/>
        <v>27270.328781199318</v>
      </c>
    </row>
    <row r="69" spans="1:69" s="11" customFormat="1" ht="20.100000000000001" customHeight="1">
      <c r="A69" s="125" t="s">
        <v>0</v>
      </c>
      <c r="B69" s="126" t="s">
        <v>0</v>
      </c>
      <c r="C69" s="126" t="s">
        <v>45</v>
      </c>
      <c r="D69" s="126" t="s">
        <v>22</v>
      </c>
      <c r="E69" s="126">
        <v>624111</v>
      </c>
      <c r="F69" s="127">
        <v>62780103</v>
      </c>
      <c r="G69" s="128" t="s">
        <v>93</v>
      </c>
      <c r="H69" s="239">
        <v>949</v>
      </c>
      <c r="I69" s="119">
        <f t="shared" ca="1" si="43"/>
        <v>413.22</v>
      </c>
      <c r="J69" s="120">
        <f t="shared" ca="1" si="43"/>
        <v>0</v>
      </c>
      <c r="K69" s="120">
        <f t="shared" ca="1" si="43"/>
        <v>0</v>
      </c>
      <c r="L69" s="120">
        <f t="shared" ca="1" si="43"/>
        <v>0</v>
      </c>
      <c r="M69" s="120">
        <f t="shared" ca="1" si="43"/>
        <v>0</v>
      </c>
      <c r="N69" s="120">
        <f t="shared" ca="1" si="43"/>
        <v>0</v>
      </c>
      <c r="O69" s="120">
        <f t="shared" ca="1" si="43"/>
        <v>0</v>
      </c>
      <c r="P69" s="120">
        <f t="shared" ca="1" si="43"/>
        <v>0</v>
      </c>
      <c r="Q69" s="120">
        <f t="shared" ca="1" si="43"/>
        <v>0</v>
      </c>
      <c r="R69" s="120">
        <f t="shared" ca="1" si="43"/>
        <v>0</v>
      </c>
      <c r="S69" s="120">
        <f t="shared" ca="1" si="43"/>
        <v>0</v>
      </c>
      <c r="T69" s="120">
        <f t="shared" ca="1" si="43"/>
        <v>0</v>
      </c>
      <c r="U69" s="121" cm="2">
        <f t="array" aca="1" ref="U69" ca="1">INDEX($I69:$T69,$U$2)</f>
        <v>413.22</v>
      </c>
      <c r="V69" s="235"/>
      <c r="W69" s="235"/>
      <c r="X69" s="239">
        <f t="shared" ca="1" si="6"/>
        <v>413.22</v>
      </c>
      <c r="Y69" s="52"/>
      <c r="Z69" s="291" cm="1">
        <f t="array" aca="1" ref="Z69" ca="1">IFERROR(U69/OFFSET($H69,,MATCH($G$2,$H$5:$U$5,0)-2,,),"-")</f>
        <v>0.43542676501580613</v>
      </c>
      <c r="AA69" s="230" cm="1">
        <f t="array" aca="1" ref="AA69" ca="1">U69-OFFSET($H69,,MATCH($G$2,$H$5:$U$5,0)-2,,)</f>
        <v>-535.78</v>
      </c>
      <c r="AB69" s="230"/>
      <c r="AC69" s="10"/>
      <c r="AD69" s="224" cm="1">
        <f t="array" aca="1" ref="AD69" ca="1">IFERROR(U69/OFFSET($AT69,,MATCH($G$2,$AT$5:$BE$5,0)-1,,),"-")</f>
        <v>0.16600047403455634</v>
      </c>
      <c r="AE69" s="225" cm="1">
        <f t="array" aca="1" ref="AE69" ca="1">U69-OFFSET($AT69,,MATCH($G$2,$AT$5:$BE$5,0)-1,,)</f>
        <v>-2076.0500000000002</v>
      </c>
      <c r="AF69" s="359"/>
      <c r="AG69" s="1"/>
      <c r="AH69" s="172"/>
      <c r="AI69" s="172"/>
      <c r="AJ69" s="173"/>
      <c r="AL69" s="312">
        <f t="shared" ca="1" si="40"/>
        <v>413.22</v>
      </c>
      <c r="AM69" s="312" t="e" cm="1">
        <f t="array" ref="AM69">INDEX($BG$8:$BQ$83,ROW()-7,MATCH($G$3,$BG$5:$BQ$5,0))</f>
        <v>#N/A</v>
      </c>
      <c r="AN69" s="313" t="e">
        <f t="shared" ca="1" si="7"/>
        <v>#N/A</v>
      </c>
      <c r="AO69" s="314" t="str">
        <f t="shared" ca="1" si="8"/>
        <v/>
      </c>
      <c r="AP69" s="315"/>
      <c r="AR69" s="278">
        <f t="shared" ca="1" si="9"/>
        <v>24076.314173573035</v>
      </c>
      <c r="AS69" s="1"/>
      <c r="AT69" s="166">
        <v>2489.27</v>
      </c>
      <c r="AU69" s="108">
        <v>2489.27</v>
      </c>
      <c r="AV69" s="108">
        <v>2489.27</v>
      </c>
      <c r="AW69" s="108">
        <v>2297.12</v>
      </c>
      <c r="AX69" s="108">
        <v>757.4</v>
      </c>
      <c r="AY69" s="108">
        <v>1000</v>
      </c>
      <c r="AZ69" s="108">
        <v>2465.6400612010711</v>
      </c>
      <c r="BA69" s="289">
        <v>2523.0160652811423</v>
      </c>
      <c r="BB69" s="289">
        <v>2385.3136554889711</v>
      </c>
      <c r="BC69" s="289">
        <v>2304.9872497768715</v>
      </c>
      <c r="BD69" s="289">
        <v>1826.3552212163713</v>
      </c>
      <c r="BE69" s="290">
        <v>1461.8919206086107</v>
      </c>
      <c r="BF69" s="20"/>
      <c r="BG69" s="275">
        <f t="shared" si="10"/>
        <v>4978.54</v>
      </c>
      <c r="BH69" s="275">
        <f t="shared" si="11"/>
        <v>7467.8099999999995</v>
      </c>
      <c r="BI69" s="275">
        <f t="shared" si="12"/>
        <v>9764.93</v>
      </c>
      <c r="BJ69" s="275">
        <f t="shared" si="13"/>
        <v>10522.33</v>
      </c>
      <c r="BK69" s="275">
        <f t="shared" si="14"/>
        <v>11522.33</v>
      </c>
      <c r="BL69" s="275">
        <f t="shared" si="15"/>
        <v>13987.970061201071</v>
      </c>
      <c r="BM69" s="275">
        <f t="shared" si="16"/>
        <v>16510.986126482214</v>
      </c>
      <c r="BN69" s="275">
        <f t="shared" si="17"/>
        <v>18896.299781971185</v>
      </c>
      <c r="BO69" s="275">
        <f t="shared" si="18"/>
        <v>21201.287031748056</v>
      </c>
      <c r="BP69" s="275">
        <f t="shared" si="19"/>
        <v>23027.642252964426</v>
      </c>
      <c r="BQ69" s="281">
        <f t="shared" si="20"/>
        <v>24489.534173573036</v>
      </c>
    </row>
    <row r="70" spans="1:69" s="11" customFormat="1" ht="20.100000000000001" customHeight="1">
      <c r="A70" s="125" t="s">
        <v>12</v>
      </c>
      <c r="B70" s="126" t="s">
        <v>12</v>
      </c>
      <c r="C70" s="126" t="s">
        <v>12</v>
      </c>
      <c r="D70" s="126" t="s">
        <v>22</v>
      </c>
      <c r="E70" s="126">
        <v>663001</v>
      </c>
      <c r="F70" s="127">
        <v>62780200</v>
      </c>
      <c r="G70" s="128" t="s">
        <v>537</v>
      </c>
      <c r="H70" s="239">
        <v>62.05</v>
      </c>
      <c r="I70" s="119">
        <f t="shared" ca="1" si="43"/>
        <v>69.400000000000006</v>
      </c>
      <c r="J70" s="120">
        <f t="shared" ca="1" si="43"/>
        <v>0</v>
      </c>
      <c r="K70" s="120">
        <f t="shared" ca="1" si="43"/>
        <v>0</v>
      </c>
      <c r="L70" s="120">
        <f t="shared" ca="1" si="43"/>
        <v>0</v>
      </c>
      <c r="M70" s="120">
        <f t="shared" ca="1" si="43"/>
        <v>0</v>
      </c>
      <c r="N70" s="120">
        <f t="shared" ca="1" si="43"/>
        <v>0</v>
      </c>
      <c r="O70" s="120">
        <f t="shared" ca="1" si="43"/>
        <v>0</v>
      </c>
      <c r="P70" s="120">
        <f t="shared" ca="1" si="43"/>
        <v>0</v>
      </c>
      <c r="Q70" s="120">
        <f t="shared" ca="1" si="43"/>
        <v>0</v>
      </c>
      <c r="R70" s="120">
        <f t="shared" ca="1" si="43"/>
        <v>0</v>
      </c>
      <c r="S70" s="120">
        <f t="shared" ca="1" si="43"/>
        <v>0</v>
      </c>
      <c r="T70" s="120">
        <f t="shared" ca="1" si="43"/>
        <v>0</v>
      </c>
      <c r="U70" s="121" cm="2">
        <f t="array" aca="1" ref="U70" ca="1">INDEX($I70:$T70,$U$2)</f>
        <v>69.400000000000006</v>
      </c>
      <c r="V70" s="235"/>
      <c r="W70" s="235"/>
      <c r="X70" s="239">
        <f t="shared" ca="1" si="6"/>
        <v>69.400000000000006</v>
      </c>
      <c r="Y70" s="52"/>
      <c r="Z70" s="291" cm="1">
        <f t="array" aca="1" ref="Z70" ca="1">IFERROR(U70/OFFSET($H70,,MATCH($G$2,$H$5:$U$5,0)-2,,),"-")</f>
        <v>1.1184528605962936</v>
      </c>
      <c r="AA70" s="230" cm="1">
        <f t="array" aca="1" ref="AA70" ca="1">U70-OFFSET($H70,,MATCH($G$2,$H$5:$U$5,0)-2,,)</f>
        <v>7.3500000000000085</v>
      </c>
      <c r="AB70" s="230"/>
      <c r="AC70" s="10"/>
      <c r="AD70" s="224" cm="1">
        <f t="array" aca="1" ref="AD70" ca="1">IFERROR(U70/OFFSET($AT70,,MATCH($G$2,$AT$5:$BE$5,0)-1,,),"-")</f>
        <v>2.7649402390438248E-2</v>
      </c>
      <c r="AE70" s="225" cm="1">
        <f t="array" aca="1" ref="AE70" ca="1">U70-OFFSET($AT70,,MATCH($G$2,$AT$5:$BE$5,0)-1,,)</f>
        <v>-2440.6</v>
      </c>
      <c r="AF70" s="359"/>
      <c r="AG70" s="1"/>
      <c r="AH70" s="172"/>
      <c r="AI70" s="172"/>
      <c r="AJ70" s="173"/>
      <c r="AL70" s="312">
        <f t="shared" ca="1" si="40"/>
        <v>69.400000000000006</v>
      </c>
      <c r="AM70" s="312" t="e" cm="1">
        <f t="array" ref="AM70">INDEX($BG$8:$BQ$83,ROW()-7,MATCH($G$3,$BG$5:$BQ$5,0))</f>
        <v>#N/A</v>
      </c>
      <c r="AN70" s="313" t="e">
        <f t="shared" ca="1" si="7"/>
        <v>#N/A</v>
      </c>
      <c r="AO70" s="314" t="str">
        <f t="shared" ca="1" si="8"/>
        <v/>
      </c>
      <c r="AP70" s="315"/>
      <c r="AR70" s="278">
        <f t="shared" ca="1" si="9"/>
        <v>6345.6</v>
      </c>
      <c r="AS70" s="1"/>
      <c r="AT70" s="166">
        <v>2510</v>
      </c>
      <c r="AU70" s="108">
        <v>0</v>
      </c>
      <c r="AV70" s="108">
        <v>0</v>
      </c>
      <c r="AW70" s="108">
        <v>0</v>
      </c>
      <c r="AX70" s="108">
        <v>0</v>
      </c>
      <c r="AY70" s="108">
        <v>855</v>
      </c>
      <c r="AZ70" s="108">
        <v>0</v>
      </c>
      <c r="BA70" s="289">
        <v>0</v>
      </c>
      <c r="BB70" s="292">
        <v>0</v>
      </c>
      <c r="BC70" s="292">
        <v>2000</v>
      </c>
      <c r="BD70" s="292">
        <v>200</v>
      </c>
      <c r="BE70" s="293">
        <v>850</v>
      </c>
      <c r="BF70" s="317"/>
      <c r="BG70" s="276">
        <f t="shared" si="10"/>
        <v>2510</v>
      </c>
      <c r="BH70" s="276">
        <f t="shared" si="11"/>
        <v>2510</v>
      </c>
      <c r="BI70" s="276">
        <f t="shared" si="12"/>
        <v>2510</v>
      </c>
      <c r="BJ70" s="276">
        <f t="shared" si="13"/>
        <v>2510</v>
      </c>
      <c r="BK70" s="276">
        <f t="shared" si="14"/>
        <v>3365</v>
      </c>
      <c r="BL70" s="276">
        <f t="shared" si="15"/>
        <v>3365</v>
      </c>
      <c r="BM70" s="276">
        <f t="shared" si="16"/>
        <v>3365</v>
      </c>
      <c r="BN70" s="276">
        <f t="shared" si="17"/>
        <v>3365</v>
      </c>
      <c r="BO70" s="276">
        <f t="shared" si="18"/>
        <v>5365</v>
      </c>
      <c r="BP70" s="276">
        <f t="shared" si="19"/>
        <v>5565</v>
      </c>
      <c r="BQ70" s="278">
        <f t="shared" si="20"/>
        <v>6415</v>
      </c>
    </row>
    <row r="71" spans="1:69" s="11" customFormat="1" ht="20.100000000000001" customHeight="1">
      <c r="A71" s="125" t="s">
        <v>0</v>
      </c>
      <c r="B71" s="126" t="s">
        <v>0</v>
      </c>
      <c r="C71" s="126" t="s">
        <v>45</v>
      </c>
      <c r="D71" s="126" t="s">
        <v>22</v>
      </c>
      <c r="E71" s="126">
        <v>624151</v>
      </c>
      <c r="F71" s="129">
        <v>62780301</v>
      </c>
      <c r="G71" s="128" t="s">
        <v>538</v>
      </c>
      <c r="H71" s="239">
        <v>2386.12</v>
      </c>
      <c r="I71" s="119">
        <f t="shared" ca="1" si="43"/>
        <v>0</v>
      </c>
      <c r="J71" s="120">
        <f t="shared" ca="1" si="43"/>
        <v>0</v>
      </c>
      <c r="K71" s="120">
        <f t="shared" ca="1" si="43"/>
        <v>0</v>
      </c>
      <c r="L71" s="120">
        <f t="shared" ca="1" si="43"/>
        <v>0</v>
      </c>
      <c r="M71" s="120">
        <f t="shared" ca="1" si="43"/>
        <v>0</v>
      </c>
      <c r="N71" s="120">
        <f t="shared" ca="1" si="43"/>
        <v>0</v>
      </c>
      <c r="O71" s="120">
        <f t="shared" ca="1" si="43"/>
        <v>0</v>
      </c>
      <c r="P71" s="120">
        <f t="shared" ca="1" si="43"/>
        <v>0</v>
      </c>
      <c r="Q71" s="120">
        <f t="shared" ca="1" si="43"/>
        <v>0</v>
      </c>
      <c r="R71" s="120">
        <f t="shared" ca="1" si="43"/>
        <v>0</v>
      </c>
      <c r="S71" s="120">
        <f t="shared" ca="1" si="43"/>
        <v>0</v>
      </c>
      <c r="T71" s="120">
        <f t="shared" ca="1" si="43"/>
        <v>0</v>
      </c>
      <c r="U71" s="121" cm="2">
        <f t="array" aca="1" ref="U71" ca="1">INDEX($I71:$T71,$U$2)</f>
        <v>0</v>
      </c>
      <c r="V71" s="235"/>
      <c r="W71" s="235"/>
      <c r="X71" s="239">
        <f t="shared" ca="1" si="6"/>
        <v>0</v>
      </c>
      <c r="Y71" s="52"/>
      <c r="Z71" s="291" cm="1">
        <f t="array" aca="1" ref="Z71" ca="1">IFERROR(U71/OFFSET($H71,,MATCH($G$2,$H$5:$U$5,0)-2,,),"-")</f>
        <v>0</v>
      </c>
      <c r="AA71" s="230" cm="1">
        <f t="array" aca="1" ref="AA71" ca="1">U71-OFFSET($H71,,MATCH($G$2,$H$5:$U$5,0)-2,,)</f>
        <v>-2386.12</v>
      </c>
      <c r="AB71" s="230"/>
      <c r="AC71" s="10"/>
      <c r="AD71" s="224" cm="1">
        <f t="array" aca="1" ref="AD71" ca="1">IFERROR(U71/OFFSET($AT71,,MATCH($G$2,$AT$5:$BE$5,0)-1,,),"-")</f>
        <v>0</v>
      </c>
      <c r="AE71" s="225" cm="1">
        <f t="array" aca="1" ref="AE71" ca="1">U71-OFFSET($AT71,,MATCH($G$2,$AT$5:$BE$5,0)-1,,)</f>
        <v>-5.7</v>
      </c>
      <c r="AF71" s="359"/>
      <c r="AG71" s="1"/>
      <c r="AH71" s="172"/>
      <c r="AI71" s="172"/>
      <c r="AJ71" s="173"/>
      <c r="AL71" s="312">
        <f t="shared" ref="AL71:AL83" ca="1" si="44">SUM(I71:T71)</f>
        <v>0</v>
      </c>
      <c r="AM71" s="312" t="e" cm="1">
        <f t="array" ref="AM71">INDEX($BG$8:$BQ$83,ROW()-7,MATCH($G$3,$BG$5:$BQ$5,0))</f>
        <v>#N/A</v>
      </c>
      <c r="AN71" s="313" t="e">
        <f t="shared" ca="1" si="7"/>
        <v>#N/A</v>
      </c>
      <c r="AO71" s="314" t="str">
        <f t="shared" ca="1" si="8"/>
        <v/>
      </c>
      <c r="AP71" s="315"/>
      <c r="AR71" s="278">
        <f t="shared" ca="1" si="9"/>
        <v>14880.955136678906</v>
      </c>
      <c r="AS71" s="1"/>
      <c r="AT71" s="166">
        <v>5.7</v>
      </c>
      <c r="AU71" s="108">
        <v>5.13</v>
      </c>
      <c r="AV71" s="108">
        <v>530.63</v>
      </c>
      <c r="AW71" s="108">
        <v>624.32999999999993</v>
      </c>
      <c r="AX71" s="108">
        <v>21.42</v>
      </c>
      <c r="AY71" s="108">
        <v>575.82999999999993</v>
      </c>
      <c r="AZ71" s="108">
        <v>10</v>
      </c>
      <c r="BA71" s="289">
        <v>160</v>
      </c>
      <c r="BB71" s="289">
        <v>510</v>
      </c>
      <c r="BC71" s="289">
        <v>11877.915136678906</v>
      </c>
      <c r="BD71" s="289">
        <v>50</v>
      </c>
      <c r="BE71" s="290">
        <v>510</v>
      </c>
      <c r="BF71" s="20"/>
      <c r="BG71" s="275">
        <f t="shared" si="10"/>
        <v>10.83</v>
      </c>
      <c r="BH71" s="275">
        <f t="shared" si="11"/>
        <v>541.46</v>
      </c>
      <c r="BI71" s="275">
        <f t="shared" si="12"/>
        <v>1165.79</v>
      </c>
      <c r="BJ71" s="275">
        <f t="shared" si="13"/>
        <v>1187.21</v>
      </c>
      <c r="BK71" s="275">
        <f t="shared" si="14"/>
        <v>1763.04</v>
      </c>
      <c r="BL71" s="275">
        <f t="shared" si="15"/>
        <v>1773.04</v>
      </c>
      <c r="BM71" s="275">
        <f t="shared" si="16"/>
        <v>1933.04</v>
      </c>
      <c r="BN71" s="275">
        <f t="shared" si="17"/>
        <v>2443.04</v>
      </c>
      <c r="BO71" s="275">
        <f t="shared" si="18"/>
        <v>14320.955136678906</v>
      </c>
      <c r="BP71" s="275">
        <f t="shared" si="19"/>
        <v>14370.955136678906</v>
      </c>
      <c r="BQ71" s="281">
        <f t="shared" si="20"/>
        <v>14880.955136678906</v>
      </c>
    </row>
    <row r="72" spans="1:69" s="11" customFormat="1" ht="20.100000000000001" customHeight="1">
      <c r="A72" s="125" t="s">
        <v>0</v>
      </c>
      <c r="B72" s="126" t="s">
        <v>0</v>
      </c>
      <c r="C72" s="126" t="s">
        <v>45</v>
      </c>
      <c r="D72" s="126" t="s">
        <v>22</v>
      </c>
      <c r="E72" s="126">
        <v>662401</v>
      </c>
      <c r="F72" s="129">
        <v>62780302</v>
      </c>
      <c r="G72" s="128" t="s">
        <v>103</v>
      </c>
      <c r="H72" s="239">
        <v>863.71</v>
      </c>
      <c r="I72" s="119">
        <f t="shared" ca="1" si="43"/>
        <v>1507.98</v>
      </c>
      <c r="J72" s="120">
        <f t="shared" ca="1" si="43"/>
        <v>0</v>
      </c>
      <c r="K72" s="120">
        <f t="shared" ca="1" si="43"/>
        <v>0</v>
      </c>
      <c r="L72" s="120">
        <f t="shared" ca="1" si="43"/>
        <v>0</v>
      </c>
      <c r="M72" s="120">
        <f t="shared" ca="1" si="43"/>
        <v>0</v>
      </c>
      <c r="N72" s="120">
        <f t="shared" ca="1" si="43"/>
        <v>0</v>
      </c>
      <c r="O72" s="120">
        <f t="shared" ca="1" si="43"/>
        <v>0</v>
      </c>
      <c r="P72" s="120">
        <f t="shared" ca="1" si="43"/>
        <v>0</v>
      </c>
      <c r="Q72" s="120">
        <f t="shared" ca="1" si="43"/>
        <v>0</v>
      </c>
      <c r="R72" s="120">
        <f t="shared" ca="1" si="43"/>
        <v>0</v>
      </c>
      <c r="S72" s="120">
        <f t="shared" ca="1" si="43"/>
        <v>0</v>
      </c>
      <c r="T72" s="120">
        <f t="shared" ca="1" si="43"/>
        <v>0</v>
      </c>
      <c r="U72" s="121" cm="2">
        <f t="array" aca="1" ref="U72" ca="1">INDEX($I72:$T72,$U$2)</f>
        <v>1507.98</v>
      </c>
      <c r="V72" s="235"/>
      <c r="W72" s="235"/>
      <c r="X72" s="239">
        <f t="shared" ref="X72:X83" ca="1" si="45">U72+V72-W72</f>
        <v>1507.98</v>
      </c>
      <c r="Y72" s="52"/>
      <c r="Z72" s="291" cm="1">
        <f t="array" aca="1" ref="Z72" ca="1">IFERROR(U72/OFFSET($H72,,MATCH($G$2,$H$5:$U$5,0)-2,,),"-")</f>
        <v>1.7459332414815156</v>
      </c>
      <c r="AA72" s="230" cm="1">
        <f t="array" aca="1" ref="AA72" ca="1">U72-OFFSET($H72,,MATCH($G$2,$H$5:$U$5,0)-2,,)</f>
        <v>644.27</v>
      </c>
      <c r="AB72" s="230"/>
      <c r="AC72" s="10"/>
      <c r="AD72" s="224" cm="1">
        <f t="array" aca="1" ref="AD72" ca="1">IFERROR(U72/OFFSET($AT72,,MATCH($G$2,$AT$5:$BE$5,0)-1,,),"-")</f>
        <v>0.88185964912280701</v>
      </c>
      <c r="AE72" s="225" cm="1">
        <f t="array" aca="1" ref="AE72" ca="1">U72-OFFSET($AT72,,MATCH($G$2,$AT$5:$BE$5,0)-1,,)</f>
        <v>-202.01999999999998</v>
      </c>
      <c r="AF72" s="359"/>
      <c r="AG72" s="1"/>
      <c r="AH72" s="172"/>
      <c r="AI72" s="172"/>
      <c r="AJ72" s="173"/>
      <c r="AL72" s="312">
        <f t="shared" ca="1" si="44"/>
        <v>1507.98</v>
      </c>
      <c r="AM72" s="312" t="e" cm="1">
        <f t="array" ref="AM72">INDEX($BG$8:$BQ$83,ROW()-7,MATCH($G$3,$BG$5:$BQ$5,0))</f>
        <v>#N/A</v>
      </c>
      <c r="AN72" s="313" t="e">
        <f t="shared" ca="1" si="7"/>
        <v>#N/A</v>
      </c>
      <c r="AO72" s="314" t="str">
        <f t="shared" ca="1" si="8"/>
        <v/>
      </c>
      <c r="AP72" s="315"/>
      <c r="AR72" s="278">
        <f t="shared" ca="1" si="9"/>
        <v>12912.02</v>
      </c>
      <c r="AS72" s="1"/>
      <c r="AT72" s="166">
        <v>1710</v>
      </c>
      <c r="AU72" s="108">
        <v>0</v>
      </c>
      <c r="AV72" s="108">
        <v>1500</v>
      </c>
      <c r="AW72" s="108">
        <v>2000</v>
      </c>
      <c r="AX72" s="108">
        <v>500</v>
      </c>
      <c r="AY72" s="108">
        <v>0</v>
      </c>
      <c r="AZ72" s="108">
        <v>3500</v>
      </c>
      <c r="BA72" s="289">
        <v>0</v>
      </c>
      <c r="BB72" s="289">
        <v>500</v>
      </c>
      <c r="BC72" s="289">
        <v>2000</v>
      </c>
      <c r="BD72" s="289">
        <v>2710</v>
      </c>
      <c r="BE72" s="290">
        <v>0</v>
      </c>
      <c r="BF72" s="20"/>
      <c r="BG72" s="275">
        <f t="shared" si="10"/>
        <v>1710</v>
      </c>
      <c r="BH72" s="275">
        <f t="shared" si="11"/>
        <v>3210</v>
      </c>
      <c r="BI72" s="275">
        <f t="shared" si="12"/>
        <v>5210</v>
      </c>
      <c r="BJ72" s="275">
        <f t="shared" si="13"/>
        <v>5710</v>
      </c>
      <c r="BK72" s="275">
        <f t="shared" si="14"/>
        <v>5710</v>
      </c>
      <c r="BL72" s="275">
        <f t="shared" si="15"/>
        <v>9210</v>
      </c>
      <c r="BM72" s="275">
        <f t="shared" si="16"/>
        <v>9210</v>
      </c>
      <c r="BN72" s="275">
        <f t="shared" si="17"/>
        <v>9710</v>
      </c>
      <c r="BO72" s="275">
        <f t="shared" si="18"/>
        <v>11710</v>
      </c>
      <c r="BP72" s="275">
        <f t="shared" si="19"/>
        <v>14420</v>
      </c>
      <c r="BQ72" s="281">
        <f t="shared" si="20"/>
        <v>14420</v>
      </c>
    </row>
    <row r="73" spans="1:69" s="96" customFormat="1" ht="20.100000000000001" customHeight="1">
      <c r="A73" s="125" t="s">
        <v>0</v>
      </c>
      <c r="B73" s="126" t="s">
        <v>0</v>
      </c>
      <c r="C73" s="126" t="s">
        <v>45</v>
      </c>
      <c r="D73" s="126" t="s">
        <v>22</v>
      </c>
      <c r="E73" s="126">
        <v>624141</v>
      </c>
      <c r="F73" s="127">
        <v>62780401</v>
      </c>
      <c r="G73" s="128" t="s">
        <v>539</v>
      </c>
      <c r="H73" s="239">
        <v>33232.159999999996</v>
      </c>
      <c r="I73" s="119">
        <f t="shared" ca="1" si="43"/>
        <v>27884.9</v>
      </c>
      <c r="J73" s="120">
        <f t="shared" ca="1" si="43"/>
        <v>0</v>
      </c>
      <c r="K73" s="120">
        <f t="shared" ca="1" si="43"/>
        <v>0</v>
      </c>
      <c r="L73" s="120">
        <f t="shared" ca="1" si="43"/>
        <v>0</v>
      </c>
      <c r="M73" s="120">
        <f t="shared" ca="1" si="43"/>
        <v>0</v>
      </c>
      <c r="N73" s="120">
        <f t="shared" ca="1" si="43"/>
        <v>0</v>
      </c>
      <c r="O73" s="120">
        <f t="shared" ca="1" si="43"/>
        <v>0</v>
      </c>
      <c r="P73" s="120">
        <f t="shared" ca="1" si="43"/>
        <v>0</v>
      </c>
      <c r="Q73" s="120">
        <f t="shared" ca="1" si="43"/>
        <v>0</v>
      </c>
      <c r="R73" s="120">
        <f t="shared" ca="1" si="43"/>
        <v>0</v>
      </c>
      <c r="S73" s="120">
        <f t="shared" ca="1" si="43"/>
        <v>0</v>
      </c>
      <c r="T73" s="120">
        <f t="shared" ca="1" si="43"/>
        <v>0</v>
      </c>
      <c r="U73" s="121" cm="2">
        <f t="array" aca="1" ref="U73" ca="1">INDEX($I73:$T73,$U$2)</f>
        <v>27884.9</v>
      </c>
      <c r="V73" s="235"/>
      <c r="W73" s="235"/>
      <c r="X73" s="239">
        <f t="shared" ca="1" si="45"/>
        <v>27884.9</v>
      </c>
      <c r="Y73" s="52"/>
      <c r="Z73" s="291" cm="1">
        <f t="array" aca="1" ref="Z73" ca="1">IFERROR(U73/OFFSET($H73,,MATCH($G$2,$H$5:$U$5,0)-2,,),"-")</f>
        <v>0.8390938175550432</v>
      </c>
      <c r="AA73" s="230" cm="1">
        <f t="array" aca="1" ref="AA73" ca="1">U73-OFFSET($H73,,MATCH($G$2,$H$5:$U$5,0)-2,,)</f>
        <v>-5347.2599999999948</v>
      </c>
      <c r="AB73" s="230"/>
      <c r="AC73" s="10"/>
      <c r="AD73" s="224" cm="1">
        <f t="array" aca="1" ref="AD73" ca="1">IFERROR(U73/OFFSET($AT73,,MATCH($G$2,$AT$5:$BE$5,0)-1,,),"-")</f>
        <v>0.71452240321873284</v>
      </c>
      <c r="AE73" s="225" cm="1">
        <f t="array" aca="1" ref="AE73" ca="1">U73-OFFSET($AT73,,MATCH($G$2,$AT$5:$BE$5,0)-1,,)</f>
        <v>-11141.028192574457</v>
      </c>
      <c r="AF73" s="358"/>
      <c r="AG73" s="10"/>
      <c r="AH73" s="172"/>
      <c r="AI73" s="172"/>
      <c r="AJ73" s="173"/>
      <c r="AL73" s="313">
        <f t="shared" ca="1" si="44"/>
        <v>27884.9</v>
      </c>
      <c r="AM73" s="313" t="e" cm="1">
        <f t="array" ref="AM73">INDEX($BG$8:$BQ$83,ROW()-7,MATCH($G$3,$BG$5:$BQ$5,0))</f>
        <v>#N/A</v>
      </c>
      <c r="AN73" s="313" t="e">
        <f t="shared" ref="AN73:AN83" ca="1" si="46">AL73-AM73</f>
        <v>#N/A</v>
      </c>
      <c r="AO73" s="314" t="str">
        <f t="shared" ref="AO73:AO83" ca="1" si="47">IFERROR(AL73/AM73,"")</f>
        <v/>
      </c>
      <c r="AP73" s="518"/>
      <c r="AR73" s="282">
        <f t="shared" ref="AR73:AR83" ca="1" si="48">BQ73-AL73</f>
        <v>409969.44516523863</v>
      </c>
      <c r="AS73" s="10"/>
      <c r="AT73" s="166">
        <v>39025.928192574458</v>
      </c>
      <c r="AU73" s="108">
        <v>38074.153406772741</v>
      </c>
      <c r="AV73" s="108">
        <v>37181.864545083634</v>
      </c>
      <c r="AW73" s="108">
        <v>36527.519379844962</v>
      </c>
      <c r="AX73" s="108">
        <v>35992.146062831496</v>
      </c>
      <c r="AY73" s="108">
        <v>35456.772745818031</v>
      </c>
      <c r="AZ73" s="108">
        <v>35040.371277029786</v>
      </c>
      <c r="BA73" s="294">
        <v>35546.001631986939</v>
      </c>
      <c r="BB73" s="294">
        <v>35843.431252549977</v>
      </c>
      <c r="BC73" s="294">
        <v>36140.860873113015</v>
      </c>
      <c r="BD73" s="294">
        <v>36438.290493676046</v>
      </c>
      <c r="BE73" s="295">
        <v>36587.005303957565</v>
      </c>
      <c r="BF73" s="325"/>
      <c r="BG73" s="277">
        <f t="shared" ref="BG73:BG83" si="49">SUM(AT73:AU73)</f>
        <v>77100.081599347206</v>
      </c>
      <c r="BH73" s="277">
        <f t="shared" ref="BH73:BH83" si="50">SUM(AT73:AV73)</f>
        <v>114281.94614443084</v>
      </c>
      <c r="BI73" s="277">
        <f t="shared" ref="BI73:BI83" si="51">SUM(AT73:AW73)</f>
        <v>150809.46552427579</v>
      </c>
      <c r="BJ73" s="277">
        <f t="shared" ref="BJ73:BJ83" si="52">SUM(AT73:AX73)</f>
        <v>186801.6115871073</v>
      </c>
      <c r="BK73" s="277">
        <f t="shared" ref="BK73:BK83" si="53">SUM(AT73:AY73)</f>
        <v>222258.38433292531</v>
      </c>
      <c r="BL73" s="277">
        <f t="shared" ref="BL73:BL83" si="54">SUM(AT73:AZ73)</f>
        <v>257298.75560995511</v>
      </c>
      <c r="BM73" s="277">
        <f t="shared" ref="BM73:BM83" si="55">SUM(AT73:BA73)</f>
        <v>292844.75724194205</v>
      </c>
      <c r="BN73" s="277">
        <f t="shared" ref="BN73:BN83" si="56">SUM(AT73:BB73)</f>
        <v>328688.18849449203</v>
      </c>
      <c r="BO73" s="277">
        <f t="shared" ref="BO73:BO83" si="57">SUM(AT73:BC73)</f>
        <v>364829.04936760507</v>
      </c>
      <c r="BP73" s="277">
        <f t="shared" ref="BP73:BP83" si="58">SUM(AT73:BD73)</f>
        <v>401267.3398612811</v>
      </c>
      <c r="BQ73" s="282">
        <f t="shared" ref="BQ73:BQ83" si="59">SUM(AT73:BE73)</f>
        <v>437854.34516523866</v>
      </c>
    </row>
    <row r="74" spans="1:69" s="11" customFormat="1" ht="20.100000000000001" customHeight="1">
      <c r="A74" s="125" t="s">
        <v>0</v>
      </c>
      <c r="B74" s="126" t="s">
        <v>0</v>
      </c>
      <c r="C74" s="126" t="s">
        <v>45</v>
      </c>
      <c r="D74" s="126" t="s">
        <v>22</v>
      </c>
      <c r="E74" s="126">
        <v>662501</v>
      </c>
      <c r="F74" s="127">
        <v>62780402</v>
      </c>
      <c r="G74" s="128" t="s">
        <v>540</v>
      </c>
      <c r="H74" s="239">
        <v>65.66</v>
      </c>
      <c r="I74" s="119">
        <f t="shared" ca="1" si="43"/>
        <v>62.55</v>
      </c>
      <c r="J74" s="120">
        <f t="shared" ca="1" si="43"/>
        <v>0</v>
      </c>
      <c r="K74" s="120">
        <f t="shared" ca="1" si="43"/>
        <v>0</v>
      </c>
      <c r="L74" s="120">
        <f t="shared" ca="1" si="43"/>
        <v>0</v>
      </c>
      <c r="M74" s="120">
        <f t="shared" ca="1" si="43"/>
        <v>0</v>
      </c>
      <c r="N74" s="120">
        <f t="shared" ca="1" si="43"/>
        <v>0</v>
      </c>
      <c r="O74" s="120">
        <f t="shared" ca="1" si="43"/>
        <v>0</v>
      </c>
      <c r="P74" s="120">
        <f t="shared" ca="1" si="43"/>
        <v>0</v>
      </c>
      <c r="Q74" s="120">
        <f t="shared" ca="1" si="43"/>
        <v>0</v>
      </c>
      <c r="R74" s="120">
        <f t="shared" ca="1" si="43"/>
        <v>0</v>
      </c>
      <c r="S74" s="120">
        <f t="shared" ca="1" si="43"/>
        <v>0</v>
      </c>
      <c r="T74" s="120">
        <f t="shared" ca="1" si="43"/>
        <v>0</v>
      </c>
      <c r="U74" s="121" cm="2">
        <f t="array" aca="1" ref="U74" ca="1">INDEX($I74:$T74,$U$2)</f>
        <v>62.55</v>
      </c>
      <c r="V74" s="235"/>
      <c r="W74" s="235"/>
      <c r="X74" s="239">
        <f t="shared" ca="1" si="45"/>
        <v>62.55</v>
      </c>
      <c r="Y74" s="52"/>
      <c r="Z74" s="291" cm="1">
        <f t="array" aca="1" ref="Z74" ca="1">IFERROR(U74/OFFSET($H74,,MATCH($G$2,$H$5:$U$5,0)-2,,),"-")</f>
        <v>0.95263478525738654</v>
      </c>
      <c r="AA74" s="230" cm="1">
        <f t="array" aca="1" ref="AA74" ca="1">U74-OFFSET($H74,,MATCH($G$2,$H$5:$U$5,0)-2,,)</f>
        <v>-3.1099999999999994</v>
      </c>
      <c r="AB74" s="230"/>
      <c r="AC74" s="10"/>
      <c r="AD74" s="224" cm="1">
        <f t="array" aca="1" ref="AD74" ca="1">IFERROR(U74/OFFSET($AT74,,MATCH($G$2,$AT$5:$BE$5,0)-1,,),"-")</f>
        <v>1.0425</v>
      </c>
      <c r="AE74" s="225" cm="1">
        <f t="array" aca="1" ref="AE74" ca="1">U74-OFFSET($AT74,,MATCH($G$2,$AT$5:$BE$5,0)-1,,)</f>
        <v>2.5499999999999972</v>
      </c>
      <c r="AF74" s="359"/>
      <c r="AG74" s="1"/>
      <c r="AH74" s="172"/>
      <c r="AI74" s="172"/>
      <c r="AJ74" s="173"/>
      <c r="AL74" s="312">
        <f t="shared" ca="1" si="44"/>
        <v>62.55</v>
      </c>
      <c r="AM74" s="312" t="e" cm="1">
        <f t="array" ref="AM74">INDEX($BG$8:$BQ$83,ROW()-7,MATCH($G$3,$BG$5:$BQ$5,0))</f>
        <v>#N/A</v>
      </c>
      <c r="AN74" s="313" t="e">
        <f t="shared" ca="1" si="46"/>
        <v>#N/A</v>
      </c>
      <c r="AO74" s="314" t="str">
        <f t="shared" ca="1" si="47"/>
        <v/>
      </c>
      <c r="AP74" s="315"/>
      <c r="AR74" s="278">
        <f t="shared" ca="1" si="48"/>
        <v>657.45</v>
      </c>
      <c r="AS74" s="1"/>
      <c r="AT74" s="166">
        <v>60</v>
      </c>
      <c r="AU74" s="108">
        <v>60</v>
      </c>
      <c r="AV74" s="108">
        <v>60</v>
      </c>
      <c r="AW74" s="108">
        <v>60</v>
      </c>
      <c r="AX74" s="108">
        <v>60</v>
      </c>
      <c r="AY74" s="108">
        <v>60</v>
      </c>
      <c r="AZ74" s="108">
        <v>60</v>
      </c>
      <c r="BA74" s="289">
        <v>60</v>
      </c>
      <c r="BB74" s="289">
        <v>60</v>
      </c>
      <c r="BC74" s="289">
        <v>60</v>
      </c>
      <c r="BD74" s="289">
        <v>60</v>
      </c>
      <c r="BE74" s="290">
        <v>60</v>
      </c>
      <c r="BF74" s="20"/>
      <c r="BG74" s="275">
        <f t="shared" si="49"/>
        <v>120</v>
      </c>
      <c r="BH74" s="275">
        <f t="shared" si="50"/>
        <v>180</v>
      </c>
      <c r="BI74" s="275">
        <f t="shared" si="51"/>
        <v>240</v>
      </c>
      <c r="BJ74" s="275">
        <f t="shared" si="52"/>
        <v>300</v>
      </c>
      <c r="BK74" s="275">
        <f t="shared" si="53"/>
        <v>360</v>
      </c>
      <c r="BL74" s="275">
        <f t="shared" si="54"/>
        <v>420</v>
      </c>
      <c r="BM74" s="275">
        <f t="shared" si="55"/>
        <v>480</v>
      </c>
      <c r="BN74" s="275">
        <f t="shared" si="56"/>
        <v>540</v>
      </c>
      <c r="BO74" s="275">
        <f t="shared" si="57"/>
        <v>600</v>
      </c>
      <c r="BP74" s="275">
        <f t="shared" si="58"/>
        <v>660</v>
      </c>
      <c r="BQ74" s="281">
        <f t="shared" si="59"/>
        <v>720</v>
      </c>
    </row>
    <row r="75" spans="1:69" s="11" customFormat="1" ht="25.5">
      <c r="A75" s="125" t="s">
        <v>12</v>
      </c>
      <c r="B75" s="126" t="s">
        <v>12</v>
      </c>
      <c r="C75" s="126" t="s">
        <v>12</v>
      </c>
      <c r="D75" s="126" t="s">
        <v>22</v>
      </c>
      <c r="E75" s="126">
        <v>661001</v>
      </c>
      <c r="F75" s="127">
        <v>62780510</v>
      </c>
      <c r="G75" s="128" t="s">
        <v>67</v>
      </c>
      <c r="H75" s="239">
        <v>640.89</v>
      </c>
      <c r="I75" s="119">
        <f t="shared" ca="1" si="43"/>
        <v>8343.27</v>
      </c>
      <c r="J75" s="120">
        <f t="shared" ca="1" si="43"/>
        <v>0</v>
      </c>
      <c r="K75" s="120">
        <f t="shared" ca="1" si="43"/>
        <v>0</v>
      </c>
      <c r="L75" s="120">
        <f t="shared" ca="1" si="43"/>
        <v>0</v>
      </c>
      <c r="M75" s="120">
        <f t="shared" ca="1" si="43"/>
        <v>0</v>
      </c>
      <c r="N75" s="120">
        <f t="shared" ca="1" si="43"/>
        <v>0</v>
      </c>
      <c r="O75" s="120">
        <f t="shared" ca="1" si="43"/>
        <v>0</v>
      </c>
      <c r="P75" s="120">
        <f t="shared" ca="1" si="43"/>
        <v>0</v>
      </c>
      <c r="Q75" s="120">
        <f t="shared" ca="1" si="43"/>
        <v>0</v>
      </c>
      <c r="R75" s="120">
        <f t="shared" ca="1" si="43"/>
        <v>0</v>
      </c>
      <c r="S75" s="120">
        <f t="shared" ca="1" si="43"/>
        <v>0</v>
      </c>
      <c r="T75" s="120">
        <f t="shared" ca="1" si="43"/>
        <v>0</v>
      </c>
      <c r="U75" s="121" cm="2">
        <f t="array" aca="1" ref="U75" ca="1">INDEX($I75:$T75,$U$2)</f>
        <v>8343.27</v>
      </c>
      <c r="V75" s="235"/>
      <c r="W75" s="235"/>
      <c r="X75" s="239">
        <f t="shared" ca="1" si="45"/>
        <v>8343.27</v>
      </c>
      <c r="Y75" s="52"/>
      <c r="Z75" s="291" cm="1">
        <f t="array" aca="1" ref="Z75" ca="1">IFERROR(U75/OFFSET($H75,,MATCH($G$2,$H$5:$U$5,0)-2,,),"-")</f>
        <v>13.018255862940599</v>
      </c>
      <c r="AA75" s="230" cm="1">
        <f t="array" aca="1" ref="AA75" ca="1">U75-OFFSET($H75,,MATCH($G$2,$H$5:$U$5,0)-2,,)</f>
        <v>7702.38</v>
      </c>
      <c r="AB75" s="230"/>
      <c r="AC75" s="10"/>
      <c r="AD75" s="224" cm="1">
        <f t="array" aca="1" ref="AD75" ca="1">IFERROR(U75/OFFSET($AT75,,MATCH($G$2,$AT$5:$BE$5,0)-1,,),"-")</f>
        <v>78.294465862475462</v>
      </c>
      <c r="AE75" s="225" cm="1">
        <f t="array" aca="1" ref="AE75" ca="1">U75-OFFSET($AT75,,MATCH($G$2,$AT$5:$BE$5,0)-1,,)</f>
        <v>8236.7072958791887</v>
      </c>
      <c r="AF75" s="358" t="s">
        <v>1704</v>
      </c>
      <c r="AG75" s="1"/>
      <c r="AH75" s="172"/>
      <c r="AI75" s="172"/>
      <c r="AJ75" s="173"/>
      <c r="AL75" s="312">
        <f t="shared" ca="1" si="44"/>
        <v>8343.27</v>
      </c>
      <c r="AM75" s="312" t="e" cm="1">
        <f t="array" ref="AM75">INDEX($BG$8:$BQ$83,ROW()-7,MATCH($G$3,$BG$5:$BQ$5,0))</f>
        <v>#N/A</v>
      </c>
      <c r="AN75" s="313" t="e">
        <f t="shared" ca="1" si="46"/>
        <v>#N/A</v>
      </c>
      <c r="AO75" s="314" t="str">
        <f t="shared" ca="1" si="47"/>
        <v/>
      </c>
      <c r="AP75" s="315"/>
      <c r="AR75" s="278">
        <f t="shared" ca="1" si="48"/>
        <v>44498.489580218695</v>
      </c>
      <c r="AS75" s="1"/>
      <c r="AT75" s="166">
        <v>106.56270412081216</v>
      </c>
      <c r="AU75" s="108">
        <v>75.744918608521516</v>
      </c>
      <c r="AV75" s="108">
        <v>565.10257239530233</v>
      </c>
      <c r="AW75" s="108">
        <v>1808.394134466952</v>
      </c>
      <c r="AX75" s="108">
        <v>4777.4784192938814</v>
      </c>
      <c r="AY75" s="108">
        <v>7661.3895861890023</v>
      </c>
      <c r="AZ75" s="108">
        <v>5393.2905933455877</v>
      </c>
      <c r="BA75" s="289">
        <v>1883.8899730835456</v>
      </c>
      <c r="BB75" s="289">
        <v>9255.0748423943987</v>
      </c>
      <c r="BC75" s="289">
        <v>18124.694453428245</v>
      </c>
      <c r="BD75" s="289">
        <v>2720.6720517047529</v>
      </c>
      <c r="BE75" s="290">
        <v>469.46533118770492</v>
      </c>
      <c r="BF75" s="20"/>
      <c r="BG75" s="275">
        <f t="shared" si="49"/>
        <v>182.30762272933367</v>
      </c>
      <c r="BH75" s="275">
        <f t="shared" si="50"/>
        <v>747.41019512463595</v>
      </c>
      <c r="BI75" s="275">
        <f t="shared" si="51"/>
        <v>2555.8043295915877</v>
      </c>
      <c r="BJ75" s="275">
        <f t="shared" si="52"/>
        <v>7333.2827488854691</v>
      </c>
      <c r="BK75" s="275">
        <f t="shared" si="53"/>
        <v>14994.672335074472</v>
      </c>
      <c r="BL75" s="275">
        <f t="shared" si="54"/>
        <v>20387.96292842006</v>
      </c>
      <c r="BM75" s="275">
        <f t="shared" si="55"/>
        <v>22271.852901503604</v>
      </c>
      <c r="BN75" s="275">
        <f t="shared" si="56"/>
        <v>31526.927743898003</v>
      </c>
      <c r="BO75" s="275">
        <f t="shared" si="57"/>
        <v>49651.622197326244</v>
      </c>
      <c r="BP75" s="275">
        <f t="shared" si="58"/>
        <v>52372.294249030994</v>
      </c>
      <c r="BQ75" s="281">
        <f t="shared" si="59"/>
        <v>52841.759580218699</v>
      </c>
    </row>
    <row r="76" spans="1:69" s="11" customFormat="1" ht="20.100000000000001" customHeight="1">
      <c r="A76" s="125" t="s">
        <v>0</v>
      </c>
      <c r="B76" s="126" t="s">
        <v>0</v>
      </c>
      <c r="C76" s="126" t="s">
        <v>45</v>
      </c>
      <c r="D76" s="126" t="s">
        <v>22</v>
      </c>
      <c r="E76" s="126">
        <v>624121</v>
      </c>
      <c r="F76" s="127">
        <v>62780521</v>
      </c>
      <c r="G76" s="128" t="s">
        <v>541</v>
      </c>
      <c r="H76" s="239">
        <v>0</v>
      </c>
      <c r="I76" s="119">
        <f t="shared" ca="1" si="43"/>
        <v>0</v>
      </c>
      <c r="J76" s="120">
        <f t="shared" ca="1" si="43"/>
        <v>0</v>
      </c>
      <c r="K76" s="120">
        <f t="shared" ca="1" si="43"/>
        <v>0</v>
      </c>
      <c r="L76" s="120">
        <f t="shared" ca="1" si="43"/>
        <v>0</v>
      </c>
      <c r="M76" s="120">
        <f t="shared" ca="1" si="43"/>
        <v>0</v>
      </c>
      <c r="N76" s="120">
        <f t="shared" ca="1" si="43"/>
        <v>0</v>
      </c>
      <c r="O76" s="120">
        <f t="shared" ca="1" si="43"/>
        <v>0</v>
      </c>
      <c r="P76" s="120">
        <f t="shared" ca="1" si="43"/>
        <v>0</v>
      </c>
      <c r="Q76" s="120">
        <f t="shared" ca="1" si="43"/>
        <v>0</v>
      </c>
      <c r="R76" s="120">
        <f t="shared" ca="1" si="43"/>
        <v>0</v>
      </c>
      <c r="S76" s="120">
        <f t="shared" ca="1" si="43"/>
        <v>0</v>
      </c>
      <c r="T76" s="120">
        <f t="shared" ca="1" si="43"/>
        <v>0</v>
      </c>
      <c r="U76" s="121" cm="2">
        <f t="array" aca="1" ref="U76" ca="1">INDEX($I76:$T76,$U$2)</f>
        <v>0</v>
      </c>
      <c r="V76" s="235"/>
      <c r="W76" s="235"/>
      <c r="X76" s="239">
        <f t="shared" ca="1" si="45"/>
        <v>0</v>
      </c>
      <c r="Y76" s="52"/>
      <c r="Z76" s="291" t="str" cm="1">
        <f t="array" aca="1" ref="Z76" ca="1">IFERROR(U76/OFFSET($H76,,MATCH($G$2,$H$5:$U$5,0)-2,,),"-")</f>
        <v>-</v>
      </c>
      <c r="AA76" s="230" cm="1">
        <f t="array" aca="1" ref="AA76" ca="1">U76-OFFSET($H76,,MATCH($G$2,$H$5:$U$5,0)-2,,)</f>
        <v>0</v>
      </c>
      <c r="AB76" s="230"/>
      <c r="AC76" s="10"/>
      <c r="AD76" s="224" t="str" cm="1">
        <f t="array" aca="1" ref="AD76" ca="1">IFERROR(U76/OFFSET($AT76,,MATCH($G$2,$AT$5:$BE$5,0)-1,,),"-")</f>
        <v>-</v>
      </c>
      <c r="AE76" s="225" cm="1">
        <f t="array" aca="1" ref="AE76" ca="1">U76-OFFSET($AT76,,MATCH($G$2,$AT$5:$BE$5,0)-1,,)</f>
        <v>0</v>
      </c>
      <c r="AF76" s="359"/>
      <c r="AG76" s="1"/>
      <c r="AH76" s="172"/>
      <c r="AI76" s="172"/>
      <c r="AJ76" s="173"/>
      <c r="AL76" s="312">
        <f t="shared" ca="1" si="44"/>
        <v>0</v>
      </c>
      <c r="AM76" s="312" t="e" cm="1">
        <f t="array" ref="AM76">INDEX($BG$8:$BQ$83,ROW()-7,MATCH($G$3,$BG$5:$BQ$5,0))</f>
        <v>#N/A</v>
      </c>
      <c r="AN76" s="313" t="e">
        <f t="shared" ca="1" si="46"/>
        <v>#N/A</v>
      </c>
      <c r="AO76" s="314" t="str">
        <f t="shared" ca="1" si="47"/>
        <v/>
      </c>
      <c r="AP76" s="315"/>
      <c r="AR76" s="278">
        <f t="shared" ca="1" si="48"/>
        <v>0</v>
      </c>
      <c r="AS76" s="1"/>
      <c r="AT76" s="166">
        <v>0</v>
      </c>
      <c r="AU76" s="108">
        <v>0</v>
      </c>
      <c r="AV76" s="108">
        <v>0</v>
      </c>
      <c r="AW76" s="108">
        <v>0</v>
      </c>
      <c r="AX76" s="108">
        <v>0</v>
      </c>
      <c r="AY76" s="108">
        <v>0</v>
      </c>
      <c r="AZ76" s="108">
        <v>0</v>
      </c>
      <c r="BA76" s="289">
        <v>0</v>
      </c>
      <c r="BB76" s="289">
        <v>0</v>
      </c>
      <c r="BC76" s="289">
        <v>0</v>
      </c>
      <c r="BD76" s="289">
        <v>0</v>
      </c>
      <c r="BE76" s="290">
        <v>0</v>
      </c>
      <c r="BF76" s="20"/>
      <c r="BG76" s="275">
        <f t="shared" si="49"/>
        <v>0</v>
      </c>
      <c r="BH76" s="275">
        <f t="shared" si="50"/>
        <v>0</v>
      </c>
      <c r="BI76" s="275">
        <f t="shared" si="51"/>
        <v>0</v>
      </c>
      <c r="BJ76" s="275">
        <f t="shared" si="52"/>
        <v>0</v>
      </c>
      <c r="BK76" s="275">
        <f t="shared" si="53"/>
        <v>0</v>
      </c>
      <c r="BL76" s="275">
        <f t="shared" si="54"/>
        <v>0</v>
      </c>
      <c r="BM76" s="275">
        <f t="shared" si="55"/>
        <v>0</v>
      </c>
      <c r="BN76" s="275">
        <f t="shared" si="56"/>
        <v>0</v>
      </c>
      <c r="BO76" s="275">
        <f t="shared" si="57"/>
        <v>0</v>
      </c>
      <c r="BP76" s="275">
        <f t="shared" si="58"/>
        <v>0</v>
      </c>
      <c r="BQ76" s="281">
        <f t="shared" si="59"/>
        <v>0</v>
      </c>
    </row>
    <row r="77" spans="1:69" s="11" customFormat="1" ht="20.100000000000001" customHeight="1">
      <c r="A77" s="125" t="s">
        <v>0</v>
      </c>
      <c r="B77" s="126" t="s">
        <v>0</v>
      </c>
      <c r="C77" s="126" t="s">
        <v>45</v>
      </c>
      <c r="D77" s="126" t="s">
        <v>22</v>
      </c>
      <c r="E77" s="126">
        <v>662601</v>
      </c>
      <c r="F77" s="127">
        <v>62780522</v>
      </c>
      <c r="G77" s="128" t="s">
        <v>68</v>
      </c>
      <c r="H77" s="239">
        <v>0</v>
      </c>
      <c r="I77" s="119">
        <f t="shared" ca="1" si="43"/>
        <v>0</v>
      </c>
      <c r="J77" s="120">
        <f t="shared" ca="1" si="43"/>
        <v>0</v>
      </c>
      <c r="K77" s="120">
        <f t="shared" ca="1" si="43"/>
        <v>0</v>
      </c>
      <c r="L77" s="120">
        <f t="shared" ca="1" si="43"/>
        <v>0</v>
      </c>
      <c r="M77" s="120">
        <f t="shared" ca="1" si="43"/>
        <v>0</v>
      </c>
      <c r="N77" s="120">
        <f t="shared" ca="1" si="43"/>
        <v>0</v>
      </c>
      <c r="O77" s="120">
        <f t="shared" ca="1" si="43"/>
        <v>0</v>
      </c>
      <c r="P77" s="120">
        <f t="shared" ca="1" si="43"/>
        <v>0</v>
      </c>
      <c r="Q77" s="120">
        <f t="shared" ca="1" si="43"/>
        <v>0</v>
      </c>
      <c r="R77" s="120">
        <f t="shared" ca="1" si="43"/>
        <v>0</v>
      </c>
      <c r="S77" s="120">
        <f t="shared" ca="1" si="43"/>
        <v>0</v>
      </c>
      <c r="T77" s="120">
        <f t="shared" ca="1" si="43"/>
        <v>0</v>
      </c>
      <c r="U77" s="121" cm="2">
        <f t="array" aca="1" ref="U77" ca="1">INDEX($I77:$T77,$U$2)</f>
        <v>0</v>
      </c>
      <c r="V77" s="235"/>
      <c r="W77" s="235"/>
      <c r="X77" s="239">
        <f t="shared" ca="1" si="45"/>
        <v>0</v>
      </c>
      <c r="Y77" s="52"/>
      <c r="Z77" s="291" t="str" cm="1">
        <f t="array" aca="1" ref="Z77" ca="1">IFERROR(U77/OFFSET($H77,,MATCH($G$2,$H$5:$U$5,0)-2,,),"-")</f>
        <v>-</v>
      </c>
      <c r="AA77" s="230" cm="1">
        <f t="array" aca="1" ref="AA77" ca="1">U77-OFFSET($H77,,MATCH($G$2,$H$5:$U$5,0)-2,,)</f>
        <v>0</v>
      </c>
      <c r="AB77" s="230"/>
      <c r="AC77" s="10"/>
      <c r="AD77" s="224" t="str" cm="1">
        <f t="array" aca="1" ref="AD77" ca="1">IFERROR(U77/OFFSET($AT77,,MATCH($G$2,$AT$5:$BE$5,0)-1,,),"-")</f>
        <v>-</v>
      </c>
      <c r="AE77" s="225" cm="1">
        <f t="array" aca="1" ref="AE77" ca="1">U77-OFFSET($AT77,,MATCH($G$2,$AT$5:$BE$5,0)-1,,)</f>
        <v>0</v>
      </c>
      <c r="AF77" s="359"/>
      <c r="AG77" s="1"/>
      <c r="AH77" s="172"/>
      <c r="AI77" s="172"/>
      <c r="AJ77" s="173"/>
      <c r="AL77" s="312">
        <f t="shared" ca="1" si="44"/>
        <v>0</v>
      </c>
      <c r="AM77" s="312" t="e" cm="1">
        <f t="array" ref="AM77">INDEX($BG$8:$BQ$83,ROW()-7,MATCH($G$3,$BG$5:$BQ$5,0))</f>
        <v>#N/A</v>
      </c>
      <c r="AN77" s="313" t="e">
        <f t="shared" ca="1" si="46"/>
        <v>#N/A</v>
      </c>
      <c r="AO77" s="314" t="str">
        <f t="shared" ca="1" si="47"/>
        <v/>
      </c>
      <c r="AP77" s="315"/>
      <c r="AR77" s="278">
        <f t="shared" ca="1" si="48"/>
        <v>25005.230769230777</v>
      </c>
      <c r="AS77" s="1"/>
      <c r="AT77" s="166">
        <v>0</v>
      </c>
      <c r="AU77" s="108">
        <v>0</v>
      </c>
      <c r="AV77" s="108">
        <v>0</v>
      </c>
      <c r="AW77" s="108">
        <v>24111.692307692309</v>
      </c>
      <c r="AX77" s="108">
        <v>111.69230769230769</v>
      </c>
      <c r="AY77" s="108">
        <v>111.69230769230769</v>
      </c>
      <c r="AZ77" s="108">
        <v>111.69230769230769</v>
      </c>
      <c r="BA77" s="289">
        <v>111.69230769230769</v>
      </c>
      <c r="BB77" s="289">
        <v>111.69230769230769</v>
      </c>
      <c r="BC77" s="289">
        <v>111.69230769230769</v>
      </c>
      <c r="BD77" s="289">
        <v>111.69230769230769</v>
      </c>
      <c r="BE77" s="290">
        <v>111.69230769230769</v>
      </c>
      <c r="BF77" s="20"/>
      <c r="BG77" s="275">
        <f t="shared" si="49"/>
        <v>0</v>
      </c>
      <c r="BH77" s="275">
        <f t="shared" si="50"/>
        <v>0</v>
      </c>
      <c r="BI77" s="275">
        <f t="shared" si="51"/>
        <v>24111.692307692309</v>
      </c>
      <c r="BJ77" s="275">
        <f t="shared" si="52"/>
        <v>24223.384615384617</v>
      </c>
      <c r="BK77" s="275">
        <f t="shared" si="53"/>
        <v>24335.076923076926</v>
      </c>
      <c r="BL77" s="275">
        <f t="shared" si="54"/>
        <v>24446.769230769234</v>
      </c>
      <c r="BM77" s="275">
        <f t="shared" si="55"/>
        <v>24558.461538461543</v>
      </c>
      <c r="BN77" s="275">
        <f t="shared" si="56"/>
        <v>24670.153846153851</v>
      </c>
      <c r="BO77" s="275">
        <f t="shared" si="57"/>
        <v>24781.84615384616</v>
      </c>
      <c r="BP77" s="275">
        <f t="shared" si="58"/>
        <v>24893.538461538468</v>
      </c>
      <c r="BQ77" s="281">
        <f t="shared" si="59"/>
        <v>25005.230769230777</v>
      </c>
    </row>
    <row r="78" spans="1:69" s="11" customFormat="1" ht="20.100000000000001" customHeight="1">
      <c r="A78" s="125" t="s">
        <v>0</v>
      </c>
      <c r="B78" s="126" t="s">
        <v>0</v>
      </c>
      <c r="C78" s="126" t="s">
        <v>45</v>
      </c>
      <c r="D78" s="126" t="s">
        <v>22</v>
      </c>
      <c r="E78" s="126">
        <v>624161</v>
      </c>
      <c r="F78" s="127">
        <v>62780601</v>
      </c>
      <c r="G78" s="128" t="s">
        <v>542</v>
      </c>
      <c r="H78" s="239">
        <v>18570.490000000002</v>
      </c>
      <c r="I78" s="119">
        <f t="shared" ref="I78:T83" ca="1" si="60">SUMIFS(INDIRECT(I$5&amp;"!N:N"),INDIRECT(I$5&amp;"!L:L"),$E78,INDIRECT(I$5&amp;"!K:K"),50)-SUMIFS(INDIRECT(I$5&amp;"!N:N"),INDIRECT(I$5&amp;"!L:L"),$E78,INDIRECT(I$5&amp;"!K:K"),40)</f>
        <v>47074.559999999998</v>
      </c>
      <c r="J78" s="120">
        <f t="shared" ca="1" si="60"/>
        <v>0</v>
      </c>
      <c r="K78" s="120">
        <f t="shared" ca="1" si="60"/>
        <v>0</v>
      </c>
      <c r="L78" s="120">
        <f t="shared" ca="1" si="60"/>
        <v>0</v>
      </c>
      <c r="M78" s="120">
        <f t="shared" ca="1" si="60"/>
        <v>0</v>
      </c>
      <c r="N78" s="120">
        <f t="shared" ca="1" si="60"/>
        <v>0</v>
      </c>
      <c r="O78" s="120">
        <f t="shared" ca="1" si="60"/>
        <v>0</v>
      </c>
      <c r="P78" s="120">
        <f t="shared" ca="1" si="60"/>
        <v>0</v>
      </c>
      <c r="Q78" s="120">
        <f t="shared" ca="1" si="60"/>
        <v>0</v>
      </c>
      <c r="R78" s="120">
        <f t="shared" ca="1" si="60"/>
        <v>0</v>
      </c>
      <c r="S78" s="120">
        <f t="shared" ca="1" si="60"/>
        <v>0</v>
      </c>
      <c r="T78" s="120">
        <f t="shared" ca="1" si="60"/>
        <v>0</v>
      </c>
      <c r="U78" s="121" cm="2">
        <f t="array" aca="1" ref="U78" ca="1">INDEX($I78:$T78,$U$2)</f>
        <v>47074.559999999998</v>
      </c>
      <c r="V78" s="235"/>
      <c r="W78" s="235"/>
      <c r="X78" s="239">
        <f t="shared" ca="1" si="45"/>
        <v>47074.559999999998</v>
      </c>
      <c r="Y78" s="52"/>
      <c r="Z78" s="291" cm="1">
        <f t="array" aca="1" ref="Z78" ca="1">IFERROR(U78/OFFSET($H78,,MATCH($G$2,$H$5:$U$5,0)-2,,),"-")</f>
        <v>2.5349121105582024</v>
      </c>
      <c r="AA78" s="230" cm="1">
        <f t="array" aca="1" ref="AA78" ca="1">U78-OFFSET($H78,,MATCH($G$2,$H$5:$U$5,0)-2,,)</f>
        <v>28504.069999999996</v>
      </c>
      <c r="AB78" s="230"/>
      <c r="AC78" s="10"/>
      <c r="AD78" s="224" cm="1">
        <f t="array" aca="1" ref="AD78" ca="1">IFERROR(U78/OFFSET($AT78,,MATCH($G$2,$AT$5:$BE$5,0)-1,,),"-")</f>
        <v>1.1763074286272477</v>
      </c>
      <c r="AE78" s="225" cm="1">
        <f t="array" aca="1" ref="AE78" ca="1">U78-OFFSET($AT78,,MATCH($G$2,$AT$5:$BE$5,0)-1,,)</f>
        <v>7055.6339485543576</v>
      </c>
      <c r="AF78" s="358"/>
      <c r="AG78" s="1"/>
      <c r="AH78" s="172"/>
      <c r="AI78" s="172"/>
      <c r="AJ78" s="173"/>
      <c r="AL78" s="312">
        <f t="shared" ca="1" si="44"/>
        <v>47074.559999999998</v>
      </c>
      <c r="AM78" s="312" t="e" cm="1">
        <f t="array" ref="AM78">INDEX($BG$8:$BQ$83,ROW()-7,MATCH($G$3,$BG$5:$BQ$5,0))</f>
        <v>#N/A</v>
      </c>
      <c r="AN78" s="313" t="e">
        <f t="shared" ca="1" si="46"/>
        <v>#N/A</v>
      </c>
      <c r="AO78" s="314" t="str">
        <f t="shared" ca="1" si="47"/>
        <v/>
      </c>
      <c r="AP78" s="315"/>
      <c r="AR78" s="278">
        <f t="shared" ca="1" si="48"/>
        <v>274323.03316378704</v>
      </c>
      <c r="AS78" s="1"/>
      <c r="AT78" s="166">
        <v>40018.92605144564</v>
      </c>
      <c r="AU78" s="108">
        <v>16871.196127754542</v>
      </c>
      <c r="AV78" s="108">
        <v>14093.193995320245</v>
      </c>
      <c r="AW78" s="108">
        <v>12310.578457209325</v>
      </c>
      <c r="AX78" s="108">
        <v>17684.723070946104</v>
      </c>
      <c r="AY78" s="108">
        <v>105570.63270483931</v>
      </c>
      <c r="AZ78" s="108">
        <v>13486.731738807359</v>
      </c>
      <c r="BA78" s="292">
        <v>25679.740336935465</v>
      </c>
      <c r="BB78" s="292">
        <v>13158.960923031007</v>
      </c>
      <c r="BC78" s="292">
        <v>20209.594573510793</v>
      </c>
      <c r="BD78" s="292">
        <v>18196.982861104181</v>
      </c>
      <c r="BE78" s="293">
        <v>24116.332322883056</v>
      </c>
      <c r="BF78" s="317"/>
      <c r="BG78" s="276">
        <f t="shared" si="49"/>
        <v>56890.122179200182</v>
      </c>
      <c r="BH78" s="276">
        <f t="shared" si="50"/>
        <v>70983.316174520427</v>
      </c>
      <c r="BI78" s="276">
        <f t="shared" si="51"/>
        <v>83293.894631729752</v>
      </c>
      <c r="BJ78" s="276">
        <f t="shared" si="52"/>
        <v>100978.61770267585</v>
      </c>
      <c r="BK78" s="276">
        <f t="shared" si="53"/>
        <v>206549.25040751515</v>
      </c>
      <c r="BL78" s="276">
        <f t="shared" si="54"/>
        <v>220035.98214632252</v>
      </c>
      <c r="BM78" s="276">
        <f t="shared" si="55"/>
        <v>245715.722483258</v>
      </c>
      <c r="BN78" s="276">
        <f t="shared" si="56"/>
        <v>258874.683406289</v>
      </c>
      <c r="BO78" s="276">
        <f t="shared" si="57"/>
        <v>279084.27797979978</v>
      </c>
      <c r="BP78" s="276">
        <f t="shared" si="58"/>
        <v>297281.26084090397</v>
      </c>
      <c r="BQ78" s="278">
        <f t="shared" si="59"/>
        <v>321397.59316378704</v>
      </c>
    </row>
    <row r="79" spans="1:69" s="11" customFormat="1" ht="20.100000000000001" customHeight="1">
      <c r="A79" s="125" t="s">
        <v>0</v>
      </c>
      <c r="B79" s="126" t="s">
        <v>0</v>
      </c>
      <c r="C79" s="126" t="s">
        <v>45</v>
      </c>
      <c r="D79" s="126" t="s">
        <v>22</v>
      </c>
      <c r="E79" s="126">
        <v>662701</v>
      </c>
      <c r="F79" s="127">
        <v>62780602</v>
      </c>
      <c r="G79" s="128" t="s">
        <v>66</v>
      </c>
      <c r="H79" s="239">
        <v>380.13</v>
      </c>
      <c r="I79" s="119">
        <f t="shared" ca="1" si="60"/>
        <v>314.61</v>
      </c>
      <c r="J79" s="120">
        <f t="shared" ca="1" si="60"/>
        <v>0</v>
      </c>
      <c r="K79" s="120">
        <f t="shared" ca="1" si="60"/>
        <v>0</v>
      </c>
      <c r="L79" s="120">
        <f t="shared" ca="1" si="60"/>
        <v>0</v>
      </c>
      <c r="M79" s="120">
        <f t="shared" ca="1" si="60"/>
        <v>0</v>
      </c>
      <c r="N79" s="120">
        <f t="shared" ca="1" si="60"/>
        <v>0</v>
      </c>
      <c r="O79" s="120">
        <f t="shared" ca="1" si="60"/>
        <v>0</v>
      </c>
      <c r="P79" s="120">
        <f t="shared" ca="1" si="60"/>
        <v>0</v>
      </c>
      <c r="Q79" s="120">
        <f t="shared" ca="1" si="60"/>
        <v>0</v>
      </c>
      <c r="R79" s="120">
        <f t="shared" ca="1" si="60"/>
        <v>0</v>
      </c>
      <c r="S79" s="120">
        <f t="shared" ca="1" si="60"/>
        <v>0</v>
      </c>
      <c r="T79" s="120">
        <f t="shared" ca="1" si="60"/>
        <v>0</v>
      </c>
      <c r="U79" s="121" cm="2">
        <f t="array" aca="1" ref="U79" ca="1">INDEX($I79:$T79,$U$2)</f>
        <v>314.61</v>
      </c>
      <c r="V79" s="235"/>
      <c r="W79" s="235"/>
      <c r="X79" s="239">
        <f t="shared" ca="1" si="45"/>
        <v>314.61</v>
      </c>
      <c r="Y79" s="52"/>
      <c r="Z79" s="291" cm="1">
        <f t="array" aca="1" ref="Z79" ca="1">IFERROR(U79/OFFSET($H79,,MATCH($G$2,$H$5:$U$5,0)-2,,),"-")</f>
        <v>0.82763791334543446</v>
      </c>
      <c r="AA79" s="230" cm="1">
        <f t="array" aca="1" ref="AA79" ca="1">U79-OFFSET($H79,,MATCH($G$2,$H$5:$U$5,0)-2,,)</f>
        <v>-65.519999999999982</v>
      </c>
      <c r="AB79" s="230"/>
      <c r="AC79" s="10"/>
      <c r="AD79" s="224" cm="1">
        <f t="array" aca="1" ref="AD79" ca="1">IFERROR(U79/OFFSET($AT79,,MATCH($G$2,$AT$5:$BE$5,0)-1,,),"-")</f>
        <v>0.13916670721511765</v>
      </c>
      <c r="AE79" s="225" cm="1">
        <f t="array" aca="1" ref="AE79" ca="1">U79-OFFSET($AT79,,MATCH($G$2,$AT$5:$BE$5,0)-1,,)</f>
        <v>-1946.06</v>
      </c>
      <c r="AF79" s="359"/>
      <c r="AG79" s="1"/>
      <c r="AH79" s="172"/>
      <c r="AI79" s="172"/>
      <c r="AJ79" s="173"/>
      <c r="AL79" s="312">
        <f t="shared" ca="1" si="44"/>
        <v>314.61</v>
      </c>
      <c r="AM79" s="312" t="e" cm="1">
        <f t="array" ref="AM79">INDEX($BG$8:$BQ$83,ROW()-7,MATCH($G$3,$BG$5:$BQ$5,0))</f>
        <v>#N/A</v>
      </c>
      <c r="AN79" s="313" t="e">
        <f t="shared" ca="1" si="46"/>
        <v>#N/A</v>
      </c>
      <c r="AO79" s="314" t="str">
        <f t="shared" ca="1" si="47"/>
        <v/>
      </c>
      <c r="AP79" s="315"/>
      <c r="AR79" s="278">
        <f t="shared" ca="1" si="48"/>
        <v>31263.115940753964</v>
      </c>
      <c r="AS79" s="1"/>
      <c r="AT79" s="166">
        <v>2260.67</v>
      </c>
      <c r="AU79" s="108">
        <v>1800</v>
      </c>
      <c r="AV79" s="108">
        <v>1028.5200000000002</v>
      </c>
      <c r="AW79" s="108">
        <v>800</v>
      </c>
      <c r="AX79" s="108">
        <v>800</v>
      </c>
      <c r="AY79" s="108">
        <v>4093.42</v>
      </c>
      <c r="AZ79" s="108">
        <v>730</v>
      </c>
      <c r="BA79" s="289">
        <v>2019.93</v>
      </c>
      <c r="BB79" s="289">
        <v>13365.185940753963</v>
      </c>
      <c r="BC79" s="289">
        <v>1820</v>
      </c>
      <c r="BD79" s="289">
        <v>1860</v>
      </c>
      <c r="BE79" s="290">
        <v>1000</v>
      </c>
      <c r="BF79" s="20"/>
      <c r="BG79" s="275">
        <f t="shared" si="49"/>
        <v>4060.67</v>
      </c>
      <c r="BH79" s="275">
        <f t="shared" si="50"/>
        <v>5089.1900000000005</v>
      </c>
      <c r="BI79" s="275">
        <f t="shared" si="51"/>
        <v>5889.1900000000005</v>
      </c>
      <c r="BJ79" s="275">
        <f t="shared" si="52"/>
        <v>6689.1900000000005</v>
      </c>
      <c r="BK79" s="275">
        <f t="shared" si="53"/>
        <v>10782.61</v>
      </c>
      <c r="BL79" s="275">
        <f t="shared" si="54"/>
        <v>11512.61</v>
      </c>
      <c r="BM79" s="275">
        <f t="shared" si="55"/>
        <v>13532.54</v>
      </c>
      <c r="BN79" s="275">
        <f t="shared" si="56"/>
        <v>26897.725940753964</v>
      </c>
      <c r="BO79" s="275">
        <f t="shared" si="57"/>
        <v>28717.725940753964</v>
      </c>
      <c r="BP79" s="275">
        <f t="shared" si="58"/>
        <v>30577.725940753964</v>
      </c>
      <c r="BQ79" s="281">
        <f t="shared" si="59"/>
        <v>31577.725940753964</v>
      </c>
    </row>
    <row r="80" spans="1:69" s="11" customFormat="1" ht="20.100000000000001" customHeight="1">
      <c r="A80" s="125" t="s">
        <v>12</v>
      </c>
      <c r="B80" s="126" t="s">
        <v>12</v>
      </c>
      <c r="C80" s="126" t="s">
        <v>12</v>
      </c>
      <c r="D80" s="126" t="s">
        <v>22</v>
      </c>
      <c r="E80" s="126">
        <v>672010</v>
      </c>
      <c r="F80" s="127">
        <v>62780800</v>
      </c>
      <c r="G80" s="128" t="s">
        <v>543</v>
      </c>
      <c r="H80" s="239">
        <v>0</v>
      </c>
      <c r="I80" s="119">
        <f t="shared" ca="1" si="60"/>
        <v>0</v>
      </c>
      <c r="J80" s="120">
        <f t="shared" ca="1" si="60"/>
        <v>0</v>
      </c>
      <c r="K80" s="120">
        <f t="shared" ca="1" si="60"/>
        <v>0</v>
      </c>
      <c r="L80" s="120">
        <f t="shared" ca="1" si="60"/>
        <v>0</v>
      </c>
      <c r="M80" s="120">
        <f t="shared" ca="1" si="60"/>
        <v>0</v>
      </c>
      <c r="N80" s="120">
        <f t="shared" ca="1" si="60"/>
        <v>0</v>
      </c>
      <c r="O80" s="120">
        <f t="shared" ca="1" si="60"/>
        <v>0</v>
      </c>
      <c r="P80" s="120">
        <f t="shared" ca="1" si="60"/>
        <v>0</v>
      </c>
      <c r="Q80" s="120">
        <f t="shared" ca="1" si="60"/>
        <v>0</v>
      </c>
      <c r="R80" s="120">
        <f t="shared" ca="1" si="60"/>
        <v>0</v>
      </c>
      <c r="S80" s="120">
        <f t="shared" ca="1" si="60"/>
        <v>0</v>
      </c>
      <c r="T80" s="120">
        <f t="shared" ca="1" si="60"/>
        <v>0</v>
      </c>
      <c r="U80" s="121" cm="2">
        <f t="array" aca="1" ref="U80" ca="1">INDEX($I80:$T80,$U$2)</f>
        <v>0</v>
      </c>
      <c r="V80" s="235"/>
      <c r="W80" s="235"/>
      <c r="X80" s="239">
        <f t="shared" ca="1" si="45"/>
        <v>0</v>
      </c>
      <c r="Y80" s="52"/>
      <c r="Z80" s="291" t="str" cm="1">
        <f t="array" aca="1" ref="Z80" ca="1">IFERROR(U80/OFFSET($H80,,MATCH($G$2,$H$5:$U$5,0)-2,,),"-")</f>
        <v>-</v>
      </c>
      <c r="AA80" s="230" cm="1">
        <f t="array" aca="1" ref="AA80" ca="1">U80-OFFSET($H80,,MATCH($G$2,$H$5:$U$5,0)-2,,)</f>
        <v>0</v>
      </c>
      <c r="AB80" s="230"/>
      <c r="AC80" s="10"/>
      <c r="AD80" s="224" t="str" cm="1">
        <f t="array" aca="1" ref="AD80" ca="1">IFERROR(U80/OFFSET($AT80,,MATCH($G$2,$AT$5:$BE$5,0)-1,,),"-")</f>
        <v>-</v>
      </c>
      <c r="AE80" s="225" cm="1">
        <f t="array" aca="1" ref="AE80" ca="1">U80-OFFSET($AT80,,MATCH($G$2,$AT$5:$BE$5,0)-1,,)</f>
        <v>0</v>
      </c>
      <c r="AF80" s="359"/>
      <c r="AG80" s="1"/>
      <c r="AH80" s="172"/>
      <c r="AI80" s="172"/>
      <c r="AJ80" s="173"/>
      <c r="AL80" s="312">
        <f t="shared" ca="1" si="44"/>
        <v>0</v>
      </c>
      <c r="AM80" s="312" t="e" cm="1">
        <f t="array" ref="AM80">INDEX($BG$8:$BQ$83,ROW()-7,MATCH($G$3,$BG$5:$BQ$5,0))</f>
        <v>#N/A</v>
      </c>
      <c r="AN80" s="313" t="e">
        <f t="shared" ca="1" si="46"/>
        <v>#N/A</v>
      </c>
      <c r="AO80" s="314" t="str">
        <f t="shared" ca="1" si="47"/>
        <v/>
      </c>
      <c r="AP80" s="315"/>
      <c r="AR80" s="278">
        <f t="shared" ca="1" si="48"/>
        <v>65.545116888791782</v>
      </c>
      <c r="AS80" s="1"/>
      <c r="AT80" s="166">
        <v>0</v>
      </c>
      <c r="AU80" s="108">
        <v>0</v>
      </c>
      <c r="AV80" s="108">
        <v>21.848372296263928</v>
      </c>
      <c r="AW80" s="108">
        <v>0</v>
      </c>
      <c r="AX80" s="108">
        <v>0</v>
      </c>
      <c r="AY80" s="108">
        <v>0</v>
      </c>
      <c r="AZ80" s="108">
        <v>21.848372296263928</v>
      </c>
      <c r="BA80" s="289">
        <v>0</v>
      </c>
      <c r="BB80" s="289">
        <v>0</v>
      </c>
      <c r="BC80" s="289">
        <v>0</v>
      </c>
      <c r="BD80" s="289">
        <v>0</v>
      </c>
      <c r="BE80" s="290">
        <v>21.848372296263928</v>
      </c>
      <c r="BF80" s="20"/>
      <c r="BG80" s="275">
        <f t="shared" si="49"/>
        <v>0</v>
      </c>
      <c r="BH80" s="275">
        <f t="shared" si="50"/>
        <v>21.848372296263928</v>
      </c>
      <c r="BI80" s="275">
        <f t="shared" si="51"/>
        <v>21.848372296263928</v>
      </c>
      <c r="BJ80" s="275">
        <f t="shared" si="52"/>
        <v>21.848372296263928</v>
      </c>
      <c r="BK80" s="275">
        <f t="shared" si="53"/>
        <v>21.848372296263928</v>
      </c>
      <c r="BL80" s="275">
        <f t="shared" si="54"/>
        <v>43.696744592527857</v>
      </c>
      <c r="BM80" s="275">
        <f t="shared" si="55"/>
        <v>43.696744592527857</v>
      </c>
      <c r="BN80" s="275">
        <f t="shared" si="56"/>
        <v>43.696744592527857</v>
      </c>
      <c r="BO80" s="275">
        <f t="shared" si="57"/>
        <v>43.696744592527857</v>
      </c>
      <c r="BP80" s="275">
        <f t="shared" si="58"/>
        <v>43.696744592527857</v>
      </c>
      <c r="BQ80" s="281">
        <f t="shared" si="59"/>
        <v>65.545116888791782</v>
      </c>
    </row>
    <row r="81" spans="1:69" s="11" customFormat="1" ht="20.100000000000001" customHeight="1">
      <c r="A81" s="125" t="s">
        <v>12</v>
      </c>
      <c r="B81" s="126" t="s">
        <v>12</v>
      </c>
      <c r="C81" s="126" t="s">
        <v>12</v>
      </c>
      <c r="D81" s="126" t="s">
        <v>22</v>
      </c>
      <c r="E81" s="126">
        <v>667821</v>
      </c>
      <c r="F81" s="127">
        <v>62781000</v>
      </c>
      <c r="G81" s="128" t="s">
        <v>544</v>
      </c>
      <c r="H81" s="239">
        <v>3604.1</v>
      </c>
      <c r="I81" s="119">
        <f t="shared" ca="1" si="60"/>
        <v>4498.6699999999992</v>
      </c>
      <c r="J81" s="120">
        <f t="shared" ca="1" si="60"/>
        <v>0</v>
      </c>
      <c r="K81" s="120">
        <f t="shared" ca="1" si="60"/>
        <v>0</v>
      </c>
      <c r="L81" s="120">
        <f t="shared" ca="1" si="60"/>
        <v>0</v>
      </c>
      <c r="M81" s="120">
        <f t="shared" ca="1" si="60"/>
        <v>0</v>
      </c>
      <c r="N81" s="120">
        <f t="shared" ca="1" si="60"/>
        <v>0</v>
      </c>
      <c r="O81" s="120">
        <f t="shared" ca="1" si="60"/>
        <v>0</v>
      </c>
      <c r="P81" s="120">
        <f t="shared" ca="1" si="60"/>
        <v>0</v>
      </c>
      <c r="Q81" s="120">
        <f t="shared" ca="1" si="60"/>
        <v>0</v>
      </c>
      <c r="R81" s="120">
        <f t="shared" ca="1" si="60"/>
        <v>0</v>
      </c>
      <c r="S81" s="120">
        <f t="shared" ca="1" si="60"/>
        <v>0</v>
      </c>
      <c r="T81" s="120">
        <f t="shared" ca="1" si="60"/>
        <v>0</v>
      </c>
      <c r="U81" s="121" cm="2">
        <f t="array" aca="1" ref="U81" ca="1">INDEX($I81:$T81,$U$2)</f>
        <v>4498.6699999999992</v>
      </c>
      <c r="V81" s="235"/>
      <c r="W81" s="235"/>
      <c r="X81" s="239">
        <f t="shared" ca="1" si="45"/>
        <v>4498.6699999999992</v>
      </c>
      <c r="Y81" s="52"/>
      <c r="Z81" s="291" cm="1">
        <f t="array" aca="1" ref="Z81" ca="1">IFERROR(U81/OFFSET($H81,,MATCH($G$2,$H$5:$U$5,0)-2,,),"-")</f>
        <v>1.2482089842124244</v>
      </c>
      <c r="AA81" s="230" cm="1">
        <f t="array" aca="1" ref="AA81" ca="1">U81-OFFSET($H81,,MATCH($G$2,$H$5:$U$5,0)-2,,)</f>
        <v>894.56999999999925</v>
      </c>
      <c r="AB81" s="230"/>
      <c r="AC81" s="10"/>
      <c r="AD81" s="224" cm="1">
        <f t="array" aca="1" ref="AD81" ca="1">IFERROR(U81/OFFSET($AT81,,MATCH($G$2,$AT$5:$BE$5,0)-1,,),"-")</f>
        <v>0.95196137830428451</v>
      </c>
      <c r="AE81" s="225" cm="1">
        <f t="array" aca="1" ref="AE81" ca="1">U81-OFFSET($AT81,,MATCH($G$2,$AT$5:$BE$5,0)-1,,)</f>
        <v>-227.01541384884513</v>
      </c>
      <c r="AF81" s="359"/>
      <c r="AG81" s="1"/>
      <c r="AH81" s="172"/>
      <c r="AI81" s="172"/>
      <c r="AJ81" s="173"/>
      <c r="AL81" s="312">
        <f t="shared" ca="1" si="44"/>
        <v>4498.6699999999992</v>
      </c>
      <c r="AM81" s="312" t="e" cm="1">
        <f t="array" ref="AM81">INDEX($BG$8:$BQ$83,ROW()-7,MATCH($G$3,$BG$5:$BQ$5,0))</f>
        <v>#N/A</v>
      </c>
      <c r="AN81" s="313" t="e">
        <f t="shared" ca="1" si="46"/>
        <v>#N/A</v>
      </c>
      <c r="AO81" s="314" t="str">
        <f t="shared" ca="1" si="47"/>
        <v/>
      </c>
      <c r="AP81" s="315"/>
      <c r="AR81" s="278">
        <f t="shared" ca="1" si="48"/>
        <v>53480.442148821945</v>
      </c>
      <c r="AS81" s="1"/>
      <c r="AT81" s="166">
        <v>4725.6854138488443</v>
      </c>
      <c r="AU81" s="108">
        <v>4981.2787257776499</v>
      </c>
      <c r="AV81" s="108">
        <v>4732.3943894272907</v>
      </c>
      <c r="AW81" s="108">
        <v>4716.570904301233</v>
      </c>
      <c r="AX81" s="108">
        <v>5019.2660207361932</v>
      </c>
      <c r="AY81" s="108">
        <v>4734.38970221195</v>
      </c>
      <c r="AZ81" s="108">
        <v>4753.8921541006475</v>
      </c>
      <c r="BA81" s="289">
        <v>4751.4570850241407</v>
      </c>
      <c r="BB81" s="289">
        <v>5115.6157097784735</v>
      </c>
      <c r="BC81" s="289">
        <v>4855.9084466831073</v>
      </c>
      <c r="BD81" s="289">
        <v>4747.3690744013229</v>
      </c>
      <c r="BE81" s="290">
        <v>4845.2845225310866</v>
      </c>
      <c r="BF81" s="20"/>
      <c r="BG81" s="275">
        <f t="shared" si="49"/>
        <v>9706.9641396264942</v>
      </c>
      <c r="BH81" s="275">
        <f t="shared" si="50"/>
        <v>14439.358529053785</v>
      </c>
      <c r="BI81" s="275">
        <f t="shared" si="51"/>
        <v>19155.929433355017</v>
      </c>
      <c r="BJ81" s="275">
        <f t="shared" si="52"/>
        <v>24175.195454091212</v>
      </c>
      <c r="BK81" s="275">
        <f t="shared" si="53"/>
        <v>28909.585156303161</v>
      </c>
      <c r="BL81" s="275">
        <f t="shared" si="54"/>
        <v>33663.47731040381</v>
      </c>
      <c r="BM81" s="275">
        <f t="shared" si="55"/>
        <v>38414.934395427954</v>
      </c>
      <c r="BN81" s="275">
        <f t="shared" si="56"/>
        <v>43530.550105206428</v>
      </c>
      <c r="BO81" s="275">
        <f t="shared" si="57"/>
        <v>48386.458551889533</v>
      </c>
      <c r="BP81" s="275">
        <f t="shared" si="58"/>
        <v>53133.827626290855</v>
      </c>
      <c r="BQ81" s="281">
        <f t="shared" si="59"/>
        <v>57979.112148821943</v>
      </c>
    </row>
    <row r="82" spans="1:69" s="11" customFormat="1" ht="20.100000000000001" customHeight="1">
      <c r="A82" s="125" t="s">
        <v>12</v>
      </c>
      <c r="B82" s="126" t="s">
        <v>12</v>
      </c>
      <c r="C82" s="126" t="s">
        <v>12</v>
      </c>
      <c r="D82" s="126" t="s">
        <v>22</v>
      </c>
      <c r="E82" s="126">
        <v>667831</v>
      </c>
      <c r="F82" s="129">
        <v>62781100</v>
      </c>
      <c r="G82" s="128" t="s">
        <v>545</v>
      </c>
      <c r="H82" s="239">
        <v>7566.48</v>
      </c>
      <c r="I82" s="119">
        <f t="shared" ca="1" si="60"/>
        <v>175.33</v>
      </c>
      <c r="J82" s="120">
        <f t="shared" ca="1" si="60"/>
        <v>0</v>
      </c>
      <c r="K82" s="120">
        <f t="shared" ca="1" si="60"/>
        <v>0</v>
      </c>
      <c r="L82" s="120">
        <f t="shared" ca="1" si="60"/>
        <v>0</v>
      </c>
      <c r="M82" s="120">
        <f t="shared" ca="1" si="60"/>
        <v>0</v>
      </c>
      <c r="N82" s="120">
        <f t="shared" ca="1" si="60"/>
        <v>0</v>
      </c>
      <c r="O82" s="120">
        <f t="shared" ca="1" si="60"/>
        <v>0</v>
      </c>
      <c r="P82" s="120">
        <f t="shared" ca="1" si="60"/>
        <v>0</v>
      </c>
      <c r="Q82" s="120">
        <f t="shared" ca="1" si="60"/>
        <v>0</v>
      </c>
      <c r="R82" s="120">
        <f t="shared" ca="1" si="60"/>
        <v>0</v>
      </c>
      <c r="S82" s="120">
        <f t="shared" ca="1" si="60"/>
        <v>0</v>
      </c>
      <c r="T82" s="120">
        <f t="shared" ca="1" si="60"/>
        <v>0</v>
      </c>
      <c r="U82" s="121" cm="2">
        <f t="array" aca="1" ref="U82" ca="1">INDEX($I82:$T82,$U$2)</f>
        <v>175.33</v>
      </c>
      <c r="V82" s="235"/>
      <c r="W82" s="235"/>
      <c r="X82" s="239">
        <f t="shared" ca="1" si="45"/>
        <v>175.33</v>
      </c>
      <c r="Y82" s="52"/>
      <c r="Z82" s="291" cm="1">
        <f t="array" aca="1" ref="Z82" ca="1">IFERROR(U82/OFFSET($H82,,MATCH($G$2,$H$5:$U$5,0)-2,,),"-")</f>
        <v>2.3171937281272141E-2</v>
      </c>
      <c r="AA82" s="230" cm="1">
        <f t="array" aca="1" ref="AA82" ca="1">U82-OFFSET($H82,,MATCH($G$2,$H$5:$U$5,0)-2,,)</f>
        <v>-7391.15</v>
      </c>
      <c r="AB82" s="230"/>
      <c r="AC82" s="10"/>
      <c r="AD82" s="224" cm="1">
        <f t="array" aca="1" ref="AD82" ca="1">IFERROR(U82/OFFSET($AT82,,MATCH($G$2,$AT$5:$BE$5,0)-1,,),"-")</f>
        <v>3.1935498105341742E-2</v>
      </c>
      <c r="AE82" s="225" cm="1">
        <f t="array" aca="1" ref="AE82" ca="1">U82-OFFSET($AT82,,MATCH($G$2,$AT$5:$BE$5,0)-1,,)</f>
        <v>-5314.7988660555811</v>
      </c>
      <c r="AF82" s="359"/>
      <c r="AG82" s="1"/>
      <c r="AH82" s="172"/>
      <c r="AI82" s="172"/>
      <c r="AJ82" s="173"/>
      <c r="AL82" s="312">
        <f t="shared" ca="1" si="44"/>
        <v>175.33</v>
      </c>
      <c r="AM82" s="312" t="e" cm="1">
        <f t="array" ref="AM82">INDEX($BG$8:$BQ$83,ROW()-7,MATCH($G$3,$BG$5:$BQ$5,0))</f>
        <v>#N/A</v>
      </c>
      <c r="AN82" s="313" t="e">
        <f t="shared" ca="1" si="46"/>
        <v>#N/A</v>
      </c>
      <c r="AO82" s="314" t="str">
        <f t="shared" ca="1" si="47"/>
        <v/>
      </c>
      <c r="AP82" s="315"/>
      <c r="AR82" s="278">
        <f t="shared" ca="1" si="48"/>
        <v>72140.727046934931</v>
      </c>
      <c r="AS82" s="1"/>
      <c r="AT82" s="166">
        <v>5490.1288660555811</v>
      </c>
      <c r="AU82" s="108">
        <v>2229.2139751002419</v>
      </c>
      <c r="AV82" s="108">
        <v>5490.1288660555811</v>
      </c>
      <c r="AW82" s="108">
        <v>2229.2139751002419</v>
      </c>
      <c r="AX82" s="108">
        <v>5490.1288660555811</v>
      </c>
      <c r="AY82" s="108">
        <v>23229.213975100243</v>
      </c>
      <c r="AZ82" s="108">
        <v>2229.2139751002419</v>
      </c>
      <c r="BA82" s="289">
        <v>5490.1288660555811</v>
      </c>
      <c r="BB82" s="289">
        <v>7229.2139751002424</v>
      </c>
      <c r="BC82" s="289">
        <v>5490.1288660555811</v>
      </c>
      <c r="BD82" s="289">
        <v>2229.2139751002419</v>
      </c>
      <c r="BE82" s="290">
        <v>5490.1288660555811</v>
      </c>
      <c r="BF82" s="20"/>
      <c r="BG82" s="275">
        <f t="shared" si="49"/>
        <v>7719.3428411558234</v>
      </c>
      <c r="BH82" s="275">
        <f t="shared" si="50"/>
        <v>13209.471707211404</v>
      </c>
      <c r="BI82" s="275">
        <f t="shared" si="51"/>
        <v>15438.685682311645</v>
      </c>
      <c r="BJ82" s="275">
        <f t="shared" si="52"/>
        <v>20928.814548367227</v>
      </c>
      <c r="BK82" s="275">
        <f t="shared" si="53"/>
        <v>44158.028523467467</v>
      </c>
      <c r="BL82" s="275">
        <f t="shared" si="54"/>
        <v>46387.242498567706</v>
      </c>
      <c r="BM82" s="275">
        <f t="shared" si="55"/>
        <v>51877.371364623286</v>
      </c>
      <c r="BN82" s="275">
        <f t="shared" si="56"/>
        <v>59106.585339723526</v>
      </c>
      <c r="BO82" s="275">
        <f t="shared" si="57"/>
        <v>64596.714205779106</v>
      </c>
      <c r="BP82" s="275">
        <f t="shared" si="58"/>
        <v>66825.928180879346</v>
      </c>
      <c r="BQ82" s="281">
        <f t="shared" si="59"/>
        <v>72316.057046934933</v>
      </c>
    </row>
    <row r="83" spans="1:69" s="11" customFormat="1" ht="20.100000000000001" customHeight="1" thickBot="1">
      <c r="A83" s="130" t="s">
        <v>12</v>
      </c>
      <c r="B83" s="131" t="s">
        <v>12</v>
      </c>
      <c r="C83" s="131" t="s">
        <v>12</v>
      </c>
      <c r="D83" s="131" t="s">
        <v>22</v>
      </c>
      <c r="E83" s="131">
        <v>688805</v>
      </c>
      <c r="F83" s="132">
        <v>62789900</v>
      </c>
      <c r="G83" s="133" t="s">
        <v>92</v>
      </c>
      <c r="H83" s="240">
        <v>0</v>
      </c>
      <c r="I83" s="122">
        <f t="shared" ca="1" si="60"/>
        <v>200.64</v>
      </c>
      <c r="J83" s="123">
        <f t="shared" ca="1" si="60"/>
        <v>0</v>
      </c>
      <c r="K83" s="123">
        <f t="shared" ca="1" si="60"/>
        <v>0</v>
      </c>
      <c r="L83" s="123">
        <f t="shared" ca="1" si="60"/>
        <v>0</v>
      </c>
      <c r="M83" s="123">
        <f t="shared" ca="1" si="60"/>
        <v>0</v>
      </c>
      <c r="N83" s="123">
        <f t="shared" ca="1" si="60"/>
        <v>0</v>
      </c>
      <c r="O83" s="123">
        <f t="shared" ca="1" si="60"/>
        <v>0</v>
      </c>
      <c r="P83" s="123">
        <f t="shared" ca="1" si="60"/>
        <v>0</v>
      </c>
      <c r="Q83" s="123">
        <f t="shared" ca="1" si="60"/>
        <v>0</v>
      </c>
      <c r="R83" s="123">
        <f t="shared" ca="1" si="60"/>
        <v>0</v>
      </c>
      <c r="S83" s="123">
        <f t="shared" ca="1" si="60"/>
        <v>0</v>
      </c>
      <c r="T83" s="123">
        <f t="shared" ca="1" si="60"/>
        <v>0</v>
      </c>
      <c r="U83" s="124" cm="2">
        <f t="array" aca="1" ref="U83" ca="1">INDEX($I83:$T83,$U$2)</f>
        <v>200.64</v>
      </c>
      <c r="V83" s="236"/>
      <c r="W83" s="236"/>
      <c r="X83" s="240">
        <f t="shared" ca="1" si="45"/>
        <v>200.64</v>
      </c>
      <c r="Y83" s="52"/>
      <c r="Z83" s="296" t="str" cm="1">
        <f t="array" aca="1" ref="Z83" ca="1">IFERROR(U83/OFFSET($H83,,MATCH($G$2,$H$5:$U$5,0)-2,,),"-")</f>
        <v>-</v>
      </c>
      <c r="AA83" s="232" cm="1">
        <f t="array" aca="1" ref="AA83" ca="1">U83-OFFSET($H83,,MATCH($G$2,$H$5:$U$5,0)-2,,)</f>
        <v>200.64</v>
      </c>
      <c r="AB83" s="232"/>
      <c r="AC83" s="10"/>
      <c r="AD83" s="227" cm="1">
        <f t="array" aca="1" ref="AD83" ca="1">IFERROR(U83/OFFSET($AT83,,MATCH($G$2,$AT$5:$BE$5,0)-1,,),"-")</f>
        <v>8.0191846522781763E-3</v>
      </c>
      <c r="AE83" s="228" cm="1">
        <f t="array" aca="1" ref="AE83" ca="1">U83-OFFSET($AT83,,MATCH($G$2,$AT$5:$BE$5,0)-1,,)</f>
        <v>-24819.360000000001</v>
      </c>
      <c r="AF83" s="474"/>
      <c r="AG83" s="1"/>
      <c r="AH83" s="176"/>
      <c r="AI83" s="176"/>
      <c r="AJ83" s="177"/>
      <c r="AL83" s="333">
        <f t="shared" ca="1" si="44"/>
        <v>200.64</v>
      </c>
      <c r="AM83" s="333" t="e" cm="1">
        <f t="array" ref="AM83">INDEX($BG$8:$BQ$83,ROW()-7,MATCH($G$3,$BG$5:$BQ$5,0))</f>
        <v>#N/A</v>
      </c>
      <c r="AN83" s="334" t="e">
        <f t="shared" ca="1" si="46"/>
        <v>#N/A</v>
      </c>
      <c r="AO83" s="335" t="str">
        <f t="shared" ca="1" si="47"/>
        <v/>
      </c>
      <c r="AP83" s="336"/>
      <c r="AR83" s="354">
        <f t="shared" ca="1" si="48"/>
        <v>303970.91355504084</v>
      </c>
      <c r="AS83" s="1"/>
      <c r="AT83" s="167">
        <v>25020</v>
      </c>
      <c r="AU83" s="190">
        <v>25000</v>
      </c>
      <c r="AV83" s="190">
        <v>25000</v>
      </c>
      <c r="AW83" s="190">
        <v>25000</v>
      </c>
      <c r="AX83" s="190">
        <v>25000</v>
      </c>
      <c r="AY83" s="190">
        <v>25000</v>
      </c>
      <c r="AZ83" s="190">
        <v>25000</v>
      </c>
      <c r="BA83" s="297">
        <v>25000</v>
      </c>
      <c r="BB83" s="297">
        <v>29151.55355504086</v>
      </c>
      <c r="BC83" s="297">
        <v>25000</v>
      </c>
      <c r="BD83" s="297">
        <v>25000</v>
      </c>
      <c r="BE83" s="298">
        <v>25000</v>
      </c>
      <c r="BF83" s="20"/>
      <c r="BG83" s="279">
        <f t="shared" si="49"/>
        <v>50020</v>
      </c>
      <c r="BH83" s="279">
        <f t="shared" si="50"/>
        <v>75020</v>
      </c>
      <c r="BI83" s="279">
        <f t="shared" si="51"/>
        <v>100020</v>
      </c>
      <c r="BJ83" s="279">
        <f t="shared" si="52"/>
        <v>125020</v>
      </c>
      <c r="BK83" s="279">
        <f t="shared" si="53"/>
        <v>150020</v>
      </c>
      <c r="BL83" s="279">
        <f t="shared" si="54"/>
        <v>175020</v>
      </c>
      <c r="BM83" s="279">
        <f t="shared" si="55"/>
        <v>200020</v>
      </c>
      <c r="BN83" s="279">
        <f t="shared" si="56"/>
        <v>229171.55355504085</v>
      </c>
      <c r="BO83" s="279">
        <f t="shared" si="57"/>
        <v>254171.55355504085</v>
      </c>
      <c r="BP83" s="279">
        <f t="shared" si="58"/>
        <v>279171.55355504085</v>
      </c>
      <c r="BQ83" s="283">
        <f t="shared" si="59"/>
        <v>304171.55355504085</v>
      </c>
    </row>
    <row r="84" spans="1:69" ht="20.100000000000001" customHeight="1">
      <c r="AF84" s="475"/>
    </row>
    <row r="86" spans="1:69" ht="20.100000000000001" customHeight="1">
      <c r="AT86" s="201"/>
      <c r="AU86" s="201"/>
      <c r="AV86" s="201"/>
      <c r="AW86" s="201"/>
      <c r="AX86" s="201"/>
      <c r="AY86" s="201"/>
      <c r="AZ86" s="201"/>
      <c r="BA86" s="201"/>
      <c r="BB86" s="201"/>
      <c r="BC86" s="201"/>
      <c r="BD86" s="201"/>
      <c r="BE86" s="201"/>
    </row>
  </sheetData>
  <autoFilter ref="A7:BU83" xr:uid="{7AC7848D-B7B7-43F8-B47C-B5E02CD47AC5}"/>
  <customSheetViews>
    <customSheetView guid="{E6B00A95-BB65-4FB5-9392-F4C9A9557C0E}" showGridLines="0" showAutoFilter="1" hiddenColumns="1" topLeftCell="E1">
      <pane xSplit="5" ySplit="7" topLeftCell="U8" activePane="bottomRight" state="frozen"/>
      <selection pane="bottomRight" activeCell="V3" sqref="V3"/>
      <pageMargins left="0.25" right="0.25" top="0.5" bottom="0.25" header="0.05" footer="0.05"/>
      <printOptions horizontalCentered="1"/>
      <pageSetup paperSize="9" scale="65" orientation="landscape" horizontalDpi="300" verticalDpi="300" r:id="rId1"/>
      <autoFilter ref="A7:BD83" xr:uid="{68E4A32E-0D3D-42C2-8B7B-71BA49B14932}"/>
    </customSheetView>
  </customSheetViews>
  <mergeCells count="10">
    <mergeCell ref="AR4:AR5"/>
    <mergeCell ref="BG4:BQ4"/>
    <mergeCell ref="AL4:AP4"/>
    <mergeCell ref="AH4:AJ4"/>
    <mergeCell ref="AT4:BE4"/>
    <mergeCell ref="Z4:AB4"/>
    <mergeCell ref="AD4:AF4"/>
    <mergeCell ref="I4:X4"/>
    <mergeCell ref="AL5:AM5"/>
    <mergeCell ref="AN5:AO5"/>
  </mergeCells>
  <conditionalFormatting sqref="F1:F1048576">
    <cfRule type="duplicateValues" dxfId="6" priority="1"/>
  </conditionalFormatting>
  <dataValidations disablePrompts="1" count="2">
    <dataValidation type="list" allowBlank="1" showInputMessage="1" showErrorMessage="1" sqref="G2" xr:uid="{00000000-0002-0000-0F00-000000000000}">
      <formula1>$BT$8:$BT$21</formula1>
    </dataValidation>
    <dataValidation type="list" allowBlank="1" showInputMessage="1" showErrorMessage="1" sqref="G3" xr:uid="{4EAAE0E7-D8D2-4F45-9146-C28C46DE351C}">
      <formula1>$BW$8:$BW$20</formula1>
    </dataValidation>
  </dataValidations>
  <printOptions horizontalCentered="1"/>
  <pageMargins left="0.25" right="0.25" top="0.5" bottom="0.25" header="0.05" footer="0.05"/>
  <pageSetup paperSize="9" scale="65" orientation="landscape" horizontalDpi="300" verticalDpi="300" r:id="rId2"/>
  <customProperties>
    <customPr name="_pios_id" r:id="rId3"/>
  </customProperties>
  <ignoredErrors>
    <ignoredError sqref="F7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"/>
  <dimension ref="B1:BR140"/>
  <sheetViews>
    <sheetView showGridLines="0" tabSelected="1" topLeftCell="A2" zoomScale="95" zoomScaleNormal="95" workbookViewId="0">
      <pane xSplit="3" ySplit="3" topLeftCell="D5" activePane="bottomRight" state="frozen"/>
      <selection activeCell="A2" sqref="A2"/>
      <selection pane="topRight" activeCell="D2" sqref="D2"/>
      <selection pane="bottomLeft" activeCell="A11" sqref="A11"/>
      <selection pane="bottomRight" activeCell="F11" sqref="F11"/>
    </sheetView>
  </sheetViews>
  <sheetFormatPr defaultRowHeight="15" outlineLevelRow="1" outlineLevelCol="1"/>
  <cols>
    <col min="1" max="1" width="1.28515625" customWidth="1"/>
    <col min="2" max="2" width="0.85546875" customWidth="1"/>
    <col min="3" max="3" width="20.7109375" customWidth="1"/>
    <col min="4" max="4" width="24.5703125" customWidth="1"/>
    <col min="5" max="5" width="14.5703125" customWidth="1"/>
    <col min="6" max="7" width="15.7109375" customWidth="1"/>
    <col min="8" max="9" width="18.140625" customWidth="1"/>
    <col min="10" max="10" width="15.7109375" customWidth="1"/>
    <col min="11" max="11" width="1.7109375" customWidth="1"/>
    <col min="12" max="17" width="15.7109375" customWidth="1"/>
    <col min="18" max="18" width="5.7109375" customWidth="1"/>
    <col min="19" max="19" width="1.7109375" customWidth="1"/>
    <col min="20" max="25" width="15.7109375" customWidth="1"/>
    <col min="26" max="26" width="1.7109375" customWidth="1"/>
    <col min="27" max="32" width="15.7109375" customWidth="1"/>
    <col min="33" max="33" width="1.7109375" customWidth="1"/>
    <col min="34" max="39" width="15.7109375" customWidth="1"/>
    <col min="40" max="40" width="1.7109375" customWidth="1"/>
    <col min="41" max="46" width="15.7109375" customWidth="1"/>
    <col min="47" max="47" width="1.7109375" customWidth="1"/>
    <col min="48" max="53" width="15.7109375" customWidth="1"/>
    <col min="54" max="54" width="1.7109375" customWidth="1"/>
    <col min="55" max="55" width="3.7109375" customWidth="1"/>
    <col min="56" max="56" width="11.85546875" customWidth="1"/>
    <col min="57" max="60" width="11.7109375" customWidth="1"/>
    <col min="61" max="61" width="11" customWidth="1"/>
    <col min="62" max="62" width="3.7109375" customWidth="1"/>
    <col min="63" max="63" width="6.85546875" customWidth="1"/>
    <col min="64" max="64" width="3.7109375" customWidth="1"/>
    <col min="65" max="65" width="29.42578125" customWidth="1" outlineLevel="1"/>
    <col min="66" max="66" width="14.42578125" customWidth="1" outlineLevel="1"/>
    <col min="67" max="67" width="24.28515625" customWidth="1" outlineLevel="1"/>
    <col min="68" max="68" width="12" customWidth="1" outlineLevel="1"/>
    <col min="69" max="70" width="12.140625" customWidth="1" outlineLevel="1"/>
  </cols>
  <sheetData>
    <row r="1" spans="2:54" s="11" customFormat="1">
      <c r="K1"/>
      <c r="N1" s="14"/>
      <c r="R1"/>
      <c r="S1"/>
      <c r="V1" s="14"/>
      <c r="Z1"/>
    </row>
    <row r="2" spans="2:54" s="11" customFormat="1" ht="21" customHeight="1">
      <c r="C2" s="105" t="str">
        <f>"MANUFACTURING COST CALCULATION _"&amp;'FACTORY COST'!G2&amp;"'24"</f>
        <v>MANUFACTURING COST CALCULATION _Jan'24</v>
      </c>
      <c r="D2" s="6"/>
      <c r="E2" s="7"/>
      <c r="F2" s="8"/>
      <c r="G2" s="16"/>
      <c r="H2" s="16"/>
      <c r="I2" s="16"/>
      <c r="J2" s="16"/>
      <c r="K2"/>
      <c r="N2" s="21"/>
      <c r="R2"/>
      <c r="S2"/>
      <c r="T2" s="16"/>
      <c r="V2" s="21"/>
      <c r="Z2"/>
    </row>
    <row r="3" spans="2:54" s="11" customFormat="1" ht="5.25" customHeight="1">
      <c r="C3" s="16"/>
      <c r="D3" s="16"/>
      <c r="E3" s="16"/>
      <c r="F3" s="16"/>
      <c r="G3" s="16"/>
      <c r="H3" s="16"/>
      <c r="I3" s="16"/>
      <c r="J3" s="16"/>
      <c r="K3"/>
      <c r="N3" s="14"/>
      <c r="R3"/>
      <c r="S3"/>
      <c r="T3" s="16"/>
      <c r="V3" s="14"/>
      <c r="Z3"/>
    </row>
    <row r="4" spans="2:54" s="11" customFormat="1" ht="25.5" customHeight="1">
      <c r="B4" s="1"/>
      <c r="C4" s="51" t="s">
        <v>34</v>
      </c>
      <c r="D4" s="31" t="s">
        <v>90</v>
      </c>
      <c r="E4" s="31" t="s">
        <v>873</v>
      </c>
      <c r="F4" s="148" t="s">
        <v>121</v>
      </c>
      <c r="H4"/>
      <c r="K4"/>
      <c r="R4"/>
      <c r="S4"/>
      <c r="T4" s="19"/>
      <c r="V4" s="14"/>
      <c r="W4" s="17"/>
      <c r="Z4"/>
    </row>
    <row r="5" spans="2:54" s="11" customFormat="1" ht="15" customHeight="1" outlineLevel="1">
      <c r="B5" s="1"/>
      <c r="C5" s="32" t="s">
        <v>25</v>
      </c>
      <c r="D5" s="33">
        <f ca="1">SUMIF('FACTORY COST'!$C$8:$C$83,$C5,'FACTORY COST'!$U$8:$U$83)</f>
        <v>2981091.54</v>
      </c>
      <c r="E5" s="33">
        <f ca="1">D5-F5</f>
        <v>249134.06327257445</v>
      </c>
      <c r="F5" s="149">
        <f>'DM-Sum'!M117</f>
        <v>2731957.4767274256</v>
      </c>
      <c r="H5"/>
      <c r="I5" s="12"/>
      <c r="L5"/>
      <c r="M5"/>
      <c r="N5"/>
      <c r="O5"/>
      <c r="P5"/>
      <c r="Q5" s="84"/>
      <c r="R5"/>
      <c r="S5"/>
      <c r="T5" s="9"/>
      <c r="V5" s="22"/>
      <c r="W5" s="12"/>
      <c r="Z5"/>
    </row>
    <row r="6" spans="2:54" s="11" customFormat="1" ht="15" customHeight="1" outlineLevel="1">
      <c r="B6" s="1"/>
      <c r="C6" s="32" t="s">
        <v>46</v>
      </c>
      <c r="D6" s="33">
        <f ca="1">SUMIF('FACTORY COST'!$C$8:$C$83,$C6,'FACTORY COST'!$U$8:$U$83)</f>
        <v>547990.79999999993</v>
      </c>
      <c r="E6" s="33"/>
      <c r="F6" s="149">
        <f ca="1">D6</f>
        <v>547990.79999999993</v>
      </c>
      <c r="H6"/>
      <c r="L6"/>
      <c r="M6"/>
      <c r="N6"/>
      <c r="O6"/>
      <c r="P6"/>
      <c r="Q6" s="81"/>
      <c r="R6"/>
      <c r="S6"/>
      <c r="T6" s="9"/>
      <c r="V6" s="22"/>
      <c r="W6" s="17"/>
      <c r="Z6"/>
    </row>
    <row r="7" spans="2:54" s="11" customFormat="1" ht="15" customHeight="1" outlineLevel="1">
      <c r="B7" s="1"/>
      <c r="C7" s="32" t="s">
        <v>45</v>
      </c>
      <c r="D7" s="33">
        <f ca="1">SUMIF('FACTORY COST'!$C$8:$C$83,$C7,'FACTORY COST'!$U$8:$U$83)</f>
        <v>461933.96999999986</v>
      </c>
      <c r="E7" s="33"/>
      <c r="F7" s="149">
        <f ca="1">D7</f>
        <v>461933.96999999986</v>
      </c>
      <c r="H7"/>
      <c r="I7" s="12"/>
      <c r="L7"/>
      <c r="M7"/>
      <c r="N7"/>
      <c r="O7"/>
      <c r="P7" s="76"/>
      <c r="Q7" s="83"/>
      <c r="R7"/>
      <c r="S7"/>
      <c r="T7" s="9"/>
      <c r="V7" s="22"/>
      <c r="W7" s="12"/>
      <c r="Z7"/>
    </row>
    <row r="8" spans="2:54" s="11" customFormat="1" ht="15" customHeight="1" outlineLevel="1">
      <c r="B8" s="1"/>
      <c r="C8" s="32" t="s">
        <v>2</v>
      </c>
      <c r="D8" s="33">
        <f ca="1">SUMIF('FACTORY COST'!$C$8:$C$83,$C8,'FACTORY COST'!$U$8:$U$83)</f>
        <v>1391340.8599999999</v>
      </c>
      <c r="E8" s="33"/>
      <c r="F8" s="149">
        <f ca="1">D8</f>
        <v>1391340.8599999999</v>
      </c>
      <c r="H8"/>
      <c r="I8" s="12"/>
      <c r="J8" s="146"/>
      <c r="L8"/>
      <c r="M8"/>
      <c r="N8"/>
      <c r="O8"/>
      <c r="P8" s="76"/>
      <c r="Q8" s="83"/>
      <c r="R8"/>
      <c r="S8"/>
      <c r="T8" s="20"/>
      <c r="V8" s="23"/>
      <c r="Z8"/>
    </row>
    <row r="9" spans="2:54" s="11" customFormat="1" ht="15" customHeight="1" outlineLevel="1">
      <c r="B9" s="1"/>
      <c r="C9" s="32" t="s">
        <v>12</v>
      </c>
      <c r="D9" s="34">
        <f ca="1">SUMIF('FACTORY COST'!$C$8:$C$83,$C9,'FACTORY COST'!$U$8:$U$83)</f>
        <v>833290.05999999994</v>
      </c>
      <c r="E9" s="34"/>
      <c r="F9" s="150">
        <f ca="1">D9</f>
        <v>833290.05999999994</v>
      </c>
      <c r="H9"/>
      <c r="J9" s="146"/>
      <c r="L9"/>
      <c r="M9"/>
      <c r="N9"/>
      <c r="O9"/>
      <c r="P9" s="76"/>
      <c r="Q9" s="83"/>
      <c r="R9"/>
      <c r="S9"/>
      <c r="T9" s="20"/>
      <c r="V9" s="23"/>
      <c r="Z9"/>
    </row>
    <row r="10" spans="2:54" s="11" customFormat="1" ht="15" customHeight="1" outlineLevel="1">
      <c r="B10" s="1"/>
      <c r="C10" s="32" t="s">
        <v>3</v>
      </c>
      <c r="D10" s="33">
        <f ca="1">SUMIF('FACTORY COST'!$C$8:$C$83,$C10,'FACTORY COST'!$U$8:$U$83)</f>
        <v>99114.03</v>
      </c>
      <c r="E10" s="33"/>
      <c r="F10" s="149">
        <f ca="1">D10</f>
        <v>99114.03</v>
      </c>
      <c r="H10" s="183"/>
      <c r="I10" s="29"/>
      <c r="J10" s="147"/>
      <c r="L10"/>
      <c r="M10"/>
      <c r="N10"/>
      <c r="O10"/>
      <c r="P10" s="76"/>
      <c r="Q10" s="83"/>
      <c r="R10"/>
      <c r="S10"/>
      <c r="T10" s="20"/>
      <c r="V10" s="9"/>
      <c r="Z10"/>
    </row>
    <row r="11" spans="2:54" s="11" customFormat="1" ht="15" customHeight="1">
      <c r="B11" s="1"/>
      <c r="C11" s="35" t="s">
        <v>26</v>
      </c>
      <c r="D11" s="36">
        <f ca="1">SUM(D5:D10)</f>
        <v>6314761.2599999998</v>
      </c>
      <c r="E11" s="36">
        <f ca="1">SUM(E5:E10)</f>
        <v>249134.06327257445</v>
      </c>
      <c r="F11" s="151">
        <f ca="1">SUM(F5:F10)</f>
        <v>6065627.1967274249</v>
      </c>
      <c r="H11"/>
      <c r="I11" s="29"/>
      <c r="J11" s="147"/>
      <c r="K11"/>
      <c r="L11"/>
      <c r="M11"/>
      <c r="N11"/>
      <c r="O11"/>
      <c r="R11"/>
      <c r="S11"/>
      <c r="T11" s="9"/>
      <c r="V11" s="23"/>
      <c r="Z11"/>
    </row>
    <row r="12" spans="2:54" s="11" customFormat="1" ht="15" customHeight="1">
      <c r="B12" s="1"/>
      <c r="H12"/>
      <c r="I12" s="29"/>
      <c r="J12" s="147"/>
      <c r="K12"/>
      <c r="L12"/>
      <c r="M12"/>
      <c r="N12"/>
      <c r="O12"/>
      <c r="P12" s="12"/>
      <c r="R12"/>
      <c r="S12"/>
      <c r="T12" s="2"/>
      <c r="V12" s="23"/>
      <c r="W12" s="12"/>
      <c r="Z12"/>
    </row>
    <row r="13" spans="2:54" s="11" customFormat="1" ht="15" customHeight="1">
      <c r="B13" s="1"/>
      <c r="C13" s="3"/>
      <c r="D13" s="52"/>
      <c r="E13" s="52"/>
      <c r="F13" s="52"/>
      <c r="G13"/>
      <c r="H13"/>
      <c r="I13" s="27"/>
      <c r="J13"/>
      <c r="K13"/>
      <c r="L13" s="2"/>
      <c r="M13" s="12"/>
      <c r="N13" s="23"/>
      <c r="O13" s="12"/>
      <c r="P13" s="12"/>
      <c r="R13"/>
      <c r="S13"/>
      <c r="T13" s="2"/>
      <c r="V13" s="23"/>
      <c r="W13" s="12"/>
      <c r="Z13"/>
    </row>
    <row r="14" spans="2:54" s="11" customFormat="1" ht="15" customHeight="1">
      <c r="B14" s="53"/>
      <c r="C14" s="54"/>
      <c r="D14" s="55"/>
      <c r="E14" s="55"/>
      <c r="F14" s="55"/>
      <c r="G14" s="56"/>
      <c r="H14" s="56"/>
      <c r="I14" s="56"/>
      <c r="J14" s="56"/>
      <c r="K14" s="56"/>
      <c r="L14" s="337" cm="2">
        <f t="array" ref="L14">COLUMN(STD!$P:$P)-COLUMN(STD!$C:$C)+1</f>
        <v>14</v>
      </c>
      <c r="M14" s="337" cm="2">
        <f t="array" ref="M14">COLUMN(STD!$Q:$Q)-COLUMN(STD!$C:$C)+1</f>
        <v>15</v>
      </c>
      <c r="N14" s="337" cm="2">
        <f t="array" ref="N14">COLUMN(STD!$R:$R)-COLUMN(STD!$C:$C)+1</f>
        <v>16</v>
      </c>
      <c r="O14" s="337" cm="2">
        <f t="array" ref="O14">COLUMN(STD!$V:$V)-COLUMN(STD!$C:$C)+1</f>
        <v>20</v>
      </c>
      <c r="P14" s="337" cm="2">
        <f t="array" ref="P14">COLUMN(STD!$U:$U)-COLUMN(STD!$C:$C)+1</f>
        <v>19</v>
      </c>
      <c r="Q14" s="58"/>
      <c r="R14" s="337" cm="2">
        <f t="array" ref="R14">COLUMN(STD!$V:$V)-COLUMN(STD!$C:$C)+1</f>
        <v>20</v>
      </c>
      <c r="S14" s="56"/>
      <c r="T14" s="57"/>
      <c r="U14" s="58"/>
      <c r="V14" s="59"/>
      <c r="W14" s="60"/>
      <c r="X14" s="58"/>
      <c r="Y14" s="58"/>
      <c r="Z14" s="56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61"/>
    </row>
    <row r="15" spans="2:54" s="11" customFormat="1" ht="15" customHeight="1">
      <c r="B15" s="62"/>
      <c r="C15" s="3"/>
      <c r="D15" s="52"/>
      <c r="E15" s="52"/>
      <c r="F15" s="52"/>
      <c r="G15"/>
      <c r="H15"/>
      <c r="I15"/>
      <c r="J15"/>
      <c r="K15"/>
      <c r="L15" s="2"/>
      <c r="N15" s="74"/>
      <c r="O15" s="12"/>
      <c r="R15"/>
      <c r="S15"/>
      <c r="T15" s="2"/>
      <c r="V15" s="74"/>
      <c r="W15" s="12"/>
      <c r="Z15"/>
      <c r="AO15" s="50">
        <f>+F5</f>
        <v>2731957.4767274256</v>
      </c>
      <c r="AP15" s="50">
        <f ca="1">+F6+F7</f>
        <v>1009924.7699999998</v>
      </c>
      <c r="AQ15" s="50">
        <f ca="1">+F8</f>
        <v>1391340.8599999999</v>
      </c>
      <c r="AR15" s="50">
        <f ca="1">+F9</f>
        <v>833290.05999999994</v>
      </c>
      <c r="AS15" s="50">
        <f ca="1">+F10</f>
        <v>99114.03</v>
      </c>
      <c r="AT15" s="50">
        <f ca="1">+F11</f>
        <v>6065627.1967274249</v>
      </c>
      <c r="BB15" s="63"/>
    </row>
    <row r="16" spans="2:54" s="11" customFormat="1" ht="15" customHeight="1">
      <c r="B16" s="62"/>
      <c r="C16" s="3"/>
      <c r="D16" s="52"/>
      <c r="E16" s="52"/>
      <c r="F16" s="585" t="s">
        <v>39</v>
      </c>
      <c r="G16" s="586"/>
      <c r="H16" s="586"/>
      <c r="I16" s="586"/>
      <c r="J16" s="587"/>
      <c r="K16"/>
      <c r="L16" s="582" t="s">
        <v>120</v>
      </c>
      <c r="M16" s="583"/>
      <c r="N16" s="583"/>
      <c r="O16" s="583"/>
      <c r="P16" s="583"/>
      <c r="Q16" s="584"/>
      <c r="R16"/>
      <c r="S16"/>
      <c r="T16" s="582" t="s">
        <v>38</v>
      </c>
      <c r="U16" s="583"/>
      <c r="V16" s="583"/>
      <c r="W16" s="583"/>
      <c r="X16" s="583"/>
      <c r="Y16" s="584"/>
      <c r="AA16" s="582" t="s">
        <v>77</v>
      </c>
      <c r="AB16" s="583"/>
      <c r="AC16" s="583"/>
      <c r="AD16" s="583"/>
      <c r="AE16" s="583"/>
      <c r="AF16" s="584"/>
      <c r="AH16" s="582" t="s">
        <v>42</v>
      </c>
      <c r="AI16" s="583"/>
      <c r="AJ16" s="583"/>
      <c r="AK16" s="583"/>
      <c r="AL16" s="583"/>
      <c r="AM16" s="584"/>
      <c r="AN16"/>
      <c r="AO16" s="582" t="s">
        <v>40</v>
      </c>
      <c r="AP16" s="583"/>
      <c r="AQ16" s="583"/>
      <c r="AR16" s="583"/>
      <c r="AS16" s="583"/>
      <c r="AT16" s="584"/>
      <c r="AV16" s="582" t="s">
        <v>41</v>
      </c>
      <c r="AW16" s="583"/>
      <c r="AX16" s="583"/>
      <c r="AY16" s="583"/>
      <c r="AZ16" s="583"/>
      <c r="BA16" s="584"/>
      <c r="BB16" s="63"/>
    </row>
    <row r="17" spans="2:70" s="11" customFormat="1" ht="15" customHeight="1">
      <c r="B17" s="62"/>
      <c r="C17" s="1"/>
      <c r="D17" s="9"/>
      <c r="E17" s="9"/>
      <c r="F17" s="588"/>
      <c r="G17" s="589"/>
      <c r="H17" s="589"/>
      <c r="I17" s="589"/>
      <c r="J17" s="590"/>
      <c r="K17"/>
      <c r="L17" s="45" t="s">
        <v>21</v>
      </c>
      <c r="M17" s="581" t="s">
        <v>51</v>
      </c>
      <c r="N17" s="581"/>
      <c r="O17" s="581"/>
      <c r="P17" s="45" t="s">
        <v>3</v>
      </c>
      <c r="Q17" s="46" t="s">
        <v>33</v>
      </c>
      <c r="R17"/>
      <c r="S17"/>
      <c r="T17" s="45" t="s">
        <v>32</v>
      </c>
      <c r="U17" s="581" t="s">
        <v>51</v>
      </c>
      <c r="V17" s="581"/>
      <c r="W17" s="581"/>
      <c r="X17" s="45" t="s">
        <v>3</v>
      </c>
      <c r="Y17" s="46" t="s">
        <v>33</v>
      </c>
      <c r="AA17" s="45" t="s">
        <v>32</v>
      </c>
      <c r="AB17" s="581" t="s">
        <v>51</v>
      </c>
      <c r="AC17" s="581"/>
      <c r="AD17" s="581"/>
      <c r="AE17" s="45" t="s">
        <v>3</v>
      </c>
      <c r="AF17" s="46" t="s">
        <v>33</v>
      </c>
      <c r="AH17" s="45" t="s">
        <v>32</v>
      </c>
      <c r="AI17" s="581" t="s">
        <v>36</v>
      </c>
      <c r="AJ17" s="581"/>
      <c r="AK17" s="581"/>
      <c r="AL17" s="45" t="s">
        <v>3</v>
      </c>
      <c r="AM17" s="46" t="s">
        <v>33</v>
      </c>
      <c r="AN17"/>
      <c r="AO17" s="45" t="s">
        <v>32</v>
      </c>
      <c r="AP17" s="581" t="s">
        <v>36</v>
      </c>
      <c r="AQ17" s="581"/>
      <c r="AR17" s="581"/>
      <c r="AS17" s="45" t="s">
        <v>3</v>
      </c>
      <c r="AT17" s="46" t="s">
        <v>33</v>
      </c>
      <c r="AV17" s="45" t="s">
        <v>32</v>
      </c>
      <c r="AW17" s="581" t="s">
        <v>36</v>
      </c>
      <c r="AX17" s="581"/>
      <c r="AY17" s="581"/>
      <c r="AZ17" s="45" t="s">
        <v>3</v>
      </c>
      <c r="BA17" s="46" t="s">
        <v>33</v>
      </c>
      <c r="BB17" s="63"/>
      <c r="BE17" s="82"/>
      <c r="BF17" s="82"/>
      <c r="BG17" s="82"/>
      <c r="BH17" s="82"/>
      <c r="BM17" s="264"/>
      <c r="BO17" s="338" cm="2">
        <f t="array" ref="BO17">COLUMN(STD!$D:$D)-COLUMN(STD!$C:$C)+1</f>
        <v>2</v>
      </c>
      <c r="BP17" s="338" cm="2">
        <f t="array" ref="BP17">COLUMN(STD!$L:$L)-COLUMN(STD!$C:$C)+1</f>
        <v>10</v>
      </c>
    </row>
    <row r="18" spans="2:70" s="11" customFormat="1" ht="15.75" customHeight="1">
      <c r="B18" s="62"/>
      <c r="C18" s="102" t="s">
        <v>112</v>
      </c>
      <c r="D18" s="103" t="s">
        <v>17</v>
      </c>
      <c r="E18" s="101" t="s">
        <v>273</v>
      </c>
      <c r="F18" s="37" t="s">
        <v>27</v>
      </c>
      <c r="G18" s="37" t="s">
        <v>28</v>
      </c>
      <c r="H18" s="37" t="s">
        <v>29</v>
      </c>
      <c r="I18" s="37" t="s">
        <v>30</v>
      </c>
      <c r="J18" s="37" t="s">
        <v>31</v>
      </c>
      <c r="K18"/>
      <c r="L18" s="47" t="s">
        <v>13</v>
      </c>
      <c r="M18" s="37" t="s">
        <v>16</v>
      </c>
      <c r="N18" s="48" t="s">
        <v>14</v>
      </c>
      <c r="O18" s="37" t="s">
        <v>15</v>
      </c>
      <c r="P18" s="47" t="s">
        <v>13</v>
      </c>
      <c r="Q18" s="49" t="s">
        <v>13</v>
      </c>
      <c r="R18"/>
      <c r="S18"/>
      <c r="T18" s="47" t="s">
        <v>13</v>
      </c>
      <c r="U18" s="37" t="s">
        <v>16</v>
      </c>
      <c r="V18" s="48" t="s">
        <v>14</v>
      </c>
      <c r="W18" s="37" t="s">
        <v>15</v>
      </c>
      <c r="X18" s="47" t="s">
        <v>13</v>
      </c>
      <c r="Y18" s="49" t="s">
        <v>13</v>
      </c>
      <c r="AA18" s="47" t="s">
        <v>13</v>
      </c>
      <c r="AB18" s="37" t="s">
        <v>16</v>
      </c>
      <c r="AC18" s="48" t="s">
        <v>14</v>
      </c>
      <c r="AD18" s="37" t="s">
        <v>15</v>
      </c>
      <c r="AE18" s="47" t="s">
        <v>13</v>
      </c>
      <c r="AF18" s="49" t="s">
        <v>13</v>
      </c>
      <c r="AH18" s="47" t="s">
        <v>35</v>
      </c>
      <c r="AI18" s="37" t="s">
        <v>16</v>
      </c>
      <c r="AJ18" s="48" t="s">
        <v>14</v>
      </c>
      <c r="AK18" s="37" t="s">
        <v>15</v>
      </c>
      <c r="AL18" s="47" t="s">
        <v>35</v>
      </c>
      <c r="AM18" s="49" t="s">
        <v>35</v>
      </c>
      <c r="AN18"/>
      <c r="AO18" s="47" t="s">
        <v>35</v>
      </c>
      <c r="AP18" s="37" t="s">
        <v>16</v>
      </c>
      <c r="AQ18" s="48" t="s">
        <v>14</v>
      </c>
      <c r="AR18" s="37" t="s">
        <v>15</v>
      </c>
      <c r="AS18" s="47" t="s">
        <v>35</v>
      </c>
      <c r="AT18" s="49" t="s">
        <v>35</v>
      </c>
      <c r="AV18" s="47" t="s">
        <v>35</v>
      </c>
      <c r="AW18" s="37" t="s">
        <v>16</v>
      </c>
      <c r="AX18" s="48" t="s">
        <v>14</v>
      </c>
      <c r="AY18" s="37" t="s">
        <v>15</v>
      </c>
      <c r="AZ18" s="47" t="s">
        <v>35</v>
      </c>
      <c r="BA18" s="49" t="s">
        <v>35</v>
      </c>
      <c r="BB18" s="63"/>
      <c r="BD18" s="80" t="s">
        <v>144</v>
      </c>
      <c r="BE18" s="80" t="s">
        <v>145</v>
      </c>
      <c r="BF18" s="80" t="s">
        <v>146</v>
      </c>
      <c r="BG18" s="80" t="s">
        <v>147</v>
      </c>
      <c r="BH18" s="80" t="s">
        <v>148</v>
      </c>
      <c r="BI18" s="80" t="s">
        <v>149</v>
      </c>
      <c r="BK18" s="265" t="s">
        <v>375</v>
      </c>
      <c r="BL18" s="264"/>
      <c r="BM18" s="265" t="s">
        <v>994</v>
      </c>
      <c r="BN18" s="265" t="s">
        <v>995</v>
      </c>
      <c r="BO18" s="265" t="s">
        <v>993</v>
      </c>
      <c r="BP18" s="265" t="s">
        <v>974</v>
      </c>
      <c r="BQ18" s="265" t="s">
        <v>991</v>
      </c>
      <c r="BR18" s="265" t="s">
        <v>992</v>
      </c>
    </row>
    <row r="19" spans="2:70" s="96" customFormat="1" ht="15" customHeight="1">
      <c r="B19" s="89"/>
      <c r="C19" s="478" t="s">
        <v>387</v>
      </c>
      <c r="D19" s="479" t="str">
        <f>TRIM(BM19)</f>
        <v>079S 155/80 R13 SL10Z</v>
      </c>
      <c r="E19" s="480" t="s">
        <v>388</v>
      </c>
      <c r="F19" s="481">
        <v>433</v>
      </c>
      <c r="G19" s="104">
        <f>INDEX('Tire Weight'!$D:$D,MATCH($C19&amp;"-"&amp;$E19,'Tire Weight'!$A:$A,0))</f>
        <v>5.367</v>
      </c>
      <c r="H19" s="90">
        <f t="shared" ref="H19:H124" si="0">F19*G19</f>
        <v>2323.9110000000001</v>
      </c>
      <c r="I19" s="104">
        <f>INDEX('Tire Weight'!$E:$E,MATCH($C19&amp;"-"&amp;$E19,'Tire Weight'!$A:$A,0))</f>
        <v>2.52</v>
      </c>
      <c r="J19" s="90">
        <f t="shared" ref="J19:J124" si="1">F19*I19</f>
        <v>1091.1600000000001</v>
      </c>
      <c r="K19" s="91"/>
      <c r="L19" s="34">
        <f>ROUND(VLOOKUP($C19,STD!$C:$AA,L$14,0),2)</f>
        <v>10.5</v>
      </c>
      <c r="M19" s="34">
        <f>ROUND(VLOOKUP($C19,STD!$C:$AA,M$14,0),2)</f>
        <v>4.12</v>
      </c>
      <c r="N19" s="34">
        <f>ROUND(VLOOKUP($C19,STD!$C:$AA,N$14,0),2)</f>
        <v>5.34</v>
      </c>
      <c r="O19" s="34">
        <f>ROUND(VLOOKUP($C19,STD!$C:$AA,O$14,0),2)-L19-M19-N19-P19</f>
        <v>4.5600000000000005</v>
      </c>
      <c r="P19" s="34">
        <f>ROUND(VLOOKUP($C19,STD!$C:$AA,P$14,0),2)</f>
        <v>0.33</v>
      </c>
      <c r="Q19" s="92">
        <f t="shared" ref="Q19" si="2">SUM(L19:P19)</f>
        <v>24.85</v>
      </c>
      <c r="R19" s="93">
        <f>ROUND(VLOOKUP($C19,STD!$C:$AA,R$14,0),2)-Q19</f>
        <v>0</v>
      </c>
      <c r="S19" s="91"/>
      <c r="T19" s="94">
        <f t="shared" ref="T19" si="3">AO19/F19</f>
        <v>9.7081839047342182</v>
      </c>
      <c r="U19" s="94">
        <f t="shared" ref="U19" ca="1" si="4">AP19/F19</f>
        <v>4.2428859447247769</v>
      </c>
      <c r="V19" s="94">
        <f t="shared" ref="V19" ca="1" si="5">AQ19/F19</f>
        <v>5.7069959023906263</v>
      </c>
      <c r="W19" s="94">
        <f t="shared" ref="W19" ca="1" si="6">AR19/F19</f>
        <v>3.3217137600719915</v>
      </c>
      <c r="X19" s="94">
        <f t="shared" ref="X19" ca="1" si="7">AS19/F19</f>
        <v>0.37023713760032267</v>
      </c>
      <c r="Y19" s="95">
        <f t="shared" ref="Y19" ca="1" si="8">SUM(T19:X19)</f>
        <v>23.350016649521937</v>
      </c>
      <c r="Z19" s="153"/>
      <c r="AA19" s="79">
        <f t="shared" ref="AA19" si="9">T19-L19</f>
        <v>-0.79181609526578178</v>
      </c>
      <c r="AB19" s="79">
        <f t="shared" ref="AB19" ca="1" si="10">U19-M19</f>
        <v>0.12288594472477676</v>
      </c>
      <c r="AC19" s="79">
        <f t="shared" ref="AC19" ca="1" si="11">V19-N19</f>
        <v>0.36699590239062641</v>
      </c>
      <c r="AD19" s="79">
        <f t="shared" ref="AD19" ca="1" si="12">W19-O19</f>
        <v>-1.238286239928009</v>
      </c>
      <c r="AE19" s="79">
        <f t="shared" ref="AE19" ca="1" si="13">X19-P19</f>
        <v>4.0237137600322659E-2</v>
      </c>
      <c r="AF19" s="79">
        <f t="shared" ref="AF19" ca="1" si="14">Y19-Q19</f>
        <v>-1.4999833504780646</v>
      </c>
      <c r="AH19" s="97">
        <f t="shared" ref="AH19" si="15">$F19*L19</f>
        <v>4546.5</v>
      </c>
      <c r="AI19" s="97">
        <f t="shared" ref="AI19" si="16">$F19*M19</f>
        <v>1783.96</v>
      </c>
      <c r="AJ19" s="97">
        <f t="shared" ref="AJ19" si="17">$F19*N19</f>
        <v>2312.2199999999998</v>
      </c>
      <c r="AK19" s="97">
        <f t="shared" ref="AK19" si="18">$F19*O19</f>
        <v>1974.4800000000002</v>
      </c>
      <c r="AL19" s="97">
        <f t="shared" ref="AL19" si="19">$F19*P19</f>
        <v>142.89000000000001</v>
      </c>
      <c r="AM19" s="97">
        <f t="shared" ref="AM19" si="20">SUM(AH19:AL19)</f>
        <v>10760.05</v>
      </c>
      <c r="AN19" s="91"/>
      <c r="AO19" s="75">
        <f>SUMIFS('DM-Sum'!$M$6:$M$117,'DM-Sum'!$B$6:$B$117,$C19,'DM-Sum'!$C$6:$C$117, $E19)</f>
        <v>4203.6436307499162</v>
      </c>
      <c r="AP19" s="75">
        <f t="shared" ref="AP19:AP50" ca="1" si="21">$AI19/$AI$130*$AP$15</f>
        <v>1837.1696140658285</v>
      </c>
      <c r="AQ19" s="75">
        <f t="shared" ref="AQ19:AQ50" ca="1" si="22">$AJ19/$AJ$130*$AQ$15</f>
        <v>2471.1292257351411</v>
      </c>
      <c r="AR19" s="75">
        <f t="shared" ref="AR19:AR50" ca="1" si="23">$AK19/$AK$130*$AR$15</f>
        <v>1438.3020581111723</v>
      </c>
      <c r="AS19" s="75">
        <f t="shared" ref="AS19:AS50" ca="1" si="24">$AL19/$AL$130*$AS$15</f>
        <v>160.31268058093971</v>
      </c>
      <c r="AT19" s="75">
        <f t="shared" ref="AT19:AT92" ca="1" si="25">SUM(AO19:AS19)</f>
        <v>10110.557209242997</v>
      </c>
      <c r="AV19" s="98">
        <f t="shared" ref="AV19:AV99" si="26">AO19-AH19</f>
        <v>-342.85636925008384</v>
      </c>
      <c r="AW19" s="98">
        <f t="shared" ref="AW19:AW92" ca="1" si="27">AP19-AI19</f>
        <v>53.209614065828418</v>
      </c>
      <c r="AX19" s="98">
        <f t="shared" ref="AX19:AX92" ca="1" si="28">AQ19-AJ19</f>
        <v>158.90922573514126</v>
      </c>
      <c r="AY19" s="98">
        <f t="shared" ref="AY19:AY92" ca="1" si="29">AR19-AK19</f>
        <v>-536.17794188882795</v>
      </c>
      <c r="AZ19" s="98">
        <f t="shared" ref="AZ19:AZ92" ca="1" si="30">AS19-AL19</f>
        <v>17.422680580939698</v>
      </c>
      <c r="BA19" s="98">
        <f t="shared" ref="BA19:BA92" ca="1" si="31">AT19-AM19</f>
        <v>-649.49279075700179</v>
      </c>
      <c r="BB19" s="99"/>
      <c r="BC19" s="100"/>
      <c r="BD19" s="267">
        <f t="shared" ref="BD19" si="32">+T19/L19</f>
        <v>0.92458894330802077</v>
      </c>
      <c r="BE19" s="268">
        <f t="shared" ref="BE19" ca="1" si="33">+U19/M19</f>
        <v>1.02982668561281</v>
      </c>
      <c r="BF19" s="268">
        <f t="shared" ref="BF19" ca="1" si="34">+V19/N19</f>
        <v>1.0687258244177202</v>
      </c>
      <c r="BG19" s="268">
        <f t="shared" ref="BG19" ca="1" si="35">+W19/O19</f>
        <v>0.72844600001578752</v>
      </c>
      <c r="BH19" s="268">
        <f t="shared" ref="BH19" ca="1" si="36">+SUM(U19:W19)/SUM(M19:O19)</f>
        <v>0.94661880222449313</v>
      </c>
      <c r="BI19" s="268">
        <f t="shared" ref="BI19" ca="1" si="37">+Y19/Q19</f>
        <v>0.93963849696265334</v>
      </c>
      <c r="BK19" s="266" t="str">
        <f t="shared" ref="BK19" si="38">MID(D19,SEARCH("R",D19)+1,2)</f>
        <v>13</v>
      </c>
      <c r="BM19" s="269" t="s">
        <v>1583</v>
      </c>
      <c r="BN19" s="270" t="str">
        <f>E19</f>
        <v>GSGVA</v>
      </c>
      <c r="BO19" s="270" t="str">
        <f>VLOOKUP($C19,STD!$C:$D,BO$17,0)</f>
        <v>79S 155/80R13 SL10Z</v>
      </c>
      <c r="BP19" s="270" t="str">
        <f>VLOOKUP($C19,STD!$C:$L,BP$17,0)</f>
        <v>GSGVA</v>
      </c>
      <c r="BQ19" s="270" t="b">
        <f>IF(AND(LEFT(BM19,1)="0",LEFT(BO19,1)&lt;&gt;"0"), SUBSTITUTE(BM19," ","")=SUBSTITUTE("0" &amp; BO19," ",""), SUBSTITUTE(BM19," ","")=SUBSTITUTE(BO19," ",""))</f>
        <v>1</v>
      </c>
      <c r="BR19" s="270" t="b">
        <f t="shared" ref="BR19:BR92" si="39">BN19=BP19</f>
        <v>1</v>
      </c>
    </row>
    <row r="20" spans="2:70" s="96" customFormat="1" ht="15" customHeight="1">
      <c r="B20" s="245"/>
      <c r="C20" s="482" t="s">
        <v>52</v>
      </c>
      <c r="D20" s="479" t="str">
        <f t="shared" ref="D20:D118" si="40">TRIM(BM20)</f>
        <v>082H175/65 R14 SPCZ</v>
      </c>
      <c r="E20" s="483" t="s">
        <v>53</v>
      </c>
      <c r="F20" s="484">
        <v>564</v>
      </c>
      <c r="G20" s="104">
        <f>INDEX('Tire Weight'!$D:$D,MATCH($C20&amp;"-"&amp;$E20,'Tire Weight'!$A:$A,0))</f>
        <v>7.0430000000000001</v>
      </c>
      <c r="H20" s="90">
        <f t="shared" ref="H20:H26" si="41">F20*G20</f>
        <v>3972.252</v>
      </c>
      <c r="I20" s="104">
        <f>INDEX('Tire Weight'!$E:$E,MATCH($C20&amp;"-"&amp;$E20,'Tire Weight'!$A:$A,0))</f>
        <v>3.4039999999999999</v>
      </c>
      <c r="J20" s="90">
        <f t="shared" ref="J20:J26" si="42">F20*I20</f>
        <v>1919.856</v>
      </c>
      <c r="K20" s="91"/>
      <c r="L20" s="34">
        <f>ROUND(VLOOKUP($C20,STD!$C:$AA,L$14,0),2)</f>
        <v>13.65</v>
      </c>
      <c r="M20" s="34">
        <f>ROUND(VLOOKUP($C20,STD!$C:$AA,M$14,0),2)</f>
        <v>4.74</v>
      </c>
      <c r="N20" s="34">
        <f>ROUND(VLOOKUP($C20,STD!$C:$AA,N$14,0),2)</f>
        <v>6.2</v>
      </c>
      <c r="O20" s="34">
        <f>ROUND(VLOOKUP($C20,STD!$C:$AA,O$14,0),2)-L20-M20-N20-P20</f>
        <v>5.4599999999999982</v>
      </c>
      <c r="P20" s="34">
        <f>ROUND(VLOOKUP($C20,STD!$C:$AA,P$14,0),2)</f>
        <v>0.43</v>
      </c>
      <c r="Q20" s="92">
        <f t="shared" ref="Q20:Q26" si="43">SUM(L20:P20)</f>
        <v>30.479999999999997</v>
      </c>
      <c r="R20" s="93">
        <f>ROUND(VLOOKUP($C20,STD!$C:$AA,R$14,0),2)-Q20</f>
        <v>0</v>
      </c>
      <c r="S20" s="91"/>
      <c r="T20" s="94">
        <f t="shared" ref="T20:T26" si="44">AO20/F20</f>
        <v>12.672996279814461</v>
      </c>
      <c r="U20" s="94">
        <f t="shared" ref="U20:U26" ca="1" si="45">AP20/F20</f>
        <v>4.8813784898047192</v>
      </c>
      <c r="V20" s="94">
        <f t="shared" ref="V20:V26" ca="1" si="46">AQ20/F20</f>
        <v>6.6261001113898663</v>
      </c>
      <c r="W20" s="94">
        <f t="shared" ref="W20:W26" ca="1" si="47">AR20/F20</f>
        <v>3.9773151600861985</v>
      </c>
      <c r="X20" s="94">
        <f t="shared" ref="X20:X26" ca="1" si="48">AS20/F20</f>
        <v>0.48243020960042043</v>
      </c>
      <c r="Y20" s="95">
        <f t="shared" ref="Y20:Y26" ca="1" si="49">SUM(T20:X20)</f>
        <v>28.640220250695666</v>
      </c>
      <c r="Z20" s="153"/>
      <c r="AA20" s="79">
        <f t="shared" ref="AA20:AA26" si="50">T20-L20</f>
        <v>-0.97700372018553949</v>
      </c>
      <c r="AB20" s="79">
        <f t="shared" ref="AB20:AB26" ca="1" si="51">U20-M20</f>
        <v>0.14137848980471901</v>
      </c>
      <c r="AC20" s="79">
        <f t="shared" ref="AC20:AC26" ca="1" si="52">V20-N20</f>
        <v>0.42610011138986614</v>
      </c>
      <c r="AD20" s="79">
        <f t="shared" ref="AD20:AD26" ca="1" si="53">W20-O20</f>
        <v>-1.4826848399137997</v>
      </c>
      <c r="AE20" s="79">
        <f t="shared" ref="AE20:AE26" ca="1" si="54">X20-P20</f>
        <v>5.2430209600420441E-2</v>
      </c>
      <c r="AF20" s="79">
        <f t="shared" ref="AF20:AF26" ca="1" si="55">Y20-Q20</f>
        <v>-1.8397797493043306</v>
      </c>
      <c r="AH20" s="97">
        <f t="shared" ref="AH20:AH26" si="56">$F20*L20</f>
        <v>7698.6</v>
      </c>
      <c r="AI20" s="97">
        <f t="shared" ref="AI20:AI26" si="57">$F20*M20</f>
        <v>2673.36</v>
      </c>
      <c r="AJ20" s="97">
        <f t="shared" ref="AJ20:AJ26" si="58">$F20*N20</f>
        <v>3496.8</v>
      </c>
      <c r="AK20" s="97">
        <f t="shared" ref="AK20:AK26" si="59">$F20*O20</f>
        <v>3079.4399999999991</v>
      </c>
      <c r="AL20" s="97">
        <f t="shared" ref="AL20:AL26" si="60">$F20*P20</f>
        <v>242.52</v>
      </c>
      <c r="AM20" s="97">
        <f t="shared" ref="AM20:AM26" si="61">SUM(AH20:AL20)</f>
        <v>17190.72</v>
      </c>
      <c r="AN20" s="91"/>
      <c r="AO20" s="75">
        <f>SUMIFS('DM-Sum'!$M$6:$M$117,'DM-Sum'!$B$6:$B$117,$C20,'DM-Sum'!$C$6:$C$117, $E20)</f>
        <v>7147.5699018153564</v>
      </c>
      <c r="AP20" s="75">
        <f t="shared" ca="1" si="21"/>
        <v>2753.0974682498618</v>
      </c>
      <c r="AQ20" s="75">
        <f t="shared" ca="1" si="22"/>
        <v>3737.1204628238847</v>
      </c>
      <c r="AR20" s="75">
        <f t="shared" ca="1" si="23"/>
        <v>2243.2057502886159</v>
      </c>
      <c r="AS20" s="75">
        <f t="shared" ca="1" si="24"/>
        <v>272.09063821463712</v>
      </c>
      <c r="AT20" s="75">
        <f t="shared" ref="AT20:AT26" ca="1" si="62">SUM(AO20:AS20)</f>
        <v>16153.084221392355</v>
      </c>
      <c r="AV20" s="98">
        <f t="shared" ref="AV20:AV26" si="63">AO20-AH20</f>
        <v>-551.03009818464398</v>
      </c>
      <c r="AW20" s="98">
        <f t="shared" ref="AW20:AW26" ca="1" si="64">AP20-AI20</f>
        <v>79.737468249861649</v>
      </c>
      <c r="AX20" s="98">
        <f t="shared" ref="AX20:AX26" ca="1" si="65">AQ20-AJ20</f>
        <v>240.32046282388455</v>
      </c>
      <c r="AY20" s="98">
        <f t="shared" ref="AY20:AY26" ca="1" si="66">AR20-AK20</f>
        <v>-836.2342497113832</v>
      </c>
      <c r="AZ20" s="98">
        <f t="shared" ref="AZ20:AZ26" ca="1" si="67">AS20-AL20</f>
        <v>29.570638214637114</v>
      </c>
      <c r="BA20" s="98">
        <f t="shared" ref="BA20:BA26" ca="1" si="68">AT20-AM20</f>
        <v>-1037.635778607646</v>
      </c>
      <c r="BB20" s="99"/>
      <c r="BC20" s="100"/>
      <c r="BD20" s="267">
        <f t="shared" ref="BD20:BD26" si="69">+T20/L20</f>
        <v>0.92842463588384327</v>
      </c>
      <c r="BE20" s="268">
        <f t="shared" ref="BE20:BE26" ca="1" si="70">+U20/M20</f>
        <v>1.02982668561281</v>
      </c>
      <c r="BF20" s="268">
        <f t="shared" ref="BF20:BF26" ca="1" si="71">+V20/N20</f>
        <v>1.0687258244177202</v>
      </c>
      <c r="BG20" s="268">
        <f t="shared" ref="BG20:BG26" ca="1" si="72">+W20/O20</f>
        <v>0.72844600001578752</v>
      </c>
      <c r="BH20" s="268">
        <f t="shared" ref="BH20:BH26" ca="1" si="73">+SUM(U20:W20)/SUM(M20:O20)</f>
        <v>0.94419474154151128</v>
      </c>
      <c r="BI20" s="268">
        <f t="shared" ref="BI20:BI26" ca="1" si="74">+Y20/Q20</f>
        <v>0.93963977200445103</v>
      </c>
      <c r="BK20" s="266" t="str">
        <f t="shared" ref="BK20:BK26" si="75">MID(D20,SEARCH("R",D20)+1,2)</f>
        <v>14</v>
      </c>
      <c r="BM20" s="269" t="s">
        <v>1584</v>
      </c>
      <c r="BN20" s="270" t="str">
        <f t="shared" ref="BN20:BN26" si="76">E20</f>
        <v>P2PVA</v>
      </c>
      <c r="BO20" s="270" t="str">
        <f>VLOOKUP($C20,STD!$C:$D,BO$17,0)</f>
        <v>82H 175/65R14 SPCZ</v>
      </c>
      <c r="BP20" s="270" t="str">
        <f>VLOOKUP($C20,STD!$C:$L,BP$17,0)</f>
        <v>P2PVA</v>
      </c>
      <c r="BQ20" s="270" t="b">
        <f t="shared" ref="BQ20:BQ26" si="77">IF(AND(LEFT(BM20,1)="0",LEFT(BO20,1)&lt;&gt;"0"), SUBSTITUTE(BM20," ","")=SUBSTITUTE("0" &amp; BO20," ",""), SUBSTITUTE(BM20," ","")=SUBSTITUTE(BO20," ",""))</f>
        <v>1</v>
      </c>
      <c r="BR20" s="270" t="b">
        <f t="shared" ref="BR20:BR26" si="78">BN20=BP20</f>
        <v>1</v>
      </c>
    </row>
    <row r="21" spans="2:70" s="96" customFormat="1" ht="15" customHeight="1">
      <c r="B21" s="245"/>
      <c r="C21" s="482" t="s">
        <v>84</v>
      </c>
      <c r="D21" s="479" t="str">
        <f t="shared" si="40"/>
        <v>095V215/60 R16 BAR3Z</v>
      </c>
      <c r="E21" s="483" t="s">
        <v>85</v>
      </c>
      <c r="F21" s="484">
        <v>2</v>
      </c>
      <c r="G21" s="104">
        <f>INDEX('Tire Weight'!$D:$D,MATCH($C21&amp;"-"&amp;$E21,'Tire Weight'!$A:$A,0))</f>
        <v>9.9860000000000007</v>
      </c>
      <c r="H21" s="90">
        <f t="shared" si="41"/>
        <v>19.972000000000001</v>
      </c>
      <c r="I21" s="104">
        <f>INDEX('Tire Weight'!$E:$E,MATCH($C21&amp;"-"&amp;$E21,'Tire Weight'!$A:$A,0))</f>
        <v>4.7869999999999999</v>
      </c>
      <c r="J21" s="90">
        <f t="shared" si="42"/>
        <v>9.5739999999999998</v>
      </c>
      <c r="K21" s="91"/>
      <c r="L21" s="34">
        <f>ROUND(VLOOKUP($C21,STD!$C:$AA,L$14,0),2)</f>
        <v>19.510000000000002</v>
      </c>
      <c r="M21" s="34">
        <f>ROUND(VLOOKUP($C21,STD!$C:$AA,M$14,0),2)</f>
        <v>5.78</v>
      </c>
      <c r="N21" s="34">
        <f>ROUND(VLOOKUP($C21,STD!$C:$AA,N$14,0),2)</f>
        <v>7.67</v>
      </c>
      <c r="O21" s="34">
        <f>ROUND(VLOOKUP($C21,STD!$C:$AA,O$14,0),2)-L21-M21-N21-P21</f>
        <v>7.0399999999999965</v>
      </c>
      <c r="P21" s="34">
        <f>ROUND(VLOOKUP($C21,STD!$C:$AA,P$14,0),2)</f>
        <v>0.61</v>
      </c>
      <c r="Q21" s="92">
        <f t="shared" si="43"/>
        <v>40.61</v>
      </c>
      <c r="R21" s="93">
        <f>ROUND(VLOOKUP($C21,STD!$C:$AA,R$14,0),2)-Q21</f>
        <v>0</v>
      </c>
      <c r="S21" s="91"/>
      <c r="T21" s="94">
        <f t="shared" si="44"/>
        <v>18.709730727779107</v>
      </c>
      <c r="U21" s="94">
        <f t="shared" ca="1" si="45"/>
        <v>5.9523982428420412</v>
      </c>
      <c r="V21" s="94">
        <f t="shared" ca="1" si="46"/>
        <v>8.1971270732839141</v>
      </c>
      <c r="W21" s="94">
        <f t="shared" ca="1" si="47"/>
        <v>5.1282598401111414</v>
      </c>
      <c r="X21" s="94">
        <f t="shared" ca="1" si="48"/>
        <v>0.6843777392005963</v>
      </c>
      <c r="Y21" s="95">
        <f t="shared" ca="1" si="49"/>
        <v>38.671893623216803</v>
      </c>
      <c r="Z21" s="153"/>
      <c r="AA21" s="79">
        <f t="shared" si="50"/>
        <v>-0.80026927222089483</v>
      </c>
      <c r="AB21" s="79">
        <f t="shared" ca="1" si="51"/>
        <v>0.17239824284204097</v>
      </c>
      <c r="AC21" s="79">
        <f t="shared" ca="1" si="52"/>
        <v>0.52712707328391417</v>
      </c>
      <c r="AD21" s="79">
        <f t="shared" ca="1" si="53"/>
        <v>-1.911740159888855</v>
      </c>
      <c r="AE21" s="79">
        <f t="shared" ca="1" si="54"/>
        <v>7.4377739200596316E-2</v>
      </c>
      <c r="AF21" s="79">
        <f t="shared" ca="1" si="55"/>
        <v>-1.9381063767831961</v>
      </c>
      <c r="AH21" s="97">
        <f t="shared" si="56"/>
        <v>39.020000000000003</v>
      </c>
      <c r="AI21" s="97">
        <f t="shared" si="57"/>
        <v>11.56</v>
      </c>
      <c r="AJ21" s="97">
        <f t="shared" si="58"/>
        <v>15.34</v>
      </c>
      <c r="AK21" s="97">
        <f t="shared" si="59"/>
        <v>14.079999999999993</v>
      </c>
      <c r="AL21" s="97">
        <f t="shared" si="60"/>
        <v>1.22</v>
      </c>
      <c r="AM21" s="97">
        <f t="shared" si="61"/>
        <v>81.22</v>
      </c>
      <c r="AN21" s="91"/>
      <c r="AO21" s="75">
        <f>SUMIFS('DM-Sum'!$M$6:$M$117,'DM-Sum'!$B$6:$B$117,$C21,'DM-Sum'!$C$6:$C$117, $E21)</f>
        <v>37.419461455558213</v>
      </c>
      <c r="AP21" s="75">
        <f t="shared" ca="1" si="21"/>
        <v>11.904796485684082</v>
      </c>
      <c r="AQ21" s="75">
        <f t="shared" ca="1" si="22"/>
        <v>16.394254146567828</v>
      </c>
      <c r="AR21" s="75">
        <f t="shared" ca="1" si="23"/>
        <v>10.256519680222283</v>
      </c>
      <c r="AS21" s="75">
        <f t="shared" ca="1" si="24"/>
        <v>1.3687554784011926</v>
      </c>
      <c r="AT21" s="75">
        <f t="shared" ca="1" si="62"/>
        <v>77.343787246433607</v>
      </c>
      <c r="AV21" s="98">
        <f t="shared" si="63"/>
        <v>-1.6005385444417897</v>
      </c>
      <c r="AW21" s="98">
        <f t="shared" ca="1" si="64"/>
        <v>0.34479648568408194</v>
      </c>
      <c r="AX21" s="98">
        <f t="shared" ca="1" si="65"/>
        <v>1.0542541465678283</v>
      </c>
      <c r="AY21" s="98">
        <f t="shared" ca="1" si="66"/>
        <v>-3.8234803197777101</v>
      </c>
      <c r="AZ21" s="98">
        <f t="shared" ca="1" si="67"/>
        <v>0.14875547840119263</v>
      </c>
      <c r="BA21" s="98">
        <f t="shared" ca="1" si="68"/>
        <v>-3.8762127535663922</v>
      </c>
      <c r="BB21" s="99"/>
      <c r="BC21" s="100"/>
      <c r="BD21" s="267">
        <f t="shared" si="69"/>
        <v>0.95898158522701715</v>
      </c>
      <c r="BE21" s="268">
        <f t="shared" ca="1" si="70"/>
        <v>1.0298266856128098</v>
      </c>
      <c r="BF21" s="268">
        <f t="shared" ca="1" si="71"/>
        <v>1.0687258244177202</v>
      </c>
      <c r="BG21" s="268">
        <f t="shared" ca="1" si="72"/>
        <v>0.72844600001578752</v>
      </c>
      <c r="BH21" s="268">
        <f t="shared" ca="1" si="73"/>
        <v>0.9408387094308005</v>
      </c>
      <c r="BI21" s="268">
        <f t="shared" ca="1" si="74"/>
        <v>0.95227514462489049</v>
      </c>
      <c r="BK21" s="266" t="str">
        <f t="shared" si="75"/>
        <v>16</v>
      </c>
      <c r="BM21" s="269" t="s">
        <v>1585</v>
      </c>
      <c r="BN21" s="270" t="str">
        <f t="shared" si="76"/>
        <v>BJTVA</v>
      </c>
      <c r="BO21" s="270" t="str">
        <f>VLOOKUP($C21,STD!$C:$D,BO$17,0)</f>
        <v>95V 215/60R16 BAR3Z</v>
      </c>
      <c r="BP21" s="270" t="str">
        <f>VLOOKUP($C21,STD!$C:$L,BP$17,0)</f>
        <v>BJTVA</v>
      </c>
      <c r="BQ21" s="270" t="b">
        <f t="shared" si="77"/>
        <v>1</v>
      </c>
      <c r="BR21" s="270" t="b">
        <f t="shared" si="78"/>
        <v>1</v>
      </c>
    </row>
    <row r="22" spans="2:70" s="96" customFormat="1" ht="15" customHeight="1">
      <c r="B22" s="245"/>
      <c r="C22" s="482" t="s">
        <v>61</v>
      </c>
      <c r="D22" s="479" t="str">
        <f t="shared" si="40"/>
        <v>086H185/65 R14 SPCZ</v>
      </c>
      <c r="E22" s="483" t="s">
        <v>62</v>
      </c>
      <c r="F22" s="484">
        <v>328</v>
      </c>
      <c r="G22" s="104">
        <f>INDEX('Tire Weight'!$D:$D,MATCH($C22&amp;"-"&amp;$E22,'Tire Weight'!$A:$A,0))</f>
        <v>7.43</v>
      </c>
      <c r="H22" s="90">
        <f t="shared" si="41"/>
        <v>2437.04</v>
      </c>
      <c r="I22" s="104">
        <f>INDEX('Tire Weight'!$E:$E,MATCH($C22&amp;"-"&amp;$E22,'Tire Weight'!$A:$A,0))</f>
        <v>3.5569999999999999</v>
      </c>
      <c r="J22" s="90">
        <f t="shared" si="42"/>
        <v>1166.6959999999999</v>
      </c>
      <c r="K22" s="91"/>
      <c r="L22" s="34">
        <f>ROUND(VLOOKUP($C22,STD!$C:$AA,L$14,0),2)</f>
        <v>14.56</v>
      </c>
      <c r="M22" s="34">
        <f>ROUND(VLOOKUP($C22,STD!$C:$AA,M$14,0),2)</f>
        <v>4.9000000000000004</v>
      </c>
      <c r="N22" s="34">
        <f>ROUND(VLOOKUP($C22,STD!$C:$AA,N$14,0),2)</f>
        <v>6.46</v>
      </c>
      <c r="O22" s="34">
        <f>ROUND(VLOOKUP($C22,STD!$C:$AA,O$14,0),2)-L22-M22-N22-P22</f>
        <v>5.7100000000000009</v>
      </c>
      <c r="P22" s="34">
        <f>ROUND(VLOOKUP($C22,STD!$C:$AA,P$14,0),2)</f>
        <v>0.46</v>
      </c>
      <c r="Q22" s="92">
        <f t="shared" si="43"/>
        <v>32.090000000000003</v>
      </c>
      <c r="R22" s="93">
        <f>ROUND(VLOOKUP($C22,STD!$C:$AA,R$14,0),2)-Q22</f>
        <v>0</v>
      </c>
      <c r="S22" s="91"/>
      <c r="T22" s="94">
        <f t="shared" si="44"/>
        <v>13.59995354631446</v>
      </c>
      <c r="U22" s="94">
        <f t="shared" ca="1" si="45"/>
        <v>5.046150759502769</v>
      </c>
      <c r="V22" s="94">
        <f t="shared" ca="1" si="46"/>
        <v>6.903968825738473</v>
      </c>
      <c r="W22" s="94">
        <f t="shared" ca="1" si="47"/>
        <v>4.1594266600901477</v>
      </c>
      <c r="X22" s="94">
        <f t="shared" ca="1" si="48"/>
        <v>0.51608813120044961</v>
      </c>
      <c r="Y22" s="95">
        <f t="shared" ca="1" si="49"/>
        <v>30.225587922846302</v>
      </c>
      <c r="Z22" s="153"/>
      <c r="AA22" s="79">
        <f t="shared" si="50"/>
        <v>-0.96004645368554087</v>
      </c>
      <c r="AB22" s="79">
        <f t="shared" ca="1" si="51"/>
        <v>0.14615075950276868</v>
      </c>
      <c r="AC22" s="79">
        <f t="shared" ca="1" si="52"/>
        <v>0.44396882573847307</v>
      </c>
      <c r="AD22" s="79">
        <f t="shared" ca="1" si="53"/>
        <v>-1.5505733399098531</v>
      </c>
      <c r="AE22" s="79">
        <f t="shared" ca="1" si="54"/>
        <v>5.6088131200449587E-2</v>
      </c>
      <c r="AF22" s="79">
        <f t="shared" ca="1" si="55"/>
        <v>-1.8644120771537018</v>
      </c>
      <c r="AH22" s="97">
        <f t="shared" si="56"/>
        <v>4775.68</v>
      </c>
      <c r="AI22" s="97">
        <f t="shared" si="57"/>
        <v>1607.2</v>
      </c>
      <c r="AJ22" s="97">
        <f t="shared" si="58"/>
        <v>2118.88</v>
      </c>
      <c r="AK22" s="97">
        <f t="shared" si="59"/>
        <v>1872.8800000000003</v>
      </c>
      <c r="AL22" s="97">
        <f t="shared" si="60"/>
        <v>150.88</v>
      </c>
      <c r="AM22" s="97">
        <f t="shared" si="61"/>
        <v>10525.52</v>
      </c>
      <c r="AN22" s="91"/>
      <c r="AO22" s="75">
        <f>SUMIFS('DM-Sum'!$M$6:$M$117,'DM-Sum'!$B$6:$B$117,$C22,'DM-Sum'!$C$6:$C$117, $E22)</f>
        <v>4460.7847631911427</v>
      </c>
      <c r="AP22" s="75">
        <f t="shared" ca="1" si="21"/>
        <v>1655.1374491169081</v>
      </c>
      <c r="AQ22" s="75">
        <f t="shared" ca="1" si="22"/>
        <v>2264.5017748422192</v>
      </c>
      <c r="AR22" s="75">
        <f t="shared" ca="1" si="23"/>
        <v>1364.2919445095686</v>
      </c>
      <c r="AS22" s="75">
        <f t="shared" ca="1" si="24"/>
        <v>169.27690703374748</v>
      </c>
      <c r="AT22" s="75">
        <f t="shared" ca="1" si="62"/>
        <v>9913.9928386935862</v>
      </c>
      <c r="AV22" s="98">
        <f t="shared" si="63"/>
        <v>-314.89523680885759</v>
      </c>
      <c r="AW22" s="98">
        <f t="shared" ca="1" si="64"/>
        <v>47.937449116908056</v>
      </c>
      <c r="AX22" s="98">
        <f t="shared" ca="1" si="65"/>
        <v>145.62177484221911</v>
      </c>
      <c r="AY22" s="98">
        <f t="shared" ca="1" si="66"/>
        <v>-508.58805549043177</v>
      </c>
      <c r="AZ22" s="98">
        <f t="shared" ca="1" si="67"/>
        <v>18.396907033747482</v>
      </c>
      <c r="BA22" s="98">
        <f t="shared" ca="1" si="68"/>
        <v>-611.5271613064142</v>
      </c>
      <c r="BB22" s="99"/>
      <c r="BC22" s="100"/>
      <c r="BD22" s="267">
        <f t="shared" si="69"/>
        <v>0.93406274356555352</v>
      </c>
      <c r="BE22" s="268">
        <f t="shared" ca="1" si="70"/>
        <v>1.02982668561281</v>
      </c>
      <c r="BF22" s="268">
        <f t="shared" ca="1" si="71"/>
        <v>1.0687258244177202</v>
      </c>
      <c r="BG22" s="268">
        <f t="shared" ca="1" si="72"/>
        <v>0.72844600001578763</v>
      </c>
      <c r="BH22" s="268">
        <f t="shared" ca="1" si="73"/>
        <v>0.94373440218695903</v>
      </c>
      <c r="BI22" s="268">
        <f t="shared" ca="1" si="74"/>
        <v>0.9419005273557588</v>
      </c>
      <c r="BK22" s="266" t="str">
        <f t="shared" si="75"/>
        <v>14</v>
      </c>
      <c r="BM22" s="269" t="s">
        <v>1586</v>
      </c>
      <c r="BN22" s="270" t="str">
        <f t="shared" si="76"/>
        <v>VVVVA</v>
      </c>
      <c r="BO22" s="270" t="str">
        <f>VLOOKUP($C22,STD!$C:$D,BO$17,0)</f>
        <v>86H 185/65R14 SPCZ</v>
      </c>
      <c r="BP22" s="270" t="str">
        <f>VLOOKUP($C22,STD!$C:$L,BP$17,0)</f>
        <v>VVVVA</v>
      </c>
      <c r="BQ22" s="270" t="b">
        <f t="shared" si="77"/>
        <v>1</v>
      </c>
      <c r="BR22" s="270" t="b">
        <f t="shared" si="78"/>
        <v>1</v>
      </c>
    </row>
    <row r="23" spans="2:70" s="96" customFormat="1" ht="15" customHeight="1">
      <c r="B23" s="245"/>
      <c r="C23" s="482" t="s">
        <v>330</v>
      </c>
      <c r="D23" s="479" t="str">
        <f t="shared" si="40"/>
        <v>092V 205/60 R16 BAR3Z</v>
      </c>
      <c r="E23" s="483" t="s">
        <v>331</v>
      </c>
      <c r="F23" s="484">
        <v>1</v>
      </c>
      <c r="G23" s="104">
        <f>INDEX('Tire Weight'!$D:$D,MATCH($C23&amp;"-"&amp;$E23,'Tire Weight'!$A:$A,0))</f>
        <v>9.2729999999999997</v>
      </c>
      <c r="H23" s="90">
        <f t="shared" si="41"/>
        <v>9.2729999999999997</v>
      </c>
      <c r="I23" s="104">
        <f>INDEX('Tire Weight'!$E:$E,MATCH($C23&amp;"-"&amp;$E23,'Tire Weight'!$A:$A,0))</f>
        <v>4.4320000000000004</v>
      </c>
      <c r="J23" s="90">
        <f t="shared" si="42"/>
        <v>4.4320000000000004</v>
      </c>
      <c r="K23" s="91"/>
      <c r="L23" s="34">
        <f>ROUND(VLOOKUP($C23,STD!$C:$AA,L$14,0),2)</f>
        <v>21.69</v>
      </c>
      <c r="M23" s="34">
        <f>ROUND(VLOOKUP($C23,STD!$C:$AA,M$14,0),2)</f>
        <v>4.57</v>
      </c>
      <c r="N23" s="34">
        <f>ROUND(VLOOKUP($C23,STD!$C:$AA,N$14,0),2)</f>
        <v>5.56</v>
      </c>
      <c r="O23" s="34">
        <f>ROUND(VLOOKUP($C23,STD!$C:$AA,O$14,0),2)-L23-M23-N23-P23</f>
        <v>4.8799999999999963</v>
      </c>
      <c r="P23" s="34">
        <f>ROUND(VLOOKUP($C23,STD!$C:$AA,P$14,0),2)</f>
        <v>0.67</v>
      </c>
      <c r="Q23" s="92">
        <f t="shared" si="43"/>
        <v>37.369999999999997</v>
      </c>
      <c r="R23" s="93">
        <f>ROUND(VLOOKUP($C23,STD!$C:$AA,R$14,0),2)-Q23</f>
        <v>0</v>
      </c>
      <c r="S23" s="91"/>
      <c r="T23" s="94">
        <f t="shared" si="44"/>
        <v>17.422414313821371</v>
      </c>
      <c r="U23" s="94">
        <f t="shared" ca="1" si="45"/>
        <v>4.7063079532505414</v>
      </c>
      <c r="V23" s="94">
        <f t="shared" ca="1" si="46"/>
        <v>5.9421155837625239</v>
      </c>
      <c r="W23" s="94">
        <f t="shared" ca="1" si="47"/>
        <v>3.5548164800770405</v>
      </c>
      <c r="X23" s="94">
        <f t="shared" ca="1" si="48"/>
        <v>0.75169358240065498</v>
      </c>
      <c r="Y23" s="95">
        <f t="shared" ca="1" si="49"/>
        <v>32.377347913312128</v>
      </c>
      <c r="Z23" s="153"/>
      <c r="AA23" s="79">
        <f t="shared" si="50"/>
        <v>-4.2675856861786308</v>
      </c>
      <c r="AB23" s="79">
        <f t="shared" ca="1" si="51"/>
        <v>0.13630795325054113</v>
      </c>
      <c r="AC23" s="79">
        <f t="shared" ca="1" si="52"/>
        <v>0.3821155837625243</v>
      </c>
      <c r="AD23" s="79">
        <f t="shared" ca="1" si="53"/>
        <v>-1.3251835199229558</v>
      </c>
      <c r="AE23" s="79">
        <f t="shared" ca="1" si="54"/>
        <v>8.169358240065494E-2</v>
      </c>
      <c r="AF23" s="79">
        <f t="shared" ca="1" si="55"/>
        <v>-4.992652086687869</v>
      </c>
      <c r="AH23" s="97">
        <f t="shared" si="56"/>
        <v>21.69</v>
      </c>
      <c r="AI23" s="97">
        <f t="shared" si="57"/>
        <v>4.57</v>
      </c>
      <c r="AJ23" s="97">
        <f t="shared" si="58"/>
        <v>5.56</v>
      </c>
      <c r="AK23" s="97">
        <f t="shared" si="59"/>
        <v>4.8799999999999963</v>
      </c>
      <c r="AL23" s="97">
        <f t="shared" si="60"/>
        <v>0.67</v>
      </c>
      <c r="AM23" s="97">
        <f t="shared" si="61"/>
        <v>37.369999999999997</v>
      </c>
      <c r="AN23" s="91"/>
      <c r="AO23" s="75">
        <f>SUMIFS('DM-Sum'!$M$6:$M$117,'DM-Sum'!$B$6:$B$117,$C23,'DM-Sum'!$C$6:$C$117, $E23)</f>
        <v>17.422414313821371</v>
      </c>
      <c r="AP23" s="75">
        <f t="shared" ca="1" si="21"/>
        <v>4.7063079532505414</v>
      </c>
      <c r="AQ23" s="75">
        <f t="shared" ca="1" si="22"/>
        <v>5.9421155837625239</v>
      </c>
      <c r="AR23" s="75">
        <f t="shared" ca="1" si="23"/>
        <v>3.5548164800770405</v>
      </c>
      <c r="AS23" s="75">
        <f t="shared" ca="1" si="24"/>
        <v>0.75169358240065498</v>
      </c>
      <c r="AT23" s="75">
        <f t="shared" ca="1" si="62"/>
        <v>32.377347913312128</v>
      </c>
      <c r="AV23" s="98">
        <f t="shared" si="63"/>
        <v>-4.2675856861786308</v>
      </c>
      <c r="AW23" s="98">
        <f t="shared" ca="1" si="64"/>
        <v>0.13630795325054113</v>
      </c>
      <c r="AX23" s="98">
        <f t="shared" ca="1" si="65"/>
        <v>0.3821155837625243</v>
      </c>
      <c r="AY23" s="98">
        <f t="shared" ca="1" si="66"/>
        <v>-1.3251835199229558</v>
      </c>
      <c r="AZ23" s="98">
        <f t="shared" ca="1" si="67"/>
        <v>8.169358240065494E-2</v>
      </c>
      <c r="BA23" s="98">
        <f t="shared" ca="1" si="68"/>
        <v>-4.992652086687869</v>
      </c>
      <c r="BB23" s="99"/>
      <c r="BC23" s="100"/>
      <c r="BD23" s="267">
        <f t="shared" si="69"/>
        <v>0.80324639528913644</v>
      </c>
      <c r="BE23" s="268">
        <f t="shared" ca="1" si="70"/>
        <v>1.0298266856128098</v>
      </c>
      <c r="BF23" s="268">
        <f t="shared" ca="1" si="71"/>
        <v>1.0687258244177202</v>
      </c>
      <c r="BG23" s="268">
        <f t="shared" ca="1" si="72"/>
        <v>0.72844600001578752</v>
      </c>
      <c r="BH23" s="268">
        <f t="shared" ca="1" si="73"/>
        <v>0.9462518332505071</v>
      </c>
      <c r="BI23" s="268">
        <f t="shared" ca="1" si="74"/>
        <v>0.8663994624916278</v>
      </c>
      <c r="BK23" s="266" t="str">
        <f t="shared" si="75"/>
        <v>16</v>
      </c>
      <c r="BM23" s="269" t="s">
        <v>1587</v>
      </c>
      <c r="BN23" s="270" t="str">
        <f t="shared" si="76"/>
        <v>TZNVA</v>
      </c>
      <c r="BO23" s="270" t="str">
        <f>VLOOKUP($C23,STD!$C:$D,BO$17,0)</f>
        <v xml:space="preserve">092V 205/60R16 BAR3Z </v>
      </c>
      <c r="BP23" s="270" t="str">
        <f>VLOOKUP($C23,STD!$C:$L,BP$17,0)</f>
        <v>TZNVA</v>
      </c>
      <c r="BQ23" s="270" t="b">
        <f t="shared" si="77"/>
        <v>1</v>
      </c>
      <c r="BR23" s="270" t="b">
        <f t="shared" si="78"/>
        <v>1</v>
      </c>
    </row>
    <row r="24" spans="2:70" s="96" customFormat="1" ht="15" customHeight="1">
      <c r="B24" s="245"/>
      <c r="C24" s="482" t="s">
        <v>58</v>
      </c>
      <c r="D24" s="479" t="str">
        <f t="shared" si="40"/>
        <v>088H195/60 R15 SPCZ</v>
      </c>
      <c r="E24" s="483" t="s">
        <v>69</v>
      </c>
      <c r="F24" s="484">
        <v>423</v>
      </c>
      <c r="G24" s="104">
        <f>INDEX('Tire Weight'!$D:$D,MATCH($C24&amp;"-"&amp;$E24,'Tire Weight'!$A:$A,0))</f>
        <v>8.4610000000000003</v>
      </c>
      <c r="H24" s="90">
        <f t="shared" si="41"/>
        <v>3579.0030000000002</v>
      </c>
      <c r="I24" s="104">
        <f>INDEX('Tire Weight'!$E:$E,MATCH($C24&amp;"-"&amp;$E24,'Tire Weight'!$A:$A,0))</f>
        <v>4.04</v>
      </c>
      <c r="J24" s="90">
        <f t="shared" si="42"/>
        <v>1708.92</v>
      </c>
      <c r="K24" s="91"/>
      <c r="L24" s="34">
        <f>ROUND(VLOOKUP($C24,STD!$C:$AA,L$14,0),2)</f>
        <v>16.36</v>
      </c>
      <c r="M24" s="34">
        <f>ROUND(VLOOKUP($C24,STD!$C:$AA,M$14,0),2)</f>
        <v>5.17</v>
      </c>
      <c r="N24" s="34">
        <f>ROUND(VLOOKUP($C24,STD!$C:$AA,N$14,0),2)</f>
        <v>6.75</v>
      </c>
      <c r="O24" s="34">
        <f>ROUND(VLOOKUP($C24,STD!$C:$AA,O$14,0),2)-L24-M24-N24-P24</f>
        <v>6.0500000000000025</v>
      </c>
      <c r="P24" s="34">
        <f>ROUND(VLOOKUP($C24,STD!$C:$AA,P$14,0),2)</f>
        <v>0.52</v>
      </c>
      <c r="Q24" s="92">
        <f t="shared" si="43"/>
        <v>34.850000000000009</v>
      </c>
      <c r="R24" s="93">
        <f>ROUND(VLOOKUP($C24,STD!$C:$AA,R$14,0),2)-Q24</f>
        <v>0</v>
      </c>
      <c r="S24" s="91"/>
      <c r="T24" s="94">
        <f t="shared" si="44"/>
        <v>15.301296261659234</v>
      </c>
      <c r="U24" s="94">
        <f t="shared" ca="1" si="45"/>
        <v>5.3242039646182269</v>
      </c>
      <c r="V24" s="94">
        <f t="shared" ca="1" si="46"/>
        <v>7.2138993148196118</v>
      </c>
      <c r="W24" s="94">
        <f t="shared" ca="1" si="47"/>
        <v>4.4070983000955168</v>
      </c>
      <c r="X24" s="94">
        <f t="shared" ca="1" si="48"/>
        <v>0.5834039744005084</v>
      </c>
      <c r="Y24" s="95">
        <f t="shared" ca="1" si="49"/>
        <v>32.829901815593104</v>
      </c>
      <c r="Z24" s="153"/>
      <c r="AA24" s="79">
        <f t="shared" si="50"/>
        <v>-1.0587037383407658</v>
      </c>
      <c r="AB24" s="79">
        <f t="shared" ca="1" si="51"/>
        <v>0.15420396461822694</v>
      </c>
      <c r="AC24" s="79">
        <f t="shared" ca="1" si="52"/>
        <v>0.46389931481961177</v>
      </c>
      <c r="AD24" s="79">
        <f t="shared" ca="1" si="53"/>
        <v>-1.6429016999044856</v>
      </c>
      <c r="AE24" s="79">
        <f t="shared" ca="1" si="54"/>
        <v>6.3403974400508378E-2</v>
      </c>
      <c r="AF24" s="79">
        <f t="shared" ca="1" si="55"/>
        <v>-2.0200981844069048</v>
      </c>
      <c r="AH24" s="97">
        <f t="shared" si="56"/>
        <v>6920.28</v>
      </c>
      <c r="AI24" s="97">
        <f t="shared" si="57"/>
        <v>2186.91</v>
      </c>
      <c r="AJ24" s="97">
        <f t="shared" si="58"/>
        <v>2855.25</v>
      </c>
      <c r="AK24" s="97">
        <f t="shared" si="59"/>
        <v>2559.150000000001</v>
      </c>
      <c r="AL24" s="97">
        <f t="shared" si="60"/>
        <v>219.96</v>
      </c>
      <c r="AM24" s="97">
        <f t="shared" si="61"/>
        <v>14741.55</v>
      </c>
      <c r="AN24" s="91"/>
      <c r="AO24" s="75">
        <f>SUMIFS('DM-Sum'!$M$6:$M$117,'DM-Sum'!$B$6:$B$117,$C24,'DM-Sum'!$C$6:$C$117, $E24)</f>
        <v>6472.4483186818561</v>
      </c>
      <c r="AP24" s="75">
        <f t="shared" ca="1" si="21"/>
        <v>2252.1382770335099</v>
      </c>
      <c r="AQ24" s="75">
        <f t="shared" ca="1" si="22"/>
        <v>3051.4794101686957</v>
      </c>
      <c r="AR24" s="75">
        <f t="shared" ca="1" si="23"/>
        <v>1864.2025809404035</v>
      </c>
      <c r="AS24" s="75">
        <f t="shared" ca="1" si="24"/>
        <v>246.77988117141504</v>
      </c>
      <c r="AT24" s="75">
        <f t="shared" ca="1" si="62"/>
        <v>13887.048467995881</v>
      </c>
      <c r="AV24" s="98">
        <f t="shared" si="63"/>
        <v>-447.83168131814364</v>
      </c>
      <c r="AW24" s="98">
        <f t="shared" ca="1" si="64"/>
        <v>65.228277033510039</v>
      </c>
      <c r="AX24" s="98">
        <f t="shared" ca="1" si="65"/>
        <v>196.22941016869572</v>
      </c>
      <c r="AY24" s="98">
        <f t="shared" ca="1" si="66"/>
        <v>-694.94741905959745</v>
      </c>
      <c r="AZ24" s="98">
        <f t="shared" ca="1" si="67"/>
        <v>26.819881171415034</v>
      </c>
      <c r="BA24" s="98">
        <f t="shared" ca="1" si="68"/>
        <v>-854.50153200411842</v>
      </c>
      <c r="BB24" s="99"/>
      <c r="BC24" s="100"/>
      <c r="BD24" s="267">
        <f t="shared" si="69"/>
        <v>0.93528705755863284</v>
      </c>
      <c r="BE24" s="268">
        <f t="shared" ca="1" si="70"/>
        <v>1.0298266856128098</v>
      </c>
      <c r="BF24" s="268">
        <f t="shared" ca="1" si="71"/>
        <v>1.0687258244177202</v>
      </c>
      <c r="BG24" s="268">
        <f t="shared" ca="1" si="72"/>
        <v>0.72844600001578763</v>
      </c>
      <c r="BH24" s="268">
        <f t="shared" ca="1" si="73"/>
        <v>0.9429717072639594</v>
      </c>
      <c r="BI24" s="268">
        <f t="shared" ca="1" si="74"/>
        <v>0.94203448538287216</v>
      </c>
      <c r="BK24" s="266" t="str">
        <f t="shared" si="75"/>
        <v>15</v>
      </c>
      <c r="BM24" s="269" t="s">
        <v>1588</v>
      </c>
      <c r="BN24" s="270" t="str">
        <f t="shared" si="76"/>
        <v>3MCVA</v>
      </c>
      <c r="BO24" s="270" t="str">
        <f>VLOOKUP($C24,STD!$C:$D,BO$17,0)</f>
        <v>88H 195/60R15 SPCZ</v>
      </c>
      <c r="BP24" s="270" t="str">
        <f>VLOOKUP($C24,STD!$C:$L,BP$17,0)</f>
        <v>3MCVA</v>
      </c>
      <c r="BQ24" s="270" t="b">
        <f t="shared" si="77"/>
        <v>1</v>
      </c>
      <c r="BR24" s="270" t="b">
        <f t="shared" si="78"/>
        <v>1</v>
      </c>
    </row>
    <row r="25" spans="2:70" s="96" customFormat="1" ht="15" customHeight="1">
      <c r="B25" s="245"/>
      <c r="C25" s="482" t="s">
        <v>261</v>
      </c>
      <c r="D25" s="479" t="str">
        <f t="shared" si="40"/>
        <v>088S 185/65 R15 SL10Z</v>
      </c>
      <c r="E25" s="483" t="s">
        <v>266</v>
      </c>
      <c r="F25" s="484">
        <v>4421</v>
      </c>
      <c r="G25" s="104">
        <f>INDEX('Tire Weight'!$D:$D,MATCH($C25&amp;"-"&amp;$E25,'Tire Weight'!$A:$A,0))</f>
        <v>7.5149999999999997</v>
      </c>
      <c r="H25" s="90">
        <f t="shared" si="41"/>
        <v>33223.814999999995</v>
      </c>
      <c r="I25" s="104">
        <f>INDEX('Tire Weight'!$E:$E,MATCH($C25&amp;"-"&amp;$E25,'Tire Weight'!$A:$A,0))</f>
        <v>3.5009999999999999</v>
      </c>
      <c r="J25" s="90">
        <f t="shared" si="42"/>
        <v>15477.921</v>
      </c>
      <c r="K25" s="91"/>
      <c r="L25" s="34">
        <f>ROUND(VLOOKUP($C25,STD!$C:$AA,L$14,0),2)</f>
        <v>14.8</v>
      </c>
      <c r="M25" s="34">
        <f>ROUND(VLOOKUP($C25,STD!$C:$AA,M$14,0),2)</f>
        <v>4.91</v>
      </c>
      <c r="N25" s="34">
        <f>ROUND(VLOOKUP($C25,STD!$C:$AA,N$14,0),2)</f>
        <v>6.28</v>
      </c>
      <c r="O25" s="34">
        <f>ROUND(VLOOKUP($C25,STD!$C:$AA,O$14,0),2)-L25-M25-N25-P25</f>
        <v>5.5599999999999969</v>
      </c>
      <c r="P25" s="34">
        <f>ROUND(VLOOKUP($C25,STD!$C:$AA,P$14,0),2)</f>
        <v>0.46</v>
      </c>
      <c r="Q25" s="92">
        <f t="shared" si="43"/>
        <v>32.01</v>
      </c>
      <c r="R25" s="93">
        <f>ROUND(VLOOKUP($C25,STD!$C:$AA,R$14,0),2)-Q25</f>
        <v>0</v>
      </c>
      <c r="S25" s="91"/>
      <c r="T25" s="94">
        <f t="shared" si="44"/>
        <v>13.720089002962016</v>
      </c>
      <c r="U25" s="94">
        <f t="shared" ca="1" si="45"/>
        <v>5.056449026358897</v>
      </c>
      <c r="V25" s="94">
        <f t="shared" ca="1" si="46"/>
        <v>6.7115981773432853</v>
      </c>
      <c r="W25" s="94">
        <f t="shared" ca="1" si="47"/>
        <v>4.0501597600877774</v>
      </c>
      <c r="X25" s="94">
        <f t="shared" ca="1" si="48"/>
        <v>0.51608813120044972</v>
      </c>
      <c r="Y25" s="95">
        <f t="shared" ca="1" si="49"/>
        <v>30.054384097952429</v>
      </c>
      <c r="Z25" s="153"/>
      <c r="AA25" s="79">
        <f t="shared" si="50"/>
        <v>-1.0799109970379845</v>
      </c>
      <c r="AB25" s="79">
        <f t="shared" ca="1" si="51"/>
        <v>0.14644902635889689</v>
      </c>
      <c r="AC25" s="79">
        <f t="shared" ca="1" si="52"/>
        <v>0.43159817734328509</v>
      </c>
      <c r="AD25" s="79">
        <f t="shared" ca="1" si="53"/>
        <v>-1.5098402399122195</v>
      </c>
      <c r="AE25" s="79">
        <f t="shared" ca="1" si="54"/>
        <v>5.6088131200449698E-2</v>
      </c>
      <c r="AF25" s="79">
        <f t="shared" ca="1" si="55"/>
        <v>-1.955615902047569</v>
      </c>
      <c r="AH25" s="97">
        <f t="shared" si="56"/>
        <v>65430.8</v>
      </c>
      <c r="AI25" s="97">
        <f t="shared" si="57"/>
        <v>21707.11</v>
      </c>
      <c r="AJ25" s="97">
        <f t="shared" si="58"/>
        <v>27763.88</v>
      </c>
      <c r="AK25" s="97">
        <f t="shared" si="59"/>
        <v>24580.759999999987</v>
      </c>
      <c r="AL25" s="97">
        <f t="shared" si="60"/>
        <v>2033.66</v>
      </c>
      <c r="AM25" s="97">
        <f t="shared" si="61"/>
        <v>141516.21</v>
      </c>
      <c r="AN25" s="91"/>
      <c r="AO25" s="75">
        <f>SUMIFS('DM-Sum'!$M$6:$M$117,'DM-Sum'!$B$6:$B$117,$C25,'DM-Sum'!$C$6:$C$117, $E25)</f>
        <v>60656.513482095077</v>
      </c>
      <c r="AP25" s="75">
        <f t="shared" ca="1" si="21"/>
        <v>22354.561145532683</v>
      </c>
      <c r="AQ25" s="75">
        <f t="shared" ca="1" si="22"/>
        <v>29671.975542034663</v>
      </c>
      <c r="AR25" s="75">
        <f t="shared" ca="1" si="23"/>
        <v>17905.756299348064</v>
      </c>
      <c r="AS25" s="75">
        <f t="shared" ca="1" si="24"/>
        <v>2281.6256280371881</v>
      </c>
      <c r="AT25" s="75">
        <f t="shared" ca="1" si="62"/>
        <v>132870.43209704768</v>
      </c>
      <c r="AV25" s="98">
        <f t="shared" si="63"/>
        <v>-4774.2865179049259</v>
      </c>
      <c r="AW25" s="98">
        <f t="shared" ca="1" si="64"/>
        <v>647.45114553268286</v>
      </c>
      <c r="AX25" s="98">
        <f t="shared" ca="1" si="65"/>
        <v>1908.0955420346618</v>
      </c>
      <c r="AY25" s="98">
        <f t="shared" ca="1" si="66"/>
        <v>-6675.0037006519233</v>
      </c>
      <c r="AZ25" s="98">
        <f t="shared" ca="1" si="67"/>
        <v>247.96562803718803</v>
      </c>
      <c r="BA25" s="98">
        <f t="shared" ca="1" si="68"/>
        <v>-8645.7779029523081</v>
      </c>
      <c r="BB25" s="99"/>
      <c r="BC25" s="100"/>
      <c r="BD25" s="267">
        <f t="shared" si="69"/>
        <v>0.92703304074067672</v>
      </c>
      <c r="BE25" s="268">
        <f t="shared" ca="1" si="70"/>
        <v>1.02982668561281</v>
      </c>
      <c r="BF25" s="268">
        <f t="shared" ca="1" si="71"/>
        <v>1.0687258244177205</v>
      </c>
      <c r="BG25" s="268">
        <f t="shared" ca="1" si="72"/>
        <v>0.72844600001578774</v>
      </c>
      <c r="BH25" s="268">
        <f t="shared" ca="1" si="73"/>
        <v>0.94437056500238559</v>
      </c>
      <c r="BI25" s="268">
        <f t="shared" ca="1" si="74"/>
        <v>0.93890609490635524</v>
      </c>
      <c r="BK25" s="266" t="str">
        <f t="shared" si="75"/>
        <v>15</v>
      </c>
      <c r="BM25" s="269" t="s">
        <v>1589</v>
      </c>
      <c r="BN25" s="270" t="str">
        <f t="shared" si="76"/>
        <v>EHSVA</v>
      </c>
      <c r="BO25" s="270" t="str">
        <f>VLOOKUP($C25,STD!$C:$D,BO$17,0)</f>
        <v>88S 185/65R15 SL10Z</v>
      </c>
      <c r="BP25" s="270" t="str">
        <f>VLOOKUP($C25,STD!$C:$L,BP$17,0)</f>
        <v>EHSVA</v>
      </c>
      <c r="BQ25" s="270" t="b">
        <f t="shared" si="77"/>
        <v>1</v>
      </c>
      <c r="BR25" s="270" t="b">
        <f t="shared" si="78"/>
        <v>1</v>
      </c>
    </row>
    <row r="26" spans="2:70" s="96" customFormat="1" ht="15" customHeight="1">
      <c r="B26" s="245"/>
      <c r="C26" s="482" t="s">
        <v>342</v>
      </c>
      <c r="D26" s="479" t="str">
        <f t="shared" si="40"/>
        <v>088H 185/65 R15 BAR3Z</v>
      </c>
      <c r="E26" s="483" t="s">
        <v>369</v>
      </c>
      <c r="F26" s="484">
        <v>103</v>
      </c>
      <c r="G26" s="104">
        <f>INDEX('Tire Weight'!$D:$D,MATCH($C26&amp;"-"&amp;$E26,'Tire Weight'!$A:$A,0))</f>
        <v>7.5060000000000002</v>
      </c>
      <c r="H26" s="90">
        <f t="shared" si="41"/>
        <v>773.11800000000005</v>
      </c>
      <c r="I26" s="104">
        <f>INDEX('Tire Weight'!$E:$E,MATCH($C26&amp;"-"&amp;$E26,'Tire Weight'!$A:$A,0))</f>
        <v>3.6480000000000001</v>
      </c>
      <c r="J26" s="90">
        <f t="shared" si="42"/>
        <v>375.74400000000003</v>
      </c>
      <c r="K26" s="91"/>
      <c r="L26" s="34">
        <f>ROUND(VLOOKUP($C26,STD!$C:$AA,L$14,0),2)</f>
        <v>14.33</v>
      </c>
      <c r="M26" s="34">
        <f>ROUND(VLOOKUP($C26,STD!$C:$AA,M$14,0),2)</f>
        <v>4.88</v>
      </c>
      <c r="N26" s="34">
        <f>ROUND(VLOOKUP($C26,STD!$C:$AA,N$14,0),2)</f>
        <v>6.45</v>
      </c>
      <c r="O26" s="34">
        <f>ROUND(VLOOKUP($C26,STD!$C:$AA,O$14,0),2)-L26-M26-N26-P26</f>
        <v>5.6899999999999977</v>
      </c>
      <c r="P26" s="34">
        <f>ROUND(VLOOKUP($C26,STD!$C:$AA,P$14,0),2)</f>
        <v>0.46</v>
      </c>
      <c r="Q26" s="92">
        <f t="shared" si="43"/>
        <v>31.81</v>
      </c>
      <c r="R26" s="93">
        <f>ROUND(VLOOKUP($C26,STD!$C:$AA,R$14,0),2)-Q26</f>
        <v>0</v>
      </c>
      <c r="S26" s="91"/>
      <c r="T26" s="94">
        <f t="shared" si="44"/>
        <v>13.776362888151114</v>
      </c>
      <c r="U26" s="94">
        <f t="shared" ca="1" si="45"/>
        <v>5.0255542257905113</v>
      </c>
      <c r="V26" s="94">
        <f t="shared" ca="1" si="46"/>
        <v>6.8932815674942969</v>
      </c>
      <c r="W26" s="94">
        <f t="shared" ca="1" si="47"/>
        <v>4.1448577400898294</v>
      </c>
      <c r="X26" s="94">
        <f t="shared" ca="1" si="48"/>
        <v>0.51608813120044972</v>
      </c>
      <c r="Y26" s="95">
        <f t="shared" ca="1" si="49"/>
        <v>30.356144552726207</v>
      </c>
      <c r="Z26" s="153"/>
      <c r="AA26" s="79">
        <f t="shared" si="50"/>
        <v>-0.55363711184888587</v>
      </c>
      <c r="AB26" s="79">
        <f t="shared" ca="1" si="51"/>
        <v>0.14555422579051136</v>
      </c>
      <c r="AC26" s="79">
        <f t="shared" ca="1" si="52"/>
        <v>0.4432815674942967</v>
      </c>
      <c r="AD26" s="79">
        <f t="shared" ca="1" si="53"/>
        <v>-1.5451422599101683</v>
      </c>
      <c r="AE26" s="79">
        <f t="shared" ca="1" si="54"/>
        <v>5.6088131200449698E-2</v>
      </c>
      <c r="AF26" s="79">
        <f t="shared" ca="1" si="55"/>
        <v>-1.4538554472737921</v>
      </c>
      <c r="AH26" s="97">
        <f t="shared" si="56"/>
        <v>1475.99</v>
      </c>
      <c r="AI26" s="97">
        <f t="shared" si="57"/>
        <v>502.64</v>
      </c>
      <c r="AJ26" s="97">
        <f t="shared" si="58"/>
        <v>664.35</v>
      </c>
      <c r="AK26" s="97">
        <f t="shared" si="59"/>
        <v>586.06999999999971</v>
      </c>
      <c r="AL26" s="97">
        <f t="shared" si="60"/>
        <v>47.38</v>
      </c>
      <c r="AM26" s="97">
        <f t="shared" si="61"/>
        <v>3276.43</v>
      </c>
      <c r="AN26" s="91"/>
      <c r="AO26" s="75">
        <f>SUMIFS('DM-Sum'!$M$6:$M$117,'DM-Sum'!$B$6:$B$117,$C26,'DM-Sum'!$C$6:$C$117, $E26)</f>
        <v>1418.9653774795647</v>
      </c>
      <c r="AP26" s="75">
        <f t="shared" ca="1" si="21"/>
        <v>517.63208525642267</v>
      </c>
      <c r="AQ26" s="75">
        <f t="shared" ca="1" si="22"/>
        <v>710.00800145191261</v>
      </c>
      <c r="AR26" s="75">
        <f t="shared" ca="1" si="23"/>
        <v>426.92034722925246</v>
      </c>
      <c r="AS26" s="75">
        <f t="shared" ca="1" si="24"/>
        <v>53.157077513646321</v>
      </c>
      <c r="AT26" s="75">
        <f t="shared" ca="1" si="62"/>
        <v>3126.682888930799</v>
      </c>
      <c r="AV26" s="98">
        <f t="shared" si="63"/>
        <v>-57.024622520435287</v>
      </c>
      <c r="AW26" s="98">
        <f t="shared" ca="1" si="64"/>
        <v>14.992085256422683</v>
      </c>
      <c r="AX26" s="98">
        <f t="shared" ca="1" si="65"/>
        <v>45.658001451912583</v>
      </c>
      <c r="AY26" s="98">
        <f t="shared" ca="1" si="66"/>
        <v>-159.14965277074725</v>
      </c>
      <c r="AZ26" s="98">
        <f t="shared" ca="1" si="67"/>
        <v>5.7770775136463186</v>
      </c>
      <c r="BA26" s="98">
        <f t="shared" ca="1" si="68"/>
        <v>-149.74711106920086</v>
      </c>
      <c r="BB26" s="99"/>
      <c r="BC26" s="100"/>
      <c r="BD26" s="267">
        <f t="shared" si="69"/>
        <v>0.96136517014313427</v>
      </c>
      <c r="BE26" s="268">
        <f t="shared" ca="1" si="70"/>
        <v>1.0298266856128098</v>
      </c>
      <c r="BF26" s="268">
        <f t="shared" ca="1" si="71"/>
        <v>1.0687258244177205</v>
      </c>
      <c r="BG26" s="268">
        <f t="shared" ca="1" si="72"/>
        <v>0.72844600001578752</v>
      </c>
      <c r="BH26" s="268">
        <f t="shared" ca="1" si="73"/>
        <v>0.94381278104433863</v>
      </c>
      <c r="BI26" s="268">
        <f t="shared" ca="1" si="74"/>
        <v>0.95429564768079878</v>
      </c>
      <c r="BK26" s="266" t="str">
        <f t="shared" si="75"/>
        <v>15</v>
      </c>
      <c r="BM26" s="269" t="s">
        <v>1590</v>
      </c>
      <c r="BN26" s="270" t="str">
        <f t="shared" si="76"/>
        <v>JZTVA</v>
      </c>
      <c r="BO26" s="270" t="str">
        <f>VLOOKUP($C26,STD!$C:$D,BO$17,0)</f>
        <v>88H 185/65R15 BAR3Z</v>
      </c>
      <c r="BP26" s="270" t="str">
        <f>VLOOKUP($C26,STD!$C:$L,BP$17,0)</f>
        <v>JZTVA</v>
      </c>
      <c r="BQ26" s="270" t="b">
        <f t="shared" si="77"/>
        <v>1</v>
      </c>
      <c r="BR26" s="270" t="b">
        <f t="shared" si="78"/>
        <v>1</v>
      </c>
    </row>
    <row r="27" spans="2:70" s="96" customFormat="1" ht="15" customHeight="1">
      <c r="B27" s="89"/>
      <c r="C27" s="478" t="s">
        <v>63</v>
      </c>
      <c r="D27" s="479" t="str">
        <f t="shared" si="40"/>
        <v>091H195/65 R15 SPCZ</v>
      </c>
      <c r="E27" s="480" t="s">
        <v>64</v>
      </c>
      <c r="F27" s="481">
        <v>913</v>
      </c>
      <c r="G27" s="104">
        <f>INDEX('Tire Weight'!$D:$D,MATCH($C27&amp;"-"&amp;$E27,'Tire Weight'!$A:$A,0))</f>
        <v>8.5839999999999996</v>
      </c>
      <c r="H27" s="90">
        <f t="shared" si="0"/>
        <v>7837.192</v>
      </c>
      <c r="I27" s="104">
        <f>INDEX('Tire Weight'!$E:$E,MATCH($C27&amp;"-"&amp;$E27,'Tire Weight'!$A:$A,0))</f>
        <v>4.0860000000000003</v>
      </c>
      <c r="J27" s="90">
        <f t="shared" si="1"/>
        <v>3730.5180000000005</v>
      </c>
      <c r="K27" s="91"/>
      <c r="L27" s="34">
        <f>ROUND(VLOOKUP($C27,STD!$C:$AA,L$14,0),2)</f>
        <v>16.62</v>
      </c>
      <c r="M27" s="34">
        <f>ROUND(VLOOKUP($C27,STD!$C:$AA,M$14,0),2)</f>
        <v>5.18</v>
      </c>
      <c r="N27" s="34">
        <f>ROUND(VLOOKUP($C27,STD!$C:$AA,N$14,0),2)</f>
        <v>6.82</v>
      </c>
      <c r="O27" s="34">
        <f>ROUND(VLOOKUP($C27,STD!$C:$AA,O$14,0),2)-L27-M27-N27-P27</f>
        <v>6.13</v>
      </c>
      <c r="P27" s="34">
        <f>ROUND(VLOOKUP($C27,STD!$C:$AA,P$14,0),2)</f>
        <v>0.53</v>
      </c>
      <c r="Q27" s="92">
        <f t="shared" ref="Q27:Q125" si="79">SUM(L27:P27)</f>
        <v>35.28</v>
      </c>
      <c r="R27" s="93">
        <f>ROUND(VLOOKUP($C27,STD!$C:$AA,R$14,0),2)-Q27</f>
        <v>0</v>
      </c>
      <c r="S27" s="91"/>
      <c r="T27" s="94">
        <f t="shared" ref="T27:T125" si="80">AO27/F27</f>
        <v>15.275809773720594</v>
      </c>
      <c r="U27" s="94">
        <f t="shared" ref="U27:U125" ca="1" si="81">AP27/F27</f>
        <v>5.3345022314743558</v>
      </c>
      <c r="V27" s="94">
        <f t="shared" ref="V27:V125" ca="1" si="82">AQ27/F27</f>
        <v>7.288710122528852</v>
      </c>
      <c r="W27" s="94">
        <f t="shared" ref="W27:W125" ca="1" si="83">AR27/F27</f>
        <v>4.4653739800967776</v>
      </c>
      <c r="X27" s="94">
        <f t="shared" ref="X27:X125" ca="1" si="84">AS27/F27</f>
        <v>0.59462328160051814</v>
      </c>
      <c r="Y27" s="95">
        <f t="shared" ref="Y27:Y125" ca="1" si="85">SUM(T27:X27)</f>
        <v>32.959019389421094</v>
      </c>
      <c r="Z27" s="153"/>
      <c r="AA27" s="79">
        <f t="shared" ref="AA27:AA125" si="86">T27-L27</f>
        <v>-1.344190226279407</v>
      </c>
      <c r="AB27" s="79">
        <f t="shared" ref="AB27:AB125" ca="1" si="87">U27-M27</f>
        <v>0.15450223147435604</v>
      </c>
      <c r="AC27" s="79">
        <f t="shared" ref="AC27:AC125" ca="1" si="88">V27-N27</f>
        <v>0.46871012252885169</v>
      </c>
      <c r="AD27" s="79">
        <f t="shared" ref="AD27:AD125" ca="1" si="89">W27-O27</f>
        <v>-1.6646260199032223</v>
      </c>
      <c r="AE27" s="79">
        <f t="shared" ref="AE27:AE125" ca="1" si="90">X27-P27</f>
        <v>6.4623281600518112E-2</v>
      </c>
      <c r="AF27" s="79">
        <f t="shared" ref="AF27:AF125" ca="1" si="91">Y27-Q27</f>
        <v>-2.320980610578907</v>
      </c>
      <c r="AH27" s="97">
        <f t="shared" ref="AH27:AH125" si="92">$F27*L27</f>
        <v>15174.060000000001</v>
      </c>
      <c r="AI27" s="97">
        <f t="shared" ref="AI27:AI125" si="93">$F27*M27</f>
        <v>4729.34</v>
      </c>
      <c r="AJ27" s="97">
        <f t="shared" ref="AJ27:AJ125" si="94">$F27*N27</f>
        <v>6226.66</v>
      </c>
      <c r="AK27" s="97">
        <f t="shared" ref="AK27:AK125" si="95">$F27*O27</f>
        <v>5596.69</v>
      </c>
      <c r="AL27" s="97">
        <f t="shared" ref="AL27:AL125" si="96">$F27*P27</f>
        <v>483.89000000000004</v>
      </c>
      <c r="AM27" s="97">
        <f t="shared" ref="AM27:AM125" si="97">SUM(AH27:AL27)</f>
        <v>32210.639999999999</v>
      </c>
      <c r="AN27" s="91"/>
      <c r="AO27" s="75">
        <f>SUMIFS('DM-Sum'!$M$6:$M$117,'DM-Sum'!$B$6:$B$117,$C27,'DM-Sum'!$C$6:$C$117, $E27)</f>
        <v>13946.814323406903</v>
      </c>
      <c r="AP27" s="75">
        <f t="shared" ca="1" si="21"/>
        <v>4870.4005373360869</v>
      </c>
      <c r="AQ27" s="75">
        <f t="shared" ca="1" si="22"/>
        <v>6654.5923418688417</v>
      </c>
      <c r="AR27" s="75">
        <f t="shared" ca="1" si="23"/>
        <v>4076.8864438283576</v>
      </c>
      <c r="AS27" s="75">
        <f t="shared" ca="1" si="24"/>
        <v>542.89105610127308</v>
      </c>
      <c r="AT27" s="75">
        <f t="shared" ca="1" si="25"/>
        <v>30091.584702541462</v>
      </c>
      <c r="AV27" s="98">
        <f t="shared" si="26"/>
        <v>-1227.2456765930983</v>
      </c>
      <c r="AW27" s="98">
        <f t="shared" ca="1" si="27"/>
        <v>141.06053733608678</v>
      </c>
      <c r="AX27" s="98">
        <f t="shared" ca="1" si="28"/>
        <v>427.93234186884183</v>
      </c>
      <c r="AY27" s="98">
        <f t="shared" ca="1" si="29"/>
        <v>-1519.803556171642</v>
      </c>
      <c r="AZ27" s="98">
        <f t="shared" ca="1" si="30"/>
        <v>59.001056101273036</v>
      </c>
      <c r="BA27" s="98">
        <f t="shared" ca="1" si="31"/>
        <v>-2119.0552974585371</v>
      </c>
      <c r="BB27" s="99"/>
      <c r="BC27" s="100"/>
      <c r="BD27" s="267">
        <f t="shared" ref="BD27:BD125" si="98">+T27/L27</f>
        <v>0.91912212838270713</v>
      </c>
      <c r="BE27" s="268">
        <f t="shared" ref="BE27:BE125" ca="1" si="99">+U27/M27</f>
        <v>1.02982668561281</v>
      </c>
      <c r="BF27" s="268">
        <f t="shared" ref="BF27:BF125" ca="1" si="100">+V27/N27</f>
        <v>1.0687258244177202</v>
      </c>
      <c r="BG27" s="268">
        <f t="shared" ref="BG27:BG125" ca="1" si="101">+W27/O27</f>
        <v>0.72844600001578752</v>
      </c>
      <c r="BH27" s="268">
        <f t="shared" ref="BH27:BH125" ca="1" si="102">+SUM(U27:W27)/SUM(M27:O27)</f>
        <v>0.94255854021511232</v>
      </c>
      <c r="BI27" s="268">
        <f t="shared" ref="BI27:BI125" ca="1" si="103">+Y27/Q27</f>
        <v>0.93421256772735528</v>
      </c>
      <c r="BK27" s="266" t="str">
        <f t="shared" ref="BK27:BK125" si="104">MID(D27,SEARCH("R",D27)+1,2)</f>
        <v>15</v>
      </c>
      <c r="BM27" s="269" t="s">
        <v>1591</v>
      </c>
      <c r="BN27" s="270" t="str">
        <f t="shared" ref="BN27:BN125" si="105">E27</f>
        <v>YYYVA</v>
      </c>
      <c r="BO27" s="270" t="str">
        <f>VLOOKUP($C27,STD!$C:$D,BO$17,0)</f>
        <v>91H 195/65R15 SPCZ</v>
      </c>
      <c r="BP27" s="270" t="str">
        <f>VLOOKUP($C27,STD!$C:$L,BP$17,0)</f>
        <v>YYYVA</v>
      </c>
      <c r="BQ27" s="270" t="b">
        <f t="shared" ref="BQ27:BQ125" si="106">IF(AND(LEFT(BM27,1)="0",LEFT(BO27,1)&lt;&gt;"0"), SUBSTITUTE(BM27," ","")=SUBSTITUTE("0" &amp; BO27," ",""), SUBSTITUTE(BM27," ","")=SUBSTITUTE(BO27," ",""))</f>
        <v>1</v>
      </c>
      <c r="BR27" s="270" t="b">
        <f t="shared" si="39"/>
        <v>1</v>
      </c>
    </row>
    <row r="28" spans="2:70" s="96" customFormat="1" ht="15" customHeight="1">
      <c r="B28" s="89"/>
      <c r="C28" s="478" t="s">
        <v>75</v>
      </c>
      <c r="D28" s="479" t="str">
        <f t="shared" si="40"/>
        <v>095V215/60 R16 SPCZ</v>
      </c>
      <c r="E28" s="480" t="s">
        <v>76</v>
      </c>
      <c r="F28" s="481">
        <v>1081</v>
      </c>
      <c r="G28" s="104">
        <f>INDEX('Tire Weight'!$D:$D,MATCH($C28&amp;"-"&amp;$E28,'Tire Weight'!$A:$A,0))</f>
        <v>10.731999999999999</v>
      </c>
      <c r="H28" s="90">
        <f t="shared" si="0"/>
        <v>11601.291999999999</v>
      </c>
      <c r="I28" s="104">
        <f>INDEX('Tire Weight'!$E:$E,MATCH($C28&amp;"-"&amp;$E28,'Tire Weight'!$A:$A,0))</f>
        <v>5.0970000000000004</v>
      </c>
      <c r="J28" s="90">
        <f t="shared" si="1"/>
        <v>5509.8570000000009</v>
      </c>
      <c r="K28" s="91"/>
      <c r="L28" s="34">
        <f>ROUND(VLOOKUP($C28,STD!$C:$AA,L$14,0),2)</f>
        <v>21.18</v>
      </c>
      <c r="M28" s="34">
        <f>ROUND(VLOOKUP($C28,STD!$C:$AA,M$14,0),2)</f>
        <v>5.98</v>
      </c>
      <c r="N28" s="34">
        <f>ROUND(VLOOKUP($C28,STD!$C:$AA,N$14,0),2)</f>
        <v>7.8</v>
      </c>
      <c r="O28" s="34">
        <f>ROUND(VLOOKUP($C28,STD!$C:$AA,O$14,0),2)-L28-M28-N28-P28</f>
        <v>7.2</v>
      </c>
      <c r="P28" s="34">
        <f>ROUND(VLOOKUP($C28,STD!$C:$AA,P$14,0),2)</f>
        <v>0.66</v>
      </c>
      <c r="Q28" s="92">
        <f t="shared" si="79"/>
        <v>42.82</v>
      </c>
      <c r="R28" s="93">
        <f>ROUND(VLOOKUP($C28,STD!$C:$AA,R$14,0),2)-Q28</f>
        <v>0</v>
      </c>
      <c r="S28" s="91"/>
      <c r="T28" s="94">
        <f t="shared" si="80"/>
        <v>19.855487468193665</v>
      </c>
      <c r="U28" s="94">
        <f t="shared" ca="1" si="81"/>
        <v>6.1583635799646039</v>
      </c>
      <c r="V28" s="94">
        <f t="shared" ca="1" si="82"/>
        <v>8.3360614304582175</v>
      </c>
      <c r="W28" s="94">
        <f t="shared" ca="1" si="83"/>
        <v>5.24481120011367</v>
      </c>
      <c r="X28" s="94">
        <f t="shared" ca="1" si="84"/>
        <v>0.74047427520064513</v>
      </c>
      <c r="Y28" s="95">
        <f t="shared" ca="1" si="85"/>
        <v>40.335197953930809</v>
      </c>
      <c r="Z28" s="153"/>
      <c r="AA28" s="79">
        <f t="shared" si="86"/>
        <v>-1.3245125318063344</v>
      </c>
      <c r="AB28" s="79">
        <f t="shared" ca="1" si="87"/>
        <v>0.1783635799646035</v>
      </c>
      <c r="AC28" s="79">
        <f t="shared" ca="1" si="88"/>
        <v>0.53606143045821764</v>
      </c>
      <c r="AD28" s="79">
        <f t="shared" ca="1" si="89"/>
        <v>-1.9551887998863302</v>
      </c>
      <c r="AE28" s="79">
        <f t="shared" ca="1" si="90"/>
        <v>8.0474275200645096E-2</v>
      </c>
      <c r="AF28" s="79">
        <f t="shared" ca="1" si="91"/>
        <v>-2.4848020460691913</v>
      </c>
      <c r="AH28" s="97">
        <f t="shared" si="92"/>
        <v>22895.579999999998</v>
      </c>
      <c r="AI28" s="97">
        <f t="shared" si="93"/>
        <v>6464.38</v>
      </c>
      <c r="AJ28" s="97">
        <f t="shared" si="94"/>
        <v>8431.7999999999993</v>
      </c>
      <c r="AK28" s="97">
        <f t="shared" si="95"/>
        <v>7783.2</v>
      </c>
      <c r="AL28" s="97">
        <f t="shared" si="96"/>
        <v>713.46</v>
      </c>
      <c r="AM28" s="97">
        <f t="shared" si="97"/>
        <v>46288.419999999991</v>
      </c>
      <c r="AN28" s="91"/>
      <c r="AO28" s="75">
        <f>SUMIFS('DM-Sum'!$M$6:$M$117,'DM-Sum'!$B$6:$B$117,$C28,'DM-Sum'!$C$6:$C$117, $E28)</f>
        <v>21463.781953117352</v>
      </c>
      <c r="AP28" s="75">
        <f t="shared" ca="1" si="21"/>
        <v>6657.1910299417368</v>
      </c>
      <c r="AQ28" s="75">
        <f t="shared" ca="1" si="22"/>
        <v>9011.2824063253338</v>
      </c>
      <c r="AR28" s="75">
        <f t="shared" ca="1" si="23"/>
        <v>5669.640907322877</v>
      </c>
      <c r="AS28" s="75">
        <f t="shared" ca="1" si="24"/>
        <v>800.45269149189744</v>
      </c>
      <c r="AT28" s="75">
        <f t="shared" ca="1" si="25"/>
        <v>43602.348988199199</v>
      </c>
      <c r="AV28" s="98">
        <f t="shared" si="26"/>
        <v>-1431.7980468826463</v>
      </c>
      <c r="AW28" s="98">
        <f t="shared" ca="1" si="27"/>
        <v>192.81102994173671</v>
      </c>
      <c r="AX28" s="98">
        <f t="shared" ca="1" si="28"/>
        <v>579.48240632533452</v>
      </c>
      <c r="AY28" s="98">
        <f t="shared" ca="1" si="29"/>
        <v>-2113.5590926771229</v>
      </c>
      <c r="AZ28" s="98">
        <f t="shared" ca="1" si="30"/>
        <v>86.992691491897403</v>
      </c>
      <c r="BA28" s="98">
        <f t="shared" ca="1" si="31"/>
        <v>-2686.0710118007919</v>
      </c>
      <c r="BB28" s="99"/>
      <c r="BC28" s="100"/>
      <c r="BD28" s="267">
        <f t="shared" si="98"/>
        <v>0.93746399755399745</v>
      </c>
      <c r="BE28" s="268">
        <f t="shared" ca="1" si="99"/>
        <v>1.02982668561281</v>
      </c>
      <c r="BF28" s="268">
        <f t="shared" ca="1" si="100"/>
        <v>1.0687258244177202</v>
      </c>
      <c r="BG28" s="268">
        <f t="shared" ca="1" si="101"/>
        <v>0.72844600001578752</v>
      </c>
      <c r="BH28" s="268">
        <f t="shared" ca="1" si="102"/>
        <v>0.9408596859168965</v>
      </c>
      <c r="BI28" s="268">
        <f t="shared" ca="1" si="103"/>
        <v>0.94197099378633364</v>
      </c>
      <c r="BK28" s="266" t="str">
        <f t="shared" si="104"/>
        <v>16</v>
      </c>
      <c r="BM28" s="269" t="s">
        <v>1592</v>
      </c>
      <c r="BN28" s="270" t="str">
        <f t="shared" si="105"/>
        <v>F91VA</v>
      </c>
      <c r="BO28" s="270" t="str">
        <f>VLOOKUP($C28,STD!$C:$D,BO$17,0)</f>
        <v>95V 215/60R16 SPCZ</v>
      </c>
      <c r="BP28" s="270" t="str">
        <f>VLOOKUP($C28,STD!$C:$L,BP$17,0)</f>
        <v>F91VA</v>
      </c>
      <c r="BQ28" s="270" t="b">
        <f t="shared" si="106"/>
        <v>1</v>
      </c>
      <c r="BR28" s="270" t="b">
        <f t="shared" si="39"/>
        <v>1</v>
      </c>
    </row>
    <row r="29" spans="2:70" s="96" customFormat="1" ht="15" customHeight="1">
      <c r="B29" s="89"/>
      <c r="C29" s="478" t="s">
        <v>177</v>
      </c>
      <c r="D29" s="479" t="str">
        <f t="shared" si="40"/>
        <v>100H 215/70 R16 DTH1AZ</v>
      </c>
      <c r="E29" s="480" t="s">
        <v>192</v>
      </c>
      <c r="F29" s="481">
        <v>1</v>
      </c>
      <c r="G29" s="104">
        <f>INDEX('Tire Weight'!$D:$D,MATCH($C29&amp;"-"&amp;$E29,'Tire Weight'!$A:$A,0))</f>
        <v>11.298999999999999</v>
      </c>
      <c r="H29" s="90">
        <f t="shared" si="0"/>
        <v>11.298999999999999</v>
      </c>
      <c r="I29" s="104">
        <f>INDEX('Tire Weight'!$E:$E,MATCH($C29&amp;"-"&amp;$E29,'Tire Weight'!$A:$A,0))</f>
        <v>5.3479999999999999</v>
      </c>
      <c r="J29" s="90">
        <f t="shared" si="1"/>
        <v>5.3479999999999999</v>
      </c>
      <c r="K29" s="91"/>
      <c r="L29" s="34">
        <f>ROUND(VLOOKUP($C29,STD!$C:$AA,L$14,0),2)</f>
        <v>22.11</v>
      </c>
      <c r="M29" s="34">
        <f>ROUND(VLOOKUP($C29,STD!$C:$AA,M$14,0),2)</f>
        <v>6.07</v>
      </c>
      <c r="N29" s="34">
        <f>ROUND(VLOOKUP($C29,STD!$C:$AA,N$14,0),2)</f>
        <v>8.0500000000000007</v>
      </c>
      <c r="O29" s="34">
        <f>ROUND(VLOOKUP($C29,STD!$C:$AA,O$14,0),2)-L29-M29-N29-P29</f>
        <v>7.51</v>
      </c>
      <c r="P29" s="34">
        <f>ROUND(VLOOKUP($C29,STD!$C:$AA,P$14,0),2)</f>
        <v>0.69</v>
      </c>
      <c r="Q29" s="92">
        <f t="shared" si="79"/>
        <v>44.43</v>
      </c>
      <c r="R29" s="93">
        <f>ROUND(VLOOKUP($C29,STD!$C:$AA,R$14,0),2)-Q29</f>
        <v>0</v>
      </c>
      <c r="S29" s="91"/>
      <c r="T29" s="94">
        <f t="shared" si="80"/>
        <v>20.295816569115569</v>
      </c>
      <c r="U29" s="94">
        <f t="shared" ca="1" si="81"/>
        <v>6.2510479816697559</v>
      </c>
      <c r="V29" s="94">
        <f t="shared" ca="1" si="82"/>
        <v>8.6032428865626507</v>
      </c>
      <c r="W29" s="94">
        <f t="shared" ca="1" si="83"/>
        <v>5.4706294601185643</v>
      </c>
      <c r="X29" s="94">
        <f t="shared" ca="1" si="84"/>
        <v>0.77413219680067447</v>
      </c>
      <c r="Y29" s="95">
        <f t="shared" ca="1" si="85"/>
        <v>41.394869094267214</v>
      </c>
      <c r="Z29" s="153"/>
      <c r="AA29" s="79">
        <f t="shared" si="86"/>
        <v>-1.8141834308844302</v>
      </c>
      <c r="AB29" s="79">
        <f t="shared" ca="1" si="87"/>
        <v>0.18104798166975566</v>
      </c>
      <c r="AC29" s="79">
        <f t="shared" ca="1" si="88"/>
        <v>0.55324288656264997</v>
      </c>
      <c r="AD29" s="79">
        <f t="shared" ca="1" si="89"/>
        <v>-2.0393705398814355</v>
      </c>
      <c r="AE29" s="79">
        <f t="shared" ca="1" si="90"/>
        <v>8.4132196800674519E-2</v>
      </c>
      <c r="AF29" s="79">
        <f t="shared" ca="1" si="91"/>
        <v>-3.0351309057327853</v>
      </c>
      <c r="AH29" s="97">
        <f t="shared" si="92"/>
        <v>22.11</v>
      </c>
      <c r="AI29" s="97">
        <f t="shared" si="93"/>
        <v>6.07</v>
      </c>
      <c r="AJ29" s="97">
        <f t="shared" si="94"/>
        <v>8.0500000000000007</v>
      </c>
      <c r="AK29" s="97">
        <f t="shared" si="95"/>
        <v>7.51</v>
      </c>
      <c r="AL29" s="97">
        <f t="shared" si="96"/>
        <v>0.69</v>
      </c>
      <c r="AM29" s="97">
        <f t="shared" si="97"/>
        <v>44.43</v>
      </c>
      <c r="AN29" s="91"/>
      <c r="AO29" s="75">
        <f>SUMIFS('DM-Sum'!$M$6:$M$117,'DM-Sum'!$B$6:$B$117,$C29,'DM-Sum'!$C$6:$C$117, $E29)</f>
        <v>20.295816569115569</v>
      </c>
      <c r="AP29" s="75">
        <f t="shared" ca="1" si="21"/>
        <v>6.2510479816697559</v>
      </c>
      <c r="AQ29" s="75">
        <f t="shared" ca="1" si="22"/>
        <v>8.6032428865626507</v>
      </c>
      <c r="AR29" s="75">
        <f t="shared" ca="1" si="23"/>
        <v>5.4706294601185643</v>
      </c>
      <c r="AS29" s="75">
        <f t="shared" ca="1" si="24"/>
        <v>0.77413219680067447</v>
      </c>
      <c r="AT29" s="75">
        <f t="shared" ca="1" si="25"/>
        <v>41.394869094267214</v>
      </c>
      <c r="AV29" s="98">
        <f t="shared" si="26"/>
        <v>-1.8141834308844302</v>
      </c>
      <c r="AW29" s="98">
        <f t="shared" ca="1" si="27"/>
        <v>0.18104798166975566</v>
      </c>
      <c r="AX29" s="98">
        <f t="shared" ca="1" si="28"/>
        <v>0.55324288656264997</v>
      </c>
      <c r="AY29" s="98">
        <f t="shared" ca="1" si="29"/>
        <v>-2.0393705398814355</v>
      </c>
      <c r="AZ29" s="98">
        <f t="shared" ca="1" si="30"/>
        <v>8.4132196800674519E-2</v>
      </c>
      <c r="BA29" s="98">
        <f t="shared" ca="1" si="31"/>
        <v>-3.0351309057327853</v>
      </c>
      <c r="BB29" s="99"/>
      <c r="BC29" s="100"/>
      <c r="BD29" s="267">
        <f t="shared" si="98"/>
        <v>0.91794737987858754</v>
      </c>
      <c r="BE29" s="268">
        <f t="shared" ca="1" si="99"/>
        <v>1.0298266856128098</v>
      </c>
      <c r="BF29" s="268">
        <f t="shared" ca="1" si="100"/>
        <v>1.0687258244177205</v>
      </c>
      <c r="BG29" s="268">
        <f t="shared" ca="1" si="101"/>
        <v>0.72844600001578752</v>
      </c>
      <c r="BH29" s="268">
        <f t="shared" ca="1" si="102"/>
        <v>0.93966344560106185</v>
      </c>
      <c r="BI29" s="268">
        <f t="shared" ca="1" si="103"/>
        <v>0.93168735301074079</v>
      </c>
      <c r="BK29" s="266" t="str">
        <f t="shared" si="104"/>
        <v>16</v>
      </c>
      <c r="BM29" s="269" t="s">
        <v>1593</v>
      </c>
      <c r="BN29" s="270" t="str">
        <f t="shared" si="105"/>
        <v>VGBVA</v>
      </c>
      <c r="BO29" s="270" t="str">
        <f>VLOOKUP($C29,STD!$C:$D,BO$17,0)</f>
        <v>100H 215/70R16 DTH1AZ</v>
      </c>
      <c r="BP29" s="270" t="str">
        <f>VLOOKUP($C29,STD!$C:$L,BP$17,0)</f>
        <v>VGBVA</v>
      </c>
      <c r="BQ29" s="270" t="b">
        <f t="shared" si="106"/>
        <v>1</v>
      </c>
      <c r="BR29" s="270" t="b">
        <f t="shared" si="39"/>
        <v>1</v>
      </c>
    </row>
    <row r="30" spans="2:70" s="96" customFormat="1" ht="15" customHeight="1">
      <c r="B30" s="89"/>
      <c r="C30" s="478" t="s">
        <v>138</v>
      </c>
      <c r="D30" s="479" t="str">
        <f t="shared" si="40"/>
        <v>088H 185/65 R15 SPCZ</v>
      </c>
      <c r="E30" s="480" t="s">
        <v>127</v>
      </c>
      <c r="F30" s="481">
        <v>465</v>
      </c>
      <c r="G30" s="104">
        <f>INDEX('Tire Weight'!$D:$D,MATCH($C30&amp;"-"&amp;$E30,'Tire Weight'!$A:$A,0))</f>
        <v>8.4719999999999995</v>
      </c>
      <c r="H30" s="90">
        <f t="shared" si="0"/>
        <v>3939.4799999999996</v>
      </c>
      <c r="I30" s="104">
        <f>INDEX('Tire Weight'!$E:$E,MATCH($C30&amp;"-"&amp;$E30,'Tire Weight'!$A:$A,0))</f>
        <v>4.0739999999999998</v>
      </c>
      <c r="J30" s="90">
        <f t="shared" si="1"/>
        <v>1894.4099999999999</v>
      </c>
      <c r="K30" s="91"/>
      <c r="L30" s="34">
        <f>ROUND(VLOOKUP($C30,STD!$C:$AA,L$14,0),2)</f>
        <v>16.32</v>
      </c>
      <c r="M30" s="34">
        <f>ROUND(VLOOKUP($C30,STD!$C:$AA,M$14,0),2)</f>
        <v>5.13</v>
      </c>
      <c r="N30" s="34">
        <f>ROUND(VLOOKUP($C30,STD!$C:$AA,N$14,0),2)</f>
        <v>6.92</v>
      </c>
      <c r="O30" s="34">
        <f>ROUND(VLOOKUP($C30,STD!$C:$AA,O$14,0),2)-L30-M30-N30-P30</f>
        <v>6.2000000000000046</v>
      </c>
      <c r="P30" s="34">
        <f>ROUND(VLOOKUP($C30,STD!$C:$AA,P$14,0),2)</f>
        <v>0.52</v>
      </c>
      <c r="Q30" s="92">
        <f t="shared" si="79"/>
        <v>35.090000000000003</v>
      </c>
      <c r="R30" s="93">
        <f>ROUND(VLOOKUP($C30,STD!$C:$AA,R$14,0),2)-Q30</f>
        <v>0</v>
      </c>
      <c r="S30" s="91"/>
      <c r="T30" s="94">
        <f t="shared" si="80"/>
        <v>15.047557501434778</v>
      </c>
      <c r="U30" s="94">
        <f t="shared" ca="1" si="81"/>
        <v>5.2830108971937149</v>
      </c>
      <c r="V30" s="94">
        <f t="shared" ca="1" si="82"/>
        <v>7.395582704970626</v>
      </c>
      <c r="W30" s="94">
        <f t="shared" ca="1" si="83"/>
        <v>4.5163652000978862</v>
      </c>
      <c r="X30" s="94">
        <f t="shared" ca="1" si="84"/>
        <v>0.58340397440050829</v>
      </c>
      <c r="Y30" s="95">
        <f t="shared" ca="1" si="85"/>
        <v>32.825920278097513</v>
      </c>
      <c r="Z30" s="153"/>
      <c r="AA30" s="79">
        <f t="shared" si="86"/>
        <v>-1.2724424985652227</v>
      </c>
      <c r="AB30" s="79">
        <f t="shared" ca="1" si="87"/>
        <v>0.15301089719371497</v>
      </c>
      <c r="AC30" s="79">
        <f t="shared" ca="1" si="88"/>
        <v>0.47558270497062605</v>
      </c>
      <c r="AD30" s="79">
        <f t="shared" ca="1" si="89"/>
        <v>-1.6836347999021184</v>
      </c>
      <c r="AE30" s="79">
        <f t="shared" ca="1" si="90"/>
        <v>6.3403974400508267E-2</v>
      </c>
      <c r="AF30" s="79">
        <f t="shared" ca="1" si="91"/>
        <v>-2.2640797219024904</v>
      </c>
      <c r="AH30" s="97">
        <f t="shared" si="92"/>
        <v>7588.8</v>
      </c>
      <c r="AI30" s="97">
        <f t="shared" si="93"/>
        <v>2385.4499999999998</v>
      </c>
      <c r="AJ30" s="97">
        <f t="shared" si="94"/>
        <v>3217.8</v>
      </c>
      <c r="AK30" s="97">
        <f t="shared" si="95"/>
        <v>2883.0000000000023</v>
      </c>
      <c r="AL30" s="97">
        <f t="shared" si="96"/>
        <v>241.8</v>
      </c>
      <c r="AM30" s="97">
        <f t="shared" si="97"/>
        <v>16316.85</v>
      </c>
      <c r="AN30" s="91"/>
      <c r="AO30" s="75">
        <f>SUMIFS('DM-Sum'!$M$6:$M$117,'DM-Sum'!$B$6:$B$117,$C30,'DM-Sum'!$C$6:$C$117, $E30)</f>
        <v>6997.1142381671716</v>
      </c>
      <c r="AP30" s="75">
        <f t="shared" ca="1" si="21"/>
        <v>2456.6000671950774</v>
      </c>
      <c r="AQ30" s="75">
        <f t="shared" ca="1" si="22"/>
        <v>3438.945957811341</v>
      </c>
      <c r="AR30" s="75">
        <f t="shared" ca="1" si="23"/>
        <v>2100.1098180455169</v>
      </c>
      <c r="AS30" s="75">
        <f t="shared" ca="1" si="24"/>
        <v>271.28284809623636</v>
      </c>
      <c r="AT30" s="75">
        <f t="shared" ca="1" si="25"/>
        <v>15264.052929315345</v>
      </c>
      <c r="AV30" s="98">
        <f t="shared" si="26"/>
        <v>-591.68576183282858</v>
      </c>
      <c r="AW30" s="98">
        <f t="shared" ca="1" si="27"/>
        <v>71.150067195077554</v>
      </c>
      <c r="AX30" s="98">
        <f t="shared" ca="1" si="28"/>
        <v>221.14595781134085</v>
      </c>
      <c r="AY30" s="98">
        <f t="shared" ca="1" si="29"/>
        <v>-782.89018195448534</v>
      </c>
      <c r="AZ30" s="98">
        <f t="shared" ca="1" si="30"/>
        <v>29.482848096236353</v>
      </c>
      <c r="BA30" s="98">
        <f t="shared" ca="1" si="31"/>
        <v>-1052.7970706846554</v>
      </c>
      <c r="BB30" s="99"/>
      <c r="BC30" s="100"/>
      <c r="BD30" s="267">
        <f t="shared" si="98"/>
        <v>0.92203170964673875</v>
      </c>
      <c r="BE30" s="268">
        <f t="shared" ca="1" si="99"/>
        <v>1.02982668561281</v>
      </c>
      <c r="BF30" s="268">
        <f t="shared" ca="1" si="100"/>
        <v>1.0687258244177205</v>
      </c>
      <c r="BG30" s="268">
        <f t="shared" ca="1" si="101"/>
        <v>0.72844600001578752</v>
      </c>
      <c r="BH30" s="268">
        <f t="shared" ca="1" si="102"/>
        <v>0.94218952341162854</v>
      </c>
      <c r="BI30" s="268">
        <f t="shared" ca="1" si="103"/>
        <v>0.9354779218608581</v>
      </c>
      <c r="BK30" s="266" t="str">
        <f t="shared" si="104"/>
        <v>15</v>
      </c>
      <c r="BM30" s="269" t="s">
        <v>1594</v>
      </c>
      <c r="BN30" s="270" t="str">
        <f t="shared" si="105"/>
        <v>YSLVA</v>
      </c>
      <c r="BO30" s="270" t="str">
        <f>VLOOKUP($C30,STD!$C:$D,BO$17,0)</f>
        <v>88H 185/65R15 SPCZ</v>
      </c>
      <c r="BP30" s="270" t="str">
        <f>VLOOKUP($C30,STD!$C:$L,BP$17,0)</f>
        <v>YSLVA</v>
      </c>
      <c r="BQ30" s="270" t="b">
        <f t="shared" si="106"/>
        <v>1</v>
      </c>
      <c r="BR30" s="270" t="b">
        <f t="shared" si="39"/>
        <v>1</v>
      </c>
    </row>
    <row r="31" spans="2:70" s="96" customFormat="1" ht="15" customHeight="1">
      <c r="B31" s="89"/>
      <c r="C31" s="478" t="s">
        <v>142</v>
      </c>
      <c r="D31" s="479" t="str">
        <f t="shared" si="40"/>
        <v>095H 205/65 R16 EP15WZ</v>
      </c>
      <c r="E31" s="480" t="s">
        <v>143</v>
      </c>
      <c r="F31" s="481">
        <v>483</v>
      </c>
      <c r="G31" s="104">
        <f>INDEX('Tire Weight'!$D:$D,MATCH($C31&amp;"-"&amp;$E31,'Tire Weight'!$A:$A,0))</f>
        <v>9.5890000000000004</v>
      </c>
      <c r="H31" s="90">
        <f t="shared" si="0"/>
        <v>4631.4870000000001</v>
      </c>
      <c r="I31" s="104">
        <f>INDEX('Tire Weight'!$E:$E,MATCH($C31&amp;"-"&amp;$E31,'Tire Weight'!$A:$A,0))</f>
        <v>4.4729999999999999</v>
      </c>
      <c r="J31" s="90">
        <f t="shared" si="1"/>
        <v>2160.4589999999998</v>
      </c>
      <c r="K31" s="91"/>
      <c r="L31" s="34">
        <f>ROUND(VLOOKUP($C31,STD!$C:$AA,L$14,0),2)</f>
        <v>20.5</v>
      </c>
      <c r="M31" s="34">
        <f>ROUND(VLOOKUP($C31,STD!$C:$AA,M$14,0),2)</f>
        <v>5.67</v>
      </c>
      <c r="N31" s="34">
        <f>ROUND(VLOOKUP($C31,STD!$C:$AA,N$14,0),2)</f>
        <v>7.47</v>
      </c>
      <c r="O31" s="34">
        <f>ROUND(VLOOKUP($C31,STD!$C:$AA,O$14,0),2)-L31-M31-N31-P31</f>
        <v>6.7799999999999985</v>
      </c>
      <c r="P31" s="34">
        <f>ROUND(VLOOKUP($C31,STD!$C:$AA,P$14,0),2)</f>
        <v>0.59</v>
      </c>
      <c r="Q31" s="92">
        <f t="shared" si="79"/>
        <v>41.010000000000005</v>
      </c>
      <c r="R31" s="93">
        <f>ROUND(VLOOKUP($C31,STD!$C:$AA,R$14,0),2)-Q31</f>
        <v>0</v>
      </c>
      <c r="S31" s="91"/>
      <c r="T31" s="94">
        <f t="shared" si="80"/>
        <v>18.920907812960934</v>
      </c>
      <c r="U31" s="94">
        <f t="shared" ca="1" si="81"/>
        <v>5.8391173074246314</v>
      </c>
      <c r="V31" s="94">
        <f t="shared" ca="1" si="82"/>
        <v>7.9833819084003705</v>
      </c>
      <c r="W31" s="94">
        <f t="shared" ca="1" si="83"/>
        <v>4.9388638801070393</v>
      </c>
      <c r="X31" s="94">
        <f t="shared" ca="1" si="84"/>
        <v>0.66193912480057671</v>
      </c>
      <c r="Y31" s="95">
        <f t="shared" ca="1" si="85"/>
        <v>38.34421003369355</v>
      </c>
      <c r="Z31" s="153"/>
      <c r="AA31" s="79">
        <f t="shared" si="86"/>
        <v>-1.5790921870390662</v>
      </c>
      <c r="AB31" s="79">
        <f t="shared" ca="1" si="87"/>
        <v>0.16911730742463149</v>
      </c>
      <c r="AC31" s="79">
        <f t="shared" ca="1" si="88"/>
        <v>0.51338190840037079</v>
      </c>
      <c r="AD31" s="79">
        <f t="shared" ca="1" si="89"/>
        <v>-1.8411361198929592</v>
      </c>
      <c r="AE31" s="79">
        <f t="shared" ca="1" si="90"/>
        <v>7.1939124800576737E-2</v>
      </c>
      <c r="AF31" s="79">
        <f t="shared" ca="1" si="91"/>
        <v>-2.6657899663064555</v>
      </c>
      <c r="AH31" s="97">
        <f t="shared" si="92"/>
        <v>9901.5</v>
      </c>
      <c r="AI31" s="97">
        <f t="shared" si="93"/>
        <v>2738.61</v>
      </c>
      <c r="AJ31" s="97">
        <f t="shared" si="94"/>
        <v>3608.0099999999998</v>
      </c>
      <c r="AK31" s="97">
        <f t="shared" si="95"/>
        <v>3274.7399999999993</v>
      </c>
      <c r="AL31" s="97">
        <f t="shared" si="96"/>
        <v>284.96999999999997</v>
      </c>
      <c r="AM31" s="97">
        <f t="shared" si="97"/>
        <v>19807.830000000002</v>
      </c>
      <c r="AN31" s="91"/>
      <c r="AO31" s="75">
        <f>SUMIFS('DM-Sum'!$M$6:$M$117,'DM-Sum'!$B$6:$B$117,$C31,'DM-Sum'!$C$6:$C$117, $E31)</f>
        <v>9138.7984736601302</v>
      </c>
      <c r="AP31" s="75">
        <f t="shared" ca="1" si="21"/>
        <v>2820.2936594860971</v>
      </c>
      <c r="AQ31" s="75">
        <f t="shared" ca="1" si="22"/>
        <v>3855.973461757379</v>
      </c>
      <c r="AR31" s="75">
        <f t="shared" ca="1" si="23"/>
        <v>2385.4712540916998</v>
      </c>
      <c r="AS31" s="75">
        <f t="shared" ca="1" si="24"/>
        <v>319.71659727867853</v>
      </c>
      <c r="AT31" s="75">
        <f t="shared" ca="1" si="25"/>
        <v>18520.253446273986</v>
      </c>
      <c r="AV31" s="98">
        <f t="shared" si="26"/>
        <v>-762.70152633986982</v>
      </c>
      <c r="AW31" s="98">
        <f t="shared" ca="1" si="27"/>
        <v>81.683659486096985</v>
      </c>
      <c r="AX31" s="98">
        <f t="shared" ca="1" si="28"/>
        <v>247.96346175737926</v>
      </c>
      <c r="AY31" s="98">
        <f t="shared" ca="1" si="29"/>
        <v>-889.26874590829948</v>
      </c>
      <c r="AZ31" s="98">
        <f t="shared" ca="1" si="30"/>
        <v>34.746597278678564</v>
      </c>
      <c r="BA31" s="98">
        <f t="shared" ca="1" si="31"/>
        <v>-1287.5765537260158</v>
      </c>
      <c r="BB31" s="99"/>
      <c r="BC31" s="100"/>
      <c r="BD31" s="267">
        <f t="shared" si="98"/>
        <v>0.92297111282736266</v>
      </c>
      <c r="BE31" s="268">
        <f t="shared" ca="1" si="99"/>
        <v>1.0298266856128098</v>
      </c>
      <c r="BF31" s="268">
        <f t="shared" ca="1" si="100"/>
        <v>1.0687258244177202</v>
      </c>
      <c r="BG31" s="268">
        <f t="shared" ca="1" si="101"/>
        <v>0.72844600001578763</v>
      </c>
      <c r="BH31" s="268">
        <f t="shared" ca="1" si="102"/>
        <v>0.94183549678373701</v>
      </c>
      <c r="BI31" s="268">
        <f t="shared" ca="1" si="103"/>
        <v>0.93499658702008159</v>
      </c>
      <c r="BK31" s="266" t="str">
        <f t="shared" si="104"/>
        <v>16</v>
      </c>
      <c r="BM31" s="269" t="s">
        <v>1595</v>
      </c>
      <c r="BN31" s="270" t="str">
        <f t="shared" si="105"/>
        <v>TMVVA</v>
      </c>
      <c r="BO31" s="270" t="str">
        <f>VLOOKUP($C31,STD!$C:$D,BO$17,0)</f>
        <v>95H 205/65R16 EP15WZ</v>
      </c>
      <c r="BP31" s="270" t="str">
        <f>VLOOKUP($C31,STD!$C:$L,BP$17,0)</f>
        <v>TMVVA</v>
      </c>
      <c r="BQ31" s="270" t="b">
        <f t="shared" si="106"/>
        <v>1</v>
      </c>
      <c r="BR31" s="270" t="b">
        <f t="shared" si="39"/>
        <v>1</v>
      </c>
    </row>
    <row r="32" spans="2:70" s="96" customFormat="1" ht="15" customHeight="1">
      <c r="B32" s="89"/>
      <c r="C32" s="478" t="s">
        <v>255</v>
      </c>
      <c r="D32" s="479" t="str">
        <f t="shared" si="40"/>
        <v>098H 215/65 R16 DTH1AZ</v>
      </c>
      <c r="E32" s="480" t="s">
        <v>257</v>
      </c>
      <c r="F32" s="481">
        <v>187</v>
      </c>
      <c r="G32" s="104">
        <f>INDEX('Tire Weight'!$D:$D,MATCH($C32&amp;"-"&amp;$E32,'Tire Weight'!$A:$A,0))</f>
        <v>10.54</v>
      </c>
      <c r="H32" s="90">
        <f t="shared" si="0"/>
        <v>1970.9799999999998</v>
      </c>
      <c r="I32" s="104">
        <f>INDEX('Tire Weight'!$E:$E,MATCH($C32&amp;"-"&amp;$E32,'Tire Weight'!$A:$A,0))</f>
        <v>4.97</v>
      </c>
      <c r="J32" s="90">
        <f t="shared" si="1"/>
        <v>929.39</v>
      </c>
      <c r="K32" s="91"/>
      <c r="L32" s="34">
        <f>ROUND(VLOOKUP($C32,STD!$C:$AA,L$14,0),2)</f>
        <v>20.67</v>
      </c>
      <c r="M32" s="34">
        <f>ROUND(VLOOKUP($C32,STD!$C:$AA,M$14,0),2)</f>
        <v>5.87</v>
      </c>
      <c r="N32" s="34">
        <f>ROUND(VLOOKUP($C32,STD!$C:$AA,N$14,0),2)</f>
        <v>7.65</v>
      </c>
      <c r="O32" s="34">
        <f>ROUND(VLOOKUP($C32,STD!$C:$AA,O$14,0),2)-L32-M32-N32-P32</f>
        <v>7.0599999999999978</v>
      </c>
      <c r="P32" s="34">
        <f>ROUND(VLOOKUP($C32,STD!$C:$AA,P$14,0),2)</f>
        <v>0.64</v>
      </c>
      <c r="Q32" s="92">
        <f t="shared" si="79"/>
        <v>41.89</v>
      </c>
      <c r="R32" s="93">
        <f>ROUND(VLOOKUP($C32,STD!$C:$AA,R$14,0),2)-Q32</f>
        <v>0</v>
      </c>
      <c r="S32" s="91"/>
      <c r="T32" s="94">
        <f t="shared" si="80"/>
        <v>19.164532356423784</v>
      </c>
      <c r="U32" s="94">
        <f t="shared" ca="1" si="81"/>
        <v>6.0450826445471941</v>
      </c>
      <c r="V32" s="94">
        <f t="shared" ca="1" si="82"/>
        <v>8.17575255679556</v>
      </c>
      <c r="W32" s="94">
        <f t="shared" ca="1" si="83"/>
        <v>5.142828760111458</v>
      </c>
      <c r="X32" s="94">
        <f t="shared" ca="1" si="84"/>
        <v>0.71803566080062553</v>
      </c>
      <c r="Y32" s="95">
        <f t="shared" ca="1" si="85"/>
        <v>39.246231978678615</v>
      </c>
      <c r="Z32" s="153"/>
      <c r="AA32" s="79">
        <f t="shared" si="86"/>
        <v>-1.5054676435762175</v>
      </c>
      <c r="AB32" s="79">
        <f t="shared" ca="1" si="87"/>
        <v>0.17508264454719402</v>
      </c>
      <c r="AC32" s="79">
        <f t="shared" ca="1" si="88"/>
        <v>0.52575255679555966</v>
      </c>
      <c r="AD32" s="79">
        <f t="shared" ca="1" si="89"/>
        <v>-1.9171712398885399</v>
      </c>
      <c r="AE32" s="79">
        <f t="shared" ca="1" si="90"/>
        <v>7.8035660800625517E-2</v>
      </c>
      <c r="AF32" s="79">
        <f t="shared" ca="1" si="91"/>
        <v>-2.6437680213213852</v>
      </c>
      <c r="AH32" s="97">
        <f t="shared" si="92"/>
        <v>3865.2900000000004</v>
      </c>
      <c r="AI32" s="97">
        <f t="shared" si="93"/>
        <v>1097.69</v>
      </c>
      <c r="AJ32" s="97">
        <f t="shared" si="94"/>
        <v>1430.55</v>
      </c>
      <c r="AK32" s="97">
        <f t="shared" si="95"/>
        <v>1320.2199999999996</v>
      </c>
      <c r="AL32" s="97">
        <f t="shared" si="96"/>
        <v>119.68</v>
      </c>
      <c r="AM32" s="97">
        <f t="shared" si="97"/>
        <v>7833.43</v>
      </c>
      <c r="AN32" s="91"/>
      <c r="AO32" s="75">
        <f>SUMIFS('DM-Sum'!$M$6:$M$117,'DM-Sum'!$B$6:$B$117,$C32,'DM-Sum'!$C$6:$C$117, $E32)</f>
        <v>3583.7675506512473</v>
      </c>
      <c r="AP32" s="75">
        <f t="shared" ca="1" si="21"/>
        <v>1130.4304545303253</v>
      </c>
      <c r="AQ32" s="75">
        <f t="shared" ca="1" si="22"/>
        <v>1528.8657281207697</v>
      </c>
      <c r="AR32" s="75">
        <f t="shared" ca="1" si="23"/>
        <v>961.70897814084265</v>
      </c>
      <c r="AS32" s="75">
        <f t="shared" ca="1" si="24"/>
        <v>134.27266856971698</v>
      </c>
      <c r="AT32" s="75">
        <f t="shared" ca="1" si="25"/>
        <v>7339.0453800129026</v>
      </c>
      <c r="AV32" s="98">
        <f t="shared" si="26"/>
        <v>-281.52244934875307</v>
      </c>
      <c r="AW32" s="98">
        <f t="shared" ca="1" si="27"/>
        <v>32.740454530325223</v>
      </c>
      <c r="AX32" s="98">
        <f t="shared" ca="1" si="28"/>
        <v>98.315728120769791</v>
      </c>
      <c r="AY32" s="98">
        <f t="shared" ca="1" si="29"/>
        <v>-358.51102185915693</v>
      </c>
      <c r="AZ32" s="98">
        <f t="shared" ca="1" si="30"/>
        <v>14.592668569716977</v>
      </c>
      <c r="BA32" s="98">
        <f t="shared" ca="1" si="31"/>
        <v>-494.38461998709772</v>
      </c>
      <c r="BB32" s="99"/>
      <c r="BC32" s="100"/>
      <c r="BD32" s="267">
        <f t="shared" si="98"/>
        <v>0.92716653877231647</v>
      </c>
      <c r="BE32" s="268">
        <f t="shared" ca="1" si="99"/>
        <v>1.02982668561281</v>
      </c>
      <c r="BF32" s="268">
        <f t="shared" ca="1" si="100"/>
        <v>1.0687258244177202</v>
      </c>
      <c r="BG32" s="268">
        <f t="shared" ca="1" si="101"/>
        <v>0.72844600001578752</v>
      </c>
      <c r="BH32" s="268">
        <f t="shared" ca="1" si="102"/>
        <v>0.94089717985686183</v>
      </c>
      <c r="BI32" s="268">
        <f t="shared" ca="1" si="103"/>
        <v>0.93688784861968522</v>
      </c>
      <c r="BK32" s="266" t="str">
        <f t="shared" si="104"/>
        <v>16</v>
      </c>
      <c r="BM32" s="269" t="s">
        <v>1596</v>
      </c>
      <c r="BN32" s="270" t="str">
        <f t="shared" si="105"/>
        <v>ETDVA</v>
      </c>
      <c r="BO32" s="270" t="str">
        <f>VLOOKUP($C32,STD!$C:$D,BO$17,0)</f>
        <v>98H 215/65R16 DTH1AZ</v>
      </c>
      <c r="BP32" s="270" t="str">
        <f>VLOOKUP($C32,STD!$C:$L,BP$17,0)</f>
        <v>ETDVA</v>
      </c>
      <c r="BQ32" s="270" t="b">
        <f t="shared" si="106"/>
        <v>1</v>
      </c>
      <c r="BR32" s="270" t="b">
        <f t="shared" si="39"/>
        <v>1</v>
      </c>
    </row>
    <row r="33" spans="2:70" s="96" customFormat="1" ht="15" customHeight="1">
      <c r="B33" s="89"/>
      <c r="C33" s="478" t="s">
        <v>232</v>
      </c>
      <c r="D33" s="479" t="str">
        <f t="shared" si="40"/>
        <v>094H 205/65 R15 EL64Z</v>
      </c>
      <c r="E33" s="480" t="s">
        <v>233</v>
      </c>
      <c r="F33" s="481">
        <v>654</v>
      </c>
      <c r="G33" s="104">
        <f>INDEX('Tire Weight'!$D:$D,MATCH($C33&amp;"-"&amp;$E33,'Tire Weight'!$A:$A,0))</f>
        <v>10.164</v>
      </c>
      <c r="H33" s="90">
        <f t="shared" si="0"/>
        <v>6647.2559999999994</v>
      </c>
      <c r="I33" s="104">
        <f>INDEX('Tire Weight'!$E:$E,MATCH($C33&amp;"-"&amp;$E33,'Tire Weight'!$A:$A,0))</f>
        <v>4.7539999999999996</v>
      </c>
      <c r="J33" s="90">
        <f t="shared" si="1"/>
        <v>3109.1159999999995</v>
      </c>
      <c r="K33" s="91"/>
      <c r="L33" s="34">
        <f>ROUND(VLOOKUP($C33,STD!$C:$AA,L$14,0),2)</f>
        <v>21.26</v>
      </c>
      <c r="M33" s="34">
        <f>ROUND(VLOOKUP($C33,STD!$C:$AA,M$14,0),2)</f>
        <v>5.61</v>
      </c>
      <c r="N33" s="34">
        <f>ROUND(VLOOKUP($C33,STD!$C:$AA,N$14,0),2)</f>
        <v>7.37</v>
      </c>
      <c r="O33" s="34">
        <f>ROUND(VLOOKUP($C33,STD!$C:$AA,O$14,0),2)-L33-M33-N33-P33</f>
        <v>6.8400000000000016</v>
      </c>
      <c r="P33" s="34">
        <f>ROUND(VLOOKUP($C33,STD!$C:$AA,P$14,0),2)</f>
        <v>0.62</v>
      </c>
      <c r="Q33" s="92">
        <f t="shared" si="79"/>
        <v>41.7</v>
      </c>
      <c r="R33" s="93">
        <f>ROUND(VLOOKUP($C33,STD!$C:$AA,R$14,0),2)-Q33</f>
        <v>0</v>
      </c>
      <c r="S33" s="91"/>
      <c r="T33" s="94">
        <f t="shared" si="80"/>
        <v>19.304378050355446</v>
      </c>
      <c r="U33" s="94">
        <f t="shared" ca="1" si="81"/>
        <v>5.7773277062878634</v>
      </c>
      <c r="V33" s="94">
        <f t="shared" ca="1" si="82"/>
        <v>7.8765093259585992</v>
      </c>
      <c r="W33" s="94">
        <f t="shared" ca="1" si="83"/>
        <v>4.9825706401079888</v>
      </c>
      <c r="X33" s="94">
        <f t="shared" ca="1" si="84"/>
        <v>0.69559704640060616</v>
      </c>
      <c r="Y33" s="95">
        <f t="shared" ca="1" si="85"/>
        <v>38.636382769110504</v>
      </c>
      <c r="Z33" s="153"/>
      <c r="AA33" s="79">
        <f t="shared" si="86"/>
        <v>-1.9556219496445557</v>
      </c>
      <c r="AB33" s="79">
        <f t="shared" ca="1" si="87"/>
        <v>0.16732770628786309</v>
      </c>
      <c r="AC33" s="79">
        <f t="shared" ca="1" si="88"/>
        <v>0.5065093259585991</v>
      </c>
      <c r="AD33" s="79">
        <f t="shared" ca="1" si="89"/>
        <v>-1.8574293598920129</v>
      </c>
      <c r="AE33" s="79">
        <f t="shared" ca="1" si="90"/>
        <v>7.559704640060616E-2</v>
      </c>
      <c r="AF33" s="79">
        <f t="shared" ca="1" si="91"/>
        <v>-3.0636172308894984</v>
      </c>
      <c r="AH33" s="97">
        <f t="shared" si="92"/>
        <v>13904.04</v>
      </c>
      <c r="AI33" s="97">
        <f t="shared" si="93"/>
        <v>3668.94</v>
      </c>
      <c r="AJ33" s="97">
        <f t="shared" si="94"/>
        <v>4819.9800000000005</v>
      </c>
      <c r="AK33" s="97">
        <f t="shared" si="95"/>
        <v>4473.3600000000015</v>
      </c>
      <c r="AL33" s="97">
        <f t="shared" si="96"/>
        <v>405.48</v>
      </c>
      <c r="AM33" s="97">
        <f t="shared" si="97"/>
        <v>27271.8</v>
      </c>
      <c r="AN33" s="91"/>
      <c r="AO33" s="75">
        <f>SUMIFS('DM-Sum'!$M$6:$M$117,'DM-Sum'!$B$6:$B$117,$C33,'DM-Sum'!$C$6:$C$117, $E33)</f>
        <v>12625.063244932462</v>
      </c>
      <c r="AP33" s="75">
        <f t="shared" ca="1" si="21"/>
        <v>3778.3723199122628</v>
      </c>
      <c r="AQ33" s="75">
        <f t="shared" ca="1" si="22"/>
        <v>5151.2370991769239</v>
      </c>
      <c r="AR33" s="75">
        <f t="shared" ca="1" si="23"/>
        <v>3258.6011986306248</v>
      </c>
      <c r="AS33" s="75">
        <f t="shared" ca="1" si="24"/>
        <v>454.92046834599643</v>
      </c>
      <c r="AT33" s="75">
        <f t="shared" ca="1" si="25"/>
        <v>25268.194330998271</v>
      </c>
      <c r="AV33" s="98">
        <f t="shared" si="26"/>
        <v>-1278.9767550675388</v>
      </c>
      <c r="AW33" s="98">
        <f t="shared" ca="1" si="27"/>
        <v>109.43231991226276</v>
      </c>
      <c r="AX33" s="98">
        <f t="shared" ca="1" si="28"/>
        <v>331.25709917692348</v>
      </c>
      <c r="AY33" s="98">
        <f t="shared" ca="1" si="29"/>
        <v>-1214.7588013693767</v>
      </c>
      <c r="AZ33" s="98">
        <f t="shared" ca="1" si="30"/>
        <v>49.440468345996408</v>
      </c>
      <c r="BA33" s="98">
        <f t="shared" ca="1" si="31"/>
        <v>-2003.6056690017285</v>
      </c>
      <c r="BB33" s="99"/>
      <c r="BC33" s="100"/>
      <c r="BD33" s="267">
        <f t="shared" si="98"/>
        <v>0.90801401930176129</v>
      </c>
      <c r="BE33" s="268">
        <f t="shared" ca="1" si="99"/>
        <v>1.0298266856128098</v>
      </c>
      <c r="BF33" s="268">
        <f t="shared" ca="1" si="100"/>
        <v>1.0687258244177205</v>
      </c>
      <c r="BG33" s="268">
        <f t="shared" ca="1" si="101"/>
        <v>0.72844600001578763</v>
      </c>
      <c r="BH33" s="268">
        <f t="shared" ca="1" si="102"/>
        <v>0.94028292998761109</v>
      </c>
      <c r="BI33" s="268">
        <f t="shared" ca="1" si="103"/>
        <v>0.92653196088994005</v>
      </c>
      <c r="BK33" s="266" t="str">
        <f t="shared" si="104"/>
        <v>15</v>
      </c>
      <c r="BM33" s="269" t="s">
        <v>1597</v>
      </c>
      <c r="BN33" s="270" t="str">
        <f t="shared" si="105"/>
        <v>MQTVA</v>
      </c>
      <c r="BO33" s="270" t="str">
        <f>VLOOKUP($C33,STD!$C:$D,BO$17,0)</f>
        <v>94H 205/65R15 EL64Z</v>
      </c>
      <c r="BP33" s="270" t="str">
        <f>VLOOKUP($C33,STD!$C:$L,BP$17,0)</f>
        <v>MQTVA</v>
      </c>
      <c r="BQ33" s="270" t="b">
        <f t="shared" si="106"/>
        <v>1</v>
      </c>
      <c r="BR33" s="270" t="b">
        <f t="shared" si="39"/>
        <v>1</v>
      </c>
    </row>
    <row r="34" spans="2:70" s="96" customFormat="1" ht="15" customHeight="1">
      <c r="B34" s="89"/>
      <c r="C34" s="478" t="s">
        <v>202</v>
      </c>
      <c r="D34" s="479" t="str">
        <f t="shared" si="40"/>
        <v>102V 225/65 R17 DTH1AZ</v>
      </c>
      <c r="E34" s="480" t="s">
        <v>204</v>
      </c>
      <c r="F34" s="481">
        <v>550</v>
      </c>
      <c r="G34" s="104">
        <f>INDEX('Tire Weight'!$D:$D,MATCH($C34&amp;"-"&amp;$E34,'Tire Weight'!$A:$A,0))</f>
        <v>12.352</v>
      </c>
      <c r="H34" s="90">
        <f t="shared" si="0"/>
        <v>6793.6</v>
      </c>
      <c r="I34" s="104">
        <f>INDEX('Tire Weight'!$E:$E,MATCH($C34&amp;"-"&amp;$E34,'Tire Weight'!$A:$A,0))</f>
        <v>5.7409999999999997</v>
      </c>
      <c r="J34" s="90">
        <f t="shared" si="1"/>
        <v>3157.5499999999997</v>
      </c>
      <c r="K34" s="91"/>
      <c r="L34" s="34">
        <f>ROUND(VLOOKUP($C34,STD!$C:$AA,L$14,0),2)</f>
        <v>24.47</v>
      </c>
      <c r="M34" s="34">
        <f>ROUND(VLOOKUP($C34,STD!$C:$AA,M$14,0),2)</f>
        <v>6.8</v>
      </c>
      <c r="N34" s="34">
        <f>ROUND(VLOOKUP($C34,STD!$C:$AA,N$14,0),2)</f>
        <v>8.76</v>
      </c>
      <c r="O34" s="34">
        <f>ROUND(VLOOKUP($C34,STD!$C:$AA,O$14,0),2)-L34-M34-N34-P34</f>
        <v>8.14</v>
      </c>
      <c r="P34" s="34">
        <f>ROUND(VLOOKUP($C34,STD!$C:$AA,P$14,0),2)</f>
        <v>0.76</v>
      </c>
      <c r="Q34" s="92">
        <f t="shared" si="79"/>
        <v>48.93</v>
      </c>
      <c r="R34" s="93">
        <f>ROUND(VLOOKUP($C34,STD!$C:$AA,R$14,0),2)-Q34</f>
        <v>0</v>
      </c>
      <c r="S34" s="91"/>
      <c r="T34" s="94">
        <f t="shared" si="80"/>
        <v>22.694344422184962</v>
      </c>
      <c r="U34" s="94">
        <f t="shared" ca="1" si="81"/>
        <v>7.0028214621671072</v>
      </c>
      <c r="V34" s="94">
        <f t="shared" ca="1" si="82"/>
        <v>9.3620382218992297</v>
      </c>
      <c r="W34" s="94">
        <f t="shared" ca="1" si="83"/>
        <v>5.9295504401285104</v>
      </c>
      <c r="X34" s="94">
        <f t="shared" ca="1" si="84"/>
        <v>0.85266734720074289</v>
      </c>
      <c r="Y34" s="95">
        <f t="shared" ca="1" si="85"/>
        <v>45.841421893580552</v>
      </c>
      <c r="Z34" s="153"/>
      <c r="AA34" s="79">
        <f t="shared" si="86"/>
        <v>-1.7756555778150371</v>
      </c>
      <c r="AB34" s="79">
        <f t="shared" ca="1" si="87"/>
        <v>0.20282146216710739</v>
      </c>
      <c r="AC34" s="79">
        <f t="shared" ca="1" si="88"/>
        <v>0.60203822189922995</v>
      </c>
      <c r="AD34" s="79">
        <f t="shared" ca="1" si="89"/>
        <v>-2.2104495598714902</v>
      </c>
      <c r="AE34" s="79">
        <f t="shared" ca="1" si="90"/>
        <v>9.2667347200742878E-2</v>
      </c>
      <c r="AF34" s="79">
        <f t="shared" ca="1" si="91"/>
        <v>-3.0885781064194475</v>
      </c>
      <c r="AH34" s="97">
        <f t="shared" si="92"/>
        <v>13458.5</v>
      </c>
      <c r="AI34" s="97">
        <f t="shared" si="93"/>
        <v>3740</v>
      </c>
      <c r="AJ34" s="97">
        <f t="shared" si="94"/>
        <v>4818</v>
      </c>
      <c r="AK34" s="97">
        <f t="shared" si="95"/>
        <v>4477</v>
      </c>
      <c r="AL34" s="97">
        <f t="shared" si="96"/>
        <v>418</v>
      </c>
      <c r="AM34" s="97">
        <f t="shared" si="97"/>
        <v>26911.5</v>
      </c>
      <c r="AN34" s="91"/>
      <c r="AO34" s="75">
        <f>SUMIFS('DM-Sum'!$M$6:$M$117,'DM-Sum'!$B$6:$B$117,$C34,'DM-Sum'!$C$6:$C$117, $E34)</f>
        <v>12481.88943220173</v>
      </c>
      <c r="AP34" s="75">
        <f t="shared" ca="1" si="21"/>
        <v>3851.551804191909</v>
      </c>
      <c r="AQ34" s="75">
        <f t="shared" ca="1" si="22"/>
        <v>5149.1210220445764</v>
      </c>
      <c r="AR34" s="75">
        <f t="shared" ca="1" si="23"/>
        <v>3261.2527420706806</v>
      </c>
      <c r="AS34" s="75">
        <f t="shared" ca="1" si="24"/>
        <v>468.96704096040861</v>
      </c>
      <c r="AT34" s="75">
        <f t="shared" ca="1" si="25"/>
        <v>25212.782041469301</v>
      </c>
      <c r="AV34" s="98">
        <f t="shared" si="26"/>
        <v>-976.61056779827049</v>
      </c>
      <c r="AW34" s="98">
        <f t="shared" ca="1" si="27"/>
        <v>111.55180419190901</v>
      </c>
      <c r="AX34" s="98">
        <f t="shared" ca="1" si="28"/>
        <v>331.12102204457642</v>
      </c>
      <c r="AY34" s="98">
        <f t="shared" ca="1" si="29"/>
        <v>-1215.7472579293194</v>
      </c>
      <c r="AZ34" s="98">
        <f t="shared" ca="1" si="30"/>
        <v>50.96704096040861</v>
      </c>
      <c r="BA34" s="98">
        <f t="shared" ca="1" si="31"/>
        <v>-1698.7179585306985</v>
      </c>
      <c r="BB34" s="99"/>
      <c r="BC34" s="100"/>
      <c r="BD34" s="267">
        <f t="shared" si="98"/>
        <v>0.92743540752697029</v>
      </c>
      <c r="BE34" s="268">
        <f t="shared" ca="1" si="99"/>
        <v>1.02982668561281</v>
      </c>
      <c r="BF34" s="268">
        <f t="shared" ca="1" si="100"/>
        <v>1.0687258244177202</v>
      </c>
      <c r="BG34" s="268">
        <f t="shared" ca="1" si="101"/>
        <v>0.72844600001578752</v>
      </c>
      <c r="BH34" s="268">
        <f t="shared" ca="1" si="102"/>
        <v>0.94069241030358008</v>
      </c>
      <c r="BI34" s="268">
        <f t="shared" ca="1" si="103"/>
        <v>0.93687761891642252</v>
      </c>
      <c r="BK34" s="266" t="str">
        <f t="shared" si="104"/>
        <v>17</v>
      </c>
      <c r="BM34" s="269" t="s">
        <v>1598</v>
      </c>
      <c r="BN34" s="270" t="str">
        <f t="shared" si="105"/>
        <v>AMMZA</v>
      </c>
      <c r="BO34" s="270" t="str">
        <f>VLOOKUP($C34,STD!$C:$D,BO$17,0)</f>
        <v>102V 225/65R17 DTH1AZ</v>
      </c>
      <c r="BP34" s="270" t="str">
        <f>VLOOKUP($C34,STD!$C:$L,BP$17,0)</f>
        <v>AMMZA</v>
      </c>
      <c r="BQ34" s="270" t="b">
        <f t="shared" si="106"/>
        <v>1</v>
      </c>
      <c r="BR34" s="270" t="b">
        <f t="shared" si="39"/>
        <v>1</v>
      </c>
    </row>
    <row r="35" spans="2:70" s="96" customFormat="1" ht="15" customHeight="1">
      <c r="B35" s="89"/>
      <c r="C35" s="478" t="s">
        <v>340</v>
      </c>
      <c r="D35" s="479" t="str">
        <f t="shared" si="40"/>
        <v>095V 205/65 R16 EP30Z</v>
      </c>
      <c r="E35" s="480" t="s">
        <v>341</v>
      </c>
      <c r="F35" s="481">
        <v>312</v>
      </c>
      <c r="G35" s="104">
        <f>INDEX('Tire Weight'!$D:$D,MATCH($C35&amp;"-"&amp;$E35,'Tire Weight'!$A:$A,0))</f>
        <v>9.1159999999999997</v>
      </c>
      <c r="H35" s="90">
        <f t="shared" si="0"/>
        <v>2844.192</v>
      </c>
      <c r="I35" s="104">
        <f>INDEX('Tire Weight'!$E:$E,MATCH($C35&amp;"-"&amp;$E35,'Tire Weight'!$A:$A,0))</f>
        <v>4.4870000000000001</v>
      </c>
      <c r="J35" s="90">
        <f t="shared" si="1"/>
        <v>1399.944</v>
      </c>
      <c r="K35" s="91"/>
      <c r="L35" s="34">
        <f>ROUND(VLOOKUP($C35,STD!$C:$AA,L$14,0),2)</f>
        <v>19.510000000000002</v>
      </c>
      <c r="M35" s="34">
        <f>ROUND(VLOOKUP($C35,STD!$C:$AA,M$14,0),2)</f>
        <v>5.47</v>
      </c>
      <c r="N35" s="34">
        <f>ROUND(VLOOKUP($C35,STD!$C:$AA,N$14,0),2)</f>
        <v>7.37</v>
      </c>
      <c r="O35" s="34">
        <f>ROUND(VLOOKUP($C35,STD!$C:$AA,O$14,0),2)-L35-M35-N35-P35</f>
        <v>6.6900000000000013</v>
      </c>
      <c r="P35" s="34">
        <f>ROUND(VLOOKUP($C35,STD!$C:$AA,P$14,0),2)</f>
        <v>0.56000000000000005</v>
      </c>
      <c r="Q35" s="92">
        <f t="shared" si="79"/>
        <v>39.600000000000009</v>
      </c>
      <c r="R35" s="93">
        <f>ROUND(VLOOKUP($C35,STD!$C:$AA,R$14,0),2)-Q35</f>
        <v>0</v>
      </c>
      <c r="S35" s="91"/>
      <c r="T35" s="94">
        <f t="shared" si="80"/>
        <v>17.774671375433911</v>
      </c>
      <c r="U35" s="94">
        <f t="shared" ca="1" si="81"/>
        <v>5.6331519703020696</v>
      </c>
      <c r="V35" s="94">
        <f t="shared" ca="1" si="82"/>
        <v>7.8765093259585983</v>
      </c>
      <c r="W35" s="94">
        <f t="shared" ca="1" si="83"/>
        <v>4.8733037401056194</v>
      </c>
      <c r="X35" s="94">
        <f t="shared" ca="1" si="84"/>
        <v>0.62828120320054759</v>
      </c>
      <c r="Y35" s="95">
        <f t="shared" ca="1" si="85"/>
        <v>36.785917615000749</v>
      </c>
      <c r="Z35" s="153"/>
      <c r="AA35" s="79">
        <f t="shared" si="86"/>
        <v>-1.7353286245660904</v>
      </c>
      <c r="AB35" s="79">
        <f t="shared" ca="1" si="87"/>
        <v>0.16315197030206985</v>
      </c>
      <c r="AC35" s="79">
        <f t="shared" ca="1" si="88"/>
        <v>0.50650932595859821</v>
      </c>
      <c r="AD35" s="79">
        <f t="shared" ca="1" si="89"/>
        <v>-1.8166962598943819</v>
      </c>
      <c r="AE35" s="79">
        <f t="shared" ca="1" si="90"/>
        <v>6.8281203200547536E-2</v>
      </c>
      <c r="AF35" s="79">
        <f t="shared" ca="1" si="91"/>
        <v>-2.81408238499926</v>
      </c>
      <c r="AH35" s="97">
        <f t="shared" si="92"/>
        <v>6087.1200000000008</v>
      </c>
      <c r="AI35" s="97">
        <f t="shared" si="93"/>
        <v>1706.6399999999999</v>
      </c>
      <c r="AJ35" s="97">
        <f t="shared" si="94"/>
        <v>2299.44</v>
      </c>
      <c r="AK35" s="97">
        <f t="shared" si="95"/>
        <v>2087.2800000000002</v>
      </c>
      <c r="AL35" s="97">
        <f t="shared" si="96"/>
        <v>174.72000000000003</v>
      </c>
      <c r="AM35" s="97">
        <f t="shared" si="97"/>
        <v>12355.2</v>
      </c>
      <c r="AN35" s="91"/>
      <c r="AO35" s="75">
        <f>SUMIFS('DM-Sum'!$M$6:$M$117,'DM-Sum'!$B$6:$B$117,$C35,'DM-Sum'!$C$6:$C$117, $E35)</f>
        <v>5545.6974691353807</v>
      </c>
      <c r="AP35" s="75">
        <f t="shared" ca="1" si="21"/>
        <v>1757.5434147342457</v>
      </c>
      <c r="AQ35" s="75">
        <f t="shared" ca="1" si="22"/>
        <v>2457.4709096990828</v>
      </c>
      <c r="AR35" s="75">
        <f t="shared" ca="1" si="23"/>
        <v>1520.4707669129532</v>
      </c>
      <c r="AS35" s="75">
        <f t="shared" ca="1" si="24"/>
        <v>196.02373539857084</v>
      </c>
      <c r="AT35" s="75">
        <f t="shared" ca="1" si="25"/>
        <v>11477.206295880233</v>
      </c>
      <c r="AV35" s="98">
        <f t="shared" si="26"/>
        <v>-541.42253086462006</v>
      </c>
      <c r="AW35" s="98">
        <f t="shared" ca="1" si="27"/>
        <v>50.903414734245871</v>
      </c>
      <c r="AX35" s="98">
        <f t="shared" ca="1" si="28"/>
        <v>158.03090969908271</v>
      </c>
      <c r="AY35" s="98">
        <f t="shared" ca="1" si="29"/>
        <v>-566.80923308704701</v>
      </c>
      <c r="AZ35" s="98">
        <f t="shared" ca="1" si="30"/>
        <v>21.303735398570808</v>
      </c>
      <c r="BA35" s="98">
        <f t="shared" ca="1" si="31"/>
        <v>-877.99370411976815</v>
      </c>
      <c r="BB35" s="99"/>
      <c r="BC35" s="100"/>
      <c r="BD35" s="267">
        <f t="shared" si="98"/>
        <v>0.91105440161116913</v>
      </c>
      <c r="BE35" s="268">
        <f t="shared" ca="1" si="99"/>
        <v>1.0298266856128098</v>
      </c>
      <c r="BF35" s="268">
        <f t="shared" ca="1" si="100"/>
        <v>1.0687258244177202</v>
      </c>
      <c r="BG35" s="268">
        <f t="shared" ca="1" si="101"/>
        <v>0.72844600001578752</v>
      </c>
      <c r="BH35" s="268">
        <f t="shared" ca="1" si="102"/>
        <v>0.94126805101721889</v>
      </c>
      <c r="BI35" s="268">
        <f t="shared" ca="1" si="103"/>
        <v>0.92893731351011977</v>
      </c>
      <c r="BK35" s="266" t="str">
        <f t="shared" si="104"/>
        <v>16</v>
      </c>
      <c r="BM35" s="269" t="s">
        <v>1599</v>
      </c>
      <c r="BN35" s="270" t="str">
        <f t="shared" si="105"/>
        <v>HCNVA</v>
      </c>
      <c r="BO35" s="270" t="str">
        <f>VLOOKUP($C35,STD!$C:$D,BO$17,0)</f>
        <v>095V 205/65R16 EP30Z</v>
      </c>
      <c r="BP35" s="270" t="str">
        <f>VLOOKUP($C35,STD!$C:$L,BP$17,0)</f>
        <v>HCNVA</v>
      </c>
      <c r="BQ35" s="270" t="b">
        <f t="shared" si="106"/>
        <v>1</v>
      </c>
      <c r="BR35" s="270" t="b">
        <f t="shared" si="39"/>
        <v>1</v>
      </c>
    </row>
    <row r="36" spans="2:70" s="96" customFormat="1" ht="15" customHeight="1">
      <c r="B36" s="89"/>
      <c r="C36" s="478" t="s">
        <v>178</v>
      </c>
      <c r="D36" s="479" t="str">
        <f t="shared" si="40"/>
        <v>108V 235/65 R17 DTH1AZ</v>
      </c>
      <c r="E36" s="480" t="s">
        <v>193</v>
      </c>
      <c r="F36" s="481">
        <v>122</v>
      </c>
      <c r="G36" s="104">
        <f>INDEX('Tire Weight'!$D:$D,MATCH($C36&amp;"-"&amp;$E36,'Tire Weight'!$A:$A,0))</f>
        <v>13.46</v>
      </c>
      <c r="H36" s="90">
        <f t="shared" si="0"/>
        <v>1642.1200000000001</v>
      </c>
      <c r="I36" s="104">
        <f>INDEX('Tire Weight'!$E:$E,MATCH($C36&amp;"-"&amp;$E36,'Tire Weight'!$A:$A,0))</f>
        <v>6.3</v>
      </c>
      <c r="J36" s="90">
        <f t="shared" si="1"/>
        <v>768.6</v>
      </c>
      <c r="K36" s="91"/>
      <c r="L36" s="34">
        <f>ROUND(VLOOKUP($C36,STD!$C:$AA,L$14,0),2)</f>
        <v>26.98</v>
      </c>
      <c r="M36" s="34">
        <f>ROUND(VLOOKUP($C36,STD!$C:$AA,M$14,0),2)</f>
        <v>7.12</v>
      </c>
      <c r="N36" s="34">
        <f>ROUND(VLOOKUP($C36,STD!$C:$AA,N$14,0),2)</f>
        <v>9.36</v>
      </c>
      <c r="O36" s="34">
        <f>ROUND(VLOOKUP($C36,STD!$C:$AA,O$14,0),2)-L36-M36-N36-P36</f>
        <v>8.769999999999996</v>
      </c>
      <c r="P36" s="34">
        <f>ROUND(VLOOKUP($C36,STD!$C:$AA,P$14,0),2)</f>
        <v>0.82</v>
      </c>
      <c r="Q36" s="92">
        <f t="shared" si="79"/>
        <v>53.05</v>
      </c>
      <c r="R36" s="93">
        <f>ROUND(VLOOKUP($C36,STD!$C:$AA,R$14,0),2)-Q36</f>
        <v>0</v>
      </c>
      <c r="S36" s="91"/>
      <c r="T36" s="94">
        <f t="shared" si="80"/>
        <v>25.332743677616982</v>
      </c>
      <c r="U36" s="94">
        <f t="shared" ca="1" si="81"/>
        <v>7.3323660015632068</v>
      </c>
      <c r="V36" s="94">
        <f t="shared" ca="1" si="82"/>
        <v>10.003273716549861</v>
      </c>
      <c r="W36" s="94">
        <f t="shared" ca="1" si="83"/>
        <v>6.3884714201384547</v>
      </c>
      <c r="X36" s="94">
        <f t="shared" ca="1" si="84"/>
        <v>0.91998319040080156</v>
      </c>
      <c r="Y36" s="95">
        <f t="shared" ca="1" si="85"/>
        <v>49.976838006269304</v>
      </c>
      <c r="Z36" s="153"/>
      <c r="AA36" s="79">
        <f t="shared" si="86"/>
        <v>-1.6472563223830186</v>
      </c>
      <c r="AB36" s="79">
        <f t="shared" ca="1" si="87"/>
        <v>0.21236600156320673</v>
      </c>
      <c r="AC36" s="79">
        <f t="shared" ca="1" si="88"/>
        <v>0.64327371654986187</v>
      </c>
      <c r="AD36" s="79">
        <f t="shared" ca="1" si="89"/>
        <v>-2.3815285798615413</v>
      </c>
      <c r="AE36" s="79">
        <f t="shared" ca="1" si="90"/>
        <v>9.9983190400801614E-2</v>
      </c>
      <c r="AF36" s="79">
        <f t="shared" ca="1" si="91"/>
        <v>-3.0731619937306931</v>
      </c>
      <c r="AH36" s="97">
        <f t="shared" si="92"/>
        <v>3291.56</v>
      </c>
      <c r="AI36" s="97">
        <f t="shared" si="93"/>
        <v>868.64</v>
      </c>
      <c r="AJ36" s="97">
        <f t="shared" si="94"/>
        <v>1141.9199999999998</v>
      </c>
      <c r="AK36" s="97">
        <f t="shared" si="95"/>
        <v>1069.9399999999996</v>
      </c>
      <c r="AL36" s="97">
        <f t="shared" si="96"/>
        <v>100.03999999999999</v>
      </c>
      <c r="AM36" s="97">
        <f t="shared" si="97"/>
        <v>6472.0999999999995</v>
      </c>
      <c r="AN36" s="91"/>
      <c r="AO36" s="75">
        <f>SUMIFS('DM-Sum'!$M$6:$M$117,'DM-Sum'!$B$6:$B$117,$C36,'DM-Sum'!$C$6:$C$117, $E36)</f>
        <v>3090.5947286692717</v>
      </c>
      <c r="AP36" s="75">
        <f t="shared" ca="1" si="21"/>
        <v>894.54865219071121</v>
      </c>
      <c r="AQ36" s="75">
        <f t="shared" ca="1" si="22"/>
        <v>1220.399393419083</v>
      </c>
      <c r="AR36" s="75">
        <f t="shared" ca="1" si="23"/>
        <v>779.39351325689142</v>
      </c>
      <c r="AS36" s="75">
        <f t="shared" ca="1" si="24"/>
        <v>112.23794922889779</v>
      </c>
      <c r="AT36" s="75">
        <f t="shared" ca="1" si="25"/>
        <v>6097.1742367648549</v>
      </c>
      <c r="AV36" s="98">
        <f t="shared" si="26"/>
        <v>-200.96527133072823</v>
      </c>
      <c r="AW36" s="98">
        <f t="shared" ca="1" si="27"/>
        <v>25.908652190711223</v>
      </c>
      <c r="AX36" s="98">
        <f t="shared" ca="1" si="28"/>
        <v>78.479393419083181</v>
      </c>
      <c r="AY36" s="98">
        <f t="shared" ca="1" si="29"/>
        <v>-290.54648674310818</v>
      </c>
      <c r="AZ36" s="98">
        <f t="shared" ca="1" si="30"/>
        <v>12.197949228897798</v>
      </c>
      <c r="BA36" s="98">
        <f t="shared" ca="1" si="31"/>
        <v>-374.92576323514459</v>
      </c>
      <c r="BB36" s="99"/>
      <c r="BC36" s="100"/>
      <c r="BD36" s="267">
        <f t="shared" si="98"/>
        <v>0.93894528086052564</v>
      </c>
      <c r="BE36" s="268">
        <f t="shared" ca="1" si="99"/>
        <v>1.02982668561281</v>
      </c>
      <c r="BF36" s="268">
        <f t="shared" ca="1" si="100"/>
        <v>1.0687258244177202</v>
      </c>
      <c r="BG36" s="268">
        <f t="shared" ca="1" si="101"/>
        <v>0.72844600001578763</v>
      </c>
      <c r="BH36" s="268">
        <f t="shared" ca="1" si="102"/>
        <v>0.9395687579505555</v>
      </c>
      <c r="BI36" s="268">
        <f t="shared" ca="1" si="103"/>
        <v>0.94207046194664101</v>
      </c>
      <c r="BK36" s="266" t="str">
        <f t="shared" si="104"/>
        <v>17</v>
      </c>
      <c r="BM36" s="269" t="s">
        <v>1600</v>
      </c>
      <c r="BN36" s="270" t="str">
        <f t="shared" si="105"/>
        <v>LCDZA</v>
      </c>
      <c r="BO36" s="270" t="str">
        <f>VLOOKUP($C36,STD!$C:$D,BO$17,0)</f>
        <v>108V 235/65R17 DTH1AZ</v>
      </c>
      <c r="BP36" s="270" t="str">
        <f>VLOOKUP($C36,STD!$C:$L,BP$17,0)</f>
        <v>LCDZA</v>
      </c>
      <c r="BQ36" s="270" t="b">
        <f t="shared" si="106"/>
        <v>1</v>
      </c>
      <c r="BR36" s="270" t="b">
        <f t="shared" si="39"/>
        <v>1</v>
      </c>
    </row>
    <row r="37" spans="2:70" s="96" customFormat="1" ht="15" customHeight="1">
      <c r="B37" s="89"/>
      <c r="C37" s="478" t="s">
        <v>179</v>
      </c>
      <c r="D37" s="479" t="str">
        <f t="shared" si="40"/>
        <v>096H 215/60 R17 DTH1AZ</v>
      </c>
      <c r="E37" s="480" t="s">
        <v>955</v>
      </c>
      <c r="F37" s="481">
        <v>114</v>
      </c>
      <c r="G37" s="104">
        <f>INDEX('Tire Weight'!$D:$D,MATCH($C37&amp;"-"&amp;$E37,'Tire Weight'!$A:$A,0))</f>
        <v>10.628</v>
      </c>
      <c r="H37" s="90">
        <f t="shared" si="0"/>
        <v>1211.5920000000001</v>
      </c>
      <c r="I37" s="104">
        <f>INDEX('Tire Weight'!$E:$E,MATCH($C37&amp;"-"&amp;$E37,'Tire Weight'!$A:$A,0))</f>
        <v>4.9779999999999998</v>
      </c>
      <c r="J37" s="90">
        <f t="shared" si="1"/>
        <v>567.49199999999996</v>
      </c>
      <c r="K37" s="91"/>
      <c r="L37" s="34">
        <f>ROUND(VLOOKUP($C37,STD!$C:$AA,L$14,0),2)</f>
        <v>20.49</v>
      </c>
      <c r="M37" s="34">
        <f>ROUND(VLOOKUP($C37,STD!$C:$AA,M$14,0),2)</f>
        <v>6.14</v>
      </c>
      <c r="N37" s="34">
        <f>ROUND(VLOOKUP($C37,STD!$C:$AA,N$14,0),2)</f>
        <v>7.95</v>
      </c>
      <c r="O37" s="34">
        <f>ROUND(VLOOKUP($C37,STD!$C:$AA,O$14,0),2)-L37-M37-N37-P37</f>
        <v>7.2800000000000038</v>
      </c>
      <c r="P37" s="34">
        <f>ROUND(VLOOKUP($C37,STD!$C:$AA,P$14,0),2)</f>
        <v>0.66</v>
      </c>
      <c r="Q37" s="92">
        <f t="shared" si="79"/>
        <v>42.519999999999996</v>
      </c>
      <c r="R37" s="93">
        <f>ROUND(VLOOKUP($C37,STD!$C:$AA,R$14,0),2)-Q37</f>
        <v>0</v>
      </c>
      <c r="S37" s="91"/>
      <c r="T37" s="94">
        <f t="shared" si="80"/>
        <v>18.843275684845491</v>
      </c>
      <c r="U37" s="94">
        <f t="shared" ca="1" si="81"/>
        <v>6.3231358496626529</v>
      </c>
      <c r="V37" s="94">
        <f t="shared" ca="1" si="82"/>
        <v>8.4963703041208767</v>
      </c>
      <c r="W37" s="94">
        <f t="shared" ca="1" si="83"/>
        <v>5.3030868801149369</v>
      </c>
      <c r="X37" s="94">
        <f t="shared" ca="1" si="84"/>
        <v>0.74047427520064524</v>
      </c>
      <c r="Y37" s="95">
        <f t="shared" ca="1" si="85"/>
        <v>39.706342993944602</v>
      </c>
      <c r="Z37" s="153"/>
      <c r="AA37" s="79">
        <f t="shared" si="86"/>
        <v>-1.6467243151545077</v>
      </c>
      <c r="AB37" s="79">
        <f t="shared" ca="1" si="87"/>
        <v>0.18313584966265317</v>
      </c>
      <c r="AC37" s="79">
        <f t="shared" ca="1" si="88"/>
        <v>0.5463703041208765</v>
      </c>
      <c r="AD37" s="79">
        <f t="shared" ca="1" si="89"/>
        <v>-1.9769131198850669</v>
      </c>
      <c r="AE37" s="79">
        <f t="shared" ca="1" si="90"/>
        <v>8.0474275200645207E-2</v>
      </c>
      <c r="AF37" s="79">
        <f t="shared" ca="1" si="91"/>
        <v>-2.8136570060553936</v>
      </c>
      <c r="AH37" s="97">
        <f t="shared" si="92"/>
        <v>2335.8599999999997</v>
      </c>
      <c r="AI37" s="97">
        <f t="shared" si="93"/>
        <v>699.95999999999992</v>
      </c>
      <c r="AJ37" s="97">
        <f t="shared" si="94"/>
        <v>906.30000000000007</v>
      </c>
      <c r="AK37" s="97">
        <f t="shared" si="95"/>
        <v>829.92000000000041</v>
      </c>
      <c r="AL37" s="97">
        <f t="shared" si="96"/>
        <v>75.240000000000009</v>
      </c>
      <c r="AM37" s="97">
        <f t="shared" si="97"/>
        <v>4847.28</v>
      </c>
      <c r="AN37" s="91"/>
      <c r="AO37" s="75">
        <f>SUMIFS('DM-Sum'!$M$6:$M$117,'DM-Sum'!$B$6:$B$117,$C37,'DM-Sum'!$C$6:$C$117, $E37)</f>
        <v>2148.1334280723859</v>
      </c>
      <c r="AP37" s="75">
        <f t="shared" ca="1" si="21"/>
        <v>720.8374868615424</v>
      </c>
      <c r="AQ37" s="75">
        <f t="shared" ca="1" si="22"/>
        <v>968.58621466978002</v>
      </c>
      <c r="AR37" s="75">
        <f t="shared" ca="1" si="23"/>
        <v>604.55190433310281</v>
      </c>
      <c r="AS37" s="75">
        <f t="shared" ca="1" si="24"/>
        <v>84.414067372873561</v>
      </c>
      <c r="AT37" s="75">
        <f t="shared" ca="1" si="25"/>
        <v>4526.5231013096845</v>
      </c>
      <c r="AV37" s="98">
        <f t="shared" si="26"/>
        <v>-187.7265719276138</v>
      </c>
      <c r="AW37" s="98">
        <f t="shared" ca="1" si="27"/>
        <v>20.877486861542479</v>
      </c>
      <c r="AX37" s="98">
        <f t="shared" ca="1" si="28"/>
        <v>62.286214669779952</v>
      </c>
      <c r="AY37" s="98">
        <f t="shared" ca="1" si="29"/>
        <v>-225.3680956668976</v>
      </c>
      <c r="AZ37" s="98">
        <f t="shared" ca="1" si="30"/>
        <v>9.1740673728735516</v>
      </c>
      <c r="BA37" s="98">
        <f t="shared" ca="1" si="31"/>
        <v>-320.75689869031521</v>
      </c>
      <c r="BB37" s="99"/>
      <c r="BC37" s="100"/>
      <c r="BD37" s="267">
        <f t="shared" si="98"/>
        <v>0.91963278110519731</v>
      </c>
      <c r="BE37" s="268">
        <f t="shared" ca="1" si="99"/>
        <v>1.02982668561281</v>
      </c>
      <c r="BF37" s="268">
        <f t="shared" ca="1" si="100"/>
        <v>1.0687258244177202</v>
      </c>
      <c r="BG37" s="268">
        <f t="shared" ca="1" si="101"/>
        <v>0.72844600001578763</v>
      </c>
      <c r="BH37" s="268">
        <f t="shared" ca="1" si="102"/>
        <v>0.94162812512393357</v>
      </c>
      <c r="BI37" s="268">
        <f t="shared" ca="1" si="103"/>
        <v>0.93382744576539523</v>
      </c>
      <c r="BK37" s="266" t="str">
        <f t="shared" si="104"/>
        <v>17</v>
      </c>
      <c r="BM37" s="269" t="s">
        <v>1601</v>
      </c>
      <c r="BN37" s="270" t="str">
        <f t="shared" si="105"/>
        <v>7DTMA</v>
      </c>
      <c r="BO37" s="270" t="str">
        <f>VLOOKUP($C37,STD!$C:$D,BO$17,0)</f>
        <v>96H 215/60R17 DTH1AZ</v>
      </c>
      <c r="BP37" s="270" t="str">
        <f>VLOOKUP($C37,STD!$C:$L,BP$17,0)</f>
        <v>7DTMA</v>
      </c>
      <c r="BQ37" s="270" t="b">
        <f t="shared" si="106"/>
        <v>1</v>
      </c>
      <c r="BR37" s="270" t="b">
        <f t="shared" si="39"/>
        <v>1</v>
      </c>
    </row>
    <row r="38" spans="2:70" s="96" customFormat="1" ht="15" customHeight="1">
      <c r="B38" s="89"/>
      <c r="C38" s="478" t="s">
        <v>395</v>
      </c>
      <c r="D38" s="479" t="str">
        <f t="shared" si="40"/>
        <v>095W 235/40 R18 XLEL64AZ</v>
      </c>
      <c r="E38" s="480" t="s">
        <v>396</v>
      </c>
      <c r="F38" s="481">
        <v>200</v>
      </c>
      <c r="G38" s="104">
        <f>INDEX('Tire Weight'!$D:$D,MATCH($C38&amp;"-"&amp;$E38,'Tire Weight'!$A:$A,0))</f>
        <v>11.557</v>
      </c>
      <c r="H38" s="90">
        <f t="shared" si="0"/>
        <v>2311.4</v>
      </c>
      <c r="I38" s="104">
        <f>INDEX('Tire Weight'!$E:$E,MATCH($C38&amp;"-"&amp;$E38,'Tire Weight'!$A:$A,0))</f>
        <v>5.13</v>
      </c>
      <c r="J38" s="90">
        <f t="shared" si="1"/>
        <v>1026</v>
      </c>
      <c r="K38" s="91"/>
      <c r="L38" s="34">
        <f>ROUND(VLOOKUP($C38,STD!$C:$AA,L$14,0),2)</f>
        <v>24.57</v>
      </c>
      <c r="M38" s="34">
        <f>ROUND(VLOOKUP($C38,STD!$C:$AA,M$14,0),2)</f>
        <v>6.42</v>
      </c>
      <c r="N38" s="34">
        <f>ROUND(VLOOKUP($C38,STD!$C:$AA,N$14,0),2)</f>
        <v>8.75</v>
      </c>
      <c r="O38" s="34">
        <f>ROUND(VLOOKUP($C38,STD!$C:$AA,O$14,0),2)-L38-M38-N38-P38</f>
        <v>8.0399999999999991</v>
      </c>
      <c r="P38" s="34">
        <f>ROUND(VLOOKUP($C38,STD!$C:$AA,P$14,0),2)</f>
        <v>0.71</v>
      </c>
      <c r="Q38" s="92">
        <f t="shared" si="79"/>
        <v>48.49</v>
      </c>
      <c r="R38" s="93">
        <f>ROUND(VLOOKUP($C38,STD!$C:$AA,R$14,0),2)-Q38</f>
        <v>0</v>
      </c>
      <c r="S38" s="91"/>
      <c r="T38" s="94">
        <f t="shared" si="80"/>
        <v>22.823335397858763</v>
      </c>
      <c r="U38" s="94">
        <f t="shared" ca="1" si="81"/>
        <v>6.6114873216342396</v>
      </c>
      <c r="V38" s="94">
        <f t="shared" ca="1" si="82"/>
        <v>9.3513509636550545</v>
      </c>
      <c r="W38" s="94">
        <f t="shared" ca="1" si="83"/>
        <v>5.8567058401269314</v>
      </c>
      <c r="X38" s="94">
        <f t="shared" ca="1" si="84"/>
        <v>0.79657081120069406</v>
      </c>
      <c r="Y38" s="95">
        <f t="shared" ca="1" si="85"/>
        <v>45.43945033447568</v>
      </c>
      <c r="Z38" s="153"/>
      <c r="AA38" s="79">
        <f t="shared" si="86"/>
        <v>-1.7466646021412373</v>
      </c>
      <c r="AB38" s="79">
        <f t="shared" ca="1" si="87"/>
        <v>0.19148732163423965</v>
      </c>
      <c r="AC38" s="79">
        <f t="shared" ca="1" si="88"/>
        <v>0.60135096365505447</v>
      </c>
      <c r="AD38" s="79">
        <f t="shared" ca="1" si="89"/>
        <v>-2.1832941598730677</v>
      </c>
      <c r="AE38" s="79">
        <f t="shared" ca="1" si="90"/>
        <v>8.6570811200694098E-2</v>
      </c>
      <c r="AF38" s="79">
        <f t="shared" ca="1" si="91"/>
        <v>-3.0505496655243221</v>
      </c>
      <c r="AH38" s="97">
        <f t="shared" si="92"/>
        <v>4914</v>
      </c>
      <c r="AI38" s="97">
        <f t="shared" si="93"/>
        <v>1284</v>
      </c>
      <c r="AJ38" s="97">
        <f t="shared" si="94"/>
        <v>1750</v>
      </c>
      <c r="AK38" s="97">
        <f t="shared" si="95"/>
        <v>1607.9999999999998</v>
      </c>
      <c r="AL38" s="97">
        <f t="shared" si="96"/>
        <v>142</v>
      </c>
      <c r="AM38" s="97">
        <f t="shared" si="97"/>
        <v>9698</v>
      </c>
      <c r="AN38" s="91"/>
      <c r="AO38" s="75">
        <f>SUMIFS('DM-Sum'!$M$6:$M$117,'DM-Sum'!$B$6:$B$117,$C38,'DM-Sum'!$C$6:$C$117, $E38)</f>
        <v>4564.6670795717528</v>
      </c>
      <c r="AP38" s="75">
        <f t="shared" ca="1" si="21"/>
        <v>1322.2974643268478</v>
      </c>
      <c r="AQ38" s="75">
        <f t="shared" ca="1" si="22"/>
        <v>1870.2701927310109</v>
      </c>
      <c r="AR38" s="75">
        <f t="shared" ca="1" si="23"/>
        <v>1171.3411680253862</v>
      </c>
      <c r="AS38" s="75">
        <f t="shared" ca="1" si="24"/>
        <v>159.31416224013881</v>
      </c>
      <c r="AT38" s="75">
        <f t="shared" ca="1" si="25"/>
        <v>9087.8900668951355</v>
      </c>
      <c r="AV38" s="98">
        <f t="shared" si="26"/>
        <v>-349.33292042824723</v>
      </c>
      <c r="AW38" s="98">
        <f t="shared" ca="1" si="27"/>
        <v>38.29746432684783</v>
      </c>
      <c r="AX38" s="98">
        <f t="shared" ca="1" si="28"/>
        <v>120.27019273101087</v>
      </c>
      <c r="AY38" s="98">
        <f t="shared" ca="1" si="29"/>
        <v>-436.65883197461358</v>
      </c>
      <c r="AZ38" s="98">
        <f t="shared" ca="1" si="30"/>
        <v>17.314162240138813</v>
      </c>
      <c r="BA38" s="98">
        <f t="shared" ca="1" si="31"/>
        <v>-610.10993310486447</v>
      </c>
      <c r="BB38" s="99"/>
      <c r="BC38" s="100"/>
      <c r="BD38" s="267">
        <f t="shared" si="98"/>
        <v>0.92891067960353124</v>
      </c>
      <c r="BE38" s="268">
        <f t="shared" ca="1" si="99"/>
        <v>1.02982668561281</v>
      </c>
      <c r="BF38" s="268">
        <f t="shared" ca="1" si="100"/>
        <v>1.0687258244177205</v>
      </c>
      <c r="BG38" s="268">
        <f t="shared" ca="1" si="101"/>
        <v>0.72844600001578752</v>
      </c>
      <c r="BH38" s="268">
        <f t="shared" ca="1" si="102"/>
        <v>0.94009237938027679</v>
      </c>
      <c r="BI38" s="268">
        <f t="shared" ca="1" si="103"/>
        <v>0.93708909743195867</v>
      </c>
      <c r="BK38" s="266" t="str">
        <f t="shared" si="104"/>
        <v>18</v>
      </c>
      <c r="BM38" s="269" t="s">
        <v>1602</v>
      </c>
      <c r="BN38" s="270" t="str">
        <f t="shared" si="105"/>
        <v>SCLZA</v>
      </c>
      <c r="BO38" s="270" t="str">
        <f>VLOOKUP($C38,STD!$C:$D,BO$17,0)</f>
        <v xml:space="preserve"> 235/40R18 EL64AZ</v>
      </c>
      <c r="BP38" s="270" t="str">
        <f>VLOOKUP($C38,STD!$C:$L,BP$17,0)</f>
        <v>SCLZA</v>
      </c>
      <c r="BQ38" s="270" t="b">
        <f t="shared" si="106"/>
        <v>0</v>
      </c>
      <c r="BR38" s="270" t="b">
        <f t="shared" si="39"/>
        <v>1</v>
      </c>
    </row>
    <row r="39" spans="2:70" s="96" customFormat="1" ht="15" customHeight="1">
      <c r="B39" s="89"/>
      <c r="C39" s="478" t="s">
        <v>297</v>
      </c>
      <c r="D39" s="479" t="str">
        <f t="shared" si="40"/>
        <v>084H 185/60 R15 EL64Z</v>
      </c>
      <c r="E39" s="480" t="s">
        <v>359</v>
      </c>
      <c r="F39" s="481">
        <v>216</v>
      </c>
      <c r="G39" s="104">
        <f>INDEX('Tire Weight'!$D:$D,MATCH($C39&amp;"-"&amp;$E39,'Tire Weight'!$A:$A,0))</f>
        <v>8.5120000000000005</v>
      </c>
      <c r="H39" s="90">
        <f t="shared" si="0"/>
        <v>1838.5920000000001</v>
      </c>
      <c r="I39" s="104">
        <f>INDEX('Tire Weight'!$E:$E,MATCH($C39&amp;"-"&amp;$E39,'Tire Weight'!$A:$A,0))</f>
        <v>4.0250000000000004</v>
      </c>
      <c r="J39" s="90">
        <f t="shared" si="1"/>
        <v>869.40000000000009</v>
      </c>
      <c r="K39" s="91"/>
      <c r="L39" s="34">
        <f>ROUND(VLOOKUP($C39,STD!$C:$AA,L$14,0),2)</f>
        <v>17.62</v>
      </c>
      <c r="M39" s="34">
        <f>ROUND(VLOOKUP($C39,STD!$C:$AA,M$14,0),2)</f>
        <v>5.17</v>
      </c>
      <c r="N39" s="34">
        <f>ROUND(VLOOKUP($C39,STD!$C:$AA,N$14,0),2)</f>
        <v>6.87</v>
      </c>
      <c r="O39" s="34">
        <f>ROUND(VLOOKUP($C39,STD!$C:$AA,O$14,0),2)-L39-M39-N39-P39</f>
        <v>6.2199999999999971</v>
      </c>
      <c r="P39" s="34">
        <f>ROUND(VLOOKUP($C39,STD!$C:$AA,P$14,0),2)</f>
        <v>0.52</v>
      </c>
      <c r="Q39" s="92">
        <f t="shared" si="79"/>
        <v>36.4</v>
      </c>
      <c r="R39" s="93">
        <f>ROUND(VLOOKUP($C39,STD!$C:$AA,R$14,0),2)-Q39</f>
        <v>0</v>
      </c>
      <c r="S39" s="91"/>
      <c r="T39" s="94">
        <f t="shared" si="80"/>
        <v>16.151596690198865</v>
      </c>
      <c r="U39" s="94">
        <f t="shared" ca="1" si="81"/>
        <v>5.3242039646182269</v>
      </c>
      <c r="V39" s="94">
        <f t="shared" ca="1" si="82"/>
        <v>7.342146413749739</v>
      </c>
      <c r="W39" s="94">
        <f t="shared" ca="1" si="83"/>
        <v>4.5309341200981965</v>
      </c>
      <c r="X39" s="94">
        <f t="shared" ca="1" si="84"/>
        <v>0.5834039744005084</v>
      </c>
      <c r="Y39" s="95">
        <f t="shared" ca="1" si="85"/>
        <v>33.932285163065536</v>
      </c>
      <c r="Z39" s="153"/>
      <c r="AA39" s="79">
        <f t="shared" si="86"/>
        <v>-1.4684033098011362</v>
      </c>
      <c r="AB39" s="79">
        <f t="shared" ca="1" si="87"/>
        <v>0.15420396461822694</v>
      </c>
      <c r="AC39" s="79">
        <f t="shared" ca="1" si="88"/>
        <v>0.47214641374973887</v>
      </c>
      <c r="AD39" s="79">
        <f t="shared" ca="1" si="89"/>
        <v>-1.6890658799018006</v>
      </c>
      <c r="AE39" s="79">
        <f t="shared" ca="1" si="90"/>
        <v>6.3403974400508378E-2</v>
      </c>
      <c r="AF39" s="79">
        <f t="shared" ca="1" si="91"/>
        <v>-2.4677148369344621</v>
      </c>
      <c r="AH39" s="97">
        <f t="shared" si="92"/>
        <v>3805.92</v>
      </c>
      <c r="AI39" s="97">
        <f t="shared" si="93"/>
        <v>1116.72</v>
      </c>
      <c r="AJ39" s="97">
        <f t="shared" si="94"/>
        <v>1483.92</v>
      </c>
      <c r="AK39" s="97">
        <f t="shared" si="95"/>
        <v>1343.5199999999993</v>
      </c>
      <c r="AL39" s="97">
        <f t="shared" si="96"/>
        <v>112.32000000000001</v>
      </c>
      <c r="AM39" s="97">
        <f t="shared" si="97"/>
        <v>7862.4</v>
      </c>
      <c r="AN39" s="91"/>
      <c r="AO39" s="75">
        <f>SUMIFS('DM-Sum'!$M$6:$M$117,'DM-Sum'!$B$6:$B$117,$C39,'DM-Sum'!$C$6:$C$117, $E39)</f>
        <v>3488.7448850829551</v>
      </c>
      <c r="AP39" s="75">
        <f t="shared" ca="1" si="21"/>
        <v>1150.028056357537</v>
      </c>
      <c r="AQ39" s="75">
        <f t="shared" ca="1" si="22"/>
        <v>1585.9036253699437</v>
      </c>
      <c r="AR39" s="75">
        <f t="shared" ca="1" si="23"/>
        <v>978.6817699412104</v>
      </c>
      <c r="AS39" s="75">
        <f t="shared" ca="1" si="24"/>
        <v>126.01525847050982</v>
      </c>
      <c r="AT39" s="75">
        <f t="shared" ca="1" si="25"/>
        <v>7329.3735952221568</v>
      </c>
      <c r="AV39" s="98">
        <f t="shared" si="26"/>
        <v>-317.17511491704499</v>
      </c>
      <c r="AW39" s="98">
        <f t="shared" ca="1" si="27"/>
        <v>33.308056357536998</v>
      </c>
      <c r="AX39" s="98">
        <f t="shared" ca="1" si="28"/>
        <v>101.98362536994364</v>
      </c>
      <c r="AY39" s="98">
        <f t="shared" ca="1" si="29"/>
        <v>-364.83823005878889</v>
      </c>
      <c r="AZ39" s="98">
        <f t="shared" ca="1" si="30"/>
        <v>13.695258470509813</v>
      </c>
      <c r="BA39" s="98">
        <f t="shared" ca="1" si="31"/>
        <v>-533.0264047778428</v>
      </c>
      <c r="BB39" s="99"/>
      <c r="BC39" s="100"/>
      <c r="BD39" s="267">
        <f t="shared" si="98"/>
        <v>0.91666269524397637</v>
      </c>
      <c r="BE39" s="268">
        <f t="shared" ca="1" si="99"/>
        <v>1.0298266856128098</v>
      </c>
      <c r="BF39" s="268">
        <f t="shared" ca="1" si="100"/>
        <v>1.0687258244177205</v>
      </c>
      <c r="BG39" s="268">
        <f t="shared" ca="1" si="101"/>
        <v>0.72844600001578752</v>
      </c>
      <c r="BH39" s="268">
        <f t="shared" ca="1" si="102"/>
        <v>0.94180090353045798</v>
      </c>
      <c r="BI39" s="268">
        <f t="shared" ca="1" si="103"/>
        <v>0.93220563634795428</v>
      </c>
      <c r="BK39" s="266" t="str">
        <f t="shared" si="104"/>
        <v>15</v>
      </c>
      <c r="BM39" s="269" t="s">
        <v>1603</v>
      </c>
      <c r="BN39" s="270" t="str">
        <f t="shared" si="105"/>
        <v>ZJFVA</v>
      </c>
      <c r="BO39" s="270" t="str">
        <f>VLOOKUP($C39,STD!$C:$D,BO$17,0)</f>
        <v>84H 185/60R15 EL64Z</v>
      </c>
      <c r="BP39" s="270" t="str">
        <f>VLOOKUP($C39,STD!$C:$L,BP$17,0)</f>
        <v>ZJFVA</v>
      </c>
      <c r="BQ39" s="270" t="b">
        <f t="shared" si="106"/>
        <v>1</v>
      </c>
      <c r="BR39" s="270" t="b">
        <f t="shared" si="39"/>
        <v>1</v>
      </c>
    </row>
    <row r="40" spans="2:70" s="96" customFormat="1" ht="15" customHeight="1">
      <c r="B40" s="89"/>
      <c r="C40" s="478" t="s">
        <v>298</v>
      </c>
      <c r="D40" s="479" t="str">
        <f t="shared" si="40"/>
        <v>088H 185/65 R15 EL64Z</v>
      </c>
      <c r="E40" s="480" t="s">
        <v>360</v>
      </c>
      <c r="F40" s="481">
        <v>532</v>
      </c>
      <c r="G40" s="104">
        <f>INDEX('Tire Weight'!$D:$D,MATCH($C40&amp;"-"&amp;$E40,'Tire Weight'!$A:$A,0))</f>
        <v>8.8089999999999993</v>
      </c>
      <c r="H40" s="90">
        <f t="shared" si="0"/>
        <v>4686.3879999999999</v>
      </c>
      <c r="I40" s="104">
        <f>INDEX('Tire Weight'!$E:$E,MATCH($C40&amp;"-"&amp;$E40,'Tire Weight'!$A:$A,0))</f>
        <v>4.1500000000000004</v>
      </c>
      <c r="J40" s="90">
        <f t="shared" si="1"/>
        <v>2207.8000000000002</v>
      </c>
      <c r="K40" s="91"/>
      <c r="L40" s="34">
        <f>ROUND(VLOOKUP($C40,STD!$C:$AA,L$14,0),2)</f>
        <v>18.36</v>
      </c>
      <c r="M40" s="34">
        <f>ROUND(VLOOKUP($C40,STD!$C:$AA,M$14,0),2)</f>
        <v>5.25</v>
      </c>
      <c r="N40" s="34">
        <f>ROUND(VLOOKUP($C40,STD!$C:$AA,N$14,0),2)</f>
        <v>6.91</v>
      </c>
      <c r="O40" s="34">
        <f>ROUND(VLOOKUP($C40,STD!$C:$AA,O$14,0),2)-L40-M40-N40-P40</f>
        <v>6.2800000000000038</v>
      </c>
      <c r="P40" s="34">
        <f>ROUND(VLOOKUP($C40,STD!$C:$AA,P$14,0),2)</f>
        <v>0.54</v>
      </c>
      <c r="Q40" s="92">
        <f t="shared" si="79"/>
        <v>37.340000000000003</v>
      </c>
      <c r="R40" s="93">
        <f>ROUND(VLOOKUP($C40,STD!$C:$AA,R$14,0),2)-Q40</f>
        <v>0</v>
      </c>
      <c r="S40" s="91"/>
      <c r="T40" s="94">
        <f t="shared" si="80"/>
        <v>16.66847459995023</v>
      </c>
      <c r="U40" s="94">
        <f t="shared" ca="1" si="81"/>
        <v>5.4065900994672518</v>
      </c>
      <c r="V40" s="94">
        <f t="shared" ca="1" si="82"/>
        <v>7.3848954467264472</v>
      </c>
      <c r="W40" s="94">
        <f t="shared" ca="1" si="83"/>
        <v>4.5746408800991487</v>
      </c>
      <c r="X40" s="94">
        <f t="shared" ca="1" si="84"/>
        <v>0.60584258880052799</v>
      </c>
      <c r="Y40" s="95">
        <f t="shared" ca="1" si="85"/>
        <v>34.640443615043601</v>
      </c>
      <c r="Z40" s="153"/>
      <c r="AA40" s="79">
        <f t="shared" si="86"/>
        <v>-1.6915254000497697</v>
      </c>
      <c r="AB40" s="79">
        <f t="shared" ca="1" si="87"/>
        <v>0.15659009946725178</v>
      </c>
      <c r="AC40" s="79">
        <f t="shared" ca="1" si="88"/>
        <v>0.47489544672644701</v>
      </c>
      <c r="AD40" s="79">
        <f t="shared" ca="1" si="89"/>
        <v>-1.7053591199008551</v>
      </c>
      <c r="AE40" s="79">
        <f t="shared" ca="1" si="90"/>
        <v>6.5842588800527957E-2</v>
      </c>
      <c r="AF40" s="79">
        <f t="shared" ca="1" si="91"/>
        <v>-2.6995563849564022</v>
      </c>
      <c r="AH40" s="97">
        <f t="shared" si="92"/>
        <v>9767.52</v>
      </c>
      <c r="AI40" s="97">
        <f t="shared" si="93"/>
        <v>2793</v>
      </c>
      <c r="AJ40" s="97">
        <f t="shared" si="94"/>
        <v>3676.12</v>
      </c>
      <c r="AK40" s="97">
        <f t="shared" si="95"/>
        <v>3340.9600000000019</v>
      </c>
      <c r="AL40" s="97">
        <f t="shared" si="96"/>
        <v>287.28000000000003</v>
      </c>
      <c r="AM40" s="97">
        <f t="shared" si="97"/>
        <v>19864.88</v>
      </c>
      <c r="AN40" s="91"/>
      <c r="AO40" s="75">
        <f>SUMIFS('DM-Sum'!$M$6:$M$117,'DM-Sum'!$B$6:$B$117,$C40,'DM-Sum'!$C$6:$C$117, $E40)</f>
        <v>8867.6284871735224</v>
      </c>
      <c r="AP40" s="75">
        <f t="shared" ca="1" si="21"/>
        <v>2876.3059329165781</v>
      </c>
      <c r="AQ40" s="75">
        <f t="shared" ca="1" si="22"/>
        <v>3928.76437765847</v>
      </c>
      <c r="AR40" s="75">
        <f t="shared" ca="1" si="23"/>
        <v>2433.7089482127471</v>
      </c>
      <c r="AS40" s="75">
        <f t="shared" ca="1" si="24"/>
        <v>322.30825724188088</v>
      </c>
      <c r="AT40" s="75">
        <f t="shared" ca="1" si="25"/>
        <v>18428.716003203201</v>
      </c>
      <c r="AV40" s="98">
        <f t="shared" si="26"/>
        <v>-899.89151282647799</v>
      </c>
      <c r="AW40" s="98">
        <f t="shared" ca="1" si="27"/>
        <v>83.305932916578058</v>
      </c>
      <c r="AX40" s="98">
        <f t="shared" ca="1" si="28"/>
        <v>252.64437765847015</v>
      </c>
      <c r="AY40" s="98">
        <f t="shared" ca="1" si="29"/>
        <v>-907.25105178725471</v>
      </c>
      <c r="AZ40" s="98">
        <f t="shared" ca="1" si="30"/>
        <v>35.028257241880851</v>
      </c>
      <c r="BA40" s="98">
        <f t="shared" ca="1" si="31"/>
        <v>-1436.1639967968003</v>
      </c>
      <c r="BB40" s="99"/>
      <c r="BC40" s="100"/>
      <c r="BD40" s="267">
        <f t="shared" si="98"/>
        <v>0.90786898692539375</v>
      </c>
      <c r="BE40" s="268">
        <f t="shared" ca="1" si="99"/>
        <v>1.0298266856128098</v>
      </c>
      <c r="BF40" s="268">
        <f t="shared" ca="1" si="100"/>
        <v>1.0687258244177202</v>
      </c>
      <c r="BG40" s="268">
        <f t="shared" ca="1" si="101"/>
        <v>0.72844600001578752</v>
      </c>
      <c r="BH40" s="268">
        <f t="shared" ca="1" si="102"/>
        <v>0.94176390598117365</v>
      </c>
      <c r="BI40" s="268">
        <f t="shared" ca="1" si="103"/>
        <v>0.92770336408793785</v>
      </c>
      <c r="BK40" s="266" t="str">
        <f t="shared" si="104"/>
        <v>15</v>
      </c>
      <c r="BM40" s="269" t="s">
        <v>1604</v>
      </c>
      <c r="BN40" s="270" t="str">
        <f t="shared" si="105"/>
        <v>QWAVA</v>
      </c>
      <c r="BO40" s="270" t="str">
        <f>VLOOKUP($C40,STD!$C:$D,BO$17,0)</f>
        <v>88H 185/65R15 EL64Z</v>
      </c>
      <c r="BP40" s="270" t="str">
        <f>VLOOKUP($C40,STD!$C:$L,BP$17,0)</f>
        <v>QWAVA</v>
      </c>
      <c r="BQ40" s="270" t="b">
        <f t="shared" si="106"/>
        <v>1</v>
      </c>
      <c r="BR40" s="270" t="b">
        <f t="shared" si="39"/>
        <v>1</v>
      </c>
    </row>
    <row r="41" spans="2:70" s="96" customFormat="1" ht="15" customHeight="1">
      <c r="B41" s="89"/>
      <c r="C41" s="478" t="s">
        <v>300</v>
      </c>
      <c r="D41" s="479" t="str">
        <f t="shared" ref="D41:D75" si="107">TRIM(BM41)</f>
        <v>091W 215/45 R17 EL64AZ</v>
      </c>
      <c r="E41" s="480" t="s">
        <v>397</v>
      </c>
      <c r="F41" s="481">
        <v>323</v>
      </c>
      <c r="G41" s="104">
        <f>INDEX('Tire Weight'!$D:$D,MATCH($C41&amp;"-"&amp;$E41,'Tire Weight'!$A:$A,0))</f>
        <v>10.209</v>
      </c>
      <c r="H41" s="90">
        <f t="shared" ref="H41:H75" si="108">F41*G41</f>
        <v>3297.5070000000001</v>
      </c>
      <c r="I41" s="104">
        <f>INDEX('Tire Weight'!$E:$E,MATCH($C41&amp;"-"&amp;$E41,'Tire Weight'!$A:$A,0))</f>
        <v>4.5789999999999997</v>
      </c>
      <c r="J41" s="90">
        <f t="shared" ref="J41:J75" si="109">F41*I41</f>
        <v>1479.0169999999998</v>
      </c>
      <c r="K41" s="91"/>
      <c r="L41" s="34">
        <f>ROUND(VLOOKUP($C41,STD!$C:$AA,L$14,0),2)</f>
        <v>21.76</v>
      </c>
      <c r="M41" s="34">
        <f>ROUND(VLOOKUP($C41,STD!$C:$AA,M$14,0),2)</f>
        <v>6</v>
      </c>
      <c r="N41" s="34">
        <f>ROUND(VLOOKUP($C41,STD!$C:$AA,N$14,0),2)</f>
        <v>8.06</v>
      </c>
      <c r="O41" s="34">
        <f>ROUND(VLOOKUP($C41,STD!$C:$AA,O$14,0),2)-L41-M41-N41-P41</f>
        <v>7.3199999999999958</v>
      </c>
      <c r="P41" s="34">
        <f>ROUND(VLOOKUP($C41,STD!$C:$AA,P$14,0),2)</f>
        <v>0.62</v>
      </c>
      <c r="Q41" s="92">
        <f t="shared" ref="Q41:Q75" si="110">SUM(L41:P41)</f>
        <v>43.759999999999991</v>
      </c>
      <c r="R41" s="93">
        <f>ROUND(VLOOKUP($C41,STD!$C:$AA,R$14,0),2)-Q41</f>
        <v>0</v>
      </c>
      <c r="S41" s="91"/>
      <c r="T41" s="94">
        <f t="shared" ref="T41:T75" si="111">AO41/F41</f>
        <v>20.004993317056115</v>
      </c>
      <c r="U41" s="94">
        <f t="shared" ref="U41:U75" ca="1" si="112">AP41/F41</f>
        <v>6.178960113676859</v>
      </c>
      <c r="V41" s="94">
        <f t="shared" ref="V41:V75" ca="1" si="113">AQ41/F41</f>
        <v>8.6139301448068277</v>
      </c>
      <c r="W41" s="94">
        <f t="shared" ref="W41:W75" ca="1" si="114">AR41/F41</f>
        <v>5.3322247201155628</v>
      </c>
      <c r="X41" s="94">
        <f t="shared" ref="X41:X75" ca="1" si="115">AS41/F41</f>
        <v>0.69559704640060604</v>
      </c>
      <c r="Y41" s="95">
        <f t="shared" ref="Y41:Y75" ca="1" si="116">SUM(T41:X41)</f>
        <v>40.825705342055969</v>
      </c>
      <c r="Z41" s="153"/>
      <c r="AA41" s="79">
        <f t="shared" ref="AA41:AA75" si="117">T41-L41</f>
        <v>-1.7550066829438862</v>
      </c>
      <c r="AB41" s="79">
        <f t="shared" ref="AB41:AB75" ca="1" si="118">U41-M41</f>
        <v>0.17896011367685905</v>
      </c>
      <c r="AC41" s="79">
        <f t="shared" ref="AC41:AC75" ca="1" si="119">V41-N41</f>
        <v>0.55393014480682723</v>
      </c>
      <c r="AD41" s="79">
        <f t="shared" ref="AD41:AD75" ca="1" si="120">W41-O41</f>
        <v>-1.987775279884433</v>
      </c>
      <c r="AE41" s="79">
        <f t="shared" ref="AE41:AE75" ca="1" si="121">X41-P41</f>
        <v>7.5597046400606049E-2</v>
      </c>
      <c r="AF41" s="79">
        <f t="shared" ref="AF41:AF75" ca="1" si="122">Y41-Q41</f>
        <v>-2.9342946579440223</v>
      </c>
      <c r="AH41" s="97">
        <f t="shared" ref="AH41:AH75" si="123">$F41*L41</f>
        <v>7028.4800000000005</v>
      </c>
      <c r="AI41" s="97">
        <f t="shared" ref="AI41:AI75" si="124">$F41*M41</f>
        <v>1938</v>
      </c>
      <c r="AJ41" s="97">
        <f t="shared" ref="AJ41:AJ75" si="125">$F41*N41</f>
        <v>2603.38</v>
      </c>
      <c r="AK41" s="97">
        <f t="shared" ref="AK41:AK75" si="126">$F41*O41</f>
        <v>2364.3599999999988</v>
      </c>
      <c r="AL41" s="97">
        <f t="shared" ref="AL41:AL75" si="127">$F41*P41</f>
        <v>200.26</v>
      </c>
      <c r="AM41" s="97">
        <f t="shared" ref="AM41:AM75" si="128">SUM(AH41:AL41)</f>
        <v>14134.48</v>
      </c>
      <c r="AN41" s="91"/>
      <c r="AO41" s="75">
        <f>SUMIFS('DM-Sum'!$M$6:$M$117,'DM-Sum'!$B$6:$B$117,$C41,'DM-Sum'!$C$6:$C$117, $E41)</f>
        <v>6461.6128414091254</v>
      </c>
      <c r="AP41" s="75">
        <f t="shared" ca="1" si="21"/>
        <v>1995.8041167176254</v>
      </c>
      <c r="AQ41" s="75">
        <f t="shared" ca="1" si="22"/>
        <v>2782.2994367726051</v>
      </c>
      <c r="AR41" s="75">
        <f t="shared" ca="1" si="23"/>
        <v>1722.3085845973267</v>
      </c>
      <c r="AS41" s="75">
        <f t="shared" ca="1" si="24"/>
        <v>224.67784598739576</v>
      </c>
      <c r="AT41" s="75">
        <f t="shared" ref="AT41:AT75" ca="1" si="129">SUM(AO41:AS41)</f>
        <v>13186.702825484077</v>
      </c>
      <c r="AV41" s="98">
        <f t="shared" ref="AV41:AV75" si="130">AO41-AH41</f>
        <v>-566.86715859087508</v>
      </c>
      <c r="AW41" s="98">
        <f t="shared" ref="AW41:AW75" ca="1" si="131">AP41-AI41</f>
        <v>57.804116717625448</v>
      </c>
      <c r="AX41" s="98">
        <f t="shared" ref="AX41:AX75" ca="1" si="132">AQ41-AJ41</f>
        <v>178.91943677260497</v>
      </c>
      <c r="AY41" s="98">
        <f t="shared" ref="AY41:AY75" ca="1" si="133">AR41-AK41</f>
        <v>-642.05141540267209</v>
      </c>
      <c r="AZ41" s="98">
        <f t="shared" ref="AZ41:AZ75" ca="1" si="134">AS41-AL41</f>
        <v>24.417845987395765</v>
      </c>
      <c r="BA41" s="98">
        <f t="shared" ref="BA41:BA75" ca="1" si="135">AT41-AM41</f>
        <v>-947.77717451592252</v>
      </c>
      <c r="BB41" s="99"/>
      <c r="BC41" s="100"/>
      <c r="BD41" s="267">
        <f t="shared" ref="BD41:BD75" si="136">+T41/L41</f>
        <v>0.91934711935000524</v>
      </c>
      <c r="BE41" s="268">
        <f t="shared" ref="BE41:BE75" ca="1" si="137">+U41/M41</f>
        <v>1.0298266856128098</v>
      </c>
      <c r="BF41" s="268">
        <f t="shared" ref="BF41:BF75" ca="1" si="138">+V41/N41</f>
        <v>1.0687258244177205</v>
      </c>
      <c r="BG41" s="268">
        <f t="shared" ref="BG41:BG75" ca="1" si="139">+W41/O41</f>
        <v>0.72844600001578763</v>
      </c>
      <c r="BH41" s="268">
        <f t="shared" ref="BH41:BH75" ca="1" si="140">+SUM(U41:W41)/SUM(M41:O41)</f>
        <v>0.9413056584938847</v>
      </c>
      <c r="BI41" s="268">
        <f t="shared" ref="BI41:BI75" ca="1" si="141">+Y41/Q41</f>
        <v>0.9329457345076777</v>
      </c>
      <c r="BK41" s="266" t="str">
        <f t="shared" ref="BK41:BK75" si="142">MID(D41,SEARCH("R",D41)+1,2)</f>
        <v>17</v>
      </c>
      <c r="BM41" s="269" t="s">
        <v>1605</v>
      </c>
      <c r="BN41" s="270" t="str">
        <f t="shared" ref="BN41:BN75" si="143">E41</f>
        <v>JXKVA</v>
      </c>
      <c r="BO41" s="270" t="str">
        <f>VLOOKUP($C41,STD!$C:$D,BO$17,0)</f>
        <v>91W 215/45R17 EL64AZ</v>
      </c>
      <c r="BP41" s="270" t="str">
        <f>VLOOKUP($C41,STD!$C:$L,BP$17,0)</f>
        <v>JXKVA</v>
      </c>
      <c r="BQ41" s="270" t="b">
        <f t="shared" ref="BQ41:BQ75" si="144">IF(AND(LEFT(BM41,1)="0",LEFT(BO41,1)&lt;&gt;"0"), SUBSTITUTE(BM41," ","")=SUBSTITUTE("0" &amp; BO41," ",""), SUBSTITUTE(BM41," ","")=SUBSTITUTE(BO41," ",""))</f>
        <v>1</v>
      </c>
      <c r="BR41" s="270" t="b">
        <f t="shared" ref="BR41:BR75" si="145">BN41=BP41</f>
        <v>1</v>
      </c>
    </row>
    <row r="42" spans="2:70" s="96" customFormat="1" ht="15" customHeight="1">
      <c r="B42" s="89"/>
      <c r="C42" s="478" t="s">
        <v>301</v>
      </c>
      <c r="D42" s="479" t="str">
        <f t="shared" si="107"/>
        <v>092W 225/40 R18 EL64AZ</v>
      </c>
      <c r="E42" s="480" t="s">
        <v>398</v>
      </c>
      <c r="F42" s="481">
        <v>303</v>
      </c>
      <c r="G42" s="104">
        <f>INDEX('Tire Weight'!$D:$D,MATCH($C42&amp;"-"&amp;$E42,'Tire Weight'!$A:$A,0))</f>
        <v>10.753</v>
      </c>
      <c r="H42" s="90">
        <f t="shared" si="108"/>
        <v>3258.1590000000001</v>
      </c>
      <c r="I42" s="104">
        <f>INDEX('Tire Weight'!$E:$E,MATCH($C42&amp;"-"&amp;$E42,'Tire Weight'!$A:$A,0))</f>
        <v>4.7539999999999996</v>
      </c>
      <c r="J42" s="90">
        <f t="shared" si="109"/>
        <v>1440.4619999999998</v>
      </c>
      <c r="K42" s="91"/>
      <c r="L42" s="34">
        <f>ROUND(VLOOKUP($C42,STD!$C:$AA,L$14,0),2)</f>
        <v>22.91</v>
      </c>
      <c r="M42" s="34">
        <f>ROUND(VLOOKUP($C42,STD!$C:$AA,M$14,0),2)</f>
        <v>6.15</v>
      </c>
      <c r="N42" s="34">
        <f>ROUND(VLOOKUP($C42,STD!$C:$AA,N$14,0),2)</f>
        <v>8.14</v>
      </c>
      <c r="O42" s="34">
        <f>ROUND(VLOOKUP($C42,STD!$C:$AA,O$14,0),2)-L42-M42-N42-P42</f>
        <v>7.41</v>
      </c>
      <c r="P42" s="34">
        <f>ROUND(VLOOKUP($C42,STD!$C:$AA,P$14,0),2)</f>
        <v>0.66</v>
      </c>
      <c r="Q42" s="92">
        <f t="shared" si="110"/>
        <v>45.269999999999996</v>
      </c>
      <c r="R42" s="93">
        <f>ROUND(VLOOKUP($C42,STD!$C:$AA,R$14,0),2)-Q42</f>
        <v>0</v>
      </c>
      <c r="S42" s="91"/>
      <c r="T42" s="94">
        <f t="shared" si="111"/>
        <v>21.146783723601764</v>
      </c>
      <c r="U42" s="94">
        <f t="shared" ca="1" si="112"/>
        <v>6.3334341165187817</v>
      </c>
      <c r="V42" s="94">
        <f t="shared" ca="1" si="113"/>
        <v>8.6994282107602441</v>
      </c>
      <c r="W42" s="94">
        <f t="shared" ca="1" si="114"/>
        <v>5.3977848601169853</v>
      </c>
      <c r="X42" s="94">
        <f t="shared" ca="1" si="115"/>
        <v>0.74047427520064535</v>
      </c>
      <c r="Y42" s="95">
        <f t="shared" ca="1" si="116"/>
        <v>42.317905186198423</v>
      </c>
      <c r="Z42" s="153"/>
      <c r="AA42" s="79">
        <f t="shared" si="117"/>
        <v>-1.7632162763982357</v>
      </c>
      <c r="AB42" s="79">
        <f t="shared" ca="1" si="118"/>
        <v>0.18343411651878139</v>
      </c>
      <c r="AC42" s="79">
        <f t="shared" ca="1" si="119"/>
        <v>0.55942821076024352</v>
      </c>
      <c r="AD42" s="79">
        <f t="shared" ca="1" si="120"/>
        <v>-2.0122151398830148</v>
      </c>
      <c r="AE42" s="79">
        <f t="shared" ca="1" si="121"/>
        <v>8.0474275200645318E-2</v>
      </c>
      <c r="AF42" s="79">
        <f t="shared" ca="1" si="122"/>
        <v>-2.9520948138015726</v>
      </c>
      <c r="AH42" s="97">
        <f t="shared" si="123"/>
        <v>6941.7300000000005</v>
      </c>
      <c r="AI42" s="97">
        <f t="shared" si="124"/>
        <v>1863.45</v>
      </c>
      <c r="AJ42" s="97">
        <f t="shared" si="125"/>
        <v>2466.42</v>
      </c>
      <c r="AK42" s="97">
        <f t="shared" si="126"/>
        <v>2245.23</v>
      </c>
      <c r="AL42" s="97">
        <f t="shared" si="127"/>
        <v>199.98000000000002</v>
      </c>
      <c r="AM42" s="97">
        <f t="shared" si="128"/>
        <v>13716.81</v>
      </c>
      <c r="AN42" s="91"/>
      <c r="AO42" s="75">
        <f>SUMIFS('DM-Sum'!$M$6:$M$117,'DM-Sum'!$B$6:$B$117,$C42,'DM-Sum'!$C$6:$C$117, $E42)</f>
        <v>6407.4754682513349</v>
      </c>
      <c r="AP42" s="75">
        <f t="shared" ca="1" si="21"/>
        <v>1919.0305373051908</v>
      </c>
      <c r="AQ42" s="75">
        <f t="shared" ca="1" si="22"/>
        <v>2635.9267478603538</v>
      </c>
      <c r="AR42" s="75">
        <f t="shared" ca="1" si="23"/>
        <v>1635.5288126154467</v>
      </c>
      <c r="AS42" s="75">
        <f t="shared" ca="1" si="24"/>
        <v>224.36370538579553</v>
      </c>
      <c r="AT42" s="75">
        <f t="shared" ca="1" si="129"/>
        <v>12822.325271418122</v>
      </c>
      <c r="AV42" s="98">
        <f t="shared" si="130"/>
        <v>-534.25453174866561</v>
      </c>
      <c r="AW42" s="98">
        <f t="shared" ca="1" si="131"/>
        <v>55.580537305190774</v>
      </c>
      <c r="AX42" s="98">
        <f t="shared" ca="1" si="132"/>
        <v>169.5067478603537</v>
      </c>
      <c r="AY42" s="98">
        <f t="shared" ca="1" si="133"/>
        <v>-609.70118738455335</v>
      </c>
      <c r="AZ42" s="98">
        <f t="shared" ca="1" si="134"/>
        <v>24.383705385795508</v>
      </c>
      <c r="BA42" s="98">
        <f t="shared" ca="1" si="135"/>
        <v>-894.48472858187779</v>
      </c>
      <c r="BB42" s="99"/>
      <c r="BC42" s="100"/>
      <c r="BD42" s="267">
        <f t="shared" si="136"/>
        <v>0.92303726423403598</v>
      </c>
      <c r="BE42" s="268">
        <f t="shared" ca="1" si="137"/>
        <v>1.02982668561281</v>
      </c>
      <c r="BF42" s="268">
        <f t="shared" ca="1" si="138"/>
        <v>1.0687258244177202</v>
      </c>
      <c r="BG42" s="268">
        <f t="shared" ca="1" si="139"/>
        <v>0.72844600001578752</v>
      </c>
      <c r="BH42" s="268">
        <f t="shared" ca="1" si="140"/>
        <v>0.94150447868184373</v>
      </c>
      <c r="BI42" s="268">
        <f t="shared" ca="1" si="141"/>
        <v>0.93478915807816276</v>
      </c>
      <c r="BK42" s="266" t="str">
        <f t="shared" si="142"/>
        <v>18</v>
      </c>
      <c r="BM42" s="269" t="s">
        <v>1606</v>
      </c>
      <c r="BN42" s="270" t="str">
        <f t="shared" si="143"/>
        <v>GJDZA</v>
      </c>
      <c r="BO42" s="270" t="str">
        <f>VLOOKUP($C42,STD!$C:$D,BO$17,0)</f>
        <v>92W 225/40R18 EL64AZ</v>
      </c>
      <c r="BP42" s="270" t="str">
        <f>VLOOKUP($C42,STD!$C:$L,BP$17,0)</f>
        <v>GJDZA</v>
      </c>
      <c r="BQ42" s="270" t="b">
        <f t="shared" si="144"/>
        <v>1</v>
      </c>
      <c r="BR42" s="270" t="b">
        <f t="shared" si="145"/>
        <v>1</v>
      </c>
    </row>
    <row r="43" spans="2:70" s="96" customFormat="1" ht="15" customHeight="1">
      <c r="B43" s="89"/>
      <c r="C43" s="478" t="s">
        <v>180</v>
      </c>
      <c r="D43" s="479" t="str">
        <f t="shared" si="107"/>
        <v>099V 225/60 R17 DTH1AZ</v>
      </c>
      <c r="E43" s="480" t="s">
        <v>954</v>
      </c>
      <c r="F43" s="481">
        <v>254</v>
      </c>
      <c r="G43" s="104">
        <f>INDEX('Tire Weight'!$D:$D,MATCH($C43&amp;"-"&amp;$E43,'Tire Weight'!$A:$A,0))</f>
        <v>11.471</v>
      </c>
      <c r="H43" s="90">
        <f t="shared" si="108"/>
        <v>2913.634</v>
      </c>
      <c r="I43" s="104">
        <f>INDEX('Tire Weight'!$E:$E,MATCH($C43&amp;"-"&amp;$E43,'Tire Weight'!$A:$A,0))</f>
        <v>5.3120000000000003</v>
      </c>
      <c r="J43" s="90">
        <f t="shared" si="109"/>
        <v>1349.248</v>
      </c>
      <c r="K43" s="91"/>
      <c r="L43" s="34">
        <f>ROUND(VLOOKUP($C43,STD!$C:$AA,L$14,0),2)</f>
        <v>22.47</v>
      </c>
      <c r="M43" s="34">
        <f>ROUND(VLOOKUP($C43,STD!$C:$AA,M$14,0),2)</f>
        <v>6.41</v>
      </c>
      <c r="N43" s="34">
        <f>ROUND(VLOOKUP($C43,STD!$C:$AA,N$14,0),2)</f>
        <v>8.39</v>
      </c>
      <c r="O43" s="34">
        <f>ROUND(VLOOKUP($C43,STD!$C:$AA,O$14,0),2)-L43-M43-N43-P43</f>
        <v>7.7399999999999975</v>
      </c>
      <c r="P43" s="34">
        <f>ROUND(VLOOKUP($C43,STD!$C:$AA,P$14,0),2)</f>
        <v>0.72</v>
      </c>
      <c r="Q43" s="92">
        <f t="shared" si="110"/>
        <v>45.72999999999999</v>
      </c>
      <c r="R43" s="93">
        <f>ROUND(VLOOKUP($C43,STD!$C:$AA,R$14,0),2)-Q43</f>
        <v>0</v>
      </c>
      <c r="S43" s="91"/>
      <c r="T43" s="94">
        <f t="shared" si="111"/>
        <v>20.928632540955412</v>
      </c>
      <c r="U43" s="94">
        <f t="shared" ca="1" si="112"/>
        <v>6.6011890547781125</v>
      </c>
      <c r="V43" s="94">
        <f t="shared" ca="1" si="113"/>
        <v>8.9666096668646755</v>
      </c>
      <c r="W43" s="94">
        <f t="shared" ca="1" si="114"/>
        <v>5.6381720401221935</v>
      </c>
      <c r="X43" s="94">
        <f t="shared" ca="1" si="115"/>
        <v>0.8077901184007038</v>
      </c>
      <c r="Y43" s="95">
        <f t="shared" ca="1" si="116"/>
        <v>42.942393421121096</v>
      </c>
      <c r="Z43" s="153"/>
      <c r="AA43" s="79">
        <f t="shared" si="117"/>
        <v>-1.5413674590445865</v>
      </c>
      <c r="AB43" s="79">
        <f t="shared" ca="1" si="118"/>
        <v>0.19118905477811232</v>
      </c>
      <c r="AC43" s="79">
        <f t="shared" ca="1" si="119"/>
        <v>0.57660966686467496</v>
      </c>
      <c r="AD43" s="79">
        <f t="shared" ca="1" si="120"/>
        <v>-2.101827959877804</v>
      </c>
      <c r="AE43" s="79">
        <f t="shared" ca="1" si="121"/>
        <v>8.7790118400703832E-2</v>
      </c>
      <c r="AF43" s="79">
        <f t="shared" ca="1" si="122"/>
        <v>-2.7876065788788935</v>
      </c>
      <c r="AH43" s="97">
        <f t="shared" si="123"/>
        <v>5707.38</v>
      </c>
      <c r="AI43" s="97">
        <f t="shared" si="124"/>
        <v>1628.14</v>
      </c>
      <c r="AJ43" s="97">
        <f t="shared" si="125"/>
        <v>2131.06</v>
      </c>
      <c r="AK43" s="97">
        <f t="shared" si="126"/>
        <v>1965.9599999999994</v>
      </c>
      <c r="AL43" s="97">
        <f t="shared" si="127"/>
        <v>182.88</v>
      </c>
      <c r="AM43" s="97">
        <f t="shared" si="128"/>
        <v>11615.419999999998</v>
      </c>
      <c r="AN43" s="91"/>
      <c r="AO43" s="75">
        <f>SUMIFS('DM-Sum'!$M$6:$M$117,'DM-Sum'!$B$6:$B$117,$C43,'DM-Sum'!$C$6:$C$117, $E43)</f>
        <v>5315.872665402675</v>
      </c>
      <c r="AP43" s="75">
        <f t="shared" ca="1" si="21"/>
        <v>1676.7020199136405</v>
      </c>
      <c r="AQ43" s="75">
        <f t="shared" ca="1" si="22"/>
        <v>2277.5188553836274</v>
      </c>
      <c r="AR43" s="75">
        <f t="shared" ca="1" si="23"/>
        <v>1432.0956981910372</v>
      </c>
      <c r="AS43" s="75">
        <f t="shared" ca="1" si="24"/>
        <v>205.17869007377877</v>
      </c>
      <c r="AT43" s="75">
        <f t="shared" ca="1" si="129"/>
        <v>10907.367928964759</v>
      </c>
      <c r="AV43" s="98">
        <f t="shared" si="130"/>
        <v>-391.5073345973251</v>
      </c>
      <c r="AW43" s="98">
        <f t="shared" ca="1" si="131"/>
        <v>48.56201991364037</v>
      </c>
      <c r="AX43" s="98">
        <f t="shared" ca="1" si="132"/>
        <v>146.45885538362745</v>
      </c>
      <c r="AY43" s="98">
        <f t="shared" ca="1" si="133"/>
        <v>-533.86430180896218</v>
      </c>
      <c r="AZ43" s="98">
        <f t="shared" ca="1" si="134"/>
        <v>22.298690073778772</v>
      </c>
      <c r="BA43" s="98">
        <f t="shared" ca="1" si="135"/>
        <v>-708.05207103523935</v>
      </c>
      <c r="BB43" s="99"/>
      <c r="BC43" s="100"/>
      <c r="BD43" s="267">
        <f t="shared" si="136"/>
        <v>0.931403317354491</v>
      </c>
      <c r="BE43" s="268">
        <f t="shared" ca="1" si="137"/>
        <v>1.02982668561281</v>
      </c>
      <c r="BF43" s="268">
        <f t="shared" ca="1" si="138"/>
        <v>1.0687258244177205</v>
      </c>
      <c r="BG43" s="268">
        <f t="shared" ca="1" si="139"/>
        <v>0.72844600001578752</v>
      </c>
      <c r="BH43" s="268">
        <f t="shared" ca="1" si="140"/>
        <v>0.94081502935958217</v>
      </c>
      <c r="BI43" s="268">
        <f t="shared" ca="1" si="141"/>
        <v>0.93904206037876903</v>
      </c>
      <c r="BK43" s="266" t="str">
        <f t="shared" si="142"/>
        <v>17</v>
      </c>
      <c r="BM43" s="269" t="s">
        <v>1607</v>
      </c>
      <c r="BN43" s="270" t="str">
        <f t="shared" si="143"/>
        <v>7HGMA</v>
      </c>
      <c r="BO43" s="270" t="str">
        <f>VLOOKUP($C43,STD!$C:$D,BO$17,0)</f>
        <v>99V 225/60R17 DTH1AZ</v>
      </c>
      <c r="BP43" s="270" t="str">
        <f>VLOOKUP($C43,STD!$C:$L,BP$17,0)</f>
        <v>7HGMA</v>
      </c>
      <c r="BQ43" s="270" t="b">
        <f t="shared" si="144"/>
        <v>1</v>
      </c>
      <c r="BR43" s="270" t="b">
        <f t="shared" si="145"/>
        <v>1</v>
      </c>
    </row>
    <row r="44" spans="2:70" s="96" customFormat="1" ht="15" customHeight="1">
      <c r="B44" s="245"/>
      <c r="C44" s="482" t="s">
        <v>302</v>
      </c>
      <c r="D44" s="479" t="str">
        <f t="shared" si="107"/>
        <v>084H 175/65 R15 EL64Z</v>
      </c>
      <c r="E44" s="483" t="s">
        <v>399</v>
      </c>
      <c r="F44" s="484">
        <v>762</v>
      </c>
      <c r="G44" s="104">
        <f>INDEX('Tire Weight'!$D:$D,MATCH($C44&amp;"-"&amp;$E44,'Tire Weight'!$A:$A,0))</f>
        <v>8.5340000000000007</v>
      </c>
      <c r="H44" s="90">
        <f t="shared" si="108"/>
        <v>6502.9080000000004</v>
      </c>
      <c r="I44" s="104">
        <f>INDEX('Tire Weight'!$E:$E,MATCH($C44&amp;"-"&amp;$E44,'Tire Weight'!$A:$A,0))</f>
        <v>4.0190000000000001</v>
      </c>
      <c r="J44" s="90">
        <f t="shared" si="109"/>
        <v>3062.4780000000001</v>
      </c>
      <c r="K44" s="91"/>
      <c r="L44" s="34">
        <f>ROUND(VLOOKUP($C44,STD!$C:$AA,L$14,0),2)</f>
        <v>17.75</v>
      </c>
      <c r="M44" s="34">
        <f>ROUND(VLOOKUP($C44,STD!$C:$AA,M$14,0),2)</f>
        <v>5.18</v>
      </c>
      <c r="N44" s="34">
        <f>ROUND(VLOOKUP($C44,STD!$C:$AA,N$14,0),2)</f>
        <v>6.84</v>
      </c>
      <c r="O44" s="34">
        <f>ROUND(VLOOKUP($C44,STD!$C:$AA,O$14,0),2)-L44-M44-N44-P44</f>
        <v>6.2100000000000009</v>
      </c>
      <c r="P44" s="34">
        <f>ROUND(VLOOKUP($C44,STD!$C:$AA,P$14,0),2)</f>
        <v>0.52</v>
      </c>
      <c r="Q44" s="92">
        <f t="shared" si="110"/>
        <v>36.500000000000007</v>
      </c>
      <c r="R44" s="93">
        <f>ROUND(VLOOKUP($C44,STD!$C:$AA,R$14,0),2)-Q44</f>
        <v>0</v>
      </c>
      <c r="S44" s="91"/>
      <c r="T44" s="94">
        <f t="shared" si="111"/>
        <v>16.151790425300565</v>
      </c>
      <c r="U44" s="94">
        <f t="shared" ca="1" si="112"/>
        <v>5.3345022314743549</v>
      </c>
      <c r="V44" s="94">
        <f t="shared" ca="1" si="113"/>
        <v>7.3100846390172061</v>
      </c>
      <c r="W44" s="94">
        <f t="shared" ca="1" si="114"/>
        <v>4.5236496600980418</v>
      </c>
      <c r="X44" s="94">
        <f t="shared" ca="1" si="115"/>
        <v>0.58340397440050829</v>
      </c>
      <c r="Y44" s="95">
        <f t="shared" ca="1" si="116"/>
        <v>33.903430930290682</v>
      </c>
      <c r="Z44" s="153"/>
      <c r="AA44" s="79">
        <f t="shared" si="117"/>
        <v>-1.5982095746994354</v>
      </c>
      <c r="AB44" s="79">
        <f t="shared" ca="1" si="118"/>
        <v>0.15450223147435516</v>
      </c>
      <c r="AC44" s="79">
        <f t="shared" ca="1" si="119"/>
        <v>0.47008463901720621</v>
      </c>
      <c r="AD44" s="79">
        <f t="shared" ca="1" si="120"/>
        <v>-1.686350339901959</v>
      </c>
      <c r="AE44" s="79">
        <f t="shared" ca="1" si="121"/>
        <v>6.3403974400508267E-2</v>
      </c>
      <c r="AF44" s="79">
        <f t="shared" ca="1" si="122"/>
        <v>-2.5965690697093251</v>
      </c>
      <c r="AH44" s="97">
        <f t="shared" si="123"/>
        <v>13525.5</v>
      </c>
      <c r="AI44" s="97">
        <f t="shared" si="124"/>
        <v>3947.16</v>
      </c>
      <c r="AJ44" s="97">
        <f t="shared" si="125"/>
        <v>5212.08</v>
      </c>
      <c r="AK44" s="97">
        <f t="shared" si="126"/>
        <v>4732.0200000000004</v>
      </c>
      <c r="AL44" s="97">
        <f t="shared" si="127"/>
        <v>396.24</v>
      </c>
      <c r="AM44" s="97">
        <f t="shared" si="128"/>
        <v>27813</v>
      </c>
      <c r="AN44" s="91"/>
      <c r="AO44" s="75">
        <f>SUMIFS('DM-Sum'!$M$6:$M$117,'DM-Sum'!$B$6:$B$117,$C44,'DM-Sum'!$C$6:$C$117, $E44)</f>
        <v>12307.664304079031</v>
      </c>
      <c r="AP44" s="75">
        <f t="shared" ca="1" si="21"/>
        <v>4064.8907003834584</v>
      </c>
      <c r="AQ44" s="75">
        <f t="shared" ca="1" si="22"/>
        <v>5570.2844949311111</v>
      </c>
      <c r="AR44" s="75">
        <f t="shared" ca="1" si="23"/>
        <v>3447.0210409947076</v>
      </c>
      <c r="AS44" s="75">
        <f t="shared" ca="1" si="24"/>
        <v>444.55382849318732</v>
      </c>
      <c r="AT44" s="75">
        <f t="shared" ref="AT44:AT47" ca="1" si="146">SUM(AO44:AS44)</f>
        <v>25834.414368881495</v>
      </c>
      <c r="AV44" s="98">
        <f t="shared" si="130"/>
        <v>-1217.8356959209686</v>
      </c>
      <c r="AW44" s="98">
        <f t="shared" ca="1" si="131"/>
        <v>117.7307003834585</v>
      </c>
      <c r="AX44" s="98">
        <f t="shared" ca="1" si="132"/>
        <v>358.20449493111118</v>
      </c>
      <c r="AY44" s="98">
        <f t="shared" ca="1" si="133"/>
        <v>-1284.9989590052928</v>
      </c>
      <c r="AZ44" s="98">
        <f t="shared" ca="1" si="134"/>
        <v>48.313828493187316</v>
      </c>
      <c r="BA44" s="98">
        <f t="shared" ca="1" si="135"/>
        <v>-1978.5856311185053</v>
      </c>
      <c r="BB44" s="99"/>
      <c r="BC44" s="100"/>
      <c r="BD44" s="267">
        <f t="shared" si="136"/>
        <v>0.90996002396059517</v>
      </c>
      <c r="BE44" s="268">
        <f t="shared" ca="1" si="137"/>
        <v>1.0298266856128098</v>
      </c>
      <c r="BF44" s="268">
        <f t="shared" ca="1" si="138"/>
        <v>1.0687258244177202</v>
      </c>
      <c r="BG44" s="268">
        <f t="shared" ca="1" si="139"/>
        <v>0.72844600001578763</v>
      </c>
      <c r="BH44" s="268">
        <f t="shared" ref="BH44:BH47" ca="1" si="147">+SUM(U44:W44)/SUM(M44:O44)</f>
        <v>0.94175735219910051</v>
      </c>
      <c r="BI44" s="268">
        <f t="shared" ca="1" si="141"/>
        <v>0.92886112137782673</v>
      </c>
      <c r="BK44" s="266" t="str">
        <f t="shared" si="142"/>
        <v>15</v>
      </c>
      <c r="BM44" s="269" t="s">
        <v>1608</v>
      </c>
      <c r="BN44" s="270" t="str">
        <f t="shared" si="143"/>
        <v>FMNVA</v>
      </c>
      <c r="BO44" s="270" t="str">
        <f>VLOOKUP($C44,STD!$C:$D,BO$17,0)</f>
        <v>84H 175/65R15 EL64Z</v>
      </c>
      <c r="BP44" s="270" t="str">
        <f>VLOOKUP($C44,STD!$C:$L,BP$17,0)</f>
        <v>FMNVA</v>
      </c>
      <c r="BQ44" s="270" t="b">
        <f t="shared" si="144"/>
        <v>1</v>
      </c>
      <c r="BR44" s="270" t="b">
        <f t="shared" si="145"/>
        <v>1</v>
      </c>
    </row>
    <row r="45" spans="2:70" s="96" customFormat="1" ht="15" customHeight="1">
      <c r="B45" s="245"/>
      <c r="C45" s="482" t="s">
        <v>303</v>
      </c>
      <c r="D45" s="479" t="str">
        <f t="shared" si="107"/>
        <v>091V 205/55 R16 EL64Z</v>
      </c>
      <c r="E45" s="483" t="s">
        <v>362</v>
      </c>
      <c r="F45" s="484">
        <v>2798</v>
      </c>
      <c r="G45" s="104">
        <f>INDEX('Tire Weight'!$D:$D,MATCH($C45&amp;"-"&amp;$E45,'Tire Weight'!$A:$A,0))</f>
        <v>10.704000000000001</v>
      </c>
      <c r="H45" s="90">
        <f t="shared" si="108"/>
        <v>29949.792000000001</v>
      </c>
      <c r="I45" s="104">
        <f>INDEX('Tire Weight'!$E:$E,MATCH($C45&amp;"-"&amp;$E45,'Tire Weight'!$A:$A,0))</f>
        <v>4.9470000000000001</v>
      </c>
      <c r="J45" s="90">
        <f t="shared" si="109"/>
        <v>13841.706</v>
      </c>
      <c r="K45" s="91"/>
      <c r="L45" s="34">
        <f>ROUND(VLOOKUP($C45,STD!$C:$AA,L$14,0),2)</f>
        <v>22.13</v>
      </c>
      <c r="M45" s="34">
        <f>ROUND(VLOOKUP($C45,STD!$C:$AA,M$14,0),2)</f>
        <v>5.94</v>
      </c>
      <c r="N45" s="34">
        <f>ROUND(VLOOKUP($C45,STD!$C:$AA,N$14,0),2)</f>
        <v>7.93</v>
      </c>
      <c r="O45" s="34">
        <f>ROUND(VLOOKUP($C45,STD!$C:$AA,O$14,0),2)-L45-M45-N45-P45</f>
        <v>7.35</v>
      </c>
      <c r="P45" s="34">
        <f>ROUND(VLOOKUP($C45,STD!$C:$AA,P$14,0),2)</f>
        <v>0.65</v>
      </c>
      <c r="Q45" s="92">
        <f t="shared" si="110"/>
        <v>44</v>
      </c>
      <c r="R45" s="93">
        <f>ROUND(VLOOKUP($C45,STD!$C:$AA,R$14,0),2)-Q45</f>
        <v>0</v>
      </c>
      <c r="S45" s="91"/>
      <c r="T45" s="94">
        <f t="shared" si="111"/>
        <v>20.397262585289074</v>
      </c>
      <c r="U45" s="94">
        <f t="shared" ca="1" si="112"/>
        <v>6.1171705125400919</v>
      </c>
      <c r="V45" s="94">
        <f t="shared" ca="1" si="113"/>
        <v>8.4749957876325226</v>
      </c>
      <c r="W45" s="94">
        <f t="shared" ca="1" si="114"/>
        <v>5.3540781001160385</v>
      </c>
      <c r="X45" s="94">
        <f t="shared" ca="1" si="115"/>
        <v>0.7292549680006355</v>
      </c>
      <c r="Y45" s="95">
        <f t="shared" ca="1" si="116"/>
        <v>41.072761953578372</v>
      </c>
      <c r="Z45" s="153"/>
      <c r="AA45" s="79">
        <f t="shared" si="117"/>
        <v>-1.7327374147109253</v>
      </c>
      <c r="AB45" s="79">
        <f t="shared" ca="1" si="118"/>
        <v>0.17717051254009153</v>
      </c>
      <c r="AC45" s="79">
        <f t="shared" ca="1" si="119"/>
        <v>0.54499578763252288</v>
      </c>
      <c r="AD45" s="79">
        <f t="shared" ca="1" si="120"/>
        <v>-1.9959218998839612</v>
      </c>
      <c r="AE45" s="79">
        <f t="shared" ca="1" si="121"/>
        <v>7.9254968000635473E-2</v>
      </c>
      <c r="AF45" s="79">
        <f t="shared" ca="1" si="122"/>
        <v>-2.9272380464216283</v>
      </c>
      <c r="AH45" s="97">
        <f t="shared" si="123"/>
        <v>61919.74</v>
      </c>
      <c r="AI45" s="97">
        <f t="shared" si="124"/>
        <v>16620.120000000003</v>
      </c>
      <c r="AJ45" s="97">
        <f t="shared" si="125"/>
        <v>22188.14</v>
      </c>
      <c r="AK45" s="97">
        <f t="shared" si="126"/>
        <v>20565.3</v>
      </c>
      <c r="AL45" s="97">
        <f t="shared" si="127"/>
        <v>1818.7</v>
      </c>
      <c r="AM45" s="97">
        <f t="shared" si="128"/>
        <v>123112</v>
      </c>
      <c r="AN45" s="91"/>
      <c r="AO45" s="75">
        <f>SUMIFS('DM-Sum'!$M$6:$M$117,'DM-Sum'!$B$6:$B$117,$C45,'DM-Sum'!$C$6:$C$117, $E45)</f>
        <v>57071.540713638824</v>
      </c>
      <c r="AP45" s="75">
        <f t="shared" ca="1" si="21"/>
        <v>17115.843094087177</v>
      </c>
      <c r="AQ45" s="75">
        <f t="shared" ca="1" si="22"/>
        <v>23713.038213795797</v>
      </c>
      <c r="AR45" s="75">
        <f t="shared" ca="1" si="23"/>
        <v>14980.710524124675</v>
      </c>
      <c r="AS45" s="75">
        <f t="shared" ca="1" si="24"/>
        <v>2040.455400465778</v>
      </c>
      <c r="AT45" s="75">
        <f t="shared" ca="1" si="146"/>
        <v>114921.58794611225</v>
      </c>
      <c r="AV45" s="98">
        <f t="shared" si="130"/>
        <v>-4848.199286361174</v>
      </c>
      <c r="AW45" s="98">
        <f t="shared" ca="1" si="131"/>
        <v>495.7230940871741</v>
      </c>
      <c r="AX45" s="98">
        <f t="shared" ca="1" si="132"/>
        <v>1524.8982137957973</v>
      </c>
      <c r="AY45" s="98">
        <f t="shared" ca="1" si="133"/>
        <v>-5584.5894758753238</v>
      </c>
      <c r="AZ45" s="98">
        <f t="shared" ca="1" si="134"/>
        <v>221.75540046577794</v>
      </c>
      <c r="BA45" s="98">
        <f t="shared" ca="1" si="135"/>
        <v>-8190.4120538877469</v>
      </c>
      <c r="BB45" s="99"/>
      <c r="BC45" s="100"/>
      <c r="BD45" s="267">
        <f t="shared" si="136"/>
        <v>0.92170187913642454</v>
      </c>
      <c r="BE45" s="268">
        <f t="shared" ca="1" si="137"/>
        <v>1.02982668561281</v>
      </c>
      <c r="BF45" s="268">
        <f t="shared" ca="1" si="138"/>
        <v>1.0687258244177205</v>
      </c>
      <c r="BG45" s="268">
        <f t="shared" ca="1" si="139"/>
        <v>0.72844600001578763</v>
      </c>
      <c r="BH45" s="268">
        <f t="shared" ca="1" si="147"/>
        <v>0.9399738171672315</v>
      </c>
      <c r="BI45" s="268">
        <f t="shared" ca="1" si="141"/>
        <v>0.93347186258132664</v>
      </c>
      <c r="BK45" s="266" t="str">
        <f t="shared" si="142"/>
        <v>16</v>
      </c>
      <c r="BM45" s="269" t="s">
        <v>1609</v>
      </c>
      <c r="BN45" s="270" t="str">
        <f t="shared" si="143"/>
        <v>LZRVA</v>
      </c>
      <c r="BO45" s="270" t="str">
        <f>VLOOKUP($C45,STD!$C:$D,BO$17,0)</f>
        <v>91V 205/55R16 EL64Z</v>
      </c>
      <c r="BP45" s="270" t="str">
        <f>VLOOKUP($C45,STD!$C:$L,BP$17,0)</f>
        <v>LZRVA</v>
      </c>
      <c r="BQ45" s="270" t="b">
        <f t="shared" si="144"/>
        <v>1</v>
      </c>
      <c r="BR45" s="270" t="b">
        <f t="shared" si="145"/>
        <v>1</v>
      </c>
    </row>
    <row r="46" spans="2:70" s="96" customFormat="1" ht="15" customHeight="1">
      <c r="B46" s="245"/>
      <c r="C46" s="482" t="s">
        <v>304</v>
      </c>
      <c r="D46" s="479" t="str">
        <f t="shared" si="107"/>
        <v>091V 195/65 R15 EL64Z</v>
      </c>
      <c r="E46" s="483" t="s">
        <v>363</v>
      </c>
      <c r="F46" s="484">
        <v>1845</v>
      </c>
      <c r="G46" s="104">
        <f>INDEX('Tire Weight'!$D:$D,MATCH($C46&amp;"-"&amp;$E46,'Tire Weight'!$A:$A,0))</f>
        <v>9.9870000000000001</v>
      </c>
      <c r="H46" s="90">
        <f t="shared" si="108"/>
        <v>18426.014999999999</v>
      </c>
      <c r="I46" s="104">
        <f>INDEX('Tire Weight'!$E:$E,MATCH($C46&amp;"-"&amp;$E46,'Tire Weight'!$A:$A,0))</f>
        <v>4.7030000000000003</v>
      </c>
      <c r="J46" s="90">
        <f t="shared" si="109"/>
        <v>8677.0349999999999</v>
      </c>
      <c r="K46" s="91"/>
      <c r="L46" s="34">
        <f>ROUND(VLOOKUP($C46,STD!$C:$AA,L$14,0),2)</f>
        <v>20.79</v>
      </c>
      <c r="M46" s="34">
        <f>ROUND(VLOOKUP($C46,STD!$C:$AA,M$14,0),2)</f>
        <v>5.57</v>
      </c>
      <c r="N46" s="34">
        <f>ROUND(VLOOKUP($C46,STD!$C:$AA,N$14,0),2)</f>
        <v>7.4</v>
      </c>
      <c r="O46" s="34">
        <f>ROUND(VLOOKUP($C46,STD!$C:$AA,O$14,0),2)-L46-M46-N46-P46</f>
        <v>6.8499999999999988</v>
      </c>
      <c r="P46" s="34">
        <f>ROUND(VLOOKUP($C46,STD!$C:$AA,P$14,0),2)</f>
        <v>0.61</v>
      </c>
      <c r="Q46" s="92">
        <f t="shared" si="110"/>
        <v>41.22</v>
      </c>
      <c r="R46" s="93">
        <f>ROUND(VLOOKUP($C46,STD!$C:$AA,R$14,0),2)-Q46</f>
        <v>0</v>
      </c>
      <c r="S46" s="91"/>
      <c r="T46" s="94">
        <f t="shared" si="111"/>
        <v>18.941285523571704</v>
      </c>
      <c r="U46" s="94">
        <f t="shared" ca="1" si="112"/>
        <v>5.7361346388633514</v>
      </c>
      <c r="V46" s="94">
        <f t="shared" ca="1" si="113"/>
        <v>7.9085711006911303</v>
      </c>
      <c r="W46" s="94">
        <f t="shared" ca="1" si="114"/>
        <v>4.9898551001081435</v>
      </c>
      <c r="X46" s="94">
        <f t="shared" ca="1" si="115"/>
        <v>0.6843777392005963</v>
      </c>
      <c r="Y46" s="95">
        <f t="shared" ca="1" si="116"/>
        <v>38.260224102434933</v>
      </c>
      <c r="Z46" s="153"/>
      <c r="AA46" s="79">
        <f t="shared" si="117"/>
        <v>-1.8487144764282952</v>
      </c>
      <c r="AB46" s="79">
        <f t="shared" ca="1" si="118"/>
        <v>0.16613463886335111</v>
      </c>
      <c r="AC46" s="79">
        <f t="shared" ca="1" si="119"/>
        <v>0.50857110069112998</v>
      </c>
      <c r="AD46" s="79">
        <f t="shared" ca="1" si="120"/>
        <v>-1.8601448998918553</v>
      </c>
      <c r="AE46" s="79">
        <f t="shared" ca="1" si="121"/>
        <v>7.4377739200596316E-2</v>
      </c>
      <c r="AF46" s="79">
        <f t="shared" ca="1" si="122"/>
        <v>-2.9597758975650663</v>
      </c>
      <c r="AH46" s="97">
        <f t="shared" si="123"/>
        <v>38357.549999999996</v>
      </c>
      <c r="AI46" s="97">
        <f t="shared" si="124"/>
        <v>10276.65</v>
      </c>
      <c r="AJ46" s="97">
        <f t="shared" si="125"/>
        <v>13653</v>
      </c>
      <c r="AK46" s="97">
        <f t="shared" si="126"/>
        <v>12638.249999999998</v>
      </c>
      <c r="AL46" s="97">
        <f t="shared" si="127"/>
        <v>1125.45</v>
      </c>
      <c r="AM46" s="97">
        <f t="shared" si="128"/>
        <v>76050.899999999994</v>
      </c>
      <c r="AN46" s="91"/>
      <c r="AO46" s="75">
        <f>SUMIFS('DM-Sum'!$M$6:$M$117,'DM-Sum'!$B$6:$B$117,$C46,'DM-Sum'!$C$6:$C$117, $E46)</f>
        <v>34946.671790989792</v>
      </c>
      <c r="AP46" s="75">
        <f t="shared" ca="1" si="21"/>
        <v>10583.168408702883</v>
      </c>
      <c r="AQ46" s="75">
        <f t="shared" ca="1" si="22"/>
        <v>14591.313680775136</v>
      </c>
      <c r="AR46" s="75">
        <f t="shared" ca="1" si="23"/>
        <v>9206.2826596995255</v>
      </c>
      <c r="AS46" s="75">
        <f t="shared" ca="1" si="24"/>
        <v>1262.6769288251003</v>
      </c>
      <c r="AT46" s="75">
        <f t="shared" ca="1" si="146"/>
        <v>70590.113468992437</v>
      </c>
      <c r="AV46" s="98">
        <f t="shared" si="130"/>
        <v>-3410.8782090102031</v>
      </c>
      <c r="AW46" s="98">
        <f t="shared" ca="1" si="131"/>
        <v>306.51840870288288</v>
      </c>
      <c r="AX46" s="98">
        <f t="shared" ca="1" si="132"/>
        <v>938.31368077513616</v>
      </c>
      <c r="AY46" s="98">
        <f t="shared" ca="1" si="133"/>
        <v>-3431.9673403004726</v>
      </c>
      <c r="AZ46" s="98">
        <f t="shared" ca="1" si="134"/>
        <v>137.22692882510023</v>
      </c>
      <c r="BA46" s="98">
        <f t="shared" ca="1" si="135"/>
        <v>-5460.7865310075576</v>
      </c>
      <c r="BB46" s="99"/>
      <c r="BC46" s="100"/>
      <c r="BD46" s="267">
        <f t="shared" si="136"/>
        <v>0.91107674476054379</v>
      </c>
      <c r="BE46" s="268">
        <f t="shared" ca="1" si="137"/>
        <v>1.02982668561281</v>
      </c>
      <c r="BF46" s="268">
        <f t="shared" ca="1" si="138"/>
        <v>1.0687258244177202</v>
      </c>
      <c r="BG46" s="268">
        <f t="shared" ca="1" si="139"/>
        <v>0.72844600001578752</v>
      </c>
      <c r="BH46" s="268">
        <f t="shared" ca="1" si="147"/>
        <v>0.94018974973070768</v>
      </c>
      <c r="BI46" s="268">
        <f t="shared" ca="1" si="141"/>
        <v>0.92819563567285135</v>
      </c>
      <c r="BK46" s="266" t="str">
        <f t="shared" si="142"/>
        <v>15</v>
      </c>
      <c r="BM46" s="269" t="s">
        <v>1610</v>
      </c>
      <c r="BN46" s="270" t="str">
        <f t="shared" si="143"/>
        <v>NJSVA</v>
      </c>
      <c r="BO46" s="270" t="str">
        <f>VLOOKUP($C46,STD!$C:$D,BO$17,0)</f>
        <v>91V 195/65R15 EL64Z</v>
      </c>
      <c r="BP46" s="270" t="str">
        <f>VLOOKUP($C46,STD!$C:$L,BP$17,0)</f>
        <v>NJSVA</v>
      </c>
      <c r="BQ46" s="270" t="b">
        <f t="shared" si="144"/>
        <v>1</v>
      </c>
      <c r="BR46" s="270" t="b">
        <f t="shared" si="145"/>
        <v>1</v>
      </c>
    </row>
    <row r="47" spans="2:70" s="96" customFormat="1" ht="15" customHeight="1">
      <c r="B47" s="245"/>
      <c r="C47" s="482" t="s">
        <v>181</v>
      </c>
      <c r="D47" s="479" t="str">
        <f t="shared" si="107"/>
        <v>102V 235/60 R17 DTH1AZ</v>
      </c>
      <c r="E47" s="483" t="s">
        <v>195</v>
      </c>
      <c r="F47" s="484">
        <v>37</v>
      </c>
      <c r="G47" s="104">
        <f>INDEX('Tire Weight'!$D:$D,MATCH($C47&amp;"-"&amp;$E47,'Tire Weight'!$A:$A,0))</f>
        <v>12.536</v>
      </c>
      <c r="H47" s="90">
        <f t="shared" si="108"/>
        <v>463.83199999999999</v>
      </c>
      <c r="I47" s="104">
        <f>INDEX('Tire Weight'!$E:$E,MATCH($C47&amp;"-"&amp;$E47,'Tire Weight'!$A:$A,0))</f>
        <v>5.806</v>
      </c>
      <c r="J47" s="90">
        <f t="shared" si="109"/>
        <v>214.822</v>
      </c>
      <c r="K47" s="91"/>
      <c r="L47" s="34">
        <f>ROUND(VLOOKUP($C47,STD!$C:$AA,L$14,0),2)</f>
        <v>24.9</v>
      </c>
      <c r="M47" s="34">
        <f>ROUND(VLOOKUP($C47,STD!$C:$AA,M$14,0),2)</f>
        <v>6.85</v>
      </c>
      <c r="N47" s="34">
        <f>ROUND(VLOOKUP($C47,STD!$C:$AA,N$14,0),2)</f>
        <v>8.86</v>
      </c>
      <c r="O47" s="34">
        <f>ROUND(VLOOKUP($C47,STD!$C:$AA,O$14,0),2)-L47-M47-N47-P47</f>
        <v>8.2500000000000036</v>
      </c>
      <c r="P47" s="34">
        <f>ROUND(VLOOKUP($C47,STD!$C:$AA,P$14,0),2)</f>
        <v>0.77</v>
      </c>
      <c r="Q47" s="92">
        <f t="shared" si="110"/>
        <v>49.63</v>
      </c>
      <c r="R47" s="93">
        <f>ROUND(VLOOKUP($C47,STD!$C:$AA,R$14,0),2)-Q47</f>
        <v>0</v>
      </c>
      <c r="S47" s="91"/>
      <c r="T47" s="94">
        <f t="shared" si="111"/>
        <v>23.134087546380233</v>
      </c>
      <c r="U47" s="94">
        <f t="shared" ca="1" si="112"/>
        <v>7.0543127964477472</v>
      </c>
      <c r="V47" s="94">
        <f t="shared" ca="1" si="113"/>
        <v>9.4689108043410037</v>
      </c>
      <c r="W47" s="94">
        <f t="shared" ca="1" si="114"/>
        <v>6.0096795001302494</v>
      </c>
      <c r="X47" s="94">
        <f t="shared" ca="1" si="115"/>
        <v>0.86388665440075274</v>
      </c>
      <c r="Y47" s="95">
        <f t="shared" ca="1" si="116"/>
        <v>46.530877301699981</v>
      </c>
      <c r="Z47" s="153"/>
      <c r="AA47" s="79">
        <f t="shared" si="117"/>
        <v>-1.7659124536197659</v>
      </c>
      <c r="AB47" s="79">
        <f t="shared" ca="1" si="118"/>
        <v>0.20431279644774758</v>
      </c>
      <c r="AC47" s="79">
        <f t="shared" ca="1" si="119"/>
        <v>0.60891080434100431</v>
      </c>
      <c r="AD47" s="79">
        <f t="shared" ca="1" si="120"/>
        <v>-2.2403204998697541</v>
      </c>
      <c r="AE47" s="79">
        <f t="shared" ca="1" si="121"/>
        <v>9.3886654400752723E-2</v>
      </c>
      <c r="AF47" s="79">
        <f t="shared" ca="1" si="122"/>
        <v>-3.0991226983000217</v>
      </c>
      <c r="AH47" s="97">
        <f t="shared" si="123"/>
        <v>921.3</v>
      </c>
      <c r="AI47" s="97">
        <f t="shared" si="124"/>
        <v>253.45</v>
      </c>
      <c r="AJ47" s="97">
        <f t="shared" si="125"/>
        <v>327.82</v>
      </c>
      <c r="AK47" s="97">
        <f t="shared" si="126"/>
        <v>305.25000000000011</v>
      </c>
      <c r="AL47" s="97">
        <f t="shared" si="127"/>
        <v>28.490000000000002</v>
      </c>
      <c r="AM47" s="97">
        <f t="shared" si="128"/>
        <v>1836.3100000000002</v>
      </c>
      <c r="AN47" s="91"/>
      <c r="AO47" s="75">
        <f>SUMIFS('DM-Sum'!$M$6:$M$117,'DM-Sum'!$B$6:$B$117,$C47,'DM-Sum'!$C$6:$C$117, $E47)</f>
        <v>855.96123921606863</v>
      </c>
      <c r="AP47" s="75">
        <f t="shared" ca="1" si="21"/>
        <v>261.00957346856666</v>
      </c>
      <c r="AQ47" s="75">
        <f t="shared" ca="1" si="22"/>
        <v>350.34969976061711</v>
      </c>
      <c r="AR47" s="75">
        <f t="shared" ca="1" si="23"/>
        <v>222.35814150481923</v>
      </c>
      <c r="AS47" s="75">
        <f t="shared" ca="1" si="24"/>
        <v>31.963806212827851</v>
      </c>
      <c r="AT47" s="75">
        <f t="shared" ca="1" si="146"/>
        <v>1721.6424601628996</v>
      </c>
      <c r="AV47" s="98">
        <f t="shared" si="130"/>
        <v>-65.33876078393132</v>
      </c>
      <c r="AW47" s="98">
        <f t="shared" ca="1" si="131"/>
        <v>7.5595734685666685</v>
      </c>
      <c r="AX47" s="98">
        <f t="shared" ca="1" si="132"/>
        <v>22.52969976061712</v>
      </c>
      <c r="AY47" s="98">
        <f t="shared" ca="1" si="133"/>
        <v>-82.891858495180884</v>
      </c>
      <c r="AZ47" s="98">
        <f t="shared" ca="1" si="134"/>
        <v>3.4738062128278493</v>
      </c>
      <c r="BA47" s="98">
        <f t="shared" ca="1" si="135"/>
        <v>-114.66753983710055</v>
      </c>
      <c r="BB47" s="99"/>
      <c r="BC47" s="100"/>
      <c r="BD47" s="267">
        <f t="shared" si="136"/>
        <v>0.92907982113976839</v>
      </c>
      <c r="BE47" s="268">
        <f t="shared" ca="1" si="137"/>
        <v>1.0298266856128098</v>
      </c>
      <c r="BF47" s="268">
        <f t="shared" ca="1" si="138"/>
        <v>1.0687258244177207</v>
      </c>
      <c r="BG47" s="268">
        <f t="shared" ca="1" si="139"/>
        <v>0.72844600001578752</v>
      </c>
      <c r="BH47" s="268">
        <f t="shared" ca="1" si="147"/>
        <v>0.94043835980463275</v>
      </c>
      <c r="BI47" s="268">
        <f t="shared" ca="1" si="141"/>
        <v>0.93755545641144422</v>
      </c>
      <c r="BK47" s="266" t="str">
        <f t="shared" si="142"/>
        <v>17</v>
      </c>
      <c r="BM47" s="269" t="s">
        <v>1611</v>
      </c>
      <c r="BN47" s="270" t="str">
        <f t="shared" si="143"/>
        <v>PKMZA</v>
      </c>
      <c r="BO47" s="270" t="str">
        <f>VLOOKUP($C47,STD!$C:$D,BO$17,0)</f>
        <v>102V 235/60R17 DTH1AZ</v>
      </c>
      <c r="BP47" s="270" t="str">
        <f>VLOOKUP($C47,STD!$C:$L,BP$17,0)</f>
        <v>PKMZA</v>
      </c>
      <c r="BQ47" s="270" t="b">
        <f t="shared" si="144"/>
        <v>1</v>
      </c>
      <c r="BR47" s="270" t="b">
        <f t="shared" si="145"/>
        <v>1</v>
      </c>
    </row>
    <row r="48" spans="2:70" s="96" customFormat="1" ht="15" customHeight="1">
      <c r="B48" s="89"/>
      <c r="C48" s="478" t="s">
        <v>404</v>
      </c>
      <c r="D48" s="479" t="str">
        <f t="shared" si="107"/>
        <v>094W 225/45 R17 XLEL64AZ</v>
      </c>
      <c r="E48" s="480" t="s">
        <v>405</v>
      </c>
      <c r="F48" s="481">
        <v>867</v>
      </c>
      <c r="G48" s="104">
        <f>INDEX('Tire Weight'!$D:$D,MATCH($C48&amp;"-"&amp;$E48,'Tire Weight'!$A:$A,0))</f>
        <v>10.983000000000001</v>
      </c>
      <c r="H48" s="90">
        <f t="shared" si="108"/>
        <v>9522.2610000000004</v>
      </c>
      <c r="I48" s="104">
        <f>INDEX('Tire Weight'!$E:$E,MATCH($C48&amp;"-"&amp;$E48,'Tire Weight'!$A:$A,0))</f>
        <v>4.88</v>
      </c>
      <c r="J48" s="90">
        <f t="shared" si="109"/>
        <v>4230.96</v>
      </c>
      <c r="K48" s="91"/>
      <c r="L48" s="34">
        <f>ROUND(VLOOKUP($C48,STD!$C:$AA,L$14,0),2)</f>
        <v>23.29</v>
      </c>
      <c r="M48" s="34">
        <f>ROUND(VLOOKUP($C48,STD!$C:$AA,M$14,0),2)</f>
        <v>6.22</v>
      </c>
      <c r="N48" s="34">
        <f>ROUND(VLOOKUP($C48,STD!$C:$AA,N$14,0),2)</f>
        <v>8.17</v>
      </c>
      <c r="O48" s="34">
        <f>ROUND(VLOOKUP($C48,STD!$C:$AA,O$14,0),2)-L48-M48-N48-P48</f>
        <v>7.48</v>
      </c>
      <c r="P48" s="34">
        <f>ROUND(VLOOKUP($C48,STD!$C:$AA,P$14,0),2)</f>
        <v>0.67</v>
      </c>
      <c r="Q48" s="92">
        <f t="shared" si="110"/>
        <v>45.83</v>
      </c>
      <c r="R48" s="93">
        <f>ROUND(VLOOKUP($C48,STD!$C:$AA,R$14,0),2)-Q48</f>
        <v>0</v>
      </c>
      <c r="S48" s="91"/>
      <c r="T48" s="94">
        <f t="shared" si="111"/>
        <v>21.571791636783079</v>
      </c>
      <c r="U48" s="94">
        <f t="shared" ca="1" si="112"/>
        <v>6.4055219845116769</v>
      </c>
      <c r="V48" s="94">
        <f t="shared" ca="1" si="113"/>
        <v>8.7314899854927752</v>
      </c>
      <c r="W48" s="94">
        <f t="shared" ca="1" si="114"/>
        <v>5.4487760801180913</v>
      </c>
      <c r="X48" s="94">
        <f t="shared" ca="1" si="115"/>
        <v>0.75169358240065498</v>
      </c>
      <c r="Y48" s="95">
        <f t="shared" ca="1" si="116"/>
        <v>42.909273269306276</v>
      </c>
      <c r="Z48" s="153"/>
      <c r="AA48" s="79">
        <f t="shared" si="117"/>
        <v>-1.7182083632169203</v>
      </c>
      <c r="AB48" s="79">
        <f t="shared" ca="1" si="118"/>
        <v>0.18552198451167712</v>
      </c>
      <c r="AC48" s="79">
        <f t="shared" ca="1" si="119"/>
        <v>0.56148998549277529</v>
      </c>
      <c r="AD48" s="79">
        <f t="shared" ca="1" si="120"/>
        <v>-2.0312239198819091</v>
      </c>
      <c r="AE48" s="79">
        <f t="shared" ca="1" si="121"/>
        <v>8.169358240065494E-2</v>
      </c>
      <c r="AF48" s="79">
        <f t="shared" ca="1" si="122"/>
        <v>-2.9207267306937226</v>
      </c>
      <c r="AH48" s="97">
        <f t="shared" si="123"/>
        <v>20192.43</v>
      </c>
      <c r="AI48" s="97">
        <f t="shared" si="124"/>
        <v>5392.74</v>
      </c>
      <c r="AJ48" s="97">
        <f t="shared" si="125"/>
        <v>7083.39</v>
      </c>
      <c r="AK48" s="97">
        <f t="shared" si="126"/>
        <v>6485.1600000000008</v>
      </c>
      <c r="AL48" s="97">
        <f t="shared" si="127"/>
        <v>580.89</v>
      </c>
      <c r="AM48" s="97">
        <f t="shared" si="128"/>
        <v>39734.61</v>
      </c>
      <c r="AN48" s="91"/>
      <c r="AO48" s="75">
        <f>SUMIFS('DM-Sum'!$M$6:$M$117,'DM-Sum'!$B$6:$B$117,$C48,'DM-Sum'!$C$6:$C$117, $E48)</f>
        <v>18702.743349090928</v>
      </c>
      <c r="AP48" s="75">
        <f t="shared" ca="1" si="21"/>
        <v>5553.5875605716237</v>
      </c>
      <c r="AQ48" s="75">
        <f t="shared" ca="1" si="22"/>
        <v>7570.2018174222367</v>
      </c>
      <c r="AR48" s="75">
        <f t="shared" ca="1" si="23"/>
        <v>4724.0888614623855</v>
      </c>
      <c r="AS48" s="75">
        <f t="shared" ca="1" si="24"/>
        <v>651.71833594136785</v>
      </c>
      <c r="AT48" s="75">
        <f t="shared" ref="AT48:AT64" ca="1" si="148">SUM(AO48:AS48)</f>
        <v>37202.339924488544</v>
      </c>
      <c r="AV48" s="98">
        <f t="shared" si="130"/>
        <v>-1489.6866509090723</v>
      </c>
      <c r="AW48" s="98">
        <f t="shared" ca="1" si="131"/>
        <v>160.84756057162394</v>
      </c>
      <c r="AX48" s="98">
        <f t="shared" ca="1" si="132"/>
        <v>486.81181742223635</v>
      </c>
      <c r="AY48" s="98">
        <f t="shared" ca="1" si="133"/>
        <v>-1761.0711385376153</v>
      </c>
      <c r="AZ48" s="98">
        <f t="shared" ca="1" si="134"/>
        <v>70.828335941367868</v>
      </c>
      <c r="BA48" s="98">
        <f t="shared" ca="1" si="135"/>
        <v>-2532.2700755114565</v>
      </c>
      <c r="BB48" s="99"/>
      <c r="BC48" s="100"/>
      <c r="BD48" s="267">
        <f t="shared" si="136"/>
        <v>0.92622548891297041</v>
      </c>
      <c r="BE48" s="268">
        <f t="shared" ca="1" si="137"/>
        <v>1.0298266856128098</v>
      </c>
      <c r="BF48" s="268">
        <f t="shared" ca="1" si="138"/>
        <v>1.0687258244177205</v>
      </c>
      <c r="BG48" s="268">
        <f t="shared" ca="1" si="139"/>
        <v>0.72844600001578752</v>
      </c>
      <c r="BH48" s="268">
        <f t="shared" ref="BH48:BH64" ca="1" si="149">+SUM(U48:W48)/SUM(M48:O48)</f>
        <v>0.94127974623331234</v>
      </c>
      <c r="BI48" s="268">
        <f t="shared" ca="1" si="141"/>
        <v>0.93627041826982926</v>
      </c>
      <c r="BK48" s="266" t="str">
        <f t="shared" si="142"/>
        <v>17</v>
      </c>
      <c r="BM48" s="269" t="s">
        <v>1612</v>
      </c>
      <c r="BN48" s="270" t="str">
        <f t="shared" si="143"/>
        <v>SBGMA</v>
      </c>
      <c r="BO48" s="270" t="str">
        <f>VLOOKUP($C48,STD!$C:$D,BO$17,0)</f>
        <v>94W 225/45R17 EL64AZ</v>
      </c>
      <c r="BP48" s="270" t="str">
        <f>VLOOKUP($C48,STD!$C:$L,BP$17,0)</f>
        <v>SBGMA</v>
      </c>
      <c r="BQ48" s="270" t="b">
        <f t="shared" si="144"/>
        <v>0</v>
      </c>
      <c r="BR48" s="270" t="b">
        <f t="shared" si="145"/>
        <v>1</v>
      </c>
    </row>
    <row r="49" spans="2:70" s="96" customFormat="1" ht="15" customHeight="1">
      <c r="B49" s="89"/>
      <c r="C49" s="478" t="s">
        <v>406</v>
      </c>
      <c r="D49" s="479" t="str">
        <f t="shared" si="107"/>
        <v>097W 235/45 R17 XLEL64AZ</v>
      </c>
      <c r="E49" s="480" t="s">
        <v>407</v>
      </c>
      <c r="F49" s="481">
        <v>231</v>
      </c>
      <c r="G49" s="104">
        <f>INDEX('Tire Weight'!$D:$D,MATCH($C49&amp;"-"&amp;$E49,'Tire Weight'!$A:$A,0))</f>
        <v>11.404999999999999</v>
      </c>
      <c r="H49" s="90">
        <f t="shared" si="108"/>
        <v>2634.5549999999998</v>
      </c>
      <c r="I49" s="104">
        <f>INDEX('Tire Weight'!$E:$E,MATCH($C49&amp;"-"&amp;$E49,'Tire Weight'!$A:$A,0))</f>
        <v>5.0789999999999997</v>
      </c>
      <c r="J49" s="90">
        <f t="shared" si="109"/>
        <v>1173.249</v>
      </c>
      <c r="K49" s="91"/>
      <c r="L49" s="34">
        <f>ROUND(VLOOKUP($C49,STD!$C:$AA,L$14,0),2)</f>
        <v>24.18</v>
      </c>
      <c r="M49" s="34">
        <f>ROUND(VLOOKUP($C49,STD!$C:$AA,M$14,0),2)</f>
        <v>6.34</v>
      </c>
      <c r="N49" s="34">
        <f>ROUND(VLOOKUP($C49,STD!$C:$AA,N$14,0),2)</f>
        <v>8.43</v>
      </c>
      <c r="O49" s="34">
        <f>ROUND(VLOOKUP($C49,STD!$C:$AA,O$14,0),2)-L49-M49-N49-P49</f>
        <v>7.7599999999999971</v>
      </c>
      <c r="P49" s="34">
        <f>ROUND(VLOOKUP($C49,STD!$C:$AA,P$14,0),2)</f>
        <v>0.7</v>
      </c>
      <c r="Q49" s="92">
        <f t="shared" si="110"/>
        <v>47.410000000000004</v>
      </c>
      <c r="R49" s="93">
        <f>ROUND(VLOOKUP($C49,STD!$C:$AA,R$14,0),2)-Q49</f>
        <v>0</v>
      </c>
      <c r="S49" s="91"/>
      <c r="T49" s="94">
        <f t="shared" si="111"/>
        <v>22.467647402646787</v>
      </c>
      <c r="U49" s="94">
        <f t="shared" ca="1" si="112"/>
        <v>6.5291011867852138</v>
      </c>
      <c r="V49" s="94">
        <f t="shared" ca="1" si="113"/>
        <v>9.0093586998413819</v>
      </c>
      <c r="W49" s="94">
        <f t="shared" ca="1" si="114"/>
        <v>5.6527409601225092</v>
      </c>
      <c r="X49" s="94">
        <f t="shared" ca="1" si="115"/>
        <v>0.78535150400068432</v>
      </c>
      <c r="Y49" s="95">
        <f t="shared" ca="1" si="116"/>
        <v>44.444199753396582</v>
      </c>
      <c r="Z49" s="153"/>
      <c r="AA49" s="79">
        <f t="shared" si="117"/>
        <v>-1.7123525973532132</v>
      </c>
      <c r="AB49" s="79">
        <f t="shared" ca="1" si="118"/>
        <v>0.18910118678521393</v>
      </c>
      <c r="AC49" s="79">
        <f t="shared" ca="1" si="119"/>
        <v>0.57935869984138222</v>
      </c>
      <c r="AD49" s="79">
        <f t="shared" ca="1" si="120"/>
        <v>-2.107259039877488</v>
      </c>
      <c r="AE49" s="79">
        <f t="shared" ca="1" si="121"/>
        <v>8.5351504000684364E-2</v>
      </c>
      <c r="AF49" s="79">
        <f t="shared" ca="1" si="122"/>
        <v>-2.9658002466034219</v>
      </c>
      <c r="AH49" s="97">
        <f t="shared" si="123"/>
        <v>5585.58</v>
      </c>
      <c r="AI49" s="97">
        <f t="shared" si="124"/>
        <v>1464.54</v>
      </c>
      <c r="AJ49" s="97">
        <f t="shared" si="125"/>
        <v>1947.33</v>
      </c>
      <c r="AK49" s="97">
        <f t="shared" si="126"/>
        <v>1792.5599999999993</v>
      </c>
      <c r="AL49" s="97">
        <f t="shared" si="127"/>
        <v>161.69999999999999</v>
      </c>
      <c r="AM49" s="97">
        <f t="shared" si="128"/>
        <v>10951.710000000001</v>
      </c>
      <c r="AN49" s="91"/>
      <c r="AO49" s="75">
        <f>SUMIFS('DM-Sum'!$M$6:$M$117,'DM-Sum'!$B$6:$B$117,$C49,'DM-Sum'!$C$6:$C$117, $E49)</f>
        <v>5190.0265500114074</v>
      </c>
      <c r="AP49" s="75">
        <f t="shared" ca="1" si="21"/>
        <v>1508.2223741473845</v>
      </c>
      <c r="AQ49" s="75">
        <f t="shared" ca="1" si="22"/>
        <v>2081.1618596633593</v>
      </c>
      <c r="AR49" s="75">
        <f t="shared" ca="1" si="23"/>
        <v>1305.7831617882996</v>
      </c>
      <c r="AS49" s="75">
        <f t="shared" ca="1" si="24"/>
        <v>181.41619742415807</v>
      </c>
      <c r="AT49" s="75">
        <f t="shared" ca="1" si="148"/>
        <v>10266.61014303461</v>
      </c>
      <c r="AV49" s="98">
        <f t="shared" si="130"/>
        <v>-395.55344998859255</v>
      </c>
      <c r="AW49" s="98">
        <f t="shared" ca="1" si="131"/>
        <v>43.682374147384508</v>
      </c>
      <c r="AX49" s="98">
        <f t="shared" ca="1" si="132"/>
        <v>133.83185966335941</v>
      </c>
      <c r="AY49" s="98">
        <f t="shared" ca="1" si="133"/>
        <v>-486.77683821169967</v>
      </c>
      <c r="AZ49" s="98">
        <f t="shared" ca="1" si="134"/>
        <v>19.716197424158082</v>
      </c>
      <c r="BA49" s="98">
        <f t="shared" ca="1" si="135"/>
        <v>-685.09985696539115</v>
      </c>
      <c r="BB49" s="99"/>
      <c r="BC49" s="100"/>
      <c r="BD49" s="267">
        <f t="shared" si="136"/>
        <v>0.92918310184643449</v>
      </c>
      <c r="BE49" s="268">
        <f t="shared" ca="1" si="137"/>
        <v>1.0298266856128098</v>
      </c>
      <c r="BF49" s="268">
        <f t="shared" ca="1" si="138"/>
        <v>1.0687258244177202</v>
      </c>
      <c r="BG49" s="268">
        <f t="shared" ca="1" si="139"/>
        <v>0.72844600001578752</v>
      </c>
      <c r="BH49" s="268">
        <f t="shared" ca="1" si="149"/>
        <v>0.94057704601638292</v>
      </c>
      <c r="BI49" s="268">
        <f t="shared" ca="1" si="141"/>
        <v>0.93744357210285967</v>
      </c>
      <c r="BK49" s="266" t="str">
        <f t="shared" si="142"/>
        <v>17</v>
      </c>
      <c r="BM49" s="269" t="s">
        <v>1613</v>
      </c>
      <c r="BN49" s="270" t="str">
        <f t="shared" si="143"/>
        <v>NDKMA</v>
      </c>
      <c r="BO49" s="270" t="str">
        <f>VLOOKUP($C49,STD!$C:$D,BO$17,0)</f>
        <v>97W 235/45R17 EL64AZ</v>
      </c>
      <c r="BP49" s="270" t="str">
        <f>VLOOKUP($C49,STD!$C:$L,BP$17,0)</f>
        <v>NDKMA</v>
      </c>
      <c r="BQ49" s="270" t="b">
        <f t="shared" si="144"/>
        <v>0</v>
      </c>
      <c r="BR49" s="270" t="b">
        <f t="shared" si="145"/>
        <v>1</v>
      </c>
    </row>
    <row r="50" spans="2:70" s="96" customFormat="1" ht="15" customHeight="1">
      <c r="B50" s="89"/>
      <c r="C50" s="478" t="s">
        <v>182</v>
      </c>
      <c r="D50" s="479" t="str">
        <f t="shared" si="107"/>
        <v>103V 235/55 R17 DTH1AZ</v>
      </c>
      <c r="E50" s="480" t="s">
        <v>196</v>
      </c>
      <c r="F50" s="481">
        <v>110</v>
      </c>
      <c r="G50" s="104">
        <f>INDEX('Tire Weight'!$D:$D,MATCH($C50&amp;"-"&amp;$E50,'Tire Weight'!$A:$A,0))</f>
        <v>12.596</v>
      </c>
      <c r="H50" s="90">
        <f t="shared" si="108"/>
        <v>1385.56</v>
      </c>
      <c r="I50" s="104">
        <f>INDEX('Tire Weight'!$E:$E,MATCH($C50&amp;"-"&amp;$E50,'Tire Weight'!$A:$A,0))</f>
        <v>5.8319999999999999</v>
      </c>
      <c r="J50" s="90">
        <f t="shared" si="109"/>
        <v>641.52</v>
      </c>
      <c r="K50" s="91"/>
      <c r="L50" s="34">
        <f>ROUND(VLOOKUP($C50,STD!$C:$AA,L$14,0),2)</f>
        <v>25.38</v>
      </c>
      <c r="M50" s="34">
        <f>ROUND(VLOOKUP($C50,STD!$C:$AA,M$14,0),2)</f>
        <v>6.9</v>
      </c>
      <c r="N50" s="34">
        <f>ROUND(VLOOKUP($C50,STD!$C:$AA,N$14,0),2)</f>
        <v>9.0500000000000007</v>
      </c>
      <c r="O50" s="34">
        <f>ROUND(VLOOKUP($C50,STD!$C:$AA,O$14,0),2)-L50-M50-N50-P50</f>
        <v>8.4200000000000017</v>
      </c>
      <c r="P50" s="34">
        <f>ROUND(VLOOKUP($C50,STD!$C:$AA,P$14,0),2)</f>
        <v>0.77</v>
      </c>
      <c r="Q50" s="92">
        <f t="shared" si="110"/>
        <v>50.52</v>
      </c>
      <c r="R50" s="93">
        <f>ROUND(VLOOKUP($C50,STD!$C:$AA,R$14,0),2)-Q50</f>
        <v>0</v>
      </c>
      <c r="S50" s="91"/>
      <c r="T50" s="94">
        <f t="shared" si="111"/>
        <v>23.885966352648069</v>
      </c>
      <c r="U50" s="94">
        <f t="shared" ca="1" si="112"/>
        <v>7.105804130728389</v>
      </c>
      <c r="V50" s="94">
        <f t="shared" ca="1" si="113"/>
        <v>9.6719687109803711</v>
      </c>
      <c r="W50" s="94">
        <f t="shared" ca="1" si="114"/>
        <v>6.1335153201329327</v>
      </c>
      <c r="X50" s="94">
        <f t="shared" ca="1" si="115"/>
        <v>0.86388665440075274</v>
      </c>
      <c r="Y50" s="95">
        <f t="shared" ca="1" si="116"/>
        <v>47.661141168890516</v>
      </c>
      <c r="Z50" s="153"/>
      <c r="AA50" s="79">
        <f t="shared" si="117"/>
        <v>-1.4940336473519302</v>
      </c>
      <c r="AB50" s="79">
        <f t="shared" ca="1" si="118"/>
        <v>0.20580413072838866</v>
      </c>
      <c r="AC50" s="79">
        <f t="shared" ca="1" si="119"/>
        <v>0.62196871098037043</v>
      </c>
      <c r="AD50" s="79">
        <f t="shared" ca="1" si="120"/>
        <v>-2.286484679867069</v>
      </c>
      <c r="AE50" s="79">
        <f t="shared" ca="1" si="121"/>
        <v>9.3886654400752723E-2</v>
      </c>
      <c r="AF50" s="79">
        <f t="shared" ca="1" si="122"/>
        <v>-2.8588588311094867</v>
      </c>
      <c r="AH50" s="97">
        <f t="shared" si="123"/>
        <v>2791.7999999999997</v>
      </c>
      <c r="AI50" s="97">
        <f t="shared" si="124"/>
        <v>759</v>
      </c>
      <c r="AJ50" s="97">
        <f t="shared" si="125"/>
        <v>995.50000000000011</v>
      </c>
      <c r="AK50" s="97">
        <f t="shared" si="126"/>
        <v>926.20000000000016</v>
      </c>
      <c r="AL50" s="97">
        <f t="shared" si="127"/>
        <v>84.7</v>
      </c>
      <c r="AM50" s="97">
        <f t="shared" si="128"/>
        <v>5557.2</v>
      </c>
      <c r="AN50" s="91"/>
      <c r="AO50" s="75">
        <f>SUMIFS('DM-Sum'!$M$6:$M$117,'DM-Sum'!$B$6:$B$117,$C50,'DM-Sum'!$C$6:$C$117, $E50)</f>
        <v>2627.4562987912877</v>
      </c>
      <c r="AP50" s="75">
        <f t="shared" ca="1" si="21"/>
        <v>781.63845438012277</v>
      </c>
      <c r="AQ50" s="75">
        <f t="shared" ca="1" si="22"/>
        <v>1063.9165582078408</v>
      </c>
      <c r="AR50" s="75">
        <f t="shared" ca="1" si="23"/>
        <v>674.68668521462257</v>
      </c>
      <c r="AS50" s="75">
        <f t="shared" ca="1" si="24"/>
        <v>95.027531984082799</v>
      </c>
      <c r="AT50" s="75">
        <f t="shared" ca="1" si="148"/>
        <v>5242.7255285779565</v>
      </c>
      <c r="AV50" s="98">
        <f t="shared" si="130"/>
        <v>-164.34370120871199</v>
      </c>
      <c r="AW50" s="98">
        <f t="shared" ca="1" si="131"/>
        <v>22.638454380122766</v>
      </c>
      <c r="AX50" s="98">
        <f t="shared" ca="1" si="132"/>
        <v>68.416558207840694</v>
      </c>
      <c r="AY50" s="98">
        <f t="shared" ca="1" si="133"/>
        <v>-251.51331478537759</v>
      </c>
      <c r="AZ50" s="98">
        <f t="shared" ca="1" si="134"/>
        <v>10.327531984082796</v>
      </c>
      <c r="BA50" s="98">
        <f t="shared" ca="1" si="135"/>
        <v>-314.47447142204328</v>
      </c>
      <c r="BB50" s="99"/>
      <c r="BC50" s="100"/>
      <c r="BD50" s="267">
        <f t="shared" si="136"/>
        <v>0.94113342603026284</v>
      </c>
      <c r="BE50" s="268">
        <f t="shared" ca="1" si="137"/>
        <v>1.02982668561281</v>
      </c>
      <c r="BF50" s="268">
        <f t="shared" ca="1" si="138"/>
        <v>1.0687258244177205</v>
      </c>
      <c r="BG50" s="268">
        <f t="shared" ca="1" si="139"/>
        <v>0.72844600001578763</v>
      </c>
      <c r="BH50" s="268">
        <f t="shared" ca="1" si="149"/>
        <v>0.94014313343626132</v>
      </c>
      <c r="BI50" s="268">
        <f t="shared" ca="1" si="141"/>
        <v>0.94341134538579796</v>
      </c>
      <c r="BK50" s="266" t="str">
        <f t="shared" si="142"/>
        <v>17</v>
      </c>
      <c r="BM50" s="269" t="s">
        <v>1614</v>
      </c>
      <c r="BN50" s="270" t="str">
        <f t="shared" si="143"/>
        <v>ZDMZA</v>
      </c>
      <c r="BO50" s="270" t="str">
        <f>VLOOKUP($C50,STD!$C:$D,BO$17,0)</f>
        <v>103V 235/55R17 DTH1AZ</v>
      </c>
      <c r="BP50" s="270" t="str">
        <f>VLOOKUP($C50,STD!$C:$L,BP$17,0)</f>
        <v>ZDMZA</v>
      </c>
      <c r="BQ50" s="270" t="b">
        <f t="shared" si="144"/>
        <v>1</v>
      </c>
      <c r="BR50" s="270" t="b">
        <f t="shared" si="145"/>
        <v>1</v>
      </c>
    </row>
    <row r="51" spans="2:70" s="96" customFormat="1" ht="15" customHeight="1">
      <c r="B51" s="89"/>
      <c r="C51" s="478" t="s">
        <v>410</v>
      </c>
      <c r="D51" s="479" t="str">
        <f t="shared" si="107"/>
        <v>075H 165/60 R14 150EZ</v>
      </c>
      <c r="E51" s="480" t="s">
        <v>456</v>
      </c>
      <c r="F51" s="481">
        <v>101</v>
      </c>
      <c r="G51" s="104">
        <f>INDEX('Tire Weight'!$D:$D,MATCH($C51&amp;"-"&amp;$E51,'Tire Weight'!$A:$A,0))</f>
        <v>6.1509999999999998</v>
      </c>
      <c r="H51" s="90">
        <f t="shared" si="108"/>
        <v>621.25099999999998</v>
      </c>
      <c r="I51" s="104">
        <f>INDEX('Tire Weight'!$E:$E,MATCH($C51&amp;"-"&amp;$E51,'Tire Weight'!$A:$A,0))</f>
        <v>2.9279999999999999</v>
      </c>
      <c r="J51" s="90">
        <f t="shared" si="109"/>
        <v>295.72800000000001</v>
      </c>
      <c r="K51" s="91"/>
      <c r="L51" s="34">
        <f>ROUND(VLOOKUP($C51,STD!$C:$AA,L$14,0),2)</f>
        <v>12.13</v>
      </c>
      <c r="M51" s="34">
        <f>ROUND(VLOOKUP($C51,STD!$C:$AA,M$14,0),2)</f>
        <v>4.54</v>
      </c>
      <c r="N51" s="34">
        <f>ROUND(VLOOKUP($C51,STD!$C:$AA,N$14,0),2)</f>
        <v>6.22</v>
      </c>
      <c r="O51" s="34">
        <f>ROUND(VLOOKUP($C51,STD!$C:$AA,O$14,0),2)-L51-M51-N51-P51</f>
        <v>5.3900000000000023</v>
      </c>
      <c r="P51" s="34">
        <f>ROUND(VLOOKUP($C51,STD!$C:$AA,P$14,0),2)</f>
        <v>0.38</v>
      </c>
      <c r="Q51" s="92">
        <f t="shared" si="110"/>
        <v>28.66</v>
      </c>
      <c r="R51" s="93">
        <f>ROUND(VLOOKUP($C51,STD!$C:$AA,R$14,0),2)-Q51</f>
        <v>0</v>
      </c>
      <c r="S51" s="91"/>
      <c r="T51" s="94">
        <f t="shared" si="111"/>
        <v>11.36027372127286</v>
      </c>
      <c r="U51" s="94">
        <f t="shared" ca="1" si="112"/>
        <v>4.6754131526821574</v>
      </c>
      <c r="V51" s="94">
        <f t="shared" ca="1" si="113"/>
        <v>6.6474746278782204</v>
      </c>
      <c r="W51" s="94">
        <f t="shared" ca="1" si="114"/>
        <v>3.9263239400850969</v>
      </c>
      <c r="X51" s="94">
        <f t="shared" ca="1" si="115"/>
        <v>0.4263336736003715</v>
      </c>
      <c r="Y51" s="95">
        <f t="shared" ca="1" si="116"/>
        <v>27.035819115518706</v>
      </c>
      <c r="Z51" s="153"/>
      <c r="AA51" s="79">
        <f t="shared" si="117"/>
        <v>-0.76972627872714128</v>
      </c>
      <c r="AB51" s="79">
        <f t="shared" ca="1" si="118"/>
        <v>0.13541315268215737</v>
      </c>
      <c r="AC51" s="79">
        <f t="shared" ca="1" si="119"/>
        <v>0.42747462787822066</v>
      </c>
      <c r="AD51" s="79">
        <f t="shared" ca="1" si="120"/>
        <v>-1.4636760599149055</v>
      </c>
      <c r="AE51" s="79">
        <f t="shared" ca="1" si="121"/>
        <v>4.6333673600371494E-2</v>
      </c>
      <c r="AF51" s="79">
        <f t="shared" ca="1" si="122"/>
        <v>-1.6241808844812944</v>
      </c>
      <c r="AH51" s="97">
        <f t="shared" si="123"/>
        <v>1225.1300000000001</v>
      </c>
      <c r="AI51" s="97">
        <f t="shared" si="124"/>
        <v>458.54</v>
      </c>
      <c r="AJ51" s="97">
        <f t="shared" si="125"/>
        <v>628.22</v>
      </c>
      <c r="AK51" s="97">
        <f t="shared" si="126"/>
        <v>544.39000000000021</v>
      </c>
      <c r="AL51" s="97">
        <f t="shared" si="127"/>
        <v>38.380000000000003</v>
      </c>
      <c r="AM51" s="97">
        <f t="shared" si="128"/>
        <v>2894.6600000000008</v>
      </c>
      <c r="AN51" s="91"/>
      <c r="AO51" s="75">
        <f>SUMIFS('DM-Sum'!$M$6:$M$117,'DM-Sum'!$B$6:$B$117,$C51,'DM-Sum'!$C$6:$C$117, $E51)</f>
        <v>1147.3876458485588</v>
      </c>
      <c r="AP51" s="75">
        <f t="shared" ref="AP51:AP82" ca="1" si="150">$AI51/$AI$130*$AP$15</f>
        <v>472.21672842089788</v>
      </c>
      <c r="AQ51" s="75">
        <f t="shared" ref="AQ51:AQ82" ca="1" si="151">$AJ51/$AJ$130*$AQ$15</f>
        <v>671.39493741570027</v>
      </c>
      <c r="AR51" s="75">
        <f t="shared" ref="AR51:AR82" ca="1" si="152">$AK51/$AK$130*$AR$15</f>
        <v>396.55871794859479</v>
      </c>
      <c r="AS51" s="75">
        <f t="shared" ref="AS51:AS82" ca="1" si="153">$AL51/$AL$130*$AS$15</f>
        <v>43.059701033637523</v>
      </c>
      <c r="AT51" s="75">
        <f t="shared" ca="1" si="148"/>
        <v>2730.617730667389</v>
      </c>
      <c r="AV51" s="98">
        <f t="shared" si="130"/>
        <v>-77.742354151441305</v>
      </c>
      <c r="AW51" s="98">
        <f t="shared" ca="1" si="131"/>
        <v>13.676728420897859</v>
      </c>
      <c r="AX51" s="98">
        <f t="shared" ca="1" si="132"/>
        <v>43.174937415700242</v>
      </c>
      <c r="AY51" s="98">
        <f t="shared" ca="1" si="133"/>
        <v>-147.83128205140542</v>
      </c>
      <c r="AZ51" s="98">
        <f t="shared" ca="1" si="134"/>
        <v>4.6797010336375209</v>
      </c>
      <c r="BA51" s="98">
        <f t="shared" ca="1" si="135"/>
        <v>-164.0422693326118</v>
      </c>
      <c r="BB51" s="99"/>
      <c r="BC51" s="100"/>
      <c r="BD51" s="267">
        <f t="shared" si="136"/>
        <v>0.93654358790378056</v>
      </c>
      <c r="BE51" s="268">
        <f t="shared" ca="1" si="137"/>
        <v>1.02982668561281</v>
      </c>
      <c r="BF51" s="268">
        <f t="shared" ca="1" si="138"/>
        <v>1.0687258244177205</v>
      </c>
      <c r="BG51" s="268">
        <f t="shared" ca="1" si="139"/>
        <v>0.72844600001578763</v>
      </c>
      <c r="BH51" s="268">
        <f t="shared" ca="1" si="149"/>
        <v>0.94422363595328018</v>
      </c>
      <c r="BI51" s="268">
        <f t="shared" ca="1" si="141"/>
        <v>0.9433293480641558</v>
      </c>
      <c r="BK51" s="266" t="str">
        <f t="shared" si="142"/>
        <v>14</v>
      </c>
      <c r="BM51" s="269" t="s">
        <v>1615</v>
      </c>
      <c r="BN51" s="270" t="str">
        <f t="shared" si="143"/>
        <v>FQCVA</v>
      </c>
      <c r="BO51" s="270" t="str">
        <f>VLOOKUP($C51,STD!$C:$D,BO$17,0)</f>
        <v>75H 165/60R14 150EZ</v>
      </c>
      <c r="BP51" s="270" t="str">
        <f>VLOOKUP($C51,STD!$C:$L,BP$17,0)</f>
        <v>FQCVA</v>
      </c>
      <c r="BQ51" s="270" t="b">
        <f t="shared" si="144"/>
        <v>1</v>
      </c>
      <c r="BR51" s="270" t="b">
        <f t="shared" si="145"/>
        <v>1</v>
      </c>
    </row>
    <row r="52" spans="2:70" s="96" customFormat="1" ht="15" customHeight="1">
      <c r="B52" s="89"/>
      <c r="C52" s="478" t="s">
        <v>411</v>
      </c>
      <c r="D52" s="479" t="str">
        <f t="shared" si="107"/>
        <v>095W 215/50 R17 XLEA03FZ</v>
      </c>
      <c r="E52" s="480" t="s">
        <v>473</v>
      </c>
      <c r="F52" s="481">
        <v>158</v>
      </c>
      <c r="G52" s="104">
        <f>INDEX('Tire Weight'!$D:$D,MATCH($C52&amp;"-"&amp;$E52,'Tire Weight'!$A:$A,0))</f>
        <v>10.848000000000001</v>
      </c>
      <c r="H52" s="90">
        <f t="shared" si="108"/>
        <v>1713.9840000000002</v>
      </c>
      <c r="I52" s="104">
        <f>INDEX('Tire Weight'!$E:$E,MATCH($C52&amp;"-"&amp;$E52,'Tire Weight'!$A:$A,0))</f>
        <v>4.8680000000000003</v>
      </c>
      <c r="J52" s="90">
        <f t="shared" si="109"/>
        <v>769.14400000000001</v>
      </c>
      <c r="K52" s="91"/>
      <c r="L52" s="34">
        <f>ROUND(VLOOKUP($C52,STD!$C:$AA,L$14,0),2)</f>
        <v>23.25</v>
      </c>
      <c r="M52" s="34">
        <f>ROUND(VLOOKUP($C52,STD!$C:$AA,M$14,0),2)</f>
        <v>6.21</v>
      </c>
      <c r="N52" s="34">
        <f>ROUND(VLOOKUP($C52,STD!$C:$AA,N$14,0),2)</f>
        <v>8.32</v>
      </c>
      <c r="O52" s="34">
        <f>ROUND(VLOOKUP($C52,STD!$C:$AA,O$14,0),2)-L52-M52-N52-P52</f>
        <v>7.6099999999999959</v>
      </c>
      <c r="P52" s="34">
        <f>ROUND(VLOOKUP($C52,STD!$C:$AA,P$14,0),2)</f>
        <v>0.66</v>
      </c>
      <c r="Q52" s="92">
        <f t="shared" si="110"/>
        <v>46.05</v>
      </c>
      <c r="R52" s="93">
        <f>ROUND(VLOOKUP($C52,STD!$C:$AA,R$14,0),2)-Q52</f>
        <v>0</v>
      </c>
      <c r="S52" s="91"/>
      <c r="T52" s="94">
        <f t="shared" si="111"/>
        <v>21.84116752181199</v>
      </c>
      <c r="U52" s="94">
        <f t="shared" ca="1" si="112"/>
        <v>6.3952237176555489</v>
      </c>
      <c r="V52" s="94">
        <f t="shared" ca="1" si="113"/>
        <v>8.8917988591554344</v>
      </c>
      <c r="W52" s="94">
        <f t="shared" ca="1" si="114"/>
        <v>5.5434740601201407</v>
      </c>
      <c r="X52" s="94">
        <f t="shared" ca="1" si="115"/>
        <v>0.74047427520064513</v>
      </c>
      <c r="Y52" s="95">
        <f t="shared" ca="1" si="116"/>
        <v>43.41213843394376</v>
      </c>
      <c r="Z52" s="153"/>
      <c r="AA52" s="79">
        <f t="shared" si="117"/>
        <v>-1.4088324781880104</v>
      </c>
      <c r="AB52" s="79">
        <f t="shared" ca="1" si="118"/>
        <v>0.1852237176555489</v>
      </c>
      <c r="AC52" s="79">
        <f t="shared" ca="1" si="119"/>
        <v>0.57179885915543416</v>
      </c>
      <c r="AD52" s="79">
        <f t="shared" ca="1" si="120"/>
        <v>-2.0665259398798552</v>
      </c>
      <c r="AE52" s="79">
        <f t="shared" ca="1" si="121"/>
        <v>8.0474275200645096E-2</v>
      </c>
      <c r="AF52" s="79">
        <f t="shared" ca="1" si="122"/>
        <v>-2.6378615660562375</v>
      </c>
      <c r="AH52" s="97">
        <f t="shared" si="123"/>
        <v>3673.5</v>
      </c>
      <c r="AI52" s="97">
        <f t="shared" si="124"/>
        <v>981.18</v>
      </c>
      <c r="AJ52" s="97">
        <f t="shared" si="125"/>
        <v>1314.56</v>
      </c>
      <c r="AK52" s="97">
        <f t="shared" si="126"/>
        <v>1202.3799999999994</v>
      </c>
      <c r="AL52" s="97">
        <f t="shared" si="127"/>
        <v>104.28</v>
      </c>
      <c r="AM52" s="97">
        <f t="shared" si="128"/>
        <v>7275.8999999999987</v>
      </c>
      <c r="AN52" s="91"/>
      <c r="AO52" s="75">
        <f>SUMIFS('DM-Sum'!$M$6:$M$117,'DM-Sum'!$B$6:$B$117,$C52,'DM-Sum'!$C$6:$C$117, $E52)</f>
        <v>3450.9044684462942</v>
      </c>
      <c r="AP52" s="75">
        <f t="shared" ca="1" si="150"/>
        <v>1010.4453473895767</v>
      </c>
      <c r="AQ52" s="75">
        <f t="shared" ca="1" si="151"/>
        <v>1404.9042197465585</v>
      </c>
      <c r="AR52" s="75">
        <f t="shared" ca="1" si="152"/>
        <v>875.86890149898227</v>
      </c>
      <c r="AS52" s="75">
        <f t="shared" ca="1" si="153"/>
        <v>116.99493548170193</v>
      </c>
      <c r="AT52" s="75">
        <f t="shared" ca="1" si="148"/>
        <v>6859.1178725631135</v>
      </c>
      <c r="AV52" s="98">
        <f t="shared" si="130"/>
        <v>-222.59553155370577</v>
      </c>
      <c r="AW52" s="98">
        <f t="shared" ca="1" si="131"/>
        <v>29.265347389576732</v>
      </c>
      <c r="AX52" s="98">
        <f t="shared" ca="1" si="132"/>
        <v>90.344219746558565</v>
      </c>
      <c r="AY52" s="98">
        <f t="shared" ca="1" si="133"/>
        <v>-326.51109850101716</v>
      </c>
      <c r="AZ52" s="98">
        <f t="shared" ca="1" si="134"/>
        <v>12.714935481701929</v>
      </c>
      <c r="BA52" s="98">
        <f t="shared" ca="1" si="135"/>
        <v>-416.78212743688528</v>
      </c>
      <c r="BB52" s="99"/>
      <c r="BC52" s="100"/>
      <c r="BD52" s="267">
        <f t="shared" si="136"/>
        <v>0.93940505470159097</v>
      </c>
      <c r="BE52" s="268">
        <f t="shared" ca="1" si="137"/>
        <v>1.0298266856128098</v>
      </c>
      <c r="BF52" s="268">
        <f t="shared" ca="1" si="138"/>
        <v>1.0687258244177205</v>
      </c>
      <c r="BG52" s="268">
        <f t="shared" ca="1" si="139"/>
        <v>0.72844600001578763</v>
      </c>
      <c r="BH52" s="268">
        <f t="shared" ca="1" si="149"/>
        <v>0.94085350663645551</v>
      </c>
      <c r="BI52" s="268">
        <f t="shared" ca="1" si="141"/>
        <v>0.94271744699117832</v>
      </c>
      <c r="BK52" s="266" t="str">
        <f t="shared" si="142"/>
        <v>17</v>
      </c>
      <c r="BM52" s="269" t="s">
        <v>1616</v>
      </c>
      <c r="BN52" s="270" t="str">
        <f t="shared" si="143"/>
        <v>EKTMA</v>
      </c>
      <c r="BO52" s="270" t="str">
        <f>VLOOKUP($C52,STD!$C:$D,BO$17,0)</f>
        <v>95W 215/50R17 EA03FZ</v>
      </c>
      <c r="BP52" s="270" t="str">
        <f>VLOOKUP($C52,STD!$C:$L,BP$17,0)</f>
        <v>EKTMA</v>
      </c>
      <c r="BQ52" s="270" t="b">
        <f t="shared" si="144"/>
        <v>0</v>
      </c>
      <c r="BR52" s="270" t="b">
        <f t="shared" si="145"/>
        <v>1</v>
      </c>
    </row>
    <row r="53" spans="2:70" s="96" customFormat="1" ht="15" customHeight="1">
      <c r="B53" s="89"/>
      <c r="C53" s="478" t="s">
        <v>433</v>
      </c>
      <c r="D53" s="479" t="str">
        <f t="shared" si="107"/>
        <v>084H 185/60 R15 EP15LZ</v>
      </c>
      <c r="E53" s="480" t="s">
        <v>434</v>
      </c>
      <c r="F53" s="481">
        <v>1047</v>
      </c>
      <c r="G53" s="104">
        <f>INDEX('Tire Weight'!$D:$D,MATCH($C53&amp;"-"&amp;$E53,'Tire Weight'!$A:$A,0))</f>
        <v>8.0890000000000004</v>
      </c>
      <c r="H53" s="90">
        <f t="shared" si="108"/>
        <v>8469.1830000000009</v>
      </c>
      <c r="I53" s="104">
        <f>INDEX('Tire Weight'!$E:$E,MATCH($C53&amp;"-"&amp;$E53,'Tire Weight'!$A:$A,0))</f>
        <v>3.9430000000000001</v>
      </c>
      <c r="J53" s="90">
        <f t="shared" si="109"/>
        <v>4128.3209999999999</v>
      </c>
      <c r="K53" s="91"/>
      <c r="L53" s="34">
        <f>ROUND(VLOOKUP($C53,STD!$C:$AA,L$14,0),2)</f>
        <v>17.309999999999999</v>
      </c>
      <c r="M53" s="34">
        <f>ROUND(VLOOKUP($C53,STD!$C:$AA,M$14,0),2)</f>
        <v>5.0999999999999996</v>
      </c>
      <c r="N53" s="34">
        <f>ROUND(VLOOKUP($C53,STD!$C:$AA,N$14,0),2)</f>
        <v>6.99</v>
      </c>
      <c r="O53" s="34">
        <f>ROUND(VLOOKUP($C53,STD!$C:$AA,O$14,0),2)-L53-M53-N53-P53</f>
        <v>6.2800000000000029</v>
      </c>
      <c r="P53" s="34">
        <f>ROUND(VLOOKUP($C53,STD!$C:$AA,P$14,0),2)</f>
        <v>0.49</v>
      </c>
      <c r="Q53" s="92">
        <f t="shared" si="110"/>
        <v>36.17</v>
      </c>
      <c r="R53" s="93">
        <f>ROUND(VLOOKUP($C53,STD!$C:$AA,R$14,0),2)-Q53</f>
        <v>0</v>
      </c>
      <c r="S53" s="91"/>
      <c r="T53" s="94">
        <f t="shared" si="111"/>
        <v>16.097332723667574</v>
      </c>
      <c r="U53" s="94">
        <f t="shared" ca="1" si="112"/>
        <v>5.25211609662533</v>
      </c>
      <c r="V53" s="94">
        <f t="shared" ca="1" si="113"/>
        <v>7.4703935126798653</v>
      </c>
      <c r="W53" s="94">
        <f t="shared" ca="1" si="114"/>
        <v>4.5746408800991487</v>
      </c>
      <c r="X53" s="94">
        <f t="shared" ca="1" si="115"/>
        <v>0.54974605280047895</v>
      </c>
      <c r="Y53" s="95">
        <f t="shared" ca="1" si="116"/>
        <v>33.944229265872394</v>
      </c>
      <c r="Z53" s="153"/>
      <c r="AA53" s="79">
        <f t="shared" si="117"/>
        <v>-1.2126672763324251</v>
      </c>
      <c r="AB53" s="79">
        <f t="shared" ca="1" si="118"/>
        <v>0.15211609662533032</v>
      </c>
      <c r="AC53" s="79">
        <f t="shared" ca="1" si="119"/>
        <v>0.48039351267986508</v>
      </c>
      <c r="AD53" s="79">
        <f t="shared" ca="1" si="120"/>
        <v>-1.7053591199008542</v>
      </c>
      <c r="AE53" s="79">
        <f t="shared" ca="1" si="121"/>
        <v>5.9746052800478955E-2</v>
      </c>
      <c r="AF53" s="79">
        <f t="shared" ca="1" si="122"/>
        <v>-2.2257707341276074</v>
      </c>
      <c r="AH53" s="97">
        <f t="shared" si="123"/>
        <v>18123.57</v>
      </c>
      <c r="AI53" s="97">
        <f t="shared" si="124"/>
        <v>5339.7</v>
      </c>
      <c r="AJ53" s="97">
        <f t="shared" si="125"/>
        <v>7318.5300000000007</v>
      </c>
      <c r="AK53" s="97">
        <f t="shared" si="126"/>
        <v>6575.1600000000035</v>
      </c>
      <c r="AL53" s="97">
        <f t="shared" si="127"/>
        <v>513.03</v>
      </c>
      <c r="AM53" s="97">
        <f t="shared" si="128"/>
        <v>37869.990000000005</v>
      </c>
      <c r="AN53" s="91"/>
      <c r="AO53" s="75">
        <f>SUMIFS('DM-Sum'!$M$6:$M$117,'DM-Sum'!$B$6:$B$117,$C53,'DM-Sum'!$C$6:$C$117, $E53)</f>
        <v>16853.907361679951</v>
      </c>
      <c r="AP53" s="75">
        <f t="shared" ca="1" si="150"/>
        <v>5498.9655531667204</v>
      </c>
      <c r="AQ53" s="75">
        <f t="shared" ca="1" si="151"/>
        <v>7821.502007775819</v>
      </c>
      <c r="AR53" s="75">
        <f t="shared" ca="1" si="152"/>
        <v>4789.6490014638084</v>
      </c>
      <c r="AS53" s="75">
        <f t="shared" ca="1" si="153"/>
        <v>575.58411728210149</v>
      </c>
      <c r="AT53" s="75">
        <f t="shared" ca="1" si="148"/>
        <v>35539.608041368403</v>
      </c>
      <c r="AV53" s="98">
        <f t="shared" si="130"/>
        <v>-1269.6626383200492</v>
      </c>
      <c r="AW53" s="98">
        <f t="shared" ca="1" si="131"/>
        <v>159.26555316672057</v>
      </c>
      <c r="AX53" s="98">
        <f t="shared" ca="1" si="132"/>
        <v>502.97200777581838</v>
      </c>
      <c r="AY53" s="98">
        <f t="shared" ca="1" si="133"/>
        <v>-1785.5109985361951</v>
      </c>
      <c r="AZ53" s="98">
        <f t="shared" ca="1" si="134"/>
        <v>62.554117282101515</v>
      </c>
      <c r="BA53" s="98">
        <f t="shared" ca="1" si="135"/>
        <v>-2330.3819586316022</v>
      </c>
      <c r="BB53" s="99"/>
      <c r="BC53" s="100"/>
      <c r="BD53" s="267">
        <f t="shared" si="136"/>
        <v>0.92994412037363228</v>
      </c>
      <c r="BE53" s="268">
        <f t="shared" ca="1" si="137"/>
        <v>1.0298266856128098</v>
      </c>
      <c r="BF53" s="268">
        <f t="shared" ca="1" si="138"/>
        <v>1.0687258244177202</v>
      </c>
      <c r="BG53" s="268">
        <f t="shared" ca="1" si="139"/>
        <v>0.72844600001578763</v>
      </c>
      <c r="BH53" s="268">
        <f t="shared" ca="1" si="149"/>
        <v>0.94159774030508114</v>
      </c>
      <c r="BI53" s="268">
        <f t="shared" ca="1" si="141"/>
        <v>0.93846362360719915</v>
      </c>
      <c r="BK53" s="266" t="str">
        <f t="shared" si="142"/>
        <v>15</v>
      </c>
      <c r="BM53" s="269" t="s">
        <v>1617</v>
      </c>
      <c r="BN53" s="270" t="str">
        <f t="shared" si="143"/>
        <v>VRQVA</v>
      </c>
      <c r="BO53" s="270" t="str">
        <f>VLOOKUP($C53,STD!$C:$D,BO$17,0)</f>
        <v>84H 185/60R15 EP15LZ</v>
      </c>
      <c r="BP53" s="270" t="str">
        <f>VLOOKUP($C53,STD!$C:$L,BP$17,0)</f>
        <v>VRQVA</v>
      </c>
      <c r="BQ53" s="270" t="b">
        <f t="shared" si="144"/>
        <v>1</v>
      </c>
      <c r="BR53" s="270" t="b">
        <f t="shared" si="145"/>
        <v>1</v>
      </c>
    </row>
    <row r="54" spans="2:70" s="96" customFormat="1" ht="15" customHeight="1">
      <c r="B54" s="89"/>
      <c r="C54" s="478" t="s">
        <v>183</v>
      </c>
      <c r="D54" s="479" t="str">
        <f t="shared" si="107"/>
        <v>100V 225/60 R18 DTH1AZ</v>
      </c>
      <c r="E54" s="480" t="s">
        <v>197</v>
      </c>
      <c r="F54" s="481">
        <v>156</v>
      </c>
      <c r="G54" s="104">
        <f>INDEX('Tire Weight'!$D:$D,MATCH($C54&amp;"-"&amp;$E54,'Tire Weight'!$A:$A,0))</f>
        <v>12.114000000000001</v>
      </c>
      <c r="H54" s="90">
        <f t="shared" si="108"/>
        <v>1889.7840000000001</v>
      </c>
      <c r="I54" s="104">
        <f>INDEX('Tire Weight'!$E:$E,MATCH($C54&amp;"-"&amp;$E54,'Tire Weight'!$A:$A,0))</f>
        <v>5.6340000000000003</v>
      </c>
      <c r="J54" s="90">
        <f t="shared" si="109"/>
        <v>878.904</v>
      </c>
      <c r="K54" s="91"/>
      <c r="L54" s="34">
        <f>ROUND(VLOOKUP($C54,STD!$C:$AA,L$14,0),2)</f>
        <v>23.41</v>
      </c>
      <c r="M54" s="34">
        <f>ROUND(VLOOKUP($C54,STD!$C:$AA,M$14,0),2)</f>
        <v>6.58</v>
      </c>
      <c r="N54" s="34">
        <f>ROUND(VLOOKUP($C54,STD!$C:$AA,N$14,0),2)</f>
        <v>8.61</v>
      </c>
      <c r="O54" s="34">
        <f>ROUND(VLOOKUP($C54,STD!$C:$AA,O$14,0),2)-L54-M54-N54-P54</f>
        <v>7.9599999999999955</v>
      </c>
      <c r="P54" s="34">
        <f>ROUND(VLOOKUP($C54,STD!$C:$AA,P$14,0),2)</f>
        <v>0.74</v>
      </c>
      <c r="Q54" s="92">
        <f t="shared" si="110"/>
        <v>47.3</v>
      </c>
      <c r="R54" s="93">
        <f>ROUND(VLOOKUP($C54,STD!$C:$AA,R$14,0),2)-Q54</f>
        <v>0</v>
      </c>
      <c r="S54" s="91"/>
      <c r="T54" s="94">
        <f t="shared" si="111"/>
        <v>21.587451673447152</v>
      </c>
      <c r="U54" s="94">
        <f t="shared" ca="1" si="112"/>
        <v>6.7762595913322885</v>
      </c>
      <c r="V54" s="94">
        <f t="shared" ca="1" si="113"/>
        <v>9.2017293482365723</v>
      </c>
      <c r="W54" s="94">
        <f t="shared" ca="1" si="114"/>
        <v>5.7984301601256654</v>
      </c>
      <c r="X54" s="94">
        <f t="shared" ca="1" si="115"/>
        <v>0.8302287328007234</v>
      </c>
      <c r="Y54" s="95">
        <f t="shared" ca="1" si="116"/>
        <v>44.194099505942397</v>
      </c>
      <c r="Z54" s="153"/>
      <c r="AA54" s="79">
        <f t="shared" si="117"/>
        <v>-1.8225483265528482</v>
      </c>
      <c r="AB54" s="79">
        <f t="shared" ca="1" si="118"/>
        <v>0.19625959133228843</v>
      </c>
      <c r="AC54" s="79">
        <f t="shared" ca="1" si="119"/>
        <v>0.59172934823657286</v>
      </c>
      <c r="AD54" s="79">
        <f t="shared" ca="1" si="120"/>
        <v>-2.1615698398743302</v>
      </c>
      <c r="AE54" s="79">
        <f t="shared" ca="1" si="121"/>
        <v>9.022873280072341E-2</v>
      </c>
      <c r="AF54" s="79">
        <f t="shared" ca="1" si="122"/>
        <v>-3.1059004940576003</v>
      </c>
      <c r="AH54" s="97">
        <f t="shared" si="123"/>
        <v>3651.96</v>
      </c>
      <c r="AI54" s="97">
        <f t="shared" si="124"/>
        <v>1026.48</v>
      </c>
      <c r="AJ54" s="97">
        <f t="shared" si="125"/>
        <v>1343.1599999999999</v>
      </c>
      <c r="AK54" s="97">
        <f t="shared" si="126"/>
        <v>1241.7599999999993</v>
      </c>
      <c r="AL54" s="97">
        <f t="shared" si="127"/>
        <v>115.44</v>
      </c>
      <c r="AM54" s="97">
        <f t="shared" si="128"/>
        <v>7378.7999999999993</v>
      </c>
      <c r="AN54" s="91"/>
      <c r="AO54" s="75">
        <f>SUMIFS('DM-Sum'!$M$6:$M$117,'DM-Sum'!$B$6:$B$117,$C54,'DM-Sum'!$C$6:$C$117, $E54)</f>
        <v>3367.6424610577556</v>
      </c>
      <c r="AP54" s="75">
        <f t="shared" ca="1" si="150"/>
        <v>1057.096496247837</v>
      </c>
      <c r="AQ54" s="75">
        <f t="shared" ca="1" si="151"/>
        <v>1435.4697783249053</v>
      </c>
      <c r="AR54" s="75">
        <f t="shared" ca="1" si="152"/>
        <v>904.55510497960381</v>
      </c>
      <c r="AS54" s="75">
        <f t="shared" ca="1" si="153"/>
        <v>129.51568231691286</v>
      </c>
      <c r="AT54" s="75">
        <f t="shared" ca="1" si="148"/>
        <v>6894.279522927015</v>
      </c>
      <c r="AV54" s="98">
        <f t="shared" si="130"/>
        <v>-284.31753894224448</v>
      </c>
      <c r="AW54" s="98">
        <f t="shared" ca="1" si="131"/>
        <v>30.616496247836949</v>
      </c>
      <c r="AX54" s="98">
        <f t="shared" ca="1" si="132"/>
        <v>92.309778324905437</v>
      </c>
      <c r="AY54" s="98">
        <f t="shared" ca="1" si="133"/>
        <v>-337.2048950203955</v>
      </c>
      <c r="AZ54" s="98">
        <f t="shared" ca="1" si="134"/>
        <v>14.075682316912861</v>
      </c>
      <c r="BA54" s="98">
        <f t="shared" ca="1" si="135"/>
        <v>-484.52047707298425</v>
      </c>
      <c r="BB54" s="99"/>
      <c r="BC54" s="100"/>
      <c r="BD54" s="267">
        <f t="shared" si="136"/>
        <v>0.92214659006608934</v>
      </c>
      <c r="BE54" s="268">
        <f t="shared" ca="1" si="137"/>
        <v>1.0298266856128098</v>
      </c>
      <c r="BF54" s="268">
        <f t="shared" ca="1" si="138"/>
        <v>1.0687258244177205</v>
      </c>
      <c r="BG54" s="268">
        <f t="shared" ca="1" si="139"/>
        <v>0.72844600001578752</v>
      </c>
      <c r="BH54" s="268">
        <f t="shared" ca="1" si="149"/>
        <v>0.94066605182265783</v>
      </c>
      <c r="BI54" s="268">
        <f t="shared" ca="1" si="141"/>
        <v>0.93433614177468072</v>
      </c>
      <c r="BK54" s="266" t="str">
        <f t="shared" si="142"/>
        <v>18</v>
      </c>
      <c r="BM54" s="269" t="s">
        <v>1618</v>
      </c>
      <c r="BN54" s="270" t="str">
        <f t="shared" si="143"/>
        <v>TXLZA</v>
      </c>
      <c r="BO54" s="270" t="str">
        <f>VLOOKUP($C54,STD!$C:$D,BO$17,0)</f>
        <v>100V 225/60R18 DTH1AZ</v>
      </c>
      <c r="BP54" s="270" t="str">
        <f>VLOOKUP($C54,STD!$C:$L,BP$17,0)</f>
        <v>TXLZA</v>
      </c>
      <c r="BQ54" s="270" t="b">
        <f t="shared" si="144"/>
        <v>1</v>
      </c>
      <c r="BR54" s="270" t="b">
        <f t="shared" si="145"/>
        <v>1</v>
      </c>
    </row>
    <row r="55" spans="2:70" s="96" customFormat="1" ht="15" customHeight="1">
      <c r="B55" s="89"/>
      <c r="C55" s="478" t="s">
        <v>461</v>
      </c>
      <c r="D55" s="479" t="str">
        <f t="shared" si="107"/>
        <v>105W 255/45 R20 XLAL011Z</v>
      </c>
      <c r="E55" s="480" t="s">
        <v>462</v>
      </c>
      <c r="F55" s="481">
        <v>4</v>
      </c>
      <c r="G55" s="104">
        <f>INDEX('Tire Weight'!$D:$D,MATCH($C55&amp;"-"&amp;$E55,'Tire Weight'!$A:$A,0))</f>
        <v>15.343999999999999</v>
      </c>
      <c r="H55" s="90">
        <f t="shared" si="108"/>
        <v>61.375999999999998</v>
      </c>
      <c r="I55" s="104">
        <f>INDEX('Tire Weight'!$E:$E,MATCH($C55&amp;"-"&amp;$E55,'Tire Weight'!$A:$A,0))</f>
        <v>7.01</v>
      </c>
      <c r="J55" s="90">
        <f t="shared" si="109"/>
        <v>28.04</v>
      </c>
      <c r="K55" s="91"/>
      <c r="L55" s="34">
        <f>ROUND(VLOOKUP($C55,STD!$C:$AA,L$14,0),2)</f>
        <v>33.020000000000003</v>
      </c>
      <c r="M55" s="34">
        <f>ROUND(VLOOKUP($C55,STD!$C:$AA,M$14,0),2)</f>
        <v>7.98</v>
      </c>
      <c r="N55" s="34">
        <f>ROUND(VLOOKUP($C55,STD!$C:$AA,N$14,0),2)</f>
        <v>10.73</v>
      </c>
      <c r="O55" s="34">
        <f>ROUND(VLOOKUP($C55,STD!$C:$AA,O$14,0),2)-L55-M55-N55-P55</f>
        <v>10.079999999999997</v>
      </c>
      <c r="P55" s="34">
        <f>ROUND(VLOOKUP($C55,STD!$C:$AA,P$14,0),2)</f>
        <v>0.94</v>
      </c>
      <c r="Q55" s="92">
        <f t="shared" si="110"/>
        <v>62.75</v>
      </c>
      <c r="R55" s="93">
        <f>ROUND(VLOOKUP($C55,STD!$C:$AA,R$14,0),2)-Q55</f>
        <v>0</v>
      </c>
      <c r="S55" s="91"/>
      <c r="T55" s="94">
        <f t="shared" si="111"/>
        <v>30.969470247600551</v>
      </c>
      <c r="U55" s="94">
        <f t="shared" ca="1" si="112"/>
        <v>8.2180169511902239</v>
      </c>
      <c r="V55" s="94">
        <f t="shared" ca="1" si="113"/>
        <v>11.46742809600214</v>
      </c>
      <c r="W55" s="94">
        <f t="shared" ca="1" si="114"/>
        <v>7.3427356801591355</v>
      </c>
      <c r="X55" s="94">
        <f t="shared" ca="1" si="115"/>
        <v>1.0546148768009189</v>
      </c>
      <c r="Y55" s="95">
        <f t="shared" ca="1" si="116"/>
        <v>59.052265851752971</v>
      </c>
      <c r="Z55" s="153"/>
      <c r="AA55" s="79">
        <f t="shared" si="117"/>
        <v>-2.0505297523994521</v>
      </c>
      <c r="AB55" s="79">
        <f t="shared" ca="1" si="118"/>
        <v>0.23801695119022348</v>
      </c>
      <c r="AC55" s="79">
        <f t="shared" ca="1" si="119"/>
        <v>0.7374280960021391</v>
      </c>
      <c r="AD55" s="79">
        <f t="shared" ca="1" si="120"/>
        <v>-2.737264319840861</v>
      </c>
      <c r="AE55" s="79">
        <f t="shared" ca="1" si="121"/>
        <v>0.11461487680091897</v>
      </c>
      <c r="AF55" s="79">
        <f t="shared" ca="1" si="122"/>
        <v>-3.6977341482470294</v>
      </c>
      <c r="AH55" s="97">
        <f t="shared" si="123"/>
        <v>132.08000000000001</v>
      </c>
      <c r="AI55" s="97">
        <f t="shared" si="124"/>
        <v>31.92</v>
      </c>
      <c r="AJ55" s="97">
        <f t="shared" si="125"/>
        <v>42.92</v>
      </c>
      <c r="AK55" s="97">
        <f t="shared" si="126"/>
        <v>40.319999999999986</v>
      </c>
      <c r="AL55" s="97">
        <f t="shared" si="127"/>
        <v>3.76</v>
      </c>
      <c r="AM55" s="97">
        <f t="shared" si="128"/>
        <v>251</v>
      </c>
      <c r="AN55" s="91"/>
      <c r="AO55" s="75">
        <f>SUMIFS('DM-Sum'!$M$6:$M$117,'DM-Sum'!$B$6:$B$117,$C55,'DM-Sum'!$C$6:$C$117, $E55)</f>
        <v>123.8778809904022</v>
      </c>
      <c r="AP55" s="75">
        <f t="shared" ca="1" si="150"/>
        <v>32.872067804760896</v>
      </c>
      <c r="AQ55" s="75">
        <f t="shared" ca="1" si="151"/>
        <v>45.869712384008558</v>
      </c>
      <c r="AR55" s="75">
        <f t="shared" ca="1" si="152"/>
        <v>29.370942720636542</v>
      </c>
      <c r="AS55" s="75">
        <f t="shared" ca="1" si="153"/>
        <v>4.2184595072036757</v>
      </c>
      <c r="AT55" s="75">
        <f t="shared" ca="1" si="148"/>
        <v>236.20906340701188</v>
      </c>
      <c r="AV55" s="98">
        <f t="shared" si="130"/>
        <v>-8.2021190095978085</v>
      </c>
      <c r="AW55" s="98">
        <f t="shared" ca="1" si="131"/>
        <v>0.95206780476089392</v>
      </c>
      <c r="AX55" s="98">
        <f t="shared" ca="1" si="132"/>
        <v>2.9497123840085564</v>
      </c>
      <c r="AY55" s="98">
        <f t="shared" ca="1" si="133"/>
        <v>-10.949057279363444</v>
      </c>
      <c r="AZ55" s="98">
        <f t="shared" ca="1" si="134"/>
        <v>0.4584595072036759</v>
      </c>
      <c r="BA55" s="98">
        <f t="shared" ca="1" si="135"/>
        <v>-14.790936592988118</v>
      </c>
      <c r="BB55" s="99"/>
      <c r="BC55" s="100"/>
      <c r="BD55" s="267">
        <f t="shared" si="136"/>
        <v>0.93790037091461376</v>
      </c>
      <c r="BE55" s="268">
        <f t="shared" ca="1" si="137"/>
        <v>1.02982668561281</v>
      </c>
      <c r="BF55" s="268">
        <f t="shared" ca="1" si="138"/>
        <v>1.0687258244177202</v>
      </c>
      <c r="BG55" s="268">
        <f t="shared" ca="1" si="139"/>
        <v>0.72844600001578752</v>
      </c>
      <c r="BH55" s="268">
        <f t="shared" ca="1" si="149"/>
        <v>0.93880447125222288</v>
      </c>
      <c r="BI55" s="268">
        <f t="shared" ca="1" si="141"/>
        <v>0.94107196576498753</v>
      </c>
      <c r="BK55" s="266" t="str">
        <f t="shared" si="142"/>
        <v>20</v>
      </c>
      <c r="BM55" s="269" t="s">
        <v>1619</v>
      </c>
      <c r="BN55" s="270" t="str">
        <f t="shared" si="143"/>
        <v>XSYKA</v>
      </c>
      <c r="BO55" s="270" t="str">
        <f>VLOOKUP($C55,STD!$C:$D,BO$17,0)</f>
        <v>105W 255/45R20 AL011Z</v>
      </c>
      <c r="BP55" s="270" t="str">
        <f>VLOOKUP($C55,STD!$C:$L,BP$17,0)</f>
        <v>XSYKA</v>
      </c>
      <c r="BQ55" s="270" t="b">
        <f t="shared" si="144"/>
        <v>0</v>
      </c>
      <c r="BR55" s="270" t="b">
        <f t="shared" si="145"/>
        <v>1</v>
      </c>
    </row>
    <row r="56" spans="2:70" s="96" customFormat="1" ht="15" customHeight="1">
      <c r="B56" s="89"/>
      <c r="C56" s="478" t="s">
        <v>220</v>
      </c>
      <c r="D56" s="479" t="str">
        <f t="shared" si="107"/>
        <v>107V 235/60 R18 DTH1AZ</v>
      </c>
      <c r="E56" s="480" t="s">
        <v>223</v>
      </c>
      <c r="F56" s="481">
        <v>142</v>
      </c>
      <c r="G56" s="104">
        <f>INDEX('Tire Weight'!$D:$D,MATCH($C56&amp;"-"&amp;$E56,'Tire Weight'!$A:$A,0))</f>
        <v>13.974</v>
      </c>
      <c r="H56" s="90">
        <f t="shared" si="108"/>
        <v>1984.308</v>
      </c>
      <c r="I56" s="104">
        <f>INDEX('Tire Weight'!$E:$E,MATCH($C56&amp;"-"&amp;$E56,'Tire Weight'!$A:$A,0))</f>
        <v>6.524</v>
      </c>
      <c r="J56" s="90">
        <f t="shared" si="109"/>
        <v>926.40800000000002</v>
      </c>
      <c r="K56" s="91"/>
      <c r="L56" s="34">
        <f>ROUND(VLOOKUP($C56,STD!$C:$AA,L$14,0),2)</f>
        <v>28.06</v>
      </c>
      <c r="M56" s="34">
        <f>ROUND(VLOOKUP($C56,STD!$C:$AA,M$14,0),2)</f>
        <v>7.28</v>
      </c>
      <c r="N56" s="34">
        <f>ROUND(VLOOKUP($C56,STD!$C:$AA,N$14,0),2)</f>
        <v>9.65</v>
      </c>
      <c r="O56" s="34">
        <f>ROUND(VLOOKUP($C56,STD!$C:$AA,O$14,0),2)-L56-M56-N56-P56</f>
        <v>9.0800000000000018</v>
      </c>
      <c r="P56" s="34">
        <f>ROUND(VLOOKUP($C56,STD!$C:$AA,P$14,0),2)</f>
        <v>0.85</v>
      </c>
      <c r="Q56" s="92">
        <f t="shared" si="110"/>
        <v>54.919999999999995</v>
      </c>
      <c r="R56" s="93">
        <f>ROUND(VLOOKUP($C56,STD!$C:$AA,R$14,0),2)-Q56</f>
        <v>0</v>
      </c>
      <c r="S56" s="91"/>
      <c r="T56" s="94">
        <f t="shared" si="111"/>
        <v>26.315311631883969</v>
      </c>
      <c r="U56" s="94">
        <f t="shared" ca="1" si="112"/>
        <v>7.4971382712612566</v>
      </c>
      <c r="V56" s="94">
        <f t="shared" ca="1" si="113"/>
        <v>10.313204205631003</v>
      </c>
      <c r="W56" s="94">
        <f t="shared" ca="1" si="114"/>
        <v>6.6142896801433526</v>
      </c>
      <c r="X56" s="94">
        <f t="shared" ca="1" si="115"/>
        <v>0.9536411120008309</v>
      </c>
      <c r="Y56" s="95">
        <f t="shared" ca="1" si="116"/>
        <v>51.693584900920406</v>
      </c>
      <c r="Z56" s="153"/>
      <c r="AA56" s="79">
        <f t="shared" si="117"/>
        <v>-1.7446883681160301</v>
      </c>
      <c r="AB56" s="79">
        <f t="shared" ca="1" si="118"/>
        <v>0.2171382712612564</v>
      </c>
      <c r="AC56" s="79">
        <f t="shared" ca="1" si="119"/>
        <v>0.66320420563100235</v>
      </c>
      <c r="AD56" s="79">
        <f t="shared" ca="1" si="120"/>
        <v>-2.4657103198566492</v>
      </c>
      <c r="AE56" s="79">
        <f t="shared" ca="1" si="121"/>
        <v>0.10364111200083093</v>
      </c>
      <c r="AF56" s="79">
        <f t="shared" ca="1" si="122"/>
        <v>-3.2264150990795883</v>
      </c>
      <c r="AH56" s="97">
        <f t="shared" si="123"/>
        <v>3984.52</v>
      </c>
      <c r="AI56" s="97">
        <f t="shared" si="124"/>
        <v>1033.76</v>
      </c>
      <c r="AJ56" s="97">
        <f t="shared" si="125"/>
        <v>1370.3</v>
      </c>
      <c r="AK56" s="97">
        <f t="shared" si="126"/>
        <v>1289.3600000000004</v>
      </c>
      <c r="AL56" s="97">
        <f t="shared" si="127"/>
        <v>120.7</v>
      </c>
      <c r="AM56" s="97">
        <f t="shared" si="128"/>
        <v>7798.64</v>
      </c>
      <c r="AN56" s="91"/>
      <c r="AO56" s="75">
        <f>SUMIFS('DM-Sum'!$M$6:$M$117,'DM-Sum'!$B$6:$B$117,$C56,'DM-Sum'!$C$6:$C$117, $E56)</f>
        <v>3736.7742517275237</v>
      </c>
      <c r="AP56" s="75">
        <f t="shared" ca="1" si="150"/>
        <v>1064.5936345190985</v>
      </c>
      <c r="AQ56" s="75">
        <f t="shared" ca="1" si="151"/>
        <v>1464.4749971996023</v>
      </c>
      <c r="AR56" s="75">
        <f t="shared" ca="1" si="152"/>
        <v>939.22913458035612</v>
      </c>
      <c r="AS56" s="75">
        <f t="shared" ca="1" si="153"/>
        <v>135.41703790411799</v>
      </c>
      <c r="AT56" s="75">
        <f t="shared" ca="1" si="148"/>
        <v>7340.4890559306987</v>
      </c>
      <c r="AV56" s="98">
        <f t="shared" si="130"/>
        <v>-247.74574827247625</v>
      </c>
      <c r="AW56" s="98">
        <f t="shared" ca="1" si="131"/>
        <v>30.833634519098496</v>
      </c>
      <c r="AX56" s="98">
        <f t="shared" ca="1" si="132"/>
        <v>94.174997199602331</v>
      </c>
      <c r="AY56" s="98">
        <f t="shared" ca="1" si="133"/>
        <v>-350.13086541964424</v>
      </c>
      <c r="AZ56" s="98">
        <f t="shared" ca="1" si="134"/>
        <v>14.717037904117987</v>
      </c>
      <c r="BA56" s="98">
        <f t="shared" ca="1" si="135"/>
        <v>-458.15094406930166</v>
      </c>
      <c r="BB56" s="99"/>
      <c r="BC56" s="100"/>
      <c r="BD56" s="267">
        <f t="shared" si="136"/>
        <v>0.93782293770078295</v>
      </c>
      <c r="BE56" s="268">
        <f t="shared" ca="1" si="137"/>
        <v>1.02982668561281</v>
      </c>
      <c r="BF56" s="268">
        <f t="shared" ca="1" si="138"/>
        <v>1.0687258244177205</v>
      </c>
      <c r="BG56" s="268">
        <f t="shared" ca="1" si="139"/>
        <v>0.72844600001578763</v>
      </c>
      <c r="BH56" s="268">
        <f t="shared" ca="1" si="149"/>
        <v>0.93904775690256093</v>
      </c>
      <c r="BI56" s="268">
        <f t="shared" ca="1" si="141"/>
        <v>0.94125245631683196</v>
      </c>
      <c r="BK56" s="266" t="str">
        <f t="shared" si="142"/>
        <v>18</v>
      </c>
      <c r="BM56" s="269" t="s">
        <v>1620</v>
      </c>
      <c r="BN56" s="270" t="str">
        <f t="shared" si="143"/>
        <v>DHHZA</v>
      </c>
      <c r="BO56" s="270" t="str">
        <f>VLOOKUP($C56,STD!$C:$D,BO$17,0)</f>
        <v>107V 235/60R18 DTH1AZ</v>
      </c>
      <c r="BP56" s="270" t="str">
        <f>VLOOKUP($C56,STD!$C:$L,BP$17,0)</f>
        <v>DHHZA</v>
      </c>
      <c r="BQ56" s="270" t="b">
        <f t="shared" si="144"/>
        <v>1</v>
      </c>
      <c r="BR56" s="270" t="b">
        <f t="shared" si="145"/>
        <v>1</v>
      </c>
    </row>
    <row r="57" spans="2:70" s="96" customFormat="1" ht="15" customHeight="1">
      <c r="B57" s="89"/>
      <c r="C57" s="478" t="s">
        <v>576</v>
      </c>
      <c r="D57" s="479" t="str">
        <f t="shared" si="107"/>
        <v>095V 215/60 R16 EA03FZ</v>
      </c>
      <c r="E57" s="480" t="s">
        <v>724</v>
      </c>
      <c r="F57" s="481">
        <v>1</v>
      </c>
      <c r="G57" s="104">
        <f>INDEX('Tire Weight'!$D:$D,MATCH($C57&amp;"-"&amp;$E57,'Tire Weight'!$A:$A,0))</f>
        <v>10.77</v>
      </c>
      <c r="H57" s="90">
        <f t="shared" si="108"/>
        <v>10.77</v>
      </c>
      <c r="I57" s="104">
        <f>INDEX('Tire Weight'!$E:$E,MATCH($C57&amp;"-"&amp;$E57,'Tire Weight'!$A:$A,0))</f>
        <v>5.19</v>
      </c>
      <c r="J57" s="90">
        <f t="shared" si="109"/>
        <v>5.19</v>
      </c>
      <c r="K57" s="91"/>
      <c r="L57" s="34">
        <f>ROUND(VLOOKUP($C57,STD!$C:$AA,L$14,0),2)</f>
        <v>26.48</v>
      </c>
      <c r="M57" s="34">
        <f>ROUND(VLOOKUP($C57,STD!$C:$AA,M$14,0),2)</f>
        <v>5.01</v>
      </c>
      <c r="N57" s="34">
        <f>ROUND(VLOOKUP($C57,STD!$C:$AA,N$14,0),2)</f>
        <v>6.52</v>
      </c>
      <c r="O57" s="34">
        <f>ROUND(VLOOKUP($C57,STD!$C:$AA,O$14,0),2)-L57-M57-N57-P57</f>
        <v>5.8699999999999992</v>
      </c>
      <c r="P57" s="34">
        <f>ROUND(VLOOKUP($C57,STD!$C:$AA,P$14,0),2)</f>
        <v>0.77</v>
      </c>
      <c r="Q57" s="92">
        <f t="shared" si="110"/>
        <v>44.650000000000006</v>
      </c>
      <c r="R57" s="93">
        <f>ROUND(VLOOKUP($C57,STD!$C:$AA,R$14,0),2)-Q57</f>
        <v>0</v>
      </c>
      <c r="S57" s="91"/>
      <c r="T57" s="94">
        <f t="shared" si="111"/>
        <v>21.461205813427771</v>
      </c>
      <c r="U57" s="94">
        <f t="shared" ca="1" si="112"/>
        <v>5.1594316949201771</v>
      </c>
      <c r="V57" s="94">
        <f t="shared" ca="1" si="113"/>
        <v>6.9680923752035371</v>
      </c>
      <c r="W57" s="94">
        <f t="shared" ca="1" si="114"/>
        <v>4.2759780200926718</v>
      </c>
      <c r="X57" s="94">
        <f t="shared" ca="1" si="115"/>
        <v>0.86388665440075285</v>
      </c>
      <c r="Y57" s="95">
        <f t="shared" ca="1" si="116"/>
        <v>38.728594558044911</v>
      </c>
      <c r="Z57" s="153"/>
      <c r="AA57" s="79">
        <f t="shared" si="117"/>
        <v>-5.0187941865722294</v>
      </c>
      <c r="AB57" s="79">
        <f t="shared" ca="1" si="118"/>
        <v>0.14943169492017727</v>
      </c>
      <c r="AC57" s="79">
        <f t="shared" ca="1" si="119"/>
        <v>0.44809237520353751</v>
      </c>
      <c r="AD57" s="79">
        <f t="shared" ca="1" si="120"/>
        <v>-1.5940219799073274</v>
      </c>
      <c r="AE57" s="79">
        <f t="shared" ca="1" si="121"/>
        <v>9.3886654400752834E-2</v>
      </c>
      <c r="AF57" s="79">
        <f t="shared" ca="1" si="122"/>
        <v>-5.9214054419550948</v>
      </c>
      <c r="AH57" s="97">
        <f t="shared" si="123"/>
        <v>26.48</v>
      </c>
      <c r="AI57" s="97">
        <f t="shared" si="124"/>
        <v>5.01</v>
      </c>
      <c r="AJ57" s="97">
        <f t="shared" si="125"/>
        <v>6.52</v>
      </c>
      <c r="AK57" s="97">
        <f t="shared" si="126"/>
        <v>5.8699999999999992</v>
      </c>
      <c r="AL57" s="97">
        <f t="shared" si="127"/>
        <v>0.77</v>
      </c>
      <c r="AM57" s="97">
        <f t="shared" si="128"/>
        <v>44.650000000000006</v>
      </c>
      <c r="AN57" s="91"/>
      <c r="AO57" s="75">
        <f>SUMIFS('DM-Sum'!$M$6:$M$117,'DM-Sum'!$B$6:$B$117,$C57,'DM-Sum'!$C$6:$C$117, $E57)</f>
        <v>21.461205813427771</v>
      </c>
      <c r="AP57" s="75">
        <f t="shared" ca="1" si="150"/>
        <v>5.1594316949201771</v>
      </c>
      <c r="AQ57" s="75">
        <f t="shared" ca="1" si="151"/>
        <v>6.9680923752035371</v>
      </c>
      <c r="AR57" s="75">
        <f t="shared" ca="1" si="152"/>
        <v>4.2759780200926718</v>
      </c>
      <c r="AS57" s="75">
        <f t="shared" ca="1" si="153"/>
        <v>0.86388665440075285</v>
      </c>
      <c r="AT57" s="75">
        <f t="shared" ca="1" si="148"/>
        <v>38.728594558044911</v>
      </c>
      <c r="AV57" s="98">
        <f t="shared" si="130"/>
        <v>-5.0187941865722294</v>
      </c>
      <c r="AW57" s="98">
        <f t="shared" ca="1" si="131"/>
        <v>0.14943169492017727</v>
      </c>
      <c r="AX57" s="98">
        <f t="shared" ca="1" si="132"/>
        <v>0.44809237520353751</v>
      </c>
      <c r="AY57" s="98">
        <f t="shared" ca="1" si="133"/>
        <v>-1.5940219799073274</v>
      </c>
      <c r="AZ57" s="98">
        <f t="shared" ca="1" si="134"/>
        <v>9.3886654400752834E-2</v>
      </c>
      <c r="BA57" s="98">
        <f t="shared" ca="1" si="135"/>
        <v>-5.9214054419550948</v>
      </c>
      <c r="BB57" s="99"/>
      <c r="BC57" s="100"/>
      <c r="BD57" s="267">
        <f t="shared" si="136"/>
        <v>0.81046849748594296</v>
      </c>
      <c r="BE57" s="268">
        <f t="shared" ca="1" si="137"/>
        <v>1.0298266856128098</v>
      </c>
      <c r="BF57" s="268">
        <f t="shared" ca="1" si="138"/>
        <v>1.0687258244177205</v>
      </c>
      <c r="BG57" s="268">
        <f t="shared" ca="1" si="139"/>
        <v>0.72844600001578741</v>
      </c>
      <c r="BH57" s="268">
        <f t="shared" ca="1" si="149"/>
        <v>0.94273000518484984</v>
      </c>
      <c r="BI57" s="268">
        <f t="shared" ca="1" si="141"/>
        <v>0.86738173702228238</v>
      </c>
      <c r="BK57" s="266" t="str">
        <f t="shared" si="142"/>
        <v>16</v>
      </c>
      <c r="BM57" s="269" t="s">
        <v>1621</v>
      </c>
      <c r="BN57" s="270" t="str">
        <f t="shared" si="143"/>
        <v>HFAVA</v>
      </c>
      <c r="BO57" s="270" t="str">
        <f>VLOOKUP($C57,STD!$C:$D,BO$17,0)</f>
        <v xml:space="preserve"> 215/60R16 EA03FZ</v>
      </c>
      <c r="BP57" s="270" t="str">
        <f>VLOOKUP($C57,STD!$C:$L,BP$17,0)</f>
        <v>HFAVA</v>
      </c>
      <c r="BQ57" s="270" t="b">
        <f t="shared" si="144"/>
        <v>0</v>
      </c>
      <c r="BR57" s="270" t="b">
        <f t="shared" si="145"/>
        <v>1</v>
      </c>
    </row>
    <row r="58" spans="2:70" s="96" customFormat="1" ht="15" customHeight="1">
      <c r="B58" s="89"/>
      <c r="C58" s="478" t="s">
        <v>476</v>
      </c>
      <c r="D58" s="479" t="str">
        <f t="shared" si="107"/>
        <v>099V 225/55 R19 AL011Z</v>
      </c>
      <c r="E58" s="480" t="s">
        <v>484</v>
      </c>
      <c r="F58" s="481">
        <v>12</v>
      </c>
      <c r="G58" s="104">
        <f>INDEX('Tire Weight'!$D:$D,MATCH($C58&amp;"-"&amp;$E58,'Tire Weight'!$A:$A,0))</f>
        <v>12.566000000000001</v>
      </c>
      <c r="H58" s="90">
        <f t="shared" si="108"/>
        <v>150.792</v>
      </c>
      <c r="I58" s="104">
        <f>INDEX('Tire Weight'!$E:$E,MATCH($C58&amp;"-"&amp;$E58,'Tire Weight'!$A:$A,0))</f>
        <v>5.8869999999999996</v>
      </c>
      <c r="J58" s="90">
        <f t="shared" si="109"/>
        <v>70.643999999999991</v>
      </c>
      <c r="K58" s="91"/>
      <c r="L58" s="34">
        <f>ROUND(VLOOKUP($C58,STD!$C:$AA,L$14,0),2)</f>
        <v>26.72</v>
      </c>
      <c r="M58" s="34">
        <f>ROUND(VLOOKUP($C58,STD!$C:$AA,M$14,0),2)</f>
        <v>7.03</v>
      </c>
      <c r="N58" s="34">
        <f>ROUND(VLOOKUP($C58,STD!$C:$AA,N$14,0),2)</f>
        <v>9.51</v>
      </c>
      <c r="O58" s="34">
        <f>ROUND(VLOOKUP($C58,STD!$C:$AA,O$14,0),2)-L58-M58-N58-P58</f>
        <v>8.7800000000000029</v>
      </c>
      <c r="P58" s="34">
        <f>ROUND(VLOOKUP($C58,STD!$C:$AA,P$14,0),2)</f>
        <v>0.77</v>
      </c>
      <c r="Q58" s="92">
        <f t="shared" si="110"/>
        <v>52.81</v>
      </c>
      <c r="R58" s="93">
        <f>ROUND(VLOOKUP($C58,STD!$C:$AA,R$14,0),2)-Q58</f>
        <v>0</v>
      </c>
      <c r="S58" s="91"/>
      <c r="T58" s="94">
        <f t="shared" si="111"/>
        <v>24.907171606232865</v>
      </c>
      <c r="U58" s="94">
        <f t="shared" ca="1" si="112"/>
        <v>7.2396815998580548</v>
      </c>
      <c r="V58" s="94">
        <f t="shared" ca="1" si="113"/>
        <v>10.163582590212522</v>
      </c>
      <c r="W58" s="94">
        <f t="shared" ca="1" si="114"/>
        <v>6.3957558801386165</v>
      </c>
      <c r="X58" s="94">
        <f t="shared" ca="1" si="115"/>
        <v>0.86388665440075274</v>
      </c>
      <c r="Y58" s="95">
        <f t="shared" ca="1" si="116"/>
        <v>49.570078330842804</v>
      </c>
      <c r="Z58" s="153"/>
      <c r="AA58" s="79">
        <f t="shared" si="117"/>
        <v>-1.8128283937671341</v>
      </c>
      <c r="AB58" s="79">
        <f t="shared" ca="1" si="118"/>
        <v>0.20968159985805457</v>
      </c>
      <c r="AC58" s="79">
        <f t="shared" ca="1" si="119"/>
        <v>0.65358259021252252</v>
      </c>
      <c r="AD58" s="79">
        <f t="shared" ca="1" si="120"/>
        <v>-2.3842441198613864</v>
      </c>
      <c r="AE58" s="79">
        <f t="shared" ca="1" si="121"/>
        <v>9.3886654400752723E-2</v>
      </c>
      <c r="AF58" s="79">
        <f t="shared" ca="1" si="122"/>
        <v>-3.2399216691571979</v>
      </c>
      <c r="AH58" s="97">
        <f t="shared" si="123"/>
        <v>320.64</v>
      </c>
      <c r="AI58" s="97">
        <f t="shared" si="124"/>
        <v>84.36</v>
      </c>
      <c r="AJ58" s="97">
        <f t="shared" si="125"/>
        <v>114.12</v>
      </c>
      <c r="AK58" s="97">
        <f t="shared" si="126"/>
        <v>105.36000000000004</v>
      </c>
      <c r="AL58" s="97">
        <f t="shared" si="127"/>
        <v>9.24</v>
      </c>
      <c r="AM58" s="97">
        <f t="shared" si="128"/>
        <v>633.72</v>
      </c>
      <c r="AN58" s="91"/>
      <c r="AO58" s="75">
        <f>SUMIFS('DM-Sum'!$M$6:$M$117,'DM-Sum'!$B$6:$B$117,$C58,'DM-Sum'!$C$6:$C$117, $E58)</f>
        <v>298.88605927479438</v>
      </c>
      <c r="AP58" s="75">
        <f t="shared" ca="1" si="150"/>
        <v>86.876179198296654</v>
      </c>
      <c r="AQ58" s="75">
        <f t="shared" ca="1" si="151"/>
        <v>121.96299108255026</v>
      </c>
      <c r="AR58" s="75">
        <f t="shared" ca="1" si="152"/>
        <v>76.749070561663402</v>
      </c>
      <c r="AS58" s="75">
        <f t="shared" ca="1" si="153"/>
        <v>10.366639852809033</v>
      </c>
      <c r="AT58" s="75">
        <f t="shared" ca="1" si="148"/>
        <v>594.84093997011371</v>
      </c>
      <c r="AV58" s="98">
        <f t="shared" si="130"/>
        <v>-21.753940725205609</v>
      </c>
      <c r="AW58" s="98">
        <f t="shared" ca="1" si="131"/>
        <v>2.5161791982966548</v>
      </c>
      <c r="AX58" s="98">
        <f t="shared" ca="1" si="132"/>
        <v>7.842991082550256</v>
      </c>
      <c r="AY58" s="98">
        <f t="shared" ca="1" si="133"/>
        <v>-28.61092943833664</v>
      </c>
      <c r="AZ58" s="98">
        <f t="shared" ca="1" si="134"/>
        <v>1.1266398528090331</v>
      </c>
      <c r="BA58" s="98">
        <f t="shared" ca="1" si="135"/>
        <v>-38.879060029886318</v>
      </c>
      <c r="BB58" s="99"/>
      <c r="BC58" s="100"/>
      <c r="BD58" s="267">
        <f t="shared" si="136"/>
        <v>0.9321546259817689</v>
      </c>
      <c r="BE58" s="268">
        <f t="shared" ca="1" si="137"/>
        <v>1.02982668561281</v>
      </c>
      <c r="BF58" s="268">
        <f t="shared" ca="1" si="138"/>
        <v>1.0687258244177205</v>
      </c>
      <c r="BG58" s="268">
        <f t="shared" ca="1" si="139"/>
        <v>0.72844600001578752</v>
      </c>
      <c r="BH58" s="268">
        <f t="shared" ca="1" si="149"/>
        <v>0.93992970261489694</v>
      </c>
      <c r="BI58" s="268">
        <f t="shared" ca="1" si="141"/>
        <v>0.93864946659425874</v>
      </c>
      <c r="BK58" s="266" t="str">
        <f t="shared" si="142"/>
        <v>19</v>
      </c>
      <c r="BM58" s="269" t="s">
        <v>1622</v>
      </c>
      <c r="BN58" s="270" t="str">
        <f t="shared" si="143"/>
        <v>ZV2KA</v>
      </c>
      <c r="BO58" s="270" t="str">
        <f>VLOOKUP($C58,STD!$C:$D,BO$17,0)</f>
        <v>99V 225/55R19 AL011Z</v>
      </c>
      <c r="BP58" s="270" t="str">
        <f>VLOOKUP($C58,STD!$C:$L,BP$17,0)</f>
        <v>ZV2KA</v>
      </c>
      <c r="BQ58" s="270" t="b">
        <f t="shared" si="144"/>
        <v>1</v>
      </c>
      <c r="BR58" s="270" t="b">
        <f t="shared" si="145"/>
        <v>1</v>
      </c>
    </row>
    <row r="59" spans="2:70" s="96" customFormat="1" ht="15" customHeight="1">
      <c r="B59" s="89"/>
      <c r="C59" s="478" t="s">
        <v>245</v>
      </c>
      <c r="D59" s="479" t="str">
        <f t="shared" si="107"/>
        <v>105H 245/60 R18 DTH1AZ</v>
      </c>
      <c r="E59" s="480" t="s">
        <v>246</v>
      </c>
      <c r="F59" s="481">
        <v>2</v>
      </c>
      <c r="G59" s="104">
        <f>INDEX('Tire Weight'!$D:$D,MATCH($C59&amp;"-"&amp;$E59,'Tire Weight'!$A:$A,0))</f>
        <v>14.24</v>
      </c>
      <c r="H59" s="90">
        <f t="shared" si="108"/>
        <v>28.48</v>
      </c>
      <c r="I59" s="104">
        <f>INDEX('Tire Weight'!$E:$E,MATCH($C59&amp;"-"&amp;$E59,'Tire Weight'!$A:$A,0))</f>
        <v>6.625</v>
      </c>
      <c r="J59" s="90">
        <f t="shared" si="109"/>
        <v>13.25</v>
      </c>
      <c r="K59" s="91"/>
      <c r="L59" s="34">
        <f>ROUND(VLOOKUP($C59,STD!$C:$AA,L$14,0),2)</f>
        <v>28.7</v>
      </c>
      <c r="M59" s="34">
        <f>ROUND(VLOOKUP($C59,STD!$C:$AA,M$14,0),2)</f>
        <v>7.36</v>
      </c>
      <c r="N59" s="34">
        <f>ROUND(VLOOKUP($C59,STD!$C:$AA,N$14,0),2)</f>
        <v>9.81</v>
      </c>
      <c r="O59" s="34">
        <f>ROUND(VLOOKUP($C59,STD!$C:$AA,O$14,0),2)-L59-M59-N59-P59</f>
        <v>9.2500000000000036</v>
      </c>
      <c r="P59" s="34">
        <f>ROUND(VLOOKUP($C59,STD!$C:$AA,P$14,0),2)</f>
        <v>0.87</v>
      </c>
      <c r="Q59" s="92">
        <f t="shared" si="110"/>
        <v>55.99</v>
      </c>
      <c r="R59" s="93">
        <f>ROUND(VLOOKUP($C59,STD!$C:$AA,R$14,0),2)-Q59</f>
        <v>0</v>
      </c>
      <c r="S59" s="91"/>
      <c r="T59" s="94">
        <f t="shared" si="111"/>
        <v>26.99804157104748</v>
      </c>
      <c r="U59" s="94">
        <f t="shared" ca="1" si="112"/>
        <v>7.5795244061102816</v>
      </c>
      <c r="V59" s="94">
        <f t="shared" ca="1" si="113"/>
        <v>10.484200337537837</v>
      </c>
      <c r="W59" s="94">
        <f t="shared" ca="1" si="114"/>
        <v>6.7381255001460367</v>
      </c>
      <c r="X59" s="94">
        <f t="shared" ca="1" si="115"/>
        <v>0.9760797264008505</v>
      </c>
      <c r="Y59" s="95">
        <f t="shared" ca="1" si="116"/>
        <v>52.775971541242477</v>
      </c>
      <c r="Z59" s="153"/>
      <c r="AA59" s="79">
        <f t="shared" si="117"/>
        <v>-1.7019584289525191</v>
      </c>
      <c r="AB59" s="79">
        <f t="shared" ca="1" si="118"/>
        <v>0.21952440611028123</v>
      </c>
      <c r="AC59" s="79">
        <f t="shared" ca="1" si="119"/>
        <v>0.6742003375378367</v>
      </c>
      <c r="AD59" s="79">
        <f t="shared" ca="1" si="120"/>
        <v>-2.5118744998539668</v>
      </c>
      <c r="AE59" s="79">
        <f t="shared" ca="1" si="121"/>
        <v>0.1060797264008505</v>
      </c>
      <c r="AF59" s="79">
        <f t="shared" ca="1" si="122"/>
        <v>-3.2140284587575252</v>
      </c>
      <c r="AH59" s="97">
        <f t="shared" si="123"/>
        <v>57.4</v>
      </c>
      <c r="AI59" s="97">
        <f t="shared" si="124"/>
        <v>14.72</v>
      </c>
      <c r="AJ59" s="97">
        <f t="shared" si="125"/>
        <v>19.62</v>
      </c>
      <c r="AK59" s="97">
        <f t="shared" si="126"/>
        <v>18.500000000000007</v>
      </c>
      <c r="AL59" s="97">
        <f t="shared" si="127"/>
        <v>1.74</v>
      </c>
      <c r="AM59" s="97">
        <f t="shared" si="128"/>
        <v>111.98</v>
      </c>
      <c r="AN59" s="91"/>
      <c r="AO59" s="75">
        <f>SUMIFS('DM-Sum'!$M$6:$M$117,'DM-Sum'!$B$6:$B$117,$C59,'DM-Sum'!$C$6:$C$117, $E59)</f>
        <v>53.99608314209496</v>
      </c>
      <c r="AP59" s="75">
        <f t="shared" ca="1" si="150"/>
        <v>15.159048812220563</v>
      </c>
      <c r="AQ59" s="75">
        <f t="shared" ca="1" si="151"/>
        <v>20.968400675075674</v>
      </c>
      <c r="AR59" s="75">
        <f t="shared" ca="1" si="152"/>
        <v>13.476251000292073</v>
      </c>
      <c r="AS59" s="75">
        <f t="shared" ca="1" si="153"/>
        <v>1.952159452801701</v>
      </c>
      <c r="AT59" s="75">
        <f t="shared" ca="1" si="148"/>
        <v>105.55194308248495</v>
      </c>
      <c r="AV59" s="98">
        <f t="shared" si="130"/>
        <v>-3.4039168579050383</v>
      </c>
      <c r="AW59" s="98">
        <f t="shared" ca="1" si="131"/>
        <v>0.43904881222056247</v>
      </c>
      <c r="AX59" s="98">
        <f t="shared" ca="1" si="132"/>
        <v>1.3484006750756734</v>
      </c>
      <c r="AY59" s="98">
        <f t="shared" ca="1" si="133"/>
        <v>-5.0237489997079336</v>
      </c>
      <c r="AZ59" s="98">
        <f t="shared" ca="1" si="134"/>
        <v>0.21215945280170101</v>
      </c>
      <c r="BA59" s="98">
        <f t="shared" ca="1" si="135"/>
        <v>-6.4280569175150504</v>
      </c>
      <c r="BB59" s="99"/>
      <c r="BC59" s="100"/>
      <c r="BD59" s="267">
        <f t="shared" si="136"/>
        <v>0.94069831258005154</v>
      </c>
      <c r="BE59" s="268">
        <f t="shared" ca="1" si="137"/>
        <v>1.02982668561281</v>
      </c>
      <c r="BF59" s="268">
        <f t="shared" ca="1" si="138"/>
        <v>1.0687258244177205</v>
      </c>
      <c r="BG59" s="268">
        <f t="shared" ca="1" si="139"/>
        <v>0.72844600001578752</v>
      </c>
      <c r="BH59" s="268">
        <f t="shared" ca="1" si="149"/>
        <v>0.93875284798615255</v>
      </c>
      <c r="BI59" s="268">
        <f t="shared" ca="1" si="141"/>
        <v>0.94259638401933332</v>
      </c>
      <c r="BK59" s="266" t="str">
        <f t="shared" si="142"/>
        <v>18</v>
      </c>
      <c r="BM59" s="269" t="s">
        <v>1623</v>
      </c>
      <c r="BN59" s="270" t="str">
        <f t="shared" si="143"/>
        <v>NQTZA</v>
      </c>
      <c r="BO59" s="270" t="str">
        <f>VLOOKUP($C59,STD!$C:$D,BO$17,0)</f>
        <v>105H 245/60R18 DTH1AZ</v>
      </c>
      <c r="BP59" s="270" t="str">
        <f>VLOOKUP($C59,STD!$C:$L,BP$17,0)</f>
        <v>NQTZA</v>
      </c>
      <c r="BQ59" s="270" t="b">
        <f t="shared" si="144"/>
        <v>1</v>
      </c>
      <c r="BR59" s="270" t="b">
        <f t="shared" si="145"/>
        <v>1</v>
      </c>
    </row>
    <row r="60" spans="2:70" s="96" customFormat="1" ht="15" customHeight="1">
      <c r="B60" s="89"/>
      <c r="C60" s="478" t="s">
        <v>555</v>
      </c>
      <c r="D60" s="479" t="str">
        <f t="shared" si="107"/>
        <v>110H 265/60 R18 684A6Z</v>
      </c>
      <c r="E60" s="480" t="s">
        <v>560</v>
      </c>
      <c r="F60" s="481">
        <v>541</v>
      </c>
      <c r="G60" s="104">
        <f>INDEX('Tire Weight'!$D:$D,MATCH($C60&amp;"-"&amp;$E60,'Tire Weight'!$A:$A,0))</f>
        <v>16.266999999999999</v>
      </c>
      <c r="H60" s="90">
        <f t="shared" si="108"/>
        <v>8800.4470000000001</v>
      </c>
      <c r="I60" s="104">
        <f>INDEX('Tire Weight'!$E:$E,MATCH($C60&amp;"-"&amp;$E60,'Tire Weight'!$A:$A,0))</f>
        <v>7.7350000000000003</v>
      </c>
      <c r="J60" s="90">
        <f t="shared" si="109"/>
        <v>4184.6350000000002</v>
      </c>
      <c r="K60" s="91"/>
      <c r="L60" s="34">
        <f>ROUND(VLOOKUP($C60,STD!$C:$AA,L$14,0),2)</f>
        <v>33.65</v>
      </c>
      <c r="M60" s="34">
        <f>ROUND(VLOOKUP($C60,STD!$C:$AA,M$14,0),2)</f>
        <v>8.1300000000000008</v>
      </c>
      <c r="N60" s="34">
        <f>ROUND(VLOOKUP($C60,STD!$C:$AA,N$14,0),2)</f>
        <v>11.02</v>
      </c>
      <c r="O60" s="34">
        <f>ROUND(VLOOKUP($C60,STD!$C:$AA,O$14,0),2)-L60-M60-N60-P60</f>
        <v>10.490000000000006</v>
      </c>
      <c r="P60" s="34">
        <f>ROUND(VLOOKUP($C60,STD!$C:$AA,P$14,0),2)</f>
        <v>1</v>
      </c>
      <c r="Q60" s="92">
        <f t="shared" si="110"/>
        <v>64.290000000000006</v>
      </c>
      <c r="R60" s="93">
        <f>ROUND(VLOOKUP($C60,STD!$C:$AA,R$14,0),2)-Q60</f>
        <v>0</v>
      </c>
      <c r="S60" s="91"/>
      <c r="T60" s="94">
        <f t="shared" si="111"/>
        <v>31.874136065690973</v>
      </c>
      <c r="U60" s="94">
        <f t="shared" ca="1" si="112"/>
        <v>8.3724909540321466</v>
      </c>
      <c r="V60" s="94">
        <f t="shared" ca="1" si="113"/>
        <v>11.777358585083279</v>
      </c>
      <c r="W60" s="94">
        <f t="shared" ca="1" si="114"/>
        <v>7.6413985401656159</v>
      </c>
      <c r="X60" s="94">
        <f t="shared" ca="1" si="115"/>
        <v>1.1219307200009776</v>
      </c>
      <c r="Y60" s="95">
        <f t="shared" ca="1" si="116"/>
        <v>60.787314864972991</v>
      </c>
      <c r="Z60" s="153"/>
      <c r="AA60" s="79">
        <f t="shared" si="117"/>
        <v>-1.7758639343090259</v>
      </c>
      <c r="AB60" s="79">
        <f t="shared" ca="1" si="118"/>
        <v>0.24249095403214582</v>
      </c>
      <c r="AC60" s="79">
        <f t="shared" ca="1" si="119"/>
        <v>0.75735858508327958</v>
      </c>
      <c r="AD60" s="79">
        <f t="shared" ca="1" si="120"/>
        <v>-2.8486014598343896</v>
      </c>
      <c r="AE60" s="79">
        <f t="shared" ca="1" si="121"/>
        <v>0.1219307200009776</v>
      </c>
      <c r="AF60" s="79">
        <f t="shared" ca="1" si="122"/>
        <v>-3.502685135027015</v>
      </c>
      <c r="AH60" s="97">
        <f t="shared" si="123"/>
        <v>18204.649999999998</v>
      </c>
      <c r="AI60" s="97">
        <f t="shared" si="124"/>
        <v>4398.3300000000008</v>
      </c>
      <c r="AJ60" s="97">
        <f t="shared" si="125"/>
        <v>5961.82</v>
      </c>
      <c r="AK60" s="97">
        <f t="shared" si="126"/>
        <v>5675.0900000000029</v>
      </c>
      <c r="AL60" s="97">
        <f t="shared" si="127"/>
        <v>541</v>
      </c>
      <c r="AM60" s="97">
        <f t="shared" si="128"/>
        <v>34780.89</v>
      </c>
      <c r="AN60" s="91"/>
      <c r="AO60" s="75">
        <f>SUMIFS('DM-Sum'!$M$6:$M$117,'DM-Sum'!$B$6:$B$117,$C60,'DM-Sum'!$C$6:$C$117, $E60)</f>
        <v>17243.907611538816</v>
      </c>
      <c r="AP60" s="75">
        <f t="shared" ca="1" si="150"/>
        <v>4529.5176061313914</v>
      </c>
      <c r="AQ60" s="75">
        <f t="shared" ca="1" si="151"/>
        <v>6371.5509945300537</v>
      </c>
      <c r="AR60" s="75">
        <f t="shared" ca="1" si="152"/>
        <v>4133.9966102295984</v>
      </c>
      <c r="AS60" s="75">
        <f t="shared" ca="1" si="153"/>
        <v>606.96451952052882</v>
      </c>
      <c r="AT60" s="75">
        <f t="shared" ca="1" si="148"/>
        <v>32885.93734195039</v>
      </c>
      <c r="AV60" s="98">
        <f t="shared" si="130"/>
        <v>-960.74238846118169</v>
      </c>
      <c r="AW60" s="98">
        <f t="shared" ca="1" si="131"/>
        <v>131.18760613139057</v>
      </c>
      <c r="AX60" s="98">
        <f t="shared" ca="1" si="132"/>
        <v>409.73099453005398</v>
      </c>
      <c r="AY60" s="98">
        <f t="shared" ca="1" si="133"/>
        <v>-1541.0933897704044</v>
      </c>
      <c r="AZ60" s="98">
        <f t="shared" ca="1" si="134"/>
        <v>65.964519520528825</v>
      </c>
      <c r="BA60" s="98">
        <f t="shared" ca="1" si="135"/>
        <v>-1894.9526580496095</v>
      </c>
      <c r="BB60" s="99"/>
      <c r="BC60" s="100"/>
      <c r="BD60" s="267">
        <f t="shared" si="136"/>
        <v>0.94722544028799327</v>
      </c>
      <c r="BE60" s="268">
        <f t="shared" ca="1" si="137"/>
        <v>1.02982668561281</v>
      </c>
      <c r="BF60" s="268">
        <f t="shared" ca="1" si="138"/>
        <v>1.0687258244177205</v>
      </c>
      <c r="BG60" s="268">
        <f t="shared" ca="1" si="139"/>
        <v>0.72844600001578763</v>
      </c>
      <c r="BH60" s="268">
        <f t="shared" ca="1" si="149"/>
        <v>0.93762645341703899</v>
      </c>
      <c r="BI60" s="268">
        <f t="shared" ca="1" si="141"/>
        <v>0.94551741896053798</v>
      </c>
      <c r="BK60" s="266" t="str">
        <f t="shared" si="142"/>
        <v>18</v>
      </c>
      <c r="BM60" s="269" t="s">
        <v>1624</v>
      </c>
      <c r="BN60" s="270" t="str">
        <f t="shared" si="143"/>
        <v>FX8KA</v>
      </c>
      <c r="BO60" s="270" t="str">
        <f>VLOOKUP($C60,STD!$C:$D,BO$17,0)</f>
        <v>110H 265/60R18 684A6Z</v>
      </c>
      <c r="BP60" s="270" t="str">
        <f>VLOOKUP($C60,STD!$C:$L,BP$17,0)</f>
        <v>FX8KA</v>
      </c>
      <c r="BQ60" s="270" t="b">
        <f t="shared" si="144"/>
        <v>1</v>
      </c>
      <c r="BR60" s="270" t="b">
        <f t="shared" si="145"/>
        <v>1</v>
      </c>
    </row>
    <row r="61" spans="2:70" s="96" customFormat="1" ht="15" customHeight="1">
      <c r="B61" s="89"/>
      <c r="C61" s="478" t="s">
        <v>556</v>
      </c>
      <c r="D61" s="479" t="str">
        <f t="shared" si="107"/>
        <v>112S 265/65 R17 693BHZ</v>
      </c>
      <c r="E61" s="480" t="s">
        <v>562</v>
      </c>
      <c r="F61" s="481">
        <v>326</v>
      </c>
      <c r="G61" s="104">
        <f>INDEX('Tire Weight'!$D:$D,MATCH($C61&amp;"-"&amp;$E61,'Tire Weight'!$A:$A,0))</f>
        <v>16.079999999999998</v>
      </c>
      <c r="H61" s="90">
        <f t="shared" si="108"/>
        <v>5242.079999999999</v>
      </c>
      <c r="I61" s="104">
        <f>INDEX('Tire Weight'!$E:$E,MATCH($C61&amp;"-"&amp;$E61,'Tire Weight'!$A:$A,0))</f>
        <v>7.7279999999999998</v>
      </c>
      <c r="J61" s="90">
        <f t="shared" si="109"/>
        <v>2519.328</v>
      </c>
      <c r="K61" s="91"/>
      <c r="L61" s="34">
        <f>ROUND(VLOOKUP($C61,STD!$C:$AA,L$14,0),2)</f>
        <v>33.04</v>
      </c>
      <c r="M61" s="34">
        <f>ROUND(VLOOKUP($C61,STD!$C:$AA,M$14,0),2)</f>
        <v>7.92</v>
      </c>
      <c r="N61" s="34">
        <f>ROUND(VLOOKUP($C61,STD!$C:$AA,N$14,0),2)</f>
        <v>10.67</v>
      </c>
      <c r="O61" s="34">
        <f>ROUND(VLOOKUP($C61,STD!$C:$AA,O$14,0),2)-L61-M61-N61-P61</f>
        <v>10.219999999999997</v>
      </c>
      <c r="P61" s="34">
        <f>ROUND(VLOOKUP($C61,STD!$C:$AA,P$14,0),2)</f>
        <v>0.98</v>
      </c>
      <c r="Q61" s="92">
        <f t="shared" si="110"/>
        <v>62.83</v>
      </c>
      <c r="R61" s="93">
        <f>ROUND(VLOOKUP($C61,STD!$C:$AA,R$14,0),2)-Q61</f>
        <v>0</v>
      </c>
      <c r="S61" s="91"/>
      <c r="T61" s="94">
        <f t="shared" si="111"/>
        <v>31.432279817476729</v>
      </c>
      <c r="U61" s="94">
        <f t="shared" ca="1" si="112"/>
        <v>8.1562273500534541</v>
      </c>
      <c r="V61" s="94">
        <f t="shared" ca="1" si="113"/>
        <v>11.403304546537075</v>
      </c>
      <c r="W61" s="94">
        <f t="shared" ca="1" si="114"/>
        <v>7.4447181201613457</v>
      </c>
      <c r="X61" s="94">
        <f t="shared" ca="1" si="115"/>
        <v>1.0994921056009579</v>
      </c>
      <c r="Y61" s="95">
        <f t="shared" ca="1" si="116"/>
        <v>59.53602193982956</v>
      </c>
      <c r="Z61" s="153"/>
      <c r="AA61" s="79">
        <f t="shared" si="117"/>
        <v>-1.6077201825232699</v>
      </c>
      <c r="AB61" s="79">
        <f t="shared" ca="1" si="118"/>
        <v>0.23622735005345419</v>
      </c>
      <c r="AC61" s="79">
        <f t="shared" ca="1" si="119"/>
        <v>0.73330454653707555</v>
      </c>
      <c r="AD61" s="79">
        <f t="shared" ca="1" si="120"/>
        <v>-2.7752818798386514</v>
      </c>
      <c r="AE61" s="79">
        <f t="shared" ca="1" si="121"/>
        <v>0.11949210560095791</v>
      </c>
      <c r="AF61" s="79">
        <f t="shared" ca="1" si="122"/>
        <v>-3.2939780601704385</v>
      </c>
      <c r="AH61" s="97">
        <f t="shared" si="123"/>
        <v>10771.039999999999</v>
      </c>
      <c r="AI61" s="97">
        <f t="shared" si="124"/>
        <v>2581.92</v>
      </c>
      <c r="AJ61" s="97">
        <f t="shared" si="125"/>
        <v>3478.42</v>
      </c>
      <c r="AK61" s="97">
        <f t="shared" si="126"/>
        <v>3331.7199999999989</v>
      </c>
      <c r="AL61" s="97">
        <f t="shared" si="127"/>
        <v>319.48</v>
      </c>
      <c r="AM61" s="97">
        <f t="shared" si="128"/>
        <v>20482.579999999994</v>
      </c>
      <c r="AN61" s="91"/>
      <c r="AO61" s="75">
        <f>SUMIFS('DM-Sum'!$M$6:$M$117,'DM-Sum'!$B$6:$B$117,$C61,'DM-Sum'!$C$6:$C$117, $E61)</f>
        <v>10246.923220497414</v>
      </c>
      <c r="AP61" s="75">
        <f t="shared" ca="1" si="150"/>
        <v>2658.9301161174262</v>
      </c>
      <c r="AQ61" s="75">
        <f t="shared" ca="1" si="151"/>
        <v>3717.4772821710867</v>
      </c>
      <c r="AR61" s="75">
        <f t="shared" ca="1" si="152"/>
        <v>2426.9781071725988</v>
      </c>
      <c r="AS61" s="75">
        <f t="shared" ca="1" si="153"/>
        <v>358.43442642591231</v>
      </c>
      <c r="AT61" s="75">
        <f t="shared" ca="1" si="148"/>
        <v>19408.743152384439</v>
      </c>
      <c r="AV61" s="98">
        <f t="shared" si="130"/>
        <v>-524.1167795025849</v>
      </c>
      <c r="AW61" s="98">
        <f t="shared" ca="1" si="131"/>
        <v>77.010116117426151</v>
      </c>
      <c r="AX61" s="98">
        <f t="shared" ca="1" si="132"/>
        <v>239.05728217108663</v>
      </c>
      <c r="AY61" s="98">
        <f t="shared" ca="1" si="133"/>
        <v>-904.74189282740008</v>
      </c>
      <c r="AZ61" s="98">
        <f t="shared" ca="1" si="134"/>
        <v>38.954426425912288</v>
      </c>
      <c r="BA61" s="98">
        <f t="shared" ca="1" si="135"/>
        <v>-1073.8368476155556</v>
      </c>
      <c r="BB61" s="99"/>
      <c r="BC61" s="100"/>
      <c r="BD61" s="267">
        <f t="shared" si="136"/>
        <v>0.95134018818028843</v>
      </c>
      <c r="BE61" s="268">
        <f t="shared" ca="1" si="137"/>
        <v>1.0298266856128098</v>
      </c>
      <c r="BF61" s="268">
        <f t="shared" ca="1" si="138"/>
        <v>1.0687258244177202</v>
      </c>
      <c r="BG61" s="268">
        <f t="shared" ca="1" si="139"/>
        <v>0.72844600001578741</v>
      </c>
      <c r="BH61" s="268">
        <f t="shared" ca="1" si="149"/>
        <v>0.93732211095980145</v>
      </c>
      <c r="BI61" s="268">
        <f t="shared" ca="1" si="141"/>
        <v>0.94757316472751174</v>
      </c>
      <c r="BK61" s="266" t="str">
        <f t="shared" si="142"/>
        <v>17</v>
      </c>
      <c r="BM61" s="269" t="s">
        <v>1625</v>
      </c>
      <c r="BN61" s="270" t="str">
        <f t="shared" si="143"/>
        <v>F17KA</v>
      </c>
      <c r="BO61" s="270" t="str">
        <f>VLOOKUP($C61,STD!$C:$D,BO$17,0)</f>
        <v>112S 265/65R17 693BHZ</v>
      </c>
      <c r="BP61" s="270" t="str">
        <f>VLOOKUP($C61,STD!$C:$L,BP$17,0)</f>
        <v>F17KA</v>
      </c>
      <c r="BQ61" s="270" t="b">
        <f t="shared" si="144"/>
        <v>1</v>
      </c>
      <c r="BR61" s="270" t="b">
        <f t="shared" si="145"/>
        <v>1</v>
      </c>
    </row>
    <row r="62" spans="2:70" s="96" customFormat="1" ht="15" customHeight="1">
      <c r="B62" s="89"/>
      <c r="C62" s="478" t="s">
        <v>553</v>
      </c>
      <c r="D62" s="479" t="str">
        <f t="shared" ref="D62:D64" si="154">TRIM(BM62)</f>
        <v>091V 205/55 R16 EP30Z</v>
      </c>
      <c r="E62" s="480" t="s">
        <v>554</v>
      </c>
      <c r="F62" s="481">
        <v>1005</v>
      </c>
      <c r="G62" s="104">
        <f>INDEX('Tire Weight'!$D:$D,MATCH($C62&amp;"-"&amp;$E62,'Tire Weight'!$A:$A,0))</f>
        <v>9.01</v>
      </c>
      <c r="H62" s="90">
        <f t="shared" ref="H62:H64" si="155">F62*G62</f>
        <v>9055.0499999999993</v>
      </c>
      <c r="I62" s="104">
        <f>INDEX('Tire Weight'!$E:$E,MATCH($C62&amp;"-"&amp;$E62,'Tire Weight'!$A:$A,0))</f>
        <v>4.26</v>
      </c>
      <c r="J62" s="90">
        <f t="shared" ref="J62:J64" si="156">F62*I62</f>
        <v>4281.3</v>
      </c>
      <c r="K62" s="91"/>
      <c r="L62" s="34">
        <f>ROUND(VLOOKUP($C62,STD!$C:$AA,L$14,0),2)</f>
        <v>18.55</v>
      </c>
      <c r="M62" s="34">
        <f>ROUND(VLOOKUP($C62,STD!$C:$AA,M$14,0),2)</f>
        <v>5.54</v>
      </c>
      <c r="N62" s="34">
        <f>ROUND(VLOOKUP($C62,STD!$C:$AA,N$14,0),2)</f>
        <v>7.56</v>
      </c>
      <c r="O62" s="34">
        <f>ROUND(VLOOKUP($C62,STD!$C:$AA,O$14,0),2)-L62-M62-N62-P62</f>
        <v>6.84</v>
      </c>
      <c r="P62" s="34">
        <f>ROUND(VLOOKUP($C62,STD!$C:$AA,P$14,0),2)</f>
        <v>0.55000000000000004</v>
      </c>
      <c r="Q62" s="92">
        <f t="shared" ref="Q62:Q64" si="157">SUM(L62:P62)</f>
        <v>39.039999999999992</v>
      </c>
      <c r="R62" s="93">
        <f>ROUND(VLOOKUP($C62,STD!$C:$AA,R$14,0),2)-Q62</f>
        <v>0</v>
      </c>
      <c r="S62" s="91"/>
      <c r="T62" s="94">
        <f t="shared" ref="T62:T64" si="158">AO62/F62</f>
        <v>17.360704003408991</v>
      </c>
      <c r="U62" s="94">
        <f t="shared" ref="U62:U64" ca="1" si="159">AP62/F62</f>
        <v>5.7052398382949665</v>
      </c>
      <c r="V62" s="94">
        <f t="shared" ref="V62:V64" ca="1" si="160">AQ62/F62</f>
        <v>8.0795672325979648</v>
      </c>
      <c r="W62" s="94">
        <f t="shared" ref="W62:W64" ca="1" si="161">AR62/F62</f>
        <v>4.982570640107987</v>
      </c>
      <c r="X62" s="94">
        <f t="shared" ref="X62:X64" ca="1" si="162">AS62/F62</f>
        <v>0.61706189600053774</v>
      </c>
      <c r="Y62" s="95">
        <f t="shared" ref="Y62:Y64" ca="1" si="163">SUM(T62:X62)</f>
        <v>36.745143610410445</v>
      </c>
      <c r="Z62" s="153"/>
      <c r="AA62" s="79">
        <f t="shared" ref="AA62:AA64" si="164">T62-L62</f>
        <v>-1.1892959965910102</v>
      </c>
      <c r="AB62" s="79">
        <f t="shared" ref="AB62:AB64" ca="1" si="165">U62-M62</f>
        <v>0.16523983829496647</v>
      </c>
      <c r="AC62" s="79">
        <f t="shared" ref="AC62:AC64" ca="1" si="166">V62-N62</f>
        <v>0.51956723259796522</v>
      </c>
      <c r="AD62" s="79">
        <f t="shared" ref="AD62:AD64" ca="1" si="167">W62-O62</f>
        <v>-1.8574293598920129</v>
      </c>
      <c r="AE62" s="79">
        <f t="shared" ref="AE62:AE64" ca="1" si="168">X62-P62</f>
        <v>6.7061896000537691E-2</v>
      </c>
      <c r="AF62" s="79">
        <f t="shared" ref="AF62:AF64" ca="1" si="169">Y62-Q62</f>
        <v>-2.2948563895895475</v>
      </c>
      <c r="AH62" s="97">
        <f t="shared" ref="AH62:AH64" si="170">$F62*L62</f>
        <v>18642.75</v>
      </c>
      <c r="AI62" s="97">
        <f t="shared" ref="AI62:AI64" si="171">$F62*M62</f>
        <v>5567.7</v>
      </c>
      <c r="AJ62" s="97">
        <f t="shared" ref="AJ62:AJ64" si="172">$F62*N62</f>
        <v>7597.7999999999993</v>
      </c>
      <c r="AK62" s="97">
        <f t="shared" ref="AK62:AK64" si="173">$F62*O62</f>
        <v>6874.2</v>
      </c>
      <c r="AL62" s="97">
        <f t="shared" ref="AL62:AL64" si="174">$F62*P62</f>
        <v>552.75</v>
      </c>
      <c r="AM62" s="97">
        <f t="shared" ref="AM62:AM64" si="175">SUM(AH62:AL62)</f>
        <v>39235.199999999997</v>
      </c>
      <c r="AN62" s="91"/>
      <c r="AO62" s="75">
        <f>SUMIFS('DM-Sum'!$M$6:$M$117,'DM-Sum'!$B$6:$B$117,$C62,'DM-Sum'!$C$6:$C$117, $E62)</f>
        <v>17447.507523426037</v>
      </c>
      <c r="AP62" s="75">
        <f t="shared" ca="1" si="150"/>
        <v>5733.7660374864417</v>
      </c>
      <c r="AQ62" s="75">
        <f t="shared" ca="1" si="151"/>
        <v>8119.9650687609546</v>
      </c>
      <c r="AR62" s="75">
        <f t="shared" ca="1" si="152"/>
        <v>5007.4834933085267</v>
      </c>
      <c r="AS62" s="75">
        <f t="shared" ca="1" si="153"/>
        <v>620.14720548054038</v>
      </c>
      <c r="AT62" s="75">
        <f t="shared" ca="1" si="148"/>
        <v>36928.869328462504</v>
      </c>
      <c r="AV62" s="98">
        <f t="shared" ref="AV62:AV64" si="176">AO62-AH62</f>
        <v>-1195.2424765739634</v>
      </c>
      <c r="AW62" s="98">
        <f t="shared" ref="AW62:AW64" ca="1" si="177">AP62-AI62</f>
        <v>166.06603748644193</v>
      </c>
      <c r="AX62" s="98">
        <f t="shared" ref="AX62:AX64" ca="1" si="178">AQ62-AJ62</f>
        <v>522.16506876095536</v>
      </c>
      <c r="AY62" s="98">
        <f t="shared" ref="AY62:AY64" ca="1" si="179">AR62-AK62</f>
        <v>-1866.7165066914731</v>
      </c>
      <c r="AZ62" s="98">
        <f t="shared" ref="AZ62:AZ64" ca="1" si="180">AS62-AL62</f>
        <v>67.397205480540379</v>
      </c>
      <c r="BA62" s="98">
        <f t="shared" ref="BA62:BA64" ca="1" si="181">AT62-AM62</f>
        <v>-2306.3306715374929</v>
      </c>
      <c r="BB62" s="99"/>
      <c r="BC62" s="100"/>
      <c r="BD62" s="267">
        <f t="shared" ref="BD62:BD64" si="182">+T62/L62</f>
        <v>0.93588700827002635</v>
      </c>
      <c r="BE62" s="268">
        <f t="shared" ref="BE62:BE64" ca="1" si="183">+U62/M62</f>
        <v>1.0298266856128098</v>
      </c>
      <c r="BF62" s="268">
        <f t="shared" ref="BF62:BF64" ca="1" si="184">+V62/N62</f>
        <v>1.0687258244177202</v>
      </c>
      <c r="BG62" s="268">
        <f t="shared" ref="BG62:BG64" ca="1" si="185">+W62/O62</f>
        <v>0.72844600001578763</v>
      </c>
      <c r="BH62" s="268">
        <f t="shared" ca="1" si="149"/>
        <v>0.94119246293886261</v>
      </c>
      <c r="BI62" s="268">
        <f t="shared" ref="BI62:BI64" ca="1" si="186">+Y62/Q62</f>
        <v>0.94121781788961201</v>
      </c>
      <c r="BK62" s="266" t="str">
        <f t="shared" ref="BK62:BK64" si="187">MID(D62,SEARCH("R",D62)+1,2)</f>
        <v>16</v>
      </c>
      <c r="BM62" s="269" t="s">
        <v>1626</v>
      </c>
      <c r="BN62" s="270" t="str">
        <f t="shared" ref="BN62:BN64" si="188">E62</f>
        <v>XPDVA</v>
      </c>
      <c r="BO62" s="270" t="str">
        <f>VLOOKUP($C62,STD!$C:$D,BO$17,0)</f>
        <v xml:space="preserve"> 205/55R16 EP30Z</v>
      </c>
      <c r="BP62" s="270" t="str">
        <f>VLOOKUP($C62,STD!$C:$L,BP$17,0)</f>
        <v>XPDVA</v>
      </c>
      <c r="BQ62" s="270" t="b">
        <f t="shared" ref="BQ62:BQ64" si="189">IF(AND(LEFT(BM62,1)="0",LEFT(BO62,1)&lt;&gt;"0"), SUBSTITUTE(BM62," ","")=SUBSTITUTE("0" &amp; BO62," ",""), SUBSTITUTE(BM62," ","")=SUBSTITUTE(BO62," ",""))</f>
        <v>0</v>
      </c>
      <c r="BR62" s="270" t="b">
        <f t="shared" ref="BR62:BR64" si="190">BN62=BP62</f>
        <v>1</v>
      </c>
    </row>
    <row r="63" spans="2:70" s="96" customFormat="1" ht="15" customHeight="1">
      <c r="B63" s="89"/>
      <c r="C63" s="478" t="s">
        <v>206</v>
      </c>
      <c r="D63" s="479" t="str">
        <f t="shared" si="154"/>
        <v>098V 225/55 R18 DTH1AZ</v>
      </c>
      <c r="E63" s="480" t="s">
        <v>210</v>
      </c>
      <c r="F63" s="481">
        <v>671</v>
      </c>
      <c r="G63" s="104">
        <f>INDEX('Tire Weight'!$D:$D,MATCH($C63&amp;"-"&amp;$E63,'Tire Weight'!$A:$A,0))</f>
        <v>12.284000000000001</v>
      </c>
      <c r="H63" s="90">
        <f t="shared" si="155"/>
        <v>8242.5640000000003</v>
      </c>
      <c r="I63" s="104">
        <f>INDEX('Tire Weight'!$E:$E,MATCH($C63&amp;"-"&amp;$E63,'Tire Weight'!$A:$A,0))</f>
        <v>5.7169999999999996</v>
      </c>
      <c r="J63" s="90">
        <f t="shared" si="156"/>
        <v>3836.107</v>
      </c>
      <c r="K63" s="91"/>
      <c r="L63" s="34">
        <f>ROUND(VLOOKUP($C63,STD!$C:$AA,L$14,0),2)</f>
        <v>23.62</v>
      </c>
      <c r="M63" s="34">
        <f>ROUND(VLOOKUP($C63,STD!$C:$AA,M$14,0),2)</f>
        <v>6.57</v>
      </c>
      <c r="N63" s="34">
        <f>ROUND(VLOOKUP($C63,STD!$C:$AA,N$14,0),2)</f>
        <v>8.65</v>
      </c>
      <c r="O63" s="34">
        <f>ROUND(VLOOKUP($C63,STD!$C:$AA,O$14,0),2)-L63-M63-N63-P63</f>
        <v>8.0199999999999978</v>
      </c>
      <c r="P63" s="34">
        <f>ROUND(VLOOKUP($C63,STD!$C:$AA,P$14,0),2)</f>
        <v>0.75</v>
      </c>
      <c r="Q63" s="92">
        <f t="shared" si="157"/>
        <v>47.61</v>
      </c>
      <c r="R63" s="93">
        <f>ROUND(VLOOKUP($C63,STD!$C:$AA,R$14,0),2)-Q63</f>
        <v>0</v>
      </c>
      <c r="S63" s="91"/>
      <c r="T63" s="94">
        <f t="shared" si="158"/>
        <v>21.86657854481405</v>
      </c>
      <c r="U63" s="94">
        <f t="shared" ca="1" si="159"/>
        <v>6.7659613244761605</v>
      </c>
      <c r="V63" s="94">
        <f t="shared" ca="1" si="160"/>
        <v>9.2444783812132822</v>
      </c>
      <c r="W63" s="94">
        <f t="shared" ca="1" si="161"/>
        <v>5.842136920126614</v>
      </c>
      <c r="X63" s="94">
        <f t="shared" ca="1" si="162"/>
        <v>0.84144804000073303</v>
      </c>
      <c r="Y63" s="95">
        <f t="shared" ca="1" si="163"/>
        <v>44.560603210630845</v>
      </c>
      <c r="Z63" s="153"/>
      <c r="AA63" s="79">
        <f t="shared" si="164"/>
        <v>-1.7534214551859506</v>
      </c>
      <c r="AB63" s="79">
        <f t="shared" ca="1" si="165"/>
        <v>0.19596132447616021</v>
      </c>
      <c r="AC63" s="79">
        <f t="shared" ca="1" si="166"/>
        <v>0.59447838121328189</v>
      </c>
      <c r="AD63" s="79">
        <f t="shared" ca="1" si="167"/>
        <v>-2.1778630798733838</v>
      </c>
      <c r="AE63" s="79">
        <f t="shared" ca="1" si="168"/>
        <v>9.1448040000733033E-2</v>
      </c>
      <c r="AF63" s="79">
        <f t="shared" ca="1" si="169"/>
        <v>-3.0493967893691547</v>
      </c>
      <c r="AH63" s="97">
        <f t="shared" si="170"/>
        <v>15849.02</v>
      </c>
      <c r="AI63" s="97">
        <f t="shared" si="171"/>
        <v>4408.47</v>
      </c>
      <c r="AJ63" s="97">
        <f t="shared" si="172"/>
        <v>5804.1500000000005</v>
      </c>
      <c r="AK63" s="97">
        <f t="shared" si="173"/>
        <v>5381.4199999999983</v>
      </c>
      <c r="AL63" s="97">
        <f t="shared" si="174"/>
        <v>503.25</v>
      </c>
      <c r="AM63" s="97">
        <f t="shared" si="175"/>
        <v>31946.31</v>
      </c>
      <c r="AN63" s="91"/>
      <c r="AO63" s="75">
        <f>SUMIFS('DM-Sum'!$M$6:$M$117,'DM-Sum'!$B$6:$B$117,$C63,'DM-Sum'!$C$6:$C$117, $E63)</f>
        <v>14672.474203570227</v>
      </c>
      <c r="AP63" s="75">
        <f t="shared" ca="1" si="150"/>
        <v>4539.9600487235039</v>
      </c>
      <c r="AQ63" s="75">
        <f t="shared" ca="1" si="151"/>
        <v>6203.0449937941121</v>
      </c>
      <c r="AR63" s="75">
        <f t="shared" ca="1" si="152"/>
        <v>3920.0738734049582</v>
      </c>
      <c r="AS63" s="75">
        <f t="shared" ca="1" si="153"/>
        <v>564.61163484049189</v>
      </c>
      <c r="AT63" s="75">
        <f t="shared" ca="1" si="148"/>
        <v>29900.164754333291</v>
      </c>
      <c r="AV63" s="98">
        <f t="shared" si="176"/>
        <v>-1176.545796429773</v>
      </c>
      <c r="AW63" s="98">
        <f t="shared" ca="1" si="177"/>
        <v>131.49004872350361</v>
      </c>
      <c r="AX63" s="98">
        <f t="shared" ca="1" si="178"/>
        <v>398.89499379411154</v>
      </c>
      <c r="AY63" s="98">
        <f t="shared" ca="1" si="179"/>
        <v>-1461.34612659504</v>
      </c>
      <c r="AZ63" s="98">
        <f t="shared" ca="1" si="180"/>
        <v>61.361634840491888</v>
      </c>
      <c r="BA63" s="98">
        <f t="shared" ca="1" si="181"/>
        <v>-2046.1452456667103</v>
      </c>
      <c r="BB63" s="99"/>
      <c r="BC63" s="100"/>
      <c r="BD63" s="267">
        <f t="shared" si="182"/>
        <v>0.92576539139771585</v>
      </c>
      <c r="BE63" s="268">
        <f t="shared" ca="1" si="183"/>
        <v>1.0298266856128098</v>
      </c>
      <c r="BF63" s="268">
        <f t="shared" ca="1" si="184"/>
        <v>1.0687258244177205</v>
      </c>
      <c r="BG63" s="268">
        <f t="shared" ca="1" si="185"/>
        <v>0.72844600001578752</v>
      </c>
      <c r="BH63" s="268">
        <f t="shared" ca="1" si="149"/>
        <v>0.94030019904544138</v>
      </c>
      <c r="BI63" s="268">
        <f t="shared" ca="1" si="186"/>
        <v>0.93595049801787111</v>
      </c>
      <c r="BK63" s="266" t="str">
        <f t="shared" si="187"/>
        <v>18</v>
      </c>
      <c r="BM63" s="269" t="s">
        <v>1627</v>
      </c>
      <c r="BN63" s="270" t="str">
        <f t="shared" si="188"/>
        <v>TGAZA</v>
      </c>
      <c r="BO63" s="270" t="str">
        <f>VLOOKUP($C63,STD!$C:$D,BO$17,0)</f>
        <v>98V 225/55R18 DTH1AZ</v>
      </c>
      <c r="BP63" s="270" t="str">
        <f>VLOOKUP($C63,STD!$C:$L,BP$17,0)</f>
        <v>TGAZA</v>
      </c>
      <c r="BQ63" s="270" t="b">
        <f t="shared" si="189"/>
        <v>1</v>
      </c>
      <c r="BR63" s="270" t="b">
        <f t="shared" si="190"/>
        <v>1</v>
      </c>
    </row>
    <row r="64" spans="2:70" s="96" customFormat="1" ht="15" customHeight="1">
      <c r="B64" s="89"/>
      <c r="C64" s="478" t="s">
        <v>207</v>
      </c>
      <c r="D64" s="479" t="str">
        <f t="shared" si="154"/>
        <v>104V 235/55 R18 DTH1AZ</v>
      </c>
      <c r="E64" s="480" t="s">
        <v>211</v>
      </c>
      <c r="F64" s="481">
        <v>274</v>
      </c>
      <c r="G64" s="104">
        <f>INDEX('Tire Weight'!$D:$D,MATCH($C64&amp;"-"&amp;$E64,'Tire Weight'!$A:$A,0))</f>
        <v>13.335000000000001</v>
      </c>
      <c r="H64" s="90">
        <f t="shared" si="155"/>
        <v>3653.7900000000004</v>
      </c>
      <c r="I64" s="104">
        <f>INDEX('Tire Weight'!$E:$E,MATCH($C64&amp;"-"&amp;$E64,'Tire Weight'!$A:$A,0))</f>
        <v>6.1920000000000002</v>
      </c>
      <c r="J64" s="90">
        <f t="shared" si="156"/>
        <v>1696.6079999999999</v>
      </c>
      <c r="K64" s="91"/>
      <c r="L64" s="34">
        <f>ROUND(VLOOKUP($C64,STD!$C:$AA,L$14,0),2)</f>
        <v>26.83</v>
      </c>
      <c r="M64" s="34">
        <f>ROUND(VLOOKUP($C64,STD!$C:$AA,M$14,0),2)</f>
        <v>7.14</v>
      </c>
      <c r="N64" s="34">
        <f>ROUND(VLOOKUP($C64,STD!$C:$AA,N$14,0),2)</f>
        <v>9.34</v>
      </c>
      <c r="O64" s="34">
        <f>ROUND(VLOOKUP($C64,STD!$C:$AA,O$14,0),2)-L64-M64-N64-P64</f>
        <v>8.7399999999999984</v>
      </c>
      <c r="P64" s="34">
        <f>ROUND(VLOOKUP($C64,STD!$C:$AA,P$14,0),2)</f>
        <v>0.82</v>
      </c>
      <c r="Q64" s="92">
        <f t="shared" si="157"/>
        <v>52.87</v>
      </c>
      <c r="R64" s="93">
        <f>ROUND(VLOOKUP($C64,STD!$C:$AA,R$14,0),2)-Q64</f>
        <v>0</v>
      </c>
      <c r="S64" s="91"/>
      <c r="T64" s="94">
        <f t="shared" si="158"/>
        <v>25.033336055106354</v>
      </c>
      <c r="U64" s="94">
        <f t="shared" ca="1" si="159"/>
        <v>7.3529625352754628</v>
      </c>
      <c r="V64" s="94">
        <f t="shared" ca="1" si="160"/>
        <v>9.9818992000615072</v>
      </c>
      <c r="W64" s="94">
        <f t="shared" ca="1" si="161"/>
        <v>6.3666180401379826</v>
      </c>
      <c r="X64" s="94">
        <f t="shared" ca="1" si="162"/>
        <v>0.91998319040080145</v>
      </c>
      <c r="Y64" s="95">
        <f t="shared" ca="1" si="163"/>
        <v>49.654799020982097</v>
      </c>
      <c r="Z64" s="153"/>
      <c r="AA64" s="79">
        <f t="shared" si="164"/>
        <v>-1.7966639448936448</v>
      </c>
      <c r="AB64" s="79">
        <f t="shared" ca="1" si="165"/>
        <v>0.21296253527546316</v>
      </c>
      <c r="AC64" s="79">
        <f t="shared" ca="1" si="166"/>
        <v>0.64189920006150736</v>
      </c>
      <c r="AD64" s="79">
        <f t="shared" ca="1" si="167"/>
        <v>-2.3733819598620158</v>
      </c>
      <c r="AE64" s="79">
        <f t="shared" ca="1" si="168"/>
        <v>9.9983190400801503E-2</v>
      </c>
      <c r="AF64" s="79">
        <f t="shared" ca="1" si="169"/>
        <v>-3.2152009790179008</v>
      </c>
      <c r="AH64" s="97">
        <f t="shared" si="170"/>
        <v>7351.4199999999992</v>
      </c>
      <c r="AI64" s="97">
        <f t="shared" si="171"/>
        <v>1956.36</v>
      </c>
      <c r="AJ64" s="97">
        <f t="shared" si="172"/>
        <v>2559.16</v>
      </c>
      <c r="AK64" s="97">
        <f t="shared" si="173"/>
        <v>2394.7599999999998</v>
      </c>
      <c r="AL64" s="97">
        <f t="shared" si="174"/>
        <v>224.67999999999998</v>
      </c>
      <c r="AM64" s="97">
        <f t="shared" si="175"/>
        <v>14486.38</v>
      </c>
      <c r="AN64" s="91"/>
      <c r="AO64" s="75">
        <f>SUMIFS('DM-Sum'!$M$6:$M$117,'DM-Sum'!$B$6:$B$117,$C64,'DM-Sum'!$C$6:$C$117, $E64)</f>
        <v>6859.1340790991408</v>
      </c>
      <c r="AP64" s="75">
        <f t="shared" ca="1" si="150"/>
        <v>2014.7117346654768</v>
      </c>
      <c r="AQ64" s="75">
        <f t="shared" ca="1" si="151"/>
        <v>2735.040380816853</v>
      </c>
      <c r="AR64" s="75">
        <f t="shared" ca="1" si="152"/>
        <v>1744.4533429978073</v>
      </c>
      <c r="AS64" s="75">
        <f t="shared" ca="1" si="153"/>
        <v>252.07539416981959</v>
      </c>
      <c r="AT64" s="75">
        <f t="shared" ca="1" si="148"/>
        <v>13605.414931749099</v>
      </c>
      <c r="AV64" s="98">
        <f t="shared" si="176"/>
        <v>-492.2859209008584</v>
      </c>
      <c r="AW64" s="98">
        <f t="shared" ca="1" si="177"/>
        <v>58.351734665476897</v>
      </c>
      <c r="AX64" s="98">
        <f t="shared" ca="1" si="178"/>
        <v>175.88038081685318</v>
      </c>
      <c r="AY64" s="98">
        <f t="shared" ca="1" si="179"/>
        <v>-650.30665700219242</v>
      </c>
      <c r="AZ64" s="98">
        <f t="shared" ca="1" si="180"/>
        <v>27.39539416981961</v>
      </c>
      <c r="BA64" s="98">
        <f t="shared" ca="1" si="181"/>
        <v>-880.9650682509</v>
      </c>
      <c r="BB64" s="99"/>
      <c r="BC64" s="100"/>
      <c r="BD64" s="267">
        <f t="shared" si="182"/>
        <v>0.93303526109229795</v>
      </c>
      <c r="BE64" s="268">
        <f t="shared" ca="1" si="183"/>
        <v>1.02982668561281</v>
      </c>
      <c r="BF64" s="268">
        <f t="shared" ca="1" si="184"/>
        <v>1.0687258244177202</v>
      </c>
      <c r="BG64" s="268">
        <f t="shared" ca="1" si="185"/>
        <v>0.72844600001578763</v>
      </c>
      <c r="BH64" s="268">
        <f t="shared" ca="1" si="149"/>
        <v>0.93978904740186187</v>
      </c>
      <c r="BI64" s="268">
        <f t="shared" ca="1" si="186"/>
        <v>0.93918666580257426</v>
      </c>
      <c r="BK64" s="266" t="str">
        <f t="shared" si="187"/>
        <v>18</v>
      </c>
      <c r="BM64" s="269" t="s">
        <v>1628</v>
      </c>
      <c r="BN64" s="270" t="str">
        <f t="shared" si="188"/>
        <v>SMLZA</v>
      </c>
      <c r="BO64" s="270" t="str">
        <f>VLOOKUP($C64,STD!$C:$D,BO$17,0)</f>
        <v>104V 235/55R18 DTH1AZ</v>
      </c>
      <c r="BP64" s="270" t="str">
        <f>VLOOKUP($C64,STD!$C:$L,BP$17,0)</f>
        <v>SMLZA</v>
      </c>
      <c r="BQ64" s="270" t="b">
        <f t="shared" si="189"/>
        <v>1</v>
      </c>
      <c r="BR64" s="270" t="b">
        <f t="shared" si="190"/>
        <v>1</v>
      </c>
    </row>
    <row r="65" spans="2:70" s="96" customFormat="1" ht="15" customHeight="1">
      <c r="B65" s="89"/>
      <c r="C65" s="478" t="s">
        <v>750</v>
      </c>
      <c r="D65" s="479" t="str">
        <f t="shared" si="107"/>
        <v>101W 235/55 R19 AL011Z</v>
      </c>
      <c r="E65" s="480" t="s">
        <v>779</v>
      </c>
      <c r="F65" s="481">
        <v>498</v>
      </c>
      <c r="G65" s="104">
        <f>INDEX('Tire Weight'!$D:$D,MATCH($C65&amp;"-"&amp;$E65,'Tire Weight'!$A:$A,0))</f>
        <v>13.664999999999999</v>
      </c>
      <c r="H65" s="90">
        <f t="shared" si="108"/>
        <v>6805.1699999999992</v>
      </c>
      <c r="I65" s="104">
        <f>INDEX('Tire Weight'!$E:$E,MATCH($C65&amp;"-"&amp;$E65,'Tire Weight'!$A:$A,0))</f>
        <v>6.2880000000000003</v>
      </c>
      <c r="J65" s="90">
        <f t="shared" si="109"/>
        <v>3131.424</v>
      </c>
      <c r="K65" s="91"/>
      <c r="L65" s="34">
        <f>ROUND(VLOOKUP($C65,STD!$C:$AA,L$14,0),2)</f>
        <v>29.28</v>
      </c>
      <c r="M65" s="34">
        <f>ROUND(VLOOKUP($C65,STD!$C:$AA,M$14,0),2)</f>
        <v>7.45</v>
      </c>
      <c r="N65" s="34">
        <f>ROUND(VLOOKUP($C65,STD!$C:$AA,N$14,0),2)</f>
        <v>10.01</v>
      </c>
      <c r="O65" s="34">
        <f>ROUND(VLOOKUP($C65,STD!$C:$AA,O$14,0),2)-L65-M65-N65-P65</f>
        <v>9.3700000000000028</v>
      </c>
      <c r="P65" s="34">
        <f>ROUND(VLOOKUP($C65,STD!$C:$AA,P$14,0),2)</f>
        <v>0.84</v>
      </c>
      <c r="Q65" s="92">
        <f t="shared" si="110"/>
        <v>56.95000000000001</v>
      </c>
      <c r="R65" s="93">
        <f>ROUND(VLOOKUP($C65,STD!$C:$AA,R$14,0),2)-Q65</f>
        <v>0</v>
      </c>
      <c r="S65" s="91"/>
      <c r="T65" s="94">
        <f t="shared" si="111"/>
        <v>27.477430758636544</v>
      </c>
      <c r="U65" s="94">
        <f t="shared" ca="1" si="112"/>
        <v>7.6722088078154327</v>
      </c>
      <c r="V65" s="94">
        <f t="shared" ca="1" si="113"/>
        <v>10.69794550242138</v>
      </c>
      <c r="W65" s="94">
        <f t="shared" ca="1" si="114"/>
        <v>6.8255390201479313</v>
      </c>
      <c r="X65" s="94">
        <f t="shared" ca="1" si="115"/>
        <v>0.94242180480082116</v>
      </c>
      <c r="Y65" s="95">
        <f t="shared" ca="1" si="116"/>
        <v>53.615545893822109</v>
      </c>
      <c r="Z65" s="153"/>
      <c r="AA65" s="79">
        <f t="shared" si="117"/>
        <v>-1.8025692413634573</v>
      </c>
      <c r="AB65" s="79">
        <f t="shared" ca="1" si="118"/>
        <v>0.22220880781543251</v>
      </c>
      <c r="AC65" s="79">
        <f t="shared" ca="1" si="119"/>
        <v>0.68794550242138008</v>
      </c>
      <c r="AD65" s="79">
        <f t="shared" ca="1" si="120"/>
        <v>-2.5444609798520714</v>
      </c>
      <c r="AE65" s="79">
        <f t="shared" ca="1" si="121"/>
        <v>0.10242180480082119</v>
      </c>
      <c r="AF65" s="79">
        <f t="shared" ca="1" si="122"/>
        <v>-3.3344541061779012</v>
      </c>
      <c r="AH65" s="97">
        <f t="shared" si="123"/>
        <v>14581.44</v>
      </c>
      <c r="AI65" s="97">
        <f t="shared" si="124"/>
        <v>3710.1</v>
      </c>
      <c r="AJ65" s="97">
        <f t="shared" si="125"/>
        <v>4984.9799999999996</v>
      </c>
      <c r="AK65" s="97">
        <f t="shared" si="126"/>
        <v>4666.2600000000011</v>
      </c>
      <c r="AL65" s="97">
        <f t="shared" si="127"/>
        <v>418.32</v>
      </c>
      <c r="AM65" s="97">
        <f t="shared" si="128"/>
        <v>28361.100000000002</v>
      </c>
      <c r="AN65" s="91"/>
      <c r="AO65" s="75">
        <f>SUMIFS('DM-Sum'!$M$6:$M$117,'DM-Sum'!$B$6:$B$117,$C65,'DM-Sum'!$C$6:$C$117, $E65)</f>
        <v>13683.760517800998</v>
      </c>
      <c r="AP65" s="75">
        <f t="shared" ca="1" si="150"/>
        <v>3820.7599862920856</v>
      </c>
      <c r="AQ65" s="75">
        <f t="shared" ca="1" si="151"/>
        <v>5327.576860205847</v>
      </c>
      <c r="AR65" s="75">
        <f t="shared" ca="1" si="152"/>
        <v>3399.1184320336697</v>
      </c>
      <c r="AS65" s="75">
        <f t="shared" ca="1" si="153"/>
        <v>469.32605879080893</v>
      </c>
      <c r="AT65" s="75">
        <f t="shared" ca="1" si="129"/>
        <v>26700.541855123411</v>
      </c>
      <c r="AV65" s="98">
        <f t="shared" si="130"/>
        <v>-897.67948219900245</v>
      </c>
      <c r="AW65" s="98">
        <f t="shared" ca="1" si="131"/>
        <v>110.6599862920857</v>
      </c>
      <c r="AX65" s="98">
        <f t="shared" ca="1" si="132"/>
        <v>342.59686020584741</v>
      </c>
      <c r="AY65" s="98">
        <f t="shared" ca="1" si="133"/>
        <v>-1267.1415679663314</v>
      </c>
      <c r="AZ65" s="98">
        <f t="shared" ca="1" si="134"/>
        <v>51.006058790808936</v>
      </c>
      <c r="BA65" s="98">
        <f t="shared" ca="1" si="135"/>
        <v>-1660.5581448765915</v>
      </c>
      <c r="BB65" s="99"/>
      <c r="BC65" s="100"/>
      <c r="BD65" s="267">
        <f t="shared" si="136"/>
        <v>0.93843684284960871</v>
      </c>
      <c r="BE65" s="268">
        <f t="shared" ca="1" si="137"/>
        <v>1.0298266856128098</v>
      </c>
      <c r="BF65" s="268">
        <f t="shared" ca="1" si="138"/>
        <v>1.0687258244177202</v>
      </c>
      <c r="BG65" s="268">
        <f t="shared" ca="1" si="139"/>
        <v>0.72844600001578752</v>
      </c>
      <c r="BH65" s="268">
        <f t="shared" ca="1" si="140"/>
        <v>0.9390865944981267</v>
      </c>
      <c r="BI65" s="268">
        <f t="shared" ca="1" si="141"/>
        <v>0.94144944501882533</v>
      </c>
      <c r="BK65" s="266" t="str">
        <f t="shared" si="142"/>
        <v>19</v>
      </c>
      <c r="BM65" s="269" t="s">
        <v>1629</v>
      </c>
      <c r="BN65" s="270" t="str">
        <f t="shared" si="143"/>
        <v>NX4KA</v>
      </c>
      <c r="BO65" s="270" t="str">
        <f>VLOOKUP($C65,STD!$C:$D,BO$17,0)</f>
        <v xml:space="preserve"> 235/55R19 AL011Z</v>
      </c>
      <c r="BP65" s="270" t="str">
        <f>VLOOKUP($C65,STD!$C:$L,BP$17,0)</f>
        <v>NX4KA</v>
      </c>
      <c r="BQ65" s="270" t="b">
        <f t="shared" si="144"/>
        <v>0</v>
      </c>
      <c r="BR65" s="270" t="b">
        <f t="shared" si="145"/>
        <v>1</v>
      </c>
    </row>
    <row r="66" spans="2:70" s="96" customFormat="1" ht="15" customHeight="1">
      <c r="B66" s="89"/>
      <c r="C66" s="478" t="s">
        <v>792</v>
      </c>
      <c r="D66" s="479" t="str">
        <f t="shared" si="107"/>
        <v>089H 195/60 R16 EP15HZ</v>
      </c>
      <c r="E66" s="480" t="s">
        <v>802</v>
      </c>
      <c r="F66" s="481">
        <v>1986</v>
      </c>
      <c r="G66" s="104">
        <f>INDEX('Tire Weight'!$D:$D,MATCH($C66&amp;"-"&amp;$E66,'Tire Weight'!$A:$A,0))</f>
        <v>8.2390000000000008</v>
      </c>
      <c r="H66" s="90">
        <f t="shared" si="108"/>
        <v>16362.654000000002</v>
      </c>
      <c r="I66" s="104">
        <f>INDEX('Tire Weight'!$E:$E,MATCH($C66&amp;"-"&amp;$E66,'Tire Weight'!$A:$A,0))</f>
        <v>3.8039999999999998</v>
      </c>
      <c r="J66" s="90">
        <f t="shared" si="109"/>
        <v>7554.7439999999997</v>
      </c>
      <c r="K66" s="91"/>
      <c r="L66" s="34">
        <f>ROUND(VLOOKUP($C66,STD!$C:$AA,L$14,0),2)</f>
        <v>17.22</v>
      </c>
      <c r="M66" s="34">
        <f>ROUND(VLOOKUP($C66,STD!$C:$AA,M$14,0),2)</f>
        <v>5.28</v>
      </c>
      <c r="N66" s="34">
        <f>ROUND(VLOOKUP($C66,STD!$C:$AA,N$14,0),2)</f>
        <v>7.16</v>
      </c>
      <c r="O66" s="34">
        <f>ROUND(VLOOKUP($C66,STD!$C:$AA,O$14,0),2)-L66-M66-N66-P66</f>
        <v>6.4000000000000021</v>
      </c>
      <c r="P66" s="34">
        <f>ROUND(VLOOKUP($C66,STD!$C:$AA,P$14,0),2)</f>
        <v>0.5</v>
      </c>
      <c r="Q66" s="92">
        <f t="shared" si="110"/>
        <v>36.56</v>
      </c>
      <c r="R66" s="93">
        <f>ROUND(VLOOKUP($C66,STD!$C:$AA,R$14,0),2)-Q66</f>
        <v>0</v>
      </c>
      <c r="S66" s="91"/>
      <c r="T66" s="94">
        <f t="shared" si="111"/>
        <v>16.078273675484866</v>
      </c>
      <c r="U66" s="94">
        <f t="shared" ca="1" si="112"/>
        <v>5.4374849000356367</v>
      </c>
      <c r="V66" s="94">
        <f t="shared" ca="1" si="113"/>
        <v>7.6520769028308786</v>
      </c>
      <c r="W66" s="94">
        <f t="shared" ca="1" si="114"/>
        <v>4.6620544001010416</v>
      </c>
      <c r="X66" s="94">
        <f t="shared" ca="1" si="115"/>
        <v>0.5609653600004888</v>
      </c>
      <c r="Y66" s="95">
        <f t="shared" ca="1" si="116"/>
        <v>34.390855238452907</v>
      </c>
      <c r="Z66" s="153"/>
      <c r="AA66" s="79">
        <f t="shared" si="117"/>
        <v>-1.1417263245151332</v>
      </c>
      <c r="AB66" s="79">
        <f t="shared" ca="1" si="118"/>
        <v>0.15748490003563642</v>
      </c>
      <c r="AC66" s="79">
        <f t="shared" ca="1" si="119"/>
        <v>0.49207690283087846</v>
      </c>
      <c r="AD66" s="79">
        <f t="shared" ca="1" si="120"/>
        <v>-1.7379455998989606</v>
      </c>
      <c r="AE66" s="79">
        <f t="shared" ca="1" si="121"/>
        <v>6.09653600004888E-2</v>
      </c>
      <c r="AF66" s="79">
        <f t="shared" ca="1" si="122"/>
        <v>-2.1691447615470949</v>
      </c>
      <c r="AH66" s="97">
        <f t="shared" si="123"/>
        <v>34198.92</v>
      </c>
      <c r="AI66" s="97">
        <f t="shared" si="124"/>
        <v>10486.08</v>
      </c>
      <c r="AJ66" s="97">
        <f t="shared" si="125"/>
        <v>14219.76</v>
      </c>
      <c r="AK66" s="97">
        <f t="shared" si="126"/>
        <v>12710.400000000005</v>
      </c>
      <c r="AL66" s="97">
        <f t="shared" si="127"/>
        <v>993</v>
      </c>
      <c r="AM66" s="97">
        <f t="shared" si="128"/>
        <v>72608.160000000003</v>
      </c>
      <c r="AN66" s="91"/>
      <c r="AO66" s="75">
        <f>SUMIFS('DM-Sum'!$M$6:$M$117,'DM-Sum'!$B$6:$B$117,$C66,'DM-Sum'!$C$6:$C$117, $E66)</f>
        <v>31931.451519512946</v>
      </c>
      <c r="AP66" s="75">
        <f t="shared" ca="1" si="150"/>
        <v>10798.845011470774</v>
      </c>
      <c r="AQ66" s="75">
        <f t="shared" ca="1" si="151"/>
        <v>15197.024729022125</v>
      </c>
      <c r="AR66" s="75">
        <f t="shared" ca="1" si="152"/>
        <v>9258.8400386006688</v>
      </c>
      <c r="AS66" s="75">
        <f t="shared" ca="1" si="153"/>
        <v>1114.0772049609707</v>
      </c>
      <c r="AT66" s="75">
        <f t="shared" ca="1" si="129"/>
        <v>68300.238503567482</v>
      </c>
      <c r="AV66" s="98">
        <f t="shared" si="130"/>
        <v>-2267.4684804870521</v>
      </c>
      <c r="AW66" s="98">
        <f t="shared" ca="1" si="131"/>
        <v>312.76501147077397</v>
      </c>
      <c r="AX66" s="98">
        <f t="shared" ca="1" si="132"/>
        <v>977.26472902212481</v>
      </c>
      <c r="AY66" s="98">
        <f t="shared" ca="1" si="133"/>
        <v>-3451.5599613993363</v>
      </c>
      <c r="AZ66" s="98">
        <f t="shared" ca="1" si="134"/>
        <v>121.07720496097068</v>
      </c>
      <c r="BA66" s="98">
        <f t="shared" ca="1" si="135"/>
        <v>-4307.921496432522</v>
      </c>
      <c r="BB66" s="99"/>
      <c r="BC66" s="100"/>
      <c r="BD66" s="267">
        <f t="shared" si="136"/>
        <v>0.93369765827438256</v>
      </c>
      <c r="BE66" s="268">
        <f t="shared" ca="1" si="137"/>
        <v>1.02982668561281</v>
      </c>
      <c r="BF66" s="268">
        <f t="shared" ca="1" si="138"/>
        <v>1.0687258244177205</v>
      </c>
      <c r="BG66" s="268">
        <f t="shared" ca="1" si="139"/>
        <v>0.72844600001578752</v>
      </c>
      <c r="BH66" s="268">
        <f t="shared" ca="1" si="140"/>
        <v>0.94223015939318233</v>
      </c>
      <c r="BI66" s="268">
        <f t="shared" ca="1" si="141"/>
        <v>0.9406689069598716</v>
      </c>
      <c r="BK66" s="266" t="str">
        <f t="shared" si="142"/>
        <v>16</v>
      </c>
      <c r="BM66" s="269" t="s">
        <v>1630</v>
      </c>
      <c r="BN66" s="270" t="str">
        <f t="shared" si="143"/>
        <v>BXWVA</v>
      </c>
      <c r="BO66" s="270" t="str">
        <f>VLOOKUP($C66,STD!$C:$D,BO$17,0)</f>
        <v>089H 195/60R16 EP15HZ</v>
      </c>
      <c r="BP66" s="270" t="str">
        <f>VLOOKUP($C66,STD!$C:$L,BP$17,0)</f>
        <v>BXWVA</v>
      </c>
      <c r="BQ66" s="270" t="b">
        <f t="shared" si="144"/>
        <v>1</v>
      </c>
      <c r="BR66" s="270" t="b">
        <f t="shared" si="145"/>
        <v>1</v>
      </c>
    </row>
    <row r="67" spans="2:70" s="96" customFormat="1" ht="15" customHeight="1">
      <c r="B67" s="89"/>
      <c r="C67" s="478" t="s">
        <v>793</v>
      </c>
      <c r="D67" s="479" t="str">
        <f t="shared" si="107"/>
        <v>089V 205/50 R17 T05ABZ</v>
      </c>
      <c r="E67" s="480" t="s">
        <v>803</v>
      </c>
      <c r="F67" s="481">
        <v>826</v>
      </c>
      <c r="G67" s="104">
        <f>INDEX('Tire Weight'!$D:$D,MATCH($C67&amp;"-"&amp;$E67,'Tire Weight'!$A:$A,0))</f>
        <v>8.8439999999999994</v>
      </c>
      <c r="H67" s="90">
        <f t="shared" si="108"/>
        <v>7305.1439999999993</v>
      </c>
      <c r="I67" s="104">
        <f>INDEX('Tire Weight'!$E:$E,MATCH($C67&amp;"-"&amp;$E67,'Tire Weight'!$A:$A,0))</f>
        <v>4.1219999999999999</v>
      </c>
      <c r="J67" s="90">
        <f t="shared" si="109"/>
        <v>3404.7719999999999</v>
      </c>
      <c r="K67" s="91"/>
      <c r="L67" s="34">
        <f>ROUND(VLOOKUP($C67,STD!$C:$AA,L$14,0),2)</f>
        <v>19.43</v>
      </c>
      <c r="M67" s="34">
        <f>ROUND(VLOOKUP($C67,STD!$C:$AA,M$14,0),2)</f>
        <v>5.68</v>
      </c>
      <c r="N67" s="34">
        <f>ROUND(VLOOKUP($C67,STD!$C:$AA,N$14,0),2)</f>
        <v>7.77</v>
      </c>
      <c r="O67" s="34">
        <f>ROUND(VLOOKUP($C67,STD!$C:$AA,O$14,0),2)-L67-M67-N67-P67</f>
        <v>6.9200000000000044</v>
      </c>
      <c r="P67" s="34">
        <f>ROUND(VLOOKUP($C67,STD!$C:$AA,P$14,0),2)</f>
        <v>0.54</v>
      </c>
      <c r="Q67" s="92">
        <f t="shared" si="110"/>
        <v>40.339999999999996</v>
      </c>
      <c r="R67" s="93">
        <f>ROUND(VLOOKUP($C67,STD!$C:$AA,R$14,0),2)-Q67</f>
        <v>0</v>
      </c>
      <c r="S67" s="91"/>
      <c r="T67" s="94">
        <f t="shared" si="111"/>
        <v>18.279827760696101</v>
      </c>
      <c r="U67" s="94">
        <f t="shared" ca="1" si="112"/>
        <v>5.8494155742807594</v>
      </c>
      <c r="V67" s="94">
        <f t="shared" ca="1" si="113"/>
        <v>8.3039996557256863</v>
      </c>
      <c r="W67" s="94">
        <f t="shared" ca="1" si="114"/>
        <v>5.0408463201092539</v>
      </c>
      <c r="X67" s="94">
        <f t="shared" ca="1" si="115"/>
        <v>0.60584258880052788</v>
      </c>
      <c r="Y67" s="95">
        <f t="shared" ca="1" si="116"/>
        <v>38.079931899612326</v>
      </c>
      <c r="Z67" s="153"/>
      <c r="AA67" s="79">
        <f t="shared" si="117"/>
        <v>-1.1501722393038989</v>
      </c>
      <c r="AB67" s="79">
        <f t="shared" ca="1" si="118"/>
        <v>0.16941557428075971</v>
      </c>
      <c r="AC67" s="79">
        <f t="shared" ca="1" si="119"/>
        <v>0.53399965572568675</v>
      </c>
      <c r="AD67" s="79">
        <f t="shared" ca="1" si="120"/>
        <v>-1.8791536798907504</v>
      </c>
      <c r="AE67" s="79">
        <f t="shared" ca="1" si="121"/>
        <v>6.5842588800527846E-2</v>
      </c>
      <c r="AF67" s="79">
        <f t="shared" ca="1" si="122"/>
        <v>-2.2600681003876701</v>
      </c>
      <c r="AH67" s="97">
        <f t="shared" si="123"/>
        <v>16049.18</v>
      </c>
      <c r="AI67" s="97">
        <f t="shared" si="124"/>
        <v>4691.6799999999994</v>
      </c>
      <c r="AJ67" s="97">
        <f t="shared" si="125"/>
        <v>6418.0199999999995</v>
      </c>
      <c r="AK67" s="97">
        <f t="shared" si="126"/>
        <v>5715.9200000000037</v>
      </c>
      <c r="AL67" s="97">
        <f t="shared" si="127"/>
        <v>446.04</v>
      </c>
      <c r="AM67" s="97">
        <f t="shared" si="128"/>
        <v>33320.840000000004</v>
      </c>
      <c r="AN67" s="91"/>
      <c r="AO67" s="75">
        <f>SUMIFS('DM-Sum'!$M$6:$M$117,'DM-Sum'!$B$6:$B$117,$C67,'DM-Sum'!$C$6:$C$117, $E67)</f>
        <v>15099.137730334978</v>
      </c>
      <c r="AP67" s="75">
        <f t="shared" ca="1" si="150"/>
        <v>4831.6172643559075</v>
      </c>
      <c r="AQ67" s="75">
        <f t="shared" ca="1" si="151"/>
        <v>6859.1037156294169</v>
      </c>
      <c r="AR67" s="75">
        <f t="shared" ca="1" si="152"/>
        <v>4163.7390604102438</v>
      </c>
      <c r="AS67" s="75">
        <f t="shared" ca="1" si="153"/>
        <v>500.42597834923606</v>
      </c>
      <c r="AT67" s="75">
        <f t="shared" ca="1" si="129"/>
        <v>31454.023749079781</v>
      </c>
      <c r="AV67" s="98">
        <f t="shared" si="130"/>
        <v>-950.0422696650221</v>
      </c>
      <c r="AW67" s="98">
        <f t="shared" ca="1" si="131"/>
        <v>139.93726435590816</v>
      </c>
      <c r="AX67" s="98">
        <f t="shared" ca="1" si="132"/>
        <v>441.08371562941738</v>
      </c>
      <c r="AY67" s="98">
        <f t="shared" ca="1" si="133"/>
        <v>-1552.1809395897599</v>
      </c>
      <c r="AZ67" s="98">
        <f t="shared" ca="1" si="134"/>
        <v>54.385978349236041</v>
      </c>
      <c r="BA67" s="98">
        <f t="shared" ca="1" si="135"/>
        <v>-1866.816250920223</v>
      </c>
      <c r="BB67" s="99"/>
      <c r="BC67" s="100"/>
      <c r="BD67" s="267">
        <f t="shared" si="136"/>
        <v>0.94080431089532168</v>
      </c>
      <c r="BE67" s="268">
        <f t="shared" ca="1" si="137"/>
        <v>1.0298266856128098</v>
      </c>
      <c r="BF67" s="268">
        <f t="shared" ca="1" si="138"/>
        <v>1.0687258244177202</v>
      </c>
      <c r="BG67" s="268">
        <f t="shared" ca="1" si="139"/>
        <v>0.72844600001578763</v>
      </c>
      <c r="BH67" s="268">
        <f t="shared" ca="1" si="140"/>
        <v>0.9422808812035196</v>
      </c>
      <c r="BI67" s="268">
        <f t="shared" ca="1" si="141"/>
        <v>0.94397451412028577</v>
      </c>
      <c r="BK67" s="266" t="str">
        <f t="shared" si="142"/>
        <v>17</v>
      </c>
      <c r="BM67" s="269" t="s">
        <v>1631</v>
      </c>
      <c r="BN67" s="270" t="str">
        <f t="shared" si="143"/>
        <v>FNTZA</v>
      </c>
      <c r="BO67" s="270" t="str">
        <f>VLOOKUP($C67,STD!$C:$D,BO$17,0)</f>
        <v>089V 205/50R17 T05ABZ</v>
      </c>
      <c r="BP67" s="270" t="str">
        <f>VLOOKUP($C67,STD!$C:$L,BP$17,0)</f>
        <v>FNTZA</v>
      </c>
      <c r="BQ67" s="270" t="b">
        <f t="shared" si="144"/>
        <v>1</v>
      </c>
      <c r="BR67" s="270" t="b">
        <f t="shared" si="145"/>
        <v>1</v>
      </c>
    </row>
    <row r="68" spans="2:70" s="96" customFormat="1" ht="15" customHeight="1">
      <c r="B68" s="89"/>
      <c r="C68" s="478" t="s">
        <v>412</v>
      </c>
      <c r="D68" s="479" t="str">
        <f t="shared" si="107"/>
        <v>084H 175/70 R14 SPCZ</v>
      </c>
      <c r="E68" s="480" t="s">
        <v>413</v>
      </c>
      <c r="F68" s="481">
        <v>409</v>
      </c>
      <c r="G68" s="104">
        <f>INDEX('Tire Weight'!$D:$D,MATCH($C68&amp;"-"&amp;$E68,'Tire Weight'!$A:$A,0))</f>
        <v>6.9329999999999998</v>
      </c>
      <c r="H68" s="90">
        <f t="shared" si="108"/>
        <v>2835.5969999999998</v>
      </c>
      <c r="I68" s="104">
        <f>INDEX('Tire Weight'!$E:$E,MATCH($C68&amp;"-"&amp;$E68,'Tire Weight'!$A:$A,0))</f>
        <v>3.3180000000000001</v>
      </c>
      <c r="J68" s="90">
        <f t="shared" si="109"/>
        <v>1357.0620000000001</v>
      </c>
      <c r="K68" s="91"/>
      <c r="L68" s="34">
        <f>ROUND(VLOOKUP($C68,STD!$C:$AA,L$14,0),2)</f>
        <v>13.42</v>
      </c>
      <c r="M68" s="34">
        <f>ROUND(VLOOKUP($C68,STD!$C:$AA,M$14,0),2)</f>
        <v>4.67</v>
      </c>
      <c r="N68" s="34">
        <f>ROUND(VLOOKUP($C68,STD!$C:$AA,N$14,0),2)</f>
        <v>6.11</v>
      </c>
      <c r="O68" s="34">
        <f>ROUND(VLOOKUP($C68,STD!$C:$AA,O$14,0),2)-L68-M68-N68-P68</f>
        <v>5.37</v>
      </c>
      <c r="P68" s="34">
        <f>ROUND(VLOOKUP($C68,STD!$C:$AA,P$14,0),2)</f>
        <v>0.42</v>
      </c>
      <c r="Q68" s="92">
        <f t="shared" si="110"/>
        <v>29.990000000000002</v>
      </c>
      <c r="R68" s="93">
        <f>ROUND(VLOOKUP($C68,STD!$C:$AA,R$14,0),2)-Q68</f>
        <v>0</v>
      </c>
      <c r="S68" s="91"/>
      <c r="T68" s="94">
        <f t="shared" si="111"/>
        <v>12.354435799119685</v>
      </c>
      <c r="U68" s="94">
        <f t="shared" ca="1" si="112"/>
        <v>4.8092906218118223</v>
      </c>
      <c r="V68" s="94">
        <f t="shared" ca="1" si="113"/>
        <v>6.5299147871922729</v>
      </c>
      <c r="W68" s="94">
        <f t="shared" ca="1" si="114"/>
        <v>3.911755020084779</v>
      </c>
      <c r="X68" s="94">
        <f t="shared" ca="1" si="115"/>
        <v>0.47121090240041058</v>
      </c>
      <c r="Y68" s="95">
        <f t="shared" ca="1" si="116"/>
        <v>28.07660713060897</v>
      </c>
      <c r="Z68" s="153"/>
      <c r="AA68" s="79">
        <f t="shared" si="117"/>
        <v>-1.0655642008803152</v>
      </c>
      <c r="AB68" s="79">
        <f t="shared" ca="1" si="118"/>
        <v>0.13929062181182239</v>
      </c>
      <c r="AC68" s="79">
        <f t="shared" ca="1" si="119"/>
        <v>0.4199147871922726</v>
      </c>
      <c r="AD68" s="79">
        <f t="shared" ca="1" si="120"/>
        <v>-1.4582449799152211</v>
      </c>
      <c r="AE68" s="79">
        <f t="shared" ca="1" si="121"/>
        <v>5.1210902400410596E-2</v>
      </c>
      <c r="AF68" s="79">
        <f t="shared" ca="1" si="122"/>
        <v>-1.913392869391032</v>
      </c>
      <c r="AH68" s="97">
        <f t="shared" si="123"/>
        <v>5488.78</v>
      </c>
      <c r="AI68" s="97">
        <f t="shared" si="124"/>
        <v>1910.03</v>
      </c>
      <c r="AJ68" s="97">
        <f t="shared" si="125"/>
        <v>2498.9900000000002</v>
      </c>
      <c r="AK68" s="97">
        <f t="shared" si="126"/>
        <v>2196.33</v>
      </c>
      <c r="AL68" s="97">
        <f t="shared" si="127"/>
        <v>171.78</v>
      </c>
      <c r="AM68" s="97">
        <f t="shared" si="128"/>
        <v>12265.91</v>
      </c>
      <c r="AN68" s="91"/>
      <c r="AO68" s="75">
        <f>SUMIFS('DM-Sum'!$M$6:$M$117,'DM-Sum'!$B$6:$B$117,$C68,'DM-Sum'!$C$6:$C$117, $E68)</f>
        <v>5052.9642418399508</v>
      </c>
      <c r="AP68" s="75">
        <f t="shared" ca="1" si="150"/>
        <v>1966.9998643210351</v>
      </c>
      <c r="AQ68" s="75">
        <f t="shared" ca="1" si="151"/>
        <v>2670.7351479616395</v>
      </c>
      <c r="AR68" s="75">
        <f t="shared" ca="1" si="152"/>
        <v>1599.9078032146747</v>
      </c>
      <c r="AS68" s="75">
        <f t="shared" ca="1" si="153"/>
        <v>192.72525908176792</v>
      </c>
      <c r="AT68" s="75">
        <f t="shared" ca="1" si="129"/>
        <v>11483.332316419068</v>
      </c>
      <c r="AV68" s="98">
        <f t="shared" si="130"/>
        <v>-435.81575816004897</v>
      </c>
      <c r="AW68" s="98">
        <f t="shared" ca="1" si="131"/>
        <v>56.969864321035175</v>
      </c>
      <c r="AX68" s="98">
        <f t="shared" ca="1" si="132"/>
        <v>171.7451479616393</v>
      </c>
      <c r="AY68" s="98">
        <f t="shared" ca="1" si="133"/>
        <v>-596.42219678532524</v>
      </c>
      <c r="AZ68" s="98">
        <f t="shared" ca="1" si="134"/>
        <v>20.945259081767915</v>
      </c>
      <c r="BA68" s="98">
        <f t="shared" ca="1" si="135"/>
        <v>-782.57768358093199</v>
      </c>
      <c r="BB68" s="99"/>
      <c r="BC68" s="100"/>
      <c r="BD68" s="267">
        <f t="shared" si="136"/>
        <v>0.92059879278090051</v>
      </c>
      <c r="BE68" s="268">
        <f t="shared" ca="1" si="137"/>
        <v>1.02982668561281</v>
      </c>
      <c r="BF68" s="268">
        <f t="shared" ca="1" si="138"/>
        <v>1.0687258244177205</v>
      </c>
      <c r="BG68" s="268">
        <f t="shared" ca="1" si="139"/>
        <v>0.72844600001578752</v>
      </c>
      <c r="BH68" s="268">
        <f t="shared" ca="1" si="140"/>
        <v>0.94433191511386205</v>
      </c>
      <c r="BI68" s="268">
        <f t="shared" ca="1" si="141"/>
        <v>0.93619897067719138</v>
      </c>
      <c r="BK68" s="266" t="str">
        <f t="shared" si="142"/>
        <v>14</v>
      </c>
      <c r="BM68" s="269" t="s">
        <v>1632</v>
      </c>
      <c r="BN68" s="270" t="str">
        <f t="shared" si="143"/>
        <v>KSAVA</v>
      </c>
      <c r="BO68" s="270" t="str">
        <f>VLOOKUP($C68,STD!$C:$D,BO$17,0)</f>
        <v>84H 175/70R14 SPCZ</v>
      </c>
      <c r="BP68" s="270" t="str">
        <f>VLOOKUP($C68,STD!$C:$L,BP$17,0)</f>
        <v>KSAVA</v>
      </c>
      <c r="BQ68" s="270" t="b">
        <f t="shared" si="144"/>
        <v>1</v>
      </c>
      <c r="BR68" s="270" t="b">
        <f t="shared" si="145"/>
        <v>1</v>
      </c>
    </row>
    <row r="69" spans="2:70" s="96" customFormat="1" ht="15" customHeight="1">
      <c r="B69" s="89"/>
      <c r="C69" s="478" t="s">
        <v>354</v>
      </c>
      <c r="D69" s="479" t="str">
        <f t="shared" si="107"/>
        <v>094S 205/65 R15 SL10Z</v>
      </c>
      <c r="E69" s="480" t="s">
        <v>358</v>
      </c>
      <c r="F69" s="481">
        <v>432</v>
      </c>
      <c r="G69" s="104">
        <f>INDEX('Tire Weight'!$D:$D,MATCH($C69&amp;"-"&amp;$E69,'Tire Weight'!$A:$A,0))</f>
        <v>8.6999999999999993</v>
      </c>
      <c r="H69" s="90">
        <f t="shared" si="108"/>
        <v>3758.3999999999996</v>
      </c>
      <c r="I69" s="104">
        <f>INDEX('Tire Weight'!$E:$E,MATCH($C69&amp;"-"&amp;$E69,'Tire Weight'!$A:$A,0))</f>
        <v>4.008</v>
      </c>
      <c r="J69" s="90">
        <f t="shared" si="109"/>
        <v>1731.4559999999999</v>
      </c>
      <c r="K69" s="91"/>
      <c r="L69" s="34">
        <f>ROUND(VLOOKUP($C69,STD!$C:$AA,L$14,0),2)</f>
        <v>17.149999999999999</v>
      </c>
      <c r="M69" s="34">
        <f>ROUND(VLOOKUP($C69,STD!$C:$AA,M$14,0),2)</f>
        <v>5.23</v>
      </c>
      <c r="N69" s="34">
        <f>ROUND(VLOOKUP($C69,STD!$C:$AA,N$14,0),2)</f>
        <v>6.85</v>
      </c>
      <c r="O69" s="34">
        <f>ROUND(VLOOKUP($C69,STD!$C:$AA,O$14,0),2)-L69-M69-N69-P69</f>
        <v>6.1900000000000039</v>
      </c>
      <c r="P69" s="34">
        <f>ROUND(VLOOKUP($C69,STD!$C:$AA,P$14,0),2)</f>
        <v>0.53</v>
      </c>
      <c r="Q69" s="92">
        <f t="shared" si="110"/>
        <v>35.950000000000003</v>
      </c>
      <c r="R69" s="93">
        <f>ROUND(VLOOKUP($C69,STD!$C:$AA,R$14,0),2)-Q69</f>
        <v>0</v>
      </c>
      <c r="S69" s="91"/>
      <c r="T69" s="94">
        <f t="shared" si="111"/>
        <v>16.07156049525452</v>
      </c>
      <c r="U69" s="94">
        <f t="shared" ca="1" si="112"/>
        <v>5.3859935657549967</v>
      </c>
      <c r="V69" s="94">
        <f t="shared" ca="1" si="113"/>
        <v>7.3207718972613849</v>
      </c>
      <c r="W69" s="94">
        <f t="shared" ca="1" si="114"/>
        <v>4.509080740097728</v>
      </c>
      <c r="X69" s="94">
        <f t="shared" ca="1" si="115"/>
        <v>0.59462328160051825</v>
      </c>
      <c r="Y69" s="95">
        <f t="shared" ca="1" si="116"/>
        <v>33.882029979969147</v>
      </c>
      <c r="Z69" s="153"/>
      <c r="AA69" s="79">
        <f t="shared" si="117"/>
        <v>-1.0784395047454787</v>
      </c>
      <c r="AB69" s="79">
        <f t="shared" ca="1" si="118"/>
        <v>0.15599356575499623</v>
      </c>
      <c r="AC69" s="79">
        <f t="shared" ca="1" si="119"/>
        <v>0.47077189726138524</v>
      </c>
      <c r="AD69" s="79">
        <f t="shared" ca="1" si="120"/>
        <v>-1.680919259902276</v>
      </c>
      <c r="AE69" s="79">
        <f t="shared" ca="1" si="121"/>
        <v>6.4623281600518223E-2</v>
      </c>
      <c r="AF69" s="79">
        <f t="shared" ca="1" si="122"/>
        <v>-2.0679700200308559</v>
      </c>
      <c r="AH69" s="97">
        <f t="shared" si="123"/>
        <v>7408.7999999999993</v>
      </c>
      <c r="AI69" s="97">
        <f t="shared" si="124"/>
        <v>2259.36</v>
      </c>
      <c r="AJ69" s="97">
        <f t="shared" si="125"/>
        <v>2959.2</v>
      </c>
      <c r="AK69" s="97">
        <f t="shared" si="126"/>
        <v>2674.0800000000017</v>
      </c>
      <c r="AL69" s="97">
        <f t="shared" si="127"/>
        <v>228.96</v>
      </c>
      <c r="AM69" s="97">
        <f t="shared" si="128"/>
        <v>15530.400000000001</v>
      </c>
      <c r="AN69" s="91"/>
      <c r="AO69" s="75">
        <f>SUMIFS('DM-Sum'!$M$6:$M$117,'DM-Sum'!$B$6:$B$117,$C69,'DM-Sum'!$C$6:$C$117, $E69)</f>
        <v>6942.9141339499529</v>
      </c>
      <c r="AP69" s="75">
        <f t="shared" ca="1" si="150"/>
        <v>2326.7492204061587</v>
      </c>
      <c r="AQ69" s="75">
        <f t="shared" ca="1" si="151"/>
        <v>3162.5734596169182</v>
      </c>
      <c r="AR69" s="75">
        <f t="shared" ca="1" si="152"/>
        <v>1947.9228797222183</v>
      </c>
      <c r="AS69" s="75">
        <f t="shared" ca="1" si="153"/>
        <v>256.87725765142386</v>
      </c>
      <c r="AT69" s="75">
        <f t="shared" ca="1" si="129"/>
        <v>14637.036951346672</v>
      </c>
      <c r="AV69" s="98">
        <f t="shared" si="130"/>
        <v>-465.88586605004639</v>
      </c>
      <c r="AW69" s="98">
        <f t="shared" ca="1" si="131"/>
        <v>67.389220406158529</v>
      </c>
      <c r="AX69" s="98">
        <f t="shared" ca="1" si="132"/>
        <v>203.37345961691835</v>
      </c>
      <c r="AY69" s="98">
        <f t="shared" ca="1" si="133"/>
        <v>-726.15712027778341</v>
      </c>
      <c r="AZ69" s="98">
        <f t="shared" ca="1" si="134"/>
        <v>27.917257651423853</v>
      </c>
      <c r="BA69" s="98">
        <f t="shared" ca="1" si="135"/>
        <v>-893.36304865332932</v>
      </c>
      <c r="BB69" s="99"/>
      <c r="BC69" s="100"/>
      <c r="BD69" s="267">
        <f t="shared" si="136"/>
        <v>0.93711723004399539</v>
      </c>
      <c r="BE69" s="268">
        <f t="shared" ca="1" si="137"/>
        <v>1.02982668561281</v>
      </c>
      <c r="BF69" s="268">
        <f t="shared" ca="1" si="138"/>
        <v>1.0687258244177205</v>
      </c>
      <c r="BG69" s="268">
        <f t="shared" ca="1" si="139"/>
        <v>0.72844600001578763</v>
      </c>
      <c r="BH69" s="268">
        <f t="shared" ca="1" si="140"/>
        <v>0.94230137948079407</v>
      </c>
      <c r="BI69" s="268">
        <f t="shared" ca="1" si="141"/>
        <v>0.94247649457494143</v>
      </c>
      <c r="BK69" s="266" t="str">
        <f t="shared" si="142"/>
        <v>15</v>
      </c>
      <c r="BM69" s="269" t="s">
        <v>1633</v>
      </c>
      <c r="BN69" s="270" t="str">
        <f t="shared" si="143"/>
        <v>WNPVA</v>
      </c>
      <c r="BO69" s="270" t="str">
        <f>VLOOKUP($C69,STD!$C:$D,BO$17,0)</f>
        <v>94S 205/65R15 SL10Z</v>
      </c>
      <c r="BP69" s="270" t="str">
        <f>VLOOKUP($C69,STD!$C:$L,BP$17,0)</f>
        <v>WNPVA</v>
      </c>
      <c r="BQ69" s="270" t="b">
        <f t="shared" si="144"/>
        <v>1</v>
      </c>
      <c r="BR69" s="270" t="b">
        <f t="shared" si="145"/>
        <v>1</v>
      </c>
    </row>
    <row r="70" spans="2:70" s="96" customFormat="1" ht="15" customHeight="1">
      <c r="B70" s="89"/>
      <c r="C70" s="478" t="s">
        <v>435</v>
      </c>
      <c r="D70" s="479" t="str">
        <f t="shared" si="107"/>
        <v>084H 175/70 R14 DT30AZ</v>
      </c>
      <c r="E70" s="480" t="s">
        <v>440</v>
      </c>
      <c r="F70" s="481">
        <v>146</v>
      </c>
      <c r="G70" s="104">
        <f>INDEX('Tire Weight'!$D:$D,MATCH($C70&amp;"-"&amp;$E70,'Tire Weight'!$A:$A,0))</f>
        <v>6.3879999999999999</v>
      </c>
      <c r="H70" s="90">
        <f t="shared" si="108"/>
        <v>932.64800000000002</v>
      </c>
      <c r="I70" s="104">
        <f>INDEX('Tire Weight'!$E:$E,MATCH($C70&amp;"-"&amp;$E70,'Tire Weight'!$A:$A,0))</f>
        <v>3.0289999999999999</v>
      </c>
      <c r="J70" s="90">
        <f t="shared" si="109"/>
        <v>442.23399999999998</v>
      </c>
      <c r="K70" s="91"/>
      <c r="L70" s="34">
        <f>ROUND(VLOOKUP($C70,STD!$C:$AA,L$14,0),2)</f>
        <v>12.3</v>
      </c>
      <c r="M70" s="34">
        <f>ROUND(VLOOKUP($C70,STD!$C:$AA,M$14,0),2)</f>
        <v>4.53</v>
      </c>
      <c r="N70" s="34">
        <f>ROUND(VLOOKUP($C70,STD!$C:$AA,N$14,0),2)</f>
        <v>5.91</v>
      </c>
      <c r="O70" s="34">
        <f>ROUND(VLOOKUP($C70,STD!$C:$AA,O$14,0),2)-L70-M70-N70-P70</f>
        <v>5.13</v>
      </c>
      <c r="P70" s="34">
        <f>ROUND(VLOOKUP($C70,STD!$C:$AA,P$14,0),2)</f>
        <v>0.39</v>
      </c>
      <c r="Q70" s="92">
        <f t="shared" si="110"/>
        <v>28.26</v>
      </c>
      <c r="R70" s="93">
        <f>ROUND(VLOOKUP($C70,STD!$C:$AA,R$14,0),2)-Q70</f>
        <v>0</v>
      </c>
      <c r="S70" s="91"/>
      <c r="T70" s="94">
        <f t="shared" si="111"/>
        <v>11.454321712824111</v>
      </c>
      <c r="U70" s="94">
        <f t="shared" ca="1" si="112"/>
        <v>4.6651148858260285</v>
      </c>
      <c r="V70" s="94">
        <f t="shared" ca="1" si="113"/>
        <v>6.3161696223087276</v>
      </c>
      <c r="W70" s="94">
        <f t="shared" ca="1" si="114"/>
        <v>3.7369279800809903</v>
      </c>
      <c r="X70" s="94">
        <f t="shared" ca="1" si="115"/>
        <v>0.4375529808003813</v>
      </c>
      <c r="Y70" s="95">
        <f t="shared" ca="1" si="116"/>
        <v>26.610087181840239</v>
      </c>
      <c r="Z70" s="153"/>
      <c r="AA70" s="79">
        <f t="shared" si="117"/>
        <v>-0.84567828717588966</v>
      </c>
      <c r="AB70" s="79">
        <f t="shared" ca="1" si="118"/>
        <v>0.13511488582602826</v>
      </c>
      <c r="AC70" s="79">
        <f t="shared" ca="1" si="119"/>
        <v>0.40616962230872744</v>
      </c>
      <c r="AD70" s="79">
        <f t="shared" ca="1" si="120"/>
        <v>-1.3930720199190096</v>
      </c>
      <c r="AE70" s="79">
        <f t="shared" ca="1" si="121"/>
        <v>4.7552980800381284E-2</v>
      </c>
      <c r="AF70" s="79">
        <f t="shared" ca="1" si="122"/>
        <v>-1.6499128181597627</v>
      </c>
      <c r="AH70" s="97">
        <f t="shared" si="123"/>
        <v>1795.8000000000002</v>
      </c>
      <c r="AI70" s="97">
        <f t="shared" si="124"/>
        <v>661.38</v>
      </c>
      <c r="AJ70" s="97">
        <f t="shared" si="125"/>
        <v>862.86</v>
      </c>
      <c r="AK70" s="97">
        <f t="shared" si="126"/>
        <v>748.98</v>
      </c>
      <c r="AL70" s="97">
        <f t="shared" si="127"/>
        <v>56.940000000000005</v>
      </c>
      <c r="AM70" s="97">
        <f t="shared" si="128"/>
        <v>4125.96</v>
      </c>
      <c r="AN70" s="91"/>
      <c r="AO70" s="75">
        <f>SUMIFS('DM-Sum'!$M$6:$M$117,'DM-Sum'!$B$6:$B$117,$C70,'DM-Sum'!$C$6:$C$117, $E70)</f>
        <v>1672.3309700723203</v>
      </c>
      <c r="AP70" s="75">
        <f t="shared" ca="1" si="150"/>
        <v>681.10677333060016</v>
      </c>
      <c r="AQ70" s="75">
        <f t="shared" ca="1" si="151"/>
        <v>922.16076485707424</v>
      </c>
      <c r="AR70" s="75">
        <f t="shared" ca="1" si="152"/>
        <v>545.59148509182455</v>
      </c>
      <c r="AS70" s="75">
        <f t="shared" ca="1" si="153"/>
        <v>63.88273519685567</v>
      </c>
      <c r="AT70" s="75">
        <f t="shared" ca="1" si="129"/>
        <v>3885.0727285486746</v>
      </c>
      <c r="AV70" s="98">
        <f t="shared" si="130"/>
        <v>-123.46902992767991</v>
      </c>
      <c r="AW70" s="98">
        <f t="shared" ca="1" si="131"/>
        <v>19.726773330600167</v>
      </c>
      <c r="AX70" s="98">
        <f t="shared" ca="1" si="132"/>
        <v>59.300764857074228</v>
      </c>
      <c r="AY70" s="98">
        <f t="shared" ca="1" si="133"/>
        <v>-203.38851490817547</v>
      </c>
      <c r="AZ70" s="98">
        <f t="shared" ca="1" si="134"/>
        <v>6.942735196855665</v>
      </c>
      <c r="BA70" s="98">
        <f t="shared" ca="1" si="135"/>
        <v>-240.88727145132543</v>
      </c>
      <c r="BB70" s="99"/>
      <c r="BC70" s="100"/>
      <c r="BD70" s="267">
        <f t="shared" si="136"/>
        <v>0.9312456677092773</v>
      </c>
      <c r="BE70" s="268">
        <f t="shared" ca="1" si="137"/>
        <v>1.0298266856128098</v>
      </c>
      <c r="BF70" s="268">
        <f t="shared" ca="1" si="138"/>
        <v>1.0687258244177205</v>
      </c>
      <c r="BG70" s="268">
        <f t="shared" ca="1" si="139"/>
        <v>0.72844600001578763</v>
      </c>
      <c r="BH70" s="268">
        <f t="shared" ca="1" si="140"/>
        <v>0.94529303071392079</v>
      </c>
      <c r="BI70" s="268">
        <f t="shared" ca="1" si="141"/>
        <v>0.94161667310121155</v>
      </c>
      <c r="BK70" s="266" t="str">
        <f t="shared" si="142"/>
        <v>14</v>
      </c>
      <c r="BM70" s="269" t="s">
        <v>1634</v>
      </c>
      <c r="BN70" s="270" t="str">
        <f t="shared" si="143"/>
        <v>AJNVA</v>
      </c>
      <c r="BO70" s="270" t="str">
        <f>VLOOKUP($C70,STD!$C:$D,BO$17,0)</f>
        <v>84H 175/70R14 DT30AZ</v>
      </c>
      <c r="BP70" s="270" t="str">
        <f>VLOOKUP($C70,STD!$C:$L,BP$17,0)</f>
        <v>AJNVA</v>
      </c>
      <c r="BQ70" s="270" t="b">
        <f t="shared" si="144"/>
        <v>1</v>
      </c>
      <c r="BR70" s="270" t="b">
        <f t="shared" si="145"/>
        <v>1</v>
      </c>
    </row>
    <row r="71" spans="2:70" s="96" customFormat="1" ht="15" customHeight="1">
      <c r="B71" s="89"/>
      <c r="C71" s="478" t="s">
        <v>418</v>
      </c>
      <c r="D71" s="479" t="str">
        <f t="shared" si="107"/>
        <v>086V 185/55 R15 XLDT30Z</v>
      </c>
      <c r="E71" s="480" t="s">
        <v>457</v>
      </c>
      <c r="F71" s="481">
        <v>190</v>
      </c>
      <c r="G71" s="104">
        <f>INDEX('Tire Weight'!$D:$D,MATCH($C71&amp;"-"&amp;$E71,'Tire Weight'!$A:$A,0))</f>
        <v>7.968</v>
      </c>
      <c r="H71" s="90">
        <f t="shared" si="108"/>
        <v>1513.92</v>
      </c>
      <c r="I71" s="104">
        <f>INDEX('Tire Weight'!$E:$E,MATCH($C71&amp;"-"&amp;$E71,'Tire Weight'!$A:$A,0))</f>
        <v>3.6880000000000002</v>
      </c>
      <c r="J71" s="90">
        <f t="shared" si="109"/>
        <v>700.72</v>
      </c>
      <c r="K71" s="91"/>
      <c r="L71" s="34">
        <f>ROUND(VLOOKUP($C71,STD!$C:$AA,L$14,0),2)</f>
        <v>15.78</v>
      </c>
      <c r="M71" s="34">
        <f>ROUND(VLOOKUP($C71,STD!$C:$AA,M$14,0),2)</f>
        <v>5.03</v>
      </c>
      <c r="N71" s="34">
        <f>ROUND(VLOOKUP($C71,STD!$C:$AA,N$14,0),2)</f>
        <v>6.61</v>
      </c>
      <c r="O71" s="34">
        <f>ROUND(VLOOKUP($C71,STD!$C:$AA,O$14,0),2)-L71-M71-N71-P71</f>
        <v>5.8699999999999983</v>
      </c>
      <c r="P71" s="34">
        <f>ROUND(VLOOKUP($C71,STD!$C:$AA,P$14,0),2)</f>
        <v>0.49</v>
      </c>
      <c r="Q71" s="92">
        <f t="shared" si="110"/>
        <v>33.78</v>
      </c>
      <c r="R71" s="93">
        <f>ROUND(VLOOKUP($C71,STD!$C:$AA,R$14,0),2)-Q71</f>
        <v>0</v>
      </c>
      <c r="S71" s="91"/>
      <c r="T71" s="94">
        <f t="shared" si="111"/>
        <v>14.737212912792398</v>
      </c>
      <c r="U71" s="94">
        <f t="shared" ca="1" si="112"/>
        <v>5.180028228632434</v>
      </c>
      <c r="V71" s="94">
        <f t="shared" ca="1" si="113"/>
        <v>7.0642776994011323</v>
      </c>
      <c r="W71" s="94">
        <f t="shared" ca="1" si="114"/>
        <v>4.2759780200926718</v>
      </c>
      <c r="X71" s="94">
        <f t="shared" ca="1" si="115"/>
        <v>0.54974605280047906</v>
      </c>
      <c r="Y71" s="95">
        <f t="shared" ca="1" si="116"/>
        <v>31.807242913719115</v>
      </c>
      <c r="Z71" s="153"/>
      <c r="AA71" s="79">
        <f t="shared" si="117"/>
        <v>-1.0427870872076017</v>
      </c>
      <c r="AB71" s="79">
        <f t="shared" ca="1" si="118"/>
        <v>0.1500282286324337</v>
      </c>
      <c r="AC71" s="79">
        <f t="shared" ca="1" si="119"/>
        <v>0.45427769940113194</v>
      </c>
      <c r="AD71" s="79">
        <f t="shared" ca="1" si="120"/>
        <v>-1.5940219799073265</v>
      </c>
      <c r="AE71" s="79">
        <f t="shared" ca="1" si="121"/>
        <v>5.9746052800479066E-2</v>
      </c>
      <c r="AF71" s="79">
        <f t="shared" ca="1" si="122"/>
        <v>-1.9727570862808861</v>
      </c>
      <c r="AH71" s="97">
        <f t="shared" si="123"/>
        <v>2998.2</v>
      </c>
      <c r="AI71" s="97">
        <f t="shared" si="124"/>
        <v>955.7</v>
      </c>
      <c r="AJ71" s="97">
        <f t="shared" si="125"/>
        <v>1255.9000000000001</v>
      </c>
      <c r="AK71" s="97">
        <f t="shared" si="126"/>
        <v>1115.2999999999997</v>
      </c>
      <c r="AL71" s="97">
        <f t="shared" si="127"/>
        <v>93.1</v>
      </c>
      <c r="AM71" s="97">
        <f t="shared" si="128"/>
        <v>6418.1999999999989</v>
      </c>
      <c r="AN71" s="91"/>
      <c r="AO71" s="75">
        <f>SUMIFS('DM-Sum'!$M$6:$M$117,'DM-Sum'!$B$6:$B$117,$C71,'DM-Sum'!$C$6:$C$117, $E71)</f>
        <v>2800.0704534305555</v>
      </c>
      <c r="AP71" s="75">
        <f t="shared" ca="1" si="150"/>
        <v>984.2053634401625</v>
      </c>
      <c r="AQ71" s="75">
        <f t="shared" ca="1" si="151"/>
        <v>1342.2127628862152</v>
      </c>
      <c r="AR71" s="75">
        <f t="shared" ca="1" si="152"/>
        <v>812.43582381760768</v>
      </c>
      <c r="AS71" s="75">
        <f t="shared" ca="1" si="153"/>
        <v>104.45175003209101</v>
      </c>
      <c r="AT71" s="75">
        <f t="shared" ca="1" si="129"/>
        <v>6043.3761536066313</v>
      </c>
      <c r="AV71" s="98">
        <f t="shared" si="130"/>
        <v>-198.1295465694443</v>
      </c>
      <c r="AW71" s="98">
        <f t="shared" ca="1" si="131"/>
        <v>28.505363440162455</v>
      </c>
      <c r="AX71" s="98">
        <f t="shared" ca="1" si="132"/>
        <v>86.312762886215069</v>
      </c>
      <c r="AY71" s="98">
        <f t="shared" ca="1" si="133"/>
        <v>-302.86417618239204</v>
      </c>
      <c r="AZ71" s="98">
        <f t="shared" ca="1" si="134"/>
        <v>11.351750032091019</v>
      </c>
      <c r="BA71" s="98">
        <f t="shared" ca="1" si="135"/>
        <v>-374.8238463933676</v>
      </c>
      <c r="BB71" s="99"/>
      <c r="BC71" s="100"/>
      <c r="BD71" s="267">
        <f t="shared" si="136"/>
        <v>0.93391716811105185</v>
      </c>
      <c r="BE71" s="268">
        <f t="shared" ca="1" si="137"/>
        <v>1.02982668561281</v>
      </c>
      <c r="BF71" s="268">
        <f t="shared" ca="1" si="138"/>
        <v>1.0687258244177205</v>
      </c>
      <c r="BG71" s="268">
        <f t="shared" ca="1" si="139"/>
        <v>0.72844600001578752</v>
      </c>
      <c r="BH71" s="268">
        <f t="shared" ca="1" si="140"/>
        <v>0.9434770958381633</v>
      </c>
      <c r="BI71" s="268">
        <f t="shared" ca="1" si="141"/>
        <v>0.94159984942922181</v>
      </c>
      <c r="BK71" s="266" t="str">
        <f t="shared" si="142"/>
        <v>15</v>
      </c>
      <c r="BM71" s="269" t="s">
        <v>1635</v>
      </c>
      <c r="BN71" s="270" t="str">
        <f t="shared" si="143"/>
        <v>DJKVA</v>
      </c>
      <c r="BO71" s="270" t="str">
        <f>VLOOKUP($C71,STD!$C:$D,BO$17,0)</f>
        <v>86V 185/55R15 DT30Z</v>
      </c>
      <c r="BP71" s="270" t="str">
        <f>VLOOKUP($C71,STD!$C:$L,BP$17,0)</f>
        <v>DJKVA</v>
      </c>
      <c r="BQ71" s="270" t="b">
        <f t="shared" si="144"/>
        <v>0</v>
      </c>
      <c r="BR71" s="270" t="b">
        <f t="shared" si="145"/>
        <v>1</v>
      </c>
    </row>
    <row r="72" spans="2:70" s="96" customFormat="1" ht="15" customHeight="1">
      <c r="B72" s="89"/>
      <c r="C72" s="478" t="s">
        <v>419</v>
      </c>
      <c r="D72" s="479" t="str">
        <f t="shared" si="107"/>
        <v>092V 205/60 R16 DT30Z</v>
      </c>
      <c r="E72" s="480" t="s">
        <v>458</v>
      </c>
      <c r="F72" s="481">
        <v>497</v>
      </c>
      <c r="G72" s="104">
        <f>INDEX('Tire Weight'!$D:$D,MATCH($C72&amp;"-"&amp;$E72,'Tire Weight'!$A:$A,0))</f>
        <v>9.0589999999999993</v>
      </c>
      <c r="H72" s="90">
        <f t="shared" si="108"/>
        <v>4502.3229999999994</v>
      </c>
      <c r="I72" s="104">
        <f>INDEX('Tire Weight'!$E:$E,MATCH($C72&amp;"-"&amp;$E72,'Tire Weight'!$A:$A,0))</f>
        <v>4.2549999999999999</v>
      </c>
      <c r="J72" s="90">
        <f t="shared" si="109"/>
        <v>2114.7350000000001</v>
      </c>
      <c r="K72" s="91"/>
      <c r="L72" s="34">
        <f>ROUND(VLOOKUP($C72,STD!$C:$AA,L$14,0),2)</f>
        <v>17.37</v>
      </c>
      <c r="M72" s="34">
        <f>ROUND(VLOOKUP($C72,STD!$C:$AA,M$14,0),2)</f>
        <v>5.47</v>
      </c>
      <c r="N72" s="34">
        <f>ROUND(VLOOKUP($C72,STD!$C:$AA,N$14,0),2)</f>
        <v>7.18</v>
      </c>
      <c r="O72" s="34">
        <f>ROUND(VLOOKUP($C72,STD!$C:$AA,O$14,0),2)-L72-M72-N72-P72</f>
        <v>6.47</v>
      </c>
      <c r="P72" s="34">
        <f>ROUND(VLOOKUP($C72,STD!$C:$AA,P$14,0),2)</f>
        <v>0.55000000000000004</v>
      </c>
      <c r="Q72" s="92">
        <f t="shared" si="110"/>
        <v>37.04</v>
      </c>
      <c r="R72" s="93">
        <f>ROUND(VLOOKUP($C72,STD!$C:$AA,R$14,0),2)-Q72</f>
        <v>0</v>
      </c>
      <c r="S72" s="91"/>
      <c r="T72" s="94">
        <f t="shared" si="111"/>
        <v>16.037214563648309</v>
      </c>
      <c r="U72" s="94">
        <f t="shared" ca="1" si="112"/>
        <v>5.6331519703020687</v>
      </c>
      <c r="V72" s="94">
        <f t="shared" ca="1" si="113"/>
        <v>7.6734514193192318</v>
      </c>
      <c r="W72" s="94">
        <f t="shared" ca="1" si="114"/>
        <v>4.7130456201021449</v>
      </c>
      <c r="X72" s="94">
        <f t="shared" ca="1" si="115"/>
        <v>0.61706189600053774</v>
      </c>
      <c r="Y72" s="95">
        <f t="shared" ca="1" si="116"/>
        <v>34.673925469372293</v>
      </c>
      <c r="Z72" s="153"/>
      <c r="AA72" s="79">
        <f t="shared" si="117"/>
        <v>-1.332785436351692</v>
      </c>
      <c r="AB72" s="79">
        <f t="shared" ca="1" si="118"/>
        <v>0.16315197030206896</v>
      </c>
      <c r="AC72" s="79">
        <f t="shared" ca="1" si="119"/>
        <v>0.49345141931923209</v>
      </c>
      <c r="AD72" s="79">
        <f t="shared" ca="1" si="120"/>
        <v>-1.7569543798978549</v>
      </c>
      <c r="AE72" s="79">
        <f t="shared" ca="1" si="121"/>
        <v>6.7061896000537691E-2</v>
      </c>
      <c r="AF72" s="79">
        <f t="shared" ca="1" si="122"/>
        <v>-2.3660745306277065</v>
      </c>
      <c r="AH72" s="97">
        <f t="shared" si="123"/>
        <v>8632.8900000000012</v>
      </c>
      <c r="AI72" s="97">
        <f t="shared" si="124"/>
        <v>2718.5899999999997</v>
      </c>
      <c r="AJ72" s="97">
        <f t="shared" si="125"/>
        <v>3568.46</v>
      </c>
      <c r="AK72" s="97">
        <f t="shared" si="126"/>
        <v>3215.5899999999997</v>
      </c>
      <c r="AL72" s="97">
        <f t="shared" si="127"/>
        <v>273.35000000000002</v>
      </c>
      <c r="AM72" s="97">
        <f t="shared" si="128"/>
        <v>18408.88</v>
      </c>
      <c r="AN72" s="91"/>
      <c r="AO72" s="75">
        <f>SUMIFS('DM-Sum'!$M$6:$M$117,'DM-Sum'!$B$6:$B$117,$C72,'DM-Sum'!$C$6:$C$117, $E72)</f>
        <v>7970.4956381332095</v>
      </c>
      <c r="AP72" s="75">
        <f t="shared" ca="1" si="150"/>
        <v>2799.6765292401283</v>
      </c>
      <c r="AQ72" s="75">
        <f t="shared" ca="1" si="151"/>
        <v>3813.7053554016584</v>
      </c>
      <c r="AR72" s="75">
        <f t="shared" ca="1" si="152"/>
        <v>2342.3836731907659</v>
      </c>
      <c r="AS72" s="75">
        <f t="shared" ca="1" si="153"/>
        <v>306.67976231226726</v>
      </c>
      <c r="AT72" s="75">
        <f t="shared" ca="1" si="129"/>
        <v>17232.940958278028</v>
      </c>
      <c r="AV72" s="98">
        <f t="shared" si="130"/>
        <v>-662.39436186679177</v>
      </c>
      <c r="AW72" s="98">
        <f t="shared" ca="1" si="131"/>
        <v>81.086529240128584</v>
      </c>
      <c r="AX72" s="98">
        <f t="shared" ca="1" si="132"/>
        <v>245.24535540165834</v>
      </c>
      <c r="AY72" s="98">
        <f t="shared" ca="1" si="133"/>
        <v>-873.20632680923381</v>
      </c>
      <c r="AZ72" s="98">
        <f t="shared" ca="1" si="134"/>
        <v>33.329762312267235</v>
      </c>
      <c r="BA72" s="98">
        <f t="shared" ca="1" si="135"/>
        <v>-1175.9390417219729</v>
      </c>
      <c r="BB72" s="99"/>
      <c r="BC72" s="100"/>
      <c r="BD72" s="267">
        <f t="shared" si="136"/>
        <v>0.92327084419391525</v>
      </c>
      <c r="BE72" s="268">
        <f t="shared" ca="1" si="137"/>
        <v>1.0298266856128098</v>
      </c>
      <c r="BF72" s="268">
        <f t="shared" ca="1" si="138"/>
        <v>1.0687258244177202</v>
      </c>
      <c r="BG72" s="268">
        <f t="shared" ca="1" si="139"/>
        <v>0.72844600001578752</v>
      </c>
      <c r="BH72" s="268">
        <f t="shared" ca="1" si="140"/>
        <v>0.94245026201482462</v>
      </c>
      <c r="BI72" s="268">
        <f t="shared" ca="1" si="141"/>
        <v>0.93612109798521315</v>
      </c>
      <c r="BK72" s="266" t="str">
        <f t="shared" si="142"/>
        <v>16</v>
      </c>
      <c r="BM72" s="269" t="s">
        <v>1636</v>
      </c>
      <c r="BN72" s="270" t="str">
        <f t="shared" si="143"/>
        <v>KRLVA</v>
      </c>
      <c r="BO72" s="270" t="str">
        <f>VLOOKUP($C72,STD!$C:$D,BO$17,0)</f>
        <v>92V 205/60R16 DT30Z</v>
      </c>
      <c r="BP72" s="270" t="str">
        <f>VLOOKUP($C72,STD!$C:$L,BP$17,0)</f>
        <v>KRLVA</v>
      </c>
      <c r="BQ72" s="270" t="b">
        <f t="shared" si="144"/>
        <v>1</v>
      </c>
      <c r="BR72" s="270" t="b">
        <f t="shared" si="145"/>
        <v>1</v>
      </c>
    </row>
    <row r="73" spans="2:70" s="96" customFormat="1" ht="15" customHeight="1">
      <c r="B73" s="89"/>
      <c r="C73" s="478" t="s">
        <v>420</v>
      </c>
      <c r="D73" s="479" t="str">
        <f t="shared" si="107"/>
        <v>094W 215/55 R17 DT30Z</v>
      </c>
      <c r="E73" s="480" t="s">
        <v>466</v>
      </c>
      <c r="F73" s="481">
        <v>488</v>
      </c>
      <c r="G73" s="104">
        <f>INDEX('Tire Weight'!$D:$D,MATCH($C73&amp;"-"&amp;$E73,'Tire Weight'!$A:$A,0))</f>
        <v>9.7560000000000002</v>
      </c>
      <c r="H73" s="90">
        <f t="shared" si="108"/>
        <v>4760.9279999999999</v>
      </c>
      <c r="I73" s="104">
        <f>INDEX('Tire Weight'!$E:$E,MATCH($C73&amp;"-"&amp;$E73,'Tire Weight'!$A:$A,0))</f>
        <v>4.6539999999999999</v>
      </c>
      <c r="J73" s="90">
        <f t="shared" si="109"/>
        <v>2271.152</v>
      </c>
      <c r="K73" s="91"/>
      <c r="L73" s="34">
        <f>ROUND(VLOOKUP($C73,STD!$C:$AA,L$14,0),2)</f>
        <v>19.21</v>
      </c>
      <c r="M73" s="34">
        <f>ROUND(VLOOKUP($C73,STD!$C:$AA,M$14,0),2)</f>
        <v>5.88</v>
      </c>
      <c r="N73" s="34">
        <f>ROUND(VLOOKUP($C73,STD!$C:$AA,N$14,0),2)</f>
        <v>7.56</v>
      </c>
      <c r="O73" s="34">
        <f>ROUND(VLOOKUP($C73,STD!$C:$AA,O$14,0),2)-L73-M73-N73-P73</f>
        <v>6.8100000000000032</v>
      </c>
      <c r="P73" s="34">
        <f>ROUND(VLOOKUP($C73,STD!$C:$AA,P$14,0),2)</f>
        <v>0.6</v>
      </c>
      <c r="Q73" s="92">
        <f t="shared" si="110"/>
        <v>40.06</v>
      </c>
      <c r="R73" s="93">
        <f>ROUND(VLOOKUP($C73,STD!$C:$AA,R$14,0),2)-Q73</f>
        <v>0</v>
      </c>
      <c r="S73" s="91"/>
      <c r="T73" s="94">
        <f t="shared" si="111"/>
        <v>17.735923935539045</v>
      </c>
      <c r="U73" s="94">
        <f t="shared" ca="1" si="112"/>
        <v>6.055380911403323</v>
      </c>
      <c r="V73" s="94">
        <f t="shared" ca="1" si="113"/>
        <v>8.0795672325979648</v>
      </c>
      <c r="W73" s="94">
        <f t="shared" ca="1" si="114"/>
        <v>4.9607172601075158</v>
      </c>
      <c r="X73" s="94">
        <f t="shared" ca="1" si="115"/>
        <v>0.67315843200058656</v>
      </c>
      <c r="Y73" s="95">
        <f t="shared" ca="1" si="116"/>
        <v>37.504747771648432</v>
      </c>
      <c r="Z73" s="153"/>
      <c r="AA73" s="79">
        <f t="shared" si="117"/>
        <v>-1.4740760644609558</v>
      </c>
      <c r="AB73" s="79">
        <f t="shared" ca="1" si="118"/>
        <v>0.17538091140332313</v>
      </c>
      <c r="AC73" s="79">
        <f t="shared" ca="1" si="119"/>
        <v>0.51956723259796522</v>
      </c>
      <c r="AD73" s="79">
        <f t="shared" ca="1" si="120"/>
        <v>-1.8492827398924874</v>
      </c>
      <c r="AE73" s="79">
        <f t="shared" ca="1" si="121"/>
        <v>7.3158432000586582E-2</v>
      </c>
      <c r="AF73" s="79">
        <f t="shared" ca="1" si="122"/>
        <v>-2.55525222835157</v>
      </c>
      <c r="AH73" s="97">
        <f t="shared" si="123"/>
        <v>9374.48</v>
      </c>
      <c r="AI73" s="97">
        <f t="shared" si="124"/>
        <v>2869.44</v>
      </c>
      <c r="AJ73" s="97">
        <f t="shared" si="125"/>
        <v>3689.2799999999997</v>
      </c>
      <c r="AK73" s="97">
        <f t="shared" si="126"/>
        <v>3323.2800000000016</v>
      </c>
      <c r="AL73" s="97">
        <f t="shared" si="127"/>
        <v>292.8</v>
      </c>
      <c r="AM73" s="97">
        <f t="shared" si="128"/>
        <v>19549.280000000002</v>
      </c>
      <c r="AN73" s="91"/>
      <c r="AO73" s="75">
        <f>SUMIFS('DM-Sum'!$M$6:$M$117,'DM-Sum'!$B$6:$B$117,$C73,'DM-Sum'!$C$6:$C$117, $E73)</f>
        <v>8655.1308805430544</v>
      </c>
      <c r="AP73" s="75">
        <f t="shared" ca="1" si="150"/>
        <v>2955.0258847648215</v>
      </c>
      <c r="AQ73" s="75">
        <f t="shared" ca="1" si="151"/>
        <v>3942.8288095078069</v>
      </c>
      <c r="AR73" s="75">
        <f t="shared" ca="1" si="152"/>
        <v>2420.8300229324677</v>
      </c>
      <c r="AS73" s="75">
        <f t="shared" ca="1" si="153"/>
        <v>328.50131481628625</v>
      </c>
      <c r="AT73" s="75">
        <f t="shared" ca="1" si="129"/>
        <v>18302.316912564438</v>
      </c>
      <c r="AV73" s="98">
        <f t="shared" si="130"/>
        <v>-719.34911945694512</v>
      </c>
      <c r="AW73" s="98">
        <f t="shared" ca="1" si="131"/>
        <v>85.585884764821458</v>
      </c>
      <c r="AX73" s="98">
        <f t="shared" ca="1" si="132"/>
        <v>253.54880950780716</v>
      </c>
      <c r="AY73" s="98">
        <f t="shared" ca="1" si="133"/>
        <v>-902.44997706753384</v>
      </c>
      <c r="AZ73" s="98">
        <f t="shared" ca="1" si="134"/>
        <v>35.701314816286242</v>
      </c>
      <c r="BA73" s="98">
        <f t="shared" ca="1" si="135"/>
        <v>-1246.9630874355644</v>
      </c>
      <c r="BB73" s="99"/>
      <c r="BC73" s="100"/>
      <c r="BD73" s="267">
        <f t="shared" si="136"/>
        <v>0.92326517103274564</v>
      </c>
      <c r="BE73" s="268">
        <f t="shared" ca="1" si="137"/>
        <v>1.02982668561281</v>
      </c>
      <c r="BF73" s="268">
        <f t="shared" ca="1" si="138"/>
        <v>1.0687258244177202</v>
      </c>
      <c r="BG73" s="268">
        <f t="shared" ca="1" si="139"/>
        <v>0.72844600001578763</v>
      </c>
      <c r="BH73" s="268">
        <f t="shared" ca="1" si="140"/>
        <v>0.94299582242512592</v>
      </c>
      <c r="BI73" s="268">
        <f t="shared" ca="1" si="141"/>
        <v>0.93621437273211261</v>
      </c>
      <c r="BK73" s="266" t="str">
        <f t="shared" si="142"/>
        <v>17</v>
      </c>
      <c r="BM73" s="269" t="s">
        <v>1637</v>
      </c>
      <c r="BN73" s="270" t="str">
        <f t="shared" si="143"/>
        <v>AETMA</v>
      </c>
      <c r="BO73" s="270" t="str">
        <f>VLOOKUP($C73,STD!$C:$D,BO$17,0)</f>
        <v>94W 215/55R17 DT30Z</v>
      </c>
      <c r="BP73" s="270" t="str">
        <f>VLOOKUP($C73,STD!$C:$L,BP$17,0)</f>
        <v>AETMA</v>
      </c>
      <c r="BQ73" s="270" t="b">
        <f t="shared" si="144"/>
        <v>1</v>
      </c>
      <c r="BR73" s="270" t="b">
        <f t="shared" si="145"/>
        <v>1</v>
      </c>
    </row>
    <row r="74" spans="2:70" s="96" customFormat="1" ht="15" customHeight="1">
      <c r="B74" s="89"/>
      <c r="C74" s="478" t="s">
        <v>421</v>
      </c>
      <c r="D74" s="479" t="str">
        <f t="shared" si="107"/>
        <v>093W 205/50 R17 XLDT30FZ</v>
      </c>
      <c r="E74" s="480" t="s">
        <v>467</v>
      </c>
      <c r="F74" s="481">
        <v>362</v>
      </c>
      <c r="G74" s="104">
        <f>INDEX('Tire Weight'!$D:$D,MATCH($C74&amp;"-"&amp;$E74,'Tire Weight'!$A:$A,0))</f>
        <v>9.516</v>
      </c>
      <c r="H74" s="90">
        <f t="shared" si="108"/>
        <v>3444.7919999999999</v>
      </c>
      <c r="I74" s="104">
        <f>INDEX('Tire Weight'!$E:$E,MATCH($C74&amp;"-"&amp;$E74,'Tire Weight'!$A:$A,0))</f>
        <v>4.2789999999999999</v>
      </c>
      <c r="J74" s="90">
        <f t="shared" si="109"/>
        <v>1548.998</v>
      </c>
      <c r="K74" s="91"/>
      <c r="L74" s="34">
        <f>ROUND(VLOOKUP($C74,STD!$C:$AA,L$14,0),2)</f>
        <v>19.04</v>
      </c>
      <c r="M74" s="34">
        <f>ROUND(VLOOKUP($C74,STD!$C:$AA,M$14,0),2)</f>
        <v>5.81</v>
      </c>
      <c r="N74" s="34">
        <f>ROUND(VLOOKUP($C74,STD!$C:$AA,N$14,0),2)</f>
        <v>7.65</v>
      </c>
      <c r="O74" s="34">
        <f>ROUND(VLOOKUP($C74,STD!$C:$AA,O$14,0),2)-L74-M74-N74-P74</f>
        <v>6.8800000000000026</v>
      </c>
      <c r="P74" s="34">
        <f>ROUND(VLOOKUP($C74,STD!$C:$AA,P$14,0),2)</f>
        <v>0.57999999999999996</v>
      </c>
      <c r="Q74" s="92">
        <f t="shared" si="110"/>
        <v>39.96</v>
      </c>
      <c r="R74" s="93">
        <f>ROUND(VLOOKUP($C74,STD!$C:$AA,R$14,0),2)-Q74</f>
        <v>0</v>
      </c>
      <c r="S74" s="91"/>
      <c r="T74" s="94">
        <f t="shared" si="111"/>
        <v>17.772487081977811</v>
      </c>
      <c r="U74" s="94">
        <f t="shared" ca="1" si="112"/>
        <v>5.9832930434104252</v>
      </c>
      <c r="V74" s="94">
        <f t="shared" ca="1" si="113"/>
        <v>8.1757525567955618</v>
      </c>
      <c r="W74" s="94">
        <f t="shared" ca="1" si="114"/>
        <v>5.01170848010862</v>
      </c>
      <c r="X74" s="94">
        <f t="shared" ca="1" si="115"/>
        <v>0.65071981760056696</v>
      </c>
      <c r="Y74" s="95">
        <f t="shared" ca="1" si="116"/>
        <v>37.593960979892984</v>
      </c>
      <c r="Z74" s="153"/>
      <c r="AA74" s="79">
        <f t="shared" si="117"/>
        <v>-1.267512918022188</v>
      </c>
      <c r="AB74" s="79">
        <f t="shared" ca="1" si="118"/>
        <v>0.17329304341042562</v>
      </c>
      <c r="AC74" s="79">
        <f t="shared" ca="1" si="119"/>
        <v>0.52575255679556143</v>
      </c>
      <c r="AD74" s="79">
        <f t="shared" ca="1" si="120"/>
        <v>-1.8682915198913825</v>
      </c>
      <c r="AE74" s="79">
        <f t="shared" ca="1" si="121"/>
        <v>7.0719817600567003E-2</v>
      </c>
      <c r="AF74" s="79">
        <f t="shared" ca="1" si="122"/>
        <v>-2.3660390201070172</v>
      </c>
      <c r="AH74" s="97">
        <f t="shared" si="123"/>
        <v>6892.48</v>
      </c>
      <c r="AI74" s="97">
        <f t="shared" si="124"/>
        <v>2103.2199999999998</v>
      </c>
      <c r="AJ74" s="97">
        <f t="shared" si="125"/>
        <v>2769.3</v>
      </c>
      <c r="AK74" s="97">
        <f t="shared" si="126"/>
        <v>2490.5600000000009</v>
      </c>
      <c r="AL74" s="97">
        <f t="shared" si="127"/>
        <v>209.95999999999998</v>
      </c>
      <c r="AM74" s="97">
        <f t="shared" si="128"/>
        <v>14465.52</v>
      </c>
      <c r="AN74" s="91"/>
      <c r="AO74" s="75">
        <f>SUMIFS('DM-Sum'!$M$6:$M$117,'DM-Sum'!$B$6:$B$117,$C74,'DM-Sum'!$C$6:$C$117, $E74)</f>
        <v>6433.640323675967</v>
      </c>
      <c r="AP74" s="75">
        <f t="shared" ca="1" si="150"/>
        <v>2165.952081714574</v>
      </c>
      <c r="AQ74" s="75">
        <f t="shared" ca="1" si="151"/>
        <v>2959.6224255599932</v>
      </c>
      <c r="AR74" s="75">
        <f t="shared" ca="1" si="152"/>
        <v>1814.2384697993205</v>
      </c>
      <c r="AS74" s="75">
        <f t="shared" ca="1" si="153"/>
        <v>235.56057397140523</v>
      </c>
      <c r="AT74" s="75">
        <f t="shared" ca="1" si="129"/>
        <v>13609.013874721259</v>
      </c>
      <c r="AV74" s="98">
        <f t="shared" si="130"/>
        <v>-458.83967632403255</v>
      </c>
      <c r="AW74" s="98">
        <f t="shared" ca="1" si="131"/>
        <v>62.732081714574178</v>
      </c>
      <c r="AX74" s="98">
        <f t="shared" ca="1" si="132"/>
        <v>190.32242555999301</v>
      </c>
      <c r="AY74" s="98">
        <f t="shared" ca="1" si="133"/>
        <v>-676.3215302006804</v>
      </c>
      <c r="AZ74" s="98">
        <f t="shared" ca="1" si="134"/>
        <v>25.600573971405254</v>
      </c>
      <c r="BA74" s="98">
        <f t="shared" ca="1" si="135"/>
        <v>-856.50612527874182</v>
      </c>
      <c r="BB74" s="99"/>
      <c r="BC74" s="100"/>
      <c r="BD74" s="267">
        <f t="shared" si="136"/>
        <v>0.93342894338118765</v>
      </c>
      <c r="BE74" s="268">
        <f t="shared" ca="1" si="137"/>
        <v>1.02982668561281</v>
      </c>
      <c r="BF74" s="268">
        <f t="shared" ca="1" si="138"/>
        <v>1.0687258244177205</v>
      </c>
      <c r="BG74" s="268">
        <f t="shared" ca="1" si="139"/>
        <v>0.72844600001578752</v>
      </c>
      <c r="BH74" s="268">
        <f t="shared" ca="1" si="140"/>
        <v>0.94251494986797468</v>
      </c>
      <c r="BI74" s="268">
        <f t="shared" ca="1" si="141"/>
        <v>0.94078981431163622</v>
      </c>
      <c r="BK74" s="266" t="str">
        <f t="shared" si="142"/>
        <v>17</v>
      </c>
      <c r="BM74" s="269" t="s">
        <v>1638</v>
      </c>
      <c r="BN74" s="270" t="str">
        <f t="shared" si="143"/>
        <v>XTHMA</v>
      </c>
      <c r="BO74" s="270" t="str">
        <f>VLOOKUP($C74,STD!$C:$D,BO$17,0)</f>
        <v>93W 205/50R17 DT30FZ</v>
      </c>
      <c r="BP74" s="270" t="str">
        <f>VLOOKUP($C74,STD!$C:$L,BP$17,0)</f>
        <v>XTHMA</v>
      </c>
      <c r="BQ74" s="270" t="b">
        <f t="shared" si="144"/>
        <v>0</v>
      </c>
      <c r="BR74" s="270" t="b">
        <f t="shared" si="145"/>
        <v>1</v>
      </c>
    </row>
    <row r="75" spans="2:70" s="96" customFormat="1" ht="15" customHeight="1">
      <c r="B75" s="89"/>
      <c r="C75" s="478" t="s">
        <v>422</v>
      </c>
      <c r="D75" s="479" t="str">
        <f t="shared" si="107"/>
        <v>091W 215/45 R17 XLDT30FZ</v>
      </c>
      <c r="E75" s="480" t="s">
        <v>459</v>
      </c>
      <c r="F75" s="481">
        <v>334</v>
      </c>
      <c r="G75" s="104">
        <f>INDEX('Tire Weight'!$D:$D,MATCH($C75&amp;"-"&amp;$E75,'Tire Weight'!$A:$A,0))</f>
        <v>9.2270000000000003</v>
      </c>
      <c r="H75" s="90">
        <f t="shared" si="108"/>
        <v>3081.8180000000002</v>
      </c>
      <c r="I75" s="104">
        <f>INDEX('Tire Weight'!$E:$E,MATCH($C75&amp;"-"&amp;$E75,'Tire Weight'!$A:$A,0))</f>
        <v>4.2160000000000002</v>
      </c>
      <c r="J75" s="90">
        <f t="shared" si="109"/>
        <v>1408.144</v>
      </c>
      <c r="K75" s="91"/>
      <c r="L75" s="34">
        <f>ROUND(VLOOKUP($C75,STD!$C:$AA,L$14,0),2)</f>
        <v>18.43</v>
      </c>
      <c r="M75" s="34">
        <f>ROUND(VLOOKUP($C75,STD!$C:$AA,M$14,0),2)</f>
        <v>5.72</v>
      </c>
      <c r="N75" s="34">
        <f>ROUND(VLOOKUP($C75,STD!$C:$AA,N$14,0),2)</f>
        <v>7.49</v>
      </c>
      <c r="O75" s="34">
        <f>ROUND(VLOOKUP($C75,STD!$C:$AA,O$14,0),2)-L75-M75-N75-P75</f>
        <v>6.6999999999999993</v>
      </c>
      <c r="P75" s="34">
        <f>ROUND(VLOOKUP($C75,STD!$C:$AA,P$14,0),2)</f>
        <v>0.56000000000000005</v>
      </c>
      <c r="Q75" s="92">
        <f t="shared" si="110"/>
        <v>38.900000000000006</v>
      </c>
      <c r="R75" s="93">
        <f>ROUND(VLOOKUP($C75,STD!$C:$AA,R$14,0),2)-Q75</f>
        <v>0</v>
      </c>
      <c r="S75" s="91"/>
      <c r="T75" s="94">
        <f t="shared" si="111"/>
        <v>17.313501150010271</v>
      </c>
      <c r="U75" s="94">
        <f t="shared" ca="1" si="112"/>
        <v>5.8906086417052723</v>
      </c>
      <c r="V75" s="94">
        <f t="shared" ca="1" si="113"/>
        <v>8.0047564248887255</v>
      </c>
      <c r="W75" s="94">
        <f t="shared" ca="1" si="114"/>
        <v>4.8805882001057759</v>
      </c>
      <c r="X75" s="94">
        <f t="shared" ca="1" si="115"/>
        <v>0.62828120320054748</v>
      </c>
      <c r="Y75" s="95">
        <f t="shared" ca="1" si="116"/>
        <v>36.717735619910599</v>
      </c>
      <c r="Z75" s="153"/>
      <c r="AA75" s="79">
        <f t="shared" si="117"/>
        <v>-1.1164988499897284</v>
      </c>
      <c r="AB75" s="79">
        <f t="shared" ca="1" si="118"/>
        <v>0.17060864170527257</v>
      </c>
      <c r="AC75" s="79">
        <f t="shared" ca="1" si="119"/>
        <v>0.51475642488872531</v>
      </c>
      <c r="AD75" s="79">
        <f t="shared" ca="1" si="120"/>
        <v>-1.8194117998942234</v>
      </c>
      <c r="AE75" s="79">
        <f t="shared" ca="1" si="121"/>
        <v>6.8281203200547425E-2</v>
      </c>
      <c r="AF75" s="79">
        <f t="shared" ca="1" si="122"/>
        <v>-2.182264380089407</v>
      </c>
      <c r="AH75" s="97">
        <f t="shared" si="123"/>
        <v>6155.62</v>
      </c>
      <c r="AI75" s="97">
        <f t="shared" si="124"/>
        <v>1910.48</v>
      </c>
      <c r="AJ75" s="97">
        <f t="shared" si="125"/>
        <v>2501.66</v>
      </c>
      <c r="AK75" s="97">
        <f t="shared" si="126"/>
        <v>2237.7999999999997</v>
      </c>
      <c r="AL75" s="97">
        <f t="shared" si="127"/>
        <v>187.04000000000002</v>
      </c>
      <c r="AM75" s="97">
        <f t="shared" si="128"/>
        <v>12992.6</v>
      </c>
      <c r="AN75" s="91"/>
      <c r="AO75" s="75">
        <f>SUMIFS('DM-Sum'!$M$6:$M$117,'DM-Sum'!$B$6:$B$117,$C75,'DM-Sum'!$C$6:$C$117, $E75)</f>
        <v>5782.7093841034302</v>
      </c>
      <c r="AP75" s="75">
        <f t="shared" ca="1" si="150"/>
        <v>1967.463286329561</v>
      </c>
      <c r="AQ75" s="75">
        <f t="shared" ca="1" si="151"/>
        <v>2673.5886459128342</v>
      </c>
      <c r="AR75" s="75">
        <f t="shared" ca="1" si="152"/>
        <v>1630.116458835329</v>
      </c>
      <c r="AS75" s="75">
        <f t="shared" ca="1" si="153"/>
        <v>209.84592186898286</v>
      </c>
      <c r="AT75" s="75">
        <f t="shared" ca="1" si="129"/>
        <v>12263.723697050138</v>
      </c>
      <c r="AV75" s="98">
        <f t="shared" si="130"/>
        <v>-372.91061589656965</v>
      </c>
      <c r="AW75" s="98">
        <f t="shared" ca="1" si="131"/>
        <v>56.983286329560997</v>
      </c>
      <c r="AX75" s="98">
        <f t="shared" ca="1" si="132"/>
        <v>171.92864591283433</v>
      </c>
      <c r="AY75" s="98">
        <f t="shared" ca="1" si="133"/>
        <v>-607.68354116467071</v>
      </c>
      <c r="AZ75" s="98">
        <f t="shared" ca="1" si="134"/>
        <v>22.805921868982836</v>
      </c>
      <c r="BA75" s="98">
        <f t="shared" ca="1" si="135"/>
        <v>-728.87630294986229</v>
      </c>
      <c r="BB75" s="99"/>
      <c r="BC75" s="100"/>
      <c r="BD75" s="267">
        <f t="shared" si="136"/>
        <v>0.93941948724960778</v>
      </c>
      <c r="BE75" s="268">
        <f t="shared" ca="1" si="137"/>
        <v>1.02982668561281</v>
      </c>
      <c r="BF75" s="268">
        <f t="shared" ca="1" si="138"/>
        <v>1.0687258244177202</v>
      </c>
      <c r="BG75" s="268">
        <f t="shared" ca="1" si="139"/>
        <v>0.72844600001578752</v>
      </c>
      <c r="BH75" s="268">
        <f t="shared" ca="1" si="140"/>
        <v>0.94304134940732154</v>
      </c>
      <c r="BI75" s="268">
        <f t="shared" ca="1" si="141"/>
        <v>0.94390065860952677</v>
      </c>
      <c r="BK75" s="266" t="str">
        <f t="shared" si="142"/>
        <v>17</v>
      </c>
      <c r="BM75" s="269" t="s">
        <v>1639</v>
      </c>
      <c r="BN75" s="270" t="str">
        <f t="shared" si="143"/>
        <v>CSBMA</v>
      </c>
      <c r="BO75" s="270" t="str">
        <f>VLOOKUP($C75,STD!$C:$D,BO$17,0)</f>
        <v>91W 215/45R17 DT30FZ</v>
      </c>
      <c r="BP75" s="270" t="str">
        <f>VLOOKUP($C75,STD!$C:$L,BP$17,0)</f>
        <v>CSBMA</v>
      </c>
      <c r="BQ75" s="270" t="b">
        <f t="shared" si="144"/>
        <v>0</v>
      </c>
      <c r="BR75" s="270" t="b">
        <f t="shared" si="145"/>
        <v>1</v>
      </c>
    </row>
    <row r="76" spans="2:70" s="96" customFormat="1" ht="15" customHeight="1">
      <c r="B76" s="89"/>
      <c r="C76" s="478" t="s">
        <v>423</v>
      </c>
      <c r="D76" s="479" t="str">
        <f t="shared" si="40"/>
        <v>094W 225/45 R17 XLDT30FZ</v>
      </c>
      <c r="E76" s="480" t="s">
        <v>468</v>
      </c>
      <c r="F76" s="481">
        <v>169</v>
      </c>
      <c r="G76" s="104">
        <f>INDEX('Tire Weight'!$D:$D,MATCH($C76&amp;"-"&amp;$E76,'Tire Weight'!$A:$A,0))</f>
        <v>9.9629999999999992</v>
      </c>
      <c r="H76" s="90">
        <f t="shared" si="0"/>
        <v>1683.7469999999998</v>
      </c>
      <c r="I76" s="104">
        <f>INDEX('Tire Weight'!$E:$E,MATCH($C76&amp;"-"&amp;$E76,'Tire Weight'!$A:$A,0))</f>
        <v>4.4390000000000001</v>
      </c>
      <c r="J76" s="90">
        <f t="shared" si="1"/>
        <v>750.19100000000003</v>
      </c>
      <c r="K76" s="91"/>
      <c r="L76" s="34">
        <f>ROUND(VLOOKUP($C76,STD!$C:$AA,L$14,0),2)</f>
        <v>20</v>
      </c>
      <c r="M76" s="34">
        <f>ROUND(VLOOKUP($C76,STD!$C:$AA,M$14,0),2)</f>
        <v>5.96</v>
      </c>
      <c r="N76" s="34">
        <f>ROUND(VLOOKUP($C76,STD!$C:$AA,N$14,0),2)</f>
        <v>7.88</v>
      </c>
      <c r="O76" s="34">
        <f>ROUND(VLOOKUP($C76,STD!$C:$AA,O$14,0),2)-L76-M76-N76-P76</f>
        <v>7.0999999999999961</v>
      </c>
      <c r="P76" s="34">
        <f>ROUND(VLOOKUP($C76,STD!$C:$AA,P$14,0),2)</f>
        <v>0.61</v>
      </c>
      <c r="Q76" s="92">
        <f t="shared" si="79"/>
        <v>41.55</v>
      </c>
      <c r="R76" s="93">
        <f>ROUND(VLOOKUP($C76,STD!$C:$AA,R$14,0),2)-Q76</f>
        <v>0</v>
      </c>
      <c r="S76" s="91"/>
      <c r="T76" s="94">
        <f t="shared" si="80"/>
        <v>18.652979920253323</v>
      </c>
      <c r="U76" s="94">
        <f t="shared" ca="1" si="81"/>
        <v>6.137767046252347</v>
      </c>
      <c r="V76" s="94">
        <f t="shared" ca="1" si="82"/>
        <v>8.4215594964116374</v>
      </c>
      <c r="W76" s="94">
        <f t="shared" ca="1" si="83"/>
        <v>5.1719666001120892</v>
      </c>
      <c r="X76" s="94">
        <f t="shared" ca="1" si="84"/>
        <v>0.6843777392005963</v>
      </c>
      <c r="Y76" s="95">
        <f t="shared" ca="1" si="85"/>
        <v>39.068650802229996</v>
      </c>
      <c r="Z76" s="153"/>
      <c r="AA76" s="79">
        <f t="shared" si="86"/>
        <v>-1.3470200797466774</v>
      </c>
      <c r="AB76" s="79">
        <f t="shared" ca="1" si="87"/>
        <v>0.17776704625234707</v>
      </c>
      <c r="AC76" s="79">
        <f t="shared" ca="1" si="88"/>
        <v>0.54155949641163748</v>
      </c>
      <c r="AD76" s="79">
        <f t="shared" ca="1" si="89"/>
        <v>-1.9280333998879069</v>
      </c>
      <c r="AE76" s="79">
        <f t="shared" ca="1" si="90"/>
        <v>7.4377739200596316E-2</v>
      </c>
      <c r="AF76" s="79">
        <f t="shared" ca="1" si="91"/>
        <v>-2.4813491977700011</v>
      </c>
      <c r="AH76" s="97">
        <f t="shared" si="92"/>
        <v>3380</v>
      </c>
      <c r="AI76" s="97">
        <f t="shared" si="93"/>
        <v>1007.24</v>
      </c>
      <c r="AJ76" s="97">
        <f t="shared" si="94"/>
        <v>1331.72</v>
      </c>
      <c r="AK76" s="97">
        <f t="shared" si="95"/>
        <v>1199.8999999999994</v>
      </c>
      <c r="AL76" s="97">
        <f t="shared" si="96"/>
        <v>103.09</v>
      </c>
      <c r="AM76" s="97">
        <f t="shared" si="97"/>
        <v>7021.95</v>
      </c>
      <c r="AN76" s="91"/>
      <c r="AO76" s="75">
        <f>SUMIFS('DM-Sum'!$M$6:$M$117,'DM-Sum'!$B$6:$B$117,$C76,'DM-Sum'!$C$6:$C$117, $E76)</f>
        <v>3152.3536065228118</v>
      </c>
      <c r="AP76" s="75">
        <f t="shared" ca="1" si="150"/>
        <v>1037.2826308166466</v>
      </c>
      <c r="AQ76" s="75">
        <f t="shared" ca="1" si="151"/>
        <v>1423.2435548935666</v>
      </c>
      <c r="AR76" s="75">
        <f t="shared" ca="1" si="152"/>
        <v>874.06235541894307</v>
      </c>
      <c r="AS76" s="75">
        <f t="shared" ca="1" si="153"/>
        <v>115.65983792490077</v>
      </c>
      <c r="AT76" s="75">
        <f t="shared" ca="1" si="25"/>
        <v>6602.6019855768691</v>
      </c>
      <c r="AV76" s="98">
        <f t="shared" si="26"/>
        <v>-227.64639347718821</v>
      </c>
      <c r="AW76" s="98">
        <f t="shared" ca="1" si="27"/>
        <v>30.042630816646579</v>
      </c>
      <c r="AX76" s="98">
        <f t="shared" ca="1" si="28"/>
        <v>91.523554893566597</v>
      </c>
      <c r="AY76" s="98">
        <f t="shared" ca="1" si="29"/>
        <v>-325.83764458105634</v>
      </c>
      <c r="AZ76" s="98">
        <f t="shared" ca="1" si="30"/>
        <v>12.569837924900767</v>
      </c>
      <c r="BA76" s="98">
        <f t="shared" ca="1" si="31"/>
        <v>-419.34801442313073</v>
      </c>
      <c r="BB76" s="99"/>
      <c r="BC76" s="100"/>
      <c r="BD76" s="267">
        <f t="shared" si="98"/>
        <v>0.93264899601266615</v>
      </c>
      <c r="BE76" s="268">
        <f t="shared" ca="1" si="99"/>
        <v>1.02982668561281</v>
      </c>
      <c r="BF76" s="268">
        <f t="shared" ca="1" si="100"/>
        <v>1.0687258244177205</v>
      </c>
      <c r="BG76" s="268">
        <f t="shared" ca="1" si="101"/>
        <v>0.72844600001578763</v>
      </c>
      <c r="BH76" s="268">
        <f t="shared" ca="1" si="102"/>
        <v>0.94227760949264927</v>
      </c>
      <c r="BI76" s="268">
        <f t="shared" ca="1" si="103"/>
        <v>0.94028040438580018</v>
      </c>
      <c r="BK76" s="266" t="str">
        <f t="shared" si="104"/>
        <v>17</v>
      </c>
      <c r="BM76" s="269" t="s">
        <v>1640</v>
      </c>
      <c r="BN76" s="270" t="str">
        <f t="shared" si="105"/>
        <v>QCCMA</v>
      </c>
      <c r="BO76" s="270" t="str">
        <f>VLOOKUP($C76,STD!$C:$D,BO$17,0)</f>
        <v>94W 225/45R17 DT30FZ</v>
      </c>
      <c r="BP76" s="270" t="str">
        <f>VLOOKUP($C76,STD!$C:$L,BP$17,0)</f>
        <v>QCCMA</v>
      </c>
      <c r="BQ76" s="270" t="b">
        <f t="shared" si="106"/>
        <v>0</v>
      </c>
      <c r="BR76" s="270" t="b">
        <f t="shared" si="39"/>
        <v>1</v>
      </c>
    </row>
    <row r="77" spans="2:70" s="96" customFormat="1" ht="15" customHeight="1">
      <c r="B77" s="89"/>
      <c r="C77" s="478" t="s">
        <v>424</v>
      </c>
      <c r="D77" s="479" t="str">
        <f t="shared" si="40"/>
        <v>093W 215/45 R18 XLDT30FZ</v>
      </c>
      <c r="E77" s="480" t="s">
        <v>469</v>
      </c>
      <c r="F77" s="481">
        <v>314</v>
      </c>
      <c r="G77" s="104">
        <f>INDEX('Tire Weight'!$D:$D,MATCH($C77&amp;"-"&amp;$E77,'Tire Weight'!$A:$A,0))</f>
        <v>9.7769999999999992</v>
      </c>
      <c r="H77" s="90">
        <f t="shared" si="0"/>
        <v>3069.9779999999996</v>
      </c>
      <c r="I77" s="104">
        <f>INDEX('Tire Weight'!$E:$E,MATCH($C77&amp;"-"&amp;$E77,'Tire Weight'!$A:$A,0))</f>
        <v>4.3920000000000003</v>
      </c>
      <c r="J77" s="90">
        <f t="shared" si="1"/>
        <v>1379.0880000000002</v>
      </c>
      <c r="K77" s="91"/>
      <c r="L77" s="34">
        <f>ROUND(VLOOKUP($C77,STD!$C:$AA,L$14,0),2)</f>
        <v>19.59</v>
      </c>
      <c r="M77" s="34">
        <f>ROUND(VLOOKUP($C77,STD!$C:$AA,M$14,0),2)</f>
        <v>5.95</v>
      </c>
      <c r="N77" s="34">
        <f>ROUND(VLOOKUP($C77,STD!$C:$AA,N$14,0),2)</f>
        <v>7.86</v>
      </c>
      <c r="O77" s="34">
        <f>ROUND(VLOOKUP($C77,STD!$C:$AA,O$14,0),2)-L77-M77-N77-P77</f>
        <v>7.0600000000000032</v>
      </c>
      <c r="P77" s="34">
        <f>ROUND(VLOOKUP($C77,STD!$C:$AA,P$14,0),2)</f>
        <v>0.6</v>
      </c>
      <c r="Q77" s="92">
        <f t="shared" si="79"/>
        <v>41.06</v>
      </c>
      <c r="R77" s="93">
        <f>ROUND(VLOOKUP($C77,STD!$C:$AA,R$14,0),2)-Q77</f>
        <v>0</v>
      </c>
      <c r="S77" s="91"/>
      <c r="T77" s="94">
        <f t="shared" si="80"/>
        <v>18.299488794665201</v>
      </c>
      <c r="U77" s="94">
        <f t="shared" ca="1" si="81"/>
        <v>6.127468779396219</v>
      </c>
      <c r="V77" s="94">
        <f t="shared" ca="1" si="82"/>
        <v>8.4001849799232815</v>
      </c>
      <c r="W77" s="94">
        <f t="shared" ca="1" si="83"/>
        <v>5.1428287601114624</v>
      </c>
      <c r="X77" s="94">
        <f t="shared" ca="1" si="84"/>
        <v>0.67315843200058656</v>
      </c>
      <c r="Y77" s="95">
        <f t="shared" ca="1" si="85"/>
        <v>38.643129746096747</v>
      </c>
      <c r="Z77" s="153"/>
      <c r="AA77" s="79">
        <f t="shared" si="86"/>
        <v>-1.2905112053347985</v>
      </c>
      <c r="AB77" s="79">
        <f t="shared" ca="1" si="87"/>
        <v>0.17746877939621886</v>
      </c>
      <c r="AC77" s="79">
        <f t="shared" ca="1" si="88"/>
        <v>0.54018497992328118</v>
      </c>
      <c r="AD77" s="79">
        <f t="shared" ca="1" si="89"/>
        <v>-1.9171712398885408</v>
      </c>
      <c r="AE77" s="79">
        <f t="shared" ca="1" si="90"/>
        <v>7.3158432000586582E-2</v>
      </c>
      <c r="AF77" s="79">
        <f t="shared" ca="1" si="91"/>
        <v>-2.4168702539032552</v>
      </c>
      <c r="AH77" s="97">
        <f t="shared" si="92"/>
        <v>6151.26</v>
      </c>
      <c r="AI77" s="97">
        <f t="shared" si="93"/>
        <v>1868.3</v>
      </c>
      <c r="AJ77" s="97">
        <f t="shared" si="94"/>
        <v>2468.04</v>
      </c>
      <c r="AK77" s="97">
        <f t="shared" si="95"/>
        <v>2216.8400000000011</v>
      </c>
      <c r="AL77" s="97">
        <f t="shared" si="96"/>
        <v>188.4</v>
      </c>
      <c r="AM77" s="97">
        <f t="shared" si="97"/>
        <v>12892.840000000002</v>
      </c>
      <c r="AN77" s="91"/>
      <c r="AO77" s="75">
        <f>SUMIFS('DM-Sum'!$M$6:$M$117,'DM-Sum'!$B$6:$B$117,$C77,'DM-Sum'!$C$6:$C$117, $E77)</f>
        <v>5746.0394815248737</v>
      </c>
      <c r="AP77" s="75">
        <f t="shared" ca="1" si="150"/>
        <v>1924.0251967304127</v>
      </c>
      <c r="AQ77" s="75">
        <f t="shared" ca="1" si="151"/>
        <v>2637.6580836959106</v>
      </c>
      <c r="AR77" s="75">
        <f t="shared" ca="1" si="152"/>
        <v>1614.8482306749993</v>
      </c>
      <c r="AS77" s="75">
        <f t="shared" ca="1" si="153"/>
        <v>211.37174764818417</v>
      </c>
      <c r="AT77" s="75">
        <f t="shared" ca="1" si="25"/>
        <v>12133.94274027438</v>
      </c>
      <c r="AV77" s="98">
        <f t="shared" si="26"/>
        <v>-405.22051847512648</v>
      </c>
      <c r="AW77" s="98">
        <f t="shared" ca="1" si="27"/>
        <v>55.72519673041279</v>
      </c>
      <c r="AX77" s="98">
        <f t="shared" ca="1" si="28"/>
        <v>169.61808369591063</v>
      </c>
      <c r="AY77" s="98">
        <f t="shared" ca="1" si="29"/>
        <v>-601.99176932500177</v>
      </c>
      <c r="AZ77" s="98">
        <f t="shared" ca="1" si="30"/>
        <v>22.971747648184163</v>
      </c>
      <c r="BA77" s="98">
        <f t="shared" ca="1" si="31"/>
        <v>-758.89725972562155</v>
      </c>
      <c r="BB77" s="99"/>
      <c r="BC77" s="100"/>
      <c r="BD77" s="267">
        <f t="shared" si="98"/>
        <v>0.93412398135095465</v>
      </c>
      <c r="BE77" s="268">
        <f t="shared" ca="1" si="99"/>
        <v>1.02982668561281</v>
      </c>
      <c r="BF77" s="268">
        <f t="shared" ca="1" si="100"/>
        <v>1.0687258244177202</v>
      </c>
      <c r="BG77" s="268">
        <f t="shared" ca="1" si="101"/>
        <v>0.72844600001578752</v>
      </c>
      <c r="BH77" s="268">
        <f t="shared" ca="1" si="102"/>
        <v>0.94252431813277227</v>
      </c>
      <c r="BI77" s="268">
        <f t="shared" ca="1" si="103"/>
        <v>0.94113808441541025</v>
      </c>
      <c r="BK77" s="266" t="str">
        <f t="shared" si="104"/>
        <v>18</v>
      </c>
      <c r="BM77" s="269" t="s">
        <v>1641</v>
      </c>
      <c r="BN77" s="270" t="str">
        <f t="shared" si="105"/>
        <v>RJAZA</v>
      </c>
      <c r="BO77" s="270" t="str">
        <f>VLOOKUP($C77,STD!$C:$D,BO$17,0)</f>
        <v>93W 215/45R18 DT30FZ</v>
      </c>
      <c r="BP77" s="270" t="str">
        <f>VLOOKUP($C77,STD!$C:$L,BP$17,0)</f>
        <v>RJAZA</v>
      </c>
      <c r="BQ77" s="270" t="b">
        <f t="shared" si="106"/>
        <v>0</v>
      </c>
      <c r="BR77" s="270" t="b">
        <f t="shared" si="39"/>
        <v>1</v>
      </c>
    </row>
    <row r="78" spans="2:70" s="96" customFormat="1" ht="15" customHeight="1">
      <c r="B78" s="89"/>
      <c r="C78" s="478" t="s">
        <v>184</v>
      </c>
      <c r="D78" s="479" t="str">
        <f t="shared" si="40"/>
        <v>094T 205/65 R15 FSASZ</v>
      </c>
      <c r="E78" s="480" t="s">
        <v>455</v>
      </c>
      <c r="F78" s="481">
        <v>4322</v>
      </c>
      <c r="G78" s="104">
        <f>INDEX('Tire Weight'!$D:$D,MATCH($C78&amp;"-"&amp;$E78,'Tire Weight'!$A:$A,0))</f>
        <v>8.39</v>
      </c>
      <c r="H78" s="90">
        <f t="shared" si="0"/>
        <v>36261.58</v>
      </c>
      <c r="I78" s="104">
        <f>INDEX('Tire Weight'!$E:$E,MATCH($C78&amp;"-"&amp;$E78,'Tire Weight'!$A:$A,0))</f>
        <v>4.0519999999999996</v>
      </c>
      <c r="J78" s="90">
        <f t="shared" si="1"/>
        <v>17512.743999999999</v>
      </c>
      <c r="K78" s="91"/>
      <c r="L78" s="34">
        <f>ROUND(VLOOKUP($C78,STD!$C:$AA,L$14,0),2)</f>
        <v>16.45</v>
      </c>
      <c r="M78" s="34">
        <f>ROUND(VLOOKUP($C78,STD!$C:$AA,M$14,0),2)</f>
        <v>5.0999999999999996</v>
      </c>
      <c r="N78" s="34">
        <f>ROUND(VLOOKUP($C78,STD!$C:$AA,N$14,0),2)</f>
        <v>6.63</v>
      </c>
      <c r="O78" s="34">
        <f>ROUND(VLOOKUP($C78,STD!$C:$AA,O$14,0),2)-L78-M78-N78-P78</f>
        <v>5.9400000000000039</v>
      </c>
      <c r="P78" s="34">
        <f>ROUND(VLOOKUP($C78,STD!$C:$AA,P$14,0),2)</f>
        <v>0.51</v>
      </c>
      <c r="Q78" s="92">
        <f t="shared" si="79"/>
        <v>34.629999999999995</v>
      </c>
      <c r="R78" s="93">
        <f>ROUND(VLOOKUP($C78,STD!$C:$AA,R$14,0),2)-Q78</f>
        <v>0</v>
      </c>
      <c r="S78" s="91"/>
      <c r="T78" s="94">
        <f t="shared" si="80"/>
        <v>15.107056111868784</v>
      </c>
      <c r="U78" s="94">
        <f t="shared" ca="1" si="81"/>
        <v>5.25211609662533</v>
      </c>
      <c r="V78" s="94">
        <f t="shared" ca="1" si="82"/>
        <v>7.0856522158894855</v>
      </c>
      <c r="W78" s="94">
        <f t="shared" ca="1" si="83"/>
        <v>4.3269692400937814</v>
      </c>
      <c r="X78" s="94">
        <f t="shared" ca="1" si="84"/>
        <v>0.57218466720049865</v>
      </c>
      <c r="Y78" s="95">
        <f t="shared" ca="1" si="85"/>
        <v>32.343978331677881</v>
      </c>
      <c r="Z78" s="153"/>
      <c r="AA78" s="79">
        <f t="shared" si="86"/>
        <v>-1.3429438881312148</v>
      </c>
      <c r="AB78" s="79">
        <f t="shared" ca="1" si="87"/>
        <v>0.15211609662533032</v>
      </c>
      <c r="AC78" s="79">
        <f t="shared" ca="1" si="88"/>
        <v>0.45565221588948557</v>
      </c>
      <c r="AD78" s="79">
        <f t="shared" ca="1" si="89"/>
        <v>-1.6130307599062226</v>
      </c>
      <c r="AE78" s="79">
        <f t="shared" ca="1" si="90"/>
        <v>6.2184667200498644E-2</v>
      </c>
      <c r="AF78" s="79">
        <f t="shared" ca="1" si="91"/>
        <v>-2.286021668322114</v>
      </c>
      <c r="AH78" s="97">
        <f t="shared" si="92"/>
        <v>71096.899999999994</v>
      </c>
      <c r="AI78" s="97">
        <f t="shared" si="93"/>
        <v>22042.199999999997</v>
      </c>
      <c r="AJ78" s="97">
        <f t="shared" si="94"/>
        <v>28654.86</v>
      </c>
      <c r="AK78" s="97">
        <f t="shared" si="95"/>
        <v>25672.680000000018</v>
      </c>
      <c r="AL78" s="97">
        <f t="shared" si="96"/>
        <v>2204.2200000000003</v>
      </c>
      <c r="AM78" s="97">
        <f t="shared" si="97"/>
        <v>149670.86000000002</v>
      </c>
      <c r="AN78" s="91"/>
      <c r="AO78" s="75">
        <f>SUMIFS('DM-Sum'!$M$6:$M$117,'DM-Sum'!$B$6:$B$117,$C78,'DM-Sum'!$C$6:$C$117, $E78)</f>
        <v>65292.696515496886</v>
      </c>
      <c r="AP78" s="75">
        <f t="shared" ca="1" si="150"/>
        <v>22699.645769614675</v>
      </c>
      <c r="AQ78" s="75">
        <f t="shared" ca="1" si="151"/>
        <v>30624.188877074357</v>
      </c>
      <c r="AR78" s="75">
        <f t="shared" ca="1" si="152"/>
        <v>18701.161055685323</v>
      </c>
      <c r="AS78" s="75">
        <f t="shared" ca="1" si="153"/>
        <v>2472.9821316405551</v>
      </c>
      <c r="AT78" s="75">
        <f t="shared" ca="1" si="25"/>
        <v>139790.67434951177</v>
      </c>
      <c r="AV78" s="98">
        <f t="shared" si="26"/>
        <v>-5804.2034845031085</v>
      </c>
      <c r="AW78" s="98">
        <f t="shared" ca="1" si="27"/>
        <v>657.44576961467828</v>
      </c>
      <c r="AX78" s="98">
        <f t="shared" ca="1" si="28"/>
        <v>1969.3288770743566</v>
      </c>
      <c r="AY78" s="98">
        <f t="shared" ca="1" si="29"/>
        <v>-6971.5189443146955</v>
      </c>
      <c r="AZ78" s="98">
        <f t="shared" ca="1" si="30"/>
        <v>268.7621316405548</v>
      </c>
      <c r="BA78" s="98">
        <f t="shared" ca="1" si="31"/>
        <v>-9880.1856504882453</v>
      </c>
      <c r="BB78" s="99"/>
      <c r="BC78" s="100"/>
      <c r="BD78" s="267">
        <f t="shared" si="98"/>
        <v>0.91836207366983491</v>
      </c>
      <c r="BE78" s="268">
        <f t="shared" ca="1" si="99"/>
        <v>1.0298266856128098</v>
      </c>
      <c r="BF78" s="268">
        <f t="shared" ca="1" si="100"/>
        <v>1.0687258244177202</v>
      </c>
      <c r="BG78" s="268">
        <f t="shared" ca="1" si="101"/>
        <v>0.72844600001578763</v>
      </c>
      <c r="BH78" s="268">
        <f t="shared" ca="1" si="102"/>
        <v>0.94310908616913358</v>
      </c>
      <c r="BI78" s="268">
        <f t="shared" ca="1" si="103"/>
        <v>0.93398724607790606</v>
      </c>
      <c r="BK78" s="266" t="str">
        <f t="shared" si="104"/>
        <v>15</v>
      </c>
      <c r="BM78" s="269" t="s">
        <v>1642</v>
      </c>
      <c r="BN78" s="270" t="str">
        <f t="shared" si="105"/>
        <v>WETVA</v>
      </c>
      <c r="BO78" s="270" t="str">
        <f>VLOOKUP($C78,STD!$C:$D,BO$17,0)</f>
        <v>94T 205/65R15 FSASZ</v>
      </c>
      <c r="BP78" s="270" t="str">
        <f>VLOOKUP($C78,STD!$C:$L,BP$17,0)</f>
        <v>WETVA</v>
      </c>
      <c r="BQ78" s="270" t="b">
        <f t="shared" si="106"/>
        <v>1</v>
      </c>
      <c r="BR78" s="270" t="b">
        <f t="shared" si="39"/>
        <v>1</v>
      </c>
    </row>
    <row r="79" spans="2:70" s="96" customFormat="1" ht="15" customHeight="1">
      <c r="B79" s="89"/>
      <c r="C79" s="478" t="s">
        <v>185</v>
      </c>
      <c r="D79" s="479" t="str">
        <f t="shared" si="40"/>
        <v>098T 215/70 R15 FSASZ</v>
      </c>
      <c r="E79" s="480" t="s">
        <v>437</v>
      </c>
      <c r="F79" s="481">
        <v>1419</v>
      </c>
      <c r="G79" s="104">
        <f>INDEX('Tire Weight'!$D:$D,MATCH($C79&amp;"-"&amp;$E79,'Tire Weight'!$A:$A,0))</f>
        <v>10.163</v>
      </c>
      <c r="H79" s="90">
        <f t="shared" si="0"/>
        <v>14421.297</v>
      </c>
      <c r="I79" s="104">
        <f>INDEX('Tire Weight'!$E:$E,MATCH($C79&amp;"-"&amp;$E79,'Tire Weight'!$A:$A,0))</f>
        <v>4.923</v>
      </c>
      <c r="J79" s="90">
        <f t="shared" si="1"/>
        <v>6985.7370000000001</v>
      </c>
      <c r="K79" s="91"/>
      <c r="L79" s="34">
        <f>ROUND(VLOOKUP($C79,STD!$C:$AA,L$14,0),2)</f>
        <v>19.940000000000001</v>
      </c>
      <c r="M79" s="34">
        <f>ROUND(VLOOKUP($C79,STD!$C:$AA,M$14,0),2)</f>
        <v>5.77</v>
      </c>
      <c r="N79" s="34">
        <f>ROUND(VLOOKUP($C79,STD!$C:$AA,N$14,0),2)</f>
        <v>7.4</v>
      </c>
      <c r="O79" s="34">
        <f>ROUND(VLOOKUP($C79,STD!$C:$AA,O$14,0),2)-L79-M79-N79-P79</f>
        <v>6.8</v>
      </c>
      <c r="P79" s="34">
        <f>ROUND(VLOOKUP($C79,STD!$C:$AA,P$14,0),2)</f>
        <v>0.62</v>
      </c>
      <c r="Q79" s="92">
        <f t="shared" si="79"/>
        <v>40.529999999999994</v>
      </c>
      <c r="R79" s="93">
        <f>ROUND(VLOOKUP($C79,STD!$C:$AA,R$14,0),2)-Q79</f>
        <v>0</v>
      </c>
      <c r="S79" s="91"/>
      <c r="T79" s="94">
        <f t="shared" si="80"/>
        <v>18.299850995025757</v>
      </c>
      <c r="U79" s="94">
        <f t="shared" ca="1" si="81"/>
        <v>5.9420999759859123</v>
      </c>
      <c r="V79" s="94">
        <f t="shared" ca="1" si="82"/>
        <v>7.9085711006911312</v>
      </c>
      <c r="W79" s="94">
        <f t="shared" ca="1" si="83"/>
        <v>4.9534328001073549</v>
      </c>
      <c r="X79" s="94">
        <f t="shared" ca="1" si="84"/>
        <v>0.69559704640060604</v>
      </c>
      <c r="Y79" s="95">
        <f t="shared" ca="1" si="85"/>
        <v>37.799551918210767</v>
      </c>
      <c r="Z79" s="153"/>
      <c r="AA79" s="79">
        <f t="shared" si="86"/>
        <v>-1.6401490049742442</v>
      </c>
      <c r="AB79" s="79">
        <f t="shared" ca="1" si="87"/>
        <v>0.17209997598591276</v>
      </c>
      <c r="AC79" s="79">
        <f t="shared" ca="1" si="88"/>
        <v>0.50857110069113087</v>
      </c>
      <c r="AD79" s="79">
        <f t="shared" ca="1" si="89"/>
        <v>-1.846567199892645</v>
      </c>
      <c r="AE79" s="79">
        <f t="shared" ca="1" si="90"/>
        <v>7.5597046400606049E-2</v>
      </c>
      <c r="AF79" s="79">
        <f t="shared" ca="1" si="91"/>
        <v>-2.7304480817892269</v>
      </c>
      <c r="AH79" s="97">
        <f t="shared" si="92"/>
        <v>28294.86</v>
      </c>
      <c r="AI79" s="97">
        <f t="shared" si="93"/>
        <v>8187.6299999999992</v>
      </c>
      <c r="AJ79" s="97">
        <f t="shared" si="94"/>
        <v>10500.6</v>
      </c>
      <c r="AK79" s="97">
        <f t="shared" si="95"/>
        <v>9649.1999999999989</v>
      </c>
      <c r="AL79" s="97">
        <f t="shared" si="96"/>
        <v>879.78</v>
      </c>
      <c r="AM79" s="97">
        <f t="shared" si="97"/>
        <v>57512.069999999992</v>
      </c>
      <c r="AN79" s="91"/>
      <c r="AO79" s="75">
        <f>SUMIFS('DM-Sum'!$M$6:$M$117,'DM-Sum'!$B$6:$B$117,$C79,'DM-Sum'!$C$6:$C$117, $E79)</f>
        <v>25967.488561941547</v>
      </c>
      <c r="AP79" s="75">
        <f t="shared" ca="1" si="150"/>
        <v>8431.8398659240102</v>
      </c>
      <c r="AQ79" s="75">
        <f t="shared" ca="1" si="151"/>
        <v>11222.262391880715</v>
      </c>
      <c r="AR79" s="75">
        <f t="shared" ca="1" si="152"/>
        <v>7028.921143352336</v>
      </c>
      <c r="AS79" s="75">
        <f t="shared" ca="1" si="153"/>
        <v>987.05220884246</v>
      </c>
      <c r="AT79" s="75">
        <f t="shared" ca="1" si="25"/>
        <v>53637.564171941071</v>
      </c>
      <c r="AV79" s="98">
        <f t="shared" si="26"/>
        <v>-2327.3714380584534</v>
      </c>
      <c r="AW79" s="98">
        <f t="shared" ca="1" si="27"/>
        <v>244.20986592401096</v>
      </c>
      <c r="AX79" s="98">
        <f t="shared" ca="1" si="28"/>
        <v>721.66239188071449</v>
      </c>
      <c r="AY79" s="98">
        <f t="shared" ca="1" si="29"/>
        <v>-2620.2788566476629</v>
      </c>
      <c r="AZ79" s="98">
        <f t="shared" ca="1" si="30"/>
        <v>107.27220884246003</v>
      </c>
      <c r="BA79" s="98">
        <f t="shared" ca="1" si="31"/>
        <v>-3874.5058280589219</v>
      </c>
      <c r="BB79" s="99"/>
      <c r="BC79" s="100"/>
      <c r="BD79" s="267">
        <f t="shared" si="98"/>
        <v>0.91774578711262567</v>
      </c>
      <c r="BE79" s="268">
        <f t="shared" ca="1" si="99"/>
        <v>1.0298266856128098</v>
      </c>
      <c r="BF79" s="268">
        <f t="shared" ca="1" si="100"/>
        <v>1.0687258244177205</v>
      </c>
      <c r="BG79" s="268">
        <f t="shared" ca="1" si="101"/>
        <v>0.72844600001578752</v>
      </c>
      <c r="BH79" s="268">
        <f t="shared" ca="1" si="102"/>
        <v>0.94161762026962448</v>
      </c>
      <c r="BI79" s="268">
        <f t="shared" ca="1" si="103"/>
        <v>0.93263143148805261</v>
      </c>
      <c r="BK79" s="266" t="str">
        <f t="shared" si="104"/>
        <v>15</v>
      </c>
      <c r="BM79" s="269" t="s">
        <v>1643</v>
      </c>
      <c r="BN79" s="270" t="str">
        <f t="shared" si="105"/>
        <v>FDPVA</v>
      </c>
      <c r="BO79" s="270" t="str">
        <f>VLOOKUP($C79,STD!$C:$D,BO$17,0)</f>
        <v>098T 215/70R15 FSASZ</v>
      </c>
      <c r="BP79" s="270" t="str">
        <f>VLOOKUP($C79,STD!$C:$L,BP$17,0)</f>
        <v>FDPVA</v>
      </c>
      <c r="BQ79" s="270" t="b">
        <f t="shared" si="106"/>
        <v>1</v>
      </c>
      <c r="BR79" s="270" t="b">
        <f t="shared" si="39"/>
        <v>1</v>
      </c>
    </row>
    <row r="80" spans="2:70" s="96" customFormat="1" ht="15" customHeight="1">
      <c r="B80" s="89"/>
      <c r="C80" s="478" t="s">
        <v>187</v>
      </c>
      <c r="D80" s="479" t="str">
        <f t="shared" si="40"/>
        <v>098T 215/65 R16 FSASZ</v>
      </c>
      <c r="E80" s="480" t="s">
        <v>199</v>
      </c>
      <c r="F80" s="481">
        <v>1644</v>
      </c>
      <c r="G80" s="104">
        <f>INDEX('Tire Weight'!$D:$D,MATCH($C80&amp;"-"&amp;$E80,'Tire Weight'!$A:$A,0))</f>
        <v>10.09</v>
      </c>
      <c r="H80" s="90">
        <f t="shared" si="0"/>
        <v>16587.96</v>
      </c>
      <c r="I80" s="104">
        <f>INDEX('Tire Weight'!$E:$E,MATCH($C80&amp;"-"&amp;$E80,'Tire Weight'!$A:$A,0))</f>
        <v>4.8319999999999999</v>
      </c>
      <c r="J80" s="90">
        <f t="shared" si="1"/>
        <v>7943.808</v>
      </c>
      <c r="K80" s="91"/>
      <c r="L80" s="34">
        <f>ROUND(VLOOKUP($C80,STD!$C:$AA,L$14,0),2)</f>
        <v>19.82</v>
      </c>
      <c r="M80" s="34">
        <f>ROUND(VLOOKUP($C80,STD!$C:$AA,M$14,0),2)</f>
        <v>5.94</v>
      </c>
      <c r="N80" s="34">
        <f>ROUND(VLOOKUP($C80,STD!$C:$AA,N$14,0),2)</f>
        <v>7.67</v>
      </c>
      <c r="O80" s="34">
        <f>ROUND(VLOOKUP($C80,STD!$C:$AA,O$14,0),2)-L80-M80-N80-P80</f>
        <v>7.0100000000000007</v>
      </c>
      <c r="P80" s="34">
        <f>ROUND(VLOOKUP($C80,STD!$C:$AA,P$14,0),2)</f>
        <v>0.62</v>
      </c>
      <c r="Q80" s="92">
        <f t="shared" si="79"/>
        <v>41.059999999999995</v>
      </c>
      <c r="R80" s="93">
        <f>ROUND(VLOOKUP($C80,STD!$C:$AA,R$14,0),2)-Q80</f>
        <v>0</v>
      </c>
      <c r="S80" s="91"/>
      <c r="T80" s="94">
        <f t="shared" si="80"/>
        <v>18.348336737319329</v>
      </c>
      <c r="U80" s="94">
        <f t="shared" ca="1" si="81"/>
        <v>6.1171705125400901</v>
      </c>
      <c r="V80" s="94">
        <f t="shared" ca="1" si="82"/>
        <v>8.1971270732839141</v>
      </c>
      <c r="W80" s="94">
        <f t="shared" ca="1" si="83"/>
        <v>5.106406460110672</v>
      </c>
      <c r="X80" s="94">
        <f t="shared" ca="1" si="84"/>
        <v>0.69559704640060604</v>
      </c>
      <c r="Y80" s="95">
        <f t="shared" ca="1" si="85"/>
        <v>38.464637829654613</v>
      </c>
      <c r="Z80" s="153"/>
      <c r="AA80" s="79">
        <f t="shared" si="86"/>
        <v>-1.4716632626806714</v>
      </c>
      <c r="AB80" s="79">
        <f t="shared" ca="1" si="87"/>
        <v>0.17717051254008975</v>
      </c>
      <c r="AC80" s="79">
        <f t="shared" ca="1" si="88"/>
        <v>0.52712707328391417</v>
      </c>
      <c r="AD80" s="79">
        <f t="shared" ca="1" si="89"/>
        <v>-1.9035935398893287</v>
      </c>
      <c r="AE80" s="79">
        <f t="shared" ca="1" si="90"/>
        <v>7.5597046400606049E-2</v>
      </c>
      <c r="AF80" s="79">
        <f t="shared" ca="1" si="91"/>
        <v>-2.595362170345382</v>
      </c>
      <c r="AH80" s="97">
        <f t="shared" si="92"/>
        <v>32584.080000000002</v>
      </c>
      <c r="AI80" s="97">
        <f t="shared" si="93"/>
        <v>9765.36</v>
      </c>
      <c r="AJ80" s="97">
        <f t="shared" si="94"/>
        <v>12609.48</v>
      </c>
      <c r="AK80" s="97">
        <f t="shared" si="95"/>
        <v>11524.44</v>
      </c>
      <c r="AL80" s="97">
        <f t="shared" si="96"/>
        <v>1019.28</v>
      </c>
      <c r="AM80" s="97">
        <f t="shared" si="97"/>
        <v>67502.64</v>
      </c>
      <c r="AN80" s="91"/>
      <c r="AO80" s="75">
        <f>SUMIFS('DM-Sum'!$M$6:$M$117,'DM-Sum'!$B$6:$B$117,$C80,'DM-Sum'!$C$6:$C$117, $E80)</f>
        <v>30164.66559615298</v>
      </c>
      <c r="AP80" s="75">
        <f t="shared" ca="1" si="150"/>
        <v>10056.628322615908</v>
      </c>
      <c r="AQ80" s="75">
        <f t="shared" ca="1" si="151"/>
        <v>13476.076908478755</v>
      </c>
      <c r="AR80" s="75">
        <f t="shared" ca="1" si="152"/>
        <v>8394.9322204219443</v>
      </c>
      <c r="AS80" s="75">
        <f t="shared" ca="1" si="153"/>
        <v>1143.5615442825963</v>
      </c>
      <c r="AT80" s="75">
        <f t="shared" ca="1" si="25"/>
        <v>63235.86459195218</v>
      </c>
      <c r="AV80" s="98">
        <f t="shared" si="26"/>
        <v>-2419.4144038470222</v>
      </c>
      <c r="AW80" s="98">
        <f t="shared" ca="1" si="27"/>
        <v>291.26832261590789</v>
      </c>
      <c r="AX80" s="98">
        <f t="shared" ca="1" si="28"/>
        <v>866.59690847875572</v>
      </c>
      <c r="AY80" s="98">
        <f t="shared" ca="1" si="29"/>
        <v>-3129.5077795780562</v>
      </c>
      <c r="AZ80" s="98">
        <f t="shared" ca="1" si="30"/>
        <v>124.28154428259631</v>
      </c>
      <c r="BA80" s="98">
        <f t="shared" ca="1" si="31"/>
        <v>-4266.7754080478189</v>
      </c>
      <c r="BB80" s="99"/>
      <c r="BC80" s="100"/>
      <c r="BD80" s="267">
        <f t="shared" si="98"/>
        <v>0.92574857403225674</v>
      </c>
      <c r="BE80" s="268">
        <f t="shared" ca="1" si="99"/>
        <v>1.0298266856128098</v>
      </c>
      <c r="BF80" s="268">
        <f t="shared" ca="1" si="100"/>
        <v>1.0687258244177202</v>
      </c>
      <c r="BG80" s="268">
        <f t="shared" ca="1" si="101"/>
        <v>0.72844600001578763</v>
      </c>
      <c r="BH80" s="268">
        <f t="shared" ca="1" si="102"/>
        <v>0.94183821755260311</v>
      </c>
      <c r="BI80" s="268">
        <f t="shared" ca="1" si="103"/>
        <v>0.93679098464818844</v>
      </c>
      <c r="BK80" s="266" t="str">
        <f t="shared" si="104"/>
        <v>16</v>
      </c>
      <c r="BM80" s="269" t="s">
        <v>1644</v>
      </c>
      <c r="BN80" s="270" t="str">
        <f t="shared" si="105"/>
        <v>ENGVA</v>
      </c>
      <c r="BO80" s="270" t="str">
        <f>VLOOKUP($C80,STD!$C:$D,BO$17,0)</f>
        <v>098T 215/65R16 FSASZ</v>
      </c>
      <c r="BP80" s="270" t="str">
        <f>VLOOKUP($C80,STD!$C:$L,BP$17,0)</f>
        <v>ENGVA</v>
      </c>
      <c r="BQ80" s="270" t="b">
        <f t="shared" si="106"/>
        <v>1</v>
      </c>
      <c r="BR80" s="270" t="b">
        <f t="shared" si="39"/>
        <v>1</v>
      </c>
    </row>
    <row r="81" spans="2:70" s="96" customFormat="1" ht="15" customHeight="1">
      <c r="B81" s="89"/>
      <c r="C81" s="478" t="s">
        <v>188</v>
      </c>
      <c r="D81" s="479" t="str">
        <f t="shared" si="40"/>
        <v>103T 235/65 R16 FSASZ</v>
      </c>
      <c r="E81" s="480" t="s">
        <v>200</v>
      </c>
      <c r="F81" s="481">
        <v>1332</v>
      </c>
      <c r="G81" s="104">
        <f>INDEX('Tire Weight'!$D:$D,MATCH($C81&amp;"-"&amp;$E81,'Tire Weight'!$A:$A,0))</f>
        <v>11.629</v>
      </c>
      <c r="H81" s="90">
        <f t="shared" si="0"/>
        <v>15489.828</v>
      </c>
      <c r="I81" s="104">
        <f>INDEX('Tire Weight'!$E:$E,MATCH($C81&amp;"-"&amp;$E81,'Tire Weight'!$A:$A,0))</f>
        <v>5.484</v>
      </c>
      <c r="J81" s="90">
        <f t="shared" si="1"/>
        <v>7304.6880000000001</v>
      </c>
      <c r="K81" s="91"/>
      <c r="L81" s="34">
        <f>ROUND(VLOOKUP($C81,STD!$C:$AA,L$14,0),2)</f>
        <v>23.07</v>
      </c>
      <c r="M81" s="34">
        <f>ROUND(VLOOKUP($C81,STD!$C:$AA,M$14,0),2)</f>
        <v>6.37</v>
      </c>
      <c r="N81" s="34">
        <f>ROUND(VLOOKUP($C81,STD!$C:$AA,N$14,0),2)</f>
        <v>8.18</v>
      </c>
      <c r="O81" s="34">
        <f>ROUND(VLOOKUP($C81,STD!$C:$AA,O$14,0),2)-L81-M81-N81-P81</f>
        <v>7.6399999999999979</v>
      </c>
      <c r="P81" s="34">
        <f>ROUND(VLOOKUP($C81,STD!$C:$AA,P$14,0),2)</f>
        <v>0.71</v>
      </c>
      <c r="Q81" s="92">
        <f t="shared" si="79"/>
        <v>45.970000000000006</v>
      </c>
      <c r="R81" s="93">
        <f>ROUND(VLOOKUP($C81,STD!$C:$AA,R$14,0),2)-Q81</f>
        <v>0</v>
      </c>
      <c r="S81" s="91"/>
      <c r="T81" s="94">
        <f t="shared" si="80"/>
        <v>21.31986120457702</v>
      </c>
      <c r="U81" s="94">
        <f t="shared" ca="1" si="81"/>
        <v>6.5599959873535996</v>
      </c>
      <c r="V81" s="94">
        <f t="shared" ca="1" si="82"/>
        <v>8.742177243736954</v>
      </c>
      <c r="W81" s="94">
        <f t="shared" ca="1" si="83"/>
        <v>5.5653274401206154</v>
      </c>
      <c r="X81" s="94">
        <f t="shared" ca="1" si="84"/>
        <v>0.79657081120069406</v>
      </c>
      <c r="Y81" s="95">
        <f t="shared" ca="1" si="85"/>
        <v>42.983932686988879</v>
      </c>
      <c r="Z81" s="153"/>
      <c r="AA81" s="79">
        <f t="shared" si="86"/>
        <v>-1.7501387954229806</v>
      </c>
      <c r="AB81" s="79">
        <f t="shared" ca="1" si="87"/>
        <v>0.18999598735359946</v>
      </c>
      <c r="AC81" s="79">
        <f t="shared" ca="1" si="88"/>
        <v>0.56217724373695432</v>
      </c>
      <c r="AD81" s="79">
        <f t="shared" ca="1" si="89"/>
        <v>-2.0746725598793825</v>
      </c>
      <c r="AE81" s="79">
        <f t="shared" ca="1" si="90"/>
        <v>8.6570811200694098E-2</v>
      </c>
      <c r="AF81" s="79">
        <f t="shared" ca="1" si="91"/>
        <v>-2.9860673130111266</v>
      </c>
      <c r="AH81" s="97">
        <f t="shared" si="92"/>
        <v>30729.24</v>
      </c>
      <c r="AI81" s="97">
        <f t="shared" si="93"/>
        <v>8484.84</v>
      </c>
      <c r="AJ81" s="97">
        <f t="shared" si="94"/>
        <v>10895.76</v>
      </c>
      <c r="AK81" s="97">
        <f t="shared" si="95"/>
        <v>10176.479999999998</v>
      </c>
      <c r="AL81" s="97">
        <f t="shared" si="96"/>
        <v>945.71999999999991</v>
      </c>
      <c r="AM81" s="97">
        <f t="shared" si="97"/>
        <v>61232.04</v>
      </c>
      <c r="AN81" s="91"/>
      <c r="AO81" s="75">
        <f>SUMIFS('DM-Sum'!$M$6:$M$117,'DM-Sum'!$B$6:$B$117,$C81,'DM-Sum'!$C$6:$C$117, $E81)</f>
        <v>28398.05512449659</v>
      </c>
      <c r="AP81" s="75">
        <f t="shared" ca="1" si="150"/>
        <v>8737.9146551549948</v>
      </c>
      <c r="AQ81" s="75">
        <f t="shared" ca="1" si="151"/>
        <v>11644.580088657622</v>
      </c>
      <c r="AR81" s="75">
        <f t="shared" ca="1" si="152"/>
        <v>7413.01615024066</v>
      </c>
      <c r="AS81" s="75">
        <f t="shared" ca="1" si="153"/>
        <v>1061.0323205193245</v>
      </c>
      <c r="AT81" s="75">
        <f t="shared" ca="1" si="25"/>
        <v>57254.598339069191</v>
      </c>
      <c r="AV81" s="98">
        <f t="shared" si="26"/>
        <v>-2331.1848755034116</v>
      </c>
      <c r="AW81" s="98">
        <f t="shared" ca="1" si="27"/>
        <v>253.07465515499462</v>
      </c>
      <c r="AX81" s="98">
        <f t="shared" ca="1" si="28"/>
        <v>748.82008865762145</v>
      </c>
      <c r="AY81" s="98">
        <f t="shared" ca="1" si="29"/>
        <v>-2763.4638497593378</v>
      </c>
      <c r="AZ81" s="98">
        <f t="shared" ca="1" si="30"/>
        <v>115.31232051932454</v>
      </c>
      <c r="BA81" s="98">
        <f t="shared" ca="1" si="31"/>
        <v>-3977.44166093081</v>
      </c>
      <c r="BB81" s="99"/>
      <c r="BC81" s="100"/>
      <c r="BD81" s="267">
        <f t="shared" si="98"/>
        <v>0.92413789356640741</v>
      </c>
      <c r="BE81" s="268">
        <f t="shared" ca="1" si="99"/>
        <v>1.02982668561281</v>
      </c>
      <c r="BF81" s="268">
        <f t="shared" ca="1" si="100"/>
        <v>1.0687258244177207</v>
      </c>
      <c r="BG81" s="268">
        <f t="shared" ca="1" si="101"/>
        <v>0.72844600001578752</v>
      </c>
      <c r="BH81" s="268">
        <f t="shared" ca="1" si="102"/>
        <v>0.94040111181663677</v>
      </c>
      <c r="BI81" s="268">
        <f t="shared" ca="1" si="103"/>
        <v>0.93504313001933592</v>
      </c>
      <c r="BK81" s="266" t="str">
        <f t="shared" si="104"/>
        <v>16</v>
      </c>
      <c r="BM81" s="269" t="s">
        <v>1645</v>
      </c>
      <c r="BN81" s="270" t="str">
        <f t="shared" si="105"/>
        <v>TCTVA</v>
      </c>
      <c r="BO81" s="270" t="str">
        <f>VLOOKUP($C81,STD!$C:$D,BO$17,0)</f>
        <v>103T 235/65R16 FSASZ</v>
      </c>
      <c r="BP81" s="270" t="str">
        <f>VLOOKUP($C81,STD!$C:$L,BP$17,0)</f>
        <v>TCTVA</v>
      </c>
      <c r="BQ81" s="270" t="b">
        <f t="shared" si="106"/>
        <v>1</v>
      </c>
      <c r="BR81" s="270" t="b">
        <f t="shared" si="39"/>
        <v>1</v>
      </c>
    </row>
    <row r="82" spans="2:70" s="96" customFormat="1" ht="15" customHeight="1">
      <c r="B82" s="89"/>
      <c r="C82" s="478" t="s">
        <v>221</v>
      </c>
      <c r="D82" s="479" t="str">
        <f t="shared" si="40"/>
        <v>095T 205/65 R16 FSASZ</v>
      </c>
      <c r="E82" s="480" t="s">
        <v>224</v>
      </c>
      <c r="F82" s="481">
        <v>2617</v>
      </c>
      <c r="G82" s="104">
        <f>INDEX('Tire Weight'!$D:$D,MATCH($C82&amp;"-"&amp;$E82,'Tire Weight'!$A:$A,0))</f>
        <v>8.8640000000000008</v>
      </c>
      <c r="H82" s="90">
        <f t="shared" si="0"/>
        <v>23197.088000000003</v>
      </c>
      <c r="I82" s="104">
        <f>INDEX('Tire Weight'!$E:$E,MATCH($C82&amp;"-"&amp;$E82,'Tire Weight'!$A:$A,0))</f>
        <v>4.2949999999999999</v>
      </c>
      <c r="J82" s="90">
        <f t="shared" si="1"/>
        <v>11240.014999999999</v>
      </c>
      <c r="K82" s="91"/>
      <c r="L82" s="34">
        <f>ROUND(VLOOKUP($C82,STD!$C:$AA,L$14,0),2)</f>
        <v>17.23</v>
      </c>
      <c r="M82" s="34">
        <f>ROUND(VLOOKUP($C82,STD!$C:$AA,M$14,0),2)</f>
        <v>5.34</v>
      </c>
      <c r="N82" s="34">
        <f>ROUND(VLOOKUP($C82,STD!$C:$AA,N$14,0),2)</f>
        <v>6.93</v>
      </c>
      <c r="O82" s="34">
        <f>ROUND(VLOOKUP($C82,STD!$C:$AA,O$14,0),2)-L82-M82-N82-P82</f>
        <v>6.2400000000000011</v>
      </c>
      <c r="P82" s="34">
        <f>ROUND(VLOOKUP($C82,STD!$C:$AA,P$14,0),2)</f>
        <v>0.54</v>
      </c>
      <c r="Q82" s="92">
        <f t="shared" si="79"/>
        <v>36.28</v>
      </c>
      <c r="R82" s="93">
        <f>ROUND(VLOOKUP($C82,STD!$C:$AA,R$14,0),2)-Q82</f>
        <v>0</v>
      </c>
      <c r="S82" s="91"/>
      <c r="T82" s="94">
        <f t="shared" si="80"/>
        <v>15.899705456774294</v>
      </c>
      <c r="U82" s="94">
        <f t="shared" ca="1" si="81"/>
        <v>5.4992745011724047</v>
      </c>
      <c r="V82" s="94">
        <f t="shared" ca="1" si="82"/>
        <v>7.4062699632148012</v>
      </c>
      <c r="W82" s="94">
        <f t="shared" ca="1" si="83"/>
        <v>4.5455030400985148</v>
      </c>
      <c r="X82" s="94">
        <f t="shared" ca="1" si="84"/>
        <v>0.60584258880052799</v>
      </c>
      <c r="Y82" s="95">
        <f t="shared" ca="1" si="85"/>
        <v>33.956595550060541</v>
      </c>
      <c r="Z82" s="153"/>
      <c r="AA82" s="79">
        <f t="shared" si="86"/>
        <v>-1.3302945432257065</v>
      </c>
      <c r="AB82" s="79">
        <f t="shared" ca="1" si="87"/>
        <v>0.15927450117240483</v>
      </c>
      <c r="AC82" s="79">
        <f t="shared" ca="1" si="88"/>
        <v>0.47626996321480153</v>
      </c>
      <c r="AD82" s="79">
        <f t="shared" ca="1" si="89"/>
        <v>-1.6944969599014863</v>
      </c>
      <c r="AE82" s="79">
        <f t="shared" ca="1" si="90"/>
        <v>6.5842588800527957E-2</v>
      </c>
      <c r="AF82" s="79">
        <f t="shared" ca="1" si="91"/>
        <v>-2.3234044499394599</v>
      </c>
      <c r="AH82" s="97">
        <f t="shared" si="92"/>
        <v>45090.91</v>
      </c>
      <c r="AI82" s="97">
        <f t="shared" si="93"/>
        <v>13974.779999999999</v>
      </c>
      <c r="AJ82" s="97">
        <f t="shared" si="94"/>
        <v>18135.809999999998</v>
      </c>
      <c r="AK82" s="97">
        <f t="shared" si="95"/>
        <v>16330.080000000004</v>
      </c>
      <c r="AL82" s="97">
        <f t="shared" si="96"/>
        <v>1413.18</v>
      </c>
      <c r="AM82" s="97">
        <f t="shared" si="97"/>
        <v>94944.76</v>
      </c>
      <c r="AN82" s="91"/>
      <c r="AO82" s="75">
        <f>SUMIFS('DM-Sum'!$M$6:$M$117,'DM-Sum'!$B$6:$B$117,$C82,'DM-Sum'!$C$6:$C$117, $E82)</f>
        <v>41609.529180378326</v>
      </c>
      <c r="AP82" s="75">
        <f t="shared" ca="1" si="150"/>
        <v>14391.601369568183</v>
      </c>
      <c r="AQ82" s="75">
        <f t="shared" ca="1" si="151"/>
        <v>19382.208493733135</v>
      </c>
      <c r="AR82" s="75">
        <f t="shared" ca="1" si="152"/>
        <v>11895.581455937814</v>
      </c>
      <c r="AS82" s="75">
        <f t="shared" ca="1" si="153"/>
        <v>1585.4900548909818</v>
      </c>
      <c r="AT82" s="75">
        <f t="shared" ca="1" si="25"/>
        <v>88864.410554508446</v>
      </c>
      <c r="AV82" s="98">
        <f t="shared" si="26"/>
        <v>-3481.3808196216778</v>
      </c>
      <c r="AW82" s="98">
        <f t="shared" ca="1" si="27"/>
        <v>416.82136956818431</v>
      </c>
      <c r="AX82" s="98">
        <f t="shared" ca="1" si="28"/>
        <v>1246.398493733137</v>
      </c>
      <c r="AY82" s="98">
        <f t="shared" ca="1" si="29"/>
        <v>-4434.4985440621895</v>
      </c>
      <c r="AZ82" s="98">
        <f t="shared" ca="1" si="30"/>
        <v>172.31005489098175</v>
      </c>
      <c r="BA82" s="98">
        <f t="shared" ca="1" si="31"/>
        <v>-6080.349445491549</v>
      </c>
      <c r="BB82" s="99"/>
      <c r="BC82" s="100"/>
      <c r="BD82" s="267">
        <f t="shared" si="98"/>
        <v>0.92279195918597179</v>
      </c>
      <c r="BE82" s="268">
        <f t="shared" ca="1" si="99"/>
        <v>1.02982668561281</v>
      </c>
      <c r="BF82" s="268">
        <f t="shared" ca="1" si="100"/>
        <v>1.0687258244177202</v>
      </c>
      <c r="BG82" s="268">
        <f t="shared" ca="1" si="101"/>
        <v>0.72844600001578752</v>
      </c>
      <c r="BH82" s="268">
        <f t="shared" ca="1" si="102"/>
        <v>0.94279024875665696</v>
      </c>
      <c r="BI82" s="268">
        <f t="shared" ca="1" si="103"/>
        <v>0.93595908351875801</v>
      </c>
      <c r="BK82" s="266" t="str">
        <f t="shared" si="104"/>
        <v>16</v>
      </c>
      <c r="BM82" s="269" t="s">
        <v>1646</v>
      </c>
      <c r="BN82" s="270" t="str">
        <f t="shared" si="105"/>
        <v>QBVVA</v>
      </c>
      <c r="BO82" s="270" t="str">
        <f>VLOOKUP($C82,STD!$C:$D,BO$17,0)</f>
        <v>95T 205/65R16 FSASZ</v>
      </c>
      <c r="BP82" s="270" t="str">
        <f>VLOOKUP($C82,STD!$C:$L,BP$17,0)</f>
        <v>QBVVA</v>
      </c>
      <c r="BQ82" s="270" t="b">
        <f t="shared" si="106"/>
        <v>1</v>
      </c>
      <c r="BR82" s="270" t="b">
        <f t="shared" si="39"/>
        <v>1</v>
      </c>
    </row>
    <row r="83" spans="2:70" s="96" customFormat="1" ht="15" customHeight="1">
      <c r="B83" s="89"/>
      <c r="C83" s="478" t="s">
        <v>189</v>
      </c>
      <c r="D83" s="479" t="str">
        <f t="shared" si="40"/>
        <v>093T 215/55 R16 FSASZ</v>
      </c>
      <c r="E83" s="480" t="s">
        <v>201</v>
      </c>
      <c r="F83" s="481">
        <v>2297</v>
      </c>
      <c r="G83" s="104">
        <f>INDEX('Tire Weight'!$D:$D,MATCH($C83&amp;"-"&amp;$E83,'Tire Weight'!$A:$A,0))</f>
        <v>8.9689999999999994</v>
      </c>
      <c r="H83" s="90">
        <f t="shared" si="0"/>
        <v>20601.792999999998</v>
      </c>
      <c r="I83" s="104">
        <f>INDEX('Tire Weight'!$E:$E,MATCH($C83&amp;"-"&amp;$E83,'Tire Weight'!$A:$A,0))</f>
        <v>4.2249999999999996</v>
      </c>
      <c r="J83" s="90">
        <f t="shared" si="1"/>
        <v>9704.8249999999989</v>
      </c>
      <c r="K83" s="91"/>
      <c r="L83" s="34">
        <f>ROUND(VLOOKUP($C83,STD!$C:$AA,L$14,0),2)</f>
        <v>17.47</v>
      </c>
      <c r="M83" s="34">
        <f>ROUND(VLOOKUP($C83,STD!$C:$AA,M$14,0),2)</f>
        <v>5.35</v>
      </c>
      <c r="N83" s="34">
        <f>ROUND(VLOOKUP($C83,STD!$C:$AA,N$14,0),2)</f>
        <v>6.79</v>
      </c>
      <c r="O83" s="34">
        <f>ROUND(VLOOKUP($C83,STD!$C:$AA,O$14,0),2)-L83-M83-N83-P83</f>
        <v>6.1100000000000048</v>
      </c>
      <c r="P83" s="34">
        <f>ROUND(VLOOKUP($C83,STD!$C:$AA,P$14,0),2)</f>
        <v>0.55000000000000004</v>
      </c>
      <c r="Q83" s="92">
        <f t="shared" si="79"/>
        <v>36.270000000000003</v>
      </c>
      <c r="R83" s="93">
        <f>ROUND(VLOOKUP($C83,STD!$C:$AA,R$14,0),2)-Q83</f>
        <v>0</v>
      </c>
      <c r="S83" s="91"/>
      <c r="T83" s="94">
        <f t="shared" si="80"/>
        <v>16.167868797982727</v>
      </c>
      <c r="U83" s="94">
        <f t="shared" ca="1" si="81"/>
        <v>5.5095727680285327</v>
      </c>
      <c r="V83" s="94">
        <f t="shared" ca="1" si="82"/>
        <v>7.25664834779632</v>
      </c>
      <c r="W83" s="94">
        <f t="shared" ca="1" si="83"/>
        <v>4.4508050600964655</v>
      </c>
      <c r="X83" s="94">
        <f t="shared" ca="1" si="84"/>
        <v>0.61706189600053762</v>
      </c>
      <c r="Y83" s="95">
        <f t="shared" ca="1" si="85"/>
        <v>34.001956869904582</v>
      </c>
      <c r="Z83" s="153"/>
      <c r="AA83" s="79">
        <f t="shared" si="86"/>
        <v>-1.3021312020172715</v>
      </c>
      <c r="AB83" s="79">
        <f t="shared" ca="1" si="87"/>
        <v>0.15957276802853304</v>
      </c>
      <c r="AC83" s="79">
        <f t="shared" ca="1" si="88"/>
        <v>0.46664834779631992</v>
      </c>
      <c r="AD83" s="79">
        <f t="shared" ca="1" si="89"/>
        <v>-1.6591949399035393</v>
      </c>
      <c r="AE83" s="79">
        <f t="shared" ca="1" si="90"/>
        <v>6.706189600053758E-2</v>
      </c>
      <c r="AF83" s="79">
        <f t="shared" ca="1" si="91"/>
        <v>-2.2680431300954211</v>
      </c>
      <c r="AH83" s="97">
        <f t="shared" si="92"/>
        <v>40128.589999999997</v>
      </c>
      <c r="AI83" s="97">
        <f t="shared" si="93"/>
        <v>12288.949999999999</v>
      </c>
      <c r="AJ83" s="97">
        <f t="shared" si="94"/>
        <v>15596.63</v>
      </c>
      <c r="AK83" s="97">
        <f t="shared" si="95"/>
        <v>14034.670000000011</v>
      </c>
      <c r="AL83" s="97">
        <f t="shared" si="96"/>
        <v>1263.3500000000001</v>
      </c>
      <c r="AM83" s="97">
        <f t="shared" si="97"/>
        <v>83312.190000000017</v>
      </c>
      <c r="AN83" s="91"/>
      <c r="AO83" s="75">
        <f>SUMIFS('DM-Sum'!$M$6:$M$117,'DM-Sum'!$B$6:$B$117,$C83,'DM-Sum'!$C$6:$C$117, $E83)</f>
        <v>37137.594628966326</v>
      </c>
      <c r="AP83" s="75">
        <f t="shared" ref="AP83:AP114" ca="1" si="191">$AI83/$AI$130*$AP$15</f>
        <v>12655.488648161539</v>
      </c>
      <c r="AQ83" s="75">
        <f t="shared" ref="AQ83:AQ114" ca="1" si="192">$AJ83/$AJ$130*$AQ$15</f>
        <v>16668.521254888146</v>
      </c>
      <c r="AR83" s="75">
        <f t="shared" ref="AR83:AR114" ca="1" si="193">$AK83/$AK$130*$AR$15</f>
        <v>10223.499223041581</v>
      </c>
      <c r="AS83" s="75">
        <f t="shared" ref="AS83:AS114" ca="1" si="194">$AL83/$AL$130*$AS$15</f>
        <v>1417.391175113235</v>
      </c>
      <c r="AT83" s="75">
        <f t="shared" ca="1" si="25"/>
        <v>78102.494930170826</v>
      </c>
      <c r="AV83" s="98">
        <f t="shared" si="26"/>
        <v>-2990.9953710336704</v>
      </c>
      <c r="AW83" s="98">
        <f t="shared" ca="1" si="27"/>
        <v>366.53864816154055</v>
      </c>
      <c r="AX83" s="98">
        <f t="shared" ca="1" si="28"/>
        <v>1071.8912548881472</v>
      </c>
      <c r="AY83" s="98">
        <f t="shared" ca="1" si="29"/>
        <v>-3811.17077695843</v>
      </c>
      <c r="AZ83" s="98">
        <f t="shared" ca="1" si="30"/>
        <v>154.04117511323489</v>
      </c>
      <c r="BA83" s="98">
        <f t="shared" ca="1" si="31"/>
        <v>-5209.6950698291912</v>
      </c>
      <c r="BB83" s="99"/>
      <c r="BC83" s="100"/>
      <c r="BD83" s="267">
        <f t="shared" si="98"/>
        <v>0.9254647279898528</v>
      </c>
      <c r="BE83" s="268">
        <f t="shared" ca="1" si="99"/>
        <v>1.02982668561281</v>
      </c>
      <c r="BF83" s="268">
        <f t="shared" ca="1" si="100"/>
        <v>1.0687258244177202</v>
      </c>
      <c r="BG83" s="268">
        <f t="shared" ca="1" si="101"/>
        <v>0.72844600001578752</v>
      </c>
      <c r="BH83" s="268">
        <f t="shared" ca="1" si="102"/>
        <v>0.94339869457103076</v>
      </c>
      <c r="BI83" s="268">
        <f t="shared" ca="1" si="103"/>
        <v>0.93746779349061427</v>
      </c>
      <c r="BK83" s="266" t="str">
        <f t="shared" si="104"/>
        <v>16</v>
      </c>
      <c r="BM83" s="269" t="s">
        <v>1647</v>
      </c>
      <c r="BN83" s="270" t="str">
        <f t="shared" si="105"/>
        <v>EMYVA</v>
      </c>
      <c r="BO83" s="270" t="str">
        <f>VLOOKUP($C83,STD!$C:$D,BO$17,0)</f>
        <v>93T 215/55R16 FSASZ</v>
      </c>
      <c r="BP83" s="270" t="str">
        <f>VLOOKUP($C83,STD!$C:$L,BP$17,0)</f>
        <v>EMYVA</v>
      </c>
      <c r="BQ83" s="270" t="b">
        <f t="shared" si="106"/>
        <v>1</v>
      </c>
      <c r="BR83" s="270" t="b">
        <f t="shared" si="39"/>
        <v>1</v>
      </c>
    </row>
    <row r="84" spans="2:70" s="96" customFormat="1" ht="15" customHeight="1">
      <c r="B84" s="89"/>
      <c r="C84" s="478" t="s">
        <v>159</v>
      </c>
      <c r="D84" s="479" t="str">
        <f t="shared" si="40"/>
        <v>095T 215/60 R16 FSASZ</v>
      </c>
      <c r="E84" s="480" t="s">
        <v>448</v>
      </c>
      <c r="F84" s="481">
        <v>2315</v>
      </c>
      <c r="G84" s="104">
        <f>INDEX('Tire Weight'!$D:$D,MATCH($C84&amp;"-"&amp;$E84,'Tire Weight'!$A:$A,0))</f>
        <v>9.0709999999999997</v>
      </c>
      <c r="H84" s="90">
        <f t="shared" si="0"/>
        <v>20999.364999999998</v>
      </c>
      <c r="I84" s="104">
        <f>INDEX('Tire Weight'!$E:$E,MATCH($C84&amp;"-"&amp;$E84,'Tire Weight'!$A:$A,0))</f>
        <v>4.3049999999999997</v>
      </c>
      <c r="J84" s="90">
        <f t="shared" si="1"/>
        <v>9966.0749999999989</v>
      </c>
      <c r="K84" s="91"/>
      <c r="L84" s="34">
        <f>ROUND(VLOOKUP($C84,STD!$C:$AA,L$14,0),2)</f>
        <v>17.32</v>
      </c>
      <c r="M84" s="34">
        <f>ROUND(VLOOKUP($C84,STD!$C:$AA,M$14,0),2)</f>
        <v>5.39</v>
      </c>
      <c r="N84" s="34">
        <f>ROUND(VLOOKUP($C84,STD!$C:$AA,N$14,0),2)</f>
        <v>6.93</v>
      </c>
      <c r="O84" s="34">
        <f>ROUND(VLOOKUP($C84,STD!$C:$AA,O$14,0),2)-L84-M84-N84-P84</f>
        <v>6.2399999999999993</v>
      </c>
      <c r="P84" s="34">
        <f>ROUND(VLOOKUP($C84,STD!$C:$AA,P$14,0),2)</f>
        <v>0.55000000000000004</v>
      </c>
      <c r="Q84" s="92">
        <f t="shared" si="79"/>
        <v>36.43</v>
      </c>
      <c r="R84" s="93">
        <f>ROUND(VLOOKUP($C84,STD!$C:$AA,R$14,0),2)-Q84</f>
        <v>0</v>
      </c>
      <c r="S84" s="91"/>
      <c r="T84" s="94">
        <f t="shared" si="80"/>
        <v>16.421301562441069</v>
      </c>
      <c r="U84" s="94">
        <f t="shared" ca="1" si="81"/>
        <v>5.5507658354530447</v>
      </c>
      <c r="V84" s="94">
        <f t="shared" ca="1" si="82"/>
        <v>7.4062699632148021</v>
      </c>
      <c r="W84" s="94">
        <f t="shared" ca="1" si="83"/>
        <v>4.5455030400985139</v>
      </c>
      <c r="X84" s="94">
        <f t="shared" ca="1" si="84"/>
        <v>0.61706189600053762</v>
      </c>
      <c r="Y84" s="95">
        <f t="shared" ca="1" si="85"/>
        <v>34.540902297207971</v>
      </c>
      <c r="Z84" s="153"/>
      <c r="AA84" s="79">
        <f t="shared" si="86"/>
        <v>-0.89869843755893086</v>
      </c>
      <c r="AB84" s="79">
        <f t="shared" ca="1" si="87"/>
        <v>0.16076583545304501</v>
      </c>
      <c r="AC84" s="79">
        <f t="shared" ca="1" si="88"/>
        <v>0.47626996321480242</v>
      </c>
      <c r="AD84" s="79">
        <f t="shared" ca="1" si="89"/>
        <v>-1.6944969599014854</v>
      </c>
      <c r="AE84" s="79">
        <f t="shared" ca="1" si="90"/>
        <v>6.706189600053758E-2</v>
      </c>
      <c r="AF84" s="79">
        <f t="shared" ca="1" si="91"/>
        <v>-1.8890977027920286</v>
      </c>
      <c r="AH84" s="97">
        <f t="shared" si="92"/>
        <v>40095.800000000003</v>
      </c>
      <c r="AI84" s="97">
        <f t="shared" si="93"/>
        <v>12477.849999999999</v>
      </c>
      <c r="AJ84" s="97">
        <f t="shared" si="94"/>
        <v>16042.949999999999</v>
      </c>
      <c r="AK84" s="97">
        <f t="shared" si="95"/>
        <v>14445.599999999999</v>
      </c>
      <c r="AL84" s="97">
        <f t="shared" si="96"/>
        <v>1273.25</v>
      </c>
      <c r="AM84" s="97">
        <f t="shared" si="97"/>
        <v>84335.450000000012</v>
      </c>
      <c r="AN84" s="91"/>
      <c r="AO84" s="75">
        <f>SUMIFS('DM-Sum'!$M$6:$M$117,'DM-Sum'!$B$6:$B$117,$C84,'DM-Sum'!$C$6:$C$117, $E84)</f>
        <v>38015.313117051075</v>
      </c>
      <c r="AP84" s="75">
        <f t="shared" ca="1" si="191"/>
        <v>12850.022909073798</v>
      </c>
      <c r="AQ84" s="75">
        <f t="shared" ca="1" si="192"/>
        <v>17145.514964842267</v>
      </c>
      <c r="AR84" s="75">
        <f t="shared" ca="1" si="193"/>
        <v>10522.83953782806</v>
      </c>
      <c r="AS84" s="75">
        <f t="shared" ca="1" si="194"/>
        <v>1428.4982892412447</v>
      </c>
      <c r="AT84" s="75">
        <f t="shared" ca="1" si="25"/>
        <v>79962.188818036448</v>
      </c>
      <c r="AV84" s="98">
        <f t="shared" si="26"/>
        <v>-2080.4868829489278</v>
      </c>
      <c r="AW84" s="98">
        <f t="shared" ca="1" si="27"/>
        <v>372.17290907379902</v>
      </c>
      <c r="AX84" s="98">
        <f t="shared" ca="1" si="28"/>
        <v>1102.5649648422677</v>
      </c>
      <c r="AY84" s="98">
        <f t="shared" ca="1" si="29"/>
        <v>-3922.7604621719383</v>
      </c>
      <c r="AZ84" s="98">
        <f t="shared" ca="1" si="30"/>
        <v>155.24828924124472</v>
      </c>
      <c r="BA84" s="98">
        <f t="shared" ca="1" si="31"/>
        <v>-4373.261181963564</v>
      </c>
      <c r="BB84" s="99"/>
      <c r="BC84" s="100"/>
      <c r="BD84" s="267">
        <f t="shared" si="98"/>
        <v>0.94811209944809871</v>
      </c>
      <c r="BE84" s="268">
        <f t="shared" ca="1" si="99"/>
        <v>1.0298266856128098</v>
      </c>
      <c r="BF84" s="268">
        <f t="shared" ca="1" si="100"/>
        <v>1.0687258244177205</v>
      </c>
      <c r="BG84" s="268">
        <f t="shared" ca="1" si="101"/>
        <v>0.72844600001578752</v>
      </c>
      <c r="BH84" s="268">
        <f t="shared" ca="1" si="102"/>
        <v>0.94302472191629094</v>
      </c>
      <c r="BI84" s="268">
        <f t="shared" ca="1" si="103"/>
        <v>0.94814444955278543</v>
      </c>
      <c r="BK84" s="266" t="str">
        <f t="shared" si="104"/>
        <v>16</v>
      </c>
      <c r="BM84" s="269" t="s">
        <v>1648</v>
      </c>
      <c r="BN84" s="270" t="str">
        <f t="shared" si="105"/>
        <v>GMDVA</v>
      </c>
      <c r="BO84" s="270" t="str">
        <f>VLOOKUP($C84,STD!$C:$D,BO$17,0)</f>
        <v>95T 215/60R16 FSASZ</v>
      </c>
      <c r="BP84" s="270" t="str">
        <f>VLOOKUP($C84,STD!$C:$L,BP$17,0)</f>
        <v>GMDVA</v>
      </c>
      <c r="BQ84" s="270" t="b">
        <f t="shared" si="106"/>
        <v>1</v>
      </c>
      <c r="BR84" s="270" t="b">
        <f t="shared" si="39"/>
        <v>1</v>
      </c>
    </row>
    <row r="85" spans="2:70" s="96" customFormat="1" ht="15" customHeight="1">
      <c r="B85" s="89"/>
      <c r="C85" s="478" t="s">
        <v>471</v>
      </c>
      <c r="D85" s="479" t="str">
        <f t="shared" si="40"/>
        <v>094W 225/45 R17 XLFH50FZ</v>
      </c>
      <c r="E85" s="480" t="s">
        <v>474</v>
      </c>
      <c r="F85" s="481">
        <v>1</v>
      </c>
      <c r="G85" s="104">
        <f>INDEX('Tire Weight'!$D:$D,MATCH($C85&amp;"-"&amp;$E85,'Tire Weight'!$A:$A,0))</f>
        <v>10.374000000000001</v>
      </c>
      <c r="H85" s="90">
        <f t="shared" si="0"/>
        <v>10.374000000000001</v>
      </c>
      <c r="I85" s="104">
        <f>INDEX('Tire Weight'!$E:$E,MATCH($C85&amp;"-"&amp;$E85,'Tire Weight'!$A:$A,0))</f>
        <v>4.524</v>
      </c>
      <c r="J85" s="90">
        <f t="shared" si="1"/>
        <v>4.524</v>
      </c>
      <c r="K85" s="91"/>
      <c r="L85" s="34">
        <f>ROUND(VLOOKUP($C85,STD!$C:$AA,L$14,0),2)</f>
        <v>22.28</v>
      </c>
      <c r="M85" s="34">
        <f>ROUND(VLOOKUP($C85,STD!$C:$AA,M$14,0),2)</f>
        <v>6.09</v>
      </c>
      <c r="N85" s="34">
        <f>ROUND(VLOOKUP($C85,STD!$C:$AA,N$14,0),2)</f>
        <v>8.27</v>
      </c>
      <c r="O85" s="34">
        <f>ROUND(VLOOKUP($C85,STD!$C:$AA,O$14,0),2)-L85-M85-N85-P85</f>
        <v>7.5100000000000007</v>
      </c>
      <c r="P85" s="34">
        <f>ROUND(VLOOKUP($C85,STD!$C:$AA,P$14,0),2)</f>
        <v>0.63</v>
      </c>
      <c r="Q85" s="92">
        <f t="shared" si="79"/>
        <v>44.78</v>
      </c>
      <c r="R85" s="93">
        <f>ROUND(VLOOKUP($C85,STD!$C:$AA,R$14,0),2)-Q85</f>
        <v>0</v>
      </c>
      <c r="S85" s="91"/>
      <c r="T85" s="94">
        <f t="shared" si="80"/>
        <v>20.931255946596142</v>
      </c>
      <c r="U85" s="94">
        <f t="shared" ca="1" si="81"/>
        <v>6.271644515382012</v>
      </c>
      <c r="V85" s="94">
        <f t="shared" ca="1" si="82"/>
        <v>8.8383625679345457</v>
      </c>
      <c r="W85" s="94">
        <f t="shared" ca="1" si="83"/>
        <v>5.4706294601185652</v>
      </c>
      <c r="X85" s="94">
        <f t="shared" ca="1" si="84"/>
        <v>0.7068163536006159</v>
      </c>
      <c r="Y85" s="95">
        <f t="shared" ca="1" si="85"/>
        <v>42.21870884363188</v>
      </c>
      <c r="Z85" s="153"/>
      <c r="AA85" s="79">
        <f t="shared" si="86"/>
        <v>-1.3487440534038591</v>
      </c>
      <c r="AB85" s="79">
        <f t="shared" ca="1" si="87"/>
        <v>0.1816445153820121</v>
      </c>
      <c r="AC85" s="79">
        <f t="shared" ca="1" si="88"/>
        <v>0.56836256793454609</v>
      </c>
      <c r="AD85" s="79">
        <f t="shared" ca="1" si="89"/>
        <v>-2.0393705398814355</v>
      </c>
      <c r="AE85" s="79">
        <f t="shared" ca="1" si="90"/>
        <v>7.6816353600615894E-2</v>
      </c>
      <c r="AF85" s="79">
        <f t="shared" ca="1" si="91"/>
        <v>-2.5612911563681209</v>
      </c>
      <c r="AH85" s="97">
        <f t="shared" si="92"/>
        <v>22.28</v>
      </c>
      <c r="AI85" s="97">
        <f t="shared" si="93"/>
        <v>6.09</v>
      </c>
      <c r="AJ85" s="97">
        <f t="shared" si="94"/>
        <v>8.27</v>
      </c>
      <c r="AK85" s="97">
        <f t="shared" si="95"/>
        <v>7.5100000000000007</v>
      </c>
      <c r="AL85" s="97">
        <f t="shared" si="96"/>
        <v>0.63</v>
      </c>
      <c r="AM85" s="97">
        <f t="shared" si="97"/>
        <v>44.78</v>
      </c>
      <c r="AN85" s="91"/>
      <c r="AO85" s="75">
        <f>SUMIFS('DM-Sum'!$M$6:$M$117,'DM-Sum'!$B$6:$B$117,$C85,'DM-Sum'!$C$6:$C$117, $E85)</f>
        <v>20.931255946596142</v>
      </c>
      <c r="AP85" s="75">
        <f t="shared" ca="1" si="191"/>
        <v>6.271644515382012</v>
      </c>
      <c r="AQ85" s="75">
        <f t="shared" ca="1" si="192"/>
        <v>8.8383625679345457</v>
      </c>
      <c r="AR85" s="75">
        <f t="shared" ca="1" si="193"/>
        <v>5.4706294601185652</v>
      </c>
      <c r="AS85" s="75">
        <f t="shared" ca="1" si="194"/>
        <v>0.7068163536006159</v>
      </c>
      <c r="AT85" s="75">
        <f t="shared" ca="1" si="25"/>
        <v>42.21870884363188</v>
      </c>
      <c r="AV85" s="98">
        <f t="shared" si="26"/>
        <v>-1.3487440534038591</v>
      </c>
      <c r="AW85" s="98">
        <f t="shared" ca="1" si="27"/>
        <v>0.1816445153820121</v>
      </c>
      <c r="AX85" s="98">
        <f t="shared" ca="1" si="28"/>
        <v>0.56836256793454609</v>
      </c>
      <c r="AY85" s="98">
        <f t="shared" ca="1" si="29"/>
        <v>-2.0393705398814355</v>
      </c>
      <c r="AZ85" s="98">
        <f t="shared" ca="1" si="30"/>
        <v>7.6816353600615894E-2</v>
      </c>
      <c r="BA85" s="98">
        <f t="shared" ca="1" si="31"/>
        <v>-2.5612911563681209</v>
      </c>
      <c r="BB85" s="99"/>
      <c r="BC85" s="100"/>
      <c r="BD85" s="267">
        <f t="shared" si="98"/>
        <v>0.93946391142711583</v>
      </c>
      <c r="BE85" s="268">
        <f t="shared" ca="1" si="99"/>
        <v>1.0298266856128098</v>
      </c>
      <c r="BF85" s="268">
        <f t="shared" ca="1" si="100"/>
        <v>1.0687258244177202</v>
      </c>
      <c r="BG85" s="268">
        <f t="shared" ca="1" si="101"/>
        <v>0.72844600001578763</v>
      </c>
      <c r="BH85" s="268">
        <f t="shared" ca="1" si="102"/>
        <v>0.94104419494445002</v>
      </c>
      <c r="BI85" s="268">
        <f t="shared" ca="1" si="103"/>
        <v>0.94280278793282446</v>
      </c>
      <c r="BK85" s="266" t="str">
        <f t="shared" si="104"/>
        <v>17</v>
      </c>
      <c r="BM85" s="269" t="s">
        <v>1649</v>
      </c>
      <c r="BN85" s="270" t="str">
        <f t="shared" si="105"/>
        <v>FVCMA</v>
      </c>
      <c r="BO85" s="270" t="str">
        <f>VLOOKUP($C85,STD!$C:$D,BO$17,0)</f>
        <v xml:space="preserve"> 225/45R17 FH50FZ</v>
      </c>
      <c r="BP85" s="270" t="str">
        <f>VLOOKUP($C85,STD!$C:$L,BP$17,0)</f>
        <v>FVCMA</v>
      </c>
      <c r="BQ85" s="270" t="b">
        <f t="shared" si="106"/>
        <v>0</v>
      </c>
      <c r="BR85" s="270" t="b">
        <f t="shared" si="39"/>
        <v>1</v>
      </c>
    </row>
    <row r="86" spans="2:70" s="96" customFormat="1" ht="15" customHeight="1">
      <c r="B86" s="89"/>
      <c r="C86" s="478" t="s">
        <v>582</v>
      </c>
      <c r="D86" s="479" t="str">
        <f t="shared" si="40"/>
        <v>091T 205/55 R16 FSASZ</v>
      </c>
      <c r="E86" s="480" t="s">
        <v>727</v>
      </c>
      <c r="F86" s="481">
        <v>7</v>
      </c>
      <c r="G86" s="104">
        <f>INDEX('Tire Weight'!$D:$D,MATCH($C86&amp;"-"&amp;$E86,'Tire Weight'!$A:$A,0))</f>
        <v>8.2430000000000003</v>
      </c>
      <c r="H86" s="90">
        <f t="shared" si="0"/>
        <v>57.701000000000001</v>
      </c>
      <c r="I86" s="104">
        <f>INDEX('Tire Weight'!$E:$E,MATCH($C86&amp;"-"&amp;$E86,'Tire Weight'!$A:$A,0))</f>
        <v>3.923</v>
      </c>
      <c r="J86" s="90">
        <f t="shared" si="1"/>
        <v>27.460999999999999</v>
      </c>
      <c r="K86" s="91"/>
      <c r="L86" s="34">
        <f>ROUND(VLOOKUP($C86,STD!$C:$AA,L$14,0),2)</f>
        <v>18.61</v>
      </c>
      <c r="M86" s="34">
        <f>ROUND(VLOOKUP($C86,STD!$C:$AA,M$14,0),2)</f>
        <v>4.2699999999999996</v>
      </c>
      <c r="N86" s="34">
        <f>ROUND(VLOOKUP($C86,STD!$C:$AA,N$14,0),2)</f>
        <v>5.17</v>
      </c>
      <c r="O86" s="34">
        <f>ROUND(VLOOKUP($C86,STD!$C:$AA,O$14,0),2)-L86-M86-N86-P86</f>
        <v>4.5000000000000018</v>
      </c>
      <c r="P86" s="34">
        <f>ROUND(VLOOKUP($C86,STD!$C:$AA,P$14,0),2)</f>
        <v>0.59</v>
      </c>
      <c r="Q86" s="92">
        <f t="shared" si="79"/>
        <v>33.14</v>
      </c>
      <c r="R86" s="93">
        <f>ROUND(VLOOKUP($C86,STD!$C:$AA,R$14,0),2)-Q86</f>
        <v>0</v>
      </c>
      <c r="S86" s="91"/>
      <c r="T86" s="94">
        <f t="shared" si="80"/>
        <v>14.950136000529421</v>
      </c>
      <c r="U86" s="94">
        <f t="shared" ca="1" si="81"/>
        <v>4.3973599475666978</v>
      </c>
      <c r="V86" s="94">
        <f t="shared" ca="1" si="82"/>
        <v>5.5253125122396138</v>
      </c>
      <c r="W86" s="94">
        <f t="shared" ca="1" si="83"/>
        <v>3.2780070000710455</v>
      </c>
      <c r="X86" s="94">
        <f t="shared" ca="1" si="84"/>
        <v>0.66193912480057671</v>
      </c>
      <c r="Y86" s="95">
        <f t="shared" ca="1" si="85"/>
        <v>28.812754585207355</v>
      </c>
      <c r="Z86" s="153"/>
      <c r="AA86" s="79">
        <f t="shared" si="86"/>
        <v>-3.6598639994705788</v>
      </c>
      <c r="AB86" s="79">
        <f t="shared" ca="1" si="87"/>
        <v>0.12735994756669822</v>
      </c>
      <c r="AC86" s="79">
        <f t="shared" ca="1" si="88"/>
        <v>0.35531251223961391</v>
      </c>
      <c r="AD86" s="79">
        <f t="shared" ca="1" si="89"/>
        <v>-1.2219929999289563</v>
      </c>
      <c r="AE86" s="79">
        <f t="shared" ca="1" si="90"/>
        <v>7.1939124800576737E-2</v>
      </c>
      <c r="AF86" s="79">
        <f t="shared" ca="1" si="91"/>
        <v>-4.327245414792646</v>
      </c>
      <c r="AH86" s="97">
        <f t="shared" si="92"/>
        <v>130.26999999999998</v>
      </c>
      <c r="AI86" s="97">
        <f t="shared" si="93"/>
        <v>29.889999999999997</v>
      </c>
      <c r="AJ86" s="97">
        <f t="shared" si="94"/>
        <v>36.19</v>
      </c>
      <c r="AK86" s="97">
        <f t="shared" si="95"/>
        <v>31.500000000000014</v>
      </c>
      <c r="AL86" s="97">
        <f t="shared" si="96"/>
        <v>4.13</v>
      </c>
      <c r="AM86" s="97">
        <f t="shared" si="97"/>
        <v>231.97999999999996</v>
      </c>
      <c r="AN86" s="91"/>
      <c r="AO86" s="75">
        <f>SUMIFS('DM-Sum'!$M$6:$M$117,'DM-Sum'!$B$6:$B$117,$C86,'DM-Sum'!$C$6:$C$117, $E86)</f>
        <v>104.65095200370594</v>
      </c>
      <c r="AP86" s="75">
        <f t="shared" ca="1" si="191"/>
        <v>30.781519632966884</v>
      </c>
      <c r="AQ86" s="75">
        <f t="shared" ca="1" si="192"/>
        <v>38.677187585677295</v>
      </c>
      <c r="AR86" s="75">
        <f t="shared" ca="1" si="193"/>
        <v>22.946049000497318</v>
      </c>
      <c r="AS86" s="75">
        <f t="shared" ca="1" si="194"/>
        <v>4.6335738736040373</v>
      </c>
      <c r="AT86" s="75">
        <f t="shared" ca="1" si="25"/>
        <v>201.68928209645148</v>
      </c>
      <c r="AV86" s="98">
        <f t="shared" si="26"/>
        <v>-25.619047996294043</v>
      </c>
      <c r="AW86" s="98">
        <f t="shared" ca="1" si="27"/>
        <v>0.89151963296688663</v>
      </c>
      <c r="AX86" s="98">
        <f t="shared" ca="1" si="28"/>
        <v>2.4871875856772974</v>
      </c>
      <c r="AY86" s="98">
        <f t="shared" ca="1" si="29"/>
        <v>-8.5539509995026961</v>
      </c>
      <c r="AZ86" s="98">
        <f t="shared" ca="1" si="30"/>
        <v>0.50357387360403738</v>
      </c>
      <c r="BA86" s="98">
        <f t="shared" ca="1" si="31"/>
        <v>-30.290717903548483</v>
      </c>
      <c r="BB86" s="99"/>
      <c r="BC86" s="100"/>
      <c r="BD86" s="267">
        <f t="shared" si="98"/>
        <v>0.80333885010905004</v>
      </c>
      <c r="BE86" s="268">
        <f t="shared" ca="1" si="99"/>
        <v>1.02982668561281</v>
      </c>
      <c r="BF86" s="268">
        <f t="shared" ca="1" si="100"/>
        <v>1.0687258244177202</v>
      </c>
      <c r="BG86" s="268">
        <f t="shared" ca="1" si="101"/>
        <v>0.72844600001578763</v>
      </c>
      <c r="BH86" s="268">
        <f t="shared" ca="1" si="102"/>
        <v>0.94696409324801689</v>
      </c>
      <c r="BI86" s="268">
        <f t="shared" ca="1" si="103"/>
        <v>0.86942530432128406</v>
      </c>
      <c r="BK86" s="266" t="str">
        <f t="shared" si="104"/>
        <v>16</v>
      </c>
      <c r="BM86" s="269" t="s">
        <v>1650</v>
      </c>
      <c r="BN86" s="270" t="str">
        <f t="shared" si="105"/>
        <v>ZCWVA</v>
      </c>
      <c r="BO86" s="270" t="str">
        <f>VLOOKUP($C86,STD!$C:$D,BO$17,0)</f>
        <v>091T 205/55R16 FSASZ</v>
      </c>
      <c r="BP86" s="270" t="str">
        <f>VLOOKUP($C86,STD!$C:$L,BP$17,0)</f>
        <v>ZCWVA</v>
      </c>
      <c r="BQ86" s="270" t="b">
        <f t="shared" si="106"/>
        <v>1</v>
      </c>
      <c r="BR86" s="270" t="b">
        <f t="shared" si="39"/>
        <v>1</v>
      </c>
    </row>
    <row r="87" spans="2:70" s="96" customFormat="1" ht="15" customHeight="1">
      <c r="B87" s="89"/>
      <c r="C87" s="478" t="s">
        <v>789</v>
      </c>
      <c r="D87" s="479" t="str">
        <f t="shared" si="40"/>
        <v>082T 175/65 R14 F7LAZ</v>
      </c>
      <c r="E87" s="480" t="s">
        <v>800</v>
      </c>
      <c r="F87" s="481">
        <v>716</v>
      </c>
      <c r="G87" s="104">
        <f>INDEX('Tire Weight'!$D:$D,MATCH($C87&amp;"-"&amp;$E87,'Tire Weight'!$A:$A,0))</f>
        <v>6.81</v>
      </c>
      <c r="H87" s="90">
        <f t="shared" si="0"/>
        <v>4875.96</v>
      </c>
      <c r="I87" s="104">
        <f>INDEX('Tire Weight'!$E:$E,MATCH($C87&amp;"-"&amp;$E87,'Tire Weight'!$A:$A,0))</f>
        <v>3.48</v>
      </c>
      <c r="J87" s="90">
        <f t="shared" si="1"/>
        <v>2491.6799999999998</v>
      </c>
      <c r="K87" s="91"/>
      <c r="L87" s="34">
        <f>ROUND(VLOOKUP($C87,STD!$C:$AA,L$14,0),2)</f>
        <v>13.59</v>
      </c>
      <c r="M87" s="34">
        <f>ROUND(VLOOKUP($C87,STD!$C:$AA,M$14,0),2)</f>
        <v>4.6399999999999997</v>
      </c>
      <c r="N87" s="34">
        <f>ROUND(VLOOKUP($C87,STD!$C:$AA,N$14,0),2)</f>
        <v>6.08</v>
      </c>
      <c r="O87" s="34">
        <f>ROUND(VLOOKUP($C87,STD!$C:$AA,O$14,0),2)-L87-M87-N87-P87</f>
        <v>5.32</v>
      </c>
      <c r="P87" s="34">
        <f>ROUND(VLOOKUP($C87,STD!$C:$AA,P$14,0),2)</f>
        <v>0.42</v>
      </c>
      <c r="Q87" s="92">
        <f t="shared" si="79"/>
        <v>30.050000000000004</v>
      </c>
      <c r="R87" s="93">
        <f>ROUND(VLOOKUP($C87,STD!$C:$AA,R$14,0),2)-Q87</f>
        <v>0</v>
      </c>
      <c r="S87" s="91"/>
      <c r="T87" s="94">
        <f t="shared" si="80"/>
        <v>12.495508270090944</v>
      </c>
      <c r="U87" s="94">
        <f t="shared" ca="1" si="81"/>
        <v>4.7783958212434374</v>
      </c>
      <c r="V87" s="94">
        <f t="shared" ca="1" si="82"/>
        <v>6.4978530124597391</v>
      </c>
      <c r="W87" s="94">
        <f t="shared" ca="1" si="83"/>
        <v>3.87533272008399</v>
      </c>
      <c r="X87" s="94">
        <f t="shared" ca="1" si="84"/>
        <v>0.47121090240041053</v>
      </c>
      <c r="Y87" s="95">
        <f t="shared" ca="1" si="85"/>
        <v>28.11830072627852</v>
      </c>
      <c r="Z87" s="153"/>
      <c r="AA87" s="79">
        <f t="shared" si="86"/>
        <v>-1.0944917299090555</v>
      </c>
      <c r="AB87" s="79">
        <f t="shared" ca="1" si="87"/>
        <v>0.13839582124343774</v>
      </c>
      <c r="AC87" s="79">
        <f t="shared" ca="1" si="88"/>
        <v>0.41785301245973905</v>
      </c>
      <c r="AD87" s="79">
        <f t="shared" ca="1" si="89"/>
        <v>-1.4446672799160103</v>
      </c>
      <c r="AE87" s="79">
        <f t="shared" ca="1" si="90"/>
        <v>5.1210902400410541E-2</v>
      </c>
      <c r="AF87" s="79">
        <f t="shared" ca="1" si="91"/>
        <v>-1.9316992737214846</v>
      </c>
      <c r="AH87" s="97">
        <f t="shared" si="92"/>
        <v>9730.44</v>
      </c>
      <c r="AI87" s="97">
        <f t="shared" si="93"/>
        <v>3322.24</v>
      </c>
      <c r="AJ87" s="97">
        <f t="shared" si="94"/>
        <v>4353.28</v>
      </c>
      <c r="AK87" s="97">
        <f t="shared" si="95"/>
        <v>3809.1200000000003</v>
      </c>
      <c r="AL87" s="97">
        <f t="shared" si="96"/>
        <v>300.71999999999997</v>
      </c>
      <c r="AM87" s="97">
        <f t="shared" si="97"/>
        <v>21515.8</v>
      </c>
      <c r="AN87" s="91"/>
      <c r="AO87" s="75">
        <f>SUMIFS('DM-Sum'!$M$6:$M$117,'DM-Sum'!$B$6:$B$117,$C87,'DM-Sum'!$C$6:$C$117, $E87)</f>
        <v>8946.7839213851166</v>
      </c>
      <c r="AP87" s="75">
        <f t="shared" ca="1" si="191"/>
        <v>3421.3314080103014</v>
      </c>
      <c r="AQ87" s="75">
        <f t="shared" ca="1" si="192"/>
        <v>4652.4627569211734</v>
      </c>
      <c r="AR87" s="75">
        <f t="shared" ca="1" si="193"/>
        <v>2774.7382275801369</v>
      </c>
      <c r="AS87" s="75">
        <f t="shared" ca="1" si="194"/>
        <v>337.38700611869393</v>
      </c>
      <c r="AT87" s="75">
        <f t="shared" ca="1" si="25"/>
        <v>20132.703320015422</v>
      </c>
      <c r="AV87" s="98">
        <f t="shared" si="26"/>
        <v>-783.65607861488388</v>
      </c>
      <c r="AW87" s="98">
        <f t="shared" ca="1" si="27"/>
        <v>99.09140801030162</v>
      </c>
      <c r="AX87" s="98">
        <f t="shared" ca="1" si="28"/>
        <v>299.18275692117368</v>
      </c>
      <c r="AY87" s="98">
        <f t="shared" ca="1" si="29"/>
        <v>-1034.3817724198634</v>
      </c>
      <c r="AZ87" s="98">
        <f t="shared" ca="1" si="30"/>
        <v>36.667006118693962</v>
      </c>
      <c r="BA87" s="98">
        <f t="shared" ca="1" si="31"/>
        <v>-1383.0966799845773</v>
      </c>
      <c r="BB87" s="99"/>
      <c r="BC87" s="100"/>
      <c r="BD87" s="267">
        <f t="shared" si="98"/>
        <v>0.9194634488661475</v>
      </c>
      <c r="BE87" s="268">
        <f t="shared" ca="1" si="99"/>
        <v>1.0298266856128098</v>
      </c>
      <c r="BF87" s="268">
        <f t="shared" ca="1" si="100"/>
        <v>1.0687258244177202</v>
      </c>
      <c r="BG87" s="268">
        <f t="shared" ca="1" si="101"/>
        <v>0.72844600001578752</v>
      </c>
      <c r="BH87" s="268">
        <f t="shared" ca="1" si="102"/>
        <v>0.94461231632089582</v>
      </c>
      <c r="BI87" s="268">
        <f t="shared" ca="1" si="103"/>
        <v>0.93571716227216362</v>
      </c>
      <c r="BK87" s="266" t="str">
        <f t="shared" si="104"/>
        <v>14</v>
      </c>
      <c r="BM87" s="269" t="s">
        <v>1651</v>
      </c>
      <c r="BN87" s="270" t="str">
        <f t="shared" si="105"/>
        <v>32TVA</v>
      </c>
      <c r="BO87" s="270" t="str">
        <f>VLOOKUP($C87,STD!$C:$D,BO$17,0)</f>
        <v xml:space="preserve">082T 175/65R14 F7LAZ </v>
      </c>
      <c r="BP87" s="270" t="str">
        <f>VLOOKUP($C87,STD!$C:$L,BP$17,0)</f>
        <v>32TVA</v>
      </c>
      <c r="BQ87" s="270" t="b">
        <f t="shared" si="106"/>
        <v>1</v>
      </c>
      <c r="BR87" s="270" t="b">
        <f t="shared" si="39"/>
        <v>1</v>
      </c>
    </row>
    <row r="88" spans="2:70" s="96" customFormat="1" ht="15" customHeight="1">
      <c r="B88" s="89"/>
      <c r="C88" s="478" t="s">
        <v>790</v>
      </c>
      <c r="D88" s="479" t="str">
        <f t="shared" si="40"/>
        <v>088T 175/70R14 F7LAZ</v>
      </c>
      <c r="E88" s="480" t="s">
        <v>804</v>
      </c>
      <c r="F88" s="481">
        <v>7585</v>
      </c>
      <c r="G88" s="104">
        <f>INDEX('Tire Weight'!$D:$D,MATCH($C88&amp;"-"&amp;$E88,'Tire Weight'!$A:$A,0))</f>
        <v>7.2519999999999998</v>
      </c>
      <c r="H88" s="90">
        <f t="shared" si="0"/>
        <v>55006.42</v>
      </c>
      <c r="I88" s="104">
        <f>INDEX('Tire Weight'!$E:$E,MATCH($C88&amp;"-"&amp;$E88,'Tire Weight'!$A:$A,0))</f>
        <v>3.5529999999999999</v>
      </c>
      <c r="J88" s="90">
        <f t="shared" si="1"/>
        <v>26949.505000000001</v>
      </c>
      <c r="K88" s="91"/>
      <c r="L88" s="34">
        <f>ROUND(VLOOKUP($C88,STD!$C:$AA,L$14,0),2)</f>
        <v>14.81</v>
      </c>
      <c r="M88" s="34">
        <f>ROUND(VLOOKUP($C88,STD!$C:$AA,M$14,0),2)</f>
        <v>4.76</v>
      </c>
      <c r="N88" s="34">
        <f>ROUND(VLOOKUP($C88,STD!$C:$AA,N$14,0),2)</f>
        <v>6.27</v>
      </c>
      <c r="O88" s="34">
        <f>ROUND(VLOOKUP($C88,STD!$C:$AA,O$14,0),2)-L88-M88-N88-P88</f>
        <v>5.5499999999999963</v>
      </c>
      <c r="P88" s="34">
        <f>ROUND(VLOOKUP($C88,STD!$C:$AA,P$14,0),2)</f>
        <v>0.44</v>
      </c>
      <c r="Q88" s="92">
        <f t="shared" si="79"/>
        <v>31.83</v>
      </c>
      <c r="R88" s="93">
        <f>ROUND(VLOOKUP($C88,STD!$C:$AA,R$14,0),2)-Q88</f>
        <v>0</v>
      </c>
      <c r="S88" s="91"/>
      <c r="T88" s="94">
        <f t="shared" si="80"/>
        <v>13.70255712170024</v>
      </c>
      <c r="U88" s="94">
        <f t="shared" ca="1" si="81"/>
        <v>4.9019750235169752</v>
      </c>
      <c r="V88" s="94">
        <f t="shared" ca="1" si="82"/>
        <v>6.7009109190991065</v>
      </c>
      <c r="W88" s="94">
        <f t="shared" ca="1" si="83"/>
        <v>4.0428753000876183</v>
      </c>
      <c r="X88" s="94">
        <f t="shared" ca="1" si="84"/>
        <v>0.49364951680043012</v>
      </c>
      <c r="Y88" s="95">
        <f t="shared" ca="1" si="85"/>
        <v>29.841967881204372</v>
      </c>
      <c r="Z88" s="153"/>
      <c r="AA88" s="79">
        <f t="shared" si="86"/>
        <v>-1.1074428782997607</v>
      </c>
      <c r="AB88" s="79">
        <f t="shared" ca="1" si="87"/>
        <v>0.14197502351697544</v>
      </c>
      <c r="AC88" s="79">
        <f t="shared" ca="1" si="88"/>
        <v>0.43091091909910695</v>
      </c>
      <c r="AD88" s="79">
        <f t="shared" ca="1" si="89"/>
        <v>-1.507124699912378</v>
      </c>
      <c r="AE88" s="79">
        <f t="shared" ca="1" si="90"/>
        <v>5.3649516800430119E-2</v>
      </c>
      <c r="AF88" s="79">
        <f t="shared" ca="1" si="91"/>
        <v>-1.9880321187956262</v>
      </c>
      <c r="AH88" s="97">
        <f t="shared" si="92"/>
        <v>112333.85</v>
      </c>
      <c r="AI88" s="97">
        <f t="shared" si="93"/>
        <v>36104.6</v>
      </c>
      <c r="AJ88" s="97">
        <f t="shared" si="94"/>
        <v>47557.95</v>
      </c>
      <c r="AK88" s="97">
        <f t="shared" si="95"/>
        <v>42096.749999999971</v>
      </c>
      <c r="AL88" s="97">
        <f t="shared" si="96"/>
        <v>3337.4</v>
      </c>
      <c r="AM88" s="97">
        <f t="shared" si="97"/>
        <v>241430.55</v>
      </c>
      <c r="AN88" s="91"/>
      <c r="AO88" s="75">
        <f>SUMIFS('DM-Sum'!$M$6:$M$117,'DM-Sum'!$B$6:$B$117,$C88,'DM-Sum'!$C$6:$C$117, $E88)</f>
        <v>103933.89576809632</v>
      </c>
      <c r="AP88" s="75">
        <f t="shared" ca="1" si="191"/>
        <v>37181.480553376256</v>
      </c>
      <c r="AQ88" s="75">
        <f t="shared" ca="1" si="192"/>
        <v>50826.409321366722</v>
      </c>
      <c r="AR88" s="75">
        <f t="shared" ca="1" si="193"/>
        <v>30665.209151164585</v>
      </c>
      <c r="AS88" s="75">
        <f t="shared" ca="1" si="194"/>
        <v>3744.3315849312626</v>
      </c>
      <c r="AT88" s="75">
        <f t="shared" ca="1" si="25"/>
        <v>226351.32637893516</v>
      </c>
      <c r="AV88" s="98">
        <f t="shared" si="26"/>
        <v>-8399.9542319036846</v>
      </c>
      <c r="AW88" s="98">
        <f t="shared" ca="1" si="27"/>
        <v>1076.880553376257</v>
      </c>
      <c r="AX88" s="98">
        <f t="shared" ca="1" si="28"/>
        <v>3268.4593213667249</v>
      </c>
      <c r="AY88" s="98">
        <f t="shared" ca="1" si="29"/>
        <v>-11431.540848835386</v>
      </c>
      <c r="AZ88" s="98">
        <f t="shared" ca="1" si="30"/>
        <v>406.93158493126248</v>
      </c>
      <c r="BA88" s="98">
        <f t="shared" ca="1" si="31"/>
        <v>-15079.223621064826</v>
      </c>
      <c r="BB88" s="99"/>
      <c r="BC88" s="100"/>
      <c r="BD88" s="267">
        <f t="shared" si="98"/>
        <v>0.92522330328833491</v>
      </c>
      <c r="BE88" s="268">
        <f t="shared" ca="1" si="99"/>
        <v>1.02982668561281</v>
      </c>
      <c r="BF88" s="268">
        <f t="shared" ca="1" si="100"/>
        <v>1.0687258244177205</v>
      </c>
      <c r="BG88" s="268">
        <f t="shared" ca="1" si="101"/>
        <v>0.72844600001578752</v>
      </c>
      <c r="BH88" s="268">
        <f t="shared" ca="1" si="102"/>
        <v>0.94365266843810036</v>
      </c>
      <c r="BI88" s="268">
        <f t="shared" ca="1" si="103"/>
        <v>0.93754218916758947</v>
      </c>
      <c r="BK88" s="266" t="str">
        <f t="shared" si="104"/>
        <v>14</v>
      </c>
      <c r="BM88" s="269" t="s">
        <v>1652</v>
      </c>
      <c r="BN88" s="270" t="str">
        <f t="shared" si="105"/>
        <v>34RVA</v>
      </c>
      <c r="BO88" s="270" t="str">
        <f>VLOOKUP($C88,STD!$C:$D,BO$17,0)</f>
        <v xml:space="preserve">088T 175/70R14 F7LAZ </v>
      </c>
      <c r="BP88" s="270" t="str">
        <f>VLOOKUP($C88,STD!$C:$L,BP$17,0)</f>
        <v>34RVA</v>
      </c>
      <c r="BQ88" s="270" t="b">
        <f t="shared" si="106"/>
        <v>1</v>
      </c>
      <c r="BR88" s="270" t="b">
        <f t="shared" si="39"/>
        <v>1</v>
      </c>
    </row>
    <row r="89" spans="2:70" s="96" customFormat="1" ht="15" customHeight="1">
      <c r="B89" s="89"/>
      <c r="C89" s="478" t="s">
        <v>786</v>
      </c>
      <c r="D89" s="479" t="str">
        <f t="shared" si="40"/>
        <v>075H 155/65R14 NEWNZ</v>
      </c>
      <c r="E89" s="480" t="s">
        <v>827</v>
      </c>
      <c r="F89" s="481">
        <v>58104</v>
      </c>
      <c r="G89" s="104">
        <f>INDEX('Tire Weight'!$D:$D,MATCH($C89&amp;"-"&amp;$E89,'Tire Weight'!$A:$A,0))</f>
        <v>4.9240000000000004</v>
      </c>
      <c r="H89" s="90">
        <f t="shared" si="0"/>
        <v>286104.09600000002</v>
      </c>
      <c r="I89" s="104">
        <f>INDEX('Tire Weight'!$E:$E,MATCH($C89&amp;"-"&amp;$E89,'Tire Weight'!$A:$A,0))</f>
        <v>2.415</v>
      </c>
      <c r="J89" s="90">
        <f t="shared" si="1"/>
        <v>140321.16</v>
      </c>
      <c r="K89" s="91"/>
      <c r="L89" s="34">
        <f>ROUND(VLOOKUP($C89,STD!$C:$AA,L$14,0),2)</f>
        <v>10.119999999999999</v>
      </c>
      <c r="M89" s="34">
        <f>ROUND(VLOOKUP($C89,STD!$C:$AA,M$14,0),2)</f>
        <v>4.12</v>
      </c>
      <c r="N89" s="34">
        <f>ROUND(VLOOKUP($C89,STD!$C:$AA,N$14,0),2)</f>
        <v>5.55</v>
      </c>
      <c r="O89" s="34">
        <f>ROUND(VLOOKUP($C89,STD!$C:$AA,O$14,0),2)-L89-M89-N89-P89</f>
        <v>4.6700000000000035</v>
      </c>
      <c r="P89" s="34">
        <f>ROUND(VLOOKUP($C89,STD!$C:$AA,P$14,0),2)</f>
        <v>0.3</v>
      </c>
      <c r="Q89" s="92">
        <f t="shared" si="79"/>
        <v>24.76</v>
      </c>
      <c r="R89" s="93">
        <f>ROUND(VLOOKUP($C89,STD!$C:$AA,R$14,0),2)-Q89</f>
        <v>0</v>
      </c>
      <c r="S89" s="91"/>
      <c r="T89" s="94">
        <f t="shared" si="80"/>
        <v>9.3645868060000055</v>
      </c>
      <c r="U89" s="94">
        <f t="shared" ca="1" si="81"/>
        <v>4.2428859447247769</v>
      </c>
      <c r="V89" s="94">
        <f t="shared" ca="1" si="82"/>
        <v>5.9314283255183478</v>
      </c>
      <c r="W89" s="94">
        <f t="shared" ca="1" si="83"/>
        <v>3.4018428200737305</v>
      </c>
      <c r="X89" s="94">
        <f t="shared" ca="1" si="84"/>
        <v>0.33657921600029328</v>
      </c>
      <c r="Y89" s="95">
        <f t="shared" ca="1" si="85"/>
        <v>23.277323112317152</v>
      </c>
      <c r="Z89" s="153"/>
      <c r="AA89" s="79">
        <f t="shared" si="86"/>
        <v>-0.75541319399999374</v>
      </c>
      <c r="AB89" s="79">
        <f t="shared" ca="1" si="87"/>
        <v>0.12288594472477676</v>
      </c>
      <c r="AC89" s="79">
        <f t="shared" ca="1" si="88"/>
        <v>0.38142832551834793</v>
      </c>
      <c r="AD89" s="79">
        <f t="shared" ca="1" si="89"/>
        <v>-1.268157179926273</v>
      </c>
      <c r="AE89" s="79">
        <f t="shared" ca="1" si="90"/>
        <v>3.6579216000293291E-2</v>
      </c>
      <c r="AF89" s="79">
        <f t="shared" ca="1" si="91"/>
        <v>-1.4826768876828496</v>
      </c>
      <c r="AH89" s="97">
        <f t="shared" si="92"/>
        <v>588012.48</v>
      </c>
      <c r="AI89" s="97">
        <f t="shared" si="93"/>
        <v>239388.48</v>
      </c>
      <c r="AJ89" s="97">
        <f t="shared" si="94"/>
        <v>322477.2</v>
      </c>
      <c r="AK89" s="97">
        <f t="shared" si="95"/>
        <v>271345.68000000023</v>
      </c>
      <c r="AL89" s="97">
        <f t="shared" si="96"/>
        <v>17431.2</v>
      </c>
      <c r="AM89" s="97">
        <f t="shared" si="97"/>
        <v>1438655.04</v>
      </c>
      <c r="AN89" s="91"/>
      <c r="AO89" s="75">
        <f>SUMIFS('DM-Sum'!$M$6:$M$117,'DM-Sum'!$B$6:$B$117,$C89,'DM-Sum'!$C$6:$C$117, $E89)</f>
        <v>544119.9517758243</v>
      </c>
      <c r="AP89" s="75">
        <f t="shared" ca="1" si="191"/>
        <v>246528.64493228844</v>
      </c>
      <c r="AQ89" s="75">
        <f t="shared" ca="1" si="192"/>
        <v>344639.7114259181</v>
      </c>
      <c r="AR89" s="75">
        <f t="shared" ca="1" si="193"/>
        <v>197660.67521756404</v>
      </c>
      <c r="AS89" s="75">
        <f t="shared" ca="1" si="194"/>
        <v>19556.598766481042</v>
      </c>
      <c r="AT89" s="75">
        <f t="shared" ca="1" si="25"/>
        <v>1352505.5821180758</v>
      </c>
      <c r="AV89" s="98">
        <f t="shared" si="26"/>
        <v>-43892.528224175679</v>
      </c>
      <c r="AW89" s="98">
        <f t="shared" ca="1" si="27"/>
        <v>7140.1649322884332</v>
      </c>
      <c r="AX89" s="98">
        <f t="shared" ca="1" si="28"/>
        <v>22162.511425918085</v>
      </c>
      <c r="AY89" s="98">
        <f t="shared" ca="1" si="29"/>
        <v>-73685.004782436183</v>
      </c>
      <c r="AZ89" s="98">
        <f t="shared" ca="1" si="30"/>
        <v>2125.3987664810411</v>
      </c>
      <c r="BA89" s="98">
        <f t="shared" ca="1" si="31"/>
        <v>-86149.457881924231</v>
      </c>
      <c r="BB89" s="99"/>
      <c r="BC89" s="100"/>
      <c r="BD89" s="267">
        <f t="shared" si="98"/>
        <v>0.92535442747035634</v>
      </c>
      <c r="BE89" s="268">
        <f t="shared" ca="1" si="99"/>
        <v>1.02982668561281</v>
      </c>
      <c r="BF89" s="268">
        <f t="shared" ca="1" si="100"/>
        <v>1.0687258244177205</v>
      </c>
      <c r="BG89" s="268">
        <f t="shared" ca="1" si="101"/>
        <v>0.72844600001578752</v>
      </c>
      <c r="BH89" s="268">
        <f t="shared" ca="1" si="102"/>
        <v>0.94673340936658656</v>
      </c>
      <c r="BI89" s="268">
        <f t="shared" ca="1" si="103"/>
        <v>0.94011805784802704</v>
      </c>
      <c r="BK89" s="266" t="str">
        <f t="shared" si="104"/>
        <v>14</v>
      </c>
      <c r="BM89" s="269" t="s">
        <v>1653</v>
      </c>
      <c r="BN89" s="270" t="str">
        <f t="shared" si="105"/>
        <v>DFYVA</v>
      </c>
      <c r="BO89" s="270" t="str">
        <f>VLOOKUP($C89,STD!$C:$D,BO$17,0)</f>
        <v xml:space="preserve"> 155/65R14 NEWNZ</v>
      </c>
      <c r="BP89" s="270" t="str">
        <f>VLOOKUP($C89,STD!$C:$L,BP$17,0)</f>
        <v>DFYVA</v>
      </c>
      <c r="BQ89" s="270" t="b">
        <f t="shared" si="106"/>
        <v>0</v>
      </c>
      <c r="BR89" s="270" t="b">
        <f t="shared" si="39"/>
        <v>1</v>
      </c>
    </row>
    <row r="90" spans="2:70" s="96" customFormat="1" ht="15" customHeight="1">
      <c r="B90" s="89"/>
      <c r="C90" s="478" t="s">
        <v>787</v>
      </c>
      <c r="D90" s="479" t="str">
        <f t="shared" si="40"/>
        <v>088S 185/65R15 NEWNZ</v>
      </c>
      <c r="E90" s="480" t="s">
        <v>828</v>
      </c>
      <c r="F90" s="481">
        <v>6</v>
      </c>
      <c r="G90" s="104">
        <f>INDEX('Tire Weight'!$D:$D,MATCH($C90&amp;"-"&amp;$E90,'Tire Weight'!$A:$A,0))</f>
        <v>6.9180000000000001</v>
      </c>
      <c r="H90" s="90">
        <f t="shared" si="0"/>
        <v>41.508000000000003</v>
      </c>
      <c r="I90" s="104">
        <f>INDEX('Tire Weight'!$E:$E,MATCH($C90&amp;"-"&amp;$E90,'Tire Weight'!$A:$A,0))</f>
        <v>3.4060000000000001</v>
      </c>
      <c r="J90" s="90">
        <f t="shared" si="1"/>
        <v>20.436</v>
      </c>
      <c r="K90" s="91"/>
      <c r="L90" s="34">
        <f>ROUND(VLOOKUP($C90,STD!$C:$AA,L$14,0),2)</f>
        <v>14.36</v>
      </c>
      <c r="M90" s="34">
        <f>ROUND(VLOOKUP($C90,STD!$C:$AA,M$14,0),2)</f>
        <v>4.8</v>
      </c>
      <c r="N90" s="34">
        <f>ROUND(VLOOKUP($C90,STD!$C:$AA,N$14,0),2)</f>
        <v>6.61</v>
      </c>
      <c r="O90" s="34">
        <f>ROUND(VLOOKUP($C90,STD!$C:$AA,O$14,0),2)-L90-M90-N90-P90</f>
        <v>5.799999999999998</v>
      </c>
      <c r="P90" s="34">
        <f>ROUND(VLOOKUP($C90,STD!$C:$AA,P$14,0),2)</f>
        <v>0.42</v>
      </c>
      <c r="Q90" s="92">
        <f t="shared" si="79"/>
        <v>31.99</v>
      </c>
      <c r="R90" s="93">
        <f>ROUND(VLOOKUP($C90,STD!$C:$AA,R$14,0),2)-Q90</f>
        <v>0</v>
      </c>
      <c r="S90" s="91"/>
      <c r="T90" s="94">
        <f t="shared" si="80"/>
        <v>13.418859607839181</v>
      </c>
      <c r="U90" s="94">
        <f t="shared" ca="1" si="81"/>
        <v>4.9431680909414863</v>
      </c>
      <c r="V90" s="94">
        <f t="shared" ca="1" si="82"/>
        <v>7.0642776994011323</v>
      </c>
      <c r="W90" s="94">
        <f t="shared" ca="1" si="83"/>
        <v>4.2249868000915667</v>
      </c>
      <c r="X90" s="94">
        <f t="shared" ca="1" si="84"/>
        <v>0.47121090240041058</v>
      </c>
      <c r="Y90" s="95">
        <f t="shared" ca="1" si="85"/>
        <v>30.122503100673779</v>
      </c>
      <c r="Z90" s="153"/>
      <c r="AA90" s="79">
        <f t="shared" si="86"/>
        <v>-0.94114039216081835</v>
      </c>
      <c r="AB90" s="79">
        <f t="shared" ca="1" si="87"/>
        <v>0.14316809094148653</v>
      </c>
      <c r="AC90" s="79">
        <f t="shared" ca="1" si="88"/>
        <v>0.45427769940113194</v>
      </c>
      <c r="AD90" s="79">
        <f t="shared" ca="1" si="89"/>
        <v>-1.5750131999084314</v>
      </c>
      <c r="AE90" s="79">
        <f t="shared" ca="1" si="90"/>
        <v>5.1210902400410596E-2</v>
      </c>
      <c r="AF90" s="79">
        <f t="shared" ca="1" si="91"/>
        <v>-1.8674968993262198</v>
      </c>
      <c r="AH90" s="97">
        <f t="shared" si="92"/>
        <v>86.16</v>
      </c>
      <c r="AI90" s="97">
        <f t="shared" si="93"/>
        <v>28.799999999999997</v>
      </c>
      <c r="AJ90" s="97">
        <f t="shared" si="94"/>
        <v>39.660000000000004</v>
      </c>
      <c r="AK90" s="97">
        <f t="shared" si="95"/>
        <v>34.79999999999999</v>
      </c>
      <c r="AL90" s="97">
        <f t="shared" si="96"/>
        <v>2.52</v>
      </c>
      <c r="AM90" s="97">
        <f t="shared" si="97"/>
        <v>191.94</v>
      </c>
      <c r="AN90" s="91"/>
      <c r="AO90" s="75">
        <f>SUMIFS('DM-Sum'!$M$6:$M$117,'DM-Sum'!$B$6:$B$117,$C90,'DM-Sum'!$C$6:$C$117, $E90)</f>
        <v>80.513157647035086</v>
      </c>
      <c r="AP90" s="75">
        <f t="shared" ca="1" si="191"/>
        <v>29.65900854564892</v>
      </c>
      <c r="AQ90" s="75">
        <f t="shared" ca="1" si="192"/>
        <v>42.385666196406795</v>
      </c>
      <c r="AR90" s="75">
        <f t="shared" ca="1" si="193"/>
        <v>25.349920800549398</v>
      </c>
      <c r="AS90" s="75">
        <f t="shared" ca="1" si="194"/>
        <v>2.8272654144024636</v>
      </c>
      <c r="AT90" s="75">
        <f t="shared" ca="1" si="25"/>
        <v>180.73501860404266</v>
      </c>
      <c r="AV90" s="98">
        <f t="shared" si="26"/>
        <v>-5.6468423529649101</v>
      </c>
      <c r="AW90" s="98">
        <f t="shared" ca="1" si="27"/>
        <v>0.85900854564892271</v>
      </c>
      <c r="AX90" s="98">
        <f t="shared" ca="1" si="28"/>
        <v>2.7256661964067916</v>
      </c>
      <c r="AY90" s="98">
        <f t="shared" ca="1" si="29"/>
        <v>-9.4500791994505917</v>
      </c>
      <c r="AZ90" s="98">
        <f t="shared" ca="1" si="30"/>
        <v>0.30726541440246358</v>
      </c>
      <c r="BA90" s="98">
        <f t="shared" ca="1" si="31"/>
        <v>-11.204981395957333</v>
      </c>
      <c r="BB90" s="99"/>
      <c r="BC90" s="100"/>
      <c r="BD90" s="267">
        <f t="shared" si="98"/>
        <v>0.93446097547626616</v>
      </c>
      <c r="BE90" s="268">
        <f t="shared" ca="1" si="99"/>
        <v>1.0298266856128098</v>
      </c>
      <c r="BF90" s="268">
        <f t="shared" ca="1" si="100"/>
        <v>1.0687258244177205</v>
      </c>
      <c r="BG90" s="268">
        <f t="shared" ca="1" si="101"/>
        <v>0.72844600001578763</v>
      </c>
      <c r="BH90" s="268">
        <f t="shared" ca="1" si="102"/>
        <v>0.94319771007752407</v>
      </c>
      <c r="BI90" s="268">
        <f t="shared" ca="1" si="103"/>
        <v>0.94162247892071838</v>
      </c>
      <c r="BK90" s="266" t="str">
        <f t="shared" si="104"/>
        <v>15</v>
      </c>
      <c r="BM90" s="269" t="s">
        <v>1654</v>
      </c>
      <c r="BN90" s="270" t="str">
        <f t="shared" si="105"/>
        <v>BG5VA</v>
      </c>
      <c r="BO90" s="270" t="str">
        <f>VLOOKUP($C90,STD!$C:$D,BO$17,0)</f>
        <v xml:space="preserve"> 185/65R15 NEWNZ</v>
      </c>
      <c r="BP90" s="270" t="str">
        <f>VLOOKUP($C90,STD!$C:$L,BP$17,0)</f>
        <v>BG5VA</v>
      </c>
      <c r="BQ90" s="270" t="b">
        <f t="shared" si="106"/>
        <v>0</v>
      </c>
      <c r="BR90" s="270" t="b">
        <f t="shared" si="39"/>
        <v>1</v>
      </c>
    </row>
    <row r="91" spans="2:70" s="96" customFormat="1" ht="15" customHeight="1">
      <c r="B91" s="89"/>
      <c r="C91" s="478" t="s">
        <v>813</v>
      </c>
      <c r="D91" s="479" t="str">
        <f t="shared" si="40"/>
        <v>084H 185/70R14 NEWNZ</v>
      </c>
      <c r="E91" s="480" t="s">
        <v>829</v>
      </c>
      <c r="F91" s="481">
        <v>1</v>
      </c>
      <c r="G91" s="104">
        <f>INDEX('Tire Weight'!$D:$D,MATCH($C91&amp;"-"&amp;$E91,'Tire Weight'!$A:$A,0))</f>
        <v>6.6760000000000002</v>
      </c>
      <c r="H91" s="90">
        <f t="shared" si="0"/>
        <v>6.6760000000000002</v>
      </c>
      <c r="I91" s="104">
        <f>INDEX('Tire Weight'!$E:$E,MATCH($C91&amp;"-"&amp;$E91,'Tire Weight'!$A:$A,0))</f>
        <v>3.298</v>
      </c>
      <c r="J91" s="90">
        <f t="shared" si="1"/>
        <v>3.298</v>
      </c>
      <c r="K91" s="91"/>
      <c r="L91" s="34">
        <f>ROUND(VLOOKUP($C91,STD!$C:$AA,L$14,0),2)</f>
        <v>13.79</v>
      </c>
      <c r="M91" s="34">
        <f>ROUND(VLOOKUP($C91,STD!$C:$AA,M$14,0),2)</f>
        <v>4.6500000000000004</v>
      </c>
      <c r="N91" s="34">
        <f>ROUND(VLOOKUP($C91,STD!$C:$AA,N$14,0),2)</f>
        <v>6.28</v>
      </c>
      <c r="O91" s="34">
        <f>ROUND(VLOOKUP($C91,STD!$C:$AA,O$14,0),2)-L91-M91-N91-P91</f>
        <v>5.4999999999999991</v>
      </c>
      <c r="P91" s="34">
        <f>ROUND(VLOOKUP($C91,STD!$C:$AA,P$14,0),2)</f>
        <v>0.41</v>
      </c>
      <c r="Q91" s="92">
        <f t="shared" si="79"/>
        <v>30.63</v>
      </c>
      <c r="R91" s="93">
        <f>ROUND(VLOOKUP($C91,STD!$C:$AA,R$14,0),2)-Q91</f>
        <v>0</v>
      </c>
      <c r="S91" s="91"/>
      <c r="T91" s="94">
        <f t="shared" si="80"/>
        <v>12.850235866734659</v>
      </c>
      <c r="U91" s="94">
        <f t="shared" ca="1" si="81"/>
        <v>4.7886940880995663</v>
      </c>
      <c r="V91" s="94">
        <f t="shared" ca="1" si="82"/>
        <v>6.7115981773432836</v>
      </c>
      <c r="W91" s="94">
        <f t="shared" ca="1" si="83"/>
        <v>4.0064530000868306</v>
      </c>
      <c r="X91" s="94">
        <f t="shared" ca="1" si="84"/>
        <v>0.45999159520040073</v>
      </c>
      <c r="Y91" s="95">
        <f t="shared" ca="1" si="85"/>
        <v>28.816972727464737</v>
      </c>
      <c r="Z91" s="153"/>
      <c r="AA91" s="79">
        <f t="shared" si="86"/>
        <v>-0.93976413326534036</v>
      </c>
      <c r="AB91" s="79">
        <f t="shared" ca="1" si="87"/>
        <v>0.13869408809956596</v>
      </c>
      <c r="AC91" s="79">
        <f t="shared" ca="1" si="88"/>
        <v>0.43159817734328332</v>
      </c>
      <c r="AD91" s="79">
        <f t="shared" ca="1" si="89"/>
        <v>-1.4935469999131685</v>
      </c>
      <c r="AE91" s="79">
        <f t="shared" ca="1" si="90"/>
        <v>4.9991595200400751E-2</v>
      </c>
      <c r="AF91" s="79">
        <f t="shared" ca="1" si="91"/>
        <v>-1.8130272725352619</v>
      </c>
      <c r="AH91" s="97">
        <f t="shared" si="92"/>
        <v>13.79</v>
      </c>
      <c r="AI91" s="97">
        <f t="shared" si="93"/>
        <v>4.6500000000000004</v>
      </c>
      <c r="AJ91" s="97">
        <f t="shared" si="94"/>
        <v>6.28</v>
      </c>
      <c r="AK91" s="97">
        <f t="shared" si="95"/>
        <v>5.4999999999999991</v>
      </c>
      <c r="AL91" s="97">
        <f t="shared" si="96"/>
        <v>0.41</v>
      </c>
      <c r="AM91" s="97">
        <f t="shared" si="97"/>
        <v>30.63</v>
      </c>
      <c r="AN91" s="91"/>
      <c r="AO91" s="75">
        <f>SUMIFS('DM-Sum'!$M$6:$M$117,'DM-Sum'!$B$6:$B$117,$C91,'DM-Sum'!$C$6:$C$117, $E91)</f>
        <v>12.850235866734659</v>
      </c>
      <c r="AP91" s="75">
        <f t="shared" ca="1" si="191"/>
        <v>4.7886940880995663</v>
      </c>
      <c r="AQ91" s="75">
        <f t="shared" ca="1" si="192"/>
        <v>6.7115981773432836</v>
      </c>
      <c r="AR91" s="75">
        <f t="shared" ca="1" si="193"/>
        <v>4.0064530000868306</v>
      </c>
      <c r="AS91" s="75">
        <f t="shared" ca="1" si="194"/>
        <v>0.45999159520040073</v>
      </c>
      <c r="AT91" s="75">
        <f t="shared" ca="1" si="25"/>
        <v>28.816972727464737</v>
      </c>
      <c r="AV91" s="98">
        <f t="shared" si="26"/>
        <v>-0.93976413326534036</v>
      </c>
      <c r="AW91" s="98">
        <f t="shared" ca="1" si="27"/>
        <v>0.13869408809956596</v>
      </c>
      <c r="AX91" s="98">
        <f t="shared" ca="1" si="28"/>
        <v>0.43159817734328332</v>
      </c>
      <c r="AY91" s="98">
        <f t="shared" ca="1" si="29"/>
        <v>-1.4935469999131685</v>
      </c>
      <c r="AZ91" s="98">
        <f t="shared" ca="1" si="30"/>
        <v>4.9991595200400751E-2</v>
      </c>
      <c r="BA91" s="98">
        <f t="shared" ca="1" si="31"/>
        <v>-1.8130272725352619</v>
      </c>
      <c r="BB91" s="99"/>
      <c r="BC91" s="100"/>
      <c r="BD91" s="267">
        <f t="shared" si="98"/>
        <v>0.93185176698583461</v>
      </c>
      <c r="BE91" s="268">
        <f t="shared" ca="1" si="99"/>
        <v>1.02982668561281</v>
      </c>
      <c r="BF91" s="268">
        <f t="shared" ca="1" si="100"/>
        <v>1.0687258244177202</v>
      </c>
      <c r="BG91" s="268">
        <f t="shared" ca="1" si="101"/>
        <v>0.72844600001578752</v>
      </c>
      <c r="BH91" s="268">
        <f t="shared" ca="1" si="102"/>
        <v>0.94380677209553743</v>
      </c>
      <c r="BI91" s="268">
        <f t="shared" ca="1" si="103"/>
        <v>0.94080877334197643</v>
      </c>
      <c r="BK91" s="266" t="str">
        <f t="shared" si="104"/>
        <v>14</v>
      </c>
      <c r="BM91" s="269" t="s">
        <v>1655</v>
      </c>
      <c r="BN91" s="270" t="str">
        <f t="shared" si="105"/>
        <v>HXHVA</v>
      </c>
      <c r="BO91" s="270" t="str">
        <f>VLOOKUP($C91,STD!$C:$D,BO$17,0)</f>
        <v xml:space="preserve"> 185/70R14 NEWNZ</v>
      </c>
      <c r="BP91" s="270" t="str">
        <f>VLOOKUP($C91,STD!$C:$L,BP$17,0)</f>
        <v>HXHVA</v>
      </c>
      <c r="BQ91" s="270" t="b">
        <f t="shared" si="106"/>
        <v>0</v>
      </c>
      <c r="BR91" s="270" t="b">
        <f t="shared" si="39"/>
        <v>1</v>
      </c>
    </row>
    <row r="92" spans="2:70" s="96" customFormat="1" ht="15" customHeight="1">
      <c r="B92" s="89"/>
      <c r="C92" s="478" t="s">
        <v>814</v>
      </c>
      <c r="D92" s="479" t="str">
        <f t="shared" si="40"/>
        <v>088S 175/65R15 NEWNZ</v>
      </c>
      <c r="E92" s="480" t="s">
        <v>835</v>
      </c>
      <c r="F92" s="481">
        <v>1</v>
      </c>
      <c r="G92" s="104">
        <f>INDEX('Tire Weight'!$D:$D,MATCH($C92&amp;"-"&amp;$E92,'Tire Weight'!$A:$A,0))</f>
        <v>6.2969999999999997</v>
      </c>
      <c r="H92" s="90">
        <f t="shared" si="0"/>
        <v>6.2969999999999997</v>
      </c>
      <c r="I92" s="104">
        <f>INDEX('Tire Weight'!$E:$E,MATCH($C92&amp;"-"&amp;$E92,'Tire Weight'!$A:$A,0))</f>
        <v>3.0939999999999999</v>
      </c>
      <c r="J92" s="90">
        <f t="shared" si="1"/>
        <v>3.0939999999999999</v>
      </c>
      <c r="K92" s="91"/>
      <c r="L92" s="34">
        <f>ROUND(VLOOKUP($C92,STD!$C:$AA,L$14,0),2)</f>
        <v>13.06</v>
      </c>
      <c r="M92" s="34">
        <f>ROUND(VLOOKUP($C92,STD!$C:$AA,M$14,0),2)</f>
        <v>4.63</v>
      </c>
      <c r="N92" s="34">
        <f>ROUND(VLOOKUP($C92,STD!$C:$AA,N$14,0),2)</f>
        <v>6.41</v>
      </c>
      <c r="O92" s="34">
        <f>ROUND(VLOOKUP($C92,STD!$C:$AA,O$14,0),2)-L92-M92-N92-P92</f>
        <v>5.55</v>
      </c>
      <c r="P92" s="34">
        <f>ROUND(VLOOKUP($C92,STD!$C:$AA,P$14,0),2)</f>
        <v>0.38</v>
      </c>
      <c r="Q92" s="92">
        <f t="shared" si="79"/>
        <v>30.03</v>
      </c>
      <c r="R92" s="93">
        <f>ROUND(VLOOKUP($C92,STD!$C:$AA,R$14,0),2)-Q92</f>
        <v>0</v>
      </c>
      <c r="S92" s="91"/>
      <c r="T92" s="94">
        <f t="shared" si="80"/>
        <v>12.179854129441596</v>
      </c>
      <c r="U92" s="94">
        <f t="shared" ca="1" si="81"/>
        <v>4.7680975543873094</v>
      </c>
      <c r="V92" s="94">
        <f t="shared" ca="1" si="82"/>
        <v>6.8505325345175878</v>
      </c>
      <c r="W92" s="94">
        <f t="shared" ca="1" si="83"/>
        <v>4.042875300087621</v>
      </c>
      <c r="X92" s="94">
        <f t="shared" ca="1" si="84"/>
        <v>0.4263336736003715</v>
      </c>
      <c r="Y92" s="95">
        <f t="shared" ca="1" si="85"/>
        <v>28.267693192034482</v>
      </c>
      <c r="Z92" s="153"/>
      <c r="AA92" s="79">
        <f t="shared" si="86"/>
        <v>-0.88014587055840465</v>
      </c>
      <c r="AB92" s="79">
        <f t="shared" ca="1" si="87"/>
        <v>0.13809755438730953</v>
      </c>
      <c r="AC92" s="79">
        <f t="shared" ca="1" si="88"/>
        <v>0.44053253451758767</v>
      </c>
      <c r="AD92" s="79">
        <f t="shared" ca="1" si="89"/>
        <v>-1.5071246999123789</v>
      </c>
      <c r="AE92" s="79">
        <f t="shared" ca="1" si="90"/>
        <v>4.6333673600371494E-2</v>
      </c>
      <c r="AF92" s="79">
        <f t="shared" ca="1" si="91"/>
        <v>-1.7623068079655191</v>
      </c>
      <c r="AH92" s="97">
        <f t="shared" si="92"/>
        <v>13.06</v>
      </c>
      <c r="AI92" s="97">
        <f t="shared" si="93"/>
        <v>4.63</v>
      </c>
      <c r="AJ92" s="97">
        <f t="shared" si="94"/>
        <v>6.41</v>
      </c>
      <c r="AK92" s="97">
        <f t="shared" si="95"/>
        <v>5.55</v>
      </c>
      <c r="AL92" s="97">
        <f t="shared" si="96"/>
        <v>0.38</v>
      </c>
      <c r="AM92" s="97">
        <f t="shared" si="97"/>
        <v>30.03</v>
      </c>
      <c r="AN92" s="91"/>
      <c r="AO92" s="75">
        <f>SUMIFS('DM-Sum'!$M$6:$M$117,'DM-Sum'!$B$6:$B$117,$C92,'DM-Sum'!$C$6:$C$117, $E92)</f>
        <v>12.179854129441596</v>
      </c>
      <c r="AP92" s="75">
        <f t="shared" ca="1" si="191"/>
        <v>4.7680975543873094</v>
      </c>
      <c r="AQ92" s="75">
        <f t="shared" ca="1" si="192"/>
        <v>6.8505325345175878</v>
      </c>
      <c r="AR92" s="75">
        <f t="shared" ca="1" si="193"/>
        <v>4.042875300087621</v>
      </c>
      <c r="AS92" s="75">
        <f t="shared" ca="1" si="194"/>
        <v>0.4263336736003715</v>
      </c>
      <c r="AT92" s="75">
        <f t="shared" ca="1" si="25"/>
        <v>28.267693192034482</v>
      </c>
      <c r="AV92" s="98">
        <f t="shared" si="26"/>
        <v>-0.88014587055840465</v>
      </c>
      <c r="AW92" s="98">
        <f t="shared" ca="1" si="27"/>
        <v>0.13809755438730953</v>
      </c>
      <c r="AX92" s="98">
        <f t="shared" ca="1" si="28"/>
        <v>0.44053253451758767</v>
      </c>
      <c r="AY92" s="98">
        <f t="shared" ca="1" si="29"/>
        <v>-1.5071246999123789</v>
      </c>
      <c r="AZ92" s="98">
        <f t="shared" ca="1" si="30"/>
        <v>4.6333673600371494E-2</v>
      </c>
      <c r="BA92" s="98">
        <f t="shared" ca="1" si="31"/>
        <v>-1.7623068079655191</v>
      </c>
      <c r="BB92" s="99"/>
      <c r="BC92" s="100"/>
      <c r="BD92" s="267">
        <f t="shared" si="98"/>
        <v>0.93260751373978523</v>
      </c>
      <c r="BE92" s="268">
        <f t="shared" ca="1" si="99"/>
        <v>1.0298266856128098</v>
      </c>
      <c r="BF92" s="268">
        <f t="shared" ca="1" si="100"/>
        <v>1.0687258244177205</v>
      </c>
      <c r="BG92" s="268">
        <f t="shared" ca="1" si="101"/>
        <v>0.72844600001578763</v>
      </c>
      <c r="BH92" s="268">
        <f t="shared" ca="1" si="102"/>
        <v>0.94403287456253882</v>
      </c>
      <c r="BI92" s="268">
        <f t="shared" ca="1" si="103"/>
        <v>0.94131512460987288</v>
      </c>
      <c r="BK92" s="266" t="str">
        <f t="shared" si="104"/>
        <v>15</v>
      </c>
      <c r="BM92" s="269" t="s">
        <v>1656</v>
      </c>
      <c r="BN92" s="270" t="str">
        <f t="shared" si="105"/>
        <v>YC4VA</v>
      </c>
      <c r="BO92" s="270" t="str">
        <f>VLOOKUP($C92,STD!$C:$D,BO$17,0)</f>
        <v xml:space="preserve"> 175/65R15 NEWNZ</v>
      </c>
      <c r="BP92" s="270" t="str">
        <f>VLOOKUP($C92,STD!$C:$L,BP$17,0)</f>
        <v>YC4VA</v>
      </c>
      <c r="BQ92" s="270" t="b">
        <f t="shared" si="106"/>
        <v>0</v>
      </c>
      <c r="BR92" s="270" t="b">
        <f t="shared" si="39"/>
        <v>1</v>
      </c>
    </row>
    <row r="93" spans="2:70" s="96" customFormat="1" ht="15" customHeight="1">
      <c r="B93" s="89"/>
      <c r="C93" s="478" t="s">
        <v>830</v>
      </c>
      <c r="D93" s="479" t="str">
        <f t="shared" si="40"/>
        <v>099V 225/60 R17 AL01AZ</v>
      </c>
      <c r="E93" s="480" t="s">
        <v>914</v>
      </c>
      <c r="F93" s="481">
        <v>11</v>
      </c>
      <c r="G93" s="104">
        <f>INDEX('Tire Weight'!$D:$D,MATCH($C93&amp;"-"&amp;$E93,'Tire Weight'!$A:$A,0))</f>
        <v>10.48</v>
      </c>
      <c r="H93" s="90">
        <f t="shared" si="0"/>
        <v>115.28</v>
      </c>
      <c r="I93" s="104">
        <f>INDEX('Tire Weight'!$E:$E,MATCH($C93&amp;"-"&amp;$E93,'Tire Weight'!$A:$A,0))</f>
        <v>4.9669999999999996</v>
      </c>
      <c r="J93" s="90">
        <f t="shared" si="1"/>
        <v>54.636999999999993</v>
      </c>
      <c r="K93" s="91"/>
      <c r="L93" s="34">
        <f>ROUND(VLOOKUP($C93,STD!$C:$AA,L$14,0),2)</f>
        <v>21.66</v>
      </c>
      <c r="M93" s="34">
        <f>ROUND(VLOOKUP($C93,STD!$C:$AA,M$14,0),2)</f>
        <v>6.24</v>
      </c>
      <c r="N93" s="34">
        <f>ROUND(VLOOKUP($C93,STD!$C:$AA,N$14,0),2)</f>
        <v>8.43</v>
      </c>
      <c r="O93" s="34">
        <f>ROUND(VLOOKUP($C93,STD!$C:$AA,O$14,0),2)-L93-M93-N93-P93</f>
        <v>7.6600000000000046</v>
      </c>
      <c r="P93" s="34">
        <f>ROUND(VLOOKUP($C93,STD!$C:$AA,P$14,0),2)</f>
        <v>0.64</v>
      </c>
      <c r="Q93" s="92">
        <f t="shared" si="79"/>
        <v>44.63</v>
      </c>
      <c r="R93" s="93">
        <f>ROUND(VLOOKUP($C93,STD!$C:$AA,R$14,0),2)-Q93</f>
        <v>0</v>
      </c>
      <c r="S93" s="91"/>
      <c r="T93" s="94">
        <f t="shared" si="80"/>
        <v>20.157090981486366</v>
      </c>
      <c r="U93" s="94">
        <f t="shared" ca="1" si="81"/>
        <v>6.4261185182239338</v>
      </c>
      <c r="V93" s="94">
        <f t="shared" ca="1" si="82"/>
        <v>9.0093586998413819</v>
      </c>
      <c r="W93" s="94">
        <f t="shared" ca="1" si="83"/>
        <v>5.5798963601209355</v>
      </c>
      <c r="X93" s="94">
        <f t="shared" ca="1" si="84"/>
        <v>0.71803566080062575</v>
      </c>
      <c r="Y93" s="95">
        <f t="shared" ca="1" si="85"/>
        <v>41.890500220473236</v>
      </c>
      <c r="Z93" s="153"/>
      <c r="AA93" s="79">
        <f t="shared" si="86"/>
        <v>-1.502909018513634</v>
      </c>
      <c r="AB93" s="79">
        <f t="shared" ca="1" si="87"/>
        <v>0.18611851822393355</v>
      </c>
      <c r="AC93" s="79">
        <f t="shared" ca="1" si="88"/>
        <v>0.57935869984138222</v>
      </c>
      <c r="AD93" s="79">
        <f t="shared" ca="1" si="89"/>
        <v>-2.0801036398790691</v>
      </c>
      <c r="AE93" s="79">
        <f t="shared" ca="1" si="90"/>
        <v>7.8035660800625739E-2</v>
      </c>
      <c r="AF93" s="79">
        <f t="shared" ca="1" si="91"/>
        <v>-2.739499779526767</v>
      </c>
      <c r="AH93" s="97">
        <f t="shared" si="92"/>
        <v>238.26</v>
      </c>
      <c r="AI93" s="97">
        <f t="shared" si="93"/>
        <v>68.64</v>
      </c>
      <c r="AJ93" s="97">
        <f t="shared" si="94"/>
        <v>92.72999999999999</v>
      </c>
      <c r="AK93" s="97">
        <f t="shared" si="95"/>
        <v>84.260000000000048</v>
      </c>
      <c r="AL93" s="97">
        <f t="shared" si="96"/>
        <v>7.04</v>
      </c>
      <c r="AM93" s="97">
        <f t="shared" si="97"/>
        <v>490.93000000000006</v>
      </c>
      <c r="AN93" s="91"/>
      <c r="AO93" s="75">
        <f>SUMIFS('DM-Sum'!$M$6:$M$117,'DM-Sum'!$B$6:$B$117,$C93,'DM-Sum'!$C$6:$C$117, $E93)</f>
        <v>221.72800079635005</v>
      </c>
      <c r="AP93" s="75">
        <f t="shared" ca="1" si="191"/>
        <v>70.687303700463275</v>
      </c>
      <c r="AQ93" s="75">
        <f t="shared" ca="1" si="192"/>
        <v>99.102945698255198</v>
      </c>
      <c r="AR93" s="75">
        <f t="shared" ca="1" si="193"/>
        <v>61.378859961330292</v>
      </c>
      <c r="AS93" s="75">
        <f t="shared" ca="1" si="194"/>
        <v>7.8983922688068828</v>
      </c>
      <c r="AT93" s="75">
        <f t="shared" ref="AT93:AT124" ca="1" si="195">SUM(AO93:AS93)</f>
        <v>460.79550242520571</v>
      </c>
      <c r="AV93" s="98">
        <f t="shared" si="26"/>
        <v>-16.531999203649946</v>
      </c>
      <c r="AW93" s="98">
        <f t="shared" ref="AW93:AW124" ca="1" si="196">AP93-AI93</f>
        <v>2.0473037004632744</v>
      </c>
      <c r="AX93" s="98">
        <f t="shared" ref="AX93:AX124" ca="1" si="197">AQ93-AJ93</f>
        <v>6.372945698255208</v>
      </c>
      <c r="AY93" s="98">
        <f t="shared" ref="AY93:AY124" ca="1" si="198">AR93-AK93</f>
        <v>-22.881140038669756</v>
      </c>
      <c r="AZ93" s="98">
        <f t="shared" ref="AZ93:AZ124" ca="1" si="199">AS93-AL93</f>
        <v>0.8583922688068828</v>
      </c>
      <c r="BA93" s="98">
        <f t="shared" ref="BA93:BA124" ca="1" si="200">AT93-AM93</f>
        <v>-30.134497574794352</v>
      </c>
      <c r="BB93" s="99"/>
      <c r="BC93" s="100"/>
      <c r="BD93" s="267">
        <f t="shared" si="98"/>
        <v>0.93061361872051551</v>
      </c>
      <c r="BE93" s="268">
        <f t="shared" ca="1" si="99"/>
        <v>1.0298266856128098</v>
      </c>
      <c r="BF93" s="268">
        <f t="shared" ca="1" si="100"/>
        <v>1.0687258244177202</v>
      </c>
      <c r="BG93" s="268">
        <f t="shared" ca="1" si="101"/>
        <v>0.72844600001578752</v>
      </c>
      <c r="BH93" s="268">
        <f t="shared" ca="1" si="102"/>
        <v>0.94112734340287707</v>
      </c>
      <c r="BI93" s="268">
        <f t="shared" ca="1" si="103"/>
        <v>0.93861752678631483</v>
      </c>
      <c r="BK93" s="266" t="str">
        <f t="shared" si="104"/>
        <v>17</v>
      </c>
      <c r="BM93" s="269" t="s">
        <v>1657</v>
      </c>
      <c r="BN93" s="270" t="str">
        <f t="shared" si="105"/>
        <v>7VFMA</v>
      </c>
      <c r="BO93" s="270" t="str">
        <f>VLOOKUP($C93,STD!$C:$D,BO$17,0)</f>
        <v>099V 225/60R17 AL01AZ</v>
      </c>
      <c r="BP93" s="270" t="str">
        <f>VLOOKUP($C93,STD!$C:$L,BP$17,0)</f>
        <v>7VFMA</v>
      </c>
      <c r="BQ93" s="270" t="b">
        <f t="shared" si="106"/>
        <v>1</v>
      </c>
      <c r="BR93" s="270" t="b">
        <f t="shared" ref="BR93:BR124" si="201">BN93=BP93</f>
        <v>1</v>
      </c>
    </row>
    <row r="94" spans="2:70" s="96" customFormat="1" ht="15" customHeight="1">
      <c r="B94" s="89"/>
      <c r="C94" s="478" t="s">
        <v>831</v>
      </c>
      <c r="D94" s="479" t="str">
        <f t="shared" si="40"/>
        <v>103W 235/60 R18 AL01Z</v>
      </c>
      <c r="E94" s="480" t="s">
        <v>915</v>
      </c>
      <c r="F94" s="481">
        <v>1390</v>
      </c>
      <c r="G94" s="104">
        <f>INDEX('Tire Weight'!$D:$D,MATCH($C94&amp;"-"&amp;$E94,'Tire Weight'!$A:$A,0))</f>
        <v>13.428000000000001</v>
      </c>
      <c r="H94" s="90">
        <f t="shared" si="0"/>
        <v>18664.920000000002</v>
      </c>
      <c r="I94" s="104">
        <f>INDEX('Tire Weight'!$E:$E,MATCH($C94&amp;"-"&amp;$E94,'Tire Weight'!$A:$A,0))</f>
        <v>6.2809999999999997</v>
      </c>
      <c r="J94" s="90">
        <f t="shared" si="1"/>
        <v>8730.59</v>
      </c>
      <c r="K94" s="91"/>
      <c r="L94" s="34">
        <f>ROUND(VLOOKUP($C94,STD!$C:$AA,L$14,0),2)</f>
        <v>29.17</v>
      </c>
      <c r="M94" s="34">
        <f>ROUND(VLOOKUP($C94,STD!$C:$AA,M$14,0),2)</f>
        <v>7.34</v>
      </c>
      <c r="N94" s="34">
        <f>ROUND(VLOOKUP($C94,STD!$C:$AA,N$14,0),2)</f>
        <v>9.7899999999999991</v>
      </c>
      <c r="O94" s="34">
        <f>ROUND(VLOOKUP($C94,STD!$C:$AA,O$14,0),2)-L94-M94-N94-P94</f>
        <v>9.1500000000000021</v>
      </c>
      <c r="P94" s="34">
        <f>ROUND(VLOOKUP($C94,STD!$C:$AA,P$14,0),2)</f>
        <v>0.82</v>
      </c>
      <c r="Q94" s="92">
        <f t="shared" si="79"/>
        <v>56.27</v>
      </c>
      <c r="R94" s="93">
        <f>ROUND(VLOOKUP($C94,STD!$C:$AA,R$14,0),2)-Q94</f>
        <v>0</v>
      </c>
      <c r="S94" s="91"/>
      <c r="T94" s="94">
        <f t="shared" si="80"/>
        <v>27.296666525847197</v>
      </c>
      <c r="U94" s="94">
        <f t="shared" ca="1" si="81"/>
        <v>7.5589278723980255</v>
      </c>
      <c r="V94" s="94">
        <f t="shared" ca="1" si="82"/>
        <v>10.46282582104948</v>
      </c>
      <c r="W94" s="94">
        <f t="shared" ca="1" si="83"/>
        <v>6.6652809001444586</v>
      </c>
      <c r="X94" s="94">
        <f t="shared" ca="1" si="84"/>
        <v>0.91998319040080145</v>
      </c>
      <c r="Y94" s="95">
        <f t="shared" ca="1" si="85"/>
        <v>52.90368430983996</v>
      </c>
      <c r="Z94" s="153"/>
      <c r="AA94" s="79">
        <f t="shared" si="86"/>
        <v>-1.8733334741528047</v>
      </c>
      <c r="AB94" s="79">
        <f t="shared" ca="1" si="87"/>
        <v>0.21892787239802569</v>
      </c>
      <c r="AC94" s="79">
        <f t="shared" ca="1" si="88"/>
        <v>0.67282582104948041</v>
      </c>
      <c r="AD94" s="79">
        <f t="shared" ca="1" si="89"/>
        <v>-2.4847190998555435</v>
      </c>
      <c r="AE94" s="79">
        <f t="shared" ca="1" si="90"/>
        <v>9.9983190400801503E-2</v>
      </c>
      <c r="AF94" s="79">
        <f t="shared" ca="1" si="91"/>
        <v>-3.3663156901600431</v>
      </c>
      <c r="AH94" s="97">
        <f t="shared" si="92"/>
        <v>40546.300000000003</v>
      </c>
      <c r="AI94" s="97">
        <f t="shared" si="93"/>
        <v>10202.6</v>
      </c>
      <c r="AJ94" s="97">
        <f t="shared" si="94"/>
        <v>13608.099999999999</v>
      </c>
      <c r="AK94" s="97">
        <f t="shared" si="95"/>
        <v>12718.500000000004</v>
      </c>
      <c r="AL94" s="97">
        <f t="shared" si="96"/>
        <v>1139.8</v>
      </c>
      <c r="AM94" s="97">
        <f t="shared" si="97"/>
        <v>78215.3</v>
      </c>
      <c r="AN94" s="91"/>
      <c r="AO94" s="75">
        <f>SUMIFS('DM-Sum'!$M$6:$M$117,'DM-Sum'!$B$6:$B$117,$C94,'DM-Sum'!$C$6:$C$117, $E94)</f>
        <v>37942.366470927605</v>
      </c>
      <c r="AP94" s="75">
        <f t="shared" ca="1" si="191"/>
        <v>10506.909742633256</v>
      </c>
      <c r="AQ94" s="75">
        <f t="shared" ca="1" si="192"/>
        <v>14543.327891258778</v>
      </c>
      <c r="AR94" s="75">
        <f t="shared" ca="1" si="193"/>
        <v>9264.7404512007979</v>
      </c>
      <c r="AS94" s="75">
        <f t="shared" ca="1" si="194"/>
        <v>1278.7766346571141</v>
      </c>
      <c r="AT94" s="75">
        <f t="shared" ca="1" si="195"/>
        <v>73536.121190677557</v>
      </c>
      <c r="AV94" s="98">
        <f t="shared" si="26"/>
        <v>-2603.9335290723975</v>
      </c>
      <c r="AW94" s="98">
        <f t="shared" ca="1" si="196"/>
        <v>304.30974263325515</v>
      </c>
      <c r="AX94" s="98">
        <f t="shared" ca="1" si="197"/>
        <v>935.22789125877898</v>
      </c>
      <c r="AY94" s="98">
        <f t="shared" ca="1" si="198"/>
        <v>-3453.7595487992057</v>
      </c>
      <c r="AZ94" s="98">
        <f t="shared" ca="1" si="199"/>
        <v>138.97663465711412</v>
      </c>
      <c r="BA94" s="98">
        <f t="shared" ca="1" si="200"/>
        <v>-4679.1788093224459</v>
      </c>
      <c r="BB94" s="99"/>
      <c r="BC94" s="100"/>
      <c r="BD94" s="267">
        <f t="shared" si="98"/>
        <v>0.9357787633132395</v>
      </c>
      <c r="BE94" s="268">
        <f t="shared" ca="1" si="99"/>
        <v>1.02982668561281</v>
      </c>
      <c r="BF94" s="268">
        <f t="shared" ca="1" si="100"/>
        <v>1.0687258244177202</v>
      </c>
      <c r="BG94" s="268">
        <f t="shared" ca="1" si="101"/>
        <v>0.72844600001578763</v>
      </c>
      <c r="BH94" s="268">
        <f t="shared" ca="1" si="102"/>
        <v>0.9393848779905617</v>
      </c>
      <c r="BI94" s="268">
        <f t="shared" ca="1" si="103"/>
        <v>0.94017565860742769</v>
      </c>
      <c r="BK94" s="266" t="str">
        <f t="shared" si="104"/>
        <v>18</v>
      </c>
      <c r="BM94" s="269" t="s">
        <v>1658</v>
      </c>
      <c r="BN94" s="270" t="str">
        <f t="shared" si="105"/>
        <v>8TSZA</v>
      </c>
      <c r="BO94" s="270" t="str">
        <f>VLOOKUP($C94,STD!$C:$D,BO$17,0)</f>
        <v>103W 235/60R18 AL01Z</v>
      </c>
      <c r="BP94" s="270" t="str">
        <f>VLOOKUP($C94,STD!$C:$L,BP$17,0)</f>
        <v>8TSZA</v>
      </c>
      <c r="BQ94" s="270" t="b">
        <f t="shared" si="106"/>
        <v>1</v>
      </c>
      <c r="BR94" s="270" t="b">
        <f t="shared" si="201"/>
        <v>1</v>
      </c>
    </row>
    <row r="95" spans="2:70" s="96" customFormat="1" ht="15" customHeight="1">
      <c r="B95" s="89"/>
      <c r="C95" s="478" t="s">
        <v>784</v>
      </c>
      <c r="D95" s="479" t="str">
        <f t="shared" si="40"/>
        <v>092W 225/40R18 SL20GZ</v>
      </c>
      <c r="E95" s="480" t="s">
        <v>883</v>
      </c>
      <c r="F95" s="481">
        <v>552</v>
      </c>
      <c r="G95" s="104">
        <f>INDEX('Tire Weight'!$D:$D,MATCH($C95&amp;"-"&amp;$E95,'Tire Weight'!$A:$A,0))</f>
        <v>9.9239999999999995</v>
      </c>
      <c r="H95" s="90">
        <f t="shared" si="0"/>
        <v>5478.0479999999998</v>
      </c>
      <c r="I95" s="104">
        <f>INDEX('Tire Weight'!$E:$E,MATCH($C95&amp;"-"&amp;$E95,'Tire Weight'!$A:$A,0))</f>
        <v>4.4580000000000002</v>
      </c>
      <c r="J95" s="90">
        <f t="shared" si="1"/>
        <v>2460.8160000000003</v>
      </c>
      <c r="K95" s="91"/>
      <c r="L95" s="34">
        <f>ROUND(VLOOKUP($C95,STD!$C:$AA,L$14,0),2)</f>
        <v>20.45</v>
      </c>
      <c r="M95" s="34">
        <f>ROUND(VLOOKUP($C95,STD!$C:$AA,M$14,0),2)</f>
        <v>5.99</v>
      </c>
      <c r="N95" s="34">
        <f>ROUND(VLOOKUP($C95,STD!$C:$AA,N$14,0),2)</f>
        <v>8.09</v>
      </c>
      <c r="O95" s="34">
        <f>ROUND(VLOOKUP($C95,STD!$C:$AA,O$14,0),2)-L95-M95-N95-P95</f>
        <v>7.280000000000002</v>
      </c>
      <c r="P95" s="34">
        <f>ROUND(VLOOKUP($C95,STD!$C:$AA,P$14,0),2)</f>
        <v>0.61</v>
      </c>
      <c r="Q95" s="92">
        <f t="shared" si="79"/>
        <v>42.42</v>
      </c>
      <c r="R95" s="93">
        <f>ROUND(VLOOKUP($C95,STD!$C:$AA,R$14,0),2)-Q95</f>
        <v>0</v>
      </c>
      <c r="S95" s="91"/>
      <c r="T95" s="94">
        <f t="shared" si="80"/>
        <v>19.19862213424117</v>
      </c>
      <c r="U95" s="94">
        <f t="shared" ca="1" si="81"/>
        <v>6.168661846820731</v>
      </c>
      <c r="V95" s="94">
        <f t="shared" ca="1" si="82"/>
        <v>8.6459919195393589</v>
      </c>
      <c r="W95" s="94">
        <f t="shared" ca="1" si="83"/>
        <v>5.3030868801149351</v>
      </c>
      <c r="X95" s="94">
        <f t="shared" ca="1" si="84"/>
        <v>0.6843777392005963</v>
      </c>
      <c r="Y95" s="95">
        <f t="shared" ca="1" si="85"/>
        <v>40.000740519916789</v>
      </c>
      <c r="Z95" s="153"/>
      <c r="AA95" s="79">
        <f t="shared" si="86"/>
        <v>-1.2513778657588297</v>
      </c>
      <c r="AB95" s="79">
        <f t="shared" ca="1" si="87"/>
        <v>0.17866184682073083</v>
      </c>
      <c r="AC95" s="79">
        <f t="shared" ca="1" si="88"/>
        <v>0.555991919539359</v>
      </c>
      <c r="AD95" s="79">
        <f t="shared" ca="1" si="89"/>
        <v>-1.9769131198850669</v>
      </c>
      <c r="AE95" s="79">
        <f t="shared" ca="1" si="90"/>
        <v>7.4377739200596316E-2</v>
      </c>
      <c r="AF95" s="79">
        <f t="shared" ca="1" si="91"/>
        <v>-2.4192594800832126</v>
      </c>
      <c r="AH95" s="97">
        <f t="shared" si="92"/>
        <v>11288.4</v>
      </c>
      <c r="AI95" s="97">
        <f t="shared" si="93"/>
        <v>3306.48</v>
      </c>
      <c r="AJ95" s="97">
        <f t="shared" si="94"/>
        <v>4465.68</v>
      </c>
      <c r="AK95" s="97">
        <f t="shared" si="95"/>
        <v>4018.5600000000013</v>
      </c>
      <c r="AL95" s="97">
        <f t="shared" si="96"/>
        <v>336.71999999999997</v>
      </c>
      <c r="AM95" s="97">
        <f t="shared" si="97"/>
        <v>23415.84</v>
      </c>
      <c r="AN95" s="91"/>
      <c r="AO95" s="75">
        <f>SUMIFS('DM-Sum'!$M$6:$M$117,'DM-Sum'!$B$6:$B$117,$C95,'DM-Sum'!$C$6:$C$117, $E95)</f>
        <v>10597.639418101126</v>
      </c>
      <c r="AP95" s="75">
        <f t="shared" ca="1" si="191"/>
        <v>3405.1013394450433</v>
      </c>
      <c r="AQ95" s="75">
        <f t="shared" ca="1" si="192"/>
        <v>4772.5875395857256</v>
      </c>
      <c r="AR95" s="75">
        <f t="shared" ca="1" si="193"/>
        <v>2927.3039578234443</v>
      </c>
      <c r="AS95" s="75">
        <f t="shared" ca="1" si="194"/>
        <v>377.77651203872915</v>
      </c>
      <c r="AT95" s="75">
        <f t="shared" ca="1" si="195"/>
        <v>22080.408766994071</v>
      </c>
      <c r="AV95" s="98">
        <f t="shared" si="26"/>
        <v>-690.76058189887408</v>
      </c>
      <c r="AW95" s="98">
        <f t="shared" ca="1" si="196"/>
        <v>98.621339445043304</v>
      </c>
      <c r="AX95" s="98">
        <f t="shared" ca="1" si="197"/>
        <v>306.90753958572532</v>
      </c>
      <c r="AY95" s="98">
        <f t="shared" ca="1" si="198"/>
        <v>-1091.256042176557</v>
      </c>
      <c r="AZ95" s="98">
        <f t="shared" ca="1" si="199"/>
        <v>41.056512038729181</v>
      </c>
      <c r="BA95" s="98">
        <f t="shared" ca="1" si="200"/>
        <v>-1335.4312330059292</v>
      </c>
      <c r="BB95" s="99"/>
      <c r="BC95" s="100"/>
      <c r="BD95" s="267">
        <f t="shared" si="98"/>
        <v>0.93880792832475157</v>
      </c>
      <c r="BE95" s="268">
        <f t="shared" ca="1" si="99"/>
        <v>1.0298266856128098</v>
      </c>
      <c r="BF95" s="268">
        <f t="shared" ca="1" si="100"/>
        <v>1.0687258244177205</v>
      </c>
      <c r="BG95" s="268">
        <f t="shared" ca="1" si="101"/>
        <v>0.72844600001578763</v>
      </c>
      <c r="BH95" s="268">
        <f t="shared" ca="1" si="102"/>
        <v>0.94184179056531003</v>
      </c>
      <c r="BI95" s="268">
        <f t="shared" ca="1" si="103"/>
        <v>0.94296889485895308</v>
      </c>
      <c r="BK95" s="266" t="str">
        <f t="shared" si="104"/>
        <v>18</v>
      </c>
      <c r="BM95" s="269" t="s">
        <v>1659</v>
      </c>
      <c r="BN95" s="270" t="str">
        <f t="shared" si="105"/>
        <v>XCQZA</v>
      </c>
      <c r="BO95" s="270" t="str">
        <f>VLOOKUP($C95,STD!$C:$D,BO$17,0)</f>
        <v xml:space="preserve"> 225/40R18 SL20GZ</v>
      </c>
      <c r="BP95" s="270" t="str">
        <f>VLOOKUP($C95,STD!$C:$L,BP$17,0)</f>
        <v>XCQZA</v>
      </c>
      <c r="BQ95" s="270" t="b">
        <f t="shared" si="106"/>
        <v>0</v>
      </c>
      <c r="BR95" s="270" t="b">
        <f t="shared" si="201"/>
        <v>1</v>
      </c>
    </row>
    <row r="96" spans="2:70" s="96" customFormat="1" ht="15" customHeight="1">
      <c r="B96" s="89"/>
      <c r="C96" s="478" t="s">
        <v>852</v>
      </c>
      <c r="D96" s="479" t="str">
        <f t="shared" si="40"/>
        <v>084H 185/60R15 NH2CZ</v>
      </c>
      <c r="E96" s="480" t="s">
        <v>870</v>
      </c>
      <c r="F96" s="481">
        <v>5643</v>
      </c>
      <c r="G96" s="104">
        <f>INDEX('Tire Weight'!$D:$D,MATCH($C96&amp;"-"&amp;$E96,'Tire Weight'!$A:$A,0))</f>
        <v>6.8449999999999998</v>
      </c>
      <c r="H96" s="90">
        <f t="shared" si="0"/>
        <v>38626.334999999999</v>
      </c>
      <c r="I96" s="104">
        <f>INDEX('Tire Weight'!$E:$E,MATCH($C96&amp;"-"&amp;$E96,'Tire Weight'!$A:$A,0))</f>
        <v>3.2130000000000001</v>
      </c>
      <c r="J96" s="90">
        <f t="shared" si="1"/>
        <v>18130.958999999999</v>
      </c>
      <c r="K96" s="91"/>
      <c r="L96" s="34">
        <f>ROUND(VLOOKUP($C96,STD!$C:$AA,L$14,0),2)</f>
        <v>14.87</v>
      </c>
      <c r="M96" s="34">
        <f>ROUND(VLOOKUP($C96,STD!$C:$AA,M$14,0),2)</f>
        <v>4.74</v>
      </c>
      <c r="N96" s="34">
        <f>ROUND(VLOOKUP($C96,STD!$C:$AA,N$14,0),2)</f>
        <v>6.39</v>
      </c>
      <c r="O96" s="34">
        <f>ROUND(VLOOKUP($C96,STD!$C:$AA,O$14,0),2)-L96-M96-N96-P96</f>
        <v>5.5900000000000007</v>
      </c>
      <c r="P96" s="34">
        <f>ROUND(VLOOKUP($C96,STD!$C:$AA,P$14,0),2)</f>
        <v>0.42</v>
      </c>
      <c r="Q96" s="92">
        <f t="shared" si="79"/>
        <v>32.01</v>
      </c>
      <c r="R96" s="93">
        <f>ROUND(VLOOKUP($C96,STD!$C:$AA,R$14,0),2)-Q96</f>
        <v>0</v>
      </c>
      <c r="S96" s="91"/>
      <c r="T96" s="94">
        <f t="shared" si="80"/>
        <v>13.78820893553608</v>
      </c>
      <c r="U96" s="94">
        <f t="shared" ca="1" si="81"/>
        <v>4.8813784898047192</v>
      </c>
      <c r="V96" s="94">
        <f t="shared" ca="1" si="82"/>
        <v>6.8291580180292319</v>
      </c>
      <c r="W96" s="94">
        <f t="shared" ca="1" si="83"/>
        <v>4.0720131400882531</v>
      </c>
      <c r="X96" s="94">
        <f t="shared" ca="1" si="84"/>
        <v>0.47121090240041058</v>
      </c>
      <c r="Y96" s="95">
        <f t="shared" ca="1" si="85"/>
        <v>30.041969485858697</v>
      </c>
      <c r="Z96" s="153"/>
      <c r="AA96" s="79">
        <f t="shared" si="86"/>
        <v>-1.0817910644639195</v>
      </c>
      <c r="AB96" s="79">
        <f t="shared" ca="1" si="87"/>
        <v>0.14137848980471901</v>
      </c>
      <c r="AC96" s="79">
        <f t="shared" ca="1" si="88"/>
        <v>0.43915801802923227</v>
      </c>
      <c r="AD96" s="79">
        <f t="shared" ca="1" si="89"/>
        <v>-1.5179868599117476</v>
      </c>
      <c r="AE96" s="79">
        <f t="shared" ca="1" si="90"/>
        <v>5.1210902400410596E-2</v>
      </c>
      <c r="AF96" s="79">
        <f t="shared" ca="1" si="91"/>
        <v>-1.9680305141413008</v>
      </c>
      <c r="AH96" s="97">
        <f t="shared" si="92"/>
        <v>83911.409999999989</v>
      </c>
      <c r="AI96" s="97">
        <f t="shared" si="93"/>
        <v>26747.82</v>
      </c>
      <c r="AJ96" s="97">
        <f t="shared" si="94"/>
        <v>36058.769999999997</v>
      </c>
      <c r="AK96" s="97">
        <f t="shared" si="95"/>
        <v>31544.370000000003</v>
      </c>
      <c r="AL96" s="97">
        <f t="shared" si="96"/>
        <v>2370.06</v>
      </c>
      <c r="AM96" s="97">
        <f t="shared" si="97"/>
        <v>180632.42999999996</v>
      </c>
      <c r="AN96" s="91"/>
      <c r="AO96" s="75">
        <f>SUMIFS('DM-Sum'!$M$6:$M$117,'DM-Sum'!$B$6:$B$117,$C96,'DM-Sum'!$C$6:$C$117, $E96)</f>
        <v>77806.863023230093</v>
      </c>
      <c r="AP96" s="75">
        <f t="shared" ca="1" si="191"/>
        <v>27545.618817968028</v>
      </c>
      <c r="AQ96" s="75">
        <f t="shared" ca="1" si="192"/>
        <v>38536.938695738958</v>
      </c>
      <c r="AR96" s="75">
        <f t="shared" ca="1" si="193"/>
        <v>22978.37014951801</v>
      </c>
      <c r="AS96" s="75">
        <f t="shared" ca="1" si="194"/>
        <v>2659.0431222455168</v>
      </c>
      <c r="AT96" s="75">
        <f t="shared" ca="1" si="195"/>
        <v>169526.83380870061</v>
      </c>
      <c r="AV96" s="98">
        <f t="shared" si="26"/>
        <v>-6104.546976769896</v>
      </c>
      <c r="AW96" s="98">
        <f t="shared" ca="1" si="196"/>
        <v>797.79881796802874</v>
      </c>
      <c r="AX96" s="98">
        <f t="shared" ca="1" si="197"/>
        <v>2478.1686957389611</v>
      </c>
      <c r="AY96" s="98">
        <f t="shared" ca="1" si="198"/>
        <v>-8565.9998504819923</v>
      </c>
      <c r="AZ96" s="98">
        <f t="shared" ca="1" si="199"/>
        <v>288.98312224551682</v>
      </c>
      <c r="BA96" s="98">
        <f t="shared" ca="1" si="200"/>
        <v>-11105.596191299352</v>
      </c>
      <c r="BB96" s="99"/>
      <c r="BC96" s="100"/>
      <c r="BD96" s="267">
        <f t="shared" si="98"/>
        <v>0.92725009653907742</v>
      </c>
      <c r="BE96" s="268">
        <f t="shared" ca="1" si="99"/>
        <v>1.02982668561281</v>
      </c>
      <c r="BF96" s="268">
        <f t="shared" ca="1" si="100"/>
        <v>1.0687258244177202</v>
      </c>
      <c r="BG96" s="268">
        <f t="shared" ca="1" si="101"/>
        <v>0.72844600001578763</v>
      </c>
      <c r="BH96" s="268">
        <f t="shared" ca="1" si="102"/>
        <v>0.94393239521065808</v>
      </c>
      <c r="BI96" s="268">
        <f t="shared" ca="1" si="103"/>
        <v>0.93851825947699774</v>
      </c>
      <c r="BK96" s="266" t="str">
        <f t="shared" si="104"/>
        <v>15</v>
      </c>
      <c r="BM96" s="269" t="s">
        <v>975</v>
      </c>
      <c r="BN96" s="270" t="str">
        <f t="shared" si="105"/>
        <v>KYVVA</v>
      </c>
      <c r="BO96" s="270" t="str">
        <f>VLOOKUP($C96,STD!$C:$D,BO$17,0)</f>
        <v>084H 185/60R15 NH2CZ</v>
      </c>
      <c r="BP96" s="270" t="str">
        <f>VLOOKUP($C96,STD!$C:$L,BP$17,0)</f>
        <v>KYVVA</v>
      </c>
      <c r="BQ96" s="270" t="b">
        <f t="shared" si="106"/>
        <v>1</v>
      </c>
      <c r="BR96" s="270" t="b">
        <f t="shared" si="201"/>
        <v>1</v>
      </c>
    </row>
    <row r="97" spans="2:70" s="96" customFormat="1" ht="15" customHeight="1">
      <c r="B97" s="89"/>
      <c r="C97" s="478" t="s">
        <v>851</v>
      </c>
      <c r="D97" s="479" t="str">
        <f t="shared" si="40"/>
        <v>088S 185/70R14 NH2SZ</v>
      </c>
      <c r="E97" s="480" t="s">
        <v>913</v>
      </c>
      <c r="F97" s="481">
        <v>1796</v>
      </c>
      <c r="G97" s="104">
        <f>INDEX('Tire Weight'!$D:$D,MATCH($C97&amp;"-"&amp;$E97,'Tire Weight'!$A:$A,0))</f>
        <v>6.6210000000000004</v>
      </c>
      <c r="H97" s="90">
        <f t="shared" si="0"/>
        <v>11891.316000000001</v>
      </c>
      <c r="I97" s="104">
        <f>INDEX('Tire Weight'!$E:$E,MATCH($C97&amp;"-"&amp;$E97,'Tire Weight'!$A:$A,0))</f>
        <v>3.0870000000000002</v>
      </c>
      <c r="J97" s="90">
        <f t="shared" si="1"/>
        <v>5544.2520000000004</v>
      </c>
      <c r="K97" s="91"/>
      <c r="L97" s="34">
        <f>ROUND(VLOOKUP($C97,STD!$C:$AA,L$14,0),2)</f>
        <v>14.37</v>
      </c>
      <c r="M97" s="34">
        <f>ROUND(VLOOKUP($C97,STD!$C:$AA,M$14,0),2)</f>
        <v>4.62</v>
      </c>
      <c r="N97" s="34">
        <f>ROUND(VLOOKUP($C97,STD!$C:$AA,N$14,0),2)</f>
        <v>6.1</v>
      </c>
      <c r="O97" s="34">
        <f>ROUND(VLOOKUP($C97,STD!$C:$AA,O$14,0),2)-L97-M97-N97-P97</f>
        <v>5.3200000000000021</v>
      </c>
      <c r="P97" s="34">
        <f>ROUND(VLOOKUP($C97,STD!$C:$AA,P$14,0),2)</f>
        <v>0.41</v>
      </c>
      <c r="Q97" s="92">
        <f t="shared" si="79"/>
        <v>30.819999999999997</v>
      </c>
      <c r="R97" s="93">
        <f>ROUND(VLOOKUP($C97,STD!$C:$AA,R$14,0),2)-Q97</f>
        <v>0</v>
      </c>
      <c r="S97" s="91"/>
      <c r="T97" s="94">
        <f t="shared" si="80"/>
        <v>13.500604499017211</v>
      </c>
      <c r="U97" s="94">
        <f t="shared" ca="1" si="81"/>
        <v>4.7577992875311823</v>
      </c>
      <c r="V97" s="94">
        <f t="shared" ca="1" si="82"/>
        <v>6.5192275289480923</v>
      </c>
      <c r="W97" s="94">
        <f t="shared" ca="1" si="83"/>
        <v>3.8753327200839909</v>
      </c>
      <c r="X97" s="94">
        <f t="shared" ca="1" si="84"/>
        <v>0.45999159520040073</v>
      </c>
      <c r="Y97" s="95">
        <f t="shared" ca="1" si="85"/>
        <v>29.112955630780874</v>
      </c>
      <c r="Z97" s="153"/>
      <c r="AA97" s="79">
        <f t="shared" si="86"/>
        <v>-0.8693955009827885</v>
      </c>
      <c r="AB97" s="79">
        <f t="shared" ca="1" si="87"/>
        <v>0.1377992875311822</v>
      </c>
      <c r="AC97" s="79">
        <f t="shared" ca="1" si="88"/>
        <v>0.41922752894809268</v>
      </c>
      <c r="AD97" s="79">
        <f t="shared" ca="1" si="89"/>
        <v>-1.4446672799160112</v>
      </c>
      <c r="AE97" s="79">
        <f t="shared" ca="1" si="90"/>
        <v>4.9991595200400751E-2</v>
      </c>
      <c r="AF97" s="79">
        <f t="shared" ca="1" si="91"/>
        <v>-1.7070443692191226</v>
      </c>
      <c r="AH97" s="97">
        <f t="shared" si="92"/>
        <v>25808.519999999997</v>
      </c>
      <c r="AI97" s="97">
        <f t="shared" si="93"/>
        <v>8297.52</v>
      </c>
      <c r="AJ97" s="97">
        <f t="shared" si="94"/>
        <v>10955.599999999999</v>
      </c>
      <c r="AK97" s="97">
        <f t="shared" si="95"/>
        <v>9554.720000000003</v>
      </c>
      <c r="AL97" s="97">
        <f t="shared" si="96"/>
        <v>736.3599999999999</v>
      </c>
      <c r="AM97" s="97">
        <f t="shared" si="97"/>
        <v>55352.719999999994</v>
      </c>
      <c r="AN97" s="91"/>
      <c r="AO97" s="75">
        <f>SUMIFS('DM-Sum'!$M$6:$M$117,'DM-Sum'!$B$6:$B$117,$C97,'DM-Sum'!$C$6:$C$117, $E97)</f>
        <v>24247.085680234912</v>
      </c>
      <c r="AP97" s="75">
        <f t="shared" ca="1" si="191"/>
        <v>8545.0075204060031</v>
      </c>
      <c r="AQ97" s="75">
        <f t="shared" ca="1" si="192"/>
        <v>11708.532641990774</v>
      </c>
      <c r="AR97" s="75">
        <f t="shared" ca="1" si="193"/>
        <v>6960.0975652708476</v>
      </c>
      <c r="AS97" s="75">
        <f t="shared" ca="1" si="194"/>
        <v>826.14490497991972</v>
      </c>
      <c r="AT97" s="75">
        <f t="shared" ca="1" si="195"/>
        <v>52286.868312882456</v>
      </c>
      <c r="AV97" s="98">
        <f t="shared" si="26"/>
        <v>-1561.4343197650851</v>
      </c>
      <c r="AW97" s="98">
        <f t="shared" ca="1" si="196"/>
        <v>247.48752040600266</v>
      </c>
      <c r="AX97" s="98">
        <f t="shared" ca="1" si="197"/>
        <v>752.93264199077566</v>
      </c>
      <c r="AY97" s="98">
        <f t="shared" ca="1" si="198"/>
        <v>-2594.6224347291554</v>
      </c>
      <c r="AZ97" s="98">
        <f t="shared" ca="1" si="199"/>
        <v>89.784904979919816</v>
      </c>
      <c r="BA97" s="98">
        <f t="shared" ca="1" si="200"/>
        <v>-3065.8516871175379</v>
      </c>
      <c r="BB97" s="99"/>
      <c r="BC97" s="100"/>
      <c r="BD97" s="267">
        <f t="shared" si="98"/>
        <v>0.93949926924267302</v>
      </c>
      <c r="BE97" s="268">
        <f t="shared" ca="1" si="99"/>
        <v>1.02982668561281</v>
      </c>
      <c r="BF97" s="268">
        <f t="shared" ca="1" si="100"/>
        <v>1.06872582441772</v>
      </c>
      <c r="BG97" s="268">
        <f t="shared" ca="1" si="101"/>
        <v>0.72844600001578752</v>
      </c>
      <c r="BH97" s="268">
        <f t="shared" ca="1" si="102"/>
        <v>0.9446608189877348</v>
      </c>
      <c r="BI97" s="268">
        <f t="shared" ca="1" si="103"/>
        <v>0.94461244746206607</v>
      </c>
      <c r="BK97" s="266" t="str">
        <f t="shared" si="104"/>
        <v>14</v>
      </c>
      <c r="BM97" s="269" t="s">
        <v>1219</v>
      </c>
      <c r="BN97" s="270" t="str">
        <f t="shared" si="105"/>
        <v>2CVVA</v>
      </c>
      <c r="BO97" s="270" t="str">
        <f>VLOOKUP($C97,STD!$C:$D,BO$17,0)</f>
        <v>088S 185/70R14 NH2SZ</v>
      </c>
      <c r="BP97" s="270" t="str">
        <f>VLOOKUP($C97,STD!$C:$L,BP$17,0)</f>
        <v>2CVVA</v>
      </c>
      <c r="BQ97" s="270" t="b">
        <f t="shared" si="106"/>
        <v>1</v>
      </c>
      <c r="BR97" s="270" t="b">
        <f t="shared" si="201"/>
        <v>1</v>
      </c>
    </row>
    <row r="98" spans="2:70" s="96" customFormat="1" ht="15" customHeight="1">
      <c r="B98" s="89"/>
      <c r="C98" s="478" t="s">
        <v>885</v>
      </c>
      <c r="D98" s="479" t="str">
        <f t="shared" si="40"/>
        <v>099W 235/45R19 AL01AZ</v>
      </c>
      <c r="E98" s="480" t="s">
        <v>896</v>
      </c>
      <c r="F98" s="481">
        <v>1141</v>
      </c>
      <c r="G98" s="104">
        <f>INDEX('Tire Weight'!$D:$D,MATCH($C98&amp;"-"&amp;$E98,'Tire Weight'!$A:$A,0))</f>
        <v>11.956</v>
      </c>
      <c r="H98" s="90">
        <f t="shared" si="0"/>
        <v>13641.796</v>
      </c>
      <c r="I98" s="104">
        <f>INDEX('Tire Weight'!$E:$E,MATCH($C98&amp;"-"&amp;$E98,'Tire Weight'!$A:$A,0))</f>
        <v>5.4039999999999999</v>
      </c>
      <c r="J98" s="90">
        <f t="shared" si="1"/>
        <v>6165.9639999999999</v>
      </c>
      <c r="K98" s="91"/>
      <c r="L98" s="34">
        <f>ROUND(VLOOKUP($C98,STD!$C:$AA,L$14,0),2)</f>
        <v>25.19</v>
      </c>
      <c r="M98" s="34">
        <f>ROUND(VLOOKUP($C98,STD!$C:$AA,M$14,0),2)</f>
        <v>6.73</v>
      </c>
      <c r="N98" s="34">
        <f>ROUND(VLOOKUP($C98,STD!$C:$AA,N$14,0),2)</f>
        <v>9.14</v>
      </c>
      <c r="O98" s="34">
        <f>ROUND(VLOOKUP($C98,STD!$C:$AA,O$14,0),2)-L98-M98-N98-P98</f>
        <v>8.3699999999999939</v>
      </c>
      <c r="P98" s="34">
        <f>ROUND(VLOOKUP($C98,STD!$C:$AA,P$14,0),2)</f>
        <v>0.73</v>
      </c>
      <c r="Q98" s="92">
        <f t="shared" si="79"/>
        <v>50.159999999999989</v>
      </c>
      <c r="R98" s="93">
        <f>ROUND(VLOOKUP($C98,STD!$C:$AA,R$14,0),2)-Q98</f>
        <v>0</v>
      </c>
      <c r="S98" s="91"/>
      <c r="T98" s="94">
        <f t="shared" si="80"/>
        <v>23.63348168000897</v>
      </c>
      <c r="U98" s="94">
        <f t="shared" ca="1" si="81"/>
        <v>6.9307335941742112</v>
      </c>
      <c r="V98" s="94">
        <f t="shared" ca="1" si="82"/>
        <v>9.7681540351779645</v>
      </c>
      <c r="W98" s="94">
        <f t="shared" ca="1" si="83"/>
        <v>6.0970930201321378</v>
      </c>
      <c r="X98" s="94">
        <f t="shared" ca="1" si="84"/>
        <v>0.81900942560071366</v>
      </c>
      <c r="Y98" s="95">
        <f t="shared" ca="1" si="85"/>
        <v>47.248471755093988</v>
      </c>
      <c r="Z98" s="153"/>
      <c r="AA98" s="79">
        <f t="shared" si="86"/>
        <v>-1.5565183199910315</v>
      </c>
      <c r="AB98" s="79">
        <f t="shared" ca="1" si="87"/>
        <v>0.20073359417421077</v>
      </c>
      <c r="AC98" s="79">
        <f t="shared" ca="1" si="88"/>
        <v>0.62815403517796398</v>
      </c>
      <c r="AD98" s="79">
        <f t="shared" ca="1" si="89"/>
        <v>-2.2729069798678561</v>
      </c>
      <c r="AE98" s="79">
        <f t="shared" ca="1" si="90"/>
        <v>8.9009425600713676E-2</v>
      </c>
      <c r="AF98" s="79">
        <f t="shared" ca="1" si="91"/>
        <v>-2.9115282449060018</v>
      </c>
      <c r="AH98" s="97">
        <f t="shared" si="92"/>
        <v>28741.79</v>
      </c>
      <c r="AI98" s="97">
        <f t="shared" si="93"/>
        <v>7678.93</v>
      </c>
      <c r="AJ98" s="97">
        <f t="shared" si="94"/>
        <v>10428.74</v>
      </c>
      <c r="AK98" s="97">
        <f t="shared" si="95"/>
        <v>9550.1699999999928</v>
      </c>
      <c r="AL98" s="97">
        <f t="shared" si="96"/>
        <v>832.93</v>
      </c>
      <c r="AM98" s="97">
        <f t="shared" si="97"/>
        <v>57232.55999999999</v>
      </c>
      <c r="AN98" s="91"/>
      <c r="AO98" s="75">
        <f>SUMIFS('DM-Sum'!$M$6:$M$117,'DM-Sum'!$B$6:$B$117,$C98,'DM-Sum'!$C$6:$C$117, $E98)</f>
        <v>26965.802596890233</v>
      </c>
      <c r="AP98" s="75">
        <f t="shared" ca="1" si="191"/>
        <v>7907.9670309527746</v>
      </c>
      <c r="AQ98" s="75">
        <f t="shared" ca="1" si="192"/>
        <v>11145.463754138058</v>
      </c>
      <c r="AR98" s="75">
        <f t="shared" ca="1" si="193"/>
        <v>6956.7831359707689</v>
      </c>
      <c r="AS98" s="75">
        <f t="shared" ca="1" si="194"/>
        <v>934.48975461041425</v>
      </c>
      <c r="AT98" s="75">
        <f t="shared" ca="1" si="195"/>
        <v>53910.506272562248</v>
      </c>
      <c r="AV98" s="98">
        <f t="shared" si="26"/>
        <v>-1775.9874031097679</v>
      </c>
      <c r="AW98" s="98">
        <f t="shared" ca="1" si="196"/>
        <v>229.03703095277433</v>
      </c>
      <c r="AX98" s="98">
        <f t="shared" ca="1" si="197"/>
        <v>716.72375413805821</v>
      </c>
      <c r="AY98" s="98">
        <f t="shared" ca="1" si="198"/>
        <v>-2593.3868640292239</v>
      </c>
      <c r="AZ98" s="98">
        <f t="shared" ca="1" si="199"/>
        <v>101.5597546104143</v>
      </c>
      <c r="BA98" s="98">
        <f t="shared" ca="1" si="200"/>
        <v>-3322.0537274377421</v>
      </c>
      <c r="BB98" s="99"/>
      <c r="BC98" s="100"/>
      <c r="BD98" s="267">
        <f t="shared" si="98"/>
        <v>0.93820887971452838</v>
      </c>
      <c r="BE98" s="268">
        <f t="shared" ca="1" si="99"/>
        <v>1.02982668561281</v>
      </c>
      <c r="BF98" s="268">
        <f t="shared" ca="1" si="100"/>
        <v>1.0687258244177202</v>
      </c>
      <c r="BG98" s="268">
        <f t="shared" ca="1" si="101"/>
        <v>0.72844600001578763</v>
      </c>
      <c r="BH98" s="268">
        <f t="shared" ca="1" si="102"/>
        <v>0.94042824461568975</v>
      </c>
      <c r="BI98" s="268">
        <f t="shared" ca="1" si="103"/>
        <v>0.94195517853058208</v>
      </c>
      <c r="BK98" s="266" t="str">
        <f t="shared" si="104"/>
        <v>19</v>
      </c>
      <c r="BM98" s="269" t="s">
        <v>1660</v>
      </c>
      <c r="BN98" s="270" t="str">
        <f t="shared" si="105"/>
        <v>E33KA</v>
      </c>
      <c r="BO98" s="270" t="str">
        <f>VLOOKUP($C98,STD!$C:$D,BO$17,0)</f>
        <v>99W 235/45R19 AL01AZ</v>
      </c>
      <c r="BP98" s="270" t="str">
        <f>VLOOKUP($C98,STD!$C:$L,BP$17,0)</f>
        <v>E33KA</v>
      </c>
      <c r="BQ98" s="270" t="b">
        <f t="shared" si="106"/>
        <v>1</v>
      </c>
      <c r="BR98" s="270" t="b">
        <f t="shared" si="201"/>
        <v>1</v>
      </c>
    </row>
    <row r="99" spans="2:70" s="96" customFormat="1" ht="15" customHeight="1">
      <c r="B99" s="89"/>
      <c r="C99" s="478" t="s">
        <v>850</v>
      </c>
      <c r="D99" s="479" t="str">
        <f t="shared" si="40"/>
        <v>088S 185/65R15 NH2CZ</v>
      </c>
      <c r="E99" s="480" t="s">
        <v>912</v>
      </c>
      <c r="F99" s="481">
        <v>13</v>
      </c>
      <c r="G99" s="104">
        <f>INDEX('Tire Weight'!$D:$D,MATCH($C99&amp;"-"&amp;$E99,'Tire Weight'!$A:$A,0))</f>
        <v>7.0369999999999999</v>
      </c>
      <c r="H99" s="90">
        <f t="shared" si="0"/>
        <v>91.480999999999995</v>
      </c>
      <c r="I99" s="104">
        <f>INDEX('Tire Weight'!$E:$E,MATCH($C99&amp;"-"&amp;$E99,'Tire Weight'!$A:$A,0))</f>
        <v>3.2669999999999999</v>
      </c>
      <c r="J99" s="90">
        <f t="shared" si="1"/>
        <v>42.470999999999997</v>
      </c>
      <c r="K99" s="91"/>
      <c r="L99" s="34">
        <f>ROUND(VLOOKUP($C99,STD!$C:$AA,L$14,0),2)</f>
        <v>15.35</v>
      </c>
      <c r="M99" s="34">
        <f>ROUND(VLOOKUP($C99,STD!$C:$AA,M$14,0),2)</f>
        <v>4.82</v>
      </c>
      <c r="N99" s="34">
        <f>ROUND(VLOOKUP($C99,STD!$C:$AA,N$14,0),2)</f>
        <v>6.58</v>
      </c>
      <c r="O99" s="34">
        <f>ROUND(VLOOKUP($C99,STD!$C:$AA,O$14,0),2)-L99-M99-N99-P99</f>
        <v>5.7700000000000014</v>
      </c>
      <c r="P99" s="34">
        <f>ROUND(VLOOKUP($C99,STD!$C:$AA,P$14,0),2)</f>
        <v>0.43</v>
      </c>
      <c r="Q99" s="92">
        <f t="shared" si="79"/>
        <v>32.950000000000003</v>
      </c>
      <c r="R99" s="93">
        <f>ROUND(VLOOKUP($C99,STD!$C:$AA,R$14,0),2)-Q99</f>
        <v>0</v>
      </c>
      <c r="S99" s="91"/>
      <c r="T99" s="94">
        <f t="shared" si="80"/>
        <v>14.428770510867176</v>
      </c>
      <c r="U99" s="94">
        <f t="shared" ca="1" si="81"/>
        <v>4.9637646246537441</v>
      </c>
      <c r="V99" s="94">
        <f t="shared" ca="1" si="82"/>
        <v>7.0322159246686002</v>
      </c>
      <c r="W99" s="94">
        <f t="shared" ca="1" si="83"/>
        <v>4.2031334200910955</v>
      </c>
      <c r="X99" s="94">
        <f t="shared" ca="1" si="84"/>
        <v>0.48243020960042038</v>
      </c>
      <c r="Y99" s="95">
        <f t="shared" ca="1" si="85"/>
        <v>31.110314689881037</v>
      </c>
      <c r="Z99" s="153"/>
      <c r="AA99" s="79">
        <f t="shared" si="86"/>
        <v>-0.92122948913282343</v>
      </c>
      <c r="AB99" s="79">
        <f t="shared" ca="1" si="87"/>
        <v>0.14376462465374384</v>
      </c>
      <c r="AC99" s="79">
        <f t="shared" ca="1" si="88"/>
        <v>0.45221592466860017</v>
      </c>
      <c r="AD99" s="79">
        <f t="shared" ca="1" si="89"/>
        <v>-1.5668665799089059</v>
      </c>
      <c r="AE99" s="79">
        <f t="shared" ca="1" si="90"/>
        <v>5.2430209600420385E-2</v>
      </c>
      <c r="AF99" s="79">
        <f t="shared" ca="1" si="91"/>
        <v>-1.8396853101189663</v>
      </c>
      <c r="AH99" s="97">
        <f t="shared" si="92"/>
        <v>199.54999999999998</v>
      </c>
      <c r="AI99" s="97">
        <f t="shared" si="93"/>
        <v>62.660000000000004</v>
      </c>
      <c r="AJ99" s="97">
        <f t="shared" si="94"/>
        <v>85.54</v>
      </c>
      <c r="AK99" s="97">
        <f t="shared" si="95"/>
        <v>75.010000000000019</v>
      </c>
      <c r="AL99" s="97">
        <f t="shared" si="96"/>
        <v>5.59</v>
      </c>
      <c r="AM99" s="97">
        <f t="shared" si="97"/>
        <v>428.34999999999997</v>
      </c>
      <c r="AN99" s="91"/>
      <c r="AO99" s="75">
        <f>SUMIFS('DM-Sum'!$M$6:$M$117,'DM-Sum'!$B$6:$B$117,$C99,'DM-Sum'!$C$6:$C$117, $E99)</f>
        <v>187.57401664127329</v>
      </c>
      <c r="AP99" s="75">
        <f t="shared" ca="1" si="191"/>
        <v>64.528940120498675</v>
      </c>
      <c r="AQ99" s="75">
        <f t="shared" ca="1" si="192"/>
        <v>91.418807020691801</v>
      </c>
      <c r="AR99" s="75">
        <f t="shared" ca="1" si="193"/>
        <v>54.640734461184245</v>
      </c>
      <c r="AS99" s="75">
        <f t="shared" ca="1" si="194"/>
        <v>6.2715927248054646</v>
      </c>
      <c r="AT99" s="75">
        <f t="shared" ca="1" si="195"/>
        <v>404.43409096845352</v>
      </c>
      <c r="AV99" s="98">
        <f t="shared" si="26"/>
        <v>-11.975983358726694</v>
      </c>
      <c r="AW99" s="98">
        <f t="shared" ca="1" si="196"/>
        <v>1.8689401204986709</v>
      </c>
      <c r="AX99" s="98">
        <f t="shared" ca="1" si="197"/>
        <v>5.8788070206917951</v>
      </c>
      <c r="AY99" s="98">
        <f t="shared" ca="1" si="198"/>
        <v>-20.369265538815775</v>
      </c>
      <c r="AZ99" s="98">
        <f t="shared" ca="1" si="199"/>
        <v>0.68159272480546473</v>
      </c>
      <c r="BA99" s="98">
        <f t="shared" ca="1" si="200"/>
        <v>-23.915909031546448</v>
      </c>
      <c r="BB99" s="99"/>
      <c r="BC99" s="100"/>
      <c r="BD99" s="267">
        <f t="shared" si="98"/>
        <v>0.93998504956789419</v>
      </c>
      <c r="BE99" s="268">
        <f t="shared" ca="1" si="99"/>
        <v>1.02982668561281</v>
      </c>
      <c r="BF99" s="268">
        <f t="shared" ca="1" si="100"/>
        <v>1.0687258244177205</v>
      </c>
      <c r="BG99" s="268">
        <f t="shared" ca="1" si="101"/>
        <v>0.72844600001578763</v>
      </c>
      <c r="BH99" s="268">
        <f t="shared" ca="1" si="102"/>
        <v>0.94345451190526719</v>
      </c>
      <c r="BI99" s="268">
        <f t="shared" ca="1" si="103"/>
        <v>0.94416736539851398</v>
      </c>
      <c r="BK99" s="266" t="str">
        <f t="shared" si="104"/>
        <v>15</v>
      </c>
      <c r="BM99" s="269" t="s">
        <v>1218</v>
      </c>
      <c r="BN99" s="270" t="str">
        <f t="shared" si="105"/>
        <v>4QAVA</v>
      </c>
      <c r="BO99" s="270" t="str">
        <f>VLOOKUP($C99,STD!$C:$D,BO$17,0)</f>
        <v>088S 185/65R15 NH2CZ</v>
      </c>
      <c r="BP99" s="270" t="str">
        <f>VLOOKUP($C99,STD!$C:$L,BP$17,0)</f>
        <v>4QAVA</v>
      </c>
      <c r="BQ99" s="270" t="b">
        <f t="shared" si="106"/>
        <v>1</v>
      </c>
      <c r="BR99" s="270" t="b">
        <f t="shared" si="201"/>
        <v>1</v>
      </c>
    </row>
    <row r="100" spans="2:70" s="96" customFormat="1" ht="15" customHeight="1">
      <c r="B100" s="89"/>
      <c r="C100" s="478" t="s">
        <v>846</v>
      </c>
      <c r="D100" s="479" t="str">
        <f t="shared" si="40"/>
        <v>075H 155/65R14 NH2CZ</v>
      </c>
      <c r="E100" s="480" t="s">
        <v>908</v>
      </c>
      <c r="F100" s="481">
        <v>41985</v>
      </c>
      <c r="G100" s="104">
        <f>INDEX('Tire Weight'!$D:$D,MATCH($C100&amp;"-"&amp;$E100,'Tire Weight'!$A:$A,0))</f>
        <v>5.0739999999999998</v>
      </c>
      <c r="H100" s="90">
        <f t="shared" si="0"/>
        <v>213031.88999999998</v>
      </c>
      <c r="I100" s="104">
        <f>INDEX('Tire Weight'!$E:$E,MATCH($C100&amp;"-"&amp;$E100,'Tire Weight'!$A:$A,0))</f>
        <v>2.355</v>
      </c>
      <c r="J100" s="90">
        <f t="shared" si="1"/>
        <v>98874.675000000003</v>
      </c>
      <c r="K100" s="91"/>
      <c r="L100" s="34">
        <f>ROUND(VLOOKUP($C100,STD!$C:$AA,L$14,0),2)</f>
        <v>10.95</v>
      </c>
      <c r="M100" s="34">
        <f>ROUND(VLOOKUP($C100,STD!$C:$AA,M$14,0),2)</f>
        <v>4.17</v>
      </c>
      <c r="N100" s="34">
        <f>ROUND(VLOOKUP($C100,STD!$C:$AA,N$14,0),2)</f>
        <v>5.64</v>
      </c>
      <c r="O100" s="34">
        <f>ROUND(VLOOKUP($C100,STD!$C:$AA,O$14,0),2)-L100-M100-N100-P100</f>
        <v>4.76</v>
      </c>
      <c r="P100" s="34">
        <f>ROUND(VLOOKUP($C100,STD!$C:$AA,P$14,0),2)</f>
        <v>0.31</v>
      </c>
      <c r="Q100" s="92">
        <f t="shared" si="79"/>
        <v>25.829999999999995</v>
      </c>
      <c r="R100" s="93">
        <f>ROUND(VLOOKUP($C100,STD!$C:$AA,R$14,0),2)-Q100</f>
        <v>0</v>
      </c>
      <c r="S100" s="91"/>
      <c r="T100" s="94">
        <f t="shared" si="80"/>
        <v>10.13702735367151</v>
      </c>
      <c r="U100" s="94">
        <f t="shared" ca="1" si="81"/>
        <v>4.2943772790054169</v>
      </c>
      <c r="V100" s="94">
        <f t="shared" ca="1" si="82"/>
        <v>6.027613649715942</v>
      </c>
      <c r="W100" s="94">
        <f t="shared" ca="1" si="83"/>
        <v>3.4674029600751486</v>
      </c>
      <c r="X100" s="94">
        <f t="shared" ca="1" si="84"/>
        <v>0.34779852320030308</v>
      </c>
      <c r="Y100" s="95">
        <f t="shared" ca="1" si="85"/>
        <v>24.27421976566832</v>
      </c>
      <c r="Z100" s="153"/>
      <c r="AA100" s="79">
        <f t="shared" si="86"/>
        <v>-0.81297264632848965</v>
      </c>
      <c r="AB100" s="79">
        <f t="shared" ca="1" si="87"/>
        <v>0.12437727900541695</v>
      </c>
      <c r="AC100" s="79">
        <f t="shared" ca="1" si="88"/>
        <v>0.38761364971594237</v>
      </c>
      <c r="AD100" s="79">
        <f t="shared" ca="1" si="89"/>
        <v>-1.2925970399248512</v>
      </c>
      <c r="AE100" s="79">
        <f t="shared" ca="1" si="90"/>
        <v>3.779852320030308E-2</v>
      </c>
      <c r="AF100" s="79">
        <f t="shared" ca="1" si="91"/>
        <v>-1.5557802343316744</v>
      </c>
      <c r="AH100" s="97">
        <f t="shared" si="92"/>
        <v>459735.74999999994</v>
      </c>
      <c r="AI100" s="97">
        <f t="shared" si="93"/>
        <v>175077.44999999998</v>
      </c>
      <c r="AJ100" s="97">
        <f t="shared" si="94"/>
        <v>236795.4</v>
      </c>
      <c r="AK100" s="97">
        <f t="shared" si="95"/>
        <v>199848.59999999998</v>
      </c>
      <c r="AL100" s="97">
        <f t="shared" si="96"/>
        <v>13015.35</v>
      </c>
      <c r="AM100" s="97">
        <f t="shared" si="97"/>
        <v>1084472.55</v>
      </c>
      <c r="AN100" s="91"/>
      <c r="AO100" s="75">
        <f>SUMIFS('DM-Sum'!$M$6:$M$117,'DM-Sum'!$B$6:$B$117,$C100,'DM-Sum'!$C$6:$C$117, $E100)</f>
        <v>425603.09344389831</v>
      </c>
      <c r="AP100" s="75">
        <f t="shared" ca="1" si="191"/>
        <v>180299.43005904244</v>
      </c>
      <c r="AQ100" s="75">
        <f t="shared" ca="1" si="192"/>
        <v>253069.35908332383</v>
      </c>
      <c r="AR100" s="75">
        <f t="shared" ca="1" si="193"/>
        <v>145578.91327875512</v>
      </c>
      <c r="AS100" s="75">
        <f t="shared" ca="1" si="194"/>
        <v>14602.320996564724</v>
      </c>
      <c r="AT100" s="75">
        <f t="shared" ca="1" si="195"/>
        <v>1019153.1168615845</v>
      </c>
      <c r="AV100" s="98">
        <f t="shared" ref="AV100:AV129" si="202">AO100-AH100</f>
        <v>-34132.656556101632</v>
      </c>
      <c r="AW100" s="98">
        <f t="shared" ca="1" si="196"/>
        <v>5221.9800590424566</v>
      </c>
      <c r="AX100" s="98">
        <f t="shared" ca="1" si="197"/>
        <v>16273.959083323833</v>
      </c>
      <c r="AY100" s="98">
        <f t="shared" ca="1" si="198"/>
        <v>-54269.686721244856</v>
      </c>
      <c r="AZ100" s="98">
        <f t="shared" ca="1" si="199"/>
        <v>1586.9709965647235</v>
      </c>
      <c r="BA100" s="98">
        <f t="shared" ca="1" si="200"/>
        <v>-65319.433138415567</v>
      </c>
      <c r="BB100" s="99"/>
      <c r="BC100" s="100"/>
      <c r="BD100" s="267">
        <f t="shared" si="98"/>
        <v>0.92575592270972695</v>
      </c>
      <c r="BE100" s="268">
        <f t="shared" ca="1" si="99"/>
        <v>1.0298266856128098</v>
      </c>
      <c r="BF100" s="268">
        <f t="shared" ca="1" si="100"/>
        <v>1.0687258244177202</v>
      </c>
      <c r="BG100" s="268">
        <f t="shared" ca="1" si="101"/>
        <v>0.72844600001578752</v>
      </c>
      <c r="BH100" s="268">
        <f t="shared" ca="1" si="102"/>
        <v>0.94642373979385785</v>
      </c>
      <c r="BI100" s="268">
        <f t="shared" ca="1" si="103"/>
        <v>0.93976847718421697</v>
      </c>
      <c r="BK100" s="266" t="str">
        <f t="shared" si="104"/>
        <v>14</v>
      </c>
      <c r="BM100" s="269" t="s">
        <v>976</v>
      </c>
      <c r="BN100" s="270" t="str">
        <f t="shared" si="105"/>
        <v>K47VA</v>
      </c>
      <c r="BO100" s="270" t="str">
        <f>VLOOKUP($C100,STD!$C:$D,BO$17,0)</f>
        <v>075H 155/65R14 NH2CZ</v>
      </c>
      <c r="BP100" s="270" t="str">
        <f>VLOOKUP($C100,STD!$C:$L,BP$17,0)</f>
        <v>K47VA</v>
      </c>
      <c r="BQ100" s="270" t="b">
        <f t="shared" si="106"/>
        <v>1</v>
      </c>
      <c r="BR100" s="270" t="b">
        <f t="shared" si="201"/>
        <v>1</v>
      </c>
    </row>
    <row r="101" spans="2:70" s="96" customFormat="1" ht="15" customHeight="1">
      <c r="B101" s="89"/>
      <c r="C101" s="478" t="s">
        <v>847</v>
      </c>
      <c r="D101" s="479" t="str">
        <f t="shared" si="40"/>
        <v>075H 165/60R14 NH2CZ</v>
      </c>
      <c r="E101" s="480" t="s">
        <v>909</v>
      </c>
      <c r="F101" s="481">
        <v>3</v>
      </c>
      <c r="G101" s="104">
        <f>INDEX('Tire Weight'!$D:$D,MATCH($C101&amp;"-"&amp;$E101,'Tire Weight'!$A:$A,0))</f>
        <v>5.6890000000000001</v>
      </c>
      <c r="H101" s="90">
        <f t="shared" si="0"/>
        <v>17.067</v>
      </c>
      <c r="I101" s="104">
        <f>INDEX('Tire Weight'!$E:$E,MATCH($C101&amp;"-"&amp;$E101,'Tire Weight'!$A:$A,0))</f>
        <v>2.6030000000000002</v>
      </c>
      <c r="J101" s="90">
        <f t="shared" si="1"/>
        <v>7.8090000000000011</v>
      </c>
      <c r="K101" s="91"/>
      <c r="L101" s="34">
        <f>ROUND(VLOOKUP($C101,STD!$C:$AA,L$14,0),2)</f>
        <v>12.33</v>
      </c>
      <c r="M101" s="34">
        <f>ROUND(VLOOKUP($C101,STD!$C:$AA,M$14,0),2)</f>
        <v>4.32</v>
      </c>
      <c r="N101" s="34">
        <f>ROUND(VLOOKUP($C101,STD!$C:$AA,N$14,0),2)</f>
        <v>5.91</v>
      </c>
      <c r="O101" s="34">
        <f>ROUND(VLOOKUP($C101,STD!$C:$AA,O$14,0),2)-L101-M101-N101-P101</f>
        <v>5.0599999999999987</v>
      </c>
      <c r="P101" s="34">
        <f>ROUND(VLOOKUP($C101,STD!$C:$AA,P$14,0),2)</f>
        <v>0.35</v>
      </c>
      <c r="Q101" s="92">
        <f t="shared" si="79"/>
        <v>27.97</v>
      </c>
      <c r="R101" s="93">
        <f>ROUND(VLOOKUP($C101,STD!$C:$AA,R$14,0),2)-Q101</f>
        <v>0</v>
      </c>
      <c r="S101" s="91"/>
      <c r="T101" s="94">
        <f t="shared" si="80"/>
        <v>11.622117928538875</v>
      </c>
      <c r="U101" s="94">
        <f t="shared" ca="1" si="81"/>
        <v>4.4488512818473387</v>
      </c>
      <c r="V101" s="94">
        <f t="shared" ca="1" si="82"/>
        <v>6.3161696223087276</v>
      </c>
      <c r="W101" s="94">
        <f t="shared" ca="1" si="83"/>
        <v>3.6859367600798838</v>
      </c>
      <c r="X101" s="94">
        <f t="shared" ca="1" si="84"/>
        <v>0.3926757520003421</v>
      </c>
      <c r="Y101" s="95">
        <f t="shared" ca="1" si="85"/>
        <v>26.465751344775168</v>
      </c>
      <c r="Z101" s="153"/>
      <c r="AA101" s="79">
        <f t="shared" si="86"/>
        <v>-0.7078820714611247</v>
      </c>
      <c r="AB101" s="79">
        <f t="shared" ca="1" si="87"/>
        <v>0.12885128184733841</v>
      </c>
      <c r="AC101" s="79">
        <f t="shared" ca="1" si="88"/>
        <v>0.40616962230872744</v>
      </c>
      <c r="AD101" s="79">
        <f t="shared" ca="1" si="89"/>
        <v>-1.3740632399201149</v>
      </c>
      <c r="AE101" s="79">
        <f t="shared" ca="1" si="90"/>
        <v>4.2675752000342126E-2</v>
      </c>
      <c r="AF101" s="79">
        <f t="shared" ca="1" si="91"/>
        <v>-1.5042486552248313</v>
      </c>
      <c r="AH101" s="97">
        <f t="shared" si="92"/>
        <v>36.99</v>
      </c>
      <c r="AI101" s="97">
        <f t="shared" si="93"/>
        <v>12.96</v>
      </c>
      <c r="AJ101" s="97">
        <f t="shared" si="94"/>
        <v>17.73</v>
      </c>
      <c r="AK101" s="97">
        <f t="shared" si="95"/>
        <v>15.179999999999996</v>
      </c>
      <c r="AL101" s="97">
        <f t="shared" si="96"/>
        <v>1.0499999999999998</v>
      </c>
      <c r="AM101" s="97">
        <f t="shared" si="97"/>
        <v>83.91</v>
      </c>
      <c r="AN101" s="91"/>
      <c r="AO101" s="75">
        <f>SUMIFS('DM-Sum'!$M$6:$M$117,'DM-Sum'!$B$6:$B$117,$C101,'DM-Sum'!$C$6:$C$117, $E101)</f>
        <v>34.866353785616624</v>
      </c>
      <c r="AP101" s="75">
        <f t="shared" ca="1" si="191"/>
        <v>13.346553845542017</v>
      </c>
      <c r="AQ101" s="75">
        <f t="shared" ca="1" si="192"/>
        <v>18.948508866926183</v>
      </c>
      <c r="AR101" s="75">
        <f t="shared" ca="1" si="193"/>
        <v>11.057810280239652</v>
      </c>
      <c r="AS101" s="75">
        <f t="shared" ca="1" si="194"/>
        <v>1.1780272560010263</v>
      </c>
      <c r="AT101" s="75">
        <f t="shared" ca="1" si="195"/>
        <v>79.397254034325513</v>
      </c>
      <c r="AV101" s="98">
        <f t="shared" si="202"/>
        <v>-2.1236462143833776</v>
      </c>
      <c r="AW101" s="98">
        <f t="shared" ca="1" si="196"/>
        <v>0.38655384554201611</v>
      </c>
      <c r="AX101" s="98">
        <f t="shared" ca="1" si="197"/>
        <v>1.2185088669261823</v>
      </c>
      <c r="AY101" s="98">
        <f t="shared" ca="1" si="198"/>
        <v>-4.1221897197603443</v>
      </c>
      <c r="AZ101" s="98">
        <f t="shared" ca="1" si="199"/>
        <v>0.12802725600102649</v>
      </c>
      <c r="BA101" s="98">
        <f t="shared" ca="1" si="200"/>
        <v>-4.5127459656744833</v>
      </c>
      <c r="BB101" s="99"/>
      <c r="BC101" s="100"/>
      <c r="BD101" s="267">
        <f t="shared" si="98"/>
        <v>0.94258863978417484</v>
      </c>
      <c r="BE101" s="268">
        <f t="shared" ca="1" si="99"/>
        <v>1.0298266856128098</v>
      </c>
      <c r="BF101" s="268">
        <f t="shared" ca="1" si="100"/>
        <v>1.0687258244177205</v>
      </c>
      <c r="BG101" s="268">
        <f t="shared" ca="1" si="101"/>
        <v>0.72844600001578752</v>
      </c>
      <c r="BH101" s="268">
        <f t="shared" ca="1" si="102"/>
        <v>0.94512476548305768</v>
      </c>
      <c r="BI101" s="268">
        <f t="shared" ca="1" si="103"/>
        <v>0.94621921146854371</v>
      </c>
      <c r="BK101" s="266" t="str">
        <f t="shared" si="104"/>
        <v>14</v>
      </c>
      <c r="BM101" s="269" t="s">
        <v>977</v>
      </c>
      <c r="BN101" s="270" t="str">
        <f t="shared" si="105"/>
        <v>35NVA</v>
      </c>
      <c r="BO101" s="270" t="str">
        <f>VLOOKUP($C101,STD!$C:$D,BO$17,0)</f>
        <v>075H 165/60R14 NH2CZ</v>
      </c>
      <c r="BP101" s="270" t="str">
        <f>VLOOKUP($C101,STD!$C:$L,BP$17,0)</f>
        <v>35NVA</v>
      </c>
      <c r="BQ101" s="270" t="b">
        <f t="shared" si="106"/>
        <v>1</v>
      </c>
      <c r="BR101" s="270" t="b">
        <f t="shared" si="201"/>
        <v>1</v>
      </c>
    </row>
    <row r="102" spans="2:70" s="96" customFormat="1" ht="15" customHeight="1">
      <c r="B102" s="89"/>
      <c r="C102" s="478" t="s">
        <v>848</v>
      </c>
      <c r="D102" s="479" t="str">
        <f t="shared" si="40"/>
        <v>082S 175/65R14 NH2CZ</v>
      </c>
      <c r="E102" s="480" t="s">
        <v>910</v>
      </c>
      <c r="F102" s="481">
        <v>2</v>
      </c>
      <c r="G102" s="104">
        <f>INDEX('Tire Weight'!$D:$D,MATCH($C102&amp;"-"&amp;$E102,'Tire Weight'!$A:$A,0))</f>
        <v>6.0919999999999996</v>
      </c>
      <c r="H102" s="90">
        <f t="shared" si="0"/>
        <v>12.183999999999999</v>
      </c>
      <c r="I102" s="104">
        <f>INDEX('Tire Weight'!$E:$E,MATCH($C102&amp;"-"&amp;$E102,'Tire Weight'!$A:$A,0))</f>
        <v>2.8439999999999999</v>
      </c>
      <c r="J102" s="90">
        <f t="shared" si="1"/>
        <v>5.6879999999999997</v>
      </c>
      <c r="K102" s="91"/>
      <c r="L102" s="34">
        <f>ROUND(VLOOKUP($C102,STD!$C:$AA,L$14,0),2)</f>
        <v>13.28</v>
      </c>
      <c r="M102" s="34">
        <f>ROUND(VLOOKUP($C102,STD!$C:$AA,M$14,0),2)</f>
        <v>4.45</v>
      </c>
      <c r="N102" s="34">
        <f>ROUND(VLOOKUP($C102,STD!$C:$AA,N$14,0),2)</f>
        <v>6.03</v>
      </c>
      <c r="O102" s="34">
        <f>ROUND(VLOOKUP($C102,STD!$C:$AA,O$14,0),2)-L102-M102-N102-P102</f>
        <v>5.2400000000000038</v>
      </c>
      <c r="P102" s="34">
        <f>ROUND(VLOOKUP($C102,STD!$C:$AA,P$14,0),2)</f>
        <v>0.37</v>
      </c>
      <c r="Q102" s="92">
        <f t="shared" si="79"/>
        <v>29.370000000000008</v>
      </c>
      <c r="R102" s="93">
        <f>ROUND(VLOOKUP($C102,STD!$C:$AA,R$14,0),2)-Q102</f>
        <v>0</v>
      </c>
      <c r="S102" s="91"/>
      <c r="T102" s="94">
        <f t="shared" si="80"/>
        <v>12.477361120577839</v>
      </c>
      <c r="U102" s="94">
        <f t="shared" ca="1" si="81"/>
        <v>4.5827287509770036</v>
      </c>
      <c r="V102" s="94">
        <f t="shared" ca="1" si="82"/>
        <v>6.4444167212388539</v>
      </c>
      <c r="W102" s="94">
        <f t="shared" ca="1" si="83"/>
        <v>3.8170570400827293</v>
      </c>
      <c r="X102" s="94">
        <f t="shared" ca="1" si="84"/>
        <v>0.4151143664003617</v>
      </c>
      <c r="Y102" s="95">
        <f t="shared" ca="1" si="85"/>
        <v>27.73667799927679</v>
      </c>
      <c r="Z102" s="153"/>
      <c r="AA102" s="79">
        <f t="shared" si="86"/>
        <v>-0.80263887942215995</v>
      </c>
      <c r="AB102" s="79">
        <f t="shared" ca="1" si="87"/>
        <v>0.13272875097700343</v>
      </c>
      <c r="AC102" s="79">
        <f t="shared" ca="1" si="88"/>
        <v>0.41441672123885365</v>
      </c>
      <c r="AD102" s="79">
        <f t="shared" ca="1" si="89"/>
        <v>-1.4229429599172745</v>
      </c>
      <c r="AE102" s="79">
        <f t="shared" ca="1" si="90"/>
        <v>4.5114366400361705E-2</v>
      </c>
      <c r="AF102" s="79">
        <f t="shared" ca="1" si="91"/>
        <v>-1.6333220007232185</v>
      </c>
      <c r="AH102" s="97">
        <f t="shared" si="92"/>
        <v>26.56</v>
      </c>
      <c r="AI102" s="97">
        <f t="shared" si="93"/>
        <v>8.9</v>
      </c>
      <c r="AJ102" s="97">
        <f t="shared" si="94"/>
        <v>12.06</v>
      </c>
      <c r="AK102" s="97">
        <f t="shared" si="95"/>
        <v>10.480000000000008</v>
      </c>
      <c r="AL102" s="97">
        <f t="shared" si="96"/>
        <v>0.74</v>
      </c>
      <c r="AM102" s="97">
        <f t="shared" si="97"/>
        <v>58.740000000000016</v>
      </c>
      <c r="AN102" s="91"/>
      <c r="AO102" s="75">
        <f>SUMIFS('DM-Sum'!$M$6:$M$117,'DM-Sum'!$B$6:$B$117,$C102,'DM-Sum'!$C$6:$C$117, $E102)</f>
        <v>24.954722241155679</v>
      </c>
      <c r="AP102" s="75">
        <f t="shared" ca="1" si="191"/>
        <v>9.1654575019540072</v>
      </c>
      <c r="AQ102" s="75">
        <f t="shared" ca="1" si="192"/>
        <v>12.888833442477708</v>
      </c>
      <c r="AR102" s="75">
        <f t="shared" ca="1" si="193"/>
        <v>7.6341140801654586</v>
      </c>
      <c r="AS102" s="75">
        <f t="shared" ca="1" si="194"/>
        <v>0.8302287328007234</v>
      </c>
      <c r="AT102" s="75">
        <f t="shared" ca="1" si="195"/>
        <v>55.473355998553579</v>
      </c>
      <c r="AV102" s="98">
        <f t="shared" si="202"/>
        <v>-1.6052777588443199</v>
      </c>
      <c r="AW102" s="98">
        <f t="shared" ca="1" si="196"/>
        <v>0.26545750195400686</v>
      </c>
      <c r="AX102" s="98">
        <f t="shared" ca="1" si="197"/>
        <v>0.82883344247770729</v>
      </c>
      <c r="AY102" s="98">
        <f t="shared" ca="1" si="198"/>
        <v>-2.845885919834549</v>
      </c>
      <c r="AZ102" s="98">
        <f t="shared" ca="1" si="199"/>
        <v>9.022873280072341E-2</v>
      </c>
      <c r="BA102" s="98">
        <f t="shared" ca="1" si="200"/>
        <v>-3.2666440014464371</v>
      </c>
      <c r="BB102" s="99"/>
      <c r="BC102" s="100"/>
      <c r="BD102" s="267">
        <f t="shared" si="98"/>
        <v>0.9395603253447169</v>
      </c>
      <c r="BE102" s="268">
        <f t="shared" ca="1" si="99"/>
        <v>1.0298266856128098</v>
      </c>
      <c r="BF102" s="268">
        <f t="shared" ca="1" si="100"/>
        <v>1.0687258244177202</v>
      </c>
      <c r="BG102" s="268">
        <f t="shared" ca="1" si="101"/>
        <v>0.72844600001578752</v>
      </c>
      <c r="BH102" s="268">
        <f t="shared" ca="1" si="102"/>
        <v>0.94428769162204729</v>
      </c>
      <c r="BI102" s="268">
        <f t="shared" ca="1" si="103"/>
        <v>0.94438808305334632</v>
      </c>
      <c r="BK102" s="266" t="str">
        <f t="shared" si="104"/>
        <v>14</v>
      </c>
      <c r="BM102" s="269" t="s">
        <v>1217</v>
      </c>
      <c r="BN102" s="270" t="str">
        <f t="shared" si="105"/>
        <v>36TVA</v>
      </c>
      <c r="BO102" s="270" t="str">
        <f>VLOOKUP($C102,STD!$C:$D,BO$17,0)</f>
        <v>082S 175/65R14 NH2CZ</v>
      </c>
      <c r="BP102" s="270" t="str">
        <f>VLOOKUP($C102,STD!$C:$L,BP$17,0)</f>
        <v>36TVA</v>
      </c>
      <c r="BQ102" s="270" t="b">
        <f t="shared" si="106"/>
        <v>1</v>
      </c>
      <c r="BR102" s="270" t="b">
        <f t="shared" si="201"/>
        <v>1</v>
      </c>
    </row>
    <row r="103" spans="2:70" s="96" customFormat="1" ht="15" customHeight="1">
      <c r="B103" s="89"/>
      <c r="C103" s="478" t="s">
        <v>849</v>
      </c>
      <c r="D103" s="479" t="str">
        <f t="shared" si="40"/>
        <v>084S 175/70R14 NH2CZ</v>
      </c>
      <c r="E103" s="480" t="s">
        <v>911</v>
      </c>
      <c r="F103" s="481">
        <v>17</v>
      </c>
      <c r="G103" s="104">
        <f>INDEX('Tire Weight'!$D:$D,MATCH($C103&amp;"-"&amp;$E103,'Tire Weight'!$A:$A,0))</f>
        <v>6.2240000000000002</v>
      </c>
      <c r="H103" s="90">
        <f t="shared" si="0"/>
        <v>105.80800000000001</v>
      </c>
      <c r="I103" s="104">
        <f>INDEX('Tire Weight'!$E:$E,MATCH($C103&amp;"-"&amp;$E103,'Tire Weight'!$A:$A,0))</f>
        <v>2.9209999999999998</v>
      </c>
      <c r="J103" s="90">
        <f t="shared" si="1"/>
        <v>49.656999999999996</v>
      </c>
      <c r="K103" s="91"/>
      <c r="L103" s="34">
        <f>ROUND(VLOOKUP($C103,STD!$C:$AA,L$14,0),2)</f>
        <v>13.48</v>
      </c>
      <c r="M103" s="34">
        <f>ROUND(VLOOKUP($C103,STD!$C:$AA,M$14,0),2)</f>
        <v>4.4800000000000004</v>
      </c>
      <c r="N103" s="34">
        <f>ROUND(VLOOKUP($C103,STD!$C:$AA,N$14,0),2)</f>
        <v>5.91</v>
      </c>
      <c r="O103" s="34">
        <f>ROUND(VLOOKUP($C103,STD!$C:$AA,O$14,0),2)-L103-M103-N103-P103</f>
        <v>5.12</v>
      </c>
      <c r="P103" s="34">
        <f>ROUND(VLOOKUP($C103,STD!$C:$AA,P$14,0),2)</f>
        <v>0.38</v>
      </c>
      <c r="Q103" s="92">
        <f t="shared" si="79"/>
        <v>29.37</v>
      </c>
      <c r="R103" s="93">
        <f>ROUND(VLOOKUP($C103,STD!$C:$AA,R$14,0),2)-Q103</f>
        <v>0</v>
      </c>
      <c r="S103" s="91"/>
      <c r="T103" s="94">
        <f t="shared" si="80"/>
        <v>12.59344458837807</v>
      </c>
      <c r="U103" s="94">
        <f t="shared" ca="1" si="81"/>
        <v>4.6136235515453894</v>
      </c>
      <c r="V103" s="94">
        <f t="shared" ca="1" si="82"/>
        <v>6.3161696223087276</v>
      </c>
      <c r="W103" s="94">
        <f t="shared" ca="1" si="83"/>
        <v>3.7296435200808329</v>
      </c>
      <c r="X103" s="94">
        <f t="shared" ca="1" si="84"/>
        <v>0.42633367360037144</v>
      </c>
      <c r="Y103" s="95">
        <f t="shared" ca="1" si="85"/>
        <v>27.679214955913391</v>
      </c>
      <c r="Z103" s="153"/>
      <c r="AA103" s="79">
        <f t="shared" si="86"/>
        <v>-0.88655541162193074</v>
      </c>
      <c r="AB103" s="79">
        <f t="shared" ca="1" si="87"/>
        <v>0.13362355154538896</v>
      </c>
      <c r="AC103" s="79">
        <f t="shared" ca="1" si="88"/>
        <v>0.40616962230872744</v>
      </c>
      <c r="AD103" s="79">
        <f t="shared" ca="1" si="89"/>
        <v>-1.3903564799191672</v>
      </c>
      <c r="AE103" s="79">
        <f t="shared" ca="1" si="90"/>
        <v>4.6333673600371439E-2</v>
      </c>
      <c r="AF103" s="79">
        <f t="shared" ca="1" si="91"/>
        <v>-1.6907850440866099</v>
      </c>
      <c r="AH103" s="97">
        <f t="shared" si="92"/>
        <v>229.16</v>
      </c>
      <c r="AI103" s="97">
        <f t="shared" si="93"/>
        <v>76.160000000000011</v>
      </c>
      <c r="AJ103" s="97">
        <f t="shared" si="94"/>
        <v>100.47</v>
      </c>
      <c r="AK103" s="97">
        <f t="shared" si="95"/>
        <v>87.04</v>
      </c>
      <c r="AL103" s="97">
        <f t="shared" si="96"/>
        <v>6.46</v>
      </c>
      <c r="AM103" s="97">
        <f t="shared" si="97"/>
        <v>499.28999999999996</v>
      </c>
      <c r="AN103" s="91"/>
      <c r="AO103" s="75">
        <f>SUMIFS('DM-Sum'!$M$6:$M$117,'DM-Sum'!$B$6:$B$117,$C103,'DM-Sum'!$C$6:$C$117, $E103)</f>
        <v>214.08855800242719</v>
      </c>
      <c r="AP103" s="75">
        <f t="shared" ca="1" si="191"/>
        <v>78.431600376271618</v>
      </c>
      <c r="AQ103" s="75">
        <f t="shared" ca="1" si="192"/>
        <v>107.37488357924838</v>
      </c>
      <c r="AR103" s="75">
        <f t="shared" ca="1" si="193"/>
        <v>63.403939841374161</v>
      </c>
      <c r="AS103" s="75">
        <f t="shared" ca="1" si="194"/>
        <v>7.2476724512063146</v>
      </c>
      <c r="AT103" s="75">
        <f t="shared" ca="1" si="195"/>
        <v>470.54665425052764</v>
      </c>
      <c r="AV103" s="98">
        <f t="shared" si="202"/>
        <v>-15.071441997572805</v>
      </c>
      <c r="AW103" s="98">
        <f t="shared" ca="1" si="196"/>
        <v>2.271600376271607</v>
      </c>
      <c r="AX103" s="98">
        <f t="shared" ca="1" si="197"/>
        <v>6.9048835792483771</v>
      </c>
      <c r="AY103" s="98">
        <f t="shared" ca="1" si="198"/>
        <v>-23.636060158625845</v>
      </c>
      <c r="AZ103" s="98">
        <f t="shared" ca="1" si="199"/>
        <v>0.78767245120631468</v>
      </c>
      <c r="BA103" s="98">
        <f t="shared" ca="1" si="200"/>
        <v>-28.743345749472326</v>
      </c>
      <c r="BB103" s="99"/>
      <c r="BC103" s="100"/>
      <c r="BD103" s="267">
        <f t="shared" si="98"/>
        <v>0.93423179439006454</v>
      </c>
      <c r="BE103" s="268">
        <f t="shared" ca="1" si="99"/>
        <v>1.02982668561281</v>
      </c>
      <c r="BF103" s="268">
        <f t="shared" ca="1" si="100"/>
        <v>1.0687258244177205</v>
      </c>
      <c r="BG103" s="268">
        <f t="shared" ca="1" si="101"/>
        <v>0.72844600001578763</v>
      </c>
      <c r="BH103" s="268">
        <f t="shared" ca="1" si="102"/>
        <v>0.94516032842907471</v>
      </c>
      <c r="BI103" s="268">
        <f t="shared" ca="1" si="103"/>
        <v>0.942431561318127</v>
      </c>
      <c r="BK103" s="266" t="str">
        <f t="shared" si="104"/>
        <v>14</v>
      </c>
      <c r="BM103" s="269" t="s">
        <v>978</v>
      </c>
      <c r="BN103" s="270" t="str">
        <f t="shared" si="105"/>
        <v>37AVA</v>
      </c>
      <c r="BO103" s="270" t="str">
        <f>VLOOKUP($C103,STD!$C:$D,BO$17,0)</f>
        <v>084S 175/70R14 NH2CZ</v>
      </c>
      <c r="BP103" s="270" t="str">
        <f>VLOOKUP($C103,STD!$C:$L,BP$17,0)</f>
        <v>37AVA</v>
      </c>
      <c r="BQ103" s="270" t="b">
        <f t="shared" si="106"/>
        <v>1</v>
      </c>
      <c r="BR103" s="270" t="b">
        <f t="shared" si="201"/>
        <v>1</v>
      </c>
    </row>
    <row r="104" spans="2:70" s="96" customFormat="1" ht="15" customHeight="1">
      <c r="B104" s="89"/>
      <c r="C104" s="478" t="s">
        <v>853</v>
      </c>
      <c r="D104" s="479" t="str">
        <f t="shared" si="40"/>
        <v>82T 175/65R14 F6LAZ</v>
      </c>
      <c r="E104" s="480" t="s">
        <v>886</v>
      </c>
      <c r="F104" s="481">
        <v>2</v>
      </c>
      <c r="G104" s="104">
        <f>INDEX('Tire Weight'!$D:$D,MATCH($C104&amp;"-"&amp;$E104,'Tire Weight'!$A:$A,0))</f>
        <v>6.6429999999999998</v>
      </c>
      <c r="H104" s="90">
        <f t="shared" si="0"/>
        <v>13.286</v>
      </c>
      <c r="I104" s="104">
        <f>INDEX('Tire Weight'!$E:$E,MATCH($C104&amp;"-"&amp;$E104,'Tire Weight'!$A:$A,0))</f>
        <v>3.383</v>
      </c>
      <c r="J104" s="90">
        <f t="shared" si="1"/>
        <v>6.766</v>
      </c>
      <c r="K104" s="91"/>
      <c r="L104" s="34">
        <f>ROUND(VLOOKUP($C104,STD!$C:$AA,L$14,0),2)</f>
        <v>13.3</v>
      </c>
      <c r="M104" s="34">
        <f>ROUND(VLOOKUP($C104,STD!$C:$AA,M$14,0),2)</f>
        <v>4.58</v>
      </c>
      <c r="N104" s="34">
        <f>ROUND(VLOOKUP($C104,STD!$C:$AA,N$14,0),2)</f>
        <v>6.05</v>
      </c>
      <c r="O104" s="34">
        <f>ROUND(VLOOKUP($C104,STD!$C:$AA,O$14,0),2)-L104-M104-N104-P104</f>
        <v>5.2799999999999985</v>
      </c>
      <c r="P104" s="34">
        <f>ROUND(VLOOKUP($C104,STD!$C:$AA,P$14,0),2)</f>
        <v>0.4</v>
      </c>
      <c r="Q104" s="92">
        <f t="shared" si="79"/>
        <v>29.61</v>
      </c>
      <c r="R104" s="93">
        <f>ROUND(VLOOKUP($C104,STD!$C:$AA,R$14,0),2)-Q104</f>
        <v>0</v>
      </c>
      <c r="S104" s="91"/>
      <c r="T104" s="94">
        <f t="shared" si="80"/>
        <v>12.264514631635464</v>
      </c>
      <c r="U104" s="94">
        <f t="shared" ca="1" si="81"/>
        <v>4.7166062201066694</v>
      </c>
      <c r="V104" s="94">
        <f t="shared" ca="1" si="82"/>
        <v>6.465791237727208</v>
      </c>
      <c r="W104" s="94">
        <f t="shared" ca="1" si="83"/>
        <v>3.846194880083357</v>
      </c>
      <c r="X104" s="94">
        <f t="shared" ca="1" si="84"/>
        <v>0.44877228800039104</v>
      </c>
      <c r="Y104" s="95">
        <f t="shared" ca="1" si="85"/>
        <v>27.741879257553091</v>
      </c>
      <c r="Z104" s="153"/>
      <c r="AA104" s="79">
        <f t="shared" si="86"/>
        <v>-1.0354853683645366</v>
      </c>
      <c r="AB104" s="79">
        <f t="shared" ca="1" si="87"/>
        <v>0.13660622010666934</v>
      </c>
      <c r="AC104" s="79">
        <f t="shared" ca="1" si="88"/>
        <v>0.41579123772720816</v>
      </c>
      <c r="AD104" s="79">
        <f t="shared" ca="1" si="89"/>
        <v>-1.4338051199166415</v>
      </c>
      <c r="AE104" s="79">
        <f t="shared" ca="1" si="90"/>
        <v>4.8772288000391018E-2</v>
      </c>
      <c r="AF104" s="79">
        <f t="shared" ca="1" si="91"/>
        <v>-1.8681207424469086</v>
      </c>
      <c r="AH104" s="97">
        <f t="shared" si="92"/>
        <v>26.6</v>
      </c>
      <c r="AI104" s="97">
        <f t="shared" si="93"/>
        <v>9.16</v>
      </c>
      <c r="AJ104" s="97">
        <f t="shared" si="94"/>
        <v>12.1</v>
      </c>
      <c r="AK104" s="97">
        <f t="shared" si="95"/>
        <v>10.559999999999997</v>
      </c>
      <c r="AL104" s="97">
        <f t="shared" si="96"/>
        <v>0.8</v>
      </c>
      <c r="AM104" s="97">
        <f t="shared" si="97"/>
        <v>59.22</v>
      </c>
      <c r="AN104" s="91"/>
      <c r="AO104" s="75">
        <f>SUMIFS('DM-Sum'!$M$6:$M$117,'DM-Sum'!$B$6:$B$117,$C104,'DM-Sum'!$C$6:$C$117, $E104)</f>
        <v>24.529029263270928</v>
      </c>
      <c r="AP104" s="75">
        <f t="shared" ca="1" si="191"/>
        <v>9.4332124402133388</v>
      </c>
      <c r="AQ104" s="75">
        <f t="shared" ca="1" si="192"/>
        <v>12.931582475454416</v>
      </c>
      <c r="AR104" s="75">
        <f t="shared" ca="1" si="193"/>
        <v>7.6923897601667139</v>
      </c>
      <c r="AS104" s="75">
        <f t="shared" ca="1" si="194"/>
        <v>0.89754457600078208</v>
      </c>
      <c r="AT104" s="75">
        <f t="shared" ca="1" si="195"/>
        <v>55.483758515106182</v>
      </c>
      <c r="AV104" s="98">
        <f t="shared" si="202"/>
        <v>-2.0709707367290733</v>
      </c>
      <c r="AW104" s="98">
        <f t="shared" ca="1" si="196"/>
        <v>0.27321244021333868</v>
      </c>
      <c r="AX104" s="98">
        <f t="shared" ca="1" si="197"/>
        <v>0.83158247545441633</v>
      </c>
      <c r="AY104" s="98">
        <f t="shared" ca="1" si="198"/>
        <v>-2.867610239833283</v>
      </c>
      <c r="AZ104" s="98">
        <f t="shared" ca="1" si="199"/>
        <v>9.7544576000782035E-2</v>
      </c>
      <c r="BA104" s="98">
        <f t="shared" ca="1" si="200"/>
        <v>-3.7362414848938172</v>
      </c>
      <c r="BB104" s="99"/>
      <c r="BC104" s="100"/>
      <c r="BD104" s="267">
        <f t="shared" si="98"/>
        <v>0.92214395726582432</v>
      </c>
      <c r="BE104" s="268">
        <f t="shared" ca="1" si="99"/>
        <v>1.02982668561281</v>
      </c>
      <c r="BF104" s="268">
        <f t="shared" ca="1" si="100"/>
        <v>1.0687258244177205</v>
      </c>
      <c r="BG104" s="268">
        <f t="shared" ca="1" si="101"/>
        <v>0.72844600001578752</v>
      </c>
      <c r="BH104" s="268">
        <f t="shared" ca="1" si="102"/>
        <v>0.94460039836060583</v>
      </c>
      <c r="BI104" s="268">
        <f t="shared" ca="1" si="103"/>
        <v>0.93690912723921282</v>
      </c>
      <c r="BK104" s="266" t="str">
        <f t="shared" si="104"/>
        <v>14</v>
      </c>
      <c r="BM104" s="269" t="s">
        <v>979</v>
      </c>
      <c r="BN104" s="270" t="str">
        <f t="shared" si="105"/>
        <v>N98VA</v>
      </c>
      <c r="BO104" s="270" t="str">
        <f>VLOOKUP($C104,STD!$C:$D,BO$17,0)</f>
        <v>82T 175/65R14 F6LAZ</v>
      </c>
      <c r="BP104" s="270" t="str">
        <f>VLOOKUP($C104,STD!$C:$L,BP$17,0)</f>
        <v>N98VA</v>
      </c>
      <c r="BQ104" s="270" t="b">
        <f t="shared" si="106"/>
        <v>1</v>
      </c>
      <c r="BR104" s="270" t="b">
        <f t="shared" si="201"/>
        <v>1</v>
      </c>
    </row>
    <row r="105" spans="2:70" s="96" customFormat="1" ht="15" customHeight="1">
      <c r="B105" s="89"/>
      <c r="C105" s="478" t="s">
        <v>854</v>
      </c>
      <c r="D105" s="479" t="str">
        <f t="shared" si="40"/>
        <v>88T 185/70R14 F6LAZ</v>
      </c>
      <c r="E105" s="480" t="s">
        <v>887</v>
      </c>
      <c r="F105" s="481">
        <v>276</v>
      </c>
      <c r="G105" s="104">
        <f>INDEX('Tire Weight'!$D:$D,MATCH($C105&amp;"-"&amp;$E105,'Tire Weight'!$A:$A,0))</f>
        <v>7.5060000000000002</v>
      </c>
      <c r="H105" s="90">
        <f t="shared" si="0"/>
        <v>2071.6559999999999</v>
      </c>
      <c r="I105" s="104">
        <f>INDEX('Tire Weight'!$E:$E,MATCH($C105&amp;"-"&amp;$E105,'Tire Weight'!$A:$A,0))</f>
        <v>3.8679999999999999</v>
      </c>
      <c r="J105" s="90">
        <f t="shared" si="1"/>
        <v>1067.568</v>
      </c>
      <c r="K105" s="91"/>
      <c r="L105" s="34">
        <f>ROUND(VLOOKUP($C105,STD!$C:$AA,L$14,0),2)</f>
        <v>14.84</v>
      </c>
      <c r="M105" s="34">
        <f>ROUND(VLOOKUP($C105,STD!$C:$AA,M$14,0),2)</f>
        <v>4.8</v>
      </c>
      <c r="N105" s="34">
        <f>ROUND(VLOOKUP($C105,STD!$C:$AA,N$14,0),2)</f>
        <v>6.33</v>
      </c>
      <c r="O105" s="34">
        <f>ROUND(VLOOKUP($C105,STD!$C:$AA,O$14,0),2)-L105-M105-N105-P105</f>
        <v>5.6199999999999983</v>
      </c>
      <c r="P105" s="34">
        <f>ROUND(VLOOKUP($C105,STD!$C:$AA,P$14,0),2)</f>
        <v>0.45</v>
      </c>
      <c r="Q105" s="92">
        <f t="shared" si="79"/>
        <v>32.04</v>
      </c>
      <c r="R105" s="93">
        <f>ROUND(VLOOKUP($C105,STD!$C:$AA,R$14,0),2)-Q105</f>
        <v>0</v>
      </c>
      <c r="S105" s="91"/>
      <c r="T105" s="94">
        <f t="shared" si="80"/>
        <v>13.494556842343473</v>
      </c>
      <c r="U105" s="94">
        <f t="shared" ca="1" si="81"/>
        <v>4.9431680909414872</v>
      </c>
      <c r="V105" s="94">
        <f t="shared" ca="1" si="82"/>
        <v>6.7650344685641697</v>
      </c>
      <c r="W105" s="94">
        <f t="shared" ca="1" si="83"/>
        <v>4.0938665200887243</v>
      </c>
      <c r="X105" s="94">
        <f t="shared" ca="1" si="84"/>
        <v>0.50486882400043998</v>
      </c>
      <c r="Y105" s="95">
        <f t="shared" ca="1" si="85"/>
        <v>29.801494745938296</v>
      </c>
      <c r="Z105" s="153"/>
      <c r="AA105" s="79">
        <f t="shared" si="86"/>
        <v>-1.3454431576565273</v>
      </c>
      <c r="AB105" s="79">
        <f t="shared" ca="1" si="87"/>
        <v>0.14316809094148741</v>
      </c>
      <c r="AC105" s="79">
        <f t="shared" ca="1" si="88"/>
        <v>0.43503446856416961</v>
      </c>
      <c r="AD105" s="79">
        <f t="shared" ca="1" si="89"/>
        <v>-1.526133479911274</v>
      </c>
      <c r="AE105" s="79">
        <f t="shared" ca="1" si="90"/>
        <v>5.4868824000439964E-2</v>
      </c>
      <c r="AF105" s="79">
        <f t="shared" ca="1" si="91"/>
        <v>-2.2385052540617032</v>
      </c>
      <c r="AH105" s="97">
        <f t="shared" si="92"/>
        <v>4095.84</v>
      </c>
      <c r="AI105" s="97">
        <f t="shared" si="93"/>
        <v>1324.8</v>
      </c>
      <c r="AJ105" s="97">
        <f t="shared" si="94"/>
        <v>1747.08</v>
      </c>
      <c r="AK105" s="97">
        <f t="shared" si="95"/>
        <v>1551.1199999999994</v>
      </c>
      <c r="AL105" s="97">
        <f t="shared" si="96"/>
        <v>124.2</v>
      </c>
      <c r="AM105" s="97">
        <f t="shared" si="97"/>
        <v>8843.0400000000009</v>
      </c>
      <c r="AN105" s="91"/>
      <c r="AO105" s="75">
        <f>SUMIFS('DM-Sum'!$M$6:$M$117,'DM-Sum'!$B$6:$B$117,$C105,'DM-Sum'!$C$6:$C$117, $E105)</f>
        <v>3724.4976884867983</v>
      </c>
      <c r="AP105" s="75">
        <f t="shared" ca="1" si="191"/>
        <v>1364.3143930998506</v>
      </c>
      <c r="AQ105" s="75">
        <f t="shared" ca="1" si="192"/>
        <v>1867.1495133237108</v>
      </c>
      <c r="AR105" s="75">
        <f t="shared" ca="1" si="193"/>
        <v>1129.907159544488</v>
      </c>
      <c r="AS105" s="75">
        <f t="shared" ca="1" si="194"/>
        <v>139.34379542412142</v>
      </c>
      <c r="AT105" s="75">
        <f t="shared" ca="1" si="195"/>
        <v>8225.2125498789683</v>
      </c>
      <c r="AV105" s="98">
        <f t="shared" si="202"/>
        <v>-371.34231151320182</v>
      </c>
      <c r="AW105" s="98">
        <f t="shared" ca="1" si="196"/>
        <v>39.514393099850622</v>
      </c>
      <c r="AX105" s="98">
        <f t="shared" ca="1" si="197"/>
        <v>120.06951332371091</v>
      </c>
      <c r="AY105" s="98">
        <f t="shared" ca="1" si="198"/>
        <v>-421.21284045551147</v>
      </c>
      <c r="AZ105" s="98">
        <f t="shared" ca="1" si="199"/>
        <v>15.143795424121421</v>
      </c>
      <c r="BA105" s="98">
        <f t="shared" ca="1" si="200"/>
        <v>-617.8274501210326</v>
      </c>
      <c r="BB105" s="99"/>
      <c r="BC105" s="100"/>
      <c r="BD105" s="267">
        <f t="shared" si="98"/>
        <v>0.90933671444363018</v>
      </c>
      <c r="BE105" s="268">
        <f t="shared" ca="1" si="99"/>
        <v>1.02982668561281</v>
      </c>
      <c r="BF105" s="268">
        <f t="shared" ca="1" si="100"/>
        <v>1.0687258244177202</v>
      </c>
      <c r="BG105" s="268">
        <f t="shared" ca="1" si="101"/>
        <v>0.72844600001578741</v>
      </c>
      <c r="BH105" s="268">
        <f t="shared" ca="1" si="102"/>
        <v>0.94340710922951554</v>
      </c>
      <c r="BI105" s="268">
        <f t="shared" ca="1" si="103"/>
        <v>0.93013404325650118</v>
      </c>
      <c r="BK105" s="266" t="str">
        <f t="shared" si="104"/>
        <v>14</v>
      </c>
      <c r="BM105" s="269" t="s">
        <v>980</v>
      </c>
      <c r="BN105" s="270" t="str">
        <f t="shared" si="105"/>
        <v>HZFVA</v>
      </c>
      <c r="BO105" s="270" t="str">
        <f>VLOOKUP($C105,STD!$C:$D,BO$17,0)</f>
        <v>88T 185/70R14 F6LAZ</v>
      </c>
      <c r="BP105" s="270" t="str">
        <f>VLOOKUP($C105,STD!$C:$L,BP$17,0)</f>
        <v>HZFVA</v>
      </c>
      <c r="BQ105" s="270" t="b">
        <f t="shared" si="106"/>
        <v>1</v>
      </c>
      <c r="BR105" s="270" t="b">
        <f t="shared" si="201"/>
        <v>1</v>
      </c>
    </row>
    <row r="106" spans="2:70" s="96" customFormat="1" ht="15" customHeight="1">
      <c r="B106" s="89"/>
      <c r="C106" s="478" t="s">
        <v>855</v>
      </c>
      <c r="D106" s="479" t="str">
        <f t="shared" si="40"/>
        <v>88T 185/70R14 F7LAZ</v>
      </c>
      <c r="E106" s="480" t="s">
        <v>888</v>
      </c>
      <c r="F106" s="481">
        <v>1</v>
      </c>
      <c r="G106" s="104">
        <f>INDEX('Tire Weight'!$D:$D,MATCH($C106&amp;"-"&amp;$E106,'Tire Weight'!$A:$A,0))</f>
        <v>7.4640000000000004</v>
      </c>
      <c r="H106" s="90">
        <f t="shared" si="0"/>
        <v>7.4640000000000004</v>
      </c>
      <c r="I106" s="104">
        <f>INDEX('Tire Weight'!$E:$E,MATCH($C106&amp;"-"&amp;$E106,'Tire Weight'!$A:$A,0))</f>
        <v>3.8410000000000002</v>
      </c>
      <c r="J106" s="90">
        <f t="shared" si="1"/>
        <v>3.8410000000000002</v>
      </c>
      <c r="K106" s="91"/>
      <c r="L106" s="34">
        <f>ROUND(VLOOKUP($C106,STD!$C:$AA,L$14,0),2)</f>
        <v>14.95</v>
      </c>
      <c r="M106" s="34">
        <f>ROUND(VLOOKUP($C106,STD!$C:$AA,M$14,0),2)</f>
        <v>4.8099999999999996</v>
      </c>
      <c r="N106" s="34">
        <f>ROUND(VLOOKUP($C106,STD!$C:$AA,N$14,0),2)</f>
        <v>6.31</v>
      </c>
      <c r="O106" s="34">
        <f>ROUND(VLOOKUP($C106,STD!$C:$AA,O$14,0),2)-L106-M106-N106-P106</f>
        <v>5.59</v>
      </c>
      <c r="P106" s="34">
        <f>ROUND(VLOOKUP($C106,STD!$C:$AA,P$14,0),2)</f>
        <v>0.46</v>
      </c>
      <c r="Q106" s="92">
        <f t="shared" si="79"/>
        <v>32.119999999999997</v>
      </c>
      <c r="R106" s="93">
        <f>ROUND(VLOOKUP($C106,STD!$C:$AA,R$14,0),2)-Q106</f>
        <v>0</v>
      </c>
      <c r="S106" s="91"/>
      <c r="T106" s="94">
        <f t="shared" si="80"/>
        <v>13.81361578668551</v>
      </c>
      <c r="U106" s="94">
        <f t="shared" ca="1" si="81"/>
        <v>4.9534663577976152</v>
      </c>
      <c r="V106" s="94">
        <f t="shared" ca="1" si="82"/>
        <v>6.7436599520758156</v>
      </c>
      <c r="W106" s="94">
        <f t="shared" ca="1" si="83"/>
        <v>4.0720131400882522</v>
      </c>
      <c r="X106" s="94">
        <f t="shared" ca="1" si="84"/>
        <v>0.51608813120044972</v>
      </c>
      <c r="Y106" s="95">
        <f t="shared" ca="1" si="85"/>
        <v>30.098843367847646</v>
      </c>
      <c r="Z106" s="153"/>
      <c r="AA106" s="79">
        <f t="shared" si="86"/>
        <v>-1.1363842133144892</v>
      </c>
      <c r="AB106" s="79">
        <f t="shared" ca="1" si="87"/>
        <v>0.14346635779761563</v>
      </c>
      <c r="AC106" s="79">
        <f t="shared" ca="1" si="88"/>
        <v>0.43365995207581598</v>
      </c>
      <c r="AD106" s="79">
        <f t="shared" ca="1" si="89"/>
        <v>-1.5179868599117476</v>
      </c>
      <c r="AE106" s="79">
        <f t="shared" ca="1" si="90"/>
        <v>5.6088131200449698E-2</v>
      </c>
      <c r="AF106" s="79">
        <f t="shared" ca="1" si="91"/>
        <v>-2.0211566321523513</v>
      </c>
      <c r="AH106" s="97">
        <f t="shared" si="92"/>
        <v>14.95</v>
      </c>
      <c r="AI106" s="97">
        <f t="shared" si="93"/>
        <v>4.8099999999999996</v>
      </c>
      <c r="AJ106" s="97">
        <f t="shared" si="94"/>
        <v>6.31</v>
      </c>
      <c r="AK106" s="97">
        <f t="shared" si="95"/>
        <v>5.59</v>
      </c>
      <c r="AL106" s="97">
        <f t="shared" si="96"/>
        <v>0.46</v>
      </c>
      <c r="AM106" s="97">
        <f t="shared" si="97"/>
        <v>32.119999999999997</v>
      </c>
      <c r="AN106" s="91"/>
      <c r="AO106" s="75">
        <f>SUMIFS('DM-Sum'!$M$6:$M$117,'DM-Sum'!$B$6:$B$117,$C106,'DM-Sum'!$C$6:$C$117, $E106)</f>
        <v>13.81361578668551</v>
      </c>
      <c r="AP106" s="75">
        <f t="shared" ca="1" si="191"/>
        <v>4.9534663577976152</v>
      </c>
      <c r="AQ106" s="75">
        <f t="shared" ca="1" si="192"/>
        <v>6.7436599520758156</v>
      </c>
      <c r="AR106" s="75">
        <f t="shared" ca="1" si="193"/>
        <v>4.0720131400882522</v>
      </c>
      <c r="AS106" s="75">
        <f t="shared" ca="1" si="194"/>
        <v>0.51608813120044972</v>
      </c>
      <c r="AT106" s="75">
        <f t="shared" ca="1" si="195"/>
        <v>30.098843367847646</v>
      </c>
      <c r="AV106" s="98">
        <f t="shared" si="202"/>
        <v>-1.1363842133144892</v>
      </c>
      <c r="AW106" s="98">
        <f t="shared" ca="1" si="196"/>
        <v>0.14346635779761563</v>
      </c>
      <c r="AX106" s="98">
        <f t="shared" ca="1" si="197"/>
        <v>0.43365995207581598</v>
      </c>
      <c r="AY106" s="98">
        <f t="shared" ca="1" si="198"/>
        <v>-1.5179868599117476</v>
      </c>
      <c r="AZ106" s="98">
        <f t="shared" ca="1" si="199"/>
        <v>5.6088131200449698E-2</v>
      </c>
      <c r="BA106" s="98">
        <f t="shared" ca="1" si="200"/>
        <v>-2.0211566321523513</v>
      </c>
      <c r="BB106" s="99"/>
      <c r="BC106" s="100"/>
      <c r="BD106" s="267">
        <f t="shared" si="98"/>
        <v>0.92398767803916459</v>
      </c>
      <c r="BE106" s="268">
        <f t="shared" ca="1" si="99"/>
        <v>1.02982668561281</v>
      </c>
      <c r="BF106" s="268">
        <f t="shared" ca="1" si="100"/>
        <v>1.0687258244177205</v>
      </c>
      <c r="BG106" s="268">
        <f t="shared" ca="1" si="101"/>
        <v>0.72844600001578752</v>
      </c>
      <c r="BH106" s="268">
        <f t="shared" ca="1" si="102"/>
        <v>0.94369476062008872</v>
      </c>
      <c r="BI106" s="268">
        <f t="shared" ca="1" si="103"/>
        <v>0.93707482465279102</v>
      </c>
      <c r="BK106" s="266" t="str">
        <f t="shared" si="104"/>
        <v>14</v>
      </c>
      <c r="BM106" s="269" t="s">
        <v>1661</v>
      </c>
      <c r="BN106" s="270" t="str">
        <f t="shared" si="105"/>
        <v>BQTVA</v>
      </c>
      <c r="BO106" s="270" t="str">
        <f>VLOOKUP($C106,STD!$C:$D,BO$17,0)</f>
        <v xml:space="preserve"> 185/70R14 F7LAZ</v>
      </c>
      <c r="BP106" s="270" t="str">
        <f>VLOOKUP($C106,STD!$C:$L,BP$17,0)</f>
        <v>BQTVA</v>
      </c>
      <c r="BQ106" s="270" t="b">
        <f t="shared" si="106"/>
        <v>0</v>
      </c>
      <c r="BR106" s="270" t="b">
        <f t="shared" si="201"/>
        <v>1</v>
      </c>
    </row>
    <row r="107" spans="2:70" s="96" customFormat="1" ht="15" customHeight="1">
      <c r="B107" s="89"/>
      <c r="C107" s="478" t="s">
        <v>931</v>
      </c>
      <c r="D107" s="479" t="str">
        <f t="shared" si="40"/>
        <v>097W 245/40R18 FH50FZ</v>
      </c>
      <c r="E107" s="480" t="s">
        <v>933</v>
      </c>
      <c r="F107" s="481">
        <v>1</v>
      </c>
      <c r="G107" s="104">
        <f>INDEX('Tire Weight'!$D:$D,MATCH($C107&amp;"-"&amp;$E107,'Tire Weight'!$A:$A,0))</f>
        <v>11.946</v>
      </c>
      <c r="H107" s="90">
        <f t="shared" si="0"/>
        <v>11.946</v>
      </c>
      <c r="I107" s="104">
        <f>INDEX('Tire Weight'!$E:$E,MATCH($C107&amp;"-"&amp;$E107,'Tire Weight'!$A:$A,0))</f>
        <v>5.2560000000000002</v>
      </c>
      <c r="J107" s="90">
        <f t="shared" si="1"/>
        <v>5.2560000000000002</v>
      </c>
      <c r="K107" s="91"/>
      <c r="L107" s="34">
        <f>ROUND(VLOOKUP($C107,STD!$C:$AA,L$14,0),2)</f>
        <v>29.31</v>
      </c>
      <c r="M107" s="34">
        <f>ROUND(VLOOKUP($C107,STD!$C:$AA,M$14,0),2)</f>
        <v>5.34</v>
      </c>
      <c r="N107" s="34">
        <f>ROUND(VLOOKUP($C107,STD!$C:$AA,N$14,0),2)</f>
        <v>6.85</v>
      </c>
      <c r="O107" s="34">
        <f>ROUND(VLOOKUP($C107,STD!$C:$AA,O$14,0),2)-L107-M107-N107-P107</f>
        <v>6.1499999999999995</v>
      </c>
      <c r="P107" s="34">
        <f>ROUND(VLOOKUP($C107,STD!$C:$AA,P$14,0),2)</f>
        <v>0.86</v>
      </c>
      <c r="Q107" s="92">
        <f t="shared" si="79"/>
        <v>48.51</v>
      </c>
      <c r="R107" s="93">
        <f>ROUND(VLOOKUP($C107,STD!$C:$AA,R$14,0),2)-Q107</f>
        <v>0</v>
      </c>
      <c r="S107" s="91"/>
      <c r="T107" s="94">
        <f t="shared" si="80"/>
        <v>24.155521720379063</v>
      </c>
      <c r="U107" s="94">
        <f t="shared" ca="1" si="81"/>
        <v>5.4992745011724047</v>
      </c>
      <c r="V107" s="94">
        <f t="shared" ca="1" si="82"/>
        <v>7.320771897261384</v>
      </c>
      <c r="W107" s="94">
        <f t="shared" ca="1" si="83"/>
        <v>4.4799429000970932</v>
      </c>
      <c r="X107" s="94">
        <f t="shared" ca="1" si="84"/>
        <v>0.96486041920084065</v>
      </c>
      <c r="Y107" s="95">
        <f t="shared" ca="1" si="85"/>
        <v>42.420371438110784</v>
      </c>
      <c r="Z107" s="153"/>
      <c r="AA107" s="79">
        <f t="shared" si="86"/>
        <v>-5.1544782796209354</v>
      </c>
      <c r="AB107" s="79">
        <f t="shared" ca="1" si="87"/>
        <v>0.15927450117240483</v>
      </c>
      <c r="AC107" s="79">
        <f t="shared" ca="1" si="88"/>
        <v>0.47077189726138435</v>
      </c>
      <c r="AD107" s="79">
        <f t="shared" ca="1" si="89"/>
        <v>-1.6700570999029063</v>
      </c>
      <c r="AE107" s="79">
        <f t="shared" ca="1" si="90"/>
        <v>0.10486041920084066</v>
      </c>
      <c r="AF107" s="79">
        <f t="shared" ca="1" si="91"/>
        <v>-6.0896285618892136</v>
      </c>
      <c r="AH107" s="97">
        <f t="shared" si="92"/>
        <v>29.31</v>
      </c>
      <c r="AI107" s="97">
        <f t="shared" si="93"/>
        <v>5.34</v>
      </c>
      <c r="AJ107" s="97">
        <f t="shared" si="94"/>
        <v>6.85</v>
      </c>
      <c r="AK107" s="97">
        <f t="shared" si="95"/>
        <v>6.1499999999999995</v>
      </c>
      <c r="AL107" s="97">
        <f t="shared" si="96"/>
        <v>0.86</v>
      </c>
      <c r="AM107" s="97">
        <f t="shared" si="97"/>
        <v>48.51</v>
      </c>
      <c r="AN107" s="91"/>
      <c r="AO107" s="75">
        <f>SUMIFS('DM-Sum'!$M$6:$M$117,'DM-Sum'!$B$6:$B$117,$C107,'DM-Sum'!$C$6:$C$117, $E107)</f>
        <v>24.155521720379063</v>
      </c>
      <c r="AP107" s="75">
        <f t="shared" ca="1" si="191"/>
        <v>5.4992745011724047</v>
      </c>
      <c r="AQ107" s="75">
        <f t="shared" ca="1" si="192"/>
        <v>7.320771897261384</v>
      </c>
      <c r="AR107" s="75">
        <f t="shared" ca="1" si="193"/>
        <v>4.4799429000970932</v>
      </c>
      <c r="AS107" s="75">
        <f t="shared" ca="1" si="194"/>
        <v>0.96486041920084065</v>
      </c>
      <c r="AT107" s="75">
        <f t="shared" ca="1" si="195"/>
        <v>42.420371438110784</v>
      </c>
      <c r="AV107" s="98">
        <f t="shared" si="202"/>
        <v>-5.1544782796209354</v>
      </c>
      <c r="AW107" s="98">
        <f t="shared" ca="1" si="196"/>
        <v>0.15927450117240483</v>
      </c>
      <c r="AX107" s="98">
        <f t="shared" ca="1" si="197"/>
        <v>0.47077189726138435</v>
      </c>
      <c r="AY107" s="98">
        <f t="shared" ca="1" si="198"/>
        <v>-1.6700570999029063</v>
      </c>
      <c r="AZ107" s="98">
        <f t="shared" ca="1" si="199"/>
        <v>0.10486041920084066</v>
      </c>
      <c r="BA107" s="98">
        <f t="shared" ca="1" si="200"/>
        <v>-6.0896285618892136</v>
      </c>
      <c r="BB107" s="99"/>
      <c r="BC107" s="100"/>
      <c r="BD107" s="267">
        <f t="shared" si="98"/>
        <v>0.8241392603336426</v>
      </c>
      <c r="BE107" s="268">
        <f t="shared" ca="1" si="99"/>
        <v>1.02982668561281</v>
      </c>
      <c r="BF107" s="268">
        <f t="shared" ca="1" si="100"/>
        <v>1.0687258244177202</v>
      </c>
      <c r="BG107" s="268">
        <f t="shared" ca="1" si="101"/>
        <v>0.72844600001578752</v>
      </c>
      <c r="BH107" s="268">
        <f t="shared" ca="1" si="102"/>
        <v>0.94329276436918663</v>
      </c>
      <c r="BI107" s="268">
        <f t="shared" ca="1" si="103"/>
        <v>0.87446653139787234</v>
      </c>
      <c r="BK107" s="266" t="str">
        <f t="shared" si="104"/>
        <v>18</v>
      </c>
      <c r="BM107" s="269" t="s">
        <v>932</v>
      </c>
      <c r="BN107" s="270" t="str">
        <f t="shared" si="105"/>
        <v>3YTZA</v>
      </c>
      <c r="BO107" s="270" t="str">
        <f>VLOOKUP($C107,STD!$C:$D,BO$17,0)</f>
        <v>097W 245/40R18 FH50FZ</v>
      </c>
      <c r="BP107" s="270" t="str">
        <f>VLOOKUP($C107,STD!$C:$L,BP$17,0)</f>
        <v>3YTZA</v>
      </c>
      <c r="BQ107" s="270" t="b">
        <f t="shared" si="106"/>
        <v>1</v>
      </c>
      <c r="BR107" s="270" t="b">
        <f t="shared" si="201"/>
        <v>1</v>
      </c>
    </row>
    <row r="108" spans="2:70" s="96" customFormat="1" ht="15" customHeight="1">
      <c r="B108" s="89"/>
      <c r="C108" s="478" t="s">
        <v>400</v>
      </c>
      <c r="D108" s="479" t="str">
        <f t="shared" si="40"/>
        <v>100W 245/45R18 EA04FZ</v>
      </c>
      <c r="E108" s="480" t="s">
        <v>401</v>
      </c>
      <c r="F108" s="481">
        <v>1</v>
      </c>
      <c r="G108" s="104">
        <f>INDEX('Tire Weight'!$D:$D,MATCH($C108&amp;"-"&amp;$E108,'Tire Weight'!$A:$A,0))</f>
        <v>11.805999999999999</v>
      </c>
      <c r="H108" s="90">
        <f t="shared" si="0"/>
        <v>11.805999999999999</v>
      </c>
      <c r="I108" s="104">
        <f>INDEX('Tire Weight'!$E:$E,MATCH($C108&amp;"-"&amp;$E108,'Tire Weight'!$A:$A,0))</f>
        <v>5.2590000000000003</v>
      </c>
      <c r="J108" s="90">
        <f t="shared" si="1"/>
        <v>5.2590000000000003</v>
      </c>
      <c r="K108" s="91"/>
      <c r="L108" s="34">
        <f>ROUND(VLOOKUP($C108,STD!$C:$AA,L$14,0),2)</f>
        <v>26.07</v>
      </c>
      <c r="M108" s="34">
        <f>ROUND(VLOOKUP($C108,STD!$C:$AA,M$14,0),2)</f>
        <v>6.51</v>
      </c>
      <c r="N108" s="34">
        <f>ROUND(VLOOKUP($C108,STD!$C:$AA,N$14,0),2)</f>
        <v>8.74</v>
      </c>
      <c r="O108" s="34">
        <f>ROUND(VLOOKUP($C108,STD!$C:$AA,O$14,0),2)-L108-M108-N108-P108</f>
        <v>8.07</v>
      </c>
      <c r="P108" s="34">
        <f>ROUND(VLOOKUP($C108,STD!$C:$AA,P$14,0),2)</f>
        <v>0.72</v>
      </c>
      <c r="Q108" s="92">
        <f t="shared" si="79"/>
        <v>50.11</v>
      </c>
      <c r="R108" s="93">
        <f>ROUND(VLOOKUP($C108,STD!$C:$AA,R$14,0),2)-Q108</f>
        <v>0</v>
      </c>
      <c r="S108" s="91"/>
      <c r="T108" s="94">
        <f t="shared" si="80"/>
        <v>24.533133327645</v>
      </c>
      <c r="U108" s="94">
        <f t="shared" ca="1" si="81"/>
        <v>6.7041717233393925</v>
      </c>
      <c r="V108" s="94">
        <f t="shared" ca="1" si="82"/>
        <v>9.3406637054108757</v>
      </c>
      <c r="W108" s="94">
        <f t="shared" ca="1" si="83"/>
        <v>5.8785592201274062</v>
      </c>
      <c r="X108" s="94">
        <f t="shared" ca="1" si="84"/>
        <v>0.8077901184007038</v>
      </c>
      <c r="Y108" s="95">
        <f t="shared" ca="1" si="85"/>
        <v>47.264318094923375</v>
      </c>
      <c r="Z108" s="153"/>
      <c r="AA108" s="79">
        <f t="shared" si="86"/>
        <v>-1.536866672355</v>
      </c>
      <c r="AB108" s="79">
        <f t="shared" ca="1" si="87"/>
        <v>0.1941717233393927</v>
      </c>
      <c r="AC108" s="79">
        <f t="shared" ca="1" si="88"/>
        <v>0.60066370541087544</v>
      </c>
      <c r="AD108" s="79">
        <f t="shared" ca="1" si="89"/>
        <v>-2.1914407798725941</v>
      </c>
      <c r="AE108" s="79">
        <f t="shared" ca="1" si="90"/>
        <v>8.7790118400703832E-2</v>
      </c>
      <c r="AF108" s="79">
        <f t="shared" ca="1" si="91"/>
        <v>-2.8456819050766242</v>
      </c>
      <c r="AH108" s="97">
        <f t="shared" si="92"/>
        <v>26.07</v>
      </c>
      <c r="AI108" s="97">
        <f t="shared" si="93"/>
        <v>6.51</v>
      </c>
      <c r="AJ108" s="97">
        <f t="shared" si="94"/>
        <v>8.74</v>
      </c>
      <c r="AK108" s="97">
        <f t="shared" si="95"/>
        <v>8.07</v>
      </c>
      <c r="AL108" s="97">
        <f t="shared" si="96"/>
        <v>0.72</v>
      </c>
      <c r="AM108" s="97">
        <f t="shared" si="97"/>
        <v>50.11</v>
      </c>
      <c r="AN108" s="91"/>
      <c r="AO108" s="75">
        <f>SUMIFS('DM-Sum'!$M$6:$M$117,'DM-Sum'!$B$6:$B$117,$C108,'DM-Sum'!$C$6:$C$117, $E108)</f>
        <v>24.533133327645</v>
      </c>
      <c r="AP108" s="75">
        <f t="shared" ca="1" si="191"/>
        <v>6.7041717233393925</v>
      </c>
      <c r="AQ108" s="75">
        <f t="shared" ca="1" si="192"/>
        <v>9.3406637054108757</v>
      </c>
      <c r="AR108" s="75">
        <f t="shared" ca="1" si="193"/>
        <v>5.8785592201274062</v>
      </c>
      <c r="AS108" s="75">
        <f t="shared" ca="1" si="194"/>
        <v>0.8077901184007038</v>
      </c>
      <c r="AT108" s="75">
        <f t="shared" ca="1" si="195"/>
        <v>47.264318094923375</v>
      </c>
      <c r="AV108" s="98">
        <f t="shared" si="202"/>
        <v>-1.536866672355</v>
      </c>
      <c r="AW108" s="98">
        <f t="shared" ca="1" si="196"/>
        <v>0.1941717233393927</v>
      </c>
      <c r="AX108" s="98">
        <f t="shared" ca="1" si="197"/>
        <v>0.60066370541087544</v>
      </c>
      <c r="AY108" s="98">
        <f t="shared" ca="1" si="198"/>
        <v>-2.1914407798725941</v>
      </c>
      <c r="AZ108" s="98">
        <f t="shared" ca="1" si="199"/>
        <v>8.7790118400703832E-2</v>
      </c>
      <c r="BA108" s="98">
        <f t="shared" ca="1" si="200"/>
        <v>-2.8456819050766242</v>
      </c>
      <c r="BB108" s="99"/>
      <c r="BC108" s="100"/>
      <c r="BD108" s="267">
        <f t="shared" si="98"/>
        <v>0.94104845905811274</v>
      </c>
      <c r="BE108" s="268">
        <f t="shared" ca="1" si="99"/>
        <v>1.02982668561281</v>
      </c>
      <c r="BF108" s="268">
        <f t="shared" ca="1" si="100"/>
        <v>1.0687258244177202</v>
      </c>
      <c r="BG108" s="268">
        <f t="shared" ca="1" si="101"/>
        <v>0.72844600001578763</v>
      </c>
      <c r="BH108" s="268">
        <f t="shared" ca="1" si="102"/>
        <v>0.94011126281636681</v>
      </c>
      <c r="BI108" s="268">
        <f t="shared" ca="1" si="103"/>
        <v>0.94321129704496853</v>
      </c>
      <c r="BK108" s="266" t="str">
        <f t="shared" si="104"/>
        <v>18</v>
      </c>
      <c r="BM108" s="269" t="s">
        <v>1034</v>
      </c>
      <c r="BN108" s="270" t="str">
        <f t="shared" si="105"/>
        <v>JCGZA</v>
      </c>
      <c r="BO108" s="270" t="str">
        <f>VLOOKUP($C108,STD!$C:$D,BO$17,0)</f>
        <v>100W 245/45R18 EA04FZ</v>
      </c>
      <c r="BP108" s="270" t="str">
        <f>VLOOKUP($C108,STD!$C:$L,BP$17,0)</f>
        <v>JCGZA</v>
      </c>
      <c r="BQ108" s="270" t="b">
        <f t="shared" si="106"/>
        <v>1</v>
      </c>
      <c r="BR108" s="270" t="b">
        <f t="shared" si="201"/>
        <v>1</v>
      </c>
    </row>
    <row r="109" spans="2:70" s="96" customFormat="1" ht="15" customHeight="1">
      <c r="B109" s="89"/>
      <c r="C109" s="478" t="s">
        <v>943</v>
      </c>
      <c r="D109" s="479" t="str">
        <f t="shared" si="40"/>
        <v>092W 225/40R18 FH50FZ</v>
      </c>
      <c r="E109" s="480" t="s">
        <v>968</v>
      </c>
      <c r="F109" s="481">
        <v>17</v>
      </c>
      <c r="G109" s="104">
        <f>INDEX('Tire Weight'!$D:$D,MATCH($C109&amp;"-"&amp;$E109,'Tire Weight'!$A:$A,0))</f>
        <v>10.481</v>
      </c>
      <c r="H109" s="90">
        <f t="shared" si="0"/>
        <v>178.17699999999999</v>
      </c>
      <c r="I109" s="104">
        <f>INDEX('Tire Weight'!$E:$E,MATCH($C109&amp;"-"&amp;$E109,'Tire Weight'!$A:$A,0))</f>
        <v>4.5819999999999999</v>
      </c>
      <c r="J109" s="90">
        <f t="shared" si="1"/>
        <v>77.893999999999991</v>
      </c>
      <c r="K109" s="91"/>
      <c r="L109" s="34">
        <f>ROUND(VLOOKUP($C109,STD!$C:$AA,L$14,0),2)</f>
        <v>25.95</v>
      </c>
      <c r="M109" s="34">
        <f>ROUND(VLOOKUP($C109,STD!$C:$AA,M$14,0),2)</f>
        <v>5.0199999999999996</v>
      </c>
      <c r="N109" s="34">
        <f>ROUND(VLOOKUP($C109,STD!$C:$AA,N$14,0),2)</f>
        <v>6.45</v>
      </c>
      <c r="O109" s="34">
        <f>ROUND(VLOOKUP($C109,STD!$C:$AA,O$14,0),2)-L109-M109-N109-P109</f>
        <v>5.7299999999999995</v>
      </c>
      <c r="P109" s="34">
        <f>ROUND(VLOOKUP($C109,STD!$C:$AA,P$14,0),2)</f>
        <v>0.75</v>
      </c>
      <c r="Q109" s="92">
        <f t="shared" si="79"/>
        <v>43.9</v>
      </c>
      <c r="R109" s="93">
        <f>ROUND(VLOOKUP($C109,STD!$C:$AA,R$14,0),2)-Q109</f>
        <v>0</v>
      </c>
      <c r="S109" s="91"/>
      <c r="T109" s="94">
        <f t="shared" si="80"/>
        <v>21.433669446209684</v>
      </c>
      <c r="U109" s="94">
        <f t="shared" ca="1" si="81"/>
        <v>5.1697299617763051</v>
      </c>
      <c r="V109" s="94">
        <f t="shared" ca="1" si="82"/>
        <v>6.8932815674942969</v>
      </c>
      <c r="W109" s="94">
        <f t="shared" ca="1" si="83"/>
        <v>4.1739955800904633</v>
      </c>
      <c r="X109" s="94">
        <f t="shared" ca="1" si="84"/>
        <v>0.84144804000073326</v>
      </c>
      <c r="Y109" s="95">
        <f t="shared" ca="1" si="85"/>
        <v>38.512124595571485</v>
      </c>
      <c r="Z109" s="153"/>
      <c r="AA109" s="79">
        <f t="shared" si="86"/>
        <v>-4.5163305537903149</v>
      </c>
      <c r="AB109" s="79">
        <f t="shared" ca="1" si="87"/>
        <v>0.14972996177630549</v>
      </c>
      <c r="AC109" s="79">
        <f t="shared" ca="1" si="88"/>
        <v>0.4432815674942967</v>
      </c>
      <c r="AD109" s="79">
        <f t="shared" ca="1" si="89"/>
        <v>-1.5560044199095362</v>
      </c>
      <c r="AE109" s="79">
        <f t="shared" ca="1" si="90"/>
        <v>9.1448040000733255E-2</v>
      </c>
      <c r="AF109" s="79">
        <f t="shared" ca="1" si="91"/>
        <v>-5.3878754044285131</v>
      </c>
      <c r="AH109" s="97">
        <f t="shared" si="92"/>
        <v>441.15</v>
      </c>
      <c r="AI109" s="97">
        <f t="shared" si="93"/>
        <v>85.339999999999989</v>
      </c>
      <c r="AJ109" s="97">
        <f t="shared" si="94"/>
        <v>109.65</v>
      </c>
      <c r="AK109" s="97">
        <f t="shared" si="95"/>
        <v>97.41</v>
      </c>
      <c r="AL109" s="97">
        <f t="shared" si="96"/>
        <v>12.75</v>
      </c>
      <c r="AM109" s="97">
        <f t="shared" si="97"/>
        <v>746.3</v>
      </c>
      <c r="AN109" s="91"/>
      <c r="AO109" s="75">
        <f>SUMIFS('DM-Sum'!$M$6:$M$117,'DM-Sum'!$B$6:$B$117,$C109,'DM-Sum'!$C$6:$C$117, $E109)</f>
        <v>364.37238058556466</v>
      </c>
      <c r="AP109" s="75">
        <f t="shared" ca="1" si="191"/>
        <v>87.885409350197179</v>
      </c>
      <c r="AQ109" s="75">
        <f t="shared" ca="1" si="192"/>
        <v>117.18578664740305</v>
      </c>
      <c r="AR109" s="75">
        <f t="shared" ca="1" si="193"/>
        <v>70.957924861537876</v>
      </c>
      <c r="AS109" s="75">
        <f t="shared" ca="1" si="194"/>
        <v>14.304616680012465</v>
      </c>
      <c r="AT109" s="75">
        <f t="shared" ca="1" si="195"/>
        <v>654.7061181247152</v>
      </c>
      <c r="AV109" s="98">
        <f t="shared" si="202"/>
        <v>-76.777619414435321</v>
      </c>
      <c r="AW109" s="98">
        <f t="shared" ca="1" si="196"/>
        <v>2.5454093501971897</v>
      </c>
      <c r="AX109" s="98">
        <f t="shared" ca="1" si="197"/>
        <v>7.535786647403043</v>
      </c>
      <c r="AY109" s="98">
        <f t="shared" ca="1" si="198"/>
        <v>-26.452075138462121</v>
      </c>
      <c r="AZ109" s="98">
        <f t="shared" ca="1" si="199"/>
        <v>1.5546166800124652</v>
      </c>
      <c r="BA109" s="98">
        <f t="shared" ca="1" si="200"/>
        <v>-91.593881875284751</v>
      </c>
      <c r="BB109" s="99"/>
      <c r="BC109" s="100"/>
      <c r="BD109" s="267">
        <f t="shared" si="98"/>
        <v>0.82596028694449652</v>
      </c>
      <c r="BE109" s="268">
        <f t="shared" ca="1" si="99"/>
        <v>1.0298266856128098</v>
      </c>
      <c r="BF109" s="268">
        <f t="shared" ca="1" si="100"/>
        <v>1.0687258244177205</v>
      </c>
      <c r="BG109" s="268">
        <f t="shared" ca="1" si="101"/>
        <v>0.72844600001578774</v>
      </c>
      <c r="BH109" s="268">
        <f t="shared" ca="1" si="102"/>
        <v>0.94401204124192251</v>
      </c>
      <c r="BI109" s="268">
        <f t="shared" ca="1" si="103"/>
        <v>0.87726935297429354</v>
      </c>
      <c r="BK109" s="266" t="str">
        <f t="shared" si="104"/>
        <v>18</v>
      </c>
      <c r="BM109" s="269" t="s">
        <v>1662</v>
      </c>
      <c r="BN109" s="270" t="str">
        <f t="shared" si="105"/>
        <v>P6CZA</v>
      </c>
      <c r="BO109" s="270" t="str">
        <f>VLOOKUP($C109,STD!$C:$D,BO$17,0)</f>
        <v>092W 225/40R18 FH50FZ</v>
      </c>
      <c r="BP109" s="270" t="str">
        <f>VLOOKUP($C109,STD!$C:$L,BP$17,0)</f>
        <v>PMCZA</v>
      </c>
      <c r="BQ109" s="270" t="b">
        <f t="shared" si="106"/>
        <v>1</v>
      </c>
      <c r="BR109" s="270" t="b">
        <f t="shared" si="201"/>
        <v>0</v>
      </c>
    </row>
    <row r="110" spans="2:70" s="96" customFormat="1" ht="15" customHeight="1">
      <c r="B110" s="89"/>
      <c r="C110" s="478" t="s">
        <v>942</v>
      </c>
      <c r="D110" s="479" t="str">
        <f t="shared" si="40"/>
        <v>095W 235/40R18 FH50FZ</v>
      </c>
      <c r="E110" s="480" t="s">
        <v>966</v>
      </c>
      <c r="F110" s="481">
        <v>9</v>
      </c>
      <c r="G110" s="104">
        <f>INDEX('Tire Weight'!$D:$D,MATCH($C110&amp;"-"&amp;$E110,'Tire Weight'!$A:$A,0))</f>
        <v>10.907999999999999</v>
      </c>
      <c r="H110" s="90">
        <f t="shared" si="0"/>
        <v>98.171999999999997</v>
      </c>
      <c r="I110" s="104">
        <f>INDEX('Tire Weight'!$E:$E,MATCH($C110&amp;"-"&amp;$E110,'Tire Weight'!$A:$A,0))</f>
        <v>4.7350000000000003</v>
      </c>
      <c r="J110" s="90">
        <f t="shared" si="1"/>
        <v>42.615000000000002</v>
      </c>
      <c r="K110" s="91"/>
      <c r="L110" s="34">
        <f>ROUND(VLOOKUP($C110,STD!$C:$AA,L$14,0),2)</f>
        <v>24.2</v>
      </c>
      <c r="M110" s="34">
        <f>ROUND(VLOOKUP($C110,STD!$C:$AA,M$14,0),2)</f>
        <v>6.43</v>
      </c>
      <c r="N110" s="34">
        <f>ROUND(VLOOKUP($C110,STD!$C:$AA,N$14,0),2)</f>
        <v>8.89</v>
      </c>
      <c r="O110" s="34">
        <f>ROUND(VLOOKUP($C110,STD!$C:$AA,O$14,0),2)-L110-M110-N110-P110</f>
        <v>7.9599999999999991</v>
      </c>
      <c r="P110" s="34">
        <f>ROUND(VLOOKUP($C110,STD!$C:$AA,P$14,0),2)</f>
        <v>0.67</v>
      </c>
      <c r="Q110" s="92">
        <f t="shared" si="79"/>
        <v>48.15</v>
      </c>
      <c r="R110" s="93">
        <f>ROUND(VLOOKUP($C110,STD!$C:$AA,R$14,0),2)-Q110</f>
        <v>0</v>
      </c>
      <c r="S110" s="91"/>
      <c r="T110" s="94">
        <f t="shared" si="80"/>
        <v>22.231662544477206</v>
      </c>
      <c r="U110" s="94">
        <f t="shared" ca="1" si="81"/>
        <v>6.6217855884903667</v>
      </c>
      <c r="V110" s="94">
        <f t="shared" ca="1" si="82"/>
        <v>9.5009725790735349</v>
      </c>
      <c r="W110" s="94">
        <f t="shared" ca="1" si="83"/>
        <v>5.798430160125668</v>
      </c>
      <c r="X110" s="94">
        <f t="shared" ca="1" si="84"/>
        <v>0.75169358240065498</v>
      </c>
      <c r="Y110" s="95">
        <f t="shared" ca="1" si="85"/>
        <v>44.904544454567429</v>
      </c>
      <c r="Z110" s="153"/>
      <c r="AA110" s="79">
        <f t="shared" si="86"/>
        <v>-1.9683374555227928</v>
      </c>
      <c r="AB110" s="79">
        <f t="shared" ca="1" si="87"/>
        <v>0.19178558849036698</v>
      </c>
      <c r="AC110" s="79">
        <f t="shared" ca="1" si="88"/>
        <v>0.61097257907353431</v>
      </c>
      <c r="AD110" s="79">
        <f t="shared" ca="1" si="89"/>
        <v>-2.161569839874331</v>
      </c>
      <c r="AE110" s="79">
        <f t="shared" ca="1" si="90"/>
        <v>8.169358240065494E-2</v>
      </c>
      <c r="AF110" s="79">
        <f t="shared" ca="1" si="91"/>
        <v>-3.24545554543257</v>
      </c>
      <c r="AH110" s="97">
        <f t="shared" si="92"/>
        <v>217.79999999999998</v>
      </c>
      <c r="AI110" s="97">
        <f t="shared" si="93"/>
        <v>57.87</v>
      </c>
      <c r="AJ110" s="97">
        <f t="shared" si="94"/>
        <v>80.010000000000005</v>
      </c>
      <c r="AK110" s="97">
        <f t="shared" si="95"/>
        <v>71.639999999999986</v>
      </c>
      <c r="AL110" s="97">
        <f t="shared" si="96"/>
        <v>6.03</v>
      </c>
      <c r="AM110" s="97">
        <f t="shared" si="97"/>
        <v>433.34999999999991</v>
      </c>
      <c r="AN110" s="91"/>
      <c r="AO110" s="75">
        <f>SUMIFS('DM-Sum'!$M$6:$M$117,'DM-Sum'!$B$6:$B$117,$C110,'DM-Sum'!$C$6:$C$117, $E110)</f>
        <v>200.08496290029487</v>
      </c>
      <c r="AP110" s="75">
        <f t="shared" ca="1" si="191"/>
        <v>59.596070296413302</v>
      </c>
      <c r="AQ110" s="75">
        <f t="shared" ca="1" si="192"/>
        <v>85.508753211661812</v>
      </c>
      <c r="AR110" s="75">
        <f t="shared" ca="1" si="193"/>
        <v>52.185871441131013</v>
      </c>
      <c r="AS110" s="75">
        <f t="shared" ca="1" si="194"/>
        <v>6.765242241605895</v>
      </c>
      <c r="AT110" s="75">
        <f t="shared" ca="1" si="195"/>
        <v>404.14090009110697</v>
      </c>
      <c r="AV110" s="98">
        <f t="shared" si="202"/>
        <v>-17.715037099705114</v>
      </c>
      <c r="AW110" s="98">
        <f t="shared" ca="1" si="196"/>
        <v>1.7260702964133046</v>
      </c>
      <c r="AX110" s="98">
        <f t="shared" ca="1" si="197"/>
        <v>5.498753211661807</v>
      </c>
      <c r="AY110" s="98">
        <f t="shared" ca="1" si="198"/>
        <v>-19.454128558868973</v>
      </c>
      <c r="AZ110" s="98">
        <f t="shared" ca="1" si="199"/>
        <v>0.7352422416058948</v>
      </c>
      <c r="BA110" s="98">
        <f t="shared" ca="1" si="200"/>
        <v>-29.209099908892938</v>
      </c>
      <c r="BB110" s="99"/>
      <c r="BC110" s="100"/>
      <c r="BD110" s="267">
        <f t="shared" si="98"/>
        <v>0.91866374150732266</v>
      </c>
      <c r="BE110" s="268">
        <f t="shared" ca="1" si="99"/>
        <v>1.0298266856128098</v>
      </c>
      <c r="BF110" s="268">
        <f t="shared" ca="1" si="100"/>
        <v>1.0687258244177205</v>
      </c>
      <c r="BG110" s="268">
        <f t="shared" ca="1" si="101"/>
        <v>0.72844600001578752</v>
      </c>
      <c r="BH110" s="268">
        <f t="shared" ca="1" si="102"/>
        <v>0.94163180101759314</v>
      </c>
      <c r="BI110" s="268">
        <f t="shared" ca="1" si="103"/>
        <v>0.93259697724958313</v>
      </c>
      <c r="BK110" s="266" t="str">
        <f t="shared" si="104"/>
        <v>18</v>
      </c>
      <c r="BM110" s="269" t="s">
        <v>983</v>
      </c>
      <c r="BN110" s="270" t="str">
        <f t="shared" si="105"/>
        <v>3DKZA</v>
      </c>
      <c r="BO110" s="270" t="str">
        <f>VLOOKUP($C110,STD!$C:$D,BO$17,0)</f>
        <v>095W 225/40R18 FH50FZ</v>
      </c>
      <c r="BP110" s="270" t="str">
        <f>VLOOKUP($C110,STD!$C:$L,BP$17,0)</f>
        <v>DKHZA</v>
      </c>
      <c r="BQ110" s="270" t="b">
        <f t="shared" si="106"/>
        <v>0</v>
      </c>
      <c r="BR110" s="270" t="b">
        <f t="shared" si="201"/>
        <v>0</v>
      </c>
    </row>
    <row r="111" spans="2:70" s="96" customFormat="1" ht="15" customHeight="1">
      <c r="B111" s="89"/>
      <c r="C111" s="478" t="s">
        <v>936</v>
      </c>
      <c r="D111" s="479" t="str">
        <f t="shared" si="40"/>
        <v>100W 245/45R18 FH50FZ</v>
      </c>
      <c r="E111" s="480" t="s">
        <v>958</v>
      </c>
      <c r="F111" s="481">
        <v>285</v>
      </c>
      <c r="G111" s="104">
        <f>INDEX('Tire Weight'!$D:$D,MATCH($C111&amp;"-"&amp;$E111,'Tire Weight'!$A:$A,0))</f>
        <v>12.435</v>
      </c>
      <c r="H111" s="90">
        <f t="shared" si="0"/>
        <v>3543.9750000000004</v>
      </c>
      <c r="I111" s="104">
        <f>INDEX('Tire Weight'!$E:$E,MATCH($C111&amp;"-"&amp;$E111,'Tire Weight'!$A:$A,0))</f>
        <v>5.5389999999999997</v>
      </c>
      <c r="J111" s="90">
        <f t="shared" si="1"/>
        <v>1578.615</v>
      </c>
      <c r="K111" s="91"/>
      <c r="L111" s="34">
        <f>ROUND(VLOOKUP($C111,STD!$C:$AA,L$14,0),2)</f>
        <v>27.33</v>
      </c>
      <c r="M111" s="34">
        <f>ROUND(VLOOKUP($C111,STD!$C:$AA,M$14,0),2)</f>
        <v>6.7</v>
      </c>
      <c r="N111" s="34">
        <f>ROUND(VLOOKUP($C111,STD!$C:$AA,N$14,0),2)</f>
        <v>9.0399999999999991</v>
      </c>
      <c r="O111" s="34">
        <f>ROUND(VLOOKUP($C111,STD!$C:$AA,O$14,0),2)-L111-M111-N111-P111</f>
        <v>8.4</v>
      </c>
      <c r="P111" s="34">
        <f>ROUND(VLOOKUP($C111,STD!$C:$AA,P$14,0),2)</f>
        <v>0.76</v>
      </c>
      <c r="Q111" s="92">
        <f t="shared" si="79"/>
        <v>52.23</v>
      </c>
      <c r="R111" s="93">
        <f>ROUND(VLOOKUP($C111,STD!$C:$AA,R$14,0),2)-Q111</f>
        <v>0</v>
      </c>
      <c r="S111" s="91"/>
      <c r="T111" s="94">
        <f t="shared" si="80"/>
        <v>24.894135215537986</v>
      </c>
      <c r="U111" s="94">
        <f t="shared" ca="1" si="81"/>
        <v>6.8998387936058263</v>
      </c>
      <c r="V111" s="94">
        <f t="shared" ca="1" si="82"/>
        <v>9.6612814527361888</v>
      </c>
      <c r="W111" s="94">
        <f t="shared" ca="1" si="83"/>
        <v>6.1189464001326161</v>
      </c>
      <c r="X111" s="94">
        <f t="shared" ca="1" si="84"/>
        <v>0.85266734720074289</v>
      </c>
      <c r="Y111" s="95">
        <f t="shared" ca="1" si="85"/>
        <v>48.426869209213358</v>
      </c>
      <c r="Z111" s="153"/>
      <c r="AA111" s="79">
        <f t="shared" si="86"/>
        <v>-2.4358647844620123</v>
      </c>
      <c r="AB111" s="79">
        <f t="shared" ca="1" si="87"/>
        <v>0.19983879360582613</v>
      </c>
      <c r="AC111" s="79">
        <f t="shared" ca="1" si="88"/>
        <v>0.62128145273618962</v>
      </c>
      <c r="AD111" s="79">
        <f t="shared" ca="1" si="89"/>
        <v>-2.2810535998673842</v>
      </c>
      <c r="AE111" s="79">
        <f t="shared" ca="1" si="90"/>
        <v>9.2667347200742878E-2</v>
      </c>
      <c r="AF111" s="79">
        <f t="shared" ca="1" si="91"/>
        <v>-3.8031307907866392</v>
      </c>
      <c r="AH111" s="97">
        <f t="shared" si="92"/>
        <v>7789.0499999999993</v>
      </c>
      <c r="AI111" s="97">
        <f t="shared" si="93"/>
        <v>1909.5</v>
      </c>
      <c r="AJ111" s="97">
        <f t="shared" si="94"/>
        <v>2576.3999999999996</v>
      </c>
      <c r="AK111" s="97">
        <f t="shared" si="95"/>
        <v>2394</v>
      </c>
      <c r="AL111" s="97">
        <f t="shared" si="96"/>
        <v>216.6</v>
      </c>
      <c r="AM111" s="97">
        <f t="shared" si="97"/>
        <v>14885.55</v>
      </c>
      <c r="AN111" s="91"/>
      <c r="AO111" s="75">
        <f>SUMIFS('DM-Sum'!$M$6:$M$117,'DM-Sum'!$B$6:$B$117,$C111,'DM-Sum'!$C$6:$C$117, $E111)</f>
        <v>7094.8285364283265</v>
      </c>
      <c r="AP111" s="75">
        <f t="shared" ca="1" si="191"/>
        <v>1966.4540561776605</v>
      </c>
      <c r="AQ111" s="75">
        <f t="shared" ca="1" si="192"/>
        <v>2753.465214029814</v>
      </c>
      <c r="AR111" s="75">
        <f t="shared" ca="1" si="193"/>
        <v>1743.8997240377955</v>
      </c>
      <c r="AS111" s="75">
        <f t="shared" ca="1" si="194"/>
        <v>243.01019395221172</v>
      </c>
      <c r="AT111" s="75">
        <f t="shared" ca="1" si="195"/>
        <v>13801.657724625809</v>
      </c>
      <c r="AV111" s="98">
        <f t="shared" si="202"/>
        <v>-694.22146357167276</v>
      </c>
      <c r="AW111" s="98">
        <f t="shared" ca="1" si="196"/>
        <v>56.954056177660505</v>
      </c>
      <c r="AX111" s="98">
        <f t="shared" ca="1" si="197"/>
        <v>177.06521402981434</v>
      </c>
      <c r="AY111" s="98">
        <f t="shared" ca="1" si="198"/>
        <v>-650.10027596220448</v>
      </c>
      <c r="AZ111" s="98">
        <f t="shared" ca="1" si="199"/>
        <v>26.410193952211728</v>
      </c>
      <c r="BA111" s="98">
        <f t="shared" ca="1" si="200"/>
        <v>-1083.8922753741899</v>
      </c>
      <c r="BB111" s="99"/>
      <c r="BC111" s="100"/>
      <c r="BD111" s="267">
        <f t="shared" si="98"/>
        <v>0.91087212643754067</v>
      </c>
      <c r="BE111" s="268">
        <f t="shared" ca="1" si="99"/>
        <v>1.0298266856128098</v>
      </c>
      <c r="BF111" s="268">
        <f t="shared" ca="1" si="100"/>
        <v>1.06872582441772</v>
      </c>
      <c r="BG111" s="268">
        <f t="shared" ca="1" si="101"/>
        <v>0.72844600001578763</v>
      </c>
      <c r="BH111" s="268">
        <f t="shared" ca="1" si="102"/>
        <v>0.93952223059132678</v>
      </c>
      <c r="BI111" s="268">
        <f t="shared" ca="1" si="103"/>
        <v>0.92718493603701624</v>
      </c>
      <c r="BK111" s="266" t="str">
        <f t="shared" si="104"/>
        <v>18</v>
      </c>
      <c r="BM111" s="269" t="s">
        <v>982</v>
      </c>
      <c r="BN111" s="270" t="str">
        <f t="shared" si="105"/>
        <v>3PTZA</v>
      </c>
      <c r="BO111" s="270" t="str">
        <f>VLOOKUP($C111,STD!$C:$D,BO$17,0)</f>
        <v>100W 245/45R18 FH50FZ</v>
      </c>
      <c r="BP111" s="270" t="str">
        <f>VLOOKUP($C111,STD!$C:$L,BP$17,0)</f>
        <v>PTDZA</v>
      </c>
      <c r="BQ111" s="270" t="b">
        <f t="shared" si="106"/>
        <v>1</v>
      </c>
      <c r="BR111" s="270" t="b">
        <f t="shared" si="201"/>
        <v>0</v>
      </c>
    </row>
    <row r="112" spans="2:70" s="96" customFormat="1" ht="15" customHeight="1">
      <c r="B112" s="89"/>
      <c r="C112" s="478" t="s">
        <v>416</v>
      </c>
      <c r="D112" s="479" t="str">
        <f t="shared" si="40"/>
        <v>106H 235/65R18 DTH1AZ</v>
      </c>
      <c r="E112" s="480" t="s">
        <v>417</v>
      </c>
      <c r="F112" s="481">
        <v>10</v>
      </c>
      <c r="G112" s="104">
        <f>INDEX('Tire Weight'!$D:$D,MATCH($C112&amp;"-"&amp;$E112,'Tire Weight'!$A:$A,0))</f>
        <v>13.510999999999999</v>
      </c>
      <c r="H112" s="90">
        <f t="shared" si="0"/>
        <v>135.10999999999999</v>
      </c>
      <c r="I112" s="104">
        <f>INDEX('Tire Weight'!$E:$E,MATCH($C112&amp;"-"&amp;$E112,'Tire Weight'!$A:$A,0))</f>
        <v>6.2969999999999997</v>
      </c>
      <c r="J112" s="90">
        <f t="shared" si="1"/>
        <v>62.97</v>
      </c>
      <c r="K112" s="91"/>
      <c r="L112" s="34">
        <f>ROUND(VLOOKUP($C112,STD!$C:$AA,L$14,0),2)</f>
        <v>27.17</v>
      </c>
      <c r="M112" s="34">
        <f>ROUND(VLOOKUP($C112,STD!$C:$AA,M$14,0),2)</f>
        <v>7.19</v>
      </c>
      <c r="N112" s="34">
        <f>ROUND(VLOOKUP($C112,STD!$C:$AA,N$14,0),2)</f>
        <v>9.67</v>
      </c>
      <c r="O112" s="34">
        <f>ROUND(VLOOKUP($C112,STD!$C:$AA,O$14,0),2)-L112-M112-N112-P112</f>
        <v>9.0499999999999936</v>
      </c>
      <c r="P112" s="34">
        <f>ROUND(VLOOKUP($C112,STD!$C:$AA,P$14,0),2)</f>
        <v>0.83</v>
      </c>
      <c r="Q112" s="92">
        <f t="shared" si="79"/>
        <v>53.91</v>
      </c>
      <c r="R112" s="93">
        <f>ROUND(VLOOKUP($C112,STD!$C:$AA,R$14,0),2)-Q112</f>
        <v>0</v>
      </c>
      <c r="S112" s="91"/>
      <c r="T112" s="94">
        <f t="shared" si="80"/>
        <v>25.483692761842356</v>
      </c>
      <c r="U112" s="94">
        <f t="shared" ca="1" si="81"/>
        <v>7.4044538695561046</v>
      </c>
      <c r="V112" s="94">
        <f t="shared" ca="1" si="82"/>
        <v>10.334578722119357</v>
      </c>
      <c r="W112" s="94">
        <f t="shared" ca="1" si="83"/>
        <v>6.5924363001428734</v>
      </c>
      <c r="X112" s="94">
        <f t="shared" ca="1" si="84"/>
        <v>0.93120249760081131</v>
      </c>
      <c r="Y112" s="95">
        <f t="shared" ca="1" si="85"/>
        <v>50.746364151261503</v>
      </c>
      <c r="Z112" s="153"/>
      <c r="AA112" s="79">
        <f t="shared" si="86"/>
        <v>-1.6863072381576458</v>
      </c>
      <c r="AB112" s="79">
        <f t="shared" ca="1" si="87"/>
        <v>0.21445386955610424</v>
      </c>
      <c r="AC112" s="79">
        <f t="shared" ca="1" si="88"/>
        <v>0.66457872211935687</v>
      </c>
      <c r="AD112" s="79">
        <f t="shared" ca="1" si="89"/>
        <v>-2.4575636998571202</v>
      </c>
      <c r="AE112" s="79">
        <f t="shared" ca="1" si="90"/>
        <v>0.10120249760081135</v>
      </c>
      <c r="AF112" s="79">
        <f t="shared" ca="1" si="91"/>
        <v>-3.1636358487384939</v>
      </c>
      <c r="AH112" s="97">
        <f t="shared" si="92"/>
        <v>271.70000000000005</v>
      </c>
      <c r="AI112" s="97">
        <f t="shared" si="93"/>
        <v>71.900000000000006</v>
      </c>
      <c r="AJ112" s="97">
        <f t="shared" si="94"/>
        <v>96.7</v>
      </c>
      <c r="AK112" s="97">
        <f t="shared" si="95"/>
        <v>90.499999999999943</v>
      </c>
      <c r="AL112" s="97">
        <f t="shared" si="96"/>
        <v>8.2999999999999989</v>
      </c>
      <c r="AM112" s="97">
        <f t="shared" si="97"/>
        <v>539.09999999999991</v>
      </c>
      <c r="AN112" s="91"/>
      <c r="AO112" s="75">
        <f>SUMIFS('DM-Sum'!$M$6:$M$117,'DM-Sum'!$B$6:$B$117,$C112,'DM-Sum'!$C$6:$C$117, $E112)</f>
        <v>254.83692761842357</v>
      </c>
      <c r="AP112" s="75">
        <f t="shared" ca="1" si="191"/>
        <v>74.044538695561045</v>
      </c>
      <c r="AQ112" s="75">
        <f t="shared" ca="1" si="192"/>
        <v>103.34578722119356</v>
      </c>
      <c r="AR112" s="75">
        <f t="shared" ca="1" si="193"/>
        <v>65.924363001428731</v>
      </c>
      <c r="AS112" s="75">
        <f t="shared" ca="1" si="194"/>
        <v>9.3120249760081126</v>
      </c>
      <c r="AT112" s="75">
        <f t="shared" ca="1" si="195"/>
        <v>507.46364151261503</v>
      </c>
      <c r="AV112" s="98">
        <f t="shared" si="202"/>
        <v>-16.863072381576472</v>
      </c>
      <c r="AW112" s="98">
        <f t="shared" ca="1" si="196"/>
        <v>2.1445386955610388</v>
      </c>
      <c r="AX112" s="98">
        <f t="shared" ca="1" si="197"/>
        <v>6.645787221193558</v>
      </c>
      <c r="AY112" s="98">
        <f t="shared" ca="1" si="198"/>
        <v>-24.575636998571213</v>
      </c>
      <c r="AZ112" s="98">
        <f t="shared" ca="1" si="199"/>
        <v>1.0120249760081137</v>
      </c>
      <c r="BA112" s="98">
        <f t="shared" ca="1" si="200"/>
        <v>-31.636358487384882</v>
      </c>
      <c r="BB112" s="99"/>
      <c r="BC112" s="100"/>
      <c r="BD112" s="267">
        <f t="shared" si="98"/>
        <v>0.93793495626950141</v>
      </c>
      <c r="BE112" s="268">
        <f t="shared" ca="1" si="99"/>
        <v>1.02982668561281</v>
      </c>
      <c r="BF112" s="268">
        <f t="shared" ca="1" si="100"/>
        <v>1.0687258244177205</v>
      </c>
      <c r="BG112" s="268">
        <f t="shared" ca="1" si="101"/>
        <v>0.72844600001578763</v>
      </c>
      <c r="BH112" s="268">
        <f t="shared" ca="1" si="102"/>
        <v>0.93907637560086221</v>
      </c>
      <c r="BI112" s="268">
        <f t="shared" ca="1" si="103"/>
        <v>0.9413163448573828</v>
      </c>
      <c r="BK112" s="266" t="str">
        <f t="shared" si="104"/>
        <v>18</v>
      </c>
      <c r="BM112" s="269" t="s">
        <v>1054</v>
      </c>
      <c r="BN112" s="270" t="str">
        <f t="shared" si="105"/>
        <v>VYFZA</v>
      </c>
      <c r="BO112" s="270" t="str">
        <f>VLOOKUP($C112,STD!$C:$D,BO$17,0)</f>
        <v>106H 235/65R18 DTH1AZ</v>
      </c>
      <c r="BP112" s="270" t="str">
        <f>VLOOKUP($C112,STD!$C:$L,BP$17,0)</f>
        <v>VYFZA</v>
      </c>
      <c r="BQ112" s="270" t="b">
        <f t="shared" si="106"/>
        <v>1</v>
      </c>
      <c r="BR112" s="270" t="b">
        <f t="shared" si="201"/>
        <v>1</v>
      </c>
    </row>
    <row r="113" spans="2:70" s="96" customFormat="1" ht="15" customHeight="1">
      <c r="B113" s="89"/>
      <c r="C113" s="478" t="s">
        <v>927</v>
      </c>
      <c r="D113" s="479" t="str">
        <f t="shared" si="40"/>
        <v>091T 195/65R15 FSASZ</v>
      </c>
      <c r="E113" s="480" t="s">
        <v>967</v>
      </c>
      <c r="F113" s="481">
        <v>25</v>
      </c>
      <c r="G113" s="104">
        <f>INDEX('Tire Weight'!$D:$D,MATCH($C113&amp;"-"&amp;$E113,'Tire Weight'!$A:$A,0))</f>
        <v>8.2420000000000009</v>
      </c>
      <c r="H113" s="90">
        <f t="shared" si="0"/>
        <v>206.05</v>
      </c>
      <c r="I113" s="104">
        <f>INDEX('Tire Weight'!$E:$E,MATCH($C113&amp;"-"&amp;$E113,'Tire Weight'!$A:$A,0))</f>
        <v>3.9980000000000002</v>
      </c>
      <c r="J113" s="90">
        <f t="shared" si="1"/>
        <v>99.95</v>
      </c>
      <c r="K113" s="91"/>
      <c r="L113" s="34">
        <f>ROUND(VLOOKUP($C113,STD!$C:$AA,L$14,0),2)</f>
        <v>18.39</v>
      </c>
      <c r="M113" s="34">
        <f>ROUND(VLOOKUP($C113,STD!$C:$AA,M$14,0),2)</f>
        <v>4.2699999999999996</v>
      </c>
      <c r="N113" s="34">
        <f>ROUND(VLOOKUP($C113,STD!$C:$AA,N$14,0),2)</f>
        <v>5.22</v>
      </c>
      <c r="O113" s="34">
        <f>ROUND(VLOOKUP($C113,STD!$C:$AA,O$14,0),2)-L113-M113-N113-P113</f>
        <v>4.5400000000000036</v>
      </c>
      <c r="P113" s="34">
        <f>ROUND(VLOOKUP($C113,STD!$C:$AA,P$14,0),2)</f>
        <v>0.6</v>
      </c>
      <c r="Q113" s="92">
        <f t="shared" si="79"/>
        <v>33.020000000000003</v>
      </c>
      <c r="R113" s="93">
        <f>ROUND(VLOOKUP($C113,STD!$C:$AA,R$14,0),2)-Q113</f>
        <v>0</v>
      </c>
      <c r="S113" s="91"/>
      <c r="T113" s="94">
        <f t="shared" si="80"/>
        <v>14.684229973798193</v>
      </c>
      <c r="U113" s="94">
        <f t="shared" ca="1" si="81"/>
        <v>4.3973599475666978</v>
      </c>
      <c r="V113" s="94">
        <f t="shared" ca="1" si="82"/>
        <v>5.5787488034604999</v>
      </c>
      <c r="W113" s="94">
        <f t="shared" ca="1" si="83"/>
        <v>3.3071448400716781</v>
      </c>
      <c r="X113" s="94">
        <f t="shared" ca="1" si="84"/>
        <v>0.67315843200058656</v>
      </c>
      <c r="Y113" s="95">
        <f t="shared" ca="1" si="85"/>
        <v>28.640641996897656</v>
      </c>
      <c r="Z113" s="153"/>
      <c r="AA113" s="79">
        <f t="shared" si="86"/>
        <v>-3.7057700262018081</v>
      </c>
      <c r="AB113" s="79">
        <f t="shared" ca="1" si="87"/>
        <v>0.12735994756669822</v>
      </c>
      <c r="AC113" s="79">
        <f t="shared" ca="1" si="88"/>
        <v>0.3587488034605002</v>
      </c>
      <c r="AD113" s="79">
        <f t="shared" ca="1" si="89"/>
        <v>-1.2328551599283255</v>
      </c>
      <c r="AE113" s="79">
        <f t="shared" ca="1" si="90"/>
        <v>7.3158432000586582E-2</v>
      </c>
      <c r="AF113" s="79">
        <f t="shared" ca="1" si="91"/>
        <v>-4.3793580031023467</v>
      </c>
      <c r="AH113" s="97">
        <f t="shared" si="92"/>
        <v>459.75</v>
      </c>
      <c r="AI113" s="97">
        <f t="shared" si="93"/>
        <v>106.74999999999999</v>
      </c>
      <c r="AJ113" s="97">
        <f t="shared" si="94"/>
        <v>130.5</v>
      </c>
      <c r="AK113" s="97">
        <f t="shared" si="95"/>
        <v>113.50000000000009</v>
      </c>
      <c r="AL113" s="97">
        <f t="shared" si="96"/>
        <v>15</v>
      </c>
      <c r="AM113" s="97">
        <f t="shared" si="97"/>
        <v>825.50000000000011</v>
      </c>
      <c r="AN113" s="91"/>
      <c r="AO113" s="75">
        <f>SUMIFS('DM-Sum'!$M$6:$M$117,'DM-Sum'!$B$6:$B$117,$C113,'DM-Sum'!$C$6:$C$117, $E113)</f>
        <v>367.1057493449548</v>
      </c>
      <c r="AP113" s="75">
        <f t="shared" ca="1" si="191"/>
        <v>109.93399868916744</v>
      </c>
      <c r="AQ113" s="75">
        <f t="shared" ca="1" si="192"/>
        <v>139.46872008651249</v>
      </c>
      <c r="AR113" s="75">
        <f t="shared" ca="1" si="193"/>
        <v>82.678621001791953</v>
      </c>
      <c r="AS113" s="75">
        <f t="shared" ca="1" si="194"/>
        <v>16.828960800014663</v>
      </c>
      <c r="AT113" s="75">
        <f t="shared" ca="1" si="195"/>
        <v>716.01604992244131</v>
      </c>
      <c r="AV113" s="98">
        <f t="shared" si="202"/>
        <v>-92.644250655045198</v>
      </c>
      <c r="AW113" s="98">
        <f t="shared" ca="1" si="196"/>
        <v>3.1839986891674528</v>
      </c>
      <c r="AX113" s="98">
        <f t="shared" ca="1" si="197"/>
        <v>8.9687200865124908</v>
      </c>
      <c r="AY113" s="98">
        <f t="shared" ca="1" si="198"/>
        <v>-30.821378998208132</v>
      </c>
      <c r="AZ113" s="98">
        <f t="shared" ca="1" si="199"/>
        <v>1.8289608000146629</v>
      </c>
      <c r="BA113" s="98">
        <f t="shared" ca="1" si="200"/>
        <v>-109.4839500775588</v>
      </c>
      <c r="BB113" s="99"/>
      <c r="BC113" s="100"/>
      <c r="BD113" s="267">
        <f t="shared" si="98"/>
        <v>0.79848993876009744</v>
      </c>
      <c r="BE113" s="268">
        <f t="shared" ca="1" si="99"/>
        <v>1.02982668561281</v>
      </c>
      <c r="BF113" s="268">
        <f t="shared" ca="1" si="100"/>
        <v>1.0687258244177202</v>
      </c>
      <c r="BG113" s="268">
        <f t="shared" ca="1" si="101"/>
        <v>0.72844600001578752</v>
      </c>
      <c r="BH113" s="268">
        <f t="shared" ca="1" si="102"/>
        <v>0.94677502431210803</v>
      </c>
      <c r="BI113" s="268">
        <f t="shared" ca="1" si="103"/>
        <v>0.8673725619896322</v>
      </c>
      <c r="BK113" s="266" t="str">
        <f t="shared" si="104"/>
        <v>15</v>
      </c>
      <c r="BM113" s="269" t="s">
        <v>1663</v>
      </c>
      <c r="BN113" s="270" t="str">
        <f t="shared" si="105"/>
        <v>3KQVA</v>
      </c>
      <c r="BO113" s="270" t="str">
        <f>VLOOKUP($C113,STD!$C:$D,BO$17,0)</f>
        <v>091T 195/65R15 FSASZ</v>
      </c>
      <c r="BP113" s="270" t="str">
        <f>VLOOKUP($C113,STD!$C:$L,BP$17,0)</f>
        <v>ZKQVA</v>
      </c>
      <c r="BQ113" s="270" t="b">
        <f t="shared" si="106"/>
        <v>1</v>
      </c>
      <c r="BR113" s="270" t="b">
        <f t="shared" si="201"/>
        <v>0</v>
      </c>
    </row>
    <row r="114" spans="2:70" s="96" customFormat="1" ht="15" customHeight="1">
      <c r="B114" s="89"/>
      <c r="C114" s="478" t="s">
        <v>938</v>
      </c>
      <c r="D114" s="479" t="str">
        <f t="shared" si="40"/>
        <v>095W 225/45R18 FH50FZ</v>
      </c>
      <c r="E114" s="480" t="s">
        <v>960</v>
      </c>
      <c r="F114" s="481">
        <v>11</v>
      </c>
      <c r="G114" s="104">
        <f>INDEX('Tire Weight'!$D:$D,MATCH($C114&amp;"-"&amp;$E114,'Tire Weight'!$A:$A,0))</f>
        <v>11.009</v>
      </c>
      <c r="H114" s="90">
        <f t="shared" si="0"/>
        <v>121.099</v>
      </c>
      <c r="I114" s="104">
        <f>INDEX('Tire Weight'!$E:$E,MATCH($C114&amp;"-"&amp;$E114,'Tire Weight'!$A:$A,0))</f>
        <v>4.8090000000000002</v>
      </c>
      <c r="J114" s="90">
        <f t="shared" si="1"/>
        <v>52.899000000000001</v>
      </c>
      <c r="K114" s="91"/>
      <c r="L114" s="34">
        <f>ROUND(VLOOKUP($C114,STD!$C:$AA,L$14,0),2)</f>
        <v>24.35</v>
      </c>
      <c r="M114" s="34">
        <f>ROUND(VLOOKUP($C114,STD!$C:$AA,M$14,0),2)</f>
        <v>6.47</v>
      </c>
      <c r="N114" s="34">
        <f>ROUND(VLOOKUP($C114,STD!$C:$AA,N$14,0),2)</f>
        <v>9.19</v>
      </c>
      <c r="O114" s="34">
        <f>ROUND(VLOOKUP($C114,STD!$C:$AA,O$14,0),2)-L114-M114-N114-P114</f>
        <v>8.2199999999999989</v>
      </c>
      <c r="P114" s="34">
        <f>ROUND(VLOOKUP($C114,STD!$C:$AA,P$14,0),2)</f>
        <v>0.67</v>
      </c>
      <c r="Q114" s="92">
        <f t="shared" si="79"/>
        <v>48.9</v>
      </c>
      <c r="R114" s="93">
        <f>ROUND(VLOOKUP($C114,STD!$C:$AA,R$14,0),2)-Q114</f>
        <v>0</v>
      </c>
      <c r="S114" s="91"/>
      <c r="T114" s="94">
        <f t="shared" si="80"/>
        <v>22.236883661056236</v>
      </c>
      <c r="U114" s="94">
        <f t="shared" ca="1" si="81"/>
        <v>6.6629786559148805</v>
      </c>
      <c r="V114" s="94">
        <f t="shared" ca="1" si="82"/>
        <v>9.821590326398848</v>
      </c>
      <c r="W114" s="94">
        <f t="shared" ca="1" si="83"/>
        <v>5.9878261201297729</v>
      </c>
      <c r="X114" s="94">
        <f t="shared" ca="1" si="84"/>
        <v>0.75169358240065509</v>
      </c>
      <c r="Y114" s="95">
        <f t="shared" ca="1" si="85"/>
        <v>45.460972345900394</v>
      </c>
      <c r="Z114" s="153"/>
      <c r="AA114" s="79">
        <f t="shared" si="86"/>
        <v>-2.1131163389437653</v>
      </c>
      <c r="AB114" s="79">
        <f t="shared" ca="1" si="87"/>
        <v>0.19297865591488073</v>
      </c>
      <c r="AC114" s="79">
        <f t="shared" ca="1" si="88"/>
        <v>0.63159032639884849</v>
      </c>
      <c r="AD114" s="79">
        <f t="shared" ca="1" si="89"/>
        <v>-2.232173879870226</v>
      </c>
      <c r="AE114" s="79">
        <f t="shared" ca="1" si="90"/>
        <v>8.1693582400655052E-2</v>
      </c>
      <c r="AF114" s="79">
        <f t="shared" ca="1" si="91"/>
        <v>-3.4390276540996041</v>
      </c>
      <c r="AH114" s="97">
        <f t="shared" si="92"/>
        <v>267.85000000000002</v>
      </c>
      <c r="AI114" s="97">
        <f t="shared" si="93"/>
        <v>71.17</v>
      </c>
      <c r="AJ114" s="97">
        <f t="shared" si="94"/>
        <v>101.08999999999999</v>
      </c>
      <c r="AK114" s="97">
        <f t="shared" si="95"/>
        <v>90.419999999999987</v>
      </c>
      <c r="AL114" s="97">
        <f t="shared" si="96"/>
        <v>7.37</v>
      </c>
      <c r="AM114" s="97">
        <f t="shared" si="97"/>
        <v>537.9</v>
      </c>
      <c r="AN114" s="91"/>
      <c r="AO114" s="75">
        <f>SUMIFS('DM-Sum'!$M$6:$M$117,'DM-Sum'!$B$6:$B$117,$C114,'DM-Sum'!$C$6:$C$117, $E114)</f>
        <v>244.60572027161859</v>
      </c>
      <c r="AP114" s="75">
        <f t="shared" ca="1" si="191"/>
        <v>73.292765215063682</v>
      </c>
      <c r="AQ114" s="75">
        <f t="shared" ca="1" si="192"/>
        <v>108.03749359038733</v>
      </c>
      <c r="AR114" s="75">
        <f t="shared" ca="1" si="193"/>
        <v>65.8660873214275</v>
      </c>
      <c r="AS114" s="75">
        <f t="shared" ca="1" si="194"/>
        <v>8.2686294064072055</v>
      </c>
      <c r="AT114" s="75">
        <f t="shared" ca="1" si="195"/>
        <v>500.07069580490435</v>
      </c>
      <c r="AV114" s="98">
        <f t="shared" si="202"/>
        <v>-23.244279728381429</v>
      </c>
      <c r="AW114" s="98">
        <f t="shared" ca="1" si="196"/>
        <v>2.12276521506368</v>
      </c>
      <c r="AX114" s="98">
        <f t="shared" ca="1" si="197"/>
        <v>6.9474935903873387</v>
      </c>
      <c r="AY114" s="98">
        <f t="shared" ca="1" si="198"/>
        <v>-24.553912678572487</v>
      </c>
      <c r="AZ114" s="98">
        <f t="shared" ca="1" si="199"/>
        <v>0.89862940640720534</v>
      </c>
      <c r="BA114" s="98">
        <f t="shared" ca="1" si="200"/>
        <v>-37.829304195095631</v>
      </c>
      <c r="BB114" s="99"/>
      <c r="BC114" s="100"/>
      <c r="BD114" s="267">
        <f t="shared" si="98"/>
        <v>0.91321904152181665</v>
      </c>
      <c r="BE114" s="268">
        <f t="shared" ca="1" si="99"/>
        <v>1.02982668561281</v>
      </c>
      <c r="BF114" s="268">
        <f t="shared" ca="1" si="100"/>
        <v>1.0687258244177202</v>
      </c>
      <c r="BG114" s="268">
        <f t="shared" ca="1" si="101"/>
        <v>0.72844600001578752</v>
      </c>
      <c r="BH114" s="268">
        <f t="shared" ca="1" si="102"/>
        <v>0.94105507129160393</v>
      </c>
      <c r="BI114" s="268">
        <f t="shared" ca="1" si="103"/>
        <v>0.92967223611248251</v>
      </c>
      <c r="BK114" s="266" t="str">
        <f t="shared" si="104"/>
        <v>18</v>
      </c>
      <c r="BM114" s="269" t="s">
        <v>1055</v>
      </c>
      <c r="BN114" s="270" t="str">
        <f t="shared" si="105"/>
        <v>3APZA</v>
      </c>
      <c r="BO114" s="270" t="str">
        <f>VLOOKUP($C114,STD!$C:$D,BO$17,0)</f>
        <v>095W 225/45R18 FH50FZ</v>
      </c>
      <c r="BP114" s="270" t="str">
        <f>VLOOKUP($C114,STD!$C:$L,BP$17,0)</f>
        <v>APEZA</v>
      </c>
      <c r="BQ114" s="270" t="b">
        <f t="shared" si="106"/>
        <v>1</v>
      </c>
      <c r="BR114" s="270" t="b">
        <f t="shared" si="201"/>
        <v>0</v>
      </c>
    </row>
    <row r="115" spans="2:70" s="96" customFormat="1" ht="15" customHeight="1">
      <c r="B115" s="89"/>
      <c r="C115" s="478" t="s">
        <v>1007</v>
      </c>
      <c r="D115" s="479" t="str">
        <f t="shared" si="40"/>
        <v>100T 235/60R16 FSASZ</v>
      </c>
      <c r="E115" s="480" t="s">
        <v>1023</v>
      </c>
      <c r="F115" s="481">
        <v>11</v>
      </c>
      <c r="G115" s="104">
        <f>INDEX('Tire Weight'!$D:$D,MATCH($C115&amp;"-"&amp;$E115,'Tire Weight'!$A:$A,0))</f>
        <v>11.135999999999999</v>
      </c>
      <c r="H115" s="90">
        <f t="shared" si="0"/>
        <v>122.496</v>
      </c>
      <c r="I115" s="104">
        <f>INDEX('Tire Weight'!$E:$E,MATCH($C115&amp;"-"&amp;$E115,'Tire Weight'!$A:$A,0))</f>
        <v>5.2839999999999998</v>
      </c>
      <c r="J115" s="90">
        <f t="shared" si="1"/>
        <v>58.123999999999995</v>
      </c>
      <c r="K115" s="91"/>
      <c r="L115" s="34">
        <f>ROUND(VLOOKUP($C115,STD!$C:$AA,L$14,0),2)</f>
        <v>25.68</v>
      </c>
      <c r="M115" s="34">
        <f>ROUND(VLOOKUP($C115,STD!$C:$AA,M$14,0),2)</f>
        <v>5.15</v>
      </c>
      <c r="N115" s="34">
        <f>ROUND(VLOOKUP($C115,STD!$C:$AA,N$14,0),2)</f>
        <v>6.27</v>
      </c>
      <c r="O115" s="34">
        <f>ROUND(VLOOKUP($C115,STD!$C:$AA,O$14,0),2)-L115-M115-N115-P115</f>
        <v>5.6200000000000037</v>
      </c>
      <c r="P115" s="34">
        <f>ROUND(VLOOKUP($C115,STD!$C:$AA,P$14,0),2)</f>
        <v>0.8</v>
      </c>
      <c r="Q115" s="92">
        <f t="shared" si="79"/>
        <v>43.519999999999996</v>
      </c>
      <c r="R115" s="93">
        <f>ROUND(VLOOKUP($C115,STD!$C:$AA,R$14,0),2)-Q115</f>
        <v>0</v>
      </c>
      <c r="S115" s="91"/>
      <c r="T115" s="94">
        <f t="shared" si="80"/>
        <v>20.484399133735607</v>
      </c>
      <c r="U115" s="94">
        <f t="shared" ca="1" si="81"/>
        <v>5.3036074309059709</v>
      </c>
      <c r="V115" s="94">
        <f t="shared" ca="1" si="82"/>
        <v>6.7009109190991065</v>
      </c>
      <c r="W115" s="94">
        <f t="shared" ca="1" si="83"/>
        <v>4.0938665200887288</v>
      </c>
      <c r="X115" s="94">
        <f t="shared" ca="1" si="84"/>
        <v>0.89754457600078219</v>
      </c>
      <c r="Y115" s="95">
        <f t="shared" ca="1" si="85"/>
        <v>37.4803285798302</v>
      </c>
      <c r="Z115" s="153"/>
      <c r="AA115" s="79">
        <f t="shared" si="86"/>
        <v>-5.1956008662643924</v>
      </c>
      <c r="AB115" s="79">
        <f t="shared" ca="1" si="87"/>
        <v>0.15360743090597051</v>
      </c>
      <c r="AC115" s="79">
        <f t="shared" ca="1" si="88"/>
        <v>0.43091091909910695</v>
      </c>
      <c r="AD115" s="79">
        <f t="shared" ca="1" si="89"/>
        <v>-1.5261334799112749</v>
      </c>
      <c r="AE115" s="79">
        <f t="shared" ca="1" si="90"/>
        <v>9.7544576000782146E-2</v>
      </c>
      <c r="AF115" s="79">
        <f t="shared" ca="1" si="91"/>
        <v>-6.0396714201697961</v>
      </c>
      <c r="AH115" s="97">
        <f t="shared" si="92"/>
        <v>282.48</v>
      </c>
      <c r="AI115" s="97">
        <f t="shared" si="93"/>
        <v>56.650000000000006</v>
      </c>
      <c r="AJ115" s="97">
        <f t="shared" si="94"/>
        <v>68.97</v>
      </c>
      <c r="AK115" s="97">
        <f t="shared" si="95"/>
        <v>61.820000000000043</v>
      </c>
      <c r="AL115" s="97">
        <f t="shared" si="96"/>
        <v>8.8000000000000007</v>
      </c>
      <c r="AM115" s="97">
        <f t="shared" si="97"/>
        <v>478.72000000000008</v>
      </c>
      <c r="AN115" s="91"/>
      <c r="AO115" s="75">
        <f>SUMIFS('DM-Sum'!$M$6:$M$117,'DM-Sum'!$B$6:$B$117,$C115,'DM-Sum'!$C$6:$C$117, $E115)</f>
        <v>225.32839047109167</v>
      </c>
      <c r="AP115" s="75">
        <f t="shared" ref="AP115:AP129" ca="1" si="203">$AI115/$AI$130*$AP$15</f>
        <v>58.339681739965684</v>
      </c>
      <c r="AQ115" s="75">
        <f t="shared" ref="AQ115:AQ129" ca="1" si="204">$AJ115/$AJ$130*$AQ$15</f>
        <v>73.71002011009017</v>
      </c>
      <c r="AR115" s="75">
        <f t="shared" ref="AR115:AR129" ca="1" si="205">$AK115/$AK$130*$AR$15</f>
        <v>45.032531720976017</v>
      </c>
      <c r="AS115" s="75">
        <f t="shared" ref="AS115:AS129" ca="1" si="206">$AL115/$AL$130*$AS$15</f>
        <v>9.8729903360086038</v>
      </c>
      <c r="AT115" s="75">
        <f t="shared" ca="1" si="195"/>
        <v>412.28361437813214</v>
      </c>
      <c r="AV115" s="98">
        <f t="shared" si="202"/>
        <v>-57.151609528908352</v>
      </c>
      <c r="AW115" s="98">
        <f t="shared" ca="1" si="196"/>
        <v>1.6896817399656783</v>
      </c>
      <c r="AX115" s="98">
        <f t="shared" ca="1" si="197"/>
        <v>4.7400201100901711</v>
      </c>
      <c r="AY115" s="98">
        <f t="shared" ca="1" si="198"/>
        <v>-16.787468279024026</v>
      </c>
      <c r="AZ115" s="98">
        <f t="shared" ca="1" si="199"/>
        <v>1.0729903360086031</v>
      </c>
      <c r="BA115" s="98">
        <f t="shared" ca="1" si="200"/>
        <v>-66.436385621867942</v>
      </c>
      <c r="BB115" s="99"/>
      <c r="BC115" s="100"/>
      <c r="BD115" s="267">
        <f t="shared" si="98"/>
        <v>0.79767909399281955</v>
      </c>
      <c r="BE115" s="268">
        <f t="shared" ca="1" si="99"/>
        <v>1.0298266856128098</v>
      </c>
      <c r="BF115" s="268">
        <f t="shared" ca="1" si="100"/>
        <v>1.0687258244177205</v>
      </c>
      <c r="BG115" s="268">
        <f t="shared" ca="1" si="101"/>
        <v>0.72844600001578752</v>
      </c>
      <c r="BH115" s="268">
        <f t="shared" ca="1" si="102"/>
        <v>0.94474089613226542</v>
      </c>
      <c r="BI115" s="268">
        <f t="shared" ca="1" si="103"/>
        <v>0.86122078538212787</v>
      </c>
      <c r="BK115" s="266" t="str">
        <f t="shared" si="104"/>
        <v>16</v>
      </c>
      <c r="BM115" s="269" t="s">
        <v>1056</v>
      </c>
      <c r="BN115" s="270" t="str">
        <f t="shared" si="105"/>
        <v>4VCVA</v>
      </c>
      <c r="BO115" s="270" t="str">
        <f>VLOOKUP($C115,STD!$C:$D,BO$17,0)</f>
        <v>100T 235/60R16 FSASZ</v>
      </c>
      <c r="BP115" s="270" t="str">
        <f>VLOOKUP($C115,STD!$C:$L,BP$17,0)</f>
        <v>VCDVA</v>
      </c>
      <c r="BQ115" s="270" t="b">
        <f t="shared" si="106"/>
        <v>1</v>
      </c>
      <c r="BR115" s="270" t="b">
        <f t="shared" si="201"/>
        <v>0</v>
      </c>
    </row>
    <row r="116" spans="2:70" s="96" customFormat="1" ht="15" customHeight="1">
      <c r="B116" s="89"/>
      <c r="C116" s="478" t="s">
        <v>935</v>
      </c>
      <c r="D116" s="479" t="str">
        <f t="shared" si="40"/>
        <v>098V 215/55R17 EL64Z</v>
      </c>
      <c r="E116" s="480" t="s">
        <v>957</v>
      </c>
      <c r="F116" s="481">
        <v>1008</v>
      </c>
      <c r="G116" s="104">
        <f>INDEX('Tire Weight'!$D:$D,MATCH($C116&amp;"-"&amp;$E116,'Tire Weight'!$A:$A,0))</f>
        <v>12.198</v>
      </c>
      <c r="H116" s="90">
        <f t="shared" si="0"/>
        <v>12295.584000000001</v>
      </c>
      <c r="I116" s="104">
        <f>INDEX('Tire Weight'!$E:$E,MATCH($C116&amp;"-"&amp;$E116,'Tire Weight'!$A:$A,0))</f>
        <v>5.5209999999999999</v>
      </c>
      <c r="J116" s="90">
        <f t="shared" si="1"/>
        <v>5565.1679999999997</v>
      </c>
      <c r="K116" s="91"/>
      <c r="L116" s="34">
        <f>ROUND(VLOOKUP($C116,STD!$C:$AA,L$14,0),2)</f>
        <v>26.91</v>
      </c>
      <c r="M116" s="34">
        <f>ROUND(VLOOKUP($C116,STD!$C:$AA,M$14,0),2)</f>
        <v>6.82</v>
      </c>
      <c r="N116" s="34">
        <f>ROUND(VLOOKUP($C116,STD!$C:$AA,N$14,0),2)</f>
        <v>9.41</v>
      </c>
      <c r="O116" s="34">
        <f>ROUND(VLOOKUP($C116,STD!$C:$AA,O$14,0),2)-L116-M116-N116-P116</f>
        <v>8.5499999999999972</v>
      </c>
      <c r="P116" s="34">
        <f>ROUND(VLOOKUP($C116,STD!$C:$AA,P$14,0),2)</f>
        <v>0.75</v>
      </c>
      <c r="Q116" s="92">
        <f t="shared" si="79"/>
        <v>52.44</v>
      </c>
      <c r="R116" s="93">
        <f>ROUND(VLOOKUP($C116,STD!$C:$AA,R$14,0),2)-Q116</f>
        <v>0</v>
      </c>
      <c r="S116" s="91"/>
      <c r="T116" s="94">
        <f t="shared" si="80"/>
        <v>24.269496098017523</v>
      </c>
      <c r="U116" s="94">
        <f t="shared" ca="1" si="81"/>
        <v>7.0234179958793641</v>
      </c>
      <c r="V116" s="94">
        <f t="shared" ca="1" si="82"/>
        <v>10.05671000777075</v>
      </c>
      <c r="W116" s="94">
        <f t="shared" ca="1" si="83"/>
        <v>6.2282133001349829</v>
      </c>
      <c r="X116" s="94">
        <f t="shared" ca="1" si="84"/>
        <v>0.84144804000073326</v>
      </c>
      <c r="Y116" s="95">
        <f t="shared" ca="1" si="85"/>
        <v>48.419285441803353</v>
      </c>
      <c r="Z116" s="153"/>
      <c r="AA116" s="79">
        <f t="shared" si="86"/>
        <v>-2.640503901982477</v>
      </c>
      <c r="AB116" s="79">
        <f t="shared" ca="1" si="87"/>
        <v>0.20341799587936382</v>
      </c>
      <c r="AC116" s="79">
        <f t="shared" ca="1" si="88"/>
        <v>0.64671000777074994</v>
      </c>
      <c r="AD116" s="79">
        <f t="shared" ca="1" si="89"/>
        <v>-2.3217866998650143</v>
      </c>
      <c r="AE116" s="79">
        <f t="shared" ca="1" si="90"/>
        <v>9.1448040000733255E-2</v>
      </c>
      <c r="AF116" s="79">
        <f t="shared" ca="1" si="91"/>
        <v>-4.0207145581966444</v>
      </c>
      <c r="AH116" s="97">
        <f t="shared" si="92"/>
        <v>27125.279999999999</v>
      </c>
      <c r="AI116" s="97">
        <f t="shared" si="93"/>
        <v>6874.56</v>
      </c>
      <c r="AJ116" s="97">
        <f t="shared" si="94"/>
        <v>9485.2800000000007</v>
      </c>
      <c r="AK116" s="97">
        <f t="shared" si="95"/>
        <v>8618.3999999999978</v>
      </c>
      <c r="AL116" s="97">
        <f t="shared" si="96"/>
        <v>756</v>
      </c>
      <c r="AM116" s="97">
        <f t="shared" si="97"/>
        <v>52859.51999999999</v>
      </c>
      <c r="AN116" s="91"/>
      <c r="AO116" s="75">
        <f>SUMIFS('DM-Sum'!$M$6:$M$117,'DM-Sum'!$B$6:$B$117,$C116,'DM-Sum'!$C$6:$C$117, $E116)</f>
        <v>24463.652066801664</v>
      </c>
      <c r="AP116" s="75">
        <f t="shared" ca="1" si="203"/>
        <v>7079.6053398463991</v>
      </c>
      <c r="AQ116" s="75">
        <f t="shared" ca="1" si="204"/>
        <v>10137.163687832915</v>
      </c>
      <c r="AR116" s="75">
        <f t="shared" ca="1" si="205"/>
        <v>6278.0390065360625</v>
      </c>
      <c r="AS116" s="75">
        <f t="shared" ca="1" si="206"/>
        <v>848.17962432073909</v>
      </c>
      <c r="AT116" s="75">
        <f t="shared" ca="1" si="195"/>
        <v>48806.63972533778</v>
      </c>
      <c r="AV116" s="98">
        <f t="shared" si="202"/>
        <v>-2661.6279331983351</v>
      </c>
      <c r="AW116" s="98">
        <f t="shared" ca="1" si="196"/>
        <v>205.04533984639875</v>
      </c>
      <c r="AX116" s="98">
        <f t="shared" ca="1" si="197"/>
        <v>651.8836878329148</v>
      </c>
      <c r="AY116" s="98">
        <f t="shared" ca="1" si="198"/>
        <v>-2340.3609934639353</v>
      </c>
      <c r="AZ116" s="98">
        <f t="shared" ca="1" si="199"/>
        <v>92.179624320739094</v>
      </c>
      <c r="BA116" s="98">
        <f t="shared" ca="1" si="200"/>
        <v>-4052.8802746622096</v>
      </c>
      <c r="BB116" s="99"/>
      <c r="BC116" s="100"/>
      <c r="BD116" s="267">
        <f t="shared" si="98"/>
        <v>0.90187648078846239</v>
      </c>
      <c r="BE116" s="268">
        <f t="shared" ca="1" si="99"/>
        <v>1.02982668561281</v>
      </c>
      <c r="BF116" s="268">
        <f t="shared" ca="1" si="100"/>
        <v>1.0687258244177205</v>
      </c>
      <c r="BG116" s="268">
        <f t="shared" ca="1" si="101"/>
        <v>0.72844600001578774</v>
      </c>
      <c r="BH116" s="268">
        <f t="shared" ca="1" si="102"/>
        <v>0.9406110292084382</v>
      </c>
      <c r="BI116" s="268">
        <f t="shared" ca="1" si="103"/>
        <v>0.92332733489327523</v>
      </c>
      <c r="BK116" s="266" t="str">
        <f t="shared" si="104"/>
        <v>17</v>
      </c>
      <c r="BM116" s="269" t="s">
        <v>1206</v>
      </c>
      <c r="BN116" s="270" t="str">
        <f t="shared" si="105"/>
        <v>3XLMA</v>
      </c>
      <c r="BO116" s="270" t="str">
        <f>VLOOKUP($C116,STD!$C:$D,BO$17,0)</f>
        <v>098V 215/55R17 EL64Z</v>
      </c>
      <c r="BP116" s="270" t="str">
        <f>VLOOKUP($C116,STD!$C:$L,BP$17,0)</f>
        <v>XLHZA</v>
      </c>
      <c r="BQ116" s="270" t="b">
        <f t="shared" si="106"/>
        <v>1</v>
      </c>
      <c r="BR116" s="270" t="b">
        <f t="shared" si="201"/>
        <v>0</v>
      </c>
    </row>
    <row r="117" spans="2:70" s="96" customFormat="1" ht="15" customHeight="1">
      <c r="B117" s="89"/>
      <c r="C117" s="478" t="s">
        <v>1002</v>
      </c>
      <c r="D117" s="479" t="str">
        <f t="shared" si="40"/>
        <v>102H 225/65R17 FSASZ</v>
      </c>
      <c r="E117" s="480" t="s">
        <v>1018</v>
      </c>
      <c r="F117" s="481">
        <v>12954</v>
      </c>
      <c r="G117" s="104">
        <f>INDEX('Tire Weight'!$D:$D,MATCH($C117&amp;"-"&amp;$E117,'Tire Weight'!$A:$A,0))</f>
        <v>12.218999999999999</v>
      </c>
      <c r="H117" s="90">
        <f t="shared" si="0"/>
        <v>158284.92600000001</v>
      </c>
      <c r="I117" s="104">
        <f>INDEX('Tire Weight'!$E:$E,MATCH($C117&amp;"-"&amp;$E117,'Tire Weight'!$A:$A,0))</f>
        <v>5.7809999999999997</v>
      </c>
      <c r="J117" s="90">
        <f t="shared" si="1"/>
        <v>74887.073999999993</v>
      </c>
      <c r="K117" s="91"/>
      <c r="L117" s="34">
        <f>ROUND(VLOOKUP($C117,STD!$C:$AA,L$14,0),2)</f>
        <v>24.37</v>
      </c>
      <c r="M117" s="34">
        <f>ROUND(VLOOKUP($C117,STD!$C:$AA,M$14,0),2)</f>
        <v>6.73</v>
      </c>
      <c r="N117" s="34">
        <f>ROUND(VLOOKUP($C117,STD!$C:$AA,N$14,0),2)</f>
        <v>8.7899999999999991</v>
      </c>
      <c r="O117" s="34">
        <f>ROUND(VLOOKUP($C117,STD!$C:$AA,O$14,0),2)-L117-M117-N117-P117</f>
        <v>8.1199999999999992</v>
      </c>
      <c r="P117" s="34">
        <f>ROUND(VLOOKUP($C117,STD!$C:$AA,P$14,0),2)</f>
        <v>0.74</v>
      </c>
      <c r="Q117" s="92">
        <f t="shared" si="79"/>
        <v>48.75</v>
      </c>
      <c r="R117" s="93">
        <f>ROUND(VLOOKUP($C117,STD!$C:$AA,R$14,0),2)-Q117</f>
        <v>0</v>
      </c>
      <c r="S117" s="91"/>
      <c r="T117" s="94">
        <f t="shared" si="80"/>
        <v>21.821619576998422</v>
      </c>
      <c r="U117" s="94">
        <f t="shared" ca="1" si="81"/>
        <v>6.9307335941742094</v>
      </c>
      <c r="V117" s="94">
        <f t="shared" ca="1" si="82"/>
        <v>9.3940999966317609</v>
      </c>
      <c r="W117" s="94">
        <f t="shared" ca="1" si="83"/>
        <v>5.9149815201281957</v>
      </c>
      <c r="X117" s="94">
        <f t="shared" ca="1" si="84"/>
        <v>0.83022873280072329</v>
      </c>
      <c r="Y117" s="95">
        <f t="shared" ca="1" si="85"/>
        <v>44.891663420733316</v>
      </c>
      <c r="Z117" s="153"/>
      <c r="AA117" s="79">
        <f t="shared" si="86"/>
        <v>-2.5483804230015785</v>
      </c>
      <c r="AB117" s="79">
        <f t="shared" ca="1" si="87"/>
        <v>0.200733594174209</v>
      </c>
      <c r="AC117" s="79">
        <f t="shared" ca="1" si="88"/>
        <v>0.60409999663176173</v>
      </c>
      <c r="AD117" s="79">
        <f t="shared" ca="1" si="89"/>
        <v>-2.2050184798718035</v>
      </c>
      <c r="AE117" s="79">
        <f t="shared" ca="1" si="90"/>
        <v>9.0228732800723299E-2</v>
      </c>
      <c r="AF117" s="79">
        <f t="shared" ca="1" si="91"/>
        <v>-3.8583365792666839</v>
      </c>
      <c r="AH117" s="97">
        <f t="shared" si="92"/>
        <v>315688.98000000004</v>
      </c>
      <c r="AI117" s="97">
        <f t="shared" si="93"/>
        <v>87180.42</v>
      </c>
      <c r="AJ117" s="97">
        <f t="shared" si="94"/>
        <v>113865.65999999999</v>
      </c>
      <c r="AK117" s="97">
        <f t="shared" si="95"/>
        <v>105186.48</v>
      </c>
      <c r="AL117" s="97">
        <f t="shared" si="96"/>
        <v>9585.9599999999991</v>
      </c>
      <c r="AM117" s="97">
        <f t="shared" si="97"/>
        <v>631507.5</v>
      </c>
      <c r="AN117" s="91"/>
      <c r="AO117" s="75">
        <f>SUMIFS('DM-Sum'!$M$6:$M$117,'DM-Sum'!$B$6:$B$117,$C117,'DM-Sum'!$C$6:$C$117, $E117)</f>
        <v>282677.26000043756</v>
      </c>
      <c r="AP117" s="75">
        <f t="shared" ca="1" si="203"/>
        <v>89780.72297893271</v>
      </c>
      <c r="AQ117" s="75">
        <f t="shared" ca="1" si="204"/>
        <v>121691.17135636783</v>
      </c>
      <c r="AR117" s="75">
        <f t="shared" ca="1" si="205"/>
        <v>76622.670611740643</v>
      </c>
      <c r="AS117" s="75">
        <f t="shared" ca="1" si="206"/>
        <v>10754.78300470057</v>
      </c>
      <c r="AT117" s="75">
        <f t="shared" ca="1" si="195"/>
        <v>581526.60795217927</v>
      </c>
      <c r="AV117" s="98">
        <f t="shared" si="202"/>
        <v>-33011.719999562483</v>
      </c>
      <c r="AW117" s="98">
        <f t="shared" ca="1" si="196"/>
        <v>2600.302978932712</v>
      </c>
      <c r="AX117" s="98">
        <f t="shared" ca="1" si="197"/>
        <v>7825.511356367846</v>
      </c>
      <c r="AY117" s="98">
        <f t="shared" ca="1" si="198"/>
        <v>-28563.809388259353</v>
      </c>
      <c r="AZ117" s="98">
        <f t="shared" ca="1" si="199"/>
        <v>1168.8230047005709</v>
      </c>
      <c r="BA117" s="98">
        <f t="shared" ca="1" si="200"/>
        <v>-49980.892047820729</v>
      </c>
      <c r="BB117" s="99"/>
      <c r="BC117" s="100"/>
      <c r="BD117" s="267">
        <f t="shared" si="98"/>
        <v>0.89542960923259829</v>
      </c>
      <c r="BE117" s="268">
        <f t="shared" ca="1" si="99"/>
        <v>1.0298266856128095</v>
      </c>
      <c r="BF117" s="268">
        <f t="shared" ca="1" si="100"/>
        <v>1.0687258244177202</v>
      </c>
      <c r="BG117" s="268">
        <f t="shared" ca="1" si="101"/>
        <v>0.72844600001578774</v>
      </c>
      <c r="BH117" s="268">
        <f t="shared" ca="1" si="102"/>
        <v>0.94077052076709666</v>
      </c>
      <c r="BI117" s="268">
        <f t="shared" ca="1" si="103"/>
        <v>0.92085463427145264</v>
      </c>
      <c r="BK117" s="266" t="str">
        <f t="shared" si="104"/>
        <v>17</v>
      </c>
      <c r="BM117" s="269" t="s">
        <v>1262</v>
      </c>
      <c r="BN117" s="270" t="str">
        <f t="shared" si="105"/>
        <v>3ZFZA</v>
      </c>
      <c r="BO117" s="270" t="str">
        <f>VLOOKUP($C117,STD!$C:$D,BO$17,0)</f>
        <v>102H 225/65R17 FSASZ</v>
      </c>
      <c r="BP117" s="270" t="str">
        <f>VLOOKUP($C117,STD!$C:$L,BP$17,0)</f>
        <v>KXTMA</v>
      </c>
      <c r="BQ117" s="270" t="b">
        <f t="shared" si="106"/>
        <v>1</v>
      </c>
      <c r="BR117" s="270" t="b">
        <f t="shared" si="201"/>
        <v>0</v>
      </c>
    </row>
    <row r="118" spans="2:70" s="96" customFormat="1" ht="15" customHeight="1">
      <c r="B118" s="89"/>
      <c r="C118" s="478" t="s">
        <v>937</v>
      </c>
      <c r="D118" s="479" t="str">
        <f t="shared" si="40"/>
        <v>094W 255/35R18 FH50FZ</v>
      </c>
      <c r="E118" s="480" t="s">
        <v>959</v>
      </c>
      <c r="F118" s="481">
        <v>37</v>
      </c>
      <c r="G118" s="104">
        <f>INDEX('Tire Weight'!$D:$D,MATCH($C118&amp;"-"&amp;$E118,'Tire Weight'!$A:$A,0))</f>
        <v>11.45</v>
      </c>
      <c r="H118" s="90">
        <f t="shared" si="0"/>
        <v>423.65</v>
      </c>
      <c r="I118" s="104">
        <f>INDEX('Tire Weight'!$E:$E,MATCH($C118&amp;"-"&amp;$E118,'Tire Weight'!$A:$A,0))</f>
        <v>4.9980000000000002</v>
      </c>
      <c r="J118" s="90">
        <f t="shared" si="1"/>
        <v>184.92600000000002</v>
      </c>
      <c r="K118" s="91"/>
      <c r="L118" s="34">
        <f>ROUND(VLOOKUP($C118,STD!$C:$AA,L$14,0),2)</f>
        <v>25.53</v>
      </c>
      <c r="M118" s="34">
        <f>ROUND(VLOOKUP($C118,STD!$C:$AA,M$14,0),2)</f>
        <v>6.4</v>
      </c>
      <c r="N118" s="34">
        <f>ROUND(VLOOKUP($C118,STD!$C:$AA,N$14,0),2)</f>
        <v>8.73</v>
      </c>
      <c r="O118" s="34">
        <f>ROUND(VLOOKUP($C118,STD!$C:$AA,O$14,0),2)-L118-M118-N118-P118</f>
        <v>8.0200000000000031</v>
      </c>
      <c r="P118" s="34">
        <f>ROUND(VLOOKUP($C118,STD!$C:$AA,P$14,0),2)</f>
        <v>0.7</v>
      </c>
      <c r="Q118" s="92">
        <f t="shared" si="79"/>
        <v>49.38</v>
      </c>
      <c r="R118" s="93">
        <f>ROUND(VLOOKUP($C118,STD!$C:$AA,R$14,0),2)-Q118</f>
        <v>0</v>
      </c>
      <c r="S118" s="91"/>
      <c r="T118" s="94">
        <f t="shared" si="80"/>
        <v>23.585948844226508</v>
      </c>
      <c r="U118" s="94">
        <f t="shared" ca="1" si="81"/>
        <v>6.5908907879219836</v>
      </c>
      <c r="V118" s="94">
        <f t="shared" ca="1" si="82"/>
        <v>9.3299764471666986</v>
      </c>
      <c r="W118" s="94">
        <f t="shared" ca="1" si="83"/>
        <v>5.8421369201266193</v>
      </c>
      <c r="X118" s="94">
        <f t="shared" ca="1" si="84"/>
        <v>0.78535150400068432</v>
      </c>
      <c r="Y118" s="95">
        <f t="shared" ca="1" si="85"/>
        <v>46.1343045034425</v>
      </c>
      <c r="Z118" s="153"/>
      <c r="AA118" s="79">
        <f t="shared" si="86"/>
        <v>-1.9440511557734936</v>
      </c>
      <c r="AB118" s="79">
        <f t="shared" ca="1" si="87"/>
        <v>0.19089078792198322</v>
      </c>
      <c r="AC118" s="79">
        <f t="shared" ca="1" si="88"/>
        <v>0.59997644716669818</v>
      </c>
      <c r="AD118" s="79">
        <f t="shared" ca="1" si="89"/>
        <v>-2.1778630798733838</v>
      </c>
      <c r="AE118" s="79">
        <f t="shared" ca="1" si="90"/>
        <v>8.5351504000684364E-2</v>
      </c>
      <c r="AF118" s="79">
        <f t="shared" ca="1" si="91"/>
        <v>-3.2456954965575022</v>
      </c>
      <c r="AH118" s="97">
        <f t="shared" si="92"/>
        <v>944.61</v>
      </c>
      <c r="AI118" s="97">
        <f t="shared" si="93"/>
        <v>236.8</v>
      </c>
      <c r="AJ118" s="97">
        <f t="shared" si="94"/>
        <v>323.01</v>
      </c>
      <c r="AK118" s="97">
        <f t="shared" si="95"/>
        <v>296.74000000000012</v>
      </c>
      <c r="AL118" s="97">
        <f t="shared" si="96"/>
        <v>25.9</v>
      </c>
      <c r="AM118" s="97">
        <f t="shared" si="97"/>
        <v>1827.0600000000004</v>
      </c>
      <c r="AN118" s="91"/>
      <c r="AO118" s="75">
        <f>SUMIFS('DM-Sum'!$M$6:$M$117,'DM-Sum'!$B$6:$B$117,$C118,'DM-Sum'!$C$6:$C$117, $E118)</f>
        <v>872.68010723638076</v>
      </c>
      <c r="AP118" s="75">
        <f t="shared" ca="1" si="203"/>
        <v>243.86295915311339</v>
      </c>
      <c r="AQ118" s="75">
        <f t="shared" ca="1" si="204"/>
        <v>345.20912854516786</v>
      </c>
      <c r="AR118" s="75">
        <f t="shared" ca="1" si="205"/>
        <v>216.15906604468492</v>
      </c>
      <c r="AS118" s="75">
        <f t="shared" ca="1" si="206"/>
        <v>29.058005648025318</v>
      </c>
      <c r="AT118" s="75">
        <f t="shared" ca="1" si="195"/>
        <v>1706.9692666273725</v>
      </c>
      <c r="AV118" s="98">
        <f t="shared" si="202"/>
        <v>-71.92989276361925</v>
      </c>
      <c r="AW118" s="98">
        <f t="shared" ca="1" si="196"/>
        <v>7.0629591531133826</v>
      </c>
      <c r="AX118" s="98">
        <f t="shared" ca="1" si="197"/>
        <v>22.199128545167866</v>
      </c>
      <c r="AY118" s="98">
        <f t="shared" ca="1" si="198"/>
        <v>-80.580933955315203</v>
      </c>
      <c r="AZ118" s="98">
        <f t="shared" ca="1" si="199"/>
        <v>3.1580056480253198</v>
      </c>
      <c r="BA118" s="98">
        <f t="shared" ca="1" si="200"/>
        <v>-120.09073337262794</v>
      </c>
      <c r="BB118" s="99"/>
      <c r="BC118" s="100"/>
      <c r="BD118" s="267">
        <f t="shared" si="98"/>
        <v>0.92385228532027053</v>
      </c>
      <c r="BE118" s="268">
        <f t="shared" ca="1" si="99"/>
        <v>1.0298266856128098</v>
      </c>
      <c r="BF118" s="268">
        <f t="shared" ca="1" si="100"/>
        <v>1.0687258244177202</v>
      </c>
      <c r="BG118" s="268">
        <f t="shared" ca="1" si="101"/>
        <v>0.72844600001578763</v>
      </c>
      <c r="BH118" s="268">
        <f t="shared" ca="1" si="102"/>
        <v>0.94008657257949446</v>
      </c>
      <c r="BI118" s="268">
        <f t="shared" ca="1" si="103"/>
        <v>0.93427105110252118</v>
      </c>
      <c r="BK118" s="266" t="str">
        <f t="shared" si="104"/>
        <v>18</v>
      </c>
      <c r="BM118" s="269" t="s">
        <v>1664</v>
      </c>
      <c r="BN118" s="270" t="str">
        <f t="shared" si="105"/>
        <v>3SFZA</v>
      </c>
      <c r="BO118" s="270" t="str">
        <f>VLOOKUP($C118,STD!$C:$D,BO$17,0)</f>
        <v>094W 255/35R18 XLFH50FZ</v>
      </c>
      <c r="BP118" s="270" t="str">
        <f>VLOOKUP($C118,STD!$C:$L,BP$17,0)</f>
        <v>3SFZA</v>
      </c>
      <c r="BQ118" s="270" t="b">
        <f t="shared" si="106"/>
        <v>0</v>
      </c>
      <c r="BR118" s="270" t="b">
        <f t="shared" si="201"/>
        <v>1</v>
      </c>
    </row>
    <row r="119" spans="2:70" s="96" customFormat="1" ht="15" customHeight="1">
      <c r="B119" s="89"/>
      <c r="C119" s="478" t="s">
        <v>1004</v>
      </c>
      <c r="D119" s="479" t="str">
        <f t="shared" ref="D119:D129" si="207">TRIM(BM119)</f>
        <v>091H 195/65R15 FSASZ</v>
      </c>
      <c r="E119" s="480" t="s">
        <v>1020</v>
      </c>
      <c r="F119" s="481">
        <v>1875</v>
      </c>
      <c r="G119" s="104">
        <f>INDEX('Tire Weight'!$D:$D,MATCH($C119&amp;"-"&amp;$E119,'Tire Weight'!$A:$A,0))</f>
        <v>8.282</v>
      </c>
      <c r="H119" s="90">
        <f t="shared" si="0"/>
        <v>15528.75</v>
      </c>
      <c r="I119" s="104">
        <f>INDEX('Tire Weight'!$E:$E,MATCH($C119&amp;"-"&amp;$E119,'Tire Weight'!$A:$A,0))</f>
        <v>3.992</v>
      </c>
      <c r="J119" s="90">
        <f t="shared" si="1"/>
        <v>7485</v>
      </c>
      <c r="K119" s="91"/>
      <c r="L119" s="34">
        <f>ROUND(VLOOKUP($C119,STD!$C:$AA,L$14,0),2)</f>
        <v>16.52</v>
      </c>
      <c r="M119" s="34">
        <f>ROUND(VLOOKUP($C119,STD!$C:$AA,M$14,0),2)</f>
        <v>5.16</v>
      </c>
      <c r="N119" s="34">
        <f>ROUND(VLOOKUP($C119,STD!$C:$AA,N$14,0),2)</f>
        <v>7.39</v>
      </c>
      <c r="O119" s="34">
        <f>ROUND(VLOOKUP($C119,STD!$C:$AA,O$14,0),2)-L119-M119-N119-P119</f>
        <v>6.6499999999999977</v>
      </c>
      <c r="P119" s="34">
        <f>ROUND(VLOOKUP($C119,STD!$C:$AA,P$14,0),2)</f>
        <v>0.51</v>
      </c>
      <c r="Q119" s="92">
        <f t="shared" si="79"/>
        <v>36.229999999999997</v>
      </c>
      <c r="R119" s="93">
        <f>ROUND(VLOOKUP($C119,STD!$C:$AA,R$14,0),2)-Q119</f>
        <v>0</v>
      </c>
      <c r="S119" s="91"/>
      <c r="T119" s="94">
        <f t="shared" si="80"/>
        <v>15.074598623336319</v>
      </c>
      <c r="U119" s="94">
        <f t="shared" ca="1" si="81"/>
        <v>5.3139056977620998</v>
      </c>
      <c r="V119" s="94">
        <f t="shared" ca="1" si="82"/>
        <v>7.8978838424469542</v>
      </c>
      <c r="W119" s="94">
        <f t="shared" ca="1" si="83"/>
        <v>4.8441659001049855</v>
      </c>
      <c r="X119" s="94">
        <f t="shared" ca="1" si="84"/>
        <v>0.57218466720049854</v>
      </c>
      <c r="Y119" s="95">
        <f t="shared" ca="1" si="85"/>
        <v>33.702738730850854</v>
      </c>
      <c r="Z119" s="153"/>
      <c r="AA119" s="79">
        <f t="shared" si="86"/>
        <v>-1.4454013766636802</v>
      </c>
      <c r="AB119" s="79">
        <f t="shared" ca="1" si="87"/>
        <v>0.15390569776209961</v>
      </c>
      <c r="AC119" s="79">
        <f t="shared" ca="1" si="88"/>
        <v>0.5078838424469545</v>
      </c>
      <c r="AD119" s="79">
        <f t="shared" ca="1" si="89"/>
        <v>-1.8058340998950122</v>
      </c>
      <c r="AE119" s="79">
        <f t="shared" ca="1" si="90"/>
        <v>6.2184667200498533E-2</v>
      </c>
      <c r="AF119" s="79">
        <f t="shared" ca="1" si="91"/>
        <v>-2.5272612691491432</v>
      </c>
      <c r="AH119" s="97">
        <f t="shared" si="92"/>
        <v>30975</v>
      </c>
      <c r="AI119" s="97">
        <f t="shared" si="93"/>
        <v>9675</v>
      </c>
      <c r="AJ119" s="97">
        <f t="shared" si="94"/>
        <v>13856.25</v>
      </c>
      <c r="AK119" s="97">
        <f t="shared" si="95"/>
        <v>12468.749999999996</v>
      </c>
      <c r="AL119" s="97">
        <f t="shared" si="96"/>
        <v>956.25</v>
      </c>
      <c r="AM119" s="97">
        <f t="shared" si="97"/>
        <v>67931.25</v>
      </c>
      <c r="AN119" s="91"/>
      <c r="AO119" s="75">
        <f>SUMIFS('DM-Sum'!$M$6:$M$117,'DM-Sum'!$B$6:$B$117,$C119,'DM-Sum'!$C$6:$C$117, $E119)</f>
        <v>28264.8724187556</v>
      </c>
      <c r="AP119" s="75">
        <f t="shared" ca="1" si="203"/>
        <v>9963.5731833039372</v>
      </c>
      <c r="AQ119" s="75">
        <f t="shared" ca="1" si="204"/>
        <v>14808.532204588038</v>
      </c>
      <c r="AR119" s="75">
        <f t="shared" ca="1" si="205"/>
        <v>9082.8110626968482</v>
      </c>
      <c r="AS119" s="75">
        <f t="shared" ca="1" si="206"/>
        <v>1072.8462510009347</v>
      </c>
      <c r="AT119" s="75">
        <f t="shared" ca="1" si="195"/>
        <v>63192.63512034536</v>
      </c>
      <c r="AV119" s="98">
        <f t="shared" si="202"/>
        <v>-2710.1275812444001</v>
      </c>
      <c r="AW119" s="98">
        <f t="shared" ca="1" si="196"/>
        <v>288.57318330393718</v>
      </c>
      <c r="AX119" s="98">
        <f t="shared" ca="1" si="197"/>
        <v>952.28220458803844</v>
      </c>
      <c r="AY119" s="98">
        <f t="shared" ca="1" si="198"/>
        <v>-3385.9389373031481</v>
      </c>
      <c r="AZ119" s="98">
        <f t="shared" ca="1" si="199"/>
        <v>116.59625100093467</v>
      </c>
      <c r="BA119" s="98">
        <f t="shared" ca="1" si="200"/>
        <v>-4738.6148796546404</v>
      </c>
      <c r="BB119" s="99"/>
      <c r="BC119" s="100"/>
      <c r="BD119" s="267">
        <f t="shared" si="98"/>
        <v>0.91250596993561262</v>
      </c>
      <c r="BE119" s="268">
        <f t="shared" ca="1" si="99"/>
        <v>1.02982668561281</v>
      </c>
      <c r="BF119" s="268">
        <f t="shared" ca="1" si="100"/>
        <v>1.0687258244177205</v>
      </c>
      <c r="BG119" s="268">
        <f t="shared" ca="1" si="101"/>
        <v>0.72844600001578752</v>
      </c>
      <c r="BH119" s="268">
        <f t="shared" ca="1" si="102"/>
        <v>0.94041434584968964</v>
      </c>
      <c r="BI119" s="268">
        <f t="shared" ca="1" si="103"/>
        <v>0.93024396165748979</v>
      </c>
      <c r="BK119" s="266" t="str">
        <f t="shared" si="104"/>
        <v>15</v>
      </c>
      <c r="BM119" s="269" t="s">
        <v>1665</v>
      </c>
      <c r="BN119" s="270" t="str">
        <f t="shared" si="105"/>
        <v>KHAVA</v>
      </c>
      <c r="BO119" s="270" t="str">
        <f>VLOOKUP($C119,STD!$C:$D,BO$17,0)</f>
        <v>91H 195/65R15 FSASZ</v>
      </c>
      <c r="BP119" s="270" t="str">
        <f>VLOOKUP($C119,STD!$C:$L,BP$17,0)</f>
        <v>KHAVA</v>
      </c>
      <c r="BQ119" s="270" t="b">
        <f t="shared" si="106"/>
        <v>1</v>
      </c>
      <c r="BR119" s="270" t="b">
        <f t="shared" si="201"/>
        <v>1</v>
      </c>
    </row>
    <row r="120" spans="2:70" s="96" customFormat="1" ht="15" customHeight="1">
      <c r="B120" s="89"/>
      <c r="C120" s="478" t="s">
        <v>1003</v>
      </c>
      <c r="D120" s="479" t="str">
        <f t="shared" si="207"/>
        <v>091H 205/55R16 FSASZ</v>
      </c>
      <c r="E120" s="480" t="s">
        <v>1019</v>
      </c>
      <c r="F120" s="481">
        <v>5270</v>
      </c>
      <c r="G120" s="104">
        <f>INDEX('Tire Weight'!$D:$D,MATCH($C120&amp;"-"&amp;$E120,'Tire Weight'!$A:$A,0))</f>
        <v>8.5980000000000008</v>
      </c>
      <c r="H120" s="90">
        <f t="shared" si="0"/>
        <v>45311.460000000006</v>
      </c>
      <c r="I120" s="104">
        <f>INDEX('Tire Weight'!$E:$E,MATCH($C120&amp;"-"&amp;$E120,'Tire Weight'!$A:$A,0))</f>
        <v>4.09</v>
      </c>
      <c r="J120" s="90">
        <f t="shared" si="1"/>
        <v>21554.3</v>
      </c>
      <c r="K120" s="91"/>
      <c r="L120" s="34">
        <f>ROUND(VLOOKUP($C120,STD!$C:$AA,L$14,0),2)</f>
        <v>17.059999999999999</v>
      </c>
      <c r="M120" s="34">
        <f>ROUND(VLOOKUP($C120,STD!$C:$AA,M$14,0),2)</f>
        <v>5.3</v>
      </c>
      <c r="N120" s="34">
        <f>ROUND(VLOOKUP($C120,STD!$C:$AA,N$14,0),2)</f>
        <v>6.74</v>
      </c>
      <c r="O120" s="34">
        <f>ROUND(VLOOKUP($C120,STD!$C:$AA,O$14,0),2)-L120-M120-N120-P120</f>
        <v>6.05</v>
      </c>
      <c r="P120" s="34">
        <f>ROUND(VLOOKUP($C120,STD!$C:$AA,P$14,0),2)</f>
        <v>0.53</v>
      </c>
      <c r="Q120" s="92">
        <f t="shared" si="79"/>
        <v>35.68</v>
      </c>
      <c r="R120" s="93">
        <f>ROUND(VLOOKUP($C120,STD!$C:$AA,R$14,0),2)-Q120</f>
        <v>0</v>
      </c>
      <c r="S120" s="91"/>
      <c r="T120" s="94">
        <f t="shared" si="80"/>
        <v>15.647069541941791</v>
      </c>
      <c r="U120" s="94">
        <f t="shared" ca="1" si="81"/>
        <v>5.4580814337478927</v>
      </c>
      <c r="V120" s="94">
        <f t="shared" ca="1" si="82"/>
        <v>7.2032120565754356</v>
      </c>
      <c r="W120" s="94">
        <f t="shared" ca="1" si="83"/>
        <v>4.4070983000955151</v>
      </c>
      <c r="X120" s="94">
        <f t="shared" ca="1" si="84"/>
        <v>0.59462328160051814</v>
      </c>
      <c r="Y120" s="95">
        <f t="shared" ca="1" si="85"/>
        <v>33.310084613961152</v>
      </c>
      <c r="Z120" s="153"/>
      <c r="AA120" s="79">
        <f t="shared" si="86"/>
        <v>-1.4129304580582076</v>
      </c>
      <c r="AB120" s="79">
        <f t="shared" ca="1" si="87"/>
        <v>0.15808143374789285</v>
      </c>
      <c r="AC120" s="79">
        <f t="shared" ca="1" si="88"/>
        <v>0.4632120565754354</v>
      </c>
      <c r="AD120" s="79">
        <f t="shared" ca="1" si="89"/>
        <v>-1.6429016999044848</v>
      </c>
      <c r="AE120" s="79">
        <f t="shared" ca="1" si="90"/>
        <v>6.4623281600518112E-2</v>
      </c>
      <c r="AF120" s="79">
        <f t="shared" ca="1" si="91"/>
        <v>-2.3699153860388478</v>
      </c>
      <c r="AH120" s="97">
        <f t="shared" si="92"/>
        <v>89906.2</v>
      </c>
      <c r="AI120" s="97">
        <f t="shared" si="93"/>
        <v>27931</v>
      </c>
      <c r="AJ120" s="97">
        <f t="shared" si="94"/>
        <v>35519.800000000003</v>
      </c>
      <c r="AK120" s="97">
        <f t="shared" si="95"/>
        <v>31883.5</v>
      </c>
      <c r="AL120" s="97">
        <f t="shared" si="96"/>
        <v>2793.1000000000004</v>
      </c>
      <c r="AM120" s="97">
        <f t="shared" si="97"/>
        <v>188033.6</v>
      </c>
      <c r="AN120" s="91"/>
      <c r="AO120" s="75">
        <f>SUMIFS('DM-Sum'!$M$6:$M$117,'DM-Sum'!$B$6:$B$117,$C120,'DM-Sum'!$C$6:$C$117, $E120)</f>
        <v>82460.056486033238</v>
      </c>
      <c r="AP120" s="75">
        <f t="shared" ca="1" si="203"/>
        <v>28764.089155851394</v>
      </c>
      <c r="AQ120" s="75">
        <f t="shared" ca="1" si="204"/>
        <v>37960.927538152544</v>
      </c>
      <c r="AR120" s="75">
        <f t="shared" ca="1" si="205"/>
        <v>23225.408041503364</v>
      </c>
      <c r="AS120" s="75">
        <f t="shared" ca="1" si="206"/>
        <v>3133.6646940347305</v>
      </c>
      <c r="AT120" s="75">
        <f t="shared" ca="1" si="195"/>
        <v>175544.14591557527</v>
      </c>
      <c r="AV120" s="98">
        <f t="shared" si="202"/>
        <v>-7446.1435139667592</v>
      </c>
      <c r="AW120" s="98">
        <f t="shared" ca="1" si="196"/>
        <v>833.08915585139403</v>
      </c>
      <c r="AX120" s="98">
        <f t="shared" ca="1" si="197"/>
        <v>2441.1275381525411</v>
      </c>
      <c r="AY120" s="98">
        <f t="shared" ca="1" si="198"/>
        <v>-8658.0919584966359</v>
      </c>
      <c r="AZ120" s="98">
        <f t="shared" ca="1" si="199"/>
        <v>340.56469403473011</v>
      </c>
      <c r="BA120" s="98">
        <f t="shared" ca="1" si="200"/>
        <v>-12489.454084424739</v>
      </c>
      <c r="BB120" s="99"/>
      <c r="BC120" s="100"/>
      <c r="BD120" s="267">
        <f t="shared" si="98"/>
        <v>0.91717875392390347</v>
      </c>
      <c r="BE120" s="268">
        <f t="shared" ca="1" si="99"/>
        <v>1.02982668561281</v>
      </c>
      <c r="BF120" s="268">
        <f t="shared" ca="1" si="100"/>
        <v>1.0687258244177205</v>
      </c>
      <c r="BG120" s="268">
        <f t="shared" ca="1" si="101"/>
        <v>0.72844600001578763</v>
      </c>
      <c r="BH120" s="268">
        <f t="shared" ca="1" si="102"/>
        <v>0.94352635657373374</v>
      </c>
      <c r="BI120" s="268">
        <f t="shared" ca="1" si="103"/>
        <v>0.93357860465137754</v>
      </c>
      <c r="BK120" s="266" t="str">
        <f t="shared" si="104"/>
        <v>16</v>
      </c>
      <c r="BM120" s="269" t="s">
        <v>1666</v>
      </c>
      <c r="BN120" s="270" t="str">
        <f t="shared" si="105"/>
        <v>CMMVA</v>
      </c>
      <c r="BO120" s="270" t="str">
        <f>VLOOKUP($C120,STD!$C:$D,BO$17,0)</f>
        <v>91H 205/55R16 FSASZ</v>
      </c>
      <c r="BP120" s="270" t="str">
        <f>VLOOKUP($C120,STD!$C:$L,BP$17,0)</f>
        <v>CMMVA</v>
      </c>
      <c r="BQ120" s="270" t="b">
        <f t="shared" si="106"/>
        <v>1</v>
      </c>
      <c r="BR120" s="270" t="b">
        <f t="shared" si="201"/>
        <v>1</v>
      </c>
    </row>
    <row r="121" spans="2:70" s="96" customFormat="1" ht="15" customHeight="1">
      <c r="B121" s="89"/>
      <c r="C121" s="478" t="s">
        <v>1009</v>
      </c>
      <c r="D121" s="479" t="str">
        <f t="shared" si="207"/>
        <v>101W 235/50R18 FH50FZ</v>
      </c>
      <c r="E121" s="480" t="s">
        <v>1025</v>
      </c>
      <c r="F121" s="481">
        <v>32</v>
      </c>
      <c r="G121" s="104">
        <f>INDEX('Tire Weight'!$D:$D,MATCH($C121&amp;"-"&amp;$E121,'Tire Weight'!$A:$A,0))</f>
        <v>12.635</v>
      </c>
      <c r="H121" s="90">
        <f t="shared" si="0"/>
        <v>404.32</v>
      </c>
      <c r="I121" s="104">
        <f>INDEX('Tire Weight'!$E:$E,MATCH($C121&amp;"-"&amp;$E121,'Tire Weight'!$A:$A,0))</f>
        <v>5.5810000000000004</v>
      </c>
      <c r="J121" s="90">
        <f t="shared" si="1"/>
        <v>178.59200000000001</v>
      </c>
      <c r="K121" s="91"/>
      <c r="L121" s="34">
        <f>ROUND(VLOOKUP($C121,STD!$C:$AA,L$14,0),2)</f>
        <v>27.89</v>
      </c>
      <c r="M121" s="34">
        <f>ROUND(VLOOKUP($C121,STD!$C:$AA,M$14,0),2)</f>
        <v>6.96</v>
      </c>
      <c r="N121" s="34">
        <f>ROUND(VLOOKUP($C121,STD!$C:$AA,N$14,0),2)</f>
        <v>9.5500000000000007</v>
      </c>
      <c r="O121" s="34">
        <f>ROUND(VLOOKUP($C121,STD!$C:$AA,O$14,0),2)-L121-M121-N121-P121</f>
        <v>8.6999999999999957</v>
      </c>
      <c r="P121" s="34">
        <f>ROUND(VLOOKUP($C121,STD!$C:$AA,P$14,0),2)</f>
        <v>0.77</v>
      </c>
      <c r="Q121" s="92">
        <f t="shared" si="79"/>
        <v>53.870000000000005</v>
      </c>
      <c r="R121" s="93">
        <f>ROUND(VLOOKUP($C121,STD!$C:$AA,R$14,0),2)-Q121</f>
        <v>0</v>
      </c>
      <c r="S121" s="91"/>
      <c r="T121" s="94">
        <f t="shared" si="80"/>
        <v>25.603578386283971</v>
      </c>
      <c r="U121" s="94">
        <f t="shared" ca="1" si="81"/>
        <v>7.1675937318651561</v>
      </c>
      <c r="V121" s="94">
        <f t="shared" ca="1" si="82"/>
        <v>10.20633162318923</v>
      </c>
      <c r="W121" s="94">
        <f t="shared" ca="1" si="83"/>
        <v>6.3374802001373487</v>
      </c>
      <c r="X121" s="94">
        <f t="shared" ca="1" si="84"/>
        <v>0.86388665440075285</v>
      </c>
      <c r="Y121" s="95">
        <f t="shared" ca="1" si="85"/>
        <v>50.178870595876454</v>
      </c>
      <c r="Z121" s="153"/>
      <c r="AA121" s="79">
        <f t="shared" si="86"/>
        <v>-2.2864216137160298</v>
      </c>
      <c r="AB121" s="79">
        <f t="shared" ca="1" si="87"/>
        <v>0.20759373186515617</v>
      </c>
      <c r="AC121" s="79">
        <f t="shared" ca="1" si="88"/>
        <v>0.65633162318922977</v>
      </c>
      <c r="AD121" s="79">
        <f t="shared" ca="1" si="89"/>
        <v>-2.362519799862647</v>
      </c>
      <c r="AE121" s="79">
        <f t="shared" ca="1" si="90"/>
        <v>9.3886654400752834E-2</v>
      </c>
      <c r="AF121" s="79">
        <f t="shared" ca="1" si="91"/>
        <v>-3.6911294041235507</v>
      </c>
      <c r="AH121" s="97">
        <f t="shared" si="92"/>
        <v>892.48</v>
      </c>
      <c r="AI121" s="97">
        <f t="shared" si="93"/>
        <v>222.72</v>
      </c>
      <c r="AJ121" s="97">
        <f t="shared" si="94"/>
        <v>305.60000000000002</v>
      </c>
      <c r="AK121" s="97">
        <f t="shared" si="95"/>
        <v>278.39999999999986</v>
      </c>
      <c r="AL121" s="97">
        <f t="shared" si="96"/>
        <v>24.64</v>
      </c>
      <c r="AM121" s="97">
        <f t="shared" si="97"/>
        <v>1723.8400000000001</v>
      </c>
      <c r="AN121" s="91"/>
      <c r="AO121" s="75">
        <f>SUMIFS('DM-Sum'!$M$6:$M$117,'DM-Sum'!$B$6:$B$117,$C121,'DM-Sum'!$C$6:$C$117, $E121)</f>
        <v>819.31450836108706</v>
      </c>
      <c r="AP121" s="75">
        <f t="shared" ca="1" si="203"/>
        <v>229.362999419685</v>
      </c>
      <c r="AQ121" s="75">
        <f t="shared" ca="1" si="204"/>
        <v>326.60261194205538</v>
      </c>
      <c r="AR121" s="75">
        <f t="shared" ca="1" si="205"/>
        <v>202.79936640439516</v>
      </c>
      <c r="AS121" s="75">
        <f t="shared" ca="1" si="206"/>
        <v>27.644372940824091</v>
      </c>
      <c r="AT121" s="75">
        <f t="shared" ca="1" si="195"/>
        <v>1605.7238590680465</v>
      </c>
      <c r="AV121" s="98">
        <f t="shared" si="202"/>
        <v>-73.165491638912954</v>
      </c>
      <c r="AW121" s="98">
        <f t="shared" ca="1" si="196"/>
        <v>6.6429994196849975</v>
      </c>
      <c r="AX121" s="98">
        <f t="shared" ca="1" si="197"/>
        <v>21.002611942055353</v>
      </c>
      <c r="AY121" s="98">
        <f t="shared" ca="1" si="198"/>
        <v>-75.600633595604705</v>
      </c>
      <c r="AZ121" s="98">
        <f t="shared" ca="1" si="199"/>
        <v>3.0043729408240907</v>
      </c>
      <c r="BA121" s="98">
        <f t="shared" ca="1" si="200"/>
        <v>-118.11614093195362</v>
      </c>
      <c r="BB121" s="99"/>
      <c r="BC121" s="100"/>
      <c r="BD121" s="267">
        <f t="shared" si="98"/>
        <v>0.91802002102129687</v>
      </c>
      <c r="BE121" s="268">
        <f t="shared" ca="1" si="99"/>
        <v>1.0298266856128098</v>
      </c>
      <c r="BF121" s="268">
        <f t="shared" ca="1" si="100"/>
        <v>1.0687258244177205</v>
      </c>
      <c r="BG121" s="268">
        <f t="shared" ca="1" si="101"/>
        <v>0.72844600001578752</v>
      </c>
      <c r="BH121" s="268">
        <f t="shared" ca="1" si="102"/>
        <v>0.94055555554112402</v>
      </c>
      <c r="BI121" s="268">
        <f t="shared" ca="1" si="103"/>
        <v>0.93148079814138574</v>
      </c>
      <c r="BK121" s="266" t="str">
        <f t="shared" si="104"/>
        <v>18</v>
      </c>
      <c r="BM121" s="269" t="s">
        <v>1667</v>
      </c>
      <c r="BN121" s="270" t="str">
        <f t="shared" si="105"/>
        <v>4NCZA</v>
      </c>
      <c r="BO121" s="270" t="str">
        <f>VLOOKUP($C121,STD!$C:$D,BO$17,0)</f>
        <v>101W 225/50R18 FH50FZ</v>
      </c>
      <c r="BP121" s="270" t="str">
        <f>VLOOKUP($C121,STD!$C:$L,BP$17,0)</f>
        <v>NCDZA</v>
      </c>
      <c r="BQ121" s="270" t="b">
        <f t="shared" si="106"/>
        <v>0</v>
      </c>
      <c r="BR121" s="270" t="b">
        <f t="shared" si="201"/>
        <v>0</v>
      </c>
    </row>
    <row r="122" spans="2:70" s="96" customFormat="1" ht="15" customHeight="1">
      <c r="B122" s="89"/>
      <c r="C122" s="478" t="s">
        <v>1010</v>
      </c>
      <c r="D122" s="479" t="str">
        <f t="shared" si="207"/>
        <v>100T 225/65R16 FSASZ</v>
      </c>
      <c r="E122" s="480" t="s">
        <v>1026</v>
      </c>
      <c r="F122" s="481">
        <v>3112</v>
      </c>
      <c r="G122" s="104">
        <f>INDEX('Tire Weight'!$D:$D,MATCH($C122&amp;"-"&amp;$E122,'Tire Weight'!$A:$A,0))</f>
        <v>10.723000000000001</v>
      </c>
      <c r="H122" s="90">
        <f t="shared" si="0"/>
        <v>33369.976000000002</v>
      </c>
      <c r="I122" s="104">
        <f>INDEX('Tire Weight'!$E:$E,MATCH($C122&amp;"-"&amp;$E122,'Tire Weight'!$A:$A,0))</f>
        <v>5.0570000000000004</v>
      </c>
      <c r="J122" s="90">
        <f t="shared" si="1"/>
        <v>15737.384000000002</v>
      </c>
      <c r="K122" s="91"/>
      <c r="L122" s="34">
        <f>ROUND(VLOOKUP($C122,STD!$C:$AA,L$14,0),2)</f>
        <v>21.33</v>
      </c>
      <c r="M122" s="34">
        <f>ROUND(VLOOKUP($C122,STD!$C:$AA,M$14,0),2)</f>
        <v>6.19</v>
      </c>
      <c r="N122" s="34">
        <f>ROUND(VLOOKUP($C122,STD!$C:$AA,N$14,0),2)</f>
        <v>8.0399999999999991</v>
      </c>
      <c r="O122" s="34">
        <f>ROUND(VLOOKUP($C122,STD!$C:$AA,O$14,0),2)-L122-M122-N122-P122</f>
        <v>7.43</v>
      </c>
      <c r="P122" s="34">
        <f>ROUND(VLOOKUP($C122,STD!$C:$AA,P$14,0),2)</f>
        <v>0.66</v>
      </c>
      <c r="Q122" s="92">
        <f t="shared" si="79"/>
        <v>43.65</v>
      </c>
      <c r="R122" s="93">
        <f>ROUND(VLOOKUP($C122,STD!$C:$AA,R$14,0),2)-Q122</f>
        <v>0</v>
      </c>
      <c r="S122" s="91"/>
      <c r="T122" s="94">
        <f t="shared" si="80"/>
        <v>19.636159094679336</v>
      </c>
      <c r="U122" s="94">
        <f t="shared" ca="1" si="81"/>
        <v>6.3746271839432938</v>
      </c>
      <c r="V122" s="94">
        <f t="shared" ca="1" si="82"/>
        <v>8.5925556283184701</v>
      </c>
      <c r="W122" s="94">
        <f t="shared" ca="1" si="83"/>
        <v>5.4123537801173018</v>
      </c>
      <c r="X122" s="94">
        <f t="shared" ca="1" si="84"/>
        <v>0.74047427520064524</v>
      </c>
      <c r="Y122" s="95">
        <f t="shared" ca="1" si="85"/>
        <v>40.756169962259044</v>
      </c>
      <c r="Z122" s="153"/>
      <c r="AA122" s="79">
        <f t="shared" si="86"/>
        <v>-1.6938409053206627</v>
      </c>
      <c r="AB122" s="79">
        <f t="shared" ca="1" si="87"/>
        <v>0.18462718394329336</v>
      </c>
      <c r="AC122" s="79">
        <f t="shared" ca="1" si="88"/>
        <v>0.55255562831847094</v>
      </c>
      <c r="AD122" s="79">
        <f t="shared" ca="1" si="89"/>
        <v>-2.0176462198826979</v>
      </c>
      <c r="AE122" s="79">
        <f t="shared" ca="1" si="90"/>
        <v>8.0474275200645207E-2</v>
      </c>
      <c r="AF122" s="79">
        <f t="shared" ca="1" si="91"/>
        <v>-2.8938300377409547</v>
      </c>
      <c r="AH122" s="97">
        <f t="shared" si="92"/>
        <v>66378.959999999992</v>
      </c>
      <c r="AI122" s="97">
        <f t="shared" si="93"/>
        <v>19263.280000000002</v>
      </c>
      <c r="AJ122" s="97">
        <f t="shared" si="94"/>
        <v>25020.479999999996</v>
      </c>
      <c r="AK122" s="97">
        <f t="shared" si="95"/>
        <v>23122.16</v>
      </c>
      <c r="AL122" s="97">
        <f t="shared" si="96"/>
        <v>2053.92</v>
      </c>
      <c r="AM122" s="97">
        <f t="shared" si="97"/>
        <v>135838.79999999999</v>
      </c>
      <c r="AN122" s="91"/>
      <c r="AO122" s="75">
        <f>SUMIFS('DM-Sum'!$M$6:$M$117,'DM-Sum'!$B$6:$B$117,$C122,'DM-Sum'!$C$6:$C$117, $E122)</f>
        <v>61107.727102642093</v>
      </c>
      <c r="AP122" s="75">
        <f t="shared" ca="1" si="203"/>
        <v>19837.83979643153</v>
      </c>
      <c r="AQ122" s="75">
        <f t="shared" ca="1" si="204"/>
        <v>26740.033115327078</v>
      </c>
      <c r="AR122" s="75">
        <f t="shared" ca="1" si="205"/>
        <v>16843.244963725043</v>
      </c>
      <c r="AS122" s="75">
        <f t="shared" ca="1" si="206"/>
        <v>2304.3559444244079</v>
      </c>
      <c r="AT122" s="75">
        <f t="shared" ca="1" si="195"/>
        <v>126833.20092255015</v>
      </c>
      <c r="AV122" s="98">
        <f t="shared" si="202"/>
        <v>-5271.2328973578988</v>
      </c>
      <c r="AW122" s="98">
        <f t="shared" ca="1" si="196"/>
        <v>574.5597964315275</v>
      </c>
      <c r="AX122" s="98">
        <f t="shared" ca="1" si="197"/>
        <v>1719.5531153270822</v>
      </c>
      <c r="AY122" s="98">
        <f t="shared" ca="1" si="198"/>
        <v>-6278.9150362749569</v>
      </c>
      <c r="AZ122" s="98">
        <f t="shared" ca="1" si="199"/>
        <v>250.43594442440781</v>
      </c>
      <c r="BA122" s="98">
        <f t="shared" ca="1" si="200"/>
        <v>-9005.599077449835</v>
      </c>
      <c r="BB122" s="99"/>
      <c r="BC122" s="100"/>
      <c r="BD122" s="267">
        <f t="shared" si="98"/>
        <v>0.92058879956302564</v>
      </c>
      <c r="BE122" s="268">
        <f t="shared" ca="1" si="99"/>
        <v>1.02982668561281</v>
      </c>
      <c r="BF122" s="268">
        <f t="shared" ca="1" si="100"/>
        <v>1.0687258244177202</v>
      </c>
      <c r="BG122" s="268">
        <f t="shared" ca="1" si="101"/>
        <v>0.72844600001578763</v>
      </c>
      <c r="BH122" s="268">
        <f t="shared" ca="1" si="102"/>
        <v>0.94088349918647596</v>
      </c>
      <c r="BI122" s="268">
        <f t="shared" ca="1" si="103"/>
        <v>0.93370377920410186</v>
      </c>
      <c r="BK122" s="266" t="str">
        <f t="shared" si="104"/>
        <v>16</v>
      </c>
      <c r="BM122" s="269" t="s">
        <v>1668</v>
      </c>
      <c r="BN122" s="270" t="str">
        <f t="shared" si="105"/>
        <v>4DHVA</v>
      </c>
      <c r="BO122" s="270" t="str">
        <f>VLOOKUP($C122,STD!$C:$D,BO$17,0)</f>
        <v xml:space="preserve"> 225/65R16 FSASZ</v>
      </c>
      <c r="BP122" s="270" t="str">
        <f>VLOOKUP($C122,STD!$C:$L,BP$17,0)</f>
        <v>4DHVA</v>
      </c>
      <c r="BQ122" s="270" t="b">
        <f t="shared" si="106"/>
        <v>0</v>
      </c>
      <c r="BR122" s="270" t="b">
        <f t="shared" si="201"/>
        <v>1</v>
      </c>
    </row>
    <row r="123" spans="2:70" s="96" customFormat="1" ht="15" customHeight="1">
      <c r="B123" s="89"/>
      <c r="C123" s="478" t="s">
        <v>1042</v>
      </c>
      <c r="D123" s="479" t="str">
        <f t="shared" si="207"/>
        <v>087H 205/50R16 FSASZ</v>
      </c>
      <c r="E123" s="480" t="s">
        <v>1043</v>
      </c>
      <c r="F123" s="481">
        <v>6</v>
      </c>
      <c r="G123" s="104">
        <f>INDEX('Tire Weight'!$D:$D,MATCH($C123&amp;"-"&amp;$E123,'Tire Weight'!$A:$A,0))</f>
        <v>8.6240000000000006</v>
      </c>
      <c r="H123" s="90">
        <f t="shared" si="0"/>
        <v>51.744</v>
      </c>
      <c r="I123" s="104">
        <f>INDEX('Tire Weight'!$E:$E,MATCH($C123&amp;"-"&amp;$E123,'Tire Weight'!$A:$A,0))</f>
        <v>4.0330000000000004</v>
      </c>
      <c r="J123" s="90">
        <f t="shared" si="1"/>
        <v>24.198</v>
      </c>
      <c r="K123" s="91"/>
      <c r="L123" s="34">
        <f>ROUND(VLOOKUP($C123,STD!$C:$AA,L$14,0),2)</f>
        <v>19.850000000000001</v>
      </c>
      <c r="M123" s="34">
        <f>ROUND(VLOOKUP($C123,STD!$C:$AA,M$14,0),2)</f>
        <v>4.43</v>
      </c>
      <c r="N123" s="34">
        <f>ROUND(VLOOKUP($C123,STD!$C:$AA,N$14,0),2)</f>
        <v>5.37</v>
      </c>
      <c r="O123" s="34">
        <f>ROUND(VLOOKUP($C123,STD!$C:$AA,O$14,0),2)-L123-M123-N123-P123</f>
        <v>4.6899999999999995</v>
      </c>
      <c r="P123" s="34">
        <f>ROUND(VLOOKUP($C123,STD!$C:$AA,P$14,0),2)</f>
        <v>0.62</v>
      </c>
      <c r="Q123" s="92">
        <f t="shared" si="79"/>
        <v>34.96</v>
      </c>
      <c r="R123" s="93">
        <f>ROUND(VLOOKUP($C123,STD!$C:$AA,R$14,0),2)-Q123</f>
        <v>0</v>
      </c>
      <c r="S123" s="91"/>
      <c r="T123" s="94">
        <f t="shared" si="80"/>
        <v>15.7572976576719</v>
      </c>
      <c r="U123" s="94">
        <f t="shared" ca="1" si="81"/>
        <v>4.5621322172647476</v>
      </c>
      <c r="V123" s="94">
        <f t="shared" ca="1" si="82"/>
        <v>5.7390576771231592</v>
      </c>
      <c r="W123" s="94">
        <f t="shared" ca="1" si="83"/>
        <v>3.416411740074043</v>
      </c>
      <c r="X123" s="94">
        <f t="shared" ca="1" si="84"/>
        <v>0.69559704640060616</v>
      </c>
      <c r="Y123" s="95">
        <f t="shared" ca="1" si="85"/>
        <v>30.170496338534459</v>
      </c>
      <c r="Z123" s="153"/>
      <c r="AA123" s="79">
        <f t="shared" si="86"/>
        <v>-4.092702342328101</v>
      </c>
      <c r="AB123" s="79">
        <f t="shared" ca="1" si="87"/>
        <v>0.13213221726474789</v>
      </c>
      <c r="AC123" s="79">
        <f t="shared" ca="1" si="88"/>
        <v>0.36905767712315907</v>
      </c>
      <c r="AD123" s="79">
        <f t="shared" ca="1" si="89"/>
        <v>-1.2735882599259565</v>
      </c>
      <c r="AE123" s="79">
        <f t="shared" ca="1" si="90"/>
        <v>7.559704640060616E-2</v>
      </c>
      <c r="AF123" s="79">
        <f t="shared" ca="1" si="91"/>
        <v>-4.7895036614655417</v>
      </c>
      <c r="AH123" s="97">
        <f t="shared" si="92"/>
        <v>119.10000000000001</v>
      </c>
      <c r="AI123" s="97">
        <f t="shared" si="93"/>
        <v>26.58</v>
      </c>
      <c r="AJ123" s="97">
        <f t="shared" si="94"/>
        <v>32.22</v>
      </c>
      <c r="AK123" s="97">
        <f t="shared" si="95"/>
        <v>28.139999999999997</v>
      </c>
      <c r="AL123" s="97">
        <f t="shared" si="96"/>
        <v>3.7199999999999998</v>
      </c>
      <c r="AM123" s="97">
        <f t="shared" si="97"/>
        <v>209.76</v>
      </c>
      <c r="AN123" s="91"/>
      <c r="AO123" s="75">
        <f>SUMIFS('DM-Sum'!$M$6:$M$117,'DM-Sum'!$B$6:$B$117,$C123,'DM-Sum'!$C$6:$C$117, $E123)</f>
        <v>94.543785946031406</v>
      </c>
      <c r="AP123" s="75">
        <f t="shared" ca="1" si="203"/>
        <v>27.372793303588487</v>
      </c>
      <c r="AQ123" s="75">
        <f t="shared" ca="1" si="204"/>
        <v>34.434346062738953</v>
      </c>
      <c r="AR123" s="75">
        <f t="shared" ca="1" si="205"/>
        <v>20.498470440444258</v>
      </c>
      <c r="AS123" s="75">
        <f t="shared" ca="1" si="206"/>
        <v>4.1735822784036367</v>
      </c>
      <c r="AT123" s="75">
        <f t="shared" ca="1" si="195"/>
        <v>181.02297803120678</v>
      </c>
      <c r="AV123" s="98">
        <f t="shared" si="202"/>
        <v>-24.556214053968603</v>
      </c>
      <c r="AW123" s="98">
        <f t="shared" ca="1" si="196"/>
        <v>0.7927933035884891</v>
      </c>
      <c r="AX123" s="98">
        <f t="shared" ca="1" si="197"/>
        <v>2.2143460627389544</v>
      </c>
      <c r="AY123" s="98">
        <f t="shared" ca="1" si="198"/>
        <v>-7.6415295595557389</v>
      </c>
      <c r="AZ123" s="98">
        <f t="shared" ca="1" si="199"/>
        <v>0.45358227840363696</v>
      </c>
      <c r="BA123" s="98">
        <f t="shared" ca="1" si="200"/>
        <v>-28.737021968793215</v>
      </c>
      <c r="BB123" s="99"/>
      <c r="BC123" s="100"/>
      <c r="BD123" s="267">
        <f t="shared" si="98"/>
        <v>0.79381852179707302</v>
      </c>
      <c r="BE123" s="268">
        <f t="shared" ca="1" si="99"/>
        <v>1.02982668561281</v>
      </c>
      <c r="BF123" s="268">
        <f t="shared" ca="1" si="100"/>
        <v>1.0687258244177205</v>
      </c>
      <c r="BG123" s="268">
        <f t="shared" ca="1" si="101"/>
        <v>0.72844600001578752</v>
      </c>
      <c r="BH123" s="268">
        <f t="shared" ca="1" si="102"/>
        <v>0.94669438471096956</v>
      </c>
      <c r="BI123" s="268">
        <f t="shared" ca="1" si="103"/>
        <v>0.86300046734938385</v>
      </c>
      <c r="BK123" s="266" t="str">
        <f t="shared" si="104"/>
        <v>16</v>
      </c>
      <c r="BM123" s="269" t="s">
        <v>1091</v>
      </c>
      <c r="BN123" s="270" t="str">
        <f t="shared" si="105"/>
        <v>4REVA</v>
      </c>
      <c r="BO123" s="270" t="str">
        <f>VLOOKUP($C123,STD!$C:$D,BO$17,0)</f>
        <v>087H 205/50R16 FSASZ</v>
      </c>
      <c r="BP123" s="270" t="str">
        <f>VLOOKUP($C123,STD!$C:$L,BP$17,0)</f>
        <v>REXVA</v>
      </c>
      <c r="BQ123" s="270" t="b">
        <f t="shared" si="106"/>
        <v>1</v>
      </c>
      <c r="BR123" s="270" t="b">
        <f t="shared" si="201"/>
        <v>0</v>
      </c>
    </row>
    <row r="124" spans="2:70" s="96" customFormat="1" ht="15" customHeight="1">
      <c r="B124" s="89"/>
      <c r="C124" s="478" t="s">
        <v>1040</v>
      </c>
      <c r="D124" s="479" t="str">
        <f t="shared" si="207"/>
        <v>088T 185/65R15 FSASZ</v>
      </c>
      <c r="E124" s="480" t="s">
        <v>1041</v>
      </c>
      <c r="F124" s="481">
        <v>4223</v>
      </c>
      <c r="G124" s="104">
        <f>INDEX('Tire Weight'!$D:$D,MATCH($C124&amp;"-"&amp;$E124,'Tire Weight'!$A:$A,0))</f>
        <v>7.6079999999999997</v>
      </c>
      <c r="H124" s="90">
        <f t="shared" si="0"/>
        <v>32128.583999999999</v>
      </c>
      <c r="I124" s="104">
        <f>INDEX('Tire Weight'!$E:$E,MATCH($C124&amp;"-"&amp;$E124,'Tire Weight'!$A:$A,0))</f>
        <v>3.677</v>
      </c>
      <c r="J124" s="90">
        <f t="shared" si="1"/>
        <v>15527.971</v>
      </c>
      <c r="K124" s="91"/>
      <c r="L124" s="34">
        <f>ROUND(VLOOKUP($C124,STD!$C:$AA,L$14,0),2)</f>
        <v>14.78</v>
      </c>
      <c r="M124" s="34">
        <f>ROUND(VLOOKUP($C124,STD!$C:$AA,M$14,0),2)</f>
        <v>4.87</v>
      </c>
      <c r="N124" s="34">
        <f>ROUND(VLOOKUP($C124,STD!$C:$AA,N$14,0),2)</f>
        <v>6.25</v>
      </c>
      <c r="O124" s="34">
        <f>ROUND(VLOOKUP($C124,STD!$C:$AA,O$14,0),2)-L124-M124-N124-P124</f>
        <v>5.5399999999999965</v>
      </c>
      <c r="P124" s="34">
        <f>ROUND(VLOOKUP($C124,STD!$C:$AA,P$14,0),2)</f>
        <v>0.46</v>
      </c>
      <c r="Q124" s="92">
        <f t="shared" si="79"/>
        <v>31.899999999999995</v>
      </c>
      <c r="R124" s="93">
        <f>ROUND(VLOOKUP($C124,STD!$C:$AA,R$14,0),2)-Q124</f>
        <v>0</v>
      </c>
      <c r="S124" s="91"/>
      <c r="T124" s="94">
        <f t="shared" si="80"/>
        <v>13.379044049316425</v>
      </c>
      <c r="U124" s="94">
        <f t="shared" ca="1" si="81"/>
        <v>5.015255958934385</v>
      </c>
      <c r="V124" s="94">
        <f t="shared" ca="1" si="82"/>
        <v>6.6795364026107524</v>
      </c>
      <c r="W124" s="94">
        <f t="shared" ca="1" si="83"/>
        <v>4.0355908400874601</v>
      </c>
      <c r="X124" s="94">
        <f t="shared" ca="1" si="84"/>
        <v>0.51608813120044972</v>
      </c>
      <c r="Y124" s="95">
        <f t="shared" ca="1" si="85"/>
        <v>29.625515382149469</v>
      </c>
      <c r="Z124" s="153"/>
      <c r="AA124" s="79">
        <f t="shared" si="86"/>
        <v>-1.4009559506835743</v>
      </c>
      <c r="AB124" s="79">
        <f t="shared" ca="1" si="87"/>
        <v>0.14525595893438492</v>
      </c>
      <c r="AC124" s="79">
        <f t="shared" ca="1" si="88"/>
        <v>0.42953640261075243</v>
      </c>
      <c r="AD124" s="79">
        <f t="shared" ca="1" si="89"/>
        <v>-1.5044091599125364</v>
      </c>
      <c r="AE124" s="79">
        <f t="shared" ca="1" si="90"/>
        <v>5.6088131200449698E-2</v>
      </c>
      <c r="AF124" s="79">
        <f t="shared" ca="1" si="91"/>
        <v>-2.2744846178505256</v>
      </c>
      <c r="AH124" s="97">
        <f t="shared" si="92"/>
        <v>62415.939999999995</v>
      </c>
      <c r="AI124" s="97">
        <f t="shared" si="93"/>
        <v>20566.010000000002</v>
      </c>
      <c r="AJ124" s="97">
        <f t="shared" si="94"/>
        <v>26393.75</v>
      </c>
      <c r="AK124" s="97">
        <f t="shared" si="95"/>
        <v>23395.419999999984</v>
      </c>
      <c r="AL124" s="97">
        <f t="shared" si="96"/>
        <v>1942.5800000000002</v>
      </c>
      <c r="AM124" s="97">
        <f t="shared" si="97"/>
        <v>134713.69999999998</v>
      </c>
      <c r="AN124" s="91"/>
      <c r="AO124" s="75">
        <f>SUMIFS('DM-Sum'!$M$6:$M$117,'DM-Sum'!$B$6:$B$117,$C124,'DM-Sum'!$C$6:$C$117, $E124)</f>
        <v>56499.703020263267</v>
      </c>
      <c r="AP124" s="75">
        <f t="shared" ca="1" si="203"/>
        <v>21179.425914579908</v>
      </c>
      <c r="AQ124" s="75">
        <f t="shared" ca="1" si="204"/>
        <v>28207.682228225207</v>
      </c>
      <c r="AR124" s="75">
        <f t="shared" ca="1" si="205"/>
        <v>17042.300117689345</v>
      </c>
      <c r="AS124" s="75">
        <f t="shared" ca="1" si="206"/>
        <v>2179.440178059499</v>
      </c>
      <c r="AT124" s="75">
        <f t="shared" ca="1" si="195"/>
        <v>125108.55145881722</v>
      </c>
      <c r="AV124" s="98">
        <f t="shared" si="202"/>
        <v>-5916.2369797367282</v>
      </c>
      <c r="AW124" s="98">
        <f t="shared" ca="1" si="196"/>
        <v>613.4159145799058</v>
      </c>
      <c r="AX124" s="98">
        <f t="shared" ca="1" si="197"/>
        <v>1813.9322282252069</v>
      </c>
      <c r="AY124" s="98">
        <f t="shared" ca="1" si="198"/>
        <v>-6353.1198823106388</v>
      </c>
      <c r="AZ124" s="98">
        <f t="shared" ca="1" si="199"/>
        <v>236.86017805949882</v>
      </c>
      <c r="BA124" s="98">
        <f t="shared" ca="1" si="200"/>
        <v>-9605.1485411827598</v>
      </c>
      <c r="BB124" s="99"/>
      <c r="BC124" s="100"/>
      <c r="BD124" s="267">
        <f t="shared" si="98"/>
        <v>0.90521272322844559</v>
      </c>
      <c r="BE124" s="268">
        <f t="shared" ca="1" si="99"/>
        <v>1.02982668561281</v>
      </c>
      <c r="BF124" s="268">
        <f t="shared" ca="1" si="100"/>
        <v>1.0687258244177205</v>
      </c>
      <c r="BG124" s="268">
        <f t="shared" ca="1" si="101"/>
        <v>0.72844600001578752</v>
      </c>
      <c r="BH124" s="268">
        <f t="shared" ca="1" si="102"/>
        <v>0.94420067236690275</v>
      </c>
      <c r="BI124" s="268">
        <f t="shared" ca="1" si="103"/>
        <v>0.92869954176017155</v>
      </c>
      <c r="BK124" s="266" t="str">
        <f t="shared" si="104"/>
        <v>15</v>
      </c>
      <c r="BM124" s="269" t="s">
        <v>1669</v>
      </c>
      <c r="BN124" s="270" t="str">
        <f t="shared" si="105"/>
        <v>4STVA</v>
      </c>
      <c r="BO124" s="270" t="str">
        <f>VLOOKUP($C124,STD!$C:$D,BO$17,0)</f>
        <v xml:space="preserve"> 185/65R15 FSASZ</v>
      </c>
      <c r="BP124" s="270" t="str">
        <f>VLOOKUP($C124,STD!$C:$L,BP$17,0)</f>
        <v>4STVA</v>
      </c>
      <c r="BQ124" s="270" t="b">
        <f t="shared" si="106"/>
        <v>0</v>
      </c>
      <c r="BR124" s="270" t="b">
        <f t="shared" si="201"/>
        <v>1</v>
      </c>
    </row>
    <row r="125" spans="2:70" s="96" customFormat="1" ht="15" customHeight="1">
      <c r="B125" s="89"/>
      <c r="C125" s="478" t="s">
        <v>1044</v>
      </c>
      <c r="D125" s="479" t="str">
        <f t="shared" si="207"/>
        <v>084T 175/65R15 FSASZ</v>
      </c>
      <c r="E125" s="480" t="s">
        <v>1045</v>
      </c>
      <c r="F125" s="481">
        <v>3071</v>
      </c>
      <c r="G125" s="104">
        <f>INDEX('Tire Weight'!$D:$D,MATCH($C125&amp;"-"&amp;$E125,'Tire Weight'!$A:$A,0))</f>
        <v>7.0960000000000001</v>
      </c>
      <c r="H125" s="90">
        <f t="shared" ref="H125:H129" si="208">F125*G125</f>
        <v>21791.815999999999</v>
      </c>
      <c r="I125" s="104">
        <f>INDEX('Tire Weight'!$E:$E,MATCH($C125&amp;"-"&amp;$E125,'Tire Weight'!$A:$A,0))</f>
        <v>3.4209999999999998</v>
      </c>
      <c r="J125" s="90">
        <f t="shared" ref="J125:J129" si="209">F125*I125</f>
        <v>10505.891</v>
      </c>
      <c r="K125" s="91"/>
      <c r="L125" s="34">
        <f>ROUND(VLOOKUP($C125,STD!$C:$AA,L$14,0),2)</f>
        <v>14.26</v>
      </c>
      <c r="M125" s="34">
        <f>ROUND(VLOOKUP($C125,STD!$C:$AA,M$14,0),2)</f>
        <v>4.74</v>
      </c>
      <c r="N125" s="34">
        <f>ROUND(VLOOKUP($C125,STD!$C:$AA,N$14,0),2)</f>
        <v>6.1</v>
      </c>
      <c r="O125" s="34">
        <f>ROUND(VLOOKUP($C125,STD!$C:$AA,O$14,0),2)-L125-M125-N125-P125</f>
        <v>5.370000000000001</v>
      </c>
      <c r="P125" s="34">
        <f>ROUND(VLOOKUP($C125,STD!$C:$AA,P$14,0),2)</f>
        <v>0.43</v>
      </c>
      <c r="Q125" s="92">
        <f t="shared" si="79"/>
        <v>30.900000000000002</v>
      </c>
      <c r="R125" s="93">
        <f>ROUND(VLOOKUP($C125,STD!$C:$AA,R$14,0),2)-Q125</f>
        <v>0</v>
      </c>
      <c r="S125" s="91"/>
      <c r="T125" s="94">
        <f t="shared" si="80"/>
        <v>12.846105217911751</v>
      </c>
      <c r="U125" s="94">
        <f t="shared" ca="1" si="81"/>
        <v>4.8813784898047192</v>
      </c>
      <c r="V125" s="94">
        <f t="shared" ca="1" si="82"/>
        <v>6.5192275289480941</v>
      </c>
      <c r="W125" s="94">
        <f t="shared" ca="1" si="83"/>
        <v>3.9117550200847804</v>
      </c>
      <c r="X125" s="94">
        <f t="shared" ca="1" si="84"/>
        <v>0.48243020960042027</v>
      </c>
      <c r="Y125" s="95">
        <f t="shared" ca="1" si="85"/>
        <v>28.640896466349762</v>
      </c>
      <c r="Z125" s="153"/>
      <c r="AA125" s="79">
        <f t="shared" si="86"/>
        <v>-1.4138947820882493</v>
      </c>
      <c r="AB125" s="79">
        <f t="shared" ca="1" si="87"/>
        <v>0.14137848980471901</v>
      </c>
      <c r="AC125" s="79">
        <f t="shared" ca="1" si="88"/>
        <v>0.41922752894809445</v>
      </c>
      <c r="AD125" s="79">
        <f t="shared" ca="1" si="89"/>
        <v>-1.4582449799152206</v>
      </c>
      <c r="AE125" s="79">
        <f t="shared" ca="1" si="90"/>
        <v>5.2430209600420274E-2</v>
      </c>
      <c r="AF125" s="79">
        <f t="shared" ca="1" si="91"/>
        <v>-2.2591035336502401</v>
      </c>
      <c r="AH125" s="97">
        <f t="shared" si="92"/>
        <v>43792.46</v>
      </c>
      <c r="AI125" s="97">
        <f t="shared" si="93"/>
        <v>14556.54</v>
      </c>
      <c r="AJ125" s="97">
        <f t="shared" si="94"/>
        <v>18733.099999999999</v>
      </c>
      <c r="AK125" s="97">
        <f t="shared" si="95"/>
        <v>16491.270000000004</v>
      </c>
      <c r="AL125" s="97">
        <f t="shared" si="96"/>
        <v>1320.53</v>
      </c>
      <c r="AM125" s="97">
        <f t="shared" si="97"/>
        <v>94893.900000000009</v>
      </c>
      <c r="AN125" s="91"/>
      <c r="AO125" s="75">
        <f>SUMIFS('DM-Sum'!$M$6:$M$117,'DM-Sum'!$B$6:$B$117,$C125,'DM-Sum'!$C$6:$C$117, $E125)</f>
        <v>39450.389124206988</v>
      </c>
      <c r="AP125" s="75">
        <f t="shared" ca="1" si="203"/>
        <v>14990.713342190293</v>
      </c>
      <c r="AQ125" s="75">
        <f t="shared" ca="1" si="204"/>
        <v>20020.547741399598</v>
      </c>
      <c r="AR125" s="75">
        <f t="shared" ca="1" si="205"/>
        <v>12012.99966668036</v>
      </c>
      <c r="AS125" s="75">
        <f t="shared" ca="1" si="206"/>
        <v>1481.5431736828907</v>
      </c>
      <c r="AT125" s="75">
        <f t="shared" ref="AT125:AT129" ca="1" si="210">SUM(AO125:AS125)</f>
        <v>87956.19304816013</v>
      </c>
      <c r="AV125" s="98">
        <f t="shared" si="202"/>
        <v>-4342.0708757930115</v>
      </c>
      <c r="AW125" s="98">
        <f t="shared" ref="AW125:AW129" ca="1" si="211">AP125-AI125</f>
        <v>434.17334219029181</v>
      </c>
      <c r="AX125" s="98">
        <f t="shared" ref="AX125:AX129" ca="1" si="212">AQ125-AJ125</f>
        <v>1287.4477413995992</v>
      </c>
      <c r="AY125" s="98">
        <f t="shared" ref="AY125:AY129" ca="1" si="213">AR125-AK125</f>
        <v>-4478.2703333196441</v>
      </c>
      <c r="AZ125" s="98">
        <f t="shared" ref="AZ125:AZ129" ca="1" si="214">AS125-AL125</f>
        <v>161.01317368289074</v>
      </c>
      <c r="BA125" s="98">
        <f t="shared" ref="BA125:BA129" ca="1" si="215">AT125-AM125</f>
        <v>-6937.7069518398785</v>
      </c>
      <c r="BB125" s="99"/>
      <c r="BC125" s="100"/>
      <c r="BD125" s="267">
        <f t="shared" si="98"/>
        <v>0.9008488932616936</v>
      </c>
      <c r="BE125" s="268">
        <f t="shared" ca="1" si="99"/>
        <v>1.02982668561281</v>
      </c>
      <c r="BF125" s="268">
        <f t="shared" ca="1" si="100"/>
        <v>1.0687258244177205</v>
      </c>
      <c r="BG125" s="268">
        <f t="shared" ca="1" si="101"/>
        <v>0.72844600001578763</v>
      </c>
      <c r="BH125" s="268">
        <f t="shared" ca="1" si="102"/>
        <v>0.94462437007017841</v>
      </c>
      <c r="BI125" s="268">
        <f t="shared" ca="1" si="103"/>
        <v>0.92688985327992746</v>
      </c>
      <c r="BK125" s="266" t="str">
        <f t="shared" si="104"/>
        <v>15</v>
      </c>
      <c r="BM125" s="269" t="s">
        <v>1092</v>
      </c>
      <c r="BN125" s="270" t="str">
        <f t="shared" si="105"/>
        <v>4XTVA</v>
      </c>
      <c r="BO125" s="270" t="str">
        <f>VLOOKUP($C125,STD!$C:$D,BO$17,0)</f>
        <v>084T 175/65R15 FSASZ</v>
      </c>
      <c r="BP125" s="270" t="str">
        <f>VLOOKUP($C125,STD!$C:$L,BP$17,0)</f>
        <v>LXTVA</v>
      </c>
      <c r="BQ125" s="270" t="b">
        <f t="shared" si="106"/>
        <v>1</v>
      </c>
      <c r="BR125" s="270" t="b">
        <f t="shared" ref="BR125:BR129" si="216">BN125=BP125</f>
        <v>0</v>
      </c>
    </row>
    <row r="126" spans="2:70" s="96" customFormat="1" ht="15" customHeight="1">
      <c r="B126" s="89"/>
      <c r="C126" s="478" t="s">
        <v>332</v>
      </c>
      <c r="D126" s="479" t="str">
        <f t="shared" si="207"/>
        <v>093V 215/55R16 EP3AZ</v>
      </c>
      <c r="E126" s="480" t="s">
        <v>333</v>
      </c>
      <c r="F126" s="481">
        <v>1</v>
      </c>
      <c r="G126" s="104">
        <f>INDEX('Tire Weight'!$D:$D,MATCH($C126&amp;"-"&amp;$E126,'Tire Weight'!$A:$A,0))</f>
        <v>9.7729999999999997</v>
      </c>
      <c r="H126" s="90">
        <f t="shared" si="208"/>
        <v>9.7729999999999997</v>
      </c>
      <c r="I126" s="104">
        <f>INDEX('Tire Weight'!$E:$E,MATCH($C126&amp;"-"&amp;$E126,'Tire Weight'!$A:$A,0))</f>
        <v>4.7149999999999999</v>
      </c>
      <c r="J126" s="90">
        <f t="shared" si="209"/>
        <v>4.7149999999999999</v>
      </c>
      <c r="K126" s="91"/>
      <c r="L126" s="34">
        <f>ROUND(VLOOKUP($C126,STD!$C:$AA,L$14,0),2)</f>
        <v>23.53</v>
      </c>
      <c r="M126" s="34">
        <f>ROUND(VLOOKUP($C126,STD!$C:$AA,M$14,0),2)</f>
        <v>4.6399999999999997</v>
      </c>
      <c r="N126" s="34">
        <f>ROUND(VLOOKUP($C126,STD!$C:$AA,N$14,0),2)</f>
        <v>5.98</v>
      </c>
      <c r="O126" s="34">
        <f>ROUND(VLOOKUP($C126,STD!$C:$AA,O$14,0),2)-L126-M126-N126-P126</f>
        <v>5.3299999999999974</v>
      </c>
      <c r="P126" s="34">
        <f>ROUND(VLOOKUP($C126,STD!$C:$AA,P$14,0),2)</f>
        <v>0.7</v>
      </c>
      <c r="Q126" s="92">
        <f t="shared" ref="Q126:Q129" si="217">SUM(L126:P126)</f>
        <v>40.180000000000007</v>
      </c>
      <c r="R126" s="93">
        <f>ROUND(VLOOKUP($C126,STD!$C:$AA,R$14,0),2)-Q126</f>
        <v>0</v>
      </c>
      <c r="S126" s="91"/>
      <c r="T126" s="94">
        <f t="shared" ref="T126:T129" si="218">AO126/F126</f>
        <v>18.917397029386542</v>
      </c>
      <c r="U126" s="94">
        <f t="shared" ref="U126:U129" ca="1" si="219">AP126/F126</f>
        <v>4.7783958212434383</v>
      </c>
      <c r="V126" s="94">
        <f t="shared" ref="V126:V129" ca="1" si="220">AQ126/F126</f>
        <v>6.3909804300179678</v>
      </c>
      <c r="W126" s="94">
        <f t="shared" ref="W126:W129" ca="1" si="221">AR126/F126</f>
        <v>3.8826171800841456</v>
      </c>
      <c r="X126" s="94">
        <f t="shared" ref="X126:X129" ca="1" si="222">AS126/F126</f>
        <v>0.78535150400068421</v>
      </c>
      <c r="Y126" s="95">
        <f t="shared" ref="Y126:Y129" ca="1" si="223">SUM(T126:X126)</f>
        <v>34.75474196473278</v>
      </c>
      <c r="Z126" s="153"/>
      <c r="AA126" s="79">
        <f t="shared" ref="AA126:AA129" si="224">T126-L126</f>
        <v>-4.6126029706134588</v>
      </c>
      <c r="AB126" s="79">
        <f t="shared" ref="AB126:AB129" ca="1" si="225">U126-M126</f>
        <v>0.13839582124343863</v>
      </c>
      <c r="AC126" s="79">
        <f t="shared" ref="AC126:AC129" ca="1" si="226">V126-N126</f>
        <v>0.41098043001796736</v>
      </c>
      <c r="AD126" s="79">
        <f t="shared" ref="AD126:AD129" ca="1" si="227">W126-O126</f>
        <v>-1.4473828199158518</v>
      </c>
      <c r="AE126" s="79">
        <f t="shared" ref="AE126:AE129" ca="1" si="228">X126-P126</f>
        <v>8.5351504000684253E-2</v>
      </c>
      <c r="AF126" s="79">
        <f t="shared" ref="AF126:AF129" ca="1" si="229">Y126-Q126</f>
        <v>-5.4252580352672268</v>
      </c>
      <c r="AH126" s="97">
        <f t="shared" ref="AH126:AH129" si="230">$F126*L126</f>
        <v>23.53</v>
      </c>
      <c r="AI126" s="97">
        <f t="shared" ref="AI126:AI129" si="231">$F126*M126</f>
        <v>4.6399999999999997</v>
      </c>
      <c r="AJ126" s="97">
        <f t="shared" ref="AJ126:AJ129" si="232">$F126*N126</f>
        <v>5.98</v>
      </c>
      <c r="AK126" s="97">
        <f t="shared" ref="AK126:AK129" si="233">$F126*O126</f>
        <v>5.3299999999999974</v>
      </c>
      <c r="AL126" s="97">
        <f t="shared" ref="AL126:AL129" si="234">$F126*P126</f>
        <v>0.7</v>
      </c>
      <c r="AM126" s="97">
        <f t="shared" ref="AM126:AM129" si="235">SUM(AH126:AL126)</f>
        <v>40.180000000000007</v>
      </c>
      <c r="AN126" s="91"/>
      <c r="AO126" s="75">
        <f>SUMIFS('DM-Sum'!$M$6:$M$117,'DM-Sum'!$B$6:$B$117,$C126,'DM-Sum'!$C$6:$C$117, $E126)</f>
        <v>18.917397029386542</v>
      </c>
      <c r="AP126" s="75">
        <f t="shared" ca="1" si="203"/>
        <v>4.7783958212434383</v>
      </c>
      <c r="AQ126" s="75">
        <f t="shared" ca="1" si="204"/>
        <v>6.3909804300179678</v>
      </c>
      <c r="AR126" s="75">
        <f t="shared" ca="1" si="205"/>
        <v>3.8826171800841456</v>
      </c>
      <c r="AS126" s="75">
        <f t="shared" ca="1" si="206"/>
        <v>0.78535150400068421</v>
      </c>
      <c r="AT126" s="75">
        <f t="shared" ca="1" si="210"/>
        <v>34.75474196473278</v>
      </c>
      <c r="AV126" s="98">
        <f t="shared" si="202"/>
        <v>-4.6126029706134588</v>
      </c>
      <c r="AW126" s="98">
        <f t="shared" ca="1" si="211"/>
        <v>0.13839582124343863</v>
      </c>
      <c r="AX126" s="98">
        <f t="shared" ca="1" si="212"/>
        <v>0.41098043001796736</v>
      </c>
      <c r="AY126" s="98">
        <f t="shared" ca="1" si="213"/>
        <v>-1.4473828199158518</v>
      </c>
      <c r="AZ126" s="98">
        <f t="shared" ca="1" si="214"/>
        <v>8.5351504000684253E-2</v>
      </c>
      <c r="BA126" s="98">
        <f t="shared" ca="1" si="215"/>
        <v>-5.4252580352672268</v>
      </c>
      <c r="BB126" s="99"/>
      <c r="BC126" s="100"/>
      <c r="BD126" s="267">
        <f t="shared" ref="BD126:BD129" si="236">+T126/L126</f>
        <v>0.80396927451706512</v>
      </c>
      <c r="BE126" s="268">
        <f t="shared" ref="BE126:BE129" ca="1" si="237">+U126/M126</f>
        <v>1.02982668561281</v>
      </c>
      <c r="BF126" s="268">
        <f t="shared" ref="BF126:BF129" ca="1" si="238">+V126/N126</f>
        <v>1.0687258244177202</v>
      </c>
      <c r="BG126" s="268">
        <f t="shared" ref="BG126:BG129" ca="1" si="239">+W126/O126</f>
        <v>0.72844600001578752</v>
      </c>
      <c r="BH126" s="268">
        <f t="shared" ref="BH126:BH129" ca="1" si="240">+SUM(U126:W126)/SUM(M126:O126)</f>
        <v>0.9436986477332634</v>
      </c>
      <c r="BI126" s="268">
        <f t="shared" ref="BI126:BI129" ca="1" si="241">+Y126/Q126</f>
        <v>0.86497615641445436</v>
      </c>
      <c r="BK126" s="266" t="str">
        <f t="shared" ref="BK126:BK129" si="242">MID(D126,SEARCH("R",D126)+1,2)</f>
        <v>16</v>
      </c>
      <c r="BM126" s="269" t="s">
        <v>1670</v>
      </c>
      <c r="BN126" s="270" t="str">
        <f t="shared" ref="BN126:BN129" si="243">E126</f>
        <v>GKPVA</v>
      </c>
      <c r="BO126" s="270" t="str">
        <f>VLOOKUP($C126,STD!$C:$D,BO$17,0)</f>
        <v>093V 215/55R16 EP3AZ</v>
      </c>
      <c r="BP126" s="270" t="str">
        <f>VLOOKUP($C126,STD!$C:$L,BP$17,0)</f>
        <v>GKPVA</v>
      </c>
      <c r="BQ126" s="270" t="b">
        <f t="shared" ref="BQ126:BQ129" si="244">IF(AND(LEFT(BM126,1)="0",LEFT(BO126,1)&lt;&gt;"0"), SUBSTITUTE(BM126," ","")=SUBSTITUTE("0" &amp; BO126," ",""), SUBSTITUTE(BM126," ","")=SUBSTITUTE(BO126," ",""))</f>
        <v>1</v>
      </c>
      <c r="BR126" s="270" t="b">
        <f t="shared" si="216"/>
        <v>1</v>
      </c>
    </row>
    <row r="127" spans="2:70" s="96" customFormat="1" ht="15" customHeight="1">
      <c r="B127" s="89"/>
      <c r="C127" s="478" t="s">
        <v>477</v>
      </c>
      <c r="D127" s="479" t="str">
        <f t="shared" si="207"/>
        <v>103V 245/55R19 AL011Z</v>
      </c>
      <c r="E127" s="480" t="s">
        <v>485</v>
      </c>
      <c r="F127" s="481">
        <v>89</v>
      </c>
      <c r="G127" s="104">
        <f>INDEX('Tire Weight'!$D:$D,MATCH($C127&amp;"-"&amp;$E127,'Tire Weight'!$A:$A,0))</f>
        <v>15.115</v>
      </c>
      <c r="H127" s="90">
        <f t="shared" si="208"/>
        <v>1345.2350000000001</v>
      </c>
      <c r="I127" s="104">
        <f>INDEX('Tire Weight'!$E:$E,MATCH($C127&amp;"-"&amp;$E127,'Tire Weight'!$A:$A,0))</f>
        <v>6.976</v>
      </c>
      <c r="J127" s="90">
        <f t="shared" si="209"/>
        <v>620.86400000000003</v>
      </c>
      <c r="K127" s="91"/>
      <c r="L127" s="34">
        <f>ROUND(VLOOKUP($C127,STD!$C:$AA,L$14,0),2)</f>
        <v>32.24</v>
      </c>
      <c r="M127" s="34">
        <f>ROUND(VLOOKUP($C127,STD!$C:$AA,M$14,0),2)</f>
        <v>7.75</v>
      </c>
      <c r="N127" s="34">
        <f>ROUND(VLOOKUP($C127,STD!$C:$AA,N$14,0),2)</f>
        <v>10.43</v>
      </c>
      <c r="O127" s="34">
        <f>ROUND(VLOOKUP($C127,STD!$C:$AA,O$14,0),2)-L127-M127-N127-P127</f>
        <v>9.8899999999999952</v>
      </c>
      <c r="P127" s="34">
        <f>ROUND(VLOOKUP($C127,STD!$C:$AA,P$14,0),2)</f>
        <v>0.92</v>
      </c>
      <c r="Q127" s="92">
        <f t="shared" si="217"/>
        <v>61.23</v>
      </c>
      <c r="R127" s="93">
        <f>ROUND(VLOOKUP($C127,STD!$C:$AA,R$14,0),2)-Q127</f>
        <v>0</v>
      </c>
      <c r="S127" s="91"/>
      <c r="T127" s="94">
        <f t="shared" si="218"/>
        <v>30.291004502291344</v>
      </c>
      <c r="U127" s="94">
        <f t="shared" ca="1" si="219"/>
        <v>7.9811568134992772</v>
      </c>
      <c r="V127" s="94">
        <f t="shared" ca="1" si="220"/>
        <v>11.146810348676825</v>
      </c>
      <c r="W127" s="94">
        <f t="shared" ca="1" si="221"/>
        <v>7.2043309401561357</v>
      </c>
      <c r="X127" s="94">
        <f t="shared" ca="1" si="222"/>
        <v>1.0321762624008994</v>
      </c>
      <c r="Y127" s="95">
        <f t="shared" ca="1" si="223"/>
        <v>57.655478867024478</v>
      </c>
      <c r="Z127" s="153"/>
      <c r="AA127" s="79">
        <f t="shared" si="224"/>
        <v>-1.9489954977086583</v>
      </c>
      <c r="AB127" s="79">
        <f t="shared" ca="1" si="225"/>
        <v>0.23115681349927719</v>
      </c>
      <c r="AC127" s="79">
        <f t="shared" ca="1" si="226"/>
        <v>0.71681034867682492</v>
      </c>
      <c r="AD127" s="79">
        <f t="shared" ca="1" si="227"/>
        <v>-2.6856690598438595</v>
      </c>
      <c r="AE127" s="79">
        <f t="shared" ca="1" si="228"/>
        <v>0.1121762624008994</v>
      </c>
      <c r="AF127" s="79">
        <f t="shared" ca="1" si="229"/>
        <v>-3.5745211329755193</v>
      </c>
      <c r="AH127" s="97">
        <f t="shared" si="230"/>
        <v>2869.36</v>
      </c>
      <c r="AI127" s="97">
        <f t="shared" si="231"/>
        <v>689.75</v>
      </c>
      <c r="AJ127" s="97">
        <f t="shared" si="232"/>
        <v>928.27</v>
      </c>
      <c r="AK127" s="97">
        <f t="shared" si="233"/>
        <v>880.20999999999958</v>
      </c>
      <c r="AL127" s="97">
        <f t="shared" si="234"/>
        <v>81.88000000000001</v>
      </c>
      <c r="AM127" s="97">
        <f t="shared" si="235"/>
        <v>5449.47</v>
      </c>
      <c r="AN127" s="91"/>
      <c r="AO127" s="75">
        <f>SUMIFS('DM-Sum'!$M$6:$M$117,'DM-Sum'!$B$6:$B$117,$C127,'DM-Sum'!$C$6:$C$117, $E127)</f>
        <v>2695.8994007039296</v>
      </c>
      <c r="AP127" s="75">
        <f t="shared" ca="1" si="203"/>
        <v>710.3229564014357</v>
      </c>
      <c r="AQ127" s="75">
        <f t="shared" ca="1" si="204"/>
        <v>992.06612103223733</v>
      </c>
      <c r="AR127" s="75">
        <f t="shared" ca="1" si="205"/>
        <v>641.18545367389606</v>
      </c>
      <c r="AS127" s="75">
        <f t="shared" ca="1" si="206"/>
        <v>91.863687353680049</v>
      </c>
      <c r="AT127" s="75">
        <f t="shared" ca="1" si="210"/>
        <v>5131.3376191651787</v>
      </c>
      <c r="AV127" s="98">
        <f t="shared" si="202"/>
        <v>-173.46059929607054</v>
      </c>
      <c r="AW127" s="98">
        <f t="shared" ca="1" si="211"/>
        <v>20.572956401435704</v>
      </c>
      <c r="AX127" s="98">
        <f t="shared" ca="1" si="212"/>
        <v>63.796121032237352</v>
      </c>
      <c r="AY127" s="98">
        <f t="shared" ca="1" si="213"/>
        <v>-239.02454632610352</v>
      </c>
      <c r="AZ127" s="98">
        <f t="shared" ca="1" si="214"/>
        <v>9.9836873536800397</v>
      </c>
      <c r="BA127" s="98">
        <f t="shared" ca="1" si="215"/>
        <v>-318.13238083482156</v>
      </c>
      <c r="BB127" s="99"/>
      <c r="BC127" s="100"/>
      <c r="BD127" s="267">
        <f t="shared" si="236"/>
        <v>0.93954728605122029</v>
      </c>
      <c r="BE127" s="268">
        <f t="shared" ca="1" si="237"/>
        <v>1.02982668561281</v>
      </c>
      <c r="BF127" s="268">
        <f t="shared" ca="1" si="238"/>
        <v>1.0687258244177205</v>
      </c>
      <c r="BG127" s="268">
        <f t="shared" ca="1" si="239"/>
        <v>0.72844600001578763</v>
      </c>
      <c r="BH127" s="268">
        <f t="shared" ca="1" si="240"/>
        <v>0.93809398298297986</v>
      </c>
      <c r="BI127" s="268">
        <f t="shared" ca="1" si="241"/>
        <v>0.94162140890126544</v>
      </c>
      <c r="BK127" s="266" t="str">
        <f t="shared" si="242"/>
        <v>19</v>
      </c>
      <c r="BM127" s="269" t="s">
        <v>1204</v>
      </c>
      <c r="BN127" s="270" t="str">
        <f t="shared" si="243"/>
        <v>ZX4KA</v>
      </c>
      <c r="BO127" s="270" t="str">
        <f>VLOOKUP($C127,STD!$C:$D,BO$17,0)</f>
        <v>103V 245/55R19 AL011Z</v>
      </c>
      <c r="BP127" s="270" t="str">
        <f>VLOOKUP($C127,STD!$C:$L,BP$17,0)</f>
        <v>ZX4KA</v>
      </c>
      <c r="BQ127" s="270" t="b">
        <f t="shared" si="244"/>
        <v>1</v>
      </c>
      <c r="BR127" s="270" t="b">
        <f t="shared" si="216"/>
        <v>1</v>
      </c>
    </row>
    <row r="128" spans="2:70" s="96" customFormat="1" ht="15" customHeight="1">
      <c r="B128" s="89"/>
      <c r="C128" s="478" t="s">
        <v>1005</v>
      </c>
      <c r="D128" s="479" t="str">
        <f t="shared" si="207"/>
        <v>99T 225/60R17 FSASZ</v>
      </c>
      <c r="E128" s="480" t="s">
        <v>1021</v>
      </c>
      <c r="F128" s="481">
        <v>94</v>
      </c>
      <c r="G128" s="104">
        <f>INDEX('Tire Weight'!$D:$D,MATCH($C128&amp;"-"&amp;$E128,'Tire Weight'!$A:$A,0))</f>
        <v>10.816000000000001</v>
      </c>
      <c r="H128" s="90">
        <f t="shared" si="208"/>
        <v>1016.7040000000001</v>
      </c>
      <c r="I128" s="104">
        <f>INDEX('Tire Weight'!$E:$E,MATCH($C128&amp;"-"&amp;$E128,'Tire Weight'!$A:$A,0))</f>
        <v>5.125</v>
      </c>
      <c r="J128" s="90">
        <f t="shared" si="209"/>
        <v>481.75</v>
      </c>
      <c r="K128" s="91"/>
      <c r="L128" s="34">
        <f>ROUND(VLOOKUP($C128,STD!$C:$AA,L$14,0),2)</f>
        <v>21.25</v>
      </c>
      <c r="M128" s="34">
        <f>ROUND(VLOOKUP($C128,STD!$C:$AA,M$14,0),2)</f>
        <v>6.26</v>
      </c>
      <c r="N128" s="34">
        <f>ROUND(VLOOKUP($C128,STD!$C:$AA,N$14,0),2)</f>
        <v>8.07</v>
      </c>
      <c r="O128" s="34">
        <f>ROUND(VLOOKUP($C128,STD!$C:$AA,O$14,0),2)-L128-M128-N128-P128</f>
        <v>7.3300000000000036</v>
      </c>
      <c r="P128" s="34">
        <f>ROUND(VLOOKUP($C128,STD!$C:$AA,P$14,0),2)</f>
        <v>0.65</v>
      </c>
      <c r="Q128" s="92">
        <f t="shared" si="217"/>
        <v>43.56</v>
      </c>
      <c r="R128" s="93">
        <f>ROUND(VLOOKUP($C128,STD!$C:$AA,R$14,0),2)-Q128</f>
        <v>0</v>
      </c>
      <c r="S128" s="91"/>
      <c r="T128" s="94">
        <f t="shared" si="218"/>
        <v>19.810123648722811</v>
      </c>
      <c r="U128" s="94">
        <f t="shared" ca="1" si="219"/>
        <v>6.4467150519361898</v>
      </c>
      <c r="V128" s="94">
        <f t="shared" ca="1" si="220"/>
        <v>8.624617403051003</v>
      </c>
      <c r="W128" s="94">
        <f t="shared" ca="1" si="221"/>
        <v>5.3395091801157255</v>
      </c>
      <c r="X128" s="94">
        <f t="shared" ca="1" si="222"/>
        <v>0.72925496800063538</v>
      </c>
      <c r="Y128" s="95">
        <f t="shared" ca="1" si="223"/>
        <v>40.950220251826373</v>
      </c>
      <c r="Z128" s="153"/>
      <c r="AA128" s="79">
        <f t="shared" si="224"/>
        <v>-1.4398763512771886</v>
      </c>
      <c r="AB128" s="79">
        <f t="shared" ca="1" si="225"/>
        <v>0.18671505193618998</v>
      </c>
      <c r="AC128" s="79">
        <f t="shared" ca="1" si="226"/>
        <v>0.55461740305100271</v>
      </c>
      <c r="AD128" s="79">
        <f t="shared" ca="1" si="227"/>
        <v>-1.9904908198842781</v>
      </c>
      <c r="AE128" s="79">
        <f t="shared" ca="1" si="228"/>
        <v>7.9254968000635362E-2</v>
      </c>
      <c r="AF128" s="79">
        <f t="shared" ca="1" si="229"/>
        <v>-2.6097797481736293</v>
      </c>
      <c r="AH128" s="97">
        <f t="shared" si="230"/>
        <v>1997.5</v>
      </c>
      <c r="AI128" s="97">
        <f t="shared" si="231"/>
        <v>588.43999999999994</v>
      </c>
      <c r="AJ128" s="97">
        <f t="shared" si="232"/>
        <v>758.58</v>
      </c>
      <c r="AK128" s="97">
        <f t="shared" si="233"/>
        <v>689.02000000000032</v>
      </c>
      <c r="AL128" s="97">
        <f t="shared" si="234"/>
        <v>61.1</v>
      </c>
      <c r="AM128" s="97">
        <f t="shared" si="235"/>
        <v>4094.6400000000003</v>
      </c>
      <c r="AN128" s="91"/>
      <c r="AO128" s="75">
        <f>SUMIFS('DM-Sum'!$M$6:$M$117,'DM-Sum'!$B$6:$B$117,$C128,'DM-Sum'!$C$6:$C$117, $E128)</f>
        <v>1862.1516229799442</v>
      </c>
      <c r="AP128" s="75">
        <f t="shared" ca="1" si="203"/>
        <v>605.99121488200183</v>
      </c>
      <c r="AQ128" s="75">
        <f t="shared" ca="1" si="204"/>
        <v>810.71403588679436</v>
      </c>
      <c r="AR128" s="75">
        <f t="shared" ca="1" si="205"/>
        <v>501.91386293087822</v>
      </c>
      <c r="AS128" s="75">
        <f t="shared" ca="1" si="206"/>
        <v>68.549966992059723</v>
      </c>
      <c r="AT128" s="75">
        <f t="shared" ca="1" si="210"/>
        <v>3849.3207036716781</v>
      </c>
      <c r="AV128" s="98">
        <f t="shared" si="202"/>
        <v>-135.34837702005575</v>
      </c>
      <c r="AW128" s="98">
        <f t="shared" ca="1" si="211"/>
        <v>17.551214882001887</v>
      </c>
      <c r="AX128" s="98">
        <f t="shared" ca="1" si="212"/>
        <v>52.134035886794322</v>
      </c>
      <c r="AY128" s="98">
        <f t="shared" ca="1" si="213"/>
        <v>-187.1061370691221</v>
      </c>
      <c r="AZ128" s="98">
        <f t="shared" ca="1" si="214"/>
        <v>7.4499669920597213</v>
      </c>
      <c r="BA128" s="98">
        <f t="shared" ca="1" si="215"/>
        <v>-245.31929632832225</v>
      </c>
      <c r="BB128" s="99"/>
      <c r="BC128" s="100"/>
      <c r="BD128" s="267">
        <f t="shared" si="236"/>
        <v>0.93224111288107347</v>
      </c>
      <c r="BE128" s="268">
        <f t="shared" ca="1" si="237"/>
        <v>1.02982668561281</v>
      </c>
      <c r="BF128" s="268">
        <f t="shared" ca="1" si="238"/>
        <v>1.0687258244177202</v>
      </c>
      <c r="BG128" s="268">
        <f t="shared" ca="1" si="239"/>
        <v>0.72844600001578752</v>
      </c>
      <c r="BH128" s="268">
        <f t="shared" ca="1" si="240"/>
        <v>0.9423287920176785</v>
      </c>
      <c r="BI128" s="268">
        <f t="shared" ca="1" si="241"/>
        <v>0.94008770091428762</v>
      </c>
      <c r="BK128" s="266" t="str">
        <f t="shared" si="242"/>
        <v>17</v>
      </c>
      <c r="BM128" s="269" t="s">
        <v>1267</v>
      </c>
      <c r="BN128" s="270" t="str">
        <f t="shared" si="243"/>
        <v>QTTZA</v>
      </c>
      <c r="BO128" s="270" t="str">
        <f>VLOOKUP($C128,STD!$C:$D,BO$17,0)</f>
        <v>99T 225/60R17 FSASZ</v>
      </c>
      <c r="BP128" s="270" t="str">
        <f>VLOOKUP($C128,STD!$C:$L,BP$17,0)</f>
        <v>QTTZA</v>
      </c>
      <c r="BQ128" s="270" t="b">
        <f t="shared" si="244"/>
        <v>1</v>
      </c>
      <c r="BR128" s="270" t="b">
        <f t="shared" si="216"/>
        <v>1</v>
      </c>
    </row>
    <row r="129" spans="2:70" s="96" customFormat="1" ht="15" customHeight="1">
      <c r="B129" s="89"/>
      <c r="C129" s="478" t="s">
        <v>1015</v>
      </c>
      <c r="D129" s="479" t="str">
        <f t="shared" si="207"/>
        <v>225/60R16 FSASZ</v>
      </c>
      <c r="E129" s="480" t="s">
        <v>1031</v>
      </c>
      <c r="F129" s="481">
        <v>3142</v>
      </c>
      <c r="G129" s="104">
        <f>INDEX('Tire Weight'!$D:$D,MATCH($C129&amp;"-"&amp;$E129,'Tire Weight'!$A:$A,0))</f>
        <v>10.016999999999999</v>
      </c>
      <c r="H129" s="90">
        <f t="shared" si="208"/>
        <v>31473.413999999997</v>
      </c>
      <c r="I129" s="104">
        <f>INDEX('Tire Weight'!$E:$E,MATCH($C129&amp;"-"&amp;$E129,'Tire Weight'!$A:$A,0))</f>
        <v>4.79</v>
      </c>
      <c r="J129" s="90">
        <f t="shared" si="209"/>
        <v>15050.18</v>
      </c>
      <c r="K129" s="91"/>
      <c r="L129" s="34">
        <f>ROUND(VLOOKUP($C129,STD!$C:$AA,L$14,0),2)</f>
        <v>19.760000000000002</v>
      </c>
      <c r="M129" s="34">
        <f>ROUND(VLOOKUP($C129,STD!$C:$AA,M$14,0),2)</f>
        <v>5.9</v>
      </c>
      <c r="N129" s="34">
        <f>ROUND(VLOOKUP($C129,STD!$C:$AA,N$14,0),2)</f>
        <v>7.45</v>
      </c>
      <c r="O129" s="34">
        <f>ROUND(VLOOKUP($C129,STD!$C:$AA,O$14,0),2)-L129-M129-N129-P129</f>
        <v>6.8199999999999967</v>
      </c>
      <c r="P129" s="34">
        <f>ROUND(VLOOKUP($C129,STD!$C:$AA,P$14,0),2)</f>
        <v>0.61</v>
      </c>
      <c r="Q129" s="92">
        <f t="shared" si="217"/>
        <v>40.540000000000006</v>
      </c>
      <c r="R129" s="93">
        <f>ROUND(VLOOKUP($C129,STD!$C:$AA,R$14,0),2)-Q129</f>
        <v>0</v>
      </c>
      <c r="S129" s="91"/>
      <c r="T129" s="94">
        <f t="shared" si="218"/>
        <v>18.374248720897295</v>
      </c>
      <c r="U129" s="94">
        <f t="shared" ca="1" si="219"/>
        <v>6.0759774451155799</v>
      </c>
      <c r="V129" s="94">
        <f t="shared" ca="1" si="220"/>
        <v>7.9620073919120173</v>
      </c>
      <c r="W129" s="94">
        <f t="shared" ca="1" si="221"/>
        <v>4.9680017201076687</v>
      </c>
      <c r="X129" s="94">
        <f t="shared" ca="1" si="222"/>
        <v>0.6843777392005963</v>
      </c>
      <c r="Y129" s="95">
        <f t="shared" ca="1" si="223"/>
        <v>38.064613017233157</v>
      </c>
      <c r="Z129" s="153"/>
      <c r="AA129" s="79">
        <f t="shared" si="224"/>
        <v>-1.3857512791027062</v>
      </c>
      <c r="AB129" s="79">
        <f t="shared" ca="1" si="225"/>
        <v>0.17597744511557956</v>
      </c>
      <c r="AC129" s="79">
        <f t="shared" ca="1" si="226"/>
        <v>0.51200739191201716</v>
      </c>
      <c r="AD129" s="79">
        <f t="shared" ca="1" si="227"/>
        <v>-1.851998279892328</v>
      </c>
      <c r="AE129" s="79">
        <f t="shared" ca="1" si="228"/>
        <v>7.4377739200596316E-2</v>
      </c>
      <c r="AF129" s="79">
        <f t="shared" ca="1" si="229"/>
        <v>-2.4753869827668495</v>
      </c>
      <c r="AH129" s="97">
        <f t="shared" si="230"/>
        <v>62085.920000000006</v>
      </c>
      <c r="AI129" s="97">
        <f t="shared" si="231"/>
        <v>18537.800000000003</v>
      </c>
      <c r="AJ129" s="97">
        <f t="shared" si="232"/>
        <v>23407.9</v>
      </c>
      <c r="AK129" s="97">
        <f t="shared" si="233"/>
        <v>21428.439999999991</v>
      </c>
      <c r="AL129" s="97">
        <f t="shared" si="234"/>
        <v>1916.62</v>
      </c>
      <c r="AM129" s="97">
        <f t="shared" si="235"/>
        <v>127376.67999999998</v>
      </c>
      <c r="AN129" s="91"/>
      <c r="AO129" s="75">
        <f>SUMIFS('DM-Sum'!$M$6:$M$117,'DM-Sum'!$B$6:$B$117,$C129,'DM-Sum'!$C$6:$C$117, $E129)</f>
        <v>57731.889481059297</v>
      </c>
      <c r="AP129" s="75">
        <f t="shared" ca="1" si="203"/>
        <v>19090.721132553153</v>
      </c>
      <c r="AQ129" s="75">
        <f t="shared" ca="1" si="204"/>
        <v>25016.627225387558</v>
      </c>
      <c r="AR129" s="75">
        <f t="shared" ca="1" si="205"/>
        <v>15609.461404578295</v>
      </c>
      <c r="AS129" s="75">
        <f t="shared" ca="1" si="206"/>
        <v>2150.3148565682736</v>
      </c>
      <c r="AT129" s="75">
        <f t="shared" ca="1" si="210"/>
        <v>119599.01410014658</v>
      </c>
      <c r="AV129" s="98">
        <f t="shared" si="202"/>
        <v>-4354.0305189407081</v>
      </c>
      <c r="AW129" s="98">
        <f t="shared" ca="1" si="211"/>
        <v>552.92113255315053</v>
      </c>
      <c r="AX129" s="98">
        <f t="shared" ca="1" si="212"/>
        <v>1608.7272253875562</v>
      </c>
      <c r="AY129" s="98">
        <f t="shared" ca="1" si="213"/>
        <v>-5818.9785954216968</v>
      </c>
      <c r="AZ129" s="98">
        <f t="shared" ca="1" si="214"/>
        <v>233.69485656827374</v>
      </c>
      <c r="BA129" s="98">
        <f t="shared" ca="1" si="215"/>
        <v>-7777.6658998533967</v>
      </c>
      <c r="BB129" s="99"/>
      <c r="BC129" s="100"/>
      <c r="BD129" s="267">
        <f t="shared" si="236"/>
        <v>0.92987088668508577</v>
      </c>
      <c r="BE129" s="268">
        <f t="shared" ca="1" si="237"/>
        <v>1.02982668561281</v>
      </c>
      <c r="BF129" s="268">
        <f t="shared" ca="1" si="238"/>
        <v>1.0687258244177205</v>
      </c>
      <c r="BG129" s="268">
        <f t="shared" ca="1" si="239"/>
        <v>0.72844600001578752</v>
      </c>
      <c r="BH129" s="268">
        <f t="shared" ca="1" si="240"/>
        <v>0.9422898640126558</v>
      </c>
      <c r="BI129" s="268">
        <f t="shared" ca="1" si="241"/>
        <v>0.93893964028695487</v>
      </c>
      <c r="BK129" s="266" t="str">
        <f t="shared" si="242"/>
        <v>16</v>
      </c>
      <c r="BM129" s="269" t="s">
        <v>1280</v>
      </c>
      <c r="BN129" s="270" t="str">
        <f t="shared" si="243"/>
        <v>4HXVA</v>
      </c>
      <c r="BO129" s="270" t="str">
        <f>VLOOKUP($C129,STD!$C:$D,BO$17,0)</f>
        <v xml:space="preserve"> 225/60R16 FSASZ</v>
      </c>
      <c r="BP129" s="270" t="str">
        <f>VLOOKUP($C129,STD!$C:$L,BP$17,0)</f>
        <v>4HXVA</v>
      </c>
      <c r="BQ129" s="270" t="b">
        <f t="shared" si="244"/>
        <v>1</v>
      </c>
      <c r="BR129" s="270" t="b">
        <f t="shared" si="216"/>
        <v>1</v>
      </c>
    </row>
    <row r="130" spans="2:70" s="11" customFormat="1" ht="15" customHeight="1">
      <c r="B130" s="62"/>
      <c r="C130" s="38" t="s">
        <v>4</v>
      </c>
      <c r="D130" s="39"/>
      <c r="E130" s="40"/>
      <c r="F130" s="272">
        <f>SUM(F19:F129)</f>
        <v>201209</v>
      </c>
      <c r="G130" s="42"/>
      <c r="H130" s="272">
        <f>SUM(H19:H129)</f>
        <v>1447941.6960000002</v>
      </c>
      <c r="I130" s="42"/>
      <c r="J130" s="273">
        <f>SUM(J19:J129)</f>
        <v>688045.34899999981</v>
      </c>
      <c r="K130"/>
      <c r="L130" s="41"/>
      <c r="M130" s="42"/>
      <c r="N130" s="43"/>
      <c r="O130" s="42"/>
      <c r="P130" s="44"/>
      <c r="Q130" s="41"/>
      <c r="R130"/>
      <c r="S130"/>
      <c r="T130" s="43"/>
      <c r="U130" s="43"/>
      <c r="V130" s="43"/>
      <c r="W130" s="43"/>
      <c r="X130" s="43"/>
      <c r="Y130" s="43"/>
      <c r="AA130" s="43"/>
      <c r="AB130" s="43"/>
      <c r="AC130" s="43"/>
      <c r="AD130" s="43"/>
      <c r="AE130" s="43"/>
      <c r="AF130" s="43"/>
      <c r="AH130" s="273">
        <f t="shared" ref="AH130:AM130" si="245">SUM(AH19:AH129)</f>
        <v>2964277.1899999995</v>
      </c>
      <c r="AI130" s="273">
        <f t="shared" si="245"/>
        <v>980674.50000000023</v>
      </c>
      <c r="AJ130" s="273">
        <f t="shared" si="245"/>
        <v>1301868.8500000003</v>
      </c>
      <c r="AK130" s="273">
        <f t="shared" si="245"/>
        <v>1143928.3900000001</v>
      </c>
      <c r="AL130" s="273">
        <f t="shared" si="245"/>
        <v>88342.380000000034</v>
      </c>
      <c r="AM130" s="273">
        <f t="shared" si="245"/>
        <v>6479091.3099999968</v>
      </c>
      <c r="AN130"/>
      <c r="AO130" s="273">
        <f t="shared" ref="AO130:AT130" si="246">SUM(AO19:AO129)</f>
        <v>2731957.4767274256</v>
      </c>
      <c r="AP130" s="273">
        <f t="shared" ca="1" si="246"/>
        <v>1009924.7699999996</v>
      </c>
      <c r="AQ130" s="273">
        <f t="shared" ca="1" si="246"/>
        <v>1391340.86</v>
      </c>
      <c r="AR130" s="273">
        <f t="shared" ca="1" si="246"/>
        <v>833290.06000000029</v>
      </c>
      <c r="AS130" s="273">
        <f t="shared" ca="1" si="246"/>
        <v>99114.029999999941</v>
      </c>
      <c r="AT130" s="273">
        <f t="shared" ca="1" si="246"/>
        <v>6065627.1967274211</v>
      </c>
      <c r="AV130" s="273">
        <f t="shared" ref="AV130:BA130" si="247">SUM(AV19:AV129)</f>
        <v>-232319.71327257471</v>
      </c>
      <c r="AW130" s="273">
        <f t="shared" ca="1" si="247"/>
        <v>29250.269999999549</v>
      </c>
      <c r="AX130" s="273">
        <f t="shared" ca="1" si="247"/>
        <v>89472.009999999485</v>
      </c>
      <c r="AY130" s="273">
        <f t="shared" ca="1" si="247"/>
        <v>-310638.33000000007</v>
      </c>
      <c r="AZ130" s="273">
        <f t="shared" ca="1" si="247"/>
        <v>10771.649999999958</v>
      </c>
      <c r="BA130" s="273">
        <f t="shared" ca="1" si="247"/>
        <v>-413464.11327257584</v>
      </c>
      <c r="BB130" s="63"/>
    </row>
    <row r="131" spans="2:70" s="11" customFormat="1" ht="11.25" customHeight="1">
      <c r="B131" s="64"/>
      <c r="C131" s="65"/>
      <c r="D131" s="66"/>
      <c r="E131" s="66"/>
      <c r="F131" s="67"/>
      <c r="G131" s="68"/>
      <c r="H131" s="69"/>
      <c r="I131" s="66"/>
      <c r="J131" s="69"/>
      <c r="K131" s="71"/>
      <c r="L131" s="66"/>
      <c r="M131" s="71"/>
      <c r="N131" s="72"/>
      <c r="O131" s="71"/>
      <c r="P131" s="71"/>
      <c r="Q131" s="71"/>
      <c r="R131" s="70"/>
      <c r="S131" s="70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66"/>
      <c r="AI131" s="71"/>
      <c r="AJ131" s="72"/>
      <c r="AK131" s="71"/>
      <c r="AL131" s="71"/>
      <c r="AM131" s="71"/>
      <c r="AN131" s="70"/>
      <c r="AO131" s="88">
        <f t="shared" ref="AO131:AT131" si="248">AO130-AO15</f>
        <v>0</v>
      </c>
      <c r="AP131" s="88">
        <f t="shared" ca="1" si="248"/>
        <v>0</v>
      </c>
      <c r="AQ131" s="88">
        <f t="shared" ca="1" si="248"/>
        <v>0</v>
      </c>
      <c r="AR131" s="88">
        <f t="shared" ca="1" si="248"/>
        <v>0</v>
      </c>
      <c r="AS131" s="88">
        <f t="shared" ca="1" si="248"/>
        <v>0</v>
      </c>
      <c r="AT131" s="88">
        <f t="shared" ca="1" si="248"/>
        <v>0</v>
      </c>
      <c r="AU131" s="71"/>
      <c r="AV131" s="71"/>
      <c r="AW131" s="71"/>
      <c r="AX131" s="71"/>
      <c r="AY131" s="71"/>
      <c r="AZ131" s="71"/>
      <c r="BA131" s="71"/>
      <c r="BB131" s="73"/>
    </row>
    <row r="132" spans="2:70">
      <c r="C132" s="264" t="s">
        <v>1088</v>
      </c>
      <c r="D132" s="11"/>
      <c r="F132" s="11"/>
      <c r="G132" s="11"/>
      <c r="H132" s="11"/>
      <c r="I132" s="12"/>
      <c r="J132" s="339">
        <f>+J130/1000</f>
        <v>688.04534899999976</v>
      </c>
      <c r="K132" s="11"/>
      <c r="L132" s="11"/>
      <c r="AT132" s="27"/>
    </row>
    <row r="133" spans="2:70">
      <c r="C133" s="264"/>
      <c r="D133" s="11"/>
      <c r="F133" s="340"/>
      <c r="G133" s="11"/>
      <c r="H133" s="11"/>
      <c r="I133" s="12"/>
      <c r="J133" s="339"/>
      <c r="K133" s="11"/>
      <c r="L133" s="11"/>
      <c r="AT133" s="27"/>
    </row>
    <row r="134" spans="2:70">
      <c r="C134" s="264" t="s">
        <v>4</v>
      </c>
      <c r="D134" s="11"/>
      <c r="F134" s="341">
        <f>F133+F130</f>
        <v>201209</v>
      </c>
      <c r="G134" s="11"/>
      <c r="H134" s="11"/>
      <c r="I134" s="12"/>
      <c r="J134" s="342">
        <f>J132+J133</f>
        <v>688.04534899999976</v>
      </c>
      <c r="K134" s="11"/>
      <c r="L134" s="11"/>
      <c r="AT134" s="27"/>
    </row>
    <row r="135" spans="2:70">
      <c r="C135" s="11"/>
      <c r="D135" s="11"/>
      <c r="F135" s="11"/>
      <c r="G135" s="11"/>
      <c r="H135" s="11"/>
      <c r="I135" s="12"/>
      <c r="J135" s="17"/>
      <c r="K135" s="11"/>
      <c r="L135" s="11"/>
      <c r="AT135" s="27"/>
    </row>
    <row r="136" spans="2:70">
      <c r="C136" s="264" t="s">
        <v>1094</v>
      </c>
      <c r="D136" s="11"/>
      <c r="F136" s="343">
        <f>VLOOKUP('FACTORY COST'!$G$2,Budget!$A:$C,2,0)</f>
        <v>206640</v>
      </c>
      <c r="G136" s="344">
        <f t="shared" ref="G136" si="249">$F$134/F136</f>
        <v>0.97371757646147894</v>
      </c>
      <c r="H136" s="11"/>
      <c r="I136" s="12"/>
      <c r="J136" s="17">
        <f>VLOOKUP('FACTORY COST'!$G$2,Budget!$A:$C,3,0)</f>
        <v>795.42376200000001</v>
      </c>
      <c r="K136" s="11"/>
      <c r="L136" s="344">
        <f t="shared" ref="L136" si="250">$J$134/J136</f>
        <v>0.86500477087834315</v>
      </c>
      <c r="Q136" s="29"/>
    </row>
    <row r="137" spans="2:70">
      <c r="C137" s="264" t="s">
        <v>815</v>
      </c>
      <c r="D137" s="348"/>
      <c r="F137" s="345">
        <v>200999.99999999997</v>
      </c>
      <c r="G137" s="346">
        <f>$F$134/F137</f>
        <v>1.001039800995025</v>
      </c>
      <c r="H137" s="11"/>
      <c r="I137" s="11"/>
      <c r="J137" s="347">
        <v>682.39425199999994</v>
      </c>
      <c r="K137" s="11"/>
      <c r="L137" s="344">
        <f>$J$134/J137</f>
        <v>1.0082812787233146</v>
      </c>
    </row>
    <row r="140" spans="2:70">
      <c r="J140" s="27"/>
    </row>
  </sheetData>
  <autoFilter ref="C18:BR130" xr:uid="{00000000-0001-0000-1100-000000000000}"/>
  <customSheetViews>
    <customSheetView guid="{E6B00A95-BB65-4FB5-9392-F4C9A9557C0E}" scale="90" showGridLines="0" showAutoFilter="1" topLeftCell="A110">
      <selection activeCell="I133" sqref="I133"/>
      <pageMargins left="0.25" right="0" top="0.25" bottom="0" header="0" footer="0"/>
      <printOptions horizontalCentered="1"/>
      <pageSetup paperSize="9" scale="70" orientation="portrait" horizontalDpi="300" verticalDpi="300" r:id="rId1"/>
      <autoFilter ref="C24:BL127" xr:uid="{DACFFA96-AAA1-4EE2-B1F2-065ADF0B9C0D}"/>
    </customSheetView>
    <customSheetView guid="{F2A3B428-09FA-4094-83F2-D6076B6D1BAF}" scale="90" showGridLines="0" filter="1" showAutoFilter="1" topLeftCell="A16">
      <pane xSplit="6" topLeftCell="P1" activePane="topRight" state="frozen"/>
      <selection pane="topRight" activeCell="P85" sqref="P85"/>
      <pageMargins left="0.25" right="0" top="0.25" bottom="0" header="0" footer="0"/>
      <printOptions horizontalCentered="1"/>
      <pageSetup paperSize="9" scale="70" orientation="portrait" horizontalDpi="300" verticalDpi="300" r:id="rId2"/>
      <autoFilter ref="B24:BD77" xr:uid="{5EBC179E-849A-4E2F-AA14-B3FEE4AD2375}">
        <filterColumn colId="25">
          <filters>
            <filter val="0.65"/>
            <filter val="0.67"/>
            <filter val="0.70"/>
            <filter val="0.83"/>
          </filters>
        </filterColumn>
      </autoFilter>
    </customSheetView>
    <customSheetView guid="{E3F778A0-8637-4650-AED3-4EC5B694D9F0}" scale="90" showGridLines="0" showAutoFilter="1" topLeftCell="A67">
      <pane xSplit="6" topLeftCell="G1" activePane="topRight" state="frozen"/>
      <selection pane="topRight" activeCell="I44" sqref="I44"/>
      <pageMargins left="0.25" right="0" top="0.25" bottom="0" header="0" footer="0"/>
      <printOptions horizontalCentered="1"/>
      <pageSetup paperSize="9" scale="70" orientation="portrait" horizontalDpi="300" verticalDpi="300" r:id="rId3"/>
      <autoFilter ref="B24:BD77" xr:uid="{52CE7FBB-16AB-4A94-ACC7-F7C7986DD87E}"/>
    </customSheetView>
  </customSheetViews>
  <mergeCells count="13">
    <mergeCell ref="F16:J17"/>
    <mergeCell ref="L16:Q16"/>
    <mergeCell ref="AH16:AM16"/>
    <mergeCell ref="AA16:AF16"/>
    <mergeCell ref="AB17:AD17"/>
    <mergeCell ref="T16:Y16"/>
    <mergeCell ref="U17:W17"/>
    <mergeCell ref="M17:O17"/>
    <mergeCell ref="AP17:AR17"/>
    <mergeCell ref="AW17:AY17"/>
    <mergeCell ref="AI17:AK17"/>
    <mergeCell ref="AO16:AT16"/>
    <mergeCell ref="AV16:BA16"/>
  </mergeCells>
  <conditionalFormatting sqref="C19:C130">
    <cfRule type="duplicateValues" dxfId="5" priority="284"/>
  </conditionalFormatting>
  <conditionalFormatting sqref="BQ19:BR129">
    <cfRule type="cellIs" dxfId="4" priority="1" operator="equal">
      <formula>FALSE</formula>
    </cfRule>
  </conditionalFormatting>
  <printOptions horizontalCentered="1"/>
  <pageMargins left="0.25" right="0" top="0.25" bottom="0" header="0" footer="0"/>
  <pageSetup paperSize="9" scale="70" orientation="portrait" horizontalDpi="300" verticalDpi="300" r:id="rId4"/>
  <customProperties>
    <customPr name="_pios_id" r:id="rId5"/>
  </customProperties>
  <ignoredErrors>
    <ignoredError sqref="BH19 M14 O19 O76:O129 BH76:BH129 BH27:BH40 O27:O40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6"/>
  <dimension ref="A1:K127"/>
  <sheetViews>
    <sheetView showGridLines="0" workbookViewId="0">
      <pane xSplit="4" ySplit="2" topLeftCell="E108" activePane="bottomRight" state="frozen"/>
      <selection activeCell="K22" sqref="K22"/>
      <selection pane="topRight" activeCell="K22" sqref="K22"/>
      <selection pane="bottomLeft" activeCell="K22" sqref="K22"/>
      <selection pane="bottomRight" activeCell="L117" sqref="L117"/>
    </sheetView>
  </sheetViews>
  <sheetFormatPr defaultColWidth="9.140625" defaultRowHeight="15"/>
  <cols>
    <col min="1" max="1" width="9.140625" style="512"/>
    <col min="2" max="2" width="11.7109375" customWidth="1"/>
    <col min="3" max="3" width="16.42578125" style="29" customWidth="1"/>
    <col min="4" max="4" width="12" style="29" customWidth="1"/>
    <col min="5" max="5" width="16.42578125" style="29" customWidth="1"/>
    <col min="6" max="6" width="15.28515625" style="29" customWidth="1"/>
    <col min="7" max="7" width="12.85546875" style="29" customWidth="1"/>
    <col min="8" max="8" width="15.85546875" style="29" customWidth="1"/>
    <col min="9" max="9" width="14" customWidth="1"/>
    <col min="10" max="10" width="14.5703125" customWidth="1"/>
    <col min="11" max="11" width="16.85546875" customWidth="1"/>
  </cols>
  <sheetData>
    <row r="1" spans="1:11" s="467" customFormat="1">
      <c r="A1" s="510"/>
      <c r="B1" s="468"/>
      <c r="C1" s="469" t="s">
        <v>780</v>
      </c>
      <c r="D1" s="469"/>
      <c r="E1" s="469" t="s">
        <v>780</v>
      </c>
      <c r="F1" s="469"/>
      <c r="G1" s="469"/>
      <c r="H1" s="469"/>
    </row>
    <row r="2" spans="1:11" s="360" customFormat="1" ht="27" customHeight="1">
      <c r="A2" s="511">
        <f>ROW('MFG COST SUMMARY'!$C$18)</f>
        <v>18</v>
      </c>
      <c r="B2" s="461" t="s">
        <v>112</v>
      </c>
      <c r="C2" s="462" t="s">
        <v>139</v>
      </c>
      <c r="D2" s="462" t="s">
        <v>114</v>
      </c>
      <c r="E2" s="462" t="s">
        <v>115</v>
      </c>
      <c r="F2" s="463" t="s">
        <v>140</v>
      </c>
      <c r="G2" s="463" t="s">
        <v>116</v>
      </c>
      <c r="H2" s="463" t="s">
        <v>117</v>
      </c>
      <c r="I2" s="464" t="s">
        <v>118</v>
      </c>
      <c r="J2" s="464" t="s">
        <v>119</v>
      </c>
    </row>
    <row r="3" spans="1:11">
      <c r="A3" s="512">
        <f>ROW()-ROW($A$2)+$A$2</f>
        <v>19</v>
      </c>
      <c r="B3" s="465" t="str" cm="2">
        <f t="array" aca="1" ref="B3" ca="1">INDIRECT("'MFG COST SUMMARY'!C" &amp; $A3)</f>
        <v>PSR0V01B</v>
      </c>
      <c r="C3" s="253">
        <f ca="1">SUMIF(Rework!$A$7:$A$43,$B3,Rework!$F$7:$F$43)-SUMIF(Rework!$A$7:$A$43,$B3,Rework!$D$7:$D$43)</f>
        <v>0</v>
      </c>
      <c r="D3" s="253">
        <f t="shared" ref="D3" ca="1" si="0">+IFERROR(E3/C3,0)</f>
        <v>0</v>
      </c>
      <c r="E3" s="253">
        <f ca="1">SUMIF(Rework!$A$7:$A$43,$B3,Rework!$G$7:$G$43)-SUMIF(Rework!$A$7:$A$43,$B3,Rework!E$7:$E$43)</f>
        <v>0</v>
      </c>
      <c r="F3" s="254">
        <f ca="1">SUMIFS('MFG COST SUMMARY'!$F$18:$F$130,'MFG COST SUMMARY'!$C$18:$C$130,$B3)</f>
        <v>433</v>
      </c>
      <c r="G3" s="253">
        <f t="shared" ref="G3" ca="1" si="1">IFERROR(H3/F3,0)</f>
        <v>23.350016649521933</v>
      </c>
      <c r="H3" s="255">
        <f ca="1">SUMIFS('MFG COST SUMMARY'!$AT$18:$AT$130,'MFG COST SUMMARY'!$C$18:$C$130,$B3)</f>
        <v>10110.557209242997</v>
      </c>
      <c r="I3" s="256">
        <f t="shared" ref="I3" ca="1" si="2">+F3+C3</f>
        <v>433</v>
      </c>
      <c r="J3" s="256">
        <f t="shared" ref="J3" ca="1" si="3">+H3+E3</f>
        <v>10110.557209242997</v>
      </c>
      <c r="K3" s="27"/>
    </row>
    <row r="4" spans="1:11">
      <c r="A4" s="512">
        <f t="shared" ref="A4:A67" si="4">ROW()-ROW($A$2)+$A$2</f>
        <v>20</v>
      </c>
      <c r="B4" s="466" t="str" cm="2">
        <f t="array" aca="1" ref="B4" ca="1">INDIRECT("'MFG COST SUMMARY'!C" &amp; $A4)</f>
        <v>PSR0V01S</v>
      </c>
      <c r="C4" s="257">
        <f ca="1">SUMIF(Rework!$A$7:$A$43,$B4,Rework!$F$7:$F$43)-SUMIF(Rework!$A$7:$A$43,$B4,Rework!$D$7:$D$43)</f>
        <v>0</v>
      </c>
      <c r="D4" s="257">
        <f t="shared" ref="D4:D67" ca="1" si="5">+IFERROR(E4/C4,0)</f>
        <v>0</v>
      </c>
      <c r="E4" s="257">
        <f ca="1">SUMIF(Rework!$A$7:$A$43,$B4,Rework!$G$7:$G$43)-SUMIF(Rework!$A$7:$A$43,$B4,Rework!E$7:$E$43)</f>
        <v>0</v>
      </c>
      <c r="F4" s="258">
        <f ca="1">SUMIFS('MFG COST SUMMARY'!$F$18:$F$130,'MFG COST SUMMARY'!$C$18:$C$130,$B4)</f>
        <v>564</v>
      </c>
      <c r="G4" s="470">
        <f t="shared" ref="G4:G67" ca="1" si="6">IFERROR(H4/F4,0)</f>
        <v>28.640220250695666</v>
      </c>
      <c r="H4" s="259">
        <f ca="1">SUMIFS('MFG COST SUMMARY'!$AT$18:$AT$130,'MFG COST SUMMARY'!$C$18:$C$130,$B4)</f>
        <v>16153.084221392355</v>
      </c>
      <c r="I4" s="260">
        <f t="shared" ref="I4:I67" ca="1" si="7">+F4+C4</f>
        <v>564</v>
      </c>
      <c r="J4" s="260">
        <f t="shared" ref="J4:J67" ca="1" si="8">+H4+E4</f>
        <v>16153.084221392355</v>
      </c>
      <c r="K4" s="27"/>
    </row>
    <row r="5" spans="1:11">
      <c r="A5" s="512">
        <f t="shared" si="4"/>
        <v>21</v>
      </c>
      <c r="B5" s="466" t="str" cm="2">
        <f t="array" aca="1" ref="B5" ca="1">INDIRECT("'MFG COST SUMMARY'!C" &amp; $A5)</f>
        <v>PSR0V03P</v>
      </c>
      <c r="C5" s="257">
        <f ca="1">SUMIF(Rework!$A$7:$A$43,$B5,Rework!$F$7:$F$43)-SUMIF(Rework!$A$7:$A$43,$B5,Rework!$D$7:$D$43)</f>
        <v>0</v>
      </c>
      <c r="D5" s="257">
        <f t="shared" ca="1" si="5"/>
        <v>0</v>
      </c>
      <c r="E5" s="257">
        <f ca="1">SUMIF(Rework!$A$7:$A$43,$B5,Rework!$G$7:$G$43)-SUMIF(Rework!$A$7:$A$43,$B5,Rework!E$7:$E$43)</f>
        <v>0</v>
      </c>
      <c r="F5" s="258">
        <f ca="1">SUMIFS('MFG COST SUMMARY'!$F$18:$F$130,'MFG COST SUMMARY'!$C$18:$C$130,$B5)</f>
        <v>2</v>
      </c>
      <c r="G5" s="470">
        <f t="shared" ca="1" si="6"/>
        <v>38.671893623216803</v>
      </c>
      <c r="H5" s="259">
        <f ca="1">SUMIFS('MFG COST SUMMARY'!$AT$18:$AT$130,'MFG COST SUMMARY'!$C$18:$C$130,$B5)</f>
        <v>77.343787246433607</v>
      </c>
      <c r="I5" s="260">
        <f t="shared" ca="1" si="7"/>
        <v>2</v>
      </c>
      <c r="J5" s="260">
        <f t="shared" ca="1" si="8"/>
        <v>77.343787246433607</v>
      </c>
      <c r="K5" s="27"/>
    </row>
    <row r="6" spans="1:11">
      <c r="A6" s="512">
        <f t="shared" si="4"/>
        <v>22</v>
      </c>
      <c r="B6" s="466" t="str" cm="2">
        <f t="array" aca="1" ref="B6" ca="1">INDIRECT("'MFG COST SUMMARY'!C" &amp; $A6)</f>
        <v>PSR0V03S</v>
      </c>
      <c r="C6" s="257">
        <f ca="1">SUMIF(Rework!$A$7:$A$43,$B6,Rework!$F$7:$F$43)-SUMIF(Rework!$A$7:$A$43,$B6,Rework!$D$7:$D$43)</f>
        <v>0</v>
      </c>
      <c r="D6" s="257">
        <f t="shared" ca="1" si="5"/>
        <v>0</v>
      </c>
      <c r="E6" s="257">
        <f ca="1">SUMIF(Rework!$A$7:$A$43,$B6,Rework!$G$7:$G$43)-SUMIF(Rework!$A$7:$A$43,$B6,Rework!E$7:$E$43)</f>
        <v>0</v>
      </c>
      <c r="F6" s="258">
        <f ca="1">SUMIFS('MFG COST SUMMARY'!$F$18:$F$130,'MFG COST SUMMARY'!$C$18:$C$130,$B6)</f>
        <v>328</v>
      </c>
      <c r="G6" s="470">
        <f t="shared" ca="1" si="6"/>
        <v>30.225587922846298</v>
      </c>
      <c r="H6" s="259">
        <f ca="1">SUMIFS('MFG COST SUMMARY'!$AT$18:$AT$130,'MFG COST SUMMARY'!$C$18:$C$130,$B6)</f>
        <v>9913.9928386935862</v>
      </c>
      <c r="I6" s="260">
        <f t="shared" ca="1" si="7"/>
        <v>328</v>
      </c>
      <c r="J6" s="260">
        <f t="shared" ca="1" si="8"/>
        <v>9913.9928386935862</v>
      </c>
      <c r="K6" s="27"/>
    </row>
    <row r="7" spans="1:11">
      <c r="A7" s="512">
        <f t="shared" si="4"/>
        <v>23</v>
      </c>
      <c r="B7" s="466" t="str" cm="2">
        <f t="array" aca="1" ref="B7" ca="1">INDIRECT("'MFG COST SUMMARY'!C" &amp; $A7)</f>
        <v>PSR0V04P</v>
      </c>
      <c r="C7" s="257">
        <f ca="1">SUMIF(Rework!$A$7:$A$43,$B7,Rework!$F$7:$F$43)-SUMIF(Rework!$A$7:$A$43,$B7,Rework!$D$7:$D$43)</f>
        <v>0</v>
      </c>
      <c r="D7" s="257">
        <f t="shared" ca="1" si="5"/>
        <v>0</v>
      </c>
      <c r="E7" s="257">
        <f ca="1">SUMIF(Rework!$A$7:$A$43,$B7,Rework!$G$7:$G$43)-SUMIF(Rework!$A$7:$A$43,$B7,Rework!E$7:$E$43)</f>
        <v>0</v>
      </c>
      <c r="F7" s="258">
        <f ca="1">SUMIFS('MFG COST SUMMARY'!$F$18:$F$130,'MFG COST SUMMARY'!$C$18:$C$130,$B7)</f>
        <v>1</v>
      </c>
      <c r="G7" s="470">
        <f t="shared" ca="1" si="6"/>
        <v>32.377347913312128</v>
      </c>
      <c r="H7" s="259">
        <f ca="1">SUMIFS('MFG COST SUMMARY'!$AT$18:$AT$130,'MFG COST SUMMARY'!$C$18:$C$130,$B7)</f>
        <v>32.377347913312128</v>
      </c>
      <c r="I7" s="260">
        <f t="shared" ca="1" si="7"/>
        <v>1</v>
      </c>
      <c r="J7" s="260">
        <f t="shared" ca="1" si="8"/>
        <v>32.377347913312128</v>
      </c>
      <c r="K7" s="27"/>
    </row>
    <row r="8" spans="1:11">
      <c r="A8" s="512">
        <f t="shared" si="4"/>
        <v>24</v>
      </c>
      <c r="B8" s="466" t="str" cm="2">
        <f t="array" aca="1" ref="B8" ca="1">INDIRECT("'MFG COST SUMMARY'!C" &amp; $A8)</f>
        <v>PSR0V04S</v>
      </c>
      <c r="C8" s="257">
        <f ca="1">SUMIF(Rework!$A$7:$A$43,$B8,Rework!$F$7:$F$43)-SUMIF(Rework!$A$7:$A$43,$B8,Rework!$D$7:$D$43)</f>
        <v>0</v>
      </c>
      <c r="D8" s="257">
        <f t="shared" ca="1" si="5"/>
        <v>0</v>
      </c>
      <c r="E8" s="257">
        <f ca="1">SUMIF(Rework!$A$7:$A$43,$B8,Rework!$G$7:$G$43)-SUMIF(Rework!$A$7:$A$43,$B8,Rework!E$7:$E$43)</f>
        <v>0</v>
      </c>
      <c r="F8" s="258">
        <f ca="1">SUMIFS('MFG COST SUMMARY'!$F$18:$F$130,'MFG COST SUMMARY'!$C$18:$C$130,$B8)</f>
        <v>423</v>
      </c>
      <c r="G8" s="470">
        <f t="shared" ca="1" si="6"/>
        <v>32.829901815593097</v>
      </c>
      <c r="H8" s="259">
        <f ca="1">SUMIFS('MFG COST SUMMARY'!$AT$18:$AT$130,'MFG COST SUMMARY'!$C$18:$C$130,$B8)</f>
        <v>13887.048467995881</v>
      </c>
      <c r="I8" s="260">
        <f t="shared" ca="1" si="7"/>
        <v>423</v>
      </c>
      <c r="J8" s="260">
        <f t="shared" ca="1" si="8"/>
        <v>13887.048467995881</v>
      </c>
      <c r="K8" s="27"/>
    </row>
    <row r="9" spans="1:11">
      <c r="A9" s="512">
        <f t="shared" si="4"/>
        <v>25</v>
      </c>
      <c r="B9" s="466" t="str" cm="2">
        <f t="array" aca="1" ref="B9" ca="1">INDIRECT("'MFG COST SUMMARY'!C" &amp; $A9)</f>
        <v>PSR0V05B</v>
      </c>
      <c r="C9" s="257">
        <f ca="1">SUMIF(Rework!$A$7:$A$43,$B9,Rework!$F$7:$F$43)-SUMIF(Rework!$A$7:$A$43,$B9,Rework!$D$7:$D$43)</f>
        <v>0</v>
      </c>
      <c r="D9" s="257">
        <f t="shared" ca="1" si="5"/>
        <v>0</v>
      </c>
      <c r="E9" s="257">
        <f ca="1">SUMIF(Rework!$A$7:$A$43,$B9,Rework!$G$7:$G$43)-SUMIF(Rework!$A$7:$A$43,$B9,Rework!E$7:$E$43)</f>
        <v>0</v>
      </c>
      <c r="F9" s="258">
        <f ca="1">SUMIFS('MFG COST SUMMARY'!$F$18:$F$130,'MFG COST SUMMARY'!$C$18:$C$130,$B9)</f>
        <v>4421</v>
      </c>
      <c r="G9" s="257">
        <f t="shared" ca="1" si="6"/>
        <v>30.054384097952429</v>
      </c>
      <c r="H9" s="259">
        <f ca="1">SUMIFS('MFG COST SUMMARY'!$AT$18:$AT$130,'MFG COST SUMMARY'!$C$18:$C$130,$B9)</f>
        <v>132870.43209704768</v>
      </c>
      <c r="I9" s="260">
        <f t="shared" ca="1" si="7"/>
        <v>4421</v>
      </c>
      <c r="J9" s="260">
        <f t="shared" ca="1" si="8"/>
        <v>132870.43209704768</v>
      </c>
      <c r="K9" s="27"/>
    </row>
    <row r="10" spans="1:11">
      <c r="A10" s="512">
        <f t="shared" si="4"/>
        <v>26</v>
      </c>
      <c r="B10" s="466" t="str" cm="2">
        <f t="array" aca="1" ref="B10" ca="1">INDIRECT("'MFG COST SUMMARY'!C" &amp; $A10)</f>
        <v>PSR0V05P</v>
      </c>
      <c r="C10" s="257">
        <f ca="1">SUMIF(Rework!$A$7:$A$43,$B10,Rework!$F$7:$F$43)-SUMIF(Rework!$A$7:$A$43,$B10,Rework!$D$7:$D$43)</f>
        <v>0</v>
      </c>
      <c r="D10" s="257">
        <f t="shared" ca="1" si="5"/>
        <v>0</v>
      </c>
      <c r="E10" s="257">
        <f ca="1">SUMIF(Rework!$A$7:$A$43,$B10,Rework!$G$7:$G$43)-SUMIF(Rework!$A$7:$A$43,$B10,Rework!E$7:$E$43)</f>
        <v>0</v>
      </c>
      <c r="F10" s="258">
        <f ca="1">SUMIFS('MFG COST SUMMARY'!$F$18:$F$130,'MFG COST SUMMARY'!$C$18:$C$130,$B10)</f>
        <v>103</v>
      </c>
      <c r="G10" s="470">
        <f t="shared" ca="1" si="6"/>
        <v>30.356144552726203</v>
      </c>
      <c r="H10" s="259">
        <f ca="1">SUMIFS('MFG COST SUMMARY'!$AT$18:$AT$130,'MFG COST SUMMARY'!$C$18:$C$130,$B10)</f>
        <v>3126.682888930799</v>
      </c>
      <c r="I10" s="260">
        <f t="shared" ca="1" si="7"/>
        <v>103</v>
      </c>
      <c r="J10" s="260">
        <f t="shared" ca="1" si="8"/>
        <v>3126.682888930799</v>
      </c>
      <c r="K10" s="27"/>
    </row>
    <row r="11" spans="1:11">
      <c r="A11" s="512">
        <f t="shared" si="4"/>
        <v>27</v>
      </c>
      <c r="B11" s="466" t="str" cm="2">
        <f t="array" aca="1" ref="B11" ca="1">INDIRECT("'MFG COST SUMMARY'!C" &amp; $A11)</f>
        <v>PSR0V05S</v>
      </c>
      <c r="C11" s="257">
        <f ca="1">SUMIF(Rework!$A$7:$A$43,$B11,Rework!$F$7:$F$43)-SUMIF(Rework!$A$7:$A$43,$B11,Rework!$D$7:$D$43)</f>
        <v>0</v>
      </c>
      <c r="D11" s="257">
        <f t="shared" ca="1" si="5"/>
        <v>0</v>
      </c>
      <c r="E11" s="257">
        <f ca="1">SUMIF(Rework!$A$7:$A$43,$B11,Rework!$G$7:$G$43)-SUMIF(Rework!$A$7:$A$43,$B11,Rework!E$7:$E$43)</f>
        <v>0</v>
      </c>
      <c r="F11" s="258">
        <f ca="1">SUMIFS('MFG COST SUMMARY'!$F$18:$F$130,'MFG COST SUMMARY'!$C$18:$C$130,$B11)</f>
        <v>913</v>
      </c>
      <c r="G11" s="470">
        <f t="shared" ca="1" si="6"/>
        <v>32.959019389421101</v>
      </c>
      <c r="H11" s="259">
        <f ca="1">SUMIFS('MFG COST SUMMARY'!$AT$18:$AT$130,'MFG COST SUMMARY'!$C$18:$C$130,$B11)</f>
        <v>30091.584702541462</v>
      </c>
      <c r="I11" s="260">
        <f t="shared" ca="1" si="7"/>
        <v>913</v>
      </c>
      <c r="J11" s="260">
        <f t="shared" ca="1" si="8"/>
        <v>30091.584702541462</v>
      </c>
      <c r="K11" s="27"/>
    </row>
    <row r="12" spans="1:11">
      <c r="A12" s="512">
        <f t="shared" si="4"/>
        <v>28</v>
      </c>
      <c r="B12" s="466" t="str" cm="2">
        <f t="array" aca="1" ref="B12" ca="1">INDIRECT("'MFG COST SUMMARY'!C" &amp; $A12)</f>
        <v>PSR0V07S</v>
      </c>
      <c r="C12" s="257">
        <f ca="1">SUMIF(Rework!$A$7:$A$43,$B12,Rework!$F$7:$F$43)-SUMIF(Rework!$A$7:$A$43,$B12,Rework!$D$7:$D$43)</f>
        <v>0</v>
      </c>
      <c r="D12" s="257">
        <f t="shared" ca="1" si="5"/>
        <v>0</v>
      </c>
      <c r="E12" s="257">
        <f ca="1">SUMIF(Rework!$A$7:$A$43,$B12,Rework!$G$7:$G$43)-SUMIF(Rework!$A$7:$A$43,$B12,Rework!E$7:$E$43)</f>
        <v>0</v>
      </c>
      <c r="F12" s="258">
        <f ca="1">SUMIFS('MFG COST SUMMARY'!$F$18:$F$130,'MFG COST SUMMARY'!$C$18:$C$130,$B12)</f>
        <v>1081</v>
      </c>
      <c r="G12" s="470">
        <f t="shared" ca="1" si="6"/>
        <v>40.335197953930802</v>
      </c>
      <c r="H12" s="259">
        <f ca="1">SUMIFS('MFG COST SUMMARY'!$AT$18:$AT$130,'MFG COST SUMMARY'!$C$18:$C$130,$B12)</f>
        <v>43602.348988199199</v>
      </c>
      <c r="I12" s="260">
        <f t="shared" ca="1" si="7"/>
        <v>1081</v>
      </c>
      <c r="J12" s="260">
        <f t="shared" ca="1" si="8"/>
        <v>43602.348988199199</v>
      </c>
      <c r="K12" s="27"/>
    </row>
    <row r="13" spans="1:11">
      <c r="A13" s="512">
        <f t="shared" si="4"/>
        <v>29</v>
      </c>
      <c r="B13" s="466" t="str" cm="2">
        <f t="array" aca="1" ref="B13" ca="1">INDIRECT("'MFG COST SUMMARY'!C" &amp; $A13)</f>
        <v>PSR0V11D</v>
      </c>
      <c r="C13" s="257">
        <f ca="1">SUMIF(Rework!$A$7:$A$43,$B13,Rework!$F$7:$F$43)-SUMIF(Rework!$A$7:$A$43,$B13,Rework!$D$7:$D$43)</f>
        <v>0</v>
      </c>
      <c r="D13" s="257">
        <f t="shared" ca="1" si="5"/>
        <v>0</v>
      </c>
      <c r="E13" s="257">
        <f ca="1">SUMIF(Rework!$A$7:$A$43,$B13,Rework!$G$7:$G$43)-SUMIF(Rework!$A$7:$A$43,$B13,Rework!E$7:$E$43)</f>
        <v>0</v>
      </c>
      <c r="F13" s="258">
        <f ca="1">SUMIFS('MFG COST SUMMARY'!$F$18:$F$130,'MFG COST SUMMARY'!$C$18:$C$130,$B13)</f>
        <v>1</v>
      </c>
      <c r="G13" s="470">
        <f t="shared" ca="1" si="6"/>
        <v>41.394869094267214</v>
      </c>
      <c r="H13" s="259">
        <f ca="1">SUMIFS('MFG COST SUMMARY'!$AT$18:$AT$130,'MFG COST SUMMARY'!$C$18:$C$130,$B13)</f>
        <v>41.394869094267214</v>
      </c>
      <c r="I13" s="260">
        <f t="shared" ca="1" si="7"/>
        <v>1</v>
      </c>
      <c r="J13" s="260">
        <f t="shared" ca="1" si="8"/>
        <v>41.394869094267214</v>
      </c>
      <c r="K13" s="27"/>
    </row>
    <row r="14" spans="1:11">
      <c r="A14" s="512">
        <f t="shared" si="4"/>
        <v>30</v>
      </c>
      <c r="B14" s="466" t="str" cm="2">
        <f t="array" aca="1" ref="B14" ca="1">INDIRECT("'MFG COST SUMMARY'!C" &amp; $A14)</f>
        <v>PSR0V11S</v>
      </c>
      <c r="C14" s="257">
        <f ca="1">SUMIF(Rework!$A$7:$A$43,$B14,Rework!$F$7:$F$43)-SUMIF(Rework!$A$7:$A$43,$B14,Rework!$D$7:$D$43)</f>
        <v>0</v>
      </c>
      <c r="D14" s="257">
        <f t="shared" ca="1" si="5"/>
        <v>0</v>
      </c>
      <c r="E14" s="257">
        <f ca="1">SUMIF(Rework!$A$7:$A$43,$B14,Rework!$G$7:$G$43)-SUMIF(Rework!$A$7:$A$43,$B14,Rework!E$7:$E$43)</f>
        <v>0</v>
      </c>
      <c r="F14" s="258">
        <f ca="1">SUMIFS('MFG COST SUMMARY'!$F$18:$F$130,'MFG COST SUMMARY'!$C$18:$C$130,$B14)</f>
        <v>465</v>
      </c>
      <c r="G14" s="257">
        <f t="shared" ca="1" si="6"/>
        <v>32.825920278097513</v>
      </c>
      <c r="H14" s="259">
        <f ca="1">SUMIFS('MFG COST SUMMARY'!$AT$18:$AT$130,'MFG COST SUMMARY'!$C$18:$C$130,$B14)</f>
        <v>15264.052929315345</v>
      </c>
      <c r="I14" s="260">
        <f t="shared" ca="1" si="7"/>
        <v>465</v>
      </c>
      <c r="J14" s="260">
        <f t="shared" ca="1" si="8"/>
        <v>15264.052929315345</v>
      </c>
      <c r="K14" s="27"/>
    </row>
    <row r="15" spans="1:11">
      <c r="A15" s="512">
        <f t="shared" si="4"/>
        <v>31</v>
      </c>
      <c r="B15" s="466" t="str" cm="2">
        <f t="array" aca="1" ref="B15" ca="1">INDIRECT("'MFG COST SUMMARY'!C" &amp; $A15)</f>
        <v>PSR0V126</v>
      </c>
      <c r="C15" s="257">
        <f ca="1">SUMIF(Rework!$A$7:$A$43,$B15,Rework!$F$7:$F$43)-SUMIF(Rework!$A$7:$A$43,$B15,Rework!$D$7:$D$43)</f>
        <v>0</v>
      </c>
      <c r="D15" s="257">
        <f t="shared" ca="1" si="5"/>
        <v>0</v>
      </c>
      <c r="E15" s="257">
        <f ca="1">SUMIF(Rework!$A$7:$A$43,$B15,Rework!$G$7:$G$43)-SUMIF(Rework!$A$7:$A$43,$B15,Rework!E$7:$E$43)</f>
        <v>0</v>
      </c>
      <c r="F15" s="258">
        <f ca="1">SUMIFS('MFG COST SUMMARY'!$F$18:$F$130,'MFG COST SUMMARY'!$C$18:$C$130,$B15)</f>
        <v>483</v>
      </c>
      <c r="G15" s="470">
        <f t="shared" ca="1" si="6"/>
        <v>38.34421003369355</v>
      </c>
      <c r="H15" s="259">
        <f ca="1">SUMIFS('MFG COST SUMMARY'!$AT$18:$AT$130,'MFG COST SUMMARY'!$C$18:$C$130,$B15)</f>
        <v>18520.253446273986</v>
      </c>
      <c r="I15" s="260">
        <f t="shared" ca="1" si="7"/>
        <v>483</v>
      </c>
      <c r="J15" s="260">
        <f t="shared" ca="1" si="8"/>
        <v>18520.253446273986</v>
      </c>
      <c r="K15" s="27"/>
    </row>
    <row r="16" spans="1:11">
      <c r="A16" s="512">
        <f t="shared" si="4"/>
        <v>32</v>
      </c>
      <c r="B16" s="466" t="str" cm="2">
        <f t="array" aca="1" ref="B16" ca="1">INDIRECT("'MFG COST SUMMARY'!C" &amp; $A16)</f>
        <v>PSR0V12D</v>
      </c>
      <c r="C16" s="257">
        <f ca="1">SUMIF(Rework!$A$7:$A$43,$B16,Rework!$F$7:$F$43)-SUMIF(Rework!$A$7:$A$43,$B16,Rework!$D$7:$D$43)</f>
        <v>0</v>
      </c>
      <c r="D16" s="257">
        <f t="shared" ca="1" si="5"/>
        <v>0</v>
      </c>
      <c r="E16" s="257">
        <f ca="1">SUMIF(Rework!$A$7:$A$43,$B16,Rework!$G$7:$G$43)-SUMIF(Rework!$A$7:$A$43,$B16,Rework!E$7:$E$43)</f>
        <v>0</v>
      </c>
      <c r="F16" s="258">
        <f ca="1">SUMIFS('MFG COST SUMMARY'!$F$18:$F$130,'MFG COST SUMMARY'!$C$18:$C$130,$B16)</f>
        <v>187</v>
      </c>
      <c r="G16" s="470">
        <f t="shared" ca="1" si="6"/>
        <v>39.246231978678622</v>
      </c>
      <c r="H16" s="259">
        <f ca="1">SUMIFS('MFG COST SUMMARY'!$AT$18:$AT$130,'MFG COST SUMMARY'!$C$18:$C$130,$B16)</f>
        <v>7339.0453800129026</v>
      </c>
      <c r="I16" s="260">
        <f t="shared" ca="1" si="7"/>
        <v>187</v>
      </c>
      <c r="J16" s="260">
        <f t="shared" ca="1" si="8"/>
        <v>7339.0453800129026</v>
      </c>
      <c r="K16" s="27"/>
    </row>
    <row r="17" spans="1:11">
      <c r="A17" s="512">
        <f t="shared" si="4"/>
        <v>33</v>
      </c>
      <c r="B17" s="466" t="str" cm="2">
        <f t="array" aca="1" ref="B17" ca="1">INDIRECT("'MFG COST SUMMARY'!C" &amp; $A17)</f>
        <v>PSR0V130</v>
      </c>
      <c r="C17" s="257">
        <f ca="1">SUMIF(Rework!$A$7:$A$43,$B17,Rework!$F$7:$F$43)-SUMIF(Rework!$A$7:$A$43,$B17,Rework!$D$7:$D$43)</f>
        <v>0</v>
      </c>
      <c r="D17" s="257">
        <f t="shared" ca="1" si="5"/>
        <v>0</v>
      </c>
      <c r="E17" s="257">
        <f ca="1">SUMIF(Rework!$A$7:$A$43,$B17,Rework!$G$7:$G$43)-SUMIF(Rework!$A$7:$A$43,$B17,Rework!E$7:$E$43)</f>
        <v>0</v>
      </c>
      <c r="F17" s="258">
        <f ca="1">SUMIFS('MFG COST SUMMARY'!$F$18:$F$130,'MFG COST SUMMARY'!$C$18:$C$130,$B17)</f>
        <v>654</v>
      </c>
      <c r="G17" s="470">
        <f t="shared" ca="1" si="6"/>
        <v>38.636382769110504</v>
      </c>
      <c r="H17" s="259">
        <f ca="1">SUMIFS('MFG COST SUMMARY'!$AT$18:$AT$130,'MFG COST SUMMARY'!$C$18:$C$130,$B17)</f>
        <v>25268.194330998271</v>
      </c>
      <c r="I17" s="260">
        <f t="shared" ca="1" si="7"/>
        <v>654</v>
      </c>
      <c r="J17" s="260">
        <f t="shared" ca="1" si="8"/>
        <v>25268.194330998271</v>
      </c>
      <c r="K17" s="27"/>
    </row>
    <row r="18" spans="1:11">
      <c r="A18" s="512">
        <f t="shared" si="4"/>
        <v>34</v>
      </c>
      <c r="B18" s="466" t="str" cm="2">
        <f t="array" aca="1" ref="B18" ca="1">INDIRECT("'MFG COST SUMMARY'!C" &amp; $A18)</f>
        <v>PSR0V13D</v>
      </c>
      <c r="C18" s="257">
        <f ca="1">SUMIF(Rework!$A$7:$A$43,$B18,Rework!$F$7:$F$43)-SUMIF(Rework!$A$7:$A$43,$B18,Rework!$D$7:$D$43)</f>
        <v>0</v>
      </c>
      <c r="D18" s="257">
        <f t="shared" ca="1" si="5"/>
        <v>0</v>
      </c>
      <c r="E18" s="257">
        <f ca="1">SUMIF(Rework!$A$7:$A$43,$B18,Rework!$G$7:$G$43)-SUMIF(Rework!$A$7:$A$43,$B18,Rework!E$7:$E$43)</f>
        <v>0</v>
      </c>
      <c r="F18" s="258">
        <f ca="1">SUMIFS('MFG COST SUMMARY'!$F$18:$F$130,'MFG COST SUMMARY'!$C$18:$C$130,$B18)</f>
        <v>550</v>
      </c>
      <c r="G18" s="470">
        <f t="shared" ca="1" si="6"/>
        <v>45.841421893580545</v>
      </c>
      <c r="H18" s="259">
        <f ca="1">SUMIFS('MFG COST SUMMARY'!$AT$18:$AT$130,'MFG COST SUMMARY'!$C$18:$C$130,$B18)</f>
        <v>25212.782041469301</v>
      </c>
      <c r="I18" s="260">
        <f t="shared" ca="1" si="7"/>
        <v>550</v>
      </c>
      <c r="J18" s="260">
        <f t="shared" ca="1" si="8"/>
        <v>25212.782041469301</v>
      </c>
      <c r="K18" s="27"/>
    </row>
    <row r="19" spans="1:11">
      <c r="A19" s="512">
        <f t="shared" si="4"/>
        <v>35</v>
      </c>
      <c r="B19" s="466" t="str" cm="2">
        <f t="array" aca="1" ref="B19" ca="1">INDIRECT("'MFG COST SUMMARY'!C" &amp; $A19)</f>
        <v>PSR0V149</v>
      </c>
      <c r="C19" s="257">
        <f ca="1">SUMIF(Rework!$A$7:$A$43,$B19,Rework!$F$7:$F$43)-SUMIF(Rework!$A$7:$A$43,$B19,Rework!$D$7:$D$43)</f>
        <v>0</v>
      </c>
      <c r="D19" s="257">
        <f t="shared" ca="1" si="5"/>
        <v>0</v>
      </c>
      <c r="E19" s="257">
        <f ca="1">SUMIF(Rework!$A$7:$A$43,$B19,Rework!$G$7:$G$43)-SUMIF(Rework!$A$7:$A$43,$B19,Rework!E$7:$E$43)</f>
        <v>0</v>
      </c>
      <c r="F19" s="258">
        <f ca="1">SUMIFS('MFG COST SUMMARY'!$F$18:$F$130,'MFG COST SUMMARY'!$C$18:$C$130,$B19)</f>
        <v>312</v>
      </c>
      <c r="G19" s="470">
        <f t="shared" ca="1" si="6"/>
        <v>36.785917615000749</v>
      </c>
      <c r="H19" s="259">
        <f ca="1">SUMIFS('MFG COST SUMMARY'!$AT$18:$AT$130,'MFG COST SUMMARY'!$C$18:$C$130,$B19)</f>
        <v>11477.206295880233</v>
      </c>
      <c r="I19" s="260">
        <f t="shared" ca="1" si="7"/>
        <v>312</v>
      </c>
      <c r="J19" s="260">
        <f t="shared" ca="1" si="8"/>
        <v>11477.206295880233</v>
      </c>
      <c r="K19" s="27"/>
    </row>
    <row r="20" spans="1:11">
      <c r="A20" s="512">
        <f t="shared" si="4"/>
        <v>36</v>
      </c>
      <c r="B20" s="466" t="str" cm="2">
        <f t="array" aca="1" ref="B20" ca="1">INDIRECT("'MFG COST SUMMARY'!C" &amp; $A20)</f>
        <v>PSR0V14D</v>
      </c>
      <c r="C20" s="257">
        <f ca="1">SUMIF(Rework!$A$7:$A$43,$B20,Rework!$F$7:$F$43)-SUMIF(Rework!$A$7:$A$43,$B20,Rework!$D$7:$D$43)</f>
        <v>0</v>
      </c>
      <c r="D20" s="257">
        <f t="shared" ca="1" si="5"/>
        <v>0</v>
      </c>
      <c r="E20" s="257">
        <f ca="1">SUMIF(Rework!$A$7:$A$43,$B20,Rework!$G$7:$G$43)-SUMIF(Rework!$A$7:$A$43,$B20,Rework!E$7:$E$43)</f>
        <v>0</v>
      </c>
      <c r="F20" s="258">
        <f ca="1">SUMIFS('MFG COST SUMMARY'!$F$18:$F$130,'MFG COST SUMMARY'!$C$18:$C$130,$B20)</f>
        <v>122</v>
      </c>
      <c r="G20" s="257">
        <f t="shared" ca="1" si="6"/>
        <v>49.976838006269304</v>
      </c>
      <c r="H20" s="259">
        <f ca="1">SUMIFS('MFG COST SUMMARY'!$AT$18:$AT$130,'MFG COST SUMMARY'!$C$18:$C$130,$B20)</f>
        <v>6097.1742367648549</v>
      </c>
      <c r="I20" s="260">
        <f t="shared" ca="1" si="7"/>
        <v>122</v>
      </c>
      <c r="J20" s="260">
        <f t="shared" ca="1" si="8"/>
        <v>6097.1742367648549</v>
      </c>
      <c r="K20" s="27"/>
    </row>
    <row r="21" spans="1:11">
      <c r="A21" s="512">
        <f t="shared" si="4"/>
        <v>37</v>
      </c>
      <c r="B21" s="466" t="str" cm="2">
        <f t="array" aca="1" ref="B21" ca="1">INDIRECT("'MFG COST SUMMARY'!C" &amp; $A21)</f>
        <v>PSR0V15D</v>
      </c>
      <c r="C21" s="257">
        <f ca="1">SUMIF(Rework!$A$7:$A$43,$B21,Rework!$F$7:$F$43)-SUMIF(Rework!$A$7:$A$43,$B21,Rework!$D$7:$D$43)</f>
        <v>0</v>
      </c>
      <c r="D21" s="257">
        <f t="shared" ca="1" si="5"/>
        <v>0</v>
      </c>
      <c r="E21" s="257">
        <f ca="1">SUMIF(Rework!$A$7:$A$43,$B21,Rework!$G$7:$G$43)-SUMIF(Rework!$A$7:$A$43,$B21,Rework!E$7:$E$43)</f>
        <v>0</v>
      </c>
      <c r="F21" s="258">
        <f ca="1">SUMIFS('MFG COST SUMMARY'!$F$18:$F$130,'MFG COST SUMMARY'!$C$18:$C$130,$B21)</f>
        <v>114</v>
      </c>
      <c r="G21" s="470">
        <f t="shared" ca="1" si="6"/>
        <v>39.706342993944602</v>
      </c>
      <c r="H21" s="259">
        <f ca="1">SUMIFS('MFG COST SUMMARY'!$AT$18:$AT$130,'MFG COST SUMMARY'!$C$18:$C$130,$B21)</f>
        <v>4526.5231013096845</v>
      </c>
      <c r="I21" s="260">
        <f t="shared" ca="1" si="7"/>
        <v>114</v>
      </c>
      <c r="J21" s="260">
        <f t="shared" ca="1" si="8"/>
        <v>4526.5231013096845</v>
      </c>
      <c r="K21" s="27"/>
    </row>
    <row r="22" spans="1:11">
      <c r="A22" s="512">
        <f t="shared" si="4"/>
        <v>38</v>
      </c>
      <c r="B22" s="466" t="str" cm="2">
        <f t="array" aca="1" ref="B22" ca="1">INDIRECT("'MFG COST SUMMARY'!C" &amp; $A22)</f>
        <v>PSR0V164</v>
      </c>
      <c r="C22" s="257">
        <f ca="1">SUMIF(Rework!$A$7:$A$43,$B22,Rework!$F$7:$F$43)-SUMIF(Rework!$A$7:$A$43,$B22,Rework!$D$7:$D$43)</f>
        <v>0</v>
      </c>
      <c r="D22" s="257">
        <f t="shared" ca="1" si="5"/>
        <v>0</v>
      </c>
      <c r="E22" s="257">
        <f ca="1">SUMIF(Rework!$A$7:$A$43,$B22,Rework!$G$7:$G$43)-SUMIF(Rework!$A$7:$A$43,$B22,Rework!E$7:$E$43)</f>
        <v>0</v>
      </c>
      <c r="F22" s="258">
        <f ca="1">SUMIFS('MFG COST SUMMARY'!$F$18:$F$130,'MFG COST SUMMARY'!$C$18:$C$130,$B22)</f>
        <v>200</v>
      </c>
      <c r="G22" s="470">
        <f t="shared" ca="1" si="6"/>
        <v>45.43945033447568</v>
      </c>
      <c r="H22" s="259">
        <f ca="1">SUMIFS('MFG COST SUMMARY'!$AT$18:$AT$130,'MFG COST SUMMARY'!$C$18:$C$130,$B22)</f>
        <v>9087.8900668951355</v>
      </c>
      <c r="I22" s="260">
        <f t="shared" ca="1" si="7"/>
        <v>200</v>
      </c>
      <c r="J22" s="260">
        <f t="shared" ca="1" si="8"/>
        <v>9087.8900668951355</v>
      </c>
      <c r="K22" s="27"/>
    </row>
    <row r="23" spans="1:11">
      <c r="A23" s="512">
        <f t="shared" si="4"/>
        <v>39</v>
      </c>
      <c r="B23" s="466" t="str" cm="2">
        <f t="array" aca="1" ref="B23" ca="1">INDIRECT("'MFG COST SUMMARY'!C" &amp; $A23)</f>
        <v>PSR0V165</v>
      </c>
      <c r="C23" s="257">
        <f ca="1">SUMIF(Rework!$A$7:$A$43,$B23,Rework!$F$7:$F$43)-SUMIF(Rework!$A$7:$A$43,$B23,Rework!$D$7:$D$43)</f>
        <v>0</v>
      </c>
      <c r="D23" s="257">
        <f t="shared" ca="1" si="5"/>
        <v>0</v>
      </c>
      <c r="E23" s="257">
        <f ca="1">SUMIF(Rework!$A$7:$A$43,$B23,Rework!$G$7:$G$43)-SUMIF(Rework!$A$7:$A$43,$B23,Rework!E$7:$E$43)</f>
        <v>0</v>
      </c>
      <c r="F23" s="258">
        <f ca="1">SUMIFS('MFG COST SUMMARY'!$F$18:$F$130,'MFG COST SUMMARY'!$C$18:$C$130,$B23)</f>
        <v>216</v>
      </c>
      <c r="G23" s="470">
        <f t="shared" ca="1" si="6"/>
        <v>33.932285163065544</v>
      </c>
      <c r="H23" s="259">
        <f ca="1">SUMIFS('MFG COST SUMMARY'!$AT$18:$AT$130,'MFG COST SUMMARY'!$C$18:$C$130,$B23)</f>
        <v>7329.3735952221568</v>
      </c>
      <c r="I23" s="260">
        <f t="shared" ca="1" si="7"/>
        <v>216</v>
      </c>
      <c r="J23" s="260">
        <f t="shared" ca="1" si="8"/>
        <v>7329.3735952221568</v>
      </c>
      <c r="K23" s="27"/>
    </row>
    <row r="24" spans="1:11">
      <c r="A24" s="512">
        <f t="shared" si="4"/>
        <v>40</v>
      </c>
      <c r="B24" s="466" t="str" cm="2">
        <f t="array" aca="1" ref="B24" ca="1">INDIRECT("'MFG COST SUMMARY'!C" &amp; $A24)</f>
        <v>PSR0V166</v>
      </c>
      <c r="C24" s="257">
        <f ca="1">SUMIF(Rework!$A$7:$A$43,$B24,Rework!$F$7:$F$43)-SUMIF(Rework!$A$7:$A$43,$B24,Rework!$D$7:$D$43)</f>
        <v>0</v>
      </c>
      <c r="D24" s="257">
        <f t="shared" ca="1" si="5"/>
        <v>0</v>
      </c>
      <c r="E24" s="257">
        <f ca="1">SUMIF(Rework!$A$7:$A$43,$B24,Rework!$G$7:$G$43)-SUMIF(Rework!$A$7:$A$43,$B24,Rework!E$7:$E$43)</f>
        <v>0</v>
      </c>
      <c r="F24" s="258">
        <f ca="1">SUMIFS('MFG COST SUMMARY'!$F$18:$F$130,'MFG COST SUMMARY'!$C$18:$C$130,$B24)</f>
        <v>532</v>
      </c>
      <c r="G24" s="470">
        <f t="shared" ca="1" si="6"/>
        <v>34.640443615043608</v>
      </c>
      <c r="H24" s="259">
        <f ca="1">SUMIFS('MFG COST SUMMARY'!$AT$18:$AT$130,'MFG COST SUMMARY'!$C$18:$C$130,$B24)</f>
        <v>18428.716003203201</v>
      </c>
      <c r="I24" s="260">
        <f t="shared" ca="1" si="7"/>
        <v>532</v>
      </c>
      <c r="J24" s="260">
        <f t="shared" ca="1" si="8"/>
        <v>18428.716003203201</v>
      </c>
      <c r="K24" s="27"/>
    </row>
    <row r="25" spans="1:11">
      <c r="A25" s="512">
        <f t="shared" si="4"/>
        <v>41</v>
      </c>
      <c r="B25" s="466" t="str" cm="2">
        <f t="array" aca="1" ref="B25" ca="1">INDIRECT("'MFG COST SUMMARY'!C" &amp; $A25)</f>
        <v>PSR0V168</v>
      </c>
      <c r="C25" s="257">
        <f ca="1">SUMIF(Rework!$A$7:$A$43,$B25,Rework!$F$7:$F$43)-SUMIF(Rework!$A$7:$A$43,$B25,Rework!$D$7:$D$43)</f>
        <v>0</v>
      </c>
      <c r="D25" s="257">
        <f t="shared" ca="1" si="5"/>
        <v>0</v>
      </c>
      <c r="E25" s="257">
        <f ca="1">SUMIF(Rework!$A$7:$A$43,$B25,Rework!$G$7:$G$43)-SUMIF(Rework!$A$7:$A$43,$B25,Rework!E$7:$E$43)</f>
        <v>0</v>
      </c>
      <c r="F25" s="258">
        <f ca="1">SUMIFS('MFG COST SUMMARY'!$F$18:$F$130,'MFG COST SUMMARY'!$C$18:$C$130,$B25)</f>
        <v>323</v>
      </c>
      <c r="G25" s="257">
        <f t="shared" ca="1" si="6"/>
        <v>40.825705342055969</v>
      </c>
      <c r="H25" s="259">
        <f ca="1">SUMIFS('MFG COST SUMMARY'!$AT$18:$AT$130,'MFG COST SUMMARY'!$C$18:$C$130,$B25)</f>
        <v>13186.702825484077</v>
      </c>
      <c r="I25" s="260">
        <f t="shared" ca="1" si="7"/>
        <v>323</v>
      </c>
      <c r="J25" s="260">
        <f t="shared" ca="1" si="8"/>
        <v>13186.702825484077</v>
      </c>
      <c r="K25" s="27"/>
    </row>
    <row r="26" spans="1:11">
      <c r="A26" s="512">
        <f t="shared" si="4"/>
        <v>42</v>
      </c>
      <c r="B26" s="466" t="str" cm="2">
        <f t="array" aca="1" ref="B26" ca="1">INDIRECT("'MFG COST SUMMARY'!C" &amp; $A26)</f>
        <v>PSR0V169</v>
      </c>
      <c r="C26" s="257">
        <f ca="1">SUMIF(Rework!$A$7:$A$43,$B26,Rework!$F$7:$F$43)-SUMIF(Rework!$A$7:$A$43,$B26,Rework!$D$7:$D$43)</f>
        <v>0</v>
      </c>
      <c r="D26" s="257">
        <f t="shared" ca="1" si="5"/>
        <v>0</v>
      </c>
      <c r="E26" s="257">
        <f ca="1">SUMIF(Rework!$A$7:$A$43,$B26,Rework!$G$7:$G$43)-SUMIF(Rework!$A$7:$A$43,$B26,Rework!E$7:$E$43)</f>
        <v>0</v>
      </c>
      <c r="F26" s="258">
        <f ca="1">SUMIFS('MFG COST SUMMARY'!$F$18:$F$130,'MFG COST SUMMARY'!$C$18:$C$130,$B26)</f>
        <v>303</v>
      </c>
      <c r="G26" s="470">
        <f t="shared" ca="1" si="6"/>
        <v>42.317905186198423</v>
      </c>
      <c r="H26" s="259">
        <f ca="1">SUMIFS('MFG COST SUMMARY'!$AT$18:$AT$130,'MFG COST SUMMARY'!$C$18:$C$130,$B26)</f>
        <v>12822.325271418122</v>
      </c>
      <c r="I26" s="260">
        <f t="shared" ca="1" si="7"/>
        <v>303</v>
      </c>
      <c r="J26" s="260">
        <f t="shared" ca="1" si="8"/>
        <v>12822.325271418122</v>
      </c>
      <c r="K26" s="27"/>
    </row>
    <row r="27" spans="1:11">
      <c r="A27" s="512">
        <f t="shared" si="4"/>
        <v>43</v>
      </c>
      <c r="B27" s="466" t="str" cm="2">
        <f t="array" aca="1" ref="B27" ca="1">INDIRECT("'MFG COST SUMMARY'!C" &amp; $A27)</f>
        <v>PSR0V16D</v>
      </c>
      <c r="C27" s="257">
        <f ca="1">SUMIF(Rework!$A$7:$A$43,$B27,Rework!$F$7:$F$43)-SUMIF(Rework!$A$7:$A$43,$B27,Rework!$D$7:$D$43)</f>
        <v>0</v>
      </c>
      <c r="D27" s="257">
        <f t="shared" ca="1" si="5"/>
        <v>0</v>
      </c>
      <c r="E27" s="257">
        <f ca="1">SUMIF(Rework!$A$7:$A$43,$B27,Rework!$G$7:$G$43)-SUMIF(Rework!$A$7:$A$43,$B27,Rework!E$7:$E$43)</f>
        <v>0</v>
      </c>
      <c r="F27" s="258">
        <f ca="1">SUMIFS('MFG COST SUMMARY'!$F$18:$F$130,'MFG COST SUMMARY'!$C$18:$C$130,$B27)</f>
        <v>254</v>
      </c>
      <c r="G27" s="470">
        <f t="shared" ca="1" si="6"/>
        <v>42.942393421121096</v>
      </c>
      <c r="H27" s="259">
        <f ca="1">SUMIFS('MFG COST SUMMARY'!$AT$18:$AT$130,'MFG COST SUMMARY'!$C$18:$C$130,$B27)</f>
        <v>10907.367928964759</v>
      </c>
      <c r="I27" s="260">
        <f t="shared" ca="1" si="7"/>
        <v>254</v>
      </c>
      <c r="J27" s="260">
        <f t="shared" ca="1" si="8"/>
        <v>10907.367928964759</v>
      </c>
      <c r="K27" s="27"/>
    </row>
    <row r="28" spans="1:11">
      <c r="A28" s="512">
        <f t="shared" si="4"/>
        <v>44</v>
      </c>
      <c r="B28" s="466" t="str" cm="2">
        <f t="array" aca="1" ref="B28" ca="1">INDIRECT("'MFG COST SUMMARY'!C" &amp; $A28)</f>
        <v>PSR0V170</v>
      </c>
      <c r="C28" s="257">
        <f ca="1">SUMIF(Rework!$A$7:$A$43,$B28,Rework!$F$7:$F$43)-SUMIF(Rework!$A$7:$A$43,$B28,Rework!$D$7:$D$43)</f>
        <v>0</v>
      </c>
      <c r="D28" s="257">
        <f t="shared" ca="1" si="5"/>
        <v>0</v>
      </c>
      <c r="E28" s="257">
        <f ca="1">SUMIF(Rework!$A$7:$A$43,$B28,Rework!$G$7:$G$43)-SUMIF(Rework!$A$7:$A$43,$B28,Rework!E$7:$E$43)</f>
        <v>0</v>
      </c>
      <c r="F28" s="258">
        <f ca="1">SUMIFS('MFG COST SUMMARY'!$F$18:$F$130,'MFG COST SUMMARY'!$C$18:$C$130,$B28)</f>
        <v>762</v>
      </c>
      <c r="G28" s="257">
        <f t="shared" ca="1" si="6"/>
        <v>33.903430930290675</v>
      </c>
      <c r="H28" s="259">
        <f ca="1">SUMIFS('MFG COST SUMMARY'!$AT$18:$AT$130,'MFG COST SUMMARY'!$C$18:$C$130,$B28)</f>
        <v>25834.414368881495</v>
      </c>
      <c r="I28" s="260">
        <f t="shared" ca="1" si="7"/>
        <v>762</v>
      </c>
      <c r="J28" s="260">
        <f t="shared" ca="1" si="8"/>
        <v>25834.414368881495</v>
      </c>
      <c r="K28" s="27"/>
    </row>
    <row r="29" spans="1:11">
      <c r="A29" s="512">
        <f t="shared" si="4"/>
        <v>45</v>
      </c>
      <c r="B29" s="466" t="str" cm="2">
        <f t="array" aca="1" ref="B29" ca="1">INDIRECT("'MFG COST SUMMARY'!C" &amp; $A29)</f>
        <v>PSR0V173</v>
      </c>
      <c r="C29" s="257">
        <f ca="1">SUMIF(Rework!$A$7:$A$43,$B29,Rework!$F$7:$F$43)-SUMIF(Rework!$A$7:$A$43,$B29,Rework!$D$7:$D$43)</f>
        <v>0</v>
      </c>
      <c r="D29" s="257">
        <f t="shared" ca="1" si="5"/>
        <v>0</v>
      </c>
      <c r="E29" s="257">
        <f ca="1">SUMIF(Rework!$A$7:$A$43,$B29,Rework!$G$7:$G$43)-SUMIF(Rework!$A$7:$A$43,$B29,Rework!E$7:$E$43)</f>
        <v>0</v>
      </c>
      <c r="F29" s="258">
        <f ca="1">SUMIFS('MFG COST SUMMARY'!$F$18:$F$130,'MFG COST SUMMARY'!$C$18:$C$130,$B29)</f>
        <v>2798</v>
      </c>
      <c r="G29" s="257">
        <f t="shared" ca="1" si="6"/>
        <v>41.072761953578357</v>
      </c>
      <c r="H29" s="259">
        <f ca="1">SUMIFS('MFG COST SUMMARY'!$AT$18:$AT$130,'MFG COST SUMMARY'!$C$18:$C$130,$B29)</f>
        <v>114921.58794611225</v>
      </c>
      <c r="I29" s="260">
        <f t="shared" ca="1" si="7"/>
        <v>2798</v>
      </c>
      <c r="J29" s="260">
        <f t="shared" ca="1" si="8"/>
        <v>114921.58794611225</v>
      </c>
      <c r="K29" s="27"/>
    </row>
    <row r="30" spans="1:11">
      <c r="A30" s="512">
        <f t="shared" si="4"/>
        <v>46</v>
      </c>
      <c r="B30" s="466" t="str" cm="2">
        <f t="array" aca="1" ref="B30" ca="1">INDIRECT("'MFG COST SUMMARY'!C" &amp; $A30)</f>
        <v>PSR0V174</v>
      </c>
      <c r="C30" s="257">
        <f ca="1">SUMIF(Rework!$A$7:$A$43,$B30,Rework!$F$7:$F$43)-SUMIF(Rework!$A$7:$A$43,$B30,Rework!$D$7:$D$43)</f>
        <v>0</v>
      </c>
      <c r="D30" s="257">
        <f t="shared" ca="1" si="5"/>
        <v>0</v>
      </c>
      <c r="E30" s="257">
        <f ca="1">SUMIF(Rework!$A$7:$A$43,$B30,Rework!$G$7:$G$43)-SUMIF(Rework!$A$7:$A$43,$B30,Rework!E$7:$E$43)</f>
        <v>0</v>
      </c>
      <c r="F30" s="258">
        <f ca="1">SUMIFS('MFG COST SUMMARY'!$F$18:$F$130,'MFG COST SUMMARY'!$C$18:$C$130,$B30)</f>
        <v>1845</v>
      </c>
      <c r="G30" s="257">
        <f t="shared" ca="1" si="6"/>
        <v>38.260224102434925</v>
      </c>
      <c r="H30" s="259">
        <f ca="1">SUMIFS('MFG COST SUMMARY'!$AT$18:$AT$130,'MFG COST SUMMARY'!$C$18:$C$130,$B30)</f>
        <v>70590.113468992437</v>
      </c>
      <c r="I30" s="260">
        <f t="shared" ca="1" si="7"/>
        <v>1845</v>
      </c>
      <c r="J30" s="260">
        <f t="shared" ca="1" si="8"/>
        <v>70590.113468992437</v>
      </c>
      <c r="K30" s="27"/>
    </row>
    <row r="31" spans="1:11">
      <c r="A31" s="512">
        <f t="shared" si="4"/>
        <v>47</v>
      </c>
      <c r="B31" s="466" t="str" cm="2">
        <f t="array" aca="1" ref="B31" ca="1">INDIRECT("'MFG COST SUMMARY'!C" &amp; $A31)</f>
        <v>PSR0V17D</v>
      </c>
      <c r="C31" s="257">
        <f ca="1">SUMIF(Rework!$A$7:$A$43,$B31,Rework!$F$7:$F$43)-SUMIF(Rework!$A$7:$A$43,$B31,Rework!$D$7:$D$43)</f>
        <v>0</v>
      </c>
      <c r="D31" s="257">
        <f t="shared" ca="1" si="5"/>
        <v>0</v>
      </c>
      <c r="E31" s="257">
        <f ca="1">SUMIF(Rework!$A$7:$A$43,$B31,Rework!$G$7:$G$43)-SUMIF(Rework!$A$7:$A$43,$B31,Rework!E$7:$E$43)</f>
        <v>0</v>
      </c>
      <c r="F31" s="258">
        <f ca="1">SUMIFS('MFG COST SUMMARY'!$F$18:$F$130,'MFG COST SUMMARY'!$C$18:$C$130,$B31)</f>
        <v>37</v>
      </c>
      <c r="G31" s="470">
        <f t="shared" ca="1" si="6"/>
        <v>46.530877301699988</v>
      </c>
      <c r="H31" s="259">
        <f ca="1">SUMIFS('MFG COST SUMMARY'!$AT$18:$AT$130,'MFG COST SUMMARY'!$C$18:$C$130,$B31)</f>
        <v>1721.6424601628996</v>
      </c>
      <c r="I31" s="260">
        <f t="shared" ca="1" si="7"/>
        <v>37</v>
      </c>
      <c r="J31" s="260">
        <f t="shared" ca="1" si="8"/>
        <v>1721.6424601628996</v>
      </c>
      <c r="K31" s="27"/>
    </row>
    <row r="32" spans="1:11">
      <c r="A32" s="512">
        <f t="shared" si="4"/>
        <v>48</v>
      </c>
      <c r="B32" s="466" t="str" cm="2">
        <f t="array" aca="1" ref="B32" ca="1">INDIRECT("'MFG COST SUMMARY'!C" &amp; $A32)</f>
        <v>PSR0V186</v>
      </c>
      <c r="C32" s="257">
        <f ca="1">SUMIF(Rework!$A$7:$A$43,$B32,Rework!$F$7:$F$43)-SUMIF(Rework!$A$7:$A$43,$B32,Rework!$D$7:$D$43)</f>
        <v>0</v>
      </c>
      <c r="D32" s="257">
        <f t="shared" ca="1" si="5"/>
        <v>0</v>
      </c>
      <c r="E32" s="257">
        <f ca="1">SUMIF(Rework!$A$7:$A$43,$B32,Rework!$G$7:$G$43)-SUMIF(Rework!$A$7:$A$43,$B32,Rework!E$7:$E$43)</f>
        <v>0</v>
      </c>
      <c r="F32" s="258">
        <f ca="1">SUMIFS('MFG COST SUMMARY'!$F$18:$F$130,'MFG COST SUMMARY'!$C$18:$C$130,$B32)</f>
        <v>867</v>
      </c>
      <c r="G32" s="470">
        <f t="shared" ca="1" si="6"/>
        <v>42.909273269306276</v>
      </c>
      <c r="H32" s="259">
        <f ca="1">SUMIFS('MFG COST SUMMARY'!$AT$18:$AT$130,'MFG COST SUMMARY'!$C$18:$C$130,$B32)</f>
        <v>37202.339924488544</v>
      </c>
      <c r="I32" s="260">
        <f t="shared" ca="1" si="7"/>
        <v>867</v>
      </c>
      <c r="J32" s="260">
        <f t="shared" ca="1" si="8"/>
        <v>37202.339924488544</v>
      </c>
      <c r="K32" s="27"/>
    </row>
    <row r="33" spans="1:11">
      <c r="A33" s="512">
        <f t="shared" si="4"/>
        <v>49</v>
      </c>
      <c r="B33" s="466" t="str" cm="2">
        <f t="array" aca="1" ref="B33" ca="1">INDIRECT("'MFG COST SUMMARY'!C" &amp; $A33)</f>
        <v>PSR0V187</v>
      </c>
      <c r="C33" s="257">
        <f ca="1">SUMIF(Rework!$A$7:$A$43,$B33,Rework!$F$7:$F$43)-SUMIF(Rework!$A$7:$A$43,$B33,Rework!$D$7:$D$43)</f>
        <v>0</v>
      </c>
      <c r="D33" s="257">
        <f t="shared" ca="1" si="5"/>
        <v>0</v>
      </c>
      <c r="E33" s="257">
        <f ca="1">SUMIF(Rework!$A$7:$A$43,$B33,Rework!$G$7:$G$43)-SUMIF(Rework!$A$7:$A$43,$B33,Rework!E$7:$E$43)</f>
        <v>0</v>
      </c>
      <c r="F33" s="258">
        <f ca="1">SUMIFS('MFG COST SUMMARY'!$F$18:$F$130,'MFG COST SUMMARY'!$C$18:$C$130,$B33)</f>
        <v>231</v>
      </c>
      <c r="G33" s="470">
        <f t="shared" ca="1" si="6"/>
        <v>44.444199753396582</v>
      </c>
      <c r="H33" s="259">
        <f ca="1">SUMIFS('MFG COST SUMMARY'!$AT$18:$AT$130,'MFG COST SUMMARY'!$C$18:$C$130,$B33)</f>
        <v>10266.61014303461</v>
      </c>
      <c r="I33" s="260">
        <f t="shared" ca="1" si="7"/>
        <v>231</v>
      </c>
      <c r="J33" s="260">
        <f t="shared" ca="1" si="8"/>
        <v>10266.61014303461</v>
      </c>
      <c r="K33" s="27"/>
    </row>
    <row r="34" spans="1:11">
      <c r="A34" s="512">
        <f t="shared" si="4"/>
        <v>50</v>
      </c>
      <c r="B34" s="466" t="str" cm="2">
        <f t="array" aca="1" ref="B34" ca="1">INDIRECT("'MFG COST SUMMARY'!C" &amp; $A34)</f>
        <v>PSR0V18D</v>
      </c>
      <c r="C34" s="257">
        <f ca="1">SUMIF(Rework!$A$7:$A$43,$B34,Rework!$F$7:$F$43)-SUMIF(Rework!$A$7:$A$43,$B34,Rework!$D$7:$D$43)</f>
        <v>0</v>
      </c>
      <c r="D34" s="257">
        <f t="shared" ca="1" si="5"/>
        <v>0</v>
      </c>
      <c r="E34" s="257">
        <f ca="1">SUMIF(Rework!$A$7:$A$43,$B34,Rework!$G$7:$G$43)-SUMIF(Rework!$A$7:$A$43,$B34,Rework!E$7:$E$43)</f>
        <v>0</v>
      </c>
      <c r="F34" s="258">
        <f ca="1">SUMIFS('MFG COST SUMMARY'!$F$18:$F$130,'MFG COST SUMMARY'!$C$18:$C$130,$B34)</f>
        <v>110</v>
      </c>
      <c r="G34" s="470">
        <f t="shared" ca="1" si="6"/>
        <v>47.661141168890516</v>
      </c>
      <c r="H34" s="259">
        <f ca="1">SUMIFS('MFG COST SUMMARY'!$AT$18:$AT$130,'MFG COST SUMMARY'!$C$18:$C$130,$B34)</f>
        <v>5242.7255285779565</v>
      </c>
      <c r="I34" s="260">
        <f t="shared" ca="1" si="7"/>
        <v>110</v>
      </c>
      <c r="J34" s="260">
        <f t="shared" ca="1" si="8"/>
        <v>5242.7255285779565</v>
      </c>
      <c r="K34" s="27"/>
    </row>
    <row r="35" spans="1:11">
      <c r="A35" s="512">
        <f t="shared" si="4"/>
        <v>51</v>
      </c>
      <c r="B35" s="466" t="str" cm="2">
        <f t="array" aca="1" ref="B35" ca="1">INDIRECT("'MFG COST SUMMARY'!C" &amp; $A35)</f>
        <v>PSR0V190</v>
      </c>
      <c r="C35" s="257">
        <f ca="1">SUMIF(Rework!$A$7:$A$43,$B35,Rework!$F$7:$F$43)-SUMIF(Rework!$A$7:$A$43,$B35,Rework!$D$7:$D$43)</f>
        <v>0</v>
      </c>
      <c r="D35" s="257">
        <f t="shared" ca="1" si="5"/>
        <v>0</v>
      </c>
      <c r="E35" s="257">
        <f ca="1">SUMIF(Rework!$A$7:$A$43,$B35,Rework!$G$7:$G$43)-SUMIF(Rework!$A$7:$A$43,$B35,Rework!E$7:$E$43)</f>
        <v>0</v>
      </c>
      <c r="F35" s="258">
        <f ca="1">SUMIFS('MFG COST SUMMARY'!$F$18:$F$130,'MFG COST SUMMARY'!$C$18:$C$130,$B35)</f>
        <v>101</v>
      </c>
      <c r="G35" s="257">
        <f t="shared" ca="1" si="6"/>
        <v>27.035819115518702</v>
      </c>
      <c r="H35" s="259">
        <f ca="1">SUMIFS('MFG COST SUMMARY'!$AT$18:$AT$130,'MFG COST SUMMARY'!$C$18:$C$130,$B35)</f>
        <v>2730.617730667389</v>
      </c>
      <c r="I35" s="260">
        <f t="shared" ca="1" si="7"/>
        <v>101</v>
      </c>
      <c r="J35" s="260">
        <f t="shared" ca="1" si="8"/>
        <v>2730.617730667389</v>
      </c>
      <c r="K35" s="27"/>
    </row>
    <row r="36" spans="1:11">
      <c r="A36" s="512">
        <f t="shared" si="4"/>
        <v>52</v>
      </c>
      <c r="B36" s="466" t="str" cm="2">
        <f t="array" aca="1" ref="B36" ca="1">INDIRECT("'MFG COST SUMMARY'!C" &amp; $A36)</f>
        <v>PSR0V193</v>
      </c>
      <c r="C36" s="257">
        <f ca="1">SUMIF(Rework!$A$7:$A$43,$B36,Rework!$F$7:$F$43)-SUMIF(Rework!$A$7:$A$43,$B36,Rework!$D$7:$D$43)</f>
        <v>0</v>
      </c>
      <c r="D36" s="257">
        <f t="shared" ca="1" si="5"/>
        <v>0</v>
      </c>
      <c r="E36" s="257">
        <f ca="1">SUMIF(Rework!$A$7:$A$43,$B36,Rework!$G$7:$G$43)-SUMIF(Rework!$A$7:$A$43,$B36,Rework!E$7:$E$43)</f>
        <v>0</v>
      </c>
      <c r="F36" s="258">
        <f ca="1">SUMIFS('MFG COST SUMMARY'!$F$18:$F$130,'MFG COST SUMMARY'!$C$18:$C$130,$B36)</f>
        <v>158</v>
      </c>
      <c r="G36" s="470">
        <f t="shared" ca="1" si="6"/>
        <v>43.412138433943753</v>
      </c>
      <c r="H36" s="259">
        <f ca="1">SUMIFS('MFG COST SUMMARY'!$AT$18:$AT$130,'MFG COST SUMMARY'!$C$18:$C$130,$B36)</f>
        <v>6859.1178725631135</v>
      </c>
      <c r="I36" s="260">
        <f t="shared" ca="1" si="7"/>
        <v>158</v>
      </c>
      <c r="J36" s="260">
        <f t="shared" ca="1" si="8"/>
        <v>6859.1178725631135</v>
      </c>
      <c r="K36" s="27"/>
    </row>
    <row r="37" spans="1:11">
      <c r="A37" s="512">
        <f t="shared" si="4"/>
        <v>53</v>
      </c>
      <c r="B37" s="466" t="str" cm="2">
        <f t="array" aca="1" ref="B37" ca="1">INDIRECT("'MFG COST SUMMARY'!C" &amp; $A37)</f>
        <v>PSR0V194</v>
      </c>
      <c r="C37" s="257">
        <f ca="1">SUMIF(Rework!$A$7:$A$43,$B37,Rework!$F$7:$F$43)-SUMIF(Rework!$A$7:$A$43,$B37,Rework!$D$7:$D$43)</f>
        <v>0</v>
      </c>
      <c r="D37" s="257">
        <f t="shared" ca="1" si="5"/>
        <v>0</v>
      </c>
      <c r="E37" s="257">
        <f ca="1">SUMIF(Rework!$A$7:$A$43,$B37,Rework!$G$7:$G$43)-SUMIF(Rework!$A$7:$A$43,$B37,Rework!E$7:$E$43)</f>
        <v>0</v>
      </c>
      <c r="F37" s="258">
        <f ca="1">SUMIFS('MFG COST SUMMARY'!$F$18:$F$130,'MFG COST SUMMARY'!$C$18:$C$130,$B37)</f>
        <v>1047</v>
      </c>
      <c r="G37" s="257">
        <f t="shared" ca="1" si="6"/>
        <v>33.944229265872401</v>
      </c>
      <c r="H37" s="259">
        <f ca="1">SUMIFS('MFG COST SUMMARY'!$AT$18:$AT$130,'MFG COST SUMMARY'!$C$18:$C$130,$B37)</f>
        <v>35539.608041368403</v>
      </c>
      <c r="I37" s="260">
        <f t="shared" ca="1" si="7"/>
        <v>1047</v>
      </c>
      <c r="J37" s="260">
        <f t="shared" ca="1" si="8"/>
        <v>35539.608041368403</v>
      </c>
      <c r="K37" s="27"/>
    </row>
    <row r="38" spans="1:11">
      <c r="A38" s="512">
        <f t="shared" si="4"/>
        <v>54</v>
      </c>
      <c r="B38" s="466" t="str" cm="2">
        <f t="array" aca="1" ref="B38" ca="1">INDIRECT("'MFG COST SUMMARY'!C" &amp; $A38)</f>
        <v>PSR0V19D</v>
      </c>
      <c r="C38" s="257">
        <f ca="1">SUMIF(Rework!$A$7:$A$43,$B38,Rework!$F$7:$F$43)-SUMIF(Rework!$A$7:$A$43,$B38,Rework!$D$7:$D$43)</f>
        <v>0</v>
      </c>
      <c r="D38" s="257">
        <f t="shared" ca="1" si="5"/>
        <v>0</v>
      </c>
      <c r="E38" s="257">
        <f ca="1">SUMIF(Rework!$A$7:$A$43,$B38,Rework!$G$7:$G$43)-SUMIF(Rework!$A$7:$A$43,$B38,Rework!E$7:$E$43)</f>
        <v>0</v>
      </c>
      <c r="F38" s="258">
        <f ca="1">SUMIFS('MFG COST SUMMARY'!$F$18:$F$130,'MFG COST SUMMARY'!$C$18:$C$130,$B38)</f>
        <v>156</v>
      </c>
      <c r="G38" s="470">
        <f t="shared" ca="1" si="6"/>
        <v>44.194099505942404</v>
      </c>
      <c r="H38" s="259">
        <f ca="1">SUMIFS('MFG COST SUMMARY'!$AT$18:$AT$130,'MFG COST SUMMARY'!$C$18:$C$130,$B38)</f>
        <v>6894.279522927015</v>
      </c>
      <c r="I38" s="260">
        <f t="shared" ca="1" si="7"/>
        <v>156</v>
      </c>
      <c r="J38" s="260">
        <f t="shared" ca="1" si="8"/>
        <v>6894.279522927015</v>
      </c>
      <c r="K38" s="27"/>
    </row>
    <row r="39" spans="1:11">
      <c r="A39" s="512">
        <f t="shared" si="4"/>
        <v>55</v>
      </c>
      <c r="B39" s="466" t="str" cm="2">
        <f t="array" aca="1" ref="B39" ca="1">INDIRECT("'MFG COST SUMMARY'!C" &amp; $A39)</f>
        <v>PSR0V208</v>
      </c>
      <c r="C39" s="257">
        <f ca="1">SUMIF(Rework!$A$7:$A$43,$B39,Rework!$F$7:$F$43)-SUMIF(Rework!$A$7:$A$43,$B39,Rework!$D$7:$D$43)</f>
        <v>0</v>
      </c>
      <c r="D39" s="257">
        <f t="shared" ca="1" si="5"/>
        <v>0</v>
      </c>
      <c r="E39" s="257">
        <f ca="1">SUMIF(Rework!$A$7:$A$43,$B39,Rework!$G$7:$G$43)-SUMIF(Rework!$A$7:$A$43,$B39,Rework!E$7:$E$43)</f>
        <v>0</v>
      </c>
      <c r="F39" s="258">
        <f ca="1">SUMIFS('MFG COST SUMMARY'!$F$18:$F$130,'MFG COST SUMMARY'!$C$18:$C$130,$B39)</f>
        <v>4</v>
      </c>
      <c r="G39" s="470">
        <f t="shared" ca="1" si="6"/>
        <v>59.052265851752971</v>
      </c>
      <c r="H39" s="259">
        <f ca="1">SUMIFS('MFG COST SUMMARY'!$AT$18:$AT$130,'MFG COST SUMMARY'!$C$18:$C$130,$B39)</f>
        <v>236.20906340701188</v>
      </c>
      <c r="I39" s="260">
        <f t="shared" ca="1" si="7"/>
        <v>4</v>
      </c>
      <c r="J39" s="260">
        <f t="shared" ca="1" si="8"/>
        <v>236.20906340701188</v>
      </c>
      <c r="K39" s="27"/>
    </row>
    <row r="40" spans="1:11">
      <c r="A40" s="512">
        <f t="shared" si="4"/>
        <v>56</v>
      </c>
      <c r="B40" s="466" t="str" cm="2">
        <f t="array" aca="1" ref="B40" ca="1">INDIRECT("'MFG COST SUMMARY'!C" &amp; $A40)</f>
        <v>PSR0V20D</v>
      </c>
      <c r="C40" s="257">
        <f ca="1">SUMIF(Rework!$A$7:$A$43,$B40,Rework!$F$7:$F$43)-SUMIF(Rework!$A$7:$A$43,$B40,Rework!$D$7:$D$43)</f>
        <v>0</v>
      </c>
      <c r="D40" s="257">
        <f t="shared" ca="1" si="5"/>
        <v>0</v>
      </c>
      <c r="E40" s="257">
        <f ca="1">SUMIF(Rework!$A$7:$A$43,$B40,Rework!$G$7:$G$43)-SUMIF(Rework!$A$7:$A$43,$B40,Rework!E$7:$E$43)</f>
        <v>0</v>
      </c>
      <c r="F40" s="258">
        <f ca="1">SUMIFS('MFG COST SUMMARY'!$F$18:$F$130,'MFG COST SUMMARY'!$C$18:$C$130,$B40)</f>
        <v>142</v>
      </c>
      <c r="G40" s="470">
        <f t="shared" ca="1" si="6"/>
        <v>51.693584900920413</v>
      </c>
      <c r="H40" s="259">
        <f ca="1">SUMIFS('MFG COST SUMMARY'!$AT$18:$AT$130,'MFG COST SUMMARY'!$C$18:$C$130,$B40)</f>
        <v>7340.4890559306987</v>
      </c>
      <c r="I40" s="260">
        <f t="shared" ca="1" si="7"/>
        <v>142</v>
      </c>
      <c r="J40" s="260">
        <f t="shared" ca="1" si="8"/>
        <v>7340.4890559306987</v>
      </c>
      <c r="K40" s="27"/>
    </row>
    <row r="41" spans="1:11">
      <c r="A41" s="512">
        <f t="shared" si="4"/>
        <v>57</v>
      </c>
      <c r="B41" s="466" t="str" cm="2">
        <f t="array" aca="1" ref="B41" ca="1">INDIRECT("'MFG COST SUMMARY'!C" &amp; $A41)</f>
        <v>PSR0V212</v>
      </c>
      <c r="C41" s="257">
        <f ca="1">SUMIF(Rework!$A$7:$A$43,$B41,Rework!$F$7:$F$43)-SUMIF(Rework!$A$7:$A$43,$B41,Rework!$D$7:$D$43)</f>
        <v>0</v>
      </c>
      <c r="D41" s="257">
        <f t="shared" ca="1" si="5"/>
        <v>0</v>
      </c>
      <c r="E41" s="257">
        <f ca="1">SUMIF(Rework!$A$7:$A$43,$B41,Rework!$G$7:$G$43)-SUMIF(Rework!$A$7:$A$43,$B41,Rework!E$7:$E$43)</f>
        <v>0</v>
      </c>
      <c r="F41" s="258">
        <f ca="1">SUMIFS('MFG COST SUMMARY'!$F$18:$F$130,'MFG COST SUMMARY'!$C$18:$C$130,$B41)</f>
        <v>1</v>
      </c>
      <c r="G41" s="470">
        <f t="shared" ca="1" si="6"/>
        <v>38.728594558044911</v>
      </c>
      <c r="H41" s="259">
        <f ca="1">SUMIFS('MFG COST SUMMARY'!$AT$18:$AT$130,'MFG COST SUMMARY'!$C$18:$C$130,$B41)</f>
        <v>38.728594558044911</v>
      </c>
      <c r="I41" s="260">
        <f t="shared" ca="1" si="7"/>
        <v>1</v>
      </c>
      <c r="J41" s="260">
        <f t="shared" ca="1" si="8"/>
        <v>38.728594558044911</v>
      </c>
      <c r="K41" s="27"/>
    </row>
    <row r="42" spans="1:11">
      <c r="A42" s="512">
        <f t="shared" si="4"/>
        <v>58</v>
      </c>
      <c r="B42" s="466" t="str" cm="2">
        <f t="array" aca="1" ref="B42" ca="1">INDIRECT("'MFG COST SUMMARY'!C" &amp; $A42)</f>
        <v>PSR0V213</v>
      </c>
      <c r="C42" s="257">
        <f ca="1">SUMIF(Rework!$A$7:$A$43,$B42,Rework!$F$7:$F$43)-SUMIF(Rework!$A$7:$A$43,$B42,Rework!$D$7:$D$43)</f>
        <v>0</v>
      </c>
      <c r="D42" s="257">
        <f t="shared" ca="1" si="5"/>
        <v>0</v>
      </c>
      <c r="E42" s="257">
        <f ca="1">SUMIF(Rework!$A$7:$A$43,$B42,Rework!$G$7:$G$43)-SUMIF(Rework!$A$7:$A$43,$B42,Rework!E$7:$E$43)</f>
        <v>0</v>
      </c>
      <c r="F42" s="258">
        <f ca="1">SUMIFS('MFG COST SUMMARY'!$F$18:$F$130,'MFG COST SUMMARY'!$C$18:$C$130,$B42)</f>
        <v>12</v>
      </c>
      <c r="G42" s="257">
        <f t="shared" ca="1" si="6"/>
        <v>49.570078330842811</v>
      </c>
      <c r="H42" s="259">
        <f ca="1">SUMIFS('MFG COST SUMMARY'!$AT$18:$AT$130,'MFG COST SUMMARY'!$C$18:$C$130,$B42)</f>
        <v>594.84093997011371</v>
      </c>
      <c r="I42" s="260">
        <f t="shared" ca="1" si="7"/>
        <v>12</v>
      </c>
      <c r="J42" s="260">
        <f t="shared" ca="1" si="8"/>
        <v>594.84093997011371</v>
      </c>
      <c r="K42" s="27"/>
    </row>
    <row r="43" spans="1:11">
      <c r="A43" s="512">
        <f t="shared" si="4"/>
        <v>59</v>
      </c>
      <c r="B43" s="466" t="str" cm="2">
        <f t="array" aca="1" ref="B43" ca="1">INDIRECT("'MFG COST SUMMARY'!C" &amp; $A43)</f>
        <v>PSR0V21D</v>
      </c>
      <c r="C43" s="257">
        <f ca="1">SUMIF(Rework!$A$7:$A$43,$B43,Rework!$F$7:$F$43)-SUMIF(Rework!$A$7:$A$43,$B43,Rework!$D$7:$D$43)</f>
        <v>0</v>
      </c>
      <c r="D43" s="257">
        <f t="shared" ca="1" si="5"/>
        <v>0</v>
      </c>
      <c r="E43" s="257">
        <f ca="1">SUMIF(Rework!$A$7:$A$43,$B43,Rework!$G$7:$G$43)-SUMIF(Rework!$A$7:$A$43,$B43,Rework!E$7:$E$43)</f>
        <v>0</v>
      </c>
      <c r="F43" s="258">
        <f ca="1">SUMIFS('MFG COST SUMMARY'!$F$18:$F$130,'MFG COST SUMMARY'!$C$18:$C$130,$B43)</f>
        <v>2</v>
      </c>
      <c r="G43" s="470">
        <f t="shared" ca="1" si="6"/>
        <v>52.775971541242477</v>
      </c>
      <c r="H43" s="259">
        <f ca="1">SUMIFS('MFG COST SUMMARY'!$AT$18:$AT$130,'MFG COST SUMMARY'!$C$18:$C$130,$B43)</f>
        <v>105.55194308248495</v>
      </c>
      <c r="I43" s="260">
        <f t="shared" ca="1" si="7"/>
        <v>2</v>
      </c>
      <c r="J43" s="260">
        <f t="shared" ca="1" si="8"/>
        <v>105.55194308248495</v>
      </c>
      <c r="K43" s="27"/>
    </row>
    <row r="44" spans="1:11">
      <c r="A44" s="512">
        <f t="shared" si="4"/>
        <v>60</v>
      </c>
      <c r="B44" s="466" t="str" cm="2">
        <f t="array" aca="1" ref="B44" ca="1">INDIRECT("'MFG COST SUMMARY'!C" &amp; $A44)</f>
        <v>PSR0V224</v>
      </c>
      <c r="C44" s="257">
        <f ca="1">SUMIF(Rework!$A$7:$A$43,$B44,Rework!$F$7:$F$43)-SUMIF(Rework!$A$7:$A$43,$B44,Rework!$D$7:$D$43)</f>
        <v>0</v>
      </c>
      <c r="D44" s="257">
        <f t="shared" ca="1" si="5"/>
        <v>0</v>
      </c>
      <c r="E44" s="257">
        <f ca="1">SUMIF(Rework!$A$7:$A$43,$B44,Rework!$G$7:$G$43)-SUMIF(Rework!$A$7:$A$43,$B44,Rework!E$7:$E$43)</f>
        <v>0</v>
      </c>
      <c r="F44" s="258">
        <f ca="1">SUMIFS('MFG COST SUMMARY'!$F$18:$F$130,'MFG COST SUMMARY'!$C$18:$C$130,$B44)</f>
        <v>541</v>
      </c>
      <c r="G44" s="470">
        <f t="shared" ca="1" si="6"/>
        <v>60.787314864972991</v>
      </c>
      <c r="H44" s="259">
        <f ca="1">SUMIFS('MFG COST SUMMARY'!$AT$18:$AT$130,'MFG COST SUMMARY'!$C$18:$C$130,$B44)</f>
        <v>32885.93734195039</v>
      </c>
      <c r="I44" s="260">
        <f t="shared" ca="1" si="7"/>
        <v>541</v>
      </c>
      <c r="J44" s="260">
        <f t="shared" ca="1" si="8"/>
        <v>32885.93734195039</v>
      </c>
      <c r="K44" s="27"/>
    </row>
    <row r="45" spans="1:11">
      <c r="A45" s="512">
        <f t="shared" si="4"/>
        <v>61</v>
      </c>
      <c r="B45" s="466" t="str" cm="2">
        <f t="array" aca="1" ref="B45" ca="1">INDIRECT("'MFG COST SUMMARY'!C" &amp; $A45)</f>
        <v>PSR0V225</v>
      </c>
      <c r="C45" s="257">
        <f ca="1">SUMIF(Rework!$A$7:$A$43,$B45,Rework!$F$7:$F$43)-SUMIF(Rework!$A$7:$A$43,$B45,Rework!$D$7:$D$43)</f>
        <v>0</v>
      </c>
      <c r="D45" s="257">
        <f t="shared" ca="1" si="5"/>
        <v>0</v>
      </c>
      <c r="E45" s="257">
        <f ca="1">SUMIF(Rework!$A$7:$A$43,$B45,Rework!$G$7:$G$43)-SUMIF(Rework!$A$7:$A$43,$B45,Rework!E$7:$E$43)</f>
        <v>0</v>
      </c>
      <c r="F45" s="258">
        <f ca="1">SUMIFS('MFG COST SUMMARY'!$F$18:$F$130,'MFG COST SUMMARY'!$C$18:$C$130,$B45)</f>
        <v>326</v>
      </c>
      <c r="G45" s="257">
        <f t="shared" ca="1" si="6"/>
        <v>59.536021939829567</v>
      </c>
      <c r="H45" s="259">
        <f ca="1">SUMIFS('MFG COST SUMMARY'!$AT$18:$AT$130,'MFG COST SUMMARY'!$C$18:$C$130,$B45)</f>
        <v>19408.743152384439</v>
      </c>
      <c r="I45" s="260">
        <f t="shared" ca="1" si="7"/>
        <v>326</v>
      </c>
      <c r="J45" s="260">
        <f t="shared" ca="1" si="8"/>
        <v>19408.743152384439</v>
      </c>
      <c r="K45" s="27"/>
    </row>
    <row r="46" spans="1:11">
      <c r="A46" s="512">
        <f t="shared" si="4"/>
        <v>62</v>
      </c>
      <c r="B46" s="466" t="str" cm="2">
        <f t="array" aca="1" ref="B46" ca="1">INDIRECT("'MFG COST SUMMARY'!C" &amp; $A46)</f>
        <v>PSR0V227</v>
      </c>
      <c r="C46" s="257">
        <f ca="1">SUMIF(Rework!$A$7:$A$43,$B46,Rework!$F$7:$F$43)-SUMIF(Rework!$A$7:$A$43,$B46,Rework!$D$7:$D$43)</f>
        <v>0</v>
      </c>
      <c r="D46" s="257">
        <f t="shared" ca="1" si="5"/>
        <v>0</v>
      </c>
      <c r="E46" s="257">
        <f ca="1">SUMIF(Rework!$A$7:$A$43,$B46,Rework!$G$7:$G$43)-SUMIF(Rework!$A$7:$A$43,$B46,Rework!E$7:$E$43)</f>
        <v>0</v>
      </c>
      <c r="F46" s="258">
        <f ca="1">SUMIFS('MFG COST SUMMARY'!$F$18:$F$130,'MFG COST SUMMARY'!$C$18:$C$130,$B46)</f>
        <v>1005</v>
      </c>
      <c r="G46" s="257">
        <f t="shared" ca="1" si="6"/>
        <v>36.745143610410452</v>
      </c>
      <c r="H46" s="259">
        <f ca="1">SUMIFS('MFG COST SUMMARY'!$AT$18:$AT$130,'MFG COST SUMMARY'!$C$18:$C$130,$B46)</f>
        <v>36928.869328462504</v>
      </c>
      <c r="I46" s="260">
        <f t="shared" ca="1" si="7"/>
        <v>1005</v>
      </c>
      <c r="J46" s="260">
        <f t="shared" ca="1" si="8"/>
        <v>36928.869328462504</v>
      </c>
      <c r="K46" s="27"/>
    </row>
    <row r="47" spans="1:11">
      <c r="A47" s="512">
        <f t="shared" si="4"/>
        <v>63</v>
      </c>
      <c r="B47" s="466" t="str" cm="2">
        <f t="array" aca="1" ref="B47" ca="1">INDIRECT("'MFG COST SUMMARY'!C" &amp; $A47)</f>
        <v>PSR0V22D</v>
      </c>
      <c r="C47" s="257">
        <f ca="1">SUMIF(Rework!$A$7:$A$43,$B47,Rework!$F$7:$F$43)-SUMIF(Rework!$A$7:$A$43,$B47,Rework!$D$7:$D$43)</f>
        <v>0</v>
      </c>
      <c r="D47" s="257">
        <f t="shared" ca="1" si="5"/>
        <v>0</v>
      </c>
      <c r="E47" s="257">
        <f ca="1">SUMIF(Rework!$A$7:$A$43,$B47,Rework!$G$7:$G$43)-SUMIF(Rework!$A$7:$A$43,$B47,Rework!E$7:$E$43)</f>
        <v>0</v>
      </c>
      <c r="F47" s="258">
        <f ca="1">SUMIFS('MFG COST SUMMARY'!$F$18:$F$130,'MFG COST SUMMARY'!$C$18:$C$130,$B47)</f>
        <v>671</v>
      </c>
      <c r="G47" s="257">
        <f t="shared" ca="1" si="6"/>
        <v>44.560603210630838</v>
      </c>
      <c r="H47" s="259">
        <f ca="1">SUMIFS('MFG COST SUMMARY'!$AT$18:$AT$130,'MFG COST SUMMARY'!$C$18:$C$130,$B47)</f>
        <v>29900.164754333291</v>
      </c>
      <c r="I47" s="260">
        <f t="shared" ca="1" si="7"/>
        <v>671</v>
      </c>
      <c r="J47" s="260">
        <f t="shared" ca="1" si="8"/>
        <v>29900.164754333291</v>
      </c>
      <c r="K47" s="27"/>
    </row>
    <row r="48" spans="1:11">
      <c r="A48" s="512">
        <f t="shared" si="4"/>
        <v>64</v>
      </c>
      <c r="B48" s="466" t="str" cm="2">
        <f t="array" aca="1" ref="B48" ca="1">INDIRECT("'MFG COST SUMMARY'!C" &amp; $A48)</f>
        <v>PSR0V23D</v>
      </c>
      <c r="C48" s="257">
        <f ca="1">SUMIF(Rework!$A$7:$A$43,$B48,Rework!$F$7:$F$43)-SUMIF(Rework!$A$7:$A$43,$B48,Rework!$D$7:$D$43)</f>
        <v>0</v>
      </c>
      <c r="D48" s="257">
        <f t="shared" ca="1" si="5"/>
        <v>0</v>
      </c>
      <c r="E48" s="257">
        <f ca="1">SUMIF(Rework!$A$7:$A$43,$B48,Rework!$G$7:$G$43)-SUMIF(Rework!$A$7:$A$43,$B48,Rework!E$7:$E$43)</f>
        <v>0</v>
      </c>
      <c r="F48" s="258">
        <f ca="1">SUMIFS('MFG COST SUMMARY'!$F$18:$F$130,'MFG COST SUMMARY'!$C$18:$C$130,$B48)</f>
        <v>274</v>
      </c>
      <c r="G48" s="470">
        <f t="shared" ca="1" si="6"/>
        <v>49.654799020982111</v>
      </c>
      <c r="H48" s="259">
        <f ca="1">SUMIFS('MFG COST SUMMARY'!$AT$18:$AT$130,'MFG COST SUMMARY'!$C$18:$C$130,$B48)</f>
        <v>13605.414931749099</v>
      </c>
      <c r="I48" s="260">
        <f t="shared" ca="1" si="7"/>
        <v>274</v>
      </c>
      <c r="J48" s="260">
        <f t="shared" ca="1" si="8"/>
        <v>13605.414931749099</v>
      </c>
      <c r="K48" s="27"/>
    </row>
    <row r="49" spans="1:11">
      <c r="A49" s="512">
        <f t="shared" si="4"/>
        <v>65</v>
      </c>
      <c r="B49" s="466" t="str" cm="2">
        <f t="array" aca="1" ref="B49" ca="1">INDIRECT("'MFG COST SUMMARY'!C" &amp; $A49)</f>
        <v>PSR0V243</v>
      </c>
      <c r="C49" s="257">
        <f ca="1">SUMIF(Rework!$A$7:$A$43,$B49,Rework!$F$7:$F$43)-SUMIF(Rework!$A$7:$A$43,$B49,Rework!$D$7:$D$43)</f>
        <v>0</v>
      </c>
      <c r="D49" s="257">
        <f t="shared" ca="1" si="5"/>
        <v>0</v>
      </c>
      <c r="E49" s="257">
        <f ca="1">SUMIF(Rework!$A$7:$A$43,$B49,Rework!$G$7:$G$43)-SUMIF(Rework!$A$7:$A$43,$B49,Rework!E$7:$E$43)</f>
        <v>0</v>
      </c>
      <c r="F49" s="258">
        <f ca="1">SUMIFS('MFG COST SUMMARY'!$F$18:$F$130,'MFG COST SUMMARY'!$C$18:$C$130,$B49)</f>
        <v>498</v>
      </c>
      <c r="G49" s="470">
        <f t="shared" ca="1" si="6"/>
        <v>53.615545893822109</v>
      </c>
      <c r="H49" s="259">
        <f ca="1">SUMIFS('MFG COST SUMMARY'!$AT$18:$AT$130,'MFG COST SUMMARY'!$C$18:$C$130,$B49)</f>
        <v>26700.541855123411</v>
      </c>
      <c r="I49" s="260">
        <f t="shared" ca="1" si="7"/>
        <v>498</v>
      </c>
      <c r="J49" s="260">
        <f t="shared" ca="1" si="8"/>
        <v>26700.541855123411</v>
      </c>
      <c r="K49" s="27"/>
    </row>
    <row r="50" spans="1:11">
      <c r="A50" s="512">
        <f t="shared" si="4"/>
        <v>66</v>
      </c>
      <c r="B50" s="466" t="str" cm="2">
        <f t="array" aca="1" ref="B50" ca="1">INDIRECT("'MFG COST SUMMARY'!C" &amp; $A50)</f>
        <v>PSR0V247</v>
      </c>
      <c r="C50" s="257">
        <f ca="1">SUMIF(Rework!$A$7:$A$43,$B50,Rework!$F$7:$F$43)-SUMIF(Rework!$A$7:$A$43,$B50,Rework!$D$7:$D$43)</f>
        <v>0</v>
      </c>
      <c r="D50" s="257">
        <f t="shared" ca="1" si="5"/>
        <v>0</v>
      </c>
      <c r="E50" s="257">
        <f ca="1">SUMIF(Rework!$A$7:$A$43,$B50,Rework!$G$7:$G$43)-SUMIF(Rework!$A$7:$A$43,$B50,Rework!E$7:$E$43)</f>
        <v>0</v>
      </c>
      <c r="F50" s="258">
        <f ca="1">SUMIFS('MFG COST SUMMARY'!$F$18:$F$130,'MFG COST SUMMARY'!$C$18:$C$130,$B50)</f>
        <v>1986</v>
      </c>
      <c r="G50" s="470">
        <f t="shared" ca="1" si="6"/>
        <v>34.390855238452914</v>
      </c>
      <c r="H50" s="259">
        <f ca="1">SUMIFS('MFG COST SUMMARY'!$AT$18:$AT$130,'MFG COST SUMMARY'!$C$18:$C$130,$B50)</f>
        <v>68300.238503567482</v>
      </c>
      <c r="I50" s="260">
        <f t="shared" ca="1" si="7"/>
        <v>1986</v>
      </c>
      <c r="J50" s="260">
        <f t="shared" ca="1" si="8"/>
        <v>68300.238503567482</v>
      </c>
      <c r="K50" s="27"/>
    </row>
    <row r="51" spans="1:11">
      <c r="A51" s="512">
        <f t="shared" si="4"/>
        <v>67</v>
      </c>
      <c r="B51" s="466" t="str" cm="2">
        <f t="array" aca="1" ref="B51" ca="1">INDIRECT("'MFG COST SUMMARY'!C" &amp; $A51)</f>
        <v>PSR0V248</v>
      </c>
      <c r="C51" s="257">
        <f ca="1">SUMIF(Rework!$A$7:$A$43,$B51,Rework!$F$7:$F$43)-SUMIF(Rework!$A$7:$A$43,$B51,Rework!$D$7:$D$43)</f>
        <v>0</v>
      </c>
      <c r="D51" s="257">
        <f t="shared" ca="1" si="5"/>
        <v>0</v>
      </c>
      <c r="E51" s="257">
        <f ca="1">SUMIF(Rework!$A$7:$A$43,$B51,Rework!$G$7:$G$43)-SUMIF(Rework!$A$7:$A$43,$B51,Rework!E$7:$E$43)</f>
        <v>0</v>
      </c>
      <c r="F51" s="258">
        <f ca="1">SUMIFS('MFG COST SUMMARY'!$F$18:$F$130,'MFG COST SUMMARY'!$C$18:$C$130,$B51)</f>
        <v>826</v>
      </c>
      <c r="G51" s="470">
        <f t="shared" ca="1" si="6"/>
        <v>38.079931899612326</v>
      </c>
      <c r="H51" s="259">
        <f ca="1">SUMIFS('MFG COST SUMMARY'!$AT$18:$AT$130,'MFG COST SUMMARY'!$C$18:$C$130,$B51)</f>
        <v>31454.023749079781</v>
      </c>
      <c r="I51" s="260">
        <f t="shared" ca="1" si="7"/>
        <v>826</v>
      </c>
      <c r="J51" s="260">
        <f t="shared" ca="1" si="8"/>
        <v>31454.023749079781</v>
      </c>
      <c r="K51" s="27"/>
    </row>
    <row r="52" spans="1:11">
      <c r="A52" s="512">
        <f t="shared" si="4"/>
        <v>68</v>
      </c>
      <c r="B52" s="466" t="str" cm="2">
        <f t="array" aca="1" ref="B52" ca="1">INDIRECT("'MFG COST SUMMARY'!C" &amp; $A52)</f>
        <v>PSR0V25S</v>
      </c>
      <c r="C52" s="257">
        <f ca="1">SUMIF(Rework!$A$7:$A$43,$B52,Rework!$F$7:$F$43)-SUMIF(Rework!$A$7:$A$43,$B52,Rework!$D$7:$D$43)</f>
        <v>0</v>
      </c>
      <c r="D52" s="257">
        <f t="shared" ca="1" si="5"/>
        <v>0</v>
      </c>
      <c r="E52" s="257">
        <f ca="1">SUMIF(Rework!$A$7:$A$43,$B52,Rework!$G$7:$G$43)-SUMIF(Rework!$A$7:$A$43,$B52,Rework!E$7:$E$43)</f>
        <v>0</v>
      </c>
      <c r="F52" s="258">
        <f ca="1">SUMIFS('MFG COST SUMMARY'!$F$18:$F$130,'MFG COST SUMMARY'!$C$18:$C$130,$B52)</f>
        <v>409</v>
      </c>
      <c r="G52" s="257">
        <f t="shared" ca="1" si="6"/>
        <v>28.076607130608966</v>
      </c>
      <c r="H52" s="259">
        <f ca="1">SUMIFS('MFG COST SUMMARY'!$AT$18:$AT$130,'MFG COST SUMMARY'!$C$18:$C$130,$B52)</f>
        <v>11483.332316419068</v>
      </c>
      <c r="I52" s="260">
        <f t="shared" ca="1" si="7"/>
        <v>409</v>
      </c>
      <c r="J52" s="260">
        <f t="shared" ca="1" si="8"/>
        <v>11483.332316419068</v>
      </c>
      <c r="K52" s="27"/>
    </row>
    <row r="53" spans="1:11">
      <c r="A53" s="512">
        <f t="shared" si="4"/>
        <v>69</v>
      </c>
      <c r="B53" s="466" t="str" cm="2">
        <f t="array" aca="1" ref="B53" ca="1">INDIRECT("'MFG COST SUMMARY'!C" &amp; $A53)</f>
        <v>PSR0V30B</v>
      </c>
      <c r="C53" s="257">
        <f ca="1">SUMIF(Rework!$A$7:$A$43,$B53,Rework!$F$7:$F$43)-SUMIF(Rework!$A$7:$A$43,$B53,Rework!$D$7:$D$43)</f>
        <v>0</v>
      </c>
      <c r="D53" s="257">
        <f t="shared" ca="1" si="5"/>
        <v>0</v>
      </c>
      <c r="E53" s="257">
        <f ca="1">SUMIF(Rework!$A$7:$A$43,$B53,Rework!$G$7:$G$43)-SUMIF(Rework!$A$7:$A$43,$B53,Rework!E$7:$E$43)</f>
        <v>0</v>
      </c>
      <c r="F53" s="258">
        <f ca="1">SUMIFS('MFG COST SUMMARY'!$F$18:$F$130,'MFG COST SUMMARY'!$C$18:$C$130,$B53)</f>
        <v>432</v>
      </c>
      <c r="G53" s="470">
        <f t="shared" ca="1" si="6"/>
        <v>33.882029979969147</v>
      </c>
      <c r="H53" s="259">
        <f ca="1">SUMIFS('MFG COST SUMMARY'!$AT$18:$AT$130,'MFG COST SUMMARY'!$C$18:$C$130,$B53)</f>
        <v>14637.036951346672</v>
      </c>
      <c r="I53" s="260">
        <f t="shared" ca="1" si="7"/>
        <v>432</v>
      </c>
      <c r="J53" s="260">
        <f t="shared" ca="1" si="8"/>
        <v>14637.036951346672</v>
      </c>
      <c r="K53" s="27"/>
    </row>
    <row r="54" spans="1:11">
      <c r="A54" s="512">
        <f t="shared" si="4"/>
        <v>70</v>
      </c>
      <c r="B54" s="466" t="str" cm="2">
        <f t="array" aca="1" ref="B54" ca="1">INDIRECT("'MFG COST SUMMARY'!C" &amp; $A54)</f>
        <v>PSR0V45D</v>
      </c>
      <c r="C54" s="257">
        <f ca="1">SUMIF(Rework!$A$7:$A$43,$B54,Rework!$F$7:$F$43)-SUMIF(Rework!$A$7:$A$43,$B54,Rework!$D$7:$D$43)</f>
        <v>0</v>
      </c>
      <c r="D54" s="257">
        <f t="shared" ca="1" si="5"/>
        <v>0</v>
      </c>
      <c r="E54" s="257">
        <f ca="1">SUMIF(Rework!$A$7:$A$43,$B54,Rework!$G$7:$G$43)-SUMIF(Rework!$A$7:$A$43,$B54,Rework!E$7:$E$43)</f>
        <v>0</v>
      </c>
      <c r="F54" s="258">
        <f ca="1">SUMIFS('MFG COST SUMMARY'!$F$18:$F$130,'MFG COST SUMMARY'!$C$18:$C$130,$B54)</f>
        <v>146</v>
      </c>
      <c r="G54" s="470">
        <f t="shared" ca="1" si="6"/>
        <v>26.610087181840235</v>
      </c>
      <c r="H54" s="259">
        <f ca="1">SUMIFS('MFG COST SUMMARY'!$AT$18:$AT$130,'MFG COST SUMMARY'!$C$18:$C$130,$B54)</f>
        <v>3885.0727285486746</v>
      </c>
      <c r="I54" s="260">
        <f t="shared" ca="1" si="7"/>
        <v>146</v>
      </c>
      <c r="J54" s="260">
        <f t="shared" ca="1" si="8"/>
        <v>3885.0727285486746</v>
      </c>
      <c r="K54" s="27"/>
    </row>
    <row r="55" spans="1:11">
      <c r="A55" s="512">
        <f t="shared" si="4"/>
        <v>71</v>
      </c>
      <c r="B55" s="466" t="str" cm="2">
        <f t="array" aca="1" ref="B55" ca="1">INDIRECT("'MFG COST SUMMARY'!C" &amp; $A55)</f>
        <v>PSR0V46D</v>
      </c>
      <c r="C55" s="257">
        <f ca="1">SUMIF(Rework!$A$7:$A$43,$B55,Rework!$F$7:$F$43)-SUMIF(Rework!$A$7:$A$43,$B55,Rework!$D$7:$D$43)</f>
        <v>0</v>
      </c>
      <c r="D55" s="257">
        <f t="shared" ca="1" si="5"/>
        <v>0</v>
      </c>
      <c r="E55" s="257">
        <f ca="1">SUMIF(Rework!$A$7:$A$43,$B55,Rework!$G$7:$G$43)-SUMIF(Rework!$A$7:$A$43,$B55,Rework!E$7:$E$43)</f>
        <v>0</v>
      </c>
      <c r="F55" s="258">
        <f ca="1">SUMIFS('MFG COST SUMMARY'!$F$18:$F$130,'MFG COST SUMMARY'!$C$18:$C$130,$B55)</f>
        <v>190</v>
      </c>
      <c r="G55" s="257">
        <f t="shared" ca="1" si="6"/>
        <v>31.807242913719111</v>
      </c>
      <c r="H55" s="259">
        <f ca="1">SUMIFS('MFG COST SUMMARY'!$AT$18:$AT$130,'MFG COST SUMMARY'!$C$18:$C$130,$B55)</f>
        <v>6043.3761536066313</v>
      </c>
      <c r="I55" s="260">
        <f t="shared" ca="1" si="7"/>
        <v>190</v>
      </c>
      <c r="J55" s="260">
        <f t="shared" ca="1" si="8"/>
        <v>6043.3761536066313</v>
      </c>
      <c r="K55" s="27"/>
    </row>
    <row r="56" spans="1:11">
      <c r="A56" s="512">
        <f t="shared" si="4"/>
        <v>72</v>
      </c>
      <c r="B56" s="466" t="str" cm="2">
        <f t="array" aca="1" ref="B56" ca="1">INDIRECT("'MFG COST SUMMARY'!C" &amp; $A56)</f>
        <v>PSR0V47D</v>
      </c>
      <c r="C56" s="257">
        <f ca="1">SUMIF(Rework!$A$7:$A$43,$B56,Rework!$F$7:$F$43)-SUMIF(Rework!$A$7:$A$43,$B56,Rework!$D$7:$D$43)</f>
        <v>0</v>
      </c>
      <c r="D56" s="257">
        <f t="shared" ca="1" si="5"/>
        <v>0</v>
      </c>
      <c r="E56" s="257">
        <f ca="1">SUMIF(Rework!$A$7:$A$43,$B56,Rework!$G$7:$G$43)-SUMIF(Rework!$A$7:$A$43,$B56,Rework!E$7:$E$43)</f>
        <v>0</v>
      </c>
      <c r="F56" s="258">
        <f ca="1">SUMIFS('MFG COST SUMMARY'!$F$18:$F$130,'MFG COST SUMMARY'!$C$18:$C$130,$B56)</f>
        <v>497</v>
      </c>
      <c r="G56" s="257">
        <f t="shared" ca="1" si="6"/>
        <v>34.673925469372293</v>
      </c>
      <c r="H56" s="259">
        <f ca="1">SUMIFS('MFG COST SUMMARY'!$AT$18:$AT$130,'MFG COST SUMMARY'!$C$18:$C$130,$B56)</f>
        <v>17232.940958278028</v>
      </c>
      <c r="I56" s="260">
        <f t="shared" ca="1" si="7"/>
        <v>497</v>
      </c>
      <c r="J56" s="260">
        <f t="shared" ca="1" si="8"/>
        <v>17232.940958278028</v>
      </c>
      <c r="K56" s="27"/>
    </row>
    <row r="57" spans="1:11">
      <c r="A57" s="512">
        <f t="shared" si="4"/>
        <v>73</v>
      </c>
      <c r="B57" s="466" t="str" cm="2">
        <f t="array" aca="1" ref="B57" ca="1">INDIRECT("'MFG COST SUMMARY'!C" &amp; $A57)</f>
        <v>PSR0V48D</v>
      </c>
      <c r="C57" s="257">
        <f ca="1">SUMIF(Rework!$A$7:$A$43,$B57,Rework!$F$7:$F$43)-SUMIF(Rework!$A$7:$A$43,$B57,Rework!$D$7:$D$43)</f>
        <v>0</v>
      </c>
      <c r="D57" s="257">
        <f t="shared" ca="1" si="5"/>
        <v>0</v>
      </c>
      <c r="E57" s="257">
        <f ca="1">SUMIF(Rework!$A$7:$A$43,$B57,Rework!$G$7:$G$43)-SUMIF(Rework!$A$7:$A$43,$B57,Rework!E$7:$E$43)</f>
        <v>0</v>
      </c>
      <c r="F57" s="258">
        <f ca="1">SUMIFS('MFG COST SUMMARY'!$F$18:$F$130,'MFG COST SUMMARY'!$C$18:$C$130,$B57)</f>
        <v>488</v>
      </c>
      <c r="G57" s="257">
        <f t="shared" ca="1" si="6"/>
        <v>37.504747771648439</v>
      </c>
      <c r="H57" s="259">
        <f ca="1">SUMIFS('MFG COST SUMMARY'!$AT$18:$AT$130,'MFG COST SUMMARY'!$C$18:$C$130,$B57)</f>
        <v>18302.316912564438</v>
      </c>
      <c r="I57" s="260">
        <f t="shared" ca="1" si="7"/>
        <v>488</v>
      </c>
      <c r="J57" s="260">
        <f t="shared" ca="1" si="8"/>
        <v>18302.316912564438</v>
      </c>
      <c r="K57" s="27"/>
    </row>
    <row r="58" spans="1:11">
      <c r="A58" s="512">
        <f t="shared" si="4"/>
        <v>74</v>
      </c>
      <c r="B58" s="466" t="str" cm="2">
        <f t="array" aca="1" ref="B58" ca="1">INDIRECT("'MFG COST SUMMARY'!C" &amp; $A58)</f>
        <v>PSR0V49D</v>
      </c>
      <c r="C58" s="257">
        <f ca="1">SUMIF(Rework!$A$7:$A$43,$B58,Rework!$F$7:$F$43)-SUMIF(Rework!$A$7:$A$43,$B58,Rework!$D$7:$D$43)</f>
        <v>0</v>
      </c>
      <c r="D58" s="257">
        <f t="shared" ca="1" si="5"/>
        <v>0</v>
      </c>
      <c r="E58" s="257">
        <f ca="1">SUMIF(Rework!$A$7:$A$43,$B58,Rework!$G$7:$G$43)-SUMIF(Rework!$A$7:$A$43,$B58,Rework!E$7:$E$43)</f>
        <v>0</v>
      </c>
      <c r="F58" s="258">
        <f ca="1">SUMIFS('MFG COST SUMMARY'!$F$18:$F$130,'MFG COST SUMMARY'!$C$18:$C$130,$B58)</f>
        <v>362</v>
      </c>
      <c r="G58" s="470">
        <f t="shared" ca="1" si="6"/>
        <v>37.593960979892977</v>
      </c>
      <c r="H58" s="259">
        <f ca="1">SUMIFS('MFG COST SUMMARY'!$AT$18:$AT$130,'MFG COST SUMMARY'!$C$18:$C$130,$B58)</f>
        <v>13609.013874721259</v>
      </c>
      <c r="I58" s="260">
        <f t="shared" ca="1" si="7"/>
        <v>362</v>
      </c>
      <c r="J58" s="260">
        <f t="shared" ca="1" si="8"/>
        <v>13609.013874721259</v>
      </c>
      <c r="K58" s="27"/>
    </row>
    <row r="59" spans="1:11">
      <c r="A59" s="512">
        <f t="shared" si="4"/>
        <v>75</v>
      </c>
      <c r="B59" s="466" t="str" cm="2">
        <f t="array" aca="1" ref="B59" ca="1">INDIRECT("'MFG COST SUMMARY'!C" &amp; $A59)</f>
        <v>PSR0V50D</v>
      </c>
      <c r="C59" s="257">
        <f ca="1">SUMIF(Rework!$A$7:$A$43,$B59,Rework!$F$7:$F$43)-SUMIF(Rework!$A$7:$A$43,$B59,Rework!$D$7:$D$43)</f>
        <v>0</v>
      </c>
      <c r="D59" s="257">
        <f t="shared" ca="1" si="5"/>
        <v>0</v>
      </c>
      <c r="E59" s="257">
        <f ca="1">SUMIF(Rework!$A$7:$A$43,$B59,Rework!$G$7:$G$43)-SUMIF(Rework!$A$7:$A$43,$B59,Rework!E$7:$E$43)</f>
        <v>0</v>
      </c>
      <c r="F59" s="258">
        <f ca="1">SUMIFS('MFG COST SUMMARY'!$F$18:$F$130,'MFG COST SUMMARY'!$C$18:$C$130,$B59)</f>
        <v>334</v>
      </c>
      <c r="G59" s="470">
        <f t="shared" ca="1" si="6"/>
        <v>36.717735619910592</v>
      </c>
      <c r="H59" s="259">
        <f ca="1">SUMIFS('MFG COST SUMMARY'!$AT$18:$AT$130,'MFG COST SUMMARY'!$C$18:$C$130,$B59)</f>
        <v>12263.723697050138</v>
      </c>
      <c r="I59" s="260">
        <f t="shared" ca="1" si="7"/>
        <v>334</v>
      </c>
      <c r="J59" s="260">
        <f t="shared" ca="1" si="8"/>
        <v>12263.723697050138</v>
      </c>
      <c r="K59" s="27"/>
    </row>
    <row r="60" spans="1:11">
      <c r="A60" s="512">
        <f t="shared" si="4"/>
        <v>76</v>
      </c>
      <c r="B60" s="466" t="str" cm="2">
        <f t="array" aca="1" ref="B60" ca="1">INDIRECT("'MFG COST SUMMARY'!C" &amp; $A60)</f>
        <v>PSR0V51D</v>
      </c>
      <c r="C60" s="257">
        <f ca="1">SUMIF(Rework!$A$7:$A$43,$B60,Rework!$F$7:$F$43)-SUMIF(Rework!$A$7:$A$43,$B60,Rework!$D$7:$D$43)</f>
        <v>0</v>
      </c>
      <c r="D60" s="257">
        <f t="shared" ca="1" si="5"/>
        <v>0</v>
      </c>
      <c r="E60" s="257">
        <f ca="1">SUMIF(Rework!$A$7:$A$43,$B60,Rework!$G$7:$G$43)-SUMIF(Rework!$A$7:$A$43,$B60,Rework!E$7:$E$43)</f>
        <v>0</v>
      </c>
      <c r="F60" s="258">
        <f ca="1">SUMIFS('MFG COST SUMMARY'!$F$18:$F$130,'MFG COST SUMMARY'!$C$18:$C$130,$B60)</f>
        <v>169</v>
      </c>
      <c r="G60" s="257">
        <f t="shared" ca="1" si="6"/>
        <v>39.068650802229996</v>
      </c>
      <c r="H60" s="259">
        <f ca="1">SUMIFS('MFG COST SUMMARY'!$AT$18:$AT$130,'MFG COST SUMMARY'!$C$18:$C$130,$B60)</f>
        <v>6602.6019855768691</v>
      </c>
      <c r="I60" s="260">
        <f t="shared" ca="1" si="7"/>
        <v>169</v>
      </c>
      <c r="J60" s="260">
        <f t="shared" ca="1" si="8"/>
        <v>6602.6019855768691</v>
      </c>
      <c r="K60" s="27"/>
    </row>
    <row r="61" spans="1:11">
      <c r="A61" s="512">
        <f t="shared" si="4"/>
        <v>77</v>
      </c>
      <c r="B61" s="466" t="str" cm="2">
        <f t="array" aca="1" ref="B61" ca="1">INDIRECT("'MFG COST SUMMARY'!C" &amp; $A61)</f>
        <v>PSR0V52D</v>
      </c>
      <c r="C61" s="257">
        <f ca="1">SUMIF(Rework!$A$7:$A$43,$B61,Rework!$F$7:$F$43)-SUMIF(Rework!$A$7:$A$43,$B61,Rework!$D$7:$D$43)</f>
        <v>0</v>
      </c>
      <c r="D61" s="257">
        <f t="shared" ca="1" si="5"/>
        <v>0</v>
      </c>
      <c r="E61" s="257">
        <f ca="1">SUMIF(Rework!$A$7:$A$43,$B61,Rework!$G$7:$G$43)-SUMIF(Rework!$A$7:$A$43,$B61,Rework!E$7:$E$43)</f>
        <v>0</v>
      </c>
      <c r="F61" s="258">
        <f ca="1">SUMIFS('MFG COST SUMMARY'!$F$18:$F$130,'MFG COST SUMMARY'!$C$18:$C$130,$B61)</f>
        <v>314</v>
      </c>
      <c r="G61" s="257">
        <f t="shared" ca="1" si="6"/>
        <v>38.643129746096754</v>
      </c>
      <c r="H61" s="259">
        <f ca="1">SUMIFS('MFG COST SUMMARY'!$AT$18:$AT$130,'MFG COST SUMMARY'!$C$18:$C$130,$B61)</f>
        <v>12133.94274027438</v>
      </c>
      <c r="I61" s="260">
        <f t="shared" ca="1" si="7"/>
        <v>314</v>
      </c>
      <c r="J61" s="260">
        <f t="shared" ca="1" si="8"/>
        <v>12133.94274027438</v>
      </c>
      <c r="K61" s="27"/>
    </row>
    <row r="62" spans="1:11">
      <c r="A62" s="512">
        <f t="shared" si="4"/>
        <v>78</v>
      </c>
      <c r="B62" s="466" t="str" cm="2">
        <f t="array" aca="1" ref="B62" ca="1">INDIRECT("'MFG COST SUMMARY'!C" &amp; $A62)</f>
        <v>PSR0V81F</v>
      </c>
      <c r="C62" s="257">
        <f ca="1">SUMIF(Rework!$A$7:$A$43,$B62,Rework!$F$7:$F$43)-SUMIF(Rework!$A$7:$A$43,$B62,Rework!$D$7:$D$43)</f>
        <v>0</v>
      </c>
      <c r="D62" s="257">
        <f t="shared" ca="1" si="5"/>
        <v>0</v>
      </c>
      <c r="E62" s="257">
        <f ca="1">SUMIF(Rework!$A$7:$A$43,$B62,Rework!$G$7:$G$43)-SUMIF(Rework!$A$7:$A$43,$B62,Rework!E$7:$E$43)</f>
        <v>0</v>
      </c>
      <c r="F62" s="258">
        <f ca="1">SUMIFS('MFG COST SUMMARY'!$F$18:$F$130,'MFG COST SUMMARY'!$C$18:$C$130,$B62)</f>
        <v>4322</v>
      </c>
      <c r="G62" s="257">
        <f t="shared" ca="1" si="6"/>
        <v>32.343978331677874</v>
      </c>
      <c r="H62" s="259">
        <f ca="1">SUMIFS('MFG COST SUMMARY'!$AT$18:$AT$130,'MFG COST SUMMARY'!$C$18:$C$130,$B62)</f>
        <v>139790.67434951177</v>
      </c>
      <c r="I62" s="260">
        <f t="shared" ca="1" si="7"/>
        <v>4322</v>
      </c>
      <c r="J62" s="260">
        <f t="shared" ca="1" si="8"/>
        <v>139790.67434951177</v>
      </c>
      <c r="K62" s="27"/>
    </row>
    <row r="63" spans="1:11">
      <c r="A63" s="512">
        <f t="shared" si="4"/>
        <v>79</v>
      </c>
      <c r="B63" s="466" t="str" cm="2">
        <f t="array" aca="1" ref="B63" ca="1">INDIRECT("'MFG COST SUMMARY'!C" &amp; $A63)</f>
        <v>PSR0V82F</v>
      </c>
      <c r="C63" s="257">
        <f ca="1">SUMIF(Rework!$A$7:$A$43,$B63,Rework!$F$7:$F$43)-SUMIF(Rework!$A$7:$A$43,$B63,Rework!$D$7:$D$43)</f>
        <v>0</v>
      </c>
      <c r="D63" s="257">
        <f t="shared" ca="1" si="5"/>
        <v>0</v>
      </c>
      <c r="E63" s="257">
        <f ca="1">SUMIF(Rework!$A$7:$A$43,$B63,Rework!$G$7:$G$43)-SUMIF(Rework!$A$7:$A$43,$B63,Rework!E$7:$E$43)</f>
        <v>0</v>
      </c>
      <c r="F63" s="258">
        <f ca="1">SUMIFS('MFG COST SUMMARY'!$F$18:$F$130,'MFG COST SUMMARY'!$C$18:$C$130,$B63)</f>
        <v>1419</v>
      </c>
      <c r="G63" s="257">
        <f t="shared" ca="1" si="6"/>
        <v>37.79955191821076</v>
      </c>
      <c r="H63" s="259">
        <f ca="1">SUMIFS('MFG COST SUMMARY'!$AT$18:$AT$130,'MFG COST SUMMARY'!$C$18:$C$130,$B63)</f>
        <v>53637.564171941071</v>
      </c>
      <c r="I63" s="260">
        <f t="shared" ca="1" si="7"/>
        <v>1419</v>
      </c>
      <c r="J63" s="260">
        <f t="shared" ca="1" si="8"/>
        <v>53637.564171941071</v>
      </c>
      <c r="K63" s="27"/>
    </row>
    <row r="64" spans="1:11">
      <c r="A64" s="512">
        <f t="shared" si="4"/>
        <v>80</v>
      </c>
      <c r="B64" s="466" t="str" cm="2">
        <f t="array" aca="1" ref="B64" ca="1">INDIRECT("'MFG COST SUMMARY'!C" &amp; $A64)</f>
        <v>PSR0V84F</v>
      </c>
      <c r="C64" s="159">
        <f ca="1">SUMIF(Rework!$A$7:$A$43,$B64,Rework!$F$7:$F$43)-SUMIF(Rework!$A$7:$A$43,$B64,Rework!$D$7:$D$43)</f>
        <v>0</v>
      </c>
      <c r="D64" s="159">
        <f t="shared" ca="1" si="5"/>
        <v>0</v>
      </c>
      <c r="E64" s="159">
        <f ca="1">SUMIF(Rework!$A$7:$A$43,$B64,Rework!$G$7:$G$43)-SUMIF(Rework!$A$7:$A$43,$B64,Rework!E$7:$E$43)</f>
        <v>0</v>
      </c>
      <c r="F64" s="158">
        <f ca="1">SUMIFS('MFG COST SUMMARY'!$F$18:$F$130,'MFG COST SUMMARY'!$C$18:$C$130,$B64)</f>
        <v>1644</v>
      </c>
      <c r="G64" s="159">
        <f t="shared" ca="1" si="6"/>
        <v>38.464637829654613</v>
      </c>
      <c r="H64" s="160">
        <f ca="1">SUMIFS('MFG COST SUMMARY'!$AT$18:$AT$130,'MFG COST SUMMARY'!$C$18:$C$130,$B64)</f>
        <v>63235.86459195218</v>
      </c>
      <c r="I64" s="261">
        <f t="shared" ca="1" si="7"/>
        <v>1644</v>
      </c>
      <c r="J64" s="261">
        <f t="shared" ca="1" si="8"/>
        <v>63235.86459195218</v>
      </c>
      <c r="K64" s="27"/>
    </row>
    <row r="65" spans="1:11">
      <c r="A65" s="512">
        <f t="shared" si="4"/>
        <v>81</v>
      </c>
      <c r="B65" s="466" t="str" cm="2">
        <f t="array" aca="1" ref="B65" ca="1">INDIRECT("'MFG COST SUMMARY'!C" &amp; $A65)</f>
        <v>PSR0V85F</v>
      </c>
      <c r="C65" s="159">
        <f ca="1">SUMIF(Rework!$A$7:$A$43,$B65,Rework!$F$7:$F$43)-SUMIF(Rework!$A$7:$A$43,$B65,Rework!$D$7:$D$43)</f>
        <v>0</v>
      </c>
      <c r="D65" s="159">
        <f t="shared" ca="1" si="5"/>
        <v>0</v>
      </c>
      <c r="E65" s="159">
        <f ca="1">SUMIF(Rework!$A$7:$A$43,$B65,Rework!$G$7:$G$43)-SUMIF(Rework!$A$7:$A$43,$B65,Rework!E$7:$E$43)</f>
        <v>0</v>
      </c>
      <c r="F65" s="158">
        <f ca="1">SUMIFS('MFG COST SUMMARY'!$F$18:$F$130,'MFG COST SUMMARY'!$C$18:$C$130,$B65)</f>
        <v>1332</v>
      </c>
      <c r="G65" s="159">
        <f t="shared" ca="1" si="6"/>
        <v>42.983932686988879</v>
      </c>
      <c r="H65" s="160">
        <f ca="1">SUMIFS('MFG COST SUMMARY'!$AT$18:$AT$130,'MFG COST SUMMARY'!$C$18:$C$130,$B65)</f>
        <v>57254.598339069191</v>
      </c>
      <c r="I65" s="261">
        <f t="shared" ca="1" si="7"/>
        <v>1332</v>
      </c>
      <c r="J65" s="261">
        <f t="shared" ca="1" si="8"/>
        <v>57254.598339069191</v>
      </c>
      <c r="K65" s="27"/>
    </row>
    <row r="66" spans="1:11">
      <c r="A66" s="512">
        <f t="shared" si="4"/>
        <v>82</v>
      </c>
      <c r="B66" s="466" t="str" cm="2">
        <f t="array" aca="1" ref="B66" ca="1">INDIRECT("'MFG COST SUMMARY'!C" &amp; $A66)</f>
        <v>PSR0V86F</v>
      </c>
      <c r="C66" s="159">
        <f ca="1">SUMIF(Rework!$A$7:$A$43,$B66,Rework!$F$7:$F$43)-SUMIF(Rework!$A$7:$A$43,$B66,Rework!$D$7:$D$43)</f>
        <v>0</v>
      </c>
      <c r="D66" s="159">
        <f t="shared" ca="1" si="5"/>
        <v>0</v>
      </c>
      <c r="E66" s="159">
        <f ca="1">SUMIF(Rework!$A$7:$A$43,$B66,Rework!$G$7:$G$43)-SUMIF(Rework!$A$7:$A$43,$B66,Rework!E$7:$E$43)</f>
        <v>0</v>
      </c>
      <c r="F66" s="158">
        <f ca="1">SUMIFS('MFG COST SUMMARY'!$F$18:$F$130,'MFG COST SUMMARY'!$C$18:$C$130,$B66)</f>
        <v>2617</v>
      </c>
      <c r="G66" s="159">
        <f t="shared" ca="1" si="6"/>
        <v>33.956595550060548</v>
      </c>
      <c r="H66" s="160">
        <f ca="1">SUMIFS('MFG COST SUMMARY'!$AT$18:$AT$130,'MFG COST SUMMARY'!$C$18:$C$130,$B66)</f>
        <v>88864.410554508446</v>
      </c>
      <c r="I66" s="261">
        <f t="shared" ca="1" si="7"/>
        <v>2617</v>
      </c>
      <c r="J66" s="261">
        <f t="shared" ca="1" si="8"/>
        <v>88864.410554508446</v>
      </c>
      <c r="K66" s="27"/>
    </row>
    <row r="67" spans="1:11">
      <c r="A67" s="512">
        <f t="shared" si="4"/>
        <v>83</v>
      </c>
      <c r="B67" s="466" t="str" cm="2">
        <f t="array" aca="1" ref="B67" ca="1">INDIRECT("'MFG COST SUMMARY'!C" &amp; $A67)</f>
        <v>PSR0V87F</v>
      </c>
      <c r="C67" s="257">
        <f ca="1">SUMIF(Rework!$A$7:$A$43,$B67,Rework!$F$7:$F$43)-SUMIF(Rework!$A$7:$A$43,$B67,Rework!$D$7:$D$43)</f>
        <v>0</v>
      </c>
      <c r="D67" s="257">
        <f t="shared" ca="1" si="5"/>
        <v>0</v>
      </c>
      <c r="E67" s="257">
        <f ca="1">SUMIF(Rework!$A$7:$A$43,$B67,Rework!$G$7:$G$43)-SUMIF(Rework!$A$7:$A$43,$B67,Rework!E$7:$E$43)</f>
        <v>0</v>
      </c>
      <c r="F67" s="258">
        <f ca="1">SUMIFS('MFG COST SUMMARY'!$F$18:$F$130,'MFG COST SUMMARY'!$C$18:$C$130,$B67)</f>
        <v>2297</v>
      </c>
      <c r="G67" s="470">
        <f t="shared" ca="1" si="6"/>
        <v>34.001956869904582</v>
      </c>
      <c r="H67" s="259">
        <f ca="1">SUMIFS('MFG COST SUMMARY'!$AT$18:$AT$130,'MFG COST SUMMARY'!$C$18:$C$130,$B67)</f>
        <v>78102.494930170826</v>
      </c>
      <c r="I67" s="260">
        <f t="shared" ca="1" si="7"/>
        <v>2297</v>
      </c>
      <c r="J67" s="260">
        <f t="shared" ca="1" si="8"/>
        <v>78102.494930170826</v>
      </c>
      <c r="K67" s="27"/>
    </row>
    <row r="68" spans="1:11">
      <c r="A68" s="512">
        <f t="shared" ref="A68:A113" si="9">ROW()-ROW($A$2)+$A$2</f>
        <v>84</v>
      </c>
      <c r="B68" s="466" t="str" cm="2">
        <f t="array" aca="1" ref="B68" ca="1">INDIRECT("'MFG COST SUMMARY'!C" &amp; $A68)</f>
        <v>PSR0V92F</v>
      </c>
      <c r="C68" s="257">
        <f ca="1">SUMIF(Rework!$A$7:$A$43,$B68,Rework!$F$7:$F$43)-SUMIF(Rework!$A$7:$A$43,$B68,Rework!$D$7:$D$43)</f>
        <v>0</v>
      </c>
      <c r="D68" s="257">
        <f t="shared" ref="D68:D118" ca="1" si="10">+IFERROR(E68/C68,0)</f>
        <v>0</v>
      </c>
      <c r="E68" s="257">
        <f ca="1">SUMIF(Rework!$A$7:$A$43,$B68,Rework!$G$7:$G$43)-SUMIF(Rework!$A$7:$A$43,$B68,Rework!E$7:$E$43)</f>
        <v>0</v>
      </c>
      <c r="F68" s="258">
        <f ca="1">SUMIFS('MFG COST SUMMARY'!$F$18:$F$130,'MFG COST SUMMARY'!$C$18:$C$130,$B68)</f>
        <v>2315</v>
      </c>
      <c r="G68" s="257">
        <f t="shared" ref="G68:G115" ca="1" si="11">IFERROR(H68/F68,0)</f>
        <v>34.540902297207971</v>
      </c>
      <c r="H68" s="259">
        <f ca="1">SUMIFS('MFG COST SUMMARY'!$AT$18:$AT$130,'MFG COST SUMMARY'!$C$18:$C$130,$B68)</f>
        <v>79962.188818036448</v>
      </c>
      <c r="I68" s="260">
        <f t="shared" ref="I68:I115" ca="1" si="12">+F68+C68</f>
        <v>2315</v>
      </c>
      <c r="J68" s="260">
        <f t="shared" ref="J68:J115" ca="1" si="13">+H68+E68</f>
        <v>79962.188818036448</v>
      </c>
      <c r="K68" s="27"/>
    </row>
    <row r="69" spans="1:11">
      <c r="A69" s="512">
        <f t="shared" si="9"/>
        <v>85</v>
      </c>
      <c r="B69" s="466" t="str" cm="2">
        <f t="array" aca="1" ref="B69" ca="1">INDIRECT("'MFG COST SUMMARY'!C" &amp; $A69)</f>
        <v>PSR0VD2F</v>
      </c>
      <c r="C69" s="257">
        <f ca="1">SUMIF(Rework!$A$7:$A$43,$B69,Rework!$F$7:$F$43)-SUMIF(Rework!$A$7:$A$43,$B69,Rework!$D$7:$D$43)</f>
        <v>0</v>
      </c>
      <c r="D69" s="257">
        <f t="shared" ca="1" si="10"/>
        <v>0</v>
      </c>
      <c r="E69" s="257">
        <f ca="1">SUMIF(Rework!$A$7:$A$43,$B69,Rework!$G$7:$G$43)-SUMIF(Rework!$A$7:$A$43,$B69,Rework!E$7:$E$43)</f>
        <v>0</v>
      </c>
      <c r="F69" s="258">
        <f ca="1">SUMIFS('MFG COST SUMMARY'!$F$18:$F$130,'MFG COST SUMMARY'!$C$18:$C$130,$B69)</f>
        <v>1</v>
      </c>
      <c r="G69" s="470">
        <f t="shared" ca="1" si="11"/>
        <v>42.21870884363188</v>
      </c>
      <c r="H69" s="259">
        <f ca="1">SUMIFS('MFG COST SUMMARY'!$AT$18:$AT$130,'MFG COST SUMMARY'!$C$18:$C$130,$B69)</f>
        <v>42.21870884363188</v>
      </c>
      <c r="I69" s="260">
        <f t="shared" ca="1" si="12"/>
        <v>1</v>
      </c>
      <c r="J69" s="260">
        <f t="shared" ca="1" si="13"/>
        <v>42.21870884363188</v>
      </c>
      <c r="K69" s="27"/>
    </row>
    <row r="70" spans="1:11">
      <c r="A70" s="512">
        <f t="shared" si="9"/>
        <v>86</v>
      </c>
      <c r="B70" s="466" t="str" cm="2">
        <f t="array" aca="1" ref="B70" ca="1">INDIRECT("'MFG COST SUMMARY'!C" &amp; $A70)</f>
        <v>PSR0VD9F</v>
      </c>
      <c r="C70" s="257">
        <f ca="1">SUMIF(Rework!$A$7:$A$43,$B70,Rework!$F$7:$F$43)-SUMIF(Rework!$A$7:$A$43,$B70,Rework!$D$7:$D$43)</f>
        <v>0</v>
      </c>
      <c r="D70" s="257">
        <f t="shared" ca="1" si="10"/>
        <v>0</v>
      </c>
      <c r="E70" s="257">
        <f ca="1">SUMIF(Rework!$A$7:$A$43,$B70,Rework!$G$7:$G$43)-SUMIF(Rework!$A$7:$A$43,$B70,Rework!E$7:$E$43)</f>
        <v>0</v>
      </c>
      <c r="F70" s="258">
        <f ca="1">SUMIFS('MFG COST SUMMARY'!$F$18:$F$130,'MFG COST SUMMARY'!$C$18:$C$130,$B70)</f>
        <v>7</v>
      </c>
      <c r="G70" s="470">
        <f t="shared" ca="1" si="11"/>
        <v>28.812754585207355</v>
      </c>
      <c r="H70" s="259">
        <f ca="1">SUMIFS('MFG COST SUMMARY'!$AT$18:$AT$130,'MFG COST SUMMARY'!$C$18:$C$130,$B70)</f>
        <v>201.68928209645148</v>
      </c>
      <c r="I70" s="260">
        <f t="shared" ca="1" si="12"/>
        <v>7</v>
      </c>
      <c r="J70" s="260">
        <f t="shared" ca="1" si="13"/>
        <v>201.68928209645148</v>
      </c>
      <c r="K70" s="27"/>
    </row>
    <row r="71" spans="1:11">
      <c r="A71" s="512">
        <f t="shared" si="9"/>
        <v>87</v>
      </c>
      <c r="B71" s="466" t="str" cm="2">
        <f t="array" aca="1" ref="B71" ca="1">INDIRECT("'MFG COST SUMMARY'!C" &amp; $A71)</f>
        <v>PSR0VE1F</v>
      </c>
      <c r="C71" s="257">
        <f ca="1">SUMIF(Rework!$A$7:$A$43,$B71,Rework!$F$7:$F$43)-SUMIF(Rework!$A$7:$A$43,$B71,Rework!$D$7:$D$43)</f>
        <v>0</v>
      </c>
      <c r="D71" s="257">
        <f t="shared" ca="1" si="10"/>
        <v>0</v>
      </c>
      <c r="E71" s="257">
        <f ca="1">SUMIF(Rework!$A$7:$A$43,$B71,Rework!$G$7:$G$43)-SUMIF(Rework!$A$7:$A$43,$B71,Rework!E$7:$E$43)</f>
        <v>0</v>
      </c>
      <c r="F71" s="258">
        <f ca="1">SUMIFS('MFG COST SUMMARY'!$F$18:$F$130,'MFG COST SUMMARY'!$C$18:$C$130,$B71)</f>
        <v>716</v>
      </c>
      <c r="G71" s="470">
        <f t="shared" ca="1" si="11"/>
        <v>28.118300726278523</v>
      </c>
      <c r="H71" s="259">
        <f ca="1">SUMIFS('MFG COST SUMMARY'!$AT$18:$AT$130,'MFG COST SUMMARY'!$C$18:$C$130,$B71)</f>
        <v>20132.703320015422</v>
      </c>
      <c r="I71" s="260">
        <f t="shared" ca="1" si="12"/>
        <v>716</v>
      </c>
      <c r="J71" s="260">
        <f t="shared" ca="1" si="13"/>
        <v>20132.703320015422</v>
      </c>
      <c r="K71" s="27"/>
    </row>
    <row r="72" spans="1:11">
      <c r="A72" s="512">
        <f t="shared" si="9"/>
        <v>88</v>
      </c>
      <c r="B72" s="466" t="str" cm="2">
        <f t="array" aca="1" ref="B72" ca="1">INDIRECT("'MFG COST SUMMARY'!C" &amp; $A72)</f>
        <v>PSR0VE9F</v>
      </c>
      <c r="C72" s="257">
        <f ca="1">SUMIF(Rework!$A$7:$A$43,$B72,Rework!$F$7:$F$43)-SUMIF(Rework!$A$7:$A$43,$B72,Rework!$D$7:$D$43)</f>
        <v>0</v>
      </c>
      <c r="D72" s="257">
        <f t="shared" ca="1" si="10"/>
        <v>0</v>
      </c>
      <c r="E72" s="257">
        <f ca="1">SUMIF(Rework!$A$7:$A$43,$B72,Rework!$G$7:$G$43)-SUMIF(Rework!$A$7:$A$43,$B72,Rework!E$7:$E$43)</f>
        <v>0</v>
      </c>
      <c r="F72" s="258">
        <f ca="1">SUMIFS('MFG COST SUMMARY'!$F$18:$F$130,'MFG COST SUMMARY'!$C$18:$C$130,$B72)</f>
        <v>7585</v>
      </c>
      <c r="G72" s="470">
        <f t="shared" ca="1" si="11"/>
        <v>29.841967881204372</v>
      </c>
      <c r="H72" s="259">
        <f ca="1">SUMIFS('MFG COST SUMMARY'!$AT$18:$AT$130,'MFG COST SUMMARY'!$C$18:$C$130,$B72)</f>
        <v>226351.32637893516</v>
      </c>
      <c r="I72" s="260">
        <f t="shared" ca="1" si="12"/>
        <v>7585</v>
      </c>
      <c r="J72" s="260">
        <f t="shared" ca="1" si="13"/>
        <v>226351.32637893516</v>
      </c>
      <c r="K72" s="27"/>
    </row>
    <row r="73" spans="1:11">
      <c r="A73" s="512">
        <f t="shared" si="9"/>
        <v>89</v>
      </c>
      <c r="B73" s="466" t="str" cm="2">
        <f t="array" aca="1" ref="B73" ca="1">INDIRECT("'MFG COST SUMMARY'!C" &amp; $A73)</f>
        <v>PSR0V229</v>
      </c>
      <c r="C73" s="257">
        <f ca="1">SUMIF(Rework!$A$7:$A$43,$B73,Rework!$F$7:$F$43)-SUMIF(Rework!$A$7:$A$43,$B73,Rework!$D$7:$D$43)</f>
        <v>0</v>
      </c>
      <c r="D73" s="257">
        <f t="shared" ca="1" si="10"/>
        <v>0</v>
      </c>
      <c r="E73" s="257">
        <f ca="1">SUMIF(Rework!$A$7:$A$43,$B73,Rework!$G$7:$G$43)-SUMIF(Rework!$A$7:$A$43,$B73,Rework!E$7:$E$43)</f>
        <v>0</v>
      </c>
      <c r="F73" s="258">
        <f ca="1">SUMIFS('MFG COST SUMMARY'!$F$18:$F$130,'MFG COST SUMMARY'!$C$18:$C$130,$B73)</f>
        <v>58104</v>
      </c>
      <c r="G73" s="257">
        <f t="shared" ca="1" si="11"/>
        <v>23.277323112317152</v>
      </c>
      <c r="H73" s="259">
        <f ca="1">SUMIFS('MFG COST SUMMARY'!$AT$18:$AT$130,'MFG COST SUMMARY'!$C$18:$C$130,$B73)</f>
        <v>1352505.5821180758</v>
      </c>
      <c r="I73" s="260">
        <f t="shared" ca="1" si="12"/>
        <v>58104</v>
      </c>
      <c r="J73" s="260">
        <f t="shared" ca="1" si="13"/>
        <v>1352505.5821180758</v>
      </c>
      <c r="K73" s="27"/>
    </row>
    <row r="74" spans="1:11">
      <c r="A74" s="512">
        <f t="shared" si="9"/>
        <v>90</v>
      </c>
      <c r="B74" s="466" t="str" cm="2">
        <f t="array" aca="1" ref="B74" ca="1">INDIRECT("'MFG COST SUMMARY'!C" &amp; $A74)</f>
        <v>PSR0V230</v>
      </c>
      <c r="C74" s="257">
        <f ca="1">SUMIF(Rework!$A$7:$A$43,$B74,Rework!$F$7:$F$43)-SUMIF(Rework!$A$7:$A$43,$B74,Rework!$D$7:$D$43)</f>
        <v>0</v>
      </c>
      <c r="D74" s="257">
        <f t="shared" ca="1" si="10"/>
        <v>0</v>
      </c>
      <c r="E74" s="257">
        <f ca="1">SUMIF(Rework!$A$7:$A$43,$B74,Rework!$G$7:$G$43)-SUMIF(Rework!$A$7:$A$43,$B74,Rework!E$7:$E$43)</f>
        <v>0</v>
      </c>
      <c r="F74" s="258">
        <f ca="1">SUMIFS('MFG COST SUMMARY'!$F$18:$F$130,'MFG COST SUMMARY'!$C$18:$C$130,$B74)</f>
        <v>6</v>
      </c>
      <c r="G74" s="470">
        <f t="shared" ca="1" si="11"/>
        <v>30.122503100673779</v>
      </c>
      <c r="H74" s="259">
        <f ca="1">SUMIFS('MFG COST SUMMARY'!$AT$18:$AT$130,'MFG COST SUMMARY'!$C$18:$C$130,$B74)</f>
        <v>180.73501860404266</v>
      </c>
      <c r="I74" s="260">
        <f t="shared" ca="1" si="12"/>
        <v>6</v>
      </c>
      <c r="J74" s="260">
        <f t="shared" ca="1" si="13"/>
        <v>180.73501860404266</v>
      </c>
      <c r="K74" s="27"/>
    </row>
    <row r="75" spans="1:11">
      <c r="A75" s="512">
        <f t="shared" si="9"/>
        <v>91</v>
      </c>
      <c r="B75" s="466" t="str" cm="2">
        <f t="array" aca="1" ref="B75" ca="1">INDIRECT("'MFG COST SUMMARY'!C" &amp; $A75)</f>
        <v>PSR0V231</v>
      </c>
      <c r="C75" s="257">
        <f ca="1">SUMIF(Rework!$A$7:$A$43,$B75,Rework!$F$7:$F$43)-SUMIF(Rework!$A$7:$A$43,$B75,Rework!$D$7:$D$43)</f>
        <v>0</v>
      </c>
      <c r="D75" s="257">
        <f t="shared" ca="1" si="10"/>
        <v>0</v>
      </c>
      <c r="E75" s="257">
        <f ca="1">SUMIF(Rework!$A$7:$A$43,$B75,Rework!$G$7:$G$43)-SUMIF(Rework!$A$7:$A$43,$B75,Rework!E$7:$E$43)</f>
        <v>0</v>
      </c>
      <c r="F75" s="258">
        <f ca="1">SUMIFS('MFG COST SUMMARY'!$F$18:$F$130,'MFG COST SUMMARY'!$C$18:$C$130,$B75)</f>
        <v>1</v>
      </c>
      <c r="G75" s="470">
        <f t="shared" ca="1" si="11"/>
        <v>28.816972727464737</v>
      </c>
      <c r="H75" s="259">
        <f ca="1">SUMIFS('MFG COST SUMMARY'!$AT$18:$AT$130,'MFG COST SUMMARY'!$C$18:$C$130,$B75)</f>
        <v>28.816972727464737</v>
      </c>
      <c r="I75" s="260">
        <f t="shared" ca="1" si="12"/>
        <v>1</v>
      </c>
      <c r="J75" s="260">
        <f t="shared" ca="1" si="13"/>
        <v>28.816972727464737</v>
      </c>
      <c r="K75" s="27"/>
    </row>
    <row r="76" spans="1:11">
      <c r="A76" s="512">
        <f t="shared" si="9"/>
        <v>92</v>
      </c>
      <c r="B76" s="466" t="str" cm="2">
        <f t="array" aca="1" ref="B76" ca="1">INDIRECT("'MFG COST SUMMARY'!C" &amp; $A76)</f>
        <v>PSR0V232</v>
      </c>
      <c r="C76" s="257">
        <f ca="1">SUMIF(Rework!$A$7:$A$43,$B76,Rework!$F$7:$F$43)-SUMIF(Rework!$A$7:$A$43,$B76,Rework!$D$7:$D$43)</f>
        <v>0</v>
      </c>
      <c r="D76" s="257">
        <f t="shared" ca="1" si="10"/>
        <v>0</v>
      </c>
      <c r="E76" s="257">
        <f ca="1">SUMIF(Rework!$A$7:$A$43,$B76,Rework!$G$7:$G$43)-SUMIF(Rework!$A$7:$A$43,$B76,Rework!E$7:$E$43)</f>
        <v>0</v>
      </c>
      <c r="F76" s="258">
        <f ca="1">SUMIFS('MFG COST SUMMARY'!$F$18:$F$130,'MFG COST SUMMARY'!$C$18:$C$130,$B76)</f>
        <v>1</v>
      </c>
      <c r="G76" s="257">
        <f t="shared" ca="1" si="11"/>
        <v>28.267693192034482</v>
      </c>
      <c r="H76" s="259">
        <f ca="1">SUMIFS('MFG COST SUMMARY'!$AT$18:$AT$130,'MFG COST SUMMARY'!$C$18:$C$130,$B76)</f>
        <v>28.267693192034482</v>
      </c>
      <c r="I76" s="260">
        <f t="shared" ca="1" si="12"/>
        <v>1</v>
      </c>
      <c r="J76" s="260">
        <f t="shared" ca="1" si="13"/>
        <v>28.267693192034482</v>
      </c>
      <c r="K76" s="27"/>
    </row>
    <row r="77" spans="1:11">
      <c r="A77" s="512">
        <f t="shared" si="9"/>
        <v>93</v>
      </c>
      <c r="B77" s="466" t="str" cm="2">
        <f t="array" aca="1" ref="B77" ca="1">INDIRECT("'MFG COST SUMMARY'!C" &amp; $A77)</f>
        <v>PSR0V249</v>
      </c>
      <c r="C77" s="257">
        <f ca="1">SUMIF(Rework!$A$7:$A$43,$B77,Rework!$F$7:$F$43)-SUMIF(Rework!$A$7:$A$43,$B77,Rework!$D$7:$D$43)</f>
        <v>0</v>
      </c>
      <c r="D77" s="257">
        <f t="shared" ca="1" si="10"/>
        <v>0</v>
      </c>
      <c r="E77" s="257">
        <f ca="1">SUMIF(Rework!$A$7:$A$43,$B77,Rework!$G$7:$G$43)-SUMIF(Rework!$A$7:$A$43,$B77,Rework!E$7:$E$43)</f>
        <v>0</v>
      </c>
      <c r="F77" s="258">
        <f ca="1">SUMIFS('MFG COST SUMMARY'!$F$18:$F$130,'MFG COST SUMMARY'!$C$18:$C$130,$B77)</f>
        <v>11</v>
      </c>
      <c r="G77" s="257">
        <f t="shared" ca="1" si="11"/>
        <v>41.89050022047325</v>
      </c>
      <c r="H77" s="259">
        <f ca="1">SUMIFS('MFG COST SUMMARY'!$AT$18:$AT$130,'MFG COST SUMMARY'!$C$18:$C$130,$B77)</f>
        <v>460.79550242520571</v>
      </c>
      <c r="I77" s="260">
        <f t="shared" ca="1" si="12"/>
        <v>11</v>
      </c>
      <c r="J77" s="260">
        <f t="shared" ca="1" si="13"/>
        <v>460.79550242520571</v>
      </c>
      <c r="K77" s="27"/>
    </row>
    <row r="78" spans="1:11">
      <c r="A78" s="512">
        <f t="shared" si="9"/>
        <v>94</v>
      </c>
      <c r="B78" s="466" t="str" cm="2">
        <f t="array" aca="1" ref="B78" ca="1">INDIRECT("'MFG COST SUMMARY'!C" &amp; $A78)</f>
        <v>PSR0V250</v>
      </c>
      <c r="C78" s="257">
        <f ca="1">SUMIF(Rework!$A$7:$A$43,$B78,Rework!$F$7:$F$43)-SUMIF(Rework!$A$7:$A$43,$B78,Rework!$D$7:$D$43)</f>
        <v>0</v>
      </c>
      <c r="D78" s="257">
        <f t="shared" ca="1" si="10"/>
        <v>0</v>
      </c>
      <c r="E78" s="257">
        <f ca="1">SUMIF(Rework!$A$7:$A$43,$B78,Rework!$G$7:$G$43)-SUMIF(Rework!$A$7:$A$43,$B78,Rework!E$7:$E$43)</f>
        <v>0</v>
      </c>
      <c r="F78" s="258">
        <f ca="1">SUMIFS('MFG COST SUMMARY'!$F$18:$F$130,'MFG COST SUMMARY'!$C$18:$C$130,$B78)</f>
        <v>1390</v>
      </c>
      <c r="G78" s="257">
        <f t="shared" ca="1" si="11"/>
        <v>52.903684309839967</v>
      </c>
      <c r="H78" s="259">
        <f ca="1">SUMIFS('MFG COST SUMMARY'!$AT$18:$AT$130,'MFG COST SUMMARY'!$C$18:$C$130,$B78)</f>
        <v>73536.121190677557</v>
      </c>
      <c r="I78" s="260">
        <f t="shared" ca="1" si="12"/>
        <v>1390</v>
      </c>
      <c r="J78" s="260">
        <f t="shared" ca="1" si="13"/>
        <v>73536.121190677557</v>
      </c>
      <c r="K78" s="27"/>
    </row>
    <row r="79" spans="1:11">
      <c r="A79" s="512">
        <f t="shared" si="9"/>
        <v>95</v>
      </c>
      <c r="B79" s="466" t="str" cm="2">
        <f t="array" aca="1" ref="B79" ca="1">INDIRECT("'MFG COST SUMMARY'!C" &amp; $A79)</f>
        <v>PSR0V28B</v>
      </c>
      <c r="C79" s="257">
        <f ca="1">SUMIF(Rework!$A$7:$A$43,$B79,Rework!$F$7:$F$43)-SUMIF(Rework!$A$7:$A$43,$B79,Rework!$D$7:$D$43)</f>
        <v>0</v>
      </c>
      <c r="D79" s="257">
        <f t="shared" ca="1" si="10"/>
        <v>0</v>
      </c>
      <c r="E79" s="257">
        <f ca="1">SUMIF(Rework!$A$7:$A$43,$B79,Rework!$G$7:$G$43)-SUMIF(Rework!$A$7:$A$43,$B79,Rework!E$7:$E$43)</f>
        <v>0</v>
      </c>
      <c r="F79" s="258">
        <f ca="1">SUMIFS('MFG COST SUMMARY'!$F$18:$F$130,'MFG COST SUMMARY'!$C$18:$C$130,$B79)</f>
        <v>552</v>
      </c>
      <c r="G79" s="470">
        <f t="shared" ca="1" si="11"/>
        <v>40.000740519916796</v>
      </c>
      <c r="H79" s="259">
        <f ca="1">SUMIFS('MFG COST SUMMARY'!$AT$18:$AT$130,'MFG COST SUMMARY'!$C$18:$C$130,$B79)</f>
        <v>22080.408766994071</v>
      </c>
      <c r="I79" s="260">
        <f t="shared" ca="1" si="12"/>
        <v>552</v>
      </c>
      <c r="J79" s="260">
        <f t="shared" ca="1" si="13"/>
        <v>22080.408766994071</v>
      </c>
      <c r="K79" s="27"/>
    </row>
    <row r="80" spans="1:11">
      <c r="A80" s="512">
        <f t="shared" si="9"/>
        <v>96</v>
      </c>
      <c r="B80" s="466" t="str" cm="2">
        <f t="array" aca="1" ref="B80" ca="1">INDIRECT("'MFG COST SUMMARY'!C" &amp; $A80)</f>
        <v>PSR0V240</v>
      </c>
      <c r="C80" s="257">
        <f ca="1">SUMIF(Rework!$A$7:$A$43,$B80,Rework!$F$7:$F$43)-SUMIF(Rework!$A$7:$A$43,$B80,Rework!$D$7:$D$43)</f>
        <v>0</v>
      </c>
      <c r="D80" s="257">
        <f t="shared" ca="1" si="10"/>
        <v>0</v>
      </c>
      <c r="E80" s="257">
        <f ca="1">SUMIF(Rework!$A$7:$A$43,$B80,Rework!$G$7:$G$43)-SUMIF(Rework!$A$7:$A$43,$B80,Rework!E$7:$E$43)</f>
        <v>0</v>
      </c>
      <c r="F80" s="258">
        <f ca="1">SUMIFS('MFG COST SUMMARY'!$F$18:$F$130,'MFG COST SUMMARY'!$C$18:$C$130,$B80)</f>
        <v>5643</v>
      </c>
      <c r="G80" s="470">
        <f t="shared" ca="1" si="11"/>
        <v>30.041969485858694</v>
      </c>
      <c r="H80" s="259">
        <f ca="1">SUMIFS('MFG COST SUMMARY'!$AT$18:$AT$130,'MFG COST SUMMARY'!$C$18:$C$130,$B80)</f>
        <v>169526.83380870061</v>
      </c>
      <c r="I80" s="260">
        <f t="shared" ca="1" si="12"/>
        <v>5643</v>
      </c>
      <c r="J80" s="260">
        <f t="shared" ca="1" si="13"/>
        <v>169526.83380870061</v>
      </c>
      <c r="K80" s="27"/>
    </row>
    <row r="81" spans="1:11">
      <c r="A81" s="512">
        <f t="shared" si="9"/>
        <v>97</v>
      </c>
      <c r="B81" s="466" t="str" cm="2">
        <f t="array" aca="1" ref="B81" ca="1">INDIRECT("'MFG COST SUMMARY'!C" &amp; $A81)</f>
        <v>PSR0V239</v>
      </c>
      <c r="C81" s="257">
        <f ca="1">SUMIF(Rework!$A$7:$A$43,$B81,Rework!$F$7:$F$43)-SUMIF(Rework!$A$7:$A$43,$B81,Rework!$D$7:$D$43)</f>
        <v>4</v>
      </c>
      <c r="D81" s="257">
        <f t="shared" ca="1" si="10"/>
        <v>31.52</v>
      </c>
      <c r="E81" s="257">
        <f ca="1">SUMIF(Rework!$A$7:$A$43,$B81,Rework!$G$7:$G$43)-SUMIF(Rework!$A$7:$A$43,$B81,Rework!E$7:$E$43)</f>
        <v>126.08</v>
      </c>
      <c r="F81" s="258">
        <f ca="1">SUMIFS('MFG COST SUMMARY'!$F$18:$F$130,'MFG COST SUMMARY'!$C$18:$C$130,$B81)</f>
        <v>1796</v>
      </c>
      <c r="G81" s="470">
        <f t="shared" ca="1" si="11"/>
        <v>29.112955630780878</v>
      </c>
      <c r="H81" s="259">
        <f ca="1">SUMIFS('MFG COST SUMMARY'!$AT$18:$AT$130,'MFG COST SUMMARY'!$C$18:$C$130,$B81)</f>
        <v>52286.868312882456</v>
      </c>
      <c r="I81" s="260">
        <f t="shared" ca="1" si="12"/>
        <v>1800</v>
      </c>
      <c r="J81" s="260">
        <f t="shared" ca="1" si="13"/>
        <v>52412.948312882458</v>
      </c>
      <c r="K81" s="27"/>
    </row>
    <row r="82" spans="1:11">
      <c r="A82" s="512">
        <f t="shared" si="9"/>
        <v>98</v>
      </c>
      <c r="B82" s="466" t="str" cm="2">
        <f t="array" aca="1" ref="B82" ca="1">INDIRECT("'MFG COST SUMMARY'!C" &amp; $A82)</f>
        <v>PSR0V257</v>
      </c>
      <c r="C82" s="257">
        <f ca="1">SUMIF(Rework!$A$7:$A$43,$B82,Rework!$F$7:$F$43)-SUMIF(Rework!$A$7:$A$43,$B82,Rework!$D$7:$D$43)</f>
        <v>0</v>
      </c>
      <c r="D82" s="257">
        <f t="shared" ca="1" si="10"/>
        <v>0</v>
      </c>
      <c r="E82" s="257">
        <f ca="1">SUMIF(Rework!$A$7:$A$43,$B82,Rework!$G$7:$G$43)-SUMIF(Rework!$A$7:$A$43,$B82,Rework!E$7:$E$43)</f>
        <v>0</v>
      </c>
      <c r="F82" s="258">
        <f ca="1">SUMIFS('MFG COST SUMMARY'!$F$18:$F$130,'MFG COST SUMMARY'!$C$18:$C$130,$B82)</f>
        <v>1141</v>
      </c>
      <c r="G82" s="470">
        <f t="shared" ca="1" si="11"/>
        <v>47.248471755093995</v>
      </c>
      <c r="H82" s="259">
        <f ca="1">SUMIFS('MFG COST SUMMARY'!$AT$18:$AT$130,'MFG COST SUMMARY'!$C$18:$C$130,$B82)</f>
        <v>53910.506272562248</v>
      </c>
      <c r="I82" s="260">
        <f t="shared" ca="1" si="12"/>
        <v>1141</v>
      </c>
      <c r="J82" s="260">
        <f t="shared" ca="1" si="13"/>
        <v>53910.506272562248</v>
      </c>
      <c r="K82" s="27"/>
    </row>
    <row r="83" spans="1:11">
      <c r="A83" s="512">
        <f t="shared" si="9"/>
        <v>99</v>
      </c>
      <c r="B83" s="466" t="str" cm="2">
        <f t="array" aca="1" ref="B83" ca="1">INDIRECT("'MFG COST SUMMARY'!C" &amp; $A83)</f>
        <v>PSR0V238</v>
      </c>
      <c r="C83" s="257">
        <f ca="1">SUMIF(Rework!$A$7:$A$43,$B83,Rework!$F$7:$F$43)-SUMIF(Rework!$A$7:$A$43,$B83,Rework!$D$7:$D$43)</f>
        <v>0</v>
      </c>
      <c r="D83" s="257">
        <f t="shared" ca="1" si="10"/>
        <v>0</v>
      </c>
      <c r="E83" s="257">
        <f ca="1">SUMIF(Rework!$A$7:$A$43,$B83,Rework!$G$7:$G$43)-SUMIF(Rework!$A$7:$A$43,$B83,Rework!E$7:$E$43)</f>
        <v>0</v>
      </c>
      <c r="F83" s="258">
        <f ca="1">SUMIFS('MFG COST SUMMARY'!$F$18:$F$130,'MFG COST SUMMARY'!$C$18:$C$130,$B83)</f>
        <v>13</v>
      </c>
      <c r="G83" s="257">
        <f t="shared" ca="1" si="11"/>
        <v>31.11031468988104</v>
      </c>
      <c r="H83" s="259">
        <f ca="1">SUMIFS('MFG COST SUMMARY'!$AT$18:$AT$130,'MFG COST SUMMARY'!$C$18:$C$130,$B83)</f>
        <v>404.43409096845352</v>
      </c>
      <c r="I83" s="260">
        <f t="shared" ca="1" si="12"/>
        <v>13</v>
      </c>
      <c r="J83" s="260">
        <f t="shared" ca="1" si="13"/>
        <v>404.43409096845352</v>
      </c>
      <c r="K83" s="27"/>
    </row>
    <row r="84" spans="1:11">
      <c r="A84" s="512">
        <f t="shared" si="9"/>
        <v>100</v>
      </c>
      <c r="B84" s="466" t="str" cm="2">
        <f t="array" aca="1" ref="B84" ca="1">INDIRECT("'MFG COST SUMMARY'!C" &amp; $A84)</f>
        <v>PSR0V234</v>
      </c>
      <c r="C84" s="257">
        <f ca="1">SUMIF(Rework!$A$7:$A$43,$B84,Rework!$F$7:$F$43)-SUMIF(Rework!$A$7:$A$43,$B84,Rework!$D$7:$D$43)</f>
        <v>0</v>
      </c>
      <c r="D84" s="257">
        <f t="shared" ca="1" si="10"/>
        <v>0</v>
      </c>
      <c r="E84" s="257">
        <f ca="1">SUMIF(Rework!$A$7:$A$43,$B84,Rework!$G$7:$G$43)-SUMIF(Rework!$A$7:$A$43,$B84,Rework!E$7:$E$43)</f>
        <v>0</v>
      </c>
      <c r="F84" s="258">
        <f ca="1">SUMIFS('MFG COST SUMMARY'!$F$18:$F$130,'MFG COST SUMMARY'!$C$18:$C$130,$B84)</f>
        <v>41985</v>
      </c>
      <c r="G84" s="470">
        <f t="shared" ca="1" si="11"/>
        <v>24.27421976566832</v>
      </c>
      <c r="H84" s="259">
        <f ca="1">SUMIFS('MFG COST SUMMARY'!$AT$18:$AT$130,'MFG COST SUMMARY'!$C$18:$C$130,$B84)</f>
        <v>1019153.1168615845</v>
      </c>
      <c r="I84" s="260">
        <f t="shared" ca="1" si="12"/>
        <v>41985</v>
      </c>
      <c r="J84" s="260">
        <f t="shared" ca="1" si="13"/>
        <v>1019153.1168615845</v>
      </c>
      <c r="K84" s="27"/>
    </row>
    <row r="85" spans="1:11">
      <c r="A85" s="512">
        <f t="shared" si="9"/>
        <v>101</v>
      </c>
      <c r="B85" s="466" t="str" cm="2">
        <f t="array" aca="1" ref="B85" ca="1">INDIRECT("'MFG COST SUMMARY'!C" &amp; $A85)</f>
        <v>PSR0V235</v>
      </c>
      <c r="C85" s="257">
        <f ca="1">SUMIF(Rework!$A$7:$A$43,$B85,Rework!$F$7:$F$43)-SUMIF(Rework!$A$7:$A$43,$B85,Rework!$D$7:$D$43)</f>
        <v>0</v>
      </c>
      <c r="D85" s="257">
        <f t="shared" ca="1" si="10"/>
        <v>0</v>
      </c>
      <c r="E85" s="257">
        <f ca="1">SUMIF(Rework!$A$7:$A$43,$B85,Rework!$G$7:$G$43)-SUMIF(Rework!$A$7:$A$43,$B85,Rework!E$7:$E$43)</f>
        <v>0</v>
      </c>
      <c r="F85" s="258">
        <f ca="1">SUMIFS('MFG COST SUMMARY'!$F$18:$F$130,'MFG COST SUMMARY'!$C$18:$C$130,$B85)</f>
        <v>3</v>
      </c>
      <c r="G85" s="470">
        <f t="shared" ca="1" si="11"/>
        <v>26.465751344775171</v>
      </c>
      <c r="H85" s="259">
        <f ca="1">SUMIFS('MFG COST SUMMARY'!$AT$18:$AT$130,'MFG COST SUMMARY'!$C$18:$C$130,$B85)</f>
        <v>79.397254034325513</v>
      </c>
      <c r="I85" s="260">
        <f t="shared" ca="1" si="12"/>
        <v>3</v>
      </c>
      <c r="J85" s="260">
        <f t="shared" ca="1" si="13"/>
        <v>79.397254034325513</v>
      </c>
      <c r="K85" s="27"/>
    </row>
    <row r="86" spans="1:11">
      <c r="A86" s="512">
        <f t="shared" si="9"/>
        <v>102</v>
      </c>
      <c r="B86" s="466" t="str" cm="2">
        <f t="array" aca="1" ref="B86" ca="1">INDIRECT("'MFG COST SUMMARY'!C" &amp; $A86)</f>
        <v>PSR0V236</v>
      </c>
      <c r="C86" s="257">
        <f ca="1">SUMIF(Rework!$A$7:$A$43,$B86,Rework!$F$7:$F$43)-SUMIF(Rework!$A$7:$A$43,$B86,Rework!$D$7:$D$43)</f>
        <v>1</v>
      </c>
      <c r="D86" s="257">
        <f t="shared" ca="1" si="10"/>
        <v>27.49</v>
      </c>
      <c r="E86" s="257">
        <f ca="1">SUMIF(Rework!$A$7:$A$43,$B86,Rework!$G$7:$G$43)-SUMIF(Rework!$A$7:$A$43,$B86,Rework!E$7:$E$43)</f>
        <v>27.49</v>
      </c>
      <c r="F86" s="258">
        <f ca="1">SUMIFS('MFG COST SUMMARY'!$F$18:$F$130,'MFG COST SUMMARY'!$C$18:$C$130,$B86)</f>
        <v>2</v>
      </c>
      <c r="G86" s="257">
        <f t="shared" ca="1" si="11"/>
        <v>27.73667799927679</v>
      </c>
      <c r="H86" s="259">
        <f ca="1">SUMIFS('MFG COST SUMMARY'!$AT$18:$AT$130,'MFG COST SUMMARY'!$C$18:$C$130,$B86)</f>
        <v>55.473355998553579</v>
      </c>
      <c r="I86" s="260">
        <f t="shared" ca="1" si="12"/>
        <v>3</v>
      </c>
      <c r="J86" s="260">
        <f t="shared" ca="1" si="13"/>
        <v>82.963355998553581</v>
      </c>
      <c r="K86" s="27"/>
    </row>
    <row r="87" spans="1:11">
      <c r="A87" s="512">
        <f t="shared" si="9"/>
        <v>103</v>
      </c>
      <c r="B87" s="466" t="str" cm="2">
        <f t="array" aca="1" ref="B87" ca="1">INDIRECT("'MFG COST SUMMARY'!C" &amp; $A87)</f>
        <v>PSR0V237</v>
      </c>
      <c r="C87" s="257">
        <f ca="1">SUMIF(Rework!$A$7:$A$43,$B87,Rework!$F$7:$F$43)-SUMIF(Rework!$A$7:$A$43,$B87,Rework!$D$7:$D$43)</f>
        <v>0</v>
      </c>
      <c r="D87" s="257">
        <f t="shared" ca="1" si="10"/>
        <v>0</v>
      </c>
      <c r="E87" s="257">
        <f ca="1">SUMIF(Rework!$A$7:$A$43,$B87,Rework!$G$7:$G$43)-SUMIF(Rework!$A$7:$A$43,$B87,Rework!E$7:$E$43)</f>
        <v>0</v>
      </c>
      <c r="F87" s="258">
        <f ca="1">SUMIFS('MFG COST SUMMARY'!$F$18:$F$130,'MFG COST SUMMARY'!$C$18:$C$130,$B87)</f>
        <v>17</v>
      </c>
      <c r="G87" s="257">
        <f t="shared" ca="1" si="11"/>
        <v>27.679214955913391</v>
      </c>
      <c r="H87" s="259">
        <f ca="1">SUMIFS('MFG COST SUMMARY'!$AT$18:$AT$130,'MFG COST SUMMARY'!$C$18:$C$130,$B87)</f>
        <v>470.54665425052764</v>
      </c>
      <c r="I87" s="260">
        <f t="shared" ca="1" si="12"/>
        <v>17</v>
      </c>
      <c r="J87" s="260">
        <f t="shared" ca="1" si="13"/>
        <v>470.54665425052764</v>
      </c>
      <c r="K87" s="27"/>
    </row>
    <row r="88" spans="1:11">
      <c r="A88" s="512">
        <f t="shared" si="9"/>
        <v>104</v>
      </c>
      <c r="B88" s="466" t="str" cm="2">
        <f t="array" aca="1" ref="B88" ca="1">INDIRECT("'MFG COST SUMMARY'!C" &amp; $A88)</f>
        <v>PSR0VF1F</v>
      </c>
      <c r="C88" s="257">
        <f ca="1">SUMIF(Rework!$A$7:$A$43,$B88,Rework!$F$7:$F$43)-SUMIF(Rework!$A$7:$A$43,$B88,Rework!$D$7:$D$43)</f>
        <v>0</v>
      </c>
      <c r="D88" s="257">
        <f t="shared" ca="1" si="10"/>
        <v>0</v>
      </c>
      <c r="E88" s="257">
        <f ca="1">SUMIF(Rework!$A$7:$A$43,$B88,Rework!$G$7:$G$43)-SUMIF(Rework!$A$7:$A$43,$B88,Rework!E$7:$E$43)</f>
        <v>0</v>
      </c>
      <c r="F88" s="258">
        <f ca="1">SUMIFS('MFG COST SUMMARY'!$F$18:$F$130,'MFG COST SUMMARY'!$C$18:$C$130,$B88)</f>
        <v>2</v>
      </c>
      <c r="G88" s="257">
        <f t="shared" ca="1" si="11"/>
        <v>27.741879257553091</v>
      </c>
      <c r="H88" s="259">
        <f ca="1">SUMIFS('MFG COST SUMMARY'!$AT$18:$AT$130,'MFG COST SUMMARY'!$C$18:$C$130,$B88)</f>
        <v>55.483758515106182</v>
      </c>
      <c r="I88" s="260">
        <f t="shared" ca="1" si="12"/>
        <v>2</v>
      </c>
      <c r="J88" s="260">
        <f t="shared" ca="1" si="13"/>
        <v>55.483758515106182</v>
      </c>
      <c r="K88" s="27"/>
    </row>
    <row r="89" spans="1:11">
      <c r="A89" s="512">
        <f t="shared" si="9"/>
        <v>105</v>
      </c>
      <c r="B89" s="466" t="str" cm="2">
        <f t="array" aca="1" ref="B89" ca="1">INDIRECT("'MFG COST SUMMARY'!C" &amp; $A89)</f>
        <v>PSR0VF2F</v>
      </c>
      <c r="C89" s="257">
        <f ca="1">SUMIF(Rework!$A$7:$A$43,$B89,Rework!$F$7:$F$43)-SUMIF(Rework!$A$7:$A$43,$B89,Rework!$D$7:$D$43)</f>
        <v>0</v>
      </c>
      <c r="D89" s="257">
        <f t="shared" ca="1" si="10"/>
        <v>0</v>
      </c>
      <c r="E89" s="257">
        <f ca="1">SUMIF(Rework!$A$7:$A$43,$B89,Rework!$G$7:$G$43)-SUMIF(Rework!$A$7:$A$43,$B89,Rework!E$7:$E$43)</f>
        <v>0</v>
      </c>
      <c r="F89" s="258">
        <f ca="1">SUMIFS('MFG COST SUMMARY'!$F$18:$F$130,'MFG COST SUMMARY'!$C$18:$C$130,$B89)</f>
        <v>276</v>
      </c>
      <c r="G89" s="257">
        <f t="shared" ca="1" si="11"/>
        <v>29.801494745938292</v>
      </c>
      <c r="H89" s="259">
        <f ca="1">SUMIFS('MFG COST SUMMARY'!$AT$18:$AT$130,'MFG COST SUMMARY'!$C$18:$C$130,$B89)</f>
        <v>8225.2125498789683</v>
      </c>
      <c r="I89" s="260">
        <f t="shared" ca="1" si="12"/>
        <v>276</v>
      </c>
      <c r="J89" s="260">
        <f t="shared" ca="1" si="13"/>
        <v>8225.2125498789683</v>
      </c>
      <c r="K89" s="27"/>
    </row>
    <row r="90" spans="1:11">
      <c r="A90" s="512">
        <f t="shared" si="9"/>
        <v>106</v>
      </c>
      <c r="B90" s="466" t="str" cm="2">
        <f t="array" aca="1" ref="B90" ca="1">INDIRECT("'MFG COST SUMMARY'!C" &amp; $A90)</f>
        <v>PSR0VF3F</v>
      </c>
      <c r="C90" s="257">
        <f ca="1">SUMIF(Rework!$A$7:$A$43,$B90,Rework!$F$7:$F$43)-SUMIF(Rework!$A$7:$A$43,$B90,Rework!$D$7:$D$43)</f>
        <v>0</v>
      </c>
      <c r="D90" s="257">
        <f t="shared" ca="1" si="10"/>
        <v>0</v>
      </c>
      <c r="E90" s="257">
        <f ca="1">SUMIF(Rework!$A$7:$A$43,$B90,Rework!$G$7:$G$43)-SUMIF(Rework!$A$7:$A$43,$B90,Rework!E$7:$E$43)</f>
        <v>0</v>
      </c>
      <c r="F90" s="258">
        <f ca="1">SUMIFS('MFG COST SUMMARY'!$F$18:$F$130,'MFG COST SUMMARY'!$C$18:$C$130,$B90)</f>
        <v>1</v>
      </c>
      <c r="G90" s="470">
        <f t="shared" ca="1" si="11"/>
        <v>30.098843367847646</v>
      </c>
      <c r="H90" s="259">
        <f ca="1">SUMIFS('MFG COST SUMMARY'!$AT$18:$AT$130,'MFG COST SUMMARY'!$C$18:$C$130,$B90)</f>
        <v>30.098843367847646</v>
      </c>
      <c r="I90" s="260">
        <f t="shared" ca="1" si="12"/>
        <v>1</v>
      </c>
      <c r="J90" s="260">
        <f t="shared" ca="1" si="13"/>
        <v>30.098843367847646</v>
      </c>
      <c r="K90" s="27"/>
    </row>
    <row r="91" spans="1:11">
      <c r="A91" s="512">
        <f t="shared" si="9"/>
        <v>107</v>
      </c>
      <c r="B91" s="466" t="str" cm="2">
        <f t="array" aca="1" ref="B91" ca="1">INDIRECT("'MFG COST SUMMARY'!C" &amp; $A91)</f>
        <v>PSR0VG1F</v>
      </c>
      <c r="C91" s="257">
        <f ca="1">SUMIF(Rework!$A$7:$A$43,$B91,Rework!$F$7:$F$43)-SUMIF(Rework!$A$7:$A$43,$B91,Rework!$D$7:$D$43)</f>
        <v>0</v>
      </c>
      <c r="D91" s="257">
        <f t="shared" ca="1" si="10"/>
        <v>0</v>
      </c>
      <c r="E91" s="257">
        <f ca="1">SUMIF(Rework!$A$7:$A$43,$B91,Rework!$G$7:$G$43)-SUMIF(Rework!$A$7:$A$43,$B91,Rework!E$7:$E$43)</f>
        <v>0</v>
      </c>
      <c r="F91" s="258">
        <f ca="1">SUMIFS('MFG COST SUMMARY'!$F$18:$F$130,'MFG COST SUMMARY'!$C$18:$C$130,$B91)</f>
        <v>1</v>
      </c>
      <c r="G91" s="470">
        <f t="shared" ca="1" si="11"/>
        <v>42.420371438110784</v>
      </c>
      <c r="H91" s="259">
        <f ca="1">SUMIFS('MFG COST SUMMARY'!$AT$18:$AT$130,'MFG COST SUMMARY'!$C$18:$C$130,$B91)</f>
        <v>42.420371438110784</v>
      </c>
      <c r="I91" s="260">
        <f t="shared" ca="1" si="12"/>
        <v>1</v>
      </c>
      <c r="J91" s="260">
        <f t="shared" ca="1" si="13"/>
        <v>42.420371438110784</v>
      </c>
      <c r="K91" s="27"/>
    </row>
    <row r="92" spans="1:11">
      <c r="A92" s="512">
        <f t="shared" si="9"/>
        <v>108</v>
      </c>
      <c r="B92" s="466" t="str" cm="2">
        <f t="array" aca="1" ref="B92" ca="1">INDIRECT("'MFG COST SUMMARY'!C" &amp; $A92)</f>
        <v>PSR0V184</v>
      </c>
      <c r="C92" s="257">
        <f ca="1">SUMIF(Rework!$A$7:$A$43,$B92,Rework!$F$7:$F$43)-SUMIF(Rework!$A$7:$A$43,$B92,Rework!$D$7:$D$43)</f>
        <v>0</v>
      </c>
      <c r="D92" s="257">
        <f t="shared" ca="1" si="10"/>
        <v>0</v>
      </c>
      <c r="E92" s="257">
        <f ca="1">SUMIF(Rework!$A$7:$A$43,$B92,Rework!$G$7:$G$43)-SUMIF(Rework!$A$7:$A$43,$B92,Rework!E$7:$E$43)</f>
        <v>0</v>
      </c>
      <c r="F92" s="258">
        <f ca="1">SUMIFS('MFG COST SUMMARY'!$F$18:$F$130,'MFG COST SUMMARY'!$C$18:$C$130,$B92)</f>
        <v>1</v>
      </c>
      <c r="G92" s="257">
        <f t="shared" ca="1" si="11"/>
        <v>47.264318094923375</v>
      </c>
      <c r="H92" s="259">
        <f ca="1">SUMIFS('MFG COST SUMMARY'!$AT$18:$AT$130,'MFG COST SUMMARY'!$C$18:$C$130,$B92)</f>
        <v>47.264318094923375</v>
      </c>
      <c r="I92" s="260">
        <f t="shared" ca="1" si="12"/>
        <v>1</v>
      </c>
      <c r="J92" s="260">
        <f t="shared" ca="1" si="13"/>
        <v>47.264318094923375</v>
      </c>
      <c r="K92" s="27"/>
    </row>
    <row r="93" spans="1:11">
      <c r="A93" s="512">
        <f t="shared" si="9"/>
        <v>109</v>
      </c>
      <c r="B93" s="466" t="str" cm="2">
        <f t="array" aca="1" ref="B93" ca="1">INDIRECT("'MFG COST SUMMARY'!C" &amp; $A93)</f>
        <v>PSR0VF5F</v>
      </c>
      <c r="C93" s="257">
        <f ca="1">SUMIF(Rework!$A$7:$A$43,$B93,Rework!$F$7:$F$43)-SUMIF(Rework!$A$7:$A$43,$B93,Rework!$D$7:$D$43)</f>
        <v>0</v>
      </c>
      <c r="D93" s="257">
        <f t="shared" ca="1" si="10"/>
        <v>0</v>
      </c>
      <c r="E93" s="257">
        <f ca="1">SUMIF(Rework!$A$7:$A$43,$B93,Rework!$G$7:$G$43)-SUMIF(Rework!$A$7:$A$43,$B93,Rework!E$7:$E$43)</f>
        <v>0</v>
      </c>
      <c r="F93" s="258">
        <f ca="1">SUMIFS('MFG COST SUMMARY'!$F$18:$F$130,'MFG COST SUMMARY'!$C$18:$C$130,$B93)</f>
        <v>17</v>
      </c>
      <c r="G93" s="257">
        <f t="shared" ca="1" si="11"/>
        <v>38.512124595571485</v>
      </c>
      <c r="H93" s="259">
        <f ca="1">SUMIFS('MFG COST SUMMARY'!$AT$18:$AT$130,'MFG COST SUMMARY'!$C$18:$C$130,$B93)</f>
        <v>654.7061181247152</v>
      </c>
      <c r="I93" s="260">
        <f t="shared" ca="1" si="12"/>
        <v>17</v>
      </c>
      <c r="J93" s="260">
        <f t="shared" ca="1" si="13"/>
        <v>654.7061181247152</v>
      </c>
      <c r="K93" s="27"/>
    </row>
    <row r="94" spans="1:11">
      <c r="A94" s="512">
        <f t="shared" si="9"/>
        <v>110</v>
      </c>
      <c r="B94" s="466" t="str" cm="2">
        <f t="array" aca="1" ref="B94" ca="1">INDIRECT("'MFG COST SUMMARY'!C" &amp; $A94)</f>
        <v>PSR0VF9F</v>
      </c>
      <c r="C94" s="257">
        <f ca="1">SUMIF(Rework!$A$7:$A$43,$B94,Rework!$F$7:$F$43)-SUMIF(Rework!$A$7:$A$43,$B94,Rework!$D$7:$D$43)</f>
        <v>0</v>
      </c>
      <c r="D94" s="257">
        <f t="shared" ref="D94:D109" ca="1" si="14">+IFERROR(E94/C94,0)</f>
        <v>0</v>
      </c>
      <c r="E94" s="257">
        <f ca="1">SUMIF(Rework!$A$7:$A$43,$B94,Rework!$G$7:$G$43)-SUMIF(Rework!$A$7:$A$43,$B94,Rework!E$7:$E$43)</f>
        <v>0</v>
      </c>
      <c r="F94" s="258">
        <f ca="1">SUMIFS('MFG COST SUMMARY'!$F$18:$F$130,'MFG COST SUMMARY'!$C$18:$C$130,$B94)</f>
        <v>9</v>
      </c>
      <c r="G94" s="470">
        <f t="shared" ref="G94:G109" ca="1" si="15">IFERROR(H94/F94,0)</f>
        <v>44.904544454567443</v>
      </c>
      <c r="H94" s="259">
        <f ca="1">SUMIFS('MFG COST SUMMARY'!$AT$18:$AT$130,'MFG COST SUMMARY'!$C$18:$C$130,$B94)</f>
        <v>404.14090009110697</v>
      </c>
      <c r="I94" s="260">
        <f t="shared" ref="I94:I109" ca="1" si="16">+F94+C94</f>
        <v>9</v>
      </c>
      <c r="J94" s="260">
        <f t="shared" ref="J94:J109" ca="1" si="17">+H94+E94</f>
        <v>404.14090009110697</v>
      </c>
      <c r="K94" s="27"/>
    </row>
    <row r="95" spans="1:11">
      <c r="A95" s="512">
        <f t="shared" si="9"/>
        <v>111</v>
      </c>
      <c r="B95" s="466" t="str" cm="2">
        <f t="array" aca="1" ref="B95" ca="1">INDIRECT("'MFG COST SUMMARY'!C" &amp; $A95)</f>
        <v>PSR0VG2F</v>
      </c>
      <c r="C95" s="257">
        <f ca="1">SUMIF(Rework!$A$7:$A$43,$B95,Rework!$F$7:$F$43)-SUMIF(Rework!$A$7:$A$43,$B95,Rework!$D$7:$D$43)</f>
        <v>0</v>
      </c>
      <c r="D95" s="257">
        <f t="shared" ca="1" si="14"/>
        <v>0</v>
      </c>
      <c r="E95" s="257">
        <f ca="1">SUMIF(Rework!$A$7:$A$43,$B95,Rework!$G$7:$G$43)-SUMIF(Rework!$A$7:$A$43,$B95,Rework!E$7:$E$43)</f>
        <v>0</v>
      </c>
      <c r="F95" s="258">
        <f ca="1">SUMIFS('MFG COST SUMMARY'!$F$18:$F$130,'MFG COST SUMMARY'!$C$18:$C$130,$B95)</f>
        <v>285</v>
      </c>
      <c r="G95" s="470">
        <f t="shared" ca="1" si="15"/>
        <v>48.426869209213365</v>
      </c>
      <c r="H95" s="259">
        <f ca="1">SUMIFS('MFG COST SUMMARY'!$AT$18:$AT$130,'MFG COST SUMMARY'!$C$18:$C$130,$B95)</f>
        <v>13801.657724625809</v>
      </c>
      <c r="I95" s="260">
        <f t="shared" ca="1" si="16"/>
        <v>285</v>
      </c>
      <c r="J95" s="260">
        <f t="shared" ca="1" si="17"/>
        <v>13801.657724625809</v>
      </c>
      <c r="K95" s="27"/>
    </row>
    <row r="96" spans="1:11">
      <c r="A96" s="512">
        <f t="shared" si="9"/>
        <v>112</v>
      </c>
      <c r="B96" s="466" t="str" cm="2">
        <f t="array" aca="1" ref="B96" ca="1">INDIRECT("'MFG COST SUMMARY'!C" &amp; $A96)</f>
        <v>PSR0V43D</v>
      </c>
      <c r="C96" s="257">
        <f ca="1">SUMIF(Rework!$A$7:$A$43,$B96,Rework!$F$7:$F$43)-SUMIF(Rework!$A$7:$A$43,$B96,Rework!$D$7:$D$43)</f>
        <v>0</v>
      </c>
      <c r="D96" s="257">
        <f t="shared" ca="1" si="14"/>
        <v>0</v>
      </c>
      <c r="E96" s="257">
        <f ca="1">SUMIF(Rework!$A$7:$A$43,$B96,Rework!$G$7:$G$43)-SUMIF(Rework!$A$7:$A$43,$B96,Rework!E$7:$E$43)</f>
        <v>0</v>
      </c>
      <c r="F96" s="258">
        <f ca="1">SUMIFS('MFG COST SUMMARY'!$F$18:$F$130,'MFG COST SUMMARY'!$C$18:$C$130,$B96)</f>
        <v>10</v>
      </c>
      <c r="G96" s="257">
        <f t="shared" ca="1" si="15"/>
        <v>50.746364151261503</v>
      </c>
      <c r="H96" s="259">
        <f ca="1">SUMIFS('MFG COST SUMMARY'!$AT$18:$AT$130,'MFG COST SUMMARY'!$C$18:$C$130,$B96)</f>
        <v>507.46364151261503</v>
      </c>
      <c r="I96" s="260">
        <f t="shared" ca="1" si="16"/>
        <v>10</v>
      </c>
      <c r="J96" s="260">
        <f t="shared" ca="1" si="17"/>
        <v>507.46364151261503</v>
      </c>
      <c r="K96" s="27"/>
    </row>
    <row r="97" spans="1:11">
      <c r="A97" s="512">
        <f t="shared" si="9"/>
        <v>113</v>
      </c>
      <c r="B97" s="466" t="str" cm="2">
        <f t="array" aca="1" ref="B97" ca="1">INDIRECT("'MFG COST SUMMARY'!C" &amp; $A97)</f>
        <v>PSR0VF8F</v>
      </c>
      <c r="C97" s="257">
        <f ca="1">SUMIF(Rework!$A$7:$A$43,$B97,Rework!$F$7:$F$43)-SUMIF(Rework!$A$7:$A$43,$B97,Rework!$D$7:$D$43)</f>
        <v>0</v>
      </c>
      <c r="D97" s="257">
        <f t="shared" ca="1" si="14"/>
        <v>0</v>
      </c>
      <c r="E97" s="257">
        <f ca="1">SUMIF(Rework!$A$7:$A$43,$B97,Rework!$G$7:$G$43)-SUMIF(Rework!$A$7:$A$43,$B97,Rework!E$7:$E$43)</f>
        <v>0</v>
      </c>
      <c r="F97" s="258">
        <f ca="1">SUMIFS('MFG COST SUMMARY'!$F$18:$F$130,'MFG COST SUMMARY'!$C$18:$C$130,$B97)</f>
        <v>25</v>
      </c>
      <c r="G97" s="257">
        <f t="shared" ca="1" si="15"/>
        <v>28.640641996897653</v>
      </c>
      <c r="H97" s="259">
        <f ca="1">SUMIFS('MFG COST SUMMARY'!$AT$18:$AT$130,'MFG COST SUMMARY'!$C$18:$C$130,$B97)</f>
        <v>716.01604992244131</v>
      </c>
      <c r="I97" s="260">
        <f t="shared" ca="1" si="16"/>
        <v>25</v>
      </c>
      <c r="J97" s="260">
        <f t="shared" ca="1" si="17"/>
        <v>716.01604992244131</v>
      </c>
      <c r="K97" s="27"/>
    </row>
    <row r="98" spans="1:11">
      <c r="A98" s="512">
        <f t="shared" si="9"/>
        <v>114</v>
      </c>
      <c r="B98" s="466" t="str" cm="2">
        <f t="array" aca="1" ref="B98" ca="1">INDIRECT("'MFG COST SUMMARY'!C" &amp; $A98)</f>
        <v>PSR0VG3F</v>
      </c>
      <c r="C98" s="257">
        <f ca="1">SUMIF(Rework!$A$7:$A$43,$B98,Rework!$F$7:$F$43)-SUMIF(Rework!$A$7:$A$43,$B98,Rework!$D$7:$D$43)</f>
        <v>0</v>
      </c>
      <c r="D98" s="257">
        <f t="shared" ca="1" si="14"/>
        <v>0</v>
      </c>
      <c r="E98" s="257">
        <f ca="1">SUMIF(Rework!$A$7:$A$43,$B98,Rework!$G$7:$G$43)-SUMIF(Rework!$A$7:$A$43,$B98,Rework!E$7:$E$43)</f>
        <v>0</v>
      </c>
      <c r="F98" s="258">
        <f ca="1">SUMIFS('MFG COST SUMMARY'!$F$18:$F$130,'MFG COST SUMMARY'!$C$18:$C$130,$B98)</f>
        <v>11</v>
      </c>
      <c r="G98" s="257">
        <f t="shared" ca="1" si="15"/>
        <v>45.460972345900394</v>
      </c>
      <c r="H98" s="259">
        <f ca="1">SUMIFS('MFG COST SUMMARY'!$AT$18:$AT$130,'MFG COST SUMMARY'!$C$18:$C$130,$B98)</f>
        <v>500.07069580490435</v>
      </c>
      <c r="I98" s="260">
        <f t="shared" ca="1" si="16"/>
        <v>11</v>
      </c>
      <c r="J98" s="260">
        <f t="shared" ca="1" si="17"/>
        <v>500.07069580490435</v>
      </c>
      <c r="K98" s="27"/>
    </row>
    <row r="99" spans="1:11">
      <c r="A99" s="512">
        <f t="shared" si="9"/>
        <v>115</v>
      </c>
      <c r="B99" s="466" t="str" cm="2">
        <f t="array" aca="1" ref="B99" ca="1">INDIRECT("'MFG COST SUMMARY'!C" &amp; $A99)</f>
        <v>PSR0VH6F</v>
      </c>
      <c r="C99" s="257">
        <f ca="1">SUMIF(Rework!$A$7:$A$43,$B99,Rework!$F$7:$F$43)-SUMIF(Rework!$A$7:$A$43,$B99,Rework!$D$7:$D$43)</f>
        <v>0</v>
      </c>
      <c r="D99" s="257">
        <f t="shared" ca="1" si="14"/>
        <v>0</v>
      </c>
      <c r="E99" s="257">
        <f ca="1">SUMIF(Rework!$A$7:$A$43,$B99,Rework!$G$7:$G$43)-SUMIF(Rework!$A$7:$A$43,$B99,Rework!E$7:$E$43)</f>
        <v>0</v>
      </c>
      <c r="F99" s="258">
        <f ca="1">SUMIFS('MFG COST SUMMARY'!$F$18:$F$130,'MFG COST SUMMARY'!$C$18:$C$130,$B99)</f>
        <v>11</v>
      </c>
      <c r="G99" s="257">
        <f t="shared" ca="1" si="15"/>
        <v>37.480328579830193</v>
      </c>
      <c r="H99" s="259">
        <f ca="1">SUMIFS('MFG COST SUMMARY'!$AT$18:$AT$130,'MFG COST SUMMARY'!$C$18:$C$130,$B99)</f>
        <v>412.28361437813214</v>
      </c>
      <c r="I99" s="260">
        <f t="shared" ca="1" si="16"/>
        <v>11</v>
      </c>
      <c r="J99" s="260">
        <f t="shared" ca="1" si="17"/>
        <v>412.28361437813214</v>
      </c>
      <c r="K99" s="27"/>
    </row>
    <row r="100" spans="1:11">
      <c r="A100" s="512">
        <f t="shared" si="9"/>
        <v>116</v>
      </c>
      <c r="B100" s="466" t="str" cm="2">
        <f t="array" aca="1" ref="B100" ca="1">INDIRECT("'MFG COST SUMMARY'!C" &amp; $A100)</f>
        <v>PSR0V256</v>
      </c>
      <c r="C100" s="257">
        <f ca="1">SUMIF(Rework!$A$7:$A$43,$B100,Rework!$F$7:$F$43)-SUMIF(Rework!$A$7:$A$43,$B100,Rework!$D$7:$D$43)</f>
        <v>0</v>
      </c>
      <c r="D100" s="257">
        <f t="shared" ca="1" si="14"/>
        <v>0</v>
      </c>
      <c r="E100" s="257">
        <f ca="1">SUMIF(Rework!$A$7:$A$43,$B100,Rework!$G$7:$G$43)-SUMIF(Rework!$A$7:$A$43,$B100,Rework!E$7:$E$43)</f>
        <v>0</v>
      </c>
      <c r="F100" s="258">
        <f ca="1">SUMIFS('MFG COST SUMMARY'!$F$18:$F$130,'MFG COST SUMMARY'!$C$18:$C$130,$B100)</f>
        <v>1008</v>
      </c>
      <c r="G100" s="470">
        <f t="shared" ca="1" si="15"/>
        <v>48.419285441803353</v>
      </c>
      <c r="H100" s="259">
        <f ca="1">SUMIFS('MFG COST SUMMARY'!$AT$18:$AT$130,'MFG COST SUMMARY'!$C$18:$C$130,$B100)</f>
        <v>48806.63972533778</v>
      </c>
      <c r="I100" s="260">
        <f t="shared" ca="1" si="16"/>
        <v>1008</v>
      </c>
      <c r="J100" s="260">
        <f t="shared" ca="1" si="17"/>
        <v>48806.63972533778</v>
      </c>
      <c r="K100" s="27"/>
    </row>
    <row r="101" spans="1:11">
      <c r="A101" s="512">
        <f t="shared" si="9"/>
        <v>117</v>
      </c>
      <c r="B101" s="466" t="str" cm="2">
        <f t="array" aca="1" ref="B101" ca="1">INDIRECT("'MFG COST SUMMARY'!C" &amp; $A101)</f>
        <v>PSR0VF6F</v>
      </c>
      <c r="C101" s="257">
        <f ca="1">SUMIF(Rework!$A$7:$A$43,$B101,Rework!$F$7:$F$43)-SUMIF(Rework!$A$7:$A$43,$B101,Rework!$D$7:$D$43)</f>
        <v>0</v>
      </c>
      <c r="D101" s="257">
        <f t="shared" ca="1" si="14"/>
        <v>0</v>
      </c>
      <c r="E101" s="257">
        <f ca="1">SUMIF(Rework!$A$7:$A$43,$B101,Rework!$G$7:$G$43)-SUMIF(Rework!$A$7:$A$43,$B101,Rework!E$7:$E$43)</f>
        <v>0</v>
      </c>
      <c r="F101" s="258">
        <f ca="1">SUMIFS('MFG COST SUMMARY'!$F$18:$F$130,'MFG COST SUMMARY'!$C$18:$C$130,$B101)</f>
        <v>12954</v>
      </c>
      <c r="G101" s="470">
        <f t="shared" ca="1" si="15"/>
        <v>44.891663420733309</v>
      </c>
      <c r="H101" s="259">
        <f ca="1">SUMIFS('MFG COST SUMMARY'!$AT$18:$AT$130,'MFG COST SUMMARY'!$C$18:$C$130,$B101)</f>
        <v>581526.60795217927</v>
      </c>
      <c r="I101" s="260">
        <f t="shared" ca="1" si="16"/>
        <v>12954</v>
      </c>
      <c r="J101" s="260">
        <f t="shared" ca="1" si="17"/>
        <v>581526.60795217927</v>
      </c>
      <c r="K101" s="27"/>
    </row>
    <row r="102" spans="1:11">
      <c r="A102" s="512">
        <f t="shared" si="9"/>
        <v>118</v>
      </c>
      <c r="B102" s="466" t="str" cm="2">
        <f t="array" aca="1" ref="B102" ca="1">INDIRECT("'MFG COST SUMMARY'!C" &amp; $A102)</f>
        <v>PSR0VG4F</v>
      </c>
      <c r="C102" s="257">
        <f ca="1">SUMIF(Rework!$A$7:$A$43,$B102,Rework!$F$7:$F$43)-SUMIF(Rework!$A$7:$A$43,$B102,Rework!$D$7:$D$43)</f>
        <v>0</v>
      </c>
      <c r="D102" s="257">
        <f t="shared" ca="1" si="14"/>
        <v>0</v>
      </c>
      <c r="E102" s="257">
        <f ca="1">SUMIF(Rework!$A$7:$A$43,$B102,Rework!$G$7:$G$43)-SUMIF(Rework!$A$7:$A$43,$B102,Rework!E$7:$E$43)</f>
        <v>0</v>
      </c>
      <c r="F102" s="258">
        <f ca="1">SUMIFS('MFG COST SUMMARY'!$F$18:$F$130,'MFG COST SUMMARY'!$C$18:$C$130,$B102)</f>
        <v>37</v>
      </c>
      <c r="G102" s="257">
        <f t="shared" ca="1" si="15"/>
        <v>46.1343045034425</v>
      </c>
      <c r="H102" s="259">
        <f ca="1">SUMIFS('MFG COST SUMMARY'!$AT$18:$AT$130,'MFG COST SUMMARY'!$C$18:$C$130,$B102)</f>
        <v>1706.9692666273725</v>
      </c>
      <c r="I102" s="260">
        <f t="shared" ca="1" si="16"/>
        <v>37</v>
      </c>
      <c r="J102" s="260">
        <f t="shared" ca="1" si="17"/>
        <v>1706.9692666273725</v>
      </c>
      <c r="K102" s="27"/>
    </row>
    <row r="103" spans="1:11">
      <c r="A103" s="512">
        <f t="shared" si="9"/>
        <v>119</v>
      </c>
      <c r="B103" s="466" t="str" cm="2">
        <f t="array" aca="1" ref="B103" ca="1">INDIRECT("'MFG COST SUMMARY'!C" &amp; $A103)</f>
        <v>PSR0VH2F</v>
      </c>
      <c r="C103" s="257">
        <f ca="1">SUMIF(Rework!$A$7:$A$43,$B103,Rework!$F$7:$F$43)-SUMIF(Rework!$A$7:$A$43,$B103,Rework!$D$7:$D$43)</f>
        <v>0</v>
      </c>
      <c r="D103" s="257">
        <f t="shared" ca="1" si="14"/>
        <v>0</v>
      </c>
      <c r="E103" s="257">
        <f ca="1">SUMIF(Rework!$A$7:$A$43,$B103,Rework!$G$7:$G$43)-SUMIF(Rework!$A$7:$A$43,$B103,Rework!E$7:$E$43)</f>
        <v>0</v>
      </c>
      <c r="F103" s="258">
        <f ca="1">SUMIFS('MFG COST SUMMARY'!$F$18:$F$130,'MFG COST SUMMARY'!$C$18:$C$130,$B103)</f>
        <v>1875</v>
      </c>
      <c r="G103" s="257">
        <f t="shared" ca="1" si="15"/>
        <v>33.702738730850861</v>
      </c>
      <c r="H103" s="259">
        <f ca="1">SUMIFS('MFG COST SUMMARY'!$AT$18:$AT$130,'MFG COST SUMMARY'!$C$18:$C$130,$B103)</f>
        <v>63192.63512034536</v>
      </c>
      <c r="I103" s="260">
        <f t="shared" ca="1" si="16"/>
        <v>1875</v>
      </c>
      <c r="J103" s="260">
        <f t="shared" ca="1" si="17"/>
        <v>63192.63512034536</v>
      </c>
      <c r="K103" s="27"/>
    </row>
    <row r="104" spans="1:11">
      <c r="A104" s="512">
        <f t="shared" si="9"/>
        <v>120</v>
      </c>
      <c r="B104" s="466" t="str" cm="2">
        <f t="array" aca="1" ref="B104" ca="1">INDIRECT("'MFG COST SUMMARY'!C" &amp; $A104)</f>
        <v>PSR0VH3F</v>
      </c>
      <c r="C104" s="257">
        <f ca="1">SUMIF(Rework!$A$7:$A$43,$B104,Rework!$F$7:$F$43)-SUMIF(Rework!$A$7:$A$43,$B104,Rework!$D$7:$D$43)</f>
        <v>0</v>
      </c>
      <c r="D104" s="257">
        <f t="shared" ca="1" si="14"/>
        <v>0</v>
      </c>
      <c r="E104" s="257">
        <f ca="1">SUMIF(Rework!$A$7:$A$43,$B104,Rework!$G$7:$G$43)-SUMIF(Rework!$A$7:$A$43,$B104,Rework!E$7:$E$43)</f>
        <v>0</v>
      </c>
      <c r="F104" s="258">
        <f ca="1">SUMIFS('MFG COST SUMMARY'!$F$18:$F$130,'MFG COST SUMMARY'!$C$18:$C$130,$B104)</f>
        <v>5270</v>
      </c>
      <c r="G104" s="257">
        <f t="shared" ca="1" si="15"/>
        <v>33.310084613961152</v>
      </c>
      <c r="H104" s="259">
        <f ca="1">SUMIFS('MFG COST SUMMARY'!$AT$18:$AT$130,'MFG COST SUMMARY'!$C$18:$C$130,$B104)</f>
        <v>175544.14591557527</v>
      </c>
      <c r="I104" s="260">
        <f t="shared" ca="1" si="16"/>
        <v>5270</v>
      </c>
      <c r="J104" s="260">
        <f t="shared" ca="1" si="17"/>
        <v>175544.14591557527</v>
      </c>
      <c r="K104" s="27"/>
    </row>
    <row r="105" spans="1:11">
      <c r="A105" s="512">
        <f t="shared" si="9"/>
        <v>121</v>
      </c>
      <c r="B105" s="466" t="str" cm="2">
        <f t="array" aca="1" ref="B105" ca="1">INDIRECT("'MFG COST SUMMARY'!C" &amp; $A105)</f>
        <v>PSR0VH7F</v>
      </c>
      <c r="C105" s="257">
        <f ca="1">SUMIF(Rework!$A$7:$A$43,$B105,Rework!$F$7:$F$43)-SUMIF(Rework!$A$7:$A$43,$B105,Rework!$D$7:$D$43)</f>
        <v>0</v>
      </c>
      <c r="D105" s="257">
        <f t="shared" ca="1" si="14"/>
        <v>0</v>
      </c>
      <c r="E105" s="257">
        <f ca="1">SUMIF(Rework!$A$7:$A$43,$B105,Rework!$G$7:$G$43)-SUMIF(Rework!$A$7:$A$43,$B105,Rework!E$7:$E$43)</f>
        <v>0</v>
      </c>
      <c r="F105" s="258">
        <f ca="1">SUMIFS('MFG COST SUMMARY'!$F$18:$F$130,'MFG COST SUMMARY'!$C$18:$C$130,$B105)</f>
        <v>32</v>
      </c>
      <c r="G105" s="257">
        <f t="shared" ca="1" si="15"/>
        <v>50.178870595876454</v>
      </c>
      <c r="H105" s="259">
        <f ca="1">SUMIFS('MFG COST SUMMARY'!$AT$18:$AT$130,'MFG COST SUMMARY'!$C$18:$C$130,$B105)</f>
        <v>1605.7238590680465</v>
      </c>
      <c r="I105" s="260">
        <f t="shared" ca="1" si="16"/>
        <v>32</v>
      </c>
      <c r="J105" s="260">
        <f t="shared" ca="1" si="17"/>
        <v>1605.7238590680465</v>
      </c>
      <c r="K105" s="27"/>
    </row>
    <row r="106" spans="1:11">
      <c r="A106" s="512">
        <f t="shared" si="9"/>
        <v>122</v>
      </c>
      <c r="B106" s="466" t="str" cm="2">
        <f t="array" aca="1" ref="B106" ca="1">INDIRECT("'MFG COST SUMMARY'!C" &amp; $A106)</f>
        <v>PSR0VH8F</v>
      </c>
      <c r="C106" s="257">
        <f ca="1">SUMIF(Rework!$A$7:$A$43,$B106,Rework!$F$7:$F$43)-SUMIF(Rework!$A$7:$A$43,$B106,Rework!$D$7:$D$43)</f>
        <v>0</v>
      </c>
      <c r="D106" s="257">
        <f t="shared" ca="1" si="14"/>
        <v>0</v>
      </c>
      <c r="E106" s="257">
        <f ca="1">SUMIF(Rework!$A$7:$A$43,$B106,Rework!$G$7:$G$43)-SUMIF(Rework!$A$7:$A$43,$B106,Rework!E$7:$E$43)</f>
        <v>0</v>
      </c>
      <c r="F106" s="258">
        <f ca="1">SUMIFS('MFG COST SUMMARY'!$F$18:$F$130,'MFG COST SUMMARY'!$C$18:$C$130,$B106)</f>
        <v>3112</v>
      </c>
      <c r="G106" s="470">
        <f t="shared" ca="1" si="15"/>
        <v>40.756169962259044</v>
      </c>
      <c r="H106" s="259">
        <f ca="1">SUMIFS('MFG COST SUMMARY'!$AT$18:$AT$130,'MFG COST SUMMARY'!$C$18:$C$130,$B106)</f>
        <v>126833.20092255015</v>
      </c>
      <c r="I106" s="260">
        <f t="shared" ca="1" si="16"/>
        <v>3112</v>
      </c>
      <c r="J106" s="260">
        <f t="shared" ca="1" si="17"/>
        <v>126833.20092255015</v>
      </c>
      <c r="K106" s="27"/>
    </row>
    <row r="107" spans="1:11">
      <c r="A107" s="512">
        <f t="shared" si="9"/>
        <v>123</v>
      </c>
      <c r="B107" s="466" t="str" cm="2">
        <f t="array" aca="1" ref="B107" ca="1">INDIRECT("'MFG COST SUMMARY'!C" &amp; $A107)</f>
        <v>PSR0VJ6F</v>
      </c>
      <c r="C107" s="257">
        <f ca="1">SUMIF(Rework!$A$7:$A$43,$B107,Rework!$F$7:$F$43)-SUMIF(Rework!$A$7:$A$43,$B107,Rework!$D$7:$D$43)</f>
        <v>0</v>
      </c>
      <c r="D107" s="257">
        <f t="shared" ca="1" si="14"/>
        <v>0</v>
      </c>
      <c r="E107" s="257">
        <f ca="1">SUMIF(Rework!$A$7:$A$43,$B107,Rework!$G$7:$G$43)-SUMIF(Rework!$A$7:$A$43,$B107,Rework!E$7:$E$43)</f>
        <v>0</v>
      </c>
      <c r="F107" s="258">
        <f ca="1">SUMIFS('MFG COST SUMMARY'!$F$18:$F$130,'MFG COST SUMMARY'!$C$18:$C$130,$B107)</f>
        <v>6</v>
      </c>
      <c r="G107" s="470">
        <f t="shared" ca="1" si="15"/>
        <v>30.170496338534463</v>
      </c>
      <c r="H107" s="259">
        <f ca="1">SUMIFS('MFG COST SUMMARY'!$AT$18:$AT$130,'MFG COST SUMMARY'!$C$18:$C$130,$B107)</f>
        <v>181.02297803120678</v>
      </c>
      <c r="I107" s="260">
        <f t="shared" ca="1" si="16"/>
        <v>6</v>
      </c>
      <c r="J107" s="260">
        <f t="shared" ca="1" si="17"/>
        <v>181.02297803120678</v>
      </c>
      <c r="K107" s="27"/>
    </row>
    <row r="108" spans="1:11">
      <c r="A108" s="512">
        <f t="shared" si="9"/>
        <v>124</v>
      </c>
      <c r="B108" s="466" t="str" cm="2">
        <f t="array" aca="1" ref="B108" ca="1">INDIRECT("'MFG COST SUMMARY'!C" &amp; $A108)</f>
        <v>PSR0VJ7F</v>
      </c>
      <c r="C108" s="257">
        <f ca="1">SUMIF(Rework!$A$7:$A$43,$B108,Rework!$F$7:$F$43)-SUMIF(Rework!$A$7:$A$43,$B108,Rework!$D$7:$D$43)</f>
        <v>0</v>
      </c>
      <c r="D108" s="257">
        <f t="shared" ca="1" si="14"/>
        <v>0</v>
      </c>
      <c r="E108" s="257">
        <f ca="1">SUMIF(Rework!$A$7:$A$43,$B108,Rework!$G$7:$G$43)-SUMIF(Rework!$A$7:$A$43,$B108,Rework!E$7:$E$43)</f>
        <v>0</v>
      </c>
      <c r="F108" s="258">
        <f ca="1">SUMIFS('MFG COST SUMMARY'!$F$18:$F$130,'MFG COST SUMMARY'!$C$18:$C$130,$B108)</f>
        <v>4223</v>
      </c>
      <c r="G108" s="257">
        <f t="shared" ca="1" si="15"/>
        <v>29.625515382149473</v>
      </c>
      <c r="H108" s="259">
        <f ca="1">SUMIFS('MFG COST SUMMARY'!$AT$18:$AT$130,'MFG COST SUMMARY'!$C$18:$C$130,$B108)</f>
        <v>125108.55145881722</v>
      </c>
      <c r="I108" s="260">
        <f t="shared" ca="1" si="16"/>
        <v>4223</v>
      </c>
      <c r="J108" s="260">
        <f t="shared" ca="1" si="17"/>
        <v>125108.55145881722</v>
      </c>
      <c r="K108" s="27"/>
    </row>
    <row r="109" spans="1:11">
      <c r="A109" s="512">
        <f t="shared" si="9"/>
        <v>125</v>
      </c>
      <c r="B109" s="466" t="str" cm="2">
        <f t="array" aca="1" ref="B109" ca="1">INDIRECT("'MFG COST SUMMARY'!C" &amp; $A109)</f>
        <v>PSR0VJ8F</v>
      </c>
      <c r="C109" s="257">
        <f ca="1">SUMIF(Rework!$A$7:$A$43,$B109,Rework!$F$7:$F$43)-SUMIF(Rework!$A$7:$A$43,$B109,Rework!$D$7:$D$43)</f>
        <v>0</v>
      </c>
      <c r="D109" s="257">
        <f t="shared" ca="1" si="14"/>
        <v>0</v>
      </c>
      <c r="E109" s="257">
        <f ca="1">SUMIF(Rework!$A$7:$A$43,$B109,Rework!$G$7:$G$43)-SUMIF(Rework!$A$7:$A$43,$B109,Rework!E$7:$E$43)</f>
        <v>0</v>
      </c>
      <c r="F109" s="258">
        <f ca="1">SUMIFS('MFG COST SUMMARY'!$F$18:$F$130,'MFG COST SUMMARY'!$C$18:$C$130,$B109)</f>
        <v>3071</v>
      </c>
      <c r="G109" s="257">
        <f t="shared" ca="1" si="15"/>
        <v>28.640896466349766</v>
      </c>
      <c r="H109" s="259">
        <f ca="1">SUMIFS('MFG COST SUMMARY'!$AT$18:$AT$130,'MFG COST SUMMARY'!$C$18:$C$130,$B109)</f>
        <v>87956.19304816013</v>
      </c>
      <c r="I109" s="260">
        <f t="shared" ca="1" si="16"/>
        <v>3071</v>
      </c>
      <c r="J109" s="260">
        <f t="shared" ca="1" si="17"/>
        <v>87956.19304816013</v>
      </c>
      <c r="K109" s="27"/>
    </row>
    <row r="110" spans="1:11">
      <c r="A110" s="512">
        <f t="shared" si="9"/>
        <v>126</v>
      </c>
      <c r="B110" s="466" t="str" cm="2">
        <f t="array" aca="1" ref="B110" ca="1">INDIRECT("'MFG COST SUMMARY'!C" &amp; $A110)</f>
        <v>PSR0V146</v>
      </c>
      <c r="C110" s="257">
        <f ca="1">SUMIF(Rework!$A$7:$A$43,$B110,Rework!$F$7:$F$43)-SUMIF(Rework!$A$7:$A$43,$B110,Rework!$D$7:$D$43)</f>
        <v>0</v>
      </c>
      <c r="D110" s="257">
        <f t="shared" ref="D110:D113" ca="1" si="18">+IFERROR(E110/C110,0)</f>
        <v>0</v>
      </c>
      <c r="E110" s="257">
        <f ca="1">SUMIF(Rework!$A$7:$A$43,$B110,Rework!$G$7:$G$43)-SUMIF(Rework!$A$7:$A$43,$B110,Rework!E$7:$E$43)</f>
        <v>0</v>
      </c>
      <c r="F110" s="258">
        <f ca="1">SUMIFS('MFG COST SUMMARY'!$F$18:$F$130,'MFG COST SUMMARY'!$C$18:$C$130,$B110)</f>
        <v>1</v>
      </c>
      <c r="G110" s="470">
        <f t="shared" ref="G110:G113" ca="1" si="19">IFERROR(H110/F110,0)</f>
        <v>34.75474196473278</v>
      </c>
      <c r="H110" s="259">
        <f ca="1">SUMIFS('MFG COST SUMMARY'!$AT$18:$AT$130,'MFG COST SUMMARY'!$C$18:$C$130,$B110)</f>
        <v>34.75474196473278</v>
      </c>
      <c r="I110" s="260">
        <f t="shared" ref="I110:I113" ca="1" si="20">+F110+C110</f>
        <v>1</v>
      </c>
      <c r="J110" s="260">
        <f t="shared" ref="J110:J113" ca="1" si="21">+H110+E110</f>
        <v>34.75474196473278</v>
      </c>
      <c r="K110" s="27"/>
    </row>
    <row r="111" spans="1:11">
      <c r="A111" s="512">
        <f t="shared" si="9"/>
        <v>127</v>
      </c>
      <c r="B111" s="466" t="str" cm="2">
        <f t="array" aca="1" ref="B111" ca="1">INDIRECT("'MFG COST SUMMARY'!C" &amp; $A111)</f>
        <v>PSR0V215</v>
      </c>
      <c r="C111" s="257">
        <f ca="1">SUMIF(Rework!$A$7:$A$43,$B111,Rework!$F$7:$F$43)-SUMIF(Rework!$A$7:$A$43,$B111,Rework!$D$7:$D$43)</f>
        <v>0</v>
      </c>
      <c r="D111" s="257">
        <f t="shared" ca="1" si="18"/>
        <v>0</v>
      </c>
      <c r="E111" s="257">
        <f ca="1">SUMIF(Rework!$A$7:$A$43,$B111,Rework!$G$7:$G$43)-SUMIF(Rework!$A$7:$A$43,$B111,Rework!E$7:$E$43)</f>
        <v>0</v>
      </c>
      <c r="F111" s="258">
        <f ca="1">SUMIFS('MFG COST SUMMARY'!$F$18:$F$130,'MFG COST SUMMARY'!$C$18:$C$130,$B111)</f>
        <v>89</v>
      </c>
      <c r="G111" s="470">
        <f t="shared" ca="1" si="19"/>
        <v>57.655478867024478</v>
      </c>
      <c r="H111" s="259">
        <f ca="1">SUMIFS('MFG COST SUMMARY'!$AT$18:$AT$130,'MFG COST SUMMARY'!$C$18:$C$130,$B111)</f>
        <v>5131.3376191651787</v>
      </c>
      <c r="I111" s="260">
        <f t="shared" ca="1" si="20"/>
        <v>89</v>
      </c>
      <c r="J111" s="260">
        <f t="shared" ca="1" si="21"/>
        <v>5131.3376191651787</v>
      </c>
      <c r="K111" s="27"/>
    </row>
    <row r="112" spans="1:11">
      <c r="A112" s="512">
        <f t="shared" si="9"/>
        <v>128</v>
      </c>
      <c r="B112" s="466" t="str" cm="2">
        <f t="array" aca="1" ref="B112" ca="1">INDIRECT("'MFG COST SUMMARY'!C" &amp; $A112)</f>
        <v>PSR0VG6F</v>
      </c>
      <c r="C112" s="257">
        <f ca="1">SUMIF(Rework!$A$7:$A$43,$B112,Rework!$F$7:$F$43)-SUMIF(Rework!$A$7:$A$43,$B112,Rework!$D$7:$D$43)</f>
        <v>0</v>
      </c>
      <c r="D112" s="257">
        <f t="shared" ca="1" si="18"/>
        <v>0</v>
      </c>
      <c r="E112" s="257">
        <f ca="1">SUMIF(Rework!$A$7:$A$43,$B112,Rework!$G$7:$G$43)-SUMIF(Rework!$A$7:$A$43,$B112,Rework!E$7:$E$43)</f>
        <v>0</v>
      </c>
      <c r="F112" s="258">
        <f ca="1">SUMIFS('MFG COST SUMMARY'!$F$18:$F$130,'MFG COST SUMMARY'!$C$18:$C$130,$B112)</f>
        <v>94</v>
      </c>
      <c r="G112" s="257">
        <f t="shared" ca="1" si="19"/>
        <v>40.950220251826366</v>
      </c>
      <c r="H112" s="259">
        <f ca="1">SUMIFS('MFG COST SUMMARY'!$AT$18:$AT$130,'MFG COST SUMMARY'!$C$18:$C$130,$B112)</f>
        <v>3849.3207036716781</v>
      </c>
      <c r="I112" s="260">
        <f t="shared" ca="1" si="20"/>
        <v>94</v>
      </c>
      <c r="J112" s="260">
        <f t="shared" ca="1" si="21"/>
        <v>3849.3207036716781</v>
      </c>
      <c r="K112" s="27"/>
    </row>
    <row r="113" spans="1:11">
      <c r="A113" s="512">
        <f t="shared" si="9"/>
        <v>129</v>
      </c>
      <c r="B113" s="466" t="str" cm="2">
        <f t="array" aca="1" ref="B113" ca="1">INDIRECT("'MFG COST SUMMARY'!C" &amp; $A113)</f>
        <v>PSR0VH9F</v>
      </c>
      <c r="C113" s="257">
        <f ca="1">SUMIF(Rework!$A$7:$A$43,$B113,Rework!$F$7:$F$43)-SUMIF(Rework!$A$7:$A$43,$B113,Rework!$D$7:$D$43)</f>
        <v>0</v>
      </c>
      <c r="D113" s="257">
        <f t="shared" ca="1" si="18"/>
        <v>0</v>
      </c>
      <c r="E113" s="257">
        <f ca="1">SUMIF(Rework!$A$7:$A$43,$B113,Rework!$G$7:$G$43)-SUMIF(Rework!$A$7:$A$43,$B113,Rework!E$7:$E$43)</f>
        <v>0</v>
      </c>
      <c r="F113" s="258">
        <f ca="1">SUMIFS('MFG COST SUMMARY'!$F$18:$F$130,'MFG COST SUMMARY'!$C$18:$C$130,$B113)</f>
        <v>3142</v>
      </c>
      <c r="G113" s="257">
        <f t="shared" ca="1" si="19"/>
        <v>38.064613017233157</v>
      </c>
      <c r="H113" s="259">
        <f ca="1">SUMIFS('MFG COST SUMMARY'!$AT$18:$AT$130,'MFG COST SUMMARY'!$C$18:$C$130,$B113)</f>
        <v>119599.01410014658</v>
      </c>
      <c r="I113" s="260">
        <f t="shared" ca="1" si="20"/>
        <v>3142</v>
      </c>
      <c r="J113" s="260">
        <f t="shared" ca="1" si="21"/>
        <v>119599.01410014658</v>
      </c>
      <c r="K113" s="27"/>
    </row>
    <row r="114" spans="1:11">
      <c r="A114" s="512" t="s">
        <v>1679</v>
      </c>
      <c r="B114" s="517" t="s">
        <v>563</v>
      </c>
      <c r="C114" s="257">
        <f>SUMIF(Rework!$A$7:$A$43,$B114,Rework!$F$7:$F$43)-SUMIF(Rework!$A$7:$A$43,$B114,Rework!$D$7:$D$43)</f>
        <v>-7</v>
      </c>
      <c r="D114" s="257">
        <f t="shared" si="10"/>
        <v>45.99</v>
      </c>
      <c r="E114" s="257">
        <f>SUMIF(Rework!$A$7:$A$43,$B114,Rework!$G$7:$G$43)-SUMIF(Rework!$A$7:$A$43,$B114,Rework!E$7:$E$43)</f>
        <v>-321.93</v>
      </c>
      <c r="F114" s="258">
        <f>SUMIFS('MFG COST SUMMARY'!$F$18:$F$130,'MFG COST SUMMARY'!$C$18:$C$130,$B114)</f>
        <v>0</v>
      </c>
      <c r="G114" s="257">
        <f t="shared" si="11"/>
        <v>0</v>
      </c>
      <c r="H114" s="259">
        <f>SUMIFS('MFG COST SUMMARY'!$AT$18:$AT$130,'MFG COST SUMMARY'!$C$18:$C$130,$B114)</f>
        <v>0</v>
      </c>
      <c r="I114" s="260">
        <f t="shared" si="12"/>
        <v>-7</v>
      </c>
      <c r="J114" s="260">
        <f t="shared" si="13"/>
        <v>-321.93</v>
      </c>
      <c r="K114" s="27"/>
    </row>
    <row r="115" spans="1:11">
      <c r="A115" s="512" t="s">
        <v>1679</v>
      </c>
      <c r="B115" s="517" t="s">
        <v>284</v>
      </c>
      <c r="C115" s="257">
        <f>SUMIF(Rework!$A$7:$A$43,$B115,Rework!$F$7:$F$43)-SUMIF(Rework!$A$7:$A$43,$B115,Rework!$D$7:$D$43)</f>
        <v>-1</v>
      </c>
      <c r="D115" s="257">
        <f t="shared" si="10"/>
        <v>45.46</v>
      </c>
      <c r="E115" s="257">
        <f>SUMIF(Rework!$A$7:$A$43,$B115,Rework!$G$7:$G$43)-SUMIF(Rework!$A$7:$A$43,$B115,Rework!E$7:$E$43)</f>
        <v>-45.46</v>
      </c>
      <c r="F115" s="258">
        <f>SUMIFS('MFG COST SUMMARY'!$F$18:$F$130,'MFG COST SUMMARY'!$C$18:$C$130,$B115)</f>
        <v>0</v>
      </c>
      <c r="G115" s="257">
        <f t="shared" si="11"/>
        <v>0</v>
      </c>
      <c r="H115" s="259">
        <f>SUMIFS('MFG COST SUMMARY'!$AT$18:$AT$130,'MFG COST SUMMARY'!$C$18:$C$130,$B115)</f>
        <v>0</v>
      </c>
      <c r="I115" s="260">
        <f t="shared" si="12"/>
        <v>-1</v>
      </c>
      <c r="J115" s="260">
        <f t="shared" si="13"/>
        <v>-45.46</v>
      </c>
      <c r="K115" s="27"/>
    </row>
    <row r="116" spans="1:11">
      <c r="A116" s="512" t="s">
        <v>1679</v>
      </c>
      <c r="B116" s="517" t="s">
        <v>478</v>
      </c>
      <c r="C116" s="257">
        <f>SUMIF(Rework!$A$7:$A$43,$B116,Rework!$F$7:$F$43)-SUMIF(Rework!$A$7:$A$43,$B116,Rework!$D$7:$D$43)</f>
        <v>-4</v>
      </c>
      <c r="D116" s="257">
        <f t="shared" si="10"/>
        <v>52.5</v>
      </c>
      <c r="E116" s="257">
        <f>SUMIF(Rework!$A$7:$A$43,$B116,Rework!$G$7:$G$43)-SUMIF(Rework!$A$7:$A$43,$B116,Rework!E$7:$E$43)</f>
        <v>-210</v>
      </c>
      <c r="F116" s="258">
        <f>SUMIFS('MFG COST SUMMARY'!$F$18:$F$130,'MFG COST SUMMARY'!$C$18:$C$130,$B116)</f>
        <v>0</v>
      </c>
      <c r="G116" s="257">
        <f t="shared" ref="G116:G118" si="22">IFERROR(H116/F116,0)</f>
        <v>0</v>
      </c>
      <c r="H116" s="259">
        <f>SUMIFS('MFG COST SUMMARY'!$AT$18:$AT$130,'MFG COST SUMMARY'!$C$18:$C$130,$B116)</f>
        <v>0</v>
      </c>
      <c r="I116" s="260">
        <f t="shared" ref="I116:I118" si="23">+F116+C116</f>
        <v>-4</v>
      </c>
      <c r="J116" s="260">
        <f t="shared" ref="J116:J118" si="24">+H116+E116</f>
        <v>-210</v>
      </c>
      <c r="K116" s="27"/>
    </row>
    <row r="117" spans="1:11">
      <c r="A117" s="512" t="s">
        <v>1035</v>
      </c>
      <c r="B117" s="466" t="s">
        <v>402</v>
      </c>
      <c r="C117" s="257">
        <f>SUMIF(Rework!$A$7:$A$43,$B117,Rework!$F$7:$F$43)-SUMIF(Rework!$A$7:$A$43,$B117,Rework!$D$7:$D$43)</f>
        <v>3</v>
      </c>
      <c r="D117" s="257">
        <f t="shared" si="10"/>
        <v>34.69</v>
      </c>
      <c r="E117" s="257">
        <f>SUMIF(Rework!$A$7:$A$43,$B117,Rework!$G$7:$G$43)-SUMIF(Rework!$A$7:$A$43,$B117,Rework!E$7:$E$43)</f>
        <v>104.07</v>
      </c>
      <c r="F117" s="258">
        <f>SUMIFS('MFG COST SUMMARY'!$F$18:$F$130,'MFG COST SUMMARY'!$C$18:$C$130,$B117)</f>
        <v>0</v>
      </c>
      <c r="G117" s="257">
        <f t="shared" si="22"/>
        <v>0</v>
      </c>
      <c r="H117" s="259">
        <f>SUMIFS('MFG COST SUMMARY'!$AT$18:$AT$130,'MFG COST SUMMARY'!$C$18:$C$130,$B117)</f>
        <v>0</v>
      </c>
      <c r="I117" s="260">
        <f t="shared" si="23"/>
        <v>3</v>
      </c>
      <c r="J117" s="260">
        <f t="shared" si="24"/>
        <v>104.07</v>
      </c>
      <c r="K117" s="27"/>
    </row>
    <row r="118" spans="1:11">
      <c r="A118" s="512" t="s">
        <v>1035</v>
      </c>
      <c r="B118" s="466" t="s">
        <v>429</v>
      </c>
      <c r="C118" s="257">
        <f>SUMIF(Rework!$A$7:$A$43,$B118,Rework!$F$7:$F$43)-SUMIF(Rework!$A$7:$A$43,$B118,Rework!$D$7:$D$43)</f>
        <v>3</v>
      </c>
      <c r="D118" s="257">
        <f t="shared" si="10"/>
        <v>28.428333333333331</v>
      </c>
      <c r="E118" s="257">
        <f>SUMIF(Rework!$A$7:$A$43,$B118,Rework!$G$7:$G$43)-SUMIF(Rework!$A$7:$A$43,$B118,Rework!E$7:$E$43)</f>
        <v>85.284999999999997</v>
      </c>
      <c r="F118" s="258">
        <f>SUMIFS('MFG COST SUMMARY'!$F$18:$F$130,'MFG COST SUMMARY'!$C$18:$C$130,$B118)</f>
        <v>0</v>
      </c>
      <c r="G118" s="257">
        <f t="shared" si="22"/>
        <v>0</v>
      </c>
      <c r="H118" s="259">
        <f>SUMIFS('MFG COST SUMMARY'!$AT$18:$AT$130,'MFG COST SUMMARY'!$C$18:$C$130,$B118)</f>
        <v>0</v>
      </c>
      <c r="I118" s="260">
        <f t="shared" si="23"/>
        <v>3</v>
      </c>
      <c r="J118" s="260">
        <f t="shared" si="24"/>
        <v>85.284999999999997</v>
      </c>
      <c r="K118" s="27"/>
    </row>
    <row r="119" spans="1:11">
      <c r="B119" s="507" t="s">
        <v>4</v>
      </c>
      <c r="C119" s="471">
        <f ca="1">SUM(C3:C118)</f>
        <v>-1</v>
      </c>
      <c r="D119" s="471"/>
      <c r="E119" s="471">
        <f ca="1">SUM(E3:E118)</f>
        <v>-234.46500000000006</v>
      </c>
      <c r="F119" s="472">
        <f ca="1">SUM(F3:F118)</f>
        <v>201209</v>
      </c>
      <c r="G119" s="471"/>
      <c r="H119" s="471">
        <f ca="1">SUM(H3:H118)</f>
        <v>6065627.1967274211</v>
      </c>
      <c r="I119" s="473">
        <f ca="1">SUM(I3:I118)</f>
        <v>201208</v>
      </c>
      <c r="J119" s="473">
        <f ca="1">SUM(J3:J118)</f>
        <v>6065392.7317274222</v>
      </c>
    </row>
    <row r="121" spans="1:11">
      <c r="B121" s="505" t="s">
        <v>1087</v>
      </c>
      <c r="F121" s="506">
        <f ca="1">F119-'MFG COST SUMMARY'!F130</f>
        <v>0</v>
      </c>
      <c r="H121" s="506">
        <f ca="1">+H119-'MFG COST SUMMARY'!F11</f>
        <v>0</v>
      </c>
    </row>
    <row r="122" spans="1:11">
      <c r="C122"/>
      <c r="D122"/>
    </row>
    <row r="123" spans="1:11">
      <c r="C123"/>
      <c r="D123"/>
    </row>
    <row r="124" spans="1:11">
      <c r="C124"/>
      <c r="D124"/>
      <c r="F124" s="262"/>
    </row>
    <row r="125" spans="1:11">
      <c r="C125"/>
      <c r="D125"/>
      <c r="F125" s="262"/>
    </row>
    <row r="126" spans="1:11">
      <c r="C126"/>
      <c r="D126"/>
      <c r="F126" s="262"/>
    </row>
    <row r="127" spans="1:11">
      <c r="C127"/>
      <c r="D127"/>
      <c r="F127" s="262"/>
    </row>
  </sheetData>
  <autoFilter ref="A2:K119" xr:uid="{00000000-0001-0000-1400-000000000000}"/>
  <customSheetViews>
    <customSheetView guid="{E6B00A95-BB65-4FB5-9392-F4C9A9557C0E}" showAutoFilter="1">
      <pane xSplit="3" ySplit="1" topLeftCell="D99" activePane="bottomRight" state="frozen"/>
      <selection pane="bottomRight" activeCell="D104" sqref="D104"/>
      <pageMargins left="0.7" right="0.7" top="0.75" bottom="0.75" header="0.3" footer="0.3"/>
      <pageSetup paperSize="9" orientation="portrait" horizontalDpi="300" verticalDpi="300" r:id="rId1"/>
      <autoFilter ref="A1:O111" xr:uid="{8718D9DA-A7BD-4CB0-8B59-13FB632EC7B2}"/>
    </customSheetView>
    <customSheetView guid="{F2A3B428-09FA-4094-83F2-D6076B6D1BAF}" showAutoFilter="1">
      <selection activeCell="G7" sqref="G7"/>
      <pageMargins left="0.7" right="0.7" top="0.75" bottom="0.75" header="0.3" footer="0.3"/>
      <pageSetup paperSize="9" orientation="portrait" horizontalDpi="300" verticalDpi="300" r:id="rId2"/>
      <autoFilter ref="A1:O56" xr:uid="{C322F3C6-6B8B-4788-BB67-81DF5105CEA7}"/>
    </customSheetView>
    <customSheetView guid="{E3F778A0-8637-4650-AED3-4EC5B694D9F0}" showAutoFilter="1">
      <selection activeCell="G7" sqref="G7"/>
      <pageMargins left="0.7" right="0.7" top="0.75" bottom="0.75" header="0.3" footer="0.3"/>
      <pageSetup paperSize="9" orientation="portrait" horizontalDpi="300" verticalDpi="300" r:id="rId3"/>
      <autoFilter ref="A1:O1" xr:uid="{CA6C6734-BDA7-4031-811F-F8DD19319EDD}"/>
    </customSheetView>
  </customSheetViews>
  <conditionalFormatting sqref="B1:B1048576">
    <cfRule type="duplicateValues" dxfId="3" priority="229"/>
  </conditionalFormatting>
  <conditionalFormatting sqref="B3:B118">
    <cfRule type="duplicateValues" dxfId="2" priority="306"/>
  </conditionalFormatting>
  <conditionalFormatting sqref="B128:B1048576 B2:B121">
    <cfRule type="duplicateValues" dxfId="1" priority="175"/>
  </conditionalFormatting>
  <conditionalFormatting sqref="B128:B1048576">
    <cfRule type="duplicateValues" dxfId="0" priority="170"/>
  </conditionalFormatting>
  <pageMargins left="0.7" right="0.7" top="0.75" bottom="0.75" header="0.3" footer="0.3"/>
  <pageSetup paperSize="9" orientation="portrait" horizontalDpi="300" verticalDpi="300" r:id="rId4"/>
  <customProperties>
    <customPr name="_pios_id" r:id="rId5"/>
  </customPropertie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D8CD-F68E-451C-8921-C574B107B068}">
  <sheetPr codeName="Sheet8"/>
  <dimension ref="B1:D22"/>
  <sheetViews>
    <sheetView showGridLines="0" workbookViewId="0">
      <selection activeCell="H17" sqref="H17"/>
    </sheetView>
  </sheetViews>
  <sheetFormatPr defaultRowHeight="15"/>
  <cols>
    <col min="1" max="1" width="1.7109375" style="362" customWidth="1"/>
    <col min="2" max="2" width="26.140625" style="362" customWidth="1"/>
    <col min="3" max="4" width="17.140625" style="362" customWidth="1"/>
    <col min="5" max="16384" width="9.140625" style="362"/>
  </cols>
  <sheetData>
    <row r="1" spans="2:4" ht="18">
      <c r="B1" s="501" t="s">
        <v>1081</v>
      </c>
    </row>
    <row r="3" spans="2:4">
      <c r="B3" s="362" t="s">
        <v>1082</v>
      </c>
      <c r="C3" s="502"/>
    </row>
    <row r="5" spans="2:4">
      <c r="B5" s="437" t="s">
        <v>988</v>
      </c>
      <c r="C5" s="437" t="s">
        <v>990</v>
      </c>
      <c r="D5" s="437" t="s">
        <v>989</v>
      </c>
    </row>
    <row r="6" spans="2:4">
      <c r="B6" s="460" t="s">
        <v>1000</v>
      </c>
      <c r="C6" s="457">
        <v>20.100000000000001</v>
      </c>
      <c r="D6" s="442">
        <f>C6</f>
        <v>20.100000000000001</v>
      </c>
    </row>
    <row r="7" spans="2:4">
      <c r="B7" s="438" t="s">
        <v>1001</v>
      </c>
      <c r="C7" s="439">
        <f>ProductionVolume</f>
        <v>201209</v>
      </c>
      <c r="D7" s="439">
        <f>ProductionVolume</f>
        <v>201209</v>
      </c>
    </row>
    <row r="8" spans="2:4">
      <c r="B8" s="440" t="s">
        <v>749</v>
      </c>
      <c r="C8" s="441">
        <f>ProductionRRT</f>
        <v>688.04534899999976</v>
      </c>
      <c r="D8" s="441">
        <f>ProductionRRT</f>
        <v>688.04534899999976</v>
      </c>
    </row>
    <row r="9" spans="2:4">
      <c r="B9" s="443" t="s">
        <v>999</v>
      </c>
      <c r="C9" s="444">
        <f>'MFG COST SUMMARY'!F5</f>
        <v>2731957.4767274256</v>
      </c>
      <c r="D9" s="444">
        <f t="shared" ref="D9:D15" si="0">C9/1000</f>
        <v>2731.9574767274257</v>
      </c>
    </row>
    <row r="10" spans="2:4">
      <c r="B10" s="445" t="s">
        <v>0</v>
      </c>
      <c r="C10" s="446">
        <f ca="1">SUMIF('FACTORY COST'!$B$8:$B$83,$B10,'FACTORY COST'!$U$8:$U$83)</f>
        <v>1009924.7699999997</v>
      </c>
      <c r="D10" s="446">
        <f t="shared" ca="1" si="0"/>
        <v>1009.9247699999996</v>
      </c>
    </row>
    <row r="11" spans="2:4">
      <c r="B11" s="447" t="s">
        <v>9</v>
      </c>
      <c r="C11" s="448">
        <f ca="1">SUMIF('FACTORY COST'!$B$8:$B$83,$B11,'FACTORY COST'!$U$8:$U$83)</f>
        <v>106802.88999999998</v>
      </c>
      <c r="D11" s="448">
        <f t="shared" ca="1" si="0"/>
        <v>106.80288999999999</v>
      </c>
    </row>
    <row r="12" spans="2:4">
      <c r="B12" s="447" t="s">
        <v>10</v>
      </c>
      <c r="C12" s="448">
        <f ca="1">SUMIF('FACTORY COST'!$B$8:$B$83,$B12,'FACTORY COST'!$U$8:$U$83)</f>
        <v>265103.09999999998</v>
      </c>
      <c r="D12" s="448">
        <f t="shared" ca="1" si="0"/>
        <v>265.10309999999998</v>
      </c>
    </row>
    <row r="13" spans="2:4">
      <c r="B13" s="447" t="s">
        <v>1</v>
      </c>
      <c r="C13" s="448">
        <f ca="1">SUMIF('FACTORY COST'!$B$8:$B$83,$B13,'FACTORY COST'!$U$8:$U$83)</f>
        <v>236984.95</v>
      </c>
      <c r="D13" s="448">
        <f t="shared" ca="1" si="0"/>
        <v>236.98495</v>
      </c>
    </row>
    <row r="14" spans="2:4">
      <c r="B14" s="447" t="s">
        <v>2</v>
      </c>
      <c r="C14" s="448">
        <f ca="1">SUMIF('FACTORY COST'!$B$8:$B$83,$B14,'FACTORY COST'!$U$8:$U$83)</f>
        <v>1391340.8599999999</v>
      </c>
      <c r="D14" s="448">
        <f t="shared" ca="1" si="0"/>
        <v>1391.3408599999998</v>
      </c>
    </row>
    <row r="15" spans="2:4">
      <c r="B15" s="449" t="s">
        <v>12</v>
      </c>
      <c r="C15" s="450">
        <f ca="1">SUMIF('FACTORY COST'!$B$8:$B$83,$B15,'FACTORY COST'!$U$8:$U$83)</f>
        <v>224399.12</v>
      </c>
      <c r="D15" s="450">
        <f t="shared" ca="1" si="0"/>
        <v>224.39911999999998</v>
      </c>
    </row>
    <row r="16" spans="2:4">
      <c r="B16" s="451" t="s">
        <v>986</v>
      </c>
      <c r="C16" s="452">
        <f ca="1">SUBTOTAL(9,C10:C15)</f>
        <v>3234555.6899999995</v>
      </c>
      <c r="D16" s="452">
        <f ca="1">SUBTOTAL(9,D10:D15)</f>
        <v>3234.5556899999992</v>
      </c>
    </row>
    <row r="17" spans="2:4">
      <c r="B17" s="459" t="s">
        <v>3</v>
      </c>
      <c r="C17" s="494">
        <v>38553.24</v>
      </c>
      <c r="D17" s="453">
        <f>C17/1000</f>
        <v>38.553239999999995</v>
      </c>
    </row>
    <row r="18" spans="2:4">
      <c r="B18" s="458" t="s">
        <v>772</v>
      </c>
      <c r="C18" s="495">
        <v>60560.79</v>
      </c>
      <c r="D18" s="454">
        <f>C18/1000</f>
        <v>60.560790000000004</v>
      </c>
    </row>
    <row r="19" spans="2:4">
      <c r="B19" s="443" t="s">
        <v>998</v>
      </c>
      <c r="C19" s="444">
        <f ca="1">SUMIF('FACTORY COST'!$B$8:$B$83,"Scrap Cost",'FACTORY COST'!$U$8:$U$83)</f>
        <v>99114.03</v>
      </c>
      <c r="D19" s="444">
        <f ca="1">C19/1000</f>
        <v>99.11403</v>
      </c>
    </row>
    <row r="20" spans="2:4">
      <c r="B20" s="455" t="s">
        <v>987</v>
      </c>
      <c r="C20" s="456">
        <f ca="1">SUM(C9,C16,C19)</f>
        <v>6065627.1967274258</v>
      </c>
      <c r="D20" s="456">
        <f ca="1">SUM(D9,D16,D19)</f>
        <v>6065.6271967274251</v>
      </c>
    </row>
    <row r="21" spans="2:4">
      <c r="B21" s="503" t="s">
        <v>1083</v>
      </c>
      <c r="C21" s="528">
        <f ca="1">C20-'MFG COST SUMMARY'!$F$11</f>
        <v>0</v>
      </c>
      <c r="D21" s="504" t="b">
        <f ca="1">D20='MFG COST SUMMARY'!$F$11/1000</f>
        <v>1</v>
      </c>
    </row>
    <row r="22" spans="2:4">
      <c r="B22" s="503" t="s">
        <v>1084</v>
      </c>
      <c r="C22" s="504" t="b">
        <f ca="1">C17+C18=C19</f>
        <v>1</v>
      </c>
      <c r="D22" s="504" t="b">
        <f ca="1">D17+D18=D19</f>
        <v>1</v>
      </c>
    </row>
  </sheetData>
  <phoneticPr fontId="46" type="noConversion"/>
  <pageMargins left="0.7" right="0.7" top="0.75" bottom="0.75" header="0.3" footer="0.3"/>
  <customProperties>
    <customPr name="_pios_id" r:id="rId1"/>
    <customPr name="EpmWorksheetKeyString_GU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9DA683-4AC1-44C5-A9AA-2D6F1DE1A0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5</vt:i4>
      </vt:variant>
    </vt:vector>
  </HeadingPairs>
  <TitlesOfParts>
    <vt:vector size="30" baseType="lpstr">
      <vt:lpstr>Guideline</vt:lpstr>
      <vt:lpstr>Data</vt:lpstr>
      <vt:lpstr>STD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Tire Weight</vt:lpstr>
      <vt:lpstr>DM-Sum</vt:lpstr>
      <vt:lpstr>Rework</vt:lpstr>
      <vt:lpstr>Cured tire BSTVN</vt:lpstr>
      <vt:lpstr>Budget</vt:lpstr>
      <vt:lpstr>Result</vt:lpstr>
      <vt:lpstr>FACTORY COST</vt:lpstr>
      <vt:lpstr>MFG COST SUMMARY</vt:lpstr>
      <vt:lpstr>COGM upload</vt:lpstr>
      <vt:lpstr>Report</vt:lpstr>
      <vt:lpstr>CurMonth</vt:lpstr>
      <vt:lpstr>CurYear</vt:lpstr>
      <vt:lpstr>ProductionRRT</vt:lpstr>
      <vt:lpstr>ProductionVolume</vt:lpstr>
      <vt:lpstr>PrvMonthProductionRRT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Thu Huong</dc:creator>
  <cp:lastModifiedBy>Pham Thi Phuong Mai</cp:lastModifiedBy>
  <cp:lastPrinted>2023-05-09T10:23:40Z</cp:lastPrinted>
  <dcterms:created xsi:type="dcterms:W3CDTF">2014-05-14T12:28:46Z</dcterms:created>
  <dcterms:modified xsi:type="dcterms:W3CDTF">2024-03-01T10:01:52Z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