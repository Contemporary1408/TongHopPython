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2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\\10.118.29.7\BTMV-Data\4-ACCOUNTING\99.Personal files\Đức Anh\Contemporary's projects\"/>
    </mc:Choice>
  </mc:AlternateContent>
  <xr:revisionPtr revIDLastSave="0" documentId="13_ncr:1_{6C9EED03-5EFC-48DB-B474-C3430647F434}" xr6:coauthVersionLast="36" xr6:coauthVersionMax="36" xr10:uidLastSave="{00000000-0000-0000-0000-000000000000}"/>
  <bookViews>
    <workbookView xWindow="0" yWindow="0" windowWidth="20490" windowHeight="6645" tabRatio="591" activeTab="2" xr2:uid="{00000000-000D-0000-FFFF-FFFF00000000}"/>
  </bookViews>
  <sheets>
    <sheet name="DMDT" sheetId="1" r:id="rId1"/>
    <sheet name="Report" sheetId="2" r:id="rId2"/>
    <sheet name="Entries Register (AP) " sheetId="3" r:id="rId3"/>
    <sheet name="K.P.I_new" sheetId="10" r:id="rId4"/>
    <sheet name="Entries Register (JV)" sheetId="4" r:id="rId5"/>
    <sheet name="Entries Register (0S)" sheetId="5" r:id="rId6"/>
    <sheet name="Entries Register (AR)" sheetId="6" r:id="rId7"/>
    <sheet name="K.P.I" sheetId="7" r:id="rId8"/>
    <sheet name="Sheet1" sheetId="8" state="hidden" r:id="rId9"/>
  </sheets>
  <definedNames>
    <definedName name="_xlnm._FilterDatabase" localSheetId="0" hidden="1">DMDT!$A$4:$P$2055</definedName>
    <definedName name="_xlnm._FilterDatabase" localSheetId="2" hidden="1">'Entries Register (AP) '!$A$3:$T$801</definedName>
    <definedName name="DailyActivities" localSheetId="2">'Entries Register (AP) '!$C$5:$W$269</definedName>
    <definedName name="DaysEntered" localSheetId="5">COUNTIF('Entries Register (0S)'!DailyActivities,"&lt;&gt;""")</definedName>
    <definedName name="DaysEntered" localSheetId="2">COUNTIF('Entries Register (AP) '!DailyActivities,"&lt;&gt;""")</definedName>
    <definedName name="DaysEntered" localSheetId="3">COUNTIF(DailyActivities,"&lt;&gt;""")</definedName>
    <definedName name="DaysEntered">COUNTIF('Entries Register (AP) '!DailyActivities,"&lt;&gt;""")</definedName>
    <definedName name="Z_0007E01F_A7F5_473A_86CA_535089C8DFEA_.wvu.FilterData" localSheetId="2" hidden="1">'Entries Register (AP) '!$A$3:$T$716</definedName>
    <definedName name="Z_004FA980_EA0D_4720_946C_C95A0D4075B5_.wvu.FilterData" localSheetId="2" hidden="1">'Entries Register (AP) '!$A$3:$T$657</definedName>
    <definedName name="Z_00622470_EF41_4536_B9F6_81F31E7EA340_.wvu.FilterData" localSheetId="2" hidden="1">'Entries Register (AP) '!$A$3:$T$716</definedName>
    <definedName name="Z_00717443_7495_473C_8169_22AD3CED865E_.wvu.FilterData" localSheetId="2" hidden="1">'Entries Register (AP) '!$A$3:$T$716</definedName>
    <definedName name="Z_00D5D65D_4788_47F9_9209_C587552AFA22_.wvu.FilterData" localSheetId="2" hidden="1">'Entries Register (AP) '!$A$3:$T$657</definedName>
    <definedName name="Z_00EF7315_1D16_475F_8EEE_F059CCA0AB77_.wvu.FilterData" localSheetId="2" hidden="1">'Entries Register (AP) '!$A$3:$T$716</definedName>
    <definedName name="Z_016FF5D0_7632_4B47_B258_DF7AD702FA2E_.wvu.FilterData" localSheetId="2" hidden="1">'Entries Register (AP) '!$A$3:$T$716</definedName>
    <definedName name="Z_0240B23D_C714_45BE_98FB_DE6B9A33D048_.wvu.FilterData" localSheetId="2" hidden="1">'Entries Register (AP) '!$A$3:$T$716</definedName>
    <definedName name="Z_025C7946_3DBD_4260_9E3D_A4FBBE8DF93E_.wvu.FilterData" localSheetId="2" hidden="1">'Entries Register (AP) '!$A$3:$T$716</definedName>
    <definedName name="Z_025E8C90_8761_4604_9C99_1B2B6DA18B06_.wvu.FilterData" localSheetId="2" hidden="1">'Entries Register (AP) '!$A$3:$T$716</definedName>
    <definedName name="Z_028812C5_8A73_4ADF_954B_9FD05E2E1079_.wvu.FilterData" localSheetId="2" hidden="1">'Entries Register (AP) '!$A$3:$T$716</definedName>
    <definedName name="Z_02E62435_66F4_4872_AE92_B7B0F2FDE6AE_.wvu.FilterData" localSheetId="2" hidden="1">'Entries Register (AP) '!$A$3:$T$716</definedName>
    <definedName name="Z_0305A83B_129C_48EF_9650_A9B4E32ECD83_.wvu.FilterData" localSheetId="2" hidden="1">'Entries Register (AP) '!$A$3:$T$716</definedName>
    <definedName name="Z_0388B3BD_2FD6_4D15_B163_177D9E8F1ABA_.wvu.FilterData" localSheetId="2" hidden="1">'Entries Register (AP) '!$A$3:$T$716</definedName>
    <definedName name="Z_0394207B_2B41_444B_B084_0C10970ED393_.wvu.FilterData" localSheetId="2" hidden="1">'Entries Register (AP) '!$A$3:$T$716</definedName>
    <definedName name="Z_064101B1_1482_4917_ACEF_3EE438E5FF29_.wvu.FilterData" localSheetId="2" hidden="1">'Entries Register (AP) '!$A$3:$T$716</definedName>
    <definedName name="Z_0693E2B6_1A1C_46BB_B429_8D42DBE59E01_.wvu.FilterData" localSheetId="2" hidden="1">'Entries Register (AP) '!$A$3:$T$801</definedName>
    <definedName name="Z_06F9A9A4_9E94_4403_8FC8_05F34C925541_.wvu.FilterData" localSheetId="2" hidden="1">'Entries Register (AP) '!$A$3:$T$716</definedName>
    <definedName name="Z_0785849D_7869_4D0F_BEC5_8B0C960266B6_.wvu.FilterData" localSheetId="2" hidden="1">'Entries Register (AP) '!$A$3:$T$657</definedName>
    <definedName name="Z_0790854C_4D08_4929_9E46_E13E43896870_.wvu.FilterData" localSheetId="2" hidden="1">'Entries Register (AP) '!$A$3:$T$716</definedName>
    <definedName name="Z_07E5FED3_D96E_4617_AE51_6BC413D8744A_.wvu.FilterData" localSheetId="2" hidden="1">'Entries Register (AP) '!$A$3:$T$657</definedName>
    <definedName name="Z_093C3DE0_A02A_4C7C_A4D0_A4E716750BA1_.wvu.FilterData" localSheetId="2" hidden="1">'Entries Register (AP) '!$A$3:$T$801</definedName>
    <definedName name="Z_095395B3_9362_4F4C_A503_30C367627DA0_.wvu.FilterData" localSheetId="2" hidden="1">'Entries Register (AP) '!$A$3:$T$716</definedName>
    <definedName name="Z_09D0D85D_1896_437F_9209_73757ADD4A84_.wvu.FilterData" localSheetId="2" hidden="1">'Entries Register (AP) '!$A$3:$T$716</definedName>
    <definedName name="Z_09F594E9_7739_4EAB_B3E5_BC6D5A773D55_.wvu.FilterData" localSheetId="2" hidden="1">'Entries Register (AP) '!$A$3:$T$716</definedName>
    <definedName name="Z_0A35591E_BA35_4D99_BECD_8FF789F4E6B9_.wvu.FilterData" localSheetId="2" hidden="1">'Entries Register (AP) '!$A$3:$T$716</definedName>
    <definedName name="Z_0A486E44_00A5_472C_9F3C_552C051DF96D_.wvu.FilterData" localSheetId="2" hidden="1">'Entries Register (AP) '!$A$3:$T$801</definedName>
    <definedName name="Z_0A7A4688_AD4E_4F15_B9EF_11A435495954_.wvu.FilterData" localSheetId="2" hidden="1">'Entries Register (AP) '!$A$3:$T$657</definedName>
    <definedName name="Z_0A82C609_8752_4479_9FB2_196F89030C83_.wvu.FilterData" localSheetId="2" hidden="1">'Entries Register (AP) '!$A$3:$T$716</definedName>
    <definedName name="Z_0ACCC1F4_0F9E_4FE9_9994_E6D6547353F1_.wvu.FilterData" localSheetId="2" hidden="1">'Entries Register (AP) '!$A$3:$T$802</definedName>
    <definedName name="Z_0B19C291_B820_46E8_BC43_345BC83601C1_.wvu.FilterData" localSheetId="2" hidden="1">'Entries Register (AP) '!$A$3:$T$638</definedName>
    <definedName name="Z_0B1D156C_8CB9_4597_A8C7_CCB197D772FF_.wvu.FilterData" localSheetId="2" hidden="1">'Entries Register (AP) '!$A$3:$T$657</definedName>
    <definedName name="Z_0B2381BD_789F_4BF1_BA4C_FB0A5A16DEDD_.wvu.FilterData" localSheetId="2" hidden="1">'Entries Register (AP) '!$A$3:$T$716</definedName>
    <definedName name="Z_0B59D333_2B67_4046_AD35_AE930536A359_.wvu.FilterData" localSheetId="2" hidden="1">'Entries Register (AP) '!$A$3:$T$657</definedName>
    <definedName name="Z_0B6A9B38_9F4A_4B5D_BCC0_F1041154C6CC_.wvu.FilterData" localSheetId="2" hidden="1">'Entries Register (AP) '!$A$3:$T$802</definedName>
    <definedName name="Z_0BBF100A_F664_409A_983C_326FD9BDFE27_.wvu.FilterData" localSheetId="2" hidden="1">'Entries Register (AP) '!$A$3:$T$716</definedName>
    <definedName name="Z_0BFFB81D_BB8B_435B_A210_75B81A2AE620_.wvu.FilterData" localSheetId="2" hidden="1">'Entries Register (AP) '!$A$3:$T$716</definedName>
    <definedName name="Z_0C143293_5ED5_4C5B_9E9D_FFFEFCF78905_.wvu.FilterData" localSheetId="2" hidden="1">'Entries Register (AP) '!$A$3:$T$801</definedName>
    <definedName name="Z_0C16420F_0E95_4FE8_A40D_24FA2109D3CC_.wvu.FilterData" localSheetId="2" hidden="1">'Entries Register (AP) '!$A$3:$T$716</definedName>
    <definedName name="Z_0C5CE4B9_437C_4B29_8A4D_B164B8065284_.wvu.FilterData" localSheetId="2" hidden="1">'Entries Register (AP) '!$A$3:$T$716</definedName>
    <definedName name="Z_0CA13545_EA87_4F30_9410_1AB3E4CA5C66_.wvu.FilterData" localSheetId="2" hidden="1">'Entries Register (AP) '!$A$3:$T$716</definedName>
    <definedName name="Z_0CCD971D_6E70_454C_A40A_C7E2AF471EA9_.wvu.FilterData" localSheetId="2" hidden="1">'Entries Register (AP) '!$A$3:$T$716</definedName>
    <definedName name="Z_0CE1FCA1_545E_4006_A40E_724112339520_.wvu.FilterData" localSheetId="2" hidden="1">'Entries Register (AP) '!$A$3:$T$638</definedName>
    <definedName name="Z_0CFB2352_7966_4AB2_B954_5F41C1F1A62E_.wvu.FilterData" localSheetId="2" hidden="1">'Entries Register (AP) '!$A$3:$T$716</definedName>
    <definedName name="Z_0D024D3B_8653_44D7_B404_0FEDB3CF81A4_.wvu.FilterData" localSheetId="2" hidden="1">'Entries Register (AP) '!$A$3:$T$716</definedName>
    <definedName name="Z_0DAAAFC2_5A03_486C_8808_123F5C7AC15D_.wvu.FilterData" localSheetId="2" hidden="1">'Entries Register (AP) '!$A$3:$T$801</definedName>
    <definedName name="Z_0DBD9E2A_572F_430C_8A73_9F0448EAA356_.wvu.FilterData" localSheetId="2" hidden="1">'Entries Register (AP) '!$A$3:$T$716</definedName>
    <definedName name="Z_0DCA1C45_BD4E_49C3_9418_C26E88ED27EE_.wvu.FilterData" localSheetId="2" hidden="1">'Entries Register (AP) '!$A$3:$T$801</definedName>
    <definedName name="Z_0E2CF275_733A_4EBA_936E_055B74FC4548_.wvu.FilterData" localSheetId="2" hidden="1">'Entries Register (AP) '!$A$3:$T$716</definedName>
    <definedName name="Z_0E5580C9_1A87_4438_B554_AF71F9B94E91_.wvu.FilterData" localSheetId="2" hidden="1">'Entries Register (AP) '!$A$3:$T$638</definedName>
    <definedName name="Z_0E604F12_08EA_45BB_9DE7_E1BBBB77B0A4_.wvu.FilterData" localSheetId="2" hidden="1">'Entries Register (AP) '!$A$3:$T$716</definedName>
    <definedName name="Z_0E710729_0076_42F7_8CE0_714926A0CAB2_.wvu.FilterData" localSheetId="2" hidden="1">'Entries Register (AP) '!$A$3:$T$716</definedName>
    <definedName name="Z_109C4EF5_FF56_4C00_8BE4_0D08E4DBF577_.wvu.FilterData" localSheetId="2" hidden="1">'Entries Register (AP) '!$A$3:$T$716</definedName>
    <definedName name="Z_10D5B83D_3BEF_43AA_95A8_0C2226A2FEA6_.wvu.FilterData" localSheetId="2" hidden="1">'Entries Register (AP) '!$A$3:$T$716</definedName>
    <definedName name="Z_10F80B76_43BB_45D0_A368_04CAA22D6753_.wvu.FilterData" localSheetId="2" hidden="1">'Entries Register (AP) '!$A$3:$T$716</definedName>
    <definedName name="Z_120C9272_AC43_4B44_9DD9_EB191FAAA7F1_.wvu.FilterData" localSheetId="2" hidden="1">'Entries Register (AP) '!$A$3:$T$716</definedName>
    <definedName name="Z_12157685_25F2_47BE_86C4_E4A12FC34A5B_.wvu.FilterData" localSheetId="2" hidden="1">'Entries Register (AP) '!$A$3:$T$716</definedName>
    <definedName name="Z_12678E49_29D9_4BA4_8A3C_1F47F8906AF8_.wvu.FilterData" localSheetId="2" hidden="1">'Entries Register (AP) '!$A$3:$T$657</definedName>
    <definedName name="Z_12B486CE_961D_4708_95EE_8D1F9327CD83_.wvu.FilterData" localSheetId="2" hidden="1">'Entries Register (AP) '!$A$3:$T$716</definedName>
    <definedName name="Z_133C839E_5B5D_4A21_AF5C_8CEDA5CE20CB_.wvu.FilterData" localSheetId="2" hidden="1">'Entries Register (AP) '!$A$3:$T$716</definedName>
    <definedName name="Z_137646A8_67A8_432A_8BC1_2E991EE0D1AE_.wvu.FilterData" localSheetId="2" hidden="1">'Entries Register (AP) '!$A$3:$T$716</definedName>
    <definedName name="Z_145EFE0A_DDB4_4E3B_8A20_749E6B137AEA_.wvu.Cols" localSheetId="2" hidden="1">'Entries Register (AP) '!#REF!</definedName>
    <definedName name="Z_145EFE0A_DDB4_4E3B_8A20_749E6B137AEA_.wvu.Cols" localSheetId="7" hidden="1">K.P.I!#REF!</definedName>
    <definedName name="Z_145EFE0A_DDB4_4E3B_8A20_749E6B137AEA_.wvu.Cols" localSheetId="3" hidden="1">K.P.I_new!#REF!</definedName>
    <definedName name="Z_145EFE0A_DDB4_4E3B_8A20_749E6B137AEA_.wvu.FilterData" localSheetId="2" hidden="1">'Entries Register (AP) '!$A$3:$T$716</definedName>
    <definedName name="Z_14D0F80C_A426_4D2D_830E_470D87F0E21C_.wvu.FilterData" localSheetId="2" hidden="1">'Entries Register (AP) '!$A$3:$T$716</definedName>
    <definedName name="Z_1629131B_4117_4F1D_BCB7_E97791A3E93F_.wvu.FilterData" localSheetId="2" hidden="1">'Entries Register (AP) '!$A$3:$T$657</definedName>
    <definedName name="Z_163977C4_5227_4AC9_8A05_C96BE602DDE4_.wvu.FilterData" localSheetId="2" hidden="1">'Entries Register (AP) '!$A$3:$T$716</definedName>
    <definedName name="Z_1663047D_0D53_4F95_9978_CAF21EE179AD_.wvu.FilterData" localSheetId="2" hidden="1">'Entries Register (AP) '!$A$3:$T$716</definedName>
    <definedName name="Z_16728FBE_3172_4D37_940A_7951D374F020_.wvu.FilterData" localSheetId="2" hidden="1">'Entries Register (AP) '!$A$3:$T$716</definedName>
    <definedName name="Z_16CCFCBE_7CCA_469B_830B_449842BACA96_.wvu.FilterData" localSheetId="2" hidden="1">'Entries Register (AP) '!$A$3:$T$716</definedName>
    <definedName name="Z_17B4E575_933B_49D1_8CFD_02C0FD01A3ED_.wvu.FilterData" localSheetId="2" hidden="1">'Entries Register (AP) '!$A$3:$T$716</definedName>
    <definedName name="Z_18B9B41E_F6A4_4889_87B4_1C87E78A9518_.wvu.FilterData" localSheetId="2" hidden="1">'Entries Register (AP) '!$A$3:$T$657</definedName>
    <definedName name="Z_18F06C0F_DA4E_49D9_85E9_0BA4E0C0EE5E_.wvu.FilterData" localSheetId="2" hidden="1">'Entries Register (AP) '!$A$3:$T$802</definedName>
    <definedName name="Z_1929FA4A_0372_475D_BD7A_BB3F115554DB_.wvu.FilterData" localSheetId="2" hidden="1">'Entries Register (AP) '!$A$3:$T$801</definedName>
    <definedName name="Z_1954D2D7_ACFA_4494_A6D1_095A0B78B84C_.wvu.FilterData" localSheetId="2" hidden="1">'Entries Register (AP) '!$A$3:$T$638</definedName>
    <definedName name="Z_195ADBA0_9AB8_4411_85F9_5673FE51443E_.wvu.FilterData" localSheetId="2" hidden="1">'Entries Register (AP) '!$A$3:$T$716</definedName>
    <definedName name="Z_19B46F56_7070_4D27_99F5_B37FAC9B2811_.wvu.FilterData" localSheetId="2" hidden="1">'Entries Register (AP) '!$A$3:$T$801</definedName>
    <definedName name="Z_1A4E5914_B3BB_4824_A105_94868A47E09C_.wvu.FilterData" localSheetId="2" hidden="1">'Entries Register (AP) '!$A$3:$T$716</definedName>
    <definedName name="Z_1A789E2F_E7AC_49E8_9EEB_252278CD6F70_.wvu.FilterData" localSheetId="2" hidden="1">'Entries Register (AP) '!$A$3:$T$716</definedName>
    <definedName name="Z_1AAED56C_8B63_4C54_BD6C_6958D36EA018_.wvu.FilterData" localSheetId="2" hidden="1">'Entries Register (AP) '!$A$3:$T$716</definedName>
    <definedName name="Z_1AC79D50_D38E_45F2_B95A_5530867E683D_.wvu.FilterData" localSheetId="2" hidden="1">'Entries Register (AP) '!$A$3:$T$657</definedName>
    <definedName name="Z_1B24E89B_1FE6_4F56_AC55_150A284ADE2E_.wvu.FilterData" localSheetId="2" hidden="1">'Entries Register (AP) '!$A$3:$T$716</definedName>
    <definedName name="Z_1B807DF9_7224_4DE8_A793_3A085D44EE48_.wvu.FilterData" localSheetId="2" hidden="1">'Entries Register (AP) '!$A$3:$T$657</definedName>
    <definedName name="Z_1BFDC625_FD96_4F02_A167_6FEC141E8356_.wvu.FilterData" localSheetId="2" hidden="1">'Entries Register (AP) '!$A$3:$T$716</definedName>
    <definedName name="Z_1CD02D0E_B83B_4E57_9D3D_517FFB37AE12_.wvu.FilterData" localSheetId="2" hidden="1">'Entries Register (AP) '!$A$3:$T$800</definedName>
    <definedName name="Z_1D4AE560_6A69_4E3A_9FE0_9E0249300D57_.wvu.FilterData" localSheetId="2" hidden="1">'Entries Register (AP) '!$A$3:$T$716</definedName>
    <definedName name="Z_1DB2C288_2515_4B6B_8CC7_BF77A70B4761_.wvu.FilterData" localSheetId="2" hidden="1">'Entries Register (AP) '!$A$3:$T$716</definedName>
    <definedName name="Z_1E5765E3_455F_4E54_A6FE_BE9892106C97_.wvu.FilterData" localSheetId="2" hidden="1">'Entries Register (AP) '!$A$3:$T$716</definedName>
    <definedName name="Z_1E5F003F_C947_49FA_A59B_27084B27470D_.wvu.FilterData" localSheetId="2" hidden="1">'Entries Register (AP) '!$A$3:$T$716</definedName>
    <definedName name="Z_1EE128D7_810A_4AC3_9F14_1A3224F1E5B4_.wvu.FilterData" localSheetId="2" hidden="1">'Entries Register (AP) '!$A$3:$T$801</definedName>
    <definedName name="Z_1F3F5BD5_47E7_49FC_AE71_B9E005CE5001_.wvu.FilterData" localSheetId="2" hidden="1">'Entries Register (AP) '!$A$3:$T$800</definedName>
    <definedName name="Z_1F9EF467_ED2C_4178_981A_B241B2822CCF_.wvu.FilterData" localSheetId="2" hidden="1">'Entries Register (AP) '!$A$3:$T$716</definedName>
    <definedName name="Z_1FAF9331_5121_4098_84D4_5080F1F960C6_.wvu.FilterData" localSheetId="2" hidden="1">'Entries Register (AP) '!$A$3:$T$657</definedName>
    <definedName name="Z_1FB38F5A_1E3B_4207_80F9_96C7DB1EE2F0_.wvu.FilterData" localSheetId="2" hidden="1">'Entries Register (AP) '!$A$3:$T$716</definedName>
    <definedName name="Z_1FC34E9B_61E0_45F2_B9F9_09CB1E715F69_.wvu.FilterData" localSheetId="2" hidden="1">'Entries Register (AP) '!$A$3:$T$716</definedName>
    <definedName name="Z_1FEFCCAA_F8C5_4AA0_A3EC_7A29EAB161EE_.wvu.FilterData" localSheetId="2" hidden="1">'Entries Register (AP) '!$A$3:$T$716</definedName>
    <definedName name="Z_205D128F_BA75_4EC3_BF10_623A78BE449E_.wvu.FilterData" localSheetId="2" hidden="1">'Entries Register (AP) '!$A$3:$T$801</definedName>
    <definedName name="Z_2060C0B6_449D_4363_ADA6_F15C0DB3D787_.wvu.FilterData" localSheetId="2" hidden="1">'Entries Register (AP) '!$A$3:$T$716</definedName>
    <definedName name="Z_207E24A1_1D96_434A_A559_C3220397DCF5_.wvu.FilterData" localSheetId="2" hidden="1">'Entries Register (AP) '!$A$3:$T$716</definedName>
    <definedName name="Z_20B568C4_7263_402B_AFC5_FAA7C143BC2A_.wvu.FilterData" localSheetId="2" hidden="1">'Entries Register (AP) '!$A$3:$T$716</definedName>
    <definedName name="Z_20CEC8DD_EC57_4717_986B_6CB1768B5B8C_.wvu.FilterData" localSheetId="2" hidden="1">'Entries Register (AP) '!$A$3:$T$716</definedName>
    <definedName name="Z_212515F2_9779_4C09_9377_E86E0824C0A6_.wvu.FilterData" localSheetId="2" hidden="1">'Entries Register (AP) '!$A$3:$T$802</definedName>
    <definedName name="Z_215DA812_3870_43E8_9027_7B11EE336ECF_.wvu.FilterData" localSheetId="2" hidden="1">'Entries Register (AP) '!$A$3:$T$716</definedName>
    <definedName name="Z_21F68BBB_9AE3_4871_A90B_510D5EA15C9C_.wvu.FilterData" localSheetId="2" hidden="1">'Entries Register (AP) '!$A$3:$T$638</definedName>
    <definedName name="Z_221A30A1_EAC8_4D58_BBA9_857827D4FBB6_.wvu.FilterData" localSheetId="2" hidden="1">'Entries Register (AP) '!$A$3:$T$716</definedName>
    <definedName name="Z_224EA678_BAF3_4548_B290_63375E3F86DA_.wvu.FilterData" localSheetId="2" hidden="1">'Entries Register (AP) '!$A$3:$T$716</definedName>
    <definedName name="Z_22649B57_9799_4156_94B7_62FA2168BE76_.wvu.FilterData" localSheetId="2" hidden="1">'Entries Register (AP) '!$A$3:$T$716</definedName>
    <definedName name="Z_234BCA37_24CE_4F15_97C2_E42FA0D9B1EC_.wvu.FilterData" localSheetId="2" hidden="1">'Entries Register (AP) '!$A$3:$T$716</definedName>
    <definedName name="Z_23D36B70_0A8A_42AF_A845_39A73901AE5E_.wvu.FilterData" localSheetId="2" hidden="1">'Entries Register (AP) '!$A$3:$T$716</definedName>
    <definedName name="Z_23F95A79_F495_41FE_8D8D_E19EEDA91E1A_.wvu.FilterData" localSheetId="2" hidden="1">'Entries Register (AP) '!$A$3:$T$638</definedName>
    <definedName name="Z_2416856D_96F2_4FCD_9E1E_89AD408E8F07_.wvu.FilterData" localSheetId="0" hidden="1">DMDT!$B$4:$P$1910</definedName>
    <definedName name="Z_2416856D_96F2_4FCD_9E1E_89AD408E8F07_.wvu.FilterData" localSheetId="2" hidden="1">'Entries Register (AP) '!$A$3:$T$801</definedName>
    <definedName name="Z_242E04FB_51E1_4201_A3A8_BCBBCC58E472_.wvu.FilterData" localSheetId="2" hidden="1">'Entries Register (AP) '!$A$3:$T$801</definedName>
    <definedName name="Z_2443A7A3_C958_41B4_A564_612C9D99703C_.wvu.FilterData" localSheetId="2" hidden="1">'Entries Register (AP) '!$A$3:$T$638</definedName>
    <definedName name="Z_247FE214_78C9_4EB4_B03A_6D6D9D122DFF_.wvu.FilterData" localSheetId="2" hidden="1">'Entries Register (AP) '!$A$3:$T$716</definedName>
    <definedName name="Z_24934804_84B0_4982_9BF2_E46F6DDD5DD8_.wvu.FilterData" localSheetId="0" hidden="1">DMDT!$B$4:$P$1910</definedName>
    <definedName name="Z_24934804_84B0_4982_9BF2_E46F6DDD5DD8_.wvu.FilterData" localSheetId="2" hidden="1">'Entries Register (AP) '!$A$3:$T$801</definedName>
    <definedName name="Z_25692F43_71A6_4856_9C81_A0C9788C0361_.wvu.FilterData" localSheetId="2" hidden="1">'Entries Register (AP) '!$A$3:$T$638</definedName>
    <definedName name="Z_25903A4C_14D5_4D38_BD66_0CAB84B02F52_.wvu.FilterData" localSheetId="2" hidden="1">'Entries Register (AP) '!$A$3:$T$638</definedName>
    <definedName name="Z_260B229B_DE4D_432B_A395_6339E335665C_.wvu.FilterData" localSheetId="2" hidden="1">'Entries Register (AP) '!$A$3:$T$638</definedName>
    <definedName name="Z_2615BA70_3D51_46DF_9BF7_C4B1088E5F5F_.wvu.FilterData" localSheetId="2" hidden="1">'Entries Register (AP) '!$A$3:$T$716</definedName>
    <definedName name="Z_26449029_554A_4E50_93D8_D1DED3DB4442_.wvu.FilterData" localSheetId="2" hidden="1">'Entries Register (AP) '!$A$3:$T$716</definedName>
    <definedName name="Z_264EE710_4456_4FF7_85A9_D17354009637_.wvu.FilterData" localSheetId="2" hidden="1">'Entries Register (AP) '!$A$3:$T$716</definedName>
    <definedName name="Z_26B41735_39E2_4BE9_9EA5_D1F67A43DC0E_.wvu.Cols" localSheetId="7" hidden="1">K.P.I!#REF!</definedName>
    <definedName name="Z_26B41735_39E2_4BE9_9EA5_D1F67A43DC0E_.wvu.FilterData" localSheetId="0" hidden="1">DMDT!$B$4:$P$1901</definedName>
    <definedName name="Z_26B41735_39E2_4BE9_9EA5_D1F67A43DC0E_.wvu.FilterData" localSheetId="2" hidden="1">'Entries Register (AP) '!$A$3:$T$802</definedName>
    <definedName name="Z_26C44178_6EE8_45FA_A5BE_1B9F4C9FA9A1_.wvu.FilterData" localSheetId="2" hidden="1">'Entries Register (AP) '!$A$3:$T$716</definedName>
    <definedName name="Z_26F32050_ECA4_4071_B69D_BD99B70EB53B_.wvu.FilterData" localSheetId="2" hidden="1">'Entries Register (AP) '!$A$3:$T$716</definedName>
    <definedName name="Z_27342B75_3111_4E6F_A735_9B26C7FD0D68_.wvu.FilterData" localSheetId="2" hidden="1">'Entries Register (AP) '!$A$3:$T$716</definedName>
    <definedName name="Z_2742B9CA_C821_4EDB_8976_99710832AD93_.wvu.FilterData" localSheetId="2" hidden="1">'Entries Register (AP) '!$A$3:$T$716</definedName>
    <definedName name="Z_278651EF_67C7_44A8_9828_F26E15DF567C_.wvu.FilterData" localSheetId="2" hidden="1">'Entries Register (AP) '!$A$3:$T$716</definedName>
    <definedName name="Z_2827F2E1_93BB_4D57_A660_0AE11CC3C72F_.wvu.FilterData" localSheetId="2" hidden="1">'Entries Register (AP) '!$A$3:$T$716</definedName>
    <definedName name="Z_284277B3_AC3C_4136_A308_367D96D447E4_.wvu.FilterData" localSheetId="0" hidden="1">DMDT!$B$4:$P$1901</definedName>
    <definedName name="Z_284277B3_AC3C_4136_A308_367D96D447E4_.wvu.FilterData" localSheetId="2" hidden="1">'Entries Register (AP) '!$A$3:$T$802</definedName>
    <definedName name="Z_28622FCD_95D8_4DB4_90D2_BD25662E6EDC_.wvu.FilterData" localSheetId="2" hidden="1">'Entries Register (AP) '!$A$3:$T$716</definedName>
    <definedName name="Z_28644F0C_ED2F_4E9D_B33C_EDC997EC78AF_.wvu.FilterData" localSheetId="2" hidden="1">'Entries Register (AP) '!$A$3:$T$716</definedName>
    <definedName name="Z_28791FA1_B428_4D64_B444_E266E3CE0590_.wvu.FilterData" localSheetId="2" hidden="1">'Entries Register (AP) '!$A$3:$T$801</definedName>
    <definedName name="Z_28863F9C_2442_495A_883B_008C4018DA44_.wvu.FilterData" localSheetId="2" hidden="1">'Entries Register (AP) '!$A$3:$T$638</definedName>
    <definedName name="Z_2937AB4D_DC51_4FA5_8E85_41EC23BB00BD_.wvu.FilterData" localSheetId="2" hidden="1">'Entries Register (AP) '!$A$3:$T$716</definedName>
    <definedName name="Z_29611B3D_2536_45A2_965A_207BDCEF7231_.wvu.FilterData" localSheetId="2" hidden="1">'Entries Register (AP) '!$A$3:$T$802</definedName>
    <definedName name="Z_29AB9AB4_DDCB_48FD_9015_A763AE067DB7_.wvu.FilterData" localSheetId="2" hidden="1">'Entries Register (AP) '!$A$3:$T$716</definedName>
    <definedName name="Z_29F1C5B5_5C5A_42CA_BCE9_43003D258E6C_.wvu.FilterData" localSheetId="2" hidden="1">'Entries Register (AP) '!$A$3:$T$638</definedName>
    <definedName name="Z_2A3A7895_3318_49CA_A196_D25DA117F30E_.wvu.FilterData" localSheetId="2" hidden="1">'Entries Register (AP) '!$A$3:$T$716</definedName>
    <definedName name="Z_2ADE174D_C3E2_47CB_9D07_E126F9E11AA8_.wvu.FilterData" localSheetId="2" hidden="1">'Entries Register (AP) '!$A$3:$T$716</definedName>
    <definedName name="Z_2ADEF5E8_29F1_408C_AF82_06AEC2366F45_.wvu.FilterData" localSheetId="2" hidden="1">'Entries Register (AP) '!$A$3:$T$657</definedName>
    <definedName name="Z_2B30DECE_311A_485A_8D71_EEECD1D08B4E_.wvu.FilterData" localSheetId="2" hidden="1">'Entries Register (AP) '!$A$3:$T$716</definedName>
    <definedName name="Z_2B5B2DAE_6802_4E4D_B5BB_87682D4E6398_.wvu.FilterData" localSheetId="2" hidden="1">'Entries Register (AP) '!$A$3:$T$716</definedName>
    <definedName name="Z_2BAD64CB_CBC1_495B_B4BF_4292FE5F58CD_.wvu.FilterData" localSheetId="2" hidden="1">'Entries Register (AP) '!$A$3:$T$657</definedName>
    <definedName name="Z_2BD361AE_E651_485E_9E60_5A0421F27892_.wvu.FilterData" localSheetId="2" hidden="1">'Entries Register (AP) '!$A$3:$T$716</definedName>
    <definedName name="Z_2C212DF2_9655_42ED_B918_184E06B3C16D_.wvu.FilterData" localSheetId="2" hidden="1">'Entries Register (AP) '!$A$3:$T$716</definedName>
    <definedName name="Z_2C28D029_0AAB_4157_8108_ECB4068D1540_.wvu.FilterData" localSheetId="2" hidden="1">'Entries Register (AP) '!$A$3:$T$716</definedName>
    <definedName name="Z_2C2BE6BA_F588_4BFE_B343_01FB9A45D923_.wvu.FilterData" localSheetId="2" hidden="1">'Entries Register (AP) '!$A$3:$T$716</definedName>
    <definedName name="Z_2C4506A2_7B75_4DD5_82B1_C7238736B591_.wvu.FilterData" localSheetId="2" hidden="1">'Entries Register (AP) '!$A$3:$T$716</definedName>
    <definedName name="Z_2C80E4D2_0858_4604_A2C1_C4D30449373D_.wvu.FilterData" localSheetId="2" hidden="1">'Entries Register (AP) '!$A$3:$T$716</definedName>
    <definedName name="Z_2CB1AE32_B246_4B48_B6C6_0D2B556D39F4_.wvu.FilterData" localSheetId="2" hidden="1">'Entries Register (AP) '!$A$3:$T$716</definedName>
    <definedName name="Z_2D0C4CA0_A809_4799_A2AC_35B55226E8D9_.wvu.FilterData" localSheetId="2" hidden="1">'Entries Register (AP) '!$A$3:$T$657</definedName>
    <definedName name="Z_2D24A752_4716_4A1B_85AB_5847F0D8A03B_.wvu.FilterData" localSheetId="2" hidden="1">'Entries Register (AP) '!$A$3:$T$800</definedName>
    <definedName name="Z_2E3783B3_9B68_45DE_AEAD_2770412A7337_.wvu.FilterData" localSheetId="2" hidden="1">'Entries Register (AP) '!$A$3:$T$716</definedName>
    <definedName name="Z_2E94F68C_37C8_4E21_BD2A_EE38950C6E1D_.wvu.FilterData" localSheetId="2" hidden="1">'Entries Register (AP) '!$A$3:$T$716</definedName>
    <definedName name="Z_2F67A0A7_D6E4_46E3_A9C5_0A33FD2402AA_.wvu.FilterData" localSheetId="2" hidden="1">'Entries Register (AP) '!$A$3:$T$657</definedName>
    <definedName name="Z_2F793DCE_8188_4F92_9B30_67C38ED50431_.wvu.FilterData" localSheetId="2" hidden="1">'Entries Register (AP) '!$A$3:$T$716</definedName>
    <definedName name="Z_2F9CD19E_6D0B_4EBC_817C_CB6DE30B33A9_.wvu.FilterData" localSheetId="2" hidden="1">'Entries Register (AP) '!$A$3:$T$716</definedName>
    <definedName name="Z_300E5333_0957_4276_A77E_9205A4A08E76_.wvu.FilterData" localSheetId="2" hidden="1">'Entries Register (AP) '!$A$3:$T$716</definedName>
    <definedName name="Z_30108AEA_4B5A_40AD_8F4F_8423333FE8B0_.wvu.FilterData" localSheetId="2" hidden="1">'Entries Register (AP) '!$A$3:$T$716</definedName>
    <definedName name="Z_308B278D_3FB1_4C91_8202_FD95BCE774CD_.wvu.FilterData" localSheetId="2" hidden="1">'Entries Register (AP) '!$A$3:$T$716</definedName>
    <definedName name="Z_30E05286_A017_42C5_8B2E_21C04D4D35DE_.wvu.FilterData" localSheetId="2" hidden="1">'Entries Register (AP) '!$A$3:$T$657</definedName>
    <definedName name="Z_316AE0EC_C92D_4B11_B5C6_2886CC828E1D_.wvu.FilterData" localSheetId="2" hidden="1">'Entries Register (AP) '!$A$3:$T$801</definedName>
    <definedName name="Z_32750B71_0F87_4293_AA32_06818E50937F_.wvu.FilterData" localSheetId="2" hidden="1">'Entries Register (AP) '!$A$3:$T$802</definedName>
    <definedName name="Z_32CAFA69_AADE_42BF_9A8F_53722284C05F_.wvu.FilterData" localSheetId="2" hidden="1">'Entries Register (AP) '!$A$3:$T$716</definedName>
    <definedName name="Z_330AC750_18DC_437D_8B57_12C943838A23_.wvu.FilterData" localSheetId="2" hidden="1">'Entries Register (AP) '!$A$3:$T$638</definedName>
    <definedName name="Z_331482B3_B6B4_4821_9897_1AD55FA1035C_.wvu.FilterData" localSheetId="2" hidden="1">'Entries Register (AP) '!$A$3:$T$716</definedName>
    <definedName name="Z_33A55426_D500_44DE_9280_C72923A07392_.wvu.FilterData" localSheetId="2" hidden="1">'Entries Register (AP) '!$A$3:$T$716</definedName>
    <definedName name="Z_33E0826D_A9ED_4415_981E_1FBCB02F6705_.wvu.FilterData" localSheetId="2" hidden="1">'Entries Register (AP) '!$A$3:$T$716</definedName>
    <definedName name="Z_33FB81BB_FAB4_4B45_8F1C_50BD19C71542_.wvu.FilterData" localSheetId="2" hidden="1">'Entries Register (AP) '!$A$3:$T$716</definedName>
    <definedName name="Z_3429A36F_9277_40A5_8B2D_B4812618C2FE_.wvu.FilterData" localSheetId="2" hidden="1">'Entries Register (AP) '!$A$3:$T$657</definedName>
    <definedName name="Z_343417B2_1623_4746_9C13_3C0C8E4E244D_.wvu.FilterData" localSheetId="2" hidden="1">'Entries Register (AP) '!$A$3:$T$638</definedName>
    <definedName name="Z_34880632_D530_4B57_8389_4E288A1206C0_.wvu.FilterData" localSheetId="2" hidden="1">'Entries Register (AP) '!$A$3:$T$638</definedName>
    <definedName name="Z_34AFB499_F85A_4E60_9A5E_6B36155A9988_.wvu.FilterData" localSheetId="2" hidden="1">'Entries Register (AP) '!$A$3:$T$716</definedName>
    <definedName name="Z_34C12CB8_2D15_497B_9E11_772DC5DB218E_.wvu.FilterData" localSheetId="2" hidden="1">'Entries Register (AP) '!$A$3:$T$716</definedName>
    <definedName name="Z_3535D5DA_041D_4687_878E_C7B15EA4AFEC_.wvu.FilterData" localSheetId="2" hidden="1">'Entries Register (AP) '!$A$3:$T$802</definedName>
    <definedName name="Z_353FECCD_1543_4AD0_B52C_A75049A1E34D_.wvu.FilterData" localSheetId="2" hidden="1">'Entries Register (AP) '!$A$3:$T$800</definedName>
    <definedName name="Z_354439FB_63BC_4259_B2F3_D3CAB6A9ADDD_.wvu.FilterData" localSheetId="2" hidden="1">'Entries Register (AP) '!$A$3:$T$716</definedName>
    <definedName name="Z_35487D64_9DC9_4724_828F_12F4B95F74E6_.wvu.FilterData" localSheetId="2" hidden="1">'Entries Register (AP) '!$A$3:$T$716</definedName>
    <definedName name="Z_35751FC1_EE98_4A21_9122_0B1F783F0C26_.wvu.FilterData" localSheetId="2" hidden="1">'Entries Register (AP) '!$A$3:$T$716</definedName>
    <definedName name="Z_361CC1B3_24B1_4C5E_97DA_FEA6C767D40C_.wvu.FilterData" localSheetId="2" hidden="1">'Entries Register (AP) '!$A$3:$T$716</definedName>
    <definedName name="Z_38A04A21_D1C3_40C0_B8EB_B3E759839FEB_.wvu.FilterData" localSheetId="2" hidden="1">'Entries Register (AP) '!$A$3:$T$716</definedName>
    <definedName name="Z_38EEA0AB_6BF5_4C57_8467_2782D451FFCA_.wvu.FilterData" localSheetId="2" hidden="1">'Entries Register (AP) '!$A$3:$T$716</definedName>
    <definedName name="Z_39015E98_FE80_4346_B0EA_4E4E8265C5E0_.wvu.FilterData" localSheetId="2" hidden="1">'Entries Register (AP) '!$A$3:$T$716</definedName>
    <definedName name="Z_391106E4_BF4E_4528_A732_7BE44C252AA0_.wvu.FilterData" localSheetId="2" hidden="1">'Entries Register (AP) '!$A$3:$T$716</definedName>
    <definedName name="Z_39521A01_3937_4126_9E61_26688976E27C_.wvu.FilterData" localSheetId="2" hidden="1">'Entries Register (AP) '!$A$3:$T$716</definedName>
    <definedName name="Z_3A8C938D_5A58_4505_BF6E_FEB34F541235_.wvu.FilterData" localSheetId="2" hidden="1">'Entries Register (AP) '!$A$3:$T$801</definedName>
    <definedName name="Z_3ADF9455_6231_40B7_A769_7DE9B2B7E887_.wvu.FilterData" localSheetId="2" hidden="1">'Entries Register (AP) '!$A$3:$T$801</definedName>
    <definedName name="Z_3BB97EBE_FB1F_4055_88E7_97E0523A8706_.wvu.FilterData" localSheetId="2" hidden="1">'Entries Register (AP) '!$A$3:$T$716</definedName>
    <definedName name="Z_3BFB1E5D_5546_4D00_8E44_6F8A1516D966_.wvu.FilterData" localSheetId="2" hidden="1">'Entries Register (AP) '!$A$3:$T$638</definedName>
    <definedName name="Z_3C44CE40_1978_4B3F_8C19_4751615A1D63_.wvu.FilterData" localSheetId="2" hidden="1">'Entries Register (AP) '!$A$3:$T$716</definedName>
    <definedName name="Z_3C68C3CF_CFC5_468F_B9B3_527033D87B8E_.wvu.FilterData" localSheetId="2" hidden="1">'Entries Register (AP) '!$A$3:$T$638</definedName>
    <definedName name="Z_3C6DDE12_15B2_4314_9797_28F4056F4C09_.wvu.FilterData" localSheetId="2" hidden="1">'Entries Register (AP) '!$A$3:$T$716</definedName>
    <definedName name="Z_3CC5DF8A_CD1B_43EA_A9BB_7D0B252F6510_.wvu.FilterData" localSheetId="2" hidden="1">'Entries Register (AP) '!$A$3:$T$657</definedName>
    <definedName name="Z_3D244429_782E_4963_A66C_B8515CC82DBF_.wvu.FilterData" localSheetId="2" hidden="1">'Entries Register (AP) '!$A$3:$T$716</definedName>
    <definedName name="Z_3D2FB1FE_5CFD_48DD_8167_2C8C6A1DC4BA_.wvu.FilterData" localSheetId="2" hidden="1">'Entries Register (AP) '!$A$3:$T$716</definedName>
    <definedName name="Z_3DAD6270_5C08_4168_B3D9_79EC55F4701D_.wvu.FilterData" localSheetId="2" hidden="1">'Entries Register (AP) '!$A$3:$T$716</definedName>
    <definedName name="Z_3DE895B0_7958_42DA_95C8_453D6A82D678_.wvu.FilterData" localSheetId="0" hidden="1">DMDT!$B$4:$P$1910</definedName>
    <definedName name="Z_3DE895B0_7958_42DA_95C8_453D6A82D678_.wvu.FilterData" localSheetId="2" hidden="1">'Entries Register (AP) '!$A$3:$T$801</definedName>
    <definedName name="Z_3E6620AE_2A42_4AB5_8F03_31CC04670293_.wvu.FilterData" localSheetId="2" hidden="1">'Entries Register (AP) '!$A$3:$T$638</definedName>
    <definedName name="Z_3EE40433_A87C_4322_B34E_1C3A1CE85D3D_.wvu.FilterData" localSheetId="2" hidden="1">'Entries Register (AP) '!$A$3:$T$657</definedName>
    <definedName name="Z_3EEA154B_073B_4B62_9E35_E39E68DEE9F4_.wvu.FilterData" localSheetId="2" hidden="1">'Entries Register (AP) '!$A$3:$T$716</definedName>
    <definedName name="Z_3F182D21_212D_42B2_818B_B9FDFE079990_.wvu.FilterData" localSheetId="2" hidden="1">'Entries Register (AP) '!$A$3:$T$716</definedName>
    <definedName name="Z_3F6AA5AD_9656_441F_AF9E_94527DF63D38_.wvu.FilterData" localSheetId="2" hidden="1">'Entries Register (AP) '!$A$3:$T$716</definedName>
    <definedName name="Z_3F9985C1_2232_40A8_A486_FB8D74CC2512_.wvu.FilterData" localSheetId="2" hidden="1">'Entries Register (AP) '!$A$3:$T$716</definedName>
    <definedName name="Z_3FD8EF0C_3704_41A8_984B_46119EE2BF8B_.wvu.FilterData" localSheetId="2" hidden="1">'Entries Register (AP) '!$A$3:$T$716</definedName>
    <definedName name="Z_3FDBD0D4_6EE2_47EB_8B18_003426472F85_.wvu.FilterData" localSheetId="2" hidden="1">'Entries Register (AP) '!$A$3:$T$716</definedName>
    <definedName name="Z_400BFF51_2598_4FCA_BD59_CFFFC4EA3FED_.wvu.FilterData" localSheetId="2" hidden="1">'Entries Register (AP) '!$A$3:$T$801</definedName>
    <definedName name="Z_4060910F_7168_4879_8C03_17BA7F0B9647_.wvu.FilterData" localSheetId="2" hidden="1">'Entries Register (AP) '!$A$3:$T$716</definedName>
    <definedName name="Z_40D78CF7_49C6_48E0_A359_D81D0608958A_.wvu.FilterData" localSheetId="2" hidden="1">'Entries Register (AP) '!$A$3:$T$657</definedName>
    <definedName name="Z_40FD534F_E88C_459F_86C6_C7BF7783CD16_.wvu.FilterData" localSheetId="2" hidden="1">'Entries Register (AP) '!$A$3:$T$801</definedName>
    <definedName name="Z_412FC3F0_6965_43CB_A900_6631B587A45D_.wvu.FilterData" localSheetId="2" hidden="1">'Entries Register (AP) '!$A$3:$T$657</definedName>
    <definedName name="Z_41B5D7DF_64A3_4755_996C_C888EA3EA06A_.wvu.FilterData" localSheetId="2" hidden="1">'Entries Register (AP) '!$A$3:$T$657</definedName>
    <definedName name="Z_41DC06C4_1FCD_4F73_878D_E2AB02675AD5_.wvu.FilterData" localSheetId="2" hidden="1">'Entries Register (AP) '!$A$3:$T$716</definedName>
    <definedName name="Z_4234BE3B_9BE7_4FF9_B518_FEFBB76F1F2C_.wvu.FilterData" localSheetId="2" hidden="1">'Entries Register (AP) '!$A$3:$T$716</definedName>
    <definedName name="Z_423843D6_2B45_4417_AAE9_B031F5E685E3_.wvu.FilterData" localSheetId="2" hidden="1">'Entries Register (AP) '!$A$3:$T$716</definedName>
    <definedName name="Z_428035B0_09B0_4876_8A18_80DC32D76F27_.wvu.FilterData" localSheetId="2" hidden="1">'Entries Register (AP) '!$A$3:$T$800</definedName>
    <definedName name="Z_428203C5_7124_49A0_BC72_E1CE5E9B67E1_.wvu.FilterData" localSheetId="2" hidden="1">'Entries Register (AP) '!$A$3:$T$716</definedName>
    <definedName name="Z_42CC66DC_DB59_4349_8D03_9C99DB7A02FB_.wvu.FilterData" localSheetId="2" hidden="1">'Entries Register (AP) '!$A$3:$T$716</definedName>
    <definedName name="Z_42D6168F_B060_4ABC_8145_A3EEDE279C38_.wvu.FilterData" localSheetId="2" hidden="1">'Entries Register (AP) '!$A$3:$T$657</definedName>
    <definedName name="Z_42FF5A65_AF2C_4C12_9770_E5159440E37F_.wvu.FilterData" localSheetId="2" hidden="1">'Entries Register (AP) '!$A$3:$T$716</definedName>
    <definedName name="Z_43002857_2D35_4A35_B36A_947F964604DF_.wvu.FilterData" localSheetId="2" hidden="1">'Entries Register (AP) '!$A$3:$T$802</definedName>
    <definedName name="Z_43387AC9_72BE_4AB8_B679_2D4E015B95B5_.wvu.FilterData" localSheetId="2" hidden="1">'Entries Register (AP) '!$A$3:$T$716</definedName>
    <definedName name="Z_4365BF0E_8A5C_4809_9B29_A73FD461ECA8_.wvu.FilterData" localSheetId="2" hidden="1">'Entries Register (AP) '!$A$3:$T$716</definedName>
    <definedName name="Z_438289E8_BC0C_428A_8F0B_8F5805A35CE1_.wvu.FilterData" localSheetId="2" hidden="1">'Entries Register (AP) '!$A$3:$T$716</definedName>
    <definedName name="Z_43D0284C_12FF_4A5C_9915_7DAAA5DB59B1_.wvu.FilterData" localSheetId="2" hidden="1">'Entries Register (AP) '!$A$3:$T$716</definedName>
    <definedName name="Z_44514124_E720_456A_86A5_E37F2A42E356_.wvu.FilterData" localSheetId="2" hidden="1">'Entries Register (AP) '!$A$3:$T$716</definedName>
    <definedName name="Z_45010D7A_22C7_482E_88E9_EAC0876711D6_.wvu.FilterData" localSheetId="2" hidden="1">'Entries Register (AP) '!$A$3:$T$716</definedName>
    <definedName name="Z_4567DB06_20AC_4FEA_B2B0_67FC1E2C1C5A_.wvu.FilterData" localSheetId="2" hidden="1">'Entries Register (AP) '!$A$3:$T$716</definedName>
    <definedName name="Z_4588A628_BF23_4E5D_B3C6_AA9B5F186DD5_.wvu.FilterData" localSheetId="2" hidden="1">'Entries Register (AP) '!$A$3:$T$716</definedName>
    <definedName name="Z_45CFA207_F336_4611_895C_D7891F02F4EC_.wvu.FilterData" localSheetId="2" hidden="1">'Entries Register (AP) '!$A$3:$T$716</definedName>
    <definedName name="Z_46A1343D_31B8_4EB3_B549_4A517357D944_.wvu.FilterData" localSheetId="2" hidden="1">'Entries Register (AP) '!$A$3:$T$716</definedName>
    <definedName name="Z_46A90DD2_1222_4FE3_85FE_1904B7CA1A1A_.wvu.FilterData" localSheetId="2" hidden="1">'Entries Register (AP) '!$A$3:$T$716</definedName>
    <definedName name="Z_46EDA6B7_C15F_4ABB_B469_3B5A263D11A1_.wvu.FilterData" localSheetId="2" hidden="1">'Entries Register (AP) '!$A$3:$T$657</definedName>
    <definedName name="Z_46F5B8C2_F3BA_413E_8FF9_46D10B89B396_.wvu.FilterData" localSheetId="2" hidden="1">'Entries Register (AP) '!$A$3:$T$638</definedName>
    <definedName name="Z_47013643_A4FA_409D_BAA3_95E78035C922_.wvu.FilterData" localSheetId="2" hidden="1">'Entries Register (AP) '!$A$3:$T$657</definedName>
    <definedName name="Z_471845D7_3D29_4D0C_BE0A_07927586A7FA_.wvu.FilterData" localSheetId="2" hidden="1">'Entries Register (AP) '!$A$3:$T$716</definedName>
    <definedName name="Z_47B54DB7_426B_4FD2_9220_9A8DA28FF002_.wvu.FilterData" localSheetId="2" hidden="1">'Entries Register (AP) '!$A$3:$T$716</definedName>
    <definedName name="Z_485D9F32_ECAA_416F_834B_091A6428C2B8_.wvu.FilterData" localSheetId="2" hidden="1">'Entries Register (AP) '!$A$3:$T$716</definedName>
    <definedName name="Z_4883FBB1_070E_41E6_860B_ED8DE6CA42AC_.wvu.FilterData" localSheetId="2" hidden="1">'Entries Register (AP) '!$A$3:$T$716</definedName>
    <definedName name="Z_488BFF11_CD93_4B90_8749_18DFE4399C53_.wvu.FilterData" localSheetId="2" hidden="1">'Entries Register (AP) '!$A$3:$T$716</definedName>
    <definedName name="Z_48A40BE9_E4B3_4DEC_B471_B4B3A9617AB7_.wvu.FilterData" localSheetId="2" hidden="1">'Entries Register (AP) '!$A$3:$T$716</definedName>
    <definedName name="Z_48C8170F_191F_4AA8_BE12_945C7280B690_.wvu.FilterData" localSheetId="2" hidden="1">'Entries Register (AP) '!$A$3:$T$716</definedName>
    <definedName name="Z_49BCABFC_FF04_48D1_A6BB_AB2A2ECA9D08_.wvu.FilterData" localSheetId="2" hidden="1">'Entries Register (AP) '!$A$3:$T$657</definedName>
    <definedName name="Z_49CC5D3C_3A31_4193_8DEA_5422114FBEF1_.wvu.FilterData" localSheetId="2" hidden="1">'Entries Register (AP) '!$A$3:$T$716</definedName>
    <definedName name="Z_4A1A70BC_5104_40F9_B990_06D8094AAEDC_.wvu.FilterData" localSheetId="2" hidden="1">'Entries Register (AP) '!$A$3:$T$801</definedName>
    <definedName name="Z_4A40F500_F6A9_40CF_99BD_59D6BE5404AE_.wvu.FilterData" localSheetId="2" hidden="1">'Entries Register (AP) '!$A$3:$T$716</definedName>
    <definedName name="Z_4A822DED_2BCB_4F2F_BBE6_64F31666646D_.wvu.FilterData" localSheetId="2" hidden="1">'Entries Register (AP) '!$A$3:$T$716</definedName>
    <definedName name="Z_4AEBCA9C_AECB_45E2_9745_6CFAA800FD08_.wvu.FilterData" localSheetId="2" hidden="1">'Entries Register (AP) '!$A$3:$T$716</definedName>
    <definedName name="Z_4B3D48AC_9FB6_49D1_BD20_59345F51E7EE_.wvu.FilterData" localSheetId="2" hidden="1">'Entries Register (AP) '!$A$3:$T$801</definedName>
    <definedName name="Z_4B43D523_2E51_406C_9A88_CE41AD499C60_.wvu.FilterData" localSheetId="2" hidden="1">'Entries Register (AP) '!$A$3:$T$657</definedName>
    <definedName name="Z_4B561A13_F022_4106_ABAE_59311124BB1B_.wvu.FilterData" localSheetId="2" hidden="1">'Entries Register (AP) '!$A$3:$T$657</definedName>
    <definedName name="Z_4BE4444C_D941_4FE6_B6B1_142E675CE4B5_.wvu.FilterData" localSheetId="2" hidden="1">'Entries Register (AP) '!$A$3:$T$800</definedName>
    <definedName name="Z_4C957469_4088_4F41_BEB8_6DFA7C968FE7_.wvu.FilterData" localSheetId="2" hidden="1">'Entries Register (AP) '!$A$3:$T$716</definedName>
    <definedName name="Z_4CB40C57_6885_48C0_968B_211E98FFEA87_.wvu.FilterData" localSheetId="2" hidden="1">'Entries Register (AP) '!$A$3:$T$716</definedName>
    <definedName name="Z_4CDBFFCB_D7FA_4817_8AF4_4F4B46BFD523_.wvu.FilterData" localSheetId="2" hidden="1">'Entries Register (AP) '!$A$3:$T$716</definedName>
    <definedName name="Z_4CDD49E3_4F19_43CC_A639_2A1A9D3A69EC_.wvu.FilterData" localSheetId="2" hidden="1">'Entries Register (AP) '!$A$3:$T$716</definedName>
    <definedName name="Z_4CE3438A_E325_4303_AB41_F5FFE92853A4_.wvu.FilterData" localSheetId="2" hidden="1">'Entries Register (AP) '!$A$3:$T$716</definedName>
    <definedName name="Z_4D63373C_ACEC_4A46_BCC0_BB1C9CBF363E_.wvu.FilterData" localSheetId="2" hidden="1">'Entries Register (AP) '!$A$3:$T$657</definedName>
    <definedName name="Z_4DAA3C36_7B3E_40F4_88A9_C655AB144DCF_.wvu.FilterData" localSheetId="2" hidden="1">'Entries Register (AP) '!$A$3:$T$800</definedName>
    <definedName name="Z_4E9D2CE4_9FEB_47B1_9697_3B1960D55B46_.wvu.FilterData" localSheetId="2" hidden="1">'Entries Register (AP) '!$A$3:$T$716</definedName>
    <definedName name="Z_4ED685F3_7014_4FA7_9051_0A34696A327D_.wvu.FilterData" localSheetId="2" hidden="1">'Entries Register (AP) '!$A$3:$T$716</definedName>
    <definedName name="Z_4F0DFFC2_87A2_4EB1_8F66_37789C10AA8F_.wvu.FilterData" localSheetId="2" hidden="1">'Entries Register (AP) '!$A$3:$T$657</definedName>
    <definedName name="Z_4F67A99D_93F9_40E8_994F_66066A67EB62_.wvu.FilterData" localSheetId="2" hidden="1">'Entries Register (AP) '!$A$3:$T$657</definedName>
    <definedName name="Z_4F6FC50F_C8FE_44F0_BF21_1E1775A0CE13_.wvu.FilterData" localSheetId="2" hidden="1">'Entries Register (AP) '!$A$3:$T$638</definedName>
    <definedName name="Z_4FED2C49_3D21_4277_AEB1_72BC93C57105_.wvu.FilterData" localSheetId="2" hidden="1">'Entries Register (AP) '!$A$3:$T$801</definedName>
    <definedName name="Z_50209439_1C47_4469_AE9D_FB6CBC8759F5_.wvu.FilterData" localSheetId="2" hidden="1">'Entries Register (AP) '!$A$3:$T$716</definedName>
    <definedName name="Z_504B7A4E_94F9_4886_AE51_A7F34E0B685B_.wvu.FilterData" localSheetId="2" hidden="1">'Entries Register (AP) '!$A$3:$T$716</definedName>
    <definedName name="Z_505604C3_F43B_4F17_9EEB_D04E2E4ABD39_.wvu.FilterData" localSheetId="2" hidden="1">'Entries Register (AP) '!$A$3:$T$716</definedName>
    <definedName name="Z_50DAF79C_1D1F_430A_AC4C_5A1C5AEF2AFF_.wvu.FilterData" localSheetId="2" hidden="1">'Entries Register (AP) '!$A$3:$T$801</definedName>
    <definedName name="Z_514729ED_FBA1_41D6_A33F_77E5B0BEC019_.wvu.FilterData" localSheetId="2" hidden="1">'Entries Register (AP) '!$A$3:$T$657</definedName>
    <definedName name="Z_514E8334_6D0F_402F_BA54_6C389ED5D20E_.wvu.FilterData" localSheetId="2" hidden="1">'Entries Register (AP) '!$A$3:$T$716</definedName>
    <definedName name="Z_51509DAC_8534_4301_8158_4481F06FFE91_.wvu.FilterData" localSheetId="2" hidden="1">'Entries Register (AP) '!$A$3:$T$716</definedName>
    <definedName name="Z_51B93B8F_8B33_4252_9D19_94333D414E2E_.wvu.FilterData" localSheetId="2" hidden="1">'Entries Register (AP) '!$A$3:$T$716</definedName>
    <definedName name="Z_520C2249_348F_44A1_9FC1_22A76280E895_.wvu.FilterData" localSheetId="2" hidden="1">'Entries Register (AP) '!$A$3:$T$716</definedName>
    <definedName name="Z_5239D44B_CE79_4C26_B504_CD30D3504F08_.wvu.FilterData" localSheetId="2" hidden="1">'Entries Register (AP) '!$A$3:$T$657</definedName>
    <definedName name="Z_525F5B0A_99F1_41F5_8CCC_E4BE4D0A21E4_.wvu.FilterData" localSheetId="2" hidden="1">'Entries Register (AP) '!$A$3:$T$716</definedName>
    <definedName name="Z_529BED2D_4D45_4ED7_8D06_5EC78AB4C483_.wvu.FilterData" localSheetId="2" hidden="1">'Entries Register (AP) '!$A$3:$T$716</definedName>
    <definedName name="Z_53125E00_BEF5_4620_8D20_A2EBE170900C_.wvu.FilterData" localSheetId="2" hidden="1">'Entries Register (AP) '!$A$3:$T$716</definedName>
    <definedName name="Z_539EA727_3974_495E_A78A_671E91597CD8_.wvu.FilterData" localSheetId="2" hidden="1">'Entries Register (AP) '!$A$3:$T$801</definedName>
    <definedName name="Z_53E7EAD0_BCC8_4C31_BDA6_47C2A7ABDD48_.wvu.FilterData" localSheetId="2" hidden="1">'Entries Register (AP) '!$A$3:$T$657</definedName>
    <definedName name="Z_5421CE5A_FCF5_429D_84E5_429559EB91AC_.wvu.FilterData" localSheetId="2" hidden="1">'Entries Register (AP) '!$A$3:$T$716</definedName>
    <definedName name="Z_54AFD08C_5B1A_4341_9178_187B196002E4_.wvu.FilterData" localSheetId="2" hidden="1">'Entries Register (AP) '!$A$3:$T$716</definedName>
    <definedName name="Z_553E0305_BAF1_48AF_83E4_CA3DDF51C85B_.wvu.FilterData" localSheetId="2" hidden="1">'Entries Register (AP) '!$A$3:$T$716</definedName>
    <definedName name="Z_554A19E2_DA5E_415E_B233_4D51D712ACA1_.wvu.FilterData" localSheetId="2" hidden="1">'Entries Register (AP) '!$A$3:$T$657</definedName>
    <definedName name="Z_55644708_A12F_4A4E_A5A9_881C5DE7FE47_.wvu.FilterData" localSheetId="2" hidden="1">'Entries Register (AP) '!$A$3:$T$800</definedName>
    <definedName name="Z_55BCDC0B_C0A7_42EA_96ED_26DBB2B7CC0E_.wvu.FilterData" localSheetId="2" hidden="1">'Entries Register (AP) '!$A$3:$T$716</definedName>
    <definedName name="Z_55C8A54E_F1CA_4794_A380_B69997D1D0D5_.wvu.FilterData" localSheetId="2" hidden="1">'Entries Register (AP) '!$A$3:$T$657</definedName>
    <definedName name="Z_55CB7C3D_B7D2_49A2_B138_15C588571D6C_.wvu.FilterData" localSheetId="2" hidden="1">'Entries Register (AP) '!$A$3:$T$657</definedName>
    <definedName name="Z_55D2D17F_D773_4505_B22B_EB45611F028C_.wvu.FilterData" localSheetId="2" hidden="1">'Entries Register (AP) '!$A$3:$T$801</definedName>
    <definedName name="Z_5633C83A_1BD1_4DBD_8D0E_DC50F4A0D23E_.wvu.FilterData" localSheetId="2" hidden="1">'Entries Register (AP) '!$A$3:$T$716</definedName>
    <definedName name="Z_5635BDE3_7451_4B4B_8D8D_1C9DB58ADFC7_.wvu.FilterData" localSheetId="2" hidden="1">'Entries Register (AP) '!$A$3:$T$716</definedName>
    <definedName name="Z_56654B0F_5CB2_42ED_B5CE_E0D1E473FCF9_.wvu.FilterData" localSheetId="2" hidden="1">'Entries Register (AP) '!$A$3:$T$716</definedName>
    <definedName name="Z_56AD9777_04E8_4DEF_BC9C_50CA474E387C_.wvu.FilterData" localSheetId="2" hidden="1">'Entries Register (AP) '!$A$3:$T$716</definedName>
    <definedName name="Z_56B3435D_C8DA_4DA8_B1B4_73E0BC380400_.wvu.FilterData" localSheetId="2" hidden="1">'Entries Register (AP) '!$A$3:$T$716</definedName>
    <definedName name="Z_5737B48C_556B_4D93_915B_BC0A6A57D6B0_.wvu.FilterData" localSheetId="2" hidden="1">'Entries Register (AP) '!$A$3:$T$716</definedName>
    <definedName name="Z_578E2E2A_DAD3_4719_8258_82AFA8BB87F3_.wvu.FilterData" localSheetId="2" hidden="1">'Entries Register (AP) '!$A$3:$T$802</definedName>
    <definedName name="Z_57BEB191_94B0_4B6E_9DFF_B1C0C581BF57_.wvu.FilterData" localSheetId="2" hidden="1">'Entries Register (AP) '!$A$3:$T$716</definedName>
    <definedName name="Z_57C29CDE_E83E_462D_A777_09B3BD370DC3_.wvu.FilterData" localSheetId="2" hidden="1">'Entries Register (AP) '!$A$3:$W$618</definedName>
    <definedName name="Z_57C646EA_72A5_4C9F_8C65_3AAEF621AA04_.wvu.FilterData" localSheetId="2" hidden="1">'Entries Register (AP) '!$A$3:$T$802</definedName>
    <definedName name="Z_583FA47A_E42D_436C_973C_34C9B362F896_.wvu.FilterData" localSheetId="2" hidden="1">'Entries Register (AP) '!$A$3:$T$802</definedName>
    <definedName name="Z_58F53A64_BB27_4C90_B84E_FD4F05B655C9_.wvu.FilterData" localSheetId="2" hidden="1">'Entries Register (AP) '!$A$3:$T$716</definedName>
    <definedName name="Z_58FFB914_2090_454A_B7F0_357D65DE7C5F_.wvu.FilterData" localSheetId="2" hidden="1">'Entries Register (AP) '!$A$3:$T$716</definedName>
    <definedName name="Z_5999CF71_5916_405F_8355_6A107079E9A3_.wvu.FilterData" localSheetId="2" hidden="1">'Entries Register (AP) '!$A$3:$T$716</definedName>
    <definedName name="Z_59AC7BD9_9F4E_45B3_801B_B3F4BAA5E25D_.wvu.FilterData" localSheetId="2" hidden="1">'Entries Register (AP) '!$A$3:$T$657</definedName>
    <definedName name="Z_59D10C15_3DE2_4020_B242_92DF290451C7_.wvu.FilterData" localSheetId="2" hidden="1">'Entries Register (AP) '!$A$3:$T$716</definedName>
    <definedName name="Z_5A283748_05A5_4497_822D_2B0B0F567267_.wvu.FilterData" localSheetId="2" hidden="1">'Entries Register (AP) '!$A$3:$T$638</definedName>
    <definedName name="Z_5A3E9E7C_E676_4248_A3F0_D4AD814FD2D2_.wvu.FilterData" localSheetId="2" hidden="1">'Entries Register (AP) '!$A$3:$T$716</definedName>
    <definedName name="Z_5B1CD082_C080_47E1_86E6_6AF3051A3F5A_.wvu.FilterData" localSheetId="2" hidden="1">'Entries Register (AP) '!$A$3:$T$716</definedName>
    <definedName name="Z_5B2CD4BA_63CB_445C_8FF5_0FA4A7119C70_.wvu.FilterData" localSheetId="2" hidden="1">'Entries Register (AP) '!$A$3:$T$716</definedName>
    <definedName name="Z_5B3FBBA4_C934_4C9F_8B8C_C9DF15BAC1FB_.wvu.FilterData" localSheetId="2" hidden="1">'Entries Register (AP) '!$A$3:$T$716</definedName>
    <definedName name="Z_5B4B8429_C5A5_4E97_B876_3D6981E2743D_.wvu.FilterData" localSheetId="2" hidden="1">'Entries Register (AP) '!$A$3:$T$638</definedName>
    <definedName name="Z_5BA7BC8E_BA8D_4E2D_B108_44B9CC8B5453_.wvu.FilterData" localSheetId="2" hidden="1">'Entries Register (AP) '!$A$3:$T$638</definedName>
    <definedName name="Z_5BBAA51D_D062_4361_B0D9_0A00EC1FDB98_.wvu.FilterData" localSheetId="2" hidden="1">'Entries Register (AP) '!$A$3:$T$716</definedName>
    <definedName name="Z_5C89B69E_7890_48FC_A66C_5C9518641AFC_.wvu.FilterData" localSheetId="2" hidden="1">'Entries Register (AP) '!$A$3:$T$716</definedName>
    <definedName name="Z_5CBC5DBD_1F34_4979_B1BB_0E2D969E29F8_.wvu.FilterData" localSheetId="2" hidden="1">'Entries Register (AP) '!$A$3:$T$801</definedName>
    <definedName name="Z_5CDA321C_3B2E_4A21_A490_85D05018F09C_.wvu.FilterData" localSheetId="2" hidden="1">'Entries Register (AP) '!$A$3:$T$657</definedName>
    <definedName name="Z_5CEE07C0_8F5C_4F27_8857_54078E563C81_.wvu.FilterData" localSheetId="2" hidden="1">'Entries Register (AP) '!$A$3:$T$716</definedName>
    <definedName name="Z_5D0D216C_59CB_4CE2_8587_C33B96C612E2_.wvu.FilterData" localSheetId="2" hidden="1">'Entries Register (AP) '!$A$3:$T$801</definedName>
    <definedName name="Z_5DD53B52_4130_444F_8953_50AD6967721E_.wvu.Cols" localSheetId="7" hidden="1">K.P.I!#REF!</definedName>
    <definedName name="Z_5DD53B52_4130_444F_8953_50AD6967721E_.wvu.Cols" localSheetId="3" hidden="1">K.P.I_new!#REF!</definedName>
    <definedName name="Z_5DD53B52_4130_444F_8953_50AD6967721E_.wvu.FilterData" localSheetId="0" hidden="1">DMDT!$B$4:$P$1875</definedName>
    <definedName name="Z_5DD53B52_4130_444F_8953_50AD6967721E_.wvu.FilterData" localSheetId="2" hidden="1">'Entries Register (AP) '!$A$3:$T$801</definedName>
    <definedName name="Z_5E837043_2124_49AD_BCCE_47659FD548FF_.wvu.FilterData" localSheetId="2" hidden="1">'Entries Register (AP) '!$A$3:$W$638</definedName>
    <definedName name="Z_5ECA2704_5671_458B_AABC_B77C499A4C1A_.wvu.FilterData" localSheetId="2" hidden="1">'Entries Register (AP) '!$A$3:$T$716</definedName>
    <definedName name="Z_5EEB564E_5644_49AD_A927_AE11781B9C72_.wvu.FilterData" localSheetId="2" hidden="1">'Entries Register (AP) '!$A$3:$T$716</definedName>
    <definedName name="Z_5F69993C_503D_4C0C_8A4E_1CE10B0D4E5E_.wvu.FilterData" localSheetId="2" hidden="1">'Entries Register (AP) '!$A$3:$T$716</definedName>
    <definedName name="Z_5F767CCF_2706_4E3F_8332_715E1640DC12_.wvu.FilterData" localSheetId="2" hidden="1">'Entries Register (AP) '!$A$3:$T$716</definedName>
    <definedName name="Z_5F7F6708_9735_425A_9FE5_A8678A9B5B4F_.wvu.FilterData" localSheetId="2" hidden="1">'Entries Register (AP) '!$A$3:$T$716</definedName>
    <definedName name="Z_5FA60FBA_6279_4707_9DA4_DA3619DA00C7_.wvu.FilterData" localSheetId="2" hidden="1">'Entries Register (AP) '!$A$3:$T$716</definedName>
    <definedName name="Z_600C6424_A9E2_4211_8B57_B2D07059FE12_.wvu.FilterData" localSheetId="2" hidden="1">'Entries Register (AP) '!$A$3:$T$801</definedName>
    <definedName name="Z_6095F3D5_7715_41E8_BF52_32561E317A2C_.wvu.FilterData" localSheetId="2" hidden="1">'Entries Register (AP) '!$A$3:$T$716</definedName>
    <definedName name="Z_60B44B88_64E8_4ADF_8429_493DB07A1822_.wvu.FilterData" localSheetId="2" hidden="1">'Entries Register (AP) '!$A$3:$T$716</definedName>
    <definedName name="Z_60D2E2DB_FF2F_43A9_B9DA_0F1404271EF9_.wvu.FilterData" localSheetId="2" hidden="1">'Entries Register (AP) '!$A$3:$T$716</definedName>
    <definedName name="Z_611772C5_6698_4687_ACFA_16FCEA8A0F28_.wvu.FilterData" localSheetId="2" hidden="1">'Entries Register (AP) '!$A$3:$T$801</definedName>
    <definedName name="Z_61936CEA_C093_42D7_BB09_3CECAB94468C_.wvu.FilterData" localSheetId="2" hidden="1">'Entries Register (AP) '!$A$3:$T$716</definedName>
    <definedName name="Z_6244B5D4_7AC8_4DC4_B128_D20CF6A9AD3D_.wvu.FilterData" localSheetId="2" hidden="1">'Entries Register (AP) '!$A$3:$T$716</definedName>
    <definedName name="Z_627CB435_E254_45B4_8940_8F2CE27A0A2B_.wvu.FilterData" localSheetId="2" hidden="1">'Entries Register (AP) '!$A$3:$T$716</definedName>
    <definedName name="Z_629796D6_AC39_46FE_9FB7_F09974A3FD09_.wvu.FilterData" localSheetId="2" hidden="1">'Entries Register (AP) '!$A$3:$T$716</definedName>
    <definedName name="Z_633ED20A_516C_4A7D_86B7_54B912929D94_.wvu.FilterData" localSheetId="2" hidden="1">'Entries Register (AP) '!$A$3:$T$802</definedName>
    <definedName name="Z_6341B55E_A57B_48B3_B61F_7A6885157C74_.wvu.FilterData" localSheetId="2" hidden="1">'Entries Register (AP) '!$A$3:$T$716</definedName>
    <definedName name="Z_63F19F47_F116_4FF0_876B_727D7077F7EC_.wvu.FilterData" localSheetId="2" hidden="1">'Entries Register (AP) '!$A$3:$T$716</definedName>
    <definedName name="Z_63FB216F_5CD7_4A1C_9F84_4B694F4D5782_.wvu.FilterData" localSheetId="2" hidden="1">'Entries Register (AP) '!$A$3:$T$716</definedName>
    <definedName name="Z_63FB4BA7_90BF_43ED_92CB_AB4EBFA0772A_.wvu.FilterData" localSheetId="2" hidden="1">'Entries Register (AP) '!$A$3:$T$716</definedName>
    <definedName name="Z_640DF77D_5AC2_4010_82F3_CCF04E8CCD78_.wvu.FilterData" localSheetId="2" hidden="1">'Entries Register (AP) '!$A$3:$T$657</definedName>
    <definedName name="Z_643C537D_FDF2_4686_BC92_6CA4B27C93D7_.wvu.FilterData" localSheetId="2" hidden="1">'Entries Register (AP) '!$A$3:$T$716</definedName>
    <definedName name="Z_64909CE9_2819_46BE_912E_AA78682FC57D_.wvu.FilterData" localSheetId="2" hidden="1">'Entries Register (AP) '!$A$3:$T$801</definedName>
    <definedName name="Z_66407585_6996_4AB2_A672_695C50BFCCB9_.wvu.FilterData" localSheetId="2" hidden="1">'Entries Register (AP) '!$A$3:$T$716</definedName>
    <definedName name="Z_6641B719_6463_4FDD_9DBC_41F5618DBE27_.wvu.Cols" localSheetId="7" hidden="1">K.P.I!#REF!</definedName>
    <definedName name="Z_6641B719_6463_4FDD_9DBC_41F5618DBE27_.wvu.Cols" localSheetId="3" hidden="1">K.P.I_new!#REF!</definedName>
    <definedName name="Z_6641B719_6463_4FDD_9DBC_41F5618DBE27_.wvu.FilterData" localSheetId="2" hidden="1">'Entries Register (AP) '!$A$3:$T$638</definedName>
    <definedName name="Z_66602A7C_EF65_42F2_9D7F_1B0D4A210927_.wvu.FilterData" localSheetId="2" hidden="1">'Entries Register (AP) '!$A$3:$T$716</definedName>
    <definedName name="Z_66B0C614_2BD6_4E0F_8857_042BE94CC332_.wvu.FilterData" localSheetId="2" hidden="1">'Entries Register (AP) '!$A$3:$T$716</definedName>
    <definedName name="Z_66BA76C2_59E1_4BD1_B1B5_EEE447247E65_.wvu.FilterData" localSheetId="2" hidden="1">'Entries Register (AP) '!$A$3:$T$802</definedName>
    <definedName name="Z_66EB3A7A_87CF_46F2_99E0_130E7F712477_.wvu.FilterData" localSheetId="2" hidden="1">'Entries Register (AP) '!$A$3:$T$716</definedName>
    <definedName name="Z_66F1D723_C0EB_47E0_B9B5_ACF386189602_.wvu.FilterData" localSheetId="2" hidden="1">'Entries Register (AP) '!$A$3:$T$716</definedName>
    <definedName name="Z_67D07472_9532_4C5B_AB5B_E44E286DFDE0_.wvu.FilterData" localSheetId="2" hidden="1">'Entries Register (AP) '!$A$3:$T$716</definedName>
    <definedName name="Z_68649F1C_51C5_4E11_8392_48C6440A21F1_.wvu.FilterData" localSheetId="2" hidden="1">'Entries Register (AP) '!$A$3:$T$801</definedName>
    <definedName name="Z_688551AD_ED0D_40C5_9164_2771D73A4090_.wvu.FilterData" localSheetId="2" hidden="1">'Entries Register (AP) '!$A$3:$T$716</definedName>
    <definedName name="Z_68E409D6_65F5_4238_808A_6FC013E77317_.wvu.FilterData" localSheetId="2" hidden="1">'Entries Register (AP) '!$A$3:$T$638</definedName>
    <definedName name="Z_694F0621_7241_4A84_B50C_B902EB0D635D_.wvu.FilterData" localSheetId="2" hidden="1">'Entries Register (AP) '!$A$3:$T$801</definedName>
    <definedName name="Z_69523D02_6CFF_4B20_9ECB_FEA47F1EB5C9_.wvu.FilterData" localSheetId="2" hidden="1">'Entries Register (AP) '!$A$3:$T$801</definedName>
    <definedName name="Z_69B863BC_D54E_4DC4_BCAF_F50B54DAD2A1_.wvu.FilterData" localSheetId="2" hidden="1">'Entries Register (AP) '!$A$3:$T$801</definedName>
    <definedName name="Z_69C37C7A_E2B6_421F_8495_F2BFA63FBEAE_.wvu.FilterData" localSheetId="2" hidden="1">'Entries Register (AP) '!$A$3:$T$716</definedName>
    <definedName name="Z_6A9A4ACE_B182_439C_8070_E831002329B2_.wvu.FilterData" localSheetId="2" hidden="1">'Entries Register (AP) '!$A$3:$T$716</definedName>
    <definedName name="Z_6B63CA2A_5B83_4800_90BD_3AEBAEA4BF53_.wvu.FilterData" localSheetId="2" hidden="1">'Entries Register (AP) '!$A$3:$T$716</definedName>
    <definedName name="Z_6B92CC6C_83DA_4D18_9AEA_8DD77B260EE5_.wvu.FilterData" localSheetId="2" hidden="1">'Entries Register (AP) '!$A$3:$T$657</definedName>
    <definedName name="Z_6C5EE851_410A_4E11_9FF6_A15257AA26E3_.wvu.FilterData" localSheetId="2" hidden="1">'Entries Register (AP) '!$A$3:$T$801</definedName>
    <definedName name="Z_6C89E7D5_F9B5_4715_B0F8_59ED97D15EDE_.wvu.FilterData" localSheetId="2" hidden="1">'Entries Register (AP) '!$A$3:$T$716</definedName>
    <definedName name="Z_6C90F462_2999_44B3_9F1E_B74FC4F9BD85_.wvu.FilterData" localSheetId="2" hidden="1">'Entries Register (AP) '!$A$3:$T$801</definedName>
    <definedName name="Z_6C925412_00D2_4C8B_9CF1_451B1A9FE462_.wvu.FilterData" localSheetId="2" hidden="1">'Entries Register (AP) '!$A$3:$T$716</definedName>
    <definedName name="Z_6CA53BEC_F4CB_4F7D_96DC_B9C762BD77C9_.wvu.FilterData" localSheetId="2" hidden="1">'Entries Register (AP) '!$A$3:$T$716</definedName>
    <definedName name="Z_6CD74B74_ED37_499D_B80C_9222890CB52E_.wvu.FilterData" localSheetId="2" hidden="1">'Entries Register (AP) '!$A$3:$T$638</definedName>
    <definedName name="Z_6CF718A0_F66D_44FA_8600_2479F673CF28_.wvu.FilterData" localSheetId="2" hidden="1">'Entries Register (AP) '!$A$3:$T$716</definedName>
    <definedName name="Z_6D5687CA_CEF6_4796_B5E4_01BE979FB227_.wvu.FilterData" localSheetId="2" hidden="1">'Entries Register (AP) '!$A$3:$T$716</definedName>
    <definedName name="Z_6D6D3799_A844_4543_ADC6_5FEA877511A8_.wvu.FilterData" localSheetId="2" hidden="1">'Entries Register (AP) '!$A$3:$T$801</definedName>
    <definedName name="Z_6D981A9A_E682_4C9B_B75E_5D2FC9F05143_.wvu.FilterData" localSheetId="2" hidden="1">'Entries Register (AP) '!$A$3:$T$657</definedName>
    <definedName name="Z_6E65F870_68BD_41CA_86A4_57CFEF53914A_.wvu.FilterData" localSheetId="2" hidden="1">'Entries Register (AP) '!$A$3:$T$716</definedName>
    <definedName name="Z_6E6DF4D0_70BB_4E9A_BA1C_C5B02AF2A933_.wvu.FilterData" localSheetId="2" hidden="1">'Entries Register (AP) '!$A$3:$T$716</definedName>
    <definedName name="Z_6F0ED2C3_59BB_410F_A206_2F7EB07DAFAE_.wvu.FilterData" localSheetId="2" hidden="1">'Entries Register (AP) '!$A$3:$T$716</definedName>
    <definedName name="Z_6FBE6E51_8343_419E_9F76_9ADB61C62E18_.wvu.FilterData" localSheetId="2" hidden="1">'Entries Register (AP) '!$A$3:$T$716</definedName>
    <definedName name="Z_6FCA8436_23EB_4313_A6D7_D5E5141D954C_.wvu.FilterData" localSheetId="2" hidden="1">'Entries Register (AP) '!$A$3:$T$716</definedName>
    <definedName name="Z_6FEAABA3_8AA7_48F3_8283_EFAF5B304EAB_.wvu.FilterData" localSheetId="2" hidden="1">'Entries Register (AP) '!$A$3:$T$716</definedName>
    <definedName name="Z_70719777_E7A0_4D22_81B4_E88C8BA74EFD_.wvu.FilterData" localSheetId="2" hidden="1">'Entries Register (AP) '!$A$3:$T$801</definedName>
    <definedName name="Z_70E58E14_28CA_40BE_AA30_5D38B6F66B7E_.wvu.FilterData" localSheetId="2" hidden="1">'Entries Register (AP) '!$A$3:$T$716</definedName>
    <definedName name="Z_7129E15B_952E_44BB_8157_6E1F6EF8C7BA_.wvu.FilterData" localSheetId="2" hidden="1">'Entries Register (AP) '!$A$3:$T$638</definedName>
    <definedName name="Z_712A0A79_8BFE_40EE_A7CA_A68BBC0BEF8C_.wvu.FilterData" localSheetId="2" hidden="1">'Entries Register (AP) '!$A$3:$T$657</definedName>
    <definedName name="Z_71618E97_7017_4301_A455_383DED490761_.wvu.FilterData" localSheetId="2" hidden="1">'Entries Register (AP) '!$A$3:$T$716</definedName>
    <definedName name="Z_7202281C_E48C_4467_93CA_DD291DD75FD0_.wvu.FilterData" localSheetId="2" hidden="1">'Entries Register (AP) '!$A$3:$T$716</definedName>
    <definedName name="Z_721360B4_1084_4A1F_88BA_8F179C834BC8_.wvu.FilterData" localSheetId="2" hidden="1">'Entries Register (AP) '!$A$3:$T$800</definedName>
    <definedName name="Z_7217BCFA_F62F_4145_95A0_FE8B0062B7B7_.wvu.FilterData" localSheetId="2" hidden="1">'Entries Register (AP) '!$A$3:$T$657</definedName>
    <definedName name="Z_725A0203_96CC_4E22_B825_2B3A51861088_.wvu.FilterData" localSheetId="2" hidden="1">'Entries Register (AP) '!$A$3:$T$716</definedName>
    <definedName name="Z_725B3311_E4E2_4C10_BD4D_A93E171033E4_.wvu.FilterData" localSheetId="2" hidden="1">'Entries Register (AP) '!$A$3:$T$716</definedName>
    <definedName name="Z_727E6FA0_AD8E_49DE_9CD9_2D2B2E5E4F23_.wvu.FilterData" localSheetId="2" hidden="1">'Entries Register (AP) '!$A$3:$T$716</definedName>
    <definedName name="Z_7280EEC6_C4A9_4233_8717_334CE9195B42_.wvu.FilterData" localSheetId="2" hidden="1">'Entries Register (AP) '!$A$3:$T$800</definedName>
    <definedName name="Z_72CEBEC7_B41A_4641_A7D7_F43D5B49BC19_.wvu.FilterData" localSheetId="2" hidden="1">'Entries Register (AP) '!$A$3:$T$716</definedName>
    <definedName name="Z_7320D5E6_3EFF_47BD_B016_8642543F6209_.wvu.FilterData" localSheetId="2" hidden="1">'Entries Register (AP) '!$A$3:$T$716</definedName>
    <definedName name="Z_7332D7E8_5DA3_4258_A059_F1802BBAB07C_.wvu.FilterData" localSheetId="2" hidden="1">'Entries Register (AP) '!$A$3:$T$716</definedName>
    <definedName name="Z_7403DC4B_B8B5_479D_BFD9_270D76F3B9CD_.wvu.FilterData" localSheetId="2" hidden="1">'Entries Register (AP) '!$A$3:$T$716</definedName>
    <definedName name="Z_7411BB9B_67DA_46D2_85F0_85745E9AD1C7_.wvu.FilterData" localSheetId="2" hidden="1">'Entries Register (AP) '!$A$3:$T$716</definedName>
    <definedName name="Z_74358CC0_9054_424B_9638_2A51B89329B8_.wvu.FilterData" localSheetId="2" hidden="1">'Entries Register (AP) '!$A$3:$T$716</definedName>
    <definedName name="Z_743C5FC6_E164_4B69_805C_447974C86935_.wvu.FilterData" localSheetId="2" hidden="1">'Entries Register (AP) '!$A$3:$T$801</definedName>
    <definedName name="Z_74629590_B601_4DC8_A4D4_2D7CB90EE0BD_.wvu.FilterData" localSheetId="2" hidden="1">'Entries Register (AP) '!$A$3:$T$716</definedName>
    <definedName name="Z_749D9698_B894_4DFF_8417_4714D300BBF0_.wvu.FilterData" localSheetId="2" hidden="1">'Entries Register (AP) '!$A$3:$T$716</definedName>
    <definedName name="Z_74EC8052_7A4E_4696_A714_C9F977A4A9C3_.wvu.FilterData" localSheetId="2" hidden="1">'Entries Register (AP) '!$A$3:$T$801</definedName>
    <definedName name="Z_75173077_A93F_432D_9964_852D57AB89EA_.wvu.FilterData" localSheetId="2" hidden="1">'Entries Register (AP) '!$A$3:$T$716</definedName>
    <definedName name="Z_751E7120_5A6B_416B_951A_31D7129DA560_.wvu.FilterData" localSheetId="2" hidden="1">'Entries Register (AP) '!$A$3:$T$716</definedName>
    <definedName name="Z_755EDD07_70A9_4917_A87B_77088E981991_.wvu.FilterData" localSheetId="2" hidden="1">'Entries Register (AP) '!$A$3:$T$657</definedName>
    <definedName name="Z_756472F5_642F_4282_AE62_077B64D7DB89_.wvu.FilterData" localSheetId="2" hidden="1">'Entries Register (AP) '!$A$3:$T$716</definedName>
    <definedName name="Z_75F545D8_957D_412C_B66B_DD1178A45800_.wvu.Cols" localSheetId="2" hidden="1">'Entries Register (AP) '!#REF!</definedName>
    <definedName name="Z_75F545D8_957D_412C_B66B_DD1178A45800_.wvu.Cols" localSheetId="7" hidden="1">K.P.I!#REF!</definedName>
    <definedName name="Z_75F545D8_957D_412C_B66B_DD1178A45800_.wvu.Cols" localSheetId="3" hidden="1">K.P.I_new!#REF!</definedName>
    <definedName name="Z_75F545D8_957D_412C_B66B_DD1178A45800_.wvu.FilterData" localSheetId="2" hidden="1">'Entries Register (AP) '!$A$3:$T$716</definedName>
    <definedName name="Z_75F67B81_A6A5_4091_AC59_0709955B432D_.wvu.FilterData" localSheetId="2" hidden="1">'Entries Register (AP) '!$A$3:$T$716</definedName>
    <definedName name="Z_76553192_FB58_4536_BB4E_7DBE92299869_.wvu.FilterData" localSheetId="2" hidden="1">'Entries Register (AP) '!$A$3:$T$800</definedName>
    <definedName name="Z_76682524_1368_435B_A193_49BEDC4AEEE5_.wvu.FilterData" localSheetId="2" hidden="1">'Entries Register (AP) '!$A$3:$T$638</definedName>
    <definedName name="Z_76B9CBCE_F953_4099_BA86_40E1EDE83A63_.wvu.FilterData" localSheetId="2" hidden="1">'Entries Register (AP) '!$A$3:$T$716</definedName>
    <definedName name="Z_772E90FD_09CD_4597_A3D5_3A9069CD849B_.wvu.FilterData" localSheetId="2" hidden="1">'Entries Register (AP) '!$A$3:$T$716</definedName>
    <definedName name="Z_77D0687E_2304_4707_8855_22A614E74E30_.wvu.FilterData" localSheetId="2" hidden="1">'Entries Register (AP) '!$A$3:$T$716</definedName>
    <definedName name="Z_781BC751_F315_497E_B1B4_A2D752209BD7_.wvu.FilterData" localSheetId="0" hidden="1">DMDT!$B$4:$P$1910</definedName>
    <definedName name="Z_781BC751_F315_497E_B1B4_A2D752209BD7_.wvu.FilterData" localSheetId="2" hidden="1">'Entries Register (AP) '!$A$3:$T$801</definedName>
    <definedName name="Z_785EDCF7_1BC3_412E_9576_5B50A87896CD_.wvu.FilterData" localSheetId="2" hidden="1">'Entries Register (AP) '!$A$3:$T$802</definedName>
    <definedName name="Z_789B3080_404E_473E_9B22_C0B0E7BBC8D0_.wvu.FilterData" localSheetId="2" hidden="1">'Entries Register (AP) '!$A$3:$T$716</definedName>
    <definedName name="Z_78A4D4DB_127B_4EF8_B026_2CAC97B30A9B_.wvu.FilterData" localSheetId="2" hidden="1">'Entries Register (AP) '!$A$3:$T$801</definedName>
    <definedName name="Z_78CC1BC6_A2DF_4551_8CA9_DD758B58F66D_.wvu.FilterData" localSheetId="2" hidden="1">'Entries Register (AP) '!$A$3:$T$716</definedName>
    <definedName name="Z_78EB860A_C6BB_440F_96B0_D9C93B485CD6_.wvu.FilterData" localSheetId="2" hidden="1">'Entries Register (AP) '!$A$3:$T$716</definedName>
    <definedName name="Z_78F024BF_29AD_4AB4_8CBA_AE36713CF468_.wvu.FilterData" localSheetId="2" hidden="1">'Entries Register (AP) '!$A$3:$T$716</definedName>
    <definedName name="Z_78FA34B7_565B_4D21_ACFD_526CDAB7C06E_.wvu.FilterData" localSheetId="2" hidden="1">'Entries Register (AP) '!$A$3:$T$801</definedName>
    <definedName name="Z_790BEE80_0346_4FBC_A89A_B7947C59EC60_.wvu.FilterData" localSheetId="2" hidden="1">'Entries Register (AP) '!$A$3:$T$716</definedName>
    <definedName name="Z_790E2DFB_3A66_4131_8190_39AC408DEFA9_.wvu.FilterData" localSheetId="2" hidden="1">'Entries Register (AP) '!$A$3:$T$801</definedName>
    <definedName name="Z_794A23FA_5BB0_4E72_825B_90C6423503D3_.wvu.FilterData" localSheetId="2" hidden="1">'Entries Register (AP) '!$A$3:$T$801</definedName>
    <definedName name="Z_798A167F_7C31_4A17_8AE9_89FBF6EDD9B4_.wvu.FilterData" localSheetId="2" hidden="1">'Entries Register (AP) '!$A$3:$T$716</definedName>
    <definedName name="Z_79AE73E0_624D_4BD5_80BD_1EE301981E0C_.wvu.FilterData" localSheetId="2" hidden="1">'Entries Register (AP) '!$A$3:$T$716</definedName>
    <definedName name="Z_7A2AB021_F8CE_4AB0_8A7A_B1C45157FC97_.wvu.FilterData" localSheetId="2" hidden="1">'Entries Register (AP) '!$A$3:$T$716</definedName>
    <definedName name="Z_7A4D051B_0C88_4AB7_8766_EE56D654C333_.wvu.FilterData" localSheetId="2" hidden="1">'Entries Register (AP) '!$A$3:$T$716</definedName>
    <definedName name="Z_7A52A1D4_F499_4AA4_A3C7_BD3D82866F31_.wvu.FilterData" localSheetId="2" hidden="1">'Entries Register (AP) '!$A$3:$T$716</definedName>
    <definedName name="Z_7A5A0800_1C65_4081_9291_839436DCD8E2_.wvu.FilterData" localSheetId="2" hidden="1">'Entries Register (AP) '!$A$3:$T$716</definedName>
    <definedName name="Z_7A7D7DE7_237E_42CF_AE97_42D8A3CC72E0_.wvu.FilterData" localSheetId="2" hidden="1">'Entries Register (AP) '!$A$3:$T$657</definedName>
    <definedName name="Z_7AAF8CDA_EA94_4CFC_838F_C2359FBDDD44_.wvu.FilterData" localSheetId="2" hidden="1">'Entries Register (AP) '!$A$3:$T$716</definedName>
    <definedName name="Z_7AB86267_8218_4B6F_BEC1_8929F8C09AC6_.wvu.FilterData" localSheetId="2" hidden="1">'Entries Register (AP) '!$A$3:$T$800</definedName>
    <definedName name="Z_7B40A985_6113_4EE0_AA45_5081F098C894_.wvu.FilterData" localSheetId="2" hidden="1">'Entries Register (AP) '!$A$3:$T$716</definedName>
    <definedName name="Z_7B5E2319_EC00_48B7_A101_FEE6DAC446F4_.wvu.FilterData" localSheetId="2" hidden="1">'Entries Register (AP) '!$A$3:$T$802</definedName>
    <definedName name="Z_7BC1D801_02B3_4D8A_8D68_211F8B54FC72_.wvu.FilterData" localSheetId="2" hidden="1">'Entries Register (AP) '!$A$3:$T$716</definedName>
    <definedName name="Z_7BE322FD_DBF2_4CDF_8A3A_1D6DE5986624_.wvu.FilterData" localSheetId="2" hidden="1">'Entries Register (AP) '!$A$3:$T$716</definedName>
    <definedName name="Z_7C158A27_D978_44A1_BFA9_9C6EA214C99D_.wvu.FilterData" localSheetId="2" hidden="1">'Entries Register (AP) '!$A$3:$T$716</definedName>
    <definedName name="Z_7D7DF3D9_2A15_41B3_AC41_18EE2446C98E_.wvu.FilterData" localSheetId="2" hidden="1">'Entries Register (AP) '!$A$3:$T$716</definedName>
    <definedName name="Z_7DEB58EF_D898_436C_A42A_BA2A18BA6C39_.wvu.FilterData" localSheetId="2" hidden="1">'Entries Register (AP) '!$A$3:$T$716</definedName>
    <definedName name="Z_7E119BBE_037C_47CB_9393_4F6423A1EF58_.wvu.FilterData" localSheetId="2" hidden="1">'Entries Register (AP) '!$A$3:$T$716</definedName>
    <definedName name="Z_7E4D8742_0BD6_4EBA_A2AC_FC3C512CD79B_.wvu.FilterData" localSheetId="2" hidden="1">'Entries Register (AP) '!$A$3:$W$638</definedName>
    <definedName name="Z_7E7A67D6_49BF_4277_942C_9DBA9B733001_.wvu.FilterData" localSheetId="2" hidden="1">'Entries Register (AP) '!$A$3:$T$716</definedName>
    <definedName name="Z_7F60505F_E54F_4D3A_A6E2_E093CA3F6034_.wvu.FilterData" localSheetId="2" hidden="1">'Entries Register (AP) '!$A$3:$T$716</definedName>
    <definedName name="Z_7F71C425_B90E_4AF6_B932_64C3B6E83468_.wvu.FilterData" localSheetId="2" hidden="1">'Entries Register (AP) '!$A$3:$T$638</definedName>
    <definedName name="Z_7FA97C43_716E_4795_B0AC_EA33CE67B956_.wvu.Cols" localSheetId="7" hidden="1">K.P.I!#REF!</definedName>
    <definedName name="Z_7FA97C43_716E_4795_B0AC_EA33CE67B956_.wvu.Cols" localSheetId="3" hidden="1">K.P.I_new!#REF!</definedName>
    <definedName name="Z_7FA97C43_716E_4795_B0AC_EA33CE67B956_.wvu.FilterData" localSheetId="0" hidden="1">DMDT!$B$4:$P$1875</definedName>
    <definedName name="Z_7FA97C43_716E_4795_B0AC_EA33CE67B956_.wvu.FilterData" localSheetId="2" hidden="1">'Entries Register (AP) '!$A$3:$T$801</definedName>
    <definedName name="Z_7FDCDDC8_466B_417F_812F_3D2E92ED5307_.wvu.FilterData" localSheetId="2" hidden="1">'Entries Register (AP) '!$A$3:$T$716</definedName>
    <definedName name="Z_80502770_AFFD_486C_A67C_38B4145587D3_.wvu.FilterData" localSheetId="2" hidden="1">'Entries Register (AP) '!$A$3:$T$716</definedName>
    <definedName name="Z_805E02E1_1EB8_452B_A0E9_7948ADD65375_.wvu.FilterData" localSheetId="2" hidden="1">'Entries Register (AP) '!$A$3:$T$802</definedName>
    <definedName name="Z_80691A4A_2451_442F_B330_8C9448B0F5B0_.wvu.FilterData" localSheetId="2" hidden="1">'Entries Register (AP) '!$A$3:$T$657</definedName>
    <definedName name="Z_80765E49_3C01_4FFB_A79E_70CE5101CA2D_.wvu.FilterData" localSheetId="2" hidden="1">'Entries Register (AP) '!$A$3:$T$716</definedName>
    <definedName name="Z_80FCFC2B_B36A_4B86_B273_D0883DE22951_.wvu.FilterData" localSheetId="2" hidden="1">'Entries Register (AP) '!$A$3:$T$657</definedName>
    <definedName name="Z_810AF416_4AFF_4C3A_818E_9F6B1F7BFE1F_.wvu.FilterData" localSheetId="2" hidden="1">'Entries Register (AP) '!$A$3:$T$657</definedName>
    <definedName name="Z_8166F6C4_2037_4FB7_8AAC_23F6F9091D19_.wvu.FilterData" localSheetId="2" hidden="1">'Entries Register (AP) '!$A$3:$T$716</definedName>
    <definedName name="Z_81A291B9_66AB_4233_BD0E_B2DE0E3C78C3_.wvu.FilterData" localSheetId="2" hidden="1">'Entries Register (AP) '!$A$3:$T$716</definedName>
    <definedName name="Z_81BE41FB_E8A5_4069_9D93_D461E56DD837_.wvu.FilterData" localSheetId="2" hidden="1">'Entries Register (AP) '!$A$3:$T$802</definedName>
    <definedName name="Z_82753022_4576_4225_8B17_FF90BE0C7530_.wvu.FilterData" localSheetId="2" hidden="1">'Entries Register (AP) '!$A$3:$T$716</definedName>
    <definedName name="Z_82C4C9FA_41A3_4744_B9B9_CA20EDA4B7C6_.wvu.FilterData" localSheetId="2" hidden="1">'Entries Register (AP) '!$A$3:$T$657</definedName>
    <definedName name="Z_82D213FB_9AF7_4F9E_BC81_0A00AF199268_.wvu.FilterData" localSheetId="2" hidden="1">'Entries Register (AP) '!$A$3:$T$716</definedName>
    <definedName name="Z_82E40568_B633_4ED8_89AC_9ECAB1357B5C_.wvu.FilterData" localSheetId="2" hidden="1">'Entries Register (AP) '!$A$3:$T$716</definedName>
    <definedName name="Z_82F33555_FAEE_4CDB_B30F_7B9E943346B6_.wvu.FilterData" localSheetId="2" hidden="1">'Entries Register (AP) '!$A$3:$T$716</definedName>
    <definedName name="Z_82F6C721_B841_44DE_9A2F_2F7594044059_.wvu.FilterData" localSheetId="2" hidden="1">'Entries Register (AP) '!$A$3:$T$716</definedName>
    <definedName name="Z_8359CE99_9143_4539_BC5D_BAE22D1BF3EE_.wvu.FilterData" localSheetId="2" hidden="1">'Entries Register (AP) '!$A$3:$T$802</definedName>
    <definedName name="Z_83954F6A_A58E_436B_83F7_EBA2C610A146_.wvu.FilterData" localSheetId="2" hidden="1">'Entries Register (AP) '!$A$3:$T$716</definedName>
    <definedName name="Z_83B0A47E_35F6_475E_8AA9_FA4AC24680DF_.wvu.FilterData" localSheetId="2" hidden="1">'Entries Register (AP) '!$A$3:$T$716</definedName>
    <definedName name="Z_84117EBD_0A18_46E2_80D6_30A59E607B25_.wvu.FilterData" localSheetId="2" hidden="1">'Entries Register (AP) '!$A$3:$T$800</definedName>
    <definedName name="Z_8435C845_4095_4041_84DE_5C42C488C175_.wvu.FilterData" localSheetId="2" hidden="1">'Entries Register (AP) '!$A$3:$T$716</definedName>
    <definedName name="Z_845AB85B_320D_4261_8D20_E6D9D5D4C38C_.wvu.Cols" localSheetId="2" hidden="1">'Entries Register (AP) '!#REF!</definedName>
    <definedName name="Z_845AB85B_320D_4261_8D20_E6D9D5D4C38C_.wvu.Cols" localSheetId="7" hidden="1">K.P.I!#REF!</definedName>
    <definedName name="Z_845AB85B_320D_4261_8D20_E6D9D5D4C38C_.wvu.FilterData" localSheetId="0" hidden="1">DMDT!$B$4:$P$1847</definedName>
    <definedName name="Z_845AB85B_320D_4261_8D20_E6D9D5D4C38C_.wvu.FilterData" localSheetId="2" hidden="1">'Entries Register (AP) '!$A$3:$T$716</definedName>
    <definedName name="Z_8484238E_2F4F_4671_8F73_9E3439185A3A_.wvu.FilterData" localSheetId="2" hidden="1">'Entries Register (AP) '!$A$3:$T$638</definedName>
    <definedName name="Z_84C10CE2_98C1_4E1D_A51C_1D3654948D5C_.wvu.FilterData" localSheetId="2" hidden="1">'Entries Register (AP) '!$A$3:$T$716</definedName>
    <definedName name="Z_84F3CB4B_F1BB_43E1_A03E_CF4E4DE3F392_.wvu.FilterData" localSheetId="2" hidden="1">'Entries Register (AP) '!$A$3:$T$716</definedName>
    <definedName name="Z_858C9F8C_C7FE_4C9E_9C65_34618AAB17EE_.wvu.FilterData" localSheetId="2" hidden="1">'Entries Register (AP) '!$A$3:$T$657</definedName>
    <definedName name="Z_85BF2A37_3ACC_401A_872D_C1111B2F3D50_.wvu.FilterData" localSheetId="2" hidden="1">'Entries Register (AP) '!$A$3:$T$801</definedName>
    <definedName name="Z_85C83358_0034_43EC_9555_D2C4ED313A8E_.wvu.FilterData" localSheetId="2" hidden="1">'Entries Register (AP) '!$A$3:$T$716</definedName>
    <definedName name="Z_85E9D27E_6E02_4643_BBCB_0D1311AAF2D2_.wvu.FilterData" localSheetId="2" hidden="1">'Entries Register (AP) '!$A$3:$T$657</definedName>
    <definedName name="Z_860C1A53_A7F6_457D_B27F_4DD73B4A8E42_.wvu.FilterData" localSheetId="2" hidden="1">'Entries Register (AP) '!$A$3:$T$801</definedName>
    <definedName name="Z_867013E7_B621_4BEF_B467_84A013C04FE1_.wvu.FilterData" localSheetId="2" hidden="1">'Entries Register (AP) '!$A$3:$T$716</definedName>
    <definedName name="Z_86A4CE0B_A993_4584_975F_9676E131A361_.wvu.FilterData" localSheetId="2" hidden="1">'Entries Register (AP) '!$A$3:$T$716</definedName>
    <definedName name="Z_86C4AB67_1397_4CC0_B0DC_A8D001D00A27_.wvu.FilterData" localSheetId="2" hidden="1">'Entries Register (AP) '!$A$3:$T$716</definedName>
    <definedName name="Z_87891C80_196C_4DC2_89F3_8C2054C6D257_.wvu.FilterData" localSheetId="2" hidden="1">'Entries Register (AP) '!$A$3:$T$801</definedName>
    <definedName name="Z_882B4433_F498_4787_B730_D601973961CA_.wvu.FilterData" localSheetId="2" hidden="1">'Entries Register (AP) '!$A$3:$T$716</definedName>
    <definedName name="Z_8839FFE5_3D58_471F_858E_D5D03F0B45FA_.wvu.FilterData" localSheetId="2" hidden="1">'Entries Register (AP) '!$A$3:$T$802</definedName>
    <definedName name="Z_884AF059_FBA1_4CA8_BEF9_DADA7219BEE5_.wvu.FilterData" localSheetId="2" hidden="1">'Entries Register (AP) '!$A$3:$T$716</definedName>
    <definedName name="Z_88AC0835_BDA8_4D49_9522_005CFA5B919B_.wvu.FilterData" localSheetId="2" hidden="1">'Entries Register (AP) '!$A$3:$T$716</definedName>
    <definedName name="Z_88BF9C6D_89B7_4B93_B29A_F9DAEAA1C8C8_.wvu.FilterData" localSheetId="2" hidden="1">'Entries Register (AP) '!$A$3:$T$716</definedName>
    <definedName name="Z_88C548F6_028C_447F_9887_DE8C202B6EA4_.wvu.FilterData" localSheetId="2" hidden="1">'Entries Register (AP) '!$A$3:$T$716</definedName>
    <definedName name="Z_88DA4645_6C03_4BEA_8CFB_989D0DC10634_.wvu.FilterData" localSheetId="2" hidden="1">'Entries Register (AP) '!$A$3:$T$716</definedName>
    <definedName name="Z_89046155_2A38_43CB_85DB_0748B3F827E4_.wvu.FilterData" localSheetId="2" hidden="1">'Entries Register (AP) '!$A$3:$T$716</definedName>
    <definedName name="Z_89423216_97BC_488F_92AF_85198E8FDC07_.wvu.Cols" localSheetId="2" hidden="1">'Entries Register (AP) '!#REF!</definedName>
    <definedName name="Z_89423216_97BC_488F_92AF_85198E8FDC07_.wvu.Cols" localSheetId="7" hidden="1">K.P.I!#REF!</definedName>
    <definedName name="Z_89423216_97BC_488F_92AF_85198E8FDC07_.wvu.Cols" localSheetId="3" hidden="1">K.P.I_new!#REF!</definedName>
    <definedName name="Z_89423216_97BC_488F_92AF_85198E8FDC07_.wvu.FilterData" localSheetId="2" hidden="1">'Entries Register (AP) '!$A$3:$T$716</definedName>
    <definedName name="Z_894FF5A1_5E16_48B2_97B7_77905E52730D_.wvu.Cols" localSheetId="2" hidden="1">'Entries Register (AP) '!#REF!</definedName>
    <definedName name="Z_894FF5A1_5E16_48B2_97B7_77905E52730D_.wvu.Cols" localSheetId="7" hidden="1">K.P.I!#REF!</definedName>
    <definedName name="Z_894FF5A1_5E16_48B2_97B7_77905E52730D_.wvu.Cols" localSheetId="3" hidden="1">K.P.I_new!#REF!</definedName>
    <definedName name="Z_894FF5A1_5E16_48B2_97B7_77905E52730D_.wvu.FilterData" localSheetId="2" hidden="1">'Entries Register (AP) '!$A$3:$T$716</definedName>
    <definedName name="Z_89E2D6CD_25CC_4C19_AEE0_84AD4783C246_.wvu.FilterData" localSheetId="2" hidden="1">'Entries Register (AP) '!$A$3:$T$716</definedName>
    <definedName name="Z_8A26BAA3_FBAF_4F87_8F68_AA156B783F64_.wvu.FilterData" localSheetId="2" hidden="1">'Entries Register (AP) '!$A$3:$T$716</definedName>
    <definedName name="Z_8A7BE599_D312_461F_9CAF_CE2FAFAE9E2C_.wvu.FilterData" localSheetId="2" hidden="1">'Entries Register (AP) '!$A$3:$T$716</definedName>
    <definedName name="Z_8A8E1E36_83A5_4ABC_8E1A_3B3DEA1881DB_.wvu.FilterData" localSheetId="2" hidden="1">'Entries Register (AP) '!$A$3:$T$657</definedName>
    <definedName name="Z_8A9EAA3D_F691_406E_8DFD_72373580895E_.wvu.FilterData" localSheetId="2" hidden="1">'Entries Register (AP) '!$A$3:$T$657</definedName>
    <definedName name="Z_8AE6A527_6458_42A5_A494_76003F08DFD8_.wvu.FilterData" localSheetId="2" hidden="1">'Entries Register (AP) '!$A$3:$T$800</definedName>
    <definedName name="Z_8AE7876A_E347_411E_A843_1918CD4CD353_.wvu.FilterData" localSheetId="2" hidden="1">'Entries Register (AP) '!$A$3:$T$716</definedName>
    <definedName name="Z_8AF4E001_2B0C_466B_B65D_2F82010216D0_.wvu.FilterData" localSheetId="2" hidden="1">'Entries Register (AP) '!$A$3:$W$638</definedName>
    <definedName name="Z_8B238AF9_E6B5_4FB9_8FF2_D4D8C4F1FC69_.wvu.FilterData" localSheetId="2" hidden="1">'Entries Register (AP) '!$A$3:$T$802</definedName>
    <definedName name="Z_8B693DBC_6577_4FB4_AAAB_B426710EDCA4_.wvu.FilterData" localSheetId="2" hidden="1">'Entries Register (AP) '!$A$3:$T$801</definedName>
    <definedName name="Z_8B7AA651_6C50_4797_A4C3_8E01BF218BD0_.wvu.FilterData" localSheetId="2" hidden="1">'Entries Register (AP) '!$A$3:$T$802</definedName>
    <definedName name="Z_8BDAD3D1_E338_4325_9454_0B6236CD077B_.wvu.FilterData" localSheetId="2" hidden="1">'Entries Register (AP) '!$A$3:$T$716</definedName>
    <definedName name="Z_8BF048EA_2E54_4ECD_AE26_6DCCD2208E1E_.wvu.FilterData" localSheetId="2" hidden="1">'Entries Register (AP) '!$A$3:$T$716</definedName>
    <definedName name="Z_8BFA534F_9170_466B_9891_D30F82051D93_.wvu.FilterData" localSheetId="2" hidden="1">'Entries Register (AP) '!$A$3:$T$638</definedName>
    <definedName name="Z_8C051770_EDB3_4A98_B7B0_5C266E585EBB_.wvu.FilterData" localSheetId="2" hidden="1">'Entries Register (AP) '!$A$3:$T$801</definedName>
    <definedName name="Z_8C588D1B_ECF2_44D2_A34E_9D48574F51FC_.wvu.FilterData" localSheetId="2" hidden="1">'Entries Register (AP) '!$A$3:$T$638</definedName>
    <definedName name="Z_8C9E1831_1D1D_4F38_9BE3_2098B2BED6C2_.wvu.FilterData" localSheetId="2" hidden="1">'Entries Register (AP) '!$A$3:$T$657</definedName>
    <definedName name="Z_8CAF9E6D_A40C_41E9_9D78_CA3847B86BA9_.wvu.FilterData" localSheetId="2" hidden="1">'Entries Register (AP) '!$A$3:$T$716</definedName>
    <definedName name="Z_8D0556F1_DDE6_43F4_BF14_0889B98E8F1B_.wvu.Cols" localSheetId="2" hidden="1">'Entries Register (AP) '!#REF!</definedName>
    <definedName name="Z_8D0556F1_DDE6_43F4_BF14_0889B98E8F1B_.wvu.Cols" localSheetId="7" hidden="1">K.P.I!#REF!</definedName>
    <definedName name="Z_8D0556F1_DDE6_43F4_BF14_0889B98E8F1B_.wvu.FilterData" localSheetId="0" hidden="1">DMDT!$B$4:$P$1873</definedName>
    <definedName name="Z_8D0556F1_DDE6_43F4_BF14_0889B98E8F1B_.wvu.FilterData" localSheetId="2" hidden="1">'Entries Register (AP) '!$A$3:$T$716</definedName>
    <definedName name="Z_8DD4E41C_B18D_467C_BE57_8D2E554A7F29_.wvu.FilterData" localSheetId="2" hidden="1">'Entries Register (AP) '!$A$3:$T$801</definedName>
    <definedName name="Z_8E3C8449_4E70_4BB5_B6B5_2F6D037352E5_.wvu.FilterData" localSheetId="2" hidden="1">'Entries Register (AP) '!$A$3:$T$716</definedName>
    <definedName name="Z_8E6E641D_F11E_45E8_8493_CCD38152158F_.wvu.FilterData" localSheetId="2" hidden="1">'Entries Register (AP) '!$A$3:$T$802</definedName>
    <definedName name="Z_8F3D98D1_68FC_492F_8A08_7472619B712D_.wvu.FilterData" localSheetId="2" hidden="1">'Entries Register (AP) '!$A$3:$T$716</definedName>
    <definedName name="Z_8F9B7A66_E96C_45D0_930D_4BCFA1B393FF_.wvu.FilterData" localSheetId="2" hidden="1">'Entries Register (AP) '!$A$3:$T$716</definedName>
    <definedName name="Z_8FC32BFB_E982_495A_AA87_EFE961B631B5_.wvu.FilterData" localSheetId="2" hidden="1">'Entries Register (AP) '!$A$3:$T$716</definedName>
    <definedName name="Z_9029ABE9_1094_4650_A3DF_0DFE14E2A1B3_.wvu.FilterData" localSheetId="2" hidden="1">'Entries Register (AP) '!$A$3:$T$716</definedName>
    <definedName name="Z_9030EE99_9B32_40AF_A694_FDD4DAF22315_.wvu.FilterData" localSheetId="2" hidden="1">'Entries Register (AP) '!$A$3:$T$716</definedName>
    <definedName name="Z_90A46A8B_A5EF_4A25_850C_F8AFC2E6E839_.wvu.FilterData" localSheetId="2" hidden="1">'Entries Register (AP) '!$A$3:$T$716</definedName>
    <definedName name="Z_90CF78F3_2819_48D1_9A7E_62E60C3A0FB2_.wvu.FilterData" localSheetId="2" hidden="1">'Entries Register (AP) '!$A$3:$T$657</definedName>
    <definedName name="Z_90E0BE9A_A83D_4F76_BD9C_B706B030A065_.wvu.FilterData" localSheetId="2" hidden="1">'Entries Register (AP) '!$A$3:$T$716</definedName>
    <definedName name="Z_912331EA_06B1_4385_A118_BD596FC54D19_.wvu.FilterData" localSheetId="2" hidden="1">'Entries Register (AP) '!$A$3:$T$716</definedName>
    <definedName name="Z_914E7978_80D9_4B2B_A0CE_8D4F4F944576_.wvu.FilterData" localSheetId="2" hidden="1">'Entries Register (AP) '!$A$3:$T$657</definedName>
    <definedName name="Z_91ED3C64_BB96_4419_977D_C8027A906F5C_.wvu.FilterData" localSheetId="2" hidden="1">'Entries Register (AP) '!$A$3:$T$657</definedName>
    <definedName name="Z_921EC331_1E7C_484E_A8FD_C2211E0FD284_.wvu.FilterData" localSheetId="2" hidden="1">'Entries Register (AP) '!$A$3:$T$716</definedName>
    <definedName name="Z_923EE4EF_58DE_4EEA_A338_226CE4E71C6A_.wvu.FilterData" localSheetId="2" hidden="1">'Entries Register (AP) '!$A$3:$T$716</definedName>
    <definedName name="Z_92415C35_0B62_47CE_B4F7_8AA53FDA0E5E_.wvu.FilterData" localSheetId="2" hidden="1">'Entries Register (AP) '!$A$3:$T$716</definedName>
    <definedName name="Z_92A1CAD1_2CFB_4DA3_AD67_71210BA7D4E5_.wvu.FilterData" localSheetId="0" hidden="1">DMDT!$B$4:$P$1910</definedName>
    <definedName name="Z_92A1CAD1_2CFB_4DA3_AD67_71210BA7D4E5_.wvu.FilterData" localSheetId="2" hidden="1">'Entries Register (AP) '!$A$3:$T$801</definedName>
    <definedName name="Z_92B933FE_0537_43DB_AFFB_71AACC51CEA9_.wvu.FilterData" localSheetId="2" hidden="1">'Entries Register (AP) '!$A$3:$T$716</definedName>
    <definedName name="Z_92E0CC1C_E881_4EFC_9263_09B27B2EF024_.wvu.FilterData" localSheetId="2" hidden="1">'Entries Register (AP) '!$A$3:$T$716</definedName>
    <definedName name="Z_930885AA_29A1_4881_B5F9_1ED599906083_.wvu.FilterData" localSheetId="2" hidden="1">'Entries Register (AP) '!$A$3:$T$716</definedName>
    <definedName name="Z_93529E9D_1D75_454C_B73D_F12710EE5A74_.wvu.FilterData" localSheetId="2" hidden="1">'Entries Register (AP) '!$A$3:$T$716</definedName>
    <definedName name="Z_93C43A4A_3A36_4FB8_BE08_E86BA89003DE_.wvu.FilterData" localSheetId="2" hidden="1">'Entries Register (AP) '!$A$3:$T$801</definedName>
    <definedName name="Z_93DEBCFA_4A23_4B80_B8C2_1D2261CF1B6C_.wvu.FilterData" localSheetId="2" hidden="1">'Entries Register (AP) '!$A$3:$T$716</definedName>
    <definedName name="Z_945D7C28_7E16_4CC0_8671_DC07874EBF89_.wvu.FilterData" localSheetId="2" hidden="1">'Entries Register (AP) '!$A$3:$T$801</definedName>
    <definedName name="Z_94B43E8C_4590_4534_8471_CC59CDC31DA0_.wvu.FilterData" localSheetId="2" hidden="1">'Entries Register (AP) '!$A$3:$T$716</definedName>
    <definedName name="Z_94F2C058_D90D_4D59_B5BC_C7D39A7E8EAF_.wvu.FilterData" localSheetId="2" hidden="1">'Entries Register (AP) '!$A$3:$T$716</definedName>
    <definedName name="Z_94F35CB8_7219_4F4B_B71F_6C75566784B5_.wvu.FilterData" localSheetId="2" hidden="1">'Entries Register (AP) '!$A$3:$T$716</definedName>
    <definedName name="Z_957521C3_DAD3_4DF6_9082_1273E99A0B12_.wvu.FilterData" localSheetId="2" hidden="1">'Entries Register (AP) '!$A$3:$T$657</definedName>
    <definedName name="Z_95A5746B_3B21_4E87_AFE1_0F9814E82C22_.wvu.FilterData" localSheetId="2" hidden="1">'Entries Register (AP) '!$A$3:$T$801</definedName>
    <definedName name="Z_95E211D7_0C73_434B_9B4F_CDBFB3E02840_.wvu.FilterData" localSheetId="2" hidden="1">'Entries Register (AP) '!$A$3:$T$801</definedName>
    <definedName name="Z_965F4541_1795_4FCD_8377_8304EE67B9B4_.wvu.FilterData" localSheetId="2" hidden="1">'Entries Register (AP) '!$A$3:$T$716</definedName>
    <definedName name="Z_96C03412_0A13_4CB3_BFA4_8CAB27D682C4_.wvu.FilterData" localSheetId="2" hidden="1">'Entries Register (AP) '!$A$3:$T$716</definedName>
    <definedName name="Z_96CF81BD_6610_48D8_873E_392AB236C601_.wvu.FilterData" localSheetId="2" hidden="1">'Entries Register (AP) '!$A$3:$T$716</definedName>
    <definedName name="Z_96E9B090_411E_4EF7_91D7_877A9C340127_.wvu.FilterData" localSheetId="2" hidden="1">'Entries Register (AP) '!$A$3:$T$657</definedName>
    <definedName name="Z_970E9A21_CA12_485E_9A67_D2BD4E53FC54_.wvu.FilterData" localSheetId="2" hidden="1">'Entries Register (AP) '!$A$3:$T$801</definedName>
    <definedName name="Z_97E0E006_44CE_4F8D_B1B2_6A55DE0628E3_.wvu.FilterData" localSheetId="2" hidden="1">'Entries Register (AP) '!$A$3:$T$716</definedName>
    <definedName name="Z_9864A85C_6158_4166_ACDF_F4BA71337A23_.wvu.FilterData" localSheetId="2" hidden="1">'Entries Register (AP) '!$A$3:$T$802</definedName>
    <definedName name="Z_98D97B28_1813_4A3F_8185_D387343FD2EB_.wvu.FilterData" localSheetId="2" hidden="1">'Entries Register (AP) '!$A$3:$T$716</definedName>
    <definedName name="Z_98EC7544_E0BA_4A79_AB62_A252BCDF627D_.wvu.FilterData" localSheetId="2" hidden="1">'Entries Register (AP) '!$A$3:$T$802</definedName>
    <definedName name="Z_98F55B63_1F94_489C_B43E_6136DCA7BDAB_.wvu.FilterData" localSheetId="2" hidden="1">'Entries Register (AP) '!$A$3:$T$716</definedName>
    <definedName name="Z_993C505B_B674_48FF_BB89_C8DEBD7B3BD8_.wvu.FilterData" localSheetId="2" hidden="1">'Entries Register (AP) '!$A$3:$T$716</definedName>
    <definedName name="Z_99A50FF4_7ED2_449B_BB0A_5E3E22E1A4F7_.wvu.FilterData" localSheetId="2" hidden="1">'Entries Register (AP) '!$A$3:$T$716</definedName>
    <definedName name="Z_99C271B4_E9EE_44C5_B66E_B22C1307A228_.wvu.FilterData" localSheetId="2" hidden="1">'Entries Register (AP) '!$A$3:$T$801</definedName>
    <definedName name="Z_99E0C19A_0459_4DC7_9CB2_8ED54D18C699_.wvu.FilterData" localSheetId="2" hidden="1">'Entries Register (AP) '!$A$3:$T$657</definedName>
    <definedName name="Z_99F4695C_2609_4269_8555_523B97D81FB5_.wvu.FilterData" localSheetId="2" hidden="1">'Entries Register (AP) '!$A$3:$T$657</definedName>
    <definedName name="Z_9A1F2C3F_B1C0_43F3_B1E1_D0A1F664924A_.wvu.FilterData" localSheetId="2" hidden="1">'Entries Register (AP) '!$A$3:$T$716</definedName>
    <definedName name="Z_9A7D8F55_0042_4B6B_9279_B53D448483A9_.wvu.FilterData" localSheetId="2" hidden="1">'Entries Register (AP) '!$A$3:$T$716</definedName>
    <definedName name="Z_9ABA8737_EB10_4EF9_8B61_77B931B00A5D_.wvu.FilterData" localSheetId="2" hidden="1">'Entries Register (AP) '!$A$3:$T$716</definedName>
    <definedName name="Z_9AE72B1B_FE67_4CF2_9556_592F45365C2F_.wvu.FilterData" localSheetId="2" hidden="1">'Entries Register (AP) '!$A$3:$T$716</definedName>
    <definedName name="Z_9AED999A_4384_4691_A74A_FAB9D4EF9089_.wvu.FilterData" localSheetId="2" hidden="1">'Entries Register (AP) '!$A$3:$T$638</definedName>
    <definedName name="Z_9AF263D9_2DF8_4F38_ADD4_5FB377A552A1_.wvu.FilterData" localSheetId="2" hidden="1">'Entries Register (AP) '!$A$3:$T$716</definedName>
    <definedName name="Z_9B2C8FAA_A1C8_41F4_8EAF_651EFEB55539_.wvu.FilterData" localSheetId="2" hidden="1">'Entries Register (AP) '!$A$3:$T$657</definedName>
    <definedName name="Z_9B9403A5_C27D_4E9A_80AC_10DEFB84C92D_.wvu.FilterData" localSheetId="2" hidden="1">'Entries Register (AP) '!$A$3:$T$716</definedName>
    <definedName name="Z_9C3715C2_8886_4ADF_8276_9595EEB8154B_.wvu.FilterData" localSheetId="2" hidden="1">'Entries Register (AP) '!$A$3:$T$716</definedName>
    <definedName name="Z_9C82C1C1_2737_4289_A2CA_3A50F7793BED_.wvu.FilterData" localSheetId="2" hidden="1">'Entries Register (AP) '!$A$3:$T$716</definedName>
    <definedName name="Z_9CAE1872_8AE9_467F_8A30_04649399908E_.wvu.FilterData" localSheetId="2" hidden="1">'Entries Register (AP) '!$A$3:$T$638</definedName>
    <definedName name="Z_9CCA159E_A532_43E6_B4B1_AB5CA19290B2_.wvu.FilterData" localSheetId="2" hidden="1">'Entries Register (AP) '!$A$3:$T$802</definedName>
    <definedName name="Z_9CDC74CC_8432_4140_92A9_77DEDBB7EE40_.wvu.FilterData" localSheetId="2" hidden="1">'Entries Register (AP) '!$A$3:$T$801</definedName>
    <definedName name="Z_9D1AC769_39E3_4D7D_A863_037EEB517470_.wvu.FilterData" localSheetId="2" hidden="1">'Entries Register (AP) '!$A$3:$T$716</definedName>
    <definedName name="Z_9E07600D_040B_42C3_8078_AE0240D43B5C_.wvu.FilterData" localSheetId="2" hidden="1">'Entries Register (AP) '!$A$3:$T$657</definedName>
    <definedName name="Z_9E58911E_227D_462C_8DCA_EE7610CFC13B_.wvu.FilterData" localSheetId="2" hidden="1">'Entries Register (AP) '!$A$3:$T$638</definedName>
    <definedName name="Z_9EC3BEEF_B32A_41EA_8D93_ABB8A3022B50_.wvu.FilterData" localSheetId="2" hidden="1">'Entries Register (AP) '!$A$3:$T$716</definedName>
    <definedName name="Z_9F010EF7_48C6_4E23_B63F_851F285DC94F_.wvu.FilterData" localSheetId="2" hidden="1">'Entries Register (AP) '!$A$3:$T$716</definedName>
    <definedName name="Z_9F0FA32C_43E6_4F0E_A201_2921645320B0_.wvu.FilterData" localSheetId="2" hidden="1">'Entries Register (AP) '!$A$3:$T$716</definedName>
    <definedName name="Z_9FA0C6DA_0697_499A_B273_D9D4D46C4F0B_.wvu.FilterData" localSheetId="2" hidden="1">'Entries Register (AP) '!$A$3:$T$801</definedName>
    <definedName name="Z_A02A7D6A_1FBC_47DE_A3BB_57E4DC13DE23_.wvu.FilterData" localSheetId="2" hidden="1">'Entries Register (AP) '!$A$3:$T$801</definedName>
    <definedName name="Z_A078CB3D_5EDE_4EC8_A9BB_BD67E7B8674B_.wvu.FilterData" localSheetId="2" hidden="1">'Entries Register (AP) '!$A$3:$T$802</definedName>
    <definedName name="Z_A0CCA023_A32F_4BE8_A1E7_68A0D8D07953_.wvu.FilterData" localSheetId="2" hidden="1">'Entries Register (AP) '!$A$3:$T$716</definedName>
    <definedName name="Z_A0D3B9F8_29B5_4FD2_BB7E_C7B9F144714E_.wvu.FilterData" localSheetId="2" hidden="1">'Entries Register (AP) '!$A$3:$T$638</definedName>
    <definedName name="Z_A0E3F92A_E800_4897_BF2C_E5FA36A035C5_.wvu.FilterData" localSheetId="2" hidden="1">'Entries Register (AP) '!$A$3:$T$800</definedName>
    <definedName name="Z_A0F2EF7F_D483_4F09_9424_58FF5E7BE16B_.wvu.FilterData" localSheetId="2" hidden="1">'Entries Register (AP) '!$A$3:$T$716</definedName>
    <definedName name="Z_A0F6C4E6_E641_4152_9AB1_BDDEFE79F262_.wvu.Cols" localSheetId="7" hidden="1">K.P.I!#REF!</definedName>
    <definedName name="Z_A0F6C4E6_E641_4152_9AB1_BDDEFE79F262_.wvu.Cols" localSheetId="3" hidden="1">K.P.I_new!#REF!</definedName>
    <definedName name="Z_A0F6C4E6_E641_4152_9AB1_BDDEFE79F262_.wvu.FilterData" localSheetId="0" hidden="1">DMDT!$B$4:$P$1875</definedName>
    <definedName name="Z_A0F6C4E6_E641_4152_9AB1_BDDEFE79F262_.wvu.FilterData" localSheetId="2" hidden="1">'Entries Register (AP) '!$A$3:$T$801</definedName>
    <definedName name="Z_A116DEC6_F716_4476_AF87_2CE0B0CE38B8_.wvu.FilterData" localSheetId="2" hidden="1">'Entries Register (AP) '!$A$3:$T$716</definedName>
    <definedName name="Z_A128C660_B438_4BDC_9BCA_4CEDB9A3A367_.wvu.FilterData" localSheetId="2" hidden="1">'Entries Register (AP) '!$A$3:$T$801</definedName>
    <definedName name="Z_A153E71B_6D60_4ACA_AB25_EFF14E226756_.wvu.FilterData" localSheetId="2" hidden="1">'Entries Register (AP) '!$A$3:$T$716</definedName>
    <definedName name="Z_A1F15DEF_0E16_41C0_A610_4AB45E2558D3_.wvu.FilterData" localSheetId="2" hidden="1">'Entries Register (AP) '!$A$3:$T$716</definedName>
    <definedName name="Z_A20980B9_9269_43BF_A58A_33AD79EED065_.wvu.FilterData" localSheetId="2" hidden="1">'Entries Register (AP) '!$A$3:$T$716</definedName>
    <definedName name="Z_A3A3FC11_26B1_4233_A2BE_CD4BEF296DB8_.wvu.FilterData" localSheetId="2" hidden="1">'Entries Register (AP) '!$A$3:$T$716</definedName>
    <definedName name="Z_A3E82BB8_0102_4229_A7BD_5A4F737DB627_.wvu.FilterData" localSheetId="2" hidden="1">'Entries Register (AP) '!$A$3:$T$716</definedName>
    <definedName name="Z_A44BD749_BA54_4F1C_8AF3_5ABAB6A15C6B_.wvu.FilterData" localSheetId="2" hidden="1">'Entries Register (AP) '!$A$3:$T$716</definedName>
    <definedName name="Z_A47EF8A1_A1A5_4B6E_B416_2B2F871544DF_.wvu.FilterData" localSheetId="2" hidden="1">'Entries Register (AP) '!$A$3:$T$802</definedName>
    <definedName name="Z_A4AE9DE8_11DF_4290_B533_D5AECA3F250A_.wvu.FilterData" localSheetId="2" hidden="1">'Entries Register (AP) '!$A$3:$T$657</definedName>
    <definedName name="Z_A4B47EFC_4F63_4C10_8E9D_B621C05A77BD_.wvu.FilterData" localSheetId="2" hidden="1">'Entries Register (AP) '!$A$3:$T$716</definedName>
    <definedName name="Z_A4CE4982_163E_4B2C_AAE4_6B7996FC0B88_.wvu.FilterData" localSheetId="2" hidden="1">'Entries Register (AP) '!$A$3:$T$716</definedName>
    <definedName name="Z_A4ED5A10_FDD2_4550_ABD5_0B6EF13A24C4_.wvu.FilterData" localSheetId="0" hidden="1">DMDT!$B$4:$P$1910</definedName>
    <definedName name="Z_A4ED5A10_FDD2_4550_ABD5_0B6EF13A24C4_.wvu.FilterData" localSheetId="2" hidden="1">'Entries Register (AP) '!$A$3:$T$801</definedName>
    <definedName name="Z_A562FBB9_A4AB_4A83_8987_365D82FF34FA_.wvu.FilterData" localSheetId="2" hidden="1">'Entries Register (AP) '!$A$3:$T$716</definedName>
    <definedName name="Z_A5D06023_AB44_41EC_95B2_2007BC0AF976_.wvu.FilterData" localSheetId="2" hidden="1">'Entries Register (AP) '!$A$3:$T$716</definedName>
    <definedName name="Z_A5E2DD10_4327_4A29_9BCF_FA76433B8FFB_.wvu.FilterData" localSheetId="2" hidden="1">'Entries Register (AP) '!$A$3:$T$716</definedName>
    <definedName name="Z_A6007470_5B5B_49A1_B157_16F65EC4E381_.wvu.FilterData" localSheetId="2" hidden="1">'Entries Register (AP) '!$A$3:$T$716</definedName>
    <definedName name="Z_A6392AFC_D5D8_41DD_B2AB_CC65C110AAE4_.wvu.FilterData" localSheetId="2" hidden="1">'Entries Register (AP) '!$A$3:$T$638</definedName>
    <definedName name="Z_A66D2556_871C_41FB_B5DE_B95409F34946_.wvu.FilterData" localSheetId="2" hidden="1">'Entries Register (AP) '!$A$3:$T$657</definedName>
    <definedName name="Z_A6F2F402_4114_4DB8_A580_2457787617E8_.wvu.FilterData" localSheetId="2" hidden="1">'Entries Register (AP) '!$A$3:$T$716</definedName>
    <definedName name="Z_A720D5BE_32B8_40E8_8265_2421C31F213C_.wvu.FilterData" localSheetId="2" hidden="1">'Entries Register (AP) '!$A$3:$T$716</definedName>
    <definedName name="Z_A7487D9A_56BC_48D0_9A00_D00CC16963B4_.wvu.FilterData" localSheetId="2" hidden="1">'Entries Register (AP) '!$A$3:$T$638</definedName>
    <definedName name="Z_A7B1FADF_5D46_4539_8777_F5E390791E34_.wvu.FilterData" localSheetId="2" hidden="1">'Entries Register (AP) '!$A$3:$T$638</definedName>
    <definedName name="Z_A7CD0472_0F69_41F9_9DF5_8E8C9B2F0B2D_.wvu.FilterData" localSheetId="2" hidden="1">'Entries Register (AP) '!$A$3:$T$716</definedName>
    <definedName name="Z_A7DC8463_E1EF_40E0_A63A_CF6F2E6F1325_.wvu.FilterData" localSheetId="2" hidden="1">'Entries Register (AP) '!$A$3:$T$716</definedName>
    <definedName name="Z_A7EEBF8C_28A0_4D48_8D66_355C5DFE6CC7_.wvu.FilterData" localSheetId="2" hidden="1">'Entries Register (AP) '!$A$3:$T$801</definedName>
    <definedName name="Z_A7FE1179_F977_4837_9107_1E9D2290F1E1_.wvu.FilterData" localSheetId="2" hidden="1">'Entries Register (AP) '!$A$3:$T$716</definedName>
    <definedName name="Z_A8013F89_91D0_44D8_8052_89B934AAC49B_.wvu.FilterData" localSheetId="2" hidden="1">'Entries Register (AP) '!$A$3:$T$802</definedName>
    <definedName name="Z_A81FC35D_9F0E_4DAC_91D8_91AD6BEE4237_.wvu.FilterData" localSheetId="2" hidden="1">'Entries Register (AP) '!$A$3:$T$716</definedName>
    <definedName name="Z_A845346D_4F28_4FEF_8CD6_371E76ED95C2_.wvu.FilterData" localSheetId="2" hidden="1">'Entries Register (AP) '!$A$3:$T$802</definedName>
    <definedName name="Z_A894E05D_D788_4467_BD29_5B24947E9520_.wvu.FilterData" localSheetId="2" hidden="1">'Entries Register (AP) '!$A$3:$T$716</definedName>
    <definedName name="Z_A8D1EDFA_2B24_4DA7_86CA_46391891C409_.wvu.FilterData" localSheetId="2" hidden="1">'Entries Register (AP) '!$A$3:$T$716</definedName>
    <definedName name="Z_A9220631_7136_488B_BAA0_FFB628E71FB9_.wvu.FilterData" localSheetId="2" hidden="1">'Entries Register (AP) '!$A$3:$W$638</definedName>
    <definedName name="Z_A931A9DE_536B_498A_983B_8765E065043D_.wvu.FilterData" localSheetId="2" hidden="1">'Entries Register (AP) '!$A$3:$T$716</definedName>
    <definedName name="Z_A95F8562_15B6_401B_9B85_F4AAAF9CD14F_.wvu.FilterData" localSheetId="2" hidden="1">'Entries Register (AP) '!$A$3:$T$716</definedName>
    <definedName name="Z_A96290C0_ECF6_4B7B_8BAB_349E0CD79220_.wvu.FilterData" localSheetId="2" hidden="1">'Entries Register (AP) '!$A$3:$T$716</definedName>
    <definedName name="Z_A99D58F8_5F6D_4AEC_8ABE_B41D07832216_.wvu.FilterData" localSheetId="2" hidden="1">'Entries Register (AP) '!$A$3:$T$716</definedName>
    <definedName name="Z_A9F031F2_B69A_4F35_AFD1_A58067752219_.wvu.FilterData" localSheetId="2" hidden="1">'Entries Register (AP) '!$A$3:$T$801</definedName>
    <definedName name="Z_AA22EAD3_AD3F_4E1F_A6BA_4AB3EDCF1E75_.wvu.FilterData" localSheetId="2" hidden="1">'Entries Register (AP) '!$A$3:$T$801</definedName>
    <definedName name="Z_AA39E8C6_EEC6_47D1_9B74_58746D4DBE3E_.wvu.FilterData" localSheetId="2" hidden="1">'Entries Register (AP) '!$A$3:$T$716</definedName>
    <definedName name="Z_AA664B2F_4C8C_4043_99F4_D51647B80BF5_.wvu.FilterData" localSheetId="2" hidden="1">'Entries Register (AP) '!$A$3:$T$657</definedName>
    <definedName name="Z_AA8158CD_0AB7_4524_9A81_00D14E06335A_.wvu.FilterData" localSheetId="2" hidden="1">'Entries Register (AP) '!$A$3:$T$716</definedName>
    <definedName name="Z_AA888C63_7C23_418D_BE68_5061A2851056_.wvu.FilterData" localSheetId="2" hidden="1">'Entries Register (AP) '!$A$3:$T$802</definedName>
    <definedName name="Z_AA8A3C3A_CE2F_4DB6_BE8D_1C18F40C3AF5_.wvu.FilterData" localSheetId="2" hidden="1">'Entries Register (AP) '!$A$3:$T$716</definedName>
    <definedName name="Z_AB3570B2_1CB5_46DC_BA8D_435A2D115DD5_.wvu.FilterData" localSheetId="2" hidden="1">'Entries Register (AP) '!$A$3:$T$716</definedName>
    <definedName name="Z_AB671912_91EF_47D2_9533_56B992552DC5_.wvu.FilterData" localSheetId="2" hidden="1">'Entries Register (AP) '!$A$3:$T$716</definedName>
    <definedName name="Z_ABEA0673_40D3_4F12_9F15_3CA17A20A9F2_.wvu.FilterData" localSheetId="2" hidden="1">'Entries Register (AP) '!$A$3:$T$716</definedName>
    <definedName name="Z_AC00C8EB_3BC5_4A52_87D2_2C30492EEF67_.wvu.FilterData" localSheetId="2" hidden="1">'Entries Register (AP) '!$A$3:$T$802</definedName>
    <definedName name="Z_AD2CD1BB_F058_42A3_919C_D2BF77B05889_.wvu.FilterData" localSheetId="2" hidden="1">'Entries Register (AP) '!$A$3:$T$716</definedName>
    <definedName name="Z_AD41C04F_7D7F_4703_90B0_A6A17FA1162E_.wvu.FilterData" localSheetId="2" hidden="1">'Entries Register (AP) '!$A$3:$T$716</definedName>
    <definedName name="Z_AD45356C_7AE3_40EC_A5AD_55DC2451BE23_.wvu.FilterData" localSheetId="2" hidden="1">'Entries Register (AP) '!$A$3:$T$801</definedName>
    <definedName name="Z_AD49E5E7_B1AE_467F_9BE1_46213829F223_.wvu.FilterData" localSheetId="2" hidden="1">'Entries Register (AP) '!$A$3:$T$716</definedName>
    <definedName name="Z_AD85CA71_4FCD_47FC_86F0_F0977F9F3E64_.wvu.FilterData" localSheetId="2" hidden="1">'Entries Register (AP) '!$A$3:$T$657</definedName>
    <definedName name="Z_AD9D1334_F97B_4C9B_A341_0C617B3CF70F_.wvu.FilterData" localSheetId="2" hidden="1">'Entries Register (AP) '!$A$3:$T$716</definedName>
    <definedName name="Z_ADCC8E57_2A06_485A_9EC6_697A5EDACCF5_.wvu.FilterData" localSheetId="2" hidden="1">'Entries Register (AP) '!$A$3:$T$801</definedName>
    <definedName name="Z_ADCF8D7F_DBEC_4D61_A06E_6B25ABA7289E_.wvu.FilterData" localSheetId="2" hidden="1">'Entries Register (AP) '!$A$3:$T$801</definedName>
    <definedName name="Z_AE44F65E_768B_445B_BA89_399EF0414406_.wvu.FilterData" localSheetId="2" hidden="1">'Entries Register (AP) '!$A$3:$T$802</definedName>
    <definedName name="Z_AF03967F_D157_415B_B9BD_E53F9DC9789A_.wvu.FilterData" localSheetId="2" hidden="1">'Entries Register (AP) '!$A$3:$T$716</definedName>
    <definedName name="Z_AF256661_2F56_47F6_A1E6_C15B1799A2FF_.wvu.FilterData" localSheetId="2" hidden="1">'Entries Register (AP) '!$A$3:$T$716</definedName>
    <definedName name="Z_AF4105AF_08F8_4B3A_ACC7_1652CB2D7EEB_.wvu.FilterData" localSheetId="2" hidden="1">'Entries Register (AP) '!$A$3:$T$638</definedName>
    <definedName name="Z_AF948552_7519_4645_AC80_EF3893958C17_.wvu.FilterData" localSheetId="2" hidden="1">'Entries Register (AP) '!$A$3:$T$716</definedName>
    <definedName name="Z_AFC521DD_6BF9_4AA5_991A_73D8F620A3D9_.wvu.Cols" localSheetId="2" hidden="1">'Entries Register (AP) '!#REF!</definedName>
    <definedName name="Z_AFC521DD_6BF9_4AA5_991A_73D8F620A3D9_.wvu.Cols" localSheetId="7" hidden="1">K.P.I!#REF!</definedName>
    <definedName name="Z_AFC521DD_6BF9_4AA5_991A_73D8F620A3D9_.wvu.Cols" localSheetId="3" hidden="1">K.P.I_new!#REF!</definedName>
    <definedName name="Z_AFC521DD_6BF9_4AA5_991A_73D8F620A3D9_.wvu.FilterData" localSheetId="2" hidden="1">'Entries Register (AP) '!$A$3:$T$657</definedName>
    <definedName name="Z_AFF1163A_4F37_47A7_BAB8_C7FD278236BB_.wvu.FilterData" localSheetId="2" hidden="1">'Entries Register (AP) '!$A$3:$T$716</definedName>
    <definedName name="Z_B0C2DC64_0A00_4DB2_92AA_35D2AF5CCF07_.wvu.FilterData" localSheetId="2" hidden="1">'Entries Register (AP) '!$A$3:$T$716</definedName>
    <definedName name="Z_B1161FB2_C739_40C1_BFBD_14C587EE5A7A_.wvu.FilterData" localSheetId="2" hidden="1">'Entries Register (AP) '!$A$3:$T$716</definedName>
    <definedName name="Z_B12FC55C_1035_4ADE_B100_4F3A2C55085D_.wvu.FilterData" localSheetId="2" hidden="1">'Entries Register (AP) '!$A$3:$T$716</definedName>
    <definedName name="Z_B1706B39_FE0E_440B_8D5E_08840C87EADC_.wvu.FilterData" localSheetId="2" hidden="1">'Entries Register (AP) '!$A$3:$T$716</definedName>
    <definedName name="Z_B237D0D3_924E_4BBA_A0F1_379AD1EEFE99_.wvu.FilterData" localSheetId="2" hidden="1">'Entries Register (AP) '!$A$3:$T$716</definedName>
    <definedName name="Z_B24510C3_1346_4099_8805_E370E6D2AF4D_.wvu.FilterData" localSheetId="2" hidden="1">'Entries Register (AP) '!$A$3:$T$802</definedName>
    <definedName name="Z_B24C3D83_0BD6_40F3_8DC7_3C8409233BA6_.wvu.FilterData" localSheetId="2" hidden="1">'Entries Register (AP) '!$A$3:$T$716</definedName>
    <definedName name="Z_B25C95CC_AE51_4F28_AAB5_63ABE048FD49_.wvu.FilterData" localSheetId="2" hidden="1">'Entries Register (AP) '!$A$3:$T$716</definedName>
    <definedName name="Z_B2A33822_9E32_4A76_A980_159EE10FD764_.wvu.FilterData" localSheetId="2" hidden="1">'Entries Register (AP) '!$A$3:$T$716</definedName>
    <definedName name="Z_B2D5488E_CAE5_4923_BA20_198B1BDF2B50_.wvu.FilterData" localSheetId="2" hidden="1">'Entries Register (AP) '!$A$3:$T$716</definedName>
    <definedName name="Z_B2EE25CF_6721_456E_8D44_3DA5B5213796_.wvu.FilterData" localSheetId="2" hidden="1">'Entries Register (AP) '!$A$3:$T$802</definedName>
    <definedName name="Z_B2FF5D6F_CA25_4285_96F5_22B584240C7B_.wvu.FilterData" localSheetId="2" hidden="1">'Entries Register (AP) '!$A$3:$T$716</definedName>
    <definedName name="Z_B3408607_31EB_4EB9_8CD5_A9AF0FE29B82_.wvu.FilterData" localSheetId="2" hidden="1">'Entries Register (AP) '!$A$3:$T$716</definedName>
    <definedName name="Z_B34F6D29_5DA8_4D4B_8C70_4FECE99AEC0F_.wvu.FilterData" localSheetId="2" hidden="1">'Entries Register (AP) '!$A$3:$T$657</definedName>
    <definedName name="Z_B364711D_CC7C_41D8_B087_F92F53A08CE2_.wvu.FilterData" localSheetId="2" hidden="1">'Entries Register (AP) '!$A$3:$T$657</definedName>
    <definedName name="Z_B36B42EA_32DD_4879_B69B_4A10DFB43D1B_.wvu.FilterData" localSheetId="2" hidden="1">'Entries Register (AP) '!$A$3:$T$716</definedName>
    <definedName name="Z_B398B4DA_6DFB_4607_A7DF_BD0342443BC8_.wvu.FilterData" localSheetId="2" hidden="1">'Entries Register (AP) '!$A$3:$T$801</definedName>
    <definedName name="Z_B3C6BCF7_040E_4277_8752_98E81C0D4042_.wvu.FilterData" localSheetId="2" hidden="1">'Entries Register (AP) '!$A$3:$T$801</definedName>
    <definedName name="Z_B3F13EF7_3ADA_4FB5_9A34_DEA61617A83E_.wvu.FilterData" localSheetId="2" hidden="1">'Entries Register (AP) '!$A$3:$T$657</definedName>
    <definedName name="Z_B4843C4C_EA02_45DF_9E2C_376EE6D076D1_.wvu.FilterData" localSheetId="2" hidden="1">'Entries Register (AP) '!$A$3:$T$657</definedName>
    <definedName name="Z_B552251D_8231_4B36_9D4F_73C850EA87AE_.wvu.FilterData" localSheetId="2" hidden="1">'Entries Register (AP) '!$A$3:$T$801</definedName>
    <definedName name="Z_B58F4EB8_A046_4A0B_9648_6F2652DDACBD_.wvu.FilterData" localSheetId="2" hidden="1">'Entries Register (AP) '!$A$3:$T$716</definedName>
    <definedName name="Z_B5A8D5CF_4E87_4A8E_B64B_DDA11236349E_.wvu.FilterData" localSheetId="2" hidden="1">'Entries Register (AP) '!$A$3:$T$716</definedName>
    <definedName name="Z_B5C243B0_25C1_4C87_A52B_6DF383FC6F29_.wvu.FilterData" localSheetId="2" hidden="1">'Entries Register (AP) '!$A$3:$T$716</definedName>
    <definedName name="Z_B637CC8C_E133_46B9_9A5E_F3B0CA682250_.wvu.FilterData" localSheetId="2" hidden="1">'Entries Register (AP) '!$A$3:$T$716</definedName>
    <definedName name="Z_B667280D_B14F_4292_95B5_55CFF01E1572_.wvu.FilterData" localSheetId="2" hidden="1">'Entries Register (AP) '!$A$3:$T$716</definedName>
    <definedName name="Z_B83669E3_85B1_4297_B8E8_A4D5366E93B7_.wvu.FilterData" localSheetId="2" hidden="1">'Entries Register (AP) '!$A$3:$T$716</definedName>
    <definedName name="Z_B83CE2E2_3D1F_495D_B49E_880F6424EB9F_.wvu.FilterData" localSheetId="2" hidden="1">'Entries Register (AP) '!$A$3:$T$638</definedName>
    <definedName name="Z_B8BCD8A6_90DB_459E_B9C2_00CC34E59A4E_.wvu.FilterData" localSheetId="2" hidden="1">'Entries Register (AP) '!$A$3:$T$716</definedName>
    <definedName name="Z_B8CB5DC7_C170_4B82_841D_ACE5F8B389E4_.wvu.FilterData" localSheetId="2" hidden="1">'Entries Register (AP) '!$A$3:$T$716</definedName>
    <definedName name="Z_B8E20411_1A04_4E23_98DE_E3AD3E9D6676_.wvu.FilterData" localSheetId="2" hidden="1">'Entries Register (AP) '!$A$3:$T$802</definedName>
    <definedName name="Z_B9763586_0AD3_4E86_9519_ACF1ABD99E52_.wvu.FilterData" localSheetId="2" hidden="1">'Entries Register (AP) '!$A$3:$T$716</definedName>
    <definedName name="Z_B9B5D62F_0579_43A6_BA93_E278222A96E4_.wvu.FilterData" localSheetId="2" hidden="1">'Entries Register (AP) '!$A$3:$T$802</definedName>
    <definedName name="Z_BA494B75_C309_4B07_904C_5AD0DAB7469D_.wvu.FilterData" localSheetId="2" hidden="1">'Entries Register (AP) '!$A$3:$T$716</definedName>
    <definedName name="Z_BABFFD68_2BC2_40B5_84E4_1128EC76601C_.wvu.FilterData" localSheetId="2" hidden="1">'Entries Register (AP) '!$A$3:$T$802</definedName>
    <definedName name="Z_BAC4CB9D_4A92_40F1_A266_914C62828482_.wvu.FilterData" localSheetId="2" hidden="1">'Entries Register (AP) '!$A$3:$T$657</definedName>
    <definedName name="Z_BB170184_F249_41CC_95FC_840B302A0EE2_.wvu.FilterData" localSheetId="2" hidden="1">'Entries Register (AP) '!$A$3:$T$802</definedName>
    <definedName name="Z_BBBE32F6_ED37_497B_9A9D_73DF81844CBE_.wvu.FilterData" localSheetId="2" hidden="1">'Entries Register (AP) '!$A$3:$T$638</definedName>
    <definedName name="Z_BBD23237_FECC_4F62_8411_50AB67783A93_.wvu.FilterData" localSheetId="2" hidden="1">'Entries Register (AP) '!$A$3:$T$801</definedName>
    <definedName name="Z_BBE52D26_B9A7_4D9C_9826_69D4A2917821_.wvu.FilterData" localSheetId="2" hidden="1">'Entries Register (AP) '!$A$3:$T$716</definedName>
    <definedName name="Z_BBE5FE51_5489_489D_A330_1449EB8E9DD6_.wvu.FilterData" localSheetId="2" hidden="1">'Entries Register (AP) '!$A$3:$T$657</definedName>
    <definedName name="Z_BC824BA7_CFC0_4949_BAE1_39D84017B36D_.wvu.FilterData" localSheetId="2" hidden="1">'Entries Register (AP) '!$A$3:$T$657</definedName>
    <definedName name="Z_BC8735A7_405A_4E50_8325_906C26852349_.wvu.FilterData" localSheetId="2" hidden="1">'Entries Register (AP) '!$A$3:$T$802</definedName>
    <definedName name="Z_BD348A3D_72D2_4C6B_A179_01287D51C45C_.wvu.FilterData" localSheetId="2" hidden="1">'Entries Register (AP) '!$A$3:$T$716</definedName>
    <definedName name="Z_BD41183E_F336_4A9D_B769_9304F75CBA57_.wvu.FilterData" localSheetId="2" hidden="1">'Entries Register (AP) '!$A$3:$T$716</definedName>
    <definedName name="Z_BD9193AD_E8C4_4005_9F64_D4275B513145_.wvu.FilterData" localSheetId="2" hidden="1">'Entries Register (AP) '!$A$3:$T$716</definedName>
    <definedName name="Z_BDB3B083_3D20_49AC_BDA8_D1C536930FD7_.wvu.FilterData" localSheetId="2" hidden="1">'Entries Register (AP) '!$A$3:$T$716</definedName>
    <definedName name="Z_BE17E72B_709D_4A01_B42E_0353190FBC82_.wvu.FilterData" localSheetId="2" hidden="1">'Entries Register (AP) '!$A$3:$T$716</definedName>
    <definedName name="Z_BE6AD71A_A4EA_447C_BEEA_54A8BDD1C483_.wvu.FilterData" localSheetId="2" hidden="1">'Entries Register (AP) '!$A$3:$T$657</definedName>
    <definedName name="Z_BE8F2614_76A5_4703_A11D_B12593FF12E6_.wvu.FilterData" localSheetId="2" hidden="1">'Entries Register (AP) '!$A$3:$T$657</definedName>
    <definedName name="Z_BE9FC093_809D_4C59_96B6_BCAF391B4106_.wvu.FilterData" localSheetId="2" hidden="1">'Entries Register (AP) '!$A$3:$T$801</definedName>
    <definedName name="Z_BF3A6836_B264_4594_97F2_F90F082CF9FC_.wvu.FilterData" localSheetId="2" hidden="1">'Entries Register (AP) '!$A$3:$T$657</definedName>
    <definedName name="Z_BF858CCC_7B50_4C77_A7C9_F6E5CEB77626_.wvu.FilterData" localSheetId="2" hidden="1">'Entries Register (AP) '!$A$3:$T$716</definedName>
    <definedName name="Z_BF869B64_C3EF_4FCF_B47E_5E490297B2B4_.wvu.FilterData" localSheetId="2" hidden="1">'Entries Register (AP) '!$A$3:$T$638</definedName>
    <definedName name="Z_BFC92E6E_E60E_433E_9AF1_5048F90D46FB_.wvu.FilterData" localSheetId="2" hidden="1">'Entries Register (AP) '!$A$3:$T$716</definedName>
    <definedName name="Z_BFDD234E_8789_49AF_8C8D_C02ACA64C5B9_.wvu.FilterData" localSheetId="2" hidden="1">'Entries Register (AP) '!$A$3:$T$657</definedName>
    <definedName name="Z_BFEC2A36_2203_4F19_B5CD_E9706130DD73_.wvu.FilterData" localSheetId="2" hidden="1">'Entries Register (AP) '!$A$3:$T$716</definedName>
    <definedName name="Z_C04C501F_A134_4B1A_8D35_F4681FBB8D7F_.wvu.FilterData" localSheetId="2" hidden="1">'Entries Register (AP) '!$A$3:$T$716</definedName>
    <definedName name="Z_C053B1F9_93E6_47C7_B30A_49564DA9C599_.wvu.FilterData" localSheetId="2" hidden="1">'Entries Register (AP) '!$A$3:$T$716</definedName>
    <definedName name="Z_C0BFCBC6_DE99_4DCB_A6C9_93E26BB62BC7_.wvu.FilterData" localSheetId="2" hidden="1">'Entries Register (AP) '!$A$3:$T$716</definedName>
    <definedName name="Z_C0E21672_E776_45BA_9DE8_032371BA6A17_.wvu.FilterData" localSheetId="2" hidden="1">'Entries Register (AP) '!$A$3:$T$801</definedName>
    <definedName name="Z_C1130362_EB77_4768_8EDD_B5B87F22AA7F_.wvu.FilterData" localSheetId="2" hidden="1">'Entries Register (AP) '!$A$3:$T$657</definedName>
    <definedName name="Z_C196E4A9_131C_4463_B57D_095EEB218CDA_.wvu.FilterData" localSheetId="2" hidden="1">'Entries Register (AP) '!$A$3:$T$716</definedName>
    <definedName name="Z_C1CBD73D_F478_4F07_8DB5_F7B50FB5F940_.wvu.FilterData" localSheetId="2" hidden="1">'Entries Register (AP) '!$A$3:$T$801</definedName>
    <definedName name="Z_C249921C_CB3D_4640_81B0_81E236DC6DA8_.wvu.FilterData" localSheetId="2" hidden="1">'Entries Register (AP) '!$A$3:$T$716</definedName>
    <definedName name="Z_C2A9CCFE_8F37_4D49_B0EE_6B5EC5FAB977_.wvu.FilterData" localSheetId="2" hidden="1">'Entries Register (AP) '!$A$3:$T$638</definedName>
    <definedName name="Z_C2B0AA06_4C00_4652_9B8B_DC5AD361FAA0_.wvu.FilterData" localSheetId="2" hidden="1">'Entries Register (AP) '!$A$3:$T$657</definedName>
    <definedName name="Z_C2DDD34D_4191_40E0_9BC6_97ED27725896_.wvu.FilterData" localSheetId="0" hidden="1">DMDT!$B$4:$P$1896</definedName>
    <definedName name="Z_C2DDD34D_4191_40E0_9BC6_97ED27725896_.wvu.FilterData" localSheetId="2" hidden="1">'Entries Register (AP) '!$A$3:$T$801</definedName>
    <definedName name="Z_C2E086C4_F7CE_47ED_B9AB_59A9BFD08422_.wvu.FilterData" localSheetId="2" hidden="1">'Entries Register (AP) '!$A$3:$T$716</definedName>
    <definedName name="Z_C367EBBE_DE13_41BE_A2CC_BB07B249EAC2_.wvu.FilterData" localSheetId="2" hidden="1">'Entries Register (AP) '!$A$3:$T$716</definedName>
    <definedName name="Z_C40AEE25_27C7_4D45_99D9_6D80261F1224_.wvu.FilterData" localSheetId="2" hidden="1">'Entries Register (AP) '!$A$3:$T$716</definedName>
    <definedName name="Z_C40DAF99_1391_4E84_85E0_2C0412301A47_.wvu.FilterData" localSheetId="2" hidden="1">'Entries Register (AP) '!$A$3:$T$802</definedName>
    <definedName name="Z_C457C8C1_BC56_403A_AFA4_192FC88AC66B_.wvu.FilterData" localSheetId="2" hidden="1">'Entries Register (AP) '!$A$3:$T$716</definedName>
    <definedName name="Z_C4A53F69_E001_41DF_B606_9A06EA4A0151_.wvu.FilterData" localSheetId="2" hidden="1">'Entries Register (AP) '!$A$3:$T$716</definedName>
    <definedName name="Z_C4AF45B8_7041_465C_9A10_88640F4CB7E9_.wvu.FilterData" localSheetId="2" hidden="1">'Entries Register (AP) '!$A$3:$T$657</definedName>
    <definedName name="Z_C4BBEDAA_C52D_440A_98CC_2B7290A99624_.wvu.FilterData" localSheetId="2" hidden="1">'Entries Register (AP) '!$A$3:$T$716</definedName>
    <definedName name="Z_C4BCE517_2D4F_4BB5_B007_A1AFD39146A8_.wvu.FilterData" localSheetId="2" hidden="1">'Entries Register (AP) '!$A$3:$T$800</definedName>
    <definedName name="Z_C4BD17E2_AFBD_4E7E_A407_9FE592E93325_.wvu.FilterData" localSheetId="2" hidden="1">'Entries Register (AP) '!$A$3:$T$802</definedName>
    <definedName name="Z_C584DA0E_A085_4A86_8127_A435A4B3537C_.wvu.FilterData" localSheetId="2" hidden="1">'Entries Register (AP) '!$A$3:$T$657</definedName>
    <definedName name="Z_C5B58F0E_B08D_44ED_9B43_F9C77D849BFD_.wvu.FilterData" localSheetId="2" hidden="1">'Entries Register (AP) '!$A$3:$T$716</definedName>
    <definedName name="Z_C5F64F74_8FAE_4345_8CB5_2C09F2DA9DDF_.wvu.FilterData" localSheetId="2" hidden="1">'Entries Register (AP) '!$A$3:$T$716</definedName>
    <definedName name="Z_C62E1187_AC10_4689_BB22_E4A485382F4A_.wvu.FilterData" localSheetId="2" hidden="1">'Entries Register (AP) '!$A$3:$T$716</definedName>
    <definedName name="Z_C71B2B44_D75A_4396_87BC_AE0D771F869E_.wvu.FilterData" localSheetId="2" hidden="1">'Entries Register (AP) '!$A$3:$T$657</definedName>
    <definedName name="Z_C7AFA840_B317_4FB5_9A95_2D833D832C1C_.wvu.FilterData" localSheetId="2" hidden="1">'Entries Register (AP) '!$A$3:$T$716</definedName>
    <definedName name="Z_C7C630FE_B519_4982_B60C_855320ACF09F_.wvu.FilterData" localSheetId="2" hidden="1">'Entries Register (AP) '!$A$3:$T$716</definedName>
    <definedName name="Z_C7E885A1_402B_44EB_9819_19E48C5A66C6_.wvu.FilterData" localSheetId="2" hidden="1">'Entries Register (AP) '!$A$3:$T$716</definedName>
    <definedName name="Z_C7F36C5C_DE76_4E09_80BC_E8D3B24C6334_.wvu.FilterData" localSheetId="2" hidden="1">'Entries Register (AP) '!$A$3:$T$716</definedName>
    <definedName name="Z_C7F42A38_7642_4361_9D5B_FB5F81027562_.wvu.FilterData" localSheetId="2" hidden="1">'Entries Register (AP) '!$A$3:$T$802</definedName>
    <definedName name="Z_C889C252_D5EE_4799_8A75_17369639C550_.wvu.FilterData" localSheetId="2" hidden="1">'Entries Register (AP) '!$A$3:$T$801</definedName>
    <definedName name="Z_C90881A9_47D5_431C_A5D9_A9A26BDC40D5_.wvu.FilterData" localSheetId="2" hidden="1">'Entries Register (AP) '!$A$3:$T$657</definedName>
    <definedName name="Z_C914E1FD_7AF8_452D_B5EC_E689FBFBE130_.wvu.FilterData" localSheetId="2" hidden="1">'Entries Register (AP) '!$A$3:$T$716</definedName>
    <definedName name="Z_C9343BC7_4DDF_4D90_A630_F33AF2F758CB_.wvu.FilterData" localSheetId="2" hidden="1">'Entries Register (AP) '!$A$3:$T$716</definedName>
    <definedName name="Z_C93DB8C4_237B_498F_B8A8_6BA8AF65AE0F_.wvu.FilterData" localSheetId="2" hidden="1">'Entries Register (AP) '!$A$3:$T$716</definedName>
    <definedName name="Z_C9443619_9DBE_49A2_9FD4_A70E4D14EB65_.wvu.FilterData" localSheetId="2" hidden="1">'Entries Register (AP) '!$A$3:$T$716</definedName>
    <definedName name="Z_C9E20607_B75F_40FF_B811_670A4299190E_.wvu.FilterData" localSheetId="2" hidden="1">'Entries Register (AP) '!$A$3:$T$716</definedName>
    <definedName name="Z_CAC0DFAD_44B9_475C_9B6F_0E995DFAA34C_.wvu.FilterData" localSheetId="2" hidden="1">'Entries Register (AP) '!$A$3:$T$802</definedName>
    <definedName name="Z_CAC123BE_9C44_4AA6_A519_E2C93C058BC1_.wvu.FilterData" localSheetId="2" hidden="1">'Entries Register (AP) '!$A$3:$T$716</definedName>
    <definedName name="Z_CB1EFD76_719E_4745_AAD9_43DA3A567251_.wvu.FilterData" localSheetId="2" hidden="1">'Entries Register (AP) '!$A$3:$T$716</definedName>
    <definedName name="Z_CB3A0992_7736_46B6_9513_DA8328EA99E8_.wvu.FilterData" localSheetId="2" hidden="1">'Entries Register (AP) '!$A$3:$T$800</definedName>
    <definedName name="Z_CB759617_2E1A_480A_8E96_A8AA2671F462_.wvu.FilterData" localSheetId="2" hidden="1">'Entries Register (AP) '!$A$3:$T$657</definedName>
    <definedName name="Z_CBADA252_72EF_4990_B401_26192F3B847D_.wvu.FilterData" localSheetId="2" hidden="1">'Entries Register (AP) '!$A$3:$T$716</definedName>
    <definedName name="Z_CBD0BEDA_758F_4C30_9E19_D1E26E63BD22_.wvu.FilterData" localSheetId="2" hidden="1">'Entries Register (AP) '!$A$3:$T$716</definedName>
    <definedName name="Z_CBD468BA_1411_4B2A_8FA4_3E7380A40A56_.wvu.FilterData" localSheetId="2" hidden="1">'Entries Register (AP) '!$A$3:$T$716</definedName>
    <definedName name="Z_CCAC2EA6_3004_474C_B867_F091AF98B02B_.wvu.FilterData" localSheetId="2" hidden="1">'Entries Register (AP) '!$A$3:$T$716</definedName>
    <definedName name="Z_CCD35BFA_1575_4D87_B419_8876E24DF9CB_.wvu.FilterData" localSheetId="2" hidden="1">'Entries Register (AP) '!$A$3:$T$638</definedName>
    <definedName name="Z_CCEADDD8_7DA2_4827_A559_7C478C0B6038_.wvu.FilterData" localSheetId="2" hidden="1">'Entries Register (AP) '!$A$3:$T$657</definedName>
    <definedName name="Z_CCED2DD1_950B_4BF3_AD6A_592BB5E8C99B_.wvu.FilterData" localSheetId="2" hidden="1">'Entries Register (AP) '!$A$3:$T$800</definedName>
    <definedName name="Z_CD07AA39_4530_4DD1_91C3_6D220FC3CAA5_.wvu.FilterData" localSheetId="2" hidden="1">'Entries Register (AP) '!$A$3:$T$716</definedName>
    <definedName name="Z_CD8C2B4F_7941_4912_B83C_B8D5D0971D6A_.wvu.FilterData" localSheetId="2" hidden="1">'Entries Register (AP) '!$A$3:$T$657</definedName>
    <definedName name="Z_CDBFAD2F_30B4_4836_9F25_74FB91D7A909_.wvu.FilterData" localSheetId="2" hidden="1">'Entries Register (AP) '!$A$3:$T$802</definedName>
    <definedName name="Z_CDCA79C1_8095_466F_8101_E0DBA4701173_.wvu.FilterData" localSheetId="2" hidden="1">'Entries Register (AP) '!$A$3:$T$638</definedName>
    <definedName name="Z_CDD82EAE_9DF7_4B27_970C_4032B533C8A3_.wvu.FilterData" localSheetId="2" hidden="1">'Entries Register (AP) '!$A$3:$T$716</definedName>
    <definedName name="Z_CE348A5C_D9D4_4899_A40F_894070A117B6_.wvu.Cols" localSheetId="2" hidden="1">'Entries Register (AP) '!#REF!</definedName>
    <definedName name="Z_CE348A5C_D9D4_4899_A40F_894070A117B6_.wvu.Cols" localSheetId="7" hidden="1">K.P.I!#REF!</definedName>
    <definedName name="Z_CE348A5C_D9D4_4899_A40F_894070A117B6_.wvu.Cols" localSheetId="3" hidden="1">K.P.I_new!#REF!</definedName>
    <definedName name="Z_CE348A5C_D9D4_4899_A40F_894070A117B6_.wvu.FilterData" localSheetId="0" hidden="1">DMDT!$B$4:$P$1873</definedName>
    <definedName name="Z_CE348A5C_D9D4_4899_A40F_894070A117B6_.wvu.FilterData" localSheetId="2" hidden="1">'Entries Register (AP) '!$A$3:$T$716</definedName>
    <definedName name="Z_CE3F982E_CBA1_4542_AE97_82D21003CBAC_.wvu.FilterData" localSheetId="2" hidden="1">'Entries Register (AP) '!$A$3:$T$716</definedName>
    <definedName name="Z_CE6334A8_C5D1_437A_8CB7_74D15B10E09A_.wvu.FilterData" localSheetId="2" hidden="1">'Entries Register (AP) '!$A$3:$T$716</definedName>
    <definedName name="Z_CF19357D_C99C_4E1A_BF69_91596E11050E_.wvu.FilterData" localSheetId="2" hidden="1">'Entries Register (AP) '!$A$3:$T$716</definedName>
    <definedName name="Z_CF1AB166_3622_484C_83AF_B22A44566B1A_.wvu.FilterData" localSheetId="2" hidden="1">'Entries Register (AP) '!$A$3:$T$716</definedName>
    <definedName name="Z_CF3E5946_26D3_46F1_83C0_2D383EBF765F_.wvu.FilterData" localSheetId="2" hidden="1">'Entries Register (AP) '!$A$3:$T$716</definedName>
    <definedName name="Z_CF96DEAD_2A15_42F9_948B_3A474989B3AA_.wvu.FilterData" localSheetId="2" hidden="1">'Entries Register (AP) '!$A$3:$T$716</definedName>
    <definedName name="Z_CFD45469_0493_47F3_A335_2A437D754DC7_.wvu.FilterData" localSheetId="2" hidden="1">'Entries Register (AP) '!$A$3:$T$657</definedName>
    <definedName name="Z_CFFBC67B_BFF5_4567_8C79_AAC6365914AC_.wvu.FilterData" localSheetId="2" hidden="1">'Entries Register (AP) '!$A$3:$T$716</definedName>
    <definedName name="Z_D00C2A26_8D9D_4709_BD88_AD7A8702B5D9_.wvu.FilterData" localSheetId="2" hidden="1">'Entries Register (AP) '!$A$3:$T$716</definedName>
    <definedName name="Z_D0114773_9238_4683_9F17_46C660410955_.wvu.FilterData" localSheetId="2" hidden="1">'Entries Register (AP) '!$A$3:$T$801</definedName>
    <definedName name="Z_D0AE5A2A_170D_4BD3_A951_561ABFCEFEF4_.wvu.FilterData" localSheetId="2" hidden="1">'Entries Register (AP) '!$A$3:$T$716</definedName>
    <definedName name="Z_D11C7BF2_A3F4_4039_A980_08C9A821B65A_.wvu.FilterData" localSheetId="2" hidden="1">'Entries Register (AP) '!$A$3:$T$716</definedName>
    <definedName name="Z_D186105A_4014_4C53_808E_FF87CB8E5CC7_.wvu.FilterData" localSheetId="2" hidden="1">'Entries Register (AP) '!$A$3:$T$716</definedName>
    <definedName name="Z_D1AE5DEF_B9DF_445B_9290_215C05B47180_.wvu.FilterData" localSheetId="2" hidden="1">'Entries Register (AP) '!$A$3:$T$716</definedName>
    <definedName name="Z_D209982E_39C2_41AA_812E_7E1E1EF913D4_.wvu.FilterData" localSheetId="2" hidden="1">'Entries Register (AP) '!$A$3:$T$716</definedName>
    <definedName name="Z_D25F61AC_1523_4721_8388_EA33FE510C48_.wvu.FilterData" localSheetId="2" hidden="1">'Entries Register (AP) '!$A$3:$T$802</definedName>
    <definedName name="Z_D2932D8E_5834_49AE_B6A6_628014E968D8_.wvu.FilterData" localSheetId="2" hidden="1">'Entries Register (AP) '!$A$3:$T$638</definedName>
    <definedName name="Z_D2A8B040_0EAE_4AF3_8999_CBC91589ACBA_.wvu.FilterData" localSheetId="2" hidden="1">'Entries Register (AP) '!$A$3:$T$801</definedName>
    <definedName name="Z_D2C4D4DF_530F_4F51_A716_B43739E6A60C_.wvu.FilterData" localSheetId="2" hidden="1">'Entries Register (AP) '!$A$3:$T$657</definedName>
    <definedName name="Z_D37526A9_AC80_4112_B391_84797579B658_.wvu.FilterData" localSheetId="2" hidden="1">'Entries Register (AP) '!$A$3:$T$657</definedName>
    <definedName name="Z_D3AA6F38_A971_46C7_AE4E_355EA536FC7C_.wvu.FilterData" localSheetId="2" hidden="1">'Entries Register (AP) '!$A$3:$T$716</definedName>
    <definedName name="Z_D3DA41CF_273A_4989_821A_FC110799B144_.wvu.FilterData" localSheetId="2" hidden="1">'Entries Register (AP) '!$A$3:$T$638</definedName>
    <definedName name="Z_D40E5C28_53DE_4B28_952C_1D2FB2D5F0F0_.wvu.Cols" localSheetId="7" hidden="1">K.P.I!#REF!</definedName>
    <definedName name="Z_D40E5C28_53DE_4B28_952C_1D2FB2D5F0F0_.wvu.Cols" localSheetId="3" hidden="1">K.P.I_new!#REF!</definedName>
    <definedName name="Z_D40E5C28_53DE_4B28_952C_1D2FB2D5F0F0_.wvu.FilterData" localSheetId="0" hidden="1">DMDT!$B$4:$P$1896</definedName>
    <definedName name="Z_D40E5C28_53DE_4B28_952C_1D2FB2D5F0F0_.wvu.FilterData" localSheetId="2" hidden="1">'Entries Register (AP) '!$A$3:$T$801</definedName>
    <definedName name="Z_D410FD31_58E2_430A_8784_4289AE93AF7F_.wvu.FilterData" localSheetId="2" hidden="1">'Entries Register (AP) '!$A$3:$T$802</definedName>
    <definedName name="Z_D414BCD2_1919_40F0_B7A3_296AEB801CB5_.wvu.FilterData" localSheetId="2" hidden="1">'Entries Register (AP) '!$A$3:$T$716</definedName>
    <definedName name="Z_D427DFF2_0AD5_4BFF_A50F_4F3A9F5525B3_.wvu.FilterData" localSheetId="2" hidden="1">'Entries Register (AP) '!$A$3:$T$801</definedName>
    <definedName name="Z_D4EF810D_43E0_4C95_AE96_6B0F563F79F5_.wvu.FilterData" localSheetId="2" hidden="1">'Entries Register (AP) '!$A$3:$T$801</definedName>
    <definedName name="Z_D5217952_A69E_41F2_A275_EF8E9D29F356_.wvu.FilterData" localSheetId="2" hidden="1">'Entries Register (AP) '!$A$3:$T$716</definedName>
    <definedName name="Z_D54432CA_0DA9_48FE_97BE_F7895E1D1530_.wvu.FilterData" localSheetId="2" hidden="1">'Entries Register (AP) '!$A$3:$T$716</definedName>
    <definedName name="Z_D5A23ACA_6FD2_4D4C_ACBF_F9B4A7D857A8_.wvu.FilterData" localSheetId="2" hidden="1">'Entries Register (AP) '!$A$3:$T$657</definedName>
    <definedName name="Z_D5CA11BF_7E66_42C6_8AAD_16716DE492D5_.wvu.FilterData" localSheetId="2" hidden="1">'Entries Register (AP) '!$A$3:$T$716</definedName>
    <definedName name="Z_D62735EF_CFA5_4405_B271_D7819C344FF6_.wvu.FilterData" localSheetId="2" hidden="1">'Entries Register (AP) '!$A$3:$T$716</definedName>
    <definedName name="Z_D6583DD2_5E26_49AD_A6F3_B7F9E815D8EC_.wvu.FilterData" localSheetId="2" hidden="1">'Entries Register (AP) '!$A$3:$T$716</definedName>
    <definedName name="Z_D6BD5CEA_D366_4B66_947A_F51F2BF0B3C3_.wvu.FilterData" localSheetId="2" hidden="1">'Entries Register (AP) '!$A$3:$T$657</definedName>
    <definedName name="Z_D71B69F0_8CFD_470D_9D14_60CAA9EAA472_.wvu.FilterData" localSheetId="2" hidden="1">'Entries Register (AP) '!$A$3:$T$716</definedName>
    <definedName name="Z_D7C02F02_CDB4_4EA9_828E_095B814559C7_.wvu.FilterData" localSheetId="2" hidden="1">'Entries Register (AP) '!$A$3:$T$716</definedName>
    <definedName name="Z_D7DF7DBB_5EEF_485E_B3C9_6A04CAE2AC17_.wvu.FilterData" localSheetId="2" hidden="1">'Entries Register (AP) '!$A$3:$T$657</definedName>
    <definedName name="Z_D83AA0B2_00D7_420D_B5A3_8AF8098AC41F_.wvu.FilterData" localSheetId="2" hidden="1">'Entries Register (AP) '!$A$3:$T$716</definedName>
    <definedName name="Z_D85D17CF_49D2_4515_B5FF_656C1DE01A28_.wvu.FilterData" localSheetId="2" hidden="1">'Entries Register (AP) '!$A$3:$T$716</definedName>
    <definedName name="Z_D8BDAC81_3AEA_4109_9E34_06D669E7EA6D_.wvu.FilterData" localSheetId="2" hidden="1">'Entries Register (AP) '!$A$3:$T$716</definedName>
    <definedName name="Z_D9010FE8_98B3_4D1A_8A62_950509275FC4_.wvu.FilterData" localSheetId="2" hidden="1">'Entries Register (AP) '!$A$3:$T$802</definedName>
    <definedName name="Z_D907DBE3_187B_4C03_8D5C_8BC175C9C439_.wvu.FilterData" localSheetId="2" hidden="1">'Entries Register (AP) '!$A$3:$T$657</definedName>
    <definedName name="Z_D926925B_0BFA_4679_834A_BA1DDD83734E_.wvu.FilterData" localSheetId="2" hidden="1">'Entries Register (AP) '!$A$3:$T$801</definedName>
    <definedName name="Z_D948DD83_7606_4BAA_AC24_3D7BD13E0F83_.wvu.FilterData" localSheetId="2" hidden="1">'Entries Register (AP) '!$A$3:$T$716</definedName>
    <definedName name="Z_DA1D59D6_C6CC_4745_A19E_6EF202370116_.wvu.FilterData" localSheetId="2" hidden="1">'Entries Register (AP) '!$A$3:$T$716</definedName>
    <definedName name="Z_DA713DE5_4379_495F_872B_B6DC5394B22D_.wvu.FilterData" localSheetId="2" hidden="1">'Entries Register (AP) '!$A$3:$T$716</definedName>
    <definedName name="Z_DAA440B3_148C_479D_B6B6_58E3D8C10E1E_.wvu.FilterData" localSheetId="2" hidden="1">'Entries Register (AP) '!$A$3:$T$800</definedName>
    <definedName name="Z_DB53BF4E_837D_4961_B984_E174196DD449_.wvu.FilterData" localSheetId="2" hidden="1">'Entries Register (AP) '!$A$3:$T$716</definedName>
    <definedName name="Z_DB61F545_4E44_4C90_AE74_06977824CB73_.wvu.FilterData" localSheetId="2" hidden="1">'Entries Register (AP) '!$A$3:$T$801</definedName>
    <definedName name="Z_DB6C0100_D1A2_4392_903E_EEDB1B8E183D_.wvu.FilterData" localSheetId="2" hidden="1">'Entries Register (AP) '!$A$3:$T$716</definedName>
    <definedName name="Z_DB95E478_446B_4ABD_A20A_674361610971_.wvu.FilterData" localSheetId="2" hidden="1">'Entries Register (AP) '!$A$3:$T$716</definedName>
    <definedName name="Z_DBB890FC_37C3_4CA0_8C90_270D2D426297_.wvu.FilterData" localSheetId="2" hidden="1">'Entries Register (AP) '!$A$3:$T$716</definedName>
    <definedName name="Z_DBBB4A58_9E1A_4197_81FC_C71E8DD76B29_.wvu.FilterData" localSheetId="2" hidden="1">'Entries Register (AP) '!$A$3:$T$657</definedName>
    <definedName name="Z_DC034F07_C8F0_4D45_9FA3_FF122CE1C987_.wvu.FilterData" localSheetId="2" hidden="1">'Entries Register (AP) '!$A$3:$T$716</definedName>
    <definedName name="Z_DC55282E_1677_40FD_AC45_1DF13864A4E7_.wvu.FilterData" localSheetId="2" hidden="1">'Entries Register (AP) '!$A$3:$T$638</definedName>
    <definedName name="Z_DC5B1755_3039_41C2_A1C2_FB5D8FA300E4_.wvu.FilterData" localSheetId="2" hidden="1">'Entries Register (AP) '!$A$3:$T$716</definedName>
    <definedName name="Z_DC8E86C5_7BE8_4B3D_BF27_A13AD8C5135E_.wvu.FilterData" localSheetId="2" hidden="1">'Entries Register (AP) '!$A$3:$T$716</definedName>
    <definedName name="Z_DC9264FA_48BC_4A15_802B_A904A47836C7_.wvu.FilterData" localSheetId="2" hidden="1">'Entries Register (AP) '!$A$3:$T$802</definedName>
    <definedName name="Z_DD24EE7F_8E34_4F9F_AC5C_8E09EFEEFB9F_.wvu.FilterData" localSheetId="2" hidden="1">'Entries Register (AP) '!$A$3:$T$802</definedName>
    <definedName name="Z_DD8E6A92_31F6_4943_8208_38025FE833EA_.wvu.FilterData" localSheetId="2" hidden="1">'Entries Register (AP) '!$A$3:$T$716</definedName>
    <definedName name="Z_DDA11338_3E2C_4F13_8B70_E6FE365ED34D_.wvu.FilterData" localSheetId="2" hidden="1">'Entries Register (AP) '!$A$3:$T$800</definedName>
    <definedName name="Z_DDB7A182_267C_4E2A_A9C1_C0A78C0482AA_.wvu.FilterData" localSheetId="2" hidden="1">'Entries Register (AP) '!$A$3:$T$801</definedName>
    <definedName name="Z_DE476140_6628_48CE_832D_287A85D2DF96_.wvu.FilterData" localSheetId="2" hidden="1">'Entries Register (AP) '!$A$3:$T$716</definedName>
    <definedName name="Z_DE71B7DD_0667_4C5D_9733_8B9D8E5C7313_.wvu.FilterData" localSheetId="2" hidden="1">'Entries Register (AP) '!$A$3:$T$638</definedName>
    <definedName name="Z_DF37B372_7B5A_4253_9EE3_FD3ABD7DF4B8_.wvu.Cols" localSheetId="7" hidden="1">K.P.I!#REF!</definedName>
    <definedName name="Z_DF37B372_7B5A_4253_9EE3_FD3ABD7DF4B8_.wvu.Cols" localSheetId="3" hidden="1">K.P.I_new!#REF!</definedName>
    <definedName name="Z_DF37B372_7B5A_4253_9EE3_FD3ABD7DF4B8_.wvu.FilterData" localSheetId="0" hidden="1">DMDT!$B$4:$P$1896</definedName>
    <definedName name="Z_DF37B372_7B5A_4253_9EE3_FD3ABD7DF4B8_.wvu.FilterData" localSheetId="2" hidden="1">'Entries Register (AP) '!$A$3:$T$801</definedName>
    <definedName name="Z_DF4CEFD5_12D2_4B23_BC65_01443B321349_.wvu.Cols" localSheetId="7" hidden="1">K.P.I!#REF!</definedName>
    <definedName name="Z_DF4CEFD5_12D2_4B23_BC65_01443B321349_.wvu.Cols" localSheetId="3" hidden="1">K.P.I_new!#REF!</definedName>
    <definedName name="Z_DF4CEFD5_12D2_4B23_BC65_01443B321349_.wvu.FilterData" localSheetId="0" hidden="1">DMDT!$B$4:$P$1875</definedName>
    <definedName name="Z_DF4CEFD5_12D2_4B23_BC65_01443B321349_.wvu.FilterData" localSheetId="2" hidden="1">'Entries Register (AP) '!$A$3:$T$801</definedName>
    <definedName name="Z_DF645078_5042_431B_AD33_669F05971E3C_.wvu.FilterData" localSheetId="2" hidden="1">'Entries Register (AP) '!$A$3:$T$716</definedName>
    <definedName name="Z_DF8E9EFA_84A2_41C2_B549_E4D3F2713BDE_.wvu.FilterData" localSheetId="2" hidden="1">'Entries Register (AP) '!$A$3:$T$638</definedName>
    <definedName name="Z_DFAAF536_26D6_4B45_9496_E879BCCFC75F_.wvu.FilterData" localSheetId="2" hidden="1">'Entries Register (AP) '!$A$3:$T$716</definedName>
    <definedName name="Z_E09B4182_A1D2_45F1_B820_BE15EA6C7EF2_.wvu.FilterData" localSheetId="2" hidden="1">'Entries Register (AP) '!$A$3:$T$801</definedName>
    <definedName name="Z_E15C367A_1EF0_421E_B568_F4F644B6DBD7_.wvu.FilterData" localSheetId="2" hidden="1">'Entries Register (AP) '!$A$3:$T$716</definedName>
    <definedName name="Z_E185E120_DE57_4C81_A6EF_5A6C9B91E9BF_.wvu.FilterData" localSheetId="2" hidden="1">'Entries Register (AP) '!$A$3:$T$716</definedName>
    <definedName name="Z_E1891265_6337_47A4_B22B_1F8C94B57C69_.wvu.FilterData" localSheetId="2" hidden="1">'Entries Register (AP) '!$A$3:$T$716</definedName>
    <definedName name="Z_E20E1FB8_3FC3_4E98_93B1_1C8DF926BDC7_.wvu.FilterData" localSheetId="2" hidden="1">'Entries Register (AP) '!$A$3:$T$638</definedName>
    <definedName name="Z_E32EABB8_07EF_4364_A603_5841320A0589_.wvu.FilterData" localSheetId="2" hidden="1">'Entries Register (AP) '!$A$3:$T$657</definedName>
    <definedName name="Z_E39E5A9B_CDC0_466B_A38D_0F5278D5C0CE_.wvu.FilterData" localSheetId="2" hidden="1">'Entries Register (AP) '!$A$3:$T$716</definedName>
    <definedName name="Z_E3F1B983_09C3_4FB9_B6F0_D763DBBAB3A8_.wvu.FilterData" localSheetId="2" hidden="1">'Entries Register (AP) '!$A$3:$T$716</definedName>
    <definedName name="Z_E448CC46_684D_4624_BDE6_49687D661592_.wvu.FilterData" localSheetId="2" hidden="1">'Entries Register (AP) '!$A$3:$T$638</definedName>
    <definedName name="Z_E44AE148_69CE_4055_8AF6_AA543B8093B9_.wvu.FilterData" localSheetId="2" hidden="1">'Entries Register (AP) '!$A$3:$T$657</definedName>
    <definedName name="Z_E4A23CAE_9C20_4ECE_989C_AB18CF32C714_.wvu.FilterData" localSheetId="2" hidden="1">'Entries Register (AP) '!$A$3:$T$716</definedName>
    <definedName name="Z_E5476AB8_E553_4D3E_94D8_52E7C6D09A56_.wvu.FilterData" localSheetId="2" hidden="1">'Entries Register (AP) '!$A$3:$T$716</definedName>
    <definedName name="Z_E548A83D_AB95_4B62_9880_FEA76DABB6D3_.wvu.FilterData" localSheetId="2" hidden="1">'Entries Register (AP) '!$A$3:$T$801</definedName>
    <definedName name="Z_E54CABB4_9DFE_43DF_9079_495CB667BC1E_.wvu.FilterData" localSheetId="2" hidden="1">'Entries Register (AP) '!$A$3:$T$716</definedName>
    <definedName name="Z_E5589BBE_FF5B_4BFA_BA92_0128108DDB49_.wvu.FilterData" localSheetId="2" hidden="1">'Entries Register (AP) '!$A$3:$T$716</definedName>
    <definedName name="Z_E567CDBC_0DB0_4013_BCAD_3A0BF727AD52_.wvu.FilterData" localSheetId="2" hidden="1">'Entries Register (AP) '!$A$3:$T$657</definedName>
    <definedName name="Z_E60CE825_0FC7_4FB0_9DF5_CAB18BEDE561_.wvu.FilterData" localSheetId="2" hidden="1">'Entries Register (AP) '!$A$3:$T$657</definedName>
    <definedName name="Z_E61A7857_79A3_4112_8625_8122E00D74A0_.wvu.FilterData" localSheetId="2" hidden="1">'Entries Register (AP) '!$A$3:$T$657</definedName>
    <definedName name="Z_E6369452_9E53_4C90_8995_AC1AF21EE48D_.wvu.FilterData" localSheetId="2" hidden="1">'Entries Register (AP) '!$A$3:$T$716</definedName>
    <definedName name="Z_E6A0BFF4_80CB_4DCC_81C3_7B265C3114F3_.wvu.FilterData" localSheetId="2" hidden="1">'Entries Register (AP) '!$A$3:$T$716</definedName>
    <definedName name="Z_E6F5E530_B20B_42CF_B044_42A1114E35EB_.wvu.FilterData" localSheetId="2" hidden="1">'Entries Register (AP) '!$A$3:$T$716</definedName>
    <definedName name="Z_E72078AF_F53D_47F2_B9DA_B9F0AC2DCC0A_.wvu.FilterData" localSheetId="2" hidden="1">'Entries Register (AP) '!$A$3:$T$716</definedName>
    <definedName name="Z_E7578E5B_6305_4095_BF00_5E9B9E027987_.wvu.FilterData" localSheetId="2" hidden="1">'Entries Register (AP) '!$A$3:$T$716</definedName>
    <definedName name="Z_E80968FB_8B5F_4A1A_894C_4DE376941B4E_.wvu.FilterData" localSheetId="2" hidden="1">'Entries Register (AP) '!$A$3:$T$716</definedName>
    <definedName name="Z_E84BB08B_F9E1_4871_AFDB_8C0F6D7B18C1_.wvu.FilterData" localSheetId="2" hidden="1">'Entries Register (AP) '!$A$3:$T$716</definedName>
    <definedName name="Z_E86862C4_5A27_4DC1_A3E7_5DDEE7250008_.wvu.FilterData" localSheetId="2" hidden="1">'Entries Register (AP) '!$A$3:$T$716</definedName>
    <definedName name="Z_E8924CDE_ADF3_47F9_9A78_F59021BB0E4A_.wvu.FilterData" localSheetId="2" hidden="1">'Entries Register (AP) '!$A$3:$T$716</definedName>
    <definedName name="Z_E894E75C_CA4B_4EFA_B37E_1EB521D9E9D7_.wvu.FilterData" localSheetId="2" hidden="1">'Entries Register (AP) '!$A$3:$T$716</definedName>
    <definedName name="Z_E8B48BB9_E3FF_4B55_A2AA_8E570B7A007C_.wvu.FilterData" localSheetId="2" hidden="1">'Entries Register (AP) '!$A$3:$T$657</definedName>
    <definedName name="Z_E8CF2B0E_8A9B_4766_9506_0DCFD0DEAFFD_.wvu.FilterData" localSheetId="2" hidden="1">'Entries Register (AP) '!$A$3:$T$638</definedName>
    <definedName name="Z_E98D4061_FA04_49BB_AAF9_512169BB307C_.wvu.FilterData" localSheetId="2" hidden="1">'Entries Register (AP) '!$A$3:$T$716</definedName>
    <definedName name="Z_EA0D7E17_0662_48C6_BE3A_696EC9780602_.wvu.FilterData" localSheetId="2" hidden="1">'Entries Register (AP) '!$A$3:$T$716</definedName>
    <definedName name="Z_EA18B3A7_2244_4C89_9435_69BC8410B5DB_.wvu.FilterData" localSheetId="2" hidden="1">'Entries Register (AP) '!$A$3:$T$657</definedName>
    <definedName name="Z_EA7059E6_713E_4095_88CF_65BA97E0DC14_.wvu.FilterData" localSheetId="2" hidden="1">'Entries Register (AP) '!$A$3:$T$716</definedName>
    <definedName name="Z_EB59D581_4633_40A9_BB38_C2148B33F0E4_.wvu.FilterData" localSheetId="2" hidden="1">'Entries Register (AP) '!$A$3:$T$716</definedName>
    <definedName name="Z_EB605B15_ACA8_47B2_A5A7_61EEDEF912A4_.wvu.FilterData" localSheetId="2" hidden="1">'Entries Register (AP) '!$A$3:$T$716</definedName>
    <definedName name="Z_EB640573_00E6_45A0_856F_2EB53FA841BD_.wvu.FilterData" localSheetId="2" hidden="1">'Entries Register (AP) '!$A$3:$T$638</definedName>
    <definedName name="Z_EB717D9E_BC5A_45E1_B3CE_EF0A243EA8AA_.wvu.FilterData" localSheetId="2" hidden="1">'Entries Register (AP) '!$A$3:$T$716</definedName>
    <definedName name="Z_EC0288A1_2800_4A35_9544_2053ABA59EB3_.wvu.FilterData" localSheetId="2" hidden="1">'Entries Register (AP) '!$A$3:$T$716</definedName>
    <definedName name="Z_EC9D10A9_6C0E_4A15_81A0_966ACE156533_.wvu.FilterData" localSheetId="2" hidden="1">'Entries Register (AP) '!$A$3:$T$801</definedName>
    <definedName name="Z_ECA58CFA_824A_427C_8AAD_83C8084ECAEA_.wvu.FilterData" localSheetId="2" hidden="1">'Entries Register (AP) '!$A$3:$T$716</definedName>
    <definedName name="Z_ECBF68EF_D732_444D_BD01_0E0F27C4614A_.wvu.FilterData" localSheetId="2" hidden="1">'Entries Register (AP) '!$A$3:$T$801</definedName>
    <definedName name="Z_ECEEE591_FDC0_46AC_AA25_D952BDC8CEE8_.wvu.FilterData" localSheetId="2" hidden="1">'Entries Register (AP) '!$A$3:$T$801</definedName>
    <definedName name="Z_ED0ED822_2BA8_4CB1_8481_7122BD7A0923_.wvu.FilterData" localSheetId="2" hidden="1">'Entries Register (AP) '!$A$3:$T$802</definedName>
    <definedName name="Z_ED121CEA_23F5_438F_868B_50EACFBD5412_.wvu.FilterData" localSheetId="2" hidden="1">'Entries Register (AP) '!$A$3:$T$716</definedName>
    <definedName name="Z_ED157902_C3FF_46E7_B6DC_3E384F58CE53_.wvu.FilterData" localSheetId="2" hidden="1">'Entries Register (AP) '!$A$3:$T$716</definedName>
    <definedName name="Z_EDCE1E5E_5A08_4A22_8070_74B37057F865_.wvu.FilterData" localSheetId="2" hidden="1">'Entries Register (AP) '!$A$3:$T$800</definedName>
    <definedName name="Z_EE1A2AD6_E370_4B0E_B168_65DCDD3DFE28_.wvu.FilterData" localSheetId="2" hidden="1">'Entries Register (AP) '!$A$3:$T$716</definedName>
    <definedName name="Z_EE3A0976_F450_4E18_BAE4_DF9D1EBA16B3_.wvu.FilterData" localSheetId="2" hidden="1">'Entries Register (AP) '!$A$3:$T$801</definedName>
    <definedName name="Z_EE7B2841_97DB_41BC_A8E2_7E406217743F_.wvu.FilterData" localSheetId="2" hidden="1">'Entries Register (AP) '!$A$3:$T$657</definedName>
    <definedName name="Z_EEB45759_5A7A_4453_81CB_F153FBAB6615_.wvu.FilterData" localSheetId="2" hidden="1">'Entries Register (AP) '!$A$3:$T$801</definedName>
    <definedName name="Z_EEC590CA_E662_4A20_86B3_5E0027DF9DB9_.wvu.FilterData" localSheetId="2" hidden="1">'Entries Register (AP) '!$A$3:$T$801</definedName>
    <definedName name="Z_EED3E4A3_2D2A_4B7A_BAC9_5E60593DDA50_.wvu.FilterData" localSheetId="2" hidden="1">'Entries Register (AP) '!$A$3:$T$716</definedName>
    <definedName name="Z_EEDD93A0_971E_42F2_98B8_4BDEBCB8412E_.wvu.FilterData" localSheetId="2" hidden="1">'Entries Register (AP) '!$A$3:$T$716</definedName>
    <definedName name="Z_EEF0A378_3CC5_421E_BC6C_6A12BCB9DDAD_.wvu.FilterData" localSheetId="2" hidden="1">'Entries Register (AP) '!$A$3:$T$716</definedName>
    <definedName name="Z_EF0A26C9_878A_46D9_9A08_9B3E220740BD_.wvu.FilterData" localSheetId="2" hidden="1">'Entries Register (AP) '!$A$3:$T$802</definedName>
    <definedName name="Z_EF73A32A_A46D_45CF_9BD9_EF642C1EE69A_.wvu.FilterData" localSheetId="2" hidden="1">'Entries Register (AP) '!$A$3:$T$638</definedName>
    <definedName name="Z_EFC95059_9ECA_407C_8592_B2C9B4A74F6E_.wvu.FilterData" localSheetId="2" hidden="1">'Entries Register (AP) '!$A$3:$T$716</definedName>
    <definedName name="Z_EFE6008E_FA98_4CC1_B45A_EA4AF2E142F1_.wvu.FilterData" localSheetId="2" hidden="1">'Entries Register (AP) '!$A$3:$T$801</definedName>
    <definedName name="Z_EFF7D98A_CBF7_442C_B249_1790799DE3F3_.wvu.FilterData" localSheetId="2" hidden="1">'Entries Register (AP) '!$A$3:$T$716</definedName>
    <definedName name="Z_F01AB184_A224_4DF8_A34C_C365023345D9_.wvu.FilterData" localSheetId="2" hidden="1">'Entries Register (AP) '!$A$3:$T$716</definedName>
    <definedName name="Z_F01B5034_BE06_41C0_8AC3_59AD5E63A457_.wvu.FilterData" localSheetId="2" hidden="1">'Entries Register (AP) '!$A$3:$T$716</definedName>
    <definedName name="Z_F01EAEAD_7FBB_4E1C_B666_522F8BF51A70_.wvu.FilterData" localSheetId="2" hidden="1">'Entries Register (AP) '!$A$3:$T$716</definedName>
    <definedName name="Z_F04C0C3F_D157_4C44_87A3_2BD4B4592AAD_.wvu.FilterData" localSheetId="2" hidden="1">'Entries Register (AP) '!$A$3:$T$716</definedName>
    <definedName name="Z_F057508E_A528_4545_AB2F_D88E1DE73A17_.wvu.FilterData" localSheetId="2" hidden="1">'Entries Register (AP) '!$A$3:$T$716</definedName>
    <definedName name="Z_F06BFD04_CCD2_461C_AC42_65887227FFD3_.wvu.FilterData" localSheetId="0" hidden="1">DMDT!$B$4:$P$1910</definedName>
    <definedName name="Z_F06BFD04_CCD2_461C_AC42_65887227FFD3_.wvu.FilterData" localSheetId="2" hidden="1">'Entries Register (AP) '!$A$3:$T$801</definedName>
    <definedName name="Z_F082C193_1704_4638_8B91_6B15BBA68AAE_.wvu.FilterData" localSheetId="2" hidden="1">'Entries Register (AP) '!$A$3:$T$657</definedName>
    <definedName name="Z_F10DDE85_93A0_40D7_A0A0_FBE41310E56F_.wvu.FilterData" localSheetId="2" hidden="1">'Entries Register (AP) '!$A$3:$T$716</definedName>
    <definedName name="Z_F1609849_5F45_48F8_9020_8AE754054481_.wvu.FilterData" localSheetId="2" hidden="1">'Entries Register (AP) '!$A$3:$T$716</definedName>
    <definedName name="Z_F1C52723_7B1C_40F6_8F5F_E1F5EB607FD7_.wvu.FilterData" localSheetId="2" hidden="1">'Entries Register (AP) '!$A$3:$T$716</definedName>
    <definedName name="Z_F1F4C1D3_0888_4AA9_9E03_88339D026256_.wvu.FilterData" localSheetId="2" hidden="1">'Entries Register (AP) '!$A$3:$T$801</definedName>
    <definedName name="Z_F2FACC5D_728B_43E1_9096_58BFC3C09CC0_.wvu.FilterData" localSheetId="2" hidden="1">'Entries Register (AP) '!$A$3:$T$716</definedName>
    <definedName name="Z_F32313B9_73B8_4A55_98FB_530240D76584_.wvu.FilterData" localSheetId="2" hidden="1">'Entries Register (AP) '!$A$3:$T$716</definedName>
    <definedName name="Z_F3368276_218D_4678_96D8_E705462842EA_.wvu.FilterData" localSheetId="2" hidden="1">'Entries Register (AP) '!$A$3:$T$716</definedName>
    <definedName name="Z_F386B0C4_3745_4092_B37A_25294890B28C_.wvu.FilterData" localSheetId="2" hidden="1">'Entries Register (AP) '!$A$3:$T$716</definedName>
    <definedName name="Z_F3AFB331_FD7D_4F40_954F_38B3F8AE517F_.wvu.FilterData" localSheetId="2" hidden="1">'Entries Register (AP) '!$A$3:$T$716</definedName>
    <definedName name="Z_F4010F00_0B74_4879_B70C_AF5A4C7B57B2_.wvu.FilterData" localSheetId="2" hidden="1">'Entries Register (AP) '!$A$3:$T$802</definedName>
    <definedName name="Z_F41AA5CB_3F25_4946_961E_B492BD106E65_.wvu.FilterData" localSheetId="2" hidden="1">'Entries Register (AP) '!$A$3:$T$716</definedName>
    <definedName name="Z_F41B6669_93A1_4251_85B2_CAC707142C7C_.wvu.FilterData" localSheetId="2" hidden="1">'Entries Register (AP) '!$A$3:$T$716</definedName>
    <definedName name="Z_F446B9BC_78B9_4F54_92F1_D2129D5EC83A_.wvu.FilterData" localSheetId="2" hidden="1">'Entries Register (AP) '!$A$3:$T$657</definedName>
    <definedName name="Z_F477C49D_AABA_49EF_AD22_C6AA1B7A2F42_.wvu.FilterData" localSheetId="2" hidden="1">'Entries Register (AP) '!$A$3:$T$716</definedName>
    <definedName name="Z_F4AB2122_655E_40F6_8B53_54B747E7ED61_.wvu.FilterData" localSheetId="0" hidden="1">DMDT!$B$4:$P$1910</definedName>
    <definedName name="Z_F4AB2122_655E_40F6_8B53_54B747E7ED61_.wvu.FilterData" localSheetId="2" hidden="1">'Entries Register (AP) '!$A$3:$T$801</definedName>
    <definedName name="Z_F4BBC6FD_C965_434D_963C_31D6FF511669_.wvu.FilterData" localSheetId="2" hidden="1">'Entries Register (AP) '!$A$3:$T$716</definedName>
    <definedName name="Z_F4BE98D0_D16C_43F0_AE45_B510D957EE5F_.wvu.FilterData" localSheetId="2" hidden="1">'Entries Register (AP) '!$A$3:$T$716</definedName>
    <definedName name="Z_F4EAC02C_169E_4852_86E6_202317387C99_.wvu.FilterData" localSheetId="2" hidden="1">'Entries Register (AP) '!$A$3:$T$716</definedName>
    <definedName name="Z_F4EC05E3_81DE_4CDE_8BB1_F1D4EA7BD1A6_.wvu.FilterData" localSheetId="2" hidden="1">'Entries Register (AP) '!$A$3:$T$716</definedName>
    <definedName name="Z_F5A02A83_28E2_4326_86A0_645A2A93D5DE_.wvu.FilterData" localSheetId="2" hidden="1">'Entries Register (AP) '!$A$3:$T$716</definedName>
    <definedName name="Z_F5F2D370_9FD3_49AA_9E23_6491D138D07F_.wvu.FilterData" localSheetId="2" hidden="1">'Entries Register (AP) '!$A$3:$T$657</definedName>
    <definedName name="Z_F6527F51_7E13_4E44_A1E3_73AA83AC1F10_.wvu.FilterData" localSheetId="2" hidden="1">'Entries Register (AP) '!$A$3:$T$638</definedName>
    <definedName name="Z_F6992B55_9AB6_4CBA_B4B3_C930967970D8_.wvu.FilterData" localSheetId="2" hidden="1">'Entries Register (AP) '!$A$3:$T$638</definedName>
    <definedName name="Z_F69CBE27_0871_4D27_86CE_FEEEF9ACB443_.wvu.FilterData" localSheetId="2" hidden="1">'Entries Register (AP) '!$A$3:$T$716</definedName>
    <definedName name="Z_F6A28B80_6453_4D5C_B187_D732828F666C_.wvu.FilterData" localSheetId="2" hidden="1">'Entries Register (AP) '!$A$3:$T$657</definedName>
    <definedName name="Z_F74427E3_29F0_42F0_9694_9EBB1C838B76_.wvu.FilterData" localSheetId="2" hidden="1">'Entries Register (AP) '!$A$3:$T$716</definedName>
    <definedName name="Z_F7CB7E73_E167_4FC5_AA1D_D98D7C91A11F_.wvu.FilterData" localSheetId="2" hidden="1">'Entries Register (AP) '!$A$3:$T$716</definedName>
    <definedName name="Z_F7FFCEB8_A971_497F_8733_8EC28EFC38C0_.wvu.FilterData" localSheetId="2" hidden="1">'Entries Register (AP) '!$A$3:$T$716</definedName>
    <definedName name="Z_F85DC804_5F52_40FD_9871_4B4F5BFF6D39_.wvu.FilterData" localSheetId="2" hidden="1">'Entries Register (AP) '!$A$3:$T$638</definedName>
    <definedName name="Z_F910CE75_5F8C_4011_A8EE_3FDFD1054409_.wvu.FilterData" localSheetId="2" hidden="1">'Entries Register (AP) '!$A$3:$T$716</definedName>
    <definedName name="Z_F912971E_01BE_4D82_A8C8_64A54CD9831F_.wvu.FilterData" localSheetId="2" hidden="1">'Entries Register (AP) '!$A$3:$T$801</definedName>
    <definedName name="Z_F97DDACC_BB8F_4A84_85E1_BECF95E29C98_.wvu.FilterData" localSheetId="2" hidden="1">'Entries Register (AP) '!$A$3:$T$716</definedName>
    <definedName name="Z_FA9DED99_C519_43CC_B0BE_438E7643F0B4_.wvu.FilterData" localSheetId="2" hidden="1">'Entries Register (AP) '!$A$3:$T$716</definedName>
    <definedName name="Z_FAAF1CAB_7760_48C0_B0F7_3FB4583E383D_.wvu.FilterData" localSheetId="2" hidden="1">'Entries Register (AP) '!$A$3:$T$716</definedName>
    <definedName name="Z_FB6E5535_C68E_4564_9861_238C025AEF25_.wvu.FilterData" localSheetId="2" hidden="1">'Entries Register (AP) '!$A$3:$T$801</definedName>
    <definedName name="Z_FB7FE12E_4B94_48DD_AA74_D1F7C3002B73_.wvu.FilterData" localSheetId="2" hidden="1">'Entries Register (AP) '!$A$3:$T$716</definedName>
    <definedName name="Z_FBD0CF09_C135_4E4B_A823_24CC14925761_.wvu.FilterData" localSheetId="2" hidden="1">'Entries Register (AP) '!$A$3:$T$716</definedName>
    <definedName name="Z_FBEDB23F_7A06_45AB_A35F_09E0B4B2FCF4_.wvu.FilterData" localSheetId="2" hidden="1">'Entries Register (AP) '!$A$3:$T$716</definedName>
    <definedName name="Z_FC09D60A_C2CF_4139_A25F_04C6412DED74_.wvu.FilterData" localSheetId="2" hidden="1">'Entries Register (AP) '!$A$3:$T$800</definedName>
    <definedName name="Z_FC58FFD5_CC45_4319_98F8_7F1FD0C1ECC8_.wvu.FilterData" localSheetId="2" hidden="1">'Entries Register (AP) '!$A$3:$T$716</definedName>
    <definedName name="Z_FC755D13_457B_4A17_B9D1_B18DA5DDE53B_.wvu.FilterData" localSheetId="2" hidden="1">'Entries Register (AP) '!$A$3:$T$716</definedName>
    <definedName name="Z_FC9D2133_32A8_4B4D_BE77_BF2C5A4EF0F1_.wvu.FilterData" localSheetId="2" hidden="1">'Entries Register (AP) '!$A$3:$T$638</definedName>
    <definedName name="Z_FCB513D9_C185_44AB_89AA_B332FDB569D9_.wvu.FilterData" localSheetId="2" hidden="1">'Entries Register (AP) '!$A$3:$T$716</definedName>
    <definedName name="Z_FD17FCB3_571E_425D_9CFA_CB68E68C0F23_.wvu.FilterData" localSheetId="2" hidden="1">'Entries Register (AP) '!$A$3:$T$716</definedName>
    <definedName name="Z_FD622137_9224_45DB_9AEF_4862DF76248B_.wvu.FilterData" localSheetId="2" hidden="1">'Entries Register (AP) '!$A$3:$T$801</definedName>
    <definedName name="Z_FDC43DA7_7BB5_40EB_8407_225B7DB515DF_.wvu.FilterData" localSheetId="2" hidden="1">'Entries Register (AP) '!$A$3:$T$801</definedName>
    <definedName name="Z_FE7EE229_E380_469A_B433_52B2A667ED2A_.wvu.FilterData" localSheetId="2" hidden="1">'Entries Register (AP) '!$A$3:$T$716</definedName>
    <definedName name="Z_FE93EC23_9597_4157_8A46_00168EE7535D_.wvu.FilterData" localSheetId="2" hidden="1">'Entries Register (AP) '!$A$3:$T$716</definedName>
    <definedName name="Z_FE9DC95F_B0EC_4B11_947E_4C26AC1BA2C8_.wvu.FilterData" localSheetId="2" hidden="1">'Entries Register (AP) '!$A$3:$T$716</definedName>
    <definedName name="Z_FEB3D9D2_9F3C_4EB3_A177_367F2286D520_.wvu.FilterData" localSheetId="2" hidden="1">'Entries Register (AP) '!$A$3:$T$638</definedName>
    <definedName name="Z_FECFB0BF_8937_41E8_8D4E_85B1719ED58C_.wvu.FilterData" localSheetId="2" hidden="1">'Entries Register (AP) '!$A$3:$T$657</definedName>
    <definedName name="Z_FF15D9C9_9410_42C1_8606_9445C4CB0FDC_.wvu.FilterData" localSheetId="2" hidden="1">'Entries Register (AP) '!$A$3:$T$716</definedName>
    <definedName name="Z_FF171F4A_B2C2_41B1_BAAA_4C9803E43B69_.wvu.FilterData" localSheetId="2" hidden="1">'Entries Register (AP) '!$A$3:$T$716</definedName>
    <definedName name="Z_FFCD613F_EC66_496C_BA42_312ED20C6F9C_.wvu.FilterData" localSheetId="2" hidden="1">'Entries Register (AP) '!$A$3:$T$716</definedName>
    <definedName name="Z_FFE3CFC8_688F_4908_BFE1_774DDB096B41_.wvu.FilterData" localSheetId="2" hidden="1">'Entries Register (AP) '!$A$3:$T$716</definedName>
  </definedNames>
  <calcPr calcId="191029"/>
  <customWorkbookViews>
    <customWorkbookView name="Hanh Dao Thi - Personal View" guid="{F06BFD04-CCD2-461C-AC42-65887227FFD3}" mergeInterval="0" personalView="1" maximized="1" windowWidth="1362" windowHeight="468" tabRatio="591" activeSheetId="7"/>
    <customWorkbookView name="Pham Tran Nhat - Personal View" guid="{24934804-84B0-4982-9BF2-E46F6DDD5DD8}" mergeInterval="0" personalView="1" maximized="1" windowWidth="1362" windowHeight="489" tabRatio="591" activeSheetId="4"/>
    <customWorkbookView name="Le Thi Thu Trang - Personal View" guid="{3DE895B0-7958-42DA-95C8-453D6A82D678}" mergeInterval="0" personalView="1" maximized="1" windowWidth="1356" windowHeight="469" activeSheetId="7"/>
    <customWorkbookView name="Nguyen Thi Thu Huong Acc - Personal View" guid="{F4AB2122-655E-40F6-8B53-54B747E7ED61}" mergeInterval="0" personalView="1" maximized="1" windowWidth="1362" windowHeight="523" tabRatio="787" activeSheetId="7"/>
    <customWorkbookView name="Chau Thi Thao - Personal View" guid="{2416856D-96F2-4FCD-9E1E-89AD408E8F07}" mergeInterval="0" personalView="1" maximized="1" windowWidth="1362" windowHeight="489" tabRatio="591" activeSheetId="7"/>
    <customWorkbookView name="Nguyen Thanh Van - Personal View" guid="{781BC751-F315-497E-B1B4-A2D752209BD7}" mergeInterval="0" personalView="1" maximized="1" windowWidth="1362" windowHeight="463" tabRatio="591" activeSheetId="5"/>
    <customWorkbookView name="Dao Thi Hanh - Personal View" guid="{DF37B372-7B5A-4253-9EE3-FD3ABD7DF4B8}" mergeInterval="0" personalView="1" maximized="1" windowWidth="1362" windowHeight="523" tabRatio="591" activeSheetId="5"/>
    <customWorkbookView name="Huong Ha Thi Thu - Personal View" guid="{89423216-97BC-488F-92AF-85198E8FDC07}" mergeInterval="0" personalView="1" maximized="1" windowWidth="1362" windowHeight="523" activeSheetId="3"/>
    <customWorkbookView name="Tran Thi Thanh Thuy - Personal View" guid="{AFC521DD-6BF9-4AA5-991A-73D8F620A3D9}" mergeInterval="0" personalView="1" maximized="1" windowWidth="1182" windowHeight="484" tabRatio="832" activeSheetId="5"/>
    <customWorkbookView name="Nguyen Thi Hai Van - Personal View" guid="{6641B719-6463-4FDD-9DBC-41F5618DBE27}" mergeInterval="0" personalView="1" maximized="1" windowWidth="1362" windowHeight="543" activeSheetId="7"/>
    <customWorkbookView name="nttnhai - Personal View" guid="{145EFE0A-DDB4-4E3B-8A20-749E6B137AEA}" mergeInterval="0" personalView="1" maximized="1" windowWidth="1329" windowHeight="511" activeSheetId="3"/>
    <customWorkbookView name="Le Thi Anh Dao - Personal View" guid="{75F545D8-957D-412C-B66B-DD1178A45800}" mergeInterval="0" personalView="1" maximized="1" windowWidth="1362" windowHeight="542" tabRatio="591" activeSheetId="3"/>
    <customWorkbookView name="Pham Thi Thuy Chi - Personal View" guid="{894FF5A1-5E16-48B2-97B7-77905E52730D}" mergeInterval="0" personalView="1" maximized="1" windowWidth="1362" windowHeight="543" activeSheetId="3"/>
    <customWorkbookView name="Pham Thi Phuong Mai - Personal View" guid="{845AB85B-320D-4261-8D20-E6D9D5D4C38C}" mergeInterval="0" personalView="1" maximized="1" windowWidth="1362" windowHeight="543" activeSheetId="4" showComments="commIndAndComment"/>
    <customWorkbookView name="Nguyen Thi Bich Thuy - Personal View" guid="{CE348A5C-D9D4-4899-A40F-894070A117B6}" mergeInterval="0" personalView="1" maximized="1" windowWidth="1362" windowHeight="543" activeSheetId="3"/>
    <customWorkbookView name="Nguyen Thi Ngoc Quynh - Personal View" guid="{8D0556F1-DDE6-43F4-BF14-0889B98E8F1B}" mergeInterval="0" personalView="1" maximized="1" windowWidth="1362" windowHeight="543" activeSheetId="3"/>
    <customWorkbookView name="Bui Thi Giang - Personal View" guid="{A0F6C4E6-E641-4152-9AB1-BDDEFE79F262}" mergeInterval="0" personalView="1" maximized="1" windowWidth="1362" windowHeight="517" tabRatio="591" activeSheetId="3"/>
    <customWorkbookView name="Trinh Thanh Nga - Personal View" guid="{D40E5C28-53DE-4B28-952C-1D2FB2D5F0F0}" mergeInterval="0" personalView="1" maximized="1" windowWidth="1362" windowHeight="542" activeSheetId="7"/>
    <customWorkbookView name="Khoa Nang Thanh - Personal View" guid="{26B41735-39E2-4BE9-9EA5-D1F67A43DC0E}" mergeInterval="0" personalView="1" maximized="1" windowWidth="1362" windowHeight="509" tabRatio="591" activeSheetId="3"/>
    <customWorkbookView name="Nguyen Thi Thu Ha - Personal View" guid="{284277B3-AC3C-4136-A308-367D96D447E4}" mergeInterval="0" personalView="1" maximized="1" windowWidth="1362" windowHeight="523" activeSheetId="4"/>
    <customWorkbookView name="Truong Thi Dung - Personal View" guid="{92A1CAD1-2CFB-4DA3-AD67-71210BA7D4E5}" mergeInterval="0" personalView="1" maximized="1" windowWidth="1362" windowHeight="543" tabRatio="581" activeSheetId="3"/>
    <customWorkbookView name="Do Duc Anh - Personal View" guid="{A4ED5A10-FDD2-4550-ABD5-0B6EF13A24C4}" mergeInterval="0" personalView="1" maximized="1" windowWidth="1362" windowHeight="489" tabRatio="591" activeSheetId="3"/>
  </customWorkbookViews>
</workbook>
</file>

<file path=xl/calcChain.xml><?xml version="1.0" encoding="utf-8"?>
<calcChain xmlns="http://schemas.openxmlformats.org/spreadsheetml/2006/main">
  <c r="H13" i="2" l="1"/>
  <c r="H9" i="2"/>
  <c r="F18" i="2" l="1"/>
  <c r="B5" i="2" l="1"/>
  <c r="B4" i="2"/>
  <c r="B3" i="2"/>
  <c r="A2" i="2"/>
  <c r="V800" i="3"/>
  <c r="V799" i="3"/>
  <c r="V798" i="3"/>
  <c r="V797" i="3"/>
  <c r="V796" i="3"/>
  <c r="V795" i="3"/>
  <c r="V794" i="3"/>
  <c r="V793" i="3"/>
  <c r="V792" i="3"/>
  <c r="V791" i="3"/>
  <c r="V790" i="3"/>
  <c r="V789" i="3"/>
  <c r="V788" i="3"/>
  <c r="V787" i="3"/>
  <c r="V786" i="3"/>
  <c r="V785" i="3"/>
  <c r="V784" i="3"/>
  <c r="V783" i="3"/>
  <c r="V782" i="3"/>
  <c r="V781" i="3"/>
  <c r="V780" i="3"/>
  <c r="V779" i="3"/>
  <c r="V778" i="3"/>
  <c r="V777" i="3"/>
  <c r="V776" i="3"/>
  <c r="V775" i="3"/>
  <c r="V774" i="3"/>
  <c r="V773" i="3"/>
  <c r="V772" i="3"/>
  <c r="V771" i="3"/>
  <c r="V770" i="3"/>
  <c r="V769" i="3"/>
  <c r="V768" i="3"/>
  <c r="V767" i="3"/>
  <c r="V766" i="3"/>
  <c r="V765" i="3"/>
  <c r="V764" i="3"/>
  <c r="V763" i="3"/>
  <c r="V762" i="3"/>
  <c r="V761" i="3"/>
  <c r="V760" i="3"/>
  <c r="V759" i="3"/>
  <c r="V758" i="3"/>
  <c r="V757" i="3"/>
  <c r="V756" i="3"/>
  <c r="V755" i="3"/>
  <c r="V754" i="3"/>
  <c r="V753" i="3"/>
  <c r="V752" i="3"/>
  <c r="V751" i="3"/>
  <c r="V750" i="3"/>
  <c r="V749" i="3"/>
  <c r="V748" i="3"/>
  <c r="V747" i="3"/>
  <c r="V746" i="3"/>
  <c r="V745" i="3"/>
  <c r="V744" i="3"/>
  <c r="V743" i="3"/>
  <c r="V742" i="3"/>
  <c r="V741" i="3"/>
  <c r="V740" i="3"/>
  <c r="V739" i="3"/>
  <c r="V738" i="3"/>
  <c r="V737" i="3"/>
  <c r="V736" i="3"/>
  <c r="V735" i="3"/>
  <c r="V734" i="3"/>
  <c r="V733" i="3"/>
  <c r="V732" i="3"/>
  <c r="V731" i="3"/>
  <c r="V730" i="3"/>
  <c r="V729" i="3"/>
  <c r="V728" i="3"/>
  <c r="V727" i="3"/>
  <c r="V726" i="3"/>
  <c r="V725" i="3"/>
  <c r="V724" i="3"/>
  <c r="V723" i="3"/>
  <c r="V722" i="3"/>
  <c r="V721" i="3"/>
  <c r="V720" i="3"/>
  <c r="V719" i="3"/>
  <c r="V718" i="3"/>
  <c r="V717" i="3"/>
  <c r="V716" i="3"/>
  <c r="V715" i="3"/>
  <c r="V714" i="3"/>
  <c r="V713" i="3"/>
  <c r="V712" i="3"/>
  <c r="V711" i="3"/>
  <c r="V710" i="3"/>
  <c r="V709" i="3"/>
  <c r="V708" i="3"/>
  <c r="V707" i="3"/>
  <c r="V706" i="3"/>
  <c r="V705" i="3"/>
  <c r="V704" i="3"/>
  <c r="V703" i="3"/>
  <c r="V702" i="3"/>
  <c r="V701" i="3"/>
  <c r="V700" i="3"/>
  <c r="V699" i="3"/>
  <c r="V698" i="3"/>
  <c r="V697" i="3"/>
  <c r="V696" i="3"/>
  <c r="V695" i="3"/>
  <c r="V694" i="3"/>
  <c r="V693" i="3"/>
  <c r="V692" i="3"/>
  <c r="V691" i="3"/>
  <c r="V690" i="3"/>
  <c r="V689" i="3"/>
  <c r="V688" i="3"/>
  <c r="V687" i="3"/>
  <c r="V686" i="3"/>
  <c r="V685" i="3"/>
  <c r="V684" i="3"/>
  <c r="V683" i="3"/>
  <c r="V682" i="3"/>
  <c r="V681" i="3"/>
  <c r="V680" i="3"/>
  <c r="V679" i="3"/>
  <c r="V678" i="3"/>
  <c r="V677" i="3"/>
  <c r="V676" i="3"/>
  <c r="V675" i="3"/>
  <c r="V674" i="3"/>
  <c r="V673" i="3"/>
  <c r="V672" i="3"/>
  <c r="V671" i="3"/>
  <c r="V670" i="3"/>
  <c r="V669" i="3"/>
  <c r="V668" i="3"/>
  <c r="V667" i="3"/>
  <c r="V666" i="3"/>
  <c r="V665" i="3"/>
  <c r="V664" i="3"/>
  <c r="V663" i="3"/>
  <c r="V662" i="3"/>
  <c r="V661" i="3"/>
  <c r="V660" i="3"/>
  <c r="V659" i="3"/>
  <c r="V658" i="3"/>
  <c r="V657" i="3"/>
  <c r="V656" i="3"/>
  <c r="V655" i="3"/>
  <c r="V654" i="3"/>
  <c r="V653" i="3"/>
  <c r="V652" i="3"/>
  <c r="V651" i="3"/>
  <c r="V650" i="3"/>
  <c r="V649" i="3"/>
  <c r="V648" i="3"/>
  <c r="V647" i="3"/>
  <c r="V646" i="3"/>
  <c r="V645" i="3"/>
  <c r="V644" i="3"/>
  <c r="V643" i="3"/>
  <c r="V642" i="3"/>
  <c r="V641" i="3"/>
  <c r="V640" i="3"/>
  <c r="V639" i="3"/>
  <c r="V638" i="3"/>
  <c r="V637" i="3"/>
  <c r="V636" i="3"/>
  <c r="V635" i="3"/>
  <c r="V634" i="3"/>
  <c r="V633" i="3"/>
  <c r="V632" i="3"/>
  <c r="V631" i="3"/>
  <c r="V630" i="3"/>
  <c r="V629" i="3"/>
  <c r="V628" i="3"/>
  <c r="V627" i="3"/>
  <c r="V626" i="3"/>
  <c r="V625" i="3"/>
  <c r="V624" i="3"/>
  <c r="V623" i="3"/>
  <c r="V622" i="3"/>
  <c r="V621" i="3"/>
  <c r="V620" i="3"/>
  <c r="V619" i="3"/>
  <c r="V618" i="3"/>
  <c r="V617" i="3"/>
  <c r="V616" i="3"/>
  <c r="V615" i="3"/>
  <c r="V614" i="3"/>
  <c r="V613" i="3"/>
  <c r="V612" i="3"/>
  <c r="V611" i="3"/>
  <c r="V610" i="3"/>
  <c r="V609" i="3"/>
  <c r="V608" i="3"/>
  <c r="V607" i="3"/>
  <c r="V606" i="3"/>
  <c r="V605" i="3"/>
  <c r="V604" i="3"/>
  <c r="V603" i="3"/>
  <c r="V602" i="3"/>
  <c r="V601" i="3"/>
  <c r="V600" i="3"/>
  <c r="V599" i="3"/>
  <c r="V598" i="3"/>
  <c r="V597" i="3"/>
  <c r="V596" i="3"/>
  <c r="V595" i="3"/>
  <c r="V594" i="3"/>
  <c r="V593" i="3"/>
  <c r="V592" i="3"/>
  <c r="V591" i="3"/>
  <c r="V590" i="3"/>
  <c r="V589" i="3"/>
  <c r="V588" i="3"/>
  <c r="V587" i="3"/>
  <c r="V586" i="3"/>
  <c r="V585" i="3"/>
  <c r="V584" i="3"/>
  <c r="V583" i="3"/>
  <c r="V582" i="3"/>
  <c r="V581" i="3"/>
  <c r="V580" i="3"/>
  <c r="V579" i="3"/>
  <c r="V578" i="3"/>
  <c r="V577" i="3"/>
  <c r="V576" i="3"/>
  <c r="V575" i="3"/>
  <c r="V574" i="3"/>
  <c r="V573" i="3"/>
  <c r="V572" i="3"/>
  <c r="V571" i="3"/>
  <c r="V570" i="3"/>
  <c r="V569" i="3"/>
  <c r="V568" i="3"/>
  <c r="V567" i="3"/>
  <c r="V566" i="3"/>
  <c r="V565" i="3"/>
  <c r="V564" i="3"/>
  <c r="V563" i="3"/>
  <c r="V562" i="3"/>
  <c r="V561" i="3"/>
  <c r="V560" i="3"/>
  <c r="V559" i="3"/>
  <c r="V558" i="3"/>
  <c r="V557" i="3"/>
  <c r="V556" i="3"/>
  <c r="V555" i="3"/>
  <c r="V554" i="3"/>
  <c r="V553" i="3"/>
  <c r="V552" i="3"/>
  <c r="V551" i="3"/>
  <c r="V550" i="3"/>
  <c r="V549" i="3"/>
  <c r="V548" i="3"/>
  <c r="V547" i="3"/>
  <c r="V546" i="3"/>
  <c r="V545" i="3"/>
  <c r="V544" i="3"/>
  <c r="V543" i="3"/>
  <c r="V542" i="3"/>
  <c r="V541" i="3"/>
  <c r="V540" i="3"/>
  <c r="V539" i="3"/>
  <c r="V538" i="3"/>
  <c r="V537" i="3"/>
  <c r="V536" i="3"/>
  <c r="V535" i="3"/>
  <c r="V534" i="3"/>
  <c r="V533" i="3"/>
  <c r="V532" i="3"/>
  <c r="V531" i="3"/>
  <c r="V530" i="3"/>
  <c r="V529" i="3"/>
  <c r="V528" i="3"/>
  <c r="V527" i="3"/>
  <c r="V526" i="3"/>
  <c r="V525" i="3"/>
  <c r="V524" i="3"/>
  <c r="V523" i="3"/>
  <c r="V522" i="3"/>
  <c r="V521" i="3"/>
  <c r="V520" i="3"/>
  <c r="V519" i="3"/>
  <c r="V518" i="3"/>
  <c r="V517" i="3"/>
  <c r="V516" i="3"/>
  <c r="V515" i="3"/>
  <c r="V514" i="3"/>
  <c r="V513" i="3"/>
  <c r="V512" i="3"/>
  <c r="V511" i="3"/>
  <c r="V510" i="3"/>
  <c r="V509" i="3"/>
  <c r="V508" i="3"/>
  <c r="V507" i="3"/>
  <c r="V506" i="3"/>
  <c r="V505" i="3"/>
  <c r="V504" i="3"/>
  <c r="V503" i="3"/>
  <c r="V502" i="3"/>
  <c r="V501" i="3"/>
  <c r="V500" i="3"/>
  <c r="V499" i="3"/>
  <c r="V498" i="3"/>
  <c r="V497" i="3"/>
  <c r="V496" i="3"/>
  <c r="V495" i="3"/>
  <c r="V494" i="3"/>
  <c r="V493" i="3"/>
  <c r="V492" i="3"/>
  <c r="V491" i="3"/>
  <c r="V490" i="3"/>
  <c r="V489" i="3"/>
  <c r="V488" i="3"/>
  <c r="V487" i="3"/>
  <c r="V486" i="3"/>
  <c r="V485" i="3"/>
  <c r="V484" i="3"/>
  <c r="V483" i="3"/>
  <c r="V482" i="3"/>
  <c r="V481" i="3"/>
  <c r="V480" i="3"/>
  <c r="V479" i="3"/>
  <c r="V478" i="3"/>
  <c r="V477" i="3"/>
  <c r="V476" i="3"/>
  <c r="V475" i="3"/>
  <c r="V474" i="3"/>
  <c r="V473" i="3"/>
  <c r="V472" i="3"/>
  <c r="V471" i="3"/>
  <c r="V470" i="3"/>
  <c r="V469" i="3"/>
  <c r="V468" i="3"/>
  <c r="V467" i="3"/>
  <c r="V466" i="3"/>
  <c r="V465" i="3"/>
  <c r="V464" i="3"/>
  <c r="V463" i="3"/>
  <c r="V462" i="3"/>
  <c r="V461" i="3"/>
  <c r="V460" i="3"/>
  <c r="V459" i="3"/>
  <c r="V458" i="3"/>
  <c r="V457" i="3"/>
  <c r="V456" i="3"/>
  <c r="V455" i="3"/>
  <c r="V454" i="3"/>
  <c r="V453" i="3"/>
  <c r="V452" i="3"/>
  <c r="V451" i="3"/>
  <c r="V450" i="3"/>
  <c r="V449" i="3"/>
  <c r="V448" i="3"/>
  <c r="V447" i="3"/>
  <c r="V446" i="3"/>
  <c r="V445" i="3"/>
  <c r="V444" i="3"/>
  <c r="V443" i="3"/>
  <c r="V442" i="3"/>
  <c r="V441" i="3"/>
  <c r="V440" i="3"/>
  <c r="V439" i="3"/>
  <c r="V438" i="3"/>
  <c r="V437" i="3"/>
  <c r="V436" i="3"/>
  <c r="V435" i="3"/>
  <c r="V434" i="3"/>
  <c r="V433" i="3"/>
  <c r="V432" i="3"/>
  <c r="V431" i="3"/>
  <c r="V430" i="3"/>
  <c r="V429" i="3"/>
  <c r="V428" i="3"/>
  <c r="V427" i="3"/>
  <c r="V426" i="3"/>
  <c r="V425" i="3"/>
  <c r="V424" i="3"/>
  <c r="V423" i="3"/>
  <c r="V422" i="3"/>
  <c r="V421" i="3"/>
  <c r="V420" i="3"/>
  <c r="V419" i="3"/>
  <c r="V418" i="3"/>
  <c r="V417" i="3"/>
  <c r="V416" i="3"/>
  <c r="V415" i="3"/>
  <c r="V414" i="3"/>
  <c r="V413" i="3"/>
  <c r="V412" i="3"/>
  <c r="V411" i="3"/>
  <c r="V410" i="3"/>
  <c r="V409" i="3"/>
  <c r="V408" i="3"/>
  <c r="V407" i="3"/>
  <c r="V406" i="3"/>
  <c r="V405" i="3"/>
  <c r="V404" i="3"/>
  <c r="V403" i="3"/>
  <c r="V402" i="3"/>
  <c r="V401" i="3"/>
  <c r="V400" i="3"/>
  <c r="V399" i="3"/>
  <c r="V398" i="3"/>
  <c r="V397" i="3"/>
  <c r="V396" i="3"/>
  <c r="V395" i="3"/>
  <c r="V394" i="3"/>
  <c r="V393" i="3"/>
  <c r="V392" i="3"/>
  <c r="V391" i="3"/>
  <c r="V390" i="3"/>
  <c r="V389" i="3"/>
  <c r="V388" i="3"/>
  <c r="V387" i="3"/>
  <c r="V386" i="3"/>
  <c r="V385" i="3"/>
  <c r="V384" i="3"/>
  <c r="V383" i="3"/>
  <c r="V382" i="3"/>
  <c r="V381" i="3"/>
  <c r="V380" i="3"/>
  <c r="V379" i="3"/>
  <c r="V378" i="3"/>
  <c r="V377" i="3"/>
  <c r="V376" i="3"/>
  <c r="V375" i="3"/>
  <c r="V374" i="3"/>
  <c r="V373" i="3"/>
  <c r="V372" i="3"/>
  <c r="V371" i="3"/>
  <c r="V370" i="3"/>
  <c r="V369" i="3"/>
  <c r="V368" i="3"/>
  <c r="V367" i="3"/>
  <c r="V366" i="3"/>
  <c r="V365" i="3"/>
  <c r="V364" i="3"/>
  <c r="V363" i="3"/>
  <c r="V362" i="3"/>
  <c r="V361" i="3"/>
  <c r="V360" i="3"/>
  <c r="V359" i="3"/>
  <c r="V358" i="3"/>
  <c r="V357" i="3"/>
  <c r="V356" i="3"/>
  <c r="V355" i="3"/>
  <c r="V354" i="3"/>
  <c r="V353" i="3"/>
  <c r="V352" i="3"/>
  <c r="V351" i="3"/>
  <c r="V350" i="3"/>
  <c r="V349" i="3"/>
  <c r="V348" i="3"/>
  <c r="V347" i="3"/>
  <c r="V346" i="3"/>
  <c r="V345" i="3"/>
  <c r="V344" i="3"/>
  <c r="V343" i="3"/>
  <c r="V342" i="3"/>
  <c r="V341" i="3"/>
  <c r="V340" i="3"/>
  <c r="V339" i="3"/>
  <c r="V338" i="3"/>
  <c r="V337" i="3"/>
  <c r="V336" i="3"/>
  <c r="V335" i="3"/>
  <c r="V334" i="3"/>
  <c r="V333" i="3"/>
  <c r="V332" i="3"/>
  <c r="V331" i="3"/>
  <c r="V330" i="3"/>
  <c r="V329" i="3"/>
  <c r="V328" i="3"/>
  <c r="V327" i="3"/>
  <c r="V326" i="3"/>
  <c r="V325" i="3"/>
  <c r="V324" i="3"/>
  <c r="V323" i="3"/>
  <c r="V322" i="3"/>
  <c r="V321" i="3"/>
  <c r="V320" i="3"/>
  <c r="V319" i="3"/>
  <c r="V318" i="3"/>
  <c r="V317" i="3"/>
  <c r="V316" i="3"/>
  <c r="V315" i="3"/>
  <c r="V314" i="3"/>
  <c r="V313" i="3"/>
  <c r="V312" i="3"/>
  <c r="V311" i="3"/>
  <c r="V310" i="3"/>
  <c r="V309" i="3"/>
  <c r="V308" i="3"/>
  <c r="V307" i="3"/>
  <c r="V306" i="3"/>
  <c r="V305" i="3"/>
  <c r="V304" i="3"/>
  <c r="V303" i="3"/>
  <c r="V302" i="3"/>
  <c r="V301" i="3"/>
  <c r="V300" i="3"/>
  <c r="V299" i="3"/>
  <c r="V298" i="3"/>
  <c r="V297" i="3"/>
  <c r="V296" i="3"/>
  <c r="V295" i="3"/>
  <c r="V294" i="3"/>
  <c r="V293" i="3"/>
  <c r="V292" i="3"/>
  <c r="V291" i="3"/>
  <c r="V290" i="3"/>
  <c r="V289" i="3"/>
  <c r="V288" i="3"/>
  <c r="V287" i="3"/>
  <c r="V286" i="3"/>
  <c r="V285" i="3"/>
  <c r="V284" i="3"/>
  <c r="V283" i="3"/>
  <c r="V282" i="3"/>
  <c r="V281" i="3"/>
  <c r="V280" i="3"/>
  <c r="V279" i="3"/>
  <c r="V278" i="3"/>
  <c r="V277" i="3"/>
  <c r="V276" i="3"/>
  <c r="V275" i="3"/>
  <c r="V274" i="3"/>
  <c r="V273" i="3"/>
  <c r="V272" i="3"/>
  <c r="V271" i="3"/>
  <c r="V270" i="3"/>
  <c r="V269" i="3"/>
  <c r="V268" i="3"/>
  <c r="V267" i="3"/>
  <c r="V266" i="3"/>
  <c r="V265" i="3"/>
  <c r="V264" i="3"/>
  <c r="V263" i="3"/>
  <c r="V262" i="3"/>
  <c r="V261" i="3"/>
  <c r="V260" i="3"/>
  <c r="V259" i="3"/>
  <c r="V258" i="3"/>
  <c r="V257" i="3"/>
  <c r="V256" i="3"/>
  <c r="V255" i="3"/>
  <c r="V254" i="3"/>
  <c r="V253" i="3"/>
  <c r="V252" i="3"/>
  <c r="V251" i="3"/>
  <c r="V250" i="3"/>
  <c r="V249" i="3"/>
  <c r="V248" i="3"/>
  <c r="V247" i="3"/>
  <c r="V246" i="3"/>
  <c r="V245" i="3"/>
  <c r="V244" i="3"/>
  <c r="V243" i="3"/>
  <c r="V242" i="3"/>
  <c r="V241" i="3"/>
  <c r="V240" i="3"/>
  <c r="V239" i="3"/>
  <c r="V238" i="3"/>
  <c r="V237" i="3"/>
  <c r="V236" i="3"/>
  <c r="V235" i="3"/>
  <c r="V234" i="3"/>
  <c r="V233" i="3"/>
  <c r="V232" i="3"/>
  <c r="V231" i="3"/>
  <c r="V230" i="3"/>
  <c r="V229" i="3"/>
  <c r="V228" i="3"/>
  <c r="V227" i="3"/>
  <c r="V226" i="3"/>
  <c r="V225" i="3"/>
  <c r="V224" i="3"/>
  <c r="V223" i="3"/>
  <c r="V222" i="3"/>
  <c r="V221" i="3"/>
  <c r="V220" i="3"/>
  <c r="V219" i="3"/>
  <c r="V218" i="3"/>
  <c r="V217" i="3"/>
  <c r="V216" i="3"/>
  <c r="V215" i="3"/>
  <c r="V214" i="3"/>
  <c r="V213" i="3"/>
  <c r="V212" i="3"/>
  <c r="V211" i="3"/>
  <c r="V210" i="3"/>
  <c r="V209" i="3"/>
  <c r="V208" i="3"/>
  <c r="V207" i="3"/>
  <c r="V206" i="3"/>
  <c r="V205" i="3"/>
  <c r="V204" i="3"/>
  <c r="V203" i="3"/>
  <c r="V202" i="3"/>
  <c r="V201" i="3"/>
  <c r="V200" i="3"/>
  <c r="V199" i="3"/>
  <c r="V198" i="3"/>
  <c r="V197" i="3"/>
  <c r="V196" i="3"/>
  <c r="V195" i="3"/>
  <c r="V194" i="3"/>
  <c r="V193" i="3"/>
  <c r="V192" i="3"/>
  <c r="V191" i="3"/>
  <c r="V190" i="3"/>
  <c r="V189" i="3"/>
  <c r="V188" i="3"/>
  <c r="V187" i="3"/>
  <c r="V186" i="3"/>
  <c r="V185" i="3"/>
  <c r="V184" i="3"/>
  <c r="V183" i="3"/>
  <c r="V182" i="3"/>
  <c r="V181" i="3"/>
  <c r="V180" i="3"/>
  <c r="V179" i="3"/>
  <c r="V178" i="3"/>
  <c r="V177" i="3"/>
  <c r="V176" i="3"/>
  <c r="V175" i="3"/>
  <c r="V174" i="3"/>
  <c r="V173" i="3"/>
  <c r="V172" i="3"/>
  <c r="V171" i="3"/>
  <c r="V170" i="3"/>
  <c r="V169" i="3"/>
  <c r="V168" i="3"/>
  <c r="V167" i="3"/>
  <c r="V166" i="3"/>
  <c r="V165" i="3"/>
  <c r="V164" i="3"/>
  <c r="V163" i="3"/>
  <c r="V162" i="3"/>
  <c r="V161" i="3"/>
  <c r="V160" i="3"/>
  <c r="V159" i="3"/>
  <c r="V158" i="3"/>
  <c r="V157" i="3"/>
  <c r="V156" i="3"/>
  <c r="V155" i="3"/>
  <c r="V154" i="3"/>
  <c r="V153" i="3"/>
  <c r="V152" i="3"/>
  <c r="V151" i="3"/>
  <c r="V150" i="3"/>
  <c r="V149" i="3"/>
  <c r="V148" i="3"/>
  <c r="V147" i="3"/>
  <c r="V146" i="3"/>
  <c r="V145" i="3"/>
  <c r="V144" i="3"/>
  <c r="V143" i="3"/>
  <c r="V142" i="3"/>
  <c r="V141" i="3"/>
  <c r="V140" i="3"/>
  <c r="V139" i="3"/>
  <c r="V138" i="3"/>
  <c r="V137" i="3"/>
  <c r="V136" i="3"/>
  <c r="V135" i="3"/>
  <c r="V134" i="3"/>
  <c r="V133" i="3"/>
  <c r="V132" i="3"/>
  <c r="V131" i="3"/>
  <c r="V130" i="3"/>
  <c r="V129" i="3"/>
  <c r="V128" i="3"/>
  <c r="V127" i="3"/>
  <c r="V126" i="3"/>
  <c r="V125" i="3"/>
  <c r="V124" i="3"/>
  <c r="V123" i="3"/>
  <c r="V122" i="3"/>
  <c r="V121" i="3"/>
  <c r="V120" i="3"/>
  <c r="V119" i="3"/>
  <c r="V118" i="3"/>
  <c r="V117" i="3"/>
  <c r="V116" i="3"/>
  <c r="V115" i="3"/>
  <c r="V114" i="3"/>
  <c r="V113" i="3"/>
  <c r="V112" i="3"/>
  <c r="V111" i="3"/>
  <c r="V110" i="3"/>
  <c r="V109" i="3"/>
  <c r="V108" i="3"/>
  <c r="V107" i="3"/>
  <c r="V106" i="3"/>
  <c r="V105" i="3"/>
  <c r="V104" i="3"/>
  <c r="V103" i="3"/>
  <c r="V102" i="3"/>
  <c r="V101" i="3"/>
  <c r="V100" i="3"/>
  <c r="V99" i="3"/>
  <c r="V98" i="3"/>
  <c r="V97" i="3"/>
  <c r="V96" i="3"/>
  <c r="V95" i="3"/>
  <c r="V94" i="3"/>
  <c r="V93" i="3"/>
  <c r="V92" i="3"/>
  <c r="V91" i="3"/>
  <c r="V90" i="3"/>
  <c r="V89" i="3"/>
  <c r="V88" i="3"/>
  <c r="V87" i="3"/>
  <c r="V86" i="3"/>
  <c r="V85" i="3"/>
  <c r="V84" i="3"/>
  <c r="V83" i="3"/>
  <c r="V82" i="3"/>
  <c r="V81" i="3"/>
  <c r="V80" i="3"/>
  <c r="V79" i="3"/>
  <c r="V78" i="3"/>
  <c r="V77" i="3"/>
  <c r="V76" i="3"/>
  <c r="V75" i="3"/>
  <c r="V74" i="3"/>
  <c r="V73" i="3"/>
  <c r="V72" i="3"/>
  <c r="V71" i="3"/>
  <c r="V70" i="3"/>
  <c r="V69" i="3"/>
  <c r="V68" i="3"/>
  <c r="V67" i="3"/>
  <c r="V66" i="3"/>
  <c r="V65" i="3"/>
  <c r="V64" i="3"/>
  <c r="V63" i="3"/>
  <c r="V62" i="3"/>
  <c r="V61" i="3"/>
  <c r="V60" i="3"/>
  <c r="V59" i="3"/>
  <c r="V58" i="3"/>
  <c r="V57" i="3"/>
  <c r="V56" i="3"/>
  <c r="V55" i="3"/>
  <c r="V54" i="3"/>
  <c r="V53" i="3"/>
  <c r="V52" i="3"/>
  <c r="V51" i="3"/>
  <c r="V50" i="3"/>
  <c r="V49" i="3"/>
  <c r="V48" i="3"/>
  <c r="V47" i="3"/>
  <c r="V46" i="3"/>
  <c r="V45" i="3"/>
  <c r="V44" i="3"/>
  <c r="V43" i="3"/>
  <c r="V42" i="3"/>
  <c r="V41" i="3"/>
  <c r="V40" i="3"/>
  <c r="V39" i="3"/>
  <c r="V38" i="3"/>
  <c r="V37" i="3"/>
  <c r="V36" i="3"/>
  <c r="V35" i="3"/>
  <c r="V34" i="3"/>
  <c r="V33" i="3"/>
  <c r="V32" i="3"/>
  <c r="V31" i="3"/>
  <c r="V30" i="3"/>
  <c r="V29" i="3"/>
  <c r="V28" i="3"/>
  <c r="V27" i="3"/>
  <c r="V26" i="3"/>
  <c r="V25" i="3"/>
  <c r="V24" i="3"/>
  <c r="V23" i="3"/>
  <c r="V22" i="3"/>
  <c r="V21" i="3"/>
  <c r="V20" i="3"/>
  <c r="V19" i="3"/>
  <c r="V18" i="3"/>
  <c r="V17" i="3"/>
  <c r="V16" i="3"/>
  <c r="V15" i="3"/>
  <c r="V14" i="3"/>
  <c r="V13" i="3"/>
  <c r="V12" i="3"/>
  <c r="V11" i="3"/>
  <c r="V10" i="3"/>
  <c r="V9" i="3"/>
  <c r="V8" i="3"/>
  <c r="V7" i="3"/>
  <c r="V6" i="3"/>
  <c r="V5" i="3"/>
  <c r="F1" i="3"/>
  <c r="W356" i="3" s="1"/>
  <c r="X356" i="3" s="1"/>
  <c r="V4" i="3"/>
  <c r="W10" i="3" l="1"/>
  <c r="X10" i="3" s="1"/>
  <c r="W36" i="3"/>
  <c r="X36" i="3" s="1"/>
  <c r="W57" i="3"/>
  <c r="X57" i="3" s="1"/>
  <c r="W73" i="3"/>
  <c r="X73" i="3" s="1"/>
  <c r="W116" i="3"/>
  <c r="X116" i="3" s="1"/>
  <c r="W137" i="3"/>
  <c r="X137" i="3" s="1"/>
  <c r="W146" i="3"/>
  <c r="X146" i="3" s="1"/>
  <c r="W180" i="3"/>
  <c r="X180" i="3" s="1"/>
  <c r="W187" i="3"/>
  <c r="X187" i="3" s="1"/>
  <c r="W201" i="3"/>
  <c r="X201" i="3" s="1"/>
  <c r="W210" i="3"/>
  <c r="X210" i="3" s="1"/>
  <c r="W224" i="3"/>
  <c r="X224" i="3" s="1"/>
  <c r="W237" i="3"/>
  <c r="X237" i="3" s="1"/>
  <c r="W244" i="3"/>
  <c r="X244" i="3" s="1"/>
  <c r="W251" i="3"/>
  <c r="X251" i="3" s="1"/>
  <c r="W265" i="3"/>
  <c r="X265" i="3" s="1"/>
  <c r="W336" i="3"/>
  <c r="X336" i="3" s="1"/>
  <c r="W17" i="3"/>
  <c r="X17" i="3" s="1"/>
  <c r="W19" i="3"/>
  <c r="X19" i="3" s="1"/>
  <c r="W28" i="3"/>
  <c r="X28" i="3" s="1"/>
  <c r="W34" i="3"/>
  <c r="X34" i="3" s="1"/>
  <c r="W49" i="3"/>
  <c r="X49" i="3" s="1"/>
  <c r="W51" i="3"/>
  <c r="X51" i="3" s="1"/>
  <c r="W66" i="3"/>
  <c r="X66" i="3" s="1"/>
  <c r="W100" i="3"/>
  <c r="X100" i="3" s="1"/>
  <c r="W107" i="3"/>
  <c r="X107" i="3" s="1"/>
  <c r="W121" i="3"/>
  <c r="X121" i="3" s="1"/>
  <c r="W130" i="3"/>
  <c r="X130" i="3" s="1"/>
  <c r="W164" i="3"/>
  <c r="X164" i="3" s="1"/>
  <c r="W171" i="3"/>
  <c r="X171" i="3" s="1"/>
  <c r="W185" i="3"/>
  <c r="X185" i="3" s="1"/>
  <c r="W194" i="3"/>
  <c r="X194" i="3" s="1"/>
  <c r="W208" i="3"/>
  <c r="X208" i="3" s="1"/>
  <c r="W221" i="3"/>
  <c r="X221" i="3" s="1"/>
  <c r="W228" i="3"/>
  <c r="X228" i="3" s="1"/>
  <c r="W235" i="3"/>
  <c r="X235" i="3" s="1"/>
  <c r="W249" i="3"/>
  <c r="X249" i="3" s="1"/>
  <c r="W258" i="3"/>
  <c r="X258" i="3" s="1"/>
  <c r="W313" i="3"/>
  <c r="X313" i="3" s="1"/>
  <c r="W333" i="3"/>
  <c r="X333" i="3" s="1"/>
  <c r="W366" i="3"/>
  <c r="X366" i="3" s="1"/>
  <c r="W25" i="3"/>
  <c r="X25" i="3" s="1"/>
  <c r="W82" i="3"/>
  <c r="X82" i="3" s="1"/>
  <c r="W11" i="3"/>
  <c r="X11" i="3" s="1"/>
  <c r="W52" i="3"/>
  <c r="X52" i="3" s="1"/>
  <c r="W91" i="3"/>
  <c r="X91" i="3" s="1"/>
  <c r="W155" i="3"/>
  <c r="X155" i="3" s="1"/>
  <c r="W178" i="3"/>
  <c r="X178" i="3" s="1"/>
  <c r="W192" i="3"/>
  <c r="X192" i="3" s="1"/>
  <c r="W205" i="3"/>
  <c r="X205" i="3" s="1"/>
  <c r="W212" i="3"/>
  <c r="X212" i="3" s="1"/>
  <c r="W219" i="3"/>
  <c r="X219" i="3" s="1"/>
  <c r="W233" i="3"/>
  <c r="X233" i="3" s="1"/>
  <c r="W242" i="3"/>
  <c r="X242" i="3" s="1"/>
  <c r="W256" i="3"/>
  <c r="X256" i="3" s="1"/>
  <c r="W269" i="3"/>
  <c r="X269" i="3" s="1"/>
  <c r="W310" i="3"/>
  <c r="X310" i="3" s="1"/>
  <c r="W749" i="3"/>
  <c r="X749" i="3" s="1"/>
  <c r="W747" i="3"/>
  <c r="X747" i="3" s="1"/>
  <c r="W739" i="3"/>
  <c r="X739" i="3" s="1"/>
  <c r="W730" i="3"/>
  <c r="X730" i="3" s="1"/>
  <c r="W727" i="3"/>
  <c r="X727" i="3" s="1"/>
  <c r="W719" i="3"/>
  <c r="X719" i="3" s="1"/>
  <c r="W711" i="3"/>
  <c r="X711" i="3" s="1"/>
  <c r="W703" i="3"/>
  <c r="X703" i="3" s="1"/>
  <c r="W695" i="3"/>
  <c r="X695" i="3" s="1"/>
  <c r="W693" i="3"/>
  <c r="X693" i="3" s="1"/>
  <c r="W667" i="3"/>
  <c r="X667" i="3" s="1"/>
  <c r="W629" i="3"/>
  <c r="X629" i="3" s="1"/>
  <c r="W627" i="3"/>
  <c r="X627" i="3" s="1"/>
  <c r="W620" i="3"/>
  <c r="X620" i="3" s="1"/>
  <c r="W615" i="3"/>
  <c r="X615" i="3" s="1"/>
  <c r="W605" i="3"/>
  <c r="X605" i="3" s="1"/>
  <c r="W596" i="3"/>
  <c r="X596" i="3" s="1"/>
  <c r="W562" i="3"/>
  <c r="X562" i="3" s="1"/>
  <c r="W534" i="3"/>
  <c r="X534" i="3" s="1"/>
  <c r="W798" i="3"/>
  <c r="X798" i="3" s="1"/>
  <c r="W794" i="3"/>
  <c r="X794" i="3" s="1"/>
  <c r="W787" i="3"/>
  <c r="X787" i="3" s="1"/>
  <c r="W785" i="3"/>
  <c r="X785" i="3" s="1"/>
  <c r="W783" i="3"/>
  <c r="X783" i="3" s="1"/>
  <c r="W781" i="3"/>
  <c r="X781" i="3" s="1"/>
  <c r="W779" i="3"/>
  <c r="X779" i="3" s="1"/>
  <c r="W770" i="3"/>
  <c r="X770" i="3" s="1"/>
  <c r="W766" i="3"/>
  <c r="X766" i="3" s="1"/>
  <c r="W762" i="3"/>
  <c r="X762" i="3" s="1"/>
  <c r="W755" i="3"/>
  <c r="X755" i="3" s="1"/>
  <c r="W753" i="3"/>
  <c r="X753" i="3" s="1"/>
  <c r="W751" i="3"/>
  <c r="X751" i="3" s="1"/>
  <c r="W743" i="3"/>
  <c r="X743" i="3" s="1"/>
  <c r="W717" i="3"/>
  <c r="X717" i="3" s="1"/>
  <c r="W691" i="3"/>
  <c r="X691" i="3" s="1"/>
  <c r="W683" i="3"/>
  <c r="X683" i="3" s="1"/>
  <c r="W675" i="3"/>
  <c r="X675" i="3" s="1"/>
  <c r="W661" i="3"/>
  <c r="X661" i="3" s="1"/>
  <c r="W635" i="3"/>
  <c r="X635" i="3" s="1"/>
  <c r="W621" i="3"/>
  <c r="X621" i="3" s="1"/>
  <c r="W609" i="3"/>
  <c r="X609" i="3" s="1"/>
  <c r="W607" i="3"/>
  <c r="X607" i="3" s="1"/>
  <c r="W595" i="3"/>
  <c r="X595" i="3" s="1"/>
  <c r="W593" i="3"/>
  <c r="X593" i="3" s="1"/>
  <c r="W591" i="3"/>
  <c r="X591" i="3" s="1"/>
  <c r="W586" i="3"/>
  <c r="X586" i="3" s="1"/>
  <c r="W578" i="3"/>
  <c r="X578" i="3" s="1"/>
  <c r="W570" i="3"/>
  <c r="X570" i="3" s="1"/>
  <c r="W498" i="3"/>
  <c r="X498" i="3" s="1"/>
  <c r="W791" i="3"/>
  <c r="X791" i="3" s="1"/>
  <c r="W774" i="3"/>
  <c r="X774" i="3" s="1"/>
  <c r="W759" i="3"/>
  <c r="X759" i="3" s="1"/>
  <c r="W725" i="3"/>
  <c r="X725" i="3" s="1"/>
  <c r="W723" i="3"/>
  <c r="X723" i="3" s="1"/>
  <c r="W699" i="3"/>
  <c r="X699" i="3" s="1"/>
  <c r="W663" i="3"/>
  <c r="X663" i="3" s="1"/>
  <c r="W655" i="3"/>
  <c r="X655" i="3" s="1"/>
  <c r="W647" i="3"/>
  <c r="X647" i="3" s="1"/>
  <c r="W639" i="3"/>
  <c r="X639" i="3" s="1"/>
  <c r="W637" i="3"/>
  <c r="X637" i="3" s="1"/>
  <c r="W624" i="3"/>
  <c r="X624" i="3" s="1"/>
  <c r="W612" i="3"/>
  <c r="X612" i="3" s="1"/>
  <c r="W600" i="3"/>
  <c r="X600" i="3" s="1"/>
  <c r="W597" i="3"/>
  <c r="X597" i="3" s="1"/>
  <c r="W558" i="3"/>
  <c r="X558" i="3" s="1"/>
  <c r="W550" i="3"/>
  <c r="X550" i="3" s="1"/>
  <c r="W542" i="3"/>
  <c r="X542" i="3" s="1"/>
  <c r="W799" i="3"/>
  <c r="X799" i="3" s="1"/>
  <c r="W797" i="3"/>
  <c r="X797" i="3" s="1"/>
  <c r="W795" i="3"/>
  <c r="X795" i="3" s="1"/>
  <c r="W786" i="3"/>
  <c r="X786" i="3" s="1"/>
  <c r="W782" i="3"/>
  <c r="X782" i="3" s="1"/>
  <c r="W778" i="3"/>
  <c r="X778" i="3" s="1"/>
  <c r="W771" i="3"/>
  <c r="X771" i="3" s="1"/>
  <c r="W769" i="3"/>
  <c r="X769" i="3" s="1"/>
  <c r="W767" i="3"/>
  <c r="X767" i="3" s="1"/>
  <c r="W765" i="3"/>
  <c r="X765" i="3" s="1"/>
  <c r="W763" i="3"/>
  <c r="X763" i="3" s="1"/>
  <c r="W754" i="3"/>
  <c r="X754" i="3" s="1"/>
  <c r="W738" i="3"/>
  <c r="X738" i="3" s="1"/>
  <c r="W731" i="3"/>
  <c r="X731" i="3" s="1"/>
  <c r="W707" i="3"/>
  <c r="X707" i="3" s="1"/>
  <c r="W687" i="3"/>
  <c r="X687" i="3" s="1"/>
  <c r="W679" i="3"/>
  <c r="X679" i="3" s="1"/>
  <c r="W671" i="3"/>
  <c r="X671" i="3" s="1"/>
  <c r="W669" i="3"/>
  <c r="X669" i="3" s="1"/>
  <c r="W628" i="3"/>
  <c r="X628" i="3" s="1"/>
  <c r="W616" i="3"/>
  <c r="X616" i="3" s="1"/>
  <c r="W608" i="3"/>
  <c r="X608" i="3" s="1"/>
  <c r="W592" i="3"/>
  <c r="X592" i="3" s="1"/>
  <c r="W582" i="3"/>
  <c r="X582" i="3" s="1"/>
  <c r="W574" i="3"/>
  <c r="X574" i="3" s="1"/>
  <c r="W566" i="3"/>
  <c r="X566" i="3" s="1"/>
  <c r="W502" i="3"/>
  <c r="X502" i="3" s="1"/>
  <c r="W715" i="3"/>
  <c r="X715" i="3" s="1"/>
  <c r="W643" i="3"/>
  <c r="X643" i="3" s="1"/>
  <c r="W603" i="3"/>
  <c r="X603" i="3" s="1"/>
  <c r="W538" i="3"/>
  <c r="X538" i="3" s="1"/>
  <c r="W470" i="3"/>
  <c r="X470" i="3" s="1"/>
  <c r="W444" i="3"/>
  <c r="X444" i="3" s="1"/>
  <c r="W398" i="3"/>
  <c r="X398" i="3" s="1"/>
  <c r="W388" i="3"/>
  <c r="X388" i="3" s="1"/>
  <c r="W386" i="3"/>
  <c r="X386" i="3" s="1"/>
  <c r="W380" i="3"/>
  <c r="X380" i="3" s="1"/>
  <c r="W374" i="3"/>
  <c r="X374" i="3" s="1"/>
  <c r="W354" i="3"/>
  <c r="X354" i="3" s="1"/>
  <c r="W348" i="3"/>
  <c r="X348" i="3" s="1"/>
  <c r="W342" i="3"/>
  <c r="X342" i="3" s="1"/>
  <c r="W322" i="3"/>
  <c r="X322" i="3" s="1"/>
  <c r="W316" i="3"/>
  <c r="X316" i="3" s="1"/>
  <c r="W306" i="3"/>
  <c r="X306" i="3" s="1"/>
  <c r="W301" i="3"/>
  <c r="X301" i="3" s="1"/>
  <c r="W299" i="3"/>
  <c r="X299" i="3" s="1"/>
  <c r="W290" i="3"/>
  <c r="X290" i="3" s="1"/>
  <c r="W285" i="3"/>
  <c r="X285" i="3" s="1"/>
  <c r="W283" i="3"/>
  <c r="X283" i="3" s="1"/>
  <c r="W274" i="3"/>
  <c r="X274" i="3" s="1"/>
  <c r="W775" i="3"/>
  <c r="X775" i="3" s="1"/>
  <c r="W651" i="3"/>
  <c r="X651" i="3" s="1"/>
  <c r="W623" i="3"/>
  <c r="X623" i="3" s="1"/>
  <c r="W546" i="3"/>
  <c r="X546" i="3" s="1"/>
  <c r="W526" i="3"/>
  <c r="X526" i="3" s="1"/>
  <c r="W518" i="3"/>
  <c r="X518" i="3" s="1"/>
  <c r="W510" i="3"/>
  <c r="X510" i="3" s="1"/>
  <c r="W490" i="3"/>
  <c r="X490" i="3" s="1"/>
  <c r="W482" i="3"/>
  <c r="X482" i="3" s="1"/>
  <c r="W474" i="3"/>
  <c r="X474" i="3" s="1"/>
  <c r="W462" i="3"/>
  <c r="X462" i="3" s="1"/>
  <c r="W790" i="3"/>
  <c r="X790" i="3" s="1"/>
  <c r="W750" i="3"/>
  <c r="X750" i="3" s="1"/>
  <c r="W659" i="3"/>
  <c r="X659" i="3" s="1"/>
  <c r="W625" i="3"/>
  <c r="X625" i="3" s="1"/>
  <c r="W617" i="3"/>
  <c r="X617" i="3" s="1"/>
  <c r="W611" i="3"/>
  <c r="X611" i="3" s="1"/>
  <c r="W554" i="3"/>
  <c r="X554" i="3" s="1"/>
  <c r="W466" i="3"/>
  <c r="X466" i="3" s="1"/>
  <c r="W430" i="3"/>
  <c r="X430" i="3" s="1"/>
  <c r="W420" i="3"/>
  <c r="X420" i="3" s="1"/>
  <c r="W418" i="3"/>
  <c r="X418" i="3" s="1"/>
  <c r="W412" i="3"/>
  <c r="X412" i="3" s="1"/>
  <c r="W370" i="3"/>
  <c r="X370" i="3" s="1"/>
  <c r="W364" i="3"/>
  <c r="X364" i="3" s="1"/>
  <c r="W358" i="3"/>
  <c r="X358" i="3" s="1"/>
  <c r="W338" i="3"/>
  <c r="X338" i="3" s="1"/>
  <c r="W332" i="3"/>
  <c r="X332" i="3" s="1"/>
  <c r="W326" i="3"/>
  <c r="X326" i="3" s="1"/>
  <c r="W309" i="3"/>
  <c r="X309" i="3" s="1"/>
  <c r="W307" i="3"/>
  <c r="X307" i="3" s="1"/>
  <c r="W298" i="3"/>
  <c r="X298" i="3" s="1"/>
  <c r="W293" i="3"/>
  <c r="X293" i="3" s="1"/>
  <c r="W291" i="3"/>
  <c r="X291" i="3" s="1"/>
  <c r="W282" i="3"/>
  <c r="X282" i="3" s="1"/>
  <c r="W277" i="3"/>
  <c r="X277" i="3" s="1"/>
  <c r="W275" i="3"/>
  <c r="X275" i="3" s="1"/>
  <c r="W735" i="3"/>
  <c r="X735" i="3" s="1"/>
  <c r="W530" i="3"/>
  <c r="X530" i="3" s="1"/>
  <c r="W478" i="3"/>
  <c r="X478" i="3" s="1"/>
  <c r="W458" i="3"/>
  <c r="X458" i="3" s="1"/>
  <c r="W450" i="3"/>
  <c r="X450" i="3" s="1"/>
  <c r="W406" i="3"/>
  <c r="X406" i="3" s="1"/>
  <c r="W401" i="3"/>
  <c r="X401" i="3" s="1"/>
  <c r="W394" i="3"/>
  <c r="X394" i="3" s="1"/>
  <c r="W382" i="3"/>
  <c r="X382" i="3" s="1"/>
  <c r="W372" i="3"/>
  <c r="X372" i="3" s="1"/>
  <c r="W362" i="3"/>
  <c r="X362" i="3" s="1"/>
  <c r="W318" i="3"/>
  <c r="X318" i="3" s="1"/>
  <c r="W303" i="3"/>
  <c r="X303" i="3" s="1"/>
  <c r="W271" i="3"/>
  <c r="X271" i="3" s="1"/>
  <c r="W255" i="3"/>
  <c r="X255" i="3" s="1"/>
  <c r="W239" i="3"/>
  <c r="X239" i="3" s="1"/>
  <c r="W223" i="3"/>
  <c r="X223" i="3" s="1"/>
  <c r="W207" i="3"/>
  <c r="X207" i="3" s="1"/>
  <c r="W191" i="3"/>
  <c r="X191" i="3" s="1"/>
  <c r="W175" i="3"/>
  <c r="X175" i="3" s="1"/>
  <c r="W166" i="3"/>
  <c r="X166" i="3" s="1"/>
  <c r="W159" i="3"/>
  <c r="X159" i="3" s="1"/>
  <c r="W150" i="3"/>
  <c r="X150" i="3" s="1"/>
  <c r="W143" i="3"/>
  <c r="X143" i="3" s="1"/>
  <c r="W134" i="3"/>
  <c r="X134" i="3" s="1"/>
  <c r="W127" i="3"/>
  <c r="X127" i="3" s="1"/>
  <c r="W118" i="3"/>
  <c r="X118" i="3" s="1"/>
  <c r="W111" i="3"/>
  <c r="X111" i="3" s="1"/>
  <c r="W102" i="3"/>
  <c r="X102" i="3" s="1"/>
  <c r="W95" i="3"/>
  <c r="X95" i="3" s="1"/>
  <c r="W86" i="3"/>
  <c r="X86" i="3" s="1"/>
  <c r="W79" i="3"/>
  <c r="X79" i="3" s="1"/>
  <c r="W70" i="3"/>
  <c r="X70" i="3" s="1"/>
  <c r="W63" i="3"/>
  <c r="X63" i="3" s="1"/>
  <c r="W54" i="3"/>
  <c r="X54" i="3" s="1"/>
  <c r="W47" i="3"/>
  <c r="X47" i="3" s="1"/>
  <c r="W38" i="3"/>
  <c r="X38" i="3" s="1"/>
  <c r="W31" i="3"/>
  <c r="X31" i="3" s="1"/>
  <c r="W22" i="3"/>
  <c r="X22" i="3" s="1"/>
  <c r="W15" i="3"/>
  <c r="X15" i="3" s="1"/>
  <c r="W6" i="3"/>
  <c r="X6" i="3" s="1"/>
  <c r="W202" i="3"/>
  <c r="X202" i="3" s="1"/>
  <c r="W195" i="3"/>
  <c r="X195" i="3" s="1"/>
  <c r="W179" i="3"/>
  <c r="X179" i="3" s="1"/>
  <c r="W170" i="3"/>
  <c r="X170" i="3" s="1"/>
  <c r="W154" i="3"/>
  <c r="X154" i="3" s="1"/>
  <c r="W138" i="3"/>
  <c r="X138" i="3" s="1"/>
  <c r="W122" i="3"/>
  <c r="X122" i="3" s="1"/>
  <c r="W106" i="3"/>
  <c r="X106" i="3" s="1"/>
  <c r="W99" i="3"/>
  <c r="X99" i="3" s="1"/>
  <c r="W83" i="3"/>
  <c r="X83" i="3" s="1"/>
  <c r="W74" i="3"/>
  <c r="X74" i="3" s="1"/>
  <c r="W67" i="3"/>
  <c r="X67" i="3" s="1"/>
  <c r="W613" i="3"/>
  <c r="X613" i="3" s="1"/>
  <c r="W506" i="3"/>
  <c r="X506" i="3" s="1"/>
  <c r="W438" i="3"/>
  <c r="X438" i="3" s="1"/>
  <c r="W433" i="3"/>
  <c r="X433" i="3" s="1"/>
  <c r="W426" i="3"/>
  <c r="X426" i="3" s="1"/>
  <c r="W414" i="3"/>
  <c r="X414" i="3" s="1"/>
  <c r="W378" i="3"/>
  <c r="X378" i="3" s="1"/>
  <c r="W334" i="3"/>
  <c r="X334" i="3" s="1"/>
  <c r="W324" i="3"/>
  <c r="X324" i="3" s="1"/>
  <c r="W314" i="3"/>
  <c r="X314" i="3" s="1"/>
  <c r="W311" i="3"/>
  <c r="X311" i="3" s="1"/>
  <c r="W279" i="3"/>
  <c r="X279" i="3" s="1"/>
  <c r="W266" i="3"/>
  <c r="X266" i="3" s="1"/>
  <c r="W261" i="3"/>
  <c r="X261" i="3" s="1"/>
  <c r="W259" i="3"/>
  <c r="X259" i="3" s="1"/>
  <c r="W250" i="3"/>
  <c r="X250" i="3" s="1"/>
  <c r="W245" i="3"/>
  <c r="X245" i="3" s="1"/>
  <c r="W243" i="3"/>
  <c r="X243" i="3" s="1"/>
  <c r="W234" i="3"/>
  <c r="X234" i="3" s="1"/>
  <c r="W229" i="3"/>
  <c r="X229" i="3" s="1"/>
  <c r="W227" i="3"/>
  <c r="X227" i="3" s="1"/>
  <c r="W218" i="3"/>
  <c r="X218" i="3" s="1"/>
  <c r="W213" i="3"/>
  <c r="X213" i="3" s="1"/>
  <c r="W211" i="3"/>
  <c r="X211" i="3" s="1"/>
  <c r="W197" i="3"/>
  <c r="X197" i="3" s="1"/>
  <c r="W186" i="3"/>
  <c r="X186" i="3" s="1"/>
  <c r="W181" i="3"/>
  <c r="X181" i="3" s="1"/>
  <c r="W163" i="3"/>
  <c r="X163" i="3" s="1"/>
  <c r="W147" i="3"/>
  <c r="X147" i="3" s="1"/>
  <c r="W131" i="3"/>
  <c r="X131" i="3" s="1"/>
  <c r="W115" i="3"/>
  <c r="X115" i="3" s="1"/>
  <c r="W90" i="3"/>
  <c r="X90" i="3" s="1"/>
  <c r="W619" i="3"/>
  <c r="X619" i="3" s="1"/>
  <c r="W601" i="3"/>
  <c r="X601" i="3" s="1"/>
  <c r="W514" i="3"/>
  <c r="X514" i="3" s="1"/>
  <c r="W494" i="3"/>
  <c r="X494" i="3" s="1"/>
  <c r="W454" i="3"/>
  <c r="X454" i="3" s="1"/>
  <c r="W446" i="3"/>
  <c r="X446" i="3" s="1"/>
  <c r="W410" i="3"/>
  <c r="X410" i="3" s="1"/>
  <c r="W402" i="3"/>
  <c r="X402" i="3" s="1"/>
  <c r="W393" i="3"/>
  <c r="X393" i="3" s="1"/>
  <c r="W390" i="3"/>
  <c r="X390" i="3" s="1"/>
  <c r="W350" i="3"/>
  <c r="X350" i="3" s="1"/>
  <c r="W340" i="3"/>
  <c r="X340" i="3" s="1"/>
  <c r="W330" i="3"/>
  <c r="X330" i="3" s="1"/>
  <c r="W287" i="3"/>
  <c r="X287" i="3" s="1"/>
  <c r="W263" i="3"/>
  <c r="X263" i="3" s="1"/>
  <c r="W247" i="3"/>
  <c r="X247" i="3" s="1"/>
  <c r="W231" i="3"/>
  <c r="X231" i="3" s="1"/>
  <c r="W215" i="3"/>
  <c r="X215" i="3" s="1"/>
  <c r="W199" i="3"/>
  <c r="X199" i="3" s="1"/>
  <c r="W183" i="3"/>
  <c r="X183" i="3" s="1"/>
  <c r="W174" i="3"/>
  <c r="X174" i="3" s="1"/>
  <c r="W167" i="3"/>
  <c r="X167" i="3" s="1"/>
  <c r="W158" i="3"/>
  <c r="X158" i="3" s="1"/>
  <c r="W151" i="3"/>
  <c r="X151" i="3" s="1"/>
  <c r="W142" i="3"/>
  <c r="X142" i="3" s="1"/>
  <c r="W135" i="3"/>
  <c r="X135" i="3" s="1"/>
  <c r="W126" i="3"/>
  <c r="X126" i="3" s="1"/>
  <c r="W119" i="3"/>
  <c r="X119" i="3" s="1"/>
  <c r="W110" i="3"/>
  <c r="X110" i="3" s="1"/>
  <c r="W103" i="3"/>
  <c r="X103" i="3" s="1"/>
  <c r="W94" i="3"/>
  <c r="X94" i="3" s="1"/>
  <c r="W87" i="3"/>
  <c r="X87" i="3" s="1"/>
  <c r="W78" i="3"/>
  <c r="X78" i="3" s="1"/>
  <c r="W71" i="3"/>
  <c r="X71" i="3" s="1"/>
  <c r="W62" i="3"/>
  <c r="X62" i="3" s="1"/>
  <c r="W55" i="3"/>
  <c r="X55" i="3" s="1"/>
  <c r="W46" i="3"/>
  <c r="X46" i="3" s="1"/>
  <c r="W39" i="3"/>
  <c r="X39" i="3" s="1"/>
  <c r="W30" i="3"/>
  <c r="X30" i="3" s="1"/>
  <c r="W23" i="3"/>
  <c r="X23" i="3" s="1"/>
  <c r="W14" i="3"/>
  <c r="X14" i="3" s="1"/>
  <c r="W7" i="3"/>
  <c r="X7" i="3" s="1"/>
  <c r="W758" i="3"/>
  <c r="X758" i="3" s="1"/>
  <c r="W522" i="3"/>
  <c r="X522" i="3" s="1"/>
  <c r="W486" i="3"/>
  <c r="X486" i="3" s="1"/>
  <c r="W442" i="3"/>
  <c r="X442" i="3" s="1"/>
  <c r="W434" i="3"/>
  <c r="X434" i="3" s="1"/>
  <c r="W425" i="3"/>
  <c r="X425" i="3" s="1"/>
  <c r="W422" i="3"/>
  <c r="X422" i="3" s="1"/>
  <c r="W27" i="3"/>
  <c r="X27" i="3" s="1"/>
  <c r="W42" i="3"/>
  <c r="X42" i="3" s="1"/>
  <c r="W59" i="3"/>
  <c r="X59" i="3" s="1"/>
  <c r="W123" i="3"/>
  <c r="X123" i="3" s="1"/>
  <c r="W9" i="3"/>
  <c r="X9" i="3" s="1"/>
  <c r="W20" i="3"/>
  <c r="X20" i="3" s="1"/>
  <c r="W26" i="3"/>
  <c r="X26" i="3" s="1"/>
  <c r="W41" i="3"/>
  <c r="X41" i="3" s="1"/>
  <c r="W43" i="3"/>
  <c r="X43" i="3" s="1"/>
  <c r="W58" i="3"/>
  <c r="X58" i="3" s="1"/>
  <c r="W84" i="3"/>
  <c r="X84" i="3" s="1"/>
  <c r="W105" i="3"/>
  <c r="X105" i="3" s="1"/>
  <c r="W114" i="3"/>
  <c r="X114" i="3" s="1"/>
  <c r="W148" i="3"/>
  <c r="X148" i="3" s="1"/>
  <c r="W169" i="3"/>
  <c r="X169" i="3" s="1"/>
  <c r="W12" i="3"/>
  <c r="X12" i="3" s="1"/>
  <c r="W18" i="3"/>
  <c r="X18" i="3" s="1"/>
  <c r="W33" i="3"/>
  <c r="X33" i="3" s="1"/>
  <c r="W35" i="3"/>
  <c r="X35" i="3" s="1"/>
  <c r="W44" i="3"/>
  <c r="X44" i="3" s="1"/>
  <c r="W50" i="3"/>
  <c r="X50" i="3" s="1"/>
  <c r="W68" i="3"/>
  <c r="X68" i="3" s="1"/>
  <c r="W75" i="3"/>
  <c r="X75" i="3" s="1"/>
  <c r="W89" i="3"/>
  <c r="X89" i="3" s="1"/>
  <c r="W98" i="3"/>
  <c r="X98" i="3" s="1"/>
  <c r="W132" i="3"/>
  <c r="X132" i="3" s="1"/>
  <c r="W139" i="3"/>
  <c r="X139" i="3" s="1"/>
  <c r="W153" i="3"/>
  <c r="X153" i="3" s="1"/>
  <c r="W162" i="3"/>
  <c r="X162" i="3" s="1"/>
  <c r="W189" i="3"/>
  <c r="X189" i="3" s="1"/>
  <c r="W196" i="3"/>
  <c r="X196" i="3" s="1"/>
  <c r="W203" i="3"/>
  <c r="X203" i="3" s="1"/>
  <c r="W217" i="3"/>
  <c r="X217" i="3" s="1"/>
  <c r="W226" i="3"/>
  <c r="X226" i="3" s="1"/>
  <c r="W240" i="3"/>
  <c r="X240" i="3" s="1"/>
  <c r="W253" i="3"/>
  <c r="X253" i="3" s="1"/>
  <c r="W260" i="3"/>
  <c r="X260" i="3" s="1"/>
  <c r="W267" i="3"/>
  <c r="X267" i="3" s="1"/>
  <c r="W278" i="3"/>
  <c r="X278" i="3" s="1"/>
  <c r="W295" i="3"/>
  <c r="X295" i="3" s="1"/>
  <c r="W323" i="3"/>
  <c r="X323" i="3" s="1"/>
  <c r="W343" i="3"/>
  <c r="X343" i="3" s="1"/>
  <c r="W346" i="3"/>
  <c r="X346" i="3" s="1"/>
  <c r="W377" i="3"/>
  <c r="X377" i="3" s="1"/>
  <c r="W395" i="3"/>
  <c r="X395" i="3" s="1"/>
  <c r="W399" i="3"/>
  <c r="X399" i="3" s="1"/>
  <c r="W413" i="3"/>
  <c r="X413" i="3" s="1"/>
  <c r="W416" i="3"/>
  <c r="X416" i="3" s="1"/>
  <c r="W432" i="3"/>
  <c r="X432" i="3" s="1"/>
  <c r="W469" i="3"/>
  <c r="X469" i="3" s="1"/>
  <c r="W476" i="3"/>
  <c r="X476" i="3" s="1"/>
  <c r="W497" i="3"/>
  <c r="X497" i="3" s="1"/>
  <c r="W5" i="3"/>
  <c r="X5" i="3" s="1"/>
  <c r="W16" i="3"/>
  <c r="X16" i="3" s="1"/>
  <c r="W21" i="3"/>
  <c r="X21" i="3" s="1"/>
  <c r="W32" i="3"/>
  <c r="X32" i="3" s="1"/>
  <c r="W37" i="3"/>
  <c r="X37" i="3" s="1"/>
  <c r="W48" i="3"/>
  <c r="X48" i="3" s="1"/>
  <c r="W53" i="3"/>
  <c r="X53" i="3" s="1"/>
  <c r="W64" i="3"/>
  <c r="X64" i="3" s="1"/>
  <c r="W69" i="3"/>
  <c r="X69" i="3" s="1"/>
  <c r="W80" i="3"/>
  <c r="X80" i="3" s="1"/>
  <c r="W85" i="3"/>
  <c r="X85" i="3" s="1"/>
  <c r="W96" i="3"/>
  <c r="X96" i="3" s="1"/>
  <c r="W101" i="3"/>
  <c r="X101" i="3" s="1"/>
  <c r="W112" i="3"/>
  <c r="X112" i="3" s="1"/>
  <c r="W117" i="3"/>
  <c r="X117" i="3" s="1"/>
  <c r="W128" i="3"/>
  <c r="X128" i="3" s="1"/>
  <c r="W133" i="3"/>
  <c r="X133" i="3" s="1"/>
  <c r="W144" i="3"/>
  <c r="X144" i="3" s="1"/>
  <c r="W149" i="3"/>
  <c r="X149" i="3" s="1"/>
  <c r="W160" i="3"/>
  <c r="X160" i="3" s="1"/>
  <c r="W165" i="3"/>
  <c r="X165" i="3" s="1"/>
  <c r="W176" i="3"/>
  <c r="X176" i="3" s="1"/>
  <c r="W190" i="3"/>
  <c r="X190" i="3" s="1"/>
  <c r="W206" i="3"/>
  <c r="X206" i="3" s="1"/>
  <c r="W222" i="3"/>
  <c r="X222" i="3" s="1"/>
  <c r="W238" i="3"/>
  <c r="X238" i="3" s="1"/>
  <c r="W254" i="3"/>
  <c r="X254" i="3" s="1"/>
  <c r="W270" i="3"/>
  <c r="X270" i="3" s="1"/>
  <c r="W302" i="3"/>
  <c r="X302" i="3" s="1"/>
  <c r="W317" i="3"/>
  <c r="X317" i="3" s="1"/>
  <c r="W320" i="3"/>
  <c r="X320" i="3" s="1"/>
  <c r="W327" i="3"/>
  <c r="X327" i="3" s="1"/>
  <c r="W361" i="3"/>
  <c r="X361" i="3" s="1"/>
  <c r="W371" i="3"/>
  <c r="X371" i="3" s="1"/>
  <c r="W381" i="3"/>
  <c r="X381" i="3" s="1"/>
  <c r="W384" i="3"/>
  <c r="X384" i="3" s="1"/>
  <c r="W400" i="3"/>
  <c r="X400" i="3" s="1"/>
  <c r="W429" i="3"/>
  <c r="X429" i="3" s="1"/>
  <c r="W449" i="3"/>
  <c r="X449" i="3" s="1"/>
  <c r="W452" i="3"/>
  <c r="X452" i="3" s="1"/>
  <c r="W484" i="3"/>
  <c r="X484" i="3" s="1"/>
  <c r="W662" i="3"/>
  <c r="X662" i="3" s="1"/>
  <c r="W710" i="3"/>
  <c r="X710" i="3" s="1"/>
  <c r="W65" i="3"/>
  <c r="X65" i="3" s="1"/>
  <c r="W76" i="3"/>
  <c r="X76" i="3" s="1"/>
  <c r="W81" i="3"/>
  <c r="X81" i="3" s="1"/>
  <c r="W97" i="3"/>
  <c r="X97" i="3" s="1"/>
  <c r="W108" i="3"/>
  <c r="X108" i="3" s="1"/>
  <c r="W124" i="3"/>
  <c r="X124" i="3" s="1"/>
  <c r="W140" i="3"/>
  <c r="X140" i="3" s="1"/>
  <c r="W156" i="3"/>
  <c r="X156" i="3" s="1"/>
  <c r="W172" i="3"/>
  <c r="X172" i="3" s="1"/>
  <c r="W193" i="3"/>
  <c r="X193" i="3" s="1"/>
  <c r="W200" i="3"/>
  <c r="X200" i="3" s="1"/>
  <c r="W204" i="3"/>
  <c r="X204" i="3" s="1"/>
  <c r="W209" i="3"/>
  <c r="X209" i="3" s="1"/>
  <c r="W216" i="3"/>
  <c r="X216" i="3" s="1"/>
  <c r="W220" i="3"/>
  <c r="X220" i="3" s="1"/>
  <c r="W225" i="3"/>
  <c r="X225" i="3" s="1"/>
  <c r="W232" i="3"/>
  <c r="X232" i="3" s="1"/>
  <c r="W236" i="3"/>
  <c r="X236" i="3" s="1"/>
  <c r="W241" i="3"/>
  <c r="X241" i="3" s="1"/>
  <c r="W248" i="3"/>
  <c r="X248" i="3" s="1"/>
  <c r="W252" i="3"/>
  <c r="X252" i="3" s="1"/>
  <c r="W257" i="3"/>
  <c r="X257" i="3" s="1"/>
  <c r="W264" i="3"/>
  <c r="X264" i="3" s="1"/>
  <c r="W268" i="3"/>
  <c r="X268" i="3" s="1"/>
  <c r="W294" i="3"/>
  <c r="X294" i="3" s="1"/>
  <c r="W345" i="3"/>
  <c r="X345" i="3" s="1"/>
  <c r="W355" i="3"/>
  <c r="X355" i="3" s="1"/>
  <c r="W365" i="3"/>
  <c r="X365" i="3" s="1"/>
  <c r="W368" i="3"/>
  <c r="X368" i="3" s="1"/>
  <c r="W375" i="3"/>
  <c r="X375" i="3" s="1"/>
  <c r="W397" i="3"/>
  <c r="X397" i="3" s="1"/>
  <c r="W421" i="3"/>
  <c r="X421" i="3" s="1"/>
  <c r="W424" i="3"/>
  <c r="X424" i="3" s="1"/>
  <c r="W436" i="3"/>
  <c r="X436" i="3" s="1"/>
  <c r="W441" i="3"/>
  <c r="X441" i="3" s="1"/>
  <c r="W471" i="3"/>
  <c r="X471" i="3" s="1"/>
  <c r="W481" i="3"/>
  <c r="X481" i="3" s="1"/>
  <c r="W492" i="3"/>
  <c r="X492" i="3" s="1"/>
  <c r="W571" i="3"/>
  <c r="X571" i="3" s="1"/>
  <c r="W579" i="3"/>
  <c r="X579" i="3" s="1"/>
  <c r="W587" i="3"/>
  <c r="X587" i="3" s="1"/>
  <c r="W60" i="3"/>
  <c r="X60" i="3" s="1"/>
  <c r="W92" i="3"/>
  <c r="X92" i="3" s="1"/>
  <c r="W113" i="3"/>
  <c r="X113" i="3" s="1"/>
  <c r="W129" i="3"/>
  <c r="X129" i="3" s="1"/>
  <c r="W145" i="3"/>
  <c r="X145" i="3" s="1"/>
  <c r="W161" i="3"/>
  <c r="X161" i="3" s="1"/>
  <c r="W177" i="3"/>
  <c r="X177" i="3" s="1"/>
  <c r="W184" i="3"/>
  <c r="X184" i="3" s="1"/>
  <c r="W188" i="3"/>
  <c r="X188" i="3" s="1"/>
  <c r="W4" i="3"/>
  <c r="X4" i="3" s="1"/>
  <c r="W8" i="3"/>
  <c r="X8" i="3" s="1"/>
  <c r="W13" i="3"/>
  <c r="X13" i="3" s="1"/>
  <c r="W24" i="3"/>
  <c r="X24" i="3" s="1"/>
  <c r="W29" i="3"/>
  <c r="X29" i="3" s="1"/>
  <c r="W40" i="3"/>
  <c r="X40" i="3" s="1"/>
  <c r="W45" i="3"/>
  <c r="X45" i="3" s="1"/>
  <c r="W56" i="3"/>
  <c r="X56" i="3" s="1"/>
  <c r="W61" i="3"/>
  <c r="X61" i="3" s="1"/>
  <c r="W72" i="3"/>
  <c r="X72" i="3" s="1"/>
  <c r="W77" i="3"/>
  <c r="X77" i="3" s="1"/>
  <c r="W88" i="3"/>
  <c r="X88" i="3" s="1"/>
  <c r="W93" i="3"/>
  <c r="X93" i="3" s="1"/>
  <c r="W104" i="3"/>
  <c r="X104" i="3" s="1"/>
  <c r="W109" i="3"/>
  <c r="X109" i="3" s="1"/>
  <c r="W120" i="3"/>
  <c r="X120" i="3" s="1"/>
  <c r="W125" i="3"/>
  <c r="X125" i="3" s="1"/>
  <c r="W136" i="3"/>
  <c r="X136" i="3" s="1"/>
  <c r="W141" i="3"/>
  <c r="X141" i="3" s="1"/>
  <c r="W152" i="3"/>
  <c r="X152" i="3" s="1"/>
  <c r="W157" i="3"/>
  <c r="X157" i="3" s="1"/>
  <c r="W168" i="3"/>
  <c r="X168" i="3" s="1"/>
  <c r="W173" i="3"/>
  <c r="X173" i="3" s="1"/>
  <c r="W182" i="3"/>
  <c r="X182" i="3" s="1"/>
  <c r="W198" i="3"/>
  <c r="X198" i="3" s="1"/>
  <c r="W214" i="3"/>
  <c r="X214" i="3" s="1"/>
  <c r="W230" i="3"/>
  <c r="X230" i="3" s="1"/>
  <c r="W246" i="3"/>
  <c r="X246" i="3" s="1"/>
  <c r="W262" i="3"/>
  <c r="X262" i="3" s="1"/>
  <c r="W286" i="3"/>
  <c r="X286" i="3" s="1"/>
  <c r="W329" i="3"/>
  <c r="X329" i="3" s="1"/>
  <c r="W339" i="3"/>
  <c r="X339" i="3" s="1"/>
  <c r="W349" i="3"/>
  <c r="X349" i="3" s="1"/>
  <c r="W352" i="3"/>
  <c r="X352" i="3" s="1"/>
  <c r="W359" i="3"/>
  <c r="X359" i="3" s="1"/>
  <c r="W389" i="3"/>
  <c r="X389" i="3" s="1"/>
  <c r="W392" i="3"/>
  <c r="X392" i="3" s="1"/>
  <c r="W404" i="3"/>
  <c r="X404" i="3" s="1"/>
  <c r="W409" i="3"/>
  <c r="X409" i="3" s="1"/>
  <c r="W427" i="3"/>
  <c r="X427" i="3" s="1"/>
  <c r="W431" i="3"/>
  <c r="X431" i="3" s="1"/>
  <c r="W445" i="3"/>
  <c r="X445" i="3" s="1"/>
  <c r="W489" i="3"/>
  <c r="X489" i="3" s="1"/>
  <c r="W500" i="3"/>
  <c r="X500" i="3" s="1"/>
  <c r="W504" i="3"/>
  <c r="X504" i="3" s="1"/>
  <c r="W724" i="3"/>
  <c r="X724" i="3" s="1"/>
  <c r="W273" i="3"/>
  <c r="X273" i="3" s="1"/>
  <c r="W280" i="3"/>
  <c r="X280" i="3" s="1"/>
  <c r="W284" i="3"/>
  <c r="X284" i="3" s="1"/>
  <c r="W289" i="3"/>
  <c r="X289" i="3" s="1"/>
  <c r="W296" i="3"/>
  <c r="X296" i="3" s="1"/>
  <c r="W300" i="3"/>
  <c r="X300" i="3" s="1"/>
  <c r="W305" i="3"/>
  <c r="X305" i="3" s="1"/>
  <c r="W312" i="3"/>
  <c r="X312" i="3" s="1"/>
  <c r="W315" i="3"/>
  <c r="X315" i="3" s="1"/>
  <c r="W321" i="3"/>
  <c r="X321" i="3" s="1"/>
  <c r="W335" i="3"/>
  <c r="X335" i="3" s="1"/>
  <c r="W341" i="3"/>
  <c r="X341" i="3" s="1"/>
  <c r="W344" i="3"/>
  <c r="X344" i="3" s="1"/>
  <c r="W347" i="3"/>
  <c r="X347" i="3" s="1"/>
  <c r="W353" i="3"/>
  <c r="X353" i="3" s="1"/>
  <c r="W367" i="3"/>
  <c r="X367" i="3" s="1"/>
  <c r="W373" i="3"/>
  <c r="X373" i="3" s="1"/>
  <c r="W376" i="3"/>
  <c r="X376" i="3" s="1"/>
  <c r="W379" i="3"/>
  <c r="X379" i="3" s="1"/>
  <c r="W385" i="3"/>
  <c r="X385" i="3" s="1"/>
  <c r="W387" i="3"/>
  <c r="X387" i="3" s="1"/>
  <c r="W405" i="3"/>
  <c r="X405" i="3" s="1"/>
  <c r="W407" i="3"/>
  <c r="X407" i="3" s="1"/>
  <c r="W415" i="3"/>
  <c r="X415" i="3" s="1"/>
  <c r="W423" i="3"/>
  <c r="X423" i="3" s="1"/>
  <c r="W428" i="3"/>
  <c r="X428" i="3" s="1"/>
  <c r="W435" i="3"/>
  <c r="X435" i="3" s="1"/>
  <c r="W440" i="3"/>
  <c r="X440" i="3" s="1"/>
  <c r="W443" i="3"/>
  <c r="X443" i="3" s="1"/>
  <c r="W448" i="3"/>
  <c r="X448" i="3" s="1"/>
  <c r="W451" i="3"/>
  <c r="X451" i="3" s="1"/>
  <c r="W456" i="3"/>
  <c r="X456" i="3" s="1"/>
  <c r="W459" i="3"/>
  <c r="X459" i="3" s="1"/>
  <c r="W464" i="3"/>
  <c r="X464" i="3" s="1"/>
  <c r="W477" i="3"/>
  <c r="X477" i="3" s="1"/>
  <c r="W479" i="3"/>
  <c r="X479" i="3" s="1"/>
  <c r="W485" i="3"/>
  <c r="X485" i="3" s="1"/>
  <c r="W487" i="3"/>
  <c r="X487" i="3" s="1"/>
  <c r="W493" i="3"/>
  <c r="X493" i="3" s="1"/>
  <c r="W495" i="3"/>
  <c r="X495" i="3" s="1"/>
  <c r="W501" i="3"/>
  <c r="X501" i="3" s="1"/>
  <c r="W576" i="3"/>
  <c r="X576" i="3" s="1"/>
  <c r="W584" i="3"/>
  <c r="X584" i="3" s="1"/>
  <c r="W599" i="3"/>
  <c r="X599" i="3" s="1"/>
  <c r="W636" i="3"/>
  <c r="X636" i="3" s="1"/>
  <c r="W733" i="3"/>
  <c r="X733" i="3" s="1"/>
  <c r="W744" i="3"/>
  <c r="X744" i="3" s="1"/>
  <c r="W457" i="3"/>
  <c r="X457" i="3" s="1"/>
  <c r="W460" i="3"/>
  <c r="X460" i="3" s="1"/>
  <c r="W465" i="3"/>
  <c r="X465" i="3" s="1"/>
  <c r="W467" i="3"/>
  <c r="X467" i="3" s="1"/>
  <c r="W472" i="3"/>
  <c r="X472" i="3" s="1"/>
  <c r="W508" i="3"/>
  <c r="X508" i="3" s="1"/>
  <c r="W513" i="3"/>
  <c r="X513" i="3" s="1"/>
  <c r="W516" i="3"/>
  <c r="X516" i="3" s="1"/>
  <c r="W521" i="3"/>
  <c r="X521" i="3" s="1"/>
  <c r="W524" i="3"/>
  <c r="X524" i="3" s="1"/>
  <c r="W529" i="3"/>
  <c r="X529" i="3" s="1"/>
  <c r="W535" i="3"/>
  <c r="X535" i="3" s="1"/>
  <c r="W569" i="3"/>
  <c r="X569" i="3" s="1"/>
  <c r="W606" i="3"/>
  <c r="X606" i="3" s="1"/>
  <c r="W633" i="3"/>
  <c r="X633" i="3" s="1"/>
  <c r="W676" i="3"/>
  <c r="X676" i="3" s="1"/>
  <c r="W684" i="3"/>
  <c r="X684" i="3" s="1"/>
  <c r="W692" i="3"/>
  <c r="X692" i="3" s="1"/>
  <c r="W704" i="3"/>
  <c r="X704" i="3" s="1"/>
  <c r="W718" i="3"/>
  <c r="X718" i="3" s="1"/>
  <c r="W722" i="3"/>
  <c r="X722" i="3" s="1"/>
  <c r="W741" i="3"/>
  <c r="X741" i="3" s="1"/>
  <c r="W272" i="3"/>
  <c r="X272" i="3" s="1"/>
  <c r="W276" i="3"/>
  <c r="X276" i="3" s="1"/>
  <c r="W281" i="3"/>
  <c r="X281" i="3" s="1"/>
  <c r="W288" i="3"/>
  <c r="X288" i="3" s="1"/>
  <c r="W292" i="3"/>
  <c r="X292" i="3" s="1"/>
  <c r="W297" i="3"/>
  <c r="X297" i="3" s="1"/>
  <c r="W304" i="3"/>
  <c r="X304" i="3" s="1"/>
  <c r="W308" i="3"/>
  <c r="X308" i="3" s="1"/>
  <c r="W319" i="3"/>
  <c r="X319" i="3" s="1"/>
  <c r="W325" i="3"/>
  <c r="X325" i="3" s="1"/>
  <c r="W328" i="3"/>
  <c r="X328" i="3" s="1"/>
  <c r="W331" i="3"/>
  <c r="X331" i="3" s="1"/>
  <c r="W337" i="3"/>
  <c r="X337" i="3" s="1"/>
  <c r="W351" i="3"/>
  <c r="X351" i="3" s="1"/>
  <c r="W357" i="3"/>
  <c r="X357" i="3" s="1"/>
  <c r="W360" i="3"/>
  <c r="X360" i="3" s="1"/>
  <c r="W363" i="3"/>
  <c r="X363" i="3" s="1"/>
  <c r="W369" i="3"/>
  <c r="X369" i="3" s="1"/>
  <c r="W383" i="3"/>
  <c r="X383" i="3" s="1"/>
  <c r="W391" i="3"/>
  <c r="X391" i="3" s="1"/>
  <c r="W396" i="3"/>
  <c r="X396" i="3" s="1"/>
  <c r="W403" i="3"/>
  <c r="X403" i="3" s="1"/>
  <c r="W408" i="3"/>
  <c r="X408" i="3" s="1"/>
  <c r="W411" i="3"/>
  <c r="X411" i="3" s="1"/>
  <c r="W417" i="3"/>
  <c r="X417" i="3" s="1"/>
  <c r="W419" i="3"/>
  <c r="X419" i="3" s="1"/>
  <c r="W437" i="3"/>
  <c r="X437" i="3" s="1"/>
  <c r="W439" i="3"/>
  <c r="X439" i="3" s="1"/>
  <c r="W447" i="3"/>
  <c r="X447" i="3" s="1"/>
  <c r="W453" i="3"/>
  <c r="X453" i="3" s="1"/>
  <c r="W455" i="3"/>
  <c r="X455" i="3" s="1"/>
  <c r="W461" i="3"/>
  <c r="X461" i="3" s="1"/>
  <c r="W463" i="3"/>
  <c r="X463" i="3" s="1"/>
  <c r="W468" i="3"/>
  <c r="X468" i="3" s="1"/>
  <c r="W473" i="3"/>
  <c r="X473" i="3" s="1"/>
  <c r="W475" i="3"/>
  <c r="X475" i="3" s="1"/>
  <c r="W480" i="3"/>
  <c r="X480" i="3" s="1"/>
  <c r="W483" i="3"/>
  <c r="X483" i="3" s="1"/>
  <c r="W499" i="3"/>
  <c r="X499" i="3" s="1"/>
  <c r="W503" i="3"/>
  <c r="X503" i="3" s="1"/>
  <c r="W536" i="3"/>
  <c r="X536" i="3" s="1"/>
  <c r="W590" i="3"/>
  <c r="X590" i="3" s="1"/>
  <c r="W665" i="3"/>
  <c r="X665" i="3" s="1"/>
  <c r="W673" i="3"/>
  <c r="X673" i="3" s="1"/>
  <c r="W681" i="3"/>
  <c r="X681" i="3" s="1"/>
  <c r="W689" i="3"/>
  <c r="X689" i="3" s="1"/>
  <c r="W773" i="3"/>
  <c r="X773" i="3" s="1"/>
  <c r="W505" i="3"/>
  <c r="X505" i="3" s="1"/>
  <c r="W507" i="3"/>
  <c r="X507" i="3" s="1"/>
  <c r="W512" i="3"/>
  <c r="X512" i="3" s="1"/>
  <c r="W515" i="3"/>
  <c r="X515" i="3" s="1"/>
  <c r="W520" i="3"/>
  <c r="X520" i="3" s="1"/>
  <c r="W523" i="3"/>
  <c r="X523" i="3" s="1"/>
  <c r="W528" i="3"/>
  <c r="X528" i="3" s="1"/>
  <c r="W531" i="3"/>
  <c r="X531" i="3" s="1"/>
  <c r="W563" i="3"/>
  <c r="X563" i="3" s="1"/>
  <c r="W572" i="3"/>
  <c r="X572" i="3" s="1"/>
  <c r="W577" i="3"/>
  <c r="X577" i="3" s="1"/>
  <c r="W580" i="3"/>
  <c r="X580" i="3" s="1"/>
  <c r="W585" i="3"/>
  <c r="X585" i="3" s="1"/>
  <c r="W588" i="3"/>
  <c r="X588" i="3" s="1"/>
  <c r="W594" i="3"/>
  <c r="X594" i="3" s="1"/>
  <c r="W604" i="3"/>
  <c r="X604" i="3" s="1"/>
  <c r="W614" i="3"/>
  <c r="X614" i="3" s="1"/>
  <c r="W626" i="3"/>
  <c r="X626" i="3" s="1"/>
  <c r="W631" i="3"/>
  <c r="X631" i="3" s="1"/>
  <c r="W634" i="3"/>
  <c r="X634" i="3" s="1"/>
  <c r="W666" i="3"/>
  <c r="X666" i="3" s="1"/>
  <c r="W674" i="3"/>
  <c r="X674" i="3" s="1"/>
  <c r="W677" i="3"/>
  <c r="X677" i="3" s="1"/>
  <c r="W682" i="3"/>
  <c r="X682" i="3" s="1"/>
  <c r="W685" i="3"/>
  <c r="X685" i="3" s="1"/>
  <c r="W690" i="3"/>
  <c r="X690" i="3" s="1"/>
  <c r="W696" i="3"/>
  <c r="X696" i="3" s="1"/>
  <c r="W702" i="3"/>
  <c r="X702" i="3" s="1"/>
  <c r="W713" i="3"/>
  <c r="X713" i="3" s="1"/>
  <c r="W716" i="3"/>
  <c r="X716" i="3" s="1"/>
  <c r="W728" i="3"/>
  <c r="X728" i="3" s="1"/>
  <c r="W734" i="3"/>
  <c r="X734" i="3" s="1"/>
  <c r="W736" i="3"/>
  <c r="X736" i="3" s="1"/>
  <c r="W742" i="3"/>
  <c r="X742" i="3" s="1"/>
  <c r="W745" i="3"/>
  <c r="X745" i="3" s="1"/>
  <c r="W748" i="3"/>
  <c r="X748" i="3" s="1"/>
  <c r="W752" i="3"/>
  <c r="X752" i="3" s="1"/>
  <c r="W761" i="3"/>
  <c r="X761" i="3" s="1"/>
  <c r="W780" i="3"/>
  <c r="X780" i="3" s="1"/>
  <c r="W784" i="3"/>
  <c r="X784" i="3" s="1"/>
  <c r="W793" i="3"/>
  <c r="X793" i="3" s="1"/>
  <c r="W540" i="3"/>
  <c r="X540" i="3" s="1"/>
  <c r="W545" i="3"/>
  <c r="X545" i="3" s="1"/>
  <c r="W548" i="3"/>
  <c r="X548" i="3" s="1"/>
  <c r="W553" i="3"/>
  <c r="X553" i="3" s="1"/>
  <c r="W556" i="3"/>
  <c r="X556" i="3" s="1"/>
  <c r="W561" i="3"/>
  <c r="X561" i="3" s="1"/>
  <c r="W564" i="3"/>
  <c r="X564" i="3" s="1"/>
  <c r="W567" i="3"/>
  <c r="X567" i="3" s="1"/>
  <c r="W602" i="3"/>
  <c r="X602" i="3" s="1"/>
  <c r="W618" i="3"/>
  <c r="X618" i="3" s="1"/>
  <c r="W642" i="3"/>
  <c r="X642" i="3" s="1"/>
  <c r="W645" i="3"/>
  <c r="X645" i="3" s="1"/>
  <c r="W650" i="3"/>
  <c r="X650" i="3" s="1"/>
  <c r="W653" i="3"/>
  <c r="X653" i="3" s="1"/>
  <c r="W658" i="3"/>
  <c r="X658" i="3" s="1"/>
  <c r="W694" i="3"/>
  <c r="X694" i="3" s="1"/>
  <c r="W705" i="3"/>
  <c r="X705" i="3" s="1"/>
  <c r="W708" i="3"/>
  <c r="X708" i="3" s="1"/>
  <c r="W720" i="3"/>
  <c r="X720" i="3" s="1"/>
  <c r="W729" i="3"/>
  <c r="X729" i="3" s="1"/>
  <c r="W746" i="3"/>
  <c r="X746" i="3" s="1"/>
  <c r="W757" i="3"/>
  <c r="X757" i="3" s="1"/>
  <c r="W789" i="3"/>
  <c r="X789" i="3" s="1"/>
  <c r="W488" i="3"/>
  <c r="X488" i="3" s="1"/>
  <c r="W491" i="3"/>
  <c r="X491" i="3" s="1"/>
  <c r="W496" i="3"/>
  <c r="X496" i="3" s="1"/>
  <c r="W509" i="3"/>
  <c r="X509" i="3" s="1"/>
  <c r="W533" i="3"/>
  <c r="X533" i="3" s="1"/>
  <c r="W541" i="3"/>
  <c r="X541" i="3" s="1"/>
  <c r="W543" i="3"/>
  <c r="X543" i="3" s="1"/>
  <c r="W549" i="3"/>
  <c r="X549" i="3" s="1"/>
  <c r="W551" i="3"/>
  <c r="X551" i="3" s="1"/>
  <c r="W557" i="3"/>
  <c r="X557" i="3" s="1"/>
  <c r="W559" i="3"/>
  <c r="X559" i="3" s="1"/>
  <c r="W565" i="3"/>
  <c r="X565" i="3" s="1"/>
  <c r="W568" i="3"/>
  <c r="X568" i="3" s="1"/>
  <c r="W598" i="3"/>
  <c r="X598" i="3" s="1"/>
  <c r="W630" i="3"/>
  <c r="X630" i="3" s="1"/>
  <c r="W638" i="3"/>
  <c r="X638" i="3" s="1"/>
  <c r="W640" i="3"/>
  <c r="X640" i="3" s="1"/>
  <c r="W646" i="3"/>
  <c r="X646" i="3" s="1"/>
  <c r="W648" i="3"/>
  <c r="X648" i="3" s="1"/>
  <c r="W654" i="3"/>
  <c r="X654" i="3" s="1"/>
  <c r="W656" i="3"/>
  <c r="X656" i="3" s="1"/>
  <c r="W664" i="3"/>
  <c r="X664" i="3" s="1"/>
  <c r="W668" i="3"/>
  <c r="X668" i="3" s="1"/>
  <c r="W697" i="3"/>
  <c r="X697" i="3" s="1"/>
  <c r="W700" i="3"/>
  <c r="X700" i="3" s="1"/>
  <c r="W712" i="3"/>
  <c r="X712" i="3" s="1"/>
  <c r="W721" i="3"/>
  <c r="X721" i="3" s="1"/>
  <c r="W726" i="3"/>
  <c r="X726" i="3" s="1"/>
  <c r="W740" i="3"/>
  <c r="X740" i="3" s="1"/>
  <c r="W764" i="3"/>
  <c r="X764" i="3" s="1"/>
  <c r="W768" i="3"/>
  <c r="X768" i="3" s="1"/>
  <c r="W777" i="3"/>
  <c r="X777" i="3" s="1"/>
  <c r="W796" i="3"/>
  <c r="X796" i="3" s="1"/>
  <c r="W800" i="3"/>
  <c r="X800" i="3" s="1"/>
  <c r="W511" i="3"/>
  <c r="X511" i="3" s="1"/>
  <c r="W517" i="3"/>
  <c r="X517" i="3" s="1"/>
  <c r="W519" i="3"/>
  <c r="X519" i="3" s="1"/>
  <c r="W525" i="3"/>
  <c r="X525" i="3" s="1"/>
  <c r="W527" i="3"/>
  <c r="X527" i="3" s="1"/>
  <c r="W532" i="3"/>
  <c r="X532" i="3" s="1"/>
  <c r="W537" i="3"/>
  <c r="X537" i="3" s="1"/>
  <c r="W539" i="3"/>
  <c r="X539" i="3" s="1"/>
  <c r="W544" i="3"/>
  <c r="X544" i="3" s="1"/>
  <c r="W547" i="3"/>
  <c r="X547" i="3" s="1"/>
  <c r="W552" i="3"/>
  <c r="X552" i="3" s="1"/>
  <c r="W555" i="3"/>
  <c r="X555" i="3" s="1"/>
  <c r="W560" i="3"/>
  <c r="X560" i="3" s="1"/>
  <c r="W573" i="3"/>
  <c r="X573" i="3" s="1"/>
  <c r="W575" i="3"/>
  <c r="X575" i="3" s="1"/>
  <c r="W581" i="3"/>
  <c r="X581" i="3" s="1"/>
  <c r="W583" i="3"/>
  <c r="X583" i="3" s="1"/>
  <c r="W589" i="3"/>
  <c r="X589" i="3" s="1"/>
  <c r="W610" i="3"/>
  <c r="X610" i="3" s="1"/>
  <c r="W622" i="3"/>
  <c r="X622" i="3" s="1"/>
  <c r="W632" i="3"/>
  <c r="X632" i="3" s="1"/>
  <c r="W641" i="3"/>
  <c r="X641" i="3" s="1"/>
  <c r="W644" i="3"/>
  <c r="X644" i="3" s="1"/>
  <c r="W649" i="3"/>
  <c r="X649" i="3" s="1"/>
  <c r="W652" i="3"/>
  <c r="X652" i="3" s="1"/>
  <c r="W657" i="3"/>
  <c r="X657" i="3" s="1"/>
  <c r="W660" i="3"/>
  <c r="X660" i="3" s="1"/>
  <c r="W670" i="3"/>
  <c r="X670" i="3" s="1"/>
  <c r="W672" i="3"/>
  <c r="X672" i="3" s="1"/>
  <c r="W678" i="3"/>
  <c r="X678" i="3" s="1"/>
  <c r="W680" i="3"/>
  <c r="X680" i="3" s="1"/>
  <c r="W686" i="3"/>
  <c r="X686" i="3" s="1"/>
  <c r="W688" i="3"/>
  <c r="X688" i="3" s="1"/>
  <c r="W698" i="3"/>
  <c r="X698" i="3" s="1"/>
  <c r="W701" i="3"/>
  <c r="X701" i="3" s="1"/>
  <c r="W706" i="3"/>
  <c r="X706" i="3" s="1"/>
  <c r="W709" i="3"/>
  <c r="X709" i="3" s="1"/>
  <c r="W714" i="3"/>
  <c r="X714" i="3" s="1"/>
  <c r="W732" i="3"/>
  <c r="X732" i="3" s="1"/>
  <c r="W737" i="3"/>
  <c r="X737" i="3" s="1"/>
  <c r="W756" i="3"/>
  <c r="X756" i="3" s="1"/>
  <c r="W760" i="3"/>
  <c r="X760" i="3" s="1"/>
  <c r="W772" i="3"/>
  <c r="X772" i="3" s="1"/>
  <c r="W776" i="3"/>
  <c r="X776" i="3" s="1"/>
  <c r="W788" i="3"/>
  <c r="X788" i="3" s="1"/>
  <c r="W792" i="3"/>
  <c r="X792" i="3" s="1"/>
  <c r="B6" i="2"/>
  <c r="U800" i="3"/>
  <c r="U799" i="3"/>
  <c r="U798" i="3"/>
  <c r="U797" i="3"/>
  <c r="U796" i="3"/>
  <c r="U795" i="3"/>
  <c r="U794" i="3"/>
  <c r="U793" i="3"/>
  <c r="U792" i="3"/>
  <c r="U791" i="3"/>
  <c r="U790" i="3"/>
  <c r="U789" i="3"/>
  <c r="U788" i="3"/>
  <c r="U787" i="3"/>
  <c r="U786" i="3"/>
  <c r="U785" i="3"/>
  <c r="U784" i="3"/>
  <c r="U783" i="3"/>
  <c r="U782" i="3"/>
  <c r="U781" i="3"/>
  <c r="U780" i="3"/>
  <c r="U779" i="3"/>
  <c r="U778" i="3"/>
  <c r="U777" i="3"/>
  <c r="U776" i="3"/>
  <c r="U775" i="3"/>
  <c r="U774" i="3"/>
  <c r="U773" i="3"/>
  <c r="U772" i="3"/>
  <c r="U771" i="3"/>
  <c r="U770" i="3"/>
  <c r="U769" i="3"/>
  <c r="U768" i="3"/>
  <c r="U767" i="3"/>
  <c r="U766" i="3"/>
  <c r="U765" i="3"/>
  <c r="U764" i="3"/>
  <c r="U763" i="3"/>
  <c r="U762" i="3"/>
  <c r="U761" i="3"/>
  <c r="U760" i="3"/>
  <c r="U759" i="3"/>
  <c r="U758" i="3"/>
  <c r="U757" i="3"/>
  <c r="U756" i="3"/>
  <c r="U755" i="3"/>
  <c r="U754" i="3"/>
  <c r="U753" i="3"/>
  <c r="U752" i="3"/>
  <c r="U751" i="3"/>
  <c r="U750" i="3"/>
  <c r="U749" i="3"/>
  <c r="U748" i="3"/>
  <c r="U747" i="3"/>
  <c r="U746" i="3"/>
  <c r="U745" i="3"/>
  <c r="U744" i="3"/>
  <c r="U743" i="3"/>
  <c r="U742" i="3"/>
  <c r="U741" i="3"/>
  <c r="U740" i="3"/>
  <c r="U739" i="3"/>
  <c r="U738" i="3"/>
  <c r="U737" i="3"/>
  <c r="U736" i="3"/>
  <c r="U735" i="3"/>
  <c r="U734" i="3"/>
  <c r="U733" i="3"/>
  <c r="U732" i="3"/>
  <c r="U731" i="3"/>
  <c r="U730" i="3"/>
  <c r="U729" i="3"/>
  <c r="U728" i="3"/>
  <c r="U727" i="3"/>
  <c r="U726" i="3"/>
  <c r="U725" i="3"/>
  <c r="U724" i="3"/>
  <c r="U723" i="3"/>
  <c r="U722" i="3"/>
  <c r="U721" i="3"/>
  <c r="U720" i="3"/>
  <c r="U719" i="3"/>
  <c r="U718" i="3"/>
  <c r="U717" i="3"/>
  <c r="U716" i="3"/>
  <c r="U715" i="3"/>
  <c r="U714" i="3"/>
  <c r="U713" i="3"/>
  <c r="U712" i="3"/>
  <c r="U711" i="3"/>
  <c r="U710" i="3"/>
  <c r="U709" i="3"/>
  <c r="U708" i="3"/>
  <c r="U707" i="3"/>
  <c r="U706" i="3"/>
  <c r="U705" i="3"/>
  <c r="U704" i="3"/>
  <c r="U703" i="3"/>
  <c r="U702" i="3"/>
  <c r="U701" i="3"/>
  <c r="U700" i="3"/>
  <c r="U699" i="3"/>
  <c r="U698" i="3"/>
  <c r="U697" i="3"/>
  <c r="U696" i="3"/>
  <c r="U695" i="3"/>
  <c r="U694" i="3"/>
  <c r="U693" i="3"/>
  <c r="U692" i="3"/>
  <c r="U691" i="3"/>
  <c r="U690" i="3"/>
  <c r="U689" i="3"/>
  <c r="U688" i="3"/>
  <c r="U687" i="3"/>
  <c r="U686" i="3"/>
  <c r="U685" i="3"/>
  <c r="U684" i="3"/>
  <c r="U683" i="3"/>
  <c r="U682" i="3"/>
  <c r="U681" i="3"/>
  <c r="U680" i="3"/>
  <c r="U679" i="3"/>
  <c r="U678" i="3"/>
  <c r="U677" i="3"/>
  <c r="U676" i="3"/>
  <c r="U675" i="3"/>
  <c r="U674" i="3"/>
  <c r="U673" i="3"/>
  <c r="U672" i="3"/>
  <c r="U671" i="3"/>
  <c r="U670" i="3"/>
  <c r="U669" i="3"/>
  <c r="U668" i="3"/>
  <c r="U667" i="3"/>
  <c r="U666" i="3"/>
  <c r="U665" i="3"/>
  <c r="U664" i="3"/>
  <c r="U663" i="3"/>
  <c r="U662" i="3"/>
  <c r="U661" i="3"/>
  <c r="U660" i="3"/>
  <c r="U659" i="3"/>
  <c r="U658" i="3"/>
  <c r="U657" i="3"/>
  <c r="U656" i="3"/>
  <c r="U655" i="3"/>
  <c r="U654" i="3"/>
  <c r="U653" i="3"/>
  <c r="U652" i="3"/>
  <c r="U651" i="3"/>
  <c r="U650" i="3"/>
  <c r="U649" i="3"/>
  <c r="U648" i="3"/>
  <c r="U647" i="3"/>
  <c r="U646" i="3"/>
  <c r="U645" i="3"/>
  <c r="U644" i="3"/>
  <c r="U643" i="3"/>
  <c r="U642" i="3"/>
  <c r="U641" i="3"/>
  <c r="U640" i="3"/>
  <c r="U639" i="3"/>
  <c r="U638" i="3"/>
  <c r="U637" i="3"/>
  <c r="U636" i="3"/>
  <c r="U635" i="3"/>
  <c r="U634" i="3"/>
  <c r="U633" i="3"/>
  <c r="U632" i="3"/>
  <c r="U631" i="3"/>
  <c r="U630" i="3"/>
  <c r="U629" i="3"/>
  <c r="U628" i="3"/>
  <c r="U627" i="3"/>
  <c r="U626" i="3"/>
  <c r="U625" i="3"/>
  <c r="U624" i="3"/>
  <c r="U623" i="3"/>
  <c r="U622" i="3"/>
  <c r="U621" i="3"/>
  <c r="U620" i="3"/>
  <c r="U619" i="3"/>
  <c r="U618" i="3"/>
  <c r="U617" i="3"/>
  <c r="U616" i="3"/>
  <c r="U615" i="3"/>
  <c r="U614" i="3"/>
  <c r="U613" i="3"/>
  <c r="U612" i="3"/>
  <c r="U611" i="3"/>
  <c r="U610" i="3"/>
  <c r="U609" i="3"/>
  <c r="U608" i="3"/>
  <c r="U607" i="3"/>
  <c r="U606" i="3"/>
  <c r="U605" i="3"/>
  <c r="U604" i="3"/>
  <c r="U603" i="3"/>
  <c r="U602" i="3"/>
  <c r="U601" i="3"/>
  <c r="U600" i="3"/>
  <c r="U599" i="3"/>
  <c r="U598" i="3"/>
  <c r="U597" i="3"/>
  <c r="U596" i="3"/>
  <c r="U595" i="3"/>
  <c r="U594" i="3"/>
  <c r="U593" i="3"/>
  <c r="U592" i="3"/>
  <c r="U591" i="3"/>
  <c r="U590" i="3"/>
  <c r="U589" i="3"/>
  <c r="U588" i="3"/>
  <c r="U587" i="3"/>
  <c r="U586" i="3"/>
  <c r="U585" i="3"/>
  <c r="U584" i="3"/>
  <c r="U583" i="3"/>
  <c r="U582" i="3"/>
  <c r="U581" i="3"/>
  <c r="U580" i="3"/>
  <c r="U579" i="3"/>
  <c r="U578" i="3"/>
  <c r="U577" i="3"/>
  <c r="U576" i="3"/>
  <c r="U575" i="3"/>
  <c r="U574" i="3"/>
  <c r="U573" i="3"/>
  <c r="U572" i="3"/>
  <c r="U571" i="3"/>
  <c r="U570" i="3"/>
  <c r="U569" i="3"/>
  <c r="U568" i="3"/>
  <c r="U567" i="3"/>
  <c r="U566" i="3"/>
  <c r="U565" i="3"/>
  <c r="U564" i="3"/>
  <c r="U563" i="3"/>
  <c r="U562" i="3"/>
  <c r="U561" i="3"/>
  <c r="U560" i="3"/>
  <c r="U559" i="3"/>
  <c r="U558" i="3"/>
  <c r="U557" i="3"/>
  <c r="U556" i="3"/>
  <c r="U555" i="3"/>
  <c r="U554" i="3"/>
  <c r="U553" i="3"/>
  <c r="U552" i="3"/>
  <c r="U551" i="3"/>
  <c r="U550" i="3"/>
  <c r="U549" i="3"/>
  <c r="U548" i="3"/>
  <c r="U547" i="3"/>
  <c r="U546" i="3"/>
  <c r="U545" i="3"/>
  <c r="U544" i="3"/>
  <c r="U543" i="3"/>
  <c r="U542" i="3"/>
  <c r="U541" i="3"/>
  <c r="U540" i="3"/>
  <c r="U539" i="3"/>
  <c r="U538" i="3"/>
  <c r="U537" i="3"/>
  <c r="U536" i="3"/>
  <c r="U535" i="3"/>
  <c r="U534" i="3"/>
  <c r="U533" i="3"/>
  <c r="U532" i="3"/>
  <c r="U531" i="3"/>
  <c r="U530" i="3"/>
  <c r="U529" i="3"/>
  <c r="U528" i="3"/>
  <c r="U527" i="3"/>
  <c r="U526" i="3"/>
  <c r="U525" i="3"/>
  <c r="U524" i="3"/>
  <c r="U523" i="3"/>
  <c r="U522" i="3"/>
  <c r="U521" i="3"/>
  <c r="U520" i="3"/>
  <c r="U519" i="3"/>
  <c r="U518" i="3"/>
  <c r="U517" i="3"/>
  <c r="U516" i="3"/>
  <c r="U515" i="3"/>
  <c r="U514" i="3"/>
  <c r="U513" i="3"/>
  <c r="U512" i="3"/>
  <c r="U511" i="3"/>
  <c r="U510" i="3"/>
  <c r="U509" i="3"/>
  <c r="U508" i="3"/>
  <c r="U507" i="3"/>
  <c r="U506" i="3"/>
  <c r="U505" i="3"/>
  <c r="U504" i="3"/>
  <c r="U503" i="3"/>
  <c r="U502" i="3"/>
  <c r="U501" i="3"/>
  <c r="U500" i="3"/>
  <c r="U499" i="3"/>
  <c r="U498" i="3"/>
  <c r="U497" i="3"/>
  <c r="U496" i="3"/>
  <c r="U495" i="3"/>
  <c r="U494" i="3"/>
  <c r="U493" i="3"/>
  <c r="U492" i="3"/>
  <c r="U491" i="3"/>
  <c r="U490" i="3"/>
  <c r="U489" i="3"/>
  <c r="U488" i="3"/>
  <c r="U487" i="3"/>
  <c r="U486" i="3"/>
  <c r="U485" i="3"/>
  <c r="U484" i="3"/>
  <c r="U483" i="3"/>
  <c r="U482" i="3"/>
  <c r="U481" i="3"/>
  <c r="U480" i="3"/>
  <c r="U479" i="3"/>
  <c r="U478" i="3"/>
  <c r="U477" i="3"/>
  <c r="U476" i="3"/>
  <c r="U475" i="3"/>
  <c r="U474" i="3"/>
  <c r="U473" i="3"/>
  <c r="U472" i="3"/>
  <c r="U471" i="3"/>
  <c r="U470" i="3"/>
  <c r="U469" i="3"/>
  <c r="U468" i="3"/>
  <c r="U467" i="3"/>
  <c r="U466" i="3"/>
  <c r="U465" i="3"/>
  <c r="U464" i="3"/>
  <c r="U463" i="3"/>
  <c r="U462" i="3"/>
  <c r="U461" i="3"/>
  <c r="U460" i="3"/>
  <c r="U459" i="3"/>
  <c r="U458" i="3"/>
  <c r="U457" i="3"/>
  <c r="U456" i="3"/>
  <c r="U455" i="3"/>
  <c r="U454" i="3"/>
  <c r="U453" i="3"/>
  <c r="U452" i="3"/>
  <c r="U451" i="3"/>
  <c r="U450" i="3"/>
  <c r="U449" i="3"/>
  <c r="U448" i="3"/>
  <c r="U447" i="3"/>
  <c r="U446" i="3"/>
  <c r="U445" i="3"/>
  <c r="U444" i="3"/>
  <c r="U443" i="3"/>
  <c r="U442" i="3"/>
  <c r="U441" i="3"/>
  <c r="U440" i="3"/>
  <c r="U439" i="3"/>
  <c r="U438" i="3"/>
  <c r="U437" i="3"/>
  <c r="U436" i="3"/>
  <c r="U435" i="3"/>
  <c r="U434" i="3"/>
  <c r="U433" i="3"/>
  <c r="U432" i="3"/>
  <c r="U431" i="3"/>
  <c r="U430" i="3"/>
  <c r="U429" i="3"/>
  <c r="U428" i="3"/>
  <c r="U427" i="3"/>
  <c r="U426" i="3"/>
  <c r="U425" i="3"/>
  <c r="U424" i="3"/>
  <c r="U423" i="3"/>
  <c r="U422" i="3"/>
  <c r="U421" i="3"/>
  <c r="U420" i="3"/>
  <c r="U419" i="3"/>
  <c r="U418" i="3"/>
  <c r="U417" i="3"/>
  <c r="U416" i="3"/>
  <c r="U415" i="3"/>
  <c r="U414" i="3"/>
  <c r="U413" i="3"/>
  <c r="U412" i="3"/>
  <c r="U411" i="3"/>
  <c r="U410" i="3"/>
  <c r="U409" i="3"/>
  <c r="U408" i="3"/>
  <c r="U407" i="3"/>
  <c r="U406" i="3"/>
  <c r="U405" i="3"/>
  <c r="U404" i="3"/>
  <c r="U403" i="3"/>
  <c r="U402" i="3"/>
  <c r="U401" i="3"/>
  <c r="U400" i="3"/>
  <c r="U399" i="3"/>
  <c r="U398" i="3"/>
  <c r="U397" i="3"/>
  <c r="U396" i="3"/>
  <c r="U395" i="3"/>
  <c r="U394" i="3"/>
  <c r="U393" i="3"/>
  <c r="U392" i="3"/>
  <c r="U391" i="3"/>
  <c r="U390" i="3"/>
  <c r="U389" i="3"/>
  <c r="U388" i="3"/>
  <c r="U387" i="3"/>
  <c r="U386" i="3"/>
  <c r="U385" i="3"/>
  <c r="U384" i="3"/>
  <c r="U383" i="3"/>
  <c r="U382" i="3"/>
  <c r="U381" i="3"/>
  <c r="U380" i="3"/>
  <c r="U379" i="3"/>
  <c r="U378" i="3"/>
  <c r="U377" i="3"/>
  <c r="U376" i="3"/>
  <c r="U375" i="3"/>
  <c r="U374" i="3"/>
  <c r="U373" i="3"/>
  <c r="U372" i="3"/>
  <c r="U371" i="3"/>
  <c r="U370" i="3"/>
  <c r="U369" i="3"/>
  <c r="U368" i="3"/>
  <c r="U367" i="3"/>
  <c r="U366" i="3"/>
  <c r="U365" i="3"/>
  <c r="U364" i="3"/>
  <c r="U363" i="3"/>
  <c r="U362" i="3"/>
  <c r="U361" i="3"/>
  <c r="U360" i="3"/>
  <c r="U359" i="3"/>
  <c r="U358" i="3"/>
  <c r="U357" i="3"/>
  <c r="U356" i="3"/>
  <c r="U355" i="3"/>
  <c r="U354" i="3"/>
  <c r="U353" i="3"/>
  <c r="U352" i="3"/>
  <c r="U351" i="3"/>
  <c r="U350" i="3"/>
  <c r="U349" i="3"/>
  <c r="U348" i="3"/>
  <c r="U347" i="3"/>
  <c r="U346" i="3"/>
  <c r="U345" i="3"/>
  <c r="U344" i="3"/>
  <c r="U343" i="3"/>
  <c r="U342" i="3"/>
  <c r="U341" i="3"/>
  <c r="U340" i="3"/>
  <c r="U339" i="3"/>
  <c r="U338" i="3"/>
  <c r="U337" i="3"/>
  <c r="U336" i="3"/>
  <c r="U335" i="3"/>
  <c r="U334" i="3"/>
  <c r="U333" i="3"/>
  <c r="U332" i="3"/>
  <c r="U331" i="3"/>
  <c r="U330" i="3"/>
  <c r="U329" i="3"/>
  <c r="U328" i="3"/>
  <c r="U327" i="3"/>
  <c r="U326" i="3"/>
  <c r="U325" i="3"/>
  <c r="U324" i="3"/>
  <c r="U323" i="3"/>
  <c r="U322" i="3"/>
  <c r="U321" i="3"/>
  <c r="U320" i="3"/>
  <c r="U319" i="3"/>
  <c r="U318" i="3"/>
  <c r="U317" i="3"/>
  <c r="U316" i="3"/>
  <c r="U315" i="3"/>
  <c r="U314" i="3"/>
  <c r="U313" i="3"/>
  <c r="U312" i="3"/>
  <c r="U311" i="3"/>
  <c r="U310" i="3"/>
  <c r="U309" i="3"/>
  <c r="U308" i="3"/>
  <c r="U307" i="3"/>
  <c r="U306" i="3"/>
  <c r="U305" i="3"/>
  <c r="U304" i="3"/>
  <c r="U303" i="3"/>
  <c r="U302" i="3"/>
  <c r="U301" i="3"/>
  <c r="U300" i="3"/>
  <c r="U299" i="3"/>
  <c r="U298" i="3"/>
  <c r="U297" i="3"/>
  <c r="U296" i="3"/>
  <c r="U295" i="3"/>
  <c r="U294" i="3"/>
  <c r="U293" i="3"/>
  <c r="U292" i="3"/>
  <c r="U291" i="3"/>
  <c r="U290" i="3"/>
  <c r="U289" i="3"/>
  <c r="U288" i="3"/>
  <c r="U287" i="3"/>
  <c r="U286" i="3"/>
  <c r="U285" i="3"/>
  <c r="U284" i="3"/>
  <c r="U283" i="3"/>
  <c r="U282" i="3"/>
  <c r="U281" i="3"/>
  <c r="U280" i="3"/>
  <c r="U279" i="3"/>
  <c r="U278" i="3"/>
  <c r="U277" i="3"/>
  <c r="U276" i="3"/>
  <c r="U275" i="3"/>
  <c r="U274" i="3"/>
  <c r="U273" i="3"/>
  <c r="U272" i="3"/>
  <c r="U271" i="3"/>
  <c r="U270" i="3"/>
  <c r="U269" i="3"/>
  <c r="U268" i="3"/>
  <c r="U267" i="3"/>
  <c r="U266" i="3"/>
  <c r="U265" i="3"/>
  <c r="U264" i="3"/>
  <c r="U263" i="3"/>
  <c r="U262" i="3"/>
  <c r="U261" i="3"/>
  <c r="U260" i="3"/>
  <c r="U259" i="3"/>
  <c r="U258" i="3"/>
  <c r="U257" i="3"/>
  <c r="U256" i="3"/>
  <c r="U255" i="3"/>
  <c r="U254" i="3"/>
  <c r="U253" i="3"/>
  <c r="U252" i="3"/>
  <c r="U251" i="3"/>
  <c r="U250" i="3"/>
  <c r="U249" i="3"/>
  <c r="U248" i="3"/>
  <c r="U247" i="3"/>
  <c r="U246" i="3"/>
  <c r="U245" i="3"/>
  <c r="U244" i="3"/>
  <c r="U243" i="3"/>
  <c r="U242" i="3"/>
  <c r="U241" i="3"/>
  <c r="U240" i="3"/>
  <c r="U239" i="3"/>
  <c r="U238" i="3"/>
  <c r="U237" i="3"/>
  <c r="U236" i="3"/>
  <c r="U235" i="3"/>
  <c r="U234" i="3"/>
  <c r="U233" i="3"/>
  <c r="U232" i="3"/>
  <c r="U231" i="3"/>
  <c r="U230" i="3"/>
  <c r="U229" i="3"/>
  <c r="U228" i="3"/>
  <c r="U227" i="3"/>
  <c r="U226" i="3"/>
  <c r="U225" i="3"/>
  <c r="U224" i="3"/>
  <c r="U223" i="3"/>
  <c r="U222" i="3"/>
  <c r="U221" i="3"/>
  <c r="U220" i="3"/>
  <c r="U219" i="3"/>
  <c r="U218" i="3"/>
  <c r="U217" i="3"/>
  <c r="U216" i="3"/>
  <c r="U215" i="3"/>
  <c r="U214" i="3"/>
  <c r="U213" i="3"/>
  <c r="U212" i="3"/>
  <c r="U211" i="3"/>
  <c r="U210" i="3"/>
  <c r="U209" i="3"/>
  <c r="U208" i="3"/>
  <c r="U207" i="3"/>
  <c r="U206" i="3"/>
  <c r="U205" i="3"/>
  <c r="U204" i="3"/>
  <c r="U203" i="3"/>
  <c r="U202" i="3"/>
  <c r="U201" i="3"/>
  <c r="U200" i="3"/>
  <c r="U199" i="3"/>
  <c r="U198" i="3"/>
  <c r="U197" i="3"/>
  <c r="U196" i="3"/>
  <c r="U195" i="3"/>
  <c r="U194" i="3"/>
  <c r="U193" i="3"/>
  <c r="U192" i="3"/>
  <c r="U191" i="3"/>
  <c r="U190" i="3"/>
  <c r="U189" i="3"/>
  <c r="U188" i="3"/>
  <c r="U187" i="3"/>
  <c r="U186" i="3"/>
  <c r="U185" i="3"/>
  <c r="U184" i="3"/>
  <c r="U183" i="3"/>
  <c r="U182" i="3"/>
  <c r="U181" i="3"/>
  <c r="U180" i="3"/>
  <c r="U179" i="3"/>
  <c r="U178" i="3"/>
  <c r="U177" i="3"/>
  <c r="U176" i="3"/>
  <c r="U175" i="3"/>
  <c r="U174" i="3"/>
  <c r="U173" i="3"/>
  <c r="U172" i="3"/>
  <c r="U171" i="3"/>
  <c r="U170" i="3"/>
  <c r="U169" i="3"/>
  <c r="U168" i="3"/>
  <c r="U167" i="3"/>
  <c r="U166" i="3"/>
  <c r="U165" i="3"/>
  <c r="U164" i="3"/>
  <c r="U163" i="3"/>
  <c r="U162" i="3"/>
  <c r="U161" i="3"/>
  <c r="U160" i="3"/>
  <c r="U159" i="3"/>
  <c r="U158" i="3"/>
  <c r="U157" i="3"/>
  <c r="U156" i="3"/>
  <c r="U155" i="3"/>
  <c r="U154" i="3"/>
  <c r="U153" i="3"/>
  <c r="U152" i="3"/>
  <c r="U151" i="3"/>
  <c r="U150" i="3"/>
  <c r="U149" i="3"/>
  <c r="U148" i="3"/>
  <c r="U147" i="3"/>
  <c r="U146" i="3"/>
  <c r="U145" i="3"/>
  <c r="U144" i="3"/>
  <c r="U143" i="3"/>
  <c r="U142" i="3"/>
  <c r="U141" i="3"/>
  <c r="U140" i="3"/>
  <c r="U139" i="3"/>
  <c r="U138" i="3"/>
  <c r="U137" i="3"/>
  <c r="U136" i="3"/>
  <c r="U135" i="3"/>
  <c r="U134" i="3"/>
  <c r="U133" i="3"/>
  <c r="U132" i="3"/>
  <c r="U131" i="3"/>
  <c r="U130" i="3"/>
  <c r="U129" i="3"/>
  <c r="U128" i="3"/>
  <c r="U127" i="3"/>
  <c r="U126" i="3"/>
  <c r="U125" i="3"/>
  <c r="U124" i="3"/>
  <c r="U123" i="3"/>
  <c r="U122" i="3"/>
  <c r="U121" i="3"/>
  <c r="U120" i="3"/>
  <c r="U119" i="3"/>
  <c r="U118" i="3"/>
  <c r="U117" i="3"/>
  <c r="U116" i="3"/>
  <c r="U115" i="3"/>
  <c r="U114" i="3"/>
  <c r="U113" i="3"/>
  <c r="U112" i="3"/>
  <c r="U111" i="3"/>
  <c r="U110" i="3"/>
  <c r="U109" i="3"/>
  <c r="U108" i="3"/>
  <c r="U107" i="3"/>
  <c r="U106" i="3"/>
  <c r="U105" i="3"/>
  <c r="U104" i="3"/>
  <c r="U103" i="3"/>
  <c r="U102" i="3"/>
  <c r="U101" i="3"/>
  <c r="U100" i="3"/>
  <c r="U99" i="3"/>
  <c r="U98" i="3"/>
  <c r="U97" i="3"/>
  <c r="U96" i="3"/>
  <c r="U95" i="3"/>
  <c r="U94" i="3"/>
  <c r="U93" i="3"/>
  <c r="U92" i="3"/>
  <c r="U91" i="3"/>
  <c r="U90" i="3"/>
  <c r="U89" i="3"/>
  <c r="U88" i="3"/>
  <c r="U87" i="3"/>
  <c r="U86" i="3"/>
  <c r="U85" i="3"/>
  <c r="U84" i="3"/>
  <c r="U83" i="3"/>
  <c r="U82" i="3"/>
  <c r="U81" i="3"/>
  <c r="U80" i="3"/>
  <c r="U79" i="3"/>
  <c r="U78" i="3"/>
  <c r="U77" i="3"/>
  <c r="U76" i="3"/>
  <c r="U75" i="3"/>
  <c r="U74" i="3"/>
  <c r="U73" i="3"/>
  <c r="U72" i="3"/>
  <c r="U71" i="3"/>
  <c r="U70" i="3"/>
  <c r="U69" i="3"/>
  <c r="U68" i="3"/>
  <c r="U67" i="3"/>
  <c r="U66" i="3"/>
  <c r="U65" i="3"/>
  <c r="U64" i="3"/>
  <c r="U63" i="3"/>
  <c r="U62" i="3"/>
  <c r="U61" i="3"/>
  <c r="U60" i="3"/>
  <c r="U59" i="3"/>
  <c r="U58" i="3"/>
  <c r="U57" i="3"/>
  <c r="U56" i="3"/>
  <c r="U55" i="3"/>
  <c r="U54" i="3"/>
  <c r="U53" i="3"/>
  <c r="U52" i="3"/>
  <c r="U51" i="3"/>
  <c r="U50" i="3"/>
  <c r="U49" i="3"/>
  <c r="U48" i="3"/>
  <c r="U47" i="3"/>
  <c r="U46" i="3"/>
  <c r="U45" i="3"/>
  <c r="U44" i="3"/>
  <c r="U43" i="3"/>
  <c r="U42" i="3"/>
  <c r="U41" i="3"/>
  <c r="U40" i="3"/>
  <c r="U39" i="3"/>
  <c r="U38" i="3"/>
  <c r="U37" i="3"/>
  <c r="U36" i="3"/>
  <c r="U35" i="3"/>
  <c r="U34" i="3"/>
  <c r="U33" i="3"/>
  <c r="U32" i="3"/>
  <c r="U31" i="3"/>
  <c r="U30" i="3"/>
  <c r="U29" i="3"/>
  <c r="U28" i="3"/>
  <c r="U27" i="3"/>
  <c r="U26" i="3"/>
  <c r="U25" i="3"/>
  <c r="U24" i="3"/>
  <c r="U23" i="3"/>
  <c r="U22" i="3"/>
  <c r="U21" i="3"/>
  <c r="U20" i="3"/>
  <c r="U19" i="3"/>
  <c r="U18" i="3"/>
  <c r="U17" i="3"/>
  <c r="U16" i="3"/>
  <c r="U15" i="3"/>
  <c r="U14" i="3"/>
  <c r="U13" i="3"/>
  <c r="U12" i="3"/>
  <c r="U11" i="3"/>
  <c r="U10" i="3"/>
  <c r="U9" i="3"/>
  <c r="U8" i="3"/>
  <c r="U7" i="3"/>
  <c r="U6" i="3"/>
  <c r="U5" i="3"/>
  <c r="U4" i="3"/>
  <c r="H16" i="2"/>
  <c r="E16" i="2" s="1"/>
  <c r="G16" i="2" s="1"/>
  <c r="D5" i="10" l="1"/>
  <c r="E7" i="10" s="1"/>
  <c r="C9" i="10"/>
  <c r="C8" i="10"/>
  <c r="D7" i="10"/>
  <c r="C7" i="10"/>
  <c r="D9" i="10" l="1"/>
  <c r="G5" i="10"/>
  <c r="D8" i="10"/>
  <c r="E8" i="10"/>
  <c r="F8" i="10" s="1"/>
  <c r="E9" i="10"/>
  <c r="C10" i="10"/>
  <c r="G9" i="10"/>
  <c r="H8" i="10"/>
  <c r="G7" i="10"/>
  <c r="H9" i="10"/>
  <c r="G8" i="10"/>
  <c r="H7" i="10"/>
  <c r="F9" i="10"/>
  <c r="J5" i="10"/>
  <c r="D10" i="10"/>
  <c r="F7" i="10"/>
  <c r="E10" i="10" l="1"/>
  <c r="H10" i="10"/>
  <c r="I9" i="10"/>
  <c r="K8" i="10"/>
  <c r="K9" i="10"/>
  <c r="J9" i="10"/>
  <c r="K7" i="10"/>
  <c r="J7" i="10"/>
  <c r="J8" i="10"/>
  <c r="M5" i="10"/>
  <c r="G10" i="10"/>
  <c r="F10" i="10"/>
  <c r="I7" i="10"/>
  <c r="I8" i="10"/>
  <c r="T800" i="3"/>
  <c r="S800" i="3"/>
  <c r="T799" i="3"/>
  <c r="S799" i="3"/>
  <c r="T798" i="3"/>
  <c r="S798" i="3"/>
  <c r="T797" i="3"/>
  <c r="S797" i="3"/>
  <c r="T796" i="3"/>
  <c r="S796" i="3"/>
  <c r="T795" i="3"/>
  <c r="S795" i="3"/>
  <c r="T794" i="3"/>
  <c r="S794" i="3"/>
  <c r="T793" i="3"/>
  <c r="S793" i="3"/>
  <c r="T792" i="3"/>
  <c r="S792" i="3"/>
  <c r="T791" i="3"/>
  <c r="S791" i="3"/>
  <c r="T790" i="3"/>
  <c r="S790" i="3"/>
  <c r="T789" i="3"/>
  <c r="S789" i="3"/>
  <c r="T788" i="3"/>
  <c r="S788" i="3"/>
  <c r="T787" i="3"/>
  <c r="S787" i="3"/>
  <c r="T786" i="3"/>
  <c r="S786" i="3"/>
  <c r="T785" i="3"/>
  <c r="S785" i="3"/>
  <c r="T784" i="3"/>
  <c r="S784" i="3"/>
  <c r="T783" i="3"/>
  <c r="S783" i="3"/>
  <c r="T782" i="3"/>
  <c r="S782" i="3"/>
  <c r="T781" i="3"/>
  <c r="S781" i="3"/>
  <c r="T780" i="3"/>
  <c r="S780" i="3"/>
  <c r="T779" i="3"/>
  <c r="S779" i="3"/>
  <c r="T778" i="3"/>
  <c r="S778" i="3"/>
  <c r="T777" i="3"/>
  <c r="S777" i="3"/>
  <c r="T776" i="3"/>
  <c r="S776" i="3"/>
  <c r="T775" i="3"/>
  <c r="S775" i="3"/>
  <c r="T774" i="3"/>
  <c r="S774" i="3"/>
  <c r="T773" i="3"/>
  <c r="S773" i="3"/>
  <c r="T772" i="3"/>
  <c r="S772" i="3"/>
  <c r="T771" i="3"/>
  <c r="S771" i="3"/>
  <c r="T770" i="3"/>
  <c r="S770" i="3"/>
  <c r="T769" i="3"/>
  <c r="S769" i="3"/>
  <c r="T768" i="3"/>
  <c r="S768" i="3"/>
  <c r="T767" i="3"/>
  <c r="S767" i="3"/>
  <c r="T766" i="3"/>
  <c r="S766" i="3"/>
  <c r="T765" i="3"/>
  <c r="S765" i="3"/>
  <c r="T764" i="3"/>
  <c r="S764" i="3"/>
  <c r="T763" i="3"/>
  <c r="S763" i="3"/>
  <c r="T762" i="3"/>
  <c r="S762" i="3"/>
  <c r="T761" i="3"/>
  <c r="S761" i="3"/>
  <c r="T760" i="3"/>
  <c r="S760" i="3"/>
  <c r="T759" i="3"/>
  <c r="S759" i="3"/>
  <c r="T758" i="3"/>
  <c r="S758" i="3"/>
  <c r="T757" i="3"/>
  <c r="S757" i="3"/>
  <c r="T756" i="3"/>
  <c r="S756" i="3"/>
  <c r="T755" i="3"/>
  <c r="S755" i="3"/>
  <c r="T754" i="3"/>
  <c r="S754" i="3"/>
  <c r="T753" i="3"/>
  <c r="S753" i="3"/>
  <c r="T752" i="3"/>
  <c r="S752" i="3"/>
  <c r="T751" i="3"/>
  <c r="S751" i="3"/>
  <c r="T750" i="3"/>
  <c r="S750" i="3"/>
  <c r="T749" i="3"/>
  <c r="S749" i="3"/>
  <c r="T748" i="3"/>
  <c r="S748" i="3"/>
  <c r="T747" i="3"/>
  <c r="S747" i="3"/>
  <c r="T746" i="3"/>
  <c r="S746" i="3"/>
  <c r="T745" i="3"/>
  <c r="S745" i="3"/>
  <c r="T744" i="3"/>
  <c r="S744" i="3"/>
  <c r="T743" i="3"/>
  <c r="S743" i="3"/>
  <c r="T742" i="3"/>
  <c r="S742" i="3"/>
  <c r="T741" i="3"/>
  <c r="S741" i="3"/>
  <c r="T740" i="3"/>
  <c r="S740" i="3"/>
  <c r="T739" i="3"/>
  <c r="S739" i="3"/>
  <c r="T738" i="3"/>
  <c r="S738" i="3"/>
  <c r="T737" i="3"/>
  <c r="S737" i="3"/>
  <c r="T736" i="3"/>
  <c r="S736" i="3"/>
  <c r="T735" i="3"/>
  <c r="S735" i="3"/>
  <c r="T734" i="3"/>
  <c r="S734" i="3"/>
  <c r="T733" i="3"/>
  <c r="S733" i="3"/>
  <c r="T732" i="3"/>
  <c r="S732" i="3"/>
  <c r="T731" i="3"/>
  <c r="S731" i="3"/>
  <c r="T730" i="3"/>
  <c r="S730" i="3"/>
  <c r="T729" i="3"/>
  <c r="S729" i="3"/>
  <c r="T728" i="3"/>
  <c r="S728" i="3"/>
  <c r="T727" i="3"/>
  <c r="S727" i="3"/>
  <c r="T726" i="3"/>
  <c r="S726" i="3"/>
  <c r="T725" i="3"/>
  <c r="S725" i="3"/>
  <c r="T724" i="3"/>
  <c r="S724" i="3"/>
  <c r="T723" i="3"/>
  <c r="S723" i="3"/>
  <c r="T722" i="3"/>
  <c r="S722" i="3"/>
  <c r="T721" i="3"/>
  <c r="S721" i="3"/>
  <c r="T720" i="3"/>
  <c r="S720" i="3"/>
  <c r="T719" i="3"/>
  <c r="S719" i="3"/>
  <c r="T718" i="3"/>
  <c r="S718" i="3"/>
  <c r="T717" i="3"/>
  <c r="S717" i="3"/>
  <c r="T716" i="3"/>
  <c r="S716" i="3"/>
  <c r="T715" i="3"/>
  <c r="S715" i="3"/>
  <c r="T714" i="3"/>
  <c r="S714" i="3"/>
  <c r="T713" i="3"/>
  <c r="S713" i="3"/>
  <c r="T712" i="3"/>
  <c r="S712" i="3"/>
  <c r="T711" i="3"/>
  <c r="S711" i="3"/>
  <c r="T710" i="3"/>
  <c r="S710" i="3"/>
  <c r="T709" i="3"/>
  <c r="S709" i="3"/>
  <c r="T708" i="3"/>
  <c r="S708" i="3"/>
  <c r="T707" i="3"/>
  <c r="S707" i="3"/>
  <c r="T706" i="3"/>
  <c r="S706" i="3"/>
  <c r="T705" i="3"/>
  <c r="S705" i="3"/>
  <c r="T704" i="3"/>
  <c r="S704" i="3"/>
  <c r="T703" i="3"/>
  <c r="S703" i="3"/>
  <c r="T702" i="3"/>
  <c r="S702" i="3"/>
  <c r="T701" i="3"/>
  <c r="S701" i="3"/>
  <c r="T700" i="3"/>
  <c r="S700" i="3"/>
  <c r="T699" i="3"/>
  <c r="S699" i="3"/>
  <c r="T698" i="3"/>
  <c r="S698" i="3"/>
  <c r="T697" i="3"/>
  <c r="S697" i="3"/>
  <c r="T696" i="3"/>
  <c r="S696" i="3"/>
  <c r="T695" i="3"/>
  <c r="S695" i="3"/>
  <c r="T694" i="3"/>
  <c r="S694" i="3"/>
  <c r="T693" i="3"/>
  <c r="S693" i="3"/>
  <c r="T692" i="3"/>
  <c r="S692" i="3"/>
  <c r="T691" i="3"/>
  <c r="S691" i="3"/>
  <c r="T690" i="3"/>
  <c r="S690" i="3"/>
  <c r="T689" i="3"/>
  <c r="S689" i="3"/>
  <c r="T688" i="3"/>
  <c r="S688" i="3"/>
  <c r="T687" i="3"/>
  <c r="S687" i="3"/>
  <c r="T686" i="3"/>
  <c r="S686" i="3"/>
  <c r="T685" i="3"/>
  <c r="S685" i="3"/>
  <c r="T684" i="3"/>
  <c r="S684" i="3"/>
  <c r="T683" i="3"/>
  <c r="S683" i="3"/>
  <c r="T682" i="3"/>
  <c r="S682" i="3"/>
  <c r="T681" i="3"/>
  <c r="S681" i="3"/>
  <c r="T680" i="3"/>
  <c r="S680" i="3"/>
  <c r="T679" i="3"/>
  <c r="S679" i="3"/>
  <c r="T678" i="3"/>
  <c r="S678" i="3"/>
  <c r="T677" i="3"/>
  <c r="S677" i="3"/>
  <c r="T676" i="3"/>
  <c r="S676" i="3"/>
  <c r="T675" i="3"/>
  <c r="S675" i="3"/>
  <c r="T674" i="3"/>
  <c r="S674" i="3"/>
  <c r="T673" i="3"/>
  <c r="S673" i="3"/>
  <c r="T672" i="3"/>
  <c r="S672" i="3"/>
  <c r="T671" i="3"/>
  <c r="S671" i="3"/>
  <c r="T670" i="3"/>
  <c r="S670" i="3"/>
  <c r="T669" i="3"/>
  <c r="S669" i="3"/>
  <c r="T668" i="3"/>
  <c r="S668" i="3"/>
  <c r="T667" i="3"/>
  <c r="S667" i="3"/>
  <c r="T666" i="3"/>
  <c r="S666" i="3"/>
  <c r="T665" i="3"/>
  <c r="S665" i="3"/>
  <c r="T664" i="3"/>
  <c r="S664" i="3"/>
  <c r="T663" i="3"/>
  <c r="S663" i="3"/>
  <c r="T662" i="3"/>
  <c r="S662" i="3"/>
  <c r="T661" i="3"/>
  <c r="S661" i="3"/>
  <c r="T660" i="3"/>
  <c r="S660" i="3"/>
  <c r="T659" i="3"/>
  <c r="S659" i="3"/>
  <c r="T658" i="3"/>
  <c r="S658" i="3"/>
  <c r="T657" i="3"/>
  <c r="S657" i="3"/>
  <c r="T656" i="3"/>
  <c r="S656" i="3"/>
  <c r="T655" i="3"/>
  <c r="S655" i="3"/>
  <c r="T654" i="3"/>
  <c r="S654" i="3"/>
  <c r="T653" i="3"/>
  <c r="S653" i="3"/>
  <c r="T652" i="3"/>
  <c r="S652" i="3"/>
  <c r="T651" i="3"/>
  <c r="S651" i="3"/>
  <c r="T650" i="3"/>
  <c r="S650" i="3"/>
  <c r="T649" i="3"/>
  <c r="S649" i="3"/>
  <c r="T648" i="3"/>
  <c r="S648" i="3"/>
  <c r="T647" i="3"/>
  <c r="S647" i="3"/>
  <c r="T646" i="3"/>
  <c r="S646" i="3"/>
  <c r="T645" i="3"/>
  <c r="S645" i="3"/>
  <c r="T644" i="3"/>
  <c r="S644" i="3"/>
  <c r="T643" i="3"/>
  <c r="S643" i="3"/>
  <c r="T642" i="3"/>
  <c r="S642" i="3"/>
  <c r="T641" i="3"/>
  <c r="S641" i="3"/>
  <c r="T640" i="3"/>
  <c r="S640" i="3"/>
  <c r="T639" i="3"/>
  <c r="S639" i="3"/>
  <c r="T638" i="3"/>
  <c r="S638" i="3"/>
  <c r="T637" i="3"/>
  <c r="S637" i="3"/>
  <c r="T636" i="3"/>
  <c r="S636" i="3"/>
  <c r="T635" i="3"/>
  <c r="S635" i="3"/>
  <c r="T634" i="3"/>
  <c r="S634" i="3"/>
  <c r="T633" i="3"/>
  <c r="S633" i="3"/>
  <c r="T632" i="3"/>
  <c r="S632" i="3"/>
  <c r="T631" i="3"/>
  <c r="S631" i="3"/>
  <c r="T630" i="3"/>
  <c r="S630" i="3"/>
  <c r="T629" i="3"/>
  <c r="S629" i="3"/>
  <c r="T628" i="3"/>
  <c r="S628" i="3"/>
  <c r="T627" i="3"/>
  <c r="S627" i="3"/>
  <c r="T626" i="3"/>
  <c r="S626" i="3"/>
  <c r="T625" i="3"/>
  <c r="S625" i="3"/>
  <c r="T624" i="3"/>
  <c r="S624" i="3"/>
  <c r="T623" i="3"/>
  <c r="S623" i="3"/>
  <c r="T622" i="3"/>
  <c r="S622" i="3"/>
  <c r="T621" i="3"/>
  <c r="S621" i="3"/>
  <c r="T620" i="3"/>
  <c r="S620" i="3"/>
  <c r="T619" i="3"/>
  <c r="S619" i="3"/>
  <c r="T618" i="3"/>
  <c r="S618" i="3"/>
  <c r="T617" i="3"/>
  <c r="S617" i="3"/>
  <c r="T616" i="3"/>
  <c r="S616" i="3"/>
  <c r="T615" i="3"/>
  <c r="S615" i="3"/>
  <c r="T614" i="3"/>
  <c r="S614" i="3"/>
  <c r="T613" i="3"/>
  <c r="S613" i="3"/>
  <c r="T612" i="3"/>
  <c r="S612" i="3"/>
  <c r="T611" i="3"/>
  <c r="S611" i="3"/>
  <c r="T610" i="3"/>
  <c r="S610" i="3"/>
  <c r="T609" i="3"/>
  <c r="S609" i="3"/>
  <c r="T608" i="3"/>
  <c r="S608" i="3"/>
  <c r="T607" i="3"/>
  <c r="S607" i="3"/>
  <c r="T606" i="3"/>
  <c r="S606" i="3"/>
  <c r="T605" i="3"/>
  <c r="S605" i="3"/>
  <c r="T604" i="3"/>
  <c r="S604" i="3"/>
  <c r="T603" i="3"/>
  <c r="S603" i="3"/>
  <c r="T602" i="3"/>
  <c r="S602" i="3"/>
  <c r="T601" i="3"/>
  <c r="S601" i="3"/>
  <c r="T600" i="3"/>
  <c r="S600" i="3"/>
  <c r="T599" i="3"/>
  <c r="S599" i="3"/>
  <c r="T598" i="3"/>
  <c r="S598" i="3"/>
  <c r="T597" i="3"/>
  <c r="S597" i="3"/>
  <c r="T596" i="3"/>
  <c r="S596" i="3"/>
  <c r="T595" i="3"/>
  <c r="S595" i="3"/>
  <c r="T594" i="3"/>
  <c r="S594" i="3"/>
  <c r="T593" i="3"/>
  <c r="S593" i="3"/>
  <c r="T592" i="3"/>
  <c r="S592" i="3"/>
  <c r="T591" i="3"/>
  <c r="S591" i="3"/>
  <c r="T590" i="3"/>
  <c r="S590" i="3"/>
  <c r="T589" i="3"/>
  <c r="S589" i="3"/>
  <c r="T588" i="3"/>
  <c r="S588" i="3"/>
  <c r="T587" i="3"/>
  <c r="S587" i="3"/>
  <c r="T586" i="3"/>
  <c r="S586" i="3"/>
  <c r="T585" i="3"/>
  <c r="S585" i="3"/>
  <c r="T584" i="3"/>
  <c r="S584" i="3"/>
  <c r="T583" i="3"/>
  <c r="S583" i="3"/>
  <c r="T582" i="3"/>
  <c r="S582" i="3"/>
  <c r="T581" i="3"/>
  <c r="S581" i="3"/>
  <c r="T580" i="3"/>
  <c r="S580" i="3"/>
  <c r="T579" i="3"/>
  <c r="S579" i="3"/>
  <c r="T578" i="3"/>
  <c r="S578" i="3"/>
  <c r="T577" i="3"/>
  <c r="S577" i="3"/>
  <c r="T576" i="3"/>
  <c r="S576" i="3"/>
  <c r="T575" i="3"/>
  <c r="S575" i="3"/>
  <c r="T574" i="3"/>
  <c r="S574" i="3"/>
  <c r="T573" i="3"/>
  <c r="S573" i="3"/>
  <c r="T572" i="3"/>
  <c r="S572" i="3"/>
  <c r="T571" i="3"/>
  <c r="S571" i="3"/>
  <c r="T570" i="3"/>
  <c r="S570" i="3"/>
  <c r="T569" i="3"/>
  <c r="S569" i="3"/>
  <c r="T568" i="3"/>
  <c r="S568" i="3"/>
  <c r="T567" i="3"/>
  <c r="S567" i="3"/>
  <c r="T566" i="3"/>
  <c r="S566" i="3"/>
  <c r="T565" i="3"/>
  <c r="S565" i="3"/>
  <c r="T564" i="3"/>
  <c r="S564" i="3"/>
  <c r="T563" i="3"/>
  <c r="S563" i="3"/>
  <c r="T562" i="3"/>
  <c r="S562" i="3"/>
  <c r="T561" i="3"/>
  <c r="S561" i="3"/>
  <c r="T560" i="3"/>
  <c r="S560" i="3"/>
  <c r="T559" i="3"/>
  <c r="S559" i="3"/>
  <c r="T558" i="3"/>
  <c r="S558" i="3"/>
  <c r="T557" i="3"/>
  <c r="S557" i="3"/>
  <c r="T556" i="3"/>
  <c r="S556" i="3"/>
  <c r="T555" i="3"/>
  <c r="S555" i="3"/>
  <c r="T554" i="3"/>
  <c r="S554" i="3"/>
  <c r="T553" i="3"/>
  <c r="S553" i="3"/>
  <c r="T552" i="3"/>
  <c r="S552" i="3"/>
  <c r="T551" i="3"/>
  <c r="S551" i="3"/>
  <c r="T550" i="3"/>
  <c r="S550" i="3"/>
  <c r="T549" i="3"/>
  <c r="S549" i="3"/>
  <c r="T548" i="3"/>
  <c r="S548" i="3"/>
  <c r="T547" i="3"/>
  <c r="S547" i="3"/>
  <c r="T546" i="3"/>
  <c r="S546" i="3"/>
  <c r="T545" i="3"/>
  <c r="S545" i="3"/>
  <c r="T544" i="3"/>
  <c r="S544" i="3"/>
  <c r="T543" i="3"/>
  <c r="S543" i="3"/>
  <c r="T542" i="3"/>
  <c r="S542" i="3"/>
  <c r="T541" i="3"/>
  <c r="S541" i="3"/>
  <c r="T540" i="3"/>
  <c r="S540" i="3"/>
  <c r="T539" i="3"/>
  <c r="S539" i="3"/>
  <c r="T538" i="3"/>
  <c r="S538" i="3"/>
  <c r="T537" i="3"/>
  <c r="S537" i="3"/>
  <c r="T536" i="3"/>
  <c r="S536" i="3"/>
  <c r="T535" i="3"/>
  <c r="S535" i="3"/>
  <c r="T534" i="3"/>
  <c r="S534" i="3"/>
  <c r="T533" i="3"/>
  <c r="S533" i="3"/>
  <c r="T532" i="3"/>
  <c r="S532" i="3"/>
  <c r="T531" i="3"/>
  <c r="S531" i="3"/>
  <c r="T530" i="3"/>
  <c r="S530" i="3"/>
  <c r="T529" i="3"/>
  <c r="S529" i="3"/>
  <c r="T528" i="3"/>
  <c r="S528" i="3"/>
  <c r="T527" i="3"/>
  <c r="S527" i="3"/>
  <c r="T526" i="3"/>
  <c r="S526" i="3"/>
  <c r="T525" i="3"/>
  <c r="S525" i="3"/>
  <c r="T524" i="3"/>
  <c r="S524" i="3"/>
  <c r="T523" i="3"/>
  <c r="S523" i="3"/>
  <c r="T522" i="3"/>
  <c r="S522" i="3"/>
  <c r="T521" i="3"/>
  <c r="S521" i="3"/>
  <c r="T520" i="3"/>
  <c r="S520" i="3"/>
  <c r="T519" i="3"/>
  <c r="S519" i="3"/>
  <c r="T518" i="3"/>
  <c r="S518" i="3"/>
  <c r="T517" i="3"/>
  <c r="S517" i="3"/>
  <c r="T516" i="3"/>
  <c r="S516" i="3"/>
  <c r="T515" i="3"/>
  <c r="S515" i="3"/>
  <c r="T514" i="3"/>
  <c r="S514" i="3"/>
  <c r="T513" i="3"/>
  <c r="S513" i="3"/>
  <c r="T512" i="3"/>
  <c r="S512" i="3"/>
  <c r="T511" i="3"/>
  <c r="S511" i="3"/>
  <c r="T510" i="3"/>
  <c r="S510" i="3"/>
  <c r="T509" i="3"/>
  <c r="S509" i="3"/>
  <c r="T508" i="3"/>
  <c r="S508" i="3"/>
  <c r="T507" i="3"/>
  <c r="S507" i="3"/>
  <c r="T506" i="3"/>
  <c r="S506" i="3"/>
  <c r="T505" i="3"/>
  <c r="S505" i="3"/>
  <c r="T504" i="3"/>
  <c r="S504" i="3"/>
  <c r="T503" i="3"/>
  <c r="S503" i="3"/>
  <c r="T502" i="3"/>
  <c r="S502" i="3"/>
  <c r="T501" i="3"/>
  <c r="S501" i="3"/>
  <c r="T500" i="3"/>
  <c r="S500" i="3"/>
  <c r="T499" i="3"/>
  <c r="S499" i="3"/>
  <c r="T498" i="3"/>
  <c r="S498" i="3"/>
  <c r="T497" i="3"/>
  <c r="S497" i="3"/>
  <c r="T496" i="3"/>
  <c r="S496" i="3"/>
  <c r="T495" i="3"/>
  <c r="S495" i="3"/>
  <c r="T494" i="3"/>
  <c r="S494" i="3"/>
  <c r="T493" i="3"/>
  <c r="S493" i="3"/>
  <c r="T492" i="3"/>
  <c r="S492" i="3"/>
  <c r="T491" i="3"/>
  <c r="S491" i="3"/>
  <c r="T490" i="3"/>
  <c r="S490" i="3"/>
  <c r="T489" i="3"/>
  <c r="S489" i="3"/>
  <c r="T488" i="3"/>
  <c r="S488" i="3"/>
  <c r="T487" i="3"/>
  <c r="S487" i="3"/>
  <c r="T486" i="3"/>
  <c r="S486" i="3"/>
  <c r="T485" i="3"/>
  <c r="S485" i="3"/>
  <c r="T484" i="3"/>
  <c r="S484" i="3"/>
  <c r="T483" i="3"/>
  <c r="S483" i="3"/>
  <c r="T482" i="3"/>
  <c r="S482" i="3"/>
  <c r="T481" i="3"/>
  <c r="S481" i="3"/>
  <c r="T480" i="3"/>
  <c r="S480" i="3"/>
  <c r="T479" i="3"/>
  <c r="S479" i="3"/>
  <c r="T478" i="3"/>
  <c r="S478" i="3"/>
  <c r="T477" i="3"/>
  <c r="S477" i="3"/>
  <c r="T476" i="3"/>
  <c r="S476" i="3"/>
  <c r="T475" i="3"/>
  <c r="S475" i="3"/>
  <c r="T474" i="3"/>
  <c r="S474" i="3"/>
  <c r="T473" i="3"/>
  <c r="S473" i="3"/>
  <c r="T472" i="3"/>
  <c r="S472" i="3"/>
  <c r="T471" i="3"/>
  <c r="S471" i="3"/>
  <c r="T470" i="3"/>
  <c r="S470" i="3"/>
  <c r="T469" i="3"/>
  <c r="S469" i="3"/>
  <c r="T468" i="3"/>
  <c r="S468" i="3"/>
  <c r="T467" i="3"/>
  <c r="S467" i="3"/>
  <c r="T466" i="3"/>
  <c r="S466" i="3"/>
  <c r="T465" i="3"/>
  <c r="S465" i="3"/>
  <c r="T464" i="3"/>
  <c r="S464" i="3"/>
  <c r="T463" i="3"/>
  <c r="S463" i="3"/>
  <c r="T462" i="3"/>
  <c r="S462" i="3"/>
  <c r="T461" i="3"/>
  <c r="S461" i="3"/>
  <c r="T460" i="3"/>
  <c r="S460" i="3"/>
  <c r="T459" i="3"/>
  <c r="S459" i="3"/>
  <c r="T458" i="3"/>
  <c r="S458" i="3"/>
  <c r="T457" i="3"/>
  <c r="S457" i="3"/>
  <c r="T456" i="3"/>
  <c r="S456" i="3"/>
  <c r="T455" i="3"/>
  <c r="S455" i="3"/>
  <c r="T454" i="3"/>
  <c r="S454" i="3"/>
  <c r="T453" i="3"/>
  <c r="S453" i="3"/>
  <c r="T452" i="3"/>
  <c r="S452" i="3"/>
  <c r="T451" i="3"/>
  <c r="S451" i="3"/>
  <c r="T450" i="3"/>
  <c r="S450" i="3"/>
  <c r="T449" i="3"/>
  <c r="S449" i="3"/>
  <c r="T448" i="3"/>
  <c r="S448" i="3"/>
  <c r="T447" i="3"/>
  <c r="S447" i="3"/>
  <c r="T446" i="3"/>
  <c r="S446" i="3"/>
  <c r="T445" i="3"/>
  <c r="S445" i="3"/>
  <c r="T444" i="3"/>
  <c r="S444" i="3"/>
  <c r="T443" i="3"/>
  <c r="S443" i="3"/>
  <c r="T442" i="3"/>
  <c r="S442" i="3"/>
  <c r="T441" i="3"/>
  <c r="S441" i="3"/>
  <c r="T440" i="3"/>
  <c r="S440" i="3"/>
  <c r="T439" i="3"/>
  <c r="S439" i="3"/>
  <c r="T438" i="3"/>
  <c r="S438" i="3"/>
  <c r="T437" i="3"/>
  <c r="S437" i="3"/>
  <c r="T436" i="3"/>
  <c r="S436" i="3"/>
  <c r="T435" i="3"/>
  <c r="S435" i="3"/>
  <c r="T434" i="3"/>
  <c r="S434" i="3"/>
  <c r="T433" i="3"/>
  <c r="S433" i="3"/>
  <c r="T432" i="3"/>
  <c r="S432" i="3"/>
  <c r="T431" i="3"/>
  <c r="S431" i="3"/>
  <c r="T430" i="3"/>
  <c r="S430" i="3"/>
  <c r="T429" i="3"/>
  <c r="S429" i="3"/>
  <c r="T428" i="3"/>
  <c r="S428" i="3"/>
  <c r="T427" i="3"/>
  <c r="S427" i="3"/>
  <c r="T426" i="3"/>
  <c r="S426" i="3"/>
  <c r="T425" i="3"/>
  <c r="S425" i="3"/>
  <c r="T424" i="3"/>
  <c r="S424" i="3"/>
  <c r="T423" i="3"/>
  <c r="S423" i="3"/>
  <c r="T422" i="3"/>
  <c r="S422" i="3"/>
  <c r="T421" i="3"/>
  <c r="S421" i="3"/>
  <c r="T420" i="3"/>
  <c r="S420" i="3"/>
  <c r="T419" i="3"/>
  <c r="S419" i="3"/>
  <c r="T418" i="3"/>
  <c r="S418" i="3"/>
  <c r="T417" i="3"/>
  <c r="S417" i="3"/>
  <c r="T416" i="3"/>
  <c r="S416" i="3"/>
  <c r="T415" i="3"/>
  <c r="S415" i="3"/>
  <c r="T414" i="3"/>
  <c r="S414" i="3"/>
  <c r="T413" i="3"/>
  <c r="S413" i="3"/>
  <c r="T412" i="3"/>
  <c r="S412" i="3"/>
  <c r="T411" i="3"/>
  <c r="S411" i="3"/>
  <c r="T410" i="3"/>
  <c r="S410" i="3"/>
  <c r="T409" i="3"/>
  <c r="S409" i="3"/>
  <c r="T408" i="3"/>
  <c r="S408" i="3"/>
  <c r="T407" i="3"/>
  <c r="S407" i="3"/>
  <c r="T406" i="3"/>
  <c r="S406" i="3"/>
  <c r="T405" i="3"/>
  <c r="S405" i="3"/>
  <c r="T404" i="3"/>
  <c r="S404" i="3"/>
  <c r="T403" i="3"/>
  <c r="S403" i="3"/>
  <c r="T402" i="3"/>
  <c r="S402" i="3"/>
  <c r="T401" i="3"/>
  <c r="S401" i="3"/>
  <c r="T400" i="3"/>
  <c r="S400" i="3"/>
  <c r="T399" i="3"/>
  <c r="S399" i="3"/>
  <c r="T398" i="3"/>
  <c r="S398" i="3"/>
  <c r="T397" i="3"/>
  <c r="S397" i="3"/>
  <c r="T396" i="3"/>
  <c r="S396" i="3"/>
  <c r="T395" i="3"/>
  <c r="S395" i="3"/>
  <c r="T394" i="3"/>
  <c r="S394" i="3"/>
  <c r="T393" i="3"/>
  <c r="S393" i="3"/>
  <c r="T392" i="3"/>
  <c r="S392" i="3"/>
  <c r="T391" i="3"/>
  <c r="S391" i="3"/>
  <c r="T390" i="3"/>
  <c r="S390" i="3"/>
  <c r="T389" i="3"/>
  <c r="S389" i="3"/>
  <c r="T388" i="3"/>
  <c r="S388" i="3"/>
  <c r="T387" i="3"/>
  <c r="S387" i="3"/>
  <c r="T386" i="3"/>
  <c r="S386" i="3"/>
  <c r="T385" i="3"/>
  <c r="S385" i="3"/>
  <c r="T384" i="3"/>
  <c r="S384" i="3"/>
  <c r="T383" i="3"/>
  <c r="S383" i="3"/>
  <c r="T382" i="3"/>
  <c r="S382" i="3"/>
  <c r="T381" i="3"/>
  <c r="S381" i="3"/>
  <c r="T380" i="3"/>
  <c r="S380" i="3"/>
  <c r="T379" i="3"/>
  <c r="S379" i="3"/>
  <c r="T378" i="3"/>
  <c r="S378" i="3"/>
  <c r="T377" i="3"/>
  <c r="S377" i="3"/>
  <c r="T376" i="3"/>
  <c r="S376" i="3"/>
  <c r="T375" i="3"/>
  <c r="S375" i="3"/>
  <c r="T374" i="3"/>
  <c r="S374" i="3"/>
  <c r="T373" i="3"/>
  <c r="S373" i="3"/>
  <c r="T372" i="3"/>
  <c r="S372" i="3"/>
  <c r="T371" i="3"/>
  <c r="S371" i="3"/>
  <c r="T370" i="3"/>
  <c r="S370" i="3"/>
  <c r="T369" i="3"/>
  <c r="S369" i="3"/>
  <c r="T368" i="3"/>
  <c r="S368" i="3"/>
  <c r="T367" i="3"/>
  <c r="S367" i="3"/>
  <c r="T366" i="3"/>
  <c r="S366" i="3"/>
  <c r="T365" i="3"/>
  <c r="S365" i="3"/>
  <c r="T364" i="3"/>
  <c r="S364" i="3"/>
  <c r="T363" i="3"/>
  <c r="S363" i="3"/>
  <c r="T362" i="3"/>
  <c r="S362" i="3"/>
  <c r="T361" i="3"/>
  <c r="S361" i="3"/>
  <c r="T360" i="3"/>
  <c r="S360" i="3"/>
  <c r="T359" i="3"/>
  <c r="S359" i="3"/>
  <c r="T358" i="3"/>
  <c r="S358" i="3"/>
  <c r="T357" i="3"/>
  <c r="S357" i="3"/>
  <c r="T356" i="3"/>
  <c r="S356" i="3"/>
  <c r="T355" i="3"/>
  <c r="S355" i="3"/>
  <c r="T354" i="3"/>
  <c r="S354" i="3"/>
  <c r="T353" i="3"/>
  <c r="S353" i="3"/>
  <c r="T352" i="3"/>
  <c r="S352" i="3"/>
  <c r="T351" i="3"/>
  <c r="S351" i="3"/>
  <c r="T350" i="3"/>
  <c r="S350" i="3"/>
  <c r="T349" i="3"/>
  <c r="S349" i="3"/>
  <c r="T348" i="3"/>
  <c r="S348" i="3"/>
  <c r="T347" i="3"/>
  <c r="S347" i="3"/>
  <c r="T346" i="3"/>
  <c r="S346" i="3"/>
  <c r="T345" i="3"/>
  <c r="S345" i="3"/>
  <c r="T344" i="3"/>
  <c r="S344" i="3"/>
  <c r="T343" i="3"/>
  <c r="S343" i="3"/>
  <c r="T342" i="3"/>
  <c r="S342" i="3"/>
  <c r="T341" i="3"/>
  <c r="S341" i="3"/>
  <c r="T340" i="3"/>
  <c r="S340" i="3"/>
  <c r="T339" i="3"/>
  <c r="S339" i="3"/>
  <c r="T338" i="3"/>
  <c r="S338" i="3"/>
  <c r="T337" i="3"/>
  <c r="S337" i="3"/>
  <c r="T336" i="3"/>
  <c r="S336" i="3"/>
  <c r="T335" i="3"/>
  <c r="S335" i="3"/>
  <c r="T334" i="3"/>
  <c r="S334" i="3"/>
  <c r="T333" i="3"/>
  <c r="S333" i="3"/>
  <c r="T332" i="3"/>
  <c r="S332" i="3"/>
  <c r="T331" i="3"/>
  <c r="S331" i="3"/>
  <c r="T330" i="3"/>
  <c r="S330" i="3"/>
  <c r="T329" i="3"/>
  <c r="S329" i="3"/>
  <c r="T328" i="3"/>
  <c r="S328" i="3"/>
  <c r="T327" i="3"/>
  <c r="S327" i="3"/>
  <c r="T326" i="3"/>
  <c r="S326" i="3"/>
  <c r="T325" i="3"/>
  <c r="S325" i="3"/>
  <c r="T324" i="3"/>
  <c r="S324" i="3"/>
  <c r="T323" i="3"/>
  <c r="S323" i="3"/>
  <c r="T322" i="3"/>
  <c r="S322" i="3"/>
  <c r="T321" i="3"/>
  <c r="S321" i="3"/>
  <c r="T320" i="3"/>
  <c r="S320" i="3"/>
  <c r="T319" i="3"/>
  <c r="S319" i="3"/>
  <c r="T318" i="3"/>
  <c r="S318" i="3"/>
  <c r="T317" i="3"/>
  <c r="S317" i="3"/>
  <c r="T316" i="3"/>
  <c r="S316" i="3"/>
  <c r="T315" i="3"/>
  <c r="S315" i="3"/>
  <c r="T314" i="3"/>
  <c r="S314" i="3"/>
  <c r="T313" i="3"/>
  <c r="S313" i="3"/>
  <c r="T312" i="3"/>
  <c r="S312" i="3"/>
  <c r="T311" i="3"/>
  <c r="S311" i="3"/>
  <c r="T310" i="3"/>
  <c r="S310" i="3"/>
  <c r="T309" i="3"/>
  <c r="S309" i="3"/>
  <c r="T308" i="3"/>
  <c r="S308" i="3"/>
  <c r="T307" i="3"/>
  <c r="S307" i="3"/>
  <c r="T306" i="3"/>
  <c r="S306" i="3"/>
  <c r="T305" i="3"/>
  <c r="S305" i="3"/>
  <c r="T304" i="3"/>
  <c r="S304" i="3"/>
  <c r="T303" i="3"/>
  <c r="S303" i="3"/>
  <c r="T302" i="3"/>
  <c r="S302" i="3"/>
  <c r="T301" i="3"/>
  <c r="S301" i="3"/>
  <c r="T300" i="3"/>
  <c r="S300" i="3"/>
  <c r="T299" i="3"/>
  <c r="S299" i="3"/>
  <c r="T298" i="3"/>
  <c r="S298" i="3"/>
  <c r="T297" i="3"/>
  <c r="S297" i="3"/>
  <c r="T296" i="3"/>
  <c r="S296" i="3"/>
  <c r="T295" i="3"/>
  <c r="S295" i="3"/>
  <c r="T294" i="3"/>
  <c r="S294" i="3"/>
  <c r="T293" i="3"/>
  <c r="S293" i="3"/>
  <c r="T292" i="3"/>
  <c r="S292" i="3"/>
  <c r="T291" i="3"/>
  <c r="S291" i="3"/>
  <c r="T290" i="3"/>
  <c r="S290" i="3"/>
  <c r="T289" i="3"/>
  <c r="S289" i="3"/>
  <c r="T288" i="3"/>
  <c r="S288" i="3"/>
  <c r="T287" i="3"/>
  <c r="S287" i="3"/>
  <c r="T286" i="3"/>
  <c r="S286" i="3"/>
  <c r="T285" i="3"/>
  <c r="S285" i="3"/>
  <c r="T284" i="3"/>
  <c r="S284" i="3"/>
  <c r="T283" i="3"/>
  <c r="S283" i="3"/>
  <c r="T282" i="3"/>
  <c r="S282" i="3"/>
  <c r="T281" i="3"/>
  <c r="S281" i="3"/>
  <c r="T280" i="3"/>
  <c r="S280" i="3"/>
  <c r="T279" i="3"/>
  <c r="S279" i="3"/>
  <c r="T278" i="3"/>
  <c r="S278" i="3"/>
  <c r="T277" i="3"/>
  <c r="S277" i="3"/>
  <c r="T276" i="3"/>
  <c r="S276" i="3"/>
  <c r="T275" i="3"/>
  <c r="S275" i="3"/>
  <c r="T274" i="3"/>
  <c r="S274" i="3"/>
  <c r="T273" i="3"/>
  <c r="S273" i="3"/>
  <c r="T272" i="3"/>
  <c r="S272" i="3"/>
  <c r="T271" i="3"/>
  <c r="S271" i="3"/>
  <c r="T270" i="3"/>
  <c r="S270" i="3"/>
  <c r="T269" i="3"/>
  <c r="S269" i="3"/>
  <c r="T268" i="3"/>
  <c r="S268" i="3"/>
  <c r="T267" i="3"/>
  <c r="S267" i="3"/>
  <c r="T266" i="3"/>
  <c r="S266" i="3"/>
  <c r="T265" i="3"/>
  <c r="S265" i="3"/>
  <c r="T264" i="3"/>
  <c r="S264" i="3"/>
  <c r="T263" i="3"/>
  <c r="S263" i="3"/>
  <c r="T262" i="3"/>
  <c r="S262" i="3"/>
  <c r="T261" i="3"/>
  <c r="S261" i="3"/>
  <c r="T260" i="3"/>
  <c r="S260" i="3"/>
  <c r="T259" i="3"/>
  <c r="S259" i="3"/>
  <c r="T258" i="3"/>
  <c r="S258" i="3"/>
  <c r="T257" i="3"/>
  <c r="S257" i="3"/>
  <c r="T256" i="3"/>
  <c r="S256" i="3"/>
  <c r="T255" i="3"/>
  <c r="S255" i="3"/>
  <c r="T254" i="3"/>
  <c r="S254" i="3"/>
  <c r="T253" i="3"/>
  <c r="S253" i="3"/>
  <c r="T252" i="3"/>
  <c r="S252" i="3"/>
  <c r="T251" i="3"/>
  <c r="S251" i="3"/>
  <c r="T250" i="3"/>
  <c r="S250" i="3"/>
  <c r="T249" i="3"/>
  <c r="S249" i="3"/>
  <c r="T248" i="3"/>
  <c r="S248" i="3"/>
  <c r="T247" i="3"/>
  <c r="S247" i="3"/>
  <c r="T246" i="3"/>
  <c r="S246" i="3"/>
  <c r="T245" i="3"/>
  <c r="S245" i="3"/>
  <c r="T244" i="3"/>
  <c r="S244" i="3"/>
  <c r="T243" i="3"/>
  <c r="S243" i="3"/>
  <c r="T242" i="3"/>
  <c r="S242" i="3"/>
  <c r="T241" i="3"/>
  <c r="S241" i="3"/>
  <c r="T240" i="3"/>
  <c r="S240" i="3"/>
  <c r="T239" i="3"/>
  <c r="S239" i="3"/>
  <c r="T238" i="3"/>
  <c r="S238" i="3"/>
  <c r="T237" i="3"/>
  <c r="S237" i="3"/>
  <c r="T236" i="3"/>
  <c r="S236" i="3"/>
  <c r="T235" i="3"/>
  <c r="S235" i="3"/>
  <c r="T234" i="3"/>
  <c r="S234" i="3"/>
  <c r="T233" i="3"/>
  <c r="S233" i="3"/>
  <c r="T232" i="3"/>
  <c r="S232" i="3"/>
  <c r="T231" i="3"/>
  <c r="S231" i="3"/>
  <c r="T230" i="3"/>
  <c r="S230" i="3"/>
  <c r="T229" i="3"/>
  <c r="S229" i="3"/>
  <c r="T228" i="3"/>
  <c r="S228" i="3"/>
  <c r="T227" i="3"/>
  <c r="S227" i="3"/>
  <c r="T226" i="3"/>
  <c r="S226" i="3"/>
  <c r="T225" i="3"/>
  <c r="S225" i="3"/>
  <c r="T224" i="3"/>
  <c r="S224" i="3"/>
  <c r="T223" i="3"/>
  <c r="S223" i="3"/>
  <c r="T222" i="3"/>
  <c r="S222" i="3"/>
  <c r="T221" i="3"/>
  <c r="S221" i="3"/>
  <c r="T220" i="3"/>
  <c r="S220" i="3"/>
  <c r="T219" i="3"/>
  <c r="S219" i="3"/>
  <c r="T218" i="3"/>
  <c r="S218" i="3"/>
  <c r="T217" i="3"/>
  <c r="S217" i="3"/>
  <c r="T216" i="3"/>
  <c r="S216" i="3"/>
  <c r="T215" i="3"/>
  <c r="S215" i="3"/>
  <c r="T214" i="3"/>
  <c r="S214" i="3"/>
  <c r="T213" i="3"/>
  <c r="S213" i="3"/>
  <c r="T212" i="3"/>
  <c r="S212" i="3"/>
  <c r="T211" i="3"/>
  <c r="S211" i="3"/>
  <c r="T210" i="3"/>
  <c r="S210" i="3"/>
  <c r="T209" i="3"/>
  <c r="S209" i="3"/>
  <c r="T208" i="3"/>
  <c r="S208" i="3"/>
  <c r="T207" i="3"/>
  <c r="S207" i="3"/>
  <c r="T206" i="3"/>
  <c r="S206" i="3"/>
  <c r="T205" i="3"/>
  <c r="S205" i="3"/>
  <c r="T204" i="3"/>
  <c r="S204" i="3"/>
  <c r="T203" i="3"/>
  <c r="S203" i="3"/>
  <c r="T202" i="3"/>
  <c r="S202" i="3"/>
  <c r="T201" i="3"/>
  <c r="S201" i="3"/>
  <c r="T200" i="3"/>
  <c r="S200" i="3"/>
  <c r="T199" i="3"/>
  <c r="S199" i="3"/>
  <c r="T198" i="3"/>
  <c r="S198" i="3"/>
  <c r="T197" i="3"/>
  <c r="S197" i="3"/>
  <c r="T196" i="3"/>
  <c r="S196" i="3"/>
  <c r="T195" i="3"/>
  <c r="S195" i="3"/>
  <c r="T194" i="3"/>
  <c r="S194" i="3"/>
  <c r="T193" i="3"/>
  <c r="S193" i="3"/>
  <c r="T192" i="3"/>
  <c r="S192" i="3"/>
  <c r="T191" i="3"/>
  <c r="S191" i="3"/>
  <c r="T190" i="3"/>
  <c r="S190" i="3"/>
  <c r="T189" i="3"/>
  <c r="S189" i="3"/>
  <c r="T188" i="3"/>
  <c r="S188" i="3"/>
  <c r="T187" i="3"/>
  <c r="S187" i="3"/>
  <c r="T186" i="3"/>
  <c r="S186" i="3"/>
  <c r="T185" i="3"/>
  <c r="S185" i="3"/>
  <c r="T184" i="3"/>
  <c r="S184" i="3"/>
  <c r="T183" i="3"/>
  <c r="S183" i="3"/>
  <c r="T182" i="3"/>
  <c r="S182" i="3"/>
  <c r="T181" i="3"/>
  <c r="S181" i="3"/>
  <c r="T180" i="3"/>
  <c r="S180" i="3"/>
  <c r="T179" i="3"/>
  <c r="S179" i="3"/>
  <c r="T178" i="3"/>
  <c r="S178" i="3"/>
  <c r="T177" i="3"/>
  <c r="S177" i="3"/>
  <c r="T176" i="3"/>
  <c r="S176" i="3"/>
  <c r="T175" i="3"/>
  <c r="S175" i="3"/>
  <c r="T174" i="3"/>
  <c r="S174" i="3"/>
  <c r="T173" i="3"/>
  <c r="S173" i="3"/>
  <c r="T172" i="3"/>
  <c r="S172" i="3"/>
  <c r="T171" i="3"/>
  <c r="S171" i="3"/>
  <c r="T170" i="3"/>
  <c r="S170" i="3"/>
  <c r="T169" i="3"/>
  <c r="S169" i="3"/>
  <c r="T168" i="3"/>
  <c r="S168" i="3"/>
  <c r="T167" i="3"/>
  <c r="S167" i="3"/>
  <c r="T166" i="3"/>
  <c r="S166" i="3"/>
  <c r="T165" i="3"/>
  <c r="S165" i="3"/>
  <c r="T164" i="3"/>
  <c r="S164" i="3"/>
  <c r="T163" i="3"/>
  <c r="S163" i="3"/>
  <c r="T162" i="3"/>
  <c r="S162" i="3"/>
  <c r="T161" i="3"/>
  <c r="S161" i="3"/>
  <c r="T160" i="3"/>
  <c r="S160" i="3"/>
  <c r="T159" i="3"/>
  <c r="S159" i="3"/>
  <c r="T158" i="3"/>
  <c r="S158" i="3"/>
  <c r="T157" i="3"/>
  <c r="S157" i="3"/>
  <c r="T156" i="3"/>
  <c r="S156" i="3"/>
  <c r="T155" i="3"/>
  <c r="S155" i="3"/>
  <c r="T154" i="3"/>
  <c r="S154" i="3"/>
  <c r="T153" i="3"/>
  <c r="S153" i="3"/>
  <c r="T152" i="3"/>
  <c r="S152" i="3"/>
  <c r="T151" i="3"/>
  <c r="S151" i="3"/>
  <c r="T150" i="3"/>
  <c r="S150" i="3"/>
  <c r="T149" i="3"/>
  <c r="S149" i="3"/>
  <c r="T148" i="3"/>
  <c r="S148" i="3"/>
  <c r="T147" i="3"/>
  <c r="S147" i="3"/>
  <c r="T146" i="3"/>
  <c r="S146" i="3"/>
  <c r="T145" i="3"/>
  <c r="S145" i="3"/>
  <c r="T144" i="3"/>
  <c r="S144" i="3"/>
  <c r="T143" i="3"/>
  <c r="S143" i="3"/>
  <c r="T142" i="3"/>
  <c r="S142" i="3"/>
  <c r="T141" i="3"/>
  <c r="S141" i="3"/>
  <c r="T140" i="3"/>
  <c r="S140" i="3"/>
  <c r="T139" i="3"/>
  <c r="S139" i="3"/>
  <c r="T138" i="3"/>
  <c r="S138" i="3"/>
  <c r="T137" i="3"/>
  <c r="S137" i="3"/>
  <c r="T136" i="3"/>
  <c r="S136" i="3"/>
  <c r="T135" i="3"/>
  <c r="S135" i="3"/>
  <c r="T134" i="3"/>
  <c r="S134" i="3"/>
  <c r="T133" i="3"/>
  <c r="S133" i="3"/>
  <c r="T132" i="3"/>
  <c r="S132" i="3"/>
  <c r="T131" i="3"/>
  <c r="S131" i="3"/>
  <c r="T130" i="3"/>
  <c r="S130" i="3"/>
  <c r="T129" i="3"/>
  <c r="S129" i="3"/>
  <c r="T128" i="3"/>
  <c r="S128" i="3"/>
  <c r="T127" i="3"/>
  <c r="S127" i="3"/>
  <c r="T126" i="3"/>
  <c r="S126" i="3"/>
  <c r="T125" i="3"/>
  <c r="S125" i="3"/>
  <c r="T124" i="3"/>
  <c r="S124" i="3"/>
  <c r="T123" i="3"/>
  <c r="S123" i="3"/>
  <c r="T122" i="3"/>
  <c r="S122" i="3"/>
  <c r="T121" i="3"/>
  <c r="S121" i="3"/>
  <c r="T120" i="3"/>
  <c r="S120" i="3"/>
  <c r="T119" i="3"/>
  <c r="S119" i="3"/>
  <c r="T118" i="3"/>
  <c r="S118" i="3"/>
  <c r="T117" i="3"/>
  <c r="S117" i="3"/>
  <c r="T116" i="3"/>
  <c r="S116" i="3"/>
  <c r="T115" i="3"/>
  <c r="S115" i="3"/>
  <c r="T114" i="3"/>
  <c r="S114" i="3"/>
  <c r="T113" i="3"/>
  <c r="S113" i="3"/>
  <c r="T112" i="3"/>
  <c r="S112" i="3"/>
  <c r="T111" i="3"/>
  <c r="S111" i="3"/>
  <c r="T110" i="3"/>
  <c r="S110" i="3"/>
  <c r="T109" i="3"/>
  <c r="S109" i="3"/>
  <c r="T108" i="3"/>
  <c r="S108" i="3"/>
  <c r="T107" i="3"/>
  <c r="S107" i="3"/>
  <c r="T106" i="3"/>
  <c r="S106" i="3"/>
  <c r="T105" i="3"/>
  <c r="S105" i="3"/>
  <c r="T104" i="3"/>
  <c r="S104" i="3"/>
  <c r="T103" i="3"/>
  <c r="S103" i="3"/>
  <c r="T102" i="3"/>
  <c r="S102" i="3"/>
  <c r="T101" i="3"/>
  <c r="S101" i="3"/>
  <c r="T100" i="3"/>
  <c r="S100" i="3"/>
  <c r="T99" i="3"/>
  <c r="S99" i="3"/>
  <c r="T98" i="3"/>
  <c r="S98" i="3"/>
  <c r="T97" i="3"/>
  <c r="S97" i="3"/>
  <c r="T96" i="3"/>
  <c r="S96" i="3"/>
  <c r="T95" i="3"/>
  <c r="S95" i="3"/>
  <c r="T94" i="3"/>
  <c r="S94" i="3"/>
  <c r="T93" i="3"/>
  <c r="S93" i="3"/>
  <c r="T92" i="3"/>
  <c r="S92" i="3"/>
  <c r="T91" i="3"/>
  <c r="S91" i="3"/>
  <c r="T90" i="3"/>
  <c r="S90" i="3"/>
  <c r="T89" i="3"/>
  <c r="S89" i="3"/>
  <c r="T88" i="3"/>
  <c r="S88" i="3"/>
  <c r="T87" i="3"/>
  <c r="S87" i="3"/>
  <c r="T86" i="3"/>
  <c r="S86" i="3"/>
  <c r="T85" i="3"/>
  <c r="S85" i="3"/>
  <c r="T84" i="3"/>
  <c r="S84" i="3"/>
  <c r="T83" i="3"/>
  <c r="S83" i="3"/>
  <c r="T82" i="3"/>
  <c r="S82" i="3"/>
  <c r="T81" i="3"/>
  <c r="S81" i="3"/>
  <c r="T80" i="3"/>
  <c r="S80" i="3"/>
  <c r="T79" i="3"/>
  <c r="S79" i="3"/>
  <c r="T78" i="3"/>
  <c r="S78" i="3"/>
  <c r="T77" i="3"/>
  <c r="S77" i="3"/>
  <c r="T76" i="3"/>
  <c r="S76" i="3"/>
  <c r="T75" i="3"/>
  <c r="S75" i="3"/>
  <c r="T74" i="3"/>
  <c r="S74" i="3"/>
  <c r="T73" i="3"/>
  <c r="S73" i="3"/>
  <c r="T72" i="3"/>
  <c r="S72" i="3"/>
  <c r="T71" i="3"/>
  <c r="S71" i="3"/>
  <c r="T70" i="3"/>
  <c r="S70" i="3"/>
  <c r="T69" i="3"/>
  <c r="S69" i="3"/>
  <c r="T68" i="3"/>
  <c r="S68" i="3"/>
  <c r="T67" i="3"/>
  <c r="S67" i="3"/>
  <c r="T66" i="3"/>
  <c r="S66" i="3"/>
  <c r="T65" i="3"/>
  <c r="S65" i="3"/>
  <c r="T64" i="3"/>
  <c r="S64" i="3"/>
  <c r="T63" i="3"/>
  <c r="S63" i="3"/>
  <c r="T62" i="3"/>
  <c r="S62" i="3"/>
  <c r="T61" i="3"/>
  <c r="S61" i="3"/>
  <c r="T60" i="3"/>
  <c r="S60" i="3"/>
  <c r="T59" i="3"/>
  <c r="S59" i="3"/>
  <c r="T58" i="3"/>
  <c r="S58" i="3"/>
  <c r="T57" i="3"/>
  <c r="S57" i="3"/>
  <c r="T56" i="3"/>
  <c r="S56" i="3"/>
  <c r="T55" i="3"/>
  <c r="S55" i="3"/>
  <c r="T54" i="3"/>
  <c r="S54" i="3"/>
  <c r="T53" i="3"/>
  <c r="S53" i="3"/>
  <c r="T52" i="3"/>
  <c r="S52" i="3"/>
  <c r="T51" i="3"/>
  <c r="S51" i="3"/>
  <c r="T50" i="3"/>
  <c r="S50" i="3"/>
  <c r="T49" i="3"/>
  <c r="S49" i="3"/>
  <c r="T48" i="3"/>
  <c r="S48" i="3"/>
  <c r="T47" i="3"/>
  <c r="S47" i="3"/>
  <c r="T46" i="3"/>
  <c r="S46" i="3"/>
  <c r="T45" i="3"/>
  <c r="S45" i="3"/>
  <c r="T44" i="3"/>
  <c r="S44" i="3"/>
  <c r="T43" i="3"/>
  <c r="S43" i="3"/>
  <c r="T42" i="3"/>
  <c r="S42" i="3"/>
  <c r="T41" i="3"/>
  <c r="S41" i="3"/>
  <c r="T40" i="3"/>
  <c r="S40" i="3"/>
  <c r="T39" i="3"/>
  <c r="S39" i="3"/>
  <c r="T38" i="3"/>
  <c r="S38" i="3"/>
  <c r="T37" i="3"/>
  <c r="S37" i="3"/>
  <c r="T36" i="3"/>
  <c r="S36" i="3"/>
  <c r="T35" i="3"/>
  <c r="S35" i="3"/>
  <c r="T34" i="3"/>
  <c r="S34" i="3"/>
  <c r="T33" i="3"/>
  <c r="S33" i="3"/>
  <c r="T32" i="3"/>
  <c r="S32" i="3"/>
  <c r="T31" i="3"/>
  <c r="S31" i="3"/>
  <c r="T30" i="3"/>
  <c r="S30" i="3"/>
  <c r="T29" i="3"/>
  <c r="S29" i="3"/>
  <c r="T28" i="3"/>
  <c r="S28" i="3"/>
  <c r="T27" i="3"/>
  <c r="S27" i="3"/>
  <c r="T26" i="3"/>
  <c r="S26" i="3"/>
  <c r="T25" i="3"/>
  <c r="S25" i="3"/>
  <c r="T24" i="3"/>
  <c r="S24" i="3"/>
  <c r="T23" i="3"/>
  <c r="S23" i="3"/>
  <c r="T22" i="3"/>
  <c r="S22" i="3"/>
  <c r="T21" i="3"/>
  <c r="S21" i="3"/>
  <c r="T20" i="3"/>
  <c r="S20" i="3"/>
  <c r="T19" i="3"/>
  <c r="S19" i="3"/>
  <c r="T18" i="3"/>
  <c r="S18" i="3"/>
  <c r="T17" i="3"/>
  <c r="S17" i="3"/>
  <c r="T16" i="3"/>
  <c r="S16" i="3"/>
  <c r="T15" i="3"/>
  <c r="S15" i="3"/>
  <c r="T14" i="3"/>
  <c r="S14" i="3"/>
  <c r="T13" i="3"/>
  <c r="S13" i="3"/>
  <c r="T12" i="3"/>
  <c r="S12" i="3"/>
  <c r="T11" i="3"/>
  <c r="S11" i="3"/>
  <c r="T10" i="3"/>
  <c r="S10" i="3"/>
  <c r="T9" i="3"/>
  <c r="S9" i="3"/>
  <c r="T8" i="3"/>
  <c r="S8" i="3"/>
  <c r="T7" i="3"/>
  <c r="S7" i="3"/>
  <c r="T6" i="3"/>
  <c r="S6" i="3"/>
  <c r="T5" i="3"/>
  <c r="S5" i="3"/>
  <c r="T4" i="3"/>
  <c r="S4" i="3"/>
  <c r="C5" i="3"/>
  <c r="C4" i="3"/>
  <c r="J10" i="10" l="1"/>
  <c r="M9" i="10"/>
  <c r="N8" i="10"/>
  <c r="M7" i="10"/>
  <c r="N9" i="10"/>
  <c r="M8" i="10"/>
  <c r="N7" i="10"/>
  <c r="L8" i="10"/>
  <c r="I10" i="10"/>
  <c r="L7" i="10"/>
  <c r="L9" i="10"/>
  <c r="K10" i="10"/>
  <c r="P5" i="10"/>
  <c r="A2120" i="1"/>
  <c r="A2119" i="1"/>
  <c r="A2118" i="1"/>
  <c r="A2117" i="1"/>
  <c r="A2116" i="1"/>
  <c r="M10" i="10" l="1"/>
  <c r="Q8" i="10"/>
  <c r="Q9" i="10"/>
  <c r="P9" i="10"/>
  <c r="Q7" i="10"/>
  <c r="Q10" i="10" s="1"/>
  <c r="P8" i="10"/>
  <c r="P7" i="10"/>
  <c r="S5" i="10"/>
  <c r="N10" i="10"/>
  <c r="O8" i="10"/>
  <c r="L10" i="10"/>
  <c r="O7" i="10"/>
  <c r="O9" i="10"/>
  <c r="H15" i="2"/>
  <c r="A2115" i="1"/>
  <c r="A2114" i="1"/>
  <c r="A2113" i="1"/>
  <c r="A2112" i="1"/>
  <c r="A2111" i="1"/>
  <c r="A2110" i="1"/>
  <c r="A2109" i="1"/>
  <c r="A2108" i="1"/>
  <c r="A2107" i="1"/>
  <c r="A2106" i="1"/>
  <c r="A2105" i="1"/>
  <c r="A2104" i="1"/>
  <c r="A2103" i="1"/>
  <c r="A2102" i="1"/>
  <c r="A2101" i="1"/>
  <c r="A2100" i="1"/>
  <c r="A2099" i="1"/>
  <c r="A2098" i="1"/>
  <c r="A2097" i="1"/>
  <c r="A2096" i="1"/>
  <c r="A2095" i="1"/>
  <c r="A2094" i="1"/>
  <c r="A2093" i="1"/>
  <c r="A2092" i="1"/>
  <c r="A2091" i="1"/>
  <c r="A2090" i="1"/>
  <c r="A2089" i="1"/>
  <c r="A2088" i="1"/>
  <c r="A2087" i="1"/>
  <c r="A2086" i="1"/>
  <c r="A2085" i="1"/>
  <c r="A2084" i="1"/>
  <c r="A2083" i="1"/>
  <c r="A2082" i="1"/>
  <c r="A2081" i="1"/>
  <c r="A2080" i="1"/>
  <c r="A2079" i="1"/>
  <c r="A2078" i="1"/>
  <c r="A2077" i="1"/>
  <c r="A2076" i="1"/>
  <c r="A2075" i="1"/>
  <c r="A2074" i="1"/>
  <c r="A2073" i="1"/>
  <c r="A2072" i="1"/>
  <c r="A2071" i="1"/>
  <c r="A2070" i="1"/>
  <c r="A2069" i="1"/>
  <c r="A2068" i="1"/>
  <c r="A2067" i="1"/>
  <c r="A2066" i="1"/>
  <c r="A2065" i="1"/>
  <c r="A2064" i="1"/>
  <c r="A2063" i="1"/>
  <c r="A2062" i="1"/>
  <c r="A2061" i="1"/>
  <c r="A2060" i="1"/>
  <c r="A2059" i="1"/>
  <c r="A2058" i="1"/>
  <c r="A2057" i="1"/>
  <c r="A2056" i="1"/>
  <c r="P10" i="10" l="1"/>
  <c r="S9" i="10"/>
  <c r="T8" i="10"/>
  <c r="S7" i="10"/>
  <c r="T9" i="10"/>
  <c r="S8" i="10"/>
  <c r="T7" i="10"/>
  <c r="V5" i="10"/>
  <c r="R8" i="10"/>
  <c r="R9" i="10"/>
  <c r="O10" i="10"/>
  <c r="R7" i="10"/>
  <c r="H12" i="2"/>
  <c r="S10" i="10" l="1"/>
  <c r="W8" i="10"/>
  <c r="W9" i="10"/>
  <c r="V9" i="10"/>
  <c r="W7" i="10"/>
  <c r="V8" i="10"/>
  <c r="V7" i="10"/>
  <c r="V10" i="10" s="1"/>
  <c r="T10" i="10"/>
  <c r="U9" i="10"/>
  <c r="Y5" i="10"/>
  <c r="R10" i="10"/>
  <c r="U7" i="10"/>
  <c r="U8" i="10"/>
  <c r="H7" i="2"/>
  <c r="H8" i="2"/>
  <c r="E8" i="2" s="1"/>
  <c r="G8" i="2" s="1"/>
  <c r="Y9" i="10" l="1"/>
  <c r="Z8" i="10"/>
  <c r="Y7" i="10"/>
  <c r="Z9" i="10"/>
  <c r="Y8" i="10"/>
  <c r="Z7" i="10"/>
  <c r="W10" i="10"/>
  <c r="X8" i="10"/>
  <c r="U10" i="10"/>
  <c r="X7" i="10"/>
  <c r="AB5" i="10"/>
  <c r="X9" i="10"/>
  <c r="A2055" i="1"/>
  <c r="A2054" i="1"/>
  <c r="A2053" i="1"/>
  <c r="A2052" i="1"/>
  <c r="A2051" i="1"/>
  <c r="A2050" i="1"/>
  <c r="A2049" i="1"/>
  <c r="A2048" i="1"/>
  <c r="A2047" i="1"/>
  <c r="A2046" i="1"/>
  <c r="A2045" i="1"/>
  <c r="A2044" i="1"/>
  <c r="A2043" i="1"/>
  <c r="A2042" i="1"/>
  <c r="A2041" i="1"/>
  <c r="A2040" i="1"/>
  <c r="A2039" i="1"/>
  <c r="A2038" i="1"/>
  <c r="A2037" i="1"/>
  <c r="A2036" i="1"/>
  <c r="A2035" i="1"/>
  <c r="A2034" i="1"/>
  <c r="A2033" i="1"/>
  <c r="A2032" i="1"/>
  <c r="A2031" i="1"/>
  <c r="A2030" i="1"/>
  <c r="A2029" i="1"/>
  <c r="A2028" i="1"/>
  <c r="A2027" i="1"/>
  <c r="A2026" i="1"/>
  <c r="A2025" i="1"/>
  <c r="A2024" i="1"/>
  <c r="A2023" i="1"/>
  <c r="A2022" i="1"/>
  <c r="A2021" i="1"/>
  <c r="A2020" i="1"/>
  <c r="A2019" i="1"/>
  <c r="A2018" i="1"/>
  <c r="A2017" i="1"/>
  <c r="A2016" i="1"/>
  <c r="A2015" i="1"/>
  <c r="A2014" i="1"/>
  <c r="A2013" i="1"/>
  <c r="A2012" i="1"/>
  <c r="A2011" i="1"/>
  <c r="A2010" i="1"/>
  <c r="A2009" i="1"/>
  <c r="A2008" i="1"/>
  <c r="A2007" i="1"/>
  <c r="Y10" i="10" l="1"/>
  <c r="AC8" i="10"/>
  <c r="AC9" i="10"/>
  <c r="AB9" i="10"/>
  <c r="AC7" i="10"/>
  <c r="AB7" i="10"/>
  <c r="AB8" i="10"/>
  <c r="Z10" i="10"/>
  <c r="AA7" i="10"/>
  <c r="X10" i="10"/>
  <c r="AE5" i="10"/>
  <c r="AA9" i="10"/>
  <c r="AA8" i="10"/>
  <c r="E9" i="2"/>
  <c r="G9" i="2" s="1"/>
  <c r="AC10" i="10" l="1"/>
  <c r="AB10" i="10"/>
  <c r="AE9" i="10"/>
  <c r="AF8" i="10"/>
  <c r="AE7" i="10"/>
  <c r="AF9" i="10"/>
  <c r="AE8" i="10"/>
  <c r="AF7" i="10"/>
  <c r="AD8" i="10"/>
  <c r="AH5" i="10"/>
  <c r="AD9" i="10"/>
  <c r="AD7" i="10"/>
  <c r="AA10" i="10"/>
  <c r="A2006" i="1"/>
  <c r="A2005" i="1"/>
  <c r="A2004" i="1"/>
  <c r="A2003" i="1"/>
  <c r="A2002" i="1"/>
  <c r="A2001" i="1"/>
  <c r="A2000" i="1"/>
  <c r="A1999" i="1"/>
  <c r="A1998" i="1"/>
  <c r="A1997" i="1"/>
  <c r="A1996" i="1"/>
  <c r="A1995" i="1"/>
  <c r="A1994" i="1"/>
  <c r="A1993" i="1"/>
  <c r="A1992" i="1"/>
  <c r="A1991" i="1"/>
  <c r="A1990" i="1"/>
  <c r="A1989" i="1"/>
  <c r="A1988" i="1"/>
  <c r="A1987" i="1"/>
  <c r="A1986" i="1"/>
  <c r="A1985" i="1"/>
  <c r="A1984" i="1"/>
  <c r="A1983" i="1"/>
  <c r="A1982" i="1"/>
  <c r="A1981" i="1"/>
  <c r="A1980" i="1"/>
  <c r="A1979" i="1"/>
  <c r="AF10" i="10" l="1"/>
  <c r="AI8" i="10"/>
  <c r="AI9" i="10"/>
  <c r="AH9" i="10"/>
  <c r="AI7" i="10"/>
  <c r="AI10" i="10" s="1"/>
  <c r="AH8" i="10"/>
  <c r="AH7" i="10"/>
  <c r="AK5" i="10"/>
  <c r="AD10" i="10"/>
  <c r="AG7" i="10"/>
  <c r="AG9" i="10"/>
  <c r="AE10" i="10"/>
  <c r="AG8" i="10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H10" i="10" l="1"/>
  <c r="AK9" i="10"/>
  <c r="AL8" i="10"/>
  <c r="AK7" i="10"/>
  <c r="AL9" i="10"/>
  <c r="AK8" i="10"/>
  <c r="AL7" i="10"/>
  <c r="AJ9" i="10"/>
  <c r="AJ7" i="10"/>
  <c r="AG10" i="10"/>
  <c r="AJ8" i="10"/>
  <c r="AN5" i="10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L10" i="10" l="1"/>
  <c r="AK10" i="10"/>
  <c r="AO8" i="10"/>
  <c r="AO9" i="10"/>
  <c r="AN9" i="10"/>
  <c r="AO7" i="10"/>
  <c r="AN8" i="10"/>
  <c r="AN7" i="10"/>
  <c r="AQ5" i="10"/>
  <c r="AM8" i="10"/>
  <c r="AJ10" i="10"/>
  <c r="AM7" i="10"/>
  <c r="AM9" i="10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Q9" i="10" l="1"/>
  <c r="AR8" i="10"/>
  <c r="AQ7" i="10"/>
  <c r="AR9" i="10"/>
  <c r="AQ8" i="10"/>
  <c r="AQ10" i="10" s="1"/>
  <c r="AR7" i="10"/>
  <c r="AO10" i="10"/>
  <c r="AP8" i="10"/>
  <c r="AP9" i="10"/>
  <c r="AM10" i="10"/>
  <c r="AP7" i="10"/>
  <c r="AT5" i="10"/>
  <c r="AN10" i="10"/>
  <c r="E15" i="2"/>
  <c r="G15" i="2" s="1"/>
  <c r="AR10" i="10" l="1"/>
  <c r="AU8" i="10"/>
  <c r="AU9" i="10"/>
  <c r="AT9" i="10"/>
  <c r="AU7" i="10"/>
  <c r="AT8" i="10"/>
  <c r="AT7" i="10"/>
  <c r="AW5" i="10"/>
  <c r="AS9" i="10"/>
  <c r="AS8" i="10"/>
  <c r="AP10" i="10"/>
  <c r="AS7" i="10"/>
  <c r="H17" i="2"/>
  <c r="H14" i="2"/>
  <c r="H11" i="2"/>
  <c r="H10" i="2"/>
  <c r="AW9" i="10" l="1"/>
  <c r="AX8" i="10"/>
  <c r="AW7" i="10"/>
  <c r="AX9" i="10"/>
  <c r="AW8" i="10"/>
  <c r="AX7" i="10"/>
  <c r="AU10" i="10"/>
  <c r="AZ5" i="10"/>
  <c r="AV8" i="10"/>
  <c r="AV9" i="10"/>
  <c r="AV7" i="10"/>
  <c r="AS10" i="10"/>
  <c r="AT10" i="10"/>
  <c r="E17" i="2"/>
  <c r="G17" i="2" s="1"/>
  <c r="E14" i="2"/>
  <c r="G14" i="2" s="1"/>
  <c r="E13" i="2"/>
  <c r="G13" i="2" s="1"/>
  <c r="E12" i="2"/>
  <c r="G12" i="2" s="1"/>
  <c r="E11" i="2"/>
  <c r="G11" i="2" s="1"/>
  <c r="E10" i="2"/>
  <c r="G10" i="2" s="1"/>
  <c r="E7" i="2"/>
  <c r="I18" i="2"/>
  <c r="AW10" i="10" l="1"/>
  <c r="BA8" i="10"/>
  <c r="BA9" i="10"/>
  <c r="AZ9" i="10"/>
  <c r="BA7" i="10"/>
  <c r="AZ7" i="10"/>
  <c r="AZ8" i="10"/>
  <c r="AX10" i="10"/>
  <c r="AY7" i="10"/>
  <c r="AV10" i="10"/>
  <c r="AY9" i="10"/>
  <c r="AY8" i="10"/>
  <c r="BC5" i="10"/>
  <c r="G7" i="2"/>
  <c r="G18" i="2" s="1"/>
  <c r="E1" i="3" s="1"/>
  <c r="E18" i="2"/>
  <c r="H18" i="2"/>
  <c r="A1924" i="1"/>
  <c r="A1925" i="1"/>
  <c r="A1926" i="1"/>
  <c r="BA10" i="10" l="1"/>
  <c r="BC9" i="10"/>
  <c r="BD8" i="10"/>
  <c r="BC7" i="10"/>
  <c r="BD9" i="10"/>
  <c r="BC8" i="10"/>
  <c r="BD7" i="10"/>
  <c r="BB9" i="10"/>
  <c r="AZ10" i="10"/>
  <c r="BF5" i="10"/>
  <c r="AY10" i="10"/>
  <c r="BB7" i="10"/>
  <c r="BB8" i="10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BG8" i="10" l="1"/>
  <c r="BG9" i="10"/>
  <c r="BF9" i="10"/>
  <c r="BG7" i="10"/>
  <c r="BF8" i="10"/>
  <c r="BF7" i="10"/>
  <c r="BE8" i="10"/>
  <c r="BD10" i="10"/>
  <c r="BB10" i="10"/>
  <c r="BE7" i="10"/>
  <c r="BC10" i="10"/>
  <c r="BI5" i="10"/>
  <c r="BE9" i="10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BF10" i="10" l="1"/>
  <c r="BI9" i="10"/>
  <c r="BJ8" i="10"/>
  <c r="BI7" i="10"/>
  <c r="BJ9" i="10"/>
  <c r="BI8" i="10"/>
  <c r="BJ7" i="10"/>
  <c r="BL5" i="10"/>
  <c r="BH9" i="10"/>
  <c r="BH7" i="10"/>
  <c r="BE10" i="10"/>
  <c r="BG10" i="10"/>
  <c r="BH8" i="10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F5" i="7"/>
  <c r="BI10" i="10" l="1"/>
  <c r="BJ10" i="10"/>
  <c r="BM8" i="10"/>
  <c r="BM9" i="10"/>
  <c r="BL9" i="10"/>
  <c r="BM7" i="10"/>
  <c r="BL8" i="10"/>
  <c r="BL7" i="10"/>
  <c r="BH10" i="10"/>
  <c r="BK7" i="10"/>
  <c r="BO5" i="10"/>
  <c r="BK8" i="10"/>
  <c r="BK9" i="10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BM10" i="10" l="1"/>
  <c r="BO9" i="10"/>
  <c r="BP8" i="10"/>
  <c r="BO7" i="10"/>
  <c r="BP9" i="10"/>
  <c r="BO8" i="10"/>
  <c r="BP7" i="10"/>
  <c r="BN9" i="10"/>
  <c r="BN8" i="10"/>
  <c r="BR5" i="10"/>
  <c r="BL10" i="10"/>
  <c r="BK10" i="10"/>
  <c r="BN7" i="10"/>
  <c r="CB23" i="7"/>
  <c r="CB22" i="7"/>
  <c r="CB21" i="7"/>
  <c r="CB20" i="7"/>
  <c r="CB19" i="7"/>
  <c r="CB18" i="7"/>
  <c r="CB17" i="7"/>
  <c r="CB16" i="7"/>
  <c r="CB15" i="7"/>
  <c r="CB14" i="7"/>
  <c r="CB13" i="7"/>
  <c r="CB12" i="7"/>
  <c r="CB11" i="7"/>
  <c r="CB10" i="7"/>
  <c r="CB9" i="7"/>
  <c r="CB8" i="7"/>
  <c r="CB7" i="7"/>
  <c r="BP10" i="10" l="1"/>
  <c r="BO10" i="10"/>
  <c r="BS8" i="10"/>
  <c r="BS9" i="10"/>
  <c r="BR9" i="10"/>
  <c r="BS7" i="10"/>
  <c r="BR8" i="10"/>
  <c r="BR7" i="10"/>
  <c r="BQ8" i="10"/>
  <c r="BN10" i="10"/>
  <c r="BQ7" i="10"/>
  <c r="BU5" i="10"/>
  <c r="BQ9" i="10"/>
  <c r="CA24" i="7"/>
  <c r="BZ24" i="7"/>
  <c r="BY24" i="7"/>
  <c r="BX24" i="7"/>
  <c r="BW24" i="7"/>
  <c r="BV24" i="7"/>
  <c r="BU24" i="7"/>
  <c r="BT24" i="7"/>
  <c r="BS24" i="7"/>
  <c r="BR24" i="7"/>
  <c r="BQ24" i="7"/>
  <c r="BP24" i="7"/>
  <c r="BO24" i="7"/>
  <c r="BN24" i="7"/>
  <c r="BM24" i="7"/>
  <c r="BL24" i="7"/>
  <c r="BK24" i="7"/>
  <c r="BJ24" i="7"/>
  <c r="BI24" i="7"/>
  <c r="BH24" i="7"/>
  <c r="BS10" i="10" l="1"/>
  <c r="BU9" i="10"/>
  <c r="BV8" i="10"/>
  <c r="BU7" i="10"/>
  <c r="BV9" i="10"/>
  <c r="BU8" i="10"/>
  <c r="BV7" i="10"/>
  <c r="BR10" i="10"/>
  <c r="BT9" i="10"/>
  <c r="BX5" i="10"/>
  <c r="BT7" i="10"/>
  <c r="BQ10" i="10"/>
  <c r="BT8" i="10"/>
  <c r="Q24" i="7"/>
  <c r="R24" i="7"/>
  <c r="BY8" i="10" l="1"/>
  <c r="BY9" i="10"/>
  <c r="BX9" i="10"/>
  <c r="BY7" i="10"/>
  <c r="BX7" i="10"/>
  <c r="BX8" i="10"/>
  <c r="BV10" i="10"/>
  <c r="BW8" i="10"/>
  <c r="CA5" i="10"/>
  <c r="BT10" i="10"/>
  <c r="BW7" i="10"/>
  <c r="BU10" i="10"/>
  <c r="BW9" i="10"/>
  <c r="H4" i="3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89" i="4"/>
  <c r="C90" i="4" s="1"/>
  <c r="C91" i="4" s="1"/>
  <c r="C87" i="4"/>
  <c r="C88" i="4" s="1"/>
  <c r="C86" i="4"/>
  <c r="C85" i="4"/>
  <c r="C75" i="4"/>
  <c r="C76" i="4" s="1"/>
  <c r="C77" i="4" s="1"/>
  <c r="C78" i="4" s="1"/>
  <c r="C79" i="4" s="1"/>
  <c r="C80" i="4" s="1"/>
  <c r="C81" i="4" s="1"/>
  <c r="C82" i="4" s="1"/>
  <c r="C83" i="4" s="1"/>
  <c r="C84" i="4" s="1"/>
  <c r="C73" i="4"/>
  <c r="C74" i="4" s="1"/>
  <c r="C72" i="4"/>
  <c r="C69" i="4"/>
  <c r="C70" i="4" s="1"/>
  <c r="C71" i="4" s="1"/>
  <c r="C68" i="4"/>
  <c r="C67" i="4"/>
  <c r="C66" i="4"/>
  <c r="C19" i="4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C33" i="4" s="1"/>
  <c r="C34" i="4" s="1"/>
  <c r="C35" i="4" s="1"/>
  <c r="C36" i="4" s="1"/>
  <c r="C37" i="4" s="1"/>
  <c r="C38" i="4" s="1"/>
  <c r="C39" i="4" s="1"/>
  <c r="C40" i="4" s="1"/>
  <c r="C41" i="4" s="1"/>
  <c r="C42" i="4" s="1"/>
  <c r="C43" i="4" s="1"/>
  <c r="C44" i="4" s="1"/>
  <c r="C45" i="4" s="1"/>
  <c r="C46" i="4" s="1"/>
  <c r="C47" i="4" s="1"/>
  <c r="C48" i="4" s="1"/>
  <c r="C49" i="4" s="1"/>
  <c r="C50" i="4" s="1"/>
  <c r="C51" i="4" s="1"/>
  <c r="C52" i="4" s="1"/>
  <c r="C53" i="4" s="1"/>
  <c r="C54" i="4" s="1"/>
  <c r="C55" i="4" s="1"/>
  <c r="C56" i="4" s="1"/>
  <c r="C57" i="4" s="1"/>
  <c r="C58" i="4" s="1"/>
  <c r="C59" i="4" s="1"/>
  <c r="C60" i="4" s="1"/>
  <c r="C61" i="4" s="1"/>
  <c r="C62" i="4" s="1"/>
  <c r="C63" i="4" s="1"/>
  <c r="C64" i="4" s="1"/>
  <c r="C65" i="4" s="1"/>
  <c r="C5" i="4"/>
  <c r="C6" i="4" s="1"/>
  <c r="C7" i="4" s="1"/>
  <c r="C8" i="4" s="1"/>
  <c r="C9" i="4" s="1"/>
  <c r="C10" i="4" s="1"/>
  <c r="C11" i="4" s="1"/>
  <c r="C12" i="4" s="1"/>
  <c r="C13" i="4" s="1"/>
  <c r="C14" i="4" s="1"/>
  <c r="C15" i="4" s="1"/>
  <c r="C16" i="4" s="1"/>
  <c r="C17" i="4" s="1"/>
  <c r="C18" i="4" s="1"/>
  <c r="C46" i="5"/>
  <c r="C45" i="5"/>
  <c r="C44" i="5"/>
  <c r="C43" i="5"/>
  <c r="C42" i="5"/>
  <c r="C41" i="5"/>
  <c r="C40" i="5"/>
  <c r="C39" i="5"/>
  <c r="C38" i="5"/>
  <c r="C37" i="5"/>
  <c r="C34" i="5"/>
  <c r="C35" i="5" s="1"/>
  <c r="C36" i="5" s="1"/>
  <c r="C33" i="5"/>
  <c r="C32" i="5"/>
  <c r="C31" i="5"/>
  <c r="C30" i="5"/>
  <c r="C29" i="5"/>
  <c r="C28" i="5"/>
  <c r="C27" i="5"/>
  <c r="C23" i="5"/>
  <c r="C24" i="5" s="1"/>
  <c r="C25" i="5" s="1"/>
  <c r="C26" i="5" s="1"/>
  <c r="C22" i="5"/>
  <c r="C21" i="5"/>
  <c r="C6" i="5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5" i="5"/>
  <c r="F5" i="3"/>
  <c r="BY10" i="10" l="1"/>
  <c r="CA9" i="10"/>
  <c r="CB8" i="10"/>
  <c r="CA7" i="10"/>
  <c r="CB9" i="10"/>
  <c r="CA8" i="10"/>
  <c r="CB7" i="10"/>
  <c r="CD5" i="10"/>
  <c r="BX10" i="10"/>
  <c r="BZ9" i="10"/>
  <c r="BZ7" i="10"/>
  <c r="BW10" i="10"/>
  <c r="BZ8" i="10"/>
  <c r="F6" i="3"/>
  <c r="C10" i="7"/>
  <c r="CE10" i="7" s="1"/>
  <c r="C6" i="3" l="1"/>
  <c r="CA10" i="10"/>
  <c r="CE8" i="10"/>
  <c r="CE9" i="10"/>
  <c r="CD9" i="10"/>
  <c r="CE7" i="10"/>
  <c r="CE10" i="10" s="1"/>
  <c r="CD7" i="10"/>
  <c r="CD8" i="10"/>
  <c r="BZ10" i="10"/>
  <c r="CC7" i="10"/>
  <c r="CC9" i="10"/>
  <c r="CC8" i="10"/>
  <c r="CG5" i="10"/>
  <c r="CB10" i="10"/>
  <c r="F7" i="3"/>
  <c r="C7" i="3" s="1"/>
  <c r="C500" i="5"/>
  <c r="C499" i="5"/>
  <c r="C498" i="5"/>
  <c r="C497" i="5"/>
  <c r="C496" i="5"/>
  <c r="C495" i="5"/>
  <c r="C494" i="5"/>
  <c r="C493" i="5"/>
  <c r="C492" i="5"/>
  <c r="C491" i="5"/>
  <c r="C490" i="5"/>
  <c r="C489" i="5"/>
  <c r="C488" i="5"/>
  <c r="C487" i="5"/>
  <c r="C486" i="5"/>
  <c r="C485" i="5"/>
  <c r="C484" i="5"/>
  <c r="C483" i="5"/>
  <c r="C482" i="5"/>
  <c r="C481" i="5"/>
  <c r="C480" i="5"/>
  <c r="C479" i="5"/>
  <c r="C478" i="5"/>
  <c r="C477" i="5"/>
  <c r="C476" i="5"/>
  <c r="C475" i="5"/>
  <c r="C474" i="5"/>
  <c r="C473" i="5"/>
  <c r="C472" i="5"/>
  <c r="C471" i="5"/>
  <c r="C470" i="5"/>
  <c r="C469" i="5"/>
  <c r="C468" i="5"/>
  <c r="C467" i="5"/>
  <c r="C466" i="5"/>
  <c r="C465" i="5"/>
  <c r="C464" i="5"/>
  <c r="C463" i="5"/>
  <c r="C462" i="5"/>
  <c r="C461" i="5"/>
  <c r="C460" i="5"/>
  <c r="C459" i="5"/>
  <c r="C458" i="5"/>
  <c r="C457" i="5"/>
  <c r="C456" i="5"/>
  <c r="C455" i="5"/>
  <c r="C454" i="5"/>
  <c r="C453" i="5"/>
  <c r="C452" i="5"/>
  <c r="C451" i="5"/>
  <c r="C450" i="5"/>
  <c r="C449" i="5"/>
  <c r="C448" i="5"/>
  <c r="C447" i="5"/>
  <c r="C446" i="5"/>
  <c r="C445" i="5"/>
  <c r="C444" i="5"/>
  <c r="C443" i="5"/>
  <c r="C442" i="5"/>
  <c r="C441" i="5"/>
  <c r="C440" i="5"/>
  <c r="C439" i="5"/>
  <c r="C438" i="5"/>
  <c r="C437" i="5"/>
  <c r="C436" i="5"/>
  <c r="C435" i="5"/>
  <c r="C434" i="5"/>
  <c r="C433" i="5"/>
  <c r="C432" i="5"/>
  <c r="C431" i="5"/>
  <c r="C430" i="5"/>
  <c r="C429" i="5"/>
  <c r="C428" i="5"/>
  <c r="C427" i="5"/>
  <c r="C426" i="5"/>
  <c r="C425" i="5"/>
  <c r="C424" i="5"/>
  <c r="C423" i="5"/>
  <c r="C422" i="5"/>
  <c r="C421" i="5"/>
  <c r="C420" i="5"/>
  <c r="C419" i="5"/>
  <c r="C418" i="5"/>
  <c r="C417" i="5"/>
  <c r="C416" i="5"/>
  <c r="C415" i="5"/>
  <c r="C414" i="5"/>
  <c r="C413" i="5"/>
  <c r="C412" i="5"/>
  <c r="C411" i="5"/>
  <c r="C410" i="5"/>
  <c r="C409" i="5"/>
  <c r="C408" i="5"/>
  <c r="C407" i="5"/>
  <c r="C406" i="5"/>
  <c r="C405" i="5"/>
  <c r="C404" i="5"/>
  <c r="C403" i="5"/>
  <c r="C402" i="5"/>
  <c r="C401" i="5"/>
  <c r="C400" i="5"/>
  <c r="C399" i="5"/>
  <c r="C398" i="5"/>
  <c r="C397" i="5"/>
  <c r="C396" i="5"/>
  <c r="C395" i="5"/>
  <c r="C394" i="5"/>
  <c r="C393" i="5"/>
  <c r="C392" i="5"/>
  <c r="C391" i="5"/>
  <c r="C390" i="5"/>
  <c r="C389" i="5"/>
  <c r="C388" i="5"/>
  <c r="C387" i="5"/>
  <c r="C386" i="5"/>
  <c r="C385" i="5"/>
  <c r="C384" i="5"/>
  <c r="C383" i="5"/>
  <c r="C382" i="5"/>
  <c r="C381" i="5"/>
  <c r="C380" i="5"/>
  <c r="C379" i="5"/>
  <c r="C378" i="5"/>
  <c r="C377" i="5"/>
  <c r="C376" i="5"/>
  <c r="C375" i="5"/>
  <c r="C374" i="5"/>
  <c r="C373" i="5"/>
  <c r="C372" i="5"/>
  <c r="C371" i="5"/>
  <c r="C370" i="5"/>
  <c r="C369" i="5"/>
  <c r="C368" i="5"/>
  <c r="C367" i="5"/>
  <c r="C366" i="5"/>
  <c r="C365" i="5"/>
  <c r="C364" i="5"/>
  <c r="C363" i="5"/>
  <c r="C362" i="5"/>
  <c r="C361" i="5"/>
  <c r="C360" i="5"/>
  <c r="C359" i="5"/>
  <c r="C358" i="5"/>
  <c r="C357" i="5"/>
  <c r="C356" i="5"/>
  <c r="C355" i="5"/>
  <c r="C354" i="5"/>
  <c r="C353" i="5"/>
  <c r="C352" i="5"/>
  <c r="C351" i="5"/>
  <c r="C350" i="5"/>
  <c r="C349" i="5"/>
  <c r="C348" i="5"/>
  <c r="C347" i="5"/>
  <c r="C346" i="5"/>
  <c r="C345" i="5"/>
  <c r="C344" i="5"/>
  <c r="C343" i="5"/>
  <c r="C342" i="5"/>
  <c r="C341" i="5"/>
  <c r="C340" i="5"/>
  <c r="C339" i="5"/>
  <c r="C338" i="5"/>
  <c r="C337" i="5"/>
  <c r="C336" i="5"/>
  <c r="C335" i="5"/>
  <c r="C334" i="5"/>
  <c r="C333" i="5"/>
  <c r="C332" i="5"/>
  <c r="C331" i="5"/>
  <c r="C330" i="5"/>
  <c r="C329" i="5"/>
  <c r="C328" i="5"/>
  <c r="C327" i="5"/>
  <c r="C326" i="5"/>
  <c r="C325" i="5"/>
  <c r="C324" i="5"/>
  <c r="C323" i="5"/>
  <c r="C322" i="5"/>
  <c r="C321" i="5"/>
  <c r="C320" i="5"/>
  <c r="C319" i="5"/>
  <c r="C318" i="5"/>
  <c r="C317" i="5"/>
  <c r="C316" i="5"/>
  <c r="C315" i="5"/>
  <c r="C314" i="5"/>
  <c r="C313" i="5"/>
  <c r="C312" i="5"/>
  <c r="C311" i="5"/>
  <c r="C310" i="5"/>
  <c r="C309" i="5"/>
  <c r="C308" i="5"/>
  <c r="C307" i="5"/>
  <c r="C306" i="5"/>
  <c r="C305" i="5"/>
  <c r="C304" i="5"/>
  <c r="C303" i="5"/>
  <c r="C302" i="5"/>
  <c r="C301" i="5"/>
  <c r="C300" i="5"/>
  <c r="C299" i="5"/>
  <c r="C298" i="5"/>
  <c r="C297" i="5"/>
  <c r="C296" i="5"/>
  <c r="C295" i="5"/>
  <c r="C294" i="5"/>
  <c r="C293" i="5"/>
  <c r="C292" i="5"/>
  <c r="C291" i="5"/>
  <c r="C290" i="5"/>
  <c r="C289" i="5"/>
  <c r="C288" i="5"/>
  <c r="C287" i="5"/>
  <c r="C286" i="5"/>
  <c r="C285" i="5"/>
  <c r="C284" i="5"/>
  <c r="C283" i="5"/>
  <c r="C282" i="5"/>
  <c r="C281" i="5"/>
  <c r="C280" i="5"/>
  <c r="C279" i="5"/>
  <c r="C278" i="5"/>
  <c r="C277" i="5"/>
  <c r="C276" i="5"/>
  <c r="C275" i="5"/>
  <c r="C274" i="5"/>
  <c r="C273" i="5"/>
  <c r="C272" i="5"/>
  <c r="C271" i="5"/>
  <c r="C270" i="5"/>
  <c r="C269" i="5"/>
  <c r="C268" i="5"/>
  <c r="C267" i="5"/>
  <c r="C266" i="5"/>
  <c r="C265" i="5"/>
  <c r="C264" i="5"/>
  <c r="C263" i="5"/>
  <c r="C262" i="5"/>
  <c r="C261" i="5"/>
  <c r="C260" i="5"/>
  <c r="C259" i="5"/>
  <c r="C258" i="5"/>
  <c r="C257" i="5"/>
  <c r="C256" i="5"/>
  <c r="C255" i="5"/>
  <c r="C254" i="5"/>
  <c r="C253" i="5"/>
  <c r="C252" i="5"/>
  <c r="C251" i="5"/>
  <c r="C250" i="5"/>
  <c r="C249" i="5"/>
  <c r="C248" i="5"/>
  <c r="C247" i="5"/>
  <c r="C246" i="5"/>
  <c r="C245" i="5"/>
  <c r="C244" i="5"/>
  <c r="C243" i="5"/>
  <c r="C242" i="5"/>
  <c r="C241" i="5"/>
  <c r="C240" i="5"/>
  <c r="C239" i="5"/>
  <c r="C238" i="5"/>
  <c r="C237" i="5"/>
  <c r="C236" i="5"/>
  <c r="C235" i="5"/>
  <c r="C234" i="5"/>
  <c r="C233" i="5"/>
  <c r="C232" i="5"/>
  <c r="C231" i="5"/>
  <c r="C230" i="5"/>
  <c r="C229" i="5"/>
  <c r="C228" i="5"/>
  <c r="C227" i="5"/>
  <c r="C226" i="5"/>
  <c r="C225" i="5"/>
  <c r="C224" i="5"/>
  <c r="C223" i="5"/>
  <c r="C222" i="5"/>
  <c r="C221" i="5"/>
  <c r="C220" i="5"/>
  <c r="C219" i="5"/>
  <c r="C218" i="5"/>
  <c r="C217" i="5"/>
  <c r="C216" i="5"/>
  <c r="C215" i="5"/>
  <c r="C214" i="5"/>
  <c r="C213" i="5"/>
  <c r="C212" i="5"/>
  <c r="C211" i="5"/>
  <c r="C210" i="5"/>
  <c r="C209" i="5"/>
  <c r="C208" i="5"/>
  <c r="C207" i="5"/>
  <c r="C206" i="5"/>
  <c r="C205" i="5"/>
  <c r="C204" i="5"/>
  <c r="C203" i="5"/>
  <c r="C202" i="5"/>
  <c r="C201" i="5"/>
  <c r="C200" i="5"/>
  <c r="C199" i="5"/>
  <c r="C198" i="5"/>
  <c r="C197" i="5"/>
  <c r="C196" i="5"/>
  <c r="C195" i="5"/>
  <c r="C194" i="5"/>
  <c r="C193" i="5"/>
  <c r="C192" i="5"/>
  <c r="C191" i="5"/>
  <c r="C190" i="5"/>
  <c r="C189" i="5"/>
  <c r="C188" i="5"/>
  <c r="C187" i="5"/>
  <c r="C186" i="5"/>
  <c r="C185" i="5"/>
  <c r="C184" i="5"/>
  <c r="C183" i="5"/>
  <c r="C182" i="5"/>
  <c r="C181" i="5"/>
  <c r="C180" i="5"/>
  <c r="C179" i="5"/>
  <c r="C178" i="5"/>
  <c r="C177" i="5"/>
  <c r="C176" i="5"/>
  <c r="C175" i="5"/>
  <c r="C174" i="5"/>
  <c r="C173" i="5"/>
  <c r="C172" i="5"/>
  <c r="C171" i="5"/>
  <c r="C170" i="5"/>
  <c r="C169" i="5"/>
  <c r="C168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500" i="4"/>
  <c r="C499" i="4"/>
  <c r="C498" i="4"/>
  <c r="C497" i="4"/>
  <c r="C496" i="4"/>
  <c r="C495" i="4"/>
  <c r="C494" i="4"/>
  <c r="C493" i="4"/>
  <c r="C492" i="4"/>
  <c r="C491" i="4"/>
  <c r="C490" i="4"/>
  <c r="C489" i="4"/>
  <c r="C488" i="4"/>
  <c r="C487" i="4"/>
  <c r="C486" i="4"/>
  <c r="C485" i="4"/>
  <c r="C484" i="4"/>
  <c r="C483" i="4"/>
  <c r="C482" i="4"/>
  <c r="C481" i="4"/>
  <c r="C480" i="4"/>
  <c r="C479" i="4"/>
  <c r="C478" i="4"/>
  <c r="C477" i="4"/>
  <c r="C476" i="4"/>
  <c r="C475" i="4"/>
  <c r="C474" i="4"/>
  <c r="C473" i="4"/>
  <c r="C472" i="4"/>
  <c r="C471" i="4"/>
  <c r="C470" i="4"/>
  <c r="C469" i="4"/>
  <c r="C468" i="4"/>
  <c r="C467" i="4"/>
  <c r="C466" i="4"/>
  <c r="C465" i="4"/>
  <c r="C464" i="4"/>
  <c r="C463" i="4"/>
  <c r="C462" i="4"/>
  <c r="C461" i="4"/>
  <c r="C460" i="4"/>
  <c r="C459" i="4"/>
  <c r="C458" i="4"/>
  <c r="C457" i="4"/>
  <c r="C456" i="4"/>
  <c r="C455" i="4"/>
  <c r="C454" i="4"/>
  <c r="C453" i="4"/>
  <c r="C452" i="4"/>
  <c r="C451" i="4"/>
  <c r="C450" i="4"/>
  <c r="C449" i="4"/>
  <c r="C448" i="4"/>
  <c r="C447" i="4"/>
  <c r="C446" i="4"/>
  <c r="C445" i="4"/>
  <c r="C444" i="4"/>
  <c r="C443" i="4"/>
  <c r="C442" i="4"/>
  <c r="C441" i="4"/>
  <c r="C440" i="4"/>
  <c r="C439" i="4"/>
  <c r="C438" i="4"/>
  <c r="C437" i="4"/>
  <c r="C436" i="4"/>
  <c r="C435" i="4"/>
  <c r="C434" i="4"/>
  <c r="C433" i="4"/>
  <c r="C432" i="4"/>
  <c r="C431" i="4"/>
  <c r="C430" i="4"/>
  <c r="C429" i="4"/>
  <c r="C428" i="4"/>
  <c r="C427" i="4"/>
  <c r="C426" i="4"/>
  <c r="C425" i="4"/>
  <c r="C424" i="4"/>
  <c r="C423" i="4"/>
  <c r="C422" i="4"/>
  <c r="C421" i="4"/>
  <c r="C420" i="4"/>
  <c r="C419" i="4"/>
  <c r="C418" i="4"/>
  <c r="C417" i="4"/>
  <c r="C416" i="4"/>
  <c r="C415" i="4"/>
  <c r="C414" i="4"/>
  <c r="C413" i="4"/>
  <c r="C412" i="4"/>
  <c r="C411" i="4"/>
  <c r="C410" i="4"/>
  <c r="C409" i="4"/>
  <c r="C408" i="4"/>
  <c r="C407" i="4"/>
  <c r="C406" i="4"/>
  <c r="C405" i="4"/>
  <c r="C404" i="4"/>
  <c r="C403" i="4"/>
  <c r="C402" i="4"/>
  <c r="C401" i="4"/>
  <c r="C400" i="4"/>
  <c r="C399" i="4"/>
  <c r="C398" i="4"/>
  <c r="C397" i="4"/>
  <c r="C396" i="4"/>
  <c r="C395" i="4"/>
  <c r="C394" i="4"/>
  <c r="C393" i="4"/>
  <c r="C392" i="4"/>
  <c r="C391" i="4"/>
  <c r="C390" i="4"/>
  <c r="C389" i="4"/>
  <c r="C388" i="4"/>
  <c r="C387" i="4"/>
  <c r="C386" i="4"/>
  <c r="C385" i="4"/>
  <c r="C384" i="4"/>
  <c r="C383" i="4"/>
  <c r="C382" i="4"/>
  <c r="C381" i="4"/>
  <c r="C380" i="4"/>
  <c r="C379" i="4"/>
  <c r="C378" i="4"/>
  <c r="C377" i="4"/>
  <c r="C376" i="4"/>
  <c r="C375" i="4"/>
  <c r="C374" i="4"/>
  <c r="C373" i="4"/>
  <c r="C372" i="4"/>
  <c r="C371" i="4"/>
  <c r="C370" i="4"/>
  <c r="C369" i="4"/>
  <c r="C368" i="4"/>
  <c r="C367" i="4"/>
  <c r="C366" i="4"/>
  <c r="C365" i="4"/>
  <c r="C364" i="4"/>
  <c r="C363" i="4"/>
  <c r="C362" i="4"/>
  <c r="C361" i="4"/>
  <c r="C360" i="4"/>
  <c r="C359" i="4"/>
  <c r="C358" i="4"/>
  <c r="C357" i="4"/>
  <c r="C356" i="4"/>
  <c r="C355" i="4"/>
  <c r="C354" i="4"/>
  <c r="C353" i="4"/>
  <c r="C352" i="4"/>
  <c r="C351" i="4"/>
  <c r="C350" i="4"/>
  <c r="C349" i="4"/>
  <c r="C348" i="4"/>
  <c r="C347" i="4"/>
  <c r="C346" i="4"/>
  <c r="C345" i="4"/>
  <c r="C344" i="4"/>
  <c r="C343" i="4"/>
  <c r="C342" i="4"/>
  <c r="C341" i="4"/>
  <c r="C340" i="4"/>
  <c r="C339" i="4"/>
  <c r="C338" i="4"/>
  <c r="C337" i="4"/>
  <c r="C336" i="4"/>
  <c r="C335" i="4"/>
  <c r="C334" i="4"/>
  <c r="C333" i="4"/>
  <c r="C332" i="4"/>
  <c r="C331" i="4"/>
  <c r="C330" i="4"/>
  <c r="C329" i="4"/>
  <c r="C328" i="4"/>
  <c r="C327" i="4"/>
  <c r="C326" i="4"/>
  <c r="C325" i="4"/>
  <c r="C324" i="4"/>
  <c r="C323" i="4"/>
  <c r="C322" i="4"/>
  <c r="C321" i="4"/>
  <c r="C320" i="4"/>
  <c r="C319" i="4"/>
  <c r="C318" i="4"/>
  <c r="C317" i="4"/>
  <c r="C316" i="4"/>
  <c r="C315" i="4"/>
  <c r="C314" i="4"/>
  <c r="C313" i="4"/>
  <c r="C312" i="4"/>
  <c r="C311" i="4"/>
  <c r="C310" i="4"/>
  <c r="C309" i="4"/>
  <c r="C308" i="4"/>
  <c r="C307" i="4"/>
  <c r="C306" i="4"/>
  <c r="C305" i="4"/>
  <c r="C304" i="4"/>
  <c r="C303" i="4"/>
  <c r="C302" i="4"/>
  <c r="C301" i="4"/>
  <c r="C300" i="4"/>
  <c r="C299" i="4"/>
  <c r="C298" i="4"/>
  <c r="C297" i="4"/>
  <c r="C296" i="4"/>
  <c r="C295" i="4"/>
  <c r="C294" i="4"/>
  <c r="C293" i="4"/>
  <c r="C292" i="4"/>
  <c r="C291" i="4"/>
  <c r="C290" i="4"/>
  <c r="C289" i="4"/>
  <c r="C288" i="4"/>
  <c r="C287" i="4"/>
  <c r="C286" i="4"/>
  <c r="C285" i="4"/>
  <c r="C284" i="4"/>
  <c r="C283" i="4"/>
  <c r="C282" i="4"/>
  <c r="C281" i="4"/>
  <c r="C280" i="4"/>
  <c r="C279" i="4"/>
  <c r="C278" i="4"/>
  <c r="C277" i="4"/>
  <c r="C276" i="4"/>
  <c r="C275" i="4"/>
  <c r="C274" i="4"/>
  <c r="C273" i="4"/>
  <c r="C272" i="4"/>
  <c r="C271" i="4"/>
  <c r="C270" i="4"/>
  <c r="C269" i="4"/>
  <c r="C268" i="4"/>
  <c r="C267" i="4"/>
  <c r="C266" i="4"/>
  <c r="C265" i="4"/>
  <c r="C264" i="4"/>
  <c r="C263" i="4"/>
  <c r="C262" i="4"/>
  <c r="C261" i="4"/>
  <c r="C260" i="4"/>
  <c r="C259" i="4"/>
  <c r="C258" i="4"/>
  <c r="C257" i="4"/>
  <c r="C256" i="4"/>
  <c r="C255" i="4"/>
  <c r="C254" i="4"/>
  <c r="C253" i="4"/>
  <c r="C252" i="4"/>
  <c r="C251" i="4"/>
  <c r="C250" i="4"/>
  <c r="C249" i="4"/>
  <c r="C248" i="4"/>
  <c r="C247" i="4"/>
  <c r="C246" i="4"/>
  <c r="C245" i="4"/>
  <c r="C244" i="4"/>
  <c r="C243" i="4"/>
  <c r="C242" i="4"/>
  <c r="C241" i="4"/>
  <c r="C240" i="4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5" i="4"/>
  <c r="C106" i="4" s="1"/>
  <c r="C107" i="4" s="1"/>
  <c r="C108" i="4" s="1"/>
  <c r="C109" i="4" s="1"/>
  <c r="C104" i="4"/>
  <c r="C101" i="4"/>
  <c r="C102" i="4" s="1"/>
  <c r="C103" i="4" s="1"/>
  <c r="C96" i="4"/>
  <c r="C97" i="4" s="1"/>
  <c r="C98" i="4" s="1"/>
  <c r="C99" i="4" s="1"/>
  <c r="C100" i="4" s="1"/>
  <c r="C94" i="4"/>
  <c r="C95" i="4" s="1"/>
  <c r="C93" i="4"/>
  <c r="C92" i="4"/>
  <c r="F800" i="3"/>
  <c r="F799" i="3"/>
  <c r="F798" i="3"/>
  <c r="F797" i="3"/>
  <c r="F796" i="3"/>
  <c r="F795" i="3"/>
  <c r="F794" i="3"/>
  <c r="F793" i="3"/>
  <c r="F792" i="3"/>
  <c r="F791" i="3"/>
  <c r="F790" i="3"/>
  <c r="F789" i="3"/>
  <c r="F788" i="3"/>
  <c r="F787" i="3"/>
  <c r="F786" i="3"/>
  <c r="F785" i="3"/>
  <c r="F784" i="3"/>
  <c r="F783" i="3"/>
  <c r="F782" i="3"/>
  <c r="F781" i="3"/>
  <c r="F780" i="3"/>
  <c r="F779" i="3"/>
  <c r="F778" i="3"/>
  <c r="F777" i="3"/>
  <c r="F776" i="3"/>
  <c r="F775" i="3"/>
  <c r="F774" i="3"/>
  <c r="F773" i="3"/>
  <c r="F772" i="3"/>
  <c r="F771" i="3"/>
  <c r="F770" i="3"/>
  <c r="F769" i="3"/>
  <c r="F768" i="3"/>
  <c r="F767" i="3"/>
  <c r="F766" i="3"/>
  <c r="F765" i="3"/>
  <c r="F764" i="3"/>
  <c r="F763" i="3"/>
  <c r="F762" i="3"/>
  <c r="F761" i="3"/>
  <c r="F760" i="3"/>
  <c r="F759" i="3"/>
  <c r="F758" i="3"/>
  <c r="F757" i="3"/>
  <c r="F756" i="3"/>
  <c r="F755" i="3"/>
  <c r="F754" i="3"/>
  <c r="F753" i="3"/>
  <c r="F752" i="3"/>
  <c r="F751" i="3"/>
  <c r="F750" i="3"/>
  <c r="F749" i="3"/>
  <c r="F748" i="3"/>
  <c r="F747" i="3"/>
  <c r="F746" i="3"/>
  <c r="F745" i="3"/>
  <c r="F744" i="3"/>
  <c r="F743" i="3"/>
  <c r="F742" i="3"/>
  <c r="F741" i="3"/>
  <c r="F740" i="3"/>
  <c r="F739" i="3"/>
  <c r="F738" i="3"/>
  <c r="F737" i="3"/>
  <c r="F736" i="3"/>
  <c r="F735" i="3"/>
  <c r="F734" i="3"/>
  <c r="F733" i="3"/>
  <c r="F732" i="3"/>
  <c r="F731" i="3"/>
  <c r="F730" i="3"/>
  <c r="F729" i="3"/>
  <c r="F728" i="3"/>
  <c r="F727" i="3"/>
  <c r="F726" i="3"/>
  <c r="F725" i="3"/>
  <c r="F724" i="3"/>
  <c r="F723" i="3"/>
  <c r="F722" i="3"/>
  <c r="F721" i="3"/>
  <c r="F720" i="3"/>
  <c r="F719" i="3"/>
  <c r="F718" i="3"/>
  <c r="F717" i="3"/>
  <c r="F716" i="3"/>
  <c r="F715" i="3"/>
  <c r="F714" i="3"/>
  <c r="F713" i="3"/>
  <c r="F712" i="3"/>
  <c r="F711" i="3"/>
  <c r="F710" i="3"/>
  <c r="F709" i="3"/>
  <c r="F708" i="3"/>
  <c r="F707" i="3"/>
  <c r="F706" i="3"/>
  <c r="F705" i="3"/>
  <c r="F704" i="3"/>
  <c r="F703" i="3"/>
  <c r="F702" i="3"/>
  <c r="F701" i="3"/>
  <c r="F700" i="3"/>
  <c r="F699" i="3"/>
  <c r="F698" i="3"/>
  <c r="F697" i="3"/>
  <c r="F696" i="3"/>
  <c r="F695" i="3"/>
  <c r="F694" i="3"/>
  <c r="F693" i="3"/>
  <c r="F692" i="3"/>
  <c r="F691" i="3"/>
  <c r="F690" i="3"/>
  <c r="F689" i="3"/>
  <c r="F688" i="3"/>
  <c r="F687" i="3"/>
  <c r="F686" i="3"/>
  <c r="F685" i="3"/>
  <c r="F684" i="3"/>
  <c r="F683" i="3"/>
  <c r="F682" i="3"/>
  <c r="F681" i="3"/>
  <c r="F680" i="3"/>
  <c r="F679" i="3"/>
  <c r="F678" i="3"/>
  <c r="F677" i="3"/>
  <c r="F676" i="3"/>
  <c r="F675" i="3"/>
  <c r="F674" i="3"/>
  <c r="F673" i="3"/>
  <c r="F672" i="3"/>
  <c r="F671" i="3"/>
  <c r="F670" i="3"/>
  <c r="F669" i="3"/>
  <c r="F668" i="3"/>
  <c r="F667" i="3"/>
  <c r="F666" i="3"/>
  <c r="F665" i="3"/>
  <c r="F664" i="3"/>
  <c r="F663" i="3"/>
  <c r="F662" i="3"/>
  <c r="F661" i="3"/>
  <c r="F660" i="3"/>
  <c r="F659" i="3"/>
  <c r="F658" i="3"/>
  <c r="F657" i="3"/>
  <c r="F656" i="3"/>
  <c r="F655" i="3"/>
  <c r="F654" i="3"/>
  <c r="F653" i="3"/>
  <c r="F652" i="3"/>
  <c r="F651" i="3"/>
  <c r="F650" i="3"/>
  <c r="F649" i="3"/>
  <c r="F648" i="3"/>
  <c r="F647" i="3"/>
  <c r="F646" i="3"/>
  <c r="F645" i="3"/>
  <c r="F644" i="3"/>
  <c r="F643" i="3"/>
  <c r="F642" i="3"/>
  <c r="F641" i="3"/>
  <c r="F640" i="3"/>
  <c r="F639" i="3"/>
  <c r="F638" i="3"/>
  <c r="F637" i="3"/>
  <c r="F636" i="3"/>
  <c r="F635" i="3"/>
  <c r="F634" i="3"/>
  <c r="F633" i="3"/>
  <c r="F632" i="3"/>
  <c r="F631" i="3"/>
  <c r="F630" i="3"/>
  <c r="F629" i="3"/>
  <c r="F628" i="3"/>
  <c r="F627" i="3"/>
  <c r="F626" i="3"/>
  <c r="F625" i="3"/>
  <c r="F624" i="3"/>
  <c r="F623" i="3"/>
  <c r="F622" i="3"/>
  <c r="F621" i="3"/>
  <c r="F620" i="3"/>
  <c r="F619" i="3"/>
  <c r="F618" i="3"/>
  <c r="F617" i="3"/>
  <c r="F616" i="3"/>
  <c r="F615" i="3"/>
  <c r="F614" i="3"/>
  <c r="F613" i="3"/>
  <c r="F612" i="3"/>
  <c r="F611" i="3"/>
  <c r="F610" i="3"/>
  <c r="F609" i="3"/>
  <c r="F608" i="3"/>
  <c r="F607" i="3"/>
  <c r="F606" i="3"/>
  <c r="F605" i="3"/>
  <c r="F604" i="3"/>
  <c r="F603" i="3"/>
  <c r="F602" i="3"/>
  <c r="F601" i="3"/>
  <c r="F600" i="3"/>
  <c r="F599" i="3"/>
  <c r="F598" i="3"/>
  <c r="F597" i="3"/>
  <c r="F596" i="3"/>
  <c r="F595" i="3"/>
  <c r="F594" i="3"/>
  <c r="F593" i="3"/>
  <c r="F592" i="3"/>
  <c r="F591" i="3"/>
  <c r="F590" i="3"/>
  <c r="F589" i="3"/>
  <c r="F588" i="3"/>
  <c r="F587" i="3"/>
  <c r="F586" i="3"/>
  <c r="F585" i="3"/>
  <c r="F584" i="3"/>
  <c r="F583" i="3"/>
  <c r="F582" i="3"/>
  <c r="F581" i="3"/>
  <c r="F580" i="3"/>
  <c r="F579" i="3"/>
  <c r="F578" i="3"/>
  <c r="F577" i="3"/>
  <c r="F576" i="3"/>
  <c r="F575" i="3"/>
  <c r="F574" i="3"/>
  <c r="F573" i="3"/>
  <c r="F572" i="3"/>
  <c r="F571" i="3"/>
  <c r="F570" i="3"/>
  <c r="F569" i="3"/>
  <c r="F568" i="3"/>
  <c r="F567" i="3"/>
  <c r="F566" i="3"/>
  <c r="F565" i="3"/>
  <c r="F564" i="3"/>
  <c r="F563" i="3"/>
  <c r="F562" i="3"/>
  <c r="F561" i="3"/>
  <c r="F560" i="3"/>
  <c r="F559" i="3"/>
  <c r="F558" i="3"/>
  <c r="F557" i="3"/>
  <c r="F556" i="3"/>
  <c r="F555" i="3"/>
  <c r="F554" i="3"/>
  <c r="F553" i="3"/>
  <c r="F552" i="3"/>
  <c r="F551" i="3"/>
  <c r="F550" i="3"/>
  <c r="F549" i="3"/>
  <c r="F548" i="3"/>
  <c r="F547" i="3"/>
  <c r="F546" i="3"/>
  <c r="F545" i="3"/>
  <c r="F544" i="3"/>
  <c r="F543" i="3"/>
  <c r="F542" i="3"/>
  <c r="F541" i="3"/>
  <c r="F540" i="3"/>
  <c r="F539" i="3"/>
  <c r="F538" i="3"/>
  <c r="F537" i="3"/>
  <c r="F536" i="3"/>
  <c r="F535" i="3"/>
  <c r="F534" i="3"/>
  <c r="F533" i="3"/>
  <c r="F532" i="3"/>
  <c r="F531" i="3"/>
  <c r="F530" i="3"/>
  <c r="F529" i="3"/>
  <c r="F528" i="3"/>
  <c r="F527" i="3"/>
  <c r="F526" i="3"/>
  <c r="F525" i="3"/>
  <c r="F524" i="3"/>
  <c r="F523" i="3"/>
  <c r="F522" i="3"/>
  <c r="F521" i="3"/>
  <c r="F520" i="3"/>
  <c r="F519" i="3"/>
  <c r="F518" i="3"/>
  <c r="F517" i="3"/>
  <c r="F516" i="3"/>
  <c r="A524" i="3" l="1"/>
  <c r="C524" i="3"/>
  <c r="A540" i="3"/>
  <c r="C540" i="3"/>
  <c r="A552" i="3"/>
  <c r="C552" i="3"/>
  <c r="A564" i="3"/>
  <c r="C564" i="3"/>
  <c r="A580" i="3"/>
  <c r="C580" i="3"/>
  <c r="A517" i="3"/>
  <c r="C517" i="3"/>
  <c r="A519" i="3"/>
  <c r="C519" i="3"/>
  <c r="A523" i="3"/>
  <c r="C523" i="3"/>
  <c r="A527" i="3"/>
  <c r="C527" i="3"/>
  <c r="A531" i="3"/>
  <c r="C531" i="3"/>
  <c r="A535" i="3"/>
  <c r="C535" i="3"/>
  <c r="A539" i="3"/>
  <c r="C539" i="3"/>
  <c r="A543" i="3"/>
  <c r="C543" i="3"/>
  <c r="A547" i="3"/>
  <c r="C547" i="3"/>
  <c r="A551" i="3"/>
  <c r="C551" i="3"/>
  <c r="A555" i="3"/>
  <c r="C555" i="3"/>
  <c r="A559" i="3"/>
  <c r="C559" i="3"/>
  <c r="A563" i="3"/>
  <c r="C563" i="3"/>
  <c r="A567" i="3"/>
  <c r="C567" i="3"/>
  <c r="A571" i="3"/>
  <c r="C571" i="3"/>
  <c r="A575" i="3"/>
  <c r="C575" i="3"/>
  <c r="A579" i="3"/>
  <c r="C579" i="3"/>
  <c r="A583" i="3"/>
  <c r="C583" i="3"/>
  <c r="A587" i="3"/>
  <c r="C587" i="3"/>
  <c r="A591" i="3"/>
  <c r="C591" i="3"/>
  <c r="A595" i="3"/>
  <c r="C595" i="3"/>
  <c r="A599" i="3"/>
  <c r="C599" i="3"/>
  <c r="A603" i="3"/>
  <c r="C603" i="3"/>
  <c r="A607" i="3"/>
  <c r="C607" i="3"/>
  <c r="A611" i="3"/>
  <c r="C611" i="3"/>
  <c r="A615" i="3"/>
  <c r="C615" i="3"/>
  <c r="A619" i="3"/>
  <c r="C619" i="3"/>
  <c r="A623" i="3"/>
  <c r="C623" i="3"/>
  <c r="A627" i="3"/>
  <c r="C627" i="3"/>
  <c r="A631" i="3"/>
  <c r="C631" i="3"/>
  <c r="A635" i="3"/>
  <c r="C635" i="3"/>
  <c r="A639" i="3"/>
  <c r="C639" i="3"/>
  <c r="A643" i="3"/>
  <c r="C643" i="3"/>
  <c r="A647" i="3"/>
  <c r="C647" i="3"/>
  <c r="A651" i="3"/>
  <c r="C651" i="3"/>
  <c r="A655" i="3"/>
  <c r="C655" i="3"/>
  <c r="A659" i="3"/>
  <c r="C659" i="3"/>
  <c r="A663" i="3"/>
  <c r="C663" i="3"/>
  <c r="A667" i="3"/>
  <c r="C667" i="3"/>
  <c r="A671" i="3"/>
  <c r="C671" i="3"/>
  <c r="A675" i="3"/>
  <c r="C675" i="3"/>
  <c r="A679" i="3"/>
  <c r="C679" i="3"/>
  <c r="A683" i="3"/>
  <c r="C683" i="3"/>
  <c r="A687" i="3"/>
  <c r="C687" i="3"/>
  <c r="A691" i="3"/>
  <c r="C691" i="3"/>
  <c r="A695" i="3"/>
  <c r="C695" i="3"/>
  <c r="A699" i="3"/>
  <c r="C699" i="3"/>
  <c r="A703" i="3"/>
  <c r="C703" i="3"/>
  <c r="A707" i="3"/>
  <c r="C707" i="3"/>
  <c r="A711" i="3"/>
  <c r="C711" i="3"/>
  <c r="A715" i="3"/>
  <c r="C715" i="3"/>
  <c r="A719" i="3"/>
  <c r="C719" i="3"/>
  <c r="A723" i="3"/>
  <c r="C723" i="3"/>
  <c r="A727" i="3"/>
  <c r="C727" i="3"/>
  <c r="A731" i="3"/>
  <c r="C731" i="3"/>
  <c r="A735" i="3"/>
  <c r="C735" i="3"/>
  <c r="A739" i="3"/>
  <c r="C739" i="3"/>
  <c r="A743" i="3"/>
  <c r="C743" i="3"/>
  <c r="A747" i="3"/>
  <c r="C747" i="3"/>
  <c r="A751" i="3"/>
  <c r="C751" i="3"/>
  <c r="A755" i="3"/>
  <c r="C755" i="3"/>
  <c r="A759" i="3"/>
  <c r="C759" i="3"/>
  <c r="A763" i="3"/>
  <c r="C763" i="3"/>
  <c r="A767" i="3"/>
  <c r="C767" i="3"/>
  <c r="A771" i="3"/>
  <c r="C771" i="3"/>
  <c r="A775" i="3"/>
  <c r="C775" i="3"/>
  <c r="A779" i="3"/>
  <c r="C779" i="3"/>
  <c r="A783" i="3"/>
  <c r="C783" i="3"/>
  <c r="A787" i="3"/>
  <c r="C787" i="3"/>
  <c r="A791" i="3"/>
  <c r="C791" i="3"/>
  <c r="A795" i="3"/>
  <c r="C795" i="3"/>
  <c r="A799" i="3"/>
  <c r="C799" i="3"/>
  <c r="A516" i="3"/>
  <c r="C516" i="3"/>
  <c r="A532" i="3"/>
  <c r="C532" i="3"/>
  <c r="A548" i="3"/>
  <c r="C548" i="3"/>
  <c r="A568" i="3"/>
  <c r="C568" i="3"/>
  <c r="A584" i="3"/>
  <c r="C584" i="3"/>
  <c r="A592" i="3"/>
  <c r="C592" i="3"/>
  <c r="A596" i="3"/>
  <c r="C596" i="3"/>
  <c r="A600" i="3"/>
  <c r="C600" i="3"/>
  <c r="A604" i="3"/>
  <c r="C604" i="3"/>
  <c r="A608" i="3"/>
  <c r="C608" i="3"/>
  <c r="A612" i="3"/>
  <c r="C612" i="3"/>
  <c r="A616" i="3"/>
  <c r="C616" i="3"/>
  <c r="A620" i="3"/>
  <c r="C620" i="3"/>
  <c r="A624" i="3"/>
  <c r="C624" i="3"/>
  <c r="A628" i="3"/>
  <c r="C628" i="3"/>
  <c r="A632" i="3"/>
  <c r="C632" i="3"/>
  <c r="A636" i="3"/>
  <c r="C636" i="3"/>
  <c r="A640" i="3"/>
  <c r="C640" i="3"/>
  <c r="A644" i="3"/>
  <c r="C644" i="3"/>
  <c r="A648" i="3"/>
  <c r="C648" i="3"/>
  <c r="A652" i="3"/>
  <c r="C652" i="3"/>
  <c r="A656" i="3"/>
  <c r="C656" i="3"/>
  <c r="A660" i="3"/>
  <c r="C660" i="3"/>
  <c r="A664" i="3"/>
  <c r="C664" i="3"/>
  <c r="A668" i="3"/>
  <c r="C668" i="3"/>
  <c r="A672" i="3"/>
  <c r="C672" i="3"/>
  <c r="A676" i="3"/>
  <c r="C676" i="3"/>
  <c r="A680" i="3"/>
  <c r="C680" i="3"/>
  <c r="A684" i="3"/>
  <c r="C684" i="3"/>
  <c r="A688" i="3"/>
  <c r="C688" i="3"/>
  <c r="A692" i="3"/>
  <c r="C692" i="3"/>
  <c r="A696" i="3"/>
  <c r="C696" i="3"/>
  <c r="A700" i="3"/>
  <c r="C700" i="3"/>
  <c r="A704" i="3"/>
  <c r="C704" i="3"/>
  <c r="A708" i="3"/>
  <c r="C708" i="3"/>
  <c r="A712" i="3"/>
  <c r="C712" i="3"/>
  <c r="A716" i="3"/>
  <c r="C716" i="3"/>
  <c r="A720" i="3"/>
  <c r="C720" i="3"/>
  <c r="A724" i="3"/>
  <c r="C724" i="3"/>
  <c r="A728" i="3"/>
  <c r="C728" i="3"/>
  <c r="A732" i="3"/>
  <c r="C732" i="3"/>
  <c r="A736" i="3"/>
  <c r="C736" i="3"/>
  <c r="A740" i="3"/>
  <c r="C740" i="3"/>
  <c r="A744" i="3"/>
  <c r="C744" i="3"/>
  <c r="A748" i="3"/>
  <c r="C748" i="3"/>
  <c r="A752" i="3"/>
  <c r="C752" i="3"/>
  <c r="A756" i="3"/>
  <c r="C756" i="3"/>
  <c r="A760" i="3"/>
  <c r="C760" i="3"/>
  <c r="A764" i="3"/>
  <c r="C764" i="3"/>
  <c r="A768" i="3"/>
  <c r="C768" i="3"/>
  <c r="A772" i="3"/>
  <c r="C772" i="3"/>
  <c r="A776" i="3"/>
  <c r="C776" i="3"/>
  <c r="A780" i="3"/>
  <c r="C780" i="3"/>
  <c r="A784" i="3"/>
  <c r="C784" i="3"/>
  <c r="A788" i="3"/>
  <c r="C788" i="3"/>
  <c r="A792" i="3"/>
  <c r="C792" i="3"/>
  <c r="A796" i="3"/>
  <c r="C796" i="3"/>
  <c r="A800" i="3"/>
  <c r="C800" i="3"/>
  <c r="A520" i="3"/>
  <c r="C520" i="3"/>
  <c r="A536" i="3"/>
  <c r="C536" i="3"/>
  <c r="A556" i="3"/>
  <c r="C556" i="3"/>
  <c r="A576" i="3"/>
  <c r="C576" i="3"/>
  <c r="A521" i="3"/>
  <c r="C521" i="3"/>
  <c r="A529" i="3"/>
  <c r="C529" i="3"/>
  <c r="A541" i="3"/>
  <c r="C541" i="3"/>
  <c r="A549" i="3"/>
  <c r="C549" i="3"/>
  <c r="A557" i="3"/>
  <c r="C557" i="3"/>
  <c r="A561" i="3"/>
  <c r="C561" i="3"/>
  <c r="A565" i="3"/>
  <c r="C565" i="3"/>
  <c r="A569" i="3"/>
  <c r="C569" i="3"/>
  <c r="A573" i="3"/>
  <c r="C573" i="3"/>
  <c r="A577" i="3"/>
  <c r="C577" i="3"/>
  <c r="A581" i="3"/>
  <c r="C581" i="3"/>
  <c r="A585" i="3"/>
  <c r="C585" i="3"/>
  <c r="A589" i="3"/>
  <c r="C589" i="3"/>
  <c r="A593" i="3"/>
  <c r="C593" i="3"/>
  <c r="A597" i="3"/>
  <c r="C597" i="3"/>
  <c r="A601" i="3"/>
  <c r="C601" i="3"/>
  <c r="A605" i="3"/>
  <c r="C605" i="3"/>
  <c r="A609" i="3"/>
  <c r="C609" i="3"/>
  <c r="A613" i="3"/>
  <c r="C613" i="3"/>
  <c r="A617" i="3"/>
  <c r="C617" i="3"/>
  <c r="A621" i="3"/>
  <c r="C621" i="3"/>
  <c r="A625" i="3"/>
  <c r="C625" i="3"/>
  <c r="A629" i="3"/>
  <c r="C629" i="3"/>
  <c r="A633" i="3"/>
  <c r="C633" i="3"/>
  <c r="A637" i="3"/>
  <c r="C637" i="3"/>
  <c r="A641" i="3"/>
  <c r="C641" i="3"/>
  <c r="A645" i="3"/>
  <c r="C645" i="3"/>
  <c r="A649" i="3"/>
  <c r="C649" i="3"/>
  <c r="A653" i="3"/>
  <c r="C653" i="3"/>
  <c r="A657" i="3"/>
  <c r="C657" i="3"/>
  <c r="A661" i="3"/>
  <c r="C661" i="3"/>
  <c r="A665" i="3"/>
  <c r="C665" i="3"/>
  <c r="A669" i="3"/>
  <c r="C669" i="3"/>
  <c r="A673" i="3"/>
  <c r="C673" i="3"/>
  <c r="A677" i="3"/>
  <c r="C677" i="3"/>
  <c r="A681" i="3"/>
  <c r="C681" i="3"/>
  <c r="A685" i="3"/>
  <c r="C685" i="3"/>
  <c r="A689" i="3"/>
  <c r="C689" i="3"/>
  <c r="A693" i="3"/>
  <c r="C693" i="3"/>
  <c r="A697" i="3"/>
  <c r="C697" i="3"/>
  <c r="A701" i="3"/>
  <c r="C701" i="3"/>
  <c r="A705" i="3"/>
  <c r="C705" i="3"/>
  <c r="A709" i="3"/>
  <c r="C709" i="3"/>
  <c r="A713" i="3"/>
  <c r="C713" i="3"/>
  <c r="A717" i="3"/>
  <c r="C717" i="3"/>
  <c r="A721" i="3"/>
  <c r="C721" i="3"/>
  <c r="A725" i="3"/>
  <c r="C725" i="3"/>
  <c r="A729" i="3"/>
  <c r="C729" i="3"/>
  <c r="A733" i="3"/>
  <c r="C733" i="3"/>
  <c r="A737" i="3"/>
  <c r="C737" i="3"/>
  <c r="A741" i="3"/>
  <c r="C741" i="3"/>
  <c r="A745" i="3"/>
  <c r="C745" i="3"/>
  <c r="A749" i="3"/>
  <c r="C749" i="3"/>
  <c r="A753" i="3"/>
  <c r="C753" i="3"/>
  <c r="A757" i="3"/>
  <c r="C757" i="3"/>
  <c r="A761" i="3"/>
  <c r="C761" i="3"/>
  <c r="A765" i="3"/>
  <c r="C765" i="3"/>
  <c r="A769" i="3"/>
  <c r="C769" i="3"/>
  <c r="A773" i="3"/>
  <c r="C773" i="3"/>
  <c r="A777" i="3"/>
  <c r="C777" i="3"/>
  <c r="A781" i="3"/>
  <c r="C781" i="3"/>
  <c r="A785" i="3"/>
  <c r="C785" i="3"/>
  <c r="A789" i="3"/>
  <c r="C789" i="3"/>
  <c r="A793" i="3"/>
  <c r="C793" i="3"/>
  <c r="A797" i="3"/>
  <c r="C797" i="3"/>
  <c r="A528" i="3"/>
  <c r="C528" i="3"/>
  <c r="A544" i="3"/>
  <c r="C544" i="3"/>
  <c r="A560" i="3"/>
  <c r="C560" i="3"/>
  <c r="A572" i="3"/>
  <c r="C572" i="3"/>
  <c r="A588" i="3"/>
  <c r="C588" i="3"/>
  <c r="A525" i="3"/>
  <c r="C525" i="3"/>
  <c r="A533" i="3"/>
  <c r="C533" i="3"/>
  <c r="A537" i="3"/>
  <c r="C537" i="3"/>
  <c r="A545" i="3"/>
  <c r="C545" i="3"/>
  <c r="A553" i="3"/>
  <c r="C553" i="3"/>
  <c r="A518" i="3"/>
  <c r="C518" i="3"/>
  <c r="A522" i="3"/>
  <c r="C522" i="3"/>
  <c r="A526" i="3"/>
  <c r="C526" i="3"/>
  <c r="A530" i="3"/>
  <c r="C530" i="3"/>
  <c r="A534" i="3"/>
  <c r="C534" i="3"/>
  <c r="A538" i="3"/>
  <c r="C538" i="3"/>
  <c r="A542" i="3"/>
  <c r="C542" i="3"/>
  <c r="A546" i="3"/>
  <c r="C546" i="3"/>
  <c r="A550" i="3"/>
  <c r="C550" i="3"/>
  <c r="A554" i="3"/>
  <c r="C554" i="3"/>
  <c r="A558" i="3"/>
  <c r="C558" i="3"/>
  <c r="A562" i="3"/>
  <c r="C562" i="3"/>
  <c r="A566" i="3"/>
  <c r="C566" i="3"/>
  <c r="A570" i="3"/>
  <c r="C570" i="3"/>
  <c r="A574" i="3"/>
  <c r="C574" i="3"/>
  <c r="A578" i="3"/>
  <c r="C578" i="3"/>
  <c r="A582" i="3"/>
  <c r="C582" i="3"/>
  <c r="A586" i="3"/>
  <c r="C586" i="3"/>
  <c r="A590" i="3"/>
  <c r="C590" i="3"/>
  <c r="A594" i="3"/>
  <c r="C594" i="3"/>
  <c r="A598" i="3"/>
  <c r="C598" i="3"/>
  <c r="A602" i="3"/>
  <c r="C602" i="3"/>
  <c r="A606" i="3"/>
  <c r="C606" i="3"/>
  <c r="A610" i="3"/>
  <c r="C610" i="3"/>
  <c r="A614" i="3"/>
  <c r="C614" i="3"/>
  <c r="A618" i="3"/>
  <c r="C618" i="3"/>
  <c r="A622" i="3"/>
  <c r="C622" i="3"/>
  <c r="A626" i="3"/>
  <c r="C626" i="3"/>
  <c r="A630" i="3"/>
  <c r="C630" i="3"/>
  <c r="A634" i="3"/>
  <c r="C634" i="3"/>
  <c r="A638" i="3"/>
  <c r="C638" i="3"/>
  <c r="A642" i="3"/>
  <c r="C642" i="3"/>
  <c r="A646" i="3"/>
  <c r="C646" i="3"/>
  <c r="A650" i="3"/>
  <c r="C650" i="3"/>
  <c r="A654" i="3"/>
  <c r="C654" i="3"/>
  <c r="A658" i="3"/>
  <c r="C658" i="3"/>
  <c r="A662" i="3"/>
  <c r="C662" i="3"/>
  <c r="A666" i="3"/>
  <c r="C666" i="3"/>
  <c r="A670" i="3"/>
  <c r="C670" i="3"/>
  <c r="A674" i="3"/>
  <c r="C674" i="3"/>
  <c r="A678" i="3"/>
  <c r="C678" i="3"/>
  <c r="A682" i="3"/>
  <c r="C682" i="3"/>
  <c r="A686" i="3"/>
  <c r="C686" i="3"/>
  <c r="A690" i="3"/>
  <c r="C690" i="3"/>
  <c r="A694" i="3"/>
  <c r="C694" i="3"/>
  <c r="A698" i="3"/>
  <c r="C698" i="3"/>
  <c r="A702" i="3"/>
  <c r="C702" i="3"/>
  <c r="A706" i="3"/>
  <c r="C706" i="3"/>
  <c r="A710" i="3"/>
  <c r="C710" i="3"/>
  <c r="A714" i="3"/>
  <c r="C714" i="3"/>
  <c r="A718" i="3"/>
  <c r="C718" i="3"/>
  <c r="A722" i="3"/>
  <c r="C722" i="3"/>
  <c r="A726" i="3"/>
  <c r="C726" i="3"/>
  <c r="A730" i="3"/>
  <c r="C730" i="3"/>
  <c r="A734" i="3"/>
  <c r="C734" i="3"/>
  <c r="A738" i="3"/>
  <c r="C738" i="3"/>
  <c r="A742" i="3"/>
  <c r="C742" i="3"/>
  <c r="A746" i="3"/>
  <c r="C746" i="3"/>
  <c r="A750" i="3"/>
  <c r="C750" i="3"/>
  <c r="A754" i="3"/>
  <c r="C754" i="3"/>
  <c r="A758" i="3"/>
  <c r="C758" i="3"/>
  <c r="A762" i="3"/>
  <c r="C762" i="3"/>
  <c r="A766" i="3"/>
  <c r="C766" i="3"/>
  <c r="A770" i="3"/>
  <c r="C770" i="3"/>
  <c r="A774" i="3"/>
  <c r="C774" i="3"/>
  <c r="A778" i="3"/>
  <c r="C778" i="3"/>
  <c r="A782" i="3"/>
  <c r="C782" i="3"/>
  <c r="A786" i="3"/>
  <c r="C786" i="3"/>
  <c r="A790" i="3"/>
  <c r="C790" i="3"/>
  <c r="A794" i="3"/>
  <c r="C794" i="3"/>
  <c r="A798" i="3"/>
  <c r="C798" i="3"/>
  <c r="CD10" i="10"/>
  <c r="CG9" i="10"/>
  <c r="CH8" i="10"/>
  <c r="CG7" i="10"/>
  <c r="CH9" i="10"/>
  <c r="CG8" i="10"/>
  <c r="CH7" i="10"/>
  <c r="CF8" i="10"/>
  <c r="CJ5" i="10"/>
  <c r="CF9" i="10"/>
  <c r="CF7" i="10"/>
  <c r="CC10" i="10"/>
  <c r="F8" i="3"/>
  <c r="CG10" i="7"/>
  <c r="C8" i="3" l="1"/>
  <c r="CH10" i="10"/>
  <c r="CG10" i="10"/>
  <c r="CK8" i="10"/>
  <c r="CK9" i="10"/>
  <c r="CJ9" i="10"/>
  <c r="CK7" i="10"/>
  <c r="CJ8" i="10"/>
  <c r="CJ7" i="10"/>
  <c r="CF10" i="10"/>
  <c r="CI7" i="10"/>
  <c r="CI9" i="10"/>
  <c r="CI8" i="10"/>
  <c r="CG21" i="7"/>
  <c r="C21" i="7"/>
  <c r="CE21" i="7" s="1"/>
  <c r="CK10" i="10" l="1"/>
  <c r="CL9" i="10"/>
  <c r="CI10" i="10"/>
  <c r="CL7" i="10"/>
  <c r="CL8" i="10"/>
  <c r="CJ10" i="10"/>
  <c r="CC21" i="7"/>
  <c r="CF21" i="7"/>
  <c r="CL10" i="10" l="1"/>
  <c r="CN7" i="10"/>
  <c r="CM7" i="10"/>
  <c r="CN9" i="10"/>
  <c r="CM9" i="10"/>
  <c r="CM8" i="10"/>
  <c r="CN8" i="10"/>
  <c r="CJ21" i="7"/>
  <c r="CP7" i="10" l="1"/>
  <c r="CM10" i="10"/>
  <c r="CO7" i="10"/>
  <c r="CP8" i="10"/>
  <c r="CQ8" i="10" s="1"/>
  <c r="CR8" i="10" s="1"/>
  <c r="CO8" i="10"/>
  <c r="CN10" i="10"/>
  <c r="CQ7" i="10"/>
  <c r="CR7" i="10" s="1"/>
  <c r="CO9" i="10"/>
  <c r="CP9" i="10"/>
  <c r="CQ9" i="10" s="1"/>
  <c r="CR9" i="10" s="1"/>
  <c r="CG23" i="7"/>
  <c r="CG22" i="7"/>
  <c r="CG20" i="7"/>
  <c r="CG19" i="7"/>
  <c r="CG18" i="7"/>
  <c r="CG17" i="7"/>
  <c r="CG16" i="7"/>
  <c r="CG15" i="7"/>
  <c r="CG14" i="7"/>
  <c r="CG13" i="7"/>
  <c r="CG12" i="7"/>
  <c r="CG11" i="7"/>
  <c r="CG9" i="7"/>
  <c r="CG8" i="7"/>
  <c r="CG7" i="7"/>
  <c r="CB46" i="7"/>
  <c r="A46" i="7"/>
  <c r="C46" i="7" s="1"/>
  <c r="CB45" i="7"/>
  <c r="A45" i="7"/>
  <c r="C45" i="7" s="1"/>
  <c r="C20" i="7"/>
  <c r="C19" i="7"/>
  <c r="CE19" i="7" s="1"/>
  <c r="CO10" i="10" l="1"/>
  <c r="CC20" i="7"/>
  <c r="CE20" i="7"/>
  <c r="CG24" i="7"/>
  <c r="CC46" i="7"/>
  <c r="CC45" i="7"/>
  <c r="CJ19" i="7"/>
  <c r="CC19" i="7"/>
  <c r="CF20" i="7" l="1"/>
  <c r="CF19" i="7"/>
  <c r="CJ20" i="7"/>
  <c r="A6" i="3" l="1"/>
  <c r="A5" i="3"/>
  <c r="A4" i="3"/>
  <c r="A7" i="3" l="1"/>
  <c r="A47" i="7"/>
  <c r="C47" i="7" s="1"/>
  <c r="A48" i="7"/>
  <c r="CB47" i="7"/>
  <c r="A44" i="7"/>
  <c r="A43" i="7"/>
  <c r="A42" i="7"/>
  <c r="A41" i="7"/>
  <c r="A40" i="7"/>
  <c r="C40" i="7" s="1"/>
  <c r="A39" i="7"/>
  <c r="C39" i="7" s="1"/>
  <c r="A38" i="7"/>
  <c r="C38" i="7" s="1"/>
  <c r="A37" i="7"/>
  <c r="C37" i="7" s="1"/>
  <c r="A36" i="7"/>
  <c r="C36" i="7" s="1"/>
  <c r="A35" i="7"/>
  <c r="C35" i="7" s="1"/>
  <c r="A34" i="7"/>
  <c r="C34" i="7" s="1"/>
  <c r="A33" i="7"/>
  <c r="CB34" i="7"/>
  <c r="CB35" i="7"/>
  <c r="CB36" i="7"/>
  <c r="CB37" i="7"/>
  <c r="CB38" i="7"/>
  <c r="CB39" i="7"/>
  <c r="CB40" i="7"/>
  <c r="C7" i="7"/>
  <c r="CE7" i="7" s="1"/>
  <c r="C9" i="7"/>
  <c r="CE9" i="7" s="1"/>
  <c r="C8" i="7"/>
  <c r="CE8" i="7" s="1"/>
  <c r="C11" i="7"/>
  <c r="CE11" i="7" s="1"/>
  <c r="F9" i="3" l="1"/>
  <c r="A8" i="3"/>
  <c r="CF10" i="7"/>
  <c r="CF11" i="7"/>
  <c r="CJ8" i="7"/>
  <c r="CC7" i="7"/>
  <c r="CF9" i="7"/>
  <c r="CC47" i="7"/>
  <c r="CC34" i="7"/>
  <c r="CC35" i="7"/>
  <c r="CC36" i="7"/>
  <c r="CC37" i="7"/>
  <c r="CC38" i="7"/>
  <c r="CC39" i="7"/>
  <c r="CC40" i="7"/>
  <c r="CC10" i="7"/>
  <c r="CC9" i="7"/>
  <c r="CC8" i="7"/>
  <c r="CC11" i="7"/>
  <c r="C9" i="3" l="1"/>
  <c r="F10" i="3"/>
  <c r="C10" i="3" s="1"/>
  <c r="A9" i="3"/>
  <c r="CF7" i="7"/>
  <c r="CF8" i="7"/>
  <c r="CJ9" i="7"/>
  <c r="CJ11" i="7"/>
  <c r="CJ7" i="7"/>
  <c r="CJ10" i="7"/>
  <c r="F11" i="3" l="1"/>
  <c r="A10" i="3"/>
  <c r="C23" i="7"/>
  <c r="CE23" i="7" s="1"/>
  <c r="C11" i="3" l="1"/>
  <c r="A11" i="3"/>
  <c r="F12" i="3"/>
  <c r="C12" i="3" s="1"/>
  <c r="CC23" i="7"/>
  <c r="A12" i="3" l="1"/>
  <c r="F13" i="3"/>
  <c r="CF23" i="7"/>
  <c r="CJ23" i="7"/>
  <c r="C13" i="3" l="1"/>
  <c r="A13" i="3"/>
  <c r="F14" i="3"/>
  <c r="C14" i="3" s="1"/>
  <c r="C48" i="7"/>
  <c r="CB48" i="7"/>
  <c r="C17" i="7"/>
  <c r="CE17" i="7" s="1"/>
  <c r="A14" i="3" l="1"/>
  <c r="F15" i="3"/>
  <c r="C15" i="3" s="1"/>
  <c r="CF17" i="7"/>
  <c r="CC48" i="7"/>
  <c r="CC17" i="7"/>
  <c r="A15" i="3" l="1"/>
  <c r="F16" i="3"/>
  <c r="C16" i="3" s="1"/>
  <c r="CJ17" i="7"/>
  <c r="F17" i="3" l="1"/>
  <c r="C17" i="3" s="1"/>
  <c r="A16" i="3"/>
  <c r="H5" i="7"/>
  <c r="J5" i="7" s="1"/>
  <c r="L5" i="7" s="1"/>
  <c r="N5" i="7" s="1"/>
  <c r="P5" i="7" s="1"/>
  <c r="R5" i="7" l="1"/>
  <c r="T5" i="7" s="1"/>
  <c r="V5" i="7" s="1"/>
  <c r="X5" i="7" s="1"/>
  <c r="Z5" i="7" s="1"/>
  <c r="AB5" i="7" s="1"/>
  <c r="AD5" i="7" s="1"/>
  <c r="AF5" i="7" s="1"/>
  <c r="AH5" i="7" s="1"/>
  <c r="AJ5" i="7" s="1"/>
  <c r="AL5" i="7" s="1"/>
  <c r="AN5" i="7" s="1"/>
  <c r="AP5" i="7" s="1"/>
  <c r="AR5" i="7" s="1"/>
  <c r="AT5" i="7" s="1"/>
  <c r="A17" i="3"/>
  <c r="F18" i="3"/>
  <c r="C18" i="3" s="1"/>
  <c r="AU157" i="7"/>
  <c r="AT157" i="7"/>
  <c r="AU145" i="7"/>
  <c r="AT145" i="7"/>
  <c r="AU127" i="7"/>
  <c r="AT127" i="7"/>
  <c r="AU105" i="7"/>
  <c r="AT105" i="7"/>
  <c r="AU95" i="7"/>
  <c r="AT95" i="7"/>
  <c r="AU85" i="7"/>
  <c r="AT85" i="7"/>
  <c r="AU69" i="7"/>
  <c r="AT69" i="7"/>
  <c r="AU49" i="7"/>
  <c r="AT49" i="7"/>
  <c r="AU24" i="7"/>
  <c r="AT24" i="7"/>
  <c r="AW157" i="7"/>
  <c r="AV157" i="7"/>
  <c r="AW145" i="7"/>
  <c r="AV145" i="7"/>
  <c r="AW127" i="7"/>
  <c r="AV127" i="7"/>
  <c r="AW105" i="7"/>
  <c r="AV105" i="7"/>
  <c r="AW95" i="7"/>
  <c r="AV95" i="7"/>
  <c r="AW85" i="7"/>
  <c r="AV85" i="7"/>
  <c r="AW69" i="7"/>
  <c r="AV69" i="7"/>
  <c r="AW49" i="7"/>
  <c r="AV49" i="7"/>
  <c r="AW24" i="7"/>
  <c r="AV24" i="7"/>
  <c r="AY157" i="7"/>
  <c r="AX157" i="7"/>
  <c r="AY145" i="7"/>
  <c r="AX145" i="7"/>
  <c r="AY127" i="7"/>
  <c r="AX127" i="7"/>
  <c r="AY105" i="7"/>
  <c r="AX105" i="7"/>
  <c r="AY95" i="7"/>
  <c r="AX95" i="7"/>
  <c r="AY85" i="7"/>
  <c r="AX85" i="7"/>
  <c r="AY69" i="7"/>
  <c r="AX69" i="7"/>
  <c r="AY49" i="7"/>
  <c r="AX49" i="7"/>
  <c r="AY24" i="7"/>
  <c r="AX24" i="7"/>
  <c r="BA157" i="7"/>
  <c r="AZ157" i="7"/>
  <c r="BA145" i="7"/>
  <c r="AZ145" i="7"/>
  <c r="BA127" i="7"/>
  <c r="AZ127" i="7"/>
  <c r="BA105" i="7"/>
  <c r="AZ105" i="7"/>
  <c r="BA95" i="7"/>
  <c r="AZ95" i="7"/>
  <c r="BA85" i="7"/>
  <c r="AZ85" i="7"/>
  <c r="BA69" i="7"/>
  <c r="AZ69" i="7"/>
  <c r="BA49" i="7"/>
  <c r="AZ49" i="7"/>
  <c r="BA24" i="7"/>
  <c r="AZ24" i="7"/>
  <c r="BC157" i="7"/>
  <c r="BB157" i="7"/>
  <c r="BC145" i="7"/>
  <c r="BB145" i="7"/>
  <c r="BC127" i="7"/>
  <c r="BB127" i="7"/>
  <c r="BC105" i="7"/>
  <c r="BB105" i="7"/>
  <c r="BC95" i="7"/>
  <c r="BB95" i="7"/>
  <c r="BC85" i="7"/>
  <c r="BB85" i="7"/>
  <c r="BC69" i="7"/>
  <c r="BB69" i="7"/>
  <c r="BC49" i="7"/>
  <c r="BB49" i="7"/>
  <c r="BC24" i="7"/>
  <c r="BB24" i="7"/>
  <c r="AV5" i="7" l="1"/>
  <c r="AT111" i="7"/>
  <c r="AT55" i="7"/>
  <c r="AT131" i="7"/>
  <c r="AT75" i="7"/>
  <c r="AT149" i="7"/>
  <c r="AT91" i="7"/>
  <c r="AT101" i="7"/>
  <c r="AT31" i="7"/>
  <c r="A18" i="3"/>
  <c r="F19" i="3"/>
  <c r="C19" i="3" s="1"/>
  <c r="C5" i="6"/>
  <c r="C6" i="6" s="1"/>
  <c r="C7" i="6" s="1"/>
  <c r="C8" i="6" s="1"/>
  <c r="C9" i="6" s="1"/>
  <c r="C10" i="6" s="1"/>
  <c r="C11" i="6" s="1"/>
  <c r="C12" i="6" s="1"/>
  <c r="C13" i="6" s="1"/>
  <c r="C14" i="6" s="1"/>
  <c r="AX5" i="7" l="1"/>
  <c r="AV149" i="7"/>
  <c r="AV91" i="7"/>
  <c r="AV101" i="7"/>
  <c r="AV31" i="7"/>
  <c r="AV111" i="7"/>
  <c r="AV55" i="7"/>
  <c r="AV131" i="7"/>
  <c r="AV75" i="7"/>
  <c r="A19" i="3"/>
  <c r="F20" i="3"/>
  <c r="C20" i="3" s="1"/>
  <c r="CB93" i="7"/>
  <c r="AZ5" i="7" l="1"/>
  <c r="AX111" i="7"/>
  <c r="AX55" i="7"/>
  <c r="AX131" i="7"/>
  <c r="AX75" i="7"/>
  <c r="AX149" i="7"/>
  <c r="AX91" i="7"/>
  <c r="AX101" i="7"/>
  <c r="AX31" i="7"/>
  <c r="A20" i="3"/>
  <c r="F21" i="3"/>
  <c r="C21" i="3" s="1"/>
  <c r="AR149" i="7"/>
  <c r="AP149" i="7"/>
  <c r="AN149" i="7"/>
  <c r="AL149" i="7"/>
  <c r="AJ149" i="7"/>
  <c r="AH149" i="7"/>
  <c r="AF149" i="7"/>
  <c r="AD149" i="7"/>
  <c r="AB149" i="7"/>
  <c r="Z149" i="7"/>
  <c r="X149" i="7"/>
  <c r="V149" i="7"/>
  <c r="T149" i="7"/>
  <c r="R149" i="7"/>
  <c r="P149" i="7"/>
  <c r="N149" i="7"/>
  <c r="L149" i="7"/>
  <c r="J149" i="7"/>
  <c r="H149" i="7"/>
  <c r="F149" i="7"/>
  <c r="D149" i="7"/>
  <c r="AR131" i="7"/>
  <c r="AP131" i="7"/>
  <c r="AN131" i="7"/>
  <c r="AL131" i="7"/>
  <c r="AJ131" i="7"/>
  <c r="AH131" i="7"/>
  <c r="AF131" i="7"/>
  <c r="AD131" i="7"/>
  <c r="AB131" i="7"/>
  <c r="Z131" i="7"/>
  <c r="X131" i="7"/>
  <c r="V131" i="7"/>
  <c r="T131" i="7"/>
  <c r="R131" i="7"/>
  <c r="P131" i="7"/>
  <c r="N131" i="7"/>
  <c r="L131" i="7"/>
  <c r="J131" i="7"/>
  <c r="H131" i="7"/>
  <c r="F131" i="7"/>
  <c r="D131" i="7"/>
  <c r="AR111" i="7"/>
  <c r="AP111" i="7"/>
  <c r="AN111" i="7"/>
  <c r="AL111" i="7"/>
  <c r="AJ111" i="7"/>
  <c r="AH111" i="7"/>
  <c r="AF111" i="7"/>
  <c r="AD111" i="7"/>
  <c r="AB111" i="7"/>
  <c r="Z111" i="7"/>
  <c r="X111" i="7"/>
  <c r="V111" i="7"/>
  <c r="T111" i="7"/>
  <c r="R111" i="7"/>
  <c r="P111" i="7"/>
  <c r="N111" i="7"/>
  <c r="L111" i="7"/>
  <c r="J111" i="7"/>
  <c r="H111" i="7"/>
  <c r="F111" i="7"/>
  <c r="D111" i="7"/>
  <c r="AR101" i="7"/>
  <c r="AP101" i="7"/>
  <c r="AN101" i="7"/>
  <c r="AL101" i="7"/>
  <c r="AJ101" i="7"/>
  <c r="AH101" i="7"/>
  <c r="AF101" i="7"/>
  <c r="AD101" i="7"/>
  <c r="AB101" i="7"/>
  <c r="Z101" i="7"/>
  <c r="X101" i="7"/>
  <c r="V101" i="7"/>
  <c r="T101" i="7"/>
  <c r="R101" i="7"/>
  <c r="P101" i="7"/>
  <c r="N101" i="7"/>
  <c r="L101" i="7"/>
  <c r="J101" i="7"/>
  <c r="H101" i="7"/>
  <c r="F101" i="7"/>
  <c r="D101" i="7"/>
  <c r="AR91" i="7"/>
  <c r="AP91" i="7"/>
  <c r="AN91" i="7"/>
  <c r="AL91" i="7"/>
  <c r="AJ91" i="7"/>
  <c r="AH91" i="7"/>
  <c r="AF91" i="7"/>
  <c r="AD91" i="7"/>
  <c r="AB91" i="7"/>
  <c r="Z91" i="7"/>
  <c r="X91" i="7"/>
  <c r="V91" i="7"/>
  <c r="T91" i="7"/>
  <c r="R91" i="7"/>
  <c r="P91" i="7"/>
  <c r="N91" i="7"/>
  <c r="L91" i="7"/>
  <c r="J91" i="7"/>
  <c r="H91" i="7"/>
  <c r="F91" i="7"/>
  <c r="D91" i="7"/>
  <c r="AR75" i="7"/>
  <c r="AP75" i="7"/>
  <c r="AN75" i="7"/>
  <c r="AL75" i="7"/>
  <c r="AJ75" i="7"/>
  <c r="AH75" i="7"/>
  <c r="AF75" i="7"/>
  <c r="AD75" i="7"/>
  <c r="AB75" i="7"/>
  <c r="Z75" i="7"/>
  <c r="X75" i="7"/>
  <c r="V75" i="7"/>
  <c r="T75" i="7"/>
  <c r="R75" i="7"/>
  <c r="P75" i="7"/>
  <c r="N75" i="7"/>
  <c r="L75" i="7"/>
  <c r="J75" i="7"/>
  <c r="H75" i="7"/>
  <c r="F75" i="7"/>
  <c r="D75" i="7"/>
  <c r="AR55" i="7"/>
  <c r="AP55" i="7"/>
  <c r="AN55" i="7"/>
  <c r="AL55" i="7"/>
  <c r="AJ55" i="7"/>
  <c r="AH55" i="7"/>
  <c r="AF55" i="7"/>
  <c r="AD55" i="7"/>
  <c r="AB55" i="7"/>
  <c r="Z55" i="7"/>
  <c r="X55" i="7"/>
  <c r="V55" i="7"/>
  <c r="T55" i="7"/>
  <c r="R55" i="7"/>
  <c r="P55" i="7"/>
  <c r="N55" i="7"/>
  <c r="L55" i="7"/>
  <c r="J55" i="7"/>
  <c r="H55" i="7"/>
  <c r="F55" i="7"/>
  <c r="D55" i="7"/>
  <c r="AR31" i="7"/>
  <c r="AP31" i="7"/>
  <c r="AN31" i="7"/>
  <c r="AL31" i="7"/>
  <c r="AJ31" i="7"/>
  <c r="AH31" i="7"/>
  <c r="AF31" i="7"/>
  <c r="AD31" i="7"/>
  <c r="AB31" i="7"/>
  <c r="Z31" i="7"/>
  <c r="X31" i="7"/>
  <c r="V31" i="7"/>
  <c r="T31" i="7"/>
  <c r="R31" i="7"/>
  <c r="P31" i="7"/>
  <c r="N31" i="7"/>
  <c r="L31" i="7"/>
  <c r="J31" i="7"/>
  <c r="H31" i="7"/>
  <c r="F31" i="7"/>
  <c r="D31" i="7"/>
  <c r="BB5" i="7" l="1"/>
  <c r="AZ149" i="7"/>
  <c r="AZ91" i="7"/>
  <c r="AZ101" i="7"/>
  <c r="AZ31" i="7"/>
  <c r="AZ111" i="7"/>
  <c r="AZ55" i="7"/>
  <c r="AZ131" i="7"/>
  <c r="AZ75" i="7"/>
  <c r="F22" i="3"/>
  <c r="C22" i="3" s="1"/>
  <c r="A21" i="3"/>
  <c r="BG157" i="7"/>
  <c r="BF157" i="7"/>
  <c r="BE157" i="7"/>
  <c r="BD157" i="7"/>
  <c r="AS157" i="7"/>
  <c r="AR157" i="7"/>
  <c r="AQ157" i="7"/>
  <c r="AP157" i="7"/>
  <c r="AO157" i="7"/>
  <c r="AN157" i="7"/>
  <c r="AM157" i="7"/>
  <c r="AL157" i="7"/>
  <c r="AK157" i="7"/>
  <c r="AJ157" i="7"/>
  <c r="AI157" i="7"/>
  <c r="AH157" i="7"/>
  <c r="AG157" i="7"/>
  <c r="AF157" i="7"/>
  <c r="AE157" i="7"/>
  <c r="AD157" i="7"/>
  <c r="AC157" i="7"/>
  <c r="AB157" i="7"/>
  <c r="AA157" i="7"/>
  <c r="Z157" i="7"/>
  <c r="Y157" i="7"/>
  <c r="X157" i="7"/>
  <c r="W157" i="7"/>
  <c r="V157" i="7"/>
  <c r="U157" i="7"/>
  <c r="T157" i="7"/>
  <c r="S157" i="7"/>
  <c r="R157" i="7"/>
  <c r="Q157" i="7"/>
  <c r="P157" i="7"/>
  <c r="O157" i="7"/>
  <c r="N157" i="7"/>
  <c r="M157" i="7"/>
  <c r="L157" i="7"/>
  <c r="K157" i="7"/>
  <c r="J157" i="7"/>
  <c r="I157" i="7"/>
  <c r="H157" i="7"/>
  <c r="G157" i="7"/>
  <c r="F157" i="7"/>
  <c r="E157" i="7"/>
  <c r="D157" i="7"/>
  <c r="BG145" i="7"/>
  <c r="BF145" i="7"/>
  <c r="BE145" i="7"/>
  <c r="BD145" i="7"/>
  <c r="AS145" i="7"/>
  <c r="AR145" i="7"/>
  <c r="AQ145" i="7"/>
  <c r="AP145" i="7"/>
  <c r="AO145" i="7"/>
  <c r="AN145" i="7"/>
  <c r="AM145" i="7"/>
  <c r="AL145" i="7"/>
  <c r="AK145" i="7"/>
  <c r="AJ145" i="7"/>
  <c r="AI145" i="7"/>
  <c r="AH145" i="7"/>
  <c r="AG145" i="7"/>
  <c r="AF145" i="7"/>
  <c r="AE145" i="7"/>
  <c r="AD145" i="7"/>
  <c r="AC145" i="7"/>
  <c r="AB145" i="7"/>
  <c r="AA145" i="7"/>
  <c r="Z145" i="7"/>
  <c r="Y145" i="7"/>
  <c r="X145" i="7"/>
  <c r="W145" i="7"/>
  <c r="V145" i="7"/>
  <c r="U145" i="7"/>
  <c r="T145" i="7"/>
  <c r="S145" i="7"/>
  <c r="R145" i="7"/>
  <c r="Q145" i="7"/>
  <c r="P145" i="7"/>
  <c r="O145" i="7"/>
  <c r="N145" i="7"/>
  <c r="M145" i="7"/>
  <c r="L145" i="7"/>
  <c r="K145" i="7"/>
  <c r="J145" i="7"/>
  <c r="I145" i="7"/>
  <c r="H145" i="7"/>
  <c r="G145" i="7"/>
  <c r="F145" i="7"/>
  <c r="E145" i="7"/>
  <c r="D145" i="7"/>
  <c r="BG127" i="7"/>
  <c r="BF127" i="7"/>
  <c r="BE127" i="7"/>
  <c r="BD127" i="7"/>
  <c r="AS127" i="7"/>
  <c r="AR127" i="7"/>
  <c r="AQ127" i="7"/>
  <c r="AP127" i="7"/>
  <c r="AO127" i="7"/>
  <c r="AN127" i="7"/>
  <c r="AM127" i="7"/>
  <c r="AL127" i="7"/>
  <c r="AK127" i="7"/>
  <c r="AJ127" i="7"/>
  <c r="AI127" i="7"/>
  <c r="AH127" i="7"/>
  <c r="AG127" i="7"/>
  <c r="AF127" i="7"/>
  <c r="AE127" i="7"/>
  <c r="AD127" i="7"/>
  <c r="AC127" i="7"/>
  <c r="AB127" i="7"/>
  <c r="AA127" i="7"/>
  <c r="Z127" i="7"/>
  <c r="Y127" i="7"/>
  <c r="X127" i="7"/>
  <c r="W127" i="7"/>
  <c r="V127" i="7"/>
  <c r="U127" i="7"/>
  <c r="T127" i="7"/>
  <c r="S127" i="7"/>
  <c r="R127" i="7"/>
  <c r="Q127" i="7"/>
  <c r="P127" i="7"/>
  <c r="O127" i="7"/>
  <c r="N127" i="7"/>
  <c r="M127" i="7"/>
  <c r="L127" i="7"/>
  <c r="K127" i="7"/>
  <c r="J127" i="7"/>
  <c r="I127" i="7"/>
  <c r="H127" i="7"/>
  <c r="G127" i="7"/>
  <c r="F127" i="7"/>
  <c r="E127" i="7"/>
  <c r="D127" i="7"/>
  <c r="BG85" i="7"/>
  <c r="BF85" i="7"/>
  <c r="BE85" i="7"/>
  <c r="BD85" i="7"/>
  <c r="AS85" i="7"/>
  <c r="AR85" i="7"/>
  <c r="AQ85" i="7"/>
  <c r="AP85" i="7"/>
  <c r="AO85" i="7"/>
  <c r="AN85" i="7"/>
  <c r="AM85" i="7"/>
  <c r="AL85" i="7"/>
  <c r="AK85" i="7"/>
  <c r="AJ85" i="7"/>
  <c r="AH85" i="7"/>
  <c r="AG85" i="7"/>
  <c r="AF85" i="7"/>
  <c r="AE85" i="7"/>
  <c r="AD85" i="7"/>
  <c r="AC85" i="7"/>
  <c r="AB85" i="7"/>
  <c r="AA85" i="7"/>
  <c r="Z85" i="7"/>
  <c r="Y85" i="7"/>
  <c r="X85" i="7"/>
  <c r="W85" i="7"/>
  <c r="V85" i="7"/>
  <c r="U85" i="7"/>
  <c r="T85" i="7"/>
  <c r="S85" i="7"/>
  <c r="R85" i="7"/>
  <c r="Q85" i="7"/>
  <c r="P85" i="7"/>
  <c r="O85" i="7"/>
  <c r="N85" i="7"/>
  <c r="M85" i="7"/>
  <c r="L85" i="7"/>
  <c r="K85" i="7"/>
  <c r="J85" i="7"/>
  <c r="I85" i="7"/>
  <c r="H85" i="7"/>
  <c r="G85" i="7"/>
  <c r="F85" i="7"/>
  <c r="E85" i="7"/>
  <c r="D85" i="7"/>
  <c r="AI85" i="7"/>
  <c r="BG69" i="7"/>
  <c r="BF69" i="7"/>
  <c r="BE69" i="7"/>
  <c r="BD69" i="7"/>
  <c r="AS69" i="7"/>
  <c r="AR69" i="7"/>
  <c r="AQ69" i="7"/>
  <c r="AP69" i="7"/>
  <c r="AO69" i="7"/>
  <c r="AN69" i="7"/>
  <c r="AM69" i="7"/>
  <c r="AL69" i="7"/>
  <c r="AK69" i="7"/>
  <c r="AJ69" i="7"/>
  <c r="AI69" i="7"/>
  <c r="AH69" i="7"/>
  <c r="AG69" i="7"/>
  <c r="AF69" i="7"/>
  <c r="AE69" i="7"/>
  <c r="AD69" i="7"/>
  <c r="AC69" i="7"/>
  <c r="AB69" i="7"/>
  <c r="AA69" i="7"/>
  <c r="Z69" i="7"/>
  <c r="Y69" i="7"/>
  <c r="X69" i="7"/>
  <c r="W69" i="7"/>
  <c r="V69" i="7"/>
  <c r="U69" i="7"/>
  <c r="T69" i="7"/>
  <c r="S69" i="7"/>
  <c r="R69" i="7"/>
  <c r="Q69" i="7"/>
  <c r="P69" i="7"/>
  <c r="O69" i="7"/>
  <c r="N69" i="7"/>
  <c r="M69" i="7"/>
  <c r="L69" i="7"/>
  <c r="K69" i="7"/>
  <c r="J69" i="7"/>
  <c r="I69" i="7"/>
  <c r="H69" i="7"/>
  <c r="G69" i="7"/>
  <c r="F69" i="7"/>
  <c r="E69" i="7"/>
  <c r="D69" i="7"/>
  <c r="BD5" i="7" l="1"/>
  <c r="BB111" i="7"/>
  <c r="BB131" i="7"/>
  <c r="BB75" i="7"/>
  <c r="BB149" i="7"/>
  <c r="BB91" i="7"/>
  <c r="BB101" i="7"/>
  <c r="BB31" i="7"/>
  <c r="BB55" i="7"/>
  <c r="A22" i="3"/>
  <c r="F23" i="3"/>
  <c r="C23" i="3" s="1"/>
  <c r="CB140" i="7"/>
  <c r="CC140" i="7" s="1"/>
  <c r="CB126" i="7"/>
  <c r="CC126" i="7" s="1"/>
  <c r="BF5" i="7" l="1"/>
  <c r="BH5" i="7" s="1"/>
  <c r="BJ5" i="7" s="1"/>
  <c r="BL5" i="7" s="1"/>
  <c r="BN5" i="7" s="1"/>
  <c r="BP5" i="7" s="1"/>
  <c r="BR5" i="7" s="1"/>
  <c r="BT5" i="7" s="1"/>
  <c r="BV5" i="7" s="1"/>
  <c r="BX5" i="7" s="1"/>
  <c r="BZ5" i="7" s="1"/>
  <c r="BD149" i="7"/>
  <c r="BD91" i="7"/>
  <c r="BD101" i="7"/>
  <c r="BD31" i="7"/>
  <c r="BD131" i="7"/>
  <c r="BD75" i="7"/>
  <c r="BD111" i="7"/>
  <c r="BD55" i="7"/>
  <c r="A23" i="3"/>
  <c r="F24" i="3"/>
  <c r="C24" i="3" s="1"/>
  <c r="CB142" i="7"/>
  <c r="CC142" i="7" s="1"/>
  <c r="BF101" i="7" l="1"/>
  <c r="BF31" i="7"/>
  <c r="BF111" i="7"/>
  <c r="BF55" i="7"/>
  <c r="BF149" i="7"/>
  <c r="BF91" i="7"/>
  <c r="BF131" i="7"/>
  <c r="BF75" i="7"/>
  <c r="A24" i="3"/>
  <c r="F25" i="3"/>
  <c r="C25" i="3" s="1"/>
  <c r="CB125" i="7"/>
  <c r="CC125" i="7" s="1"/>
  <c r="CB124" i="7"/>
  <c r="CB139" i="7"/>
  <c r="CC139" i="7" s="1"/>
  <c r="A25" i="3" l="1"/>
  <c r="F26" i="3"/>
  <c r="C26" i="3" s="1"/>
  <c r="CB121" i="7"/>
  <c r="CC121" i="7" s="1"/>
  <c r="CB65" i="7"/>
  <c r="CC65" i="7" s="1"/>
  <c r="A26" i="3" l="1"/>
  <c r="F27" i="3"/>
  <c r="C27" i="3" s="1"/>
  <c r="CB156" i="7"/>
  <c r="CB155" i="7"/>
  <c r="CB154" i="7"/>
  <c r="CB153" i="7"/>
  <c r="CB152" i="7"/>
  <c r="CB151" i="7"/>
  <c r="CB144" i="7"/>
  <c r="CC144" i="7" s="1"/>
  <c r="CB143" i="7"/>
  <c r="CC143" i="7" s="1"/>
  <c r="CB141" i="7"/>
  <c r="CC141" i="7" s="1"/>
  <c r="CB138" i="7"/>
  <c r="CC138" i="7" s="1"/>
  <c r="CB137" i="7"/>
  <c r="CC137" i="7" s="1"/>
  <c r="CB136" i="7"/>
  <c r="CC136" i="7" s="1"/>
  <c r="CB135" i="7"/>
  <c r="CC135" i="7" s="1"/>
  <c r="CB134" i="7"/>
  <c r="CC134" i="7" s="1"/>
  <c r="CB133" i="7"/>
  <c r="CB123" i="7"/>
  <c r="CB122" i="7"/>
  <c r="CB120" i="7"/>
  <c r="CB119" i="7"/>
  <c r="CB118" i="7"/>
  <c r="CB117" i="7"/>
  <c r="CB116" i="7"/>
  <c r="CB115" i="7"/>
  <c r="CB114" i="7"/>
  <c r="CB113" i="7"/>
  <c r="CB104" i="7"/>
  <c r="CB103" i="7"/>
  <c r="CB94" i="7"/>
  <c r="CB84" i="7"/>
  <c r="CB83" i="7"/>
  <c r="CB82" i="7"/>
  <c r="CB81" i="7"/>
  <c r="CB80" i="7"/>
  <c r="CB79" i="7"/>
  <c r="CB78" i="7"/>
  <c r="CB77" i="7"/>
  <c r="CB68" i="7"/>
  <c r="CB67" i="7"/>
  <c r="CB66" i="7"/>
  <c r="CB64" i="7"/>
  <c r="CC64" i="7" s="1"/>
  <c r="CB63" i="7"/>
  <c r="CC63" i="7" s="1"/>
  <c r="CB62" i="7"/>
  <c r="CC62" i="7" s="1"/>
  <c r="CB61" i="7"/>
  <c r="CB60" i="7"/>
  <c r="CB59" i="7"/>
  <c r="CB58" i="7"/>
  <c r="CB57" i="7"/>
  <c r="CB44" i="7"/>
  <c r="CB43" i="7"/>
  <c r="CB42" i="7"/>
  <c r="CB41" i="7"/>
  <c r="CB33" i="7"/>
  <c r="F28" i="3" l="1"/>
  <c r="C28" i="3" s="1"/>
  <c r="A27" i="3"/>
  <c r="CB69" i="7"/>
  <c r="CB85" i="7"/>
  <c r="CB127" i="7"/>
  <c r="CB145" i="7"/>
  <c r="CB157" i="7"/>
  <c r="CC124" i="7"/>
  <c r="A28" i="3" l="1"/>
  <c r="F29" i="3"/>
  <c r="C29" i="3" s="1"/>
  <c r="CC123" i="7"/>
  <c r="A29" i="3" l="1"/>
  <c r="F30" i="3"/>
  <c r="C30" i="3" s="1"/>
  <c r="CC60" i="7"/>
  <c r="F31" i="3" l="1"/>
  <c r="C31" i="3" s="1"/>
  <c r="A30" i="3"/>
  <c r="CC120" i="7"/>
  <c r="CC119" i="7"/>
  <c r="CC118" i="7"/>
  <c r="CC117" i="7"/>
  <c r="A31" i="3" l="1"/>
  <c r="F32" i="3"/>
  <c r="C32" i="3" s="1"/>
  <c r="CC67" i="7"/>
  <c r="CC68" i="7"/>
  <c r="CC66" i="7"/>
  <c r="CC61" i="7"/>
  <c r="CC59" i="7"/>
  <c r="CC58" i="7"/>
  <c r="A32" i="3" l="1"/>
  <c r="F33" i="3"/>
  <c r="C33" i="3" s="1"/>
  <c r="CC156" i="7"/>
  <c r="CC155" i="7"/>
  <c r="CC154" i="7"/>
  <c r="CC153" i="7"/>
  <c r="CC152" i="7"/>
  <c r="A33" i="3" l="1"/>
  <c r="F34" i="3"/>
  <c r="C34" i="3" s="1"/>
  <c r="CC57" i="7"/>
  <c r="CC69" i="7" s="1"/>
  <c r="A34" i="3" l="1"/>
  <c r="F35" i="3"/>
  <c r="C35" i="3" s="1"/>
  <c r="CC151" i="7"/>
  <c r="CC157" i="7" s="1"/>
  <c r="A35" i="3" l="1"/>
  <c r="F36" i="3"/>
  <c r="C36" i="3" s="1"/>
  <c r="CC116" i="7"/>
  <c r="CC115" i="7"/>
  <c r="CC133" i="7"/>
  <c r="CC145" i="7" s="1"/>
  <c r="A36" i="3" l="1"/>
  <c r="F37" i="3"/>
  <c r="C37" i="3" s="1"/>
  <c r="CC122" i="7"/>
  <c r="A37" i="3" l="1"/>
  <c r="F38" i="3"/>
  <c r="C38" i="3" s="1"/>
  <c r="A38" i="3" l="1"/>
  <c r="F39" i="3"/>
  <c r="C39" i="3" s="1"/>
  <c r="CB24" i="7"/>
  <c r="C44" i="7"/>
  <c r="C43" i="7"/>
  <c r="C42" i="7"/>
  <c r="C41" i="7"/>
  <c r="C33" i="7"/>
  <c r="A39" i="3" l="1"/>
  <c r="F40" i="3"/>
  <c r="C40" i="3" s="1"/>
  <c r="C49" i="7"/>
  <c r="CC114" i="7"/>
  <c r="CC113" i="7"/>
  <c r="CC127" i="7" s="1"/>
  <c r="BG105" i="7"/>
  <c r="BF105" i="7"/>
  <c r="BE105" i="7"/>
  <c r="BD105" i="7"/>
  <c r="AS105" i="7"/>
  <c r="AR105" i="7"/>
  <c r="AQ105" i="7"/>
  <c r="AP105" i="7"/>
  <c r="AO105" i="7"/>
  <c r="AN105" i="7"/>
  <c r="AM105" i="7"/>
  <c r="AL105" i="7"/>
  <c r="AK105" i="7"/>
  <c r="AJ105" i="7"/>
  <c r="AI105" i="7"/>
  <c r="AH105" i="7"/>
  <c r="AG105" i="7"/>
  <c r="AF105" i="7"/>
  <c r="AE105" i="7"/>
  <c r="AD105" i="7"/>
  <c r="AC105" i="7"/>
  <c r="AB105" i="7"/>
  <c r="AA105" i="7"/>
  <c r="Z105" i="7"/>
  <c r="Y105" i="7"/>
  <c r="X105" i="7"/>
  <c r="W105" i="7"/>
  <c r="V105" i="7"/>
  <c r="U105" i="7"/>
  <c r="T105" i="7"/>
  <c r="S105" i="7"/>
  <c r="R105" i="7"/>
  <c r="Q105" i="7"/>
  <c r="P105" i="7"/>
  <c r="O105" i="7"/>
  <c r="N105" i="7"/>
  <c r="M105" i="7"/>
  <c r="L105" i="7"/>
  <c r="K105" i="7"/>
  <c r="J105" i="7"/>
  <c r="I105" i="7"/>
  <c r="H105" i="7"/>
  <c r="G105" i="7"/>
  <c r="F105" i="7"/>
  <c r="E105" i="7"/>
  <c r="D105" i="7"/>
  <c r="CC104" i="7"/>
  <c r="BG95" i="7"/>
  <c r="BF95" i="7"/>
  <c r="BE95" i="7"/>
  <c r="BD95" i="7"/>
  <c r="AS95" i="7"/>
  <c r="AR95" i="7"/>
  <c r="AQ95" i="7"/>
  <c r="AP95" i="7"/>
  <c r="AO95" i="7"/>
  <c r="AN95" i="7"/>
  <c r="AM95" i="7"/>
  <c r="AL95" i="7"/>
  <c r="AK95" i="7"/>
  <c r="AJ95" i="7"/>
  <c r="AI95" i="7"/>
  <c r="AH95" i="7"/>
  <c r="AG95" i="7"/>
  <c r="AF95" i="7"/>
  <c r="AE95" i="7"/>
  <c r="AD95" i="7"/>
  <c r="AC95" i="7"/>
  <c r="AB95" i="7"/>
  <c r="AA95" i="7"/>
  <c r="Z95" i="7"/>
  <c r="Y95" i="7"/>
  <c r="X95" i="7"/>
  <c r="W95" i="7"/>
  <c r="V95" i="7"/>
  <c r="U95" i="7"/>
  <c r="T95" i="7"/>
  <c r="S95" i="7"/>
  <c r="R95" i="7"/>
  <c r="Q95" i="7"/>
  <c r="P95" i="7"/>
  <c r="O95" i="7"/>
  <c r="N95" i="7"/>
  <c r="M95" i="7"/>
  <c r="L95" i="7"/>
  <c r="K95" i="7"/>
  <c r="J95" i="7"/>
  <c r="I95" i="7"/>
  <c r="H95" i="7"/>
  <c r="G95" i="7"/>
  <c r="F95" i="7"/>
  <c r="E95" i="7"/>
  <c r="D95" i="7"/>
  <c r="BG49" i="7"/>
  <c r="BF49" i="7"/>
  <c r="BE49" i="7"/>
  <c r="BD49" i="7"/>
  <c r="AS49" i="7"/>
  <c r="AR49" i="7"/>
  <c r="AQ49" i="7"/>
  <c r="AP49" i="7"/>
  <c r="AO49" i="7"/>
  <c r="AN49" i="7"/>
  <c r="AM49" i="7"/>
  <c r="AL49" i="7"/>
  <c r="AK49" i="7"/>
  <c r="AJ49" i="7"/>
  <c r="AI49" i="7"/>
  <c r="AH49" i="7"/>
  <c r="AG49" i="7"/>
  <c r="AF49" i="7"/>
  <c r="AE49" i="7"/>
  <c r="AD49" i="7"/>
  <c r="AC49" i="7"/>
  <c r="AB49" i="7"/>
  <c r="AA49" i="7"/>
  <c r="Z49" i="7"/>
  <c r="Y49" i="7"/>
  <c r="X49" i="7"/>
  <c r="W49" i="7"/>
  <c r="V49" i="7"/>
  <c r="U49" i="7"/>
  <c r="T49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BG24" i="7"/>
  <c r="BF24" i="7"/>
  <c r="BE24" i="7"/>
  <c r="BD24" i="7"/>
  <c r="AS24" i="7"/>
  <c r="AR24" i="7"/>
  <c r="AQ24" i="7"/>
  <c r="AP24" i="7"/>
  <c r="AO24" i="7"/>
  <c r="AN24" i="7"/>
  <c r="AM24" i="7"/>
  <c r="AL24" i="7"/>
  <c r="AK24" i="7"/>
  <c r="AJ24" i="7"/>
  <c r="AI24" i="7"/>
  <c r="AH24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C94" i="7"/>
  <c r="CC84" i="7"/>
  <c r="CC83" i="7"/>
  <c r="CC82" i="7"/>
  <c r="A40" i="3" l="1"/>
  <c r="F41" i="3"/>
  <c r="C41" i="3" s="1"/>
  <c r="CB105" i="7"/>
  <c r="CC105" i="7" s="1"/>
  <c r="CC103" i="7"/>
  <c r="A41" i="3" l="1"/>
  <c r="F42" i="3"/>
  <c r="C42" i="3" s="1"/>
  <c r="CC77" i="7"/>
  <c r="A42" i="3" l="1"/>
  <c r="F43" i="3"/>
  <c r="C43" i="3" s="1"/>
  <c r="CC79" i="7"/>
  <c r="A43" i="3" l="1"/>
  <c r="F44" i="3"/>
  <c r="C44" i="3" s="1"/>
  <c r="CC78" i="7"/>
  <c r="CC85" i="7" s="1"/>
  <c r="CC93" i="7"/>
  <c r="A44" i="3" l="1"/>
  <c r="F45" i="3"/>
  <c r="C45" i="3" s="1"/>
  <c r="CB95" i="7"/>
  <c r="CC95" i="7" s="1"/>
  <c r="CC44" i="7"/>
  <c r="CC43" i="7"/>
  <c r="CC42" i="7"/>
  <c r="CC41" i="7"/>
  <c r="CC33" i="7"/>
  <c r="C22" i="7"/>
  <c r="CE22" i="7" s="1"/>
  <c r="C18" i="7"/>
  <c r="CE18" i="7" s="1"/>
  <c r="C16" i="7"/>
  <c r="CE16" i="7" s="1"/>
  <c r="C15" i="7"/>
  <c r="CE15" i="7" s="1"/>
  <c r="C14" i="7"/>
  <c r="CE14" i="7" s="1"/>
  <c r="C13" i="7"/>
  <c r="CE13" i="7" s="1"/>
  <c r="C12" i="7"/>
  <c r="CE12" i="7" s="1"/>
  <c r="A45" i="3" l="1"/>
  <c r="F46" i="3"/>
  <c r="C46" i="3" s="1"/>
  <c r="C24" i="7"/>
  <c r="CE24" i="7" s="1"/>
  <c r="CE25" i="7" s="1"/>
  <c r="CF12" i="7"/>
  <c r="CJ16" i="7"/>
  <c r="CF15" i="7"/>
  <c r="CF13" i="7"/>
  <c r="CF14" i="7"/>
  <c r="CF22" i="7"/>
  <c r="CC16" i="7"/>
  <c r="CC12" i="7"/>
  <c r="CC14" i="7"/>
  <c r="CC22" i="7"/>
  <c r="CC15" i="7"/>
  <c r="CC18" i="7"/>
  <c r="CC13" i="7"/>
  <c r="CB49" i="7"/>
  <c r="CC49" i="7" s="1"/>
  <c r="A46" i="3" l="1"/>
  <c r="F47" i="3"/>
  <c r="C47" i="3" s="1"/>
  <c r="CF18" i="7"/>
  <c r="CJ12" i="7"/>
  <c r="C27" i="7"/>
  <c r="CC24" i="7"/>
  <c r="CF16" i="7"/>
  <c r="CJ15" i="7"/>
  <c r="CJ13" i="7"/>
  <c r="CJ14" i="7"/>
  <c r="CJ18" i="7"/>
  <c r="CJ22" i="7"/>
  <c r="A47" i="3" l="1"/>
  <c r="F48" i="3"/>
  <c r="C48" i="3" s="1"/>
  <c r="CF24" i="7"/>
  <c r="A48" i="3" l="1"/>
  <c r="F49" i="3"/>
  <c r="C49" i="3" s="1"/>
  <c r="A49" i="3" l="1"/>
  <c r="F50" i="3"/>
  <c r="C50" i="3" s="1"/>
  <c r="A50" i="3" l="1"/>
  <c r="F51" i="3"/>
  <c r="C51" i="3" s="1"/>
  <c r="A51" i="3" l="1"/>
  <c r="F52" i="3"/>
  <c r="C52" i="3" s="1"/>
  <c r="A52" i="3" l="1"/>
  <c r="F53" i="3"/>
  <c r="C53" i="3" s="1"/>
  <c r="A53" i="3" l="1"/>
  <c r="F54" i="3"/>
  <c r="C54" i="3" s="1"/>
  <c r="A54" i="3" l="1"/>
  <c r="F55" i="3"/>
  <c r="C55" i="3" s="1"/>
  <c r="A55" i="3" l="1"/>
  <c r="F56" i="3"/>
  <c r="C56" i="3" s="1"/>
  <c r="A56" i="3" l="1"/>
  <c r="F57" i="3"/>
  <c r="C57" i="3" s="1"/>
  <c r="A57" i="3" l="1"/>
  <c r="F58" i="3"/>
  <c r="C58" i="3" s="1"/>
  <c r="A58" i="3" l="1"/>
  <c r="F59" i="3"/>
  <c r="C59" i="3" s="1"/>
  <c r="A59" i="3" l="1"/>
  <c r="F60" i="3"/>
  <c r="C60" i="3" s="1"/>
  <c r="A60" i="3" l="1"/>
  <c r="F61" i="3"/>
  <c r="C61" i="3" s="1"/>
  <c r="A61" i="3" l="1"/>
  <c r="F62" i="3"/>
  <c r="C62" i="3" s="1"/>
  <c r="A62" i="3" l="1"/>
  <c r="F63" i="3"/>
  <c r="C63" i="3" s="1"/>
  <c r="F64" i="3" l="1"/>
  <c r="C64" i="3" s="1"/>
  <c r="A63" i="3"/>
  <c r="A64" i="3" l="1"/>
  <c r="F65" i="3"/>
  <c r="C65" i="3" s="1"/>
  <c r="A65" i="3" l="1"/>
  <c r="F66" i="3"/>
  <c r="C66" i="3" s="1"/>
  <c r="A66" i="3" l="1"/>
  <c r="F67" i="3"/>
  <c r="C67" i="3" s="1"/>
  <c r="A67" i="3" l="1"/>
  <c r="F68" i="3"/>
  <c r="C68" i="3" s="1"/>
  <c r="A68" i="3" l="1"/>
  <c r="F69" i="3"/>
  <c r="C69" i="3" s="1"/>
  <c r="A69" i="3" l="1"/>
  <c r="F70" i="3"/>
  <c r="C70" i="3" s="1"/>
  <c r="A70" i="3" l="1"/>
  <c r="F71" i="3"/>
  <c r="C71" i="3" s="1"/>
  <c r="A71" i="3" l="1"/>
  <c r="F72" i="3"/>
  <c r="C72" i="3" s="1"/>
  <c r="A72" i="3" l="1"/>
  <c r="F73" i="3"/>
  <c r="C73" i="3" s="1"/>
  <c r="A73" i="3" l="1"/>
  <c r="F74" i="3"/>
  <c r="C74" i="3" s="1"/>
  <c r="A74" i="3" l="1"/>
  <c r="F75" i="3"/>
  <c r="C75" i="3" s="1"/>
  <c r="F76" i="3" l="1"/>
  <c r="C76" i="3" s="1"/>
  <c r="A75" i="3"/>
  <c r="A76" i="3" l="1"/>
  <c r="F77" i="3"/>
  <c r="C77" i="3" s="1"/>
  <c r="F78" i="3" l="1"/>
  <c r="C78" i="3" s="1"/>
  <c r="A77" i="3"/>
  <c r="A78" i="3" l="1"/>
  <c r="F79" i="3"/>
  <c r="C79" i="3" s="1"/>
  <c r="A79" i="3" l="1"/>
  <c r="F80" i="3"/>
  <c r="C80" i="3" s="1"/>
  <c r="F81" i="3" l="1"/>
  <c r="C81" i="3" s="1"/>
  <c r="A80" i="3"/>
  <c r="F82" i="3" l="1"/>
  <c r="C82" i="3" s="1"/>
  <c r="A81" i="3"/>
  <c r="A82" i="3" l="1"/>
  <c r="F83" i="3"/>
  <c r="C83" i="3" s="1"/>
  <c r="A83" i="3" l="1"/>
  <c r="F84" i="3"/>
  <c r="C84" i="3" s="1"/>
  <c r="F85" i="3" l="1"/>
  <c r="C85" i="3" s="1"/>
  <c r="A84" i="3"/>
  <c r="F86" i="3" l="1"/>
  <c r="C86" i="3" s="1"/>
  <c r="A85" i="3"/>
  <c r="F87" i="3" l="1"/>
  <c r="C87" i="3" s="1"/>
  <c r="A86" i="3"/>
  <c r="F88" i="3" l="1"/>
  <c r="C88" i="3" s="1"/>
  <c r="A87" i="3"/>
  <c r="F89" i="3" l="1"/>
  <c r="C89" i="3" s="1"/>
  <c r="A88" i="3"/>
  <c r="F90" i="3" l="1"/>
  <c r="C90" i="3" s="1"/>
  <c r="A89" i="3"/>
  <c r="F91" i="3" l="1"/>
  <c r="C91" i="3" s="1"/>
  <c r="A90" i="3"/>
  <c r="F92" i="3" l="1"/>
  <c r="C92" i="3" s="1"/>
  <c r="A91" i="3"/>
  <c r="F93" i="3" l="1"/>
  <c r="C93" i="3" s="1"/>
  <c r="A92" i="3"/>
  <c r="F94" i="3" l="1"/>
  <c r="C94" i="3" s="1"/>
  <c r="A93" i="3"/>
  <c r="F95" i="3" l="1"/>
  <c r="C95" i="3" s="1"/>
  <c r="A94" i="3"/>
  <c r="A95" i="3" l="1"/>
  <c r="F96" i="3"/>
  <c r="C96" i="3" s="1"/>
  <c r="F97" i="3" l="1"/>
  <c r="C97" i="3" s="1"/>
  <c r="A96" i="3"/>
  <c r="A97" i="3" l="1"/>
  <c r="F98" i="3"/>
  <c r="C98" i="3" s="1"/>
  <c r="A98" i="3" l="1"/>
  <c r="F99" i="3"/>
  <c r="C99" i="3" s="1"/>
  <c r="F100" i="3" l="1"/>
  <c r="C100" i="3" s="1"/>
  <c r="A99" i="3"/>
  <c r="A100" i="3" l="1"/>
  <c r="F101" i="3"/>
  <c r="C101" i="3" s="1"/>
  <c r="F102" i="3" l="1"/>
  <c r="C102" i="3" s="1"/>
  <c r="A101" i="3"/>
  <c r="A102" i="3" l="1"/>
  <c r="F103" i="3"/>
  <c r="C103" i="3" s="1"/>
  <c r="F104" i="3" l="1"/>
  <c r="C104" i="3" s="1"/>
  <c r="A103" i="3"/>
  <c r="A104" i="3" l="1"/>
  <c r="F105" i="3"/>
  <c r="C105" i="3" s="1"/>
  <c r="F106" i="3" l="1"/>
  <c r="C106" i="3" s="1"/>
  <c r="A105" i="3"/>
  <c r="A106" i="3" l="1"/>
  <c r="F107" i="3"/>
  <c r="C107" i="3" s="1"/>
  <c r="F108" i="3" l="1"/>
  <c r="C108" i="3" s="1"/>
  <c r="A107" i="3"/>
  <c r="A108" i="3" l="1"/>
  <c r="F109" i="3"/>
  <c r="C109" i="3" s="1"/>
  <c r="A109" i="3" l="1"/>
  <c r="F110" i="3"/>
  <c r="C110" i="3" s="1"/>
  <c r="A110" i="3" l="1"/>
  <c r="F111" i="3"/>
  <c r="C111" i="3" s="1"/>
  <c r="A111" i="3" l="1"/>
  <c r="F112" i="3"/>
  <c r="C112" i="3" s="1"/>
  <c r="A112" i="3" l="1"/>
  <c r="F113" i="3"/>
  <c r="C113" i="3" s="1"/>
  <c r="F114" i="3" l="1"/>
  <c r="C114" i="3" s="1"/>
  <c r="A113" i="3"/>
  <c r="F115" i="3" l="1"/>
  <c r="C115" i="3" s="1"/>
  <c r="A114" i="3"/>
  <c r="F116" i="3" l="1"/>
  <c r="C116" i="3" s="1"/>
  <c r="A115" i="3"/>
  <c r="A116" i="3" l="1"/>
  <c r="F117" i="3"/>
  <c r="C117" i="3" s="1"/>
  <c r="A117" i="3" l="1"/>
  <c r="F118" i="3"/>
  <c r="C118" i="3" s="1"/>
  <c r="A118" i="3" l="1"/>
  <c r="F119" i="3"/>
  <c r="C119" i="3" s="1"/>
  <c r="F120" i="3" l="1"/>
  <c r="C120" i="3" s="1"/>
  <c r="A119" i="3"/>
  <c r="A120" i="3" l="1"/>
  <c r="F121" i="3"/>
  <c r="C121" i="3" s="1"/>
  <c r="A121" i="3" l="1"/>
  <c r="F122" i="3"/>
  <c r="C122" i="3" s="1"/>
  <c r="A122" i="3" l="1"/>
  <c r="F123" i="3"/>
  <c r="C123" i="3" s="1"/>
  <c r="A123" i="3" l="1"/>
  <c r="F124" i="3"/>
  <c r="C124" i="3" s="1"/>
  <c r="A124" i="3" l="1"/>
  <c r="F125" i="3"/>
  <c r="C125" i="3" s="1"/>
  <c r="A125" i="3" l="1"/>
  <c r="F126" i="3"/>
  <c r="C126" i="3" s="1"/>
  <c r="F127" i="3" l="1"/>
  <c r="C127" i="3" s="1"/>
  <c r="A126" i="3"/>
  <c r="A127" i="3" l="1"/>
  <c r="F128" i="3"/>
  <c r="C128" i="3" s="1"/>
  <c r="A128" i="3" l="1"/>
  <c r="F129" i="3"/>
  <c r="C129" i="3" s="1"/>
  <c r="F130" i="3" l="1"/>
  <c r="C130" i="3" s="1"/>
  <c r="A129" i="3"/>
  <c r="A130" i="3" l="1"/>
  <c r="F131" i="3"/>
  <c r="C131" i="3" s="1"/>
  <c r="F132" i="3" l="1"/>
  <c r="C132" i="3" s="1"/>
  <c r="A131" i="3"/>
  <c r="A132" i="3" l="1"/>
  <c r="F133" i="3"/>
  <c r="C133" i="3" s="1"/>
  <c r="A133" i="3" l="1"/>
  <c r="F134" i="3"/>
  <c r="C134" i="3" s="1"/>
  <c r="A134" i="3" l="1"/>
  <c r="F135" i="3"/>
  <c r="C135" i="3" s="1"/>
  <c r="F136" i="3" l="1"/>
  <c r="C136" i="3" s="1"/>
  <c r="A135" i="3"/>
  <c r="A136" i="3" l="1"/>
  <c r="F137" i="3"/>
  <c r="C137" i="3" s="1"/>
  <c r="A137" i="3" l="1"/>
  <c r="F138" i="3"/>
  <c r="C138" i="3" s="1"/>
  <c r="A138" i="3" l="1"/>
  <c r="F139" i="3"/>
  <c r="C139" i="3" s="1"/>
  <c r="A139" i="3" l="1"/>
  <c r="F140" i="3"/>
  <c r="C140" i="3" s="1"/>
  <c r="A140" i="3" l="1"/>
  <c r="F141" i="3"/>
  <c r="C141" i="3" s="1"/>
  <c r="A141" i="3" l="1"/>
  <c r="F142" i="3"/>
  <c r="C142" i="3" s="1"/>
  <c r="F143" i="3" l="1"/>
  <c r="C143" i="3" s="1"/>
  <c r="A142" i="3"/>
  <c r="A143" i="3" l="1"/>
  <c r="F144" i="3"/>
  <c r="C144" i="3" s="1"/>
  <c r="A144" i="3" l="1"/>
  <c r="F145" i="3"/>
  <c r="C145" i="3" s="1"/>
  <c r="A145" i="3" l="1"/>
  <c r="F146" i="3"/>
  <c r="C146" i="3" s="1"/>
  <c r="A146" i="3" l="1"/>
  <c r="F147" i="3"/>
  <c r="C147" i="3" s="1"/>
  <c r="A147" i="3" l="1"/>
  <c r="F148" i="3"/>
  <c r="C148" i="3" s="1"/>
  <c r="A148" i="3" l="1"/>
  <c r="F149" i="3"/>
  <c r="C149" i="3" s="1"/>
  <c r="A149" i="3" l="1"/>
  <c r="F150" i="3"/>
  <c r="C150" i="3" s="1"/>
  <c r="A150" i="3" l="1"/>
  <c r="F151" i="3"/>
  <c r="C151" i="3" s="1"/>
  <c r="A151" i="3" l="1"/>
  <c r="F152" i="3"/>
  <c r="C152" i="3" s="1"/>
  <c r="A152" i="3" l="1"/>
  <c r="F153" i="3"/>
  <c r="C153" i="3" s="1"/>
  <c r="A153" i="3" l="1"/>
  <c r="F154" i="3"/>
  <c r="C154" i="3" s="1"/>
  <c r="A154" i="3" l="1"/>
  <c r="F155" i="3"/>
  <c r="C155" i="3" s="1"/>
  <c r="A155" i="3" l="1"/>
  <c r="F156" i="3"/>
  <c r="C156" i="3" s="1"/>
  <c r="A156" i="3" l="1"/>
  <c r="F157" i="3"/>
  <c r="C157" i="3" s="1"/>
  <c r="A157" i="3" l="1"/>
  <c r="F158" i="3"/>
  <c r="C158" i="3" s="1"/>
  <c r="A158" i="3" l="1"/>
  <c r="F159" i="3"/>
  <c r="C159" i="3" s="1"/>
  <c r="A159" i="3" l="1"/>
  <c r="F160" i="3"/>
  <c r="C160" i="3" s="1"/>
  <c r="A160" i="3" l="1"/>
  <c r="F161" i="3"/>
  <c r="C161" i="3" s="1"/>
  <c r="A161" i="3" l="1"/>
  <c r="F162" i="3"/>
  <c r="C162" i="3" s="1"/>
  <c r="A162" i="3" l="1"/>
  <c r="F163" i="3"/>
  <c r="C163" i="3" s="1"/>
  <c r="A163" i="3" l="1"/>
  <c r="F164" i="3"/>
  <c r="C164" i="3" s="1"/>
  <c r="A164" i="3" l="1"/>
  <c r="F165" i="3"/>
  <c r="C165" i="3" s="1"/>
  <c r="A165" i="3" l="1"/>
  <c r="F166" i="3"/>
  <c r="C166" i="3" s="1"/>
  <c r="A166" i="3" l="1"/>
  <c r="F167" i="3"/>
  <c r="C167" i="3" s="1"/>
  <c r="A167" i="3" l="1"/>
  <c r="F168" i="3"/>
  <c r="C168" i="3" s="1"/>
  <c r="A168" i="3" l="1"/>
  <c r="F169" i="3"/>
  <c r="C169" i="3" s="1"/>
  <c r="A169" i="3" l="1"/>
  <c r="F170" i="3"/>
  <c r="C170" i="3" s="1"/>
  <c r="A170" i="3" l="1"/>
  <c r="F171" i="3"/>
  <c r="C171" i="3" s="1"/>
  <c r="A171" i="3" l="1"/>
  <c r="F172" i="3"/>
  <c r="C172" i="3" s="1"/>
  <c r="A172" i="3" l="1"/>
  <c r="F173" i="3"/>
  <c r="C173" i="3" s="1"/>
  <c r="A173" i="3" l="1"/>
  <c r="F174" i="3"/>
  <c r="C174" i="3" s="1"/>
  <c r="A174" i="3" l="1"/>
  <c r="F175" i="3"/>
  <c r="C175" i="3" s="1"/>
  <c r="A175" i="3" l="1"/>
  <c r="F176" i="3"/>
  <c r="C176" i="3" s="1"/>
  <c r="A176" i="3" l="1"/>
  <c r="F177" i="3"/>
  <c r="C177" i="3" s="1"/>
  <c r="A177" i="3" l="1"/>
  <c r="F178" i="3"/>
  <c r="C178" i="3" s="1"/>
  <c r="A178" i="3" l="1"/>
  <c r="F179" i="3"/>
  <c r="C179" i="3" s="1"/>
  <c r="A179" i="3" l="1"/>
  <c r="F180" i="3"/>
  <c r="C180" i="3" s="1"/>
  <c r="A180" i="3" l="1"/>
  <c r="F181" i="3"/>
  <c r="C181" i="3" s="1"/>
  <c r="A181" i="3" l="1"/>
  <c r="F182" i="3"/>
  <c r="C182" i="3" s="1"/>
  <c r="A182" i="3" l="1"/>
  <c r="F183" i="3"/>
  <c r="C183" i="3" s="1"/>
  <c r="A183" i="3" l="1"/>
  <c r="F184" i="3"/>
  <c r="C184" i="3" s="1"/>
  <c r="A184" i="3" l="1"/>
  <c r="F185" i="3"/>
  <c r="C185" i="3" s="1"/>
  <c r="A185" i="3" l="1"/>
  <c r="F186" i="3"/>
  <c r="C186" i="3" s="1"/>
  <c r="A186" i="3" l="1"/>
  <c r="F187" i="3"/>
  <c r="C187" i="3" s="1"/>
  <c r="A187" i="3" l="1"/>
  <c r="F188" i="3"/>
  <c r="C188" i="3" s="1"/>
  <c r="A188" i="3" l="1"/>
  <c r="F189" i="3"/>
  <c r="C189" i="3" s="1"/>
  <c r="A189" i="3" l="1"/>
  <c r="F190" i="3"/>
  <c r="C190" i="3" s="1"/>
  <c r="A190" i="3" l="1"/>
  <c r="F191" i="3"/>
  <c r="C191" i="3" s="1"/>
  <c r="A191" i="3" l="1"/>
  <c r="F192" i="3"/>
  <c r="C192" i="3" s="1"/>
  <c r="A192" i="3" l="1"/>
  <c r="F193" i="3"/>
  <c r="C193" i="3" s="1"/>
  <c r="A193" i="3" l="1"/>
  <c r="F194" i="3"/>
  <c r="C194" i="3" s="1"/>
  <c r="A194" i="3" l="1"/>
  <c r="F195" i="3"/>
  <c r="C195" i="3" s="1"/>
  <c r="A195" i="3" l="1"/>
  <c r="F196" i="3"/>
  <c r="C196" i="3" s="1"/>
  <c r="A196" i="3" l="1"/>
  <c r="F197" i="3"/>
  <c r="C197" i="3" s="1"/>
  <c r="A197" i="3" l="1"/>
  <c r="F198" i="3"/>
  <c r="C198" i="3" s="1"/>
  <c r="A198" i="3" l="1"/>
  <c r="F199" i="3"/>
  <c r="C199" i="3" s="1"/>
  <c r="A199" i="3" l="1"/>
  <c r="F200" i="3"/>
  <c r="C200" i="3" s="1"/>
  <c r="A200" i="3" l="1"/>
  <c r="F201" i="3"/>
  <c r="C201" i="3" s="1"/>
  <c r="A201" i="3" l="1"/>
  <c r="F202" i="3"/>
  <c r="C202" i="3" s="1"/>
  <c r="A202" i="3" l="1"/>
  <c r="F203" i="3"/>
  <c r="C203" i="3" s="1"/>
  <c r="A203" i="3" l="1"/>
  <c r="F204" i="3"/>
  <c r="C204" i="3" s="1"/>
  <c r="A204" i="3" l="1"/>
  <c r="F205" i="3"/>
  <c r="C205" i="3" s="1"/>
  <c r="A205" i="3" l="1"/>
  <c r="F206" i="3"/>
  <c r="C206" i="3" s="1"/>
  <c r="A206" i="3" l="1"/>
  <c r="F207" i="3"/>
  <c r="C207" i="3" s="1"/>
  <c r="A207" i="3" l="1"/>
  <c r="F208" i="3"/>
  <c r="C208" i="3" s="1"/>
  <c r="A208" i="3" l="1"/>
  <c r="F209" i="3"/>
  <c r="C209" i="3" s="1"/>
  <c r="A209" i="3" l="1"/>
  <c r="F210" i="3"/>
  <c r="C210" i="3" s="1"/>
  <c r="A210" i="3" l="1"/>
  <c r="F211" i="3"/>
  <c r="C211" i="3" s="1"/>
  <c r="A211" i="3" l="1"/>
  <c r="F212" i="3"/>
  <c r="C212" i="3" s="1"/>
  <c r="A212" i="3" l="1"/>
  <c r="F213" i="3"/>
  <c r="C213" i="3" s="1"/>
  <c r="A213" i="3" l="1"/>
  <c r="F214" i="3"/>
  <c r="C214" i="3" s="1"/>
  <c r="A214" i="3" l="1"/>
  <c r="F215" i="3"/>
  <c r="C215" i="3" s="1"/>
  <c r="A215" i="3" l="1"/>
  <c r="F216" i="3"/>
  <c r="C216" i="3" s="1"/>
  <c r="A216" i="3" l="1"/>
  <c r="F217" i="3"/>
  <c r="C217" i="3" s="1"/>
  <c r="A217" i="3" l="1"/>
  <c r="F218" i="3"/>
  <c r="C218" i="3" s="1"/>
  <c r="A218" i="3" l="1"/>
  <c r="F219" i="3"/>
  <c r="C219" i="3" s="1"/>
  <c r="A219" i="3" l="1"/>
  <c r="F220" i="3"/>
  <c r="C220" i="3" s="1"/>
  <c r="A220" i="3" l="1"/>
  <c r="F221" i="3"/>
  <c r="C221" i="3" s="1"/>
  <c r="A221" i="3" l="1"/>
  <c r="F222" i="3"/>
  <c r="C222" i="3" s="1"/>
  <c r="A222" i="3" l="1"/>
  <c r="F223" i="3"/>
  <c r="C223" i="3" s="1"/>
  <c r="A223" i="3" l="1"/>
  <c r="F224" i="3"/>
  <c r="C224" i="3" s="1"/>
  <c r="A224" i="3" l="1"/>
  <c r="F225" i="3"/>
  <c r="C225" i="3" s="1"/>
  <c r="A225" i="3" l="1"/>
  <c r="F226" i="3"/>
  <c r="C226" i="3" s="1"/>
  <c r="A226" i="3" l="1"/>
  <c r="F227" i="3"/>
  <c r="C227" i="3" s="1"/>
  <c r="A227" i="3" l="1"/>
  <c r="F228" i="3"/>
  <c r="C228" i="3" s="1"/>
  <c r="A228" i="3" l="1"/>
  <c r="F229" i="3"/>
  <c r="C229" i="3" s="1"/>
  <c r="A229" i="3" l="1"/>
  <c r="F230" i="3"/>
  <c r="C230" i="3" s="1"/>
  <c r="A230" i="3" l="1"/>
  <c r="F231" i="3"/>
  <c r="C231" i="3" s="1"/>
  <c r="A231" i="3" l="1"/>
  <c r="F232" i="3"/>
  <c r="C232" i="3" s="1"/>
  <c r="A232" i="3" l="1"/>
  <c r="F233" i="3"/>
  <c r="C233" i="3" s="1"/>
  <c r="A233" i="3" l="1"/>
  <c r="F234" i="3"/>
  <c r="C234" i="3" s="1"/>
  <c r="A234" i="3" l="1"/>
  <c r="F235" i="3"/>
  <c r="C235" i="3" s="1"/>
  <c r="A235" i="3" l="1"/>
  <c r="F236" i="3"/>
  <c r="C236" i="3" s="1"/>
  <c r="A236" i="3" l="1"/>
  <c r="F237" i="3"/>
  <c r="C237" i="3" s="1"/>
  <c r="A237" i="3" l="1"/>
  <c r="F238" i="3"/>
  <c r="C238" i="3" s="1"/>
  <c r="A238" i="3" l="1"/>
  <c r="F239" i="3"/>
  <c r="C239" i="3" s="1"/>
  <c r="A239" i="3" l="1"/>
  <c r="F240" i="3"/>
  <c r="C240" i="3" s="1"/>
  <c r="A240" i="3" l="1"/>
  <c r="F241" i="3"/>
  <c r="C241" i="3" s="1"/>
  <c r="A241" i="3" l="1"/>
  <c r="F242" i="3"/>
  <c r="C242" i="3" s="1"/>
  <c r="A242" i="3" l="1"/>
  <c r="F243" i="3"/>
  <c r="C243" i="3" s="1"/>
  <c r="A243" i="3" l="1"/>
  <c r="F244" i="3"/>
  <c r="C244" i="3" s="1"/>
  <c r="A244" i="3" l="1"/>
  <c r="F245" i="3"/>
  <c r="C245" i="3" s="1"/>
  <c r="A245" i="3" l="1"/>
  <c r="F246" i="3"/>
  <c r="C246" i="3" s="1"/>
  <c r="A246" i="3" l="1"/>
  <c r="F247" i="3"/>
  <c r="C247" i="3" s="1"/>
  <c r="A247" i="3" l="1"/>
  <c r="F248" i="3"/>
  <c r="C248" i="3" s="1"/>
  <c r="A248" i="3" l="1"/>
  <c r="F249" i="3"/>
  <c r="C249" i="3" s="1"/>
  <c r="A249" i="3" l="1"/>
  <c r="F250" i="3"/>
  <c r="C250" i="3" s="1"/>
  <c r="A250" i="3" l="1"/>
  <c r="F251" i="3"/>
  <c r="C251" i="3" s="1"/>
  <c r="A251" i="3" l="1"/>
  <c r="F252" i="3"/>
  <c r="C252" i="3" s="1"/>
  <c r="A252" i="3" l="1"/>
  <c r="F253" i="3"/>
  <c r="C253" i="3" s="1"/>
  <c r="A253" i="3" l="1"/>
  <c r="F254" i="3"/>
  <c r="C254" i="3" s="1"/>
  <c r="A254" i="3" l="1"/>
  <c r="F255" i="3"/>
  <c r="C255" i="3" s="1"/>
  <c r="A255" i="3" l="1"/>
  <c r="F256" i="3"/>
  <c r="C256" i="3" s="1"/>
  <c r="A256" i="3" l="1"/>
  <c r="F257" i="3"/>
  <c r="C257" i="3" s="1"/>
  <c r="A257" i="3" l="1"/>
  <c r="F258" i="3"/>
  <c r="C258" i="3" s="1"/>
  <c r="A258" i="3" l="1"/>
  <c r="F259" i="3"/>
  <c r="C259" i="3" s="1"/>
  <c r="A259" i="3" l="1"/>
  <c r="F260" i="3"/>
  <c r="C260" i="3" s="1"/>
  <c r="A260" i="3" l="1"/>
  <c r="F261" i="3"/>
  <c r="C261" i="3" s="1"/>
  <c r="A261" i="3" l="1"/>
  <c r="F262" i="3"/>
  <c r="C262" i="3" s="1"/>
  <c r="A262" i="3" l="1"/>
  <c r="F263" i="3"/>
  <c r="C263" i="3" s="1"/>
  <c r="A263" i="3" l="1"/>
  <c r="F264" i="3"/>
  <c r="C264" i="3" s="1"/>
  <c r="A264" i="3" l="1"/>
  <c r="F265" i="3"/>
  <c r="C265" i="3" s="1"/>
  <c r="A265" i="3" l="1"/>
  <c r="F266" i="3"/>
  <c r="C266" i="3" s="1"/>
  <c r="A266" i="3" l="1"/>
  <c r="F267" i="3"/>
  <c r="C267" i="3" s="1"/>
  <c r="A267" i="3" l="1"/>
  <c r="F268" i="3"/>
  <c r="C268" i="3" s="1"/>
  <c r="A268" i="3" l="1"/>
  <c r="F269" i="3"/>
  <c r="C269" i="3" s="1"/>
  <c r="A269" i="3" l="1"/>
  <c r="F270" i="3"/>
  <c r="C270" i="3" s="1"/>
  <c r="A270" i="3" l="1"/>
  <c r="F271" i="3"/>
  <c r="C271" i="3" s="1"/>
  <c r="A271" i="3" l="1"/>
  <c r="F272" i="3"/>
  <c r="C272" i="3" s="1"/>
  <c r="A272" i="3" l="1"/>
  <c r="F273" i="3"/>
  <c r="C273" i="3" s="1"/>
  <c r="A273" i="3" l="1"/>
  <c r="F274" i="3"/>
  <c r="C274" i="3" s="1"/>
  <c r="A274" i="3" l="1"/>
  <c r="F275" i="3"/>
  <c r="C275" i="3" s="1"/>
  <c r="A275" i="3" l="1"/>
  <c r="F276" i="3"/>
  <c r="C276" i="3" s="1"/>
  <c r="A276" i="3" l="1"/>
  <c r="F277" i="3"/>
  <c r="C277" i="3" s="1"/>
  <c r="A277" i="3" l="1"/>
  <c r="F278" i="3"/>
  <c r="C278" i="3" s="1"/>
  <c r="A278" i="3" l="1"/>
  <c r="F279" i="3"/>
  <c r="C279" i="3" s="1"/>
  <c r="A279" i="3" l="1"/>
  <c r="F280" i="3"/>
  <c r="C280" i="3" s="1"/>
  <c r="A280" i="3" l="1"/>
  <c r="F281" i="3"/>
  <c r="C281" i="3" s="1"/>
  <c r="A281" i="3" l="1"/>
  <c r="F282" i="3"/>
  <c r="C282" i="3" s="1"/>
  <c r="A282" i="3" l="1"/>
  <c r="F283" i="3"/>
  <c r="C283" i="3" s="1"/>
  <c r="A283" i="3" l="1"/>
  <c r="F284" i="3"/>
  <c r="C284" i="3" s="1"/>
  <c r="A284" i="3" l="1"/>
  <c r="F285" i="3"/>
  <c r="C285" i="3" s="1"/>
  <c r="A285" i="3" l="1"/>
  <c r="F286" i="3"/>
  <c r="C286" i="3" s="1"/>
  <c r="A286" i="3" l="1"/>
  <c r="F287" i="3"/>
  <c r="C287" i="3" s="1"/>
  <c r="A287" i="3" l="1"/>
  <c r="F288" i="3"/>
  <c r="C288" i="3" s="1"/>
  <c r="A288" i="3" l="1"/>
  <c r="F289" i="3"/>
  <c r="C289" i="3" s="1"/>
  <c r="A289" i="3" l="1"/>
  <c r="F290" i="3"/>
  <c r="C290" i="3" s="1"/>
  <c r="A290" i="3" l="1"/>
  <c r="F291" i="3"/>
  <c r="C291" i="3" s="1"/>
  <c r="A291" i="3" l="1"/>
  <c r="F292" i="3"/>
  <c r="C292" i="3" s="1"/>
  <c r="A292" i="3" l="1"/>
  <c r="F293" i="3"/>
  <c r="C293" i="3" s="1"/>
  <c r="A293" i="3" l="1"/>
  <c r="F294" i="3"/>
  <c r="C294" i="3" s="1"/>
  <c r="A294" i="3" l="1"/>
  <c r="F295" i="3"/>
  <c r="C295" i="3" s="1"/>
  <c r="A295" i="3" l="1"/>
  <c r="F296" i="3"/>
  <c r="C296" i="3" s="1"/>
  <c r="A296" i="3" l="1"/>
  <c r="F297" i="3"/>
  <c r="C297" i="3" s="1"/>
  <c r="A297" i="3" l="1"/>
  <c r="F298" i="3"/>
  <c r="C298" i="3" s="1"/>
  <c r="A298" i="3" l="1"/>
  <c r="F299" i="3"/>
  <c r="C299" i="3" s="1"/>
  <c r="A299" i="3" l="1"/>
  <c r="F300" i="3"/>
  <c r="C300" i="3" s="1"/>
  <c r="A300" i="3" l="1"/>
  <c r="F301" i="3"/>
  <c r="C301" i="3" s="1"/>
  <c r="A301" i="3" l="1"/>
  <c r="F302" i="3"/>
  <c r="C302" i="3" s="1"/>
  <c r="A302" i="3" l="1"/>
  <c r="F303" i="3"/>
  <c r="C303" i="3" s="1"/>
  <c r="A303" i="3" l="1"/>
  <c r="F304" i="3"/>
  <c r="C304" i="3" s="1"/>
  <c r="A304" i="3" l="1"/>
  <c r="F305" i="3"/>
  <c r="C305" i="3" s="1"/>
  <c r="A305" i="3" l="1"/>
  <c r="F306" i="3"/>
  <c r="C306" i="3" s="1"/>
  <c r="A306" i="3" l="1"/>
  <c r="F307" i="3"/>
  <c r="C307" i="3" s="1"/>
  <c r="A307" i="3" l="1"/>
  <c r="F308" i="3"/>
  <c r="C308" i="3" s="1"/>
  <c r="A308" i="3" l="1"/>
  <c r="F309" i="3"/>
  <c r="C309" i="3" s="1"/>
  <c r="A309" i="3" l="1"/>
  <c r="F310" i="3"/>
  <c r="C310" i="3" s="1"/>
  <c r="A310" i="3" l="1"/>
  <c r="F311" i="3"/>
  <c r="C311" i="3" s="1"/>
  <c r="A311" i="3" l="1"/>
  <c r="F312" i="3"/>
  <c r="C312" i="3" s="1"/>
  <c r="A312" i="3" l="1"/>
  <c r="F313" i="3"/>
  <c r="C313" i="3" s="1"/>
  <c r="A313" i="3" l="1"/>
  <c r="F314" i="3"/>
  <c r="C314" i="3" s="1"/>
  <c r="A314" i="3" l="1"/>
  <c r="F315" i="3"/>
  <c r="C315" i="3" s="1"/>
  <c r="A315" i="3" l="1"/>
  <c r="F316" i="3"/>
  <c r="C316" i="3" s="1"/>
  <c r="A316" i="3" l="1"/>
  <c r="F317" i="3"/>
  <c r="C317" i="3" s="1"/>
  <c r="A317" i="3" l="1"/>
  <c r="F318" i="3"/>
  <c r="C318" i="3" s="1"/>
  <c r="A318" i="3" l="1"/>
  <c r="F319" i="3"/>
  <c r="C319" i="3" s="1"/>
  <c r="A319" i="3" l="1"/>
  <c r="F320" i="3"/>
  <c r="C320" i="3" s="1"/>
  <c r="A320" i="3" l="1"/>
  <c r="F321" i="3"/>
  <c r="C321" i="3" s="1"/>
  <c r="A321" i="3" l="1"/>
  <c r="F322" i="3"/>
  <c r="C322" i="3" s="1"/>
  <c r="A322" i="3" l="1"/>
  <c r="F323" i="3"/>
  <c r="C323" i="3" s="1"/>
  <c r="A323" i="3" l="1"/>
  <c r="F324" i="3"/>
  <c r="C324" i="3" s="1"/>
  <c r="A324" i="3" l="1"/>
  <c r="F325" i="3"/>
  <c r="C325" i="3" s="1"/>
  <c r="A325" i="3" l="1"/>
  <c r="F326" i="3"/>
  <c r="C326" i="3" s="1"/>
  <c r="A326" i="3" l="1"/>
  <c r="F327" i="3"/>
  <c r="C327" i="3" s="1"/>
  <c r="A327" i="3" l="1"/>
  <c r="F328" i="3"/>
  <c r="C328" i="3" s="1"/>
  <c r="A328" i="3" l="1"/>
  <c r="F329" i="3"/>
  <c r="C329" i="3" s="1"/>
  <c r="A329" i="3" l="1"/>
  <c r="F330" i="3"/>
  <c r="C330" i="3" s="1"/>
  <c r="A330" i="3" l="1"/>
  <c r="F331" i="3"/>
  <c r="C331" i="3" s="1"/>
  <c r="A331" i="3" l="1"/>
  <c r="F332" i="3"/>
  <c r="C332" i="3" s="1"/>
  <c r="A332" i="3" l="1"/>
  <c r="F333" i="3"/>
  <c r="C333" i="3" s="1"/>
  <c r="A333" i="3" l="1"/>
  <c r="F334" i="3"/>
  <c r="C334" i="3" s="1"/>
  <c r="A334" i="3" l="1"/>
  <c r="F335" i="3"/>
  <c r="C335" i="3" s="1"/>
  <c r="F336" i="3" l="1"/>
  <c r="C336" i="3" s="1"/>
  <c r="A335" i="3"/>
  <c r="A336" i="3" l="1"/>
  <c r="F337" i="3"/>
  <c r="C337" i="3" s="1"/>
  <c r="F338" i="3" l="1"/>
  <c r="C338" i="3" s="1"/>
  <c r="A337" i="3"/>
  <c r="A338" i="3" l="1"/>
  <c r="F339" i="3"/>
  <c r="C339" i="3" s="1"/>
  <c r="F340" i="3" l="1"/>
  <c r="C340" i="3" s="1"/>
  <c r="A339" i="3"/>
  <c r="A340" i="3" l="1"/>
  <c r="F341" i="3"/>
  <c r="C341" i="3" s="1"/>
  <c r="F342" i="3" l="1"/>
  <c r="C342" i="3" s="1"/>
  <c r="A341" i="3"/>
  <c r="A342" i="3" l="1"/>
  <c r="F343" i="3"/>
  <c r="C343" i="3" s="1"/>
  <c r="F344" i="3" l="1"/>
  <c r="C344" i="3" s="1"/>
  <c r="A343" i="3"/>
  <c r="A344" i="3" l="1"/>
  <c r="F345" i="3"/>
  <c r="C345" i="3" s="1"/>
  <c r="F346" i="3" l="1"/>
  <c r="C346" i="3" s="1"/>
  <c r="A345" i="3"/>
  <c r="F347" i="3" l="1"/>
  <c r="C347" i="3" s="1"/>
  <c r="A346" i="3"/>
  <c r="F348" i="3" l="1"/>
  <c r="C348" i="3" s="1"/>
  <c r="A347" i="3"/>
  <c r="A348" i="3" l="1"/>
  <c r="F349" i="3"/>
  <c r="C349" i="3" s="1"/>
  <c r="F350" i="3" l="1"/>
  <c r="C350" i="3" s="1"/>
  <c r="A349" i="3"/>
  <c r="A350" i="3" l="1"/>
  <c r="F351" i="3"/>
  <c r="C351" i="3" s="1"/>
  <c r="A351" i="3" l="1"/>
  <c r="F352" i="3"/>
  <c r="C352" i="3" s="1"/>
  <c r="A352" i="3" l="1"/>
  <c r="F353" i="3"/>
  <c r="C353" i="3" s="1"/>
  <c r="A353" i="3" l="1"/>
  <c r="F354" i="3"/>
  <c r="C354" i="3" s="1"/>
  <c r="F355" i="3" l="1"/>
  <c r="C355" i="3" s="1"/>
  <c r="A354" i="3"/>
  <c r="F356" i="3" l="1"/>
  <c r="C356" i="3" s="1"/>
  <c r="A355" i="3"/>
  <c r="F357" i="3" l="1"/>
  <c r="C357" i="3" s="1"/>
  <c r="A356" i="3"/>
  <c r="A357" i="3" l="1"/>
  <c r="F358" i="3"/>
  <c r="C358" i="3" s="1"/>
  <c r="A358" i="3" l="1"/>
  <c r="F359" i="3"/>
  <c r="C359" i="3" s="1"/>
  <c r="A359" i="3" l="1"/>
  <c r="F360" i="3"/>
  <c r="C360" i="3" s="1"/>
  <c r="A360" i="3" l="1"/>
  <c r="F361" i="3"/>
  <c r="C361" i="3" s="1"/>
  <c r="A361" i="3" l="1"/>
  <c r="F362" i="3"/>
  <c r="C362" i="3" s="1"/>
  <c r="A362" i="3" l="1"/>
  <c r="F363" i="3"/>
  <c r="C363" i="3" s="1"/>
  <c r="A363" i="3" l="1"/>
  <c r="F364" i="3"/>
  <c r="C364" i="3" s="1"/>
  <c r="A364" i="3" l="1"/>
  <c r="F365" i="3"/>
  <c r="C365" i="3" s="1"/>
  <c r="A365" i="3" l="1"/>
  <c r="F366" i="3"/>
  <c r="C366" i="3" s="1"/>
  <c r="A366" i="3" l="1"/>
  <c r="F367" i="3"/>
  <c r="C367" i="3" s="1"/>
  <c r="A367" i="3" l="1"/>
  <c r="F368" i="3"/>
  <c r="C368" i="3" s="1"/>
  <c r="A368" i="3" l="1"/>
  <c r="F369" i="3"/>
  <c r="C369" i="3" s="1"/>
  <c r="A369" i="3" l="1"/>
  <c r="F370" i="3"/>
  <c r="C370" i="3" s="1"/>
  <c r="A370" i="3" l="1"/>
  <c r="F371" i="3"/>
  <c r="C371" i="3" s="1"/>
  <c r="A371" i="3" l="1"/>
  <c r="F372" i="3"/>
  <c r="C372" i="3" s="1"/>
  <c r="A372" i="3" l="1"/>
  <c r="F373" i="3"/>
  <c r="C373" i="3" s="1"/>
  <c r="A373" i="3" l="1"/>
  <c r="F374" i="3"/>
  <c r="C374" i="3" s="1"/>
  <c r="A374" i="3" l="1"/>
  <c r="F375" i="3"/>
  <c r="C375" i="3" s="1"/>
  <c r="A375" i="3" l="1"/>
  <c r="F376" i="3"/>
  <c r="C376" i="3" s="1"/>
  <c r="A376" i="3" l="1"/>
  <c r="F377" i="3"/>
  <c r="C377" i="3" s="1"/>
  <c r="A377" i="3" l="1"/>
  <c r="F378" i="3"/>
  <c r="C378" i="3" s="1"/>
  <c r="A378" i="3" l="1"/>
  <c r="F379" i="3"/>
  <c r="C379" i="3" s="1"/>
  <c r="A379" i="3" l="1"/>
  <c r="F380" i="3"/>
  <c r="C380" i="3" s="1"/>
  <c r="A380" i="3" l="1"/>
  <c r="F381" i="3"/>
  <c r="C381" i="3" s="1"/>
  <c r="A381" i="3" l="1"/>
  <c r="F382" i="3"/>
  <c r="C382" i="3" s="1"/>
  <c r="A382" i="3" l="1"/>
  <c r="F383" i="3"/>
  <c r="C383" i="3" s="1"/>
  <c r="A383" i="3" l="1"/>
  <c r="F384" i="3"/>
  <c r="C384" i="3" s="1"/>
  <c r="A384" i="3" l="1"/>
  <c r="F385" i="3"/>
  <c r="C385" i="3" s="1"/>
  <c r="A385" i="3" l="1"/>
  <c r="F386" i="3"/>
  <c r="C386" i="3" s="1"/>
  <c r="F387" i="3" l="1"/>
  <c r="C387" i="3" s="1"/>
  <c r="A386" i="3"/>
  <c r="F388" i="3" l="1"/>
  <c r="C388" i="3" s="1"/>
  <c r="A387" i="3"/>
  <c r="F389" i="3" l="1"/>
  <c r="C389" i="3" s="1"/>
  <c r="A388" i="3"/>
  <c r="A389" i="3" l="1"/>
  <c r="F390" i="3"/>
  <c r="C390" i="3" s="1"/>
  <c r="A390" i="3" l="1"/>
  <c r="F391" i="3"/>
  <c r="C391" i="3" s="1"/>
  <c r="F392" i="3" l="1"/>
  <c r="C392" i="3" s="1"/>
  <c r="A391" i="3"/>
  <c r="F393" i="3" l="1"/>
  <c r="C393" i="3" s="1"/>
  <c r="A392" i="3"/>
  <c r="F394" i="3" l="1"/>
  <c r="C394" i="3" s="1"/>
  <c r="A393" i="3"/>
  <c r="A394" i="3" l="1"/>
  <c r="F395" i="3"/>
  <c r="C395" i="3" s="1"/>
  <c r="A395" i="3" l="1"/>
  <c r="F396" i="3"/>
  <c r="C396" i="3" s="1"/>
  <c r="A396" i="3" l="1"/>
  <c r="F397" i="3"/>
  <c r="C397" i="3" s="1"/>
  <c r="A397" i="3" l="1"/>
  <c r="F398" i="3"/>
  <c r="C398" i="3" s="1"/>
  <c r="A398" i="3" l="1"/>
  <c r="F399" i="3"/>
  <c r="C399" i="3" s="1"/>
  <c r="A399" i="3" l="1"/>
  <c r="F400" i="3"/>
  <c r="C400" i="3" s="1"/>
  <c r="A400" i="3" l="1"/>
  <c r="F401" i="3"/>
  <c r="C401" i="3" s="1"/>
  <c r="A401" i="3" l="1"/>
  <c r="F402" i="3"/>
  <c r="C402" i="3" s="1"/>
  <c r="A402" i="3" l="1"/>
  <c r="F403" i="3"/>
  <c r="C403" i="3" s="1"/>
  <c r="A403" i="3" l="1"/>
  <c r="F404" i="3"/>
  <c r="C404" i="3" s="1"/>
  <c r="A404" i="3" l="1"/>
  <c r="F405" i="3"/>
  <c r="C405" i="3" s="1"/>
  <c r="A405" i="3" l="1"/>
  <c r="F406" i="3"/>
  <c r="C406" i="3" s="1"/>
  <c r="A406" i="3" l="1"/>
  <c r="F407" i="3"/>
  <c r="C407" i="3" s="1"/>
  <c r="A407" i="3" l="1"/>
  <c r="F408" i="3"/>
  <c r="C408" i="3" s="1"/>
  <c r="A408" i="3" l="1"/>
  <c r="F409" i="3"/>
  <c r="C409" i="3" s="1"/>
  <c r="F410" i="3" l="1"/>
  <c r="C410" i="3" s="1"/>
  <c r="A409" i="3"/>
  <c r="F411" i="3" l="1"/>
  <c r="C411" i="3" s="1"/>
  <c r="A410" i="3"/>
  <c r="A411" i="3" l="1"/>
  <c r="F412" i="3"/>
  <c r="C412" i="3" s="1"/>
  <c r="A412" i="3" l="1"/>
  <c r="F413" i="3"/>
  <c r="C413" i="3" s="1"/>
  <c r="A413" i="3" l="1"/>
  <c r="F414" i="3"/>
  <c r="C414" i="3" s="1"/>
  <c r="A414" i="3" l="1"/>
  <c r="F415" i="3"/>
  <c r="C415" i="3" s="1"/>
  <c r="A415" i="3" l="1"/>
  <c r="F416" i="3"/>
  <c r="C416" i="3" s="1"/>
  <c r="A416" i="3" l="1"/>
  <c r="F417" i="3"/>
  <c r="C417" i="3" s="1"/>
  <c r="A417" i="3" l="1"/>
  <c r="F418" i="3"/>
  <c r="C418" i="3" s="1"/>
  <c r="A418" i="3" l="1"/>
  <c r="F419" i="3"/>
  <c r="C419" i="3" s="1"/>
  <c r="A419" i="3" l="1"/>
  <c r="F420" i="3"/>
  <c r="C420" i="3" s="1"/>
  <c r="A420" i="3" l="1"/>
  <c r="F421" i="3"/>
  <c r="C421" i="3" s="1"/>
  <c r="A421" i="3" l="1"/>
  <c r="F422" i="3"/>
  <c r="C422" i="3" s="1"/>
  <c r="A422" i="3" l="1"/>
  <c r="F423" i="3"/>
  <c r="C423" i="3" s="1"/>
  <c r="A423" i="3" l="1"/>
  <c r="F424" i="3"/>
  <c r="C424" i="3" s="1"/>
  <c r="A424" i="3" l="1"/>
  <c r="F425" i="3"/>
  <c r="C425" i="3" s="1"/>
  <c r="A425" i="3" l="1"/>
  <c r="F426" i="3"/>
  <c r="C426" i="3" s="1"/>
  <c r="A426" i="3" l="1"/>
  <c r="F427" i="3"/>
  <c r="C427" i="3" s="1"/>
  <c r="A427" i="3" l="1"/>
  <c r="F428" i="3"/>
  <c r="C428" i="3" s="1"/>
  <c r="A428" i="3" l="1"/>
  <c r="F429" i="3"/>
  <c r="C429" i="3" s="1"/>
  <c r="A429" i="3" l="1"/>
  <c r="F430" i="3"/>
  <c r="C430" i="3" s="1"/>
  <c r="A430" i="3" l="1"/>
  <c r="F431" i="3"/>
  <c r="C431" i="3" s="1"/>
  <c r="A431" i="3" l="1"/>
  <c r="F432" i="3"/>
  <c r="C432" i="3" s="1"/>
  <c r="A432" i="3" l="1"/>
  <c r="F433" i="3"/>
  <c r="C433" i="3" s="1"/>
  <c r="A433" i="3" l="1"/>
  <c r="F434" i="3"/>
  <c r="C434" i="3" s="1"/>
  <c r="A434" i="3" l="1"/>
  <c r="F435" i="3"/>
  <c r="C435" i="3" s="1"/>
  <c r="A435" i="3" l="1"/>
  <c r="F436" i="3"/>
  <c r="C436" i="3" s="1"/>
  <c r="A436" i="3" l="1"/>
  <c r="F437" i="3"/>
  <c r="C437" i="3" s="1"/>
  <c r="A437" i="3" l="1"/>
  <c r="F438" i="3"/>
  <c r="C438" i="3" s="1"/>
  <c r="A438" i="3" l="1"/>
  <c r="F439" i="3"/>
  <c r="C439" i="3" s="1"/>
  <c r="A439" i="3" l="1"/>
  <c r="F440" i="3"/>
  <c r="C440" i="3" s="1"/>
  <c r="A440" i="3" l="1"/>
  <c r="F441" i="3"/>
  <c r="C441" i="3" s="1"/>
  <c r="A441" i="3" l="1"/>
  <c r="F442" i="3"/>
  <c r="C442" i="3" s="1"/>
  <c r="A442" i="3" l="1"/>
  <c r="F443" i="3"/>
  <c r="C443" i="3" s="1"/>
  <c r="A443" i="3" l="1"/>
  <c r="F444" i="3"/>
  <c r="C444" i="3" s="1"/>
  <c r="A444" i="3" l="1"/>
  <c r="F445" i="3"/>
  <c r="C445" i="3" s="1"/>
  <c r="A445" i="3" l="1"/>
  <c r="F446" i="3"/>
  <c r="C446" i="3" s="1"/>
  <c r="A446" i="3" l="1"/>
  <c r="F447" i="3"/>
  <c r="C447" i="3" s="1"/>
  <c r="A447" i="3" l="1"/>
  <c r="F448" i="3"/>
  <c r="C448" i="3" s="1"/>
  <c r="A448" i="3" l="1"/>
  <c r="F449" i="3"/>
  <c r="C449" i="3" s="1"/>
  <c r="A449" i="3" l="1"/>
  <c r="F450" i="3"/>
  <c r="C450" i="3" s="1"/>
  <c r="A450" i="3" l="1"/>
  <c r="F451" i="3"/>
  <c r="C451" i="3" s="1"/>
  <c r="A451" i="3" l="1"/>
  <c r="F452" i="3"/>
  <c r="C452" i="3" s="1"/>
  <c r="A452" i="3" l="1"/>
  <c r="F453" i="3"/>
  <c r="C453" i="3" s="1"/>
  <c r="A453" i="3" l="1"/>
  <c r="F454" i="3"/>
  <c r="C454" i="3" s="1"/>
  <c r="A454" i="3" l="1"/>
  <c r="F455" i="3"/>
  <c r="C455" i="3" s="1"/>
  <c r="A455" i="3" l="1"/>
  <c r="F456" i="3"/>
  <c r="C456" i="3" s="1"/>
  <c r="A456" i="3" l="1"/>
  <c r="F457" i="3"/>
  <c r="C457" i="3" s="1"/>
  <c r="A457" i="3" l="1"/>
  <c r="F458" i="3"/>
  <c r="C458" i="3" s="1"/>
  <c r="A458" i="3" l="1"/>
  <c r="F459" i="3"/>
  <c r="C459" i="3" s="1"/>
  <c r="A459" i="3" l="1"/>
  <c r="F460" i="3"/>
  <c r="C460" i="3" s="1"/>
  <c r="A460" i="3" l="1"/>
  <c r="F461" i="3"/>
  <c r="C461" i="3" s="1"/>
  <c r="A461" i="3" l="1"/>
  <c r="F462" i="3"/>
  <c r="C462" i="3" s="1"/>
  <c r="A462" i="3" l="1"/>
  <c r="F463" i="3"/>
  <c r="C463" i="3" s="1"/>
  <c r="A463" i="3" l="1"/>
  <c r="F464" i="3"/>
  <c r="C464" i="3" s="1"/>
  <c r="F465" i="3" l="1"/>
  <c r="C465" i="3" s="1"/>
  <c r="A464" i="3"/>
  <c r="F466" i="3" l="1"/>
  <c r="C466" i="3" s="1"/>
  <c r="A465" i="3"/>
  <c r="F467" i="3" l="1"/>
  <c r="C467" i="3" s="1"/>
  <c r="A466" i="3"/>
  <c r="A467" i="3" l="1"/>
  <c r="F468" i="3"/>
  <c r="C468" i="3" s="1"/>
  <c r="A468" i="3" l="1"/>
  <c r="F469" i="3"/>
  <c r="C469" i="3" s="1"/>
  <c r="F470" i="3" l="1"/>
  <c r="C470" i="3" s="1"/>
  <c r="A469" i="3"/>
  <c r="A470" i="3" l="1"/>
  <c r="F471" i="3"/>
  <c r="C471" i="3" s="1"/>
  <c r="A471" i="3" l="1"/>
  <c r="F472" i="3"/>
  <c r="C472" i="3" s="1"/>
  <c r="A472" i="3" l="1"/>
  <c r="F473" i="3"/>
  <c r="C473" i="3" s="1"/>
  <c r="A473" i="3" l="1"/>
  <c r="F474" i="3"/>
  <c r="C474" i="3" s="1"/>
  <c r="A474" i="3" l="1"/>
  <c r="F475" i="3"/>
  <c r="C475" i="3" s="1"/>
  <c r="A475" i="3" l="1"/>
  <c r="F476" i="3"/>
  <c r="C476" i="3" s="1"/>
  <c r="A476" i="3" l="1"/>
  <c r="F477" i="3"/>
  <c r="C477" i="3" s="1"/>
  <c r="A477" i="3" l="1"/>
  <c r="F478" i="3"/>
  <c r="C478" i="3" s="1"/>
  <c r="F479" i="3" l="1"/>
  <c r="C479" i="3" s="1"/>
  <c r="A478" i="3"/>
  <c r="A479" i="3" l="1"/>
  <c r="F480" i="3"/>
  <c r="C480" i="3" s="1"/>
  <c r="A480" i="3" l="1"/>
  <c r="F481" i="3"/>
  <c r="C481" i="3" s="1"/>
  <c r="A481" i="3" l="1"/>
  <c r="F482" i="3"/>
  <c r="C482" i="3" s="1"/>
  <c r="A482" i="3" l="1"/>
  <c r="F483" i="3"/>
  <c r="C483" i="3" s="1"/>
  <c r="A483" i="3" l="1"/>
  <c r="F484" i="3"/>
  <c r="C484" i="3" s="1"/>
  <c r="A484" i="3" l="1"/>
  <c r="F485" i="3"/>
  <c r="C485" i="3" s="1"/>
  <c r="A485" i="3" l="1"/>
  <c r="F486" i="3"/>
  <c r="C486" i="3" s="1"/>
  <c r="A486" i="3" l="1"/>
  <c r="F487" i="3"/>
  <c r="C487" i="3" s="1"/>
  <c r="A487" i="3" l="1"/>
  <c r="F488" i="3"/>
  <c r="C488" i="3" s="1"/>
  <c r="A488" i="3" l="1"/>
  <c r="F489" i="3"/>
  <c r="C489" i="3" s="1"/>
  <c r="A489" i="3" l="1"/>
  <c r="F490" i="3"/>
  <c r="C490" i="3" s="1"/>
  <c r="A490" i="3" l="1"/>
  <c r="F491" i="3"/>
  <c r="C491" i="3" s="1"/>
  <c r="A491" i="3" l="1"/>
  <c r="F492" i="3"/>
  <c r="C492" i="3" s="1"/>
  <c r="A492" i="3" l="1"/>
  <c r="F493" i="3"/>
  <c r="C493" i="3" s="1"/>
  <c r="A493" i="3" l="1"/>
  <c r="F494" i="3"/>
  <c r="C494" i="3" s="1"/>
  <c r="A494" i="3" l="1"/>
  <c r="F495" i="3"/>
  <c r="C495" i="3" s="1"/>
  <c r="A495" i="3" l="1"/>
  <c r="F496" i="3"/>
  <c r="C496" i="3" s="1"/>
  <c r="A496" i="3" l="1"/>
  <c r="F497" i="3"/>
  <c r="C497" i="3" s="1"/>
  <c r="A497" i="3" l="1"/>
  <c r="F498" i="3"/>
  <c r="C498" i="3" s="1"/>
  <c r="A498" i="3" l="1"/>
  <c r="F499" i="3"/>
  <c r="C499" i="3" s="1"/>
  <c r="A499" i="3" l="1"/>
  <c r="F500" i="3"/>
  <c r="C500" i="3" s="1"/>
  <c r="A500" i="3" l="1"/>
  <c r="F501" i="3"/>
  <c r="C501" i="3" s="1"/>
  <c r="A501" i="3" l="1"/>
  <c r="F502" i="3"/>
  <c r="C502" i="3" s="1"/>
  <c r="A502" i="3" l="1"/>
  <c r="F503" i="3"/>
  <c r="C503" i="3" s="1"/>
  <c r="A503" i="3" l="1"/>
  <c r="F504" i="3"/>
  <c r="C504" i="3" s="1"/>
  <c r="A504" i="3" l="1"/>
  <c r="F505" i="3"/>
  <c r="C505" i="3" s="1"/>
  <c r="A505" i="3" l="1"/>
  <c r="F506" i="3"/>
  <c r="C506" i="3" s="1"/>
  <c r="A506" i="3" l="1"/>
  <c r="F507" i="3"/>
  <c r="C507" i="3" s="1"/>
  <c r="A507" i="3" l="1"/>
  <c r="F508" i="3"/>
  <c r="C508" i="3" s="1"/>
  <c r="A508" i="3" l="1"/>
  <c r="F509" i="3"/>
  <c r="C509" i="3" s="1"/>
  <c r="A509" i="3" l="1"/>
  <c r="F510" i="3"/>
  <c r="C510" i="3" s="1"/>
  <c r="A510" i="3" l="1"/>
  <c r="F511" i="3"/>
  <c r="C511" i="3" s="1"/>
  <c r="A511" i="3" l="1"/>
  <c r="F512" i="3"/>
  <c r="C512" i="3" s="1"/>
  <c r="F513" i="3" l="1"/>
  <c r="C513" i="3" s="1"/>
  <c r="A512" i="3"/>
  <c r="A513" i="3" l="1"/>
  <c r="F514" i="3"/>
  <c r="C514" i="3" s="1"/>
  <c r="A514" i="3" l="1"/>
  <c r="F515" i="3"/>
  <c r="C515" i="3" l="1"/>
  <c r="C11" i="10"/>
  <c r="G29" i="2"/>
  <c r="G30" i="2"/>
  <c r="A515" i="3"/>
  <c r="G23" i="2" l="1"/>
  <c r="G28" i="2"/>
  <c r="G27" i="2" s="1"/>
  <c r="G24" i="2"/>
  <c r="G26" i="2"/>
  <c r="G25" i="2"/>
  <c r="G22" i="2"/>
  <c r="G21" i="2" l="1"/>
  <c r="G20" i="2" s="1"/>
  <c r="G3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 Duc Anh</author>
  </authors>
  <commentList>
    <comment ref="D3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Do Duc Anh:</t>
        </r>
        <r>
          <rPr>
            <sz val="9"/>
            <color indexed="81"/>
            <rFont val="Tahoma"/>
            <family val="2"/>
          </rPr>
          <t xml:space="preserve">
Trước ngày 30-31, ngày thực nhận = ngày ghi sổ</t>
        </r>
      </text>
    </comment>
  </commentList>
</comments>
</file>

<file path=xl/sharedStrings.xml><?xml version="1.0" encoding="utf-8"?>
<sst xmlns="http://schemas.openxmlformats.org/spreadsheetml/2006/main" count="16980" uniqueCount="6577">
  <si>
    <t>AP NO#</t>
  </si>
  <si>
    <t>HSI</t>
  </si>
  <si>
    <t>Mai</t>
  </si>
  <si>
    <t>Hà</t>
  </si>
  <si>
    <t>Hạnh</t>
  </si>
  <si>
    <t>Ngày ghi sổ</t>
  </si>
  <si>
    <t>Ngày chứng từ</t>
  </si>
  <si>
    <t>Đối tượng</t>
  </si>
  <si>
    <t>Diễn giải</t>
  </si>
  <si>
    <t>Giá trị</t>
  </si>
  <si>
    <t>PIC</t>
  </si>
  <si>
    <t>Tiền tệ</t>
  </si>
  <si>
    <t>Mã</t>
  </si>
  <si>
    <t>Tên đối tượng</t>
  </si>
  <si>
    <t>Tên viết tắt</t>
  </si>
  <si>
    <t>Loại đối tượng</t>
  </si>
  <si>
    <t>Địa chỉ</t>
  </si>
  <si>
    <t>Mã số thuế</t>
  </si>
  <si>
    <t>Đối tác</t>
  </si>
  <si>
    <t>Điện thoại</t>
  </si>
  <si>
    <t>Tên ngân hàng</t>
  </si>
  <si>
    <t>Số Tk ngân hàng</t>
  </si>
  <si>
    <t>Số CMND</t>
  </si>
  <si>
    <t>Ngày cấp</t>
  </si>
  <si>
    <t>Nơi cấp</t>
  </si>
  <si>
    <t>Số file</t>
  </si>
  <si>
    <t>Nhóm mẹ</t>
  </si>
  <si>
    <t>V20110B</t>
  </si>
  <si>
    <t>A&amp;D Company, Limited</t>
  </si>
  <si>
    <t>Đơn vị, tổ chức</t>
  </si>
  <si>
    <t>3-23-14, Higashi-Ikebukuro, Toshima-ku, Tokyo, 170-0013, Japan</t>
  </si>
  <si>
    <t>(81) 353916132</t>
  </si>
  <si>
    <t>Mizuho Bank, Ltd - Ikebukuro branch</t>
  </si>
  <si>
    <t>1065615</t>
  </si>
  <si>
    <t>IMPORT_VENDOR</t>
  </si>
  <si>
    <t>V20098A</t>
  </si>
  <si>
    <t>AIHO FOOD MACHINE (SHANGHAI) CO.LTD</t>
  </si>
  <si>
    <t>158-3 Shumin RD, Songjiang Industry Zone, Shanghai, 201611, China</t>
  </si>
  <si>
    <t>Bank of China Shanghai Branch Songjiang Sub-Branch</t>
  </si>
  <si>
    <t>437759225241</t>
  </si>
  <si>
    <t>2</t>
  </si>
  <si>
    <t>V20098B</t>
  </si>
  <si>
    <t>V20098C</t>
  </si>
  <si>
    <t>V20021A</t>
  </si>
  <si>
    <t>Alpha Kogyo K.K</t>
  </si>
  <si>
    <t>1-1-51 Suehiro-cho, Tsurumi-ku Yokohama, Kanagawa Pref.230-0045 JAPAN</t>
  </si>
  <si>
    <t>SUMITOMO-MITSUI BANKING CORPORATION, TSURUMI BRANCH</t>
  </si>
  <si>
    <t>6821072</t>
  </si>
  <si>
    <t>V20021B</t>
  </si>
  <si>
    <t>V20021C</t>
  </si>
  <si>
    <t>V20005A</t>
  </si>
  <si>
    <t>Alpha Technologies Japan LLC</t>
  </si>
  <si>
    <t>NSK Building 2-27-3 Tito, Taito-ku, Tokyo 110-0016 Japan</t>
  </si>
  <si>
    <t>Mizuho Bank Ltd, Kudan Branch</t>
  </si>
  <si>
    <t>1025015 (JPY)</t>
  </si>
  <si>
    <t>V20005B</t>
  </si>
  <si>
    <t>V20005C</t>
  </si>
  <si>
    <t>V20084A</t>
  </si>
  <si>
    <t>Amano Thai International Co.,Ltd</t>
  </si>
  <si>
    <t>Room No.3A, 3rd FL., Chai-ho Wong Wai Wit Building, 889 Moo 5, Srinakain Road, T. Somrong-Nua, A.Muang, Samutprakarn 10270</t>
  </si>
  <si>
    <t>02-745-8812</t>
  </si>
  <si>
    <t>F-15-764-922908</t>
  </si>
  <si>
    <t>V20084B</t>
  </si>
  <si>
    <t>V20084C</t>
  </si>
  <si>
    <t>V20044A</t>
  </si>
  <si>
    <t>AOKI Co.,Ltd</t>
  </si>
  <si>
    <t>32-8 5-Chome, Shiba Minato-ku, Tokyo 108-0014 Japan</t>
  </si>
  <si>
    <t>(03) 3452-1312</t>
  </si>
  <si>
    <t>The Bank of Tokyo-Mitsubishi UFJ Ltd, Tamachi Branch</t>
  </si>
  <si>
    <t>0158544</t>
  </si>
  <si>
    <t>V20044B</t>
  </si>
  <si>
    <t>V20044C</t>
  </si>
  <si>
    <t>V20053A</t>
  </si>
  <si>
    <t>Asahi Kasei Chemicals Corporation</t>
  </si>
  <si>
    <t>1-105 Kanda Jinbocho, Chiyoda-ku, Tokyo 101-8101, Japan</t>
  </si>
  <si>
    <t>+81-(0)3-3296-3250</t>
  </si>
  <si>
    <t>Mizuho Bank, Limited.  Uchisaiwaicho Corporate Banking Division</t>
  </si>
  <si>
    <t>1457667</t>
  </si>
  <si>
    <t>V20053B</t>
  </si>
  <si>
    <t>V20053C</t>
  </si>
  <si>
    <t>V20121C</t>
  </si>
  <si>
    <t>Balai Besar Bahan Dan Barang Teknik</t>
  </si>
  <si>
    <t>Jl.Sangkuriang No.14 Bandung 40135 JAWA BARAT - INDONESIA</t>
  </si>
  <si>
    <t>Bank Negara Indonesia Perguruan Tinggi Bandung</t>
  </si>
  <si>
    <t>00.28673883</t>
  </si>
  <si>
    <t>V10262C</t>
  </si>
  <si>
    <t>Ban khách hàng Tổ chức - Doanh nghiệp- CN Tổng công ty Dịch vụ Viễn thông</t>
  </si>
  <si>
    <t>Số 216 Trần Duy Hưng, P.Trung Hòa, Q.Cầu giấy, Hà nội</t>
  </si>
  <si>
    <t>0106869738-004</t>
  </si>
  <si>
    <t>Ngân hàng NN &amp; PT nông thôn Việt Nam - CN Long Biên</t>
  </si>
  <si>
    <t>1220202011555</t>
  </si>
  <si>
    <t>DOM</t>
  </si>
  <si>
    <t>T3000C0</t>
  </si>
  <si>
    <t>Ban Quản lý Khu Kinh tế Hải Phòng</t>
  </si>
  <si>
    <t>Hải Phòng</t>
  </si>
  <si>
    <t>6</t>
  </si>
  <si>
    <t>GOV</t>
  </si>
  <si>
    <t>CG470001C0</t>
  </si>
  <si>
    <t>Bank of Tokyo Misubishi UFJ</t>
  </si>
  <si>
    <t>Sugamo</t>
  </si>
  <si>
    <t>CG</t>
  </si>
  <si>
    <t>V10243C</t>
  </si>
  <si>
    <t>Báo Hải Phòng</t>
  </si>
  <si>
    <t>Số 8 Đà Nẵng, Ngô Quyền, Hải Phòng</t>
  </si>
  <si>
    <t>0200125302</t>
  </si>
  <si>
    <t>TMCP Công Thương Việt Nam - CN Ngô Quyền</t>
  </si>
  <si>
    <t>102010001396249</t>
  </si>
  <si>
    <t>GEN</t>
  </si>
  <si>
    <t>Bảo hiểm xã hội quận Hải An</t>
  </si>
  <si>
    <t>Tổ 7, phường Đằng Hải, quận Hải An, Hải Phòng</t>
  </si>
  <si>
    <t>Chi nhánh NH Nông nghiệp và PTNT Quận Hải An</t>
  </si>
  <si>
    <t>2114202928155</t>
  </si>
  <si>
    <t>T3001C0</t>
  </si>
  <si>
    <t>BCH Công đoàn Khu kinh tế Hải Phòng</t>
  </si>
  <si>
    <t>Cù Chính Lan, Q. Hồng Bàng, Hải Phòng</t>
  </si>
  <si>
    <t>Ngân hàng Công thương Hồng Bàng Hải Phòng</t>
  </si>
  <si>
    <t>1020.1000.1419.180</t>
  </si>
  <si>
    <t>V20055A</t>
  </si>
  <si>
    <t>Bekaert (Huizhou) Steel Cord Co.,Ltd</t>
  </si>
  <si>
    <t>No.3, Taixiang Road, Sandong Digital Ind.Park, Huicheng Area 516025 Huizhou city,P.R.CHINA</t>
  </si>
  <si>
    <t>+86 752 8219000</t>
  </si>
  <si>
    <t>INDUSTRIAL &amp; COMMERCIAL BANK OF CHINA HUIZHOU CITY JIANGNAN BR.</t>
  </si>
  <si>
    <t>2008021619200241111</t>
  </si>
  <si>
    <t>V20055B</t>
  </si>
  <si>
    <t>V20055C</t>
  </si>
  <si>
    <t>V4000C0</t>
  </si>
  <si>
    <t>Bệnh viện đa khoa Lê Chân</t>
  </si>
  <si>
    <t>169 Tô Hiệu, Lê Chân, Hải Phòng</t>
  </si>
  <si>
    <t>0313847419</t>
  </si>
  <si>
    <t>Ngân Hàng Thương mại Cổ Phần Công Thương - Chi Nhánh Lê Chân</t>
  </si>
  <si>
    <t>102010001243642</t>
  </si>
  <si>
    <t>4</t>
  </si>
  <si>
    <t>V10263C</t>
  </si>
  <si>
    <t>Bệnh viện Đại học Y Hải Phòng</t>
  </si>
  <si>
    <t>Số 225C đường Lạch Tray, quận Ngô Quyền, TP. Hải Phòng</t>
  </si>
  <si>
    <t>0200926486-001</t>
  </si>
  <si>
    <t>031.3736285</t>
  </si>
  <si>
    <t>Ngân hàng TMCP Công thương, chi nhánh Tô Hiệu - Hải Phòng</t>
  </si>
  <si>
    <t>102010001109315</t>
  </si>
  <si>
    <t>355000B</t>
  </si>
  <si>
    <t>BRIDGESTONE ASIA PACIFIC PTE LTD</t>
  </si>
  <si>
    <t>Đơn vị trong tập đoàn (TCT)</t>
  </si>
  <si>
    <t>83 Clemenceau Avenue #08-01/08 UE Square Singapore 239920</t>
  </si>
  <si>
    <t>+65 6540 4000</t>
  </si>
  <si>
    <t>The Bank of Tokyo-Mitsubishi UFJ, Ltd - Singapore Branch</t>
  </si>
  <si>
    <t>198353</t>
  </si>
  <si>
    <t>3</t>
  </si>
  <si>
    <t>BS_INTRA_V</t>
  </si>
  <si>
    <t>355000A</t>
  </si>
  <si>
    <t>355000C</t>
  </si>
  <si>
    <t>CG460002C0</t>
  </si>
  <si>
    <t>Cá nhân</t>
  </si>
  <si>
    <t>BS_INTRA_C</t>
  </si>
  <si>
    <t>V4058C0</t>
  </si>
  <si>
    <t>Bridgestone Asia Pacific Technical Center Co.,Ltd</t>
  </si>
  <si>
    <t>113 Moo 18, Klong Nueng, Klong Luang, Pathumthani 12120, Thailand</t>
  </si>
  <si>
    <t>+66 02-016-1200</t>
  </si>
  <si>
    <t>Bank of Ayudhya Public Company Limited - Bangkok Sathorn branch</t>
  </si>
  <si>
    <t>210-0-83502-1</t>
  </si>
  <si>
    <t>100000A</t>
  </si>
  <si>
    <t>Bridgestone Corporation</t>
  </si>
  <si>
    <t>1-1 Kyobashi, 3-Chome, Chuo-ku, Tokyo 104-8340, Japan</t>
  </si>
  <si>
    <t>The bank of Tokyo-Mitsubishi UFJ, Ltd - Head Office</t>
  </si>
  <si>
    <t>0150490</t>
  </si>
  <si>
    <t>BS_INTER_V</t>
  </si>
  <si>
    <t>100000B</t>
  </si>
  <si>
    <t>100000C</t>
  </si>
  <si>
    <t>CG460001C0</t>
  </si>
  <si>
    <t>Bridgestone Corporation.</t>
  </si>
  <si>
    <t>1-1 Kyobashi, 3-Chome, Chuo-ku, Tokyo 104-8340</t>
  </si>
  <si>
    <t>BS_INTER_C</t>
  </si>
  <si>
    <t>316800B</t>
  </si>
  <si>
    <t>Bridgestone Engineered Products of Asia Sdn. Bhd.</t>
  </si>
  <si>
    <t>6-03-89962670</t>
  </si>
  <si>
    <t>Sumitomo Mitsui Banking Corporation Malaysia Berhad</t>
  </si>
  <si>
    <t>10004001</t>
  </si>
  <si>
    <t>316800A</t>
  </si>
  <si>
    <t>316800C</t>
  </si>
  <si>
    <t>350700C</t>
  </si>
  <si>
    <t>Bridgestone India Private Limited</t>
  </si>
  <si>
    <t>Plot No.A-43, Phase II, MIDC Chakan, Village Sawardari, Taluka_Khed, Dist.-Pune, Maharashtra-410 501, INDIA</t>
  </si>
  <si>
    <t>IDBI Bank Limited-Corporate Banking Group-Trade Finance dept</t>
  </si>
  <si>
    <t>0163502019100</t>
  </si>
  <si>
    <t>971081B</t>
  </si>
  <si>
    <t>Bridgestone Logistics Co., Ltd</t>
  </si>
  <si>
    <t>Yaesu Center Building, 8th floor 6-6, Yaesu 1-chome, Chuo-ku, Tokyo 103-0028, Japan</t>
  </si>
  <si>
    <t>81-3-5202-6878</t>
  </si>
  <si>
    <t>SUMITOMO MITSUI BANKING CORPORATION- TOKYOCHUO BRANCH</t>
  </si>
  <si>
    <t>0254449</t>
  </si>
  <si>
    <t>971081C</t>
  </si>
  <si>
    <t>971081A</t>
  </si>
  <si>
    <t>520200A</t>
  </si>
  <si>
    <t>Bridgestone Plant Engineering Co.,LTD</t>
  </si>
  <si>
    <t>3-1-1,Ogawahigashi-Cho,Kodaira-Shi,Tokyo 187-8531,Japan</t>
  </si>
  <si>
    <t>Mizuho bank, Ltd.,- Tokorozawa Branch</t>
  </si>
  <si>
    <t>558-0100122</t>
  </si>
  <si>
    <t>520200B</t>
  </si>
  <si>
    <t>520200C</t>
  </si>
  <si>
    <t>1913, Nagayatsu, Yoshimi-machi Hiki-gun Saitama-prefecture -355-0156 Japan</t>
  </si>
  <si>
    <t>101463A</t>
  </si>
  <si>
    <t>Bridgestone Singapore Pte Ltd.</t>
  </si>
  <si>
    <t>16 Raffles Quay #32-01 Hong Leong Building Singapore 048581</t>
  </si>
  <si>
    <t>The Bank of Tokyo - Mitsubishi UFJ, Ltd. Singapore</t>
  </si>
  <si>
    <t>033054</t>
  </si>
  <si>
    <t>101463B</t>
  </si>
  <si>
    <t>101463C</t>
  </si>
  <si>
    <t>310300B</t>
  </si>
  <si>
    <t>Bridgestone Sports Co., Ltd</t>
  </si>
  <si>
    <t>World Trade Center Building 2-1-1 Hamamatsu-cho, Minato-ku, Tokyo 105-6127, Japan</t>
  </si>
  <si>
    <t>Mizuho Bank,Ltd. Otemachi Corporate Banking Division-Tokyo,Japan</t>
  </si>
  <si>
    <t>24302</t>
  </si>
  <si>
    <t>310300A</t>
  </si>
  <si>
    <t>310300C</t>
  </si>
  <si>
    <t>CG450010C0</t>
  </si>
  <si>
    <t>Bridgestone Taiwan Co., Ltd</t>
  </si>
  <si>
    <t>No 1, Chuang Ching Road, Hsin-Chu Ind Zone, Hsin-Chu</t>
  </si>
  <si>
    <t>350300A</t>
  </si>
  <si>
    <t>No 1, Chuang Ching Road, Hsin-Chu Ind Zone, Hsin-Chu, Taiwan</t>
  </si>
  <si>
    <t>Mizuho Corporate Bank, Ltd, Taipei Branch</t>
  </si>
  <si>
    <t>001-001-0150285-3</t>
  </si>
  <si>
    <t>350300B</t>
  </si>
  <si>
    <t>350300C</t>
  </si>
  <si>
    <t>CG450006C0</t>
  </si>
  <si>
    <t>Bridgestone Tire Manufacturing Thailand Co.,Ltd</t>
  </si>
  <si>
    <t>700/622 Moo 4 Tambon Bankao Amphur Panthong Chonburi 20160</t>
  </si>
  <si>
    <t>351700A</t>
  </si>
  <si>
    <t>700/622 Moo 4 Tambon Bankao Amphur Panthong, Chonburi 20160</t>
  </si>
  <si>
    <t>66-3821-0300</t>
  </si>
  <si>
    <t>The Bank of Tokyo-Mitsubishi UFJ, Ltd - Bangkok Branch</t>
  </si>
  <si>
    <t>2100818534</t>
  </si>
  <si>
    <t>351700B</t>
  </si>
  <si>
    <t>351700C</t>
  </si>
  <si>
    <t>V4066C0</t>
  </si>
  <si>
    <t>Bridgestone Treasury Singapore Pte. Ltd.</t>
  </si>
  <si>
    <t>16 Raffles Quay #32-02, Hong Leong Building, Singapore 048581</t>
  </si>
  <si>
    <t>The Bank of Tokyo-Mitsubishi UFJ, Ltd - Singapore branch</t>
  </si>
  <si>
    <t>366742</t>
  </si>
  <si>
    <t>353400A</t>
  </si>
  <si>
    <t>Bridgestone(Wuxi) Tire Co.,Ltd</t>
  </si>
  <si>
    <t>No.119A,Wuxi National High &amp; New Tech Industrial Development zone,Wuxi,Jiangsu,China</t>
  </si>
  <si>
    <t>+86-0510-8532-2199</t>
  </si>
  <si>
    <t>Mizuho Bank.,Ltd</t>
  </si>
  <si>
    <t>V20026A</t>
  </si>
  <si>
    <t>BST Elastomers Co.,Ltd</t>
  </si>
  <si>
    <t>22nd FL.,Sathorn City Tower, 175 South Sathorn RD., Tungmahamek. Bangkok 10120, Thailand</t>
  </si>
  <si>
    <t>S.code:KASITHBK</t>
  </si>
  <si>
    <t>+66(0)26795120</t>
  </si>
  <si>
    <t>Kasikornbank Public Co.,Ltd-Thanon Sathorn Branch</t>
  </si>
  <si>
    <t>038-2-79954-2</t>
  </si>
  <si>
    <t>V20026B</t>
  </si>
  <si>
    <t>Switch code:KASITHBK</t>
  </si>
  <si>
    <t>V20026C</t>
  </si>
  <si>
    <t>CG440025C0</t>
  </si>
  <si>
    <t>C.ty Nippon Express Co.,LTD-Thầu chính thực hiện gói thầu lắp đặt TB cho nhà máy sx lốp xe Bridgestone</t>
  </si>
  <si>
    <t>Lô CN3.6-CN4.1, khu công nghiệp Đình Vũ, phường Đông Hải, Hải An, Hải Phòng</t>
  </si>
  <si>
    <t>0201289078</t>
  </si>
  <si>
    <t>V10180A</t>
  </si>
  <si>
    <t>0934 977897</t>
  </si>
  <si>
    <t>Sumitomo Mitsui Banking Corporation - Hanoi Branch</t>
  </si>
  <si>
    <t>100 412 00</t>
  </si>
  <si>
    <t>1</t>
  </si>
  <si>
    <t>V10180B</t>
  </si>
  <si>
    <t>V10180C</t>
  </si>
  <si>
    <t>CG410001C0</t>
  </si>
  <si>
    <t>CASUAL LABOURS</t>
  </si>
  <si>
    <t>Khu đất CN3.6 - CN4.1, KCN Đình Vũ, Đông Hải 2, Hải An, Hải Phòng</t>
  </si>
  <si>
    <t>CG-EMP</t>
  </si>
  <si>
    <t>V3100C0</t>
  </si>
  <si>
    <t>5</t>
  </si>
  <si>
    <t>EMP</t>
  </si>
  <si>
    <t>V20070A</t>
  </si>
  <si>
    <t>CG Engineering Ltd.,Part</t>
  </si>
  <si>
    <t>109/58 Soi Lardprao 18 Lardprao Road Jompol Chatuchak Bangkok 10900 Thailand</t>
  </si>
  <si>
    <t>United Overseas Bank (Thai) Public Company Limited</t>
  </si>
  <si>
    <t>7981638836</t>
  </si>
  <si>
    <t>V20070B</t>
  </si>
  <si>
    <t>V20070C</t>
  </si>
  <si>
    <t>T3005C0</t>
  </si>
  <si>
    <t>Chi cục hải quan KCN-KCX Hải Phòng</t>
  </si>
  <si>
    <t>V10289C</t>
  </si>
  <si>
    <t>V10016A</t>
  </si>
  <si>
    <t>Chi nhánh Công ty Cổ Phần Gas Việt Nhật tại Hà Nội</t>
  </si>
  <si>
    <t>3600258422-002</t>
  </si>
  <si>
    <t>04 3974 4346</t>
  </si>
  <si>
    <t>Ngân hàng Mizuho bank Ltd, Chi nhánh TP Hà Nội</t>
  </si>
  <si>
    <t>F15-795-005447 (USD)/H15-795-005455 (VND)</t>
  </si>
  <si>
    <t>V10016B</t>
  </si>
  <si>
    <t>V10016C</t>
  </si>
  <si>
    <t>V10089A</t>
  </si>
  <si>
    <t>Chi nhánh Công Ty TNHH Công Nghệ Và Thiết Bị Hàn tại Hải Phòng</t>
  </si>
  <si>
    <t>Số 1027 đường Nguyễn Văn Linh, xã An Đồng, huyện An Dương, Tp Hải Phòng</t>
  </si>
  <si>
    <t>0101001715-005</t>
  </si>
  <si>
    <t>Ngân hàng Vietcombank-Hải Phòng</t>
  </si>
  <si>
    <t>0031000222617</t>
  </si>
  <si>
    <t>V10089B</t>
  </si>
  <si>
    <t>V10089C</t>
  </si>
  <si>
    <t>V4078C0</t>
  </si>
  <si>
    <t>Chi nhánh Công ty TNHH JTB-TNT</t>
  </si>
  <si>
    <t>Số 1, Đường Thanh Niên, P.Trúc Bạch, Q.Ba Đình, TP Hà Nội</t>
  </si>
  <si>
    <t>Sở giao dịch Vietcombank</t>
  </si>
  <si>
    <t>001 100 256 7990</t>
  </si>
  <si>
    <t>V10217A</t>
  </si>
  <si>
    <t>Chi nhánh Công ty TNHH MTV du lịch SMI-VN tại Hà nội</t>
  </si>
  <si>
    <t>Tầng 3, Tòa nhà Grand 30-32 Hòa Mã, P.Phạm Đình Hổ, Q.Hai Bà Trưng, TP.Hà nội</t>
  </si>
  <si>
    <t>0311420568-001</t>
  </si>
  <si>
    <t>04.3976 5960</t>
  </si>
  <si>
    <t>Vietcombank - CN Hoàn Kiếm</t>
  </si>
  <si>
    <t>0301000126789</t>
  </si>
  <si>
    <t>V10217B</t>
  </si>
  <si>
    <t>V10217C</t>
  </si>
  <si>
    <t>V4001C0</t>
  </si>
  <si>
    <t>V10228A</t>
  </si>
  <si>
    <t>Chi nhánh công ty TNHH thiết bị công nghiệp N.A.G.O.Y.A (Thành phố Hà Nội)</t>
  </si>
  <si>
    <t>Tầng 8, tòa nhà Nikko, 27 Nguyễn Trường Tộ, Quận Ba Đình, Tp.Hà Nội</t>
  </si>
  <si>
    <t>0303135503-001</t>
  </si>
  <si>
    <t>(04) 39275390/91</t>
  </si>
  <si>
    <t>TMCP Á Châu - chi nhánh Hà Nội</t>
  </si>
  <si>
    <t>174772939</t>
  </si>
  <si>
    <t>V10228B</t>
  </si>
  <si>
    <t>V10228C</t>
  </si>
  <si>
    <t>Ngân hàng TMCP Á Châu - chi nhánh Hà Nội</t>
  </si>
  <si>
    <t>V10205A</t>
  </si>
  <si>
    <t>Chi nhánh Công ty TNHH thời trang và mỹ phẩm Âu Châu tại Hải Phòng</t>
  </si>
  <si>
    <t>Tầng 2, tòa nhà Thùy Dương, khu đô thị Ngã Năm - sân bay Cát Bi, Q.Ngô Quyền, Tp.Hải Phòng</t>
  </si>
  <si>
    <t>0309300048-012</t>
  </si>
  <si>
    <t>Techcombank - CN HCM</t>
  </si>
  <si>
    <t>19128223101019</t>
  </si>
  <si>
    <t>V10205B</t>
  </si>
  <si>
    <t>V10205C</t>
  </si>
  <si>
    <t>V10123A</t>
  </si>
  <si>
    <t>Chi nhánh công ty TNHH thương mại và dịch vụ Song Bình-Trung tâm chuyển phát nhanh phía Bắc</t>
  </si>
  <si>
    <t>35 C Nguyễn Huy Tưởng, Thanh Xuân, Hà Nội</t>
  </si>
  <si>
    <t>0301446415-007</t>
  </si>
  <si>
    <t>04 3557 8899 - 8876</t>
  </si>
  <si>
    <t>Ngân hàng Eximbank - Sở giao dịch 1</t>
  </si>
  <si>
    <t>200014851040424</t>
  </si>
  <si>
    <t>V10123B</t>
  </si>
  <si>
    <t>V10123C</t>
  </si>
  <si>
    <t>V20075A</t>
  </si>
  <si>
    <t>China Bekaert Steel Cord Co.,Ltd</t>
  </si>
  <si>
    <t>Binjiang Economic Development Zone 214434 Jiangyin, Jiangsu Province China</t>
  </si>
  <si>
    <t>+86/510/640 25 23</t>
  </si>
  <si>
    <t>Citibank(China) Co., Ltd- Shanghai Branch</t>
  </si>
  <si>
    <t>1881227033</t>
  </si>
  <si>
    <t>V20075B</t>
  </si>
  <si>
    <t>Citibank (China) Co.,Ltd-Shanghai branch</t>
  </si>
  <si>
    <t>V20075C</t>
  </si>
  <si>
    <t>V10147A</t>
  </si>
  <si>
    <t>CN Công ty Cổ phần CPN Quốc Tế Hợp Nhất tại Hà Nội</t>
  </si>
  <si>
    <t>Tầng 10, Tòa Nhà Việt Hải, Lô C2 H Cụm SX TTCN và CNN Cầu Giấy, Duy Tân, Dịch Vọng Hậu, Cầu Giấy, Hà Nội</t>
  </si>
  <si>
    <t>0305141894-001</t>
  </si>
  <si>
    <t>Techcombank - CN Hoàng Quốc Việt</t>
  </si>
  <si>
    <t>1112 1161 1970 10</t>
  </si>
  <si>
    <t>V10147B</t>
  </si>
  <si>
    <t>V10147C</t>
  </si>
  <si>
    <t>V4059C0</t>
  </si>
  <si>
    <t>CN Công ty Cổ Phần Navigos Group Việt Nam</t>
  </si>
  <si>
    <t>Tầng 7 tòa nhà V-building, 125-127 Bà Triệu, P. Nguyễn Du, Q. Hai Bà Trưng, Hà Nội</t>
  </si>
  <si>
    <t>0304836029-001</t>
  </si>
  <si>
    <t>Ngân hàng Citibank NA - CN Hồ Chí Minh</t>
  </si>
  <si>
    <t>0301666233</t>
  </si>
  <si>
    <t>V10232A</t>
  </si>
  <si>
    <t>CN Công Ty CP TM &amp; DV Ngọc Hà tại Hải Phòng</t>
  </si>
  <si>
    <t>Km13 Quốc lộ 5 - Tân Tiến - An Dương - Hải Phòng</t>
  </si>
  <si>
    <t>0101394777-006</t>
  </si>
  <si>
    <t>Ngân hàng TMCP xăng dầu Petrolomex-CN Hải Phòng</t>
  </si>
  <si>
    <t>V10232B</t>
  </si>
  <si>
    <t>Ngân hàng TMCP xăng dầu Petrolimex - CN Hải Phòng</t>
  </si>
  <si>
    <t>V10232C</t>
  </si>
  <si>
    <t>Ngân hàng TMCP Xăng dầu Petrolimex - CN Hải Phòng</t>
  </si>
  <si>
    <t>208.704.000.4881</t>
  </si>
  <si>
    <t>V4057A0</t>
  </si>
  <si>
    <t>CN Công ty LD TNHH Nippon Express (Việt Nam) tại Hà Nội</t>
  </si>
  <si>
    <t>Tháp Hòa Bình, 106 Hoàng Quốc việt, Phường Nghĩa Tân, Quận Cầu Giấy, Hà Nội</t>
  </si>
  <si>
    <t>0302065148</t>
  </si>
  <si>
    <t>08. 38 122 922</t>
  </si>
  <si>
    <t>Mizuho Bank., Ltd - Hanoi Branch</t>
  </si>
  <si>
    <t>H15-795-007782</t>
  </si>
  <si>
    <t>V4057B0</t>
  </si>
  <si>
    <t>V4057C0</t>
  </si>
  <si>
    <t>V10179A</t>
  </si>
  <si>
    <t>V10179B</t>
  </si>
  <si>
    <t>V10179C</t>
  </si>
  <si>
    <t>V10185A</t>
  </si>
  <si>
    <t>CN Công ty TNHH MTV Điện lực Hải Phòng - Điện lực Hải An</t>
  </si>
  <si>
    <t>Số 7 Nguyễn Văn Hới, quận Hải An, thành phố Hải Phòng</t>
  </si>
  <si>
    <t>0200340211-030</t>
  </si>
  <si>
    <t>Vietcombank - CN Hải Phòng</t>
  </si>
  <si>
    <t>V10185B</t>
  </si>
  <si>
    <t>V10185C</t>
  </si>
  <si>
    <t>V10008C</t>
  </si>
  <si>
    <t>CN Công ty TNHH Thông tin NTT (Việt Nam)</t>
  </si>
  <si>
    <t>0302534921-001</t>
  </si>
  <si>
    <t>Mizuho Bank, Ltd., - Hanoi Branch</t>
  </si>
  <si>
    <t>H15 795 008754</t>
  </si>
  <si>
    <t>V10008A</t>
  </si>
  <si>
    <t>V10008B</t>
  </si>
  <si>
    <t>LS-000148</t>
  </si>
  <si>
    <t>CN Công ty TNHH TM và ĐT khí công nghiệp Sao Mai tại Hải Phòng</t>
  </si>
  <si>
    <t>0101148235-001</t>
  </si>
  <si>
    <t>0313538962</t>
  </si>
  <si>
    <t>ACB -  Chi nhánh Hải Phòng</t>
  </si>
  <si>
    <t>28735229</t>
  </si>
  <si>
    <t>V20067A</t>
  </si>
  <si>
    <t>Comm Bangkok Co.,Ltd</t>
  </si>
  <si>
    <t>410/120-121, The Executive House Bldg., 11Fl., Surawongse Road., Siphraya Bangrak, Bangkok 10500</t>
  </si>
  <si>
    <t>0-2237-4689, 0-2267-9927</t>
  </si>
  <si>
    <t>The bank of Tokyo- Mitsubishi UFJ, Ltd (Bangkok Branch)</t>
  </si>
  <si>
    <t>1100259829</t>
  </si>
  <si>
    <t>V20067B</t>
  </si>
  <si>
    <t>V20067C</t>
  </si>
  <si>
    <t>T3006C0</t>
  </si>
  <si>
    <t>Công đoàn Công ty TNHH sản xuất lốp xe Bridgestone Việt Nam</t>
  </si>
  <si>
    <t>Ngân hàng Vietcombank Hải Phòng</t>
  </si>
  <si>
    <t>0031000205905</t>
  </si>
  <si>
    <t>V4050C0</t>
  </si>
  <si>
    <t>Vietcombank CN Hải Phòng</t>
  </si>
  <si>
    <t>003 100 020 5905</t>
  </si>
  <si>
    <t>CG480001C0</t>
  </si>
  <si>
    <t>CN3.6-CN4.1,KCN Đ.Vũ,Đ.Hải 2,Hải An, Hải Phòng</t>
  </si>
  <si>
    <t>V4048C0</t>
  </si>
  <si>
    <t>Công ty Bảo hiểm Liên Hiệp</t>
  </si>
  <si>
    <t>0100112571</t>
  </si>
  <si>
    <t>Sở giao dịch NHTMCP Ngoại thương Việt Nam</t>
  </si>
  <si>
    <t>001.1.00.0028058</t>
  </si>
  <si>
    <t>CG440026C0</t>
  </si>
  <si>
    <t>Tầng 11, tòa nhà TungShing Square, số 2 Ngô Quyền, quận Hoàn Kiếm, Hà Nội</t>
  </si>
  <si>
    <t>Mizuho Bank, Ltd. - Hanoi Branch</t>
  </si>
  <si>
    <t>H15-795-000308</t>
  </si>
  <si>
    <t>V10012A</t>
  </si>
  <si>
    <t>Công ty Cổ phần Bắc Hải Thành</t>
  </si>
  <si>
    <t>Số 77 Tô Hiệu, Lê Chân, Hải Phòng</t>
  </si>
  <si>
    <t>8035410058</t>
  </si>
  <si>
    <t>012704060004681</t>
  </si>
  <si>
    <t>V10012B</t>
  </si>
  <si>
    <t>V10012C</t>
  </si>
  <si>
    <t>V10166A</t>
  </si>
  <si>
    <t>Công Ty Cổ Phần Cây Xanh Hải Phòng</t>
  </si>
  <si>
    <t>Số 340 đường Thiên Lôi, quận Lê Chân, Hải Phòng</t>
  </si>
  <si>
    <t>0200674782</t>
  </si>
  <si>
    <t>031.3857966</t>
  </si>
  <si>
    <t>V10166B</t>
  </si>
  <si>
    <t>V10166C</t>
  </si>
  <si>
    <t>V10132A</t>
  </si>
  <si>
    <t>Công ty cổ phần cơ điện, năng lượng và môi trường Alpha</t>
  </si>
  <si>
    <t>Số 105 Hoàng Văn Thái, phường Khương Trung, quận Thanh Xuân, thành phố Hà Nội</t>
  </si>
  <si>
    <t>0104594397</t>
  </si>
  <si>
    <t>04.62851323</t>
  </si>
  <si>
    <t>VPBank - CN Thăng Long</t>
  </si>
  <si>
    <t>34901422</t>
  </si>
  <si>
    <t>V10132B</t>
  </si>
  <si>
    <t>V10132C</t>
  </si>
  <si>
    <t>V10039A</t>
  </si>
  <si>
    <t>Công ty cổ phần cơ khí tháng Tám</t>
  </si>
  <si>
    <t>Số 34/47 Phạm Hữu Điều, quận Lê Chân, Hải Phòng</t>
  </si>
  <si>
    <t>0200962068</t>
  </si>
  <si>
    <t>Ngân hàng TMCP Xuất nhập khẩu Việt Nam - CN Hải Phòng</t>
  </si>
  <si>
    <t>160314851007042</t>
  </si>
  <si>
    <t>V10039B</t>
  </si>
  <si>
    <t>V10039C</t>
  </si>
  <si>
    <t>Ngân hàng TMCP Xuất nhập khẩu Việt Nam - CNHải Phòng</t>
  </si>
  <si>
    <t>CG440011C0</t>
  </si>
  <si>
    <t>V10148A</t>
  </si>
  <si>
    <t>Công ty cổ phần cơ khí thương mại Hoàng Minh</t>
  </si>
  <si>
    <t>Số 27 An Thái, Khu 2, Phường Bình Hàn, TP.Hải Dương, Tỉnh Hải Dương</t>
  </si>
  <si>
    <t>0800379690</t>
  </si>
  <si>
    <t>+84 0320 385636</t>
  </si>
  <si>
    <t>1251-0000-496-671</t>
  </si>
  <si>
    <t>V10148B</t>
  </si>
  <si>
    <t>V10148C</t>
  </si>
  <si>
    <t>V10174A</t>
  </si>
  <si>
    <t>Công ty cổ phần cơ khí và xây dựng Việt Nhật</t>
  </si>
  <si>
    <t>0102683570</t>
  </si>
  <si>
    <t>Sacombank - PGD Đồng Xuân</t>
  </si>
  <si>
    <t>020002045010</t>
  </si>
  <si>
    <t>V10174B</t>
  </si>
  <si>
    <t>V10174C</t>
  </si>
  <si>
    <t>V10084A</t>
  </si>
  <si>
    <t>Công Ty Cổ Phần Công Nghệ Điều Hòa Sao Việt</t>
  </si>
  <si>
    <t>59/528 Đà Nẵng, Ngô Quyền, Hải Phòng</t>
  </si>
  <si>
    <t>0200680899</t>
  </si>
  <si>
    <t>031.3555619</t>
  </si>
  <si>
    <t>Nông nghiệp và phát triển nông thôn- CN Hải Phòng</t>
  </si>
  <si>
    <t>2100201323580</t>
  </si>
  <si>
    <t>V10084B</t>
  </si>
  <si>
    <t>V10084C</t>
  </si>
  <si>
    <t>V10188A</t>
  </si>
  <si>
    <t>Công ty cổ phần công nghệ Minh Hòa</t>
  </si>
  <si>
    <t>Số 142 đường Lê Duẩn, Phường Khâm Thiên, Quận Đống Đa, TP.Hà Nội, Việt Nam</t>
  </si>
  <si>
    <t>0103671095</t>
  </si>
  <si>
    <t>04 6680 7519</t>
  </si>
  <si>
    <t>TMCP Công Thương Việt Nam - CN Đống Đa, Hà Nội</t>
  </si>
  <si>
    <t>102010001434639</t>
  </si>
  <si>
    <t>V10188B</t>
  </si>
  <si>
    <t>V10188C</t>
  </si>
  <si>
    <t>CG440015C0</t>
  </si>
  <si>
    <t>Công ty Cổ phần Công nghệ Môi trường An Sinh</t>
  </si>
  <si>
    <t>Thôn Phong Lâm, xã Hoàng Diệu, huyện Gia Lộc, tỉnh Hải Dương</t>
  </si>
  <si>
    <t>V4002C0</t>
  </si>
  <si>
    <t>0800754983</t>
  </si>
  <si>
    <t>0320 3710555</t>
  </si>
  <si>
    <t>Ngân hàng TMCP Ngoại thương Việt Nam - CN Hải Dương</t>
  </si>
  <si>
    <t>0341006990138</t>
  </si>
  <si>
    <t>V10198A</t>
  </si>
  <si>
    <t>Công ty cổ phần công nghệ Quang Trung - QTC</t>
  </si>
  <si>
    <t>Số 55 Đinh Nhu, P.Lam Sơn, Q.Lê Chân, TP.Hải Phòng</t>
  </si>
  <si>
    <t>0200677462</t>
  </si>
  <si>
    <t>0313.700007</t>
  </si>
  <si>
    <t>Công Thương Lê Chân Hải Phòng</t>
  </si>
  <si>
    <t>102010000459208</t>
  </si>
  <si>
    <t>V10198B</t>
  </si>
  <si>
    <t>V10198C</t>
  </si>
  <si>
    <t>V10095A</t>
  </si>
  <si>
    <t>Công ty Cổ phần Công nghệ T.M.T</t>
  </si>
  <si>
    <t>Số 96 Ngô Gia Tự, Phường Cát Bi, Quận Hải An, Thành phố Hải Phòng</t>
  </si>
  <si>
    <t>0200885078</t>
  </si>
  <si>
    <t>031.3 559 922</t>
  </si>
  <si>
    <t>Agribank- CN Hải Phòng</t>
  </si>
  <si>
    <t>2100201330750</t>
  </si>
  <si>
    <t>V10095B</t>
  </si>
  <si>
    <t>V10095C</t>
  </si>
  <si>
    <t>V10071A</t>
  </si>
  <si>
    <t>Công ty Cổ phần công nghệ thiết bị Việt Nam</t>
  </si>
  <si>
    <t>Phòng 1205, Nhà A, Nhân Mỹ, Mỹ Đình, Từ Liêm, Hà Nội</t>
  </si>
  <si>
    <t>0103921073</t>
  </si>
  <si>
    <t>0436628835</t>
  </si>
  <si>
    <t>Ngân hàng TM Cổ phần Á Châu - Chi nhánh Hà Nội</t>
  </si>
  <si>
    <t>131330059</t>
  </si>
  <si>
    <t>V10071B</t>
  </si>
  <si>
    <t>V10071C</t>
  </si>
  <si>
    <t>V10163A</t>
  </si>
  <si>
    <t>Công ty cổ phần công nghệ và giải pháp Hà Nội</t>
  </si>
  <si>
    <t>Số 09, tổ 02, Bằng A, Phường Hoàng Liệt, Quận Hoàng Mai, Thành phố Hà Nội, Việt Nam</t>
  </si>
  <si>
    <t>0106037810</t>
  </si>
  <si>
    <t>04 8585 4367</t>
  </si>
  <si>
    <t>Vietcombank - CN Thành Công</t>
  </si>
  <si>
    <t>0451000244283</t>
  </si>
  <si>
    <t>V10163B</t>
  </si>
  <si>
    <t>V10163C</t>
  </si>
  <si>
    <t>V10087A</t>
  </si>
  <si>
    <t>Công ty cổ phần công nghệ và thương mại SYSTECH</t>
  </si>
  <si>
    <t>Số 119, Phố Hồ Đắc Di, Phường Nam Đồng, Quận Đống Đa, TP. Hà Nội</t>
  </si>
  <si>
    <t>0102159423</t>
  </si>
  <si>
    <t>043.557.9556</t>
  </si>
  <si>
    <t>Ngân hàng BIDV - CN Thăng Long</t>
  </si>
  <si>
    <t>22010000209925</t>
  </si>
  <si>
    <t>V10087B</t>
  </si>
  <si>
    <t>V10087C</t>
  </si>
  <si>
    <t>V10100A</t>
  </si>
  <si>
    <t>Công Ty Cổ Phần Đ&amp;T</t>
  </si>
  <si>
    <t>Số 12/174 Văn Cao, Đằng Giang, Ngô Quyền, Hải Phòng</t>
  </si>
  <si>
    <t>0200994711</t>
  </si>
  <si>
    <t>031.3741555</t>
  </si>
  <si>
    <t>VP Bank - Hải Phòng</t>
  </si>
  <si>
    <t>15471999</t>
  </si>
  <si>
    <t>V10100B</t>
  </si>
  <si>
    <t>V10100C</t>
  </si>
  <si>
    <t>V10110A</t>
  </si>
  <si>
    <t>Công ty cổ phần Đăng Phong</t>
  </si>
  <si>
    <t>Số 276-277 Trần Hưng Đạo, phường Đông Hải 2, quận Hải An, Tp.Hải Phòng</t>
  </si>
  <si>
    <t>0200820507</t>
  </si>
  <si>
    <t>031.3614225</t>
  </si>
  <si>
    <t>TMCP Á Châu - PGD TD Plaza</t>
  </si>
  <si>
    <t>166203369</t>
  </si>
  <si>
    <t>V10110B</t>
  </si>
  <si>
    <t>V10110C</t>
  </si>
  <si>
    <t>V10178A</t>
  </si>
  <si>
    <t>Công ty cổ phần đầu tư thiết bị điện chiếu sáng HBH</t>
  </si>
  <si>
    <t>Số 324 Hồ Tùng Mậu, phường Phú Diễn, Quận Bắc Từ Liêm, thành phố Hà Nội, Việt Nam</t>
  </si>
  <si>
    <t>0105895196</t>
  </si>
  <si>
    <t>04.37868588</t>
  </si>
  <si>
    <t>BIDV Thăng Long, Hà Nội</t>
  </si>
  <si>
    <t>22010000432651</t>
  </si>
  <si>
    <t>V10178B</t>
  </si>
  <si>
    <t>V10178C</t>
  </si>
  <si>
    <t>V10216A</t>
  </si>
  <si>
    <t>Công ty cổ phần đầu tư thương mại DG</t>
  </si>
  <si>
    <t>15 Trần Phú, Ngô Quyền, Hải phòng</t>
  </si>
  <si>
    <t>0200421460</t>
  </si>
  <si>
    <t>031.375 7459</t>
  </si>
  <si>
    <t>TMCP Sài Gòn - Hà Nội, CN Hải Phòng</t>
  </si>
  <si>
    <t>1 0000 35697</t>
  </si>
  <si>
    <t>V10216B</t>
  </si>
  <si>
    <t>V10216C</t>
  </si>
  <si>
    <t>V4003C0</t>
  </si>
  <si>
    <t>Công ty Cổ phần Đầu tư và Du lịch LV</t>
  </si>
  <si>
    <t>Số 71 Lạch Tray, phường Lạch Tray, quận Ngô Quyền, Hải Phòng</t>
  </si>
  <si>
    <t>0201019307</t>
  </si>
  <si>
    <t>Ngân hàng TMCP Ngoại thương Việt Nam - CN Hải Phòng</t>
  </si>
  <si>
    <t>0031 000 121 619</t>
  </si>
  <si>
    <t>V10261C</t>
  </si>
  <si>
    <t>Công ty cổ phần dịch vụ an toàn dầu khí Việt Nam</t>
  </si>
  <si>
    <t>Lầu 2, tòa nhà Coalimex, 29-31 Đinh Bộ Lĩnh, Phường 24, Quận Bình Thạnh, TP Hồ Chí Minh</t>
  </si>
  <si>
    <t>0311834569</t>
  </si>
  <si>
    <t>08.62549444</t>
  </si>
  <si>
    <t>Ngân hàng Sacombank - Sở giao dịch</t>
  </si>
  <si>
    <t>060051140535</t>
  </si>
  <si>
    <t>V10022A</t>
  </si>
  <si>
    <t>Công ty Cổ phần Dịch vụ Kỹ thuật Bảo An</t>
  </si>
  <si>
    <t>Số 3A Lý Tự Trọng, P.Minh Khai, Q.Hồng Bàng, TP. Hải Phòng</t>
  </si>
  <si>
    <t>0200682529</t>
  </si>
  <si>
    <t>Ngân hàng ACB - CN Hải Phòng</t>
  </si>
  <si>
    <t>V10022B</t>
  </si>
  <si>
    <t>V10022C</t>
  </si>
  <si>
    <t>V10146A</t>
  </si>
  <si>
    <t>Công ty cổ phần Điện Công nghiệp tàu thủy Thái Bình Dương</t>
  </si>
  <si>
    <t>Thôn Cây Đa, xã An Lư, huyện Thủy Nguyên, TP Hải Phòng</t>
  </si>
  <si>
    <t>0200742986</t>
  </si>
  <si>
    <t>031.3573548</t>
  </si>
  <si>
    <t>Ngân hàng TMCP Á Châu</t>
  </si>
  <si>
    <t>72242139</t>
  </si>
  <si>
    <t>V10146B</t>
  </si>
  <si>
    <t>V10146C</t>
  </si>
  <si>
    <t>V10201A</t>
  </si>
  <si>
    <t>Công ty cổ phần điện tử Techmaster</t>
  </si>
  <si>
    <t>08.6266 2333</t>
  </si>
  <si>
    <t>175511269</t>
  </si>
  <si>
    <t>V10201B</t>
  </si>
  <si>
    <t>V10201C</t>
  </si>
  <si>
    <t>V4049C0</t>
  </si>
  <si>
    <t>Công ty cổ phần du lịch dịch vụ Nam Cường</t>
  </si>
  <si>
    <t>Số 47 Lạch Tray, Ngô Quyền, Hải Phòng, Việt Nam</t>
  </si>
  <si>
    <t>0105042818</t>
  </si>
  <si>
    <t>0031000122931</t>
  </si>
  <si>
    <t>V10120A</t>
  </si>
  <si>
    <t>Công ty Cổ phần Du lịch Khách sạn Hải Đăng</t>
  </si>
  <si>
    <t>Số 19 Trần Khánh Dư, P. Máy Tơ, Q. Ngô Quyền, TP.Hải Phòng</t>
  </si>
  <si>
    <t>0200783809</t>
  </si>
  <si>
    <t>V10120B</t>
  </si>
  <si>
    <t>V10120C</t>
  </si>
  <si>
    <t>V10277C</t>
  </si>
  <si>
    <t>Công ty cổ phần EEI</t>
  </si>
  <si>
    <t>Số nhà 23A, ngõ 160, đường 208, X.An Đồng, H.An Dương, TP. Hải Phòng</t>
  </si>
  <si>
    <t>0201632496</t>
  </si>
  <si>
    <t>Ngân hàng TMCP Công Thương - CN Kiến An</t>
  </si>
  <si>
    <t>102010002218458</t>
  </si>
  <si>
    <t>V10125A</t>
  </si>
  <si>
    <t>Công ty cổ phần giải pháp VNT Việt Nam</t>
  </si>
  <si>
    <t>Số 8, ngõ 286 Giáp Bát, phường Thịnh Liệt, quận Hoàng Mai, Hà Nội</t>
  </si>
  <si>
    <t>0105740724</t>
  </si>
  <si>
    <t>TMCP Á Châu - PGD Ngọc Hà</t>
  </si>
  <si>
    <t>124747189</t>
  </si>
  <si>
    <t>V10125B</t>
  </si>
  <si>
    <t>V10125C</t>
  </si>
  <si>
    <t>V10270C</t>
  </si>
  <si>
    <t>Công ty cổ phần Hoa Phượng</t>
  </si>
  <si>
    <t>Số 40, Trần Quang Khải, Hoàng Văn Thụ, Hồng bàng, Hải phòng</t>
  </si>
  <si>
    <t>0200491387</t>
  </si>
  <si>
    <t>0313.667.222</t>
  </si>
  <si>
    <t>Ngân hàng Nông nghiệp và phát triển nông thôn - CN Hồng bàng</t>
  </si>
  <si>
    <t>2111211002152</t>
  </si>
  <si>
    <t>V10113A</t>
  </si>
  <si>
    <t>Công ty cổ phần Hưng Phát container</t>
  </si>
  <si>
    <t>175 Trường Chinh- Phường Lãm Hà, Kiến An, Hải Phòng</t>
  </si>
  <si>
    <t>0201300437</t>
  </si>
  <si>
    <t>0313.791937</t>
  </si>
  <si>
    <t>Techcombank- Phòng giao dịch Kiến An</t>
  </si>
  <si>
    <t>19027292035019</t>
  </si>
  <si>
    <t>V10113B</t>
  </si>
  <si>
    <t>V10113C</t>
  </si>
  <si>
    <t>V10031A</t>
  </si>
  <si>
    <t>Công ty Cổ Phần Khu Công nghiệp Đình Vũ</t>
  </si>
  <si>
    <t>Tầng 5, Tòa nhà Habour View, Số 12 Trần Phú, Ngô Quyền, Hải Phòng</t>
  </si>
  <si>
    <t>0200116717</t>
  </si>
  <si>
    <t>Ngân hàng TNHH MTV Public Việt nam - CN Hải Phòng</t>
  </si>
  <si>
    <t>050-4-00-00-00160</t>
  </si>
  <si>
    <t>V10031B</t>
  </si>
  <si>
    <t>Ngân hàng TNHH MTV Public Việt Nam - CN Hải Phòng</t>
  </si>
  <si>
    <t>V10031C</t>
  </si>
  <si>
    <t>Ngân hàng TNHH MTV Public Viet nam- CN Hải Phòng</t>
  </si>
  <si>
    <t>V10152A</t>
  </si>
  <si>
    <t>Công ty cổ phần kỹ thuật nền móng và công trình ngầm FECON</t>
  </si>
  <si>
    <t>Tầng 15 tháp CEO, Lô HH2-1, Khu đô thị Mễ Trì Hạ, đường Phạm Hùng, phường Mễ Trì, quận Nam Từ Liêm, thành phố Hà Nội, Việt Nam</t>
  </si>
  <si>
    <t>0101502599</t>
  </si>
  <si>
    <t>04.62690481</t>
  </si>
  <si>
    <t>Vietinbank - Dong Da Branch</t>
  </si>
  <si>
    <t>102010001855588</t>
  </si>
  <si>
    <t>V10152B</t>
  </si>
  <si>
    <t>V10152C</t>
  </si>
  <si>
    <t>V10155A</t>
  </si>
  <si>
    <t>Công ty cổ phần kỹ thuật và thương mại thiết bị công nghiệp NTD</t>
  </si>
  <si>
    <t>Số 8, tổ 20, Phường Phúc Lợi, Quận Long Biên, Thành phố Hà Nội, Việt Nam</t>
  </si>
  <si>
    <t>0105832943</t>
  </si>
  <si>
    <t>04 8585 5590</t>
  </si>
  <si>
    <t>TMCP Hàng Hải - CN Long Biên</t>
  </si>
  <si>
    <t>03401010114308</t>
  </si>
  <si>
    <t>V10155B</t>
  </si>
  <si>
    <t>V10155C</t>
  </si>
  <si>
    <t>V10242A</t>
  </si>
  <si>
    <t>Công ty cổ phần Lawsoft</t>
  </si>
  <si>
    <t>Số 17, Nguyễn Gia Thiều, Phường 6, Quận 3, TP.HCM</t>
  </si>
  <si>
    <t>0304504288</t>
  </si>
  <si>
    <t>ACB - CN Nguyễn Văn Trỗi</t>
  </si>
  <si>
    <t>40348879</t>
  </si>
  <si>
    <t>V10242B</t>
  </si>
  <si>
    <t>V10242C</t>
  </si>
  <si>
    <t>V4061C0</t>
  </si>
  <si>
    <t>Công ty cổ phần liên kết Việt Nhật</t>
  </si>
  <si>
    <t>Tầng 5, số 106, phố Huế, phường Ngô Thì Nhậm, quận Hai Bà Trưng, thành phố Hà Nội, Việt Nam</t>
  </si>
  <si>
    <t>0104770412</t>
  </si>
  <si>
    <t>04-39449323</t>
  </si>
  <si>
    <t>88135564388</t>
  </si>
  <si>
    <t>V10239A</t>
  </si>
  <si>
    <t>Công ty cổ phần may và in Sao đỏ</t>
  </si>
  <si>
    <t>Số 120, đường Tô Hiệu, P.Nguyễn Trãi, Q.Hà đông, Hà nội</t>
  </si>
  <si>
    <t>Techcombank - CN Lĩnh Nam</t>
  </si>
  <si>
    <t>14022645157016</t>
  </si>
  <si>
    <t>V10239B</t>
  </si>
  <si>
    <t>V10239C</t>
  </si>
  <si>
    <t>V10164A</t>
  </si>
  <si>
    <t>Công ty cổ phần máy và thiết bị tự động hóa Việt Nhật</t>
  </si>
  <si>
    <t>Số 6 - 230/61, Phố Định Công Thượng, Phường Định Công, Quận Hoàng Mai, TP Hà Nội</t>
  </si>
  <si>
    <t>0104813507</t>
  </si>
  <si>
    <t>Techcombank - CN Bà Triệu, Hoàn Kiếm, Hà Nội</t>
  </si>
  <si>
    <t>13823031918011</t>
  </si>
  <si>
    <t>V10164B</t>
  </si>
  <si>
    <t>V10164C</t>
  </si>
  <si>
    <t>V4004C0</t>
  </si>
  <si>
    <t>Công Ty Cổ Phần Môi Trường Xanh</t>
  </si>
  <si>
    <t>Số 5A Võ Thị Sáu, P.Máy Tơ, Q.Ngô Quyền, TP. Hải Phòng</t>
  </si>
  <si>
    <t>0200613028</t>
  </si>
  <si>
    <t>031.3551651</t>
  </si>
  <si>
    <t>Ngân hàng TMCP Đông Nam Á- CN Hải Phòng</t>
  </si>
  <si>
    <t>30100000333244</t>
  </si>
  <si>
    <t>V10131A</t>
  </si>
  <si>
    <t>Công ty cổ phần Ngân Lợi</t>
  </si>
  <si>
    <t>Số 1/146 An Dương, Yên Phụ, Tây Hồ, Hà Nội</t>
  </si>
  <si>
    <t>0102354738</t>
  </si>
  <si>
    <t>04 362 888 01</t>
  </si>
  <si>
    <t>Sacombank - CN Đông Đô</t>
  </si>
  <si>
    <t>020002079225</t>
  </si>
  <si>
    <t>V10131B</t>
  </si>
  <si>
    <t>V10131C</t>
  </si>
  <si>
    <t>V10001A</t>
  </si>
  <si>
    <t>Công ty cổ phần nghiên cứu và phát triển Đông Giang Việt Nam</t>
  </si>
  <si>
    <t>Số 2-189/31 Hoàng Hoa Thám, Ba Đình, Hà Nội</t>
  </si>
  <si>
    <t>0103982622</t>
  </si>
  <si>
    <t>Ngân hàng TMCP Ngoại Thương Việt Nam- CN Hoàn Kiếm</t>
  </si>
  <si>
    <t>0301000313410</t>
  </si>
  <si>
    <t>V10001B</t>
  </si>
  <si>
    <t>V10001C</t>
  </si>
  <si>
    <t>CG440030C0</t>
  </si>
  <si>
    <t>Công ty cổ phần nguồn nhân lực Siêu Việt-chi nhánh tại Hà Nội</t>
  </si>
  <si>
    <t>Tầng 12A, tòa nhà Center Building, số 1 Nguyễn Huy Tưởng, P. Thanh Xuân Trung, Q. Thanh Xuân, Tp. Hà Nội</t>
  </si>
  <si>
    <t>Ngân hàng thương mại cổ phần Tiên Phong-CN Hà Nội</t>
  </si>
  <si>
    <t>01415452001</t>
  </si>
  <si>
    <t>V10290C</t>
  </si>
  <si>
    <t>V10038A</t>
  </si>
  <si>
    <t>Công ty cổ phần quốc tế A.S.I.A</t>
  </si>
  <si>
    <t>Số 1/213 Lạch Tray, .Đổng Quốc Bình, Hải Phòng</t>
  </si>
  <si>
    <t>0200838656</t>
  </si>
  <si>
    <t>031 3736383</t>
  </si>
  <si>
    <t>Techcombank - Chi nhánh Văn Cao - TP Hải Phòng</t>
  </si>
  <si>
    <t>14021218206018</t>
  </si>
  <si>
    <t>V10038B</t>
  </si>
  <si>
    <t>V10038C</t>
  </si>
  <si>
    <t>V10171A</t>
  </si>
  <si>
    <t>Công Ty Cổ Phần Quốc Tế ALO</t>
  </si>
  <si>
    <t>193 Tôn Đức Thắng - An Dương - Hải Phòng</t>
  </si>
  <si>
    <t>0200674398</t>
  </si>
  <si>
    <t>Maritime Bank Hải Phòng</t>
  </si>
  <si>
    <t>02001010222688</t>
  </si>
  <si>
    <t>V10171B</t>
  </si>
  <si>
    <t>V10171C</t>
  </si>
  <si>
    <t>V10046A</t>
  </si>
  <si>
    <t>Công ty Cổ phần quốc tế Telehouse Việt Nam</t>
  </si>
  <si>
    <t>Tòa nhà FPT Cầu Giấy , lô B2, cụm sản xuất Tiểu thủ công nghiệp và Công nghiệp nhỏ, đường Phạm Hùng, quận Cầu Giấy , TP. Hà Nội</t>
  </si>
  <si>
    <t>0104821995</t>
  </si>
  <si>
    <t>84.4.35626018</t>
  </si>
  <si>
    <t>001.98888888.004</t>
  </si>
  <si>
    <t>V10046B</t>
  </si>
  <si>
    <t>V10046C</t>
  </si>
  <si>
    <t>V10107A</t>
  </si>
  <si>
    <t>Công Ty Cổ Phần Sản Xuất Kết Cấu Phụ Trợ  Công Nghiệp hải Phòng</t>
  </si>
  <si>
    <t>Số 21 Mê Linh, phường An Biên, Quận Lê Chân, TP Hải Phòng</t>
  </si>
  <si>
    <t>0201288638</t>
  </si>
  <si>
    <t>Ngân hàng TMCP Quân Đội - CN Bắc Hải - PGD Lê Chân - Hải Phòng</t>
  </si>
  <si>
    <t>2521102228666</t>
  </si>
  <si>
    <t>V10107B</t>
  </si>
  <si>
    <t>V10107C</t>
  </si>
  <si>
    <t>V10266C</t>
  </si>
  <si>
    <t>Công Ty Cổ Phần Sản Xuất và Kinh Doanh Việt Đức</t>
  </si>
  <si>
    <t>Số 82 An Trang, Xã An Đồng, Huyện An Dương, Thành Phố Hải Phòng, Việt Nam</t>
  </si>
  <si>
    <t>0201643836</t>
  </si>
  <si>
    <t>031 391 3605</t>
  </si>
  <si>
    <t>Ngân Hàng TMCP Á Châu (ACB) - Chi Nhánh Hải Phòng</t>
  </si>
  <si>
    <t>251188</t>
  </si>
  <si>
    <t>V10111A</t>
  </si>
  <si>
    <t>Công ty cổ phần sản xuất và thương mại Đăng Anh</t>
  </si>
  <si>
    <t>Số 43/24 tập thể Xăng dầu-P.Sở Dầu-Q.Hồng Bàng-TP.Hải Phòng</t>
  </si>
  <si>
    <t>0201020327</t>
  </si>
  <si>
    <t>0313.540.991</t>
  </si>
  <si>
    <t>71251089</t>
  </si>
  <si>
    <t>V10111B</t>
  </si>
  <si>
    <t>V10111C</t>
  </si>
  <si>
    <t>V10291C</t>
  </si>
  <si>
    <t>Công ty cổ phần Tecotec Group</t>
  </si>
  <si>
    <t>Tầng 2, khối đế, tòa nhà CT3A, khhu đô thị Mễ Trì Thượng, Từ Liêm, Hà Nội</t>
  </si>
  <si>
    <t>0101038659</t>
  </si>
  <si>
    <t>Ngân hàng nông nghiệp và phát triển nông thôn-CN Hoàn Kiếm</t>
  </si>
  <si>
    <t>1502201015927 (USD)</t>
  </si>
  <si>
    <t>V10291B</t>
  </si>
  <si>
    <t>V10103A</t>
  </si>
  <si>
    <t>Công ty Cổ Phần Thiết Bị - Vật Tư Khoa Học Kỹ Thuật &amp; Du Lịch Trung Sơn T.S.S.E</t>
  </si>
  <si>
    <t>156/5 Đường Cộng Hòa, P.12, Q.Tân Bình, TP.HCM</t>
  </si>
  <si>
    <t>0303310191</t>
  </si>
  <si>
    <t>(84-8) 3845 2167/ 3811 0910</t>
  </si>
  <si>
    <t>TMCP Quân Đội - CN TP.HCM</t>
  </si>
  <si>
    <t>1011101300008</t>
  </si>
  <si>
    <t>V10103B</t>
  </si>
  <si>
    <t>V10103C</t>
  </si>
  <si>
    <t>V10145A</t>
  </si>
  <si>
    <t>Công ty cổ phần thương mại dầu khí Hoàng Gia</t>
  </si>
  <si>
    <t>0201545236</t>
  </si>
  <si>
    <t>Ngân hàng Quân đội - CN Hải Phòng</t>
  </si>
  <si>
    <t>2511102457007</t>
  </si>
  <si>
    <t>V10145B</t>
  </si>
  <si>
    <t>V10145C</t>
  </si>
  <si>
    <t>V10143A</t>
  </si>
  <si>
    <t>Công ty cổ phần thương mại đầu tư công nghệ số Việt Nam</t>
  </si>
  <si>
    <t>Số 12B CT2 A1 Đà Nẵng, P.Vạn Mỹ, Q.Ngô Quyền, TP. Hải Phòng</t>
  </si>
  <si>
    <t>0201331756</t>
  </si>
  <si>
    <t>TMCP Á Châu - CN Duyên Hải</t>
  </si>
  <si>
    <t>170603029</t>
  </si>
  <si>
    <t>V10143B</t>
  </si>
  <si>
    <t>V10143C</t>
  </si>
  <si>
    <t>V10265C</t>
  </si>
  <si>
    <t>Công ty cổ phần thương mại Đông Hưng</t>
  </si>
  <si>
    <t>Số 5 khu chung cư Phương Lưu 1, phường Đông Hải 1, quận Hải An, Hải Phòng</t>
  </si>
  <si>
    <t>0200719200</t>
  </si>
  <si>
    <t>0313.722.809</t>
  </si>
  <si>
    <t>Ngân hàng ACB - CN Duyên Hải</t>
  </si>
  <si>
    <t>65939639</t>
  </si>
  <si>
    <t>V4038C0</t>
  </si>
  <si>
    <t>Công ty Cổ phần Thương Mại Du Lịch và Dịch vụ Kuroba</t>
  </si>
  <si>
    <t>0201232748</t>
  </si>
  <si>
    <t>Ngân hàng TMCP Bưu điện Liên Việt - CN Hải Phòng</t>
  </si>
  <si>
    <t>001423319999</t>
  </si>
  <si>
    <t>V10099A</t>
  </si>
  <si>
    <t>Công ty Cổ phần Thương Mại Hướng Nhật</t>
  </si>
  <si>
    <t>Tầng 13, tòa nhà Harec, 4A Láng Hạ, Phường Thành Công, Quận Ba Đình, Thành phố Hà Nội</t>
  </si>
  <si>
    <t>0102224489</t>
  </si>
  <si>
    <t>+84-4 - 3772 5408</t>
  </si>
  <si>
    <t>Sumitomo Mitsui Banking Corporation, Ha Noi Branch, Viet Nam</t>
  </si>
  <si>
    <t>3000042-1 VND</t>
  </si>
  <si>
    <t>V10099B</t>
  </si>
  <si>
    <t>V10099C</t>
  </si>
  <si>
    <t>V10253C</t>
  </si>
  <si>
    <t>Công ty cổ phần thương mại sinh vật cảnh Cường Đức</t>
  </si>
  <si>
    <t>Lê Sáng, An Hồng, An Dương, Hải Phòng</t>
  </si>
  <si>
    <t>0200690872</t>
  </si>
  <si>
    <t>Ngân hàng Indovina-Chi nhánh Hải Phòng</t>
  </si>
  <si>
    <t>3316053-001</t>
  </si>
  <si>
    <t>V10211A</t>
  </si>
  <si>
    <t>Công ty Cổ phần Thương mại và Công nghệ TST Việt Nam</t>
  </si>
  <si>
    <t>Số 24 dãy E, khu Yên Hòa, Phường Yên Hòa, Quận Cầu Giấy, Thành phố Hà Nội</t>
  </si>
  <si>
    <t>0106074788</t>
  </si>
  <si>
    <t>04.66835858</t>
  </si>
  <si>
    <t>Vietcombank - CN Thăng Long</t>
  </si>
  <si>
    <t>0491000028719</t>
  </si>
  <si>
    <t>V10211B</t>
  </si>
  <si>
    <t>V10211C</t>
  </si>
  <si>
    <t>V10093A</t>
  </si>
  <si>
    <t>Công ty Cổ phần Thương mại và Công nghiệp Thùy Minh</t>
  </si>
  <si>
    <t>Số 280 Hai Bà Trưng, Phường Cát Dài, Quận Lê Chân, Thành phố Hải Phòng</t>
  </si>
  <si>
    <t>0201041158</t>
  </si>
  <si>
    <t>TMCP Dầu khí toàn cầu - CN Hải Phòng</t>
  </si>
  <si>
    <t>10090686</t>
  </si>
  <si>
    <t>V10093B</t>
  </si>
  <si>
    <t>TMCP Dầu khí toàn cầu -CN Hải Phòng</t>
  </si>
  <si>
    <t>V10093C</t>
  </si>
  <si>
    <t>V10267C</t>
  </si>
  <si>
    <t>Công ty cổ phần thương mại và dịch vụ dầu khí Hải An</t>
  </si>
  <si>
    <t>Thửa đất số 464A, khu Lương Khê 3, phường Tràng Cát, quận Hải An, Tp Hải Phòng, Việt Nam</t>
  </si>
  <si>
    <t>0201649115</t>
  </si>
  <si>
    <t>Ngân hàng TMCP Quân đội-PGD Hải An, CN Hải Phòng</t>
  </si>
  <si>
    <t>2571100296009</t>
  </si>
  <si>
    <t>V10267A</t>
  </si>
  <si>
    <t>V10267B</t>
  </si>
  <si>
    <t>V10129A</t>
  </si>
  <si>
    <t>Công ty cổ phần Thương mại và Dịch vụ GMAX</t>
  </si>
  <si>
    <t>Thôn Do Nha 5 (tại nhà ông Vũ Văn Giang), Xã Tân Tiến, Huyện An Dương, Thành phố Hải Phòng, Việt Nam</t>
  </si>
  <si>
    <t>0201318441</t>
  </si>
  <si>
    <t>2111201006225</t>
  </si>
  <si>
    <t>V10129B</t>
  </si>
  <si>
    <t>V10129C</t>
  </si>
  <si>
    <t>V10061A</t>
  </si>
  <si>
    <t>Công ty cổ phần thương mại và dịch vụ I.F.S.C</t>
  </si>
  <si>
    <t>Phòng 1104, nhà B11B, Nam Trung Yên, Trung Hòa, Hà Nội</t>
  </si>
  <si>
    <t>0101898710</t>
  </si>
  <si>
    <t>TMCP Bưu điện Liên Việt - PDG Triệu Việt Vương - CN Thăng Long</t>
  </si>
  <si>
    <t>41121120002867040036</t>
  </si>
  <si>
    <t>V10061B</t>
  </si>
  <si>
    <t>V10061C</t>
  </si>
  <si>
    <t>V10236A</t>
  </si>
  <si>
    <t>Công ty Cổ phần Thương mại và Dịch vụ KT Thành Đạt</t>
  </si>
  <si>
    <t>Số 71 Đường bờ sông Quan Hoa-Phường Quan Hoa-Cầu Giấy,Hà Nội, Vietnam</t>
  </si>
  <si>
    <t>04.37671380</t>
  </si>
  <si>
    <t>Ngân hàng nông nghiệp và phát triển nông thôn, Cầu Giấy, Hà Nội</t>
  </si>
  <si>
    <t>1507201014713</t>
  </si>
  <si>
    <t>V10236B</t>
  </si>
  <si>
    <t>V10236C</t>
  </si>
  <si>
    <t>V10245A</t>
  </si>
  <si>
    <t>Công Ty Cổ Phần Thương Mại Và Du Lịch Tầm Nhìn Việt</t>
  </si>
  <si>
    <t>Số 31A , phố Văn Miếu, phường Văn Miếu, quận Đống Đa, thành phố Hà Nội</t>
  </si>
  <si>
    <t>04 3556 1146</t>
  </si>
  <si>
    <t>Ngân hàng VIB,Láng Hạ, Đống Đa, Hà Nội</t>
  </si>
  <si>
    <t>023 704 060 024 807</t>
  </si>
  <si>
    <t>V10245B</t>
  </si>
  <si>
    <t>V10245C</t>
  </si>
  <si>
    <t>V10274C</t>
  </si>
  <si>
    <t>Công Ty Cổ Phần Thương Mại và Xây Lắp Điện Trường Phúc</t>
  </si>
  <si>
    <t>Thôn 5- Do Nha, Xã Tân Tiến, Huyện An Dương, TP Hải Phòng</t>
  </si>
  <si>
    <t>0201340454</t>
  </si>
  <si>
    <t>031.3588.401</t>
  </si>
  <si>
    <t>Ngân hàng nông nghiệp và phát triển nông thôn-CN Hải Phòng</t>
  </si>
  <si>
    <t>2102201005165</t>
  </si>
  <si>
    <t>V10160A</t>
  </si>
  <si>
    <t>Công ty cổ phần Trọng Việt Hưng</t>
  </si>
  <si>
    <t>Xóm Chùa, Phạm Dùng, An Hồng, An Dương, Hải Phòng</t>
  </si>
  <si>
    <t>0200946806</t>
  </si>
  <si>
    <t>0313 618 414</t>
  </si>
  <si>
    <t>ACB -CN Hải Phòng</t>
  </si>
  <si>
    <t>63187519</t>
  </si>
  <si>
    <t>V10160B</t>
  </si>
  <si>
    <t>V10160C</t>
  </si>
  <si>
    <t>V4064C0</t>
  </si>
  <si>
    <t>Công ty Cổ phần TS24</t>
  </si>
  <si>
    <t>285/94B Cách Mạng Tháng 8, Phường 12, Quận 3, Tp. HCM</t>
  </si>
  <si>
    <t>0309478306</t>
  </si>
  <si>
    <t>08.38664188</t>
  </si>
  <si>
    <t>Đông Á, chi nhánh Quận 3-Tp Hồ Chí Minh</t>
  </si>
  <si>
    <t>005044240002</t>
  </si>
  <si>
    <t>V10169A</t>
  </si>
  <si>
    <t>Công ty cổ phần tự động hóa Bách Khoa TNT</t>
  </si>
  <si>
    <t>PA302-C4 TT Viện Máy Công Cụ và Dụng Cụ, Láng Hạ, Đống Đa, Hà Nội</t>
  </si>
  <si>
    <t>0102489830</t>
  </si>
  <si>
    <t>04.2245 0909</t>
  </si>
  <si>
    <t>Techcombank Hai Bà Trưng, Hà Nội</t>
  </si>
  <si>
    <t>11120593783011</t>
  </si>
  <si>
    <t>V10169B</t>
  </si>
  <si>
    <t>V10169C</t>
  </si>
  <si>
    <t>V10241A</t>
  </si>
  <si>
    <t>Công ty Cổ phần Ứng dụng công nghệ &amp; CNC Việt Nam</t>
  </si>
  <si>
    <t>Tầng 11 tòa nhà Vinaconex 9 Lô HH2-2 Khu ĐT Mễ Trì Hạ, P. Mễ Trì, Q. Nam Từ Liêm, TP. Hà Nội, Việt Nam</t>
  </si>
  <si>
    <t>0102153076</t>
  </si>
  <si>
    <t>Ngân hàng TMCP Quân Đội - Hoàng Quốc Việt</t>
  </si>
  <si>
    <t>0561100610002</t>
  </si>
  <si>
    <t>V10241B</t>
  </si>
  <si>
    <t>V10241C</t>
  </si>
  <si>
    <t>V10299C</t>
  </si>
  <si>
    <t>Công ty cổ phần vật tư thiết bị văn hóa</t>
  </si>
  <si>
    <t>V10096A</t>
  </si>
  <si>
    <t>Công ty cổ phần xăng dầu dầu khí PVOIL Hải Phòng</t>
  </si>
  <si>
    <t>0201185752</t>
  </si>
  <si>
    <t>031.3262.124</t>
  </si>
  <si>
    <t>V10096B</t>
  </si>
  <si>
    <t>V10096C</t>
  </si>
  <si>
    <t>V10128A</t>
  </si>
  <si>
    <t>Công ty cổ phần xây dựng công trình Đặng Phúc</t>
  </si>
  <si>
    <t>Số 91A/169 Phạm Hữu Điều, phường Niệm Nghĩa, quận Lê Chân, TP.Hải Phòng</t>
  </si>
  <si>
    <t>0200925926</t>
  </si>
  <si>
    <t>0313.856311</t>
  </si>
  <si>
    <t>TMCP Á Châu Hải Phòng</t>
  </si>
  <si>
    <t>60585879</t>
  </si>
  <si>
    <t>V10128B</t>
  </si>
  <si>
    <t>V10128C</t>
  </si>
  <si>
    <t>V4005C0</t>
  </si>
  <si>
    <t>Công ty cổ phần xây dựng công trình Kiến Lương</t>
  </si>
  <si>
    <t>B70-71, Villa Anh Dũng, Q. Dương Kinh, Hải phòng</t>
  </si>
  <si>
    <t>0200581908</t>
  </si>
  <si>
    <t>0313814.169</t>
  </si>
  <si>
    <t>VID Public Bank - CN Hải phòng</t>
  </si>
  <si>
    <t>0508 00000 1279</t>
  </si>
  <si>
    <t>CG440021C0</t>
  </si>
  <si>
    <t>V10196C</t>
  </si>
  <si>
    <t>Công ty cổ phần xây dựng Keiten Việt Nam</t>
  </si>
  <si>
    <t>Số 324A Lạc Long Quân, Phường Xuân La, Quận Tây Hồ, Thành phố Hà Nội, Việt Nam</t>
  </si>
  <si>
    <t>0106031368</t>
  </si>
  <si>
    <t>+84 4 35528719</t>
  </si>
  <si>
    <t>Sumitomo Mitsui Bank Corporation - CN Hà Nội</t>
  </si>
  <si>
    <t>10044501</t>
  </si>
  <si>
    <t>V10196A</t>
  </si>
  <si>
    <t>V10196B</t>
  </si>
  <si>
    <t>CG440003C0</t>
  </si>
  <si>
    <t>Công ty Cổ phần Xây dựng số 3 Hải Phòng</t>
  </si>
  <si>
    <t>V4006C0</t>
  </si>
  <si>
    <t>0200509429</t>
  </si>
  <si>
    <t>Ngân hàng TMCP Kỹ thương Việt Nam - CN Hải Phòng</t>
  </si>
  <si>
    <t>109 109 017 950 15</t>
  </si>
  <si>
    <t>V10050A</t>
  </si>
  <si>
    <t>Công ty cổ phần xây dựng và cơ khí Đông A</t>
  </si>
  <si>
    <t>Tổ 45A, cụm 8, P.Đông Khê, Q.Ngô Quyền, TP Hải Phòng</t>
  </si>
  <si>
    <t>0201141032</t>
  </si>
  <si>
    <t>0313.246088</t>
  </si>
  <si>
    <t>102057059</t>
  </si>
  <si>
    <t>V10050B</t>
  </si>
  <si>
    <t>V10050C</t>
  </si>
  <si>
    <t>V10244A</t>
  </si>
  <si>
    <t>Công ty cổ phần xây dựng và dịch vụ môi trường Hải Sơn Trang</t>
  </si>
  <si>
    <t>Số 45/908, đường Ngô Gia Tự, phường Đằng Hải, quận Hải An, thành phố Hải Phòng</t>
  </si>
  <si>
    <t>0904200170</t>
  </si>
  <si>
    <t>Ngân hàng EXIMBANK, VN Hải Phòng</t>
  </si>
  <si>
    <t>160314851001170</t>
  </si>
  <si>
    <t>V10244B</t>
  </si>
  <si>
    <t>V10244C</t>
  </si>
  <si>
    <t>V4007C0</t>
  </si>
  <si>
    <t>Công ty cổ phần xây dựng và thương mại Thùy Dương</t>
  </si>
  <si>
    <t>Phòng 519 tòa nhà TD Businese Center, Lô 20, đường Lê Hồng Phong, quận Ngô Quyền, TP Hải Phòng</t>
  </si>
  <si>
    <t>0200743429</t>
  </si>
  <si>
    <t>031.3722228</t>
  </si>
  <si>
    <t>ACB - PGD TD Plaza Hải Phòng</t>
  </si>
  <si>
    <t>71937989</t>
  </si>
  <si>
    <t>V10034A</t>
  </si>
  <si>
    <t>Công ty CP Cơ Điện 3D</t>
  </si>
  <si>
    <t>Số 41/143, đường Trường Chinh, P. Lâm Hà, Kiến An, Hải Phòng</t>
  </si>
  <si>
    <t>0313 667 170</t>
  </si>
  <si>
    <t>Techcombank - CN Hải Phòng</t>
  </si>
  <si>
    <t>109.2281.866.68.99</t>
  </si>
  <si>
    <t>V10034B</t>
  </si>
  <si>
    <t>V10034C</t>
  </si>
  <si>
    <t>CG440007C0</t>
  </si>
  <si>
    <t>Công ty CP công nghệ máy tính và kiến trúc Hà Nội</t>
  </si>
  <si>
    <t>Số nhà 22, ngõ 100/27, Phố Chợ Khâm Thiên, Hà Nội</t>
  </si>
  <si>
    <t>V10226A</t>
  </si>
  <si>
    <t>Số nhà 22, ngõ 100/27, Phố Chợ Khâm Thiên, Phường Trung Phụng, Quận Đống Đa, Hà Nội</t>
  </si>
  <si>
    <t>0101643127</t>
  </si>
  <si>
    <t>04 3537 5949</t>
  </si>
  <si>
    <t>Ngân hàng MB - CN Thăng Long</t>
  </si>
  <si>
    <t>054 1101 565 007</t>
  </si>
  <si>
    <t>V10226B</t>
  </si>
  <si>
    <t>V10226C</t>
  </si>
  <si>
    <t>LS-000430</t>
  </si>
  <si>
    <t>Công ty CP Công nghệ và thương mại Systech</t>
  </si>
  <si>
    <t>119 Phố Hồ đắc di, P.Nam đồng, Q. Đống đa, Hà nội</t>
  </si>
  <si>
    <t>BIDV- CN Thăng Long</t>
  </si>
  <si>
    <t>V10048C</t>
  </si>
  <si>
    <t>Công ty CP Đầu tư Tài chính và công nghệ DataTech</t>
  </si>
  <si>
    <t>P412,N02, Trần Quý Kiên, Dịch Vọng, Cầu Giấy, Hà Nội</t>
  </si>
  <si>
    <t>0102128168</t>
  </si>
  <si>
    <t>Ngân hàng TMCP Phương Đông - CN Hà Nội</t>
  </si>
  <si>
    <t>0030100004205005</t>
  </si>
  <si>
    <t>V10048A</t>
  </si>
  <si>
    <t>V10048B</t>
  </si>
  <si>
    <t>V4008C0</t>
  </si>
  <si>
    <t>Công ty CP Đầu tư Xây dựng Thương mại Việt Pháp</t>
  </si>
  <si>
    <t>Số 15 Chùa hàng, Trại cau, Lê chân, Hải Phòng</t>
  </si>
  <si>
    <t>0201183635</t>
  </si>
  <si>
    <t>Vietcombank Hải Phòng</t>
  </si>
  <si>
    <t>0031000131892</t>
  </si>
  <si>
    <t>CG440005C0</t>
  </si>
  <si>
    <t>V10079A</t>
  </si>
  <si>
    <t>Công Ty CP Dịch Vụ Công nghiệp Wolfram</t>
  </si>
  <si>
    <t>19 Nguyễn Văn Trỗi - Mộ Lao - Hà Đông - Hà Nội</t>
  </si>
  <si>
    <t>0500597514</t>
  </si>
  <si>
    <t>0313.771.676</t>
  </si>
  <si>
    <t>TMCP Á Châu - CN Hà Nội</t>
  </si>
  <si>
    <t>128798929</t>
  </si>
  <si>
    <t>V10079B</t>
  </si>
  <si>
    <t>V10079C</t>
  </si>
  <si>
    <t>CG440023C0</t>
  </si>
  <si>
    <t>Công Ty CP Dịch Vụ Kỹ Thuật Bảo An</t>
  </si>
  <si>
    <t>V4009C0</t>
  </si>
  <si>
    <t>Công ty cp điện tử tin học viễn thông</t>
  </si>
  <si>
    <t>Số 18 Trần Hưng Đạo, Hoàng Văn Thụ, Hồng Bàng, Hải Phòng</t>
  </si>
  <si>
    <t>0200585282</t>
  </si>
  <si>
    <t>031.3569.569</t>
  </si>
  <si>
    <t>Ngân hàng TMCP Công thương Việt Nam</t>
  </si>
  <si>
    <t>102010000206978</t>
  </si>
  <si>
    <t>V4010C0</t>
  </si>
  <si>
    <t>Công ty CP Harbour View</t>
  </si>
  <si>
    <t>12 Trần Phú, P.Máy tơ, Q.Ngô Quyền, Hải Phòng</t>
  </si>
  <si>
    <t>0200109572</t>
  </si>
  <si>
    <t>0031 00000 3122</t>
  </si>
  <si>
    <t>V10017A</t>
  </si>
  <si>
    <t>Tầng 11, tòa nhà Viện Dầu khí, 173 Trung Kính, Cầu Giấy, Hà Nội</t>
  </si>
  <si>
    <t>0102311149</t>
  </si>
  <si>
    <t>043944555</t>
  </si>
  <si>
    <t>Ngân hàng TMCP Ngoại thương - CN Hà Nội</t>
  </si>
  <si>
    <t>002.100.046.5345</t>
  </si>
  <si>
    <t>V10017B</t>
  </si>
  <si>
    <t>V10017C</t>
  </si>
  <si>
    <t>V10072A</t>
  </si>
  <si>
    <t>Công ty CP kỹ thuật và thương mại Nhật Việt</t>
  </si>
  <si>
    <t>Số 4, tổ 17, phường Dư Hàng Kênh, quận Lê Chân, Hải Phòng</t>
  </si>
  <si>
    <t>0201005216</t>
  </si>
  <si>
    <t>0313 293538</t>
  </si>
  <si>
    <t>1000041472</t>
  </si>
  <si>
    <t>V10072B</t>
  </si>
  <si>
    <t>V10072C</t>
  </si>
  <si>
    <t>V10004A</t>
  </si>
  <si>
    <t>Công ty CP phần mềm Bravo</t>
  </si>
  <si>
    <t>Sở giao dịch Ngân hàng TMCP Ngoại Thương Việt Nam</t>
  </si>
  <si>
    <t>001 100 041 3245</t>
  </si>
  <si>
    <t>V10004B</t>
  </si>
  <si>
    <t>V10004C</t>
  </si>
  <si>
    <t>V10108C</t>
  </si>
  <si>
    <t>Công ty CP Sản xuất thương mại và Đầu tư Quang Lý</t>
  </si>
  <si>
    <t>Số 16 khu dân cư Phú Xá, phường Đông Hải 1, quận Hải An, TP.Hải Phòng</t>
  </si>
  <si>
    <t>0200768085</t>
  </si>
  <si>
    <t>Đông Nam Á - CN Hải Phòng</t>
  </si>
  <si>
    <t>30100000180458</t>
  </si>
  <si>
    <t>V10108A</t>
  </si>
  <si>
    <t>V10108B</t>
  </si>
  <si>
    <t>V10249C</t>
  </si>
  <si>
    <t>Xom 1- Bac Kim No- Dong Anh-Ha Noi</t>
  </si>
  <si>
    <t>0104935505</t>
  </si>
  <si>
    <t>043.9909.165</t>
  </si>
  <si>
    <t>Ngân hàng Sài Gòn Hà Nội-CN Tây Nam, Hà Nội</t>
  </si>
  <si>
    <t>1100120054</t>
  </si>
  <si>
    <t>V10051A</t>
  </si>
  <si>
    <t>Công ty CP Tập đoàn IDC</t>
  </si>
  <si>
    <t>Ngân hàng TNHH MTV HSBC (Việt Nam) - CN Hà Nội</t>
  </si>
  <si>
    <t>002-016798-041</t>
  </si>
  <si>
    <t>V10051B</t>
  </si>
  <si>
    <t>V10051C</t>
  </si>
  <si>
    <t>CG440012C0</t>
  </si>
  <si>
    <t>Công ty CP Thương mại Châu Thanh</t>
  </si>
  <si>
    <t>Xóm Giữa, Dương Quan, Thủy Nguyên, Hải Phòng</t>
  </si>
  <si>
    <t>Ngân hàng Việt Nam Thương tín - PGD Thủy Nguyên, CN Hải Phòng</t>
  </si>
  <si>
    <t>3539617</t>
  </si>
  <si>
    <t>V10077A</t>
  </si>
  <si>
    <t>Xom Giua, Duong Quan, Thuy Nguyen, Hai Phong</t>
  </si>
  <si>
    <t>0313.261758</t>
  </si>
  <si>
    <t>V10077B</t>
  </si>
  <si>
    <t>V10077C</t>
  </si>
  <si>
    <t>Ngân hàng Việt Nam Thương tín- PGD Thủy nguyên - CN Hải Phòng</t>
  </si>
  <si>
    <t>V10202A</t>
  </si>
  <si>
    <t>Công ty CP Thương mại Kỹ thuật Cường Phú Thịnh</t>
  </si>
  <si>
    <t>Nhà ông Đinh Văn Vãn, xóm Bắc, xã An Hưng, huyện An Dương, TP.Hải Phòng</t>
  </si>
  <si>
    <t>0313 290 193</t>
  </si>
  <si>
    <t>TMCP Ngoại thương Việt Nam - CN Quan Toan</t>
  </si>
  <si>
    <t>0031000126574</t>
  </si>
  <si>
    <t>V10202B</t>
  </si>
  <si>
    <t>V10202C</t>
  </si>
  <si>
    <t>V4011C0</t>
  </si>
  <si>
    <t>Công ty CP thương mại Quang Cường</t>
  </si>
  <si>
    <t>Số 114 đường 208 xã An Đồng, huyện An Dương, Hải Phòng</t>
  </si>
  <si>
    <t>0201066258</t>
  </si>
  <si>
    <t>VP bank  - CN Hải Phòng</t>
  </si>
  <si>
    <t>17668927</t>
  </si>
  <si>
    <t>V10058A</t>
  </si>
  <si>
    <t>Công ty CP Thương Mại và Dịch vụ Chuyển phát nhanh PCS</t>
  </si>
  <si>
    <t>Tầng 6 Tòa nhà 25T1-N05 KĐT Đông Nam Trần Duy Hưng, P.Trung Hòa, Q.Cầu giấy, Hà nội</t>
  </si>
  <si>
    <t>0437834919</t>
  </si>
  <si>
    <t>V10058B</t>
  </si>
  <si>
    <t>Tầng 6, Tòa nhà 25T1-N05, KĐT Đông Nam Trần Duy Hưng, P.Trung Hòa, Q.Cầu giấy, HN</t>
  </si>
  <si>
    <t>V10058C</t>
  </si>
  <si>
    <t>Tầng 6, Tòa nhà 25T1-N05, KĐT Đông Nam Trần Duy Hưng, P.Trung Hòa, Q.Cầu giấy, Hà nội</t>
  </si>
  <si>
    <t>CG440019C0</t>
  </si>
  <si>
    <t>Công ty CP Thương mại và Kỹ thuật năng lượng Việt Nam</t>
  </si>
  <si>
    <t>P304, CT5-X2 Bắc Linh Đàm, P.Hoàng Liệt, Q.Hoàng Mai, TP Hà nội</t>
  </si>
  <si>
    <t>0102373441</t>
  </si>
  <si>
    <t>Ngân hàng TMCP đầu tư và phát triển Việt Nam - CN Hồng Hà</t>
  </si>
  <si>
    <t>19910000016166</t>
  </si>
  <si>
    <t>V10187A</t>
  </si>
  <si>
    <t>04.22492222</t>
  </si>
  <si>
    <t>V10187B</t>
  </si>
  <si>
    <t>V10187C</t>
  </si>
  <si>
    <t>V4012C0</t>
  </si>
  <si>
    <t>V10065A</t>
  </si>
  <si>
    <t>Công Ty CP TM Dầu Khí Phương Đông</t>
  </si>
  <si>
    <t>313/193 Văn Cao, Hải An, Hải Phòng, Việt Nam</t>
  </si>
  <si>
    <t>0313.559.886</t>
  </si>
  <si>
    <t>Ngân hàng TMCP Đại Á, chi nhánh Hải Phòng</t>
  </si>
  <si>
    <t>999886</t>
  </si>
  <si>
    <t>V10065B</t>
  </si>
  <si>
    <t>V10065C</t>
  </si>
  <si>
    <t>V10009A</t>
  </si>
  <si>
    <t>Công ty CP Vận tải và Thương mại CPN Việt Nam</t>
  </si>
  <si>
    <t>Số 7 Lô 2A, Lê Hồng Phong, Ngô Quyền, Hải Phòng</t>
  </si>
  <si>
    <t>0200463686</t>
  </si>
  <si>
    <t>3410299</t>
  </si>
  <si>
    <t>V10009B</t>
  </si>
  <si>
    <t>V10009C</t>
  </si>
  <si>
    <t>V10018A</t>
  </si>
  <si>
    <t>Công ty CP xây dựng thương mại dịch vụ Tú Anh</t>
  </si>
  <si>
    <t>Đội 6, xã Kiền Bái, huyện Thủy Nguyên, TP.Hải Phòng</t>
  </si>
  <si>
    <t>0200822335</t>
  </si>
  <si>
    <t>0313 594 379</t>
  </si>
  <si>
    <t>TMCP Á Châu Hải Phòng - Chi nhánh Quán Toan</t>
  </si>
  <si>
    <t>44607259</t>
  </si>
  <si>
    <t>V10018B</t>
  </si>
  <si>
    <t>V10018C</t>
  </si>
  <si>
    <t>V10186A</t>
  </si>
  <si>
    <t>Công ty CP xây dựng và nội thất 3D</t>
  </si>
  <si>
    <t>Số 336 Lê Duẩn -  Kiến An - Hải Phòng</t>
  </si>
  <si>
    <t>0201148983</t>
  </si>
  <si>
    <t>V10186B</t>
  </si>
  <si>
    <t>V10186C</t>
  </si>
  <si>
    <t>V4013C0</t>
  </si>
  <si>
    <t>Công ty Liên doanh làng Quốc tế Hướng Dương GS-HP</t>
  </si>
  <si>
    <t>Số 35A, Văn Cao, Ngô Quyền, Hải Phòng</t>
  </si>
  <si>
    <t>0200115223</t>
  </si>
  <si>
    <t>Ngân hàng Vietcombank - CN Hải Phòng</t>
  </si>
  <si>
    <t>003 100 000 304 9</t>
  </si>
  <si>
    <t>CG440001C0</t>
  </si>
  <si>
    <t>V4060C0</t>
  </si>
  <si>
    <t>Công ty Luật TNHH Nishimura &amp; Asahi Việt Nam</t>
  </si>
  <si>
    <t>04.3946.0870</t>
  </si>
  <si>
    <t>H15-795-009734</t>
  </si>
  <si>
    <t>V10258C</t>
  </si>
  <si>
    <t>Công ty TNHH Alpha Electric</t>
  </si>
  <si>
    <t>Tầng 8, Tòa nhà Sannam, P.Duy Tân, P.Dịch Vọng, Q.Cầu giấy, Hà nội</t>
  </si>
  <si>
    <t>Ngân hàng TMCP Ngoại thương Việt Nam - CN Hà nội</t>
  </si>
  <si>
    <t>0021000321906</t>
  </si>
  <si>
    <t>V4081C0</t>
  </si>
  <si>
    <t>Công ty TNHH ẩm thực Nhật bản mặt trời đỏ - Chi nhánh Hải phòng</t>
  </si>
  <si>
    <t>294 Văn Cao, Đằng Lâm, Hải An, Hải Phòng</t>
  </si>
  <si>
    <t>0201240026</t>
  </si>
  <si>
    <t>V4046C0</t>
  </si>
  <si>
    <t>Công ty TNHH ATC Quốc tế</t>
  </si>
  <si>
    <t>157 Phạm Thái Bường, phường Tân Phong, Quận 7, TP.HCM</t>
  </si>
  <si>
    <t>0310638561</t>
  </si>
  <si>
    <t>Vietcombank - CN Nam Sài Gòn, PGD Phú Mỹ Hưng</t>
  </si>
  <si>
    <t>0181003324323</t>
  </si>
  <si>
    <t>V10225A</t>
  </si>
  <si>
    <t>Công ty TNHH ATLAS COPCO Việt Nam</t>
  </si>
  <si>
    <t>Tầng 1, Tòa nhà Simco, Đ.Phạm Hùng, P.Mỹ Đình, Q.Nam Từ Liêm, Hà nội</t>
  </si>
  <si>
    <t>DEUTSCHE BANK AG - HO CHI MINH BRANCH</t>
  </si>
  <si>
    <t>101 9561-05-0</t>
  </si>
  <si>
    <t>V10225B</t>
  </si>
  <si>
    <t>V10225C</t>
  </si>
  <si>
    <t>V10033C</t>
  </si>
  <si>
    <t>Công ty TNHH Bảo hiểm PNT MSIG Việt Nam</t>
  </si>
  <si>
    <t>tầng 11, tòa nhà Sun City, 13 Hai Bà Trưng, phường Tràng Tiền, Quận Hoàn Kiếm, Hà Nội</t>
  </si>
  <si>
    <t>0102973336</t>
  </si>
  <si>
    <t>043 936 9188</t>
  </si>
  <si>
    <t>1300089-1</t>
  </si>
  <si>
    <t>CG490004C0</t>
  </si>
  <si>
    <t>V10033A</t>
  </si>
  <si>
    <t>V10033B</t>
  </si>
  <si>
    <t>CG440008C0</t>
  </si>
  <si>
    <t>Công ty TNHH Bất động sản Nam</t>
  </si>
  <si>
    <t>28 Phan Đình Giót, P.2, Q.Tân Bình, Hồ Chí Minh</t>
  </si>
  <si>
    <t>V4014C0</t>
  </si>
  <si>
    <t>28 Phan Đình Giót, P.2, Q.Tân Bình, TP.Hồ Chí Minh</t>
  </si>
  <si>
    <t>0303475193</t>
  </si>
  <si>
    <t>HSBC Vietnam-Ho Chi Minh Branch</t>
  </si>
  <si>
    <t>001-471614-041</t>
  </si>
  <si>
    <t>V10254C</t>
  </si>
  <si>
    <t>Công ty TNHH BSI Việt Nam</t>
  </si>
  <si>
    <t>Phòng 1106, Lầu 11, Tòa nhà Citilight Tower, số 45, Đường Võ Thị Sáu, phường Đa Kao, quận 1, tp Hồ Chí Minh</t>
  </si>
  <si>
    <t>0305988521</t>
  </si>
  <si>
    <t>Ngân hàng HSBC  Việt Nam</t>
  </si>
  <si>
    <t>001-510916-061</t>
  </si>
  <si>
    <t>V10136A</t>
  </si>
  <si>
    <t>Công ty TNHH BX Bunka Việt Nam</t>
  </si>
  <si>
    <t>Lô C9, Khu CN Thăng Long II, huyện Yên Mỹ, tỉnh Hưng Yên</t>
  </si>
  <si>
    <t>0900302204</t>
  </si>
  <si>
    <t>84-321-3974 580</t>
  </si>
  <si>
    <t>Vietcombank - Chi nhánh Hưng Yên</t>
  </si>
  <si>
    <t>0591000210739</t>
  </si>
  <si>
    <t>V10136B</t>
  </si>
  <si>
    <t>V10136C</t>
  </si>
  <si>
    <t>Công ty TNHH Careerlink</t>
  </si>
  <si>
    <t>270-272 Cộng Hòa, Phường 13, Quận Tân Bình, TP.HCM</t>
  </si>
  <si>
    <t>0400539269</t>
  </si>
  <si>
    <t>84 8 5434 1457</t>
  </si>
  <si>
    <t>Ngân hàng TMCP Xuất nhập khẩu Việt Nam - CN Cộng hòa</t>
  </si>
  <si>
    <t>140414851000990</t>
  </si>
  <si>
    <t>V10080A</t>
  </si>
  <si>
    <t>Công ty TNHH Chuyển Phát Nhanh DHL-VNPT</t>
  </si>
  <si>
    <t>Số 6, Thăng long, phường 04,Tân Bình, Hồ Chí Minh</t>
  </si>
  <si>
    <t>0304680974</t>
  </si>
  <si>
    <t>HSBC - Ho Chi Minh City Branch</t>
  </si>
  <si>
    <t>001-174499-001</t>
  </si>
  <si>
    <t>V10080B</t>
  </si>
  <si>
    <t>V10080C</t>
  </si>
  <si>
    <t>84838446203</t>
  </si>
  <si>
    <t>V10105A</t>
  </si>
  <si>
    <t>Công ty TNHH cơ khí kỹ thuật chính xác Ánh Dương</t>
  </si>
  <si>
    <t>Số 11D, tập thể Đoàn xe Ngoại Thương, P.Vạn Mỹ, Q.Ngô Quyền, Tp.Hải Phòng</t>
  </si>
  <si>
    <t>0201278968</t>
  </si>
  <si>
    <t>0031.000.154.588</t>
  </si>
  <si>
    <t>V10105B</t>
  </si>
  <si>
    <t>V10105C</t>
  </si>
  <si>
    <t>V10292C</t>
  </si>
  <si>
    <t>V10075B</t>
  </si>
  <si>
    <t>Công ty TNHH Cơ khí Ngọc Linh</t>
  </si>
  <si>
    <t>Số 40/29 Hai Bà Trưng, phường An Biên, quận Lê Chân, Hải Phòng</t>
  </si>
  <si>
    <t>0201026583</t>
  </si>
  <si>
    <t>Ngân hàng Bảo Việt  - CN Hải phòng</t>
  </si>
  <si>
    <t>0211000417006</t>
  </si>
  <si>
    <t>V10075C</t>
  </si>
  <si>
    <t>Ngân hàng Bảo Việt - CN Hải phòng</t>
  </si>
  <si>
    <t>V10075A</t>
  </si>
  <si>
    <t>V10006B</t>
  </si>
  <si>
    <t>Công ty TNHH Cơ khí RK</t>
  </si>
  <si>
    <t>Lô CN 3.2K khu công nghiệp Đình Vũ, P. Đông Hải 2, Q. Hải An, thuộc KKT Đình Vũ - Cát Hải, TP. Hải Phòng, Việt Nam</t>
  </si>
  <si>
    <t>0201162843</t>
  </si>
  <si>
    <t>031 3260715</t>
  </si>
  <si>
    <t>10020000</t>
  </si>
  <si>
    <t>V10006C</t>
  </si>
  <si>
    <t>V10006A</t>
  </si>
  <si>
    <t>Sumitomo Mitsui Banking Corporation - Chi nhánh Hà Nội</t>
  </si>
  <si>
    <t>V10140A</t>
  </si>
  <si>
    <t>Công ty TNHH Cơ khí Thủy Đức Thịnh</t>
  </si>
  <si>
    <t>45/5A Phạm Phú Thứ, Hạ Lý, Hồng Bàng, Hải Phòng</t>
  </si>
  <si>
    <t>0200821331</t>
  </si>
  <si>
    <t>+84 31 2819350</t>
  </si>
  <si>
    <t>ACB - CN Duyên Hải</t>
  </si>
  <si>
    <t>116236789</t>
  </si>
  <si>
    <t>V10140B</t>
  </si>
  <si>
    <t>V10140C</t>
  </si>
  <si>
    <t>V10121A</t>
  </si>
  <si>
    <t>Công ty TNHH Cơ khí và Thương mại Việt Đức</t>
  </si>
  <si>
    <t>Thôn An Dương, xã An Đồng, An Dương, TP.Hải Phòng</t>
  </si>
  <si>
    <t>0200779062</t>
  </si>
  <si>
    <t>031.3570127</t>
  </si>
  <si>
    <t>Ngân hàng TMCP Á Châu - CN Hải Phòng</t>
  </si>
  <si>
    <t>33473609</t>
  </si>
  <si>
    <t>V10121B</t>
  </si>
  <si>
    <t>V10121C</t>
  </si>
  <si>
    <t>V10069A</t>
  </si>
  <si>
    <t>Công ty TNHH Cơ khí và Tự động hóa công nghiệp</t>
  </si>
  <si>
    <t>Số nhà 7H 12/93 phố Chính Kinh, P. Nhân Chính, Q. Thanh Xuân, TP. Hà Nội</t>
  </si>
  <si>
    <t>0102957292</t>
  </si>
  <si>
    <t>Ngân hàng Techcombank - CN Đông Đô</t>
  </si>
  <si>
    <t>11021174987016</t>
  </si>
  <si>
    <t>V10069B</t>
  </si>
  <si>
    <t>V10069C</t>
  </si>
  <si>
    <t>V4015C0</t>
  </si>
  <si>
    <t>V10041A</t>
  </si>
  <si>
    <t>Công ty TNHH Công nghệ cơ nhiệt điện và xây lắp</t>
  </si>
  <si>
    <t>0200415717</t>
  </si>
  <si>
    <t>0313778862</t>
  </si>
  <si>
    <t>3409199</t>
  </si>
  <si>
    <t>V10041B</t>
  </si>
  <si>
    <t>V10041C</t>
  </si>
  <si>
    <t>V10117A</t>
  </si>
  <si>
    <t>Công ty TNHH Công nghệ Giang Sơn Việt Nam</t>
  </si>
  <si>
    <t>Thôn 10 (tại nhà ông Đặng Văn Muôn), xã Việt Tiến, huyện Vĩnh Bảo, thành phố Hải Phòng, Việt Nam</t>
  </si>
  <si>
    <t>0201261361</t>
  </si>
  <si>
    <t>0313 685 292</t>
  </si>
  <si>
    <t>32110000675966</t>
  </si>
  <si>
    <t>V10117B</t>
  </si>
  <si>
    <t>V10117C</t>
  </si>
  <si>
    <t>V10091A</t>
  </si>
  <si>
    <t>Công ty TNHH Công nghệ hóa chất và môi trường Vũ Hoàng</t>
  </si>
  <si>
    <t>Số 21E ngõ 71 đường Khương Hạ, phường Khương Đình, quận Thanh Xuân, thành phố Hà Nội</t>
  </si>
  <si>
    <t>0105222602</t>
  </si>
  <si>
    <t>04 3641 7588</t>
  </si>
  <si>
    <t>TMCP Á Châu- CN Linh Đàm</t>
  </si>
  <si>
    <t>100790719</t>
  </si>
  <si>
    <t>V10091B</t>
  </si>
  <si>
    <t>V10091C</t>
  </si>
  <si>
    <t>V10054A</t>
  </si>
  <si>
    <t>Công Ty TNHH Công nghệ ô tô  T&amp;S</t>
  </si>
  <si>
    <t>178 Xa Dan II Lane, Dong Da Dist, Hanoi, Vietnam</t>
  </si>
  <si>
    <t>0105139425</t>
  </si>
  <si>
    <t>04.3573 9718</t>
  </si>
  <si>
    <t>Công thương Việt Nam - CN Ba Đình</t>
  </si>
  <si>
    <t>10201-0001191710</t>
  </si>
  <si>
    <t>V10054B</t>
  </si>
  <si>
    <t>V10054C</t>
  </si>
  <si>
    <t>V10137A</t>
  </si>
  <si>
    <t>Công ty TNHH công nghệ Phương Bắc</t>
  </si>
  <si>
    <t>Số 15B/42/261 Trần Nguyên Hãn, P.Nghĩa Xá, Q.Lê Chân, TP. Hải Phòng</t>
  </si>
  <si>
    <t>0201305019</t>
  </si>
  <si>
    <t>Eximbank - CN Hải Phòng</t>
  </si>
  <si>
    <t>160314851019924</t>
  </si>
  <si>
    <t>V10137B</t>
  </si>
  <si>
    <t>V10137C</t>
  </si>
  <si>
    <t>V10032A</t>
  </si>
  <si>
    <t>Công ty TNHH công nghệ và thương mại Hà Sơn</t>
  </si>
  <si>
    <t>Số 1, ngõ 172 phố Thái Thịnh, phường Trung Liệt, quận Đống Đa, Hà Nội</t>
  </si>
  <si>
    <t>0101451760</t>
  </si>
  <si>
    <t>04.3785 3839</t>
  </si>
  <si>
    <t>66162953066</t>
  </si>
  <si>
    <t>V10032B</t>
  </si>
  <si>
    <t>V10032C</t>
  </si>
  <si>
    <t>V4016C0</t>
  </si>
  <si>
    <t>Standard Chartered Bank - CN Hà Nội</t>
  </si>
  <si>
    <t>V10218A</t>
  </si>
  <si>
    <t>Công Ty TNHH Công Nghệ và Thương Mại ICD Việt Nam</t>
  </si>
  <si>
    <t>Khu C, Xã Kim Nỗ, Huyện Đông Anh, Thành Phố Hà Nội, Việt Nam</t>
  </si>
  <si>
    <t>0105547551</t>
  </si>
  <si>
    <t>04.85861298/ 0905859186</t>
  </si>
  <si>
    <t>Ngân Hàng TMCP Xuất Nhập Khẩu VN - Chi Nhánh Ba Đình,Hà Nội</t>
  </si>
  <si>
    <t>170014851018122</t>
  </si>
  <si>
    <t>V10218B</t>
  </si>
  <si>
    <t>V10218C</t>
  </si>
  <si>
    <t>V10037A</t>
  </si>
  <si>
    <t>Công ty TNHH Công nghiệp Hóa chất Inchemco</t>
  </si>
  <si>
    <t>Số 14 lô 26D, Khu đô thị Ngã 5 Sân bay Cát Bi, P.Đông Khê, Q.Ngô Quyền, TP.Hải Phòng</t>
  </si>
  <si>
    <t>0200278475</t>
  </si>
  <si>
    <t>TMCP Hàng Hải - CN Hải Phòng</t>
  </si>
  <si>
    <t>020.0101.0004325</t>
  </si>
  <si>
    <t>V10037B</t>
  </si>
  <si>
    <t>V10037C</t>
  </si>
  <si>
    <t>V10209A</t>
  </si>
  <si>
    <t>Công ty TNHH Công nghiệp Q</t>
  </si>
  <si>
    <t>D403 Nguyễn Văn Linh, khu phố Hưng Vượng, phường Tân Phong, quận 7, TP HCM</t>
  </si>
  <si>
    <t>0302853759</t>
  </si>
  <si>
    <t>08 39300400</t>
  </si>
  <si>
    <t>Đầu tư và phát triển Việt Nam - CN TP.HCM</t>
  </si>
  <si>
    <t>31010000057315</t>
  </si>
  <si>
    <t>V10209B</t>
  </si>
  <si>
    <t>V10209C</t>
  </si>
  <si>
    <t>V10021A</t>
  </si>
  <si>
    <t>Công ty TNHH công nghiệp Techno Việt Nam</t>
  </si>
  <si>
    <t>Tầng 5, số 84, phố Duy Tân, P.Dịch Vọng, Q.Cầu giấy, Hà nội</t>
  </si>
  <si>
    <t>0106707261</t>
  </si>
  <si>
    <t>04.3795 9933</t>
  </si>
  <si>
    <t>Ngân hàng TMCP Quân đội - CN Thăng Long - Hà nội</t>
  </si>
  <si>
    <t>06811 0078 8001 (USD)</t>
  </si>
  <si>
    <t>V10021B</t>
  </si>
  <si>
    <t>Tầng 5, số 84, phố Duy Tân, Phường Dịch Vọng Hậu, Q.Cầu giấy, Hà nội</t>
  </si>
  <si>
    <t>Ngân hàng TMCP Quân đội - CN Thăng Long- Hà nội</t>
  </si>
  <si>
    <t>V10021C</t>
  </si>
  <si>
    <t>V10067C</t>
  </si>
  <si>
    <t>Công ty TNHH công nghiệp Trí Cường</t>
  </si>
  <si>
    <t>P108, 242A Minh Khai, Quận Hai Bà Trưng, Hà Nội</t>
  </si>
  <si>
    <t>0102007678</t>
  </si>
  <si>
    <t>04 3366 4038</t>
  </si>
  <si>
    <t>Techcombank - CN Hoàng Quốc Việt, Tp Hà Nội</t>
  </si>
  <si>
    <t>11720192072012</t>
  </si>
  <si>
    <t>V10067A</t>
  </si>
  <si>
    <t>V10067B</t>
  </si>
  <si>
    <t>V10114A</t>
  </si>
  <si>
    <t>Công ty TNHH Công nghiệp và Thương mại Tân Hoàng Phát</t>
  </si>
  <si>
    <t>Số 279 gác 2 Lý Thường Kiệt, phường Phan Bội Châu, quận Hồng Bàng, thành phố Hải Phòng, Việt Nam</t>
  </si>
  <si>
    <t>0201337042</t>
  </si>
  <si>
    <t>Ngân hàng TMCP đầu tư và phát triển Việt Nam - CN Hải Phòng</t>
  </si>
  <si>
    <t>32110000818336</t>
  </si>
  <si>
    <t>V10114B</t>
  </si>
  <si>
    <t>Ngân hàng TMCP Đầu tư và Phát triển Việt Nam- CN Hải Phòng</t>
  </si>
  <si>
    <t>V10114C</t>
  </si>
  <si>
    <t>V10177A</t>
  </si>
  <si>
    <t>Công ty TNHH Đại Hoàn</t>
  </si>
  <si>
    <t>Số 81 Tam Bạc, Phạm Hồng Thái, Hồng Bàng, Hải Phòng</t>
  </si>
  <si>
    <t>0200735812</t>
  </si>
  <si>
    <t>0313.838052</t>
  </si>
  <si>
    <t>Indovina Bank - CN Hải Phòng</t>
  </si>
  <si>
    <t>3321654001</t>
  </si>
  <si>
    <t>V10177B</t>
  </si>
  <si>
    <t>V10177C</t>
  </si>
  <si>
    <t>V10138A</t>
  </si>
  <si>
    <t>Công ty TNHH Daiichi Jitsugyo Việt Nam</t>
  </si>
  <si>
    <t>201, tầng 2, V-Tower, 649 Kim Mã, quận Ba Đình, Hà Nội, Việt Nam</t>
  </si>
  <si>
    <t>0106188591</t>
  </si>
  <si>
    <t>84-4-3766-5990</t>
  </si>
  <si>
    <t>Mizuho Bank, Ltd - CN Hà Nội</t>
  </si>
  <si>
    <t>H15-795-012656</t>
  </si>
  <si>
    <t>V10138B</t>
  </si>
  <si>
    <t>V10138C</t>
  </si>
  <si>
    <t>V10182A</t>
  </si>
  <si>
    <t>Công ty TNHH dầu nhờn Idemitsu Việt Nam</t>
  </si>
  <si>
    <t>Khu đất CN5.2E, KCN Đình Vũ, P.Đông Hải 2, Q.Hải An, thuộc khu kinh tế Đình Vũ- Cát Hải-Hải Phòng</t>
  </si>
  <si>
    <t>0201275452</t>
  </si>
  <si>
    <t>031.3246508</t>
  </si>
  <si>
    <t>Vietcombank- Haiphong Branch</t>
  </si>
  <si>
    <t>V10182B</t>
  </si>
  <si>
    <t>V10182C</t>
  </si>
  <si>
    <t>V10233A</t>
  </si>
  <si>
    <t>Công ty TNHH Đầu tư kỹ thuật ATC</t>
  </si>
  <si>
    <t>P802, CT4, Khu Mỹ Đình II, Xã Mỹ Đình, huyện Từ Liêm, thành phố Hà Nội</t>
  </si>
  <si>
    <t>0102035347</t>
  </si>
  <si>
    <t>TMCP Quốc tế - Hội sở chính</t>
  </si>
  <si>
    <t>001704060066199</t>
  </si>
  <si>
    <t>V10233B</t>
  </si>
  <si>
    <t>V10233C</t>
  </si>
  <si>
    <t>V10098A</t>
  </si>
  <si>
    <t>Công ty TNHH Đầu tư phát triển LATA</t>
  </si>
  <si>
    <t>Số nhà 63A, ngõ 12 phố Chính Kinh, phường Nhân Chính, quận Thanh Xuân, TP.Hà Nội</t>
  </si>
  <si>
    <t>0105612754</t>
  </si>
  <si>
    <t>0422601102</t>
  </si>
  <si>
    <t>Techcombank Đông Đô</t>
  </si>
  <si>
    <t>11025079735013</t>
  </si>
  <si>
    <t>V10098B</t>
  </si>
  <si>
    <t>V10098C</t>
  </si>
  <si>
    <t>V10237A</t>
  </si>
  <si>
    <t>Công ty TNHH đầu tư phát triển Probuy</t>
  </si>
  <si>
    <t>131 Thôn 6, xã Song Phương, huyện Hoài Đức, thành phố Hà Nội, Việt Nam</t>
  </si>
  <si>
    <t>0106221143</t>
  </si>
  <si>
    <t>Ngân hàng TMCP Xuất nhập khẩu Việt Nam - CN Ba Đình, Hà Nội</t>
  </si>
  <si>
    <t>171914851025598</t>
  </si>
  <si>
    <t>V10237B</t>
  </si>
  <si>
    <t>V10237C</t>
  </si>
  <si>
    <t>V10224A</t>
  </si>
  <si>
    <t>Công ty TNHH đầu tư sản xuất và thương mại Tiến Cường</t>
  </si>
  <si>
    <t>Số 10/238 Hào Khê, P. Kênh Dương, Q. Lê chân, TP.Hải phòng</t>
  </si>
  <si>
    <t>0201618244</t>
  </si>
  <si>
    <t>0313.763.777</t>
  </si>
  <si>
    <t>SHB Hải Phòng  - PGD Lạch Tray</t>
  </si>
  <si>
    <t>1005543891</t>
  </si>
  <si>
    <t>V10224B</t>
  </si>
  <si>
    <t>V10224C</t>
  </si>
  <si>
    <t>SHB Hải Phòng -  PGD Lạch Tray</t>
  </si>
  <si>
    <t>V10287C</t>
  </si>
  <si>
    <t>Công ty TNHH Đầu tư thương mại Lê Thanh</t>
  </si>
  <si>
    <t>Số 346 Đà nẵng, P.Đông Hải 1, Q.Hải An, Hải phòng</t>
  </si>
  <si>
    <t>0201217570</t>
  </si>
  <si>
    <t>Ngân hàng Ngoại thương Việt Nam - CN Hải Phòng</t>
  </si>
  <si>
    <t>0031000139395</t>
  </si>
  <si>
    <t>V10127A</t>
  </si>
  <si>
    <t>Công ty TNHH Đầu tư thương mại và dịch vụ vận tải Long Việt</t>
  </si>
  <si>
    <t>175 Trường Chinh - phường Lãm Hà, Kiến An, Hải Phòng</t>
  </si>
  <si>
    <t>0201361750</t>
  </si>
  <si>
    <t>0313.667 779</t>
  </si>
  <si>
    <t>Techcombank Lê Hồng Phong-Hải Phòng</t>
  </si>
  <si>
    <t>19027907306999</t>
  </si>
  <si>
    <t>V10127B</t>
  </si>
  <si>
    <t>V10127C</t>
  </si>
  <si>
    <t>CG440016C0</t>
  </si>
  <si>
    <t>V10203A</t>
  </si>
  <si>
    <t>Công ty TNHH Đầu tư thương mại xây dựng Nam Việt</t>
  </si>
  <si>
    <t>Số 30/317A Đà Nẵng, Phường Vạn Mỹ, Quận Ngô Quyền, Thành phố Hải Phòng</t>
  </si>
  <si>
    <t>0201292190</t>
  </si>
  <si>
    <t>0313 621 512</t>
  </si>
  <si>
    <t>Ngân hàng TMCP Đầu tư và phát triển Việt Nam - CN Hải Phòng</t>
  </si>
  <si>
    <t>32110000716397</t>
  </si>
  <si>
    <t>V10203B</t>
  </si>
  <si>
    <t>V10203C</t>
  </si>
  <si>
    <t>V10252C</t>
  </si>
  <si>
    <t>Công ty TNHH Đầu tư và dịch vụ y tế Điện Biên Phủ</t>
  </si>
  <si>
    <t>Số 73 Điện Biên Phủ, P. Minh Khai, Q. Hồng Bàng, TP Hải Phòng</t>
  </si>
  <si>
    <t>0200772395</t>
  </si>
  <si>
    <t>ACB - CN Hải Phòng</t>
  </si>
  <si>
    <t>3450 8189</t>
  </si>
  <si>
    <t>V10192A</t>
  </si>
  <si>
    <t>Công ty TNHH Đầu tư và phát triển Đức Bình</t>
  </si>
  <si>
    <t>Số 25, Tổ dân phố Quý Kim I, P.Hợp đức, Q.Đồ sơn, TP.Hải phòng</t>
  </si>
  <si>
    <t>0200572533</t>
  </si>
  <si>
    <t>0313.854226</t>
  </si>
  <si>
    <t>SHB - PGD Lạch tray</t>
  </si>
  <si>
    <t>1002330599</t>
  </si>
  <si>
    <t>V10192B</t>
  </si>
  <si>
    <t>V10192C</t>
  </si>
  <si>
    <t>V4017C0</t>
  </si>
  <si>
    <t>Công ty TNHH đầu tư và phát triển thiết bị công nghiệp Hoàng Hà</t>
  </si>
  <si>
    <t>Số 21A, đường Huỳnh Thúc Kháng, phường Lam Sơn, Thành phố  Hưng Yên, tỉnh Hưng Yên</t>
  </si>
  <si>
    <t>0101798875</t>
  </si>
  <si>
    <t>V10057A</t>
  </si>
  <si>
    <t>V10057B</t>
  </si>
  <si>
    <t>V10057C</t>
  </si>
  <si>
    <t>V4018C0</t>
  </si>
  <si>
    <t>Công ty TNHH đầu tư và thương mại Hưng Mạnh</t>
  </si>
  <si>
    <t>Số 3-Lô 3B đường Lê Hồng Phong, Phường Đông Khê, Quận Ngô Quyền,TP Hải Phòng</t>
  </si>
  <si>
    <t>0201143537</t>
  </si>
  <si>
    <t>0313246032</t>
  </si>
  <si>
    <t>Ngân Hàng Vietcombank - CN Hải Phòng</t>
  </si>
  <si>
    <t>0031000585688</t>
  </si>
  <si>
    <t>V4019C0</t>
  </si>
  <si>
    <t>Công ty TNHH Deloitte consulting Việt Nam</t>
  </si>
  <si>
    <t>Số 2, đường Ngô Đức Kế, P.Bến Nghé, Q1, TP.HCM</t>
  </si>
  <si>
    <t>0311985511</t>
  </si>
  <si>
    <t>84-8 3521 0440</t>
  </si>
  <si>
    <t>HSBC Bank (Viet Nam) Ltd</t>
  </si>
  <si>
    <t>091-164541-001</t>
  </si>
  <si>
    <t>V4020C0</t>
  </si>
  <si>
    <t>Công ty TNHH Deloitte Việt Nam</t>
  </si>
  <si>
    <t>0100112500</t>
  </si>
  <si>
    <t>04 6288 3568</t>
  </si>
  <si>
    <t>Citi Hà Nội - Tầng 1, số 17 phố Ngô Quyền, Hà Nội</t>
  </si>
  <si>
    <t>0201025028</t>
  </si>
  <si>
    <t>V10045A</t>
  </si>
  <si>
    <t>Công Ty TNHH Dịch Thuật Quốc Tế Thu Thảo</t>
  </si>
  <si>
    <t>Thôn Kiều Trung, xã Hồng Thái, huyện An Dương,Hải Phòng</t>
  </si>
  <si>
    <t>0201248339</t>
  </si>
  <si>
    <t>102010002062693</t>
  </si>
  <si>
    <t>V10045B</t>
  </si>
  <si>
    <t>V10045C</t>
  </si>
  <si>
    <t>V10024A</t>
  </si>
  <si>
    <t>Công ty TNHH Dịch vụ bảo vệ Hồng Hải</t>
  </si>
  <si>
    <t>0505000002525</t>
  </si>
  <si>
    <t>V10024B</t>
  </si>
  <si>
    <t>V10024C</t>
  </si>
  <si>
    <t>0505 00000 2525</t>
  </si>
  <si>
    <t>V10273B</t>
  </si>
  <si>
    <t>Công Ty TNHH Dịch Vụ Kỹ Thuật Và Thương Mại Nam Vân</t>
  </si>
  <si>
    <t>Số 250 Chung Cư Hoàng Mai, Xã Đồng Thái, Huyện An Dương, TP Hải Phòng</t>
  </si>
  <si>
    <t>0201577090</t>
  </si>
  <si>
    <t>Ngân Hàng Vietcombank - Cn Hải Phòng</t>
  </si>
  <si>
    <t>0031000206768</t>
  </si>
  <si>
    <t>V10273C</t>
  </si>
  <si>
    <t>V10197A</t>
  </si>
  <si>
    <t>10/2 Xuân Diệu, Phường 4, Quận Tân Bình, TP.Hồ Chí Minh, Việt Nam</t>
  </si>
  <si>
    <t>0301422238</t>
  </si>
  <si>
    <t>08 3820 8888</t>
  </si>
  <si>
    <t>TMCP Á Châu - CN HCM</t>
  </si>
  <si>
    <t>9106379</t>
  </si>
  <si>
    <t>V10197B</t>
  </si>
  <si>
    <t>V10197C</t>
  </si>
  <si>
    <t>V10235A</t>
  </si>
  <si>
    <t>Công ty TNHH Dịch vụ tư vấn công nghệ Việt Tâm</t>
  </si>
  <si>
    <t>173/12 Tân Sơn Nhì, P. Tân Sơn Nhì, Q. Tân Phú, TP.Hồ Chí Minh, Việt Nam</t>
  </si>
  <si>
    <t>0908.548.560, 0909.114.881</t>
  </si>
  <si>
    <t>Ngân hàng Thương mại Á Châu (ACB) – PGD Tân Sơn Nhì</t>
  </si>
  <si>
    <t>111.384459</t>
  </si>
  <si>
    <t>V10235B</t>
  </si>
  <si>
    <t>V10235C</t>
  </si>
  <si>
    <t>V10288C</t>
  </si>
  <si>
    <t>V10159A</t>
  </si>
  <si>
    <t>Công ty TNHH Điện trở đốt nóng Việt Hùng</t>
  </si>
  <si>
    <t>7/5 Đường số 9, Phường 5, Quận Gò Vấp, TP.Hồ Chí Minh</t>
  </si>
  <si>
    <t>0305684629</t>
  </si>
  <si>
    <t>(84.8) 3985 8738</t>
  </si>
  <si>
    <t>Đông Á - CN Nguyễn Văn Nghi</t>
  </si>
  <si>
    <t>061002774150001</t>
  </si>
  <si>
    <t>V10159B</t>
  </si>
  <si>
    <t>V10159C</t>
  </si>
  <si>
    <t>V4021C0</t>
  </si>
  <si>
    <t>Công ty TNHH ĐTPT Thương mại Dịch vụ Ánh Dương</t>
  </si>
  <si>
    <t>Thôn Bấc (tại nhà bà Trần Thị Yến), xã Phục Lễ, huyện Thủy Nguyên, TP.Hải Phòng</t>
  </si>
  <si>
    <t>0201582083</t>
  </si>
  <si>
    <t>0313.575.366</t>
  </si>
  <si>
    <t>Agribank - CN Ngũ Lão, Hải Phòng</t>
  </si>
  <si>
    <t>2115201001127</t>
  </si>
  <si>
    <t>V10303C</t>
  </si>
  <si>
    <t>Công ty TNHH Dynapac (Hà Nội)</t>
  </si>
  <si>
    <t>V10052A</t>
  </si>
  <si>
    <t>Công ty TNHH Eidensha Việt Nam</t>
  </si>
  <si>
    <t>0201286214</t>
  </si>
  <si>
    <t>0313 552081</t>
  </si>
  <si>
    <t>0031000160640</t>
  </si>
  <si>
    <t>V10052B</t>
  </si>
  <si>
    <t>V10052C</t>
  </si>
  <si>
    <t>V10112A</t>
  </si>
  <si>
    <t>Công ty TNHH Elematec Việt Nam</t>
  </si>
  <si>
    <t>Phòng 308A, Tầng 3, Tòa nhà V-tower, số 649 Kim Mã, P.Ngọc Khánh, Q.Ba Đình, TP.Hà Nội</t>
  </si>
  <si>
    <t>0103014205</t>
  </si>
  <si>
    <t>04.37666408</t>
  </si>
  <si>
    <t>The Bank of Tokyo Mitsubishi UFJ, LTD - CN Hà Nội</t>
  </si>
  <si>
    <t>148482</t>
  </si>
  <si>
    <t>V10112B</t>
  </si>
  <si>
    <t>V10112C</t>
  </si>
  <si>
    <t>V10259C</t>
  </si>
  <si>
    <t>Công Ty TNHH ENCO</t>
  </si>
  <si>
    <t>Số 23 Đường Số 3, Phường 7, Quận Gò Vấp,TP Hồ Chí Minh</t>
  </si>
  <si>
    <t>0303658817</t>
  </si>
  <si>
    <t>08 3588 3733</t>
  </si>
  <si>
    <t>Ngân hàng TMCP Xuất nhập khẩu Việt Nam - CN Tân Định- PGD Gò Vấp</t>
  </si>
  <si>
    <t>220214851008945</t>
  </si>
  <si>
    <t>V10286A</t>
  </si>
  <si>
    <t>Công ty TNHH Evermore Việt Nam</t>
  </si>
  <si>
    <t>Ngân hàng Shanghai Commercial &amp; Saving Bank, Ltd-CN Đồng Nai</t>
  </si>
  <si>
    <t>67108320000716</t>
  </si>
  <si>
    <t>V10250C</t>
  </si>
  <si>
    <t>Công ty TNHH EVIVA</t>
  </si>
  <si>
    <t>Số 83A, Trần Quốc Toản, P.Trần Hưng Đạo,Q.Hoàn Kiếm,Hà nội</t>
  </si>
  <si>
    <t>0101479780</t>
  </si>
  <si>
    <t>Ngân hàng Vietcombank - CN Hội sở</t>
  </si>
  <si>
    <t>0011 000758 662</t>
  </si>
  <si>
    <t>V10085A</t>
  </si>
  <si>
    <t>Công ty TNHH Fanuc Việt Nam</t>
  </si>
  <si>
    <t>Lầu 9- Green Tower- 35 Tôn Đức Thắng- P. Bến Nghé- Q.1- Tp. HCM</t>
  </si>
  <si>
    <t>0302832540</t>
  </si>
  <si>
    <t>+84-8-3824-6638</t>
  </si>
  <si>
    <t>Tokyo Mitsubishi UFJ- HCM</t>
  </si>
  <si>
    <t>141321</t>
  </si>
  <si>
    <t>V10085B</t>
  </si>
  <si>
    <t>V10085C</t>
  </si>
  <si>
    <t>V10269C</t>
  </si>
  <si>
    <t>Công ty TNHH Fircroft (Việt Nam)</t>
  </si>
  <si>
    <t>Số 35 Tôn Đức Thắng, P.Bến nghé, Q.1, TP.HCM</t>
  </si>
  <si>
    <t>0311406309</t>
  </si>
  <si>
    <t>08.3911.7292</t>
  </si>
  <si>
    <t>HSBC Bank (Vietnam) Ltd - Ho Chi Minh Branch</t>
  </si>
  <si>
    <t>091.052449.061</t>
  </si>
  <si>
    <t>V10026A</t>
  </si>
  <si>
    <t>Công ty TNHH Fuji Xerox Việt Nam - Chi nhánh Hà Nội</t>
  </si>
  <si>
    <t>Tầng 14, VCCI Tower, Số 9 Đào Duy Anh, P.Phương Mai, Q.Đống Đa, Hà nội</t>
  </si>
  <si>
    <t>0310074234-001</t>
  </si>
  <si>
    <t>04 3824 1063</t>
  </si>
  <si>
    <t>Ngân hàng CitiBank N.A , Ho Chi Minh City Branch</t>
  </si>
  <si>
    <t>0302357021</t>
  </si>
  <si>
    <t>V10026B</t>
  </si>
  <si>
    <t>V10026C</t>
  </si>
  <si>
    <t>V10300C</t>
  </si>
  <si>
    <t>Công ty TNHH G.A.Consultants Việt Nam</t>
  </si>
  <si>
    <t>P.603, Tầng 6, 535 phố Kim Mã, P. Ngọc Khánh, Q.Ba Đình, Hà nội</t>
  </si>
  <si>
    <t>0106032298</t>
  </si>
  <si>
    <t>04 62701630</t>
  </si>
  <si>
    <t>Vietcombank - CN Hồ Chí Minh</t>
  </si>
  <si>
    <t>0071000739277</t>
  </si>
  <si>
    <t>V10141A</t>
  </si>
  <si>
    <t>Công ty TNHH Giải pháp kỹ thuật Vina</t>
  </si>
  <si>
    <t>08 Đường số 7, KP.5, P.An Phú, Quận 2, TP.HCM</t>
  </si>
  <si>
    <t>0305192271</t>
  </si>
  <si>
    <t>08 3740 7769</t>
  </si>
  <si>
    <t>TMCP Á Châu - CN Sài Gòn</t>
  </si>
  <si>
    <t>30340569</t>
  </si>
  <si>
    <t>V10141B</t>
  </si>
  <si>
    <t>V10141C</t>
  </si>
  <si>
    <t>V10126A</t>
  </si>
  <si>
    <t>Công ty TNHH Giải pháp Sato Việt Nam</t>
  </si>
  <si>
    <t>Tầng 6, tòa nhà Sài Gòn Finance Center, số 9 đường Đinh Tiên Hoàng, phường Đakao, quận 1, thành phố Hồ Chí Minh</t>
  </si>
  <si>
    <t>84 8 39101350</t>
  </si>
  <si>
    <t>The Bank of Tokyo Mitsubishi  UFJ, Ltd - CN Tp Hồ Chí Minh</t>
  </si>
  <si>
    <t>343153</t>
  </si>
  <si>
    <t>V10126B</t>
  </si>
  <si>
    <t>V10126C</t>
  </si>
  <si>
    <t>V4022C0</t>
  </si>
  <si>
    <t>Công ty TNHH Giải pháp và Dịch vụ 3T</t>
  </si>
  <si>
    <t>Số 12D, ngõ 173, ngách 151 Hoàng Hoa Thám, phường Ngọc Hà, quận Ba Đình, thành phố Hà Nội, Việt Nam</t>
  </si>
  <si>
    <t>04.6683.1273</t>
  </si>
  <si>
    <t>Vietcombank - Trụ sở chính</t>
  </si>
  <si>
    <t>0011004668888</t>
  </si>
  <si>
    <t>V10222A</t>
  </si>
  <si>
    <t>V10222B</t>
  </si>
  <si>
    <t>V10222C</t>
  </si>
  <si>
    <t>V10256C</t>
  </si>
  <si>
    <t>CÔNG TY TNHH GIẢI PHÁP VÀ THIẾT BỊ TỰ ĐỘNG HÓA OTD</t>
  </si>
  <si>
    <t>Số 163, tổ 22, đường Trần Khát Chân, phường Thanh Lương, quận Hai Bà Trưng, TP Hà Nội</t>
  </si>
  <si>
    <t>0106385053</t>
  </si>
  <si>
    <t>Ngân hàng TMCP Ngoại thương Việt Nam - Chi nhánh Hà Nội</t>
  </si>
  <si>
    <t>0021000297824</t>
  </si>
  <si>
    <t>V10144A</t>
  </si>
  <si>
    <t>Công ty TNHH Goshu Kohsan Việt Nam</t>
  </si>
  <si>
    <t>Lô P1, Khu công nghiệp Thăng Long, Huyện Đông Anh, Thành phố Hà Nội</t>
  </si>
  <si>
    <t>3700611994</t>
  </si>
  <si>
    <t>Ngân hàng Vietcombank - Sở giao dịch</t>
  </si>
  <si>
    <t>0011001382863</t>
  </si>
  <si>
    <t>V10144B</t>
  </si>
  <si>
    <t>V10144C</t>
  </si>
  <si>
    <t>V4053C0</t>
  </si>
  <si>
    <t>Công Ty TNHH Greengoco</t>
  </si>
  <si>
    <t>Khu công nghiệp Tiên Sơn, xã Hoàn Sơn, huyện Tiên Du, tỉnh Bắc Ninh</t>
  </si>
  <si>
    <t>2300781809</t>
  </si>
  <si>
    <t>+84 0241-3714-878</t>
  </si>
  <si>
    <t>Vietcombank  - CN Bắc Ninh</t>
  </si>
  <si>
    <t>0351000773610</t>
  </si>
  <si>
    <t>CG440027C0</t>
  </si>
  <si>
    <t>Công ty TNHH GREENGOCO</t>
  </si>
  <si>
    <t>Vietcombank – CN Bắc Ninh</t>
  </si>
  <si>
    <t>V4023C0</t>
  </si>
  <si>
    <t>Công ty TNHH Hà Anh Đồng</t>
  </si>
  <si>
    <t>Số 116/182, Đà Nẵng, Lạc Viên, Ngô Quyền, Hải Phòng</t>
  </si>
  <si>
    <t>0201335052</t>
  </si>
  <si>
    <t>0904.971.689</t>
  </si>
  <si>
    <t>0031000180029</t>
  </si>
  <si>
    <t>V10102A</t>
  </si>
  <si>
    <t>CÔNG TY TNHH HỆ THỐNG THIẾT BỊ UMW (VIỆT NAM)</t>
  </si>
  <si>
    <t>3700233968</t>
  </si>
  <si>
    <t>0650-743500</t>
  </si>
  <si>
    <t>060-6-12-00-00003</t>
  </si>
  <si>
    <t>V10102B</t>
  </si>
  <si>
    <t>V10102C</t>
  </si>
  <si>
    <t>CG440014C0</t>
  </si>
  <si>
    <t>CÔNG TY TNHH HỆ THỐNG THIẾT BỊ UMW VIỆT NAM</t>
  </si>
  <si>
    <t>V10063A</t>
  </si>
  <si>
    <t>Công ty TNHH hệ thống thông tin FPT</t>
  </si>
  <si>
    <t>22nd Floor - 72 Buiding Keangna Hanoi, Landmark Tower</t>
  </si>
  <si>
    <t>(844) 5626000</t>
  </si>
  <si>
    <t>Hội sở Ngân hàng TMCP Ngoại thương-Số 31-33 Ngô Quyền,Hoàn Kiếm</t>
  </si>
  <si>
    <t>001.100.2655591</t>
  </si>
  <si>
    <t>V10063B</t>
  </si>
  <si>
    <t>V10063C</t>
  </si>
  <si>
    <t>V10247C</t>
  </si>
  <si>
    <t>Công ty TNHH hệ thống thông tin FSE-FPT</t>
  </si>
  <si>
    <t>V10015A</t>
  </si>
  <si>
    <t>Công ty TNHH Hitachi Plant Technologies Việt Nam</t>
  </si>
  <si>
    <t>Phòng 1507-1508, tầng 15 tòa nhà Keangnam Hanoi Landmark Tower, khu E6, Khu đô thị mới Cầu Giấy, xã Mễ Trì, huyện Từ Liêm, HN</t>
  </si>
  <si>
    <t>The Bank of Tokyo - Mitsubishi UFJ, LTD - Hanoi Branch</t>
  </si>
  <si>
    <t>439541 (USD)</t>
  </si>
  <si>
    <t>V10015B</t>
  </si>
  <si>
    <t>0105807954</t>
  </si>
  <si>
    <t>V10015C</t>
  </si>
  <si>
    <t>CG440004C0</t>
  </si>
  <si>
    <t>V10097A</t>
  </si>
  <si>
    <t>CÔNG TY TNHH HÓA CHẤT PETROLIMEX</t>
  </si>
  <si>
    <t>Số 229 phố Tây Sơn, quận Đống Đa, Tp. Hà Nội</t>
  </si>
  <si>
    <t>0101463614-007</t>
  </si>
  <si>
    <t>04.38513210</t>
  </si>
  <si>
    <t>001.100.1546014</t>
  </si>
  <si>
    <t>V10097B</t>
  </si>
  <si>
    <t>V10097C</t>
  </si>
  <si>
    <t>V10283C</t>
  </si>
  <si>
    <t>Công ty TNHH Hóa chất và Thiết bị Atec</t>
  </si>
  <si>
    <t>Đường TS6-1, Khu công nghiệp Tiên Sơn, xã Hoàn Sơn, huyện Tiên Du, tỉnh Bắc Ninh</t>
  </si>
  <si>
    <t>Ngân hàng TMCP ngoại thương Việt Nam-CN Bắc Ninh</t>
  </si>
  <si>
    <t>035.100.07.36878</t>
  </si>
  <si>
    <t>LS-000166</t>
  </si>
  <si>
    <t>Công ty TNHH Hoa Tuyết</t>
  </si>
  <si>
    <t>Số 297 Tô Hiệu, P. Hồ Nam, Q. Lê Chân, TP Hải Phòng</t>
  </si>
  <si>
    <t>0200579183</t>
  </si>
  <si>
    <t>0313.955889</t>
  </si>
  <si>
    <t>121582519</t>
  </si>
  <si>
    <t>HONG_MON</t>
  </si>
  <si>
    <t>Công ty TNHH Hồng Môn</t>
  </si>
  <si>
    <t>38 Đường số 46, phường Tân Tạo, Quận Bình Tân, TP. Hồ Chí Minh</t>
  </si>
  <si>
    <t>08 3754 2315</t>
  </si>
  <si>
    <t>V10189A</t>
  </si>
  <si>
    <t>Công ty TNHH In và Quảng cáo Đại Thành</t>
  </si>
  <si>
    <t>Số 383 Lê Lợi, P.Lê Lợi, Q.Ngô Quyền, TP.Hải Phòng</t>
  </si>
  <si>
    <t>0200630256</t>
  </si>
  <si>
    <t>3 847 675</t>
  </si>
  <si>
    <t>TMCP Quân Đội - Hải Phòng</t>
  </si>
  <si>
    <t>2511100291004</t>
  </si>
  <si>
    <t>V10189B</t>
  </si>
  <si>
    <t>V10189C</t>
  </si>
  <si>
    <t>V10255C</t>
  </si>
  <si>
    <t>Công ty TNHH In và Quảng cáo Hợp Thành</t>
  </si>
  <si>
    <t>254 Lê Lợi, P.Lê Lợi, Q.Ngô Quyền, TP.Hải Phòng</t>
  </si>
  <si>
    <t>0200584458</t>
  </si>
  <si>
    <t>031.3853973</t>
  </si>
  <si>
    <t>TMCP Việt Nam Thịnh Vượng - PGD Ngã 6, Ngô Quyền</t>
  </si>
  <si>
    <t>0403400000C</t>
  </si>
  <si>
    <t>V10013A</t>
  </si>
  <si>
    <t>Công ty TNHH in và sản xuất bao bì Tân Lạc Việt</t>
  </si>
  <si>
    <t>Số 111 Trần Huy Liệu, P. Bắc Sơn, Q.Kiến An, TP.Hải Phòng</t>
  </si>
  <si>
    <t>0200820313</t>
  </si>
  <si>
    <t>031 3757 999</t>
  </si>
  <si>
    <t>Ngân hàng TMCP Hàng Hải Việt Nam - CN Hải Phòng</t>
  </si>
  <si>
    <t>020 0101 0027 463</t>
  </si>
  <si>
    <t>V10013B</t>
  </si>
  <si>
    <t>V10013C</t>
  </si>
  <si>
    <t>V10060A</t>
  </si>
  <si>
    <t>Công ty TNHH Inter Art Sài Gòn</t>
  </si>
  <si>
    <t>Lầu 5, Alpha tower, 151 Nguyễn Đình Chiểu, P.6, Quận 3, TP.HCM</t>
  </si>
  <si>
    <t>0300732685</t>
  </si>
  <si>
    <t>VIB-PGD Quận 3</t>
  </si>
  <si>
    <t>629704060007311</t>
  </si>
  <si>
    <t>V10060B</t>
  </si>
  <si>
    <t>V10060C</t>
  </si>
  <si>
    <t>CG440006C0</t>
  </si>
  <si>
    <t>Lầu 5, Alpha tower, 151 Nguyễn Đình Chiểu, P.6, Quận 3, Hồ Chí Minh</t>
  </si>
  <si>
    <t>V10214A</t>
  </si>
  <si>
    <t>Công ty TNHH ITVC Toàn Cầu</t>
  </si>
  <si>
    <t>Thôn Trang quan, xã An Đồng, H.An Dương, Hải phòng</t>
  </si>
  <si>
    <t>0201283291</t>
  </si>
  <si>
    <t>031.3261208</t>
  </si>
  <si>
    <t>Techcombank - CN Tô Hiệu</t>
  </si>
  <si>
    <t>19027381279797</t>
  </si>
  <si>
    <t>V10214B</t>
  </si>
  <si>
    <t>V10214C</t>
  </si>
  <si>
    <t>CG440022C0</t>
  </si>
  <si>
    <t>V10134A</t>
  </si>
  <si>
    <t>Công ty TNHH Jade M-Tech</t>
  </si>
  <si>
    <t>Số 18B, Đường K1A, Thị trấn Cầu Diễn, H.Từ Liêm, TP.Hà Nội</t>
  </si>
  <si>
    <t>0103004278</t>
  </si>
  <si>
    <t>84-4 2260 0605</t>
  </si>
  <si>
    <t>51384869</t>
  </si>
  <si>
    <t>V10134B</t>
  </si>
  <si>
    <t>V10134C</t>
  </si>
  <si>
    <t>V10301</t>
  </si>
  <si>
    <t>Công ty TNHH JELLYFISH HR</t>
  </si>
  <si>
    <t>Tầng 12A, Tòa nhà CMC, P.Duy Tân, P.Dịch Vọng Hậu, Q.Cầu Giấy, Hà nội</t>
  </si>
  <si>
    <t>0106498508</t>
  </si>
  <si>
    <t>Techcombank - CN Cầu Giấy</t>
  </si>
  <si>
    <t>19128100130121</t>
  </si>
  <si>
    <t>V10230A</t>
  </si>
  <si>
    <t>Công ty TNHH Joyo Mark (Việt Nam)</t>
  </si>
  <si>
    <t>Lô số 10, đường TS-19, Khu công nghiệp Tiên Sơn, TX Từ Sơn, Tỉnh Bắc Ninh</t>
  </si>
  <si>
    <t>+84-2413734588</t>
  </si>
  <si>
    <t>Mizuho bank, Ltd - Hanoi Branch</t>
  </si>
  <si>
    <t>F15-795-006338</t>
  </si>
  <si>
    <t>V10230B</t>
  </si>
  <si>
    <t>V10230C</t>
  </si>
  <si>
    <t>V10280C</t>
  </si>
  <si>
    <t>Công ty TNHH Kanepackage Việt Nam</t>
  </si>
  <si>
    <t>Lô I6-KCN Thăng Long-Đông Anh-Hà Nội</t>
  </si>
  <si>
    <t>Ngân hàng Mizuho-CN thành phố Hà Nội</t>
  </si>
  <si>
    <t>H15-795-002025</t>
  </si>
  <si>
    <t>V10090A</t>
  </si>
  <si>
    <t>Công ty TNHH KD &amp; SX VTTB Trường Phát</t>
  </si>
  <si>
    <t>Tầng 5B 65 Lê Trung Nghĩa, Phường 12, Quận Tân Bình, TP.HCM</t>
  </si>
  <si>
    <t>0303987579</t>
  </si>
  <si>
    <t>08 38155238</t>
  </si>
  <si>
    <t>INDOVINA - CN TP.HCM</t>
  </si>
  <si>
    <t>1007505-001</t>
  </si>
  <si>
    <t>V10090B</t>
  </si>
  <si>
    <t>V10090C</t>
  </si>
  <si>
    <t>V10260C</t>
  </si>
  <si>
    <t>Công ty TNHH KDDI Việt nam</t>
  </si>
  <si>
    <t>Tầng 15 Tòa nhà ICON4, 243A La Thành, Láng Hạ, Đống Đa, HN</t>
  </si>
  <si>
    <t>0100971460</t>
  </si>
  <si>
    <t>0904661828/84-4-38262001</t>
  </si>
  <si>
    <t>Sumitomo Mitsui Banking Corporation - Ha Noi Branch</t>
  </si>
  <si>
    <t>1300386-1</t>
  </si>
  <si>
    <t>V10260A</t>
  </si>
  <si>
    <t>V10260B</t>
  </si>
  <si>
    <t>V10158A</t>
  </si>
  <si>
    <t>Công ty TNHH KDIC</t>
  </si>
  <si>
    <t>Nhà ở liền kề 6A, ô 12, Khu đô thị Làng Việt Kiều Châu Âu, phường Mộ Lao, Quận Hà Đông, Thành phố Hà Nội, Việt Nam</t>
  </si>
  <si>
    <t>0105771497</t>
  </si>
  <si>
    <t>04 33113209</t>
  </si>
  <si>
    <t>TMCP Công Thương Việt Nam - CN Quang Trung</t>
  </si>
  <si>
    <t>102010001479663</t>
  </si>
  <si>
    <t>V10158B</t>
  </si>
  <si>
    <t>V10158C</t>
  </si>
  <si>
    <t>V10142A</t>
  </si>
  <si>
    <t>Công Ty TNHH Keyence Việt Nam</t>
  </si>
  <si>
    <t>0106467242</t>
  </si>
  <si>
    <t>04-3760-6201</t>
  </si>
  <si>
    <t>Mizuho Bank, LTD-Ha Noi branch</t>
  </si>
  <si>
    <t>H15-795-014292 (VND)</t>
  </si>
  <si>
    <t>V10142B</t>
  </si>
  <si>
    <t>V10142C</t>
  </si>
  <si>
    <t>V10297C</t>
  </si>
  <si>
    <t>Công ty TNHH Khí công nghiệp Messer Hải Phòng</t>
  </si>
  <si>
    <t>V10053A</t>
  </si>
  <si>
    <t>Công ty TNHH Kinh doanh lốp xe Bridgestone Việt Nam</t>
  </si>
  <si>
    <t>56-58-60 Hai Bà Trưng, Phường Bến Nghé, Quận 1, TP. HCM</t>
  </si>
  <si>
    <t>0309875328</t>
  </si>
  <si>
    <t>TM CP Á Châu - CN Bến Thành</t>
  </si>
  <si>
    <t>94468339</t>
  </si>
  <si>
    <t>V10053B</t>
  </si>
  <si>
    <t>V10053C</t>
  </si>
  <si>
    <t>V10055A</t>
  </si>
  <si>
    <t>Công ty TNHH KSMC</t>
  </si>
  <si>
    <t>Số 61, ngõ 53, phố Đức Giang, phường Đức Giang, quận Long Biên, Hà Nội</t>
  </si>
  <si>
    <t>0101129056</t>
  </si>
  <si>
    <t>04.38771700</t>
  </si>
  <si>
    <t>102010000049625</t>
  </si>
  <si>
    <t>V10055B</t>
  </si>
  <si>
    <t>V10055C</t>
  </si>
  <si>
    <t>V10109A</t>
  </si>
  <si>
    <t>Công ty TNHH Kỹ Nghệ Thăng Long</t>
  </si>
  <si>
    <t>161 Trần Não, Phường Bình An, Quận 2, TP Hồ Chí Minh</t>
  </si>
  <si>
    <t>0301591483</t>
  </si>
  <si>
    <t>08.37415252/ 08.3715353</t>
  </si>
  <si>
    <t>Thương mại cổ phần Á Châu - Chi nhánh Sài Gòn</t>
  </si>
  <si>
    <t>17464259</t>
  </si>
  <si>
    <t>V10109B</t>
  </si>
  <si>
    <t>V10109C</t>
  </si>
  <si>
    <t>V10153A</t>
  </si>
  <si>
    <t>Công ty TNHH kỹ thuật công nghiệp Nhật Việt</t>
  </si>
  <si>
    <t>Số 53 ngõ 121, đường Sài Đồng, P. Sài Đồng, Q. Long Biên, Tp. Hà Nội, Việt Nam</t>
  </si>
  <si>
    <t>0106312087</t>
  </si>
  <si>
    <t>Sở giao dịch-Ngân hàng TMCP Ngoại Thương Việt Nam</t>
  </si>
  <si>
    <t>0011004144107</t>
  </si>
  <si>
    <t>V10153B</t>
  </si>
  <si>
    <t>V10153C</t>
  </si>
  <si>
    <t>V10282C</t>
  </si>
  <si>
    <t>Công ty TNHH kỹ thuật điện hiệp lực</t>
  </si>
  <si>
    <t>97/4 khu phố 2, phường Thới An, Quận 12, thành phố Hồ Chí Minh</t>
  </si>
  <si>
    <t>Ngân hàng nông nghiệp và phát triển nông thôn-CN An Phú</t>
  </si>
  <si>
    <t>1606201030320</t>
  </si>
  <si>
    <t>V10035A</t>
  </si>
  <si>
    <t>Công ty TNHH kỹ thuật quốc tế Connection</t>
  </si>
  <si>
    <t>0201269392</t>
  </si>
  <si>
    <t>0313 870 896</t>
  </si>
  <si>
    <t>NH Nông nghiệp- CN Lê Chân - PGD Trần Nguyên Hãn - Hải Phòng</t>
  </si>
  <si>
    <t>2112201020365</t>
  </si>
  <si>
    <t>V10035B</t>
  </si>
  <si>
    <t>NH Nông nghiệp-CN Lê Chân - PGD Trần Nguyên Hãn - Hải Phòng</t>
  </si>
  <si>
    <t>V10035C</t>
  </si>
  <si>
    <t>V10139A</t>
  </si>
  <si>
    <t>Công ty TNHH kỹ thuật Tiêu Điểm</t>
  </si>
  <si>
    <t>L4 Tòa nhà Vạn Đạt Lô II-1. Đường số 8, KCN Tân Bình, P.Tây Thạnh, Q.Tân Phú, TP.HCM</t>
  </si>
  <si>
    <t>0302733959</t>
  </si>
  <si>
    <t>08 38165395</t>
  </si>
  <si>
    <t>TMCP Hàng Hải Việt Nam - chi nhánh Sài Gòn</t>
  </si>
  <si>
    <t>041 01 01 000 5842</t>
  </si>
  <si>
    <t>V10139B</t>
  </si>
  <si>
    <t>V10139C</t>
  </si>
  <si>
    <t>V10162A</t>
  </si>
  <si>
    <t>Công ty TNHH Liên doanh Oval Việt Nam</t>
  </si>
  <si>
    <t>Số 106, Đường Nguyễn Văn Trỗi, phường 8, quận Phú Nhuận, TP.Hồ Chí Minh (Tòa nhà Centre Point)</t>
  </si>
  <si>
    <t>0305098374</t>
  </si>
  <si>
    <t>08 3997 7644</t>
  </si>
  <si>
    <t>TMCP Xăng dầu Petrolimex, CN Sài Gòn</t>
  </si>
  <si>
    <t>4417040212884</t>
  </si>
  <si>
    <t>V10162B</t>
  </si>
  <si>
    <t>V10162C</t>
  </si>
  <si>
    <t>V10281C</t>
  </si>
  <si>
    <t>Công ty TNHH LMS Technologies Việt Nam</t>
  </si>
  <si>
    <t>Phòng 2.1A, tầng 2, tòa nhà E.town, số 364 đường Cộng Hòa, Phường 13, quận Tân Bình, Tp.HCM</t>
  </si>
  <si>
    <t>Ngân hàng TMCP ngoại thương Việt Nam-chi nhánh Tân Bình</t>
  </si>
  <si>
    <t>V4025C0</t>
  </si>
  <si>
    <t>Công ty TNHH Mai Linh Hải Phòng</t>
  </si>
  <si>
    <t>Đường 14 cũ, KDC Phú Hải, Anh Dũng, Dương Kinh, Hải Phòng</t>
  </si>
  <si>
    <t>0200425426</t>
  </si>
  <si>
    <t>(031)3 727 666</t>
  </si>
  <si>
    <t>PG Bank Hải Phòng</t>
  </si>
  <si>
    <t>2087040104376</t>
  </si>
  <si>
    <t>CG440017C0</t>
  </si>
  <si>
    <t>V10215A</t>
  </si>
  <si>
    <t>Công ty TNHH Máy và Dịch vụ Kỹ thuật Đức Sơn</t>
  </si>
  <si>
    <t>Lô B, tổ 102, Hoàng Cầu, Phường Ô Chợ Dừa, quận Đống Đa, TP Hà Nội</t>
  </si>
  <si>
    <t>0101718774</t>
  </si>
  <si>
    <t>04.35376155</t>
  </si>
  <si>
    <t>TMCP Ngoại Thương Việt Nam - Sở giao dịch</t>
  </si>
  <si>
    <t>0011001320391</t>
  </si>
  <si>
    <t>V10215B</t>
  </si>
  <si>
    <t>V10215C</t>
  </si>
  <si>
    <t>V10094A</t>
  </si>
  <si>
    <t>Công ty TNHH Mễ Đình</t>
  </si>
  <si>
    <t>22 Đường C1, Phường 13, Quận Tân Bình, Thành phố Hồ Chí Minh</t>
  </si>
  <si>
    <t>0304362604</t>
  </si>
  <si>
    <t>(08) 3728 2888</t>
  </si>
  <si>
    <t>TMCP Á Châu ( ACB) - CN Sài Gòn</t>
  </si>
  <si>
    <t>19199639</t>
  </si>
  <si>
    <t>V10094B</t>
  </si>
  <si>
    <t>V10094C</t>
  </si>
  <si>
    <t>V10275C</t>
  </si>
  <si>
    <t>Công ty TNHH Meda Hà nội</t>
  </si>
  <si>
    <t>Số 26, ngõ Nguyễn Đồng Chi, P.Cầu diễn, Q.Nam Từ Liêm, Hà nội</t>
  </si>
  <si>
    <t>0105791158</t>
  </si>
  <si>
    <t>Ngân hàng TMCP Đầu tư và phát triển Việt Nam - CN Tây Hà nội</t>
  </si>
  <si>
    <t>260-10-00-014755-9</t>
  </si>
  <si>
    <t>V10064C</t>
  </si>
  <si>
    <t>Công ty TNHH Megatech Việt Nam</t>
  </si>
  <si>
    <t>0201285203</t>
  </si>
  <si>
    <t>003 100 015 930 2</t>
  </si>
  <si>
    <t>V10064A</t>
  </si>
  <si>
    <t>V10064B</t>
  </si>
  <si>
    <t>V10106A</t>
  </si>
  <si>
    <t>Công Ty TNHH Một Thành Viên Cơ Khí Hoàng Sơn</t>
  </si>
  <si>
    <t>Số 15A, Tổ 6, Đường 5/3, Hùng Vương, Q. Hồng Bàng, TP.Hải Phòng</t>
  </si>
  <si>
    <t>0201012492</t>
  </si>
  <si>
    <t>031.3522515</t>
  </si>
  <si>
    <t>VIB - Hồng Bàng - Hải Phòng</t>
  </si>
  <si>
    <t>012704060017161</t>
  </si>
  <si>
    <t>V10106B</t>
  </si>
  <si>
    <t>V10106C</t>
  </si>
  <si>
    <t>V10199A</t>
  </si>
  <si>
    <t>Công ty TNHH một thành viên cơ khí Minh Lượng</t>
  </si>
  <si>
    <t>Số 761 đường 5/5, phường Hùng Vương, quận Hồng Bàng, Hải Phòng</t>
  </si>
  <si>
    <t>0201114021</t>
  </si>
  <si>
    <t>0313.749369</t>
  </si>
  <si>
    <t>Á Châu - PGD Quán Toan</t>
  </si>
  <si>
    <t>90889119</t>
  </si>
  <si>
    <t>V10199B</t>
  </si>
  <si>
    <t>V10199C</t>
  </si>
  <si>
    <t>V10248C</t>
  </si>
  <si>
    <t>Công ty TNHH Một Thành Viên Máy Đo Khí Việt Nam</t>
  </si>
  <si>
    <t>79 Lý Chính Thắng, phường 8, quận 3, TP.HCM</t>
  </si>
  <si>
    <t>0312975474</t>
  </si>
  <si>
    <t>Ngân hàngTMCP Ngoại thương Việt Nam - PGD Bến Nghé - Hồ Chí Minh</t>
  </si>
  <si>
    <t>0071000932260</t>
  </si>
  <si>
    <t>V4026C0</t>
  </si>
  <si>
    <t>Công ty TNHH MTV Dầu Khí Hải Linh</t>
  </si>
  <si>
    <t>Đầm mắm 2, Hải An, Hải Phòng</t>
  </si>
  <si>
    <t>Đầu tư Đông Hải Phòng</t>
  </si>
  <si>
    <t>32310000116399</t>
  </si>
  <si>
    <t>V10184A</t>
  </si>
  <si>
    <t>Công ty TNHH MTV Điện Lực Hải Phòng</t>
  </si>
  <si>
    <t>Số 9 Trần Hưng Đạo - Quận Hồng Bàng - TP. Hải Phòng</t>
  </si>
  <si>
    <t>0200340211</t>
  </si>
  <si>
    <t>031.2210206</t>
  </si>
  <si>
    <t>Ngân hàng TMCP Công thương Việt Nam - CN Hải Phòng</t>
  </si>
  <si>
    <t>102010000200772</t>
  </si>
  <si>
    <t>V10184B</t>
  </si>
  <si>
    <t>Ngân hàng TMCP Công thương Việt Nam - CN Hải phòng</t>
  </si>
  <si>
    <t>V10184C</t>
  </si>
  <si>
    <t>V10150A</t>
  </si>
  <si>
    <t>Công ty TNHH MTV Micro Precision Calibration Việt Nam</t>
  </si>
  <si>
    <t>Phòng 201, Lầu 2, tòa nhà văn phòng Sacom-chíp Sáng (BCIS), Lô T2-4, Đường D1, Khu công nghệ cao quận 9, TP.HCM</t>
  </si>
  <si>
    <t>0311586524</t>
  </si>
  <si>
    <t>Vietcombank - CN Thủ Đức, PGD Bình Thọ,Tp HCM</t>
  </si>
  <si>
    <t>0381000359568</t>
  </si>
  <si>
    <t>V10150B</t>
  </si>
  <si>
    <t>V10150C</t>
  </si>
  <si>
    <t>V10023A</t>
  </si>
  <si>
    <t>Công ty TNHH NEC Việt Nam</t>
  </si>
  <si>
    <t>Tầng 12, 52 Lê Đại Hành,Phường Lê Đại Hành, Quận Hai Bà Trưng, Thành phố Hà Nội</t>
  </si>
  <si>
    <t>0101942800</t>
  </si>
  <si>
    <t>1000333-1 (VND)</t>
  </si>
  <si>
    <t>V10023B</t>
  </si>
  <si>
    <t>V10023C</t>
  </si>
  <si>
    <t>V4074C0</t>
  </si>
  <si>
    <t>Công ty TNHH Nhất Ly</t>
  </si>
  <si>
    <t>Số 2B Bạch Đằng, phường Hạ Lý, quận Hồng Bàng, TP Hải Phòng</t>
  </si>
  <si>
    <t>0200519875</t>
  </si>
  <si>
    <t>233 561 59</t>
  </si>
  <si>
    <t>V10206A</t>
  </si>
  <si>
    <t>Công ty TNHH Nippon Express Engineering (Việt Nam)</t>
  </si>
  <si>
    <t>Khu E, tầng 7, số 12 Trần Phú, quận Ngô Quyền, thành phố Hải Phòng, Việt Nam</t>
  </si>
  <si>
    <t>0201380111</t>
  </si>
  <si>
    <t>0031000184980</t>
  </si>
  <si>
    <t>V10206B</t>
  </si>
  <si>
    <t>V10206C</t>
  </si>
  <si>
    <t>V4052A0</t>
  </si>
  <si>
    <t>V4052B0</t>
  </si>
  <si>
    <t>V4052C0</t>
  </si>
  <si>
    <t>V10056A</t>
  </si>
  <si>
    <t>Công ty TNHH NNMSAFETY</t>
  </si>
  <si>
    <t>Số nhà 14, ngõ 28, phố Nguyên Hồng, phường Láng Hạ, quận Đống Đa, thành phố Hà Nội</t>
  </si>
  <si>
    <t>0106200030</t>
  </si>
  <si>
    <t>(04) 3773 9970</t>
  </si>
  <si>
    <t>ACB - PGD Trần Duy Hưng</t>
  </si>
  <si>
    <t>163967329</t>
  </si>
  <si>
    <t>V10056B</t>
  </si>
  <si>
    <t>V10056C</t>
  </si>
  <si>
    <t>V10200A</t>
  </si>
  <si>
    <t>Công ty TNHH Nomura Fotranco</t>
  </si>
  <si>
    <t>174 Lê Lai, P.Máy chai, Q.Ngô quyền, Hải phòng</t>
  </si>
  <si>
    <t>0200108314</t>
  </si>
  <si>
    <t>031. 3837284</t>
  </si>
  <si>
    <t>TMCP ngoại thương Việt Nam - CN Hải phòng</t>
  </si>
  <si>
    <t>003 100 0002997</t>
  </si>
  <si>
    <t>V10200B</t>
  </si>
  <si>
    <t>V10200C</t>
  </si>
  <si>
    <t>V10115C</t>
  </si>
  <si>
    <t>Công ty TNHH Ojitex Hải Phòng</t>
  </si>
  <si>
    <t>Lô B1/2/7/8, Khu công nghiệp Nomura Hải Phòng, huyện An Dương, thành phố Hải Phòng, Việt Nam</t>
  </si>
  <si>
    <t>0200575693</t>
  </si>
  <si>
    <t>0313 743020</t>
  </si>
  <si>
    <t>F15-795-001639</t>
  </si>
  <si>
    <t>V10115A</t>
  </si>
  <si>
    <t>V10115B</t>
  </si>
  <si>
    <t>V10020A</t>
  </si>
  <si>
    <t>Công ty TNHH Osco International</t>
  </si>
  <si>
    <t>0102597963</t>
  </si>
  <si>
    <t>Mizuho chi nhánh Hà Nội</t>
  </si>
  <si>
    <t>H15-795-005706</t>
  </si>
  <si>
    <t>V10020B</t>
  </si>
  <si>
    <t>V10020C</t>
  </si>
  <si>
    <t>V10007A</t>
  </si>
  <si>
    <t>Công ty TNHH phát triển công nghệ Thái Sơn</t>
  </si>
  <si>
    <t>99B Tổ 70, Hồ Quỳnh, P.Thanh Nhàn, Q.Hai Bà Trưng, TP.Hà Nội</t>
  </si>
  <si>
    <t>0101300842</t>
  </si>
  <si>
    <t>04 3754 5222</t>
  </si>
  <si>
    <t>NH TMCP Ngoại Thương VN - CN Thăng Long</t>
  </si>
  <si>
    <t>049 100 147 4862</t>
  </si>
  <si>
    <t>V10007B</t>
  </si>
  <si>
    <t>V10007C</t>
  </si>
  <si>
    <t>V10204A</t>
  </si>
  <si>
    <t>Công ty TNHH Phúc Tăng</t>
  </si>
  <si>
    <t>Số 29/232 Trường Chinh, Kiến An, Hải Phòng</t>
  </si>
  <si>
    <t>0200490584</t>
  </si>
  <si>
    <t>031.3778645</t>
  </si>
  <si>
    <t>VIB Bank - CN Hồng bàng</t>
  </si>
  <si>
    <t>012704060002177</t>
  </si>
  <si>
    <t>V10204B</t>
  </si>
  <si>
    <t>V10204C</t>
  </si>
  <si>
    <t>V10066A</t>
  </si>
  <si>
    <t>Công ty TNHH quảng cáo-in ấn-trang trí nội ngoại thất Hoa Việt</t>
  </si>
  <si>
    <t>Số 23/70/11 Đông Khê, quận Ngô Quyền HP</t>
  </si>
  <si>
    <t>0200964160</t>
  </si>
  <si>
    <t>031 8605188</t>
  </si>
  <si>
    <t>Ngân hàng TMCP Quân Đội - CN Hải Phòng</t>
  </si>
  <si>
    <t>2541100155007</t>
  </si>
  <si>
    <t>V10066B</t>
  </si>
  <si>
    <t>V10066C</t>
  </si>
  <si>
    <t>V10294C</t>
  </si>
  <si>
    <t>Ngân hàng TNHH một thành viên Public Việt Nam-CN Hồ Chí Minh</t>
  </si>
  <si>
    <t>030-6-00-00-04654</t>
  </si>
  <si>
    <t>V10293C</t>
  </si>
  <si>
    <t>Công ty TNHH Rentokil Initial (Việt Nam)</t>
  </si>
  <si>
    <t>Công ty TNHH RGF HR Agent Việt Nam</t>
  </si>
  <si>
    <t>0311046543</t>
  </si>
  <si>
    <t>V10161A</t>
  </si>
  <si>
    <t>CÔNG TY TNHH SAEHWA IMC VINA</t>
  </si>
  <si>
    <t>Lô F 6A – CN, KCN Mỹ Phước 2, Thị xã Bến Cát, Bình Dương, Việt Nam</t>
  </si>
  <si>
    <t>+84-650-355-3300</t>
  </si>
  <si>
    <t>0281000831 556</t>
  </si>
  <si>
    <t>V10161B</t>
  </si>
  <si>
    <t>V10161C</t>
  </si>
  <si>
    <t>V10025A</t>
  </si>
  <si>
    <t>Công ty TNHH Sản xuất - Thương mại Tân Quốc Hưng</t>
  </si>
  <si>
    <t>428 Quốc lộ 1A, khu phố 3, P.Bình Hưng Hòa B, Q. Bình Tân, TP.HCM, Việt Nam</t>
  </si>
  <si>
    <t>0304239713</t>
  </si>
  <si>
    <t>083.9913144</t>
  </si>
  <si>
    <t>NH EXIM BANK, CN CHỢ LỚN</t>
  </si>
  <si>
    <t>100414851011290</t>
  </si>
  <si>
    <t>V10025B</t>
  </si>
  <si>
    <t>V10025C</t>
  </si>
  <si>
    <t>V10257C</t>
  </si>
  <si>
    <t>Công ty TNHH Sản Xuất Bảo Hộ Lao Động Bảo An</t>
  </si>
  <si>
    <t>Số 1 Bến Bính, Phường Minh Khai, Quận Hồng Bàng, Thành phố Hải Phòng</t>
  </si>
  <si>
    <t>0201616737</t>
  </si>
  <si>
    <t>0313 821 313</t>
  </si>
  <si>
    <t>ACB Chi Nhánh Hải Phòng</t>
  </si>
  <si>
    <t>194632799</t>
  </si>
  <si>
    <t>BTMV</t>
  </si>
  <si>
    <t>CÔNG TY TNHH SẢN XUẤT LỐP XE BRIDGESTONE VIỆT NAM</t>
  </si>
  <si>
    <t>003 100 014 8888</t>
  </si>
  <si>
    <t>V10151A</t>
  </si>
  <si>
    <t>Công ty TNHH sản xuất thương mại Đức Hợp</t>
  </si>
  <si>
    <t>Thôn Nội Hợp, xã Nam Phong, huyện Phú Xuyên, thành phố Hà Nội</t>
  </si>
  <si>
    <t>0500479398</t>
  </si>
  <si>
    <t>Ngân hàng TMCP Công thương - CN Hoàng Mai</t>
  </si>
  <si>
    <t>102010001617090</t>
  </si>
  <si>
    <t>V10151B</t>
  </si>
  <si>
    <t>V10151C</t>
  </si>
  <si>
    <t>V10062A</t>
  </si>
  <si>
    <t>Công Ty TNHH sản xuất thương mại Quang Minh</t>
  </si>
  <si>
    <t>Thôn 1 Do Nha-Tân Tiến-An Dương-Hải Phòng</t>
  </si>
  <si>
    <t>0200826756</t>
  </si>
  <si>
    <t>0312.225080</t>
  </si>
  <si>
    <t>Ngân hàng TMCP Sài Gòn-Hà Nội - PGD Quán Toan,CN Hải Phòng</t>
  </si>
  <si>
    <t>1001098272</t>
  </si>
  <si>
    <t>V10062B</t>
  </si>
  <si>
    <t>V10062C</t>
  </si>
  <si>
    <t>CG440010C0</t>
  </si>
  <si>
    <t>V10221A</t>
  </si>
  <si>
    <t>Công ty TNHH Sản xuất thương mại xuất nhập khẩu Lửa Việt</t>
  </si>
  <si>
    <t>Tổ 18, cụm 2, P.Trung Hòa, Q.Cầu giấy, TP.Hà nội</t>
  </si>
  <si>
    <t>0101365215</t>
  </si>
  <si>
    <t>04.62690464</t>
  </si>
  <si>
    <t>TMCP Đông Á - CN Hà nội</t>
  </si>
  <si>
    <t>000546290001</t>
  </si>
  <si>
    <t>V10221B</t>
  </si>
  <si>
    <t>V10221C</t>
  </si>
  <si>
    <t>V10190A</t>
  </si>
  <si>
    <t>Công ty TNHH Sản xuất và Thương mại Tùng Chi</t>
  </si>
  <si>
    <t>Gác 2, Số 24 Cát Cụt, Phường An Biên, Quận Lê Chân, TP. Hải Phòng</t>
  </si>
  <si>
    <t>0201318191</t>
  </si>
  <si>
    <t>031.3833760</t>
  </si>
  <si>
    <t>19027725560997</t>
  </si>
  <si>
    <t>V10190B</t>
  </si>
  <si>
    <t>V10190C</t>
  </si>
  <si>
    <t>V10279C</t>
  </si>
  <si>
    <t>Công ty TNHH Shiogai Seiki Việt Nam</t>
  </si>
  <si>
    <t>224/4 đường 24-2, KCN Amata, phường Long Bình, Tp Biên Hòa, tỉnh Đồng Nai</t>
  </si>
  <si>
    <t>3600715894</t>
  </si>
  <si>
    <t>Ngân hàng Vietcombank-CN Đồng Nai</t>
  </si>
  <si>
    <t>0121000968683</t>
  </si>
  <si>
    <t>V10118A</t>
  </si>
  <si>
    <t>Công ty TNHH Sinh Dương</t>
  </si>
  <si>
    <t>13 Tạm Thương, Phường Hàng Gai, Quận Hoàn Kiếm, Thành phố Hà Nội</t>
  </si>
  <si>
    <t>0106135751</t>
  </si>
  <si>
    <t>04.3828 6267</t>
  </si>
  <si>
    <t>Ngân hàng TMCP Quân Đội-Chi nhánh Thăng Long</t>
  </si>
  <si>
    <t>0541103111111</t>
  </si>
  <si>
    <t>V10118B</t>
  </si>
  <si>
    <t>V10118C</t>
  </si>
  <si>
    <t>V10207A</t>
  </si>
  <si>
    <t>Công ty TNHH Softbank Telecom Việt Nam</t>
  </si>
  <si>
    <t>#13-04, Tầng 13, Số 53 Quang Trung, P.Nguyễn Du, Q.Hai Bà Trưng, TP.Hà Nội</t>
  </si>
  <si>
    <t>0106043204</t>
  </si>
  <si>
    <t>04.3943.1078</t>
  </si>
  <si>
    <t>Sumitomo Mitsui Banking Corporation, Hanoi Branch</t>
  </si>
  <si>
    <t>10043301</t>
  </si>
  <si>
    <t>V10207B</t>
  </si>
  <si>
    <t>V10207C</t>
  </si>
  <si>
    <t>V10086A</t>
  </si>
  <si>
    <t>39/5 Lầu 2, Sương Nguyệt Ánh, Quận 1, TP.HCM, Việt Nam</t>
  </si>
  <si>
    <t>08. 3925 7207</t>
  </si>
  <si>
    <t>EXIMBANK</t>
  </si>
  <si>
    <t>2000 148 5111 4946</t>
  </si>
  <si>
    <t>V10086B</t>
  </si>
  <si>
    <t>V10086C</t>
  </si>
  <si>
    <t>V10272B</t>
  </si>
  <si>
    <t>Công ty TNHH Sumiden International Trading Việt Nam</t>
  </si>
  <si>
    <t>#101, Số 18 Trần Hưng Đạo, P. Phan Chu Trinh, Q. Hoàn Kiếm, Hà Nội, Việt Nam</t>
  </si>
  <si>
    <t>0106144604</t>
  </si>
  <si>
    <t>+844-3933-6436~7</t>
  </si>
  <si>
    <t>100-43-901 (VND)</t>
  </si>
  <si>
    <t>V10272A</t>
  </si>
  <si>
    <t>V10272C</t>
  </si>
  <si>
    <t>V10157A</t>
  </si>
  <si>
    <t>Công ty TNHH SX và TM Đại Hoàng</t>
  </si>
  <si>
    <t>103, B14 Tân Mai, Hoàng Mai, Hà Nội</t>
  </si>
  <si>
    <t>Techcombank - CN Nguyễn An Ninh, Hà Nội</t>
  </si>
  <si>
    <t>14023527568881</t>
  </si>
  <si>
    <t>V10157B</t>
  </si>
  <si>
    <t>V10157C</t>
  </si>
  <si>
    <t>V10059A</t>
  </si>
  <si>
    <t>Công ty TNHH T.S.I Việt Nam</t>
  </si>
  <si>
    <t>Ngân hàng SMBC-chi nhánh Hà Nội</t>
  </si>
  <si>
    <t>V10059B</t>
  </si>
  <si>
    <t>V10059C</t>
  </si>
  <si>
    <t>V10088A</t>
  </si>
  <si>
    <t>Công ty TNHH Tài Nguyên Tri Thức Việt Năng</t>
  </si>
  <si>
    <t>41/7 Phạm Ngũ Lão, P3, Q. GV, TP HCM, Vietnam</t>
  </si>
  <si>
    <t>Ngoại Thương Việt Nam - CN Phú Thọ - HCM</t>
  </si>
  <si>
    <t>042-1-00-377257-4</t>
  </si>
  <si>
    <t>V10088B</t>
  </si>
  <si>
    <t>V10088C</t>
  </si>
  <si>
    <t>CG440013C0</t>
  </si>
  <si>
    <t>V10238A</t>
  </si>
  <si>
    <t>Công ty TNHH Tamada Việt Nam</t>
  </si>
  <si>
    <t>Khu đất CN4.4B, KCN Đình Vũ, P.Đông Hải 2, Q.Hải An, TKKT Đình Vũ-Cát Hải, TP.Hải Phòng, Việt Nam</t>
  </si>
  <si>
    <t>0201347234</t>
  </si>
  <si>
    <t>The Bank of Tokyo-Mitsubishi-UFJ,Ltd-Hanoi Branch</t>
  </si>
  <si>
    <t>V10238B</t>
  </si>
  <si>
    <t>V10238C</t>
  </si>
  <si>
    <t>V10119A</t>
  </si>
  <si>
    <t>Công ty TNHH Tamsui Việt Nam</t>
  </si>
  <si>
    <t>400 Nguyễn Thị Thập, phường Tân Quy, Quận 7, TP.Hồ Chí Minh</t>
  </si>
  <si>
    <t>0311105894</t>
  </si>
  <si>
    <t>08 3771 1635</t>
  </si>
  <si>
    <t>Vietcombank- CN Nam Sài Gòn</t>
  </si>
  <si>
    <t>0181003346280</t>
  </si>
  <si>
    <t>V10119B</t>
  </si>
  <si>
    <t>V10119C</t>
  </si>
  <si>
    <t>V10044A</t>
  </si>
  <si>
    <t>Công ty TNHH Tân Thế Kỷ</t>
  </si>
  <si>
    <t>212 Tôn Đức Thắng, Đống Đa, Hà Nội</t>
  </si>
  <si>
    <t>TMCP Ngoại Thương Việt Nam - CN Hà Nội</t>
  </si>
  <si>
    <t>001 100 002 4870</t>
  </si>
  <si>
    <t>V10044B</t>
  </si>
  <si>
    <t>V10044C</t>
  </si>
  <si>
    <t>V10081A</t>
  </si>
  <si>
    <t>Công ty TNHH Thiết bị 2H</t>
  </si>
  <si>
    <t>Số 16 Cẩm Hội, Đống Mác, Hai Bà Trưng, Hà Nội</t>
  </si>
  <si>
    <t>0101473468</t>
  </si>
  <si>
    <t>04.37911179</t>
  </si>
  <si>
    <t>Ngân hàng Techcombank- CN Hà Nội</t>
  </si>
  <si>
    <t>11120012744010</t>
  </si>
  <si>
    <t>V10081B</t>
  </si>
  <si>
    <t>V10081C</t>
  </si>
  <si>
    <t>V10040A</t>
  </si>
  <si>
    <t>Công ty TNHH Thiết bị công nghiệp N.A.G.O.Y.A</t>
  </si>
  <si>
    <t>Số 24-26 (Tầng 4-5), Đường 9A, Khu dân cư Trung Sơn, Bình Hưng, Bình Chánh, Hồ Chí Minh</t>
  </si>
  <si>
    <t>0303135503</t>
  </si>
  <si>
    <t>(08)54319555</t>
  </si>
  <si>
    <t>TMCP Á Châu - Hồ Chí Minh</t>
  </si>
  <si>
    <t>7503209</t>
  </si>
  <si>
    <t>V10040B</t>
  </si>
  <si>
    <t>V10040C</t>
  </si>
  <si>
    <t>V10172A</t>
  </si>
  <si>
    <t>Công ty TNHH Thiết bị hóa chất Nakagawa Việt Nam</t>
  </si>
  <si>
    <t>Tầng 2, tòa nhà Detech, số 8 đường Tôn Thất Thuyết, Phường Mỹ Đình 2, Quận Nam Từ Liêm, Hà Nội</t>
  </si>
  <si>
    <t>0103770434</t>
  </si>
  <si>
    <t>Indovinabank- CN Đống Đa</t>
  </si>
  <si>
    <t>2013483-001</t>
  </si>
  <si>
    <t>V10172B</t>
  </si>
  <si>
    <t>V10172C</t>
  </si>
  <si>
    <t>V10194A</t>
  </si>
  <si>
    <t>Công ty TNHH Thiết bị phụ tùng An Phát</t>
  </si>
  <si>
    <t>0100950365</t>
  </si>
  <si>
    <t>3783 0629/30/31</t>
  </si>
  <si>
    <t>Sacombank - CN 8 tháng 3 Hà Nội</t>
  </si>
  <si>
    <t>020001506766</t>
  </si>
  <si>
    <t>V10194B</t>
  </si>
  <si>
    <t>V10194C</t>
  </si>
  <si>
    <t>V10212A</t>
  </si>
  <si>
    <t>Công Ty TNHH Thiết Bị Y Tế và Vật Tư Khoa Học Kỹ Thuật Nam Thành</t>
  </si>
  <si>
    <t>Tổ Dân Phố 1, Phường Phú Lương, Quận Hà Đông, Hà Nội, Việt Nam</t>
  </si>
  <si>
    <t>0105295865</t>
  </si>
  <si>
    <t>+84 4 66801026</t>
  </si>
  <si>
    <t>Ngân hàng CPTM Á Châu - Chi Nhánh Hà Thành</t>
  </si>
  <si>
    <t>104505369</t>
  </si>
  <si>
    <t>V10212B</t>
  </si>
  <si>
    <t>V10212C</t>
  </si>
  <si>
    <t>V10149A</t>
  </si>
  <si>
    <t>Công ty TNHH Thoát nước - Môi trường Tuấn Nam</t>
  </si>
  <si>
    <t>Số 84 Trần Nhật Duật, phường Cầu Đất, quận Ngô Quyền, Hải Phòng</t>
  </si>
  <si>
    <t>0201296188</t>
  </si>
  <si>
    <t>102010001733640</t>
  </si>
  <si>
    <t>V10149B</t>
  </si>
  <si>
    <t>V10149C</t>
  </si>
  <si>
    <t>V10271B</t>
  </si>
  <si>
    <t>Công ty TNHH Thông tin NTT (Việt Nam)</t>
  </si>
  <si>
    <t>Tòa nhà VINCOM, số 72, đường Lê Thánh Tôn, phường Bến Nghé, quận 1, thành phố Hồ Chí Minh</t>
  </si>
  <si>
    <t>0302534921</t>
  </si>
  <si>
    <t>84 8 3827 3646</t>
  </si>
  <si>
    <t>The bank of Tokyo Mitsubishi UFJ-HCMC</t>
  </si>
  <si>
    <t>140589</t>
  </si>
  <si>
    <t>V10156A</t>
  </si>
  <si>
    <t>Công ty TNHH Thương mại - Dịch vụ HB-KMIX</t>
  </si>
  <si>
    <t>167 Điện Biên Phủ, phường 15, quận Bình Thạnh, Tp. Hồ Chí Minh</t>
  </si>
  <si>
    <t>0301934483</t>
  </si>
  <si>
    <t>84 8 35128080</t>
  </si>
  <si>
    <t>Vietcombank - CN Đông Sài Gòn</t>
  </si>
  <si>
    <t>0181000388126</t>
  </si>
  <si>
    <t>V10156B</t>
  </si>
  <si>
    <t>V10156C</t>
  </si>
  <si>
    <t>V10251C</t>
  </si>
  <si>
    <t>Công ty TNHH Thương Mại 19-3</t>
  </si>
  <si>
    <t>Số 85 Lán Bè, Lam Sơn, Lê Chân, Hải Phòng</t>
  </si>
  <si>
    <t>0201637529</t>
  </si>
  <si>
    <t>Ngân hàng TMCP Công thương Việt Nam, CN Lê Chân, Hải Phòng</t>
  </si>
  <si>
    <t>102010002267337</t>
  </si>
  <si>
    <t>V10030A</t>
  </si>
  <si>
    <t>Công ty TNHH thương mại bảo hộ lao động N&amp;C</t>
  </si>
  <si>
    <t>Số 95 Phố Cấm, phường Gia Viên, quận Ngô Quyền, thành phố Hải Phòng</t>
  </si>
  <si>
    <t>0201243771</t>
  </si>
  <si>
    <t>031 3821 302</t>
  </si>
  <si>
    <t>132164419</t>
  </si>
  <si>
    <t>V10030B</t>
  </si>
  <si>
    <t>V10030C</t>
  </si>
  <si>
    <t>V10208A</t>
  </si>
  <si>
    <t>Công ty TNHH Thương mại Dịch vụ Đại Phú Cát</t>
  </si>
  <si>
    <t>0311144413</t>
  </si>
  <si>
    <t>08.39771926</t>
  </si>
  <si>
    <t>Vietcombank - CN TP.HCM</t>
  </si>
  <si>
    <t>0071000644444</t>
  </si>
  <si>
    <t>V10208B</t>
  </si>
  <si>
    <t>V10208C</t>
  </si>
  <si>
    <t>V10076A</t>
  </si>
  <si>
    <t>Công ty TNHH Thương mại -Dịch vụ kỹ thuật S.I.S</t>
  </si>
  <si>
    <t>55/14 Lê Thị Hồng Gấm, P. Nguyễn Thái Bình, Quận 1, TP.HCM</t>
  </si>
  <si>
    <t>0302865828</t>
  </si>
  <si>
    <t>08.39143632</t>
  </si>
  <si>
    <t>Vietcombank - Hồ Chí Minh Branch</t>
  </si>
  <si>
    <t>0071001071002</t>
  </si>
  <si>
    <t>V10076B</t>
  </si>
  <si>
    <t>V10076C</t>
  </si>
  <si>
    <t>V10167A</t>
  </si>
  <si>
    <t>Công ty TNHH Thương mại Dịch vụ Song Thành Công</t>
  </si>
  <si>
    <t>15 Cù Lao, Phường 2, Quận Phú Nhuận, TP.Hồ Chí Minh</t>
  </si>
  <si>
    <t>0309279999</t>
  </si>
  <si>
    <t>08.39703436</t>
  </si>
  <si>
    <t>Đông Á - CN TP.HCM</t>
  </si>
  <si>
    <t>004715920001</t>
  </si>
  <si>
    <t>V10167B</t>
  </si>
  <si>
    <t>V10167C</t>
  </si>
  <si>
    <t>V10193A</t>
  </si>
  <si>
    <t>Công ty TNHH Thương mại dịch vụ và sản xuất Tùng Lâm</t>
  </si>
  <si>
    <t>Số 57 Láng Hạ, Ba Đình, Hà Nội</t>
  </si>
  <si>
    <t>0100278859</t>
  </si>
  <si>
    <t>0241 3847626</t>
  </si>
  <si>
    <t>NH Vietcombank - Chi nhánh Bắc Ninh - PGD Từ Sơn - Bắc Ninh</t>
  </si>
  <si>
    <t>0351.000.906.945</t>
  </si>
  <si>
    <t>V10193B</t>
  </si>
  <si>
    <t>V10193C</t>
  </si>
  <si>
    <t>0351 000 906 945</t>
  </si>
  <si>
    <t>V10014B</t>
  </si>
  <si>
    <t>Công ty TNHH thương mại Hoàng Phát</t>
  </si>
  <si>
    <t>Số 7 Lô 28 Lê Hồng Phong - Ngô Quyền - Hải Phòng</t>
  </si>
  <si>
    <t>0200552449</t>
  </si>
  <si>
    <t>031 3757676</t>
  </si>
  <si>
    <t>TMCP Á Châu - CN Hải Phòng</t>
  </si>
  <si>
    <t>28388239</t>
  </si>
  <si>
    <t>V10014C</t>
  </si>
  <si>
    <t>V10014A</t>
  </si>
  <si>
    <t>LS-000417</t>
  </si>
  <si>
    <t>Công ty TNHH Thương mại Quốc Hưng</t>
  </si>
  <si>
    <t>Số 170 Dương Đình Nghệ, P.Vĩnh Niệm, Q.Lê Chân, Hải phòng</t>
  </si>
  <si>
    <t>0200512051</t>
  </si>
  <si>
    <t>TMCP Quân đội - CN Bắc Hải</t>
  </si>
  <si>
    <t>2601101888666</t>
  </si>
  <si>
    <t>V10122A</t>
  </si>
  <si>
    <t>Công ty TNHH Thương mại quốc tế ICD</t>
  </si>
  <si>
    <t>Số 27 Lô 1C, Khu đô thị Trung Yên, phường Trung Hòa, Quận Cầu Giấy, Thành phố Hà Nội</t>
  </si>
  <si>
    <t>0102328488</t>
  </si>
  <si>
    <t>04.37868794</t>
  </si>
  <si>
    <t>Đầu tư và phát triển Việt Nam - CN Đông Đô</t>
  </si>
  <si>
    <t>125 100 001 67454</t>
  </si>
  <si>
    <t>V10122B</t>
  </si>
  <si>
    <t>V10122C</t>
  </si>
  <si>
    <t>LS-000136</t>
  </si>
  <si>
    <t>Công ty TNHH Thương mại Techno Việt Nam</t>
  </si>
  <si>
    <t>Tầng 5, Số 84, Phố Duy Tân, Phường Dịch Vọng Hậu, Cầu Giấy, Hà Nội</t>
  </si>
  <si>
    <t>0104928071</t>
  </si>
  <si>
    <t>043 211 5501~3</t>
  </si>
  <si>
    <t>Ngân hàng thương mại cổ phần Quân Đội- Chi nhánh Thăng Long</t>
  </si>
  <si>
    <t>06811-0065-8008</t>
  </si>
  <si>
    <t>V10240A</t>
  </si>
  <si>
    <t>Công ty TNHH Thương mại Tuấn Nghị</t>
  </si>
  <si>
    <t>Số 65, Đường Lê Thánh Tông, phường Máy Tơ, quận Ngô Quyền, thành phố Hải Phòng, Vietnam</t>
  </si>
  <si>
    <t>0313.837.182</t>
  </si>
  <si>
    <t>Ngân hàng Công Thương, Hải Phòng</t>
  </si>
  <si>
    <t>102010000216487</t>
  </si>
  <si>
    <t>V10240B</t>
  </si>
  <si>
    <t>V10240C</t>
  </si>
  <si>
    <t>V10042A</t>
  </si>
  <si>
    <t>0201561580</t>
  </si>
  <si>
    <t>Ngân hàng TMCP xuất nhập khẩu Việt Nam - CN Tô Hiệu, Hải Phòng</t>
  </si>
  <si>
    <t>160314851022059</t>
  </si>
  <si>
    <t>V10042B</t>
  </si>
  <si>
    <t>V10042C</t>
  </si>
  <si>
    <t>V10010A</t>
  </si>
  <si>
    <t>Công ty TNHH thương mại và dịch vụ công nghiệp Tuấn Huyền</t>
  </si>
  <si>
    <t>Số 206 khu 2 Quán Toan, Hồng Bàng, Hải Phòng</t>
  </si>
  <si>
    <t>0200734752</t>
  </si>
  <si>
    <t>031 3534 745</t>
  </si>
  <si>
    <t>003 100 078 5509</t>
  </si>
  <si>
    <t>V10010B</t>
  </si>
  <si>
    <t>V10010C</t>
  </si>
  <si>
    <t>V10229C</t>
  </si>
  <si>
    <t>Công ty TNHH thương mại và dịch vụ Kim Thịnh</t>
  </si>
  <si>
    <t>Số 200 đường 48 , P3 Q4 , TP.Hồ Chí Minh, Việt Nam</t>
  </si>
  <si>
    <t>+ 84-8-38627543</t>
  </si>
  <si>
    <t>V10229A</t>
  </si>
  <si>
    <t>V10229B</t>
  </si>
  <si>
    <t>V10082A</t>
  </si>
  <si>
    <t>Công ty TNHH Thương Mại và Dịch vụ Ngọc Trân</t>
  </si>
  <si>
    <t>Đội 9, thôn Hoàng Mai, xã Đồng Thái, huyện An Dương, thành phố Hải Phòng</t>
  </si>
  <si>
    <t>0200840341</t>
  </si>
  <si>
    <t>0316271460</t>
  </si>
  <si>
    <t>Ngân Hàng ACB- CN Tô Hiệu</t>
  </si>
  <si>
    <t>56846459</t>
  </si>
  <si>
    <t>V10082B</t>
  </si>
  <si>
    <t>V10082C</t>
  </si>
  <si>
    <t>V4067C0</t>
  </si>
  <si>
    <t>Công ty TNHH Thương mại và Dịch vụ Shinwa Việt Nam</t>
  </si>
  <si>
    <t>Số 195 Ngõ 193, Văn Cao, Đằng Lâm, Hải An, Hải Phòng</t>
  </si>
  <si>
    <t>0201408247</t>
  </si>
  <si>
    <t>0031 000 188 698</t>
  </si>
  <si>
    <t>LS-000362</t>
  </si>
  <si>
    <t>Phòng 2.6 tầng 2, tòa nhà Khánh Hội, lô 2/3C Lê Hồng Phong, phường Đông Khê, quận Ngô Quyền, tp.Hải Phòng</t>
  </si>
  <si>
    <t>031.376.1115</t>
  </si>
  <si>
    <t>0031000188698</t>
  </si>
  <si>
    <t>V4080C0</t>
  </si>
  <si>
    <t>Công ty TNHH Thương mại và dịch vụ Song Bình</t>
  </si>
  <si>
    <t>Ngân hàng Eximbank - CN Thành phố Hồ Chí Minh</t>
  </si>
  <si>
    <t>2000 1485 1040 424</t>
  </si>
  <si>
    <t>V10078A</t>
  </si>
  <si>
    <t>CÔNG TY TNHH THƯƠNG MẠI VÀ DỊCH VỤ TÂM THÀNH ĐẠT</t>
  </si>
  <si>
    <t>Số 595B Nguyễn Văn Linh, phường Vĩnh Niệm, quận Lê Chân, TP. Hải Phòng</t>
  </si>
  <si>
    <t>(031)3513713</t>
  </si>
  <si>
    <t>Á Châu - CN Hải Phòng</t>
  </si>
  <si>
    <t>73431929</t>
  </si>
  <si>
    <t>V10078B</t>
  </si>
  <si>
    <t>V10078C</t>
  </si>
  <si>
    <t>V10220A</t>
  </si>
  <si>
    <t>Công ty TNHH thương mại và dịch vụ tổng hợp Hòa Thắng</t>
  </si>
  <si>
    <t>Khu đô thị mới, thị trấn Chờ, H.Yên phong, tỉnh Bắc Ninh</t>
  </si>
  <si>
    <t>2300849937</t>
  </si>
  <si>
    <t>0962 281 084</t>
  </si>
  <si>
    <t>TMCP An Bình - CN Bắc Ninh, PGD Yên Phong</t>
  </si>
  <si>
    <t>100 100 548 4099</t>
  </si>
  <si>
    <t>V10220B</t>
  </si>
  <si>
    <t>V10220C</t>
  </si>
  <si>
    <t>V4028C0</t>
  </si>
  <si>
    <t>Công Ty TNHH Thương mại và Dịch Vụ V-Shine</t>
  </si>
  <si>
    <t>Xóm mới (tại nhà ông Vũ Văn Việt), Xã Hồng Thái, Huyện An Dương, Thành phố Hải Phòng, Việt Nam</t>
  </si>
  <si>
    <t>0201309327</t>
  </si>
  <si>
    <t>Ngân hàng TMCP Đông Á - Phòng Giao dịch Hồng Bàng</t>
  </si>
  <si>
    <t>012242460001</t>
  </si>
  <si>
    <t>V10173A</t>
  </si>
  <si>
    <t>Công ty TNHH Thương mại và Du lịch Minh Ngọc</t>
  </si>
  <si>
    <t>Số 332 Lê Thánh Tông, phường Máy Chai, quận Ngô Quyền, thành phố Hải Phòng, Việt Nam</t>
  </si>
  <si>
    <t>0200602280</t>
  </si>
  <si>
    <t>TMCP Công thương Lê Chân, Hải Phòng</t>
  </si>
  <si>
    <t>102010000779551</t>
  </si>
  <si>
    <t>V10173B</t>
  </si>
  <si>
    <t>V10173C</t>
  </si>
  <si>
    <t>V4039C0</t>
  </si>
  <si>
    <t>Số 17/4 Phù Đổng, Hoàng Văn Thụ, Minh Khai, Hồng Bàng, Hải Phòng</t>
  </si>
  <si>
    <t>0200771472</t>
  </si>
  <si>
    <t>109 20 59 59 59 012</t>
  </si>
  <si>
    <t>V10068A</t>
  </si>
  <si>
    <t>Công ty TNHH thương mại và giao nhận MI</t>
  </si>
  <si>
    <t>Số 12 Đồng Nai, phường 2,Quận Tân Bình, HCM</t>
  </si>
  <si>
    <t>0304938126</t>
  </si>
  <si>
    <t>Sumitomo Mitsui Banking Corporation. Hochiminh city Branch</t>
  </si>
  <si>
    <t>3100024-1</t>
  </si>
  <si>
    <t>V10068B</t>
  </si>
  <si>
    <t>Sumitomo Mitsui Banking Corporation-Hochiminh City Branch</t>
  </si>
  <si>
    <t>V10068C</t>
  </si>
  <si>
    <t>Sumitomo Mitsui Banking Corporation-Hochiminh city Branch</t>
  </si>
  <si>
    <t>V10168A</t>
  </si>
  <si>
    <t>Công ty TNHH Thương mại và kỹ thuật Châu Á</t>
  </si>
  <si>
    <t>Số 5, ngõ 4, phố Kim Mã, phường Kim Mã, quận Ba Đình, Thành phố Hà Nội, Việt Nam</t>
  </si>
  <si>
    <t>0104885276</t>
  </si>
  <si>
    <t>04 3248 4095</t>
  </si>
  <si>
    <t>TMCP Kỹ Thương Việt Nam - CN Hoàn Kiếm</t>
  </si>
  <si>
    <t>10823201292888</t>
  </si>
  <si>
    <t>V10168B</t>
  </si>
  <si>
    <t>V10168C</t>
  </si>
  <si>
    <t>V10154A</t>
  </si>
  <si>
    <t>Công ty TNHH Thương mại và phân phối linh kiện DPS Việt Nam</t>
  </si>
  <si>
    <t>147 Đường số 5, Khu đô thị An Phú - An Khánh, KP.2, P.Bình An, Quận 2, TP.HCM</t>
  </si>
  <si>
    <t>0310383874</t>
  </si>
  <si>
    <t>08 36630935</t>
  </si>
  <si>
    <t>TMCP Á Châu - PGD Đông Sài Gòn</t>
  </si>
  <si>
    <t>89128209</t>
  </si>
  <si>
    <t>V10154B</t>
  </si>
  <si>
    <t>V10154C</t>
  </si>
  <si>
    <t>V10083A</t>
  </si>
  <si>
    <t>Công ty TNHH Thương mại Vận tải và Sản xuất Hải Nguyên</t>
  </si>
  <si>
    <t>Tổ Mỹ Khê Tây, Phường Đồng Hòa, Quận Kiến An, TP Hải Phòng</t>
  </si>
  <si>
    <t>0201289631</t>
  </si>
  <si>
    <t>GP Bank Hải Phòng</t>
  </si>
  <si>
    <t>20058075</t>
  </si>
  <si>
    <t>V10083B</t>
  </si>
  <si>
    <t>V10083C</t>
  </si>
  <si>
    <t>V10195A</t>
  </si>
  <si>
    <t>Công ty TNHH Thương mại Xuất nhập khẩu Khai Tâm</t>
  </si>
  <si>
    <t>207/55 Hồ Học Lãm, P.An Lạc, Q.Bình Tân, TP.Hồ Chí Minh</t>
  </si>
  <si>
    <t>0310814030</t>
  </si>
  <si>
    <t>08 6266 3228</t>
  </si>
  <si>
    <t>V10195B</t>
  </si>
  <si>
    <t>V10195C</t>
  </si>
  <si>
    <t>V10231A</t>
  </si>
  <si>
    <t>Công ty TNHH thương mại Yuasa Việt Nam</t>
  </si>
  <si>
    <t>Phòng 1007, tầng 10, số 54-56, đường Nguyễn Trãi,Q1, TP Hồ Chí Minh</t>
  </si>
  <si>
    <t>0311612904</t>
  </si>
  <si>
    <t>VIETCOMBANK - HCMC BRANCH</t>
  </si>
  <si>
    <t>007.1000.691105</t>
  </si>
  <si>
    <t>V10231B</t>
  </si>
  <si>
    <t>V10231C</t>
  </si>
  <si>
    <t>V10116A</t>
  </si>
  <si>
    <t>Công ty TNHH TM Sa Giang</t>
  </si>
  <si>
    <t>Tầng 11, tòa nhà REE, số 9 Đoàn Văn Bơ, phường 12, quận 4, TP.HCM</t>
  </si>
  <si>
    <t>0301025946</t>
  </si>
  <si>
    <t>Ngân hàng Á Châu - CN Lê Văn Sỹ</t>
  </si>
  <si>
    <t>35816969</t>
  </si>
  <si>
    <t>V10116B</t>
  </si>
  <si>
    <t>V10116C</t>
  </si>
  <si>
    <t>CG440029C0</t>
  </si>
  <si>
    <t>Công ty TNHH TMDVGN Hàng Hải Trân Châu</t>
  </si>
  <si>
    <t>Lầu 1,Viconship Saigon,Số 6-8 Đoàn Văn Bơ,P9,Q4,TPHCM</t>
  </si>
  <si>
    <t>0310208287</t>
  </si>
  <si>
    <t>V4029C0</t>
  </si>
  <si>
    <t>Công ty TNHH Trang Thành</t>
  </si>
  <si>
    <t>Số 119 Nguyễn Đức Cảnh, Phường Cát Dài, Quận Lê Chân, TP Hải Phòng</t>
  </si>
  <si>
    <t>0200413565</t>
  </si>
  <si>
    <t>Ngân hàng TMCP Ngoại Thương Việt Nam - CN Hải Phòng</t>
  </si>
  <si>
    <t>0031000142204</t>
  </si>
  <si>
    <t>CG440009C0</t>
  </si>
  <si>
    <t>Số 119 Nguyễn Đức Cảnh, Phường Cát Dài, Hải Phòng</t>
  </si>
  <si>
    <t>V10219A</t>
  </si>
  <si>
    <t>Công ty TNHH tư vấn giải pháp Việt Nam</t>
  </si>
  <si>
    <t>291 Ngọc Thụy, phường Ngọc Thụy, quận Long Biên, thành phố Hà Nội, Việt Nam</t>
  </si>
  <si>
    <t>0102376562</t>
  </si>
  <si>
    <t>Vietcombank - CN Nam Sài Gòn</t>
  </si>
  <si>
    <t>0181003319501</t>
  </si>
  <si>
    <t>V10219B</t>
  </si>
  <si>
    <t>V10219C</t>
  </si>
  <si>
    <t>V10191A</t>
  </si>
  <si>
    <t>Công ty TNHH tư vấn kinh doanh và dịch vụ Yamato</t>
  </si>
  <si>
    <t>Số 82/333 Văn Cao, khu Thư Trung, Phường Đằng Lâm, quận Hải an, thành phố Hải Phòng, Việt Nam</t>
  </si>
  <si>
    <t>0313 870 718</t>
  </si>
  <si>
    <t>TMCP XNK Việt Nam - CN Hải Phòng</t>
  </si>
  <si>
    <t>160314851021702</t>
  </si>
  <si>
    <t>V10191B</t>
  </si>
  <si>
    <t>V10191C</t>
  </si>
  <si>
    <t>V10268C</t>
  </si>
  <si>
    <t>Công ty TNHH tư vấn Ngọc Lục Bảo</t>
  </si>
  <si>
    <t>Lầu 2, số 40 Phạm Ngọc Thạch, Phường 06, Quận 3, TP. HCM, Việt Nam</t>
  </si>
  <si>
    <t>0308799138</t>
  </si>
  <si>
    <t>08.39101347</t>
  </si>
  <si>
    <t>Ngân hàng Thương mại Cổ phần Á Châu (ACB) - CN Điện Biên Phủ</t>
  </si>
  <si>
    <t>61610299</t>
  </si>
  <si>
    <t>V4030C0</t>
  </si>
  <si>
    <t>Công ty TNHH tư vấn thuế Deloitte Việt Nam</t>
  </si>
  <si>
    <t>0103921690</t>
  </si>
  <si>
    <t>04 6268 3568</t>
  </si>
  <si>
    <t>Citibank Hà Nội - Tầng 1, số 17 Ngô Quyền, Hà Nội</t>
  </si>
  <si>
    <t>0201297001</t>
  </si>
  <si>
    <t>V10276C</t>
  </si>
  <si>
    <t>Công ty TNHH tư vấn và chuyển giao công nghệ Tiên Tiến</t>
  </si>
  <si>
    <t>Số 7B, ngõ 420, ngách Khương Đình, P.Hạ đình, Q.Thanh xuân, Hà nội</t>
  </si>
  <si>
    <t>0106141868</t>
  </si>
  <si>
    <t>Vietcombank - CN Ba đình</t>
  </si>
  <si>
    <t>0611.001.907.991</t>
  </si>
  <si>
    <t>V10073A</t>
  </si>
  <si>
    <t>Công ty TNHH Tùng Vi</t>
  </si>
  <si>
    <t>Khu I Dư Hàng Kênh, Quận Lê Chân, TP Hải Phòng</t>
  </si>
  <si>
    <t>0200597351</t>
  </si>
  <si>
    <t>0313.623.845</t>
  </si>
  <si>
    <t>Ngân hàng Techcombank- CN Hải Phòng</t>
  </si>
  <si>
    <t>10921419133015</t>
  </si>
  <si>
    <t>V10073B</t>
  </si>
  <si>
    <t>V10073C</t>
  </si>
  <si>
    <t>V10213A</t>
  </si>
  <si>
    <t>Công ty TNHH TUV Nord Việt Nam</t>
  </si>
  <si>
    <t>Tầng 8,tòa nhà Thăng Long, 105 Láng Hạ, Hà nội</t>
  </si>
  <si>
    <t>0101838278</t>
  </si>
  <si>
    <t>04.37722.892</t>
  </si>
  <si>
    <t>BIDV - CN Đông Đô</t>
  </si>
  <si>
    <t>125 100000 72169</t>
  </si>
  <si>
    <t>V10213B</t>
  </si>
  <si>
    <t>V10213C</t>
  </si>
  <si>
    <t>V10296C</t>
  </si>
  <si>
    <t>Công ty TNHH vật liệu công nghiệp Cao Sơn</t>
  </si>
  <si>
    <t>V10223A</t>
  </si>
  <si>
    <t>Công Ty TNHH Việt Thăng</t>
  </si>
  <si>
    <t>307/10 Nguyễn Văn Trỗi, Phường 1 , Quận Tân Bình, TP.HCM</t>
  </si>
  <si>
    <t>0302615708</t>
  </si>
  <si>
    <t>(08)38449946</t>
  </si>
  <si>
    <t>Vietcombank</t>
  </si>
  <si>
    <t>007.100.0719.709</t>
  </si>
  <si>
    <t>V10223B</t>
  </si>
  <si>
    <t>V10223C</t>
  </si>
  <si>
    <t>V4040C0</t>
  </si>
  <si>
    <t>Công ty TNHH Vũ Thanh</t>
  </si>
  <si>
    <t>Đông Phong, Minh Đức, Đồ Sơn, Hải Phòng</t>
  </si>
  <si>
    <t>0200625168</t>
  </si>
  <si>
    <t>0313.557.829</t>
  </si>
  <si>
    <t>VID Public Bank, Hải Phòng</t>
  </si>
  <si>
    <t>050-9-00-00-03195</t>
  </si>
  <si>
    <t>V4070C0</t>
  </si>
  <si>
    <t>Công ty TNHH Wellbe Việt Nam</t>
  </si>
  <si>
    <t>Tầng 5, Tòa nhà Sun red river, 23 Phan Chu Trinh, Q.Hoàn Kiếm, Hà nội</t>
  </si>
  <si>
    <t>0104035254</t>
  </si>
  <si>
    <t>04 3974 9354</t>
  </si>
  <si>
    <t>V10246A</t>
  </si>
  <si>
    <t>Công Ty TNHH Xây Dựng Thương Mại Dịch Vụ Vận Tải Nước Và Môi Trường</t>
  </si>
  <si>
    <t>Số 2 Lê Lợi, Quận Ngô Quyền, Thành Phố Hải Phòng</t>
  </si>
  <si>
    <t>0313760364</t>
  </si>
  <si>
    <t>Sacombank, CN Hải Phòng</t>
  </si>
  <si>
    <t>030017405922</t>
  </si>
  <si>
    <t>V10246B</t>
  </si>
  <si>
    <t>V10246C</t>
  </si>
  <si>
    <t>V10210A</t>
  </si>
  <si>
    <t>Công ty TNHH Xử lý nước Minh Hoàng</t>
  </si>
  <si>
    <t>Số 14, ngõ 64/67 Thái Thịnh-Thịnh Quang-Đống Đa-Hà Nội</t>
  </si>
  <si>
    <t>0101263710</t>
  </si>
  <si>
    <t>04.35373790</t>
  </si>
  <si>
    <t>Ngân hàng NN &amp; PTNT Việt Nam - CN Láng Hạ</t>
  </si>
  <si>
    <t>1400311010425</t>
  </si>
  <si>
    <t>V10210B</t>
  </si>
  <si>
    <t>V10210C</t>
  </si>
  <si>
    <t>V10175A</t>
  </si>
  <si>
    <t>Công ty TNHH Yaskawa Electric Việt Nam</t>
  </si>
  <si>
    <t>Phòng 1104, Lầu 11, Saigon Tower, 29 Lê Duẩn, P.Bến Nghé, Q.1, TP.HCM</t>
  </si>
  <si>
    <t>0312596860</t>
  </si>
  <si>
    <t>08 3822 8680</t>
  </si>
  <si>
    <t>Mizuho Bank Ltd - CN Ho Chi Minh</t>
  </si>
  <si>
    <t>H15-796-300554</t>
  </si>
  <si>
    <t>V10175B</t>
  </si>
  <si>
    <t>V10175C</t>
  </si>
  <si>
    <t>V10029A</t>
  </si>
  <si>
    <t>Công ty TNHH Yokogawa Việt Nam</t>
  </si>
  <si>
    <t>Tầng 10, tháp Hòa Bình, 106 Hoàng Quốc Việt, Cầu Giấy, Hà Nội</t>
  </si>
  <si>
    <t>0102033861</t>
  </si>
  <si>
    <t>04.37635115</t>
  </si>
  <si>
    <t>Mizuho Bank Ltd - CN Hà Nội</t>
  </si>
  <si>
    <t>H15-795-003699</t>
  </si>
  <si>
    <t>V10029B</t>
  </si>
  <si>
    <t>V10029C</t>
  </si>
  <si>
    <t>V4051A0</t>
  </si>
  <si>
    <t>Công ty TNHH Yusen Logistics (Việt Nam)</t>
  </si>
  <si>
    <t>Phòng 805, tòa nhà HITC, 239 Xuân Thủy, P.Dịch Vọng, Q.Cầu Giấy, Hà Nội</t>
  </si>
  <si>
    <t>0101936701</t>
  </si>
  <si>
    <t>(04)-3768 4641</t>
  </si>
  <si>
    <t>The Bank of Tokyo-Mitsubishi UFJ LTD- Chi nhánh Hà Nội</t>
  </si>
  <si>
    <t>143693</t>
  </si>
  <si>
    <t>V4051B0</t>
  </si>
  <si>
    <t>V4051C0</t>
  </si>
  <si>
    <t>CG440024C0</t>
  </si>
  <si>
    <t>V10074A</t>
  </si>
  <si>
    <t>V10074B</t>
  </si>
  <si>
    <t>V10074C</t>
  </si>
  <si>
    <t>V10135A</t>
  </si>
  <si>
    <t>Công Ty Trách Nhiệm Hữu Hạn Asiasun Việt Nam</t>
  </si>
  <si>
    <t>771 Đường Ngô Gia Tự, P. Đằng Lâm, Q. Hải An, TP Hải Phòng</t>
  </si>
  <si>
    <t>0201286870</t>
  </si>
  <si>
    <t>Ngân hàng TMCP Á Châu - PGD Lạch Tray - Hải Phòng</t>
  </si>
  <si>
    <t>152849019</t>
  </si>
  <si>
    <t>V10135B</t>
  </si>
  <si>
    <t>V10135C</t>
  </si>
  <si>
    <t>V10092A</t>
  </si>
  <si>
    <t>Công Ty Trách Nhiệm Hữu Hạn Sopet Gas One</t>
  </si>
  <si>
    <t>Ấp 2, Xã Phước Khánh, Huyện Nhơn Trạch, Tỉnh Đồng Nai</t>
  </si>
  <si>
    <t>3600817399</t>
  </si>
  <si>
    <t>08-54135466</t>
  </si>
  <si>
    <t>Vietcombank - Ho Chi Minh</t>
  </si>
  <si>
    <t>007.100.3314762</t>
  </si>
  <si>
    <t>V10092B</t>
  </si>
  <si>
    <t>V10092C</t>
  </si>
  <si>
    <t>V10027A</t>
  </si>
  <si>
    <t>Công ty Tropical Wave Corporation Việt Nam</t>
  </si>
  <si>
    <t>Phường Ngọc Châu, Thành Phố Hải Dương</t>
  </si>
  <si>
    <t>0800006427</t>
  </si>
  <si>
    <t>0541000248709</t>
  </si>
  <si>
    <t>V10027B</t>
  </si>
  <si>
    <t>V10027C</t>
  </si>
  <si>
    <t>CG480003C0</t>
  </si>
  <si>
    <t>V10176A</t>
  </si>
  <si>
    <t>Cửa hàng điện lạnh Vĩnh Lâm</t>
  </si>
  <si>
    <t>Số 3/5 Tầng An Dương, Tôn Đức Thắng, Lê Chân, Hải Phòng</t>
  </si>
  <si>
    <t>0200347601</t>
  </si>
  <si>
    <t>Đông Nam Á - Phòng giao dịch số 1, Minh Khai, Hải Phòng</t>
  </si>
  <si>
    <t>30200013416699</t>
  </si>
  <si>
    <t>V10176B</t>
  </si>
  <si>
    <t>V10176C</t>
  </si>
  <si>
    <t>V4076C0</t>
  </si>
  <si>
    <t>Cửa hàng KDTM Minh Anh</t>
  </si>
  <si>
    <t>Tổ 22, cụm 4 Đông Khê, Ngô Quyền, Hải Phòng</t>
  </si>
  <si>
    <t>8056940433</t>
  </si>
  <si>
    <t>Ngân hàng TMCP Quân đội - CN Máy Tơ</t>
  </si>
  <si>
    <t>2510 166 668 668</t>
  </si>
  <si>
    <t>V4031C0</t>
  </si>
  <si>
    <t>Cửa hàng Long Anh</t>
  </si>
  <si>
    <t>Tổ 11, phường Hòa Nghĩa, quận Dương Kinh, thành phố Hải Phòng</t>
  </si>
  <si>
    <t>8104100772</t>
  </si>
  <si>
    <t>0316 257 868</t>
  </si>
  <si>
    <t>VPBank Hải Phòng - PGD ngã 6</t>
  </si>
  <si>
    <t>38643746</t>
  </si>
  <si>
    <t>V10234A</t>
  </si>
  <si>
    <t>Cửa hàng Ngọc Hà</t>
  </si>
  <si>
    <t>Km 13 Quốc lộ 5 Tân Tiến - An Dương - Hải Phòng</t>
  </si>
  <si>
    <t>0200899987</t>
  </si>
  <si>
    <t>Ngân hàng TMCP Xăng dầu Petrolimex  - CN Hà Nội</t>
  </si>
  <si>
    <t>1147040008272</t>
  </si>
  <si>
    <t>V10234B</t>
  </si>
  <si>
    <t>Ngân TMCP Xăng dầu Petrolimex  - CN Hà Nội</t>
  </si>
  <si>
    <t>V10234C</t>
  </si>
  <si>
    <t>V10124A</t>
  </si>
  <si>
    <t>Cửa hàng thiết bị và vật tư công nghiệp Bảo An</t>
  </si>
  <si>
    <t>Số 8/30/94 Lê Lợi, P. Gia Viên, Q. Ngô Quyền, Tp. Hải Phòng</t>
  </si>
  <si>
    <t>0201630019</t>
  </si>
  <si>
    <t>167235379</t>
  </si>
  <si>
    <t>V10124B</t>
  </si>
  <si>
    <t>Số 8/30/94 Lê lợi, P. Gia Viên, Q. Ngô Quyền, TP. Hải Phòng</t>
  </si>
  <si>
    <t>V10124C</t>
  </si>
  <si>
    <t>V10011C</t>
  </si>
  <si>
    <t>Cửa hàng TM Tuấn Huyền</t>
  </si>
  <si>
    <t>Số 206 Khu 2 Quán Toán - Hồng Bàng - HP</t>
  </si>
  <si>
    <t>0200738429</t>
  </si>
  <si>
    <t>02001016886886</t>
  </si>
  <si>
    <t>V10011A</t>
  </si>
  <si>
    <t>V10011B</t>
  </si>
  <si>
    <t>V10003B</t>
  </si>
  <si>
    <t>Cửa hàng văn hóa phẩm TBVP Lê Hải Thanh</t>
  </si>
  <si>
    <t>273 Phan Bội Châu - Hải Phòng</t>
  </si>
  <si>
    <t>0200181265-4</t>
  </si>
  <si>
    <t>Ngân Hàng TMCP Kỹ Thương Việt Nam- Hải Phòng</t>
  </si>
  <si>
    <t>10920044185016</t>
  </si>
  <si>
    <t>V10003C</t>
  </si>
  <si>
    <t>V10003A</t>
  </si>
  <si>
    <t>V10133A</t>
  </si>
  <si>
    <t>Cửa hàng VMAX</t>
  </si>
  <si>
    <t>Thôn 5 Do Nha, Xã Tân Tiến, Huyện An Dương, TP.Hải Phòng</t>
  </si>
  <si>
    <t>0201320024</t>
  </si>
  <si>
    <t>2111201006219</t>
  </si>
  <si>
    <t>V10133B</t>
  </si>
  <si>
    <t>V10133C</t>
  </si>
  <si>
    <t>T3008C0</t>
  </si>
  <si>
    <t>Cục kiểm tra sau thông quan</t>
  </si>
  <si>
    <t>Hà Nội</t>
  </si>
  <si>
    <t>Kho bạc nhà nước thành phố Hà Nội</t>
  </si>
  <si>
    <t>7111</t>
  </si>
  <si>
    <t>T3002C0</t>
  </si>
  <si>
    <t>Cục thuế Hải Phòng</t>
  </si>
  <si>
    <t>Số 6 - Đà Nẵng - Ngô Quyền - Hải Phòng</t>
  </si>
  <si>
    <t>T3002C2</t>
  </si>
  <si>
    <t>T3002C3</t>
  </si>
  <si>
    <t>T3002C4</t>
  </si>
  <si>
    <t>T3002C5</t>
  </si>
  <si>
    <t>V20020A</t>
  </si>
  <si>
    <t>Daiichi Jitsugyo (Thailand) Co.,Ltd</t>
  </si>
  <si>
    <t>33/4 The 9th Towers Grand Rama 9 Tower B, TNB 04-05 23rd Floor, Rama 9 Road, Huaykwang, Bangkok 10310</t>
  </si>
  <si>
    <t>662-643-8118</t>
  </si>
  <si>
    <t>The bank of Tokyo - Mitsubishi UFJ-Bangkok Branch</t>
  </si>
  <si>
    <t>2100509191</t>
  </si>
  <si>
    <t>V20020B</t>
  </si>
  <si>
    <t>V20020C</t>
  </si>
  <si>
    <t>V20111A</t>
  </si>
  <si>
    <t>Dalian Canmade Rubber &amp; Plastics Machinery Co.,Ltd.</t>
  </si>
  <si>
    <t>Bank of China, Liaoning Branch</t>
  </si>
  <si>
    <t>292160169472</t>
  </si>
  <si>
    <t>V20111B</t>
  </si>
  <si>
    <t>V20111C</t>
  </si>
  <si>
    <t>V4084C0</t>
  </si>
  <si>
    <t>Đặng Thị Thu Phương</t>
  </si>
  <si>
    <t>392 Tô Hiệu, P.Hồ Nam, Q.Lê chân, Hải phòng</t>
  </si>
  <si>
    <t>0201656215</t>
  </si>
  <si>
    <t>2510166668668</t>
  </si>
  <si>
    <t>V4032C1</t>
  </si>
  <si>
    <t>Đặng Thu Vân</t>
  </si>
  <si>
    <t>Số 7 Lô 5, 81 Thiên Lôi, Nghĩa Xá, Lê Chân, Hải Phòng</t>
  </si>
  <si>
    <t>Ngân hàng Vietcombank, chi nhánh Hà Nội</t>
  </si>
  <si>
    <t>0491001862396</t>
  </si>
  <si>
    <t>BTMV-000</t>
  </si>
  <si>
    <t>DETAILS AS ATTACHED SHEET</t>
  </si>
  <si>
    <t>Details as attached sheet</t>
  </si>
  <si>
    <t>V20015A</t>
  </si>
  <si>
    <t>Dickson PTL</t>
  </si>
  <si>
    <t>465 RUE DES CHARTINIERES 01120 DAGNEUX FRANCE</t>
  </si>
  <si>
    <t>0033 437 85 80 33</t>
  </si>
  <si>
    <t>BNP PARIBAS - NORD DE FRANCE ENTREPRISES</t>
  </si>
  <si>
    <t>FR76 3000 4022 3300 0100 2537 025</t>
  </si>
  <si>
    <t>V20015B</t>
  </si>
  <si>
    <t>V20015C</t>
  </si>
  <si>
    <t>V10005A</t>
  </si>
  <si>
    <t>0200680546</t>
  </si>
  <si>
    <t>031.3822229 \ 031.3669797  (Fax)</t>
  </si>
  <si>
    <t>3211 0000 1866 35</t>
  </si>
  <si>
    <t>V10005B</t>
  </si>
  <si>
    <t>V10005C</t>
  </si>
  <si>
    <t>V4071C0</t>
  </si>
  <si>
    <t>Đỗ Thị Thu Hương</t>
  </si>
  <si>
    <t>Tiến Lập, Mỹ Đức, An Lão Hải Phòng</t>
  </si>
  <si>
    <t>Ngân hàng NN &amp; PTNT Việt Nam - CN An Lão</t>
  </si>
  <si>
    <t>2110 2051 22930</t>
  </si>
  <si>
    <t>V10002A</t>
  </si>
  <si>
    <t>Số 273 Phan Bội Châu,P. Phạm Hồng Thái, Q. Hồng Bàng, Hải Phòng</t>
  </si>
  <si>
    <t>0200412177</t>
  </si>
  <si>
    <t>0313 831 337/368</t>
  </si>
  <si>
    <t>Ngân hàng TMCP Á Châu-CN Hải Phòng</t>
  </si>
  <si>
    <t>3411229</t>
  </si>
  <si>
    <t>V10002B</t>
  </si>
  <si>
    <t>V10002C</t>
  </si>
  <si>
    <t>V20063A</t>
  </si>
  <si>
    <t>Dumbbell Co.,Ltd</t>
  </si>
  <si>
    <t>2243-1 Kasahata Kawagoe-shi, Saitama, 350-1175 Japan</t>
  </si>
  <si>
    <t>Mizuho Bank, Ltd. - Kawagoe-Ekimae Branch</t>
  </si>
  <si>
    <t>298-0106872</t>
  </si>
  <si>
    <t>V20063B</t>
  </si>
  <si>
    <t>V20063C</t>
  </si>
  <si>
    <t>V20095A</t>
  </si>
  <si>
    <t>Ecolab Pte Ltd</t>
  </si>
  <si>
    <t>2 Int'l Business Park 02-20, the Strategy Tower 2, Singapore 609930</t>
  </si>
  <si>
    <t>Citi bank NA- Singapore</t>
  </si>
  <si>
    <t>0-823840-012</t>
  </si>
  <si>
    <t>V20095B</t>
  </si>
  <si>
    <t>V20095C</t>
  </si>
  <si>
    <t>V20010A</t>
  </si>
  <si>
    <t>Evonik Wellink Silica (Nanping) Co.,Ltd</t>
  </si>
  <si>
    <t>Wellink Building, No.136 Xinjian Road, Nanping, Fujian, 353000 P.R. China</t>
  </si>
  <si>
    <t>+86 599 8608 357</t>
  </si>
  <si>
    <t>BANK OF CHINA- NANPING BRANCH</t>
  </si>
  <si>
    <t>426058375248</t>
  </si>
  <si>
    <t>V20010B</t>
  </si>
  <si>
    <t>V20010C</t>
  </si>
  <si>
    <t>CG470002C0</t>
  </si>
  <si>
    <t>32 Trần Phú, Ngô Quyền, Hải Phòng</t>
  </si>
  <si>
    <t>CG450002C0</t>
  </si>
  <si>
    <t>ExxonMobil Chemical Asia Pacific</t>
  </si>
  <si>
    <t>1 HarbourFront Place, #06-00 HarbourFront Tower One, Singapore</t>
  </si>
  <si>
    <t>V20028A</t>
  </si>
  <si>
    <t>1 HarbourFront Place, #06-00 HarbourFront Tower One Singapore 098633</t>
  </si>
  <si>
    <t>Bank of America N.A.- Singapore Branch</t>
  </si>
  <si>
    <t>6212-57112024</t>
  </si>
  <si>
    <t>V20028B</t>
  </si>
  <si>
    <t>V20028C</t>
  </si>
  <si>
    <t>107301A</t>
  </si>
  <si>
    <t>Firestone Polymers, LLC</t>
  </si>
  <si>
    <t>381 W. Wilbeth Road,Akron, OH  44301  U.S.A.</t>
  </si>
  <si>
    <t>1-800-282-0222</t>
  </si>
  <si>
    <t>JP Morgan Chase Bank</t>
  </si>
  <si>
    <t>52-59975</t>
  </si>
  <si>
    <t>V20117A</t>
  </si>
  <si>
    <t>FLEXSYS CHEMICALS (M) SDN BHD</t>
  </si>
  <si>
    <t>V20078A</t>
  </si>
  <si>
    <t>Forbo Shanghai Co.,Ltd</t>
  </si>
  <si>
    <t>Building 53, No.311, South Fute Rd., WGQ FTZ, Shanghai, China</t>
  </si>
  <si>
    <t>+86 21 5048-2699</t>
  </si>
  <si>
    <t>Bank of China Shanghai Waigaoqiao Sub-Branch</t>
  </si>
  <si>
    <t>433859238517</t>
  </si>
  <si>
    <t>V20078B</t>
  </si>
  <si>
    <t>V20078C</t>
  </si>
  <si>
    <t>V20011A</t>
  </si>
  <si>
    <t>Formosa Taffeta Co.,LTD</t>
  </si>
  <si>
    <t>11FL.,201 Tung Hwa N.RD. Taipei. Taiwan.</t>
  </si>
  <si>
    <t>+886-91-3530839</t>
  </si>
  <si>
    <t>TAIPEI FUBON COMMERCIAL BANK CO.,LTD- TUNG HWA BRANCH</t>
  </si>
  <si>
    <t>450-17-000001-9</t>
  </si>
  <si>
    <t>V20011B</t>
  </si>
  <si>
    <t>V20011C</t>
  </si>
  <si>
    <t>V20059A</t>
  </si>
  <si>
    <t>Fuji Die Co.,Ltd</t>
  </si>
  <si>
    <t>2-17-10 Shimomaruko Ohta-ku Tokyo 146-0092 Japan</t>
  </si>
  <si>
    <t>Sumitomo Mitsui Banking Corporation, Denenchofu Branch</t>
  </si>
  <si>
    <t>277859</t>
  </si>
  <si>
    <t>V20059B</t>
  </si>
  <si>
    <t>V20059C</t>
  </si>
  <si>
    <t>V20025A</t>
  </si>
  <si>
    <t>FUJIYA International Co.,Ltd</t>
  </si>
  <si>
    <t>2-6-32 MATSUBARA, HIGASHIOSAKA , OSAKA 578-0922, JAPAN</t>
  </si>
  <si>
    <t>+81-(0)72-963-0825</t>
  </si>
  <si>
    <t>Resona Bank Ltd - Higashiosaka Branch</t>
  </si>
  <si>
    <t>0133213</t>
  </si>
  <si>
    <t>V20025B</t>
  </si>
  <si>
    <t>V20025C</t>
  </si>
  <si>
    <t>V20031A</t>
  </si>
  <si>
    <t>Fushun Maxwell Specialty Wax Co., Ltd</t>
  </si>
  <si>
    <t>12# Shunyuan Road, Economic Development Zone Fushun, Liaoning, China Post Code 113122</t>
  </si>
  <si>
    <t>+86 24 56601266</t>
  </si>
  <si>
    <t>China Citic Bank Head office Beijing</t>
  </si>
  <si>
    <t>7214011482100000998</t>
  </si>
  <si>
    <t>V20031B</t>
  </si>
  <si>
    <t>V20031C</t>
  </si>
  <si>
    <t>CG450011C0</t>
  </si>
  <si>
    <t>V20032A</t>
  </si>
  <si>
    <t>GRP Ltd.</t>
  </si>
  <si>
    <t>510, A Wing, Kohinoor City C-I, Kirol Road Off L.B.S. Marg, Kurla (W), Mumbai - 400070, India</t>
  </si>
  <si>
    <t>+91 22 6708 2600/2500</t>
  </si>
  <si>
    <t>HDFC BANK LTD-FORT BRANCH</t>
  </si>
  <si>
    <t>00600120000447</t>
  </si>
  <si>
    <t>V20032B</t>
  </si>
  <si>
    <t>V20032C</t>
  </si>
  <si>
    <t>V20039A</t>
  </si>
  <si>
    <t>Hebei Arksulf Chemical Co.,Ltd</t>
  </si>
  <si>
    <t>Wuyi Suzheng Industry Park, Hengshui, Hebei, China</t>
  </si>
  <si>
    <t>+86-318-6883010</t>
  </si>
  <si>
    <t>Bank of China, Hengshui Branch Shengli Sub-Branch</t>
  </si>
  <si>
    <t>1002 2971 9200</t>
  </si>
  <si>
    <t>V20039B</t>
  </si>
  <si>
    <t>V20039C</t>
  </si>
  <si>
    <t>LS-000412</t>
  </si>
  <si>
    <t>Hiệu bánh Thanh Lịch</t>
  </si>
  <si>
    <t>162 Cầu Đất Hải phòng</t>
  </si>
  <si>
    <t>0200301131</t>
  </si>
  <si>
    <t>V20091A</t>
  </si>
  <si>
    <t>Hinode Industory Co.,Ltd</t>
  </si>
  <si>
    <t>181-1, Tobara, Kasuya-machi Kasuya-gun, Fukuoka, 811-2312, Japan</t>
  </si>
  <si>
    <t>+81-92-405-8220</t>
  </si>
  <si>
    <t>Nisi-Nippon Sity Bank - Tukiguma Branch</t>
  </si>
  <si>
    <t>833391</t>
  </si>
  <si>
    <t>V20091B</t>
  </si>
  <si>
    <t>V20091C</t>
  </si>
  <si>
    <t>V4032C0</t>
  </si>
  <si>
    <t>Hoàng Văn Quang</t>
  </si>
  <si>
    <t>Thôn 5, xã Thủy Sơn, huyện Thủy Nguyên, thành phố Hải Phòng</t>
  </si>
  <si>
    <t>0982 987 775</t>
  </si>
  <si>
    <t>Ngân hàng Nông nghiệp và phát triển nông thôn-huyện Thủy Nguyên</t>
  </si>
  <si>
    <t>2105205052478</t>
  </si>
  <si>
    <t>V4085C0</t>
  </si>
  <si>
    <t>HRnet One (Guangzhou) Limited</t>
  </si>
  <si>
    <t>Unit 3809 Guangzhou International Finance Center No5 West Zhujiang Road, Tianhe District, Guangzhou 510623 P R China</t>
  </si>
  <si>
    <t>HSBC BANK (CHINA) COMPANY LIMITED- GUANGZHOU BRANCH</t>
  </si>
  <si>
    <t>629-016999-001</t>
  </si>
  <si>
    <t>V10183A</t>
  </si>
  <si>
    <t>HYOSUNG VIETNAM CO.,LTD</t>
  </si>
  <si>
    <t>N2 Street, Nhon Trach 05 Industrial Zone, Nhon Trach District, Dong Nai, Vietnam</t>
  </si>
  <si>
    <t>3600890952</t>
  </si>
  <si>
    <t>0613566000 (ext: 2101)</t>
  </si>
  <si>
    <t>Industrial Bank of Korea - CN Ho Chi Minh</t>
  </si>
  <si>
    <t>076400043620001</t>
  </si>
  <si>
    <t>V10183B</t>
  </si>
  <si>
    <t>V10183C</t>
  </si>
  <si>
    <t>CG440028C0</t>
  </si>
  <si>
    <t>V20115C</t>
  </si>
  <si>
    <t>IHI Compressor and Machinery Co.,Ltd</t>
  </si>
  <si>
    <t>V3100C2</t>
  </si>
  <si>
    <t>IKAGAWA MASAFUMI</t>
  </si>
  <si>
    <t>Mizuho bank - Kurume branch</t>
  </si>
  <si>
    <t>1617788</t>
  </si>
  <si>
    <t>V20106A</t>
  </si>
  <si>
    <t>Inabata &amp; Co.,Ltd</t>
  </si>
  <si>
    <t>2-8-2, Nihonbashi Honcho, Chuo-ku, Tokyo, Japan</t>
  </si>
  <si>
    <t>Mizuho Bank, Ltd_Yokoyamacho Branch_Swift code MHCBJPJT</t>
  </si>
  <si>
    <t>9101934(USD), 9103295(EUR), 0100706(JPY</t>
  </si>
  <si>
    <t>V20066A</t>
  </si>
  <si>
    <t>Intralox Conveyor Belts (Shanghai) Ltd.</t>
  </si>
  <si>
    <t>No.23 workshop, No.150 Rijing Road, Waigaoqiao, Shanghai, P.R.C.</t>
  </si>
  <si>
    <t>+86-21-5111-8400</t>
  </si>
  <si>
    <t>Industrial and Commercial Bank of China, Shanghai Branch</t>
  </si>
  <si>
    <t>1001279909148130855</t>
  </si>
  <si>
    <t>V20066B</t>
  </si>
  <si>
    <t>V20066C</t>
  </si>
  <si>
    <t>V20033A</t>
  </si>
  <si>
    <t>IOI Acidchem SDN BHD</t>
  </si>
  <si>
    <t>2411, Lorong Perusahaan Satu, Prai Industrial Complex,13600 Prai, Penang,Malaysia,P.O.Box 237,12720 Butterworth, Penang,Malaysia</t>
  </si>
  <si>
    <t>V20033B</t>
  </si>
  <si>
    <t>371-167958-001</t>
  </si>
  <si>
    <t>V20033C</t>
  </si>
  <si>
    <t>V20081A</t>
  </si>
  <si>
    <t>Isobe Iron Works Co.,Ltd</t>
  </si>
  <si>
    <t>1-15 Chofu ougimachi, Shimonoseki Shi, Yamaguchi Ken 752-0927 Japan</t>
  </si>
  <si>
    <t>083-248-5300</t>
  </si>
  <si>
    <t>Yamaguchi Bank - Chofu Branch</t>
  </si>
  <si>
    <t>42998</t>
  </si>
  <si>
    <t>V20081B</t>
  </si>
  <si>
    <t>V20081C</t>
  </si>
  <si>
    <t>V20077A</t>
  </si>
  <si>
    <t>Itochu Chemical Frontier Corporation</t>
  </si>
  <si>
    <t>1-3, Umeda 3-Chome, Kita-ku, Osaka, 530-0001 Japan</t>
  </si>
  <si>
    <t>+81-6-7638-4781</t>
  </si>
  <si>
    <t>9100022</t>
  </si>
  <si>
    <t>V20077B</t>
  </si>
  <si>
    <t>V20077C</t>
  </si>
  <si>
    <t>V20100A</t>
  </si>
  <si>
    <t>Itochu Corporation</t>
  </si>
  <si>
    <t>1-3, Umeda 3-chome, Kita-Ku, Osaka 530-8448, Japan</t>
  </si>
  <si>
    <t>Mizuho Bank, Ltd. - Osaka Corporate Banking Branch</t>
  </si>
  <si>
    <t>V20100B</t>
  </si>
  <si>
    <t>V20100C</t>
  </si>
  <si>
    <t>V20052A</t>
  </si>
  <si>
    <t>Japan Automobile Tyre Manufacturers Association, Inc</t>
  </si>
  <si>
    <t>No.33 Mori Building, 3-8-21 Toranomon, Minato-ku, Tokyo, Japan 105-0001</t>
  </si>
  <si>
    <t>81-3-3435-9094</t>
  </si>
  <si>
    <t>Mizuho Bank, Ltd., Tokyo - Toranomon Branch</t>
  </si>
  <si>
    <t>V20052B</t>
  </si>
  <si>
    <t>V20052C</t>
  </si>
  <si>
    <t>CG480002C0</t>
  </si>
  <si>
    <t>Japan Business Association in VN</t>
  </si>
  <si>
    <t>Phòng 602 DMC Tower,535 K.Mã,B.Đình, Hà Nội</t>
  </si>
  <si>
    <t>V20034A</t>
  </si>
  <si>
    <t>Jiangsu Sinorgchem Technology Co.,Ltd</t>
  </si>
  <si>
    <t>No.1 Yaocheng Avenue, Taizhou, Jiangsu 225300, China</t>
  </si>
  <si>
    <t>+86-21-5061-9988</t>
  </si>
  <si>
    <t>Agricultural Bank of China, Jiangsu Branch</t>
  </si>
  <si>
    <t>10200014040018888</t>
  </si>
  <si>
    <t>V20034B</t>
  </si>
  <si>
    <t>V20034C</t>
  </si>
  <si>
    <t>V20012A</t>
  </si>
  <si>
    <t>Jiangxi Black Cat Import And Export Co.,Ltd</t>
  </si>
  <si>
    <t>No.910, Cidu Avenue, Jingdezhen, Jiangxi Province China</t>
  </si>
  <si>
    <t>Bank of China, Jingdezhen Branch</t>
  </si>
  <si>
    <t>203709146469</t>
  </si>
  <si>
    <t>V20012B</t>
  </si>
  <si>
    <t>V20012C</t>
  </si>
  <si>
    <t>V20103A</t>
  </si>
  <si>
    <t>Jiangxi Blackcat Singapore Pte.Ltd.</t>
  </si>
  <si>
    <t>SWIFT:BKCHSGSG</t>
  </si>
  <si>
    <t>190 Middle Road, 18-07 Fortune Centre, Singapore 188979</t>
  </si>
  <si>
    <t>0065-63339025</t>
  </si>
  <si>
    <t>Bank of China_Singapore branch</t>
  </si>
  <si>
    <t>00650090002485178</t>
  </si>
  <si>
    <t>V20103B</t>
  </si>
  <si>
    <t>V20103C</t>
  </si>
  <si>
    <t>V20086A</t>
  </si>
  <si>
    <t>JSR BST Elastomer Co.,Ltd</t>
  </si>
  <si>
    <t>175 Sathorn City Tower 10th Floor, South Sathorn Road, Tungmahamek. Bangkok 10120, Thailand</t>
  </si>
  <si>
    <t>Kasikornbank Public Co.,Ltd - Sathorn Branch</t>
  </si>
  <si>
    <t>038-92-0385-8</t>
  </si>
  <si>
    <t>V20086B</t>
  </si>
  <si>
    <t>V20086C</t>
  </si>
  <si>
    <t>V20024A</t>
  </si>
  <si>
    <t>JSR Trading Co.,Ltd</t>
  </si>
  <si>
    <t>1-9-2, Higashi-Shinbashi, Minato-ku, Tokyo 105-0021, Japan</t>
  </si>
  <si>
    <t>+81-3-6218-3810</t>
  </si>
  <si>
    <t>The Bank of Tokyo - Mitsubishi UFJ, Ltd. Nihonbashi Chuo-Branch</t>
  </si>
  <si>
    <t>349090</t>
  </si>
  <si>
    <t>V20024B</t>
  </si>
  <si>
    <t>V20024C</t>
  </si>
  <si>
    <t>V4043C0</t>
  </si>
  <si>
    <t>Kaminumaya</t>
  </si>
  <si>
    <t>396A Lạch Tray - Ngô Quyền - Hải Phòng</t>
  </si>
  <si>
    <t>0200690350</t>
  </si>
  <si>
    <t>VIETIN BANK - Chi nhánh Hải Phòng</t>
  </si>
  <si>
    <t>101010002636770</t>
  </si>
  <si>
    <t>V20049A</t>
  </si>
  <si>
    <t>Kanematsu KGK Corp.</t>
  </si>
  <si>
    <t>1-1-6, Sakuradai Nerima-ku, Tokyo, T176-8510</t>
  </si>
  <si>
    <t>The Bank of Tokyo - Mitsubishi UFJ, Head Office</t>
  </si>
  <si>
    <t>0828749</t>
  </si>
  <si>
    <t>V20049B</t>
  </si>
  <si>
    <t>V20049C</t>
  </si>
  <si>
    <t>V3500C0</t>
  </si>
  <si>
    <t>KAORU IWANO</t>
  </si>
  <si>
    <t>Japan</t>
  </si>
  <si>
    <t>MIZUHO BANK - YASAKA BRANCH</t>
  </si>
  <si>
    <t>255-1358736</t>
  </si>
  <si>
    <t>V4082C1</t>
  </si>
  <si>
    <t>003 100 016 8427</t>
  </si>
  <si>
    <t>V20045A</t>
  </si>
  <si>
    <t>Katou Kouzai Co.,Ltd</t>
  </si>
  <si>
    <t>7-14-6 Imagawa, Higashi Sumiyoshi-Ku Osaka, Japan</t>
  </si>
  <si>
    <t>06-6703-0371</t>
  </si>
  <si>
    <t>The Risona Bank, LTD. Tanabe Branch</t>
  </si>
  <si>
    <t>435-01-0958825</t>
  </si>
  <si>
    <t>V20045B</t>
  </si>
  <si>
    <t>V20045C</t>
  </si>
  <si>
    <t>V20087A</t>
  </si>
  <si>
    <t>Kawasaki Thermal Engineering Co.,Ltd</t>
  </si>
  <si>
    <t>1-5-25, Kiba, Koutou-ku, Tokyo 135 0042 Japan</t>
  </si>
  <si>
    <t>+81-3-3645-8251</t>
  </si>
  <si>
    <t>Mizuho Bank, Ltd - Tokyo International Operation Center</t>
  </si>
  <si>
    <t>1104431</t>
  </si>
  <si>
    <t>V20087B</t>
  </si>
  <si>
    <t>V20087C</t>
  </si>
  <si>
    <t>V20092A</t>
  </si>
  <si>
    <t>Kawata (Thailand) Co.,Ltd</t>
  </si>
  <si>
    <t>135/15-16, 8th Floor, Amonphan 205 Tower 2 Soi. Ratchadapisek 7 (Nathong), Ratchadapisek Road, Bangkok 10400 Thailand</t>
  </si>
  <si>
    <t>Kasikorn Bank Public Co.,Ltd - Rachadapisek-Huaykwang Branch</t>
  </si>
  <si>
    <t>089-1-07708-4</t>
  </si>
  <si>
    <t>V20092B</t>
  </si>
  <si>
    <t>V20092C</t>
  </si>
  <si>
    <t>V20018A</t>
  </si>
  <si>
    <t>Keyence Singapore PTE LTD</t>
  </si>
  <si>
    <t>151 Lorong Chuan #03-07 New Tech Park Lobby G, Singapore 556741</t>
  </si>
  <si>
    <t>Sumitomo Mitsui Banking Corporation, Singapore Branch</t>
  </si>
  <si>
    <t>221-0222-1</t>
  </si>
  <si>
    <t>V20018B</t>
  </si>
  <si>
    <t>V20018C</t>
  </si>
  <si>
    <t>V20016A</t>
  </si>
  <si>
    <t>Kiswire Cord Sdn.Bhd.</t>
  </si>
  <si>
    <t>Plo 475, Jalan Nibong,Kawasan Perindustrian Tanjung Langsat,81700 Pasir Gudang,Johor,Malaysia.</t>
  </si>
  <si>
    <t>07-2551475</t>
  </si>
  <si>
    <t>RHB Bank Berhad</t>
  </si>
  <si>
    <t>6-01053-0000168-5</t>
  </si>
  <si>
    <t>V20016B</t>
  </si>
  <si>
    <t>V20016C</t>
  </si>
  <si>
    <t>V20114C</t>
  </si>
  <si>
    <t>Kobe Steel.,Ltd</t>
  </si>
  <si>
    <t>V20068A</t>
  </si>
  <si>
    <t>Kohoku Seiko (Thailand) Co.,Ltd</t>
  </si>
  <si>
    <t>Pinthong 1 Industrial Estate 789/69 Moo1, T.Nongkham, A.Sriracha, Chonburi 20230, Thailand</t>
  </si>
  <si>
    <t>038-384-667</t>
  </si>
  <si>
    <t>Kasikorn Bank, Sriracha Branch</t>
  </si>
  <si>
    <t>172-2-46272-4</t>
  </si>
  <si>
    <t>V20068B</t>
  </si>
  <si>
    <t>V20068C</t>
  </si>
  <si>
    <t>V20027A</t>
  </si>
  <si>
    <t>Kumho Petrochemical Co.,Ltd</t>
  </si>
  <si>
    <t>East Wing 10-14 Floor, Signature Towers Seoul, 100 Cheonggyecheon-ro Jung-gu, Seoul, South Korea</t>
  </si>
  <si>
    <t>S.code: KOEXKRSE</t>
  </si>
  <si>
    <t>+ 82 2 6961 1763</t>
  </si>
  <si>
    <t>KEB Hana Bank,Business Division</t>
  </si>
  <si>
    <t>950-001707-257</t>
  </si>
  <si>
    <t>V20027B</t>
  </si>
  <si>
    <t>Switch code: KOEXKRSE</t>
  </si>
  <si>
    <t>V20027C</t>
  </si>
  <si>
    <t>OS-000056</t>
  </si>
  <si>
    <t>Kurume Seiin Goumei Kaisha</t>
  </si>
  <si>
    <t>16-29, Honmachi, Kurume, Fukuoka, Japan, 830-0044</t>
  </si>
  <si>
    <t>+81-942-32-4021</t>
  </si>
  <si>
    <t>The Bank Of Fukuoka Ltd- Kurume Branch</t>
  </si>
  <si>
    <t>317426</t>
  </si>
  <si>
    <t>CG440018C0</t>
  </si>
  <si>
    <t>Kyudenko Vietnam Co.,Ltd</t>
  </si>
  <si>
    <t>37 Tôn Đức Thắng, Bến Nghé, Quận 1, Hồ Chí Minh</t>
  </si>
  <si>
    <t>V10181A</t>
  </si>
  <si>
    <t>0311996464</t>
  </si>
  <si>
    <t>+84-8-3911-0460</t>
  </si>
  <si>
    <t>The Bank of Tokyo-Mitsubishi UFJ - Hochiminh Branch</t>
  </si>
  <si>
    <t>343196</t>
  </si>
  <si>
    <t>V10181B</t>
  </si>
  <si>
    <t>V10181C</t>
  </si>
  <si>
    <t>V20082A</t>
  </si>
  <si>
    <t>Laboratory Standards and Technologies</t>
  </si>
  <si>
    <t>227 Somerset, Borger, Texas, 79007</t>
  </si>
  <si>
    <t>JPMorgan Chase Bank, New York City</t>
  </si>
  <si>
    <t>10013536</t>
  </si>
  <si>
    <t>V20082B</t>
  </si>
  <si>
    <t>V20082C</t>
  </si>
  <si>
    <t>V4033C1</t>
  </si>
  <si>
    <t>Lâm Khánh Toàn</t>
  </si>
  <si>
    <t>CN5.1B - Khu hóa dầu - KCN Đình Vũ - P. Đông Hải II - Q. Hải An - Tp Hải Phòng</t>
  </si>
  <si>
    <t>0031000126842</t>
  </si>
  <si>
    <t>V20083A</t>
  </si>
  <si>
    <t>Lanxess Butyl Pte.Ltd</t>
  </si>
  <si>
    <t>Kennedyplatz 1, 50569 Cologne, Germany</t>
  </si>
  <si>
    <t>Bank of America NA, Atlanta</t>
  </si>
  <si>
    <t>3756583687</t>
  </si>
  <si>
    <t>V20083B</t>
  </si>
  <si>
    <t>V20083C</t>
  </si>
  <si>
    <t>V20036A</t>
  </si>
  <si>
    <t>Lanxess Deutschland GmbH</t>
  </si>
  <si>
    <t>Deutsche Bank AG-Leverkusen Branch</t>
  </si>
  <si>
    <t>V20036B</t>
  </si>
  <si>
    <t>V20036C</t>
  </si>
  <si>
    <t>V4062C1</t>
  </si>
  <si>
    <t>Lê Thị Vân Huyền</t>
  </si>
  <si>
    <t>0031000856618</t>
  </si>
  <si>
    <t>V20056A</t>
  </si>
  <si>
    <t>Leader Machine Co.,Ltd</t>
  </si>
  <si>
    <t>21-15 Shimoyagiri, Matsudo-City, Chiba-Pref. 271-0096 Japan</t>
  </si>
  <si>
    <t>+81 (0) 47-367-2695</t>
  </si>
  <si>
    <t>Sumitomo Mitsui Banking Corporation - Matsudo Branch</t>
  </si>
  <si>
    <t>7240084</t>
  </si>
  <si>
    <t>V20056B</t>
  </si>
  <si>
    <t>V20056C</t>
  </si>
  <si>
    <t>V20007A</t>
  </si>
  <si>
    <t>LG Chem, Ltd</t>
  </si>
  <si>
    <t>0082-2-3773-7592</t>
  </si>
  <si>
    <t>WOORI BANK, SEOUL- TWIN TOWER BRANCH</t>
  </si>
  <si>
    <t>V20007B</t>
  </si>
  <si>
    <t>V20007C</t>
  </si>
  <si>
    <t>V20061A</t>
  </si>
  <si>
    <t>Lintec Singapore Pte Ltd (SS)</t>
  </si>
  <si>
    <t>20 Bendemeer Road, #02-01 BS Bendemeer Centre Singapore 339914</t>
  </si>
  <si>
    <t>(65)62215854/62787072</t>
  </si>
  <si>
    <t>The bank of Tokyo-Mitsubishi UFJ, Ltd - Singapore Branch</t>
  </si>
  <si>
    <t>189042</t>
  </si>
  <si>
    <t>V20061B</t>
  </si>
  <si>
    <t>V20061C</t>
  </si>
  <si>
    <t>V20002A</t>
  </si>
  <si>
    <t>LMS Technologies PTE LTD</t>
  </si>
  <si>
    <t>20 Sin Ming Lane #05-59 Midview City, Singapore 573968</t>
  </si>
  <si>
    <t>DBS Bank-Singapore</t>
  </si>
  <si>
    <t>0004000039013022</t>
  </si>
  <si>
    <t>V20002B</t>
  </si>
  <si>
    <t>V20002C</t>
  </si>
  <si>
    <t>CG400001C0</t>
  </si>
  <si>
    <t>LOCAL EMPLOYEES</t>
  </si>
  <si>
    <t>V3000C0</t>
  </si>
  <si>
    <t>V20085A</t>
  </si>
  <si>
    <t>Maeda Seisakusho Co.,Ltd.</t>
  </si>
  <si>
    <t>1095 Onbegawa Shinonoi, Nagano City, Nagano 388-8522, Japan</t>
  </si>
  <si>
    <t>+81 (0) 26 292 2228</t>
  </si>
  <si>
    <t>Hachijuni Bank, Shinonoi Branch</t>
  </si>
  <si>
    <t>670435</t>
  </si>
  <si>
    <t>V20085B</t>
  </si>
  <si>
    <t>V20085C</t>
  </si>
  <si>
    <t>V3400C0</t>
  </si>
  <si>
    <t>MANABU HATANO</t>
  </si>
  <si>
    <t>2-12-8 Maruyama, Nakano-ku Tokyo 165-0021 JAPAN</t>
  </si>
  <si>
    <t>THE BANK OF TOKYO-MITSUBISHI UFJ, LTD - NOGATA BRANCH</t>
  </si>
  <si>
    <t>153-4627627</t>
  </si>
  <si>
    <t>V10227A</t>
  </si>
  <si>
    <t>Market</t>
  </si>
  <si>
    <t>V10227B</t>
  </si>
  <si>
    <t>V10227C</t>
  </si>
  <si>
    <t>V20046A</t>
  </si>
  <si>
    <t>Marukoshi Co.,Ltd</t>
  </si>
  <si>
    <t>5-16-17 Nango, Chigasaki-Shi, Kanagawa-Ken, Japan.253-0061</t>
  </si>
  <si>
    <t>00-81-467-87-1552</t>
  </si>
  <si>
    <t>The Bank of Tokyo-Mitsubishi UFJ Ltd, Fujisawa Branch</t>
  </si>
  <si>
    <t>0071097</t>
  </si>
  <si>
    <t>V20046B</t>
  </si>
  <si>
    <t>V20046C</t>
  </si>
  <si>
    <t>V20113C</t>
  </si>
  <si>
    <t>Megatech Corporation</t>
  </si>
  <si>
    <t>Chiba Port Side Tower 26F, 1-35, Tonya-Cho, Chuo-Ku, Chiba-City, Chiba,260-0025, Japan</t>
  </si>
  <si>
    <t>Mizuho Bank.,Ltd-Chiba Branch</t>
  </si>
  <si>
    <t>280-1610911</t>
  </si>
  <si>
    <t>V4083C0</t>
  </si>
  <si>
    <t>Mercer Japan Ltd</t>
  </si>
  <si>
    <t>Tokyo Opera City Tower 37FI. 3-20-2, Nishi-shinjuku, Shinjuku-ku, Tokyo 163-1437</t>
  </si>
  <si>
    <t>03 5354 1560</t>
  </si>
  <si>
    <t>The Hongkong Shanghai Banking Corporation Limited - Tokyo Office</t>
  </si>
  <si>
    <t>009-047036-006 (USD)</t>
  </si>
  <si>
    <t>V20040A</t>
  </si>
  <si>
    <t>Miwon Chemicals Co.,Ltd</t>
  </si>
  <si>
    <t>325-1 Seoksu 2-dong, Manan-gu, Anyang-si, Gyeonggi-do 430-806, Korea</t>
  </si>
  <si>
    <t>Keb Hana Bank - Beomgye Station Branch</t>
  </si>
  <si>
    <t>650-007963-871</t>
  </si>
  <si>
    <t>V20040B</t>
  </si>
  <si>
    <t>V20040C</t>
  </si>
  <si>
    <t>V4065C0</t>
  </si>
  <si>
    <t>Mizuho bank - Ha Noi Branch</t>
  </si>
  <si>
    <t>Tầng 4, Tòa nhà 63 LTT, 63 Lý Thái Tổ, Hoàn Kiếm, Hà nội</t>
  </si>
  <si>
    <t>CG470003C0</t>
  </si>
  <si>
    <t>Mizuho Bank, Ltd</t>
  </si>
  <si>
    <t>4th Floor,63 LTTBuilding,63 Ly Thai To, Hanoi</t>
  </si>
  <si>
    <t>V20088A</t>
  </si>
  <si>
    <t>Nakao Industry Co.,Ltd.</t>
  </si>
  <si>
    <t>142-5, Gonose, Hirogawa-cho Arida-gun, Wakayama, 643-0053, Japan</t>
  </si>
  <si>
    <t>V20088B</t>
  </si>
  <si>
    <t>V20088C</t>
  </si>
  <si>
    <t>V20093A</t>
  </si>
  <si>
    <t>Nakata Engineering Co.,Ltd</t>
  </si>
  <si>
    <t>+81-(0)78-965-1030</t>
  </si>
  <si>
    <t>Mizuho Bank, Ltd - Kobe Branch</t>
  </si>
  <si>
    <t>1685792</t>
  </si>
  <si>
    <t>V20093B</t>
  </si>
  <si>
    <t>V20093C</t>
  </si>
  <si>
    <t>V20009A</t>
  </si>
  <si>
    <t>Nanjing Shuguang Silane Chemical Co.,Ltd</t>
  </si>
  <si>
    <t>No.226, ChongFu Road, Chemical Industrial Park District, Nanjing, China</t>
  </si>
  <si>
    <t>China Guangfa Bank Co., Ltd-Nanjing Branch</t>
  </si>
  <si>
    <t>136041-709-14-0000035</t>
  </si>
  <si>
    <t>V20009B</t>
  </si>
  <si>
    <t>JiaDongCun, YouFangQiao,XiShanQiao Town, YuHuaTai District, Nanjing China</t>
  </si>
  <si>
    <t>V20009C</t>
  </si>
  <si>
    <t>V4075C0</t>
  </si>
  <si>
    <t>NGAN HANG THE BANK OF TOKYO - MITSUBISHI UFJ, LTD. CN TP HANOI</t>
  </si>
  <si>
    <t>Vietcombank, hội sở chính</t>
  </si>
  <si>
    <t>0681 00000 2787</t>
  </si>
  <si>
    <t>V4033C0</t>
  </si>
  <si>
    <t>Ngô Thị Phượng</t>
  </si>
  <si>
    <t>Quán hoa số 1, Quang Trung, Hồng Bàng, Hải Phòng</t>
  </si>
  <si>
    <t>0200931623</t>
  </si>
  <si>
    <t>10910900622011</t>
  </si>
  <si>
    <t>V4032C2</t>
  </si>
  <si>
    <t>Nguyễn Hồng Nam</t>
  </si>
  <si>
    <t>Nhà hàng Kaminumaya, 396A Lạch Tray, Ngô Quyền, Hải Phòng</t>
  </si>
  <si>
    <t>Ngân hàng Vietinbank , chi nhánh Hải Phòng</t>
  </si>
  <si>
    <t>BMV-0215</t>
  </si>
  <si>
    <t>Nguyễn Thị Hiền</t>
  </si>
  <si>
    <t>Purchase Dept. / BTMV</t>
  </si>
  <si>
    <t>0031000173042</t>
  </si>
  <si>
    <t>V4073C0</t>
  </si>
  <si>
    <t>NH Sumitomo Mitsui Banking Corp CN TP HN</t>
  </si>
  <si>
    <t>Vietcombank Hanoi Office</t>
  </si>
  <si>
    <t>068.100.379.3211</t>
  </si>
  <si>
    <t>V20065A</t>
  </si>
  <si>
    <t>NHV Corporation</t>
  </si>
  <si>
    <t>47, Umezu-Takase-cho, Ukyo-ku, Kyoto 615-8686, Japan</t>
  </si>
  <si>
    <t>+81(75)864-6831</t>
  </si>
  <si>
    <t>Sumitomo Mitsui Banking Corporation - Kyoto Branch</t>
  </si>
  <si>
    <t>205528</t>
  </si>
  <si>
    <t>V20065B</t>
  </si>
  <si>
    <t>V20065C</t>
  </si>
  <si>
    <t>V20099A</t>
  </si>
  <si>
    <t>NIKKA DENSOK LIMITED</t>
  </si>
  <si>
    <t>710 Shimoakasaka,Kawagoe-shi,Saitama-ken, Japan</t>
  </si>
  <si>
    <t>+81-49-266-7311</t>
  </si>
  <si>
    <t>The Bank of Tokyo-Mitsubishi UFJ, Ltd. - OYAMA Branch Branch</t>
  </si>
  <si>
    <t>9010852</t>
  </si>
  <si>
    <t>V20099B</t>
  </si>
  <si>
    <t>V20099C</t>
  </si>
  <si>
    <t>V20057A</t>
  </si>
  <si>
    <t>Nippon Steel &amp; Sumikin Texeng.Co.,Ltd</t>
  </si>
  <si>
    <t>Mitsubishi Building, 2-5-2, Marunouchi, Chiyoda-ku, Tokyo Japan</t>
  </si>
  <si>
    <t>+81-3-6860-6600</t>
  </si>
  <si>
    <t>Mizuho Bank Ltd., Kobunacho Branch</t>
  </si>
  <si>
    <t>19982</t>
  </si>
  <si>
    <t>V20057B</t>
  </si>
  <si>
    <t>V20057C</t>
  </si>
  <si>
    <t>V20069A</t>
  </si>
  <si>
    <t>Nissin Shoji Co.,Ltd</t>
  </si>
  <si>
    <t>Daiwa Shibaura BLDG 4F, 12-3, Shibaura 1- Chome, Minato-ku, Tokyo 105-0023, Japan</t>
  </si>
  <si>
    <t>+81 -(0)3-3457-6278</t>
  </si>
  <si>
    <t>1022918</t>
  </si>
  <si>
    <t>V20069B</t>
  </si>
  <si>
    <t>4th floor Daiwa Shibaura Building 12-3, Shibaura 1- Chome, Minato-ku, Tokyo, Japan 105-0023</t>
  </si>
  <si>
    <t>SUMITOMO MITSUI BANKING CORPORATION - Marunouchi Branch</t>
  </si>
  <si>
    <t>V20069C</t>
  </si>
  <si>
    <t>V20042A</t>
  </si>
  <si>
    <t>Nitta Corporation of Singapore PTE LTD</t>
  </si>
  <si>
    <t>120 Lower Delta Road, #05-07/08 Cendex Centre, Singapore 169208</t>
  </si>
  <si>
    <t>(65) 6438 8738</t>
  </si>
  <si>
    <t>187872</t>
  </si>
  <si>
    <t>V20042B</t>
  </si>
  <si>
    <t>V20042C</t>
  </si>
  <si>
    <t>V20035A</t>
  </si>
  <si>
    <t>Nocil Limited</t>
  </si>
  <si>
    <t>91 22 56364062</t>
  </si>
  <si>
    <t>HDFC BANK LTD., FORT BRANCH</t>
  </si>
  <si>
    <t>000 1032 000 1756</t>
  </si>
  <si>
    <t>V20035B</t>
  </si>
  <si>
    <t>Mafatlal House, H.T. Parekh Marg Backbay Reclamation , Churchgate, Mumbai 400 020, India</t>
  </si>
  <si>
    <t>V20035C</t>
  </si>
  <si>
    <t>CG430001C0</t>
  </si>
  <si>
    <t>NON-RESIDENT EXPATRIATES</t>
  </si>
  <si>
    <t>V3300C0</t>
  </si>
  <si>
    <t>V20058A</t>
  </si>
  <si>
    <t>Omron Asia Pacific Pte Ltd</t>
  </si>
  <si>
    <t>438A Alexandra Road, #05-05/08 Alexandra Technopark Singapore 119967</t>
  </si>
  <si>
    <t>The bank of Tokyo-Mitsubishi UFJ, Ltd</t>
  </si>
  <si>
    <t>058610</t>
  </si>
  <si>
    <t>V20058B</t>
  </si>
  <si>
    <t>V20058C</t>
  </si>
  <si>
    <t>V20004A</t>
  </si>
  <si>
    <t>Oosaki Kikou Co.,Ltd</t>
  </si>
  <si>
    <t>6-3-17 Minamishinagawa, Shinagawa-ku, Tokyo, Japan 140-0004</t>
  </si>
  <si>
    <t>+81-3-4530-3135</t>
  </si>
  <si>
    <t>Bank of Tokyo - Mitsubishi UFJ - Ooimachi Branch</t>
  </si>
  <si>
    <t>4512765</t>
  </si>
  <si>
    <t>V20004B</t>
  </si>
  <si>
    <t>V20004C</t>
  </si>
  <si>
    <t>V10104A</t>
  </si>
  <si>
    <t>OSG Vietnam Co.,Ltd</t>
  </si>
  <si>
    <t>Tầng 3-561 Kim Mã, P.Ngọc Khánh, Q.Ba Đình, Hà Nội</t>
  </si>
  <si>
    <t>0102981520</t>
  </si>
  <si>
    <t>04.3767.2857</t>
  </si>
  <si>
    <t>Sumitomo Mitsui Banking Corporation - Hanoi branch</t>
  </si>
  <si>
    <t>10028801</t>
  </si>
  <si>
    <t>V10104B</t>
  </si>
  <si>
    <t>V10104C</t>
  </si>
  <si>
    <t>V4087C0</t>
  </si>
  <si>
    <t>Park Hotel CQ Pte.Ltd</t>
  </si>
  <si>
    <t>No1 Unity Street, Singapore 237983</t>
  </si>
  <si>
    <t>DBS BANK LIMITED, MBFC BRANCH</t>
  </si>
  <si>
    <t>003-922159-2</t>
  </si>
  <si>
    <t>V4062C0</t>
  </si>
  <si>
    <t>Phạm Thị Thanh Huyền</t>
  </si>
  <si>
    <t>Quán hoa số 3, Quang Trung, Hồng Bàng, Hải phòng</t>
  </si>
  <si>
    <t>0200611736</t>
  </si>
  <si>
    <t>SHB - CN Lê Chân</t>
  </si>
  <si>
    <t>1100083627</t>
  </si>
  <si>
    <t>V20014A</t>
  </si>
  <si>
    <t>Phillips Carbon Black  Ltd</t>
  </si>
  <si>
    <t>31 Netaji Subhas Road, Post Box No.2229, Kolkata-700001, India</t>
  </si>
  <si>
    <t>Citibank, N.A. - Kanak Building Branch</t>
  </si>
  <si>
    <t>0013975019</t>
  </si>
  <si>
    <t>V20014B</t>
  </si>
  <si>
    <t>V20014C</t>
  </si>
  <si>
    <t>T3003C0</t>
  </si>
  <si>
    <t>Phòng Quản lý Xuất Nhập Cảnh</t>
  </si>
  <si>
    <t>V20071A</t>
  </si>
  <si>
    <t>PIPEBANK Co.,Ltd</t>
  </si>
  <si>
    <t>41, Yutongdanji 1-Ro, Gangseo-Gu, Busan, Korea (T-T-PLEX219-211)</t>
  </si>
  <si>
    <t>+82-51-796-1288</t>
  </si>
  <si>
    <t>Busanbank, Busan, Korea, Eobang Branch</t>
  </si>
  <si>
    <t>154 2001 9580 07</t>
  </si>
  <si>
    <t>V20071B</t>
  </si>
  <si>
    <t>V20071C</t>
  </si>
  <si>
    <t>V20073A</t>
  </si>
  <si>
    <t>PT Indo Kordsa TBK</t>
  </si>
  <si>
    <t>JL. Pahlawan Desa Karang Asem Timur Citeureup, Bogor, Jawa Barat 16810 Indonesia</t>
  </si>
  <si>
    <t>Standard Chartered Bank</t>
  </si>
  <si>
    <t>30600.142105</t>
  </si>
  <si>
    <t>V20073B</t>
  </si>
  <si>
    <t>V20073C</t>
  </si>
  <si>
    <t>CG450007C0</t>
  </si>
  <si>
    <t>PT. Bridgestone Tire Indonesia</t>
  </si>
  <si>
    <t>The Plaza Office Tower 11th Floor, JI. M. H. Thamrin Kav. 28-30</t>
  </si>
  <si>
    <t>350200A</t>
  </si>
  <si>
    <t>350200C</t>
  </si>
  <si>
    <t>V20076A</t>
  </si>
  <si>
    <t>PT.Bekaert Indonesia</t>
  </si>
  <si>
    <t>JL.Surya Utama Kav I-14 Kota Industri Suryacipta, Karawang 41361-Indonesia</t>
  </si>
  <si>
    <t>+0062 267 440 288</t>
  </si>
  <si>
    <t>Citibank NA</t>
  </si>
  <si>
    <t>0-104109-54-3</t>
  </si>
  <si>
    <t>V20076B</t>
  </si>
  <si>
    <t>V20076C</t>
  </si>
  <si>
    <t>V20047A</t>
  </si>
  <si>
    <t>Pyramid Corporation</t>
  </si>
  <si>
    <t>1178 Araki, Araki-machi, Kurume Fukuoka 830-0063, Japan</t>
  </si>
  <si>
    <t>03-3272-1917</t>
  </si>
  <si>
    <t>Mizuho Bank, Ltd. - Kyobashi Branch</t>
  </si>
  <si>
    <t>9105244</t>
  </si>
  <si>
    <t>V20047B</t>
  </si>
  <si>
    <t>V20047C</t>
  </si>
  <si>
    <t>V4044C0</t>
  </si>
  <si>
    <t>QSI International School of Haiphong Company Limited</t>
  </si>
  <si>
    <t>G6A-B Me Linh quarter, Anh Dung commune, Duong Kinh district, Haiphong city, Vietnam</t>
  </si>
  <si>
    <t>(84-31) 381 4258</t>
  </si>
  <si>
    <t>Indovina Bank, Haiphong Branch</t>
  </si>
  <si>
    <t>3322602.002</t>
  </si>
  <si>
    <t>V20105A</t>
  </si>
  <si>
    <t>R.K. Reclaim &amp; Rubber Products Pvt. Ltd</t>
  </si>
  <si>
    <t>S.code: HDFCINBB</t>
  </si>
  <si>
    <t>+9102642277220</t>
  </si>
  <si>
    <t>14502790000029</t>
  </si>
  <si>
    <t>CG420001C0</t>
  </si>
  <si>
    <t>RESIDENT EXPATRIATES</t>
  </si>
  <si>
    <t>V3200C0</t>
  </si>
  <si>
    <t>V20043A</t>
  </si>
  <si>
    <t>Rix Technology (Thailand) Co.,Ltd.</t>
  </si>
  <si>
    <t>1588/5 Bangna-trad RD.,Bangna,Bangna,Bangkok 10260</t>
  </si>
  <si>
    <t>02-1820146-7</t>
  </si>
  <si>
    <t>Bank of Ayudhya Public Co., Ltd-Bangkok Sathorn Branch</t>
  </si>
  <si>
    <t>2108100626</t>
  </si>
  <si>
    <t>V20043B</t>
  </si>
  <si>
    <t>V20043C</t>
  </si>
  <si>
    <t>V4082C0</t>
  </si>
  <si>
    <t>SAKO TOMOHIRO</t>
  </si>
  <si>
    <t>NH Vietcombank - CN Hải Phòng</t>
  </si>
  <si>
    <t>003 1000 149 715</t>
  </si>
  <si>
    <t>V20051A</t>
  </si>
  <si>
    <t>Sanyo Company Limited</t>
  </si>
  <si>
    <t>4-23-4-903 Takanawa, Minato-Ku, Tokyo 108, Japan</t>
  </si>
  <si>
    <t>81-3-3444-3411</t>
  </si>
  <si>
    <t>Sumitomo Mitsui Banking Corporation, Mita-Dori Branch</t>
  </si>
  <si>
    <t>7431835</t>
  </si>
  <si>
    <t>V20051B</t>
  </si>
  <si>
    <t>V20051C</t>
  </si>
  <si>
    <t>CG450001C0</t>
  </si>
  <si>
    <t>V20079A</t>
  </si>
  <si>
    <t>Sanyo Trading Co., LTD</t>
  </si>
  <si>
    <t>2-11 Kanda Nishiki-Cho, Chiyoda-Ku, Tokyo, 101-0054 Japan</t>
  </si>
  <si>
    <t>The bank of Tokyo-Mitsubishi UFJ, Ltd-Head Office</t>
  </si>
  <si>
    <t>0735603</t>
  </si>
  <si>
    <t>V20079B</t>
  </si>
  <si>
    <t>V20079C</t>
  </si>
  <si>
    <t>V20064A</t>
  </si>
  <si>
    <t>SB Chemical Co.,Ltd</t>
  </si>
  <si>
    <t>V20064B</t>
  </si>
  <si>
    <t>+82-31-491-3041</t>
  </si>
  <si>
    <t>Woori Bank, SME Fin.cen.Banwolgongdan Branch</t>
  </si>
  <si>
    <t>V20064C</t>
  </si>
  <si>
    <t>CG450005C0</t>
  </si>
  <si>
    <t>Shandong Sunsine Chemical Co., Ltd.</t>
  </si>
  <si>
    <t>Economy Technical Development Area, Shanxian City, Shandong Province</t>
  </si>
  <si>
    <t>V20101A</t>
  </si>
  <si>
    <t>Shandong Sunsine Chemical Co.,Ltd</t>
  </si>
  <si>
    <t>Economy Technical Development Area, Shanxian City, Shandong Province, China 274300</t>
  </si>
  <si>
    <t>Agricultural Bank Of China - Heze Branch</t>
  </si>
  <si>
    <t>15919114040000027</t>
  </si>
  <si>
    <t>V20101B</t>
  </si>
  <si>
    <t>V20101C</t>
  </si>
  <si>
    <t>V20038B</t>
  </si>
  <si>
    <t>V20038C</t>
  </si>
  <si>
    <t>V20038A</t>
  </si>
  <si>
    <t>V20030A</t>
  </si>
  <si>
    <t>Shandong Yanggu Huatai Chemical Co.,Ltd</t>
  </si>
  <si>
    <t>No.217 Qinghexi Road, Yanggu County,252300 China</t>
  </si>
  <si>
    <t>Bank Of China-Shandong Branch</t>
  </si>
  <si>
    <t>211701924074</t>
  </si>
  <si>
    <t>V20030B</t>
  </si>
  <si>
    <t>V20030C</t>
  </si>
  <si>
    <t>V20003A</t>
  </si>
  <si>
    <t>Shimadzu (Asia Pacific) Pte Ltd</t>
  </si>
  <si>
    <t>79 Science Park Drive #02-01/08, Cintech IV, Singapore Science Park 1, Singapore 118264</t>
  </si>
  <si>
    <t>The Bank of Tokyo - Mitsubishi, Ltd</t>
  </si>
  <si>
    <t>7126-001-059572</t>
  </si>
  <si>
    <t>V20003B</t>
  </si>
  <si>
    <t>V20003C</t>
  </si>
  <si>
    <t>V20060A</t>
  </si>
  <si>
    <t>Shinsho Corporation</t>
  </si>
  <si>
    <t>2-5, Nihonbashi 1-Chome, Chuo-ku, 103-8261 Tokyo, Japan</t>
  </si>
  <si>
    <t>The Bank of Tokyo-Mitsubishi UFJ, Ltd - Head Office</t>
  </si>
  <si>
    <t>0020125</t>
  </si>
  <si>
    <t>V20060B</t>
  </si>
  <si>
    <t>V20060C</t>
  </si>
  <si>
    <t>SWIFT: BOTKJPJT</t>
  </si>
  <si>
    <t>CG450009C0</t>
  </si>
  <si>
    <t>V20037A</t>
  </si>
  <si>
    <t>SI Group-Shanghai Co.,Ltd</t>
  </si>
  <si>
    <t>268 Jiangtian Road (E), Songjiang Industrial Zone, Shanghai 201600, China</t>
  </si>
  <si>
    <t>JPMorgan Chase Bank (China) Co., Ltd, Shanghai Branch</t>
  </si>
  <si>
    <t>2700015940</t>
  </si>
  <si>
    <t>V20037B</t>
  </si>
  <si>
    <t>V20037C</t>
  </si>
  <si>
    <t>V20017A</t>
  </si>
  <si>
    <t>Siam Okamura International Co.,Ltd</t>
  </si>
  <si>
    <t>3199 Maleenont Tower 19th Floor, Rama 4 road, Klongton, Klongtoey, Bangkok 10110 Thailand</t>
  </si>
  <si>
    <t>662-661-5474</t>
  </si>
  <si>
    <t>Sumitomo Mitsui Banking Corporation-Bangkok Branch</t>
  </si>
  <si>
    <t>20-1718102-1</t>
  </si>
  <si>
    <t>V20017B</t>
  </si>
  <si>
    <t>Switch code: SMBCTHBK</t>
  </si>
  <si>
    <t>Sumitomo Mitsui Banking Corporation-Bangkok branch</t>
  </si>
  <si>
    <t>V20017C</t>
  </si>
  <si>
    <t>V10070B</t>
  </si>
  <si>
    <t>05B Tôn Đức Thắng, Phường Bến Nghé, Quận 1, TP. HCM</t>
  </si>
  <si>
    <t>0302727641</t>
  </si>
  <si>
    <t>083.8251.900</t>
  </si>
  <si>
    <t>1008333-05-0</t>
  </si>
  <si>
    <t>V10070C</t>
  </si>
  <si>
    <t>V10070A</t>
  </si>
  <si>
    <t>V20062A</t>
  </si>
  <si>
    <t>SPM Instrument Japan KK</t>
  </si>
  <si>
    <t>Nagahori Bldg., 1-17-21, Minamisenba, Chuo-ku, Osaka 542-0081, Japan</t>
  </si>
  <si>
    <t>+81 6-6266-1171</t>
  </si>
  <si>
    <t>Mizuho Bank, LTD., - Minamisenba Branch</t>
  </si>
  <si>
    <t>0136782</t>
  </si>
  <si>
    <t>V20062B</t>
  </si>
  <si>
    <t>V20062C</t>
  </si>
  <si>
    <t>V20094A</t>
  </si>
  <si>
    <t>Sun-wa Technos (HK) Co.,Ltd</t>
  </si>
  <si>
    <t>Unit 1202-3, 12/F, Metropolis Tower, 10 Metropolis Drive, Hunghom, KLN, Hong Kong</t>
  </si>
  <si>
    <t>(852) 2350-4827</t>
  </si>
  <si>
    <t>The Bank of Tokyo-Mitsubishi UFJ,LTD - Hong Kong Branch</t>
  </si>
  <si>
    <t>80806016304</t>
  </si>
  <si>
    <t>V20094B</t>
  </si>
  <si>
    <t>V20094C</t>
  </si>
  <si>
    <t>V20022A</t>
  </si>
  <si>
    <t>Sun-Wa Technos Asia (Thailand) Co.,Ltd</t>
  </si>
  <si>
    <t>889 Thai CC Tower, 31st Floor, Room no.319, South Sathorn, Bangkok 10120 Thailand</t>
  </si>
  <si>
    <t>+66-2672.3581.5</t>
  </si>
  <si>
    <t>The Bank of Tokyo-Mitsubishi UFJ, Ltd - Bangkok branch</t>
  </si>
  <si>
    <t>2100826022</t>
  </si>
  <si>
    <t>V20022B</t>
  </si>
  <si>
    <t>V20022C</t>
  </si>
  <si>
    <t>V20041A</t>
  </si>
  <si>
    <t>Taekwang Fine Chemical Co.,Ltd</t>
  </si>
  <si>
    <t>82 Gyeongje-ro, Siheung-si, Gyeonggi-do,15096, Korea (Jeongwang-dong)</t>
  </si>
  <si>
    <t>+82-31-432-4735</t>
  </si>
  <si>
    <t>V20041B</t>
  </si>
  <si>
    <t>V20041C</t>
  </si>
  <si>
    <t>CG440020C0</t>
  </si>
  <si>
    <t>Takasago Vietnam Co.,Ltd</t>
  </si>
  <si>
    <t>Khu 3, Dịch vọng, Cầu Giấy, Hà Nội</t>
  </si>
  <si>
    <t>V10170A</t>
  </si>
  <si>
    <t>3rd floor, AC Office Building, Lot A1A, Handicraft&amp;Manufacturing Industrial Zone, Dich Vong Hau Ward,Cau Giay District,Hanoi,VN</t>
  </si>
  <si>
    <t>0102193872</t>
  </si>
  <si>
    <t>H15-795-004564</t>
  </si>
  <si>
    <t>V10170B</t>
  </si>
  <si>
    <t>V10170C</t>
  </si>
  <si>
    <t>V20050A</t>
  </si>
  <si>
    <t>Tanaka Ai Co.,Ltd</t>
  </si>
  <si>
    <t>Toranomon 2- Chome Tower, 21F, 2-3-17, Toranomon, Minato-ku, Tokyo 105-0001, Japan</t>
  </si>
  <si>
    <t>81-3-3501-6332</t>
  </si>
  <si>
    <t>Sumitomo Mitsui Banking Corporation, Hibiya Branch</t>
  </si>
  <si>
    <t>3013843</t>
  </si>
  <si>
    <t>V20050B</t>
  </si>
  <si>
    <t>V20050C</t>
  </si>
  <si>
    <t>OS-000102</t>
  </si>
  <si>
    <t>TEREX Global GmbH.</t>
  </si>
  <si>
    <t>Bank of America</t>
  </si>
  <si>
    <t>4427168770</t>
  </si>
  <si>
    <t>V20090A</t>
  </si>
  <si>
    <t>TEREX Singapore PTE LTD.</t>
  </si>
  <si>
    <t>23 Neythal Road BLK P #02-01 Singapore 628588</t>
  </si>
  <si>
    <t>(65) 66927781</t>
  </si>
  <si>
    <t>V20090B</t>
  </si>
  <si>
    <t>V20090C</t>
  </si>
  <si>
    <t>V20008A</t>
  </si>
  <si>
    <t>Textilwerke Todtnau Bernauer KG</t>
  </si>
  <si>
    <t>Meinrad Thoma Str. 14, 79674 Todtnau , Germany</t>
  </si>
  <si>
    <t>+49-7671-9117-0</t>
  </si>
  <si>
    <t>POSTBANK AG</t>
  </si>
  <si>
    <t>30410752</t>
  </si>
  <si>
    <t>V20008B</t>
  </si>
  <si>
    <t>V20008C</t>
  </si>
  <si>
    <t>350100A</t>
  </si>
  <si>
    <t>Thai Bridgestone Co.,Ltd</t>
  </si>
  <si>
    <t>14/3 Phaholyothin Rd.KM.33,Klong Nueng, Klong Luang Pathumthani 12120, Thailand.</t>
  </si>
  <si>
    <t>0-2516-8721-5</t>
  </si>
  <si>
    <t>Bank of Ayudhya Public Company Limited - Bangkok Sathorn Branch</t>
  </si>
  <si>
    <t>2100802689</t>
  </si>
  <si>
    <t>350100B</t>
  </si>
  <si>
    <t>Bangkok bank public Co., Ltd - Rangsit Thailand branch</t>
  </si>
  <si>
    <t>165-5-83089-9</t>
  </si>
  <si>
    <t>350100C</t>
  </si>
  <si>
    <t>CG450008C0</t>
  </si>
  <si>
    <t>14/3 Phaholyothin Road., Klong Luang, Pathumthani 12120, Thailand</t>
  </si>
  <si>
    <t>V20112A</t>
  </si>
  <si>
    <t>Mahatun plaza,12th Floor 888/122,128 Ploenchit road Lumpini Patumwan,BANGKOK 10330, THAILAND(office)</t>
  </si>
  <si>
    <t>6635-672150-4</t>
  </si>
  <si>
    <t>Citibank N.A-Bangkok Branch</t>
  </si>
  <si>
    <t>5118504129</t>
  </si>
  <si>
    <t>V20089A</t>
  </si>
  <si>
    <t>Thai Molten Bag and Film Ltd.,Part</t>
  </si>
  <si>
    <t>294/65 RK Office Park, Romklao Rd., Ladkrabang, Bangkok, Thailand, 10520</t>
  </si>
  <si>
    <t>+66-2184-9719</t>
  </si>
  <si>
    <t>Krung Thai Bank Public Company Limited (KTB)</t>
  </si>
  <si>
    <t>028-1-66925-2</t>
  </si>
  <si>
    <t>V20089B</t>
  </si>
  <si>
    <t>V20089C</t>
  </si>
  <si>
    <t>V20097A</t>
  </si>
  <si>
    <t>Thavorn Label&amp;Ribbon Co.,Ltd</t>
  </si>
  <si>
    <t>50/1 moo3, Khokkrabue, Muangsamutsakorn, Samutsakorn 74000, Thailand.</t>
  </si>
  <si>
    <t>158-304961-2</t>
  </si>
  <si>
    <t>V20097B</t>
  </si>
  <si>
    <t>V20097C</t>
  </si>
  <si>
    <t>V4055C0</t>
  </si>
  <si>
    <t>The Japan Business Association in Vietnam</t>
  </si>
  <si>
    <t>Room No. 602, DMC Tower, 535 Kim Ma Street, Ha Noi</t>
  </si>
  <si>
    <t>The Bank of Tokyo-Mitsubishi UFJ, Ltd. - Hanoi Branch</t>
  </si>
  <si>
    <t>044008</t>
  </si>
  <si>
    <t>V20019A</t>
  </si>
  <si>
    <t>The Tire and Rim Association,INC</t>
  </si>
  <si>
    <t>175 Montrose West Avenue, Suite 150 Copley, Ohio, 44321, USA</t>
  </si>
  <si>
    <t>(330)666-8121</t>
  </si>
  <si>
    <t>861859627</t>
  </si>
  <si>
    <t>V20019B</t>
  </si>
  <si>
    <t>V20019C</t>
  </si>
  <si>
    <t>V20001A</t>
  </si>
  <si>
    <t>The Zenitaka Corporation - BTMV Project</t>
  </si>
  <si>
    <t>31, Ichibancho, Chiyoda-ku, Tokyo, Japan</t>
  </si>
  <si>
    <t>Bank of Tokyo-Mitsubishi UFJ, HaNoi Branch</t>
  </si>
  <si>
    <t>242756</t>
  </si>
  <si>
    <t>V20001B</t>
  </si>
  <si>
    <t>V20001C</t>
  </si>
  <si>
    <t>CG450003C0</t>
  </si>
  <si>
    <t>CG450004C0</t>
  </si>
  <si>
    <t>The Zenitaka Corporation - BTMV Project Phase 3&amp;4</t>
  </si>
  <si>
    <t>V20102A</t>
  </si>
  <si>
    <t>The Bank of Tokyo - Mitsubishi UFJ, Hanoi Branch</t>
  </si>
  <si>
    <t>244740</t>
  </si>
  <si>
    <t>V20102B</t>
  </si>
  <si>
    <t>V20102C</t>
  </si>
  <si>
    <t>V20096A</t>
  </si>
  <si>
    <t>TIANJIN JIURONG WHEEL TECH CO., LTD</t>
  </si>
  <si>
    <t>Zhongzin Industrial Zone, Yan An Rd, Nankai Dist. Tianjian 300112</t>
  </si>
  <si>
    <t>86-22-27518788</t>
  </si>
  <si>
    <t>Industrial and Commercial Bank Of China Tianjin-NANKAI  sub-Br.</t>
  </si>
  <si>
    <t>0302070709911414078</t>
  </si>
  <si>
    <t>V20096B</t>
  </si>
  <si>
    <t>V20096C</t>
  </si>
  <si>
    <t>970060C</t>
  </si>
  <si>
    <t>TIRE MOLD (THAILAND) CO.,LTD.</t>
  </si>
  <si>
    <t>700/622 Amata Nakorn Industrial Estate, Moo 4 Bankao, Panthong, Chonburi 20160, Thailand</t>
  </si>
  <si>
    <t>The bank of Ayudhya public company Ltd- Bangkok Sathorn Branch</t>
  </si>
  <si>
    <t>2100822159</t>
  </si>
  <si>
    <t>V10028A</t>
  </si>
  <si>
    <t>TNT-Vietrans Express Worldwide (Vietnam) Ltd</t>
  </si>
  <si>
    <t>Cảng thông quan nội địa Mỹ Đình, Số 17 Phạm Hùng, xã Mỹ Đình, Huyện Từ Liêm, Thành phố Hà Nội</t>
  </si>
  <si>
    <t>0100112613</t>
  </si>
  <si>
    <t>04 37950001</t>
  </si>
  <si>
    <t>CitiBank - CN Hà Nội 17 Ngô Quyền, Hà Nội</t>
  </si>
  <si>
    <t>0200888189</t>
  </si>
  <si>
    <t>V10028B</t>
  </si>
  <si>
    <t>V10028C</t>
  </si>
  <si>
    <t>V20013A</t>
  </si>
  <si>
    <t>Tokai Carbon(Tianjin) Co.,Ltd.</t>
  </si>
  <si>
    <t>No.45 Xixia Road,Teda Chemical Industry Park,Tianjin P.R.China 300480</t>
  </si>
  <si>
    <t>+86-022-5991-1003</t>
  </si>
  <si>
    <t>Bank of Tokyo-Mitsubishi UFJ( China ), Ltd., Tianjin Branch</t>
  </si>
  <si>
    <t>151491</t>
  </si>
  <si>
    <t>V20013B</t>
  </si>
  <si>
    <t>V20013C</t>
  </si>
  <si>
    <t>V20109A</t>
  </si>
  <si>
    <t>TOKOKOSEN CORP.</t>
  </si>
  <si>
    <t>Ban Building 4-2,Yonbancho Chiyoda-ku,Tokyo, 102-8362 Japan</t>
  </si>
  <si>
    <t>Sw:BOTKJPJT</t>
  </si>
  <si>
    <t>81-3-3512-3931</t>
  </si>
  <si>
    <t>The Bank of Tokyo- Mitsubishi UFJ,Ltd.Aoyamadori Branch</t>
  </si>
  <si>
    <t>0024682</t>
  </si>
  <si>
    <t>V20080A</t>
  </si>
  <si>
    <t>Tokyo Zairyo Co.,Ltd</t>
  </si>
  <si>
    <t>1-6-2 Marunouchi, 1-Chome, Chiyoda-ku , Tokyo 100-0005 , Japan</t>
  </si>
  <si>
    <t>The bank of Tokyo-Mitsubishi UFJ, LTD SHIMBASHI BRANCH</t>
  </si>
  <si>
    <t>4462467</t>
  </si>
  <si>
    <t>V20080B</t>
  </si>
  <si>
    <t>V20080C</t>
  </si>
  <si>
    <t>V20006A</t>
  </si>
  <si>
    <t>Toyo Seiki Seisaku-Sho, Ltd</t>
  </si>
  <si>
    <t>15-4, Takinogawa 5-Chome, Kita-Ku, Tokyo 114-8558 Japan</t>
  </si>
  <si>
    <t>81-3-3916-8183</t>
  </si>
  <si>
    <t>BANK OF  TOKYO MITSUBISHI UFJ - SUGAMO BRANCH</t>
  </si>
  <si>
    <t>2160</t>
  </si>
  <si>
    <t>V20006B</t>
  </si>
  <si>
    <t>V20006C</t>
  </si>
  <si>
    <t>BANK OF TOKYO MITSUBISHI UFJ - SUGAMO BRANCH</t>
  </si>
  <si>
    <t>V20072A</t>
  </si>
  <si>
    <t>Toyotsu Chemiplas Corporation</t>
  </si>
  <si>
    <t>Shinagawa Front Bldg. 11F, 3-13, Konan 2-chome, Minato-ku, Tokyo 108-8216 Japan</t>
  </si>
  <si>
    <t>81-3-43065885</t>
  </si>
  <si>
    <t>Sumitomo Mitsui Banking Corporation Head office</t>
  </si>
  <si>
    <t>2037134</t>
  </si>
  <si>
    <t>V20072B</t>
  </si>
  <si>
    <t>V20072C</t>
  </si>
  <si>
    <t>V20048A</t>
  </si>
  <si>
    <t>Trigon Gulf FZCO</t>
  </si>
  <si>
    <t>P.O. Box 61468, Jebel Ali, Dubai, U.A.E.</t>
  </si>
  <si>
    <t>+971 4 8832010</t>
  </si>
  <si>
    <t>HSBC Bank Middle East Ltd.,Jebel Ali Branch</t>
  </si>
  <si>
    <t>AE950200000035069384101</t>
  </si>
  <si>
    <t>V20048B</t>
  </si>
  <si>
    <t>V20048C</t>
  </si>
  <si>
    <t>V4034C0</t>
  </si>
  <si>
    <t>Trung tâm Bồi dưỡng chính trị huyện An Dương</t>
  </si>
  <si>
    <t>Số 183, tổ 4, thị trấn An Dương, huyện An Dương, Hải Phòng</t>
  </si>
  <si>
    <t>0313.671.387</t>
  </si>
  <si>
    <t>Kho bạc Nhà nước An Dương</t>
  </si>
  <si>
    <t>3713.0.1067946</t>
  </si>
  <si>
    <t>V4035C0</t>
  </si>
  <si>
    <t>Trung tâm Dịch vụ việc làm Khu kinh tế Hải Phòng</t>
  </si>
  <si>
    <t>24 Cù Chính Lan, Hồng Bàng, Hải Phòng</t>
  </si>
  <si>
    <t>0200355803-001</t>
  </si>
  <si>
    <t>Ngân hàng TMCP Công thương Việt Nam - CN Hồng Bàng</t>
  </si>
  <si>
    <t>V10047A</t>
  </si>
  <si>
    <t>Trung tâm Hỗ trợ kỹ thuật an toàn bức xạ hạt nhân và ứng phó sự cố</t>
  </si>
  <si>
    <t>Số 56, phố Linh Lang - Quận Ba Đình - Thành phố Hà Nội</t>
  </si>
  <si>
    <t>0103071972</t>
  </si>
  <si>
    <t>Ngân hàng NN&amp;PTNT, CN Hà Nội - PGD Linh Lang</t>
  </si>
  <si>
    <t>1500201063462</t>
  </si>
  <si>
    <t>V10047B</t>
  </si>
  <si>
    <t>CN Ngân hàng Nông nghiệp HN - PGD Linh Lang</t>
  </si>
  <si>
    <t>V10047C</t>
  </si>
  <si>
    <t>V10264C</t>
  </si>
  <si>
    <t>Trung tâm Hỗ trợ Kỹ thuật an toàn công nghiệp</t>
  </si>
  <si>
    <t>Phòng 31, Tầng 3, Số 91 Đinh Tiên Hoàng, Phường Tràng Tiền, Quận Hoàn Kiếm, TP. Hà Nội</t>
  </si>
  <si>
    <t>0100792912</t>
  </si>
  <si>
    <t>04.39344140</t>
  </si>
  <si>
    <t>Ngân hàng TMCP Công thương Việt Nam - Chi nhánh Hà Nội</t>
  </si>
  <si>
    <t>102010000031815</t>
  </si>
  <si>
    <t>V4045C0</t>
  </si>
  <si>
    <t>TRUNG TÂM KIỂM ĐỊNH KỸ THUẬT AN TOÀN HẢI PHÒNG</t>
  </si>
  <si>
    <t>Số 2 đường Nguyễn Sơn Hà, Phường Vĩnh Niệm, Quận Lê Chân, TP Hải Phòng</t>
  </si>
  <si>
    <t>0200809278</t>
  </si>
  <si>
    <t>0313.533278</t>
  </si>
  <si>
    <t>Ngân Hàng Thương Mại Cổ Phần Hàng Hải- chi nhánh Hải Phòng</t>
  </si>
  <si>
    <t>02001010051093</t>
  </si>
  <si>
    <t>V10043A</t>
  </si>
  <si>
    <t>TRUNG TÂM KIỂM ĐỊNH KỸ THUẬT AN TOÀN KHU VỰC I</t>
  </si>
  <si>
    <t>0100110341</t>
  </si>
  <si>
    <t>04.39448651</t>
  </si>
  <si>
    <t>Ngân hàng TMCP Ngoại Thương Việt Nam - Sở giao dịch</t>
  </si>
  <si>
    <t>0011004014831</t>
  </si>
  <si>
    <t>V10043B</t>
  </si>
  <si>
    <t>V10043C</t>
  </si>
  <si>
    <t>V10049A</t>
  </si>
  <si>
    <t>Trung tâm kinh doanh VNPT-Hải Phòng Chi nhánh tổng công ty dịch vụ viễn thông</t>
  </si>
  <si>
    <t>Số 4 Lạch Tray - Ngô Quyền - Hải Phòng</t>
  </si>
  <si>
    <t>0106869738-056</t>
  </si>
  <si>
    <t>V10049B</t>
  </si>
  <si>
    <t>V10049C</t>
  </si>
  <si>
    <t>V4069C0</t>
  </si>
  <si>
    <t>Trung tâm kinh doanh VNPT-Hải Phòng, Chi nhánh Tổng công ty dịch vụ viễn thông</t>
  </si>
  <si>
    <t>Số 4, Lạch tray, P.Lạch tray, Q.Ngô quyền, Hải phòng</t>
  </si>
  <si>
    <t>031.800126</t>
  </si>
  <si>
    <t>V10285C</t>
  </si>
  <si>
    <t>V10019A</t>
  </si>
  <si>
    <t>Trung Tâm Quan trắc Môi trường</t>
  </si>
  <si>
    <t>0200588244</t>
  </si>
  <si>
    <t>TMCP Công Thương Việt Nam - CN Tô Hiệu Hải Phòng</t>
  </si>
  <si>
    <t>102010000321839</t>
  </si>
  <si>
    <t>V10019B</t>
  </si>
  <si>
    <t>V10019C</t>
  </si>
  <si>
    <t>V10036B</t>
  </si>
  <si>
    <t>Trung tâm tần số vô tuyến điện khu vực V</t>
  </si>
  <si>
    <t>783 Tôn Đức Thắng, P. Sở Dầu, Q. Hồng Bàng, Hải Phòng</t>
  </si>
  <si>
    <t>0313 827857</t>
  </si>
  <si>
    <t>Ngân hàng Công thương - CN Hải Phòng</t>
  </si>
  <si>
    <t>102010000200321</t>
  </si>
  <si>
    <t>V10036C</t>
  </si>
  <si>
    <t>V10036A</t>
  </si>
  <si>
    <t>V4063C0</t>
  </si>
  <si>
    <t>Trung tâm viễn thông khu vực I</t>
  </si>
  <si>
    <t>30 Phạm Hùng, Mỹ Đình, Từ Liêm, Hà Nội</t>
  </si>
  <si>
    <t>V10130A</t>
  </si>
  <si>
    <t>Trung tâm viễn thông khu vực I - Chi nhánh Công ty Viễn thông liên tỉnh</t>
  </si>
  <si>
    <t>30 Phạm Hùng, Từ Liêm, Hà Nội</t>
  </si>
  <si>
    <t>0100686216-001</t>
  </si>
  <si>
    <t>04.38400054</t>
  </si>
  <si>
    <t>TMCP Công Thương Việt Nam chi nhánh Ba Đình - Hà Nội</t>
  </si>
  <si>
    <t>10201 000 000 0989</t>
  </si>
  <si>
    <t>V10130B</t>
  </si>
  <si>
    <t>V10130C</t>
  </si>
  <si>
    <t>V10165A</t>
  </si>
  <si>
    <t>Trung tâm y tế dự phòng</t>
  </si>
  <si>
    <t>21 Lê Đại Hành, Hồng Bàng, Hải Phòng</t>
  </si>
  <si>
    <t>0200139961</t>
  </si>
  <si>
    <t>Kho bạc nhà nước Hải Phòng</t>
  </si>
  <si>
    <t>3511, cấp NS 2. Mã ĐVQHNS 1070297</t>
  </si>
  <si>
    <t>V10165B</t>
  </si>
  <si>
    <t>V10165C</t>
  </si>
  <si>
    <t>V20029A</t>
  </si>
  <si>
    <t>Ube Industries, Ltd</t>
  </si>
  <si>
    <t>Seavans North Building,1-2-1, Shibaura, Minato-Ku, Tokyo 105-8449, Japan</t>
  </si>
  <si>
    <t>The Bank Of Tokyo -Mitsubishi UFJ Ltd. Tokyo Main Office</t>
  </si>
  <si>
    <t>0004208</t>
  </si>
  <si>
    <t>V20029B</t>
  </si>
  <si>
    <t>V20029C</t>
  </si>
  <si>
    <t>V20107C</t>
  </si>
  <si>
    <t>ULVAC Singapore PTE TLD</t>
  </si>
  <si>
    <t>11 Tampiness Street 92 Tampines Biz-Hub #02-08 Singapore 528872</t>
  </si>
  <si>
    <t>65-65422700</t>
  </si>
  <si>
    <t>Sumitomo Mitsui Banking Corporation</t>
  </si>
  <si>
    <t>1695951-1</t>
  </si>
  <si>
    <t>V4036C0</t>
  </si>
  <si>
    <t>Uryu &amp; Itoga - Hanoi Branch</t>
  </si>
  <si>
    <t>12th Floor, BIDV Building, 194 Tran Quang Khai Street, Hoan Kiem District, Hanoi, Vietnam</t>
  </si>
  <si>
    <t>+81-3-5575-8400</t>
  </si>
  <si>
    <t>The Bank of Tokyo - Mitsubishi UFJ Hanoi Branch</t>
  </si>
  <si>
    <t>243558</t>
  </si>
  <si>
    <t>V20023A</t>
  </si>
  <si>
    <t>Valqua Industries (Thailand), Ltd.</t>
  </si>
  <si>
    <t>53 Moo 4 Bangpoo Industrial Estate, Pattana2 Road, Muang District, Samutprakarn 10280</t>
  </si>
  <si>
    <t>324-0400-1</t>
  </si>
  <si>
    <t>The Sumitomo Mitsui Banking Corporation , Bangkok Branch</t>
  </si>
  <si>
    <t>2035649671</t>
  </si>
  <si>
    <t>V20023B</t>
  </si>
  <si>
    <t>V20023C</t>
  </si>
  <si>
    <t>V10101A</t>
  </si>
  <si>
    <t>VIỆN ĐO LƯỜNG VIỆT NAM</t>
  </si>
  <si>
    <t>Số 8 Hoàng Quốc Việt, phường Nghĩa Đô, quận Cầu Giấy, thành phố Hà Nội</t>
  </si>
  <si>
    <t>0100407085</t>
  </si>
  <si>
    <t>Chi nhánh Ngân hàng Nông nghiệp và Phát triển nông thôn Tây Đô</t>
  </si>
  <si>
    <t>14624311.20.000089</t>
  </si>
  <si>
    <t>V10101B</t>
  </si>
  <si>
    <t>V10101C</t>
  </si>
  <si>
    <t>V4037C0</t>
  </si>
  <si>
    <t>Viện hóa học</t>
  </si>
  <si>
    <t>18 Hoàng Quốc Việt, Nghĩa Đô, Cầu Giấy, Hà Nội</t>
  </si>
  <si>
    <t>043.7564312</t>
  </si>
  <si>
    <t>TMCP Công thương Việt Nam - CN Nam Thăng Long, Hà Nội</t>
  </si>
  <si>
    <t>102010001498541</t>
  </si>
  <si>
    <t>LS-000376</t>
  </si>
  <si>
    <t>Viện quản lý toàn cầu</t>
  </si>
  <si>
    <t>P.304, Tòa nhà Đa Năng, 169 Nguyễn Ngọc Vũ, Quận Cầu Giấy, Hà Nội</t>
  </si>
  <si>
    <t>0100514947-010</t>
  </si>
  <si>
    <t>04.35551723</t>
  </si>
  <si>
    <t>TMCP Đầu tư và phát triển Việt Nam - CN Đông Đô</t>
  </si>
  <si>
    <t>1251 0000 160 116</t>
  </si>
  <si>
    <t>CG440002C0</t>
  </si>
  <si>
    <t>Viễn thông Hải Phòng</t>
  </si>
  <si>
    <t>Số 4, Lạch Tray, Ngô Quyền, Hải Phòng</t>
  </si>
  <si>
    <t>V4047C0</t>
  </si>
  <si>
    <t>0200287977</t>
  </si>
  <si>
    <t>TMCP Hàng hải - CN Hải Phòng</t>
  </si>
  <si>
    <t>0200 1010 8888 88</t>
  </si>
  <si>
    <t>V10278C</t>
  </si>
  <si>
    <t>Viện y học biển</t>
  </si>
  <si>
    <t>Võ Nguyên Giáp, P.Kênh Dương, Lê chân, Hải phòng</t>
  </si>
  <si>
    <t>Ngân hàng NNPT NT Hải Phòng</t>
  </si>
  <si>
    <t>2100311000042</t>
  </si>
  <si>
    <t>CG470004C0</t>
  </si>
  <si>
    <t>11 Hoàng Diệu, Hồng Bàng, Hải Phòng</t>
  </si>
  <si>
    <t>V4072C0</t>
  </si>
  <si>
    <t>Vietcombank - Haiphong Branch</t>
  </si>
  <si>
    <t>275 Lạch Tray, Hải phòng</t>
  </si>
  <si>
    <t>T3004C0</t>
  </si>
  <si>
    <t>VP ủy ban Nhân dân Quận Lê Chân</t>
  </si>
  <si>
    <t>V20074A</t>
  </si>
  <si>
    <t>Wire Automatic Device Co.,Ltd</t>
  </si>
  <si>
    <t>1-9-27, Jokoji, Amagasaki-shi, Hyogo-ken 660-0811, Japan</t>
  </si>
  <si>
    <t>81-6-6482-3838</t>
  </si>
  <si>
    <t>The Sumitomo Mitsui Banking Corporation - Utajimabashi Branch</t>
  </si>
  <si>
    <t>299102</t>
  </si>
  <si>
    <t>V20074B</t>
  </si>
  <si>
    <t>V20074C</t>
  </si>
  <si>
    <t>V20108C</t>
  </si>
  <si>
    <t>Yamato Scale Co., Ltd</t>
  </si>
  <si>
    <t>5-22 Saenba-Cho, Akashi 673-8688, Japan</t>
  </si>
  <si>
    <t>+81-78-918-5568</t>
  </si>
  <si>
    <t>Sumitomo Mitsui Banking Corporation-Akashi Branch</t>
  </si>
  <si>
    <t>1300781</t>
  </si>
  <si>
    <t>V20104A</t>
  </si>
  <si>
    <t>Yuasa Trading Co.,Ltd</t>
  </si>
  <si>
    <t>13-10 Nihombashi - Odenmacho, Chuo-ku, Tokyo 103-8570 Japan</t>
  </si>
  <si>
    <t>+81-3-3665-6461</t>
  </si>
  <si>
    <t>SUMITOMO MITSUI  BANKING CORPORATION- NINGYOCHO BRANCH</t>
  </si>
  <si>
    <t>8701219</t>
  </si>
  <si>
    <t>V20104B</t>
  </si>
  <si>
    <t>V20104C</t>
  </si>
  <si>
    <t>Quỳnh</t>
  </si>
  <si>
    <t>Thanh</t>
  </si>
  <si>
    <t>Dung</t>
  </si>
  <si>
    <t>N.Hương</t>
  </si>
  <si>
    <t>Thúy</t>
  </si>
  <si>
    <t>Thủy</t>
  </si>
  <si>
    <t>Remark</t>
  </si>
  <si>
    <t>JV NO#</t>
  </si>
  <si>
    <t>Plan</t>
  </si>
  <si>
    <t>Act</t>
  </si>
  <si>
    <t>Total</t>
  </si>
  <si>
    <t>%</t>
  </si>
  <si>
    <t>P.I.C</t>
  </si>
  <si>
    <t>PROGRESS FOR INPUTTING - AP</t>
  </si>
  <si>
    <t>Received</t>
  </si>
  <si>
    <t xml:space="preserve"> vouchers</t>
  </si>
  <si>
    <t>Registered</t>
  </si>
  <si>
    <t>Estimated</t>
  </si>
  <si>
    <t>Post Billing</t>
  </si>
  <si>
    <t>Caculate MMA-Post adjustment FG</t>
  </si>
  <si>
    <t>PROGRESS FOR CHECKING - INVENTORY (FP, RM)</t>
  </si>
  <si>
    <t>PROGRESS FOR INPUTTING - INVENTORY ( TL, CA, SP, PPE)</t>
  </si>
  <si>
    <t>Calculate depreciation</t>
  </si>
  <si>
    <t>Check Billing</t>
  </si>
  <si>
    <t>Contents</t>
  </si>
  <si>
    <t>Transfer to CIP, FA</t>
  </si>
  <si>
    <t>Job description</t>
  </si>
  <si>
    <t>PROGRESS FOR INPUTTING - SALES</t>
  </si>
  <si>
    <t>Check GR-GI of FP</t>
  </si>
  <si>
    <t>Check GR-GI of RM</t>
  </si>
  <si>
    <t>Post GR - GI of TL/CA/SP</t>
  </si>
  <si>
    <t>% complete</t>
  </si>
  <si>
    <t>Total Act</t>
  </si>
  <si>
    <t>PROGRESS FOR FIXED ASSET</t>
  </si>
  <si>
    <t>voucher</t>
  </si>
  <si>
    <t>PROGRESS FOR MAKING PAYMENT</t>
  </si>
  <si>
    <t>PROGRESS FOR INPUTTING - JV &amp; OS</t>
  </si>
  <si>
    <t>Prepare remittance &amp; inputting payment in SAP</t>
  </si>
  <si>
    <t>Sales RM</t>
  </si>
  <si>
    <t>Sales Scrap/Others</t>
  </si>
  <si>
    <t>Sales Fixed asset</t>
  </si>
  <si>
    <t>Post GR - GI of PPE</t>
  </si>
  <si>
    <t>OS NO#</t>
  </si>
  <si>
    <t>Nhập Plan trước 9:00 AM, Nhập Act trước 16:00</t>
  </si>
  <si>
    <t>Profile FA Jul.2016</t>
  </si>
  <si>
    <t>PROGRESS FOR OTHER</t>
  </si>
  <si>
    <t>Check data for convert Bravo (Material code, vendor, GR/GI)</t>
  </si>
  <si>
    <t>Make file Delivery Confirmation July 2016</t>
  </si>
  <si>
    <t>Update Bank Confirmation of Vendor upto 12 Aug</t>
  </si>
  <si>
    <t>Prepare list spare part for stocktaing 25 Aug</t>
  </si>
  <si>
    <t>Update list SP out after stock-taking in Aug ( ~3.500 $)</t>
  </si>
  <si>
    <t>Check payment 25th Aug</t>
  </si>
  <si>
    <t>Check remittance for due from 15.Aug to 20.Aug</t>
  </si>
  <si>
    <t>Make schedule 210 report</t>
  </si>
  <si>
    <t>Convert data Fixed asset from Apr.2016 to Jul.2016 to Bravo</t>
  </si>
  <si>
    <t>Check list payment 25.08.2016</t>
  </si>
  <si>
    <t>Check payment 20th Aug</t>
  </si>
  <si>
    <t>Check list payment up to 25.08.2016</t>
  </si>
  <si>
    <t>PROGRESS FOR CONVERT DATA</t>
  </si>
  <si>
    <t>Upload data Bravo convert(Inventory)</t>
  </si>
  <si>
    <t>Check FG inventory</t>
  </si>
  <si>
    <t>Upload data Bravo convert(Billing &amp; Scrap)</t>
  </si>
  <si>
    <t>Thuy</t>
  </si>
  <si>
    <t>Check VAS report\Convert data Fixed asset from Apr.2016 to Jul.2016 to Bravo</t>
  </si>
  <si>
    <t>Check data (TL,CA,SP,EN) after convert G/L</t>
  </si>
  <si>
    <t>Check data (DM,IM,FG) after convert G/L</t>
  </si>
  <si>
    <t>Submit payment due Aug.25.2016 to Aug 27.2016</t>
  </si>
  <si>
    <t>Check payment for due 20 &amp; 25.Aug.16</t>
  </si>
  <si>
    <t xml:space="preserve">Check GL convert </t>
  </si>
  <si>
    <t>Adj Interest for Building phase 3&amp;4</t>
  </si>
  <si>
    <t>Check payment 25th Aug and  complete banking form</t>
  </si>
  <si>
    <t>RM report -Jul.2016</t>
  </si>
  <si>
    <t>Check payment for due from 25.Aug to 11.Sep.16</t>
  </si>
  <si>
    <t>Check &amp; putting data for file excel (FG)</t>
  </si>
  <si>
    <t>Collect Spare part location and prepare counted sheet spare part for stocktaing 25 Aug</t>
  </si>
  <si>
    <t>Submit payment due 25.Aug to 11.Sep.16</t>
  </si>
  <si>
    <t>Create Profle FA Jan.2016</t>
  </si>
  <si>
    <t>Create Profle FA Dec.2016</t>
  </si>
  <si>
    <t>3S  files in server</t>
  </si>
  <si>
    <t>Check FA, payable</t>
  </si>
  <si>
    <t>Submit remittence to Bank</t>
  </si>
  <si>
    <t>3S File in server</t>
  </si>
  <si>
    <t>Stock-taking Spare part</t>
  </si>
  <si>
    <t>Prepare HOM FA Jul.2016</t>
  </si>
  <si>
    <t>3S  data in server</t>
  </si>
  <si>
    <t>Create Profle FA Jan.2015</t>
  </si>
  <si>
    <t>Update result after stock-taking</t>
  </si>
  <si>
    <t>Date</t>
  </si>
  <si>
    <t>Inv.</t>
  </si>
  <si>
    <t>Check, making file upload for Sale price in Sept.16</t>
  </si>
  <si>
    <t>Applicant</t>
  </si>
  <si>
    <t>V20110C</t>
  </si>
  <si>
    <t>3-23-14, Higashi-Ikebukuro, Toshima-ku    Tokyo, Japan</t>
  </si>
  <si>
    <t>ABN AMRO BANK N.V.</t>
  </si>
  <si>
    <t>000201</t>
  </si>
  <si>
    <t>AGRIBANK</t>
  </si>
  <si>
    <t>000401</t>
  </si>
  <si>
    <t>000402</t>
  </si>
  <si>
    <t>000403</t>
  </si>
  <si>
    <t>000404</t>
  </si>
  <si>
    <t>000405</t>
  </si>
  <si>
    <t>000406</t>
  </si>
  <si>
    <t>000407</t>
  </si>
  <si>
    <t>000408</t>
  </si>
  <si>
    <t>000409</t>
  </si>
  <si>
    <t>000410</t>
  </si>
  <si>
    <t>000411</t>
  </si>
  <si>
    <t>000412</t>
  </si>
  <si>
    <t>000413</t>
  </si>
  <si>
    <t>Agricultural Bank of China</t>
  </si>
  <si>
    <t>000501</t>
  </si>
  <si>
    <t>000502</t>
  </si>
  <si>
    <t>000503</t>
  </si>
  <si>
    <t>AIG Việt Nam Insurance Company Limited</t>
  </si>
  <si>
    <t>CG40011508</t>
  </si>
  <si>
    <t>An Binh Commercial Joint Stock Bank</t>
  </si>
  <si>
    <t>000101</t>
  </si>
  <si>
    <t>000102</t>
  </si>
  <si>
    <t>000103</t>
  </si>
  <si>
    <t>ASAHI KASEI CORPORATION</t>
  </si>
  <si>
    <t>V20122A</t>
  </si>
  <si>
    <t>81-3-3296-7049</t>
  </si>
  <si>
    <t>MIZUHO BANK , LTD / UCHISAIWAICHO C.B.DIVISION , Tokyo</t>
  </si>
  <si>
    <t>Asia Commercial Bank</t>
  </si>
  <si>
    <t>060001</t>
  </si>
  <si>
    <t>Asia Commercial Joint Stock Bank</t>
  </si>
  <si>
    <t>000301</t>
  </si>
  <si>
    <t>000302</t>
  </si>
  <si>
    <t>000303</t>
  </si>
  <si>
    <t>000304</t>
  </si>
  <si>
    <t>000305</t>
  </si>
  <si>
    <t>000306</t>
  </si>
  <si>
    <t>000307</t>
  </si>
  <si>
    <t>000308</t>
  </si>
  <si>
    <t>000309</t>
  </si>
  <si>
    <t>000310</t>
  </si>
  <si>
    <t>000311</t>
  </si>
  <si>
    <t>000312</t>
  </si>
  <si>
    <t>000313</t>
  </si>
  <si>
    <t>000314</t>
  </si>
  <si>
    <t>000315</t>
  </si>
  <si>
    <t>000316</t>
  </si>
  <si>
    <t>000317</t>
  </si>
  <si>
    <t>000318</t>
  </si>
  <si>
    <t>000319</t>
  </si>
  <si>
    <t>000320</t>
  </si>
  <si>
    <t>000321</t>
  </si>
  <si>
    <t>000322</t>
  </si>
  <si>
    <t>000323</t>
  </si>
  <si>
    <t>000324</t>
  </si>
  <si>
    <t>000325</t>
  </si>
  <si>
    <t>000326</t>
  </si>
  <si>
    <t>000327</t>
  </si>
  <si>
    <t>000328</t>
  </si>
  <si>
    <t>000329</t>
  </si>
  <si>
    <t>Bank for investment and development of Vietnam JSC (BIDV)</t>
  </si>
  <si>
    <t>000801</t>
  </si>
  <si>
    <t>000802</t>
  </si>
  <si>
    <t>000803</t>
  </si>
  <si>
    <t>000804</t>
  </si>
  <si>
    <t>000805</t>
  </si>
  <si>
    <t>000806</t>
  </si>
  <si>
    <t>000807</t>
  </si>
  <si>
    <t>000808</t>
  </si>
  <si>
    <t>000809</t>
  </si>
  <si>
    <t>Bank Mizuho Indonesia</t>
  </si>
  <si>
    <t>003820</t>
  </si>
  <si>
    <t>000603</t>
  </si>
  <si>
    <t>000601</t>
  </si>
  <si>
    <t>Bank of America, N.A.</t>
  </si>
  <si>
    <t>000602</t>
  </si>
  <si>
    <t>Bank of Ayudhya Public Company Limited</t>
  </si>
  <si>
    <t>007001</t>
  </si>
  <si>
    <t>BANK OF CHINA</t>
  </si>
  <si>
    <t>001201</t>
  </si>
  <si>
    <t>001202</t>
  </si>
  <si>
    <t>001203</t>
  </si>
  <si>
    <t>001204</t>
  </si>
  <si>
    <t>001205</t>
  </si>
  <si>
    <t>001206</t>
  </si>
  <si>
    <t>001207</t>
  </si>
  <si>
    <t>001208</t>
  </si>
  <si>
    <t>001209</t>
  </si>
  <si>
    <t>Bank of Tokyo-Mitsubishi UFJ</t>
  </si>
  <si>
    <t>040001</t>
  </si>
  <si>
    <t>0100001</t>
  </si>
  <si>
    <t>BANK OF TOKYO-MITSUBISHI UFJ LTD.</t>
  </si>
  <si>
    <t>006501</t>
  </si>
  <si>
    <t>Bankok Bank</t>
  </si>
  <si>
    <t>T3007C0</t>
  </si>
  <si>
    <t>Tổ 7 Phường Đằng Hải, Q. Hải AnHải Phòng</t>
  </si>
  <si>
    <t>000701</t>
  </si>
  <si>
    <t>Bao Viet Bank</t>
  </si>
  <si>
    <t>000901</t>
  </si>
  <si>
    <t>BNP PARIBAS</t>
  </si>
  <si>
    <t>001001</t>
  </si>
  <si>
    <t>BNP PARIBAS FORTIS</t>
  </si>
  <si>
    <t>353600A</t>
  </si>
  <si>
    <t>Bridgestone (Hui Zhou) Tire Co., ltd</t>
  </si>
  <si>
    <t>No. 1 Huitai Road Huinan High-Tech Industrial Park, HuiZhou Guangdong, China</t>
  </si>
  <si>
    <t>P0000117</t>
  </si>
  <si>
    <t>BRIDGESTONE AMERICAS TIRE OPERATION</t>
  </si>
  <si>
    <t>107 ONTARIO</t>
  </si>
  <si>
    <t>P0000115</t>
  </si>
  <si>
    <t>BRIDGESTONE ASIA PACIFIC TECHNICAL CENTE</t>
  </si>
  <si>
    <t>66Pathum Thani</t>
  </si>
  <si>
    <t>355002A</t>
  </si>
  <si>
    <t>Pathumthani</t>
  </si>
  <si>
    <t>P0000113</t>
  </si>
  <si>
    <t>BRIDGESTONE CORPORATION</t>
  </si>
  <si>
    <t>2XXTOKYO</t>
  </si>
  <si>
    <t>100000B__</t>
  </si>
  <si>
    <t>Chuo-ku1-1, Kyobashi 3-Chome,Tokyo, Japan 1048340</t>
  </si>
  <si>
    <t>350700B</t>
  </si>
  <si>
    <t>Chakan, Village Sawardari,  Plot No.A-43, Phase II, MIDC,  Pune, India</t>
  </si>
  <si>
    <t>P0000101</t>
  </si>
  <si>
    <t>BRIDGESTONE LOGISTICS CO., LTD</t>
  </si>
  <si>
    <t>2XXTOMAKOMAI</t>
  </si>
  <si>
    <t>P0000102</t>
  </si>
  <si>
    <t>2XXSENDAI</t>
  </si>
  <si>
    <t>P0000103</t>
  </si>
  <si>
    <t>P0000104</t>
  </si>
  <si>
    <t>2XXSHIMIZU</t>
  </si>
  <si>
    <t>P0000105</t>
  </si>
  <si>
    <t>2XXYOKKAICHI</t>
  </si>
  <si>
    <t>P0000106</t>
  </si>
  <si>
    <t>2XXTOYAMA</t>
  </si>
  <si>
    <t>P0000107</t>
  </si>
  <si>
    <t>2XXMIZUSHIMA</t>
  </si>
  <si>
    <t>P0000108</t>
  </si>
  <si>
    <t>2XXHAKATA</t>
  </si>
  <si>
    <t>P0000110</t>
  </si>
  <si>
    <t>BRIDGESTONE LOGISTICS EUROPE NV</t>
  </si>
  <si>
    <t>563ZEEBRUGGE</t>
  </si>
  <si>
    <t>P0000118</t>
  </si>
  <si>
    <t>10, 1932 SINT STEVENS WO   563 ALGECIRAS SPAIN</t>
  </si>
  <si>
    <t>P0000119</t>
  </si>
  <si>
    <t>10, 1932 SINT STEVENS WOLUWE   563 BOR,CZECH</t>
  </si>
  <si>
    <t>P0000112</t>
  </si>
  <si>
    <t>BRIDGESTONE NEW ZEALAND LTD.</t>
  </si>
  <si>
    <t>302AUCKLAND</t>
  </si>
  <si>
    <t>P0000114</t>
  </si>
  <si>
    <t>BRIDGESTONE SINGAPORE</t>
  </si>
  <si>
    <t>65SINGAPORE</t>
  </si>
  <si>
    <t>001101</t>
  </si>
  <si>
    <t>Busanbank</t>
  </si>
  <si>
    <t>P0000109</t>
  </si>
  <si>
    <t>CALT Logis Co.,Ltd. - BUD</t>
  </si>
  <si>
    <t>82BUSAN</t>
  </si>
  <si>
    <t>Chi nhánh công ty cổ phần bệnh viện Tâm Phúc - Trung tâm dịch vụ y tế Hải Phòng</t>
  </si>
  <si>
    <t>Số 33 Kỳ Đồng, Phường Quang Trung Quận Hồng Bàng thành phố Hải Phòng, Việt Nam</t>
  </si>
  <si>
    <t>V10326C</t>
  </si>
  <si>
    <t>CHI NHÁNH CÔNG TY TNHH SAGAWA EXPRESS VIỆT NAM TẠI HÀ NỘI</t>
  </si>
  <si>
    <t>Ô số 22, KHU B1, Khu đấu giá quyền sử dụng đất (ven đường Lê Đức Thọ) Phường Mỹ Đình 2, Quận Nam Từ Liêm, thành phố Hà Nội</t>
  </si>
  <si>
    <t>0313 628 868</t>
  </si>
  <si>
    <t>Vietcombank / Sở Giao Dịch, Hà Nội</t>
  </si>
  <si>
    <t>11004284058</t>
  </si>
  <si>
    <t>V10329C</t>
  </si>
  <si>
    <t>Chi nhánh Công ty TNHH Valqua Việt Nam Tại Hà Nội</t>
  </si>
  <si>
    <t>Số 188 đường Trường Chinh, Tầng 9, Tòa nhà 188 Trường Chinh, P. Khương Thượng, Q. Đống Đa,TP Hà Nội</t>
  </si>
  <si>
    <t>84-4-32222213</t>
  </si>
  <si>
    <t>Vietcombank / Hà Nội</t>
  </si>
  <si>
    <t>0021 000 333 682</t>
  </si>
  <si>
    <t>001301</t>
  </si>
  <si>
    <t>CHINA CITIC BANK</t>
  </si>
  <si>
    <t>001401</t>
  </si>
  <si>
    <t>China Guangfa Bank Co., Ltd</t>
  </si>
  <si>
    <t>001501</t>
  </si>
  <si>
    <t>Citibank</t>
  </si>
  <si>
    <t>001508</t>
  </si>
  <si>
    <t>Citibank (China) Co., Ltd</t>
  </si>
  <si>
    <t>001502</t>
  </si>
  <si>
    <t>Citibank Berhad</t>
  </si>
  <si>
    <t>001503</t>
  </si>
  <si>
    <t>CITIBANK, N.A.</t>
  </si>
  <si>
    <t>001504</t>
  </si>
  <si>
    <t>001505</t>
  </si>
  <si>
    <t>001506</t>
  </si>
  <si>
    <t>001507</t>
  </si>
  <si>
    <t>V10327C</t>
  </si>
  <si>
    <t>CN Công ty TNHH SG Sagawa Việt Nam tại Hà Nội</t>
  </si>
  <si>
    <t>Ô số 22, khu B1, khu đấu giá QSDĐ, P Mỹ Đình 2, Q. Nam Từ Liêm, Tp Hà Nội</t>
  </si>
  <si>
    <t>0313166148002</t>
  </si>
  <si>
    <t>Ngân hàng TMCP Ngoại thương Việt Nam-Sở giao dịch</t>
  </si>
  <si>
    <t>0011.00.4284.058</t>
  </si>
  <si>
    <t>Ngân hàng NN &amp; PTNT Việt Nam - CN Ngô Quyền</t>
  </si>
  <si>
    <t>2101201004732</t>
  </si>
  <si>
    <t>V10340C</t>
  </si>
  <si>
    <t>Số 3, tầng 1 Tòa nhà 3D, phố Duy Tân, Phường Dịch Vọng Hậu, Quận Cầu Giấy, Hà Nội</t>
  </si>
  <si>
    <t>1900558866</t>
  </si>
  <si>
    <t>Techcombank / Hoàng Quốc Việt, Hà Nội</t>
  </si>
  <si>
    <t>19121133567111</t>
  </si>
  <si>
    <t>V10298C</t>
  </si>
  <si>
    <t>0102718209</t>
  </si>
  <si>
    <t>Ngân hàng TMCP Việt Nam Thịnh Vượng</t>
  </si>
  <si>
    <t>43991086</t>
  </si>
  <si>
    <t>V10350C</t>
  </si>
  <si>
    <t>Công ty cổ phần dịch vụ bảo vệ Alsok Việt Nam</t>
  </si>
  <si>
    <t>Km92, QL5 mới, P.Hùng Vương, Q.Hồng bàng, Hải phòng</t>
  </si>
  <si>
    <t>0201719690</t>
  </si>
  <si>
    <t>Ngân hàng TMCP Á Châu - CN Hải phòng</t>
  </si>
  <si>
    <t>212168888</t>
  </si>
  <si>
    <t>V10307C</t>
  </si>
  <si>
    <t>Công ty Cổ phần Giải pháp Công nghệ Việt Nam</t>
  </si>
  <si>
    <t>Số 29 đường Bà Triệu,phường Hàng Bài, quận Hoàn Kiếm,Hà Nội,VN</t>
  </si>
  <si>
    <t>0102185180</t>
  </si>
  <si>
    <t>04-22 33 44 555</t>
  </si>
  <si>
    <t>Ngân hàng TMCP Tiên Phong, chi nhánh Thăng Long</t>
  </si>
  <si>
    <t>04098489001</t>
  </si>
  <si>
    <t>V10312C</t>
  </si>
  <si>
    <t>CÔNG TY CỔ PHẦN GIÁO DỤC VÀ ĐÀO TẠO QUỐC TẾ HÀNG HẢI</t>
  </si>
  <si>
    <t>Số 484 Lạch Tray , Phường Đổng Quốc Bình, Quận Ngô Quyền, Thành phố Hải Phòng, Việt Nam</t>
  </si>
  <si>
    <t>0313 261 999</t>
  </si>
  <si>
    <t>Vietin bank CN Hải Phòng</t>
  </si>
  <si>
    <t>102010001812017</t>
  </si>
  <si>
    <t>V10314C</t>
  </si>
  <si>
    <t>Công ty cổ phần KSMC Việt Nam</t>
  </si>
  <si>
    <t>1706 tầng 17, tòa nhà DMC, số 535 Kim Mã, phường Ngọc Khánh, quận Ba Đình, Tp. Hà Nội</t>
  </si>
  <si>
    <t>Ngân hàng TMCP Công thương Việt Nam-CN Ba Đình - Hà Nội</t>
  </si>
  <si>
    <t>102010002497053</t>
  </si>
  <si>
    <t>Standard Chartered bank (Vietnam) Ltd</t>
  </si>
  <si>
    <t>V10308C</t>
  </si>
  <si>
    <t>V10344B</t>
  </si>
  <si>
    <t>Công ty cổ phần quốc tế MBA</t>
  </si>
  <si>
    <t>204/16 quốc lộ 13, phường 26, quận Bình Thạnh, thành phố Hồ Chí Minh,Việt Nam</t>
  </si>
  <si>
    <t>0304184581</t>
  </si>
  <si>
    <t>Sở Giao dịch NH Á Châu, 422 Nguyễn Thị Minh Khai, Q3, TPHCM</t>
  </si>
  <si>
    <t>17051339</t>
  </si>
  <si>
    <t>ACB chi nhánh Duyên Hải</t>
  </si>
  <si>
    <t>V10249B</t>
  </si>
  <si>
    <t>Công ty cổ phần sản xuất và thương mại thiết bị Inox Bếp Việt</t>
  </si>
  <si>
    <t>V10349C</t>
  </si>
  <si>
    <t>Ngân hàng TMCP Ngoại thương Việt Nam - CN Hoàn Kiếm</t>
  </si>
  <si>
    <t>0301000340920</t>
  </si>
  <si>
    <t>CÔNG TY CỔ PHẦN TECOTEC GROUP</t>
  </si>
  <si>
    <t>Mễ Trì Thượng, Phường Mễ Trì  Tầng 2, Tòa nhà CT3A, khu đô thị Quận Nam Từ Liêm Thành phố Hà Nội, Việt Nam</t>
  </si>
  <si>
    <t>Ngân hàng ACB - CN Duyên Hải, Hải Phòng</t>
  </si>
  <si>
    <t>V10274B</t>
  </si>
  <si>
    <t>Công ty Cổ Phần Thương Mại và Xây Lắp Điện Trường Phúc</t>
  </si>
  <si>
    <t>Thôn 5 - Do Nha, Xã Tân Tiến, Huyện An Dương, Thành Phố Hải Phòng</t>
  </si>
  <si>
    <t>0313588401</t>
  </si>
  <si>
    <t>AGRIBANK / An Dương, Hải Phòng</t>
  </si>
  <si>
    <t>V10324C</t>
  </si>
  <si>
    <t>Công ty cổ phần tư vấn ĐTTM và XD Đông Nam Á</t>
  </si>
  <si>
    <t>Số 16 lô 3B Lê Hồng Phong, P.Đông Khê, Q Ngô Quyền, Tp Hải Phòng</t>
  </si>
  <si>
    <t>0031000191681</t>
  </si>
  <si>
    <t>,Phường Trần Hưng Đạo,Số 67 Trần Hưng Đạo,Quận Hoàn Kiếm, Thành phố Hà Nội,</t>
  </si>
  <si>
    <t>V10318C</t>
  </si>
  <si>
    <t>Công ty CP dịch vụ giáo dục và y tế Hà Vân</t>
  </si>
  <si>
    <t>Số 221, phố Vọng, P.Đồng Tâm, Q.Hai bà trưng, Hà nội</t>
  </si>
  <si>
    <t>0106065744</t>
  </si>
  <si>
    <t>Ngân hàng BIDV - CN Thành Đô</t>
  </si>
  <si>
    <t>Vietinbank - CN Lê Chân</t>
  </si>
  <si>
    <t>191 234 180 55 559</t>
  </si>
  <si>
    <t>Tầng 3, tòa nhà Thanh Hà, Khu CC2, Bắc Linh Đàm, Quận Hoàng Mai, TP. Hà Nội</t>
  </si>
  <si>
    <t>Ngân hàng TMCP An Bình - PGD Đông Anh</t>
  </si>
  <si>
    <t>0801001622008</t>
  </si>
  <si>
    <t>0105486468</t>
  </si>
  <si>
    <t>V10322C</t>
  </si>
  <si>
    <t>Số 3, Phó đức chính, quận Ba đình, Hà nội</t>
  </si>
  <si>
    <t>0100113141</t>
  </si>
  <si>
    <t>Public Bank Vietnam Limited</t>
  </si>
  <si>
    <t>020-8-00-00-00266</t>
  </si>
  <si>
    <t>V10325C</t>
  </si>
  <si>
    <t>Công ty TNHH Aimnext Việt Nam</t>
  </si>
  <si>
    <t>Số 261-263, đường Phan Xích Long, phường 2, Tp Hồ Chí Minh</t>
  </si>
  <si>
    <t>Ngân hàng Sumitomo Mitsui Banking Corporation-CN Tp Hồ Chí Minh</t>
  </si>
  <si>
    <t>18000541</t>
  </si>
  <si>
    <t>V10319C</t>
  </si>
  <si>
    <t>Công ty TNHH Azbil Việt Nam</t>
  </si>
  <si>
    <t>MIZUHO BANK , LTD - Hanoi branch</t>
  </si>
  <si>
    <t>H15-795-006388</t>
  </si>
  <si>
    <t>V10254</t>
  </si>
  <si>
    <t>Phòng 1106, Lầu 11, Tòa nhà Citilight Tower, số 45, Đường VõThị Sáu, Phường Đa Kao,Quận 1Thành phố Hồ Chí Minh</t>
  </si>
  <si>
    <t>V4042C0</t>
  </si>
  <si>
    <t>Eximbank CN Cộng Hòa, TP.HCM</t>
  </si>
  <si>
    <t>V10305C</t>
  </si>
  <si>
    <t>CÔNG TY TNHH CƠ KHÍ NAM THIÊN</t>
  </si>
  <si>
    <t>Phường 8  27 Cư Xá Bình Thới Đường số 7, Quận 11 Thành phố Hồ Chí Minh, Việt Nam</t>
  </si>
  <si>
    <t>V4041C0</t>
  </si>
  <si>
    <t>Số 73 Điện Biên Phủ, Minh KhaiHải Phòng</t>
  </si>
  <si>
    <t>Xã Đồng Thái,Số 250 Chung Cư Hoàng Mai,Huyện An DươngThành phố Hải Phòng, Việt Nam</t>
  </si>
  <si>
    <t>Công ty TNHH Dịch vụ vận tải du lịch Hải Anh</t>
  </si>
  <si>
    <t>Phường Thạch Bàn,Đường Công Nghiệp 6, khu CN Sài Đồng B,Quận Long BiênThành phố Hà Nội, Việt Nam</t>
  </si>
  <si>
    <t>V10313C</t>
  </si>
  <si>
    <t>CÔNG TY TNHH ERIKS VIỆT NAM</t>
  </si>
  <si>
    <t>Khu D1, Tầng 3, Tòa nhà văn phòng Harbour View, số 12 đường Trần Phú, Phường Máy Tơ, Quận Ngô Quyền, TP Hải Phòng, Việt Nam</t>
  </si>
  <si>
    <t>084313797856</t>
  </si>
  <si>
    <t>00313000223929</t>
  </si>
  <si>
    <t>Phòng 1901, lầu 19, số 37, đường Tôn Đức Thắng, phường Bến Nghé, quận 1, Thành phố Hồ Chí Minh</t>
  </si>
  <si>
    <t>V4086C0</t>
  </si>
  <si>
    <t>VID Public Bank - CN Bình Dương</t>
  </si>
  <si>
    <t>V10247B</t>
  </si>
  <si>
    <t>Landmark Tower22nd Floor - 72 Buiding Keangna HanoiHa Noi</t>
  </si>
  <si>
    <t>V10309B</t>
  </si>
  <si>
    <t>Công ty TNHH Hitachi Transport system (Việt Nam)</t>
  </si>
  <si>
    <t>Số 20 - Đường Sông Thao, Phường 2, Quận Tân Bình, TP. HCM</t>
  </si>
  <si>
    <t>0311333675</t>
  </si>
  <si>
    <t>(08) 3547 1383</t>
  </si>
  <si>
    <t>Mizuho Bank, Ltd - CN HCM</t>
  </si>
  <si>
    <t>H15-796-516600</t>
  </si>
  <si>
    <t>V10255</t>
  </si>
  <si>
    <t>Công ty TNHH In và quảng cáo Hợp Thành</t>
  </si>
  <si>
    <t>le loi254Hai Phong</t>
  </si>
  <si>
    <t>V10331C</t>
  </si>
  <si>
    <t>Công ty TNHH In và Quảng cáo Phúc Sơn</t>
  </si>
  <si>
    <t>Số 282 Lê Lợi, Phường Lê Lợi, Quận Ngô Quyền, TP. Hải Phòng</t>
  </si>
  <si>
    <t>0313566172</t>
  </si>
  <si>
    <t>Asia Commercial Joint Stock Bank / Ngô Quyền, Hải Phòng</t>
  </si>
  <si>
    <t>69398949</t>
  </si>
  <si>
    <t>V4024C0</t>
  </si>
  <si>
    <t>V10301C</t>
  </si>
  <si>
    <t>Công ty TNHH Jellyfish HR</t>
  </si>
  <si>
    <t>,phố Duy Tân, phường Dịch Vọng,Tầng 12A, tòa nhà CMC,quận Cầu Giấy,thành phố Hà Nội</t>
  </si>
  <si>
    <t>V10328C</t>
  </si>
  <si>
    <t>CÔNG TY TNHH KAMOGAWA VIỆT NAM</t>
  </si>
  <si>
    <t>Nhà máy số 12, Lô P-7, tổ hợp nhà máy Thăng Long, Xã Võng La,</t>
  </si>
  <si>
    <t>0313 76 11 95</t>
  </si>
  <si>
    <t>10012301</t>
  </si>
  <si>
    <t>V10280B</t>
  </si>
  <si>
    <t>Lô I-6, Khu Công Nghiệp Thăng Long,   Huyện Đông Anh, Thành phố Hà Nội, Việt Nam</t>
  </si>
  <si>
    <t>Thị trấn An Dương,huyện An Dươngthành phố Hải Phòng, Việt Nam</t>
  </si>
  <si>
    <t>V10339B</t>
  </si>
  <si>
    <t>Công ty TNHH Kintetsu World Express Việt Nam</t>
  </si>
  <si>
    <t>51 Yên Thế, Phường 2, Quận Tân Bình, Thành Phố Hồ Chí Minh</t>
  </si>
  <si>
    <t>08 38488 845</t>
  </si>
  <si>
    <t>Vietcombank / Hồ Chí Minh</t>
  </si>
  <si>
    <t>0071002406766</t>
  </si>
  <si>
    <t>V10339C</t>
  </si>
  <si>
    <t>V10330C</t>
  </si>
  <si>
    <t>Công ty TNHH KUBOTA KASUI VIỆT NAM</t>
  </si>
  <si>
    <t>Số 3 đường 20, Khu công nghiệp Sóng Thần 2, Phường Dĩ An, Thị xã Dĩ An, Tỉnh Bình Dương, Việt Nam</t>
  </si>
  <si>
    <t>3790521</t>
  </si>
  <si>
    <t>Vietcombank / Thủ Đức, Hồ Chí Minh</t>
  </si>
  <si>
    <t>018.100.0014723</t>
  </si>
  <si>
    <t>V10295C</t>
  </si>
  <si>
    <t>Công ty TNHH Ký Hiệu</t>
  </si>
  <si>
    <t>Phường Đa KaoSố 45, đường Võ Thị Sáu,Quận 1thành phố Hồ Chí Minh</t>
  </si>
  <si>
    <t>004.100.0680888</t>
  </si>
  <si>
    <t>V10281B</t>
  </si>
  <si>
    <t>V10335C</t>
  </si>
  <si>
    <t>Công ty TNHH Long Chương</t>
  </si>
  <si>
    <t>Số 10, Lô 18Đ, ngã 5 sân bay Cát bi, P.Đằng Lâm,Q.Hải An, Hải phòng</t>
  </si>
  <si>
    <t>0201269353</t>
  </si>
  <si>
    <t>157463799</t>
  </si>
  <si>
    <t>V10310C</t>
  </si>
  <si>
    <t>CÔNG TY TNHH M.TEC VIỆT NAM</t>
  </si>
  <si>
    <t>Phòng 407, Tầng 4, Tòa nhà DMC, Số 535 Kim Mã, Phường Ngọc Khánh, Quận Ba Đình, Hà Nội</t>
  </si>
  <si>
    <t>043-724-6985</t>
  </si>
  <si>
    <t>Vietcombank - CN Ba Đình</t>
  </si>
  <si>
    <t>0611001927382</t>
  </si>
  <si>
    <t>V10321C</t>
  </si>
  <si>
    <t>Công ty TNHH Menkar</t>
  </si>
  <si>
    <t>Số 447 Quán Rẽ-xã Mỹ Đức-huyện An Lão-Tp Hải Phòng</t>
  </si>
  <si>
    <t>Ngân hàng TMCP Quân đội-PGD Kiến An-Hải Phòng</t>
  </si>
  <si>
    <t>2581124666888</t>
  </si>
  <si>
    <t>V10316A</t>
  </si>
  <si>
    <t>Công ty TNHH một thành viên cao su CHƯ PĂH</t>
  </si>
  <si>
    <t>01 Nguyễn Thị Minh Khai, Thị Trấn Phú Hòa, huyện Chư Păh, tỉnh Gia Lai, Việt Nam</t>
  </si>
  <si>
    <t>+84-593-845-553</t>
  </si>
  <si>
    <t>Ngân hàng TMCP Sài Gòn-Hà Nội</t>
  </si>
  <si>
    <t>1001783943</t>
  </si>
  <si>
    <t>CÔNG TY TNHH QUỐC TẾ THIỀN SINH THÁI</t>
  </si>
  <si>
    <t>48 Đường A4, Phường 12 Quận Tân Bình, Thành phố Hồ Chí Minh</t>
  </si>
  <si>
    <t>phường 15,  Số 268, đường Tô Hiến Thành, quận 10 thành phố Hồ Chí Minh</t>
  </si>
  <si>
    <t>V10317C</t>
  </si>
  <si>
    <t>CÔNG TY TNHH SUN-WA TECHNOS (VIỆT NAM)</t>
  </si>
  <si>
    <t>Tầng 14,VIT Tower, số 519,đường Kim Mã, phường Ngọc Khánh, Quận Ba Đình,Thành phố Hà Nội, Việt Nam</t>
  </si>
  <si>
    <t>0107347910</t>
  </si>
  <si>
    <t>04-3856-6688</t>
  </si>
  <si>
    <t>Ngân hàng thương mại cổ phần Kỹ thương Việt Nam - CN Ba Đình</t>
  </si>
  <si>
    <t>19129112868686</t>
  </si>
  <si>
    <t>V10323C</t>
  </si>
  <si>
    <t>Công ty TNHH thiết bị PCCC Duyên Hải</t>
  </si>
  <si>
    <t>Số 3/178 Đông Hải, Đằng Giang, Ngô Quyền, Hải Phòng</t>
  </si>
  <si>
    <t>Ngân hàng Vietinbank-CN Lê Chân</t>
  </si>
  <si>
    <t>102010000209588</t>
  </si>
  <si>
    <t>V10229</t>
  </si>
  <si>
    <t>Cong ty TNHH Thuong Mai &amp; Dich Vu Kim Thinh</t>
  </si>
  <si>
    <t>Số 200, Đường 48, P3 Q4Hồ Chí Minh City</t>
  </si>
  <si>
    <t>V10315C</t>
  </si>
  <si>
    <t>Công ty TNHH Thương mại Dịch vụ Anh Nghi Sơn</t>
  </si>
  <si>
    <t>D3 Khu dân cư Miếu Nổi, Đường Đinh Tiên Hoàng, Phường 3, quận Bình Thạnh, tp. HCM</t>
  </si>
  <si>
    <t>08-35170401</t>
  </si>
  <si>
    <t>VP Bank / PGD Phú Lâm, CN Sài Gòn</t>
  </si>
  <si>
    <t>76597537</t>
  </si>
  <si>
    <t>Ngân hàng thương mại cổ phần Á Châu-Sở giao dịch TP.HCM</t>
  </si>
  <si>
    <t>103731129</t>
  </si>
  <si>
    <t>V10338C</t>
  </si>
  <si>
    <t>Công ty TNHH Thương mại, dịch vụ và du lịch bầu trời xanh</t>
  </si>
  <si>
    <t>11E2 Khu nhà ở Cầu diễn, P.Phú diễn, Q.Bắc Từ Liêm, Hà nội</t>
  </si>
  <si>
    <t>0101279446</t>
  </si>
  <si>
    <t>Ngân hàng TMCP Quân Đội - CN Điện Biên Phủ</t>
  </si>
  <si>
    <t>05111 0213 5002</t>
  </si>
  <si>
    <t>V10302C</t>
  </si>
  <si>
    <t>Công ty TNHH Truyền Thông EFSViệt Nam</t>
  </si>
  <si>
    <t>phường Vĩnh PhúcSố 111, phố Vĩnh Phúc,Quận Ba ĐìnhThành phố Hà Nội, Việt Nam</t>
  </si>
  <si>
    <t>0106220679</t>
  </si>
  <si>
    <t>Ngân hàng TMCP Ngoại thương Việt Nam - PGD số 8</t>
  </si>
  <si>
    <t>0011 00412 8688</t>
  </si>
  <si>
    <t>V10348C</t>
  </si>
  <si>
    <t>Công ty TNHH tư vấn và đào tạo quản lý quốc tế</t>
  </si>
  <si>
    <t>P.609, tầng 6,số 27, Trần Duy Hưng, P.Trung Hòa, Q.Cầu giấy, TP.Hà nội</t>
  </si>
  <si>
    <t>Ngân hàng TMCP đầu tư và phát triển Việt nam - CN Đông đô</t>
  </si>
  <si>
    <t>1251 0000 712377</t>
  </si>
  <si>
    <t>61 Nguyễn Văn Đậu, Phường 6,Quận Bình ThạnhThành phố Hồ Chí Minh</t>
  </si>
  <si>
    <t>V10311C</t>
  </si>
  <si>
    <t>CÔNG TY TNHH YAMAZEN VIỆT NAM</t>
  </si>
  <si>
    <t>Thiên Sơn, số 800, đường Tầng Trệt,  Trung tâm Thương Mại Nguyễn Văn Linh, phường Tân Phú quận 7, thành phố Hồ Chí Minh</t>
  </si>
  <si>
    <t>08-5417-9229</t>
  </si>
  <si>
    <t>The Bank of Tokyo-Mitsubishi UFJ, Ltd. / Hồ Chí Minh</t>
  </si>
  <si>
    <t>249440</t>
  </si>
  <si>
    <t>V10279B</t>
  </si>
  <si>
    <t>CÔNG TY TRÁCH NHIỆM HỮU HẠN SHIOGAI SEIKI VIỆT NAM</t>
  </si>
  <si>
    <t>phường Long Bình,  224/4, Đường 24-2, KCN Amata,  TP. Biên Hòa, tỉnh Đồng Nai</t>
  </si>
  <si>
    <t>V10271C</t>
  </si>
  <si>
    <t>CÔNGTY TNHH THÔNG TIN NTT (VIỆTNAM)</t>
  </si>
  <si>
    <t>Tòa nhà VINCOM Số 72 Lê Thánh Tôn, phường Bến Nghé, Quận 1, TP.HCM</t>
  </si>
  <si>
    <t>001601</t>
  </si>
  <si>
    <t>Dai A Commercial Joint Stock Bank</t>
  </si>
  <si>
    <t>301A-52-8, Market Building, Free Trade Zone, Dalian, China</t>
  </si>
  <si>
    <t>V10341C</t>
  </si>
  <si>
    <t>Đặng Thị Mai Hương</t>
  </si>
  <si>
    <t>Số 3 Đà nẵng, Máy Tơ, Ngô Quyền, Hải phòng</t>
  </si>
  <si>
    <t>0200892413</t>
  </si>
  <si>
    <t>101010007445245</t>
  </si>
  <si>
    <t>001701</t>
  </si>
  <si>
    <t>DBS Bank</t>
  </si>
  <si>
    <t>001702</t>
  </si>
  <si>
    <t>DBS Bank Ltd</t>
  </si>
  <si>
    <t>001801</t>
  </si>
  <si>
    <t>Deutsche Bank AG</t>
  </si>
  <si>
    <t>BIDV - CN Hải Phòng</t>
  </si>
  <si>
    <t>V4068C0</t>
  </si>
  <si>
    <t>Đối tượng thiếu</t>
  </si>
  <si>
    <t>001901</t>
  </si>
  <si>
    <t>Dong A Bank</t>
  </si>
  <si>
    <t>001902</t>
  </si>
  <si>
    <t>001903</t>
  </si>
  <si>
    <t>001904</t>
  </si>
  <si>
    <t>Gebeng Industrial Estate phase 2  Lot 120/120A, Jalan Gebeng 2/3 26080 Kuantan Pahang Darul Makmur Malaysia</t>
  </si>
  <si>
    <t>002201</t>
  </si>
  <si>
    <t>Global Petro Commercial Joint Stock Bank</t>
  </si>
  <si>
    <t>002301</t>
  </si>
  <si>
    <t>HACHIJUNI BANK</t>
  </si>
  <si>
    <t>007201</t>
  </si>
  <si>
    <t>HDBank</t>
  </si>
  <si>
    <t>002401</t>
  </si>
  <si>
    <t>HDFC BANK LTD</t>
  </si>
  <si>
    <t>002501</t>
  </si>
  <si>
    <t>HSBC Bank (Vietnam) Ltd.</t>
  </si>
  <si>
    <t>002502</t>
  </si>
  <si>
    <t>002503</t>
  </si>
  <si>
    <t>002504</t>
  </si>
  <si>
    <t>002505</t>
  </si>
  <si>
    <t>002506</t>
  </si>
  <si>
    <t>002507</t>
  </si>
  <si>
    <t>002508</t>
  </si>
  <si>
    <t>002509</t>
  </si>
  <si>
    <t>002510</t>
  </si>
  <si>
    <t>002512</t>
  </si>
  <si>
    <t>002513</t>
  </si>
  <si>
    <t>002511</t>
  </si>
  <si>
    <t>HSBC Bank Middle East Limited</t>
  </si>
  <si>
    <t>1-7-12, Shinonome, Koto-ku,  Tokyo, Japan</t>
  </si>
  <si>
    <t>002801</t>
  </si>
  <si>
    <t>Indovina bank Ltd</t>
  </si>
  <si>
    <t>002802</t>
  </si>
  <si>
    <t>002803</t>
  </si>
  <si>
    <t>002804</t>
  </si>
  <si>
    <t>002805</t>
  </si>
  <si>
    <t>002701</t>
  </si>
  <si>
    <t>Industrial and Commercial Bank of China</t>
  </si>
  <si>
    <t>002702</t>
  </si>
  <si>
    <t>002703</t>
  </si>
  <si>
    <t>002602</t>
  </si>
  <si>
    <t>Industrial Bank of Korea</t>
  </si>
  <si>
    <t>002601</t>
  </si>
  <si>
    <t>Industrial Bank of Korea (IBK)</t>
  </si>
  <si>
    <t>V20118C</t>
  </si>
  <si>
    <t>Japan Productivity Center</t>
  </si>
  <si>
    <t>3-1-1, Shibuya, Shibuya-ku,Tokyo, Japan 150-0002</t>
  </si>
  <si>
    <t>020001</t>
  </si>
  <si>
    <t>Joint Stock Commercial Bank For Foreign Trade Of Vietnam</t>
  </si>
  <si>
    <t>002901</t>
  </si>
  <si>
    <t>JPMorgan Chase Bank</t>
  </si>
  <si>
    <t>002902</t>
  </si>
  <si>
    <t>JPMorgan Chase Bank (China) Co., Ltd</t>
  </si>
  <si>
    <t>V20120C</t>
  </si>
  <si>
    <t>Kanaden Corporation</t>
  </si>
  <si>
    <t>2-6-1, Shiba-daimon, Minato-ku, Tokyo 105-0012 Japan</t>
  </si>
  <si>
    <t>(03) 3433-2745</t>
  </si>
  <si>
    <t>The Bank of Tokyo-Mitsubishi UFJ, Ltd-Branch KYOBASHI</t>
  </si>
  <si>
    <t>2593649</t>
  </si>
  <si>
    <t>003001</t>
  </si>
  <si>
    <t>Kasikorn bank Public co.,ltd</t>
  </si>
  <si>
    <t>003002</t>
  </si>
  <si>
    <t>003003</t>
  </si>
  <si>
    <t>003004</t>
  </si>
  <si>
    <t>006801</t>
  </si>
  <si>
    <t>Kho Bac Nha nuoc An Duong</t>
  </si>
  <si>
    <t>006401</t>
  </si>
  <si>
    <t>Kho bac Nha nuoc Hai phong</t>
  </si>
  <si>
    <t>006101</t>
  </si>
  <si>
    <t>Kiyobank Ltd</t>
  </si>
  <si>
    <t>5-chome, Shinagawa-ku,  ON Building, 9-12, Kita-Shinagawa  Tokyo, 141-8688, Japan</t>
  </si>
  <si>
    <t>003101</t>
  </si>
  <si>
    <t>Korea Exchange Bank</t>
  </si>
  <si>
    <t>003102</t>
  </si>
  <si>
    <t>003103</t>
  </si>
  <si>
    <t>003201</t>
  </si>
  <si>
    <t>710530700</t>
  </si>
  <si>
    <t>LGCHQG05</t>
  </si>
  <si>
    <t>003301</t>
  </si>
  <si>
    <t>Lien Viet Post bank</t>
  </si>
  <si>
    <t>003302</t>
  </si>
  <si>
    <t>003303</t>
  </si>
  <si>
    <t>P0000111</t>
  </si>
  <si>
    <t>MAINFREIGHT INTERNATIONAL</t>
  </si>
  <si>
    <t>301BRISBANE</t>
  </si>
  <si>
    <t>003601</t>
  </si>
  <si>
    <t>Mekong Development Joint Stock Commercial Bank</t>
  </si>
  <si>
    <t>003701</t>
  </si>
  <si>
    <t>MeKong Housing Bank</t>
  </si>
  <si>
    <t>003501</t>
  </si>
  <si>
    <t>Military Commercial Joint Stock bank (VN)</t>
  </si>
  <si>
    <t>003502</t>
  </si>
  <si>
    <t>003503</t>
  </si>
  <si>
    <t>003504</t>
  </si>
  <si>
    <t>003505</t>
  </si>
  <si>
    <t>003506</t>
  </si>
  <si>
    <t>003507</t>
  </si>
  <si>
    <t>003508</t>
  </si>
  <si>
    <t>003509</t>
  </si>
  <si>
    <t>003510</t>
  </si>
  <si>
    <t>Military Commercial Joint Stock bank (VN) - PGD Hải An</t>
  </si>
  <si>
    <t>003815</t>
  </si>
  <si>
    <t>MIZUHO BANK , LTD</t>
  </si>
  <si>
    <t>003816</t>
  </si>
  <si>
    <t>003817</t>
  </si>
  <si>
    <t>003818</t>
  </si>
  <si>
    <t>003819</t>
  </si>
  <si>
    <t>003801</t>
  </si>
  <si>
    <t>H15-795-014292</t>
  </si>
  <si>
    <t>003802</t>
  </si>
  <si>
    <t>003803</t>
  </si>
  <si>
    <t>003804</t>
  </si>
  <si>
    <t>003805</t>
  </si>
  <si>
    <t>003806</t>
  </si>
  <si>
    <t>003807</t>
  </si>
  <si>
    <t>003808</t>
  </si>
  <si>
    <t>003809</t>
  </si>
  <si>
    <t>003810</t>
  </si>
  <si>
    <t>003811</t>
  </si>
  <si>
    <t>003812</t>
  </si>
  <si>
    <t>003813</t>
  </si>
  <si>
    <t>003814</t>
  </si>
  <si>
    <t>003821</t>
  </si>
  <si>
    <t>010001</t>
  </si>
  <si>
    <t>Mizuho Corporate Bank</t>
  </si>
  <si>
    <t>0390001</t>
  </si>
  <si>
    <t>MIZUHO CORPORATE BANK LTD</t>
  </si>
  <si>
    <t>V20124C</t>
  </si>
  <si>
    <t>Mobley Group Pacific Limited</t>
  </si>
  <si>
    <t>222 Hubin Rd, Lu Wan Qu, Shanghai, Trung Quốc</t>
  </si>
  <si>
    <t>+86 21 6340 6222</t>
  </si>
  <si>
    <t>009001</t>
  </si>
  <si>
    <t>Ngân hàng Shanghai Commercial &amp; Savings Bank.Ltd</t>
  </si>
  <si>
    <t>005619</t>
  </si>
  <si>
    <t>Ngân hàng thương mại cổ phần Ngoại thương Việt Nam - Vietcom</t>
  </si>
  <si>
    <t>005716</t>
  </si>
  <si>
    <t>005620</t>
  </si>
  <si>
    <t>Ngân hàng Vietcombank</t>
  </si>
  <si>
    <t>003901</t>
  </si>
  <si>
    <t>NISHI-NIPPON CITY BANK</t>
  </si>
  <si>
    <t>V20128A</t>
  </si>
  <si>
    <t>OCI Company Ltd</t>
  </si>
  <si>
    <t>OCI BLDG.94,SOGONG-RO JUNG-GU,SEOUL,100-718 KOREA</t>
  </si>
  <si>
    <t>82-2-727-9451</t>
  </si>
  <si>
    <t>Shinhan Bank-Sogongdong corporation branch</t>
  </si>
  <si>
    <t>181-000-016843</t>
  </si>
  <si>
    <t>006301</t>
  </si>
  <si>
    <t>Orient Commercail Joint stock bank (OCB)</t>
  </si>
  <si>
    <t>004001</t>
  </si>
  <si>
    <t>Petrolimex Group commercial Joint Stock Bank</t>
  </si>
  <si>
    <t>004002</t>
  </si>
  <si>
    <t>004003</t>
  </si>
  <si>
    <t>004004</t>
  </si>
  <si>
    <t>004101</t>
  </si>
  <si>
    <t>350200B</t>
  </si>
  <si>
    <t>BSIN</t>
  </si>
  <si>
    <t>JI. Surya Utama Kav.C-1 Kawasan The Manor Office Park 7th-8th Floor,The Manor Office Park 7th-8th Floor,41363-Jawa Barat, Indon</t>
  </si>
  <si>
    <t>3036360201</t>
  </si>
  <si>
    <t>005504</t>
  </si>
  <si>
    <t>Public Vietnam Bank</t>
  </si>
  <si>
    <t>V20105</t>
  </si>
  <si>
    <t>R K. Reclaim &amp; Rubber Products Pvt. Ltd</t>
  </si>
  <si>
    <t>104/48 to 104/52.Phase II.G.I.D.C.PalejBharuch</t>
  </si>
  <si>
    <t>007101</t>
  </si>
  <si>
    <t>Resona Bank Ltd</t>
  </si>
  <si>
    <t>004201</t>
  </si>
  <si>
    <t>004401</t>
  </si>
  <si>
    <t>Sai Gon Thuong Tin Bank</t>
  </si>
  <si>
    <t>004402</t>
  </si>
  <si>
    <t>004403</t>
  </si>
  <si>
    <t>004404</t>
  </si>
  <si>
    <t>004405</t>
  </si>
  <si>
    <t>004406</t>
  </si>
  <si>
    <t>004601</t>
  </si>
  <si>
    <t>Saigon - Hanoi Commercial Joint Stock Bank (SHB)</t>
  </si>
  <si>
    <t>004602</t>
  </si>
  <si>
    <t>004603</t>
  </si>
  <si>
    <t>004604</t>
  </si>
  <si>
    <t>004605</t>
  </si>
  <si>
    <t>006601</t>
  </si>
  <si>
    <t>SaigonBank</t>
  </si>
  <si>
    <t>006602</t>
  </si>
  <si>
    <t>006701</t>
  </si>
  <si>
    <t>SeaBank</t>
  </si>
  <si>
    <t>0180001</t>
  </si>
  <si>
    <t>SMBC</t>
  </si>
  <si>
    <t>004501</t>
  </si>
  <si>
    <t>Southeast Asia Joint Stock Commercial Bank (SeA)</t>
  </si>
  <si>
    <t>004502</t>
  </si>
  <si>
    <t>050001</t>
  </si>
  <si>
    <t>004701</t>
  </si>
  <si>
    <t>Standard Chartered Bank (Vietnam) Limited</t>
  </si>
  <si>
    <t>004702</t>
  </si>
  <si>
    <t>004703</t>
  </si>
  <si>
    <t>Standard Chartered Bank Limited</t>
  </si>
  <si>
    <t>004704</t>
  </si>
  <si>
    <t>Standard Chartered Bank Vietnam Limited</t>
  </si>
  <si>
    <t>004801</t>
  </si>
  <si>
    <t>Sumitomo Mitsui banking corporation</t>
  </si>
  <si>
    <t>004802</t>
  </si>
  <si>
    <t>004803</t>
  </si>
  <si>
    <t>004804</t>
  </si>
  <si>
    <t>004805</t>
  </si>
  <si>
    <t>004806</t>
  </si>
  <si>
    <t>004807</t>
  </si>
  <si>
    <t>070001</t>
  </si>
  <si>
    <t>004808</t>
  </si>
  <si>
    <t>004809</t>
  </si>
  <si>
    <t>004810</t>
  </si>
  <si>
    <t>004811</t>
  </si>
  <si>
    <t>004812</t>
  </si>
  <si>
    <t>004813</t>
  </si>
  <si>
    <t>004814</t>
  </si>
  <si>
    <t>004815</t>
  </si>
  <si>
    <t>004816</t>
  </si>
  <si>
    <t>004817</t>
  </si>
  <si>
    <t>004818</t>
  </si>
  <si>
    <t>004901</t>
  </si>
  <si>
    <t>Taipei Fubon Commercial Bank Co, Ltd</t>
  </si>
  <si>
    <t>P0000116</t>
  </si>
  <si>
    <t>TBSC PROVING GROUND</t>
  </si>
  <si>
    <t>66Ayutthaya</t>
  </si>
  <si>
    <t>005001</t>
  </si>
  <si>
    <t>Techcombank</t>
  </si>
  <si>
    <t>005002</t>
  </si>
  <si>
    <t>005003</t>
  </si>
  <si>
    <t>005004</t>
  </si>
  <si>
    <t>005005</t>
  </si>
  <si>
    <t>005006</t>
  </si>
  <si>
    <t>005007</t>
  </si>
  <si>
    <t>005008</t>
  </si>
  <si>
    <t>005009</t>
  </si>
  <si>
    <t>005010</t>
  </si>
  <si>
    <t>005011</t>
  </si>
  <si>
    <t>005012</t>
  </si>
  <si>
    <t>005013</t>
  </si>
  <si>
    <t>005014</t>
  </si>
  <si>
    <t>005015</t>
  </si>
  <si>
    <t>005016</t>
  </si>
  <si>
    <t>005017</t>
  </si>
  <si>
    <t>005018</t>
  </si>
  <si>
    <t>Bangkok Bank-Taksin road</t>
  </si>
  <si>
    <t>006901</t>
  </si>
  <si>
    <t>The Bank Of Fukuoka Ltd</t>
  </si>
  <si>
    <t>002101</t>
  </si>
  <si>
    <t>THE BANK OF FUKUOKA LTD</t>
  </si>
  <si>
    <t>005201</t>
  </si>
  <si>
    <t>The Bank of Tokyo-Mitsubishi UFJ, Ltd.</t>
  </si>
  <si>
    <t>005202</t>
  </si>
  <si>
    <t>005203</t>
  </si>
  <si>
    <t>005204</t>
  </si>
  <si>
    <t>005205</t>
  </si>
  <si>
    <t>005206</t>
  </si>
  <si>
    <t>005207</t>
  </si>
  <si>
    <t>005208</t>
  </si>
  <si>
    <t>005209</t>
  </si>
  <si>
    <t>005210</t>
  </si>
  <si>
    <t>005211</t>
  </si>
  <si>
    <t>005212</t>
  </si>
  <si>
    <t>005213</t>
  </si>
  <si>
    <t>005214</t>
  </si>
  <si>
    <t>005215</t>
  </si>
  <si>
    <t>005216</t>
  </si>
  <si>
    <t>005217</t>
  </si>
  <si>
    <t>004301</t>
  </si>
  <si>
    <t>The Risona Bank LTD</t>
  </si>
  <si>
    <t>005101</t>
  </si>
  <si>
    <t>Tien Phong Commercial Joint Stock Bank</t>
  </si>
  <si>
    <t>005102</t>
  </si>
  <si>
    <t>V20125C</t>
  </si>
  <si>
    <t>TMEIC Aisa Pte.Ltd</t>
  </si>
  <si>
    <t>152 Beach Road #13-07/08 Gateway East Singapore 189721</t>
  </si>
  <si>
    <t>1033780-2</t>
  </si>
  <si>
    <t>V20119C</t>
  </si>
  <si>
    <t>TOYO MACHINERY CO.,LTD</t>
  </si>
  <si>
    <t>Zuiko 4-5-1, Higashi-Yodogawa-ku,Osaka 533-0005, Japan</t>
  </si>
  <si>
    <t>V10332C</t>
  </si>
  <si>
    <t>Trung tâm huấn luyện an toàn vệ sinh lao động</t>
  </si>
  <si>
    <t>Toàn nhà Liên cơ Bộ LĐTBXH, ngõ 8B Tôn Thất thuyế, P.Dịch Vọng, Q.Cầu giấy, Hà nội</t>
  </si>
  <si>
    <t>0101539285</t>
  </si>
  <si>
    <t>220-10-00-7686866</t>
  </si>
  <si>
    <t>V10284C</t>
  </si>
  <si>
    <t>Trung tâm Kinh doanh VNPT- Hải Phòng Chi nhánh Tổng công ty Dịch vụ viễn thông</t>
  </si>
  <si>
    <t>Phường Lạch Tray  Số 4 Phố Lạch Tray, Quận Ngô Quyền Thành phố Hải Phòng</t>
  </si>
  <si>
    <t>TMCP ngoại thương Việt Nam - CN Hải Phòng</t>
  </si>
  <si>
    <t>0031000258888</t>
  </si>
  <si>
    <t>003100258888</t>
  </si>
  <si>
    <t>Ngân hàng TMCP Ngoại thương Việt nam - CN Hải Phòng</t>
  </si>
  <si>
    <t>0031 000 25 8888</t>
  </si>
  <si>
    <t>0031 000 258888</t>
  </si>
  <si>
    <t>Trung tâm Kỹ thuật Tiêu chuẩn Đo lường Chất lượng Hải Phòng</t>
  </si>
  <si>
    <t>Số 240 Văn Cao, phường Đằng Giang, Quận Ngô Quyền Thành phố Hải Phòng</t>
  </si>
  <si>
    <t>V10320C</t>
  </si>
  <si>
    <t>Trung tâm phát triển thương mại điện tử</t>
  </si>
  <si>
    <t>25 Ngô quyền, Hoàn kiếm, Hà nội</t>
  </si>
  <si>
    <t>0102721113</t>
  </si>
  <si>
    <t>NH TMCP Á Châu - CN Thăng Long</t>
  </si>
  <si>
    <t>38946139</t>
  </si>
  <si>
    <t>V10337C</t>
  </si>
  <si>
    <t>Số 1, đường Bạch đằng, Thị trấn Núi đèo, h.Thủy nguyên, TP Hải phòng</t>
  </si>
  <si>
    <t>Ngân hàng TMCP Công thương Việt Nam - CN Lê chân</t>
  </si>
  <si>
    <t>V20116C</t>
  </si>
  <si>
    <t>TSUBAKIMOTO KOGYO CO., LTD</t>
  </si>
  <si>
    <t>OSAKA UMEDA BLDG., 3-3-20,27th FL., MEIJI YASUDA LIFEUMEDA KITA-KU,OSAKA 530-0001, JAPAN</t>
  </si>
  <si>
    <t>005301</t>
  </si>
  <si>
    <t>United overseas Bank (Thai) Public Company Limited</t>
  </si>
  <si>
    <t>005501</t>
  </si>
  <si>
    <t>VID Public Bank</t>
  </si>
  <si>
    <t>005502</t>
  </si>
  <si>
    <t>005503</t>
  </si>
  <si>
    <t>005401</t>
  </si>
  <si>
    <t>Viet Nam International Bank (VIB)</t>
  </si>
  <si>
    <t>005402</t>
  </si>
  <si>
    <t>005403</t>
  </si>
  <si>
    <t>005404</t>
  </si>
  <si>
    <t>005621</t>
  </si>
  <si>
    <t>005622</t>
  </si>
  <si>
    <t>005601</t>
  </si>
  <si>
    <t>31000785509</t>
  </si>
  <si>
    <t>005602</t>
  </si>
  <si>
    <t>005603</t>
  </si>
  <si>
    <t>005604</t>
  </si>
  <si>
    <t>005605</t>
  </si>
  <si>
    <t>005606</t>
  </si>
  <si>
    <t>005607</t>
  </si>
  <si>
    <t>005608</t>
  </si>
  <si>
    <t>005609</t>
  </si>
  <si>
    <t>005610</t>
  </si>
  <si>
    <t>005611</t>
  </si>
  <si>
    <t>005612</t>
  </si>
  <si>
    <t>005613</t>
  </si>
  <si>
    <t>005614</t>
  </si>
  <si>
    <t>005615</t>
  </si>
  <si>
    <t>005616</t>
  </si>
  <si>
    <t>005617</t>
  </si>
  <si>
    <t>005618</t>
  </si>
  <si>
    <t>005623</t>
  </si>
  <si>
    <t>005701</t>
  </si>
  <si>
    <t>Vietin bank</t>
  </si>
  <si>
    <t>005702</t>
  </si>
  <si>
    <t>005703</t>
  </si>
  <si>
    <t>005704</t>
  </si>
  <si>
    <t>005705</t>
  </si>
  <si>
    <t>005706</t>
  </si>
  <si>
    <t>005707</t>
  </si>
  <si>
    <t>005708</t>
  </si>
  <si>
    <t>005709</t>
  </si>
  <si>
    <t>005710</t>
  </si>
  <si>
    <t>005711</t>
  </si>
  <si>
    <t>005712</t>
  </si>
  <si>
    <t>005713</t>
  </si>
  <si>
    <t>005714</t>
  </si>
  <si>
    <t>005715</t>
  </si>
  <si>
    <t>002001</t>
  </si>
  <si>
    <t>Vietnam Export Import commercial Joint - Stock Bank</t>
  </si>
  <si>
    <t>002002</t>
  </si>
  <si>
    <t>002003</t>
  </si>
  <si>
    <t>002004</t>
  </si>
  <si>
    <t>002005</t>
  </si>
  <si>
    <t>002006</t>
  </si>
  <si>
    <t>002007</t>
  </si>
  <si>
    <t>002008</t>
  </si>
  <si>
    <t>002009</t>
  </si>
  <si>
    <t>030001</t>
  </si>
  <si>
    <t>Vietnam Export Import Commercial Joint Stock Bank</t>
  </si>
  <si>
    <t>003401</t>
  </si>
  <si>
    <t>Vietnam Maritime Commercial Joint Stock Bank</t>
  </si>
  <si>
    <t>003402</t>
  </si>
  <si>
    <t>003403</t>
  </si>
  <si>
    <t>006201</t>
  </si>
  <si>
    <t>Vietnam Thuong Tin (Vietbank) Commercial Joint</t>
  </si>
  <si>
    <t>005801</t>
  </si>
  <si>
    <t>VP Bank</t>
  </si>
  <si>
    <t>005802</t>
  </si>
  <si>
    <t>005803</t>
  </si>
  <si>
    <t>005901</t>
  </si>
  <si>
    <t>WOORI BANK, SEOUL</t>
  </si>
  <si>
    <t>005902</t>
  </si>
  <si>
    <t>WOORI BANK, SME Fin.cen</t>
  </si>
  <si>
    <t>006001</t>
  </si>
  <si>
    <t>Yamaguchi Bank</t>
  </si>
  <si>
    <t>V20123C</t>
  </si>
  <si>
    <t>YAMAZEN CORPORATION</t>
  </si>
  <si>
    <t>2-3-16 Itachibori, Nishi-ku, Osaka 550-8660 Japan</t>
  </si>
  <si>
    <t>(06) 653403224</t>
  </si>
  <si>
    <t>Sumitomo Mitsui banking corporation - Branch SENBA</t>
  </si>
  <si>
    <t>289271</t>
  </si>
  <si>
    <t>V20123B</t>
  </si>
  <si>
    <t>Sumitomo Mitsui banking corporation / SENBA</t>
  </si>
  <si>
    <t>Nhật</t>
  </si>
  <si>
    <t>Thảo</t>
  </si>
  <si>
    <t>PO</t>
  </si>
  <si>
    <t>V10360C</t>
  </si>
  <si>
    <t>Cửa hàng Nguyễn Thị Thùy Dung</t>
  </si>
  <si>
    <t>QINGDAO WENWUGANG RUBBER &amp; PLASTIC CO., LTD</t>
  </si>
  <si>
    <t>V10333C</t>
  </si>
  <si>
    <t>Công ty TNHH Thương Mại Dịch Vụ Công Nghiệp Thành Tín</t>
  </si>
  <si>
    <t>Công ty TNHH bảo dưỡng và dịch vụ kỹ thuật Năng lượng</t>
  </si>
  <si>
    <t>V20133C</t>
  </si>
  <si>
    <t>Mitsubishi Heavy Industries(Changshu) Machinery Co.,Ltd</t>
  </si>
  <si>
    <t>Công ty TNHH Printec Ohtomi</t>
  </si>
  <si>
    <t xml:space="preserve"> 10 remittances oversea </t>
  </si>
  <si>
    <t xml:space="preserve"> 1 remittance oversea </t>
  </si>
  <si>
    <t xml:space="preserve">Check and make about 10 orders payment;  4 remittances oversea, domestic </t>
  </si>
  <si>
    <t>Pending post</t>
  </si>
  <si>
    <t>Alpha Technologies Services, LLC</t>
  </si>
  <si>
    <t>V20135C</t>
  </si>
  <si>
    <t>3030 Gilchrist Road, Akron Ohio, 44305,US</t>
  </si>
  <si>
    <t>13307451641</t>
  </si>
  <si>
    <t>Wells Fargo Bank / Hapeville GA 30354</t>
  </si>
  <si>
    <t>2000041002793</t>
  </si>
  <si>
    <t>Mizuho Bank Ltd - Bangkok branch</t>
  </si>
  <si>
    <t>Chi nhánh Công ty TNHH MTV Điện Lực Hải Phòng - Xí Nghiệp Quản lý lưới điện Cao</t>
  </si>
  <si>
    <t>V10359C</t>
  </si>
  <si>
    <t>0313529612</t>
  </si>
  <si>
    <t>An Binh Commercial Joint Stock Bank / Hải Phòng, Hải Phòng</t>
  </si>
  <si>
    <t>0751018528032</t>
  </si>
  <si>
    <t>China Inspection Co.,Ltd</t>
  </si>
  <si>
    <t>V20136C</t>
  </si>
  <si>
    <t>Shun Tak Centre, 29F,East Tower, No.168-200 Connaught Road Central, 168200</t>
  </si>
  <si>
    <t>Tầng 9, tòa nhà Hà Nội TungShing Square, số 2 Ngô Quyền, quận Hoàn Kiếm, Hà Nội</t>
  </si>
  <si>
    <t>Công ty Cổ Phần Đầu Tư Dịch Vụ Và Thương Mại Việt Đức</t>
  </si>
  <si>
    <t>V10336C</t>
  </si>
  <si>
    <t>Số 58/50/286 Lê Lai,Phường Máy Chai, Quận Ngô Quyền,Hải Phòng</t>
  </si>
  <si>
    <t>0313 264403</t>
  </si>
  <si>
    <t>Techcombank / Hải Phòng</t>
  </si>
  <si>
    <t>10923273367666</t>
  </si>
  <si>
    <t>Công ty cổ phần dịch vụ thương mại tổng hợp Vincommerce</t>
  </si>
  <si>
    <t>V10355C</t>
  </si>
  <si>
    <t>Số 5, đường Lê Thánh TôngTầng 2, Khu TTTM Vincom Center Hải Phòng, Ngô Quyền, Hải Phòng</t>
  </si>
  <si>
    <t>031 6266886</t>
  </si>
  <si>
    <t>NH TMCP Quân Đội - CN Nam Hải Phòng</t>
  </si>
  <si>
    <t>2531138668668</t>
  </si>
  <si>
    <t>Công ty Cổ phần Hợp Nhất Quốc tế</t>
  </si>
  <si>
    <t>Công ty cổ phần Kansai Việt Nam</t>
  </si>
  <si>
    <t>V10347C</t>
  </si>
  <si>
    <t>Số 308C phố Minh Khai, Phường Minh Khai, Quận Hai Bà Trưng, Hà nội</t>
  </si>
  <si>
    <t>Công ty cổ phần Phòng cháy chữa cháy Thăng Long</t>
  </si>
  <si>
    <t>V10365C</t>
  </si>
  <si>
    <t>Phường Thanh Xuân Trung, Số 58B Vũ Trọng Phụng, quận Thanh Xuân, thành phố Hà Nội</t>
  </si>
  <si>
    <t>0462945058</t>
  </si>
  <si>
    <t>Sai Gon Thuong Tin Bank /  Hà Nội branch</t>
  </si>
  <si>
    <t>020039495555</t>
  </si>
  <si>
    <t>Công ty CP thương mại xây dựng và xuất nhập khẩu Duyên Hải</t>
  </si>
  <si>
    <t>V10364C</t>
  </si>
  <si>
    <t>Số 86 Hoàng Thế Thiện, phường Đông Khê, quận Ngô Quyền, thành phố Hải Phòng, VN</t>
  </si>
  <si>
    <t>02253761985</t>
  </si>
  <si>
    <t>Viet Nam International Bank (VIB) / Hải Phòng</t>
  </si>
  <si>
    <t>009704060163929</t>
  </si>
  <si>
    <t>V10366C</t>
  </si>
  <si>
    <t>Xóm Chùa Mới, thôn Triều Khúc, xã Tân Triều, huyện Thanh Trì, thành phố Hà Nội</t>
  </si>
  <si>
    <t>0422178899</t>
  </si>
  <si>
    <t>VP Bank / Kinh Đô, PGD Thanh Xuân</t>
  </si>
  <si>
    <t>38020838</t>
  </si>
  <si>
    <t>Công ty TNHH Đào tạo Phát triển doanh  nghiệp Việt</t>
  </si>
  <si>
    <t>V4089C0</t>
  </si>
  <si>
    <t>Số 1, ngõ 107/33/9 đường Lĩnh Nam, P.Vĩnh Hưng, Q.Hoàng Mai, Hà nội</t>
  </si>
  <si>
    <t>V10361B</t>
  </si>
  <si>
    <t>728 Võ Văn Kiệt,Phường 01, Quận 5, Thành phố Hồ Chí Minh, VN</t>
  </si>
  <si>
    <t>0838363964</t>
  </si>
  <si>
    <t>AGRIBANK / Sài Gòn, Hồ Chí Minh</t>
  </si>
  <si>
    <t>1600201023280</t>
  </si>
  <si>
    <t>Sumitomo Mitsui banking corporation-CN Hà Nội</t>
  </si>
  <si>
    <t>Công ty TNHH May mặc Tùng Phát Lộc</t>
  </si>
  <si>
    <t>V10358C</t>
  </si>
  <si>
    <t>73/2 đường Tân Thới Hiệp 22, P. Tân Thới Hiệp, Q. 12, Tp. Hồ Chí Minh, Việt Nam</t>
  </si>
  <si>
    <t>0935 135 896</t>
  </si>
  <si>
    <t>Vietcombank / Bắc Sài gòn</t>
  </si>
  <si>
    <t>050 100 006 7914</t>
  </si>
  <si>
    <t>Công ty TNHH Misumi Việt Nam</t>
  </si>
  <si>
    <t>V10363C</t>
  </si>
  <si>
    <t>Lô số 15, đường TS11, khu công nghiệp Tiên Sơn, Xã Hoàn Sơn,Huyện Tiên Du,Tỉnh Bắc Ninh,</t>
  </si>
  <si>
    <t>02223611555</t>
  </si>
  <si>
    <t>Công ty TNHH Nichias Việt Nam</t>
  </si>
  <si>
    <t>V10357C</t>
  </si>
  <si>
    <t>Phòng 12-K, Tầng 12, Center Building, Hapulico Complex, Số 1 Nguyễn Huy Tưởng, phường Thanh Xuân Trung,quận Thanh Xuân, thành ph</t>
  </si>
  <si>
    <t>0437917194</t>
  </si>
  <si>
    <t>Công ty TNHH Nichiden Việt Nam</t>
  </si>
  <si>
    <t>V10345C</t>
  </si>
  <si>
    <t>Số 328-330 Đường D3, Văn Thánh Bắc, Phường 25 Quận Bình Thạnh,Thành phố Hồ Chí Minh</t>
  </si>
  <si>
    <t>Sumitomo Mitsui banking corporation - CN Hồ Chí Minh</t>
  </si>
  <si>
    <t>10072902</t>
  </si>
  <si>
    <t>V10353C</t>
  </si>
  <si>
    <t>Số 7, đường 3A, VSIP Bắc Ninh, thị xã Từ Sơn,Tỉnh Bắc Ninh, Việt Nam</t>
  </si>
  <si>
    <t>02223765057</t>
  </si>
  <si>
    <t>Vietcombank / Bắc Ninh</t>
  </si>
  <si>
    <t>0351370797044</t>
  </si>
  <si>
    <t>Vietcombank - Chi nhánh Bắc Bình Dương</t>
  </si>
  <si>
    <t>Công ty TNHH sản xuất thương mại và dịch vụ Đăng Phát</t>
  </si>
  <si>
    <t>V10342C</t>
  </si>
  <si>
    <t>Đội 4, thôn Lạc Thị,xã Ngọc Hồi, huyện Thanh Trì, Tp. Hà Nội</t>
  </si>
  <si>
    <t>NH BIDV - CN Nam Hà Nội</t>
  </si>
  <si>
    <t>21310000361355</t>
  </si>
  <si>
    <t>NH Thương mại cổ phần Á Châu-CN Hải Phòng</t>
  </si>
  <si>
    <t>204560799</t>
  </si>
  <si>
    <t>CÔNG TY TNHH TRUYỀN THÔNG BETANAM</t>
  </si>
  <si>
    <t>V10362C</t>
  </si>
  <si>
    <t>Số 88, ngõ 90 Đường Nguyễn Tuân, Phường Thanh Xuân Trung, Quận Thanh Xuân, Thành phố Hà Nội</t>
  </si>
  <si>
    <t>0913 039 398</t>
  </si>
  <si>
    <t>Vietcombank / Thành Công, Hà Nội</t>
  </si>
  <si>
    <t>0451000268072</t>
  </si>
  <si>
    <t>Công ty TNHH ứng dụng công nghệ  Vật liệu mới Hải Phòng</t>
  </si>
  <si>
    <t>V10343C</t>
  </si>
  <si>
    <t>(Nhà ông Trần Văn Hạnh),Km 27+400 đường quốc lộ 10, thôn 6,xã Bắc Sơn, Huyện An Dương,</t>
  </si>
  <si>
    <t>0313589571</t>
  </si>
  <si>
    <t>Vietin bank / Lê Chân, Hải Phòng</t>
  </si>
  <si>
    <t>102010001288379</t>
  </si>
  <si>
    <t>V10311B</t>
  </si>
  <si>
    <t>Tầng trệt, trung tâm thương mại Thiên Sơn, số 800, đường Nguyễn Văn Linh, P.Tân Phú, Q.7, TP.HCM</t>
  </si>
  <si>
    <t>0309843534</t>
  </si>
  <si>
    <t>Bank of Tokyo - Mitsubishi UFJ., Ltd - Chi nhánh Hồ Chí Minh</t>
  </si>
  <si>
    <t>xã Tân Tiến, Km 13 quốc lộ 5, huyện An Dương, thành phố Hải Phòng, VN</t>
  </si>
  <si>
    <t>0313588675</t>
  </si>
  <si>
    <t>Petrolimex Group commercial Joint Stock Bank / Hà Nội</t>
  </si>
  <si>
    <t>Forbo International Hong Kong Limited</t>
  </si>
  <si>
    <t>V20127C</t>
  </si>
  <si>
    <t>805A,8/F, Tsim Sha Tsui Centre, 66 Mody Road, Kowloon,HONG KONG</t>
  </si>
  <si>
    <t>Deutsche Bank AG- Hong Kong Branch</t>
  </si>
  <si>
    <t>0009795050</t>
  </si>
  <si>
    <t>FUJI ELECTRIC ASIA PACIFIC PTE LTD.</t>
  </si>
  <si>
    <t>V20138C</t>
  </si>
  <si>
    <t>151 LORONG CHUAN, #03-01A, NEW TECH PARK, SINGAPORE 556741</t>
  </si>
  <si>
    <t>6565330014</t>
  </si>
  <si>
    <t>MIZUHO BANK , LTD / Singapore</t>
  </si>
  <si>
    <t>F10-749-119063</t>
  </si>
  <si>
    <t>024-1254984</t>
  </si>
  <si>
    <t>IHI CORPORATION</t>
  </si>
  <si>
    <t>V20130C</t>
  </si>
  <si>
    <t>Toyosu IHI Building, 1-1,Toyosu 3-chome,Koto-ku, Tokyo 135-8710, Japan</t>
  </si>
  <si>
    <t>Mizuho Bank, Ltd. - Uchisaiwaicho Corporate Banking Division</t>
  </si>
  <si>
    <t>1167888</t>
  </si>
  <si>
    <t>Kume Sekkei Co.,Ltd</t>
  </si>
  <si>
    <t>V20129B</t>
  </si>
  <si>
    <t>2-1-22 Shiomi, Koto-ku, Tokyo, Japan</t>
  </si>
  <si>
    <t>Mizuho bank., Ltd - Yaesuguchi branch</t>
  </si>
  <si>
    <t>0019619 (JPY) / 9125764 (USD)</t>
  </si>
  <si>
    <t>LINTEC Corporation</t>
  </si>
  <si>
    <t>V20131C</t>
  </si>
  <si>
    <t>Kowa Lidabashi Bldg, 2-1-2 Korabu, Bunkyo-ku, Tokyo 112-0004 Japan</t>
  </si>
  <si>
    <t>MIZUHO BANK , LTD / Itabashi branch</t>
  </si>
  <si>
    <t>0019514</t>
  </si>
  <si>
    <t>Economic Development Zone, Changshu City, Huangpujiang Road, Changshu Southeast, Jiangsu Province, P.R. China</t>
  </si>
  <si>
    <t>Bank of Tokyo-Mitsubushi UFJ (China), Ltd. Suzhou Branch</t>
  </si>
  <si>
    <t>016152 (USD) / 016160 (JPY)</t>
  </si>
  <si>
    <t>V20137C</t>
  </si>
  <si>
    <t>Gangdong East dock Wanggezhuang Town,Laoshan District,Qingdao,China</t>
  </si>
  <si>
    <t>+86-532-8791-2284</t>
  </si>
  <si>
    <t>902140781006222810</t>
  </si>
  <si>
    <t>Rix Corporation</t>
  </si>
  <si>
    <t>V20134C</t>
  </si>
  <si>
    <t>1-15-15 Sanno, Hakata-ku, Fukuoka, Japan</t>
  </si>
  <si>
    <t>The Bank of Tokyo-Mitsubishi UFJ, Ltd. / Fukuoka - Chuo Branch</t>
  </si>
  <si>
    <t>110154</t>
  </si>
  <si>
    <t>Tokyo Boeki Techno-System Ltd.,</t>
  </si>
  <si>
    <t>TOKYO BOEKI TECHNO</t>
  </si>
  <si>
    <t>V20126B</t>
  </si>
  <si>
    <t>2-13-8 Hatchoubori, Chuo-ku, Tokyo, Japan 104-0032</t>
  </si>
  <si>
    <t>81-(0)3-3555-7140</t>
  </si>
  <si>
    <t>Sumitomo Mitsui banking corporation / ATSUGI branch</t>
  </si>
  <si>
    <t>6983731</t>
  </si>
  <si>
    <t>The bank of Tokyo-Mitsubishi UFJ, Ltd. - Tenruko branch</t>
  </si>
  <si>
    <t>039-0308143</t>
  </si>
  <si>
    <t>Trung tâm thử nghiệm xe cơ giới</t>
  </si>
  <si>
    <t>V4088C0</t>
  </si>
  <si>
    <t>Số 18 đường Phạm Hùng, Mỹ Đình 2, Nam Từ Liêm, Q.Mỹ Đình, HN</t>
  </si>
  <si>
    <t>538 Moo 4 Bangpoo Industrial Estate, Pattana2 Road, Muang District, Samutprakarn 10280</t>
  </si>
  <si>
    <t>0031000218079</t>
  </si>
  <si>
    <t>Ngân hàng TMCP ngoại thương Hải Phòng</t>
  </si>
  <si>
    <t>38689000007538</t>
  </si>
  <si>
    <t>Keb Hana Bank, sihwa corporate banking center Branch</t>
  </si>
  <si>
    <t>Keb Hana Bank, Sihwa corporate banking center Branch</t>
  </si>
  <si>
    <t>Keb Hana Bank, Sihwa corporate banking center Branch(KOEXKRSE)</t>
  </si>
  <si>
    <t>HDFC BANK Ltd.- Zadeshwar Road Bharuch</t>
  </si>
  <si>
    <t>104/48 to 104/52,Phase II, GIDC Palej,Bharuch 392220 Gujarat</t>
  </si>
  <si>
    <t>303-636-0201</t>
  </si>
  <si>
    <t>Bank Mizuho Indonesia / Jakarta Branch</t>
  </si>
  <si>
    <t>10324773718</t>
  </si>
  <si>
    <t>State Bank of India / Overseas Branch</t>
  </si>
  <si>
    <t>+91-120-2446850</t>
  </si>
  <si>
    <t>14th Floor, Tower B, World Trade Tower, Plot No. C-1, Sector -16, Noida - 201301. UP, 201301 India</t>
  </si>
  <si>
    <t>V20139A</t>
  </si>
  <si>
    <t>Oriental Carbon &amp; Chemicals Ltd</t>
  </si>
  <si>
    <t>619 Minami, Kande-cho, Nishi-ku, Kobe 651-2312, Japan</t>
  </si>
  <si>
    <t>+82-31-479-9200</t>
  </si>
  <si>
    <t>+82-31-383-0463</t>
  </si>
  <si>
    <t>CITIBANK BERHAD</t>
  </si>
  <si>
    <t>Số 83 Bạch Đằng - Phường Hạ Lý - Quận Hồng Bàng - Hải Phòng</t>
  </si>
  <si>
    <t>Ngân hàng NN &amp; PTNT Việt Nam - CN Bắc Hải Phòng</t>
  </si>
  <si>
    <t>Maritimebank CN Hải Phòng</t>
  </si>
  <si>
    <t>0071002924497</t>
  </si>
  <si>
    <t>Vietcombank - CN Kỳ Đồng - HCM</t>
  </si>
  <si>
    <t>37051019</t>
  </si>
  <si>
    <t>Asia Commercial Joint Stock Bank / Hải Phòng</t>
  </si>
  <si>
    <t>0984 898 398</t>
  </si>
  <si>
    <t>Số 275 Lạch Tray, Phường Đằng Giang, Quận Ngô Quyền, Thành phố Hải Phòng</t>
  </si>
  <si>
    <t>V10369C</t>
  </si>
  <si>
    <t>Tổ dân phố 3 (nhà ông Thái Bá Sơn), thị trấn An Dương, huyện An Dương, thành phố Hải Phòng, Việt Nam</t>
  </si>
  <si>
    <t>2002707-002</t>
  </si>
  <si>
    <t>(04)6668 9888-(04)6668 9898</t>
  </si>
  <si>
    <t>Tầng 7, tòa nhà Diamond Flower, đường Lê Văn Lương,  phường Nhân Chính, quận Thanh Xuân, thành phố Hà Nội</t>
  </si>
  <si>
    <t>V10367C</t>
  </si>
  <si>
    <t>CÔNG TY TNHH THƯƠNG MẠI DỊCH VỤ TINH HÀ</t>
  </si>
  <si>
    <t>436A/101 Đường 3/2, Phường 12, Quận 10, Thành Phố Hồ Chí Minh, Việt Nam</t>
  </si>
  <si>
    <t>5113000244201</t>
  </si>
  <si>
    <t>1860108-1</t>
  </si>
  <si>
    <t>Mizuho Corporate Bank, Ltd - CN thành phố Hà Nội</t>
  </si>
  <si>
    <t>Sumitomo Mitsui Banking Corporation - chi nhánh Hà Nội</t>
  </si>
  <si>
    <t>Nhà xưởng X2, khu nhà xưởng cho thuê Hải Thành, P. Hải Thành, Q. Dương Kinh, Hải Phòng</t>
  </si>
  <si>
    <t>CG440032C0</t>
  </si>
  <si>
    <t>Số 711 đường Thiên Lôi - Phường Vĩnh Niệm - Quận Lê Chân - Hải Phòng</t>
  </si>
  <si>
    <t>10047502</t>
  </si>
  <si>
    <t>Sumitomo Mitsui banking corporation / Hồ Chí Minh</t>
  </si>
  <si>
    <t>(84-8) 3821 3660</t>
  </si>
  <si>
    <t>Số 132, đường Hàm Nghi,   phường Bến Thành, Quận 1, thành phố Hồ Chí Minh</t>
  </si>
  <si>
    <t>V10334C</t>
  </si>
  <si>
    <t>Công ty TNHH Kosaido HR Việt Nam</t>
  </si>
  <si>
    <t>Tầng 26, Tòa Đông, Tòa nhà Lotte center Hanoi, số 54, đường Liễu Giai, Phường Cống Vị, Hà Nội</t>
  </si>
  <si>
    <t>12A Đại lộ Độc Lập, VSIP,Thị xã Thuận An, Bình Dương</t>
  </si>
  <si>
    <t>0311969090</t>
  </si>
  <si>
    <t>Vietcombank - CN TP HCM</t>
  </si>
  <si>
    <t>Ngân hàng TMCP ngoại thương Việt Nam - Chi nhánh Hải Phòng</t>
  </si>
  <si>
    <t>Số 5, Lô L1, khu nhà ở Nam Sông Lạch Tray - Phường Anh Dũng - Quận Dương Kinh - Hải Phòng</t>
  </si>
  <si>
    <t>3120201006743</t>
  </si>
  <si>
    <t>Ngân hàng Agribank-CN Gia Lâm, Hà Nội</t>
  </si>
  <si>
    <t>0031006668888(VND)/0031376668899(USD)</t>
  </si>
  <si>
    <t>020025911858</t>
  </si>
  <si>
    <t>Sacombank / CN Hà Nội , PGD Lĩnh Nam</t>
  </si>
  <si>
    <t>0934233898</t>
  </si>
  <si>
    <t>Số 130, ngách 90, ngõ 179, phố Vĩnh Hưng, Phường Vĩnh Hưng, Quận Hoàng Mai, Thành phố Hà Nội</t>
  </si>
  <si>
    <t>V10370C</t>
  </si>
  <si>
    <t>CÔNG TY TNHH ĐÀO TẠO PHÁT TRIỂN DOANH NGHIỆP VIỆT</t>
  </si>
  <si>
    <t>Ngân hàng xuất nhập khẩu Việt Nam - CN Hải Phòng</t>
  </si>
  <si>
    <t>Ngân hàng xuất nhập khẩu Việt Nam- CN Hải Phòng</t>
  </si>
  <si>
    <t>Ngân hàng TMCP Ngoại thương Việt Nam-CN Hải Phòng</t>
  </si>
  <si>
    <t>MIZUHO CORPORATE BANK., LTD / Hà Nội</t>
  </si>
  <si>
    <t>84-4-3217 1112</t>
  </si>
  <si>
    <t>Ô số 2,3,4,5 tầng 9, tòa nhà Văn phòng Sông Hồng, số 165 phố Thái Hà, phường Láng Hạ, Quận Đống Đa, Thành phố Hà Nội</t>
  </si>
  <si>
    <t>V10319B</t>
  </si>
  <si>
    <t>Số 11, tổ 7, phường Thanh Lương, Quận Hai Bà Trưng, Thành phố Hà Nội, Việt Nam</t>
  </si>
  <si>
    <t>15110000546823</t>
  </si>
  <si>
    <t>Ngân hàng ACB - CN Thái Phiên, Hải Phòng</t>
  </si>
  <si>
    <t>102010000028345</t>
  </si>
  <si>
    <t>TMCP Công Thương Việt Nam - CN Hà Nội</t>
  </si>
  <si>
    <t>Ngân hàng NN và phát triển nông thôn Việt Nam - CN Bắc Hải Phòng</t>
  </si>
  <si>
    <t>Số 264 Nguyễn Lương Bằng,phường Phù Liễn,Quận Kiến An, TP Hải Phòng</t>
  </si>
  <si>
    <t>Xóm 1 Bắc, xã kim Nỗ, huyện Đông Anh, Tp Hà Nội</t>
  </si>
  <si>
    <t>TMCP Tiên Phong - Chi nhánh Hoàn Kiếm, Hà Nội</t>
  </si>
  <si>
    <t>TMCP Tiên phong CN Hà Nội</t>
  </si>
  <si>
    <t>Tầng 12A, tòa nhà Center Building, Số 1 Nguyễn Huy Tưởng, Phường Thanh Xuân Trung, quận Thanh Xuân thành phố Hà Nội, Việt Nam</t>
  </si>
  <si>
    <t>Phòng 501 nhà số 1 ngõ 329,đường Cầu Giấy, phường Dịch Vọng, quận Cầu Giấy,Thành phố Hà Nội, Việt Nam</t>
  </si>
  <si>
    <t>Ngân hàng TMCP Đầu tư và phát triển Việt Nam, CN Đông Đô</t>
  </si>
  <si>
    <t>TMCP Quốc tế - CN Hồng Bàng, Hải Phòng</t>
  </si>
  <si>
    <t>0031000250368</t>
  </si>
  <si>
    <t>Vietcombank, CN Hải Phòng</t>
  </si>
  <si>
    <t>245054</t>
  </si>
  <si>
    <t>The Bank of Tokyo-Mitsubishi UFJ, Ltd. / Hà Nội</t>
  </si>
  <si>
    <t>04-3266-8138</t>
  </si>
  <si>
    <t>Ô 10.04 tòa nhà Cornerstone, 16 Phan Chu Trinh, Phường Phan Chu Trinh, Quận Hoàn Kiếm, Thành phố Hà Nội</t>
  </si>
  <si>
    <t>V10354C</t>
  </si>
  <si>
    <t>Chi nhánh Nagashima Ohno &amp; Tsunematsu tại Hà Nội</t>
  </si>
  <si>
    <t>Tầng 11, Tòa nhà Prime Centre, 53 đường Quang Trung, Phường Nguyễn Du,Quận Hai Bà Trưng,Thành phố Hà Nội, Việt Nam</t>
  </si>
  <si>
    <t>Lô CN3.6-CN4.1, khu công nghiệp Đình Vũ, phường Đông Hải 2, Hải An, Hải Phòng</t>
  </si>
  <si>
    <t>Posted</t>
  </si>
  <si>
    <t>Park into SAP</t>
  </si>
  <si>
    <t>Chưa parked</t>
  </si>
  <si>
    <t>AR NO#</t>
  </si>
  <si>
    <t>V10368C</t>
  </si>
  <si>
    <t>Amount</t>
  </si>
  <si>
    <t>Đã park, chưa posted</t>
  </si>
  <si>
    <t>Tổng chưa posted</t>
  </si>
  <si>
    <t>Mizuho bank,ltd-Ikebukuro branch</t>
  </si>
  <si>
    <t>1065615(JPY)</t>
  </si>
  <si>
    <t>Bridgestone Asia Pacific Technical Center Co., Ltd.</t>
  </si>
  <si>
    <t>CG460004C0</t>
  </si>
  <si>
    <t>No. 113, Moo 18, Klong Nueng, Klong Luang, Pathumthani Province, Thailand</t>
  </si>
  <si>
    <t>Chi nhánh công ty TNHH Bosch Việt Nam tại thành phố Hồ Chí Minh</t>
  </si>
  <si>
    <t>V10352C</t>
  </si>
  <si>
    <t>Tầng 10- Tòa nhà 194 Golden Building, số 473 đường Điện Biên Phủ, phường 25, Quận Bình Thạnh, TP. HCM</t>
  </si>
  <si>
    <t>0862583690\0862583692</t>
  </si>
  <si>
    <t>Deutsche Bank AG,CN Hồ Chí Minh</t>
  </si>
  <si>
    <t>1012178051</t>
  </si>
  <si>
    <t>Chi nhánh công ty TNHH MTV dịch vụ lữ hành Saigontourist tại Hải Phòng</t>
  </si>
  <si>
    <t>V10373C</t>
  </si>
  <si>
    <t>0310891532-009</t>
  </si>
  <si>
    <t>0031000155131</t>
  </si>
  <si>
    <t>Khu An Lạc, Phường Hùng Vương, Quận Hồng Bàng, Thành Phố Hải Phòng</t>
  </si>
  <si>
    <t>Chi nhánh Phòng thương mại và công nghiệp tại Hải Phòng</t>
  </si>
  <si>
    <t>V4090C0</t>
  </si>
  <si>
    <t>Số 10, Đinh Tiên Hoàng, P.Minh Khai, Q. Hồng Bàng, TP Hải Phòng</t>
  </si>
  <si>
    <t>0031000000807</t>
  </si>
  <si>
    <t>Phòng 201, Tầng 2,tòa nhà HITC,số 239 Xuân Thủy,P.Dịch Vọng Hậu,Q.Cầu giấy,Hà Nội</t>
  </si>
  <si>
    <t>0200654578</t>
  </si>
  <si>
    <t>Ngân hàng TMCP Quốc tế Việt Nam - CN Hồng Bàng, Hải Phòng</t>
  </si>
  <si>
    <t>CÔNG TY CỔ PHẦN CÔNG NGHỆ VÀ  THIẾT BỊ CNC HÀ NỘI</t>
  </si>
  <si>
    <t>V10375C</t>
  </si>
  <si>
    <t>Số 30 N07 Khu đô thị mới Dịch Vọng,Phường Dịch Vọng,Quần Cầu giấy,TP Hà Nội, Việt Nam.</t>
  </si>
  <si>
    <t>Vietcombank / Thăng Long</t>
  </si>
  <si>
    <t>0491000001228</t>
  </si>
  <si>
    <t>CÔNG TY CỔ PHẦN CÔNG NGHỆ VÀ XÂY DỰNG MINH VIỆT</t>
  </si>
  <si>
    <t>V10379C</t>
  </si>
  <si>
    <t>Số 44, ngõ 381,đường Nguyễn Khang,Phường Yên Hòa,Quận Cầu Giấy,Thành phố Hà Nội, Việt Nam</t>
  </si>
  <si>
    <t>VP Bank / CN Thăng Long, PGD Trung Hòa Nhân Chính</t>
  </si>
  <si>
    <t>71733998</t>
  </si>
  <si>
    <t>Công ty cổ phần sản xuất và thương mại 3TK</t>
  </si>
  <si>
    <t>V10381C</t>
  </si>
  <si>
    <t>Số nhà 17 Hoàng Văn Thái,Phường Khương Mai,Quận Thanh Xuân,Thành phố Hà Nội</t>
  </si>
  <si>
    <t>10321660084011</t>
  </si>
  <si>
    <t>267A Đà Nẵng - Phường Vạn Mỹ - Quận Ngô Quyền - Thành phố Hải Phòng - Việt Nam</t>
  </si>
  <si>
    <t>Nông nghiệp và Phát triển nông thôn Việt Nam - CN Quận Ngô Quyền</t>
  </si>
  <si>
    <t>2101201005577</t>
  </si>
  <si>
    <t>Công ty CP Kinh doanh khí Miền Bắc</t>
  </si>
  <si>
    <t>0201007118</t>
  </si>
  <si>
    <t>Ngân hàng Techcombank- CN Hoàng Quốc Việt</t>
  </si>
  <si>
    <t>18/21/170 Phạm Hữu Điều,Phường Niệm Nghĩa,Lê Chân,Hải phòng</t>
  </si>
  <si>
    <t>Ngân hàng TMCP Á Châu - Chi nhánh Hải Phòng</t>
  </si>
  <si>
    <t>Ngân hàng TNHH MTV Standard Chartered VN</t>
  </si>
  <si>
    <t>Ngân hàng CôngThương Việt Nam - CN Hải phòng</t>
  </si>
  <si>
    <t>Số 133 Kênh Dương,phường Kênh Dương, Lê chân, Hải Phòng</t>
  </si>
  <si>
    <t>0201037313</t>
  </si>
  <si>
    <t>Ngân hàng Vietinbank - Chi Nhánh Lê Chân</t>
  </si>
  <si>
    <t>114000165632</t>
  </si>
  <si>
    <t>Công ty TNHH ECOLAB VIỆT NAM</t>
  </si>
  <si>
    <t>V10383C</t>
  </si>
  <si>
    <t>Tầng 8, phòng 8.2B, Tòa nhà E-Town 2, số 364, đường Cộng Hòa, Phường 13, Quận Tân Bình, Thành phố Hồ Chí Minh</t>
  </si>
  <si>
    <t>84-8-35285100</t>
  </si>
  <si>
    <t>CITIBANK, N.A. / Hồ Chí Minh</t>
  </si>
  <si>
    <t>0302436002</t>
  </si>
  <si>
    <t>Công ty TNHH Eris Việt Nam</t>
  </si>
  <si>
    <t>V4091C0</t>
  </si>
  <si>
    <t>Tầng 4-6, số 59A Lý Thái Tổ, P. Lý Thái Tổ, Q. Hoàn Kiếm, TP Hà Nội</t>
  </si>
  <si>
    <t>Standard Chartered Bank (Vietnam) Limited / Lê Đại Hành</t>
  </si>
  <si>
    <t>66225369066</t>
  </si>
  <si>
    <t>V10361A</t>
  </si>
  <si>
    <t>728 Võ Văn Kiệt,Phường 01,Quận 5,Thành phố Hồ Chí Minh</t>
  </si>
  <si>
    <t>V10361C</t>
  </si>
  <si>
    <t>V10376C</t>
  </si>
  <si>
    <t>Lô đất KT02, Khu công nghiệp Đình vũ,P. Đông Hải 2,Q. Hải An, thuộc KKT Đình vũ, Cát Hải, TP Hải Phòng</t>
  </si>
  <si>
    <t>0031000222404</t>
  </si>
  <si>
    <t>CG440033C0</t>
  </si>
  <si>
    <t>Tầng 12A, tòa nhà CMC, phố Duy Tân, P.Dịch Vọng, Q.Cầu Giấy, Hà Nội</t>
  </si>
  <si>
    <t>CG460003C0</t>
  </si>
  <si>
    <t>Lầu 9, tòa nhà Bảo Việt, 233 Đồng Khởi, P.Bến Nghé,Q1, TP Hồ Chí Minh, Việt Nam</t>
  </si>
  <si>
    <t>Ngân hàng TMCP Công Thương Việt Nam - CN Chương Dương-Hà Nội</t>
  </si>
  <si>
    <t>0313090844</t>
  </si>
  <si>
    <t>Ngân hàng TMCP công thương Việt Nam-CN Quang Minh_PGD Thăng Long</t>
  </si>
  <si>
    <t>112002620808</t>
  </si>
  <si>
    <t>Công ty TNHH Một thành viên thoát nước Hải Phòng</t>
  </si>
  <si>
    <t>Số 1 Lý Tự Trọng - P.Minh Khai, Q. Hồng Bàng, TP Hải Phòng</t>
  </si>
  <si>
    <t>32110000000911</t>
  </si>
  <si>
    <t>MIZUHO BANK , LTD - Hà Nội</t>
  </si>
  <si>
    <t>F15-795-009213 (USD) / H15-795-009221 (VND)</t>
  </si>
  <si>
    <t>V10345B</t>
  </si>
  <si>
    <t>Số 328-330 Đường D3,Văn Thánh Bắc,Phường 25 Quận Bình Thạnh,Thành phố Hồ Chí Minh</t>
  </si>
  <si>
    <t>Sumitomo Mitsui banking corporation / Hồ Chí Minh,</t>
  </si>
  <si>
    <t>Tầng 11,tòa nhà 3D, đường Duy Tân,Phường Dịch vọng hậu,Quận Cầu Giấy,Hà Nội</t>
  </si>
  <si>
    <t>Công Ty TNHH phát triển thương mại Hoàng Sơn</t>
  </si>
  <si>
    <t>V10386C</t>
  </si>
  <si>
    <t>Số 4/30, Tổ 15, Phường Lãm Hà, Quận Kiến An, Thành phố Hải Phòng</t>
  </si>
  <si>
    <t>Vietin bank / Lê Chân</t>
  </si>
  <si>
    <t>113000173025</t>
  </si>
  <si>
    <t>Công ty TNHH Quang Huy</t>
  </si>
  <si>
    <t>V10374C</t>
  </si>
  <si>
    <t>Số 3B Trần Khánh Dư, Phường Máy Tơ, Quận Ngô Quyền, TP Hải Phòng</t>
  </si>
  <si>
    <t>80569719</t>
  </si>
  <si>
    <t>Công ty TNHH Sắc Việt</t>
  </si>
  <si>
    <t>V10380C</t>
  </si>
  <si>
    <t>Số 177/213 Thiên Lôi - Vĩnh Niệm - Lê Chân- hải Phòng</t>
  </si>
  <si>
    <t>Ngân hàng TMCP kỹ thương Việt Nam -TCB Hải Phòng</t>
  </si>
  <si>
    <t>CÔNG TY TNHH SNC TÍN PHÁT</t>
  </si>
  <si>
    <t>V10378C</t>
  </si>
  <si>
    <t>Số 17 Ngách 230/21,Tổ dân phố số 3- Thượng, Phường Mễ Trì, Quận Nam Từ Liêm, Thành phố Hà Nội</t>
  </si>
  <si>
    <t>16010000081126</t>
  </si>
  <si>
    <t>Công ty TNHH Sức Bật</t>
  </si>
  <si>
    <t>V10356C</t>
  </si>
  <si>
    <t>Phòng 606, Khu B, Tòa nhà Indochina, Park Tower,số 4 Nguyễn Đình Chiểu, Phường Đa Kao, Quận 1, Thành phố Hồ Chí Minh</t>
  </si>
  <si>
    <t>Techcombank / CN Thắng Lợi, Hồ Chí Minh</t>
  </si>
  <si>
    <t>11922345515018</t>
  </si>
  <si>
    <t>Tầng 3, toà nhà Danka, số 258 Bà Triệu, Hai Bà Trưng, Hà Nội</t>
  </si>
  <si>
    <t>CÔNG TY TNHH THIẾT BỊ CÔNG NGHIỆP  VÀ TỰ ĐỘNG HÓA AUMI</t>
  </si>
  <si>
    <t>V10371C</t>
  </si>
  <si>
    <t>B44, Lô nhà vườn, Khu đô thị Việt Hưng, Phường Giang Biên, Quận Long Biên,Thành Phố Hà Nội, Việt Nam</t>
  </si>
  <si>
    <t>Investment and development of Vietnam JSC (BIDV)/Cầu Giấy</t>
  </si>
  <si>
    <t>2151.00000.18831</t>
  </si>
  <si>
    <t>Ngân hàng Indovina - CN Đống Đa</t>
  </si>
  <si>
    <t>Công ty TNHH Thương Mại Xuất Nhập Khẩu May Mặc Minh Ngọc</t>
  </si>
  <si>
    <t>Công ty TNHH VNHR</t>
  </si>
  <si>
    <t>V10393C</t>
  </si>
  <si>
    <t>Số 12M, Đường Nguyễn Thị Minh Khai, Phường Đa Kao, Quận 1,Thành phố Hồ Chí Minh</t>
  </si>
  <si>
    <t>Vietcombank / Kỳ đồng</t>
  </si>
  <si>
    <t>0721000590998</t>
  </si>
  <si>
    <t>Phòng 805, tòa nhà HITC, 239 Xuân Thủy, P.Dịch Vọng Hậu, Q.Cầu Giấy, Hà Nội</t>
  </si>
  <si>
    <t>Ngân hàng Vietcombank - CN Chương Dương-Hà Nội</t>
  </si>
  <si>
    <t>301A-52-8,Market buikding,Free trade zone,Dalain,China</t>
  </si>
  <si>
    <t>Mizuho Bank., Ltd. Branch Osaka Corporate Banking Division</t>
  </si>
  <si>
    <t>Mizuho bank,ltd-Shibuya_Chuo Branch</t>
  </si>
  <si>
    <t>162-0110333</t>
  </si>
  <si>
    <t>Nihon Seikoh Giken co.,Ltd</t>
  </si>
  <si>
    <t>V20141C</t>
  </si>
  <si>
    <t>2-8-8 Shinjyuku,shinjyuku Ward,Tokyo 160-0022, Japan</t>
  </si>
  <si>
    <t>Sumitomo Mitsui banking corporation / Shinjuku Branch</t>
  </si>
  <si>
    <t>4567262</t>
  </si>
  <si>
    <t>Nihon Seikoh Giken Co.,Ltd</t>
  </si>
  <si>
    <t>V20141B</t>
  </si>
  <si>
    <t>Qingdao Rural Commerical Bank Corporation</t>
  </si>
  <si>
    <t>9021407810062228100026</t>
  </si>
  <si>
    <t>V20137A</t>
  </si>
  <si>
    <t>Gangdong East dock Wanggezhuang Town, Laoshan District, Qingdao, China</t>
  </si>
  <si>
    <t>V20134B</t>
  </si>
  <si>
    <t>1-15-15 Sanno, Hakata-ku, Fukuoka, JP</t>
  </si>
  <si>
    <t>SAN - THAP INTERNATIONAL CO., LTD</t>
  </si>
  <si>
    <t>V20143A</t>
  </si>
  <si>
    <t>11th Floor Ramaland Bldg.,952 Rama IV Rd.,Suriyawongse, Bangrak,Bangkok 10500</t>
  </si>
  <si>
    <t>Bank of Ayudhya Public Company Limited / Bangkok Sathorn Branch</t>
  </si>
  <si>
    <t>2100835120</t>
  </si>
  <si>
    <t>258, Sandandongseo-ro, Gunsan-Si, jeollabuk-Do, Korea</t>
  </si>
  <si>
    <t>180-003-985470</t>
  </si>
  <si>
    <t>116000009878</t>
  </si>
  <si>
    <t>Ngân hàng TMCP ngoại thương Việt nam - CN Hải phòng</t>
  </si>
  <si>
    <t>Ngân hàng TMCP Ngoại thương Việt Nam- CN Hải Phòng</t>
  </si>
  <si>
    <t>Số 275 Lạch Tray,phường Đằng Giang ,Ngô Quyền,,Hải Phòng</t>
  </si>
  <si>
    <t>`</t>
  </si>
  <si>
    <t>V4093C0</t>
  </si>
  <si>
    <t>Công ty Cổ phần đầu tư và du lịch Gia Minh</t>
  </si>
  <si>
    <t>Trang</t>
  </si>
  <si>
    <t>Đức Anh</t>
  </si>
  <si>
    <t>Submit date</t>
  </si>
  <si>
    <t>V10372C</t>
  </si>
  <si>
    <t>BRIDGESTONE CORPORATION TECHNICAL CENTER</t>
  </si>
  <si>
    <t>CG460006C0</t>
  </si>
  <si>
    <t>3-1-1, ogawa-higashi-cho</t>
  </si>
  <si>
    <t>CG460005C0</t>
  </si>
  <si>
    <t>Bùi Đình Đắc</t>
  </si>
  <si>
    <t>V4092C0</t>
  </si>
  <si>
    <t>Xã Cổ Am, huyện Vĩnh Bảo, thành phố Hải PHòng</t>
  </si>
  <si>
    <t>NH TMCP Đầu tư và phát triển Việt Nam, chi nhánh Quang Trung</t>
  </si>
  <si>
    <t>Chi nhánh Công ty TNHH Pasona Tech Việt Nam tại Hà Nội</t>
  </si>
  <si>
    <t>V10400C</t>
  </si>
  <si>
    <t>P.904, tầng 9, tòa nhà Pacific Place, số 83B Lý Thường Kiệt, phường Trần Hưng Đạo, quận Hoàn Kiếm, thành phố Hà Nội, Việt Nam</t>
  </si>
  <si>
    <t>Ngân hàng TMCP Ngoại thương Việt Nam - Sở giao dịch</t>
  </si>
  <si>
    <t>0011004291073</t>
  </si>
  <si>
    <t>Chi nhánh Công ty TNHH Standard Units Supply Việt Nam tại Hải Phòng</t>
  </si>
  <si>
    <t>V10389C</t>
  </si>
  <si>
    <t>Nhà xưởng X5, Khu nhà xưởng cho thuê Hải Thành, quận Dương Kinh, thành phố Hải Phòng, VN</t>
  </si>
  <si>
    <t>02253632403</t>
  </si>
  <si>
    <t>H15-795-015971</t>
  </si>
  <si>
    <t>CN Công ty CP DV Vận chuyển QT và TM Vinh Vân Minh Vân</t>
  </si>
  <si>
    <t>CG440035C0</t>
  </si>
  <si>
    <t>Tầng 11,Tòa nhà VP C’Land,Số 156 Xã Đàn 2,P.Nam Đồng,Q.Đống Đa,Hà Nội</t>
  </si>
  <si>
    <t>0305024358-001</t>
  </si>
  <si>
    <t>84-4.39726250</t>
  </si>
  <si>
    <t>SGD Vietcombank</t>
  </si>
  <si>
    <t>001.1.00.225002.7</t>
  </si>
  <si>
    <t>CÔNG TY CỔ PHẦN BAO BÌ HẢI HÀ</t>
  </si>
  <si>
    <t>V10398C</t>
  </si>
  <si>
    <t>Số 135/109 đường Trường Chinh, Phường Đồng Hòa, Quận Kiến An, Thành phố Hải Phòng</t>
  </si>
  <si>
    <t>Ngân hàng TMCP Hàng hải Việt Nam - Chi nhánh Hà Nội</t>
  </si>
  <si>
    <t>03001010647635</t>
  </si>
  <si>
    <t>Công Ty Cổ Phần Công Nghệ Thẻ Nacencomm</t>
  </si>
  <si>
    <t>V10397C</t>
  </si>
  <si>
    <t>Tầng 5, Số 2 Chùa Bộc, Phường Trung Tự, Quận Đống Đa, TP.Hà Nội, Việt Nam</t>
  </si>
  <si>
    <t>ngân hàng Techcombank, CN Thăng Long, PGD Kim Liên</t>
  </si>
  <si>
    <t>10321656622015</t>
  </si>
  <si>
    <t>Số 1 lô 3A-khu đô thị mới Ngã Năm Sân bay Cát Bi, phường Đông Khê, Ngô Quyền, Hải Phòng</t>
  </si>
  <si>
    <t>Ngân hàng TMCP Công thương Việt Nam - CN Ngô Quyền Hải Phòng</t>
  </si>
  <si>
    <t>102010001628380</t>
  </si>
  <si>
    <t>V10277B</t>
  </si>
  <si>
    <t>Số 46 đường Trần Hưng Đạo, Bạch Đằng 2, Núi Đèo, Thủy Nguyên, Hải Phòng</t>
  </si>
  <si>
    <t>02253527778</t>
  </si>
  <si>
    <t>TMCP Công Thương, CN Kiến An</t>
  </si>
  <si>
    <t>Ngân hàng TMCP kỹ thương Việt Nam-chi nhánh Thăng Long, Hà Nội</t>
  </si>
  <si>
    <t>Công ty Cổ phần SOS Môi Trường</t>
  </si>
  <si>
    <t>V10396C</t>
  </si>
  <si>
    <t>P103 nhà A5 làng quốc tế Thăng Long, đường Trần Đăng Ninh, Phường Dịch Vọng, Quận Cầu Giấy, Thành phố Hà Nội</t>
  </si>
  <si>
    <t>Ngân hàng TMCP đầu tư và phát triển Việt Nam, CN Thăng Long</t>
  </si>
  <si>
    <t>CÔNG TY CỔ PHẦN THIẾT BỊ KHOA HỌC KỸ THUẬT TÂN PHONG</t>
  </si>
  <si>
    <t>V10391C</t>
  </si>
  <si>
    <t>37 Đường 44, Phường 10, Quận 6, TP. HCM</t>
  </si>
  <si>
    <t>(84)2862901568</t>
  </si>
  <si>
    <t>Asia Commercial Joint Stock Bank / CN Lũy Bán Bích, Hồ Chí Minh</t>
  </si>
  <si>
    <t>40526619</t>
  </si>
  <si>
    <t>Công ty cổ phần Thuận Hải</t>
  </si>
  <si>
    <t>V10385C</t>
  </si>
  <si>
    <t>Tầng 10- Tòa nhà Vinamilk-số 10 Tân Trào- Phường Tân Phú-Quận 7-Tp Hồ Chí Minh</t>
  </si>
  <si>
    <t>NH TMCP Công thương Việt Nam, CN 2</t>
  </si>
  <si>
    <t>110000178839</t>
  </si>
  <si>
    <t>NH TMCP Đầu tư và phát triển Việt Nam (BIDV) - CN Hải Phòng</t>
  </si>
  <si>
    <t>Công ty TNHH công nghệ thiết bị điện GBN</t>
  </si>
  <si>
    <t>V10395B</t>
  </si>
  <si>
    <t>Số 3, Tổ 18 đường Hồ Từng Mậu, Mai Dịch, Cầu Giấy, Hà Nội, Việt Nam</t>
  </si>
  <si>
    <t>0106207565</t>
  </si>
  <si>
    <t>0917916628</t>
  </si>
  <si>
    <t>Ngân hàng TMCP Sài Gòn-Hà Nội,CN Trung Hòa Nhân Chính,Trung Yên</t>
  </si>
  <si>
    <t>1003234089</t>
  </si>
  <si>
    <t>Công ty TNHH Đầu tư thương mại dịch vụ Dũng Anh</t>
  </si>
  <si>
    <t>V10387C</t>
  </si>
  <si>
    <t>Số 6B147 tổ 12, P. Thành Tô, Q. Hải An, TP Hải Phòng</t>
  </si>
  <si>
    <t>Ngân hàng TMCP Quân Đội, CN Bắc Hải Phòng</t>
  </si>
  <si>
    <t>2631132668668</t>
  </si>
  <si>
    <t>CÔNG TY TNHH HẢI VÂN XANH</t>
  </si>
  <si>
    <t>V10382C</t>
  </si>
  <si>
    <t>Số 388 Lê Thánh Tông, phường Máy Chai, Quận Ngô Quyền, Thành phố Hải Phòng</t>
  </si>
  <si>
    <t>0225 3 767008</t>
  </si>
  <si>
    <t>Saigon - Hanoi Commercial Joint Stock Bank (SHB)/PGD Niệm Nghĩa</t>
  </si>
  <si>
    <t>1009061887</t>
  </si>
  <si>
    <t>10920843572014</t>
  </si>
  <si>
    <t>Công ty TNHH SANYO Trading</t>
  </si>
  <si>
    <t>V10402A</t>
  </si>
  <si>
    <t>NH TMCP đầu tư và phát triển Việt Nam (BIDV)/Sở giao dịch 3</t>
  </si>
  <si>
    <t>Công ty TNHH Thương mại Cát Sơn</t>
  </si>
  <si>
    <t>Công ty TNHH Thương Mại và Dịch Vụ Du lịch Hải Thành</t>
  </si>
  <si>
    <t>Công ty TNHH tư vấn Hiệu Quả</t>
  </si>
  <si>
    <t>V10388C</t>
  </si>
  <si>
    <t>P308A6- Tập thể Vĩnh Hồ-Phường Ngã Tư Sở- Quận Đống Đa-TP Hà Nội</t>
  </si>
  <si>
    <t>Vietinbank-CN Đống Đa, Hà Nội</t>
  </si>
  <si>
    <t>116000003413</t>
  </si>
  <si>
    <t>Mizuho bank, Ltd Hanoi Branch</t>
  </si>
  <si>
    <t>H15-795-018806 VND\F15-795-016236 (USD)</t>
  </si>
  <si>
    <t>Công ty TNHH Zenitaka Việt Nam</t>
  </si>
  <si>
    <t>V10372B</t>
  </si>
  <si>
    <t>Phòng 1502,tầng 15 tòa nhà Zodiac, phố Duy Tân,phường Dịch Vọng Hậu, quận Cầu Giấy, Hà Nội,Việt Nam</t>
  </si>
  <si>
    <t>84-243-9516392</t>
  </si>
  <si>
    <t>Bank of Tokyo-Mitsubishi UFJ / Hà Nội</t>
  </si>
  <si>
    <t>244554</t>
  </si>
  <si>
    <t>Objective Eye Tracking PTE., LTD</t>
  </si>
  <si>
    <t>V20147B</t>
  </si>
  <si>
    <t>63 Niven Road Singapore 228412</t>
  </si>
  <si>
    <t>107-901692-8</t>
  </si>
  <si>
    <t>V20145A</t>
  </si>
  <si>
    <t>Suzhou Industrial Park,109 Sutong Road,Suzhou China</t>
  </si>
  <si>
    <t>Agricultural Bank Of China</t>
  </si>
  <si>
    <t>105513 1404 0000 851</t>
  </si>
  <si>
    <t>PT NGT Trading &amp; Engineering Indonesia</t>
  </si>
  <si>
    <t>CG450012C0</t>
  </si>
  <si>
    <t>JI. Cilosari No.4 Cikini, Jakarta</t>
  </si>
  <si>
    <t>Qingdao Rural Commercial Bank Corporation / China</t>
  </si>
  <si>
    <t>CG440034C0</t>
  </si>
  <si>
    <t>CG440015C1</t>
  </si>
  <si>
    <t>Sciesen Technology Singapore Pte, Ltd</t>
  </si>
  <si>
    <t>V20144A</t>
  </si>
  <si>
    <t>#34-03,8 Marina View, Asia Square Tower 1,Singapore 018960</t>
  </si>
  <si>
    <t>Bank of comunications</t>
  </si>
  <si>
    <t>89153200006055</t>
  </si>
  <si>
    <t>SEALS CO,.LTD</t>
  </si>
  <si>
    <t>V20142C</t>
  </si>
  <si>
    <t>14F Nittochi Yamashitacho Building, 23, Yamashita-cho, Naka-ku, Yokohama, Japan 231-0023, JP</t>
  </si>
  <si>
    <t>The Bank of Tokyo-Mitsubishi UFJ, Ltd. / Yokohama Branch</t>
  </si>
  <si>
    <t>3673156</t>
  </si>
  <si>
    <t>V20149A</t>
  </si>
  <si>
    <t>FLEXSYS K.K. (Kabushiki Kaisha) -A SUBSIDIARY OF EASTMAN CHEMICAL COMPANY</t>
  </si>
  <si>
    <t>V20150A</t>
  </si>
  <si>
    <t>16F, 1-6-6, Motoakasaka,Anzen Building,Minato-ku, Tokyo,107-0051, Japan</t>
  </si>
  <si>
    <t>CITIBANK N.A SINGAPORE</t>
  </si>
  <si>
    <t>0-857433-009</t>
  </si>
  <si>
    <t>1 Boromrachachonanee Road, Arun-Amarin,Bangkoknoi, Bangkok 10700,Thailand</t>
  </si>
  <si>
    <t>Siam Commercial Bank Pulic Company Ltd</t>
  </si>
  <si>
    <t>570-200028-4840</t>
  </si>
  <si>
    <t>Công ty TNHH Mitsubishi Electric Việt Nam</t>
  </si>
  <si>
    <t>Công ty TNHH Thương mại Dịch vụ Kỹ thuật Bảo Nghi</t>
  </si>
  <si>
    <t>V10407C</t>
  </si>
  <si>
    <t>V4096C0</t>
  </si>
  <si>
    <t>Bùi Thị Thu Trang</t>
  </si>
  <si>
    <t>V4094C0</t>
  </si>
  <si>
    <t>CG450013C0</t>
  </si>
  <si>
    <t>Số 29, ngõ 497 đường Nguyễn Trãi, phường Thanh Xuân Nam, quận Thanh Xuân Nam, quận Thanh Xuân, TP Hà Nội, VN</t>
  </si>
  <si>
    <t>Công ty cổ phần tư vấn đầu tư thương mại và xây dựng Đông Nam Á</t>
  </si>
  <si>
    <t>CG440037C0</t>
  </si>
  <si>
    <t>Số 16 lô 3B Lê Hồng Phong, phường Đông Hải. Quận Ngô Quyền, Hải Phòng</t>
  </si>
  <si>
    <t>V10405C</t>
  </si>
  <si>
    <t>Công ty TNHH đào tạo doanh nghiệp Việt Nam</t>
  </si>
  <si>
    <t>V4095C0</t>
  </si>
  <si>
    <t>Số 45, ngách 26, ngõ 185 phố Minh Khai, phường Minh Khai, quận Hai Bà Trưng, TP Hà Nội, Việt Nam</t>
  </si>
  <si>
    <t>Công ty TNHH Dịch Vụ Việt Xanh</t>
  </si>
  <si>
    <t>V10401C</t>
  </si>
  <si>
    <t>Số 8/85 đường Bạch Đằng, Số 8/85 đường Bạch Đằng, Phường Hạ Lý, Thành phố Hải Phòng</t>
  </si>
  <si>
    <t>Sacombank-CN Hải Phòng</t>
  </si>
  <si>
    <t>030035237999</t>
  </si>
  <si>
    <t>V10401B</t>
  </si>
  <si>
    <t>Số 8/85 đường Bạch Đằng, Phường Hạ Lý, Quận Hồng Bàng, Thành phố Hải Phòng</t>
  </si>
  <si>
    <t>0201752232</t>
  </si>
  <si>
    <t>02253552558</t>
  </si>
  <si>
    <t>Ngân hàng SACOMBANK</t>
  </si>
  <si>
    <t>V10250B</t>
  </si>
  <si>
    <t>V10406C</t>
  </si>
  <si>
    <t>Tòa nhà Vincom Center, số 72  Lê Thánh Tôn, Phường Bến Nghé, Quận 1, TP HCM</t>
  </si>
  <si>
    <t>Ngân hàng Vietcombank-CN HCM</t>
  </si>
  <si>
    <t>0071000718210</t>
  </si>
  <si>
    <t>Công ty TNHH MTV môi trường đô thị Hải Phòng</t>
  </si>
  <si>
    <t>Số 1 Lý Tự Trọng, Minh Khai. Hồng Bàng, Hải Phòng</t>
  </si>
  <si>
    <t>Ngân hàng nông nghiệp và phát triển nông thôn Việt Nam</t>
  </si>
  <si>
    <t>2112201022230</t>
  </si>
  <si>
    <t>Công ty TNHH sản xuất lốp xe Bridgestone Việt Nam</t>
  </si>
  <si>
    <t>CG440038C0</t>
  </si>
  <si>
    <t>Khu đất CN3.6-CN4.1 KCN Đình Vũ, P.Đông Hải 2, Q.Hải An, TP. Hải Phòng</t>
  </si>
  <si>
    <t>V10392C</t>
  </si>
  <si>
    <t>D3, KDC Miếu Nổi, đường Đinh Tiên Hoàng, phường 3, quận Bình Thạnh, TP.HCM</t>
  </si>
  <si>
    <t>0310692382</t>
  </si>
  <si>
    <t>0835170401</t>
  </si>
  <si>
    <t>NH Đông Á-Chi nhánh Phú Nhuận</t>
  </si>
  <si>
    <t>007223990001</t>
  </si>
  <si>
    <t>Công ty TNHH TM SX điện trở đốt nóng Việt Sinh (VISIN HEATER Co., LTD)</t>
  </si>
  <si>
    <t>V10404C</t>
  </si>
  <si>
    <t>Lô số 24, KCN Tân Tạo, đường số 7, phường Tân Tạo, quận Bình Tân</t>
  </si>
  <si>
    <t>Eximbank-Ngân hàng TMCP Xuất Nhập khẩu Việt Nam</t>
  </si>
  <si>
    <t>101514851005834</t>
  </si>
  <si>
    <t>GV Technologies Corporation</t>
  </si>
  <si>
    <t>V20152C</t>
  </si>
  <si>
    <t>V20120B</t>
  </si>
  <si>
    <t>The Bank of Tokyo-Mitsubishi UFJ, Ltd. / KYOBASHI</t>
  </si>
  <si>
    <t>CG450014C0</t>
  </si>
  <si>
    <t>V20147C</t>
  </si>
  <si>
    <t>DBS Bank / Buona Vista Corp Branch</t>
  </si>
  <si>
    <t>1079016928</t>
  </si>
  <si>
    <t>CG40002096</t>
  </si>
  <si>
    <t>Tokio Marine &amp; Nichido Fire Insurance Co ., Ltd</t>
  </si>
  <si>
    <t>CG450015C0</t>
  </si>
  <si>
    <t>Trường trung cấp Khu kinh tế Hải phòng</t>
  </si>
  <si>
    <t>Công ty cổ phần dịch vụ quốc tế Hà Thành</t>
  </si>
  <si>
    <t>CÔNG TY TNHH BẢO HIỂM BẢO VIÊT TOKIO MARINE</t>
  </si>
  <si>
    <t>V10411C</t>
  </si>
  <si>
    <t>số 23 Phan Chu Trinh, phòng 601, tầng 6, tòa nhà Mặt trời sông Hồng, quận Hoàn Kiếm, Hà Nội</t>
  </si>
  <si>
    <t>0300584356</t>
  </si>
  <si>
    <t>02439330704</t>
  </si>
  <si>
    <t>Ngân hàng Mizuho Bank, Ltd - Chi nhánh Hà Nội</t>
  </si>
  <si>
    <t>H15-795-500976</t>
  </si>
  <si>
    <t>CÔNG TY TNHH KỸ THUẬT NAM HẢI</t>
  </si>
  <si>
    <t>V10394C</t>
  </si>
  <si>
    <t>Số C28 khu Sông Đà 2, đường Vạn Phúc, Phường Vạn Phúc,Quận Hà Đông, Thành phố Hà Nội</t>
  </si>
  <si>
    <t>Sai Gon Thuong Tin Bank/ CN Đống Đa, Hà Nội</t>
  </si>
  <si>
    <t>020014115995</t>
  </si>
  <si>
    <t>Công Ty TNHH Yamato Logistics Việt Nam</t>
  </si>
  <si>
    <t>V10410C</t>
  </si>
  <si>
    <t>Tầng 10, tòa nhà 3D, số 3 đường Duy Tân,  Phường Dịch Vọng Hậu, Quận Cầu Giấy, Thành phố Hà Nội</t>
  </si>
  <si>
    <t>0106781258</t>
  </si>
  <si>
    <t>Ngân hàng Mizuho, chi nhánh Hà Nội</t>
  </si>
  <si>
    <t>H15-795-015654</t>
  </si>
  <si>
    <t>Nippon Steel Conveyor Co.Ltd</t>
  </si>
  <si>
    <t>V20146C</t>
  </si>
  <si>
    <t>643-8 Kita nanaku minamiku Okayama City, Okayama, Japan</t>
  </si>
  <si>
    <t>The Chugoku bank Ltd-Uno Branch</t>
  </si>
  <si>
    <t>156-00-1179363</t>
  </si>
  <si>
    <t>Shinichi Kato office Co.ltd</t>
  </si>
  <si>
    <t>V20154C</t>
  </si>
  <si>
    <t>11-7 Nihonbashikabutochou, chuoku, Tokyo 1030026, Japan</t>
  </si>
  <si>
    <t>81-3-5645-8670</t>
  </si>
  <si>
    <t>The Bank of Mitsubishi Tokyo-UFJ-Yaesudori Branch</t>
  </si>
  <si>
    <t>022-0107591</t>
  </si>
  <si>
    <t>T.Dung</t>
  </si>
  <si>
    <t>T3005C2</t>
  </si>
  <si>
    <t>V10390C</t>
  </si>
  <si>
    <t>Bosco Engineering</t>
  </si>
  <si>
    <t>V20156C</t>
  </si>
  <si>
    <t>276/25 Soi Wat Mai Yai Nui, Vutakas Rd., Taladphlu, Thonburi, Bangkok 10600</t>
  </si>
  <si>
    <t>Bangkok Bank Pulic company limited-Bookalo branch</t>
  </si>
  <si>
    <t>114-3095543</t>
  </si>
  <si>
    <t>Chi cục hải quan quản lý hàng ĐT GC</t>
  </si>
  <si>
    <t>Chi nhánh Công ty Cổ phần CareerBuilder</t>
  </si>
  <si>
    <t>V10409C</t>
  </si>
  <si>
    <t>Tầng 17, tòa nhà VIT Tower, 519 Kim Mã, P.Ngọc Khánh, Q.Ba Đình, Hà Nội</t>
  </si>
  <si>
    <t>061.100.1910350</t>
  </si>
  <si>
    <t>Bank of Communications - Hong Kong Branch</t>
  </si>
  <si>
    <t>02753692107608</t>
  </si>
  <si>
    <t>Công ty TNHH Công nghệ và Đầu tư Thái Văn</t>
  </si>
  <si>
    <t>Phòng 301, tòa nhà 9 tầng, số 172 phố Trần Bình, phường Mỹ Đình 2, Nam Từ Liêm, Hà Nội</t>
  </si>
  <si>
    <t>0103779444</t>
  </si>
  <si>
    <t>39949825</t>
  </si>
  <si>
    <t>NH TMCP Ngoại thương Việt Nam-CN Thăng Long Hà Nội</t>
  </si>
  <si>
    <t>0491001724025</t>
  </si>
  <si>
    <t>Công ty TNHH Sản xuất và Thương mại PLC</t>
  </si>
  <si>
    <t>V10408C</t>
  </si>
  <si>
    <t>181 Ngõ 192 Lê Trọng Tấn, phường Công Định, quận Hoàng Mai, TP Hà Nội, VN</t>
  </si>
  <si>
    <t>0102135408</t>
  </si>
  <si>
    <t>04.35665479</t>
  </si>
  <si>
    <t>NH Thương mại CP quân đội-CN Thăng Long</t>
  </si>
  <si>
    <t>0681100130006</t>
  </si>
  <si>
    <t>CÔNG TY TNHH TCHEM VIỆT NAM</t>
  </si>
  <si>
    <t>V10414C</t>
  </si>
  <si>
    <t>Phường 10,Số 48/1A Quang Trung,Quận Gò Vấp,Thành phố Hồ Chí Minh, Việt Nam</t>
  </si>
  <si>
    <t>02862580586</t>
  </si>
  <si>
    <t>NH Xuất nhập khẩu Việt Nam-Vietnam Eximbank-PGD Hồ Văn Huê</t>
  </si>
  <si>
    <t>220314851031421</t>
  </si>
  <si>
    <t>Công ty TNHH Xuân Sơn</t>
  </si>
  <si>
    <t>V10403C</t>
  </si>
  <si>
    <t>Xóm Chùa, xã Tân Dương, Huyện Thủy Nguyên, Hải Phòng, VN</t>
  </si>
  <si>
    <t>Ngân hàng TMCP Công thương Việt Nam - CN Lê Chân</t>
  </si>
  <si>
    <t>111.00000.9860</t>
  </si>
  <si>
    <t>7278433</t>
  </si>
  <si>
    <t>CG450016C0</t>
  </si>
  <si>
    <t>TOP SOLVENT COMPANY LIMITED</t>
  </si>
  <si>
    <t>V20157C</t>
  </si>
  <si>
    <t>Floor, Vibhavadi Rangsit Road, 555/1 Energy complex Bulding A 11th, Chatuchak Bangkok 10900,</t>
  </si>
  <si>
    <t>027972993</t>
  </si>
  <si>
    <t>Thoa</t>
  </si>
  <si>
    <t>COUNT</t>
  </si>
  <si>
    <t>ADJUST</t>
  </si>
  <si>
    <t>TOTAL</t>
  </si>
  <si>
    <t>Vương</t>
  </si>
  <si>
    <t>REMARK</t>
  </si>
  <si>
    <t>REPORT SECTION</t>
  </si>
  <si>
    <t>V20135B</t>
  </si>
  <si>
    <t>3030 Gilchrist Road, Akron Ohio, 44305,USA</t>
  </si>
  <si>
    <t>Carl Zeiss Optotechnik GmbH</t>
  </si>
  <si>
    <t>V20153C</t>
  </si>
  <si>
    <t>Georg-Wiesboeck-Ring 12-14, 83115 Neubeuern, Germany</t>
  </si>
  <si>
    <t>Commerzbank AG-Rosenheim</t>
  </si>
  <si>
    <t>DE38711400410610204000</t>
  </si>
  <si>
    <t>China National tyre Quality Supervision and Inspection Center</t>
  </si>
  <si>
    <t>V4098C0</t>
  </si>
  <si>
    <t>19A, Fushi Road, Haidian District, Bejing 100143</t>
  </si>
  <si>
    <t>CHINA SYNTHETIC RUBBER CORP.</t>
  </si>
  <si>
    <t>V20161A</t>
  </si>
  <si>
    <t>ZHONG SHAN NORTH ROAD,8TH FL., NO. 113, SEC. 2, TAIPEI 104</t>
  </si>
  <si>
    <t>Công ty cổ phần thí nghiệm điện Việt Nam</t>
  </si>
  <si>
    <t>V10418C</t>
  </si>
  <si>
    <t>Số 18 ngõ 1 Nguyễn Đức Quý, tổ 13, phường Thanh Xuân Bắc, quận Thanh Xuân, Hà Nội, VN</t>
  </si>
  <si>
    <t>0301000358586</t>
  </si>
  <si>
    <t>V10395C</t>
  </si>
  <si>
    <t>Số 3 tổ 18 đường Hồ Tùng Mậu, phường Mai Dịch, quận Cầu Giấy, TP Hà nội</t>
  </si>
  <si>
    <t>Ngân hàng TMCP Sài Gòn-Hà Nội-chi nhánh Trung Hòa Nhân Chính</t>
  </si>
  <si>
    <t>Số 65 phố Trung Hòa, tổ 28 Phường Trung Hòa, Quận Cầu Giấy, Thành phố Hà Nội, Việt Nam</t>
  </si>
  <si>
    <t>CSRC CHINA(ANSHAN) CORPORATION</t>
  </si>
  <si>
    <t>V20158A</t>
  </si>
  <si>
    <t>LIAONING,NO.1, HONGQI  RD,  LISHAN  DIS, ANSHAN,</t>
  </si>
  <si>
    <t>Dalian Glospect Machinery Equipment Manafacturing Co.Ltd</t>
  </si>
  <si>
    <t>V20155C</t>
  </si>
  <si>
    <t>Beihai Industrial Development Zone, Ganjingzi District, Dailan, China</t>
  </si>
  <si>
    <t>Bank of China-Liaoning Branch</t>
  </si>
  <si>
    <t>285673299355</t>
  </si>
  <si>
    <t>THAI PYRAMID INDUSTRIAL CO.,LTD.</t>
  </si>
  <si>
    <t>V20163A</t>
  </si>
  <si>
    <t>219/33 Moo 6 Tambol Bowin Chonburi 20230,AmphurSriracha,Thailand</t>
  </si>
  <si>
    <t>V4097C0</t>
  </si>
  <si>
    <t>CG40002030</t>
  </si>
  <si>
    <t>1-3, Umeda 3-chome, Kita-ku, Osaka</t>
  </si>
  <si>
    <t>V20157A</t>
  </si>
  <si>
    <t>Chatuchak Bangkok 10900,555/1 Energy complex Bulding A, 11th Floor, Vibhavadi Rangsit Road,</t>
  </si>
  <si>
    <t>ULVAC Singapore PTE LTD</t>
  </si>
  <si>
    <t>V20107B</t>
  </si>
  <si>
    <t>92 Tampines Biz-Hub #02-08, 11 Tampines Street, Singapore</t>
  </si>
  <si>
    <t>SUMITOMO MITSUI  BANKING CORPORATION</t>
  </si>
  <si>
    <t>Công ty CP du lịch và tiếp thị Giao thông vận tải Việt Nam-Vietravel-CN Hải Phòng</t>
  </si>
  <si>
    <t>V4099C0</t>
  </si>
  <si>
    <t>Số 4, Phường Hoàng Văn Thụ, Quận Hồng Bàng, Thành phố Hải Phòng</t>
  </si>
  <si>
    <t>0031000889869</t>
  </si>
  <si>
    <t>Công ty TNHH sản xuất và dịch vụ vận tải Mai Phương</t>
  </si>
  <si>
    <t>V10420C</t>
  </si>
  <si>
    <t>Tổ 4, Khu 8, Phường Lãm Hà, Quận Kiến An, Thành Phố Hải Phòng</t>
  </si>
  <si>
    <t>Ngân Hàng Agribank-Chi nhánh quận Kiến An- Đông Hải Phòng</t>
  </si>
  <si>
    <t>2104201005680</t>
  </si>
  <si>
    <t>65 phố Trung Hòa, tổ 28 Phường Trung Hòa, Quận Cầu Giấy, Thành phố Hà Nội, Việt Nam</t>
  </si>
  <si>
    <t>V20162A</t>
  </si>
  <si>
    <t>7F, Sinochem International Plaza,No. 233 North Changqing Rd.Pudong New Area,Shanghai 200126, China</t>
  </si>
  <si>
    <t>N.Dung</t>
  </si>
  <si>
    <t>N.Thơ</t>
  </si>
  <si>
    <t>ADJUSTMENT SECTION</t>
  </si>
  <si>
    <t>TOTAL FROM 3311</t>
  </si>
  <si>
    <t>CHI NHÁNH CÔNG TY TNHH NNR GLOBAL LOGISTICS (VIỆT NAM)</t>
  </si>
  <si>
    <t>V10416B</t>
  </si>
  <si>
    <t>Tầng 10, tòa nhà CMC Tower, số 11, phố Duy Tân, Phường Dịch Vọng Hậu, quận Cầu Giấy, thành phố Hà Nội, Việt Nam</t>
  </si>
  <si>
    <t>02432242944</t>
  </si>
  <si>
    <t>Ngân hàng Mizuho - Chi nhánh TP. Hà Nội</t>
  </si>
  <si>
    <t>H15-795-007025</t>
  </si>
  <si>
    <t>Công ty cổ phần BKAV</t>
  </si>
  <si>
    <t>V10429C</t>
  </si>
  <si>
    <t>Khu ĐT Yên Hòa,Tầng 2, tòa nhà HH1, P. Yên Hòa, Q. Cầu Giấy,TP Hà Nội , Việt Nam</t>
  </si>
  <si>
    <t>(024) 7305 0060</t>
  </si>
  <si>
    <t>Ngân hàng TMCP Kỹ Thương - Việt Nam - CN Trần Thái Tông, HN</t>
  </si>
  <si>
    <t>14023703220013</t>
  </si>
  <si>
    <t>Công Ty Cổ phần Công Nghệ Tin Học EFY Việt Nam</t>
  </si>
  <si>
    <t>V4100C0</t>
  </si>
  <si>
    <t>Tầng 9, tòa nhà Sannam, số 78 phố Duy Tân, P. Dịch Vọng Hậu, Q. Cầu giấy, TP. Hà Nội</t>
  </si>
  <si>
    <t>Ngân hàng TMCP Quân đội - CN Ba Đình</t>
  </si>
  <si>
    <t>0861100016888</t>
  </si>
  <si>
    <t>Công ty Cổ phần đào tạo và phát triển doanh nghiệp HPM</t>
  </si>
  <si>
    <t>Công ty cổ phần đầu tư phát triển giáo dục Toppion</t>
  </si>
  <si>
    <t>V10428C</t>
  </si>
  <si>
    <t>55 Trương Quốc Dung,Phường 10, Quận Phú Nhuận,Thành phố Hồ Chí Minh</t>
  </si>
  <si>
    <t>Ngân hàng ACB - Chi nhánh Nguyễn Văn Trỗi</t>
  </si>
  <si>
    <t>144280089</t>
  </si>
  <si>
    <t>Công ty cổ phần phát triển công nghiệp Teksol Việt Nam</t>
  </si>
  <si>
    <t>V10431C</t>
  </si>
  <si>
    <t>Số 16 Hoàng Diệu,  Phường Máy Tơ,  Quận Ngô Quyền, Thành phố Hải Phòng, Việt Nam</t>
  </si>
  <si>
    <t>0981 268 240</t>
  </si>
  <si>
    <t>Vietcombank-CN Nam Hải Phòng</t>
  </si>
  <si>
    <t>1031000006262</t>
  </si>
  <si>
    <t>Công ty cổ phần thiết bị vật tư công nghiệp Hưng Phát</t>
  </si>
  <si>
    <t>V10415C</t>
  </si>
  <si>
    <t>Số 11 ngõ 8 phố Liễu Giai, phường Cống Vị, quận Ba Đình, Hà Nội</t>
  </si>
  <si>
    <t>Ngân hàng Vietcombank - Chi nhánh Hà Tây</t>
  </si>
  <si>
    <t>0691000345488</t>
  </si>
  <si>
    <t>Công ty SGS Việt Nam Trách Nhiệm Hữu Hạn</t>
  </si>
  <si>
    <t>V10426C</t>
  </si>
  <si>
    <t>98 Đường Nguyễn Thị Minh Khai, Phường 06, Quận 3, TP HCM</t>
  </si>
  <si>
    <t>0225357712</t>
  </si>
  <si>
    <t>Ngân hàng ANZ - Chi nhánh TP Hồ Chí Minh</t>
  </si>
  <si>
    <t>208306</t>
  </si>
  <si>
    <t>Công ty TNHH công nghệ Tân Phương Vinh</t>
  </si>
  <si>
    <t>Công ty TNHH giáo dục và du lịch Nguyễn Kim</t>
  </si>
  <si>
    <t>V10412C</t>
  </si>
  <si>
    <t>Số nhà 23B, Khu Cẩm Xuân, Thị Trấn Núi Đối, H. Kiến Thụy, TP Hải Phòng</t>
  </si>
  <si>
    <t>Ngân hàng NN&amp;PTNT - CN. Kiến Thụy</t>
  </si>
  <si>
    <t>2109201005673</t>
  </si>
  <si>
    <t>Công ty TNHH Gốm sứ thủy tinh An Trường Lộc</t>
  </si>
  <si>
    <t>V4101C0</t>
  </si>
  <si>
    <t>Thôn Phúc Am, xã Duyên Thái, huyện Thường Tín, TP Hà Nội</t>
  </si>
  <si>
    <t>Ngân hàng NN&amp;PT Nông thôn huyện Thường Tín - CN Hà Tây</t>
  </si>
  <si>
    <t>2208201008890</t>
  </si>
  <si>
    <t>V10433C</t>
  </si>
  <si>
    <t>Lầu 3 tòa nhà Thảo Nguyên, 47 Bà Huyện Thanh Quan, P.6, Q3, TPHCM</t>
  </si>
  <si>
    <t>Ngân hàng Sacombank - Chi nhánh Phan Xích Long</t>
  </si>
  <si>
    <t>060021688366</t>
  </si>
  <si>
    <t>Công ty TNHH Thương mại Thiết bị Công nghiệp Trường An</t>
  </si>
  <si>
    <t>V10419C</t>
  </si>
  <si>
    <t>Đại Mạch, 183 Mai Châu, Đông Anh, Hà Nội</t>
  </si>
  <si>
    <t>Techcombank-CN Hoang Quoc Viet</t>
  </si>
  <si>
    <t>190276-52852-668</t>
  </si>
  <si>
    <t>Công ty TNHH Thương mại và dịch vụ điện cơ Tân Tiến</t>
  </si>
  <si>
    <t>V10424C</t>
  </si>
  <si>
    <t>xã An Tiến, Thôn Khúc Giản (tại nhà ông Lương Xuân), huyện An Lão,thành phố Hải Phòng, Việt Nam</t>
  </si>
  <si>
    <t>Ngân hàng Á Châu-CN Hải Phòng</t>
  </si>
  <si>
    <t>216354329</t>
  </si>
  <si>
    <t>Công ty TNHH thương mại và dịch vụ TSG</t>
  </si>
  <si>
    <t>V10421C</t>
  </si>
  <si>
    <t>Số nhà 17E, Tổ 12A, Phường Thượng Đình, Quận Thanh Xuân ,Thành phố Hà Nội, Việt Nam</t>
  </si>
  <si>
    <t>Ngân hàng TMCP Á Châu - CN Hoàng Cầu, Hà Nội</t>
  </si>
  <si>
    <t>114802829</t>
  </si>
  <si>
    <t>The Japanese Chamber of Commerce and Industry in Vietnam-JCCI</t>
  </si>
  <si>
    <t>Mizuho bank Ltd- CN Hà Nội</t>
  </si>
  <si>
    <t>H15-795-400061</t>
  </si>
  <si>
    <t>Trung tâm dịch vụ khoa học kỹ thuật sức khỏe và môi trường</t>
  </si>
  <si>
    <t>V10425C</t>
  </si>
  <si>
    <t>57 Lê Qúy Đôn, Phường Bạch Đằng, Quận Hai Bà Trưng, Hà Nội</t>
  </si>
  <si>
    <t>Ngân hàng thương mại cổ phần An Bình - CN Hà Nội, PGD Lò Đúc</t>
  </si>
  <si>
    <t>0701001596118</t>
  </si>
  <si>
    <t>Tầng 19, Tòa nhà VTC Online, Số 18 Tam Trinh , Phường Minh Khai, Q. Hai Bà Trưng, Hà Nội</t>
  </si>
  <si>
    <t>Tầng 19, Tòa nhà VTC Online, Số 18 Tam Trinh , Phường Minh Khai,</t>
  </si>
  <si>
    <t>Công ty TNHH MTV Thương mại kỹ thuật MATCO Á Châu VN</t>
  </si>
  <si>
    <t>Thảo em</t>
  </si>
  <si>
    <t>Birla Carbon (Thailand) Public Co.,Ltd</t>
  </si>
  <si>
    <t>Bridgestone India Private</t>
  </si>
  <si>
    <t>CG460007C0</t>
  </si>
  <si>
    <t>V10416C</t>
  </si>
  <si>
    <t>Tầng 10, tòa nhà CMC Tower, số 11,phố Duy Tân, Phường Dịch Vọng Hậu, quận Cầu Giấy,thành phố Hà Nội, Việt Nam</t>
  </si>
  <si>
    <t>Công ty cổ phần công nghệ Hợp Long</t>
  </si>
  <si>
    <t>V10453C</t>
  </si>
  <si>
    <t>0104509916</t>
  </si>
  <si>
    <t>19006536</t>
  </si>
  <si>
    <t>Ngân hàng TMCP ngoại thương VN-CN Hưng Yên</t>
  </si>
  <si>
    <t>1021000006868</t>
  </si>
  <si>
    <t>Công ty cổ phần công nghệ sinh học Thông Minh</t>
  </si>
  <si>
    <t>Công ty cổ phần giáo dục quốc tế Đức Mạnh</t>
  </si>
  <si>
    <t>V10446C</t>
  </si>
  <si>
    <t>Số 8/20/299 Ngô Gia Tự, P.Đằng Lâm, Q.Hải An, TP Hải Phòng</t>
  </si>
  <si>
    <t>0031000219922</t>
  </si>
  <si>
    <t>Công ty cổ phần kinh doanh và xuất nhập khẩu khí gas hóa lỏng Vạn Lộc</t>
  </si>
  <si>
    <t>V10442C</t>
  </si>
  <si>
    <t>Lô CN4,  Khu công nghiệp Nguyên Khê, Xã Nguyên Khê, Huyện Đông Anh, Thành phố Hà Nội</t>
  </si>
  <si>
    <t>Ngân hàng TMCP Công Thương Việt Nam-CN Đông Anh</t>
  </si>
  <si>
    <t>102.01.0000.558.716</t>
  </si>
  <si>
    <t>Công ty Cổ Phần Phát triển Kỹ thuật và Thương Mại Tân Đức</t>
  </si>
  <si>
    <t>V10458C</t>
  </si>
  <si>
    <t>103 Pasteur, Phường Bến Nghé, Quận 1, TP Hồ Chí Minh</t>
  </si>
  <si>
    <t>0302560382</t>
  </si>
  <si>
    <t>028 3822 9633</t>
  </si>
  <si>
    <t>Ngân hàng TMCP Công Thương Việt Nam- CN TP Hồ Chí Minh</t>
  </si>
  <si>
    <t>115000004383</t>
  </si>
  <si>
    <t>Số 73/161 Phố Cấm, Gia Viên, Ngô Quyền, Hải Phòng</t>
  </si>
  <si>
    <t>V10422C</t>
  </si>
  <si>
    <t>Công ty TNHH Hiền Sách</t>
  </si>
  <si>
    <t>V10464C</t>
  </si>
  <si>
    <t>Khu 5 (Tại nhà bà Nguyễn Thị Hiền), Thị trấn Tiên Lãng, Huyện Tiên Lãng, TP Hải Phòng, Việt Nam</t>
  </si>
  <si>
    <t>0201900949</t>
  </si>
  <si>
    <t>V10309C</t>
  </si>
  <si>
    <t>Công ty TNHH Kỹ thuật NK</t>
  </si>
  <si>
    <t>V10447C</t>
  </si>
  <si>
    <t>213/52/21 Đường Quang Trung, Phường 10, Quận Gò Vấp,TP.HCM</t>
  </si>
  <si>
    <t>312720807</t>
  </si>
  <si>
    <t>Ngân hàng TMCP Ngoại Thương Việt Nam</t>
  </si>
  <si>
    <t>0071000880140</t>
  </si>
  <si>
    <t>CG440039C0</t>
  </si>
  <si>
    <t>Công ty TNHH Talent Brand</t>
  </si>
  <si>
    <t>V10449C</t>
  </si>
  <si>
    <t>Tầng 1, Tòa nhà Packsimex, 52 Đông Du, Phường Bến Nghé, Quận 1, TP Hồ Chí Minh</t>
  </si>
  <si>
    <t>0314539547</t>
  </si>
  <si>
    <t>Ngân hàng ACB - CN Thủ Đức</t>
  </si>
  <si>
    <t>243160949</t>
  </si>
  <si>
    <t>Công ty TNHH TBCOM Việt Nam</t>
  </si>
  <si>
    <t>V10405A</t>
  </si>
  <si>
    <t>Số 2B/40/87 Quốc lộ 5 mới, Cam lộ 5, P.Hùng Vương, Q.Hồng Bàng,</t>
  </si>
  <si>
    <t>Asia Commercial Joint Stock Bank,Duyên Hải, Hải Phòng</t>
  </si>
  <si>
    <t>215526629</t>
  </si>
  <si>
    <t>Công ty TNHH Thiết bị công nghiệp ISHIKO Việt Nam</t>
  </si>
  <si>
    <t>V10452C</t>
  </si>
  <si>
    <t>Số nhà 10 ngách 87/1  phố Phú Đô, Phường Phú Đô, Quận Nam Từ Liêm, Thành phố Hà Nội</t>
  </si>
  <si>
    <t>0106860478</t>
  </si>
  <si>
    <t>024 3632 0902</t>
  </si>
  <si>
    <t>Ngân hàng TMCP Hàng Hải Việt Nam- CN Đống Đa, Hà Nội</t>
  </si>
  <si>
    <t>03101011606726</t>
  </si>
  <si>
    <t>V10463C</t>
  </si>
  <si>
    <t>Tầng 1, LK2-VT6, Tổ hợp chung cư và TM Bemes, P. Kiến Hưng, Q. Hà Đông, TP Hà Nội</t>
  </si>
  <si>
    <t>0106953838</t>
  </si>
  <si>
    <t>Ngân hàng TMCP Đầu tư và Phát triển Việt Nam - CN Nam Hà Nội</t>
  </si>
  <si>
    <t>Công ty TNHH Thương mại Hà Nghĩa</t>
  </si>
  <si>
    <t>V10432C</t>
  </si>
  <si>
    <t>Số 95 lô 4/97 Bạch Đằng,  Phường Hạ Lý, Quận Hồng Bàng, TP Hải Phòng, Việt Nam</t>
  </si>
  <si>
    <t>0201266440</t>
  </si>
  <si>
    <t>0225 3668 774</t>
  </si>
  <si>
    <t>0451000235965</t>
  </si>
  <si>
    <t>Công ty TNHH thương mại Logitem Việt Nam</t>
  </si>
  <si>
    <t>V10444C</t>
  </si>
  <si>
    <t>Số 36, đường Bùi Thị Xuân, Phường Bến Thành,  Quận 1, Thành phố Hồ Chí Minh</t>
  </si>
  <si>
    <t>0311917776</t>
  </si>
  <si>
    <t>028 39251022</t>
  </si>
  <si>
    <t>Ngân hàng Mizuho Bank, LTD-chi nhánh TP Hồ Chí Minh</t>
  </si>
  <si>
    <t>H10-796-003953</t>
  </si>
  <si>
    <t>Cty TNHH SL International</t>
  </si>
  <si>
    <t>V10445C</t>
  </si>
  <si>
    <t>Tầng 7, Tòa nhà Dragon tower, 141 Nguyễn Du, Bến Thành, Quận 1, TP Hồ Chí Minh</t>
  </si>
  <si>
    <t>Ngân hàng Citibank - CN Hà Nội</t>
  </si>
  <si>
    <t>0201642027</t>
  </si>
  <si>
    <t>Cục hải quan Hà Nội</t>
  </si>
  <si>
    <t>T3009C0</t>
  </si>
  <si>
    <t>Hoàng Thị Chuyên</t>
  </si>
  <si>
    <t>V10465C</t>
  </si>
  <si>
    <t>Xóm mới, Xã Hồng Thái, Huyện An Dương, Hải Phòng</t>
  </si>
  <si>
    <t>8374142075</t>
  </si>
  <si>
    <t>Ngân hàng TMCP Bưu Điện Liên Việt</t>
  </si>
  <si>
    <t>016674270002</t>
  </si>
  <si>
    <t>#09-04 International Plaza,10 ANSON Road 079903 Singapore</t>
  </si>
  <si>
    <t>Trung tâm kỹ thuật tài nguyên môi trường.</t>
  </si>
  <si>
    <t>V10440C</t>
  </si>
  <si>
    <t>Số 30, đường Lý Tự Trọng, P. Hoàng Văn Thụ, Quận Hồng Bàng, TP Hải Phòng</t>
  </si>
  <si>
    <t>10922288763014</t>
  </si>
  <si>
    <t>Trung tâm thí nghiệm điện - Chi nhánh công ty TNHH MTV Điện lực Hải Phòng</t>
  </si>
  <si>
    <t>V10451C</t>
  </si>
  <si>
    <t>Khu liên cơ An Lạc, P. Hùng Vương, Q. Hồng Bàng, TP Hải Phòng</t>
  </si>
  <si>
    <t>0200340211-033</t>
  </si>
  <si>
    <t>102423659</t>
  </si>
  <si>
    <t>Trung tâm tư vấn và truyền thông môi trường</t>
  </si>
  <si>
    <t>V10450C</t>
  </si>
  <si>
    <t>Vân</t>
  </si>
  <si>
    <t>Thơm</t>
  </si>
  <si>
    <t>CG450018C0</t>
  </si>
  <si>
    <t>6279 Hudson Crossing Parkway, Suite 200 Hudson, Ohio 44236 USA</t>
  </si>
  <si>
    <t>Chi nhánh Công ty cổ phần thương mại và dịch vụ Khánh Nguyên</t>
  </si>
  <si>
    <t>V10469C</t>
  </si>
  <si>
    <t>Số nhà 105 Nguyễn Viết Xuân, phường Quang Trung, quận Hà Đông, TP Hà Nội</t>
  </si>
  <si>
    <t>2300723268-001</t>
  </si>
  <si>
    <t>Ngân hàng TMCP Công Thương Việt Nam, chi nhánh Hà Tây, hội sở</t>
  </si>
  <si>
    <t>112000171668</t>
  </si>
  <si>
    <t>Chi nhánh Công ty TNHH Một thành viên SMC Pneumatics ( Việt Nam) tại Hà Nội</t>
  </si>
  <si>
    <t>V10454C</t>
  </si>
  <si>
    <t>0310646185-001</t>
  </si>
  <si>
    <t>024 3763 3111</t>
  </si>
  <si>
    <t>Ngân hàng HSBC Việt Nam-CN Hà Nội</t>
  </si>
  <si>
    <t>002243616001</t>
  </si>
  <si>
    <t>Vietcombank - Chi nhánh Thăng Long Hà Nội</t>
  </si>
  <si>
    <t>049 100 167 5664</t>
  </si>
  <si>
    <t>V10454B</t>
  </si>
  <si>
    <t>Lô A2 CN8, Cụm CN Từ Liêm, Tầng 4 đến Tầng 7, Tòa nhà á Long,  Phường Phương Canh, Quận Nam Từ Liêm, Hà Nội</t>
  </si>
  <si>
    <t>Công ty cổ phần 40 giờ</t>
  </si>
  <si>
    <t>V10468C</t>
  </si>
  <si>
    <t>Số 4, Nguyễn Thị Minh Khai, Phường Đa Đao, Quận 1, TP Hồ Chí Minh</t>
  </si>
  <si>
    <t>0311448482</t>
  </si>
  <si>
    <t>Ngân hàng ACB- Chi nhánh Thị Nghè</t>
  </si>
  <si>
    <t>126704259</t>
  </si>
  <si>
    <t>Vietcombank- Chi nhánh Hải Phòng</t>
  </si>
  <si>
    <t>0031 000 288 599</t>
  </si>
  <si>
    <t>Công ty cổ phần thẩm định giá IVC Việt Nam</t>
  </si>
  <si>
    <t>V10461C</t>
  </si>
  <si>
    <t>•Phòng số 02, tầng 14, số 4A Láng Hạ, P Thành Công, Q Ba Đình, Hà Nội, Việt nam</t>
  </si>
  <si>
    <t>0104000195</t>
  </si>
  <si>
    <t>0451000239798</t>
  </si>
  <si>
    <t>V10472C</t>
  </si>
  <si>
    <t>Số 17, Trần Hưng Đạo, P. Hoàng Văn Thụ, Hồng Bàng, Hải Phòng</t>
  </si>
  <si>
    <t>0201124051</t>
  </si>
  <si>
    <t>111000064596</t>
  </si>
  <si>
    <t>Công ty cổ phần xuất nhập khẩu Tân Kim Lợi</t>
  </si>
  <si>
    <t>V10474B</t>
  </si>
  <si>
    <t>Số 41, ngõ 12, Phan Văn Trường, phường Dịch Vọng hậu, quận Cầu Giấy, Hà Nội</t>
  </si>
  <si>
    <t>Công ty TNHH Công nghiệp Phụ Trợ HPTech</t>
  </si>
  <si>
    <t>Công ty TNHH dịch vụ thương mại và nguồn nhân lực Promanning</t>
  </si>
  <si>
    <t>V10443C</t>
  </si>
  <si>
    <t>Số 8, Đường Tôn Thất Thuyết, P. Mỹ Đình 2, Q. Nam Từ Liêm, TP Hà Nội</t>
  </si>
  <si>
    <t>Vietcombank - Chi nhánh Thăng Long</t>
  </si>
  <si>
    <t>0491000001283</t>
  </si>
  <si>
    <t>Công ty TNHH Foseca Việt Nam</t>
  </si>
  <si>
    <t>V10471C</t>
  </si>
  <si>
    <t>Lô G6-1, KCN Quế Võ (Khu vực mở rộng), Phương Liễu, Quế Võ, Bắc Ninh</t>
  </si>
  <si>
    <t>0103247538</t>
  </si>
  <si>
    <t>Ngân hàng Techcombank- CN Đình Bảng</t>
  </si>
  <si>
    <t>19021387756998</t>
  </si>
  <si>
    <t>NH NN &amp; PTNT Việt Nam- CN Huyện Tiên Lãng</t>
  </si>
  <si>
    <t>2106201003302</t>
  </si>
  <si>
    <t>V10437C</t>
  </si>
  <si>
    <t>Số 17, Đường Lê Duẩn, Phường Bến Nghé, Quận 1, TP Hồ Chí Minh</t>
  </si>
  <si>
    <t>10026304</t>
  </si>
  <si>
    <t>Công ty TNHH Sản xuất Thương Mại Dịch vụ Sao Việt Nam</t>
  </si>
  <si>
    <t>21310000421116</t>
  </si>
  <si>
    <t>Công ty TNHH SC Việt Nam</t>
  </si>
  <si>
    <t>V10438B</t>
  </si>
  <si>
    <t>Hẻm 155/74/20 Đường Trường Chinh,Số 26B, Phường Phương Liệt,Quận Thanh Xuân,Hà Nội</t>
  </si>
  <si>
    <t>Công ty TNHH Siemens</t>
  </si>
  <si>
    <t>Deutsche Bank AG- Ho Chi Minh Branch</t>
  </si>
  <si>
    <t>Ngân hàng Vietcombank -CN Thành Công Hà Nội</t>
  </si>
  <si>
    <t>V10424B</t>
  </si>
  <si>
    <t>Thôn Khúc Giản (tại nhà ông Lương, xã An Tiến, huyện An Lão, Thành phố Hải Phòng</t>
  </si>
  <si>
    <t>V10421B</t>
  </si>
  <si>
    <t>Số nhà 17E, tổ 12A, Phường Thượng Đình, Quận Thanh Xuân, Thành phố Hà Nội, Việt Nam</t>
  </si>
  <si>
    <t>Cửa hàng Trương Thị Cẩm Thành</t>
  </si>
  <si>
    <t>V10470C</t>
  </si>
  <si>
    <t>Số 15, ngõ 56 Phố Thạch Cầu, Tổ 2, Phường Long Biên, Q. Long Biên, TP Hà Nội</t>
  </si>
  <si>
    <t>8009111213</t>
  </si>
  <si>
    <t>Agribank - CN Long Biên</t>
  </si>
  <si>
    <t>1220205086127</t>
  </si>
  <si>
    <t>Deloitte Tohmatsu Tax Co.</t>
  </si>
  <si>
    <t>V4102C0</t>
  </si>
  <si>
    <t>Shin Tokyo Building 5F 3-3-1 Marunouchi Chiyoda-ku, Tokyo 10</t>
  </si>
  <si>
    <t>+81 3 6213 3800</t>
  </si>
  <si>
    <t>Mizuho Bank, Ltd.</t>
  </si>
  <si>
    <t>2731175</t>
  </si>
  <si>
    <t>Eastman Chemical Switzerland LLC - US branch of Eastman Chemical</t>
  </si>
  <si>
    <t>V20167A</t>
  </si>
  <si>
    <t>11-13 Boulevard De la Foire, Luxembourg,1528</t>
  </si>
  <si>
    <t>Paramelt Specialty Materials (Suzhou)Co., Ltd</t>
  </si>
  <si>
    <t>SB Chemical Co., Ltd</t>
  </si>
  <si>
    <t>CG440040C0</t>
  </si>
  <si>
    <t>SENNICS CO.,LTD</t>
  </si>
  <si>
    <t>Shinwa Intec Co.,Ltd</t>
  </si>
  <si>
    <t>V20160C</t>
  </si>
  <si>
    <t>Bangkok 10400 Thailand</t>
  </si>
  <si>
    <t>117000162165</t>
  </si>
  <si>
    <t>Huyền</t>
  </si>
  <si>
    <t>Đ.Hà</t>
  </si>
  <si>
    <t>Ngày thực nhận</t>
  </si>
  <si>
    <t>H.Hương</t>
  </si>
  <si>
    <t>1-1-2 Yurakucho, Chiyoda-ku,Tokyo 100-0006 Japan</t>
  </si>
  <si>
    <t>Bridgestone Americas Tire Operations,LLC</t>
  </si>
  <si>
    <t>CG460008C0</t>
  </si>
  <si>
    <t>P.O.Box 1139, Wilson, NC, 27894</t>
  </si>
  <si>
    <t>Bridgestone Software Co.,Ltd</t>
  </si>
  <si>
    <t>101000C</t>
  </si>
  <si>
    <t>Bridgestone Ogawaekimae Building 2F.1-22-12,Ogawa higashi-cho, Kodaira-shi,Tokyo 187-0031 Japan</t>
  </si>
  <si>
    <t>Mizuho bank,ltd - Ginza branch</t>
  </si>
  <si>
    <t>0351282580</t>
  </si>
  <si>
    <t>CG440041C0</t>
  </si>
  <si>
    <t>V10453B</t>
  </si>
  <si>
    <t>Công ty cổ phần công nghệ và dịch vụ phần mềm Lạc Long Quân</t>
  </si>
  <si>
    <t>V10479B</t>
  </si>
  <si>
    <t>Số 10, ngách 592/29 Trường Chinh, P.Khương Thượng, Q.Đống Đa, TP.Hà Nội</t>
  </si>
  <si>
    <t>0107052924</t>
  </si>
  <si>
    <t>Ngân hàng TMCP Ngoại thương - Chi nhánh Chương Dương</t>
  </si>
  <si>
    <t>0541000254626</t>
  </si>
  <si>
    <t>Công ty cổ phần dịch vụ du lịch Thiên Đức</t>
  </si>
  <si>
    <t>V10482C</t>
  </si>
  <si>
    <t>Lô A1-5, A1-14 Đường Lê Hồng Phong, Đông Khê, Ngô Quyền, Hải Phòng, Việt Nam</t>
  </si>
  <si>
    <t>Ngân hàng Indovina- CN Hải Phòng</t>
  </si>
  <si>
    <t>3334406-001</t>
  </si>
  <si>
    <t>V10270B</t>
  </si>
  <si>
    <t>Công ty cổ phần khách sạn du lịch thương mại Tường Đức</t>
  </si>
  <si>
    <t>V10483C</t>
  </si>
  <si>
    <t>Số 189A Tô Hiệu, Trại Cau, Lê Chân, Hải Phòng</t>
  </si>
  <si>
    <t>Viettinbank - CN Tô Hiệu</t>
  </si>
  <si>
    <t>118000179294</t>
  </si>
  <si>
    <t>Công ty Cổ phần Kỹ thuật Sigma</t>
  </si>
  <si>
    <t>V10462C</t>
  </si>
  <si>
    <t>Công ty cổ phần truyền thông Trịnh Hoàng</t>
  </si>
  <si>
    <t>Công ty TNHH Ammeraal Beltech Việt Nam</t>
  </si>
  <si>
    <t>V10475C</t>
  </si>
  <si>
    <t>Lô D19/II, D20/II, Đường số 5, KCN Vĩnh Lộc, P.Bình Hưng Hòa, Q.Tân Bình, TP.HCM</t>
  </si>
  <si>
    <t>0310805639</t>
  </si>
  <si>
    <t>Ngân hàng HSBC-Chi nhánh Hồ Chí Minh</t>
  </si>
  <si>
    <t>091060749001</t>
  </si>
  <si>
    <t>Công ty TNHH đầu tư phát triển Thủy Mộc</t>
  </si>
  <si>
    <t>V10478C</t>
  </si>
  <si>
    <t>0309378975</t>
  </si>
  <si>
    <t>Maritime Bank Bến Nghé</t>
  </si>
  <si>
    <t>04701010011168</t>
  </si>
  <si>
    <t>V10478B</t>
  </si>
  <si>
    <t>Công ty TNHH Fuji Xerox Việt Nam - Chi nhánh Hải Phòng</t>
  </si>
  <si>
    <t>V10487C</t>
  </si>
  <si>
    <t>0310074234-003</t>
  </si>
  <si>
    <t>0225.325.0536</t>
  </si>
  <si>
    <t>Công ty TNHH Jmus Việt Nam</t>
  </si>
  <si>
    <t>V10459C</t>
  </si>
  <si>
    <t>Phòng số 61 tầng 6, tòa nhà số 18 Trần Hưng Đạo, p. Hoàng Văn Thụ, q. Hồng Bàng, Hải Phòng, Việt Nam</t>
  </si>
  <si>
    <t>0031000300388</t>
  </si>
  <si>
    <t>Công ty TNHH K.N.V</t>
  </si>
  <si>
    <t>V10481C</t>
  </si>
  <si>
    <t>Số 14/1/437 Đà Nẵng, Phường Đông Hải 1, Quận Hải An, Hải Phòng</t>
  </si>
  <si>
    <t>VP Bank - Chi nhánh Hải Phòng</t>
  </si>
  <si>
    <t>12091788</t>
  </si>
  <si>
    <t>Công ty TNHH khí công nghiệp Việt Nam</t>
  </si>
  <si>
    <t>V10466C</t>
  </si>
  <si>
    <t>Số 1P Minh Khai, phường Minh Khai, Quận Hồng Bàng, TP.Hải Phòng, Việt Nam</t>
  </si>
  <si>
    <t>Công ty TNHH MTV Asahi Tec Việt Nam</t>
  </si>
  <si>
    <t>V10448C</t>
  </si>
  <si>
    <t>Phòng 208A, Tòa nhà V-Tower, Số  649 Kim Mã, Phường Ngọc Khánh, Quận Ba Đình, Hà Nội, Việt Nam</t>
  </si>
  <si>
    <t>MUFG Bank.,  Hanoi Branch</t>
  </si>
  <si>
    <t>3639 VND ORD 145629</t>
  </si>
  <si>
    <t>Công ty TNHH Nissin Shoji Việt Nam</t>
  </si>
  <si>
    <t>V10477C</t>
  </si>
  <si>
    <t>Tầng 29, tháp Đông-Lotte Center Hà Nôi, số 54, đường Liễu Giai, phường Cống Vị, Quận Ba Đình, TP Hà Nội</t>
  </si>
  <si>
    <t>0108235991</t>
  </si>
  <si>
    <t>Sumitomo Mitsui Banking Corporation-Hanoi Branch</t>
  </si>
  <si>
    <t>10090401</t>
  </si>
  <si>
    <t>Số 2-4A Đường Tôn Đức Thắng,P.Bến Nghé,Quận 1,TP Hồ Chí Minh</t>
  </si>
  <si>
    <t>Ngân hàng MUFG Bank,Ltd-Chi nhánh Thành phố Hồ Chí Minh</t>
  </si>
  <si>
    <t>3640 USD ORD 635111</t>
  </si>
  <si>
    <t>Công ty TNHH thương mại công nghiệp Ngọc Lâm</t>
  </si>
  <si>
    <t>V10467C</t>
  </si>
  <si>
    <t>Số 343 đường Nguyễn Văn Cừ, phường Ngọc Lâm, quận Long Biên, TP Hà Nội, Việt Nam</t>
  </si>
  <si>
    <t>0106834710</t>
  </si>
  <si>
    <t>Ngân hàng Ngoại thương Việt Nam-Sở giao dịch</t>
  </si>
  <si>
    <t>0011004239205</t>
  </si>
  <si>
    <t>Công ty TNHH Thương mại dịch vụ An Phát</t>
  </si>
  <si>
    <t>V10480C</t>
  </si>
  <si>
    <t>Số 12/267 Lê Thánh Tông, Phường Máy Chai, Quận Ngô Quyền, TP Hải Phòng</t>
  </si>
  <si>
    <t>0507000001124</t>
  </si>
  <si>
    <t>Công ty TNHH thương mại Song Thắng</t>
  </si>
  <si>
    <t>V10476C</t>
  </si>
  <si>
    <t>Số 8, ngõ 64 đường Tản Viên, Phường Thượng Lý, Quận Hồng Bàng, thành phố Hải Phòng</t>
  </si>
  <si>
    <t>Ngân hàng ACB, chi nhánh Duyên Hải</t>
  </si>
  <si>
    <t>100384159</t>
  </si>
  <si>
    <t>Japan Controls Co.,Ltd</t>
  </si>
  <si>
    <t>V20166C</t>
  </si>
  <si>
    <t>7-19, Akasaka 1-Chome Minato-ku, Tokyo Japan#107-0052</t>
  </si>
  <si>
    <t>MIZUHO Bank, LTD-Kamiyacho Branch</t>
  </si>
  <si>
    <t>TOZA 0003698</t>
  </si>
  <si>
    <t>Jiangxi Blackcat Singapore Pte Ltd</t>
  </si>
  <si>
    <t>CG450020C0</t>
  </si>
  <si>
    <t>NH MUFG Bank, Ltd - CN TP Ha Noi</t>
  </si>
  <si>
    <t>V4103C0</t>
  </si>
  <si>
    <t>0681.00000.2787</t>
  </si>
  <si>
    <t>V4073C1</t>
  </si>
  <si>
    <t>NHV corporation Co.,Ltd</t>
  </si>
  <si>
    <t>CG450022C0</t>
  </si>
  <si>
    <t>47 Umezu Takase-cho, Ukyo-ku Kyoto-shi, Kyoto, 615-8686, Japan</t>
  </si>
  <si>
    <t>CG450021C0</t>
  </si>
  <si>
    <t>OCI BLDG.94,SOGONG-RO JUNG-GU</t>
  </si>
  <si>
    <t>P.S.P Specialties Co., Ltd</t>
  </si>
  <si>
    <t>SAEHWA IMC CO., LTD.</t>
  </si>
  <si>
    <t>CG450019C0</t>
  </si>
  <si>
    <t>26, Cheomdan yeonsin-ro 29beon-gil, Buk-gu, Gwangju, 61089, Korea</t>
  </si>
  <si>
    <t>Mã vendor</t>
  </si>
  <si>
    <t>Tên vendor</t>
  </si>
  <si>
    <t>(1611) PIC</t>
  </si>
  <si>
    <t>C.Thảo</t>
  </si>
  <si>
    <t>Bridgestone Hispania Manufacturing S.L.</t>
  </si>
  <si>
    <t>CG460009C0</t>
  </si>
  <si>
    <t>Chi nhánh công ty cổ phần Tiền Phong tại Hải Phòng</t>
  </si>
  <si>
    <t>V10507C</t>
  </si>
  <si>
    <t>Số 55, Phố Lạch Tray, Phường Lạch Tray, Quận Ngô Quyền, TP Hải Phòng</t>
  </si>
  <si>
    <t>0100778001-003</t>
  </si>
  <si>
    <t>Ngân hàng TMCP Quốc dân - CN Hải Phòng</t>
  </si>
  <si>
    <t>100000785541</t>
  </si>
  <si>
    <t>Chi nhánh Công ty TNHH JBT-TNT</t>
  </si>
  <si>
    <t>V4108C0</t>
  </si>
  <si>
    <t>Số 1, Đường Thanh Niên, Phường Trúc Bạch, Ba Đình, Hà Nội</t>
  </si>
  <si>
    <t>0305612046001</t>
  </si>
  <si>
    <t>0011002567990</t>
  </si>
  <si>
    <t>Số 34, Minh Khai. Phường Hoàng Văn Thụ, Quận Hồng Bàng, Hải Phòng</t>
  </si>
  <si>
    <t>V4104C0</t>
  </si>
  <si>
    <t>Chi nhánh Công ty TNHH SMC Corporation (Việt Nam) tại Hà Nội</t>
  </si>
  <si>
    <t>Chi nhánh Hải Phòng - Công ty Cổ phần Daikin Air Conditioning ( VietNam)</t>
  </si>
  <si>
    <t>V10456C</t>
  </si>
  <si>
    <t>Số 7 lô 8A đường Lê Hồng Phong, Phường Đông Khê, Quận Ngô Quyền, Thành phố Hải Phòng</t>
  </si>
  <si>
    <t>0301450108-004</t>
  </si>
  <si>
    <t>02253832900</t>
  </si>
  <si>
    <t>Ngân hàng TMCP Á Châu Hải Phòng</t>
  </si>
  <si>
    <t>37578888</t>
  </si>
  <si>
    <t>CN Công ty TNHH MTV Điện lực Hải Phòng - Xí nghiệp dịch vụ điện lực</t>
  </si>
  <si>
    <t>V10515C</t>
  </si>
  <si>
    <t>Khu liên cơ An Lạc, Đường 5 mới, Phường Hùng Vương, Quận Hồng Bàng, TP Hải Phòng, Việt Nam</t>
  </si>
  <si>
    <t>0200340211-004</t>
  </si>
  <si>
    <t>0031000388999</t>
  </si>
  <si>
    <t>Công ty cổ phần bất động sản sơn và hóa chất Á Châu</t>
  </si>
  <si>
    <t>V10493C</t>
  </si>
  <si>
    <t>Số 12, Đường Lạch Tray, Phường Lạch Tray, Quận Ngô Quyền, TP Hải Phòng</t>
  </si>
  <si>
    <t>0200988891</t>
  </si>
  <si>
    <t>Ngân hàng ACB - Chi nhanh Duyên Hải</t>
  </si>
  <si>
    <t>689688688</t>
  </si>
  <si>
    <t>Công ty cổ phần công nghệ đo lường Bảo Nam</t>
  </si>
  <si>
    <t>V10516C</t>
  </si>
  <si>
    <t>Thôn Kinh Triều, xã Thủy Triều, huyện Thủy Nguyên,thành phố Hải Phòng, Việt Nam</t>
  </si>
  <si>
    <t>0201036567</t>
  </si>
  <si>
    <t>Ngân hàng NN &amp; PTNT chi nhánh Thủy Nguyên</t>
  </si>
  <si>
    <t>2105201002626</t>
  </si>
  <si>
    <t>Công ty cổ phần Đào tạo năng lực Việt Growth Catalyst</t>
  </si>
  <si>
    <t>V4105C0</t>
  </si>
  <si>
    <t>Lô TT2-Dãy A-Ô số 10 Bắc Linh Đàm, P. Đại Kim, Q.Hoàng Mai, Hà Nội</t>
  </si>
  <si>
    <t>Techcombank - Hội sở chính</t>
  </si>
  <si>
    <t>19027716070014</t>
  </si>
  <si>
    <t>Công ty cổ phần đầu tư Ginex</t>
  </si>
  <si>
    <t>V10501C</t>
  </si>
  <si>
    <t>Số 16/562 Nguyễn Văn Linh, Phường Vĩnh Niệm, Quận Lê Chân, Hải Phòng</t>
  </si>
  <si>
    <t>0201641412</t>
  </si>
  <si>
    <t>Ngân hàng Vietcombank - NHP</t>
  </si>
  <si>
    <t>0031000227867</t>
  </si>
  <si>
    <t>Công ty cổ phần đầu tư và phát triển Quang Hải</t>
  </si>
  <si>
    <t>V10518C</t>
  </si>
  <si>
    <t>0106457967</t>
  </si>
  <si>
    <t>NH XNK Việt Nam (Eximbank)-CN Đống Đa, Hà Nội</t>
  </si>
  <si>
    <t>170314851009100</t>
  </si>
  <si>
    <t>Công ty cổ phần đầu tư VINGAZ</t>
  </si>
  <si>
    <t>V10506C</t>
  </si>
  <si>
    <t>Số 601A Thiên Lôi, phường Vĩnh Niệm, quận Lê Chân, Hải Phòng</t>
  </si>
  <si>
    <t>Công ty Cổ phần dịch vụ thiết bị đo và hệ thống điều khiển</t>
  </si>
  <si>
    <t>V10502C</t>
  </si>
  <si>
    <t>Số 27 ngõ 85 đường Đức Diễn, P.Phúc Diễn, Q Bắc Từ Liêm, TP Hà Nội, VN</t>
  </si>
  <si>
    <t>0103010881</t>
  </si>
  <si>
    <t>TMCP Đầu tư và phát triển Việt Nam - CN Nam Hà Nội</t>
  </si>
  <si>
    <t>21310000606135</t>
  </si>
  <si>
    <t>169/1/5 Đường Lương Định Của, Khu Phố 3, Phường Bình An, Quận 2, TP Hồ Chí Minh, Việt Nam</t>
  </si>
  <si>
    <t>Thương mại cổ phần Á Châu -CN Tân Bình</t>
  </si>
  <si>
    <t>Công ty cổ phần giải pháp nhân sự Việt Nam</t>
  </si>
  <si>
    <t>V10499C</t>
  </si>
  <si>
    <t>Tầng 10, số 6, ngõ 15, Phố Duy Tân, P.Dịch Vọng Hậu, Q.Cầu giấy, Hà Nội, Việt Nam</t>
  </si>
  <si>
    <t>Ngân hàng TMCP Quân Đội, Chi nhánh Hoàng Quốc Việt</t>
  </si>
  <si>
    <t>0561100557004</t>
  </si>
  <si>
    <t>Công ty cổ phần Maslow Toàn Cầu</t>
  </si>
  <si>
    <t>V10485C</t>
  </si>
  <si>
    <t>Số A15/10 tổ 56 Nguyễn Thị Định, P.Trung Hòa, Q.Cầu Giấy, Hà Nội</t>
  </si>
  <si>
    <t>0105358748</t>
  </si>
  <si>
    <t>Ngân hàng đầu tư và phát triển Việt Nam-CN SGD 1</t>
  </si>
  <si>
    <t>12010000481016</t>
  </si>
  <si>
    <t>V10482</t>
  </si>
  <si>
    <t>Công ty cổ phần nhân lực BCC</t>
  </si>
  <si>
    <t>V10513C</t>
  </si>
  <si>
    <t>13 Cao Thắng, Phường 2, Quận 3, TP Hồ Chí Minh, Việt Nam</t>
  </si>
  <si>
    <t>0302229364</t>
  </si>
  <si>
    <t>Ngân hàng ACB - Chi nhánh Sài Gòn</t>
  </si>
  <si>
    <t>3386617</t>
  </si>
  <si>
    <t>V10458B</t>
  </si>
  <si>
    <t>Vietin bank / CN TP Hồ Chí Minh</t>
  </si>
  <si>
    <t>Công ty cổ phần thương mại năng lực Việt</t>
  </si>
  <si>
    <t>V10505C</t>
  </si>
  <si>
    <t>Lô đất số B2-3-3b khu công nghiệp Nam Thăng Long, phường Thụy Phương, quận Bắc Từ Liêm thành phố Hà Nội</t>
  </si>
  <si>
    <t>02437805398</t>
  </si>
  <si>
    <t>NH thương mại cổ phần Sài gòn Thương Tín-Chi nhánh Đông Đô</t>
  </si>
  <si>
    <t>020034813559</t>
  </si>
  <si>
    <t>Công ty cổ phần vận tải taxi Nguyễn Gia</t>
  </si>
  <si>
    <t>V10509C</t>
  </si>
  <si>
    <t>1101 Phạm Văn Đồng - Hải Thành - Dương Kinh - Hải Phòng</t>
  </si>
  <si>
    <t>0201728991</t>
  </si>
  <si>
    <t>02253.863.863</t>
  </si>
  <si>
    <t>Ngân hàng Nông nghiệp và phát triển nông thôn - Chi nhánh Bắc HP</t>
  </si>
  <si>
    <t>2111201010869</t>
  </si>
  <si>
    <t>Tầng 3, Tòa nhà Htower II, Số 195 Văn Cao, Phường Đằng Giang, Q. Ngô Quyền, TP. Hải Phòng</t>
  </si>
  <si>
    <t>Công ty TNHH Bảo hiểm Chubb Việt Nam</t>
  </si>
  <si>
    <t>V4106C0</t>
  </si>
  <si>
    <t>Số 9, Đinh Tiên Hoàng, Quận 1, TP Hồ Chí Minh</t>
  </si>
  <si>
    <t>Citibank - Hồ Chí Minh</t>
  </si>
  <si>
    <t>0301676026</t>
  </si>
  <si>
    <t>Công ty TNHH CRIF D&amp;B Việt Nam</t>
  </si>
  <si>
    <t>V10512C</t>
  </si>
  <si>
    <t>Tòa nhà Minh long, 17 Bà Huyện Thanh Quan, Phường 6, Quận 3, TP Hồ Chí Minh</t>
  </si>
  <si>
    <t>0311721886</t>
  </si>
  <si>
    <t>NH CitiBank N.A , CN TP. Hồ Chí Minh</t>
  </si>
  <si>
    <t>0302492018</t>
  </si>
  <si>
    <t>Công ty TNHH Đại Hoàng Việt</t>
  </si>
  <si>
    <t>V10530C</t>
  </si>
  <si>
    <t>0200566917</t>
  </si>
  <si>
    <t>0031000172293</t>
  </si>
  <si>
    <t>V10530B</t>
  </si>
  <si>
    <t>Công ty TNHH Hankyu Hanshin Express Việt Nam</t>
  </si>
  <si>
    <t>V10495C</t>
  </si>
  <si>
    <t>số 9 Đào Duy Anh, phường Phương Liên, quận Đống Đa,  thành phố Hà Nội, VN</t>
  </si>
  <si>
    <t>090166</t>
  </si>
  <si>
    <t>V4107C0</t>
  </si>
  <si>
    <t>Số 9, Đào Duy Anh, Phương Liên, Đống Đa, Hà Nội, VN</t>
  </si>
  <si>
    <t>Công ty TNHH Idemitsu Engineering Việt Nam</t>
  </si>
  <si>
    <t>V10488B</t>
  </si>
  <si>
    <t>Phường 8, 106 Nguyễn Văn Trỗi, Quận Phú Nhuận, Thành phố Hồ Chí Minh</t>
  </si>
  <si>
    <t>0312030916</t>
  </si>
  <si>
    <t>(84)2838226984</t>
  </si>
  <si>
    <t>MIZUHO BANK , LTD-CN thành phố Hồ Chí Minh</t>
  </si>
  <si>
    <t>343277</t>
  </si>
  <si>
    <t>V10488C</t>
  </si>
  <si>
    <t>V10466A</t>
  </si>
  <si>
    <t>Công ty TNHH Kubota Kasui Việt Nam</t>
  </si>
  <si>
    <t>V10500C</t>
  </si>
  <si>
    <t>số 3, đường 20,khu công nghiệp Sóng Thần 2,phường Dĩ An,Thị xã Dĩ An, tỉnh Bình Dương</t>
  </si>
  <si>
    <t>3700347436</t>
  </si>
  <si>
    <t>NH TMCP ngoại thương Việt Nam-CN Thủ Đức</t>
  </si>
  <si>
    <t>0181000014723</t>
  </si>
  <si>
    <t>Công ty TNHH kỹ thuật và thương mại BIBUS Việt Nam</t>
  </si>
  <si>
    <t>V10473C</t>
  </si>
  <si>
    <t>Số 10, Lô K, Đường Hoàng Quốc Việt, Khu dân cư Phú Mỹ, Phường Phú Mỹ, Quận 7, Thành phố Hồ Chí Minh</t>
  </si>
  <si>
    <t>02837850627</t>
  </si>
  <si>
    <t>083 785 0682</t>
  </si>
  <si>
    <t>Ngân hàng Vietcombank - CN Nam Sài Gòn</t>
  </si>
  <si>
    <t>0181003493109</t>
  </si>
  <si>
    <t>Nhà xưởng X2, Khu nhà xưởng cho thuê Hải Thành, P.Hải Thành, Q.Dương Kinh, TP Hải Phòng</t>
  </si>
  <si>
    <t>Công ty TNHH MTV truyền thông và tổ chức sự kiên Perfect Media</t>
  </si>
  <si>
    <t>V10496C</t>
  </si>
  <si>
    <t>20/78 Quán Thánh, Phường Bình Hàn, Thành phố Hải Dương, Tỉnh Hải Dương, Việt Nam</t>
  </si>
  <si>
    <t>Công ty TNHH quốc tế Hồ Tây</t>
  </si>
  <si>
    <t>Công ty TNHH S.T.D &amp; S</t>
  </si>
  <si>
    <t>Công ty TNHH Sebong Vina</t>
  </si>
  <si>
    <t>V10494C</t>
  </si>
  <si>
    <t>Tầng 2, tòa nhà Halla Building, lô CC2, xã Yên Trung, huyện Yên Phong, tỉnh Bắc Ninh</t>
  </si>
  <si>
    <t>0107380932</t>
  </si>
  <si>
    <t>0432262970</t>
  </si>
  <si>
    <t>Ngân hàng Công nghiệp Hàn Quốc-Chi nhánh Hà Nội</t>
  </si>
  <si>
    <t>077400276820002</t>
  </si>
  <si>
    <t>Công ty TNHH SX TM Chu Lai</t>
  </si>
  <si>
    <t>V10497C</t>
  </si>
  <si>
    <t>30 lô O, Đường D, Khu Tái Định cư, Phường Tân Thới Nhất, Quận 12, TP.Hồ Chí Minh</t>
  </si>
  <si>
    <t>Ngân hàng Cổ phần Thương mại Á Châu (ACB) - CN Sài Gòn</t>
  </si>
  <si>
    <t>62056109</t>
  </si>
  <si>
    <t>Công ty TNHH Thiết bị Công nghiệp nặng MICO</t>
  </si>
  <si>
    <t>V10484C</t>
  </si>
  <si>
    <t>Tầng 8, tòa nhà Ocean Park, số 1 Đào Duy Anh, Phường Phương Mai, Quận Đống Đa, Thành phố Hà Nội</t>
  </si>
  <si>
    <t>0100231949</t>
  </si>
  <si>
    <t>NH TMCP đầu tư và phát triển Việt Nam-CN Hai Bà Trưng</t>
  </si>
  <si>
    <t>12110000244881</t>
  </si>
  <si>
    <t>Công ty TNHH Thư Viện Pháp Luật</t>
  </si>
  <si>
    <t>V10514C</t>
  </si>
  <si>
    <t>P.702A, Tòa nhà Centre Point, 106 Nguyễn Văn Trỗi, Phường 08, Quận Phú Nhuận, TP Hồ Chí Minh, Việt Nam</t>
  </si>
  <si>
    <t>0315459414</t>
  </si>
  <si>
    <t>Ngân hàng TMCP Ngoại thương Việt Nam - CN TP HCM</t>
  </si>
  <si>
    <t>0071001286864</t>
  </si>
  <si>
    <t>Công ty TNHH Thương mại đầu tư Xuất nhập khẩu Thái Dương - CN Hải Dương</t>
  </si>
  <si>
    <t>V10504C</t>
  </si>
  <si>
    <t>Số nhà 99, Tô Hiến Thành, Phường Hải Tân, TP Hải Dương, Tỉnh Hải Dương</t>
  </si>
  <si>
    <t>0106069989-001</t>
  </si>
  <si>
    <t>Ngân hàng TMCP Đầu tư và Phát triển Việt Nam - CN Thành Đông</t>
  </si>
  <si>
    <t>46810001487784</t>
  </si>
  <si>
    <t>Số 792 Đại lộ Tôn Đức Thắng, Phường Sở Dầu, Quận Hồng Bàng,Thành phố Hải Phòng</t>
  </si>
  <si>
    <t>V10392B</t>
  </si>
  <si>
    <t>V10432B</t>
  </si>
  <si>
    <t>Số 95 lô 4/97 Bạch Đằng, Phường Hạ Lý, Quận Hồng Bàng, Thành phố Hải Phòng, VN</t>
  </si>
  <si>
    <t>Vietcombank / CN Thành Công</t>
  </si>
  <si>
    <t>0451 000 235 965</t>
  </si>
  <si>
    <t>Công ty TNHH Thương mại, dịch vụ và du lịch Quốc Tế Á Châu</t>
  </si>
  <si>
    <t>V10498C</t>
  </si>
  <si>
    <t>Tầng 2, Khu văn phòng, Số nhà 18 phố Yên Ninh, Phường Trúc Bạch, Ba Đình, Hà Nội</t>
  </si>
  <si>
    <t>0101805988</t>
  </si>
  <si>
    <t>Ngân hàng TMCP Á Châu - CN Thăng Long - PGD Cửa Bắc</t>
  </si>
  <si>
    <t>73163679</t>
  </si>
  <si>
    <t>Công ty TNHH Tuyết Nga</t>
  </si>
  <si>
    <t>V10491C</t>
  </si>
  <si>
    <t>D5c-55, Lô D5, ngõ 679, đường Lạc Long Quân - Phường Phú Thượng - Quận Tây Hồ - Hà Nội</t>
  </si>
  <si>
    <t>0100364480</t>
  </si>
  <si>
    <t>02462581412</t>
  </si>
  <si>
    <t>Sở giao dịch Ngân hàng TMCP Ngoại thương Việt Nam</t>
  </si>
  <si>
    <t>0011002097982</t>
  </si>
  <si>
    <t>Công ty TNHH Vận tải Phú Quân</t>
  </si>
  <si>
    <t>V10511C</t>
  </si>
  <si>
    <t>Tổ dân phố Nghĩa Sơn (tại nhà ông Bùi Phú Tuyến), phường Minh Đức, Quận Đồ Sơn, TP Hải Phòng, Việt Nam</t>
  </si>
  <si>
    <t>0201960151</t>
  </si>
  <si>
    <t>2119201000643</t>
  </si>
  <si>
    <t>Công ty TNHH Vũ Minh</t>
  </si>
  <si>
    <t>V10503C</t>
  </si>
  <si>
    <t>Phòng 503, tầng 5, số 101 Láng Hạ, phường Láng Hạ, quận Đống Đa, TP Hà Nội, Việt Nam</t>
  </si>
  <si>
    <t>0100520387</t>
  </si>
  <si>
    <t>Ngân hàng TMCP Công thương Việt Nam, CN Ba Đình, Hà Nội</t>
  </si>
  <si>
    <t>111000000520</t>
  </si>
  <si>
    <t>Hộ kinh doanh Hồng Hạnh</t>
  </si>
  <si>
    <t>V10492C</t>
  </si>
  <si>
    <t>Số 99 Tô Hiến Thành, Phường Hải Tân, Thành phố Hải Dương, Tỉnh Hải Dương</t>
  </si>
  <si>
    <t>0800631269</t>
  </si>
  <si>
    <t>Ngân hàng TMCP Đầu tư và phát triển Việt Nam - CN Thành Đông</t>
  </si>
  <si>
    <t>46810001433389</t>
  </si>
  <si>
    <t>Kohoku Seiko Co.,Ltd</t>
  </si>
  <si>
    <t>V20168C</t>
  </si>
  <si>
    <t>351-2 Higashikozaka, Nagahama City, Shiga, Japan 526-0802</t>
  </si>
  <si>
    <t>The Shiga Bank, LTD.Nagahama Kita Branch</t>
  </si>
  <si>
    <t>533</t>
  </si>
  <si>
    <t>170 Trần Quang Khải, Phường Tân Định, Quận 1, TP Hồ Chí Minh, Việt Nam</t>
  </si>
  <si>
    <t>CG450024C0</t>
  </si>
  <si>
    <t>QINGDAO WENWUGANG TECHNOLOGY CO., LTD</t>
  </si>
  <si>
    <t>SANYO SHOJI CO., LTD</t>
  </si>
  <si>
    <t>V20169C</t>
  </si>
  <si>
    <t>2-29,2-Chome, Minami-Kaneden,Suita,Osaka 564-0044 Japan</t>
  </si>
  <si>
    <t>MUFG Bank, Ltd. Suita Branch</t>
  </si>
  <si>
    <t>2863</t>
  </si>
  <si>
    <t>Tầng 3, Tòa nhà 76 Nguyễn Trường Tộ, P.Trúc Bạch, Q.Ba Đình, Hà Nội, Việt Nam</t>
  </si>
  <si>
    <t>Wuxi Tengyu Machinery &amp; Technology Co.,Ltd</t>
  </si>
  <si>
    <t>V20171C</t>
  </si>
  <si>
    <t>No.126 Xingyuan Road, Ehu town, Xishan District, Wuxi City, Jiangsu, china</t>
  </si>
  <si>
    <t>85301493</t>
  </si>
  <si>
    <t>Bank of China-Xishan sub-Branch</t>
  </si>
  <si>
    <t>504070916298</t>
  </si>
  <si>
    <t>ACC received</t>
  </si>
  <si>
    <t>Adv. paym't</t>
  </si>
  <si>
    <t>H.Trang</t>
  </si>
  <si>
    <t xml:space="preserve"> (3311) PIC</t>
  </si>
  <si>
    <t>Hiền</t>
  </si>
  <si>
    <t>P.Thảo</t>
  </si>
  <si>
    <t>V.Hường</t>
  </si>
  <si>
    <t>Beijing Xiangyuan rubber and Tyre Inspection Technology Service Co.,Ltd</t>
  </si>
  <si>
    <t>V20179C</t>
  </si>
  <si>
    <t>19A, Fushi Road, Haidian District, Beijing, 00143, P.R China</t>
  </si>
  <si>
    <t>Bridgestone (China) Investment Co., Ltd</t>
  </si>
  <si>
    <t>353500C</t>
  </si>
  <si>
    <t>8/F, 98 Huahai Road(M), Luwan District, Shanghai, China</t>
  </si>
  <si>
    <t>Sumitomo Mitsui banking corporation (China) Limited</t>
  </si>
  <si>
    <t>1030263-1</t>
  </si>
  <si>
    <t>L2-E-9, Enterprise 4, Technology Park Malaysia, Lebuhraya Puchong-Sg. Besi, Bukit Jalil, 57000 Kuala Lumpur, Malaysia</t>
  </si>
  <si>
    <t>CG460010C0</t>
  </si>
  <si>
    <t>Bridgestone Tire Sales Korea Ltd.</t>
  </si>
  <si>
    <t>352000C</t>
  </si>
  <si>
    <t>12th Floor, GS Tower, 508, Nonthyeon-ro, Gangnam-gu, Seoul, 06141, Korea</t>
  </si>
  <si>
    <t>SHINHAN BANK - Gwanggyo Middle Market Banking Center</t>
  </si>
  <si>
    <t>180-005-349590</t>
  </si>
  <si>
    <t>Chi cục Kiểm tra sau thông quan - Cục Hải quan thành phố Hải Phòng</t>
  </si>
  <si>
    <t>T3010C0</t>
  </si>
  <si>
    <t>159 Đường Lê Hồng Phong, Hải An, Hải Phòng</t>
  </si>
  <si>
    <t>Kho bạc nhà nước quận Ngô Quyền Hải Phòng</t>
  </si>
  <si>
    <t>Tầng 7, Tòa nhà á Long, Lô A2 CN8, Cụm CN Từ Liêm, Phường Phương Canh, Quận Nam Từ Liêm, TP Hà Nội, Việt Nam</t>
  </si>
  <si>
    <t>Chi nhánh công ty TNHH SMC Corporation(Việt Nam) tại Bắc Ninh</t>
  </si>
  <si>
    <t>V10550C</t>
  </si>
  <si>
    <t>số 89, đường Hữu Nghị, khu công nghiệp, xã Phù Chẩn, thị xã Từ Sơn, Bắc Ninh</t>
  </si>
  <si>
    <t>Ngân hàng TMCP Công Thương Việt Nam-Chi nhánh KCN  Tiên Sơn</t>
  </si>
  <si>
    <t>111002672179</t>
  </si>
  <si>
    <t>V10516B</t>
  </si>
  <si>
    <t>CG440045C0</t>
  </si>
  <si>
    <t>Thôn Kinh Triều, xã Thủy Triều, huyện Thủy Nguyên, Hải Phòng</t>
  </si>
  <si>
    <t>Số 6, ngõ 293, đường Tân Mai, phường Tân Mai, quận Hoàng Mai, Hà Nội</t>
  </si>
  <si>
    <t>Tầng 4, Số 26, Nguyễn Văn Ngọc, Phường Cống Vị, Quận Ba Đình, Hà Nội</t>
  </si>
  <si>
    <t>Công ty cổ phần đầu tư CM</t>
  </si>
  <si>
    <t>V10553C</t>
  </si>
  <si>
    <t>6/5/348 Trần Nguyên Hãn, Phường Niệm Nghĩa, Quận Lê Chân, TP Hải Phòng</t>
  </si>
  <si>
    <t>Ngân hàng TMCP Việt Nam Thịnh Vượng - CN Hải Phòng</t>
  </si>
  <si>
    <t>179647559</t>
  </si>
  <si>
    <t>Công ty Cổ phần đầu tư thương mại DG</t>
  </si>
  <si>
    <t>V10546C</t>
  </si>
  <si>
    <t>Số 15 Trần Phú, Phường Lương Khánh Thiện, Quận Ngô Quyền, TP Hải Phòng</t>
  </si>
  <si>
    <t>Ngân hàng TMCP Sài gòn - Hà Nội - CN Hải Phòng</t>
  </si>
  <si>
    <t>1000035697</t>
  </si>
  <si>
    <t>Số 28 ngõ 104, đường Đức Giang, phường Đức Giang, quận Long Biên, TP Hà Nội, Việt Nam</t>
  </si>
  <si>
    <t>Công ty cổ phần du lịch và xây dựng Nam Thanh</t>
  </si>
  <si>
    <t>V10522C</t>
  </si>
  <si>
    <t>Số 51 Đào Duy Từ, Phường Hàng Buồm, Quận Hoàn Kiếm, TP Hà Nội</t>
  </si>
  <si>
    <t>0101546010</t>
  </si>
  <si>
    <t>Techcombank - CN Hà Thành</t>
  </si>
  <si>
    <t>13826262626010</t>
  </si>
  <si>
    <t>V10522B</t>
  </si>
  <si>
    <t>Công ty Cổ phần Khu công nghiệp Đình Vũ</t>
  </si>
  <si>
    <t>CG480005C0</t>
  </si>
  <si>
    <t>Số 12 Trần Phú, Máy Tơ, Ngô Quyền, Hải Phòng</t>
  </si>
  <si>
    <t>V10314B</t>
  </si>
  <si>
    <t>Công ty Cổ phần nước tinh khiết Samari</t>
  </si>
  <si>
    <t>V10548C</t>
  </si>
  <si>
    <t>Thôn Vân Tra (tại nhà ông Nguyễn Văn Vang), xã An Đồng, huyện An Dương, TP Hải Phòng</t>
  </si>
  <si>
    <t>Ngân hàng Maritimbank - Chi nhánh Hồng Bàng, Hải Phòng</t>
  </si>
  <si>
    <t>CG440043C0</t>
  </si>
  <si>
    <t>Công ty cổ Phần phát triển kỹ thuật và Thương Mại Tân Đức</t>
  </si>
  <si>
    <t>Công ty Cổ phần Tự Động Việt</t>
  </si>
  <si>
    <t>V10525C</t>
  </si>
  <si>
    <t>108 Trần Hưng Đạo,phường Tân Sơn Nhì,quận Tân Phú,thành phố Hồ Chí Minh</t>
  </si>
  <si>
    <t>0304707217</t>
  </si>
  <si>
    <t>02838125397</t>
  </si>
  <si>
    <t>NH TMCP Công thương VN-CN 12-TP.HCM</t>
  </si>
  <si>
    <t>115000026416</t>
  </si>
  <si>
    <t>Công ty cổ phần Work Station</t>
  </si>
  <si>
    <t>Số 33A, ngõ 66, đường Ngọc Thụy, P.Ngọc Thụy, Q.Long Biên, TP.Hà nội</t>
  </si>
  <si>
    <t>Suite 607, tòa nhà 63 Lý Thái Tổ, P. Tràng Tiền, Q. Hoàn Kiếm, TP. Hà Nội</t>
  </si>
  <si>
    <t>Công ty TNHH Autech</t>
  </si>
  <si>
    <t>V10540C</t>
  </si>
  <si>
    <t>Tổ 8 (Nhà ông Phạm Văn Tùng), Phường Đằng Hải, Quận Hải An, TP Hải Phòng</t>
  </si>
  <si>
    <t>0201856626</t>
  </si>
  <si>
    <t>Agribank - Chi nhánh Kiến An</t>
  </si>
  <si>
    <t>2104201006569</t>
  </si>
  <si>
    <t>Tầng 2, 17T2 Hapulico Complex, số 1 Nguyễn Huy Tưởng, P.Thanh Xuân Trung, quận Thanh Xuân, Hà Nội</t>
  </si>
  <si>
    <t>Số nhà 42, ngõ 17 Thị Trấn An Dương, Huyện An Dương, thành phố Hải Phòng</t>
  </si>
  <si>
    <t>Số 109, Lô NO-5, khu đô thị mới Sở Dầu, phường Sở Dầu, quận Hồng Bàng, Thành Phố Hải Phòng, Việt Nam</t>
  </si>
  <si>
    <t>Công ty TNHH Đầu Tư Thương Mại và Phát Triển Bình Nguyên</t>
  </si>
  <si>
    <t>CG440044C0</t>
  </si>
  <si>
    <t>Lô 16 CCN Khắc Niệm, Phường khắc Niệm, Thành phố Bắc Ninh, Tỉnh Bắc Ninh, Việt Nam</t>
  </si>
  <si>
    <t>Công ty TNHH Deep C Blue</t>
  </si>
  <si>
    <t>CG480006C0</t>
  </si>
  <si>
    <t>0201631911</t>
  </si>
  <si>
    <t>Tầng 15, Tòa nhà Vinaconex, số 34 Láng Hạ, Láng Hạ, Đống Đa, Hà nội</t>
  </si>
  <si>
    <t>Công ty TNHH dịch vụ kỹ thuật Autorotics</t>
  </si>
  <si>
    <t>V10547C</t>
  </si>
  <si>
    <t>Số 12, ngõ 26/3, đường Tả Thanh Oai, xã Tả Thanh Oai, huyện Thanh Trì, thành phố Hà Nội, Việt Nam</t>
  </si>
  <si>
    <t>TMCP Đầu tư và phát triển Việt Nam-Chi nhánh Hoàng Mai, Hà nội</t>
  </si>
  <si>
    <t>12910000192986</t>
  </si>
  <si>
    <t>Số 280 Tô Hiệu, phường Hồ Nam, quận Lê Chân thành phố Hải Phòng</t>
  </si>
  <si>
    <t>Công ty TNHH Ernst &amp; Young Việt Nam – Chi nhánh Hà Nội</t>
  </si>
  <si>
    <t>V10510C</t>
  </si>
  <si>
    <t>Tầng 8, tòa nhà Cornerstore - Số 16 Phan Chu Trinh, Phường Phan Chu Trinh, Quận Hoàn Kiếm, Hà Nội</t>
  </si>
  <si>
    <t>0300811802-001</t>
  </si>
  <si>
    <t>Ngân hàng TNHH MTV HSBC (Việt Nam)</t>
  </si>
  <si>
    <t>002-306686-001</t>
  </si>
  <si>
    <t>Công ty TNHH FIL Việt Nam</t>
  </si>
  <si>
    <t>V10529B</t>
  </si>
  <si>
    <t>phường Tương Mai,số 25, ngõ 82, phố Nguyễn An Ninh,quận Hoàng Mai,thành phố Hà Nội</t>
  </si>
  <si>
    <t>02462941166</t>
  </si>
  <si>
    <t>Ngân hàng TMCP Việt Nam Thịnh Vượng ( VPbank) - CN Trần Hưng Đạo</t>
  </si>
  <si>
    <t>79933333</t>
  </si>
  <si>
    <t>V10529C</t>
  </si>
  <si>
    <t>Phòng 515, Tầng 5, Tòa nhà TD Business Center, Lô 20A, Đường Lê Hồng Phong, P. Đông Khê, Q. Ngô Quyền, TP Hải Phòng, Việt Na</t>
  </si>
  <si>
    <t>Công ty TNHH Huấn luyện an toàn và kiểm định thiết bị Việt Nam</t>
  </si>
  <si>
    <t>V10519C</t>
  </si>
  <si>
    <t>Số 6, Phố Hàm Tử Quan, Phường Chương Dương, Quận Hoàn Kiếm, Hà Nội</t>
  </si>
  <si>
    <t>0106872681</t>
  </si>
  <si>
    <t>BIDV - Chi nhánh Thành Đô</t>
  </si>
  <si>
    <t>15110000463117</t>
  </si>
  <si>
    <t>Công ty TNHH IGUS Việt Nam</t>
  </si>
  <si>
    <t>V10523C</t>
  </si>
  <si>
    <t>1/7 Huỳnh Lan Khanh, phường 2, quận Tân Bình, tp Hồ Chí Minh</t>
  </si>
  <si>
    <t>0314214531</t>
  </si>
  <si>
    <t>02836364189</t>
  </si>
  <si>
    <t>ANZ bank ( Vietnam) Limited - Ho Chi Minh City Branch</t>
  </si>
  <si>
    <t>9273934</t>
  </si>
  <si>
    <t>Công ty TNHH M.J. Việt Nam</t>
  </si>
  <si>
    <t>V10544C</t>
  </si>
  <si>
    <t>3E/16 Phổ Quang, phường 2, quận Tân Bình, TP Hồ Chí Minh</t>
  </si>
  <si>
    <t>Ngân hàng Bangkok Đại Chúng Trách Nhiệm hữu hạn-CN TP. HCM</t>
  </si>
  <si>
    <t>0818-101401-401</t>
  </si>
  <si>
    <t>Công ty TNHH MTV Dịch vụ và Du Lịch Biển Đảo Hải Thành</t>
  </si>
  <si>
    <t>V10545C</t>
  </si>
  <si>
    <t>Số 27C Điện Biên Phủ, Phường Minh Khai, Quận Hồng Bàng, Hải Phòng</t>
  </si>
  <si>
    <t>Ngân hàng Hàng Hải VN, CN Hồng Bàng, HP</t>
  </si>
  <si>
    <t>02101010066661</t>
  </si>
  <si>
    <t>Công ty TNHH MTV Thiết bị văn phòng Thanh Ngọc</t>
  </si>
  <si>
    <t>Công ty TNHH Thiết kế châu Á Kume</t>
  </si>
  <si>
    <t>V10554B</t>
  </si>
  <si>
    <t>Tầng 4, số 25, Lê Đại Hành, phường Lê Đại Hành, quận Hai Bà Trưng, thành phố Hà Nội, Việt Nam</t>
  </si>
  <si>
    <t>Vietcombank  - SGD</t>
  </si>
  <si>
    <t>0011002977806</t>
  </si>
  <si>
    <t>Công ty TNHH Thương mại BIG-TREE</t>
  </si>
  <si>
    <t>V10526C</t>
  </si>
  <si>
    <t>số 37, ngõ 173/37 đường An Dương Vương, phường Phú Thượng, quận Tây Hồ, thành phố Hà Nội</t>
  </si>
  <si>
    <t>02466644590</t>
  </si>
  <si>
    <t>Ngân hàng TMCP Sài Gòn Thương Tín - CN Thủ Đô</t>
  </si>
  <si>
    <t>020079089088</t>
  </si>
  <si>
    <t>Công ty TNHH THương Mại Kỹ thuật Quốc tế</t>
  </si>
  <si>
    <t>V10531B</t>
  </si>
  <si>
    <t>phường 11,113 Bình Thới,quận 11,thành phố Hồ Chí Minh</t>
  </si>
  <si>
    <t>02839621621</t>
  </si>
  <si>
    <t>Ngân hàng ACB -  Hồ Chí Minh</t>
  </si>
  <si>
    <t>4195009</t>
  </si>
  <si>
    <t>Công ty TNHH Thương mại Sao Mai</t>
  </si>
  <si>
    <t>V10528C</t>
  </si>
  <si>
    <t>Khu dân cư Bình Minh - Thị Trấn Vĩnh Bảo - Huyện Vĩnh Bảo - Hải Phòng - Việt Nam</t>
  </si>
  <si>
    <t>Ngân hàng TMCP Công thương Việt Nam - Chi nhánh Lê Chân</t>
  </si>
  <si>
    <t>111000182824</t>
  </si>
  <si>
    <t>Công ty TNHH Thương mại và đầu tư khí công nghiệp Sao Mai Hải phòng</t>
  </si>
  <si>
    <t>Công ty TNHH Thương mại và dịch vụ Dặm Vàng</t>
  </si>
  <si>
    <t>V10521C</t>
  </si>
  <si>
    <t>Số 35, Hẻm 173/68/81 Đường Hoàng Hoa Thám, Phường Ngọc Hà, Quận Ba Đình, TP Hà Nội, Việt Nam</t>
  </si>
  <si>
    <t>0107563196</t>
  </si>
  <si>
    <t>0021000383962</t>
  </si>
  <si>
    <t>Công ty TNHH Thương Mại Xuất Nhập Khẩu may mặc Minh Ngọc</t>
  </si>
  <si>
    <t>V10498B</t>
  </si>
  <si>
    <t>Công ty TNHH Tiên Phong Xanh</t>
  </si>
  <si>
    <t>V10538C</t>
  </si>
  <si>
    <t>Số nhà E3, khu tái định cư X4, đường Dương Khuê, phường Mai Dịch, quận Cầu Giấy, TP Hà Nội, Việt Nam</t>
  </si>
  <si>
    <t>Ngân hàng TMCP kỹ thương Việt Nam(Techcombank)-Chi nhánh Đông Đô</t>
  </si>
  <si>
    <t>19026989555669</t>
  </si>
  <si>
    <t>Tầng 15, Tòa nhà Vinaconex, Số 34 Láng Hạ, P.Láng Hạ, Q. Đống Đa, TP.Hà Nội</t>
  </si>
  <si>
    <t>Công ty TNHH vận tải quốc tế Nhật - Việt (VIJACO)</t>
  </si>
  <si>
    <t>V10527C</t>
  </si>
  <si>
    <t>Chùa Vẽ, đường Ngô Quyền, phường Đông Hải 1, quận Hải An, Hải Phòng</t>
  </si>
  <si>
    <t>0200114893</t>
  </si>
  <si>
    <t>Ngân hàng thương mại cổ phần ngoại thương Việt Nam -CN Hải Phòng</t>
  </si>
  <si>
    <t>0031000002915</t>
  </si>
  <si>
    <t>Công ty TNHH xây dựng thương mại Tiến Hải</t>
  </si>
  <si>
    <t>V10543C</t>
  </si>
  <si>
    <t>Thôn Hỗ Đông (tại nhà ông Nguyễn Thanh Hải), xã Hồng Phong, huyện An Dương, Hải Phòng</t>
  </si>
  <si>
    <t>AGRIBANK / An Hưng, Hải Phòng</t>
  </si>
  <si>
    <t>2113201001724</t>
  </si>
  <si>
    <t>Cty cổ phần tập đoàn Công nghiệp Việt</t>
  </si>
  <si>
    <t>V10520C</t>
  </si>
  <si>
    <t>Phòng 801 toà nhà SilverWings, 137A  Nguyễn Văn Cừ, P.Ngọc Lâm, Q.Long Biên, TP Hà Nội,VN</t>
  </si>
  <si>
    <t>ACB bank - PGD Khâm Thiên</t>
  </si>
  <si>
    <t>868688868</t>
  </si>
  <si>
    <t>V10555C</t>
  </si>
  <si>
    <t>Số 464 Trần Nhân Tông, phường Nam Sơn, quận Kiến An, Hải Phòng</t>
  </si>
  <si>
    <t>V10549C</t>
  </si>
  <si>
    <t>Tổ dân phố Trù 2, phường Cổ Nhuế 2, quận Bắc Từ Liêm, TP Hà Nội, Việt Nam</t>
  </si>
  <si>
    <t>Ngân hàng TMCP Sài Gòn, Hà Nội, Chi nhánh Hà Nội, PGD Trần Duy H</t>
  </si>
  <si>
    <t>1005765970</t>
  </si>
  <si>
    <t>V10360B</t>
  </si>
  <si>
    <t>Cục an toàn bức xạ và hạt nhân</t>
  </si>
  <si>
    <t>V4109C0</t>
  </si>
  <si>
    <t>Tầng 14, Số 113 Trần Duy Hưng, Quận Cầu giấy, Hà Nội</t>
  </si>
  <si>
    <t>Kho bạc nhà nước Nam Từ Liêm</t>
  </si>
  <si>
    <t>351101017489</t>
  </si>
  <si>
    <t>EKTRON TEK CO., LTD</t>
  </si>
  <si>
    <t>V20174B</t>
  </si>
  <si>
    <t>No. 182 lane. 380, Ton An road,Tien Chung town,Chang Hua Hsien, Taiwan R.O.C</t>
  </si>
  <si>
    <t>886-4-8761635</t>
  </si>
  <si>
    <t>Cathay United Bank-Yuanlin Branch</t>
  </si>
  <si>
    <t>023080002386</t>
  </si>
  <si>
    <t>V20174C</t>
  </si>
  <si>
    <t>V4110C0</t>
  </si>
  <si>
    <t>GRP Ltd</t>
  </si>
  <si>
    <t>CG450026C0</t>
  </si>
  <si>
    <t>Kamogawa Co., Ltd</t>
  </si>
  <si>
    <t>V20173C</t>
  </si>
  <si>
    <t>112 Kawarajo-Cho, Nishikujo, Minami-Ku, Kyoto, Japan 601-8424</t>
  </si>
  <si>
    <t>MUFG Bank, Ltd Toji Branch</t>
  </si>
  <si>
    <t>1366</t>
  </si>
  <si>
    <t>KATSURA ROLLER MFG CO.,LTD</t>
  </si>
  <si>
    <t>V20170C</t>
  </si>
  <si>
    <t>1-4-10, Tokiwamachi, Chuo-ku, Osaka, 540-0028, Japan</t>
  </si>
  <si>
    <t>81-6-6966-8800</t>
  </si>
  <si>
    <t>MUFG BANK, LTD  - KAWARAMACHI BRANCH</t>
  </si>
  <si>
    <t>0183464</t>
  </si>
  <si>
    <t>Kodaira manufacturing Co.,Ltd</t>
  </si>
  <si>
    <t>V20175C</t>
  </si>
  <si>
    <t>113-0031 2-35-1 Nezu, Bunkyo-ku, Tokyo, Japan</t>
  </si>
  <si>
    <t>Mizuho bank, Ltd - Nezu branch</t>
  </si>
  <si>
    <t>235-0101281</t>
  </si>
  <si>
    <t>CG450025C0</t>
  </si>
  <si>
    <t>LG TWIN TOWER,128 ,YEOUI-DAERO,  YEONGDEUNGPO-GU, SEOUL, 07336, KOREA</t>
  </si>
  <si>
    <t>Mitsubishi Heavy Industries Machinery System, Ltd.</t>
  </si>
  <si>
    <t>V20178C</t>
  </si>
  <si>
    <t>48, Akashimachi, Chuo-ku, Kobe-shi, Hyogo, 650-0037 Japan</t>
  </si>
  <si>
    <t>MUFG Bank, Ltd Kobe branch</t>
  </si>
  <si>
    <t>0622651</t>
  </si>
  <si>
    <t>V20178B</t>
  </si>
  <si>
    <t>V20133B</t>
  </si>
  <si>
    <t>CG450030C0</t>
  </si>
  <si>
    <t>Phòng Kinh tế quận Hải An - Quỹ Phòng, Chống thiên tai quận Hải An</t>
  </si>
  <si>
    <t>T3011C0</t>
  </si>
  <si>
    <t>Hải An, Hải Phòng</t>
  </si>
  <si>
    <t>Kho bạc Nhà nước Hải An</t>
  </si>
  <si>
    <t>37610100176891049</t>
  </si>
  <si>
    <t>PT.Sumi Asih</t>
  </si>
  <si>
    <t>V20181</t>
  </si>
  <si>
    <t>Atria@Sudirman, 17th floor, JI.Jend. Surdiman Kav. 33A Jarkarta 10220, Indonesia</t>
  </si>
  <si>
    <t>PT. Bank Central Asia TBK - KCU Wisma Millenia</t>
  </si>
  <si>
    <t>005-3100489</t>
  </si>
  <si>
    <t>V20181A</t>
  </si>
  <si>
    <t>CG450028C0</t>
  </si>
  <si>
    <t>Shenma Industrial Co., Ltd</t>
  </si>
  <si>
    <t>V20172A</t>
  </si>
  <si>
    <t>No.63, Jianshe road,Pingdingshan,Henan, China</t>
  </si>
  <si>
    <t>Bank of China</t>
  </si>
  <si>
    <t>255903932635</t>
  </si>
  <si>
    <t>Shuguang Chemical (Singapore) Pte. Ltd</t>
  </si>
  <si>
    <t>V20176A</t>
  </si>
  <si>
    <t>28C Stanley Street, Singapore 068737</t>
  </si>
  <si>
    <t>Oversea - Chinese Banking Corporation Limited</t>
  </si>
  <si>
    <t>03493520301</t>
  </si>
  <si>
    <t>Trung tâm tư vấn và truyền thông Môi trường</t>
  </si>
  <si>
    <t>CG440042C0</t>
  </si>
  <si>
    <t>Phòng 405, tòa nhà Bộ TN &amp; MT, 85 Nguyễn Chí Thanh, Phường Láng Hạ, Quận Đống Đa, Hà Nội</t>
  </si>
  <si>
    <t>0107371705</t>
  </si>
  <si>
    <t>Ngân hàng BIDV – Chi nhánh Trang An</t>
  </si>
  <si>
    <t>26110000249975</t>
  </si>
  <si>
    <t>UBE Industries Ltd</t>
  </si>
  <si>
    <t>CG450029C0</t>
  </si>
  <si>
    <t>Wealth Success International Trading Limited</t>
  </si>
  <si>
    <t>V20177C</t>
  </si>
  <si>
    <t>Unit 2209, 22/F, Wu Chung House, 213 Queen's Road East, Wanchai, Hongkong</t>
  </si>
  <si>
    <t>CG450027C0</t>
  </si>
  <si>
    <t>No.126 Xingyuan Road, Ehu town, Xishan District, Wuxi City, Jiangsu, China</t>
  </si>
  <si>
    <t>V20171B</t>
  </si>
  <si>
    <t>Bích</t>
  </si>
  <si>
    <t>Công ty cổ phần Inotech</t>
  </si>
  <si>
    <t>V10552B</t>
  </si>
  <si>
    <t>E702, Tòa nhà The Manor, Mỹ Đình, xã Mễ Trì, Huyện Từ Liêm, Hà Nội.</t>
  </si>
  <si>
    <t>Ngân hàng TMCP Công Thương Việt Nam, chi nhánh Hoàn Kiếm</t>
  </si>
  <si>
    <t>102010000849641</t>
  </si>
  <si>
    <t>V10552C</t>
  </si>
  <si>
    <t>Công ty cổ phần kinh doanh LPG Việt Nam</t>
  </si>
  <si>
    <t>Công ty TNHH đầu tư thương mại và dịch vụ Minh Thành</t>
  </si>
  <si>
    <t>Công ty TNHH thương mại và dịch vụ kỹ thuật Hải Phú Hà</t>
  </si>
  <si>
    <t>G T Rubber Co.,Ltd</t>
  </si>
  <si>
    <t>V20182A</t>
  </si>
  <si>
    <t>9/1 Bannaihwang Rd.,Pakpraek,Thungsong,Nakhon Si Thamarat Thailand 80110</t>
  </si>
  <si>
    <t>Siam commercial bank</t>
  </si>
  <si>
    <t>5133023927</t>
  </si>
  <si>
    <t>Sealand Maersk Asia Pte.Ltd</t>
  </si>
  <si>
    <t>CG450031C1</t>
  </si>
  <si>
    <t>200 Cantonment road,#07-02 Southpoint,Singapore 089763</t>
  </si>
  <si>
    <t>CG450032C0</t>
  </si>
  <si>
    <t>GR date</t>
  </si>
  <si>
    <t>Process</t>
  </si>
  <si>
    <t>GR VOUCHERS (1)</t>
  </si>
  <si>
    <t>Submit time matches T+3</t>
  </si>
  <si>
    <t>After T+3 (4 ~ 10 days)</t>
  </si>
  <si>
    <t>After T+3 (11 ~ 15 days)</t>
  </si>
  <si>
    <t>After T+3 (16 ~ 20 days)</t>
  </si>
  <si>
    <t>After T+3 (more than 20 days)</t>
  </si>
  <si>
    <t>NON-GR VOUCHERS (2)</t>
  </si>
  <si>
    <t>GIT of 3311</t>
  </si>
  <si>
    <t>Non-GR of 3311</t>
  </si>
  <si>
    <t>Other (3)</t>
  </si>
  <si>
    <t>TOTAL VOUCHERS = (1) + (2) + (3)</t>
  </si>
  <si>
    <t>&gt;&gt;&gt; Tổng cộng AP phát sinh entries register</t>
  </si>
  <si>
    <t>3311 Dept. = (1) + (2)</t>
  </si>
  <si>
    <t>Nhập Act trước 15:00; đồng thời submit phiếu park cho Manager</t>
  </si>
  <si>
    <t>SUMMARY</t>
  </si>
  <si>
    <t>EVALUATION</t>
  </si>
  <si>
    <t xml:space="preserve"> receiving</t>
  </si>
  <si>
    <t>Receive</t>
  </si>
  <si>
    <t>ACT</t>
  </si>
  <si>
    <t>Pending</t>
  </si>
  <si>
    <t>Target</t>
  </si>
  <si>
    <t>Vs. ACT</t>
  </si>
  <si>
    <t>1611 Leaders</t>
  </si>
  <si>
    <t>Đ.Trang</t>
  </si>
  <si>
    <t>KPI 3311</t>
  </si>
  <si>
    <t>Q'ty</t>
  </si>
  <si>
    <t>Day 1~25</t>
  </si>
  <si>
    <t>Next month</t>
  </si>
  <si>
    <t>Day 26 ~ end of month</t>
  </si>
  <si>
    <t>Lưu ý cộng tay với advanced payment</t>
  </si>
  <si>
    <t>Hải Anh</t>
  </si>
  <si>
    <t>Yến</t>
  </si>
  <si>
    <t>L.Hạnh</t>
  </si>
  <si>
    <t>Sơn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</si>
</sst>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43" formatCode="_(* #,##0.00_);_(* \(#,##0.00\);_(* &quot;-&quot;??_);_(@_)"/>
    <numFmt numFmtId="164" formatCode="&quot;JV-15-&quot;000#"/>
    <numFmt numFmtId="165" formatCode="&quot;OS-15-&quot;000#"/>
    <numFmt numFmtId="166" formatCode="[$-409]d\-mmm\-yy;@"/>
    <numFmt numFmtId="167" formatCode="_(* #,##0_);_(* \(#,##0\);_(* &quot;-&quot;??_);_(@_)"/>
    <numFmt numFmtId="168" formatCode="0.0%"/>
    <numFmt numFmtId="169" formatCode="dd/mm/yy"/>
    <numFmt numFmtId="174" formatCode="&quot;AP-22-&quot;000#"/>
    <numFmt numFmtId="175" formatCode="&quot;JV-22-&quot;000#"/>
    <numFmt numFmtId="176" formatCode="&quot;OS-22-&quot;000#"/>
    <numFmt numFmtId="177" formatCode="&quot;AR-22-&quot;000#"/>
  </numFmts>
  <fonts count="68">
    <font>
      <sz val="9"/>
      <color theme="2" tint="-0.749961851863155"/>
      <name val="Calibri"/>
      <family val="2"/>
      <scheme val="minor"/>
    </font>
    <font>
      <sz val="11"/>
      <color theme="1"/>
      <name val="Calibri"/>
      <family val="2"/>
      <scheme val="minor"/>
    </font>
    <font>
      <sz val="30"/>
      <color theme="4"/>
      <name val="Century"/>
      <family val="2"/>
      <scheme val="major"/>
    </font>
    <font>
      <b/>
      <sz val="9"/>
      <color theme="0"/>
      <name val="Calibri"/>
      <family val="2"/>
      <scheme val="minor"/>
    </font>
    <font>
      <b/>
      <sz val="9"/>
      <color theme="2" tint="-0.749961851863155"/>
      <name val="Calibri"/>
      <family val="2"/>
      <scheme val="minor"/>
    </font>
    <font>
      <sz val="11"/>
      <color theme="4"/>
      <name val="Calibri"/>
      <family val="2"/>
      <scheme val="minor"/>
    </font>
    <font>
      <sz val="10"/>
      <color theme="4"/>
      <name val="Calibri"/>
      <family val="2"/>
      <scheme val="minor"/>
    </font>
    <font>
      <sz val="11"/>
      <color theme="5"/>
      <name val="Calibri"/>
      <family val="2"/>
      <scheme val="minor"/>
    </font>
    <font>
      <sz val="9"/>
      <color theme="2" tint="-0.749961851863155"/>
      <name val="Calibri"/>
      <family val="2"/>
      <scheme val="minor"/>
    </font>
    <font>
      <sz val="10"/>
      <name val="Arial"/>
      <family val="2"/>
    </font>
    <font>
      <sz val="9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name val="arial "/>
    </font>
    <font>
      <sz val="10"/>
      <color theme="2" tint="-0.749961851863155"/>
      <name val="arial "/>
    </font>
    <font>
      <b/>
      <u/>
      <sz val="10"/>
      <color rgb="FFFF0000"/>
      <name val="arial "/>
    </font>
    <font>
      <b/>
      <sz val="10"/>
      <color theme="1" tint="4.9989318521683403E-2"/>
      <name val="arial "/>
    </font>
    <font>
      <sz val="10"/>
      <color theme="1" tint="4.9989318521683403E-2"/>
      <name val="arial "/>
    </font>
    <font>
      <sz val="9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Calibri"/>
      <family val="2"/>
      <scheme val="minor"/>
    </font>
    <font>
      <b/>
      <i/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0070C0"/>
      <name val="Calibri"/>
      <family val="2"/>
      <scheme val="minor"/>
    </font>
    <font>
      <b/>
      <sz val="9"/>
      <color rgb="FF484233"/>
      <name val="Calibri"/>
      <family val="2"/>
    </font>
    <font>
      <sz val="10"/>
      <color indexed="8"/>
      <name val="ARIAL"/>
      <family val="2"/>
    </font>
    <font>
      <sz val="9"/>
      <color rgb="FF484233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8"/>
      <color theme="3"/>
      <name val="Century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0"/>
      <name val="Times New Roman"/>
      <family val="1"/>
    </font>
    <font>
      <sz val="1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rgb="FF000000"/>
      <name val="Segoe UI"/>
      <family val="2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b/>
      <sz val="9"/>
      <color rgb="FF48423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0070C0"/>
      <name val="Calibri"/>
      <family val="2"/>
      <scheme val="minor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2" tint="-0.749961851863155"/>
      <name val="Arial"/>
      <family val="2"/>
    </font>
    <font>
      <b/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9"/>
      <name val="Calibri"/>
      <family val="2"/>
      <scheme val="minor"/>
    </font>
    <font>
      <sz val="9"/>
      <name val="Arial"/>
      <family val="2"/>
    </font>
    <font>
      <i/>
      <sz val="10"/>
      <name val="Arial"/>
      <family val="2"/>
    </font>
    <font>
      <sz val="10"/>
      <color rgb="FF0000FF"/>
      <name val="arial "/>
    </font>
    <font>
      <b/>
      <sz val="10"/>
      <color rgb="FF0000FF"/>
      <name val="arial "/>
    </font>
    <font>
      <b/>
      <sz val="10"/>
      <color rgb="FFFF0000"/>
      <name val="arial "/>
    </font>
    <font>
      <sz val="10"/>
      <color rgb="FFFF0000"/>
      <name val="arial "/>
    </font>
    <font>
      <b/>
      <sz val="9"/>
      <color rgb="FFFF000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ECF2FE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theme="8"/>
      </patternFill>
    </fill>
    <fill>
      <patternFill patternType="solid">
        <fgColor rgb="FF66FF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CC"/>
        <bgColor indexed="64"/>
      </patternFill>
    </fill>
  </fills>
  <borders count="66">
    <border>
      <left/>
      <right/>
      <top/>
      <bottom/>
      <diagonal/>
    </border>
    <border>
      <left style="thick">
        <color theme="0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/>
      <right style="thin">
        <color rgb="FFE3E3E3"/>
      </right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auto="1"/>
      </top>
      <bottom style="thin">
        <color theme="0" tint="-0.24994659260841701"/>
      </bottom>
      <diagonal/>
    </border>
    <border>
      <left/>
      <right/>
      <top style="thin">
        <color auto="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/>
      <right style="thin">
        <color auto="1"/>
      </right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auto="1"/>
      </bottom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 style="thin">
        <color auto="1"/>
      </bottom>
      <diagonal/>
    </border>
  </borders>
  <cellStyleXfs count="53">
    <xf numFmtId="0" fontId="0" fillId="0" borderId="0">
      <alignment vertical="center"/>
    </xf>
    <xf numFmtId="0" fontId="2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9" fillId="0" borderId="0">
      <alignment vertical="center"/>
    </xf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9" fillId="0" borderId="0"/>
    <xf numFmtId="0" fontId="25" fillId="0" borderId="0"/>
    <xf numFmtId="0" fontId="28" fillId="0" borderId="0" applyNumberFormat="0" applyFill="0" applyBorder="0" applyAlignment="0" applyProtection="0"/>
    <xf numFmtId="0" fontId="29" fillId="7" borderId="0" applyNumberFormat="0" applyBorder="0" applyAlignment="0" applyProtection="0"/>
    <xf numFmtId="0" fontId="30" fillId="8" borderId="0" applyNumberFormat="0" applyBorder="0" applyAlignment="0" applyProtection="0"/>
    <xf numFmtId="0" fontId="31" fillId="9" borderId="0" applyNumberFormat="0" applyBorder="0" applyAlignment="0" applyProtection="0"/>
    <xf numFmtId="0" fontId="32" fillId="10" borderId="19" applyNumberFormat="0" applyAlignment="0" applyProtection="0"/>
    <xf numFmtId="0" fontId="33" fillId="11" borderId="20" applyNumberFormat="0" applyAlignment="0" applyProtection="0"/>
    <xf numFmtId="0" fontId="34" fillId="11" borderId="19" applyNumberFormat="0" applyAlignment="0" applyProtection="0"/>
    <xf numFmtId="0" fontId="35" fillId="0" borderId="21" applyNumberFormat="0" applyFill="0" applyAlignment="0" applyProtection="0"/>
    <xf numFmtId="0" fontId="36" fillId="12" borderId="22" applyNumberFormat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27" fillId="0" borderId="24" applyNumberFormat="0" applyFill="0" applyAlignment="0" applyProtection="0"/>
    <xf numFmtId="0" fontId="39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39" fillId="25" borderId="0" applyNumberFormat="0" applyBorder="0" applyAlignment="0" applyProtection="0"/>
    <xf numFmtId="0" fontId="39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39" fillId="29" borderId="0" applyNumberFormat="0" applyBorder="0" applyAlignment="0" applyProtection="0"/>
    <xf numFmtId="0" fontId="39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39" fillId="33" borderId="0" applyNumberFormat="0" applyBorder="0" applyAlignment="0" applyProtection="0"/>
    <xf numFmtId="0" fontId="39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39" fillId="37" borderId="0" applyNumberFormat="0" applyBorder="0" applyAlignment="0" applyProtection="0"/>
    <xf numFmtId="0" fontId="40" fillId="0" borderId="0"/>
    <xf numFmtId="0" fontId="41" fillId="0" borderId="0" applyNumberFormat="0" applyFill="0" applyBorder="0" applyAlignment="0" applyProtection="0"/>
    <xf numFmtId="0" fontId="42" fillId="0" borderId="25" applyNumberFormat="0" applyFill="0" applyAlignment="0" applyProtection="0"/>
    <xf numFmtId="0" fontId="43" fillId="0" borderId="26" applyNumberFormat="0" applyFill="0" applyAlignment="0" applyProtection="0"/>
    <xf numFmtId="0" fontId="28" fillId="0" borderId="27" applyNumberFormat="0" applyFill="0" applyAlignment="0" applyProtection="0"/>
    <xf numFmtId="0" fontId="1" fillId="13" borderId="23" applyNumberFormat="0" applyFont="0" applyAlignment="0" applyProtection="0"/>
    <xf numFmtId="0" fontId="9" fillId="0" borderId="0"/>
  </cellStyleXfs>
  <cellXfs count="333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4" fillId="0" borderId="0" xfId="0" applyFont="1" applyFill="1" applyBorder="1" applyAlignment="1" applyProtection="1">
      <alignment horizontal="center" vertical="center"/>
      <protection locked="0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6" fillId="4" borderId="3" xfId="0" applyFont="1" applyFill="1" applyBorder="1" applyAlignment="1">
      <alignment horizontal="center" vertical="center"/>
    </xf>
    <xf numFmtId="0" fontId="16" fillId="4" borderId="7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6" fillId="4" borderId="10" xfId="0" applyFont="1" applyFill="1" applyBorder="1" applyAlignment="1">
      <alignment horizontal="center" vertical="center"/>
    </xf>
    <xf numFmtId="0" fontId="16" fillId="4" borderId="9" xfId="0" applyFon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 vertical="center"/>
    </xf>
    <xf numFmtId="0" fontId="17" fillId="0" borderId="0" xfId="0" applyFont="1">
      <alignment vertical="center"/>
    </xf>
    <xf numFmtId="0" fontId="17" fillId="0" borderId="2" xfId="0" applyFont="1" applyFill="1" applyBorder="1" applyAlignment="1">
      <alignment horizontal="left" vertical="center" wrapText="1" indent="1" readingOrder="1"/>
    </xf>
    <xf numFmtId="0" fontId="17" fillId="0" borderId="2" xfId="0" applyFont="1" applyBorder="1">
      <alignment vertical="center"/>
    </xf>
    <xf numFmtId="0" fontId="17" fillId="5" borderId="2" xfId="0" applyFont="1" applyFill="1" applyBorder="1" applyAlignment="1">
      <alignment horizontal="left" vertical="center" wrapText="1" indent="1" readingOrder="1"/>
    </xf>
    <xf numFmtId="0" fontId="16" fillId="4" borderId="2" xfId="0" applyFont="1" applyFill="1" applyBorder="1">
      <alignment vertical="center"/>
    </xf>
    <xf numFmtId="0" fontId="16" fillId="0" borderId="0" xfId="0" applyFont="1">
      <alignment vertical="center"/>
    </xf>
    <xf numFmtId="43" fontId="16" fillId="0" borderId="0" xfId="6" applyFont="1" applyBorder="1" applyAlignment="1">
      <alignment vertical="center"/>
    </xf>
    <xf numFmtId="9" fontId="17" fillId="0" borderId="0" xfId="7" applyFont="1" applyAlignment="1">
      <alignment vertical="center"/>
    </xf>
    <xf numFmtId="9" fontId="17" fillId="0" borderId="2" xfId="7" applyFont="1" applyBorder="1" applyAlignment="1">
      <alignment vertical="center"/>
    </xf>
    <xf numFmtId="9" fontId="17" fillId="5" borderId="2" xfId="7" applyFont="1" applyFill="1" applyBorder="1" applyAlignment="1">
      <alignment horizontal="left" vertical="center" wrapText="1" indent="1" readingOrder="1"/>
    </xf>
    <xf numFmtId="0" fontId="16" fillId="4" borderId="13" xfId="0" applyFont="1" applyFill="1" applyBorder="1">
      <alignment vertical="center"/>
    </xf>
    <xf numFmtId="9" fontId="17" fillId="5" borderId="13" xfId="7" applyFont="1" applyFill="1" applyBorder="1" applyAlignment="1">
      <alignment horizontal="left" vertical="center" wrapText="1" indent="1" readingOrder="1"/>
    </xf>
    <xf numFmtId="0" fontId="13" fillId="6" borderId="0" xfId="0" applyFont="1" applyFill="1">
      <alignment vertical="center"/>
    </xf>
    <xf numFmtId="0" fontId="14" fillId="6" borderId="0" xfId="0" applyFont="1" applyFill="1">
      <alignment vertical="center"/>
    </xf>
    <xf numFmtId="9" fontId="17" fillId="0" borderId="9" xfId="7" applyFont="1" applyFill="1" applyBorder="1" applyAlignment="1">
      <alignment horizontal="left" vertical="center" wrapText="1" indent="1" readingOrder="1"/>
    </xf>
    <xf numFmtId="9" fontId="17" fillId="0" borderId="9" xfId="7" applyFont="1" applyBorder="1" applyAlignment="1">
      <alignment vertical="center"/>
    </xf>
    <xf numFmtId="9" fontId="16" fillId="0" borderId="0" xfId="7" applyFont="1" applyAlignment="1">
      <alignment horizontal="center" vertical="center"/>
    </xf>
    <xf numFmtId="9" fontId="17" fillId="0" borderId="0" xfId="7" applyFont="1" applyAlignment="1">
      <alignment horizontal="center" vertical="center"/>
    </xf>
    <xf numFmtId="9" fontId="17" fillId="5" borderId="9" xfId="7" applyFont="1" applyFill="1" applyBorder="1" applyAlignment="1">
      <alignment horizontal="left" vertical="center" wrapText="1" indent="1" readingOrder="1"/>
    </xf>
    <xf numFmtId="9" fontId="16" fillId="4" borderId="2" xfId="7" applyFont="1" applyFill="1" applyBorder="1" applyAlignment="1">
      <alignment vertical="center"/>
    </xf>
    <xf numFmtId="9" fontId="16" fillId="0" borderId="2" xfId="7" applyFont="1" applyBorder="1" applyAlignment="1">
      <alignment vertical="center"/>
    </xf>
    <xf numFmtId="9" fontId="16" fillId="4" borderId="13" xfId="7" applyFont="1" applyFill="1" applyBorder="1" applyAlignment="1">
      <alignment vertical="center"/>
    </xf>
    <xf numFmtId="9" fontId="16" fillId="0" borderId="0" xfId="7" applyFont="1" applyAlignment="1">
      <alignment vertical="center"/>
    </xf>
    <xf numFmtId="167" fontId="17" fillId="5" borderId="2" xfId="6" applyNumberFormat="1" applyFont="1" applyFill="1" applyBorder="1" applyAlignment="1">
      <alignment horizontal="left" vertical="center" wrapText="1" indent="1" readingOrder="1"/>
    </xf>
    <xf numFmtId="167" fontId="17" fillId="5" borderId="13" xfId="6" applyNumberFormat="1" applyFont="1" applyFill="1" applyBorder="1" applyAlignment="1">
      <alignment horizontal="left" vertical="center" wrapText="1" indent="1" readingOrder="1"/>
    </xf>
    <xf numFmtId="167" fontId="17" fillId="0" borderId="2" xfId="6" applyNumberFormat="1" applyFont="1" applyBorder="1" applyAlignment="1">
      <alignment vertical="center"/>
    </xf>
    <xf numFmtId="167" fontId="17" fillId="0" borderId="0" xfId="6" applyNumberFormat="1" applyFont="1" applyAlignment="1">
      <alignment vertical="center"/>
    </xf>
    <xf numFmtId="167" fontId="16" fillId="4" borderId="2" xfId="6" applyNumberFormat="1" applyFont="1" applyFill="1" applyBorder="1" applyAlignment="1">
      <alignment vertical="center"/>
    </xf>
    <xf numFmtId="167" fontId="16" fillId="4" borderId="13" xfId="6" applyNumberFormat="1" applyFont="1" applyFill="1" applyBorder="1" applyAlignment="1">
      <alignment vertical="center"/>
    </xf>
    <xf numFmtId="167" fontId="16" fillId="0" borderId="0" xfId="6" applyNumberFormat="1" applyFont="1" applyAlignment="1">
      <alignment vertical="center"/>
    </xf>
    <xf numFmtId="0" fontId="16" fillId="4" borderId="15" xfId="0" applyFont="1" applyFill="1" applyBorder="1" applyAlignment="1">
      <alignment horizontal="center" vertical="center"/>
    </xf>
    <xf numFmtId="0" fontId="16" fillId="4" borderId="16" xfId="0" applyFont="1" applyFill="1" applyBorder="1" applyAlignment="1">
      <alignment horizontal="center" vertical="center"/>
    </xf>
    <xf numFmtId="43" fontId="17" fillId="0" borderId="15" xfId="6" applyFont="1" applyBorder="1" applyAlignment="1">
      <alignment vertical="center"/>
    </xf>
    <xf numFmtId="43" fontId="17" fillId="0" borderId="16" xfId="6" applyFont="1" applyBorder="1" applyAlignment="1">
      <alignment vertical="center"/>
    </xf>
    <xf numFmtId="167" fontId="17" fillId="0" borderId="15" xfId="6" applyNumberFormat="1" applyFont="1" applyBorder="1" applyAlignment="1">
      <alignment vertical="center"/>
    </xf>
    <xf numFmtId="167" fontId="17" fillId="0" borderId="16" xfId="6" applyNumberFormat="1" applyFont="1" applyBorder="1" applyAlignment="1">
      <alignment vertical="center"/>
    </xf>
    <xf numFmtId="167" fontId="16" fillId="4" borderId="15" xfId="6" applyNumberFormat="1" applyFont="1" applyFill="1" applyBorder="1" applyAlignment="1">
      <alignment vertical="center"/>
    </xf>
    <xf numFmtId="167" fontId="16" fillId="4" borderId="16" xfId="6" applyNumberFormat="1" applyFont="1" applyFill="1" applyBorder="1" applyAlignment="1">
      <alignment vertical="center"/>
    </xf>
    <xf numFmtId="9" fontId="17" fillId="0" borderId="15" xfId="7" applyFont="1" applyBorder="1" applyAlignment="1">
      <alignment vertical="center"/>
    </xf>
    <xf numFmtId="9" fontId="17" fillId="0" borderId="16" xfId="7" applyFont="1" applyBorder="1" applyAlignment="1">
      <alignment vertical="center"/>
    </xf>
    <xf numFmtId="9" fontId="16" fillId="4" borderId="15" xfId="7" applyFont="1" applyFill="1" applyBorder="1" applyAlignment="1">
      <alignment vertical="center"/>
    </xf>
    <xf numFmtId="9" fontId="16" fillId="4" borderId="16" xfId="7" applyFont="1" applyFill="1" applyBorder="1" applyAlignment="1">
      <alignment vertical="center"/>
    </xf>
    <xf numFmtId="0" fontId="17" fillId="0" borderId="5" xfId="0" applyFont="1" applyFill="1" applyBorder="1" applyAlignment="1">
      <alignment horizontal="left" vertical="center" wrapText="1" indent="1" readingOrder="1"/>
    </xf>
    <xf numFmtId="0" fontId="17" fillId="5" borderId="5" xfId="0" applyFont="1" applyFill="1" applyBorder="1" applyAlignment="1">
      <alignment horizontal="left" vertical="center" wrapText="1" indent="1" readingOrder="1"/>
    </xf>
    <xf numFmtId="0" fontId="16" fillId="4" borderId="17" xfId="0" applyFont="1" applyFill="1" applyBorder="1" applyAlignment="1">
      <alignment horizontal="center" vertical="center"/>
    </xf>
    <xf numFmtId="9" fontId="17" fillId="0" borderId="2" xfId="7" applyNumberFormat="1" applyFont="1" applyBorder="1" applyAlignment="1">
      <alignment vertical="center"/>
    </xf>
    <xf numFmtId="9" fontId="16" fillId="0" borderId="2" xfId="6" applyNumberFormat="1" applyFont="1" applyBorder="1" applyAlignment="1">
      <alignment vertical="center"/>
    </xf>
    <xf numFmtId="16" fontId="16" fillId="4" borderId="5" xfId="0" applyNumberFormat="1" applyFont="1" applyFill="1" applyBorder="1" applyAlignment="1">
      <alignment horizontal="centerContinuous" vertical="center"/>
    </xf>
    <xf numFmtId="0" fontId="16" fillId="4" borderId="7" xfId="0" applyFont="1" applyFill="1" applyBorder="1" applyAlignment="1">
      <alignment horizontal="centerContinuous" vertical="center"/>
    </xf>
    <xf numFmtId="9" fontId="17" fillId="0" borderId="13" xfId="7" applyFont="1" applyBorder="1" applyAlignment="1">
      <alignment vertical="center"/>
    </xf>
    <xf numFmtId="9" fontId="0" fillId="0" borderId="7" xfId="0" applyNumberFormat="1" applyBorder="1">
      <alignment vertical="center"/>
    </xf>
    <xf numFmtId="167" fontId="17" fillId="5" borderId="13" xfId="0" applyNumberFormat="1" applyFont="1" applyFill="1" applyBorder="1" applyAlignment="1">
      <alignment horizontal="left" vertical="center" wrapText="1" indent="1" readingOrder="1"/>
    </xf>
    <xf numFmtId="9" fontId="17" fillId="0" borderId="13" xfId="0" applyNumberFormat="1" applyFont="1" applyBorder="1">
      <alignment vertical="center"/>
    </xf>
    <xf numFmtId="167" fontId="17" fillId="0" borderId="0" xfId="0" applyNumberFormat="1" applyFont="1">
      <alignment vertical="center"/>
    </xf>
    <xf numFmtId="167" fontId="0" fillId="5" borderId="18" xfId="0" applyNumberFormat="1" applyFill="1" applyBorder="1" applyAlignment="1">
      <alignment horizontal="left" vertical="center" wrapText="1" indent="1" readingOrder="1"/>
    </xf>
    <xf numFmtId="0" fontId="0" fillId="5" borderId="13" xfId="0" applyFill="1" applyBorder="1" applyAlignment="1">
      <alignment horizontal="left" vertical="center" wrapText="1" indent="1" readingOrder="1"/>
    </xf>
    <xf numFmtId="0" fontId="16" fillId="4" borderId="3" xfId="0" applyFont="1" applyFill="1" applyBorder="1" applyAlignment="1">
      <alignment horizontal="center" vertical="top"/>
    </xf>
    <xf numFmtId="0" fontId="16" fillId="4" borderId="7" xfId="0" applyFont="1" applyFill="1" applyBorder="1" applyAlignment="1">
      <alignment horizontal="center" vertical="top"/>
    </xf>
    <xf numFmtId="16" fontId="16" fillId="4" borderId="5" xfId="0" applyNumberFormat="1" applyFont="1" applyFill="1" applyBorder="1" applyAlignment="1">
      <alignment horizontal="centerContinuous" vertical="top"/>
    </xf>
    <xf numFmtId="0" fontId="16" fillId="4" borderId="7" xfId="0" applyFont="1" applyFill="1" applyBorder="1" applyAlignment="1">
      <alignment horizontal="centerContinuous" vertical="top"/>
    </xf>
    <xf numFmtId="0" fontId="16" fillId="0" borderId="0" xfId="0" applyFont="1" applyAlignment="1">
      <alignment horizontal="center" vertical="top"/>
    </xf>
    <xf numFmtId="0" fontId="16" fillId="4" borderId="10" xfId="0" applyFont="1" applyFill="1" applyBorder="1" applyAlignment="1">
      <alignment horizontal="center" vertical="top"/>
    </xf>
    <xf numFmtId="0" fontId="16" fillId="4" borderId="9" xfId="0" applyFont="1" applyFill="1" applyBorder="1" applyAlignment="1">
      <alignment horizontal="center" vertical="top"/>
    </xf>
    <xf numFmtId="0" fontId="16" fillId="4" borderId="15" xfId="0" applyFont="1" applyFill="1" applyBorder="1" applyAlignment="1">
      <alignment horizontal="center" vertical="top"/>
    </xf>
    <xf numFmtId="0" fontId="16" fillId="4" borderId="16" xfId="0" applyFont="1" applyFill="1" applyBorder="1" applyAlignment="1">
      <alignment horizontal="center" vertical="top"/>
    </xf>
    <xf numFmtId="0" fontId="16" fillId="4" borderId="13" xfId="0" applyFont="1" applyFill="1" applyBorder="1" applyAlignment="1">
      <alignment horizontal="center" vertical="top"/>
    </xf>
    <xf numFmtId="9" fontId="17" fillId="5" borderId="13" xfId="0" applyNumberFormat="1" applyFont="1" applyFill="1" applyBorder="1" applyAlignment="1">
      <alignment horizontal="left" vertical="center" wrapText="1" indent="1" readingOrder="1"/>
    </xf>
    <xf numFmtId="9" fontId="17" fillId="0" borderId="9" xfId="0" applyNumberFormat="1" applyFont="1" applyBorder="1">
      <alignment vertical="center"/>
    </xf>
    <xf numFmtId="9" fontId="17" fillId="0" borderId="15" xfId="0" applyNumberFormat="1" applyFont="1" applyBorder="1">
      <alignment vertical="center"/>
    </xf>
    <xf numFmtId="9" fontId="17" fillId="0" borderId="16" xfId="0" applyNumberFormat="1" applyFont="1" applyBorder="1">
      <alignment vertical="center"/>
    </xf>
    <xf numFmtId="9" fontId="16" fillId="4" borderId="13" xfId="0" applyNumberFormat="1" applyFont="1" applyFill="1" applyBorder="1">
      <alignment vertical="center"/>
    </xf>
    <xf numFmtId="9" fontId="16" fillId="4" borderId="15" xfId="0" applyNumberFormat="1" applyFont="1" applyFill="1" applyBorder="1">
      <alignment vertical="center"/>
    </xf>
    <xf numFmtId="9" fontId="16" fillId="4" borderId="16" xfId="0" applyNumberFormat="1" applyFont="1" applyFill="1" applyBorder="1">
      <alignment vertical="center"/>
    </xf>
    <xf numFmtId="9" fontId="16" fillId="0" borderId="13" xfId="0" applyNumberFormat="1" applyFont="1" applyBorder="1">
      <alignment vertical="center"/>
    </xf>
    <xf numFmtId="9" fontId="0" fillId="0" borderId="7" xfId="7" applyNumberFormat="1" applyFont="1" applyFill="1" applyBorder="1" applyAlignment="1">
      <alignment vertical="center"/>
    </xf>
    <xf numFmtId="9" fontId="0" fillId="0" borderId="7" xfId="0" applyNumberFormat="1" applyFont="1" applyFill="1" applyBorder="1" applyAlignment="1">
      <alignment vertical="center"/>
    </xf>
    <xf numFmtId="9" fontId="0" fillId="0" borderId="7" xfId="0" applyNumberFormat="1" applyFont="1" applyBorder="1">
      <alignment vertical="center"/>
    </xf>
    <xf numFmtId="167" fontId="0" fillId="5" borderId="18" xfId="0" applyNumberFormat="1" applyFont="1" applyFill="1" applyBorder="1" applyAlignment="1">
      <alignment horizontal="left" vertical="center" wrapText="1" indent="1" readingOrder="1"/>
    </xf>
    <xf numFmtId="0" fontId="0" fillId="0" borderId="11" xfId="0" applyBorder="1">
      <alignment vertical="center"/>
    </xf>
    <xf numFmtId="0" fontId="0" fillId="0" borderId="10" xfId="0" applyBorder="1">
      <alignment vertical="center"/>
    </xf>
    <xf numFmtId="0" fontId="0" fillId="0" borderId="5" xfId="0" applyBorder="1">
      <alignment vertical="center"/>
    </xf>
    <xf numFmtId="0" fontId="17" fillId="0" borderId="9" xfId="7" applyNumberFormat="1" applyFont="1" applyBorder="1" applyAlignment="1">
      <alignment vertical="center"/>
    </xf>
    <xf numFmtId="0" fontId="17" fillId="0" borderId="15" xfId="7" applyNumberFormat="1" applyFont="1" applyBorder="1" applyAlignment="1">
      <alignment vertical="center"/>
    </xf>
    <xf numFmtId="0" fontId="0" fillId="5" borderId="13" xfId="0" applyFill="1" applyBorder="1" applyAlignment="1">
      <alignment horizontal="center" vertical="center" wrapText="1" readingOrder="1"/>
    </xf>
    <xf numFmtId="167" fontId="16" fillId="4" borderId="2" xfId="0" applyNumberFormat="1" applyFont="1" applyFill="1" applyBorder="1">
      <alignment vertical="center"/>
    </xf>
    <xf numFmtId="167" fontId="16" fillId="0" borderId="0" xfId="0" applyNumberFormat="1" applyFont="1">
      <alignment vertical="center"/>
    </xf>
    <xf numFmtId="9" fontId="16" fillId="0" borderId="2" xfId="7" applyNumberFormat="1" applyFont="1" applyBorder="1" applyAlignment="1">
      <alignment vertical="center"/>
    </xf>
    <xf numFmtId="9" fontId="17" fillId="0" borderId="14" xfId="7" applyFont="1" applyBorder="1" applyAlignment="1">
      <alignment vertical="center"/>
    </xf>
    <xf numFmtId="43" fontId="17" fillId="0" borderId="15" xfId="7" applyNumberFormat="1" applyFont="1" applyBorder="1" applyAlignment="1">
      <alignment vertical="center"/>
    </xf>
    <xf numFmtId="43" fontId="17" fillId="0" borderId="16" xfId="7" applyNumberFormat="1" applyFont="1" applyBorder="1" applyAlignment="1">
      <alignment vertical="center"/>
    </xf>
    <xf numFmtId="43" fontId="17" fillId="0" borderId="2" xfId="7" applyNumberFormat="1" applyFont="1" applyBorder="1" applyAlignment="1">
      <alignment vertical="center"/>
    </xf>
    <xf numFmtId="9" fontId="17" fillId="0" borderId="15" xfId="7" applyNumberFormat="1" applyFont="1" applyBorder="1" applyAlignment="1">
      <alignment vertical="center"/>
    </xf>
    <xf numFmtId="9" fontId="17" fillId="0" borderId="16" xfId="7" applyNumberFormat="1" applyFont="1" applyBorder="1" applyAlignment="1">
      <alignment vertical="center"/>
    </xf>
    <xf numFmtId="9" fontId="0" fillId="5" borderId="18" xfId="0" applyNumberFormat="1" applyFont="1" applyFill="1" applyBorder="1" applyAlignment="1">
      <alignment horizontal="left" vertical="center" wrapText="1" indent="1" readingOrder="1"/>
    </xf>
    <xf numFmtId="9" fontId="0" fillId="5" borderId="13" xfId="0" applyNumberFormat="1" applyFill="1" applyBorder="1" applyAlignment="1">
      <alignment horizontal="left" vertical="center" wrapText="1" indent="1" readingOrder="1"/>
    </xf>
    <xf numFmtId="168" fontId="17" fillId="0" borderId="2" xfId="7" applyNumberFormat="1" applyFont="1" applyBorder="1" applyAlignment="1">
      <alignment vertical="center"/>
    </xf>
    <xf numFmtId="0" fontId="19" fillId="0" borderId="0" xfId="0" applyFont="1" applyProtection="1">
      <alignment vertical="center"/>
      <protection locked="0"/>
    </xf>
    <xf numFmtId="0" fontId="4" fillId="0" borderId="0" xfId="0" applyFont="1" applyBorder="1" applyAlignment="1" applyProtection="1">
      <alignment horizontal="center" vertical="center"/>
      <protection locked="0"/>
    </xf>
    <xf numFmtId="0" fontId="4" fillId="0" borderId="0" xfId="0" applyFont="1" applyBorder="1" applyProtection="1">
      <alignment vertical="center"/>
      <protection locked="0"/>
    </xf>
    <xf numFmtId="0" fontId="18" fillId="0" borderId="0" xfId="0" applyFont="1" applyProtection="1">
      <alignment vertical="center"/>
      <protection locked="0"/>
    </xf>
    <xf numFmtId="0" fontId="4" fillId="0" borderId="8" xfId="0" applyFont="1" applyBorder="1" applyProtection="1">
      <alignment vertical="center"/>
      <protection locked="0"/>
    </xf>
    <xf numFmtId="0" fontId="11" fillId="4" borderId="2" xfId="0" applyFont="1" applyFill="1" applyBorder="1" applyAlignment="1" applyProtection="1">
      <alignment horizontal="center" vertical="center"/>
      <protection locked="0"/>
    </xf>
    <xf numFmtId="0" fontId="11" fillId="0" borderId="5" xfId="0" applyFont="1" applyFill="1" applyBorder="1" applyAlignment="1" applyProtection="1">
      <alignment horizontal="center" vertical="center"/>
      <protection locked="0"/>
    </xf>
    <xf numFmtId="0" fontId="11" fillId="0" borderId="2" xfId="0" applyFont="1" applyFill="1" applyBorder="1" applyAlignment="1" applyProtection="1">
      <alignment horizontal="center" vertical="center"/>
      <protection locked="0"/>
    </xf>
    <xf numFmtId="16" fontId="12" fillId="0" borderId="5" xfId="0" applyNumberFormat="1" applyFont="1" applyBorder="1" applyAlignment="1" applyProtection="1">
      <alignment horizontal="center" vertical="top"/>
      <protection locked="0"/>
    </xf>
    <xf numFmtId="0" fontId="12" fillId="0" borderId="5" xfId="0" applyFont="1" applyBorder="1" applyAlignment="1" applyProtection="1">
      <alignment horizontal="center" vertical="center"/>
      <protection locked="0"/>
    </xf>
    <xf numFmtId="0" fontId="20" fillId="0" borderId="13" xfId="0" applyFont="1" applyBorder="1" applyProtection="1">
      <alignment vertical="center"/>
      <protection locked="0"/>
    </xf>
    <xf numFmtId="0" fontId="10" fillId="0" borderId="0" xfId="0" applyFont="1" applyProtection="1">
      <alignment vertical="center"/>
      <protection locked="0"/>
    </xf>
    <xf numFmtId="0" fontId="3" fillId="0" borderId="0" xfId="0" applyFont="1" applyFill="1" applyBorder="1" applyAlignment="1" applyProtection="1">
      <alignment horizontal="center" vertical="center"/>
      <protection locked="0"/>
    </xf>
    <xf numFmtId="167" fontId="17" fillId="0" borderId="13" xfId="6" applyNumberFormat="1" applyFont="1" applyBorder="1" applyAlignment="1">
      <alignment vertical="center"/>
    </xf>
    <xf numFmtId="0" fontId="0" fillId="0" borderId="0" xfId="0" applyFont="1" applyProtection="1">
      <alignment vertical="center"/>
      <protection locked="0"/>
    </xf>
    <xf numFmtId="165" fontId="0" fillId="0" borderId="0" xfId="0" applyNumberFormat="1" applyFont="1" applyProtection="1">
      <alignment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43" fontId="8" fillId="0" borderId="0" xfId="6" applyFont="1" applyAlignment="1" applyProtection="1">
      <alignment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ont="1" applyBorder="1" applyAlignment="1" applyProtection="1">
      <alignment horizontal="left" vertical="center"/>
      <protection locked="0"/>
    </xf>
    <xf numFmtId="0" fontId="4" fillId="0" borderId="0" xfId="0" applyFont="1" applyProtection="1">
      <alignment vertical="center"/>
      <protection locked="0"/>
    </xf>
    <xf numFmtId="165" fontId="22" fillId="0" borderId="3" xfId="0" applyNumberFormat="1" applyFont="1" applyFill="1" applyBorder="1" applyAlignment="1" applyProtection="1">
      <alignment horizontal="left" vertical="center"/>
      <protection locked="0"/>
    </xf>
    <xf numFmtId="0" fontId="22" fillId="0" borderId="3" xfId="0" applyFont="1" applyFill="1" applyBorder="1" applyAlignment="1" applyProtection="1">
      <alignment horizontal="left" vertical="center"/>
      <protection locked="0"/>
    </xf>
    <xf numFmtId="43" fontId="23" fillId="0" borderId="3" xfId="6" applyNumberFormat="1" applyFont="1" applyFill="1" applyBorder="1" applyAlignment="1" applyProtection="1">
      <alignment horizontal="center" vertical="center"/>
      <protection locked="0"/>
    </xf>
    <xf numFmtId="4" fontId="23" fillId="0" borderId="3" xfId="0" applyNumberFormat="1" applyFont="1" applyFill="1" applyBorder="1" applyAlignment="1" applyProtection="1">
      <alignment horizontal="center" vertical="center"/>
      <protection locked="0"/>
    </xf>
    <xf numFmtId="0" fontId="24" fillId="0" borderId="3" xfId="0" applyFont="1" applyFill="1" applyBorder="1" applyAlignment="1" applyProtection="1">
      <alignment horizontal="center" vertical="center"/>
      <protection locked="0"/>
    </xf>
    <xf numFmtId="49" fontId="24" fillId="0" borderId="3" xfId="0" quotePrefix="1" applyNumberFormat="1" applyFont="1" applyFill="1" applyBorder="1" applyAlignment="1" applyProtection="1">
      <alignment horizontal="center" vertical="center"/>
      <protection locked="0"/>
    </xf>
    <xf numFmtId="167" fontId="14" fillId="0" borderId="0" xfId="0" applyNumberFormat="1" applyFont="1">
      <alignment vertical="center"/>
    </xf>
    <xf numFmtId="0" fontId="0" fillId="0" borderId="0" xfId="0" applyFont="1" applyAlignment="1" applyProtection="1">
      <alignment horizontal="center" vertical="center"/>
    </xf>
    <xf numFmtId="167" fontId="17" fillId="0" borderId="7" xfId="6" applyNumberFormat="1" applyFont="1" applyBorder="1" applyAlignment="1">
      <alignment vertical="center"/>
    </xf>
    <xf numFmtId="0" fontId="9" fillId="0" borderId="0" xfId="8"/>
    <xf numFmtId="0" fontId="0" fillId="0" borderId="13" xfId="0" applyBorder="1" applyProtection="1">
      <alignment vertical="center"/>
      <protection locked="0"/>
    </xf>
    <xf numFmtId="0" fontId="11" fillId="0" borderId="5" xfId="0" applyFont="1" applyBorder="1" applyAlignment="1" applyProtection="1">
      <alignment horizontal="center" vertical="center"/>
      <protection locked="0"/>
    </xf>
    <xf numFmtId="0" fontId="11" fillId="0" borderId="13" xfId="0" applyFont="1" applyBorder="1" applyAlignment="1" applyProtection="1">
      <alignment horizontal="center" vertical="center"/>
      <protection locked="0"/>
    </xf>
    <xf numFmtId="0" fontId="24" fillId="0" borderId="13" xfId="0" applyFont="1" applyFill="1" applyBorder="1" applyAlignment="1" applyProtection="1">
      <alignment horizontal="center" vertical="center"/>
      <protection locked="0"/>
    </xf>
    <xf numFmtId="0" fontId="26" fillId="0" borderId="13" xfId="0" applyFont="1" applyFill="1" applyBorder="1" applyAlignment="1" applyProtection="1">
      <alignment horizontal="center" vertical="center"/>
      <protection locked="0"/>
    </xf>
    <xf numFmtId="0" fontId="11" fillId="0" borderId="13" xfId="0" applyFont="1" applyFill="1" applyBorder="1" applyAlignment="1" applyProtection="1">
      <alignment horizontal="center" vertical="center"/>
      <protection locked="0"/>
    </xf>
    <xf numFmtId="0" fontId="12" fillId="0" borderId="5" xfId="0" applyFont="1" applyFill="1" applyBorder="1" applyAlignment="1" applyProtection="1">
      <alignment horizontal="center" vertical="center"/>
      <protection locked="0"/>
    </xf>
    <xf numFmtId="0" fontId="0" fillId="0" borderId="13" xfId="0" applyFont="1" applyFill="1" applyBorder="1" applyAlignment="1" applyProtection="1">
      <alignment vertical="center"/>
      <protection locked="0"/>
    </xf>
    <xf numFmtId="167" fontId="16" fillId="4" borderId="13" xfId="0" applyNumberFormat="1" applyFont="1" applyFill="1" applyBorder="1">
      <alignment vertical="center"/>
    </xf>
    <xf numFmtId="16" fontId="12" fillId="0" borderId="5" xfId="0" applyNumberFormat="1" applyFont="1" applyBorder="1" applyAlignment="1" applyProtection="1">
      <alignment horizontal="center" vertical="top"/>
      <protection locked="0"/>
    </xf>
    <xf numFmtId="166" fontId="26" fillId="0" borderId="13" xfId="0" applyNumberFormat="1" applyFont="1" applyFill="1" applyBorder="1" applyAlignment="1" applyProtection="1">
      <alignment horizontal="center" vertical="center"/>
      <protection locked="0"/>
    </xf>
    <xf numFmtId="16" fontId="20" fillId="0" borderId="13" xfId="0" quotePrefix="1" applyNumberFormat="1" applyFont="1" applyBorder="1" applyAlignment="1" applyProtection="1">
      <alignment horizontal="center" vertical="top"/>
      <protection locked="0"/>
    </xf>
    <xf numFmtId="0" fontId="0" fillId="0" borderId="0" xfId="0" quotePrefix="1" applyProtection="1">
      <alignment vertical="center"/>
      <protection locked="0"/>
    </xf>
    <xf numFmtId="0" fontId="0" fillId="0" borderId="4" xfId="0" applyFont="1" applyBorder="1" applyProtection="1">
      <alignment vertical="center"/>
      <protection locked="0"/>
    </xf>
    <xf numFmtId="0" fontId="0" fillId="0" borderId="12" xfId="0" applyFont="1" applyBorder="1" applyProtection="1">
      <alignment vertical="center"/>
      <protection locked="0"/>
    </xf>
    <xf numFmtId="0" fontId="0" fillId="0" borderId="9" xfId="0" applyFont="1" applyBorder="1" applyProtection="1">
      <alignment vertical="center"/>
      <protection locked="0"/>
    </xf>
    <xf numFmtId="43" fontId="20" fillId="0" borderId="17" xfId="0" quotePrefix="1" applyNumberFormat="1" applyFont="1" applyBorder="1" applyAlignment="1" applyProtection="1">
      <alignment horizontal="center" vertical="top"/>
      <protection locked="0"/>
    </xf>
    <xf numFmtId="16" fontId="20" fillId="0" borderId="13" xfId="0" applyNumberFormat="1" applyFont="1" applyBorder="1" applyAlignment="1" applyProtection="1">
      <alignment horizontal="center" vertical="top"/>
      <protection locked="0"/>
    </xf>
    <xf numFmtId="0" fontId="0" fillId="0" borderId="0" xfId="0" applyFont="1" applyProtection="1">
      <alignment vertical="center"/>
    </xf>
    <xf numFmtId="0" fontId="0" fillId="0" borderId="0" xfId="0" applyProtection="1">
      <alignment vertical="center"/>
    </xf>
    <xf numFmtId="165" fontId="0" fillId="0" borderId="0" xfId="0" applyNumberFormat="1" applyFont="1" applyProtection="1">
      <alignment vertical="center"/>
    </xf>
    <xf numFmtId="0" fontId="0" fillId="0" borderId="0" xfId="0" applyFont="1" applyAlignment="1" applyProtection="1">
      <alignment horizontal="left" vertical="center"/>
    </xf>
    <xf numFmtId="0" fontId="21" fillId="3" borderId="4" xfId="0" applyNumberFormat="1" applyFont="1" applyFill="1" applyBorder="1" applyAlignment="1" applyProtection="1">
      <alignment vertical="center"/>
    </xf>
    <xf numFmtId="0" fontId="4" fillId="0" borderId="0" xfId="0" applyFont="1" applyProtection="1">
      <alignment vertical="center"/>
    </xf>
    <xf numFmtId="0" fontId="21" fillId="3" borderId="3" xfId="0" applyFont="1" applyFill="1" applyBorder="1" applyAlignment="1" applyProtection="1">
      <alignment horizontal="center" vertical="center"/>
    </xf>
    <xf numFmtId="0" fontId="21" fillId="3" borderId="3" xfId="0" applyNumberFormat="1" applyFont="1" applyFill="1" applyBorder="1" applyAlignment="1" applyProtection="1">
      <alignment horizontal="center" vertical="center"/>
    </xf>
    <xf numFmtId="164" fontId="21" fillId="3" borderId="3" xfId="0" applyNumberFormat="1" applyFont="1" applyFill="1" applyBorder="1" applyAlignment="1" applyProtection="1">
      <alignment horizontal="center" vertical="center"/>
    </xf>
    <xf numFmtId="0" fontId="21" fillId="3" borderId="4" xfId="0" applyNumberFormat="1" applyFont="1" applyFill="1" applyBorder="1" applyAlignment="1" applyProtection="1">
      <alignment horizontal="center" vertical="center"/>
    </xf>
    <xf numFmtId="165" fontId="21" fillId="3" borderId="3" xfId="0" applyNumberFormat="1" applyFont="1" applyFill="1" applyBorder="1" applyAlignment="1" applyProtection="1">
      <alignment horizontal="center" vertical="center"/>
    </xf>
    <xf numFmtId="0" fontId="21" fillId="3" borderId="4" xfId="0" applyFont="1" applyFill="1" applyBorder="1" applyAlignment="1" applyProtection="1">
      <alignment horizontal="center" vertical="center"/>
    </xf>
    <xf numFmtId="43" fontId="21" fillId="3" borderId="4" xfId="6" applyNumberFormat="1" applyFont="1" applyFill="1" applyBorder="1" applyAlignment="1" applyProtection="1">
      <alignment horizontal="center" vertical="center"/>
    </xf>
    <xf numFmtId="0" fontId="3" fillId="3" borderId="4" xfId="0" applyFont="1" applyFill="1" applyBorder="1" applyAlignment="1" applyProtection="1">
      <alignment horizontal="center" vertical="center"/>
    </xf>
    <xf numFmtId="0" fontId="0" fillId="0" borderId="0" xfId="0" applyNumberFormat="1" applyFont="1" applyBorder="1" applyProtection="1">
      <alignment vertical="center"/>
    </xf>
    <xf numFmtId="166" fontId="22" fillId="0" borderId="3" xfId="0" applyNumberFormat="1" applyFont="1" applyFill="1" applyBorder="1" applyAlignment="1" applyProtection="1">
      <alignment horizontal="center" vertical="center"/>
    </xf>
    <xf numFmtId="0" fontId="22" fillId="0" borderId="3" xfId="0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22" fillId="0" borderId="3" xfId="0" applyFont="1" applyBorder="1" applyAlignment="1">
      <alignment horizontal="center" vertical="center"/>
    </xf>
    <xf numFmtId="4" fontId="23" fillId="0" borderId="3" xfId="0" applyNumberFormat="1" applyFont="1" applyBorder="1" applyAlignment="1" applyProtection="1">
      <alignment horizontal="center" vertical="center"/>
      <protection locked="0"/>
    </xf>
    <xf numFmtId="166" fontId="22" fillId="0" borderId="3" xfId="0" applyNumberFormat="1" applyFont="1" applyBorder="1" applyAlignment="1">
      <alignment horizontal="center" vertical="center"/>
    </xf>
    <xf numFmtId="0" fontId="26" fillId="0" borderId="13" xfId="0" quotePrefix="1" applyFont="1" applyFill="1" applyBorder="1" applyAlignment="1" applyProtection="1">
      <alignment horizontal="center" vertical="center"/>
      <protection locked="0"/>
    </xf>
    <xf numFmtId="0" fontId="44" fillId="0" borderId="13" xfId="0" applyFont="1" applyBorder="1" applyAlignment="1" applyProtection="1">
      <alignment vertical="center"/>
      <protection locked="0"/>
    </xf>
    <xf numFmtId="0" fontId="44" fillId="0" borderId="13" xfId="0" applyFont="1" applyFill="1" applyBorder="1" applyAlignment="1" applyProtection="1">
      <alignment vertical="center"/>
      <protection locked="0"/>
    </xf>
    <xf numFmtId="0" fontId="44" fillId="0" borderId="13" xfId="0" applyFont="1" applyFill="1" applyBorder="1" applyAlignment="1" applyProtection="1">
      <alignment vertical="top"/>
      <protection locked="0"/>
    </xf>
    <xf numFmtId="0" fontId="0" fillId="0" borderId="13" xfId="0" applyNumberFormat="1" applyFont="1" applyFill="1" applyBorder="1" applyAlignment="1" applyProtection="1">
      <alignment vertical="top"/>
      <protection locked="0"/>
    </xf>
    <xf numFmtId="0" fontId="0" fillId="0" borderId="13" xfId="0" applyNumberFormat="1" applyFont="1" applyBorder="1" applyAlignment="1" applyProtection="1">
      <alignment vertical="top"/>
      <protection locked="0"/>
    </xf>
    <xf numFmtId="0" fontId="0" fillId="0" borderId="13" xfId="0" applyFont="1" applyBorder="1" applyProtection="1">
      <alignment vertical="center"/>
      <protection locked="0"/>
    </xf>
    <xf numFmtId="0" fontId="22" fillId="0" borderId="3" xfId="0" applyFont="1" applyBorder="1" applyAlignment="1" applyProtection="1">
      <alignment horizontal="center" vertical="center"/>
    </xf>
    <xf numFmtId="0" fontId="0" fillId="0" borderId="0" xfId="0" applyFont="1">
      <alignment vertical="center"/>
    </xf>
    <xf numFmtId="0" fontId="9" fillId="0" borderId="9" xfId="0" applyFont="1" applyBorder="1" applyProtection="1">
      <alignment vertical="center"/>
      <protection locked="0"/>
    </xf>
    <xf numFmtId="0" fontId="22" fillId="0" borderId="3" xfId="0" applyFont="1" applyBorder="1" applyAlignment="1" applyProtection="1">
      <alignment horizontal="center" vertical="top"/>
    </xf>
    <xf numFmtId="0" fontId="16" fillId="4" borderId="0" xfId="0" applyFont="1" applyFill="1" applyBorder="1" applyAlignment="1">
      <alignment horizontal="centerContinuous" vertical="center"/>
    </xf>
    <xf numFmtId="167" fontId="16" fillId="4" borderId="7" xfId="6" applyNumberFormat="1" applyFont="1" applyFill="1" applyBorder="1" applyAlignment="1">
      <alignment vertical="center"/>
    </xf>
    <xf numFmtId="9" fontId="17" fillId="0" borderId="7" xfId="7" applyFont="1" applyBorder="1" applyAlignment="1">
      <alignment vertical="center"/>
    </xf>
    <xf numFmtId="9" fontId="16" fillId="4" borderId="7" xfId="7" applyFont="1" applyFill="1" applyBorder="1" applyAlignment="1">
      <alignment vertical="center"/>
    </xf>
    <xf numFmtId="43" fontId="17" fillId="0" borderId="7" xfId="7" applyNumberFormat="1" applyFont="1" applyBorder="1" applyAlignment="1">
      <alignment vertical="center"/>
    </xf>
    <xf numFmtId="0" fontId="16" fillId="4" borderId="0" xfId="0" applyFont="1" applyFill="1" applyBorder="1" applyAlignment="1">
      <alignment horizontal="centerContinuous" vertical="top"/>
    </xf>
    <xf numFmtId="9" fontId="17" fillId="0" borderId="7" xfId="0" applyNumberFormat="1" applyFont="1" applyBorder="1">
      <alignment vertical="center"/>
    </xf>
    <xf numFmtId="9" fontId="16" fillId="4" borderId="7" xfId="0" applyNumberFormat="1" applyFont="1" applyFill="1" applyBorder="1">
      <alignment vertical="center"/>
    </xf>
    <xf numFmtId="0" fontId="20" fillId="0" borderId="13" xfId="0" applyFont="1" applyBorder="1" applyAlignment="1">
      <alignment vertical="center"/>
    </xf>
    <xf numFmtId="0" fontId="45" fillId="0" borderId="13" xfId="0" applyFont="1" applyBorder="1" applyAlignment="1" applyProtection="1">
      <alignment vertical="center"/>
      <protection locked="0"/>
    </xf>
    <xf numFmtId="0" fontId="46" fillId="0" borderId="3" xfId="0" applyFont="1" applyFill="1" applyBorder="1" applyAlignment="1" applyProtection="1">
      <alignment horizontal="left" vertical="top"/>
      <protection locked="0"/>
    </xf>
    <xf numFmtId="0" fontId="22" fillId="0" borderId="3" xfId="0" applyFont="1" applyBorder="1" applyAlignment="1" applyProtection="1">
      <alignment horizontal="left" vertical="center"/>
      <protection locked="0"/>
    </xf>
    <xf numFmtId="0" fontId="47" fillId="0" borderId="3" xfId="0" applyFont="1" applyFill="1" applyBorder="1" applyAlignment="1" applyProtection="1">
      <alignment horizontal="left" vertical="top"/>
      <protection locked="0"/>
    </xf>
    <xf numFmtId="0" fontId="12" fillId="0" borderId="5" xfId="0" applyFont="1" applyBorder="1" applyAlignment="1" applyProtection="1">
      <alignment horizontal="center" vertical="top"/>
      <protection locked="0"/>
    </xf>
    <xf numFmtId="0" fontId="44" fillId="0" borderId="13" xfId="0" applyFont="1" applyBorder="1" applyProtection="1">
      <alignment vertical="center"/>
      <protection locked="0"/>
    </xf>
    <xf numFmtId="0" fontId="48" fillId="39" borderId="28" xfId="0" applyNumberFormat="1" applyFont="1" applyFill="1" applyBorder="1" applyAlignment="1" applyProtection="1">
      <alignment horizontal="left" vertical="center" wrapText="1"/>
    </xf>
    <xf numFmtId="0" fontId="48" fillId="40" borderId="29" xfId="0" applyNumberFormat="1" applyFont="1" applyFill="1" applyBorder="1" applyAlignment="1" applyProtection="1">
      <alignment horizontal="left" vertical="top"/>
    </xf>
    <xf numFmtId="169" fontId="48" fillId="40" borderId="29" xfId="0" applyNumberFormat="1" applyFont="1" applyFill="1" applyBorder="1" applyAlignment="1" applyProtection="1">
      <alignment vertical="top"/>
    </xf>
    <xf numFmtId="0" fontId="48" fillId="38" borderId="29" xfId="0" applyNumberFormat="1" applyFont="1" applyFill="1" applyBorder="1" applyAlignment="1" applyProtection="1">
      <alignment horizontal="left" vertical="top"/>
    </xf>
    <xf numFmtId="169" fontId="48" fillId="38" borderId="29" xfId="0" applyNumberFormat="1" applyFont="1" applyFill="1" applyBorder="1" applyAlignment="1" applyProtection="1">
      <alignment vertical="top"/>
    </xf>
    <xf numFmtId="0" fontId="48" fillId="40" borderId="29" xfId="0" quotePrefix="1" applyNumberFormat="1" applyFont="1" applyFill="1" applyBorder="1" applyAlignment="1" applyProtection="1">
      <alignment horizontal="left" vertical="top"/>
    </xf>
    <xf numFmtId="0" fontId="0" fillId="0" borderId="0" xfId="0" applyAlignment="1">
      <alignment horizontal="center" vertical="center"/>
    </xf>
    <xf numFmtId="0" fontId="52" fillId="0" borderId="3" xfId="0" applyFont="1" applyBorder="1" applyAlignment="1">
      <alignment horizontal="center" vertical="top"/>
    </xf>
    <xf numFmtId="43" fontId="53" fillId="0" borderId="3" xfId="6" applyFont="1" applyBorder="1" applyAlignment="1" applyProtection="1">
      <alignment horizontal="center" vertical="center"/>
      <protection locked="0"/>
    </xf>
    <xf numFmtId="49" fontId="0" fillId="0" borderId="0" xfId="0" applyNumberFormat="1" applyFont="1" applyProtection="1">
      <alignment vertical="center"/>
    </xf>
    <xf numFmtId="49" fontId="4" fillId="0" borderId="0" xfId="0" applyNumberFormat="1" applyFont="1" applyProtection="1">
      <alignment vertical="center"/>
    </xf>
    <xf numFmtId="49" fontId="3" fillId="3" borderId="4" xfId="0" applyNumberFormat="1" applyFont="1" applyFill="1" applyBorder="1" applyAlignment="1" applyProtection="1">
      <alignment horizontal="center" vertical="center"/>
    </xf>
    <xf numFmtId="49" fontId="24" fillId="0" borderId="13" xfId="0" quotePrefix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ont="1" applyProtection="1">
      <alignment vertical="center"/>
      <protection locked="0"/>
    </xf>
    <xf numFmtId="49" fontId="24" fillId="0" borderId="13" xfId="0" applyNumberFormat="1" applyFont="1" applyFill="1" applyBorder="1" applyAlignment="1" applyProtection="1">
      <alignment horizontal="center" vertical="center"/>
      <protection locked="0"/>
    </xf>
    <xf numFmtId="49" fontId="51" fillId="0" borderId="13" xfId="0" applyNumberFormat="1" applyFont="1" applyBorder="1" applyAlignment="1" applyProtection="1">
      <alignment horizontal="center" vertical="center"/>
      <protection locked="0"/>
    </xf>
    <xf numFmtId="49" fontId="24" fillId="0" borderId="13" xfId="0" applyNumberFormat="1" applyFont="1" applyFill="1" applyBorder="1" applyAlignment="1" applyProtection="1">
      <alignment horizontal="center" vertical="center" wrapText="1"/>
      <protection locked="0"/>
    </xf>
    <xf numFmtId="0" fontId="55" fillId="0" borderId="30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Border="1">
      <alignment vertical="center"/>
    </xf>
    <xf numFmtId="0" fontId="3" fillId="41" borderId="13" xfId="0" applyFont="1" applyFill="1" applyBorder="1" applyAlignment="1" applyProtection="1">
      <alignment horizontal="center" vertical="center"/>
    </xf>
    <xf numFmtId="0" fontId="10" fillId="0" borderId="17" xfId="0" applyFont="1" applyBorder="1">
      <alignment vertical="center"/>
    </xf>
    <xf numFmtId="0" fontId="10" fillId="0" borderId="0" xfId="0" applyFont="1" applyBorder="1">
      <alignment vertical="center"/>
    </xf>
    <xf numFmtId="0" fontId="10" fillId="0" borderId="31" xfId="0" applyFont="1" applyBorder="1">
      <alignment vertical="center"/>
    </xf>
    <xf numFmtId="0" fontId="57" fillId="0" borderId="17" xfId="0" applyFont="1" applyFill="1" applyBorder="1" applyAlignment="1">
      <alignment horizontal="center" vertical="center" wrapText="1"/>
    </xf>
    <xf numFmtId="0" fontId="57" fillId="0" borderId="0" xfId="0" applyFont="1" applyFill="1" applyBorder="1" applyAlignment="1">
      <alignment horizontal="center" vertical="center" wrapText="1"/>
    </xf>
    <xf numFmtId="0" fontId="57" fillId="0" borderId="31" xfId="0" applyFont="1" applyFill="1" applyBorder="1" applyAlignment="1">
      <alignment horizontal="center" vertical="center" wrapText="1"/>
    </xf>
    <xf numFmtId="0" fontId="49" fillId="0" borderId="17" xfId="0" applyFont="1" applyFill="1" applyBorder="1" applyAlignment="1">
      <alignment horizontal="center" vertical="center"/>
    </xf>
    <xf numFmtId="0" fontId="49" fillId="0" borderId="0" xfId="0" applyFont="1" applyFill="1" applyBorder="1" applyAlignment="1">
      <alignment horizontal="center" vertical="center"/>
    </xf>
    <xf numFmtId="0" fontId="50" fillId="0" borderId="13" xfId="0" applyFont="1" applyFill="1" applyBorder="1" applyAlignment="1">
      <alignment horizontal="center" vertical="center" wrapText="1"/>
    </xf>
    <xf numFmtId="0" fontId="50" fillId="0" borderId="13" xfId="0" applyFont="1" applyFill="1" applyBorder="1" applyAlignment="1">
      <alignment horizontal="center" vertical="center"/>
    </xf>
    <xf numFmtId="0" fontId="50" fillId="0" borderId="13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50" fillId="0" borderId="7" xfId="0" applyFont="1" applyFill="1" applyBorder="1" applyAlignment="1">
      <alignment horizontal="center" vertical="center" wrapText="1"/>
    </xf>
    <xf numFmtId="0" fontId="50" fillId="0" borderId="7" xfId="0" applyFont="1" applyBorder="1" applyAlignment="1">
      <alignment horizontal="center" vertical="center"/>
    </xf>
    <xf numFmtId="0" fontId="50" fillId="0" borderId="7" xfId="0" applyFont="1" applyBorder="1" applyAlignment="1">
      <alignment horizontal="center" vertical="center"/>
    </xf>
    <xf numFmtId="0" fontId="48" fillId="38" borderId="29" xfId="0" quotePrefix="1" applyNumberFormat="1" applyFont="1" applyFill="1" applyBorder="1" applyAlignment="1" applyProtection="1">
      <alignment horizontal="left" vertical="top"/>
    </xf>
    <xf numFmtId="0" fontId="50" fillId="0" borderId="7" xfId="0" applyFont="1" applyBorder="1" applyAlignment="1">
      <alignment horizontal="center" vertical="center"/>
    </xf>
    <xf numFmtId="0" fontId="60" fillId="43" borderId="3" xfId="0" applyNumberFormat="1" applyFont="1" applyFill="1" applyBorder="1" applyAlignment="1" applyProtection="1">
      <alignment horizontal="center" vertical="center"/>
    </xf>
    <xf numFmtId="0" fontId="55" fillId="0" borderId="13" xfId="0" applyFont="1" applyBorder="1" applyAlignment="1">
      <alignment horizontal="center" vertical="center"/>
    </xf>
    <xf numFmtId="0" fontId="54" fillId="42" borderId="33" xfId="0" applyFont="1" applyFill="1" applyBorder="1" applyAlignment="1">
      <alignment horizontal="center" vertical="center"/>
    </xf>
    <xf numFmtId="0" fontId="54" fillId="42" borderId="34" xfId="0" applyFont="1" applyFill="1" applyBorder="1" applyAlignment="1">
      <alignment horizontal="center" vertical="center"/>
    </xf>
    <xf numFmtId="0" fontId="54" fillId="42" borderId="35" xfId="0" applyFont="1" applyFill="1" applyBorder="1" applyAlignment="1">
      <alignment horizontal="center" vertical="center"/>
    </xf>
    <xf numFmtId="0" fontId="55" fillId="0" borderId="36" xfId="0" applyFont="1" applyBorder="1" applyAlignment="1">
      <alignment horizontal="center" vertical="center"/>
    </xf>
    <xf numFmtId="0" fontId="54" fillId="42" borderId="37" xfId="0" applyFont="1" applyFill="1" applyBorder="1" applyAlignment="1">
      <alignment horizontal="center" vertical="center"/>
    </xf>
    <xf numFmtId="0" fontId="54" fillId="42" borderId="38" xfId="0" applyFont="1" applyFill="1" applyBorder="1" applyAlignment="1">
      <alignment horizontal="center" vertical="center"/>
    </xf>
    <xf numFmtId="0" fontId="54" fillId="42" borderId="39" xfId="0" applyFont="1" applyFill="1" applyBorder="1" applyAlignment="1">
      <alignment horizontal="center" vertical="center"/>
    </xf>
    <xf numFmtId="0" fontId="50" fillId="0" borderId="7" xfId="0" applyFont="1" applyBorder="1" applyAlignment="1">
      <alignment horizontal="center" vertical="center"/>
    </xf>
    <xf numFmtId="2" fontId="22" fillId="0" borderId="3" xfId="0" applyNumberFormat="1" applyFont="1" applyFill="1" applyBorder="1" applyAlignment="1" applyProtection="1">
      <alignment horizontal="center" vertical="center"/>
      <protection locked="0"/>
    </xf>
    <xf numFmtId="0" fontId="9" fillId="0" borderId="45" xfId="0" applyFont="1" applyFill="1" applyBorder="1">
      <alignment vertical="center"/>
    </xf>
    <xf numFmtId="0" fontId="55" fillId="0" borderId="0" xfId="0" applyFont="1" applyFill="1" applyBorder="1" applyAlignment="1">
      <alignment horizontal="left" vertical="center"/>
    </xf>
    <xf numFmtId="0" fontId="62" fillId="0" borderId="0" xfId="0" applyFont="1" applyFill="1" applyBorder="1" applyAlignment="1">
      <alignment horizontal="left" vertical="center"/>
    </xf>
    <xf numFmtId="0" fontId="9" fillId="0" borderId="47" xfId="0" applyFont="1" applyFill="1" applyBorder="1">
      <alignment vertical="center"/>
    </xf>
    <xf numFmtId="0" fontId="55" fillId="0" borderId="8" xfId="0" applyFont="1" applyFill="1" applyBorder="1" applyAlignment="1">
      <alignment horizontal="left" vertical="center"/>
    </xf>
    <xf numFmtId="0" fontId="62" fillId="0" borderId="8" xfId="0" applyFont="1" applyFill="1" applyBorder="1" applyAlignment="1">
      <alignment horizontal="left" vertical="center"/>
    </xf>
    <xf numFmtId="167" fontId="61" fillId="0" borderId="0" xfId="0" applyNumberFormat="1" applyFont="1">
      <alignment vertical="center"/>
    </xf>
    <xf numFmtId="0" fontId="55" fillId="44" borderId="40" xfId="0" applyFont="1" applyFill="1" applyBorder="1">
      <alignment vertical="center"/>
    </xf>
    <xf numFmtId="0" fontId="9" fillId="44" borderId="41" xfId="0" applyFont="1" applyFill="1" applyBorder="1" applyAlignment="1">
      <alignment horizontal="center" vertical="center"/>
    </xf>
    <xf numFmtId="0" fontId="9" fillId="44" borderId="41" xfId="0" applyFont="1" applyFill="1" applyBorder="1">
      <alignment vertical="center"/>
    </xf>
    <xf numFmtId="167" fontId="55" fillId="44" borderId="42" xfId="0" applyNumberFormat="1" applyFont="1" applyFill="1" applyBorder="1">
      <alignment vertical="center"/>
    </xf>
    <xf numFmtId="0" fontId="55" fillId="0" borderId="43" xfId="0" applyFont="1" applyFill="1" applyBorder="1">
      <alignment vertical="center"/>
    </xf>
    <xf numFmtId="0" fontId="55" fillId="0" borderId="14" xfId="0" applyFont="1" applyFill="1" applyBorder="1" applyAlignment="1">
      <alignment horizontal="center" vertical="center"/>
    </xf>
    <xf numFmtId="0" fontId="55" fillId="0" borderId="14" xfId="0" applyFont="1" applyFill="1" applyBorder="1">
      <alignment vertical="center"/>
    </xf>
    <xf numFmtId="167" fontId="55" fillId="0" borderId="44" xfId="6" applyNumberFormat="1" applyFont="1" applyFill="1" applyBorder="1" applyAlignment="1">
      <alignment vertical="center"/>
    </xf>
    <xf numFmtId="0" fontId="55" fillId="44" borderId="43" xfId="0" applyFont="1" applyFill="1" applyBorder="1">
      <alignment vertical="center"/>
    </xf>
    <xf numFmtId="0" fontId="62" fillId="44" borderId="14" xfId="0" applyFont="1" applyFill="1" applyBorder="1" applyAlignment="1">
      <alignment horizontal="left" vertical="center"/>
    </xf>
    <xf numFmtId="0" fontId="54" fillId="45" borderId="49" xfId="0" applyFont="1" applyFill="1" applyBorder="1">
      <alignment vertical="center"/>
    </xf>
    <xf numFmtId="0" fontId="54" fillId="45" borderId="50" xfId="0" applyFont="1" applyFill="1" applyBorder="1" applyAlignment="1">
      <alignment horizontal="center" vertical="center"/>
    </xf>
    <xf numFmtId="0" fontId="54" fillId="45" borderId="50" xfId="0" applyFont="1" applyFill="1" applyBorder="1">
      <alignment vertical="center"/>
    </xf>
    <xf numFmtId="167" fontId="54" fillId="45" borderId="51" xfId="6" applyNumberFormat="1" applyFont="1" applyFill="1" applyBorder="1" applyAlignment="1">
      <alignment vertical="center"/>
    </xf>
    <xf numFmtId="167" fontId="55" fillId="44" borderId="44" xfId="6" applyNumberFormat="1" applyFont="1" applyFill="1" applyBorder="1" applyAlignment="1">
      <alignment horizontal="center" vertical="center"/>
    </xf>
    <xf numFmtId="167" fontId="9" fillId="0" borderId="46" xfId="6" applyNumberFormat="1" applyFont="1" applyFill="1" applyBorder="1" applyAlignment="1">
      <alignment horizontal="center" vertical="center"/>
    </xf>
    <xf numFmtId="167" fontId="9" fillId="0" borderId="46" xfId="6" quotePrefix="1" applyNumberFormat="1" applyFont="1" applyFill="1" applyBorder="1" applyAlignment="1">
      <alignment horizontal="center" vertical="center"/>
    </xf>
    <xf numFmtId="167" fontId="9" fillId="0" borderId="48" xfId="6" applyNumberFormat="1" applyFont="1" applyFill="1" applyBorder="1" applyAlignment="1">
      <alignment horizontal="center" vertical="center"/>
    </xf>
    <xf numFmtId="0" fontId="13" fillId="46" borderId="0" xfId="0" applyFont="1" applyFill="1">
      <alignment vertical="center"/>
    </xf>
    <xf numFmtId="0" fontId="14" fillId="46" borderId="0" xfId="0" applyFont="1" applyFill="1">
      <alignment vertical="center"/>
    </xf>
    <xf numFmtId="0" fontId="63" fillId="46" borderId="0" xfId="0" applyFont="1" applyFill="1">
      <alignment vertical="center"/>
    </xf>
    <xf numFmtId="0" fontId="63" fillId="0" borderId="0" xfId="0" applyFont="1">
      <alignment vertical="center"/>
    </xf>
    <xf numFmtId="0" fontId="16" fillId="4" borderId="52" xfId="0" applyFont="1" applyFill="1" applyBorder="1" applyAlignment="1">
      <alignment horizontal="center" vertical="center"/>
    </xf>
    <xf numFmtId="0" fontId="16" fillId="4" borderId="53" xfId="0" applyFont="1" applyFill="1" applyBorder="1" applyAlignment="1">
      <alignment horizontal="center" vertical="center"/>
    </xf>
    <xf numFmtId="16" fontId="16" fillId="4" borderId="54" xfId="0" applyNumberFormat="1" applyFont="1" applyFill="1" applyBorder="1" applyAlignment="1">
      <alignment horizontal="center" vertical="center"/>
    </xf>
    <xf numFmtId="16" fontId="16" fillId="4" borderId="55" xfId="0" applyNumberFormat="1" applyFont="1" applyFill="1" applyBorder="1" applyAlignment="1">
      <alignment horizontal="center" vertical="center"/>
    </xf>
    <xf numFmtId="0" fontId="64" fillId="4" borderId="56" xfId="0" applyFont="1" applyFill="1" applyBorder="1" applyAlignment="1">
      <alignment horizontal="center" vertical="center"/>
    </xf>
    <xf numFmtId="0" fontId="65" fillId="4" borderId="54" xfId="0" applyFont="1" applyFill="1" applyBorder="1" applyAlignment="1">
      <alignment horizontal="left" vertical="center"/>
    </xf>
    <xf numFmtId="0" fontId="65" fillId="4" borderId="55" xfId="0" applyFont="1" applyFill="1" applyBorder="1" applyAlignment="1">
      <alignment horizontal="center" vertical="center"/>
    </xf>
    <xf numFmtId="0" fontId="65" fillId="4" borderId="57" xfId="0" applyFont="1" applyFill="1" applyBorder="1" applyAlignment="1">
      <alignment horizontal="center" vertical="center"/>
    </xf>
    <xf numFmtId="0" fontId="16" fillId="4" borderId="58" xfId="0" applyFont="1" applyFill="1" applyBorder="1" applyAlignment="1">
      <alignment horizontal="center" vertical="center"/>
    </xf>
    <xf numFmtId="0" fontId="16" fillId="4" borderId="59" xfId="0" applyFont="1" applyFill="1" applyBorder="1" applyAlignment="1">
      <alignment horizontal="center" vertical="center"/>
    </xf>
    <xf numFmtId="0" fontId="64" fillId="4" borderId="59" xfId="0" applyFont="1" applyFill="1" applyBorder="1" applyAlignment="1">
      <alignment horizontal="center" vertical="center"/>
    </xf>
    <xf numFmtId="0" fontId="65" fillId="4" borderId="60" xfId="0" applyFont="1" applyFill="1" applyBorder="1" applyAlignment="1">
      <alignment horizontal="center" vertical="center"/>
    </xf>
    <xf numFmtId="0" fontId="65" fillId="4" borderId="61" xfId="0" applyFont="1" applyFill="1" applyBorder="1" applyAlignment="1">
      <alignment horizontal="center" vertical="center"/>
    </xf>
    <xf numFmtId="0" fontId="17" fillId="0" borderId="58" xfId="0" applyFont="1" applyBorder="1" applyAlignment="1">
      <alignment horizontal="left" vertical="center" wrapText="1" indent="1" readingOrder="1"/>
    </xf>
    <xf numFmtId="0" fontId="17" fillId="0" borderId="59" xfId="0" applyFont="1" applyBorder="1" applyAlignment="1">
      <alignment vertical="center" wrapText="1" readingOrder="1"/>
    </xf>
    <xf numFmtId="167" fontId="17" fillId="0" borderId="59" xfId="6" applyNumberFormat="1" applyFont="1" applyBorder="1" applyAlignment="1">
      <alignment vertical="center"/>
    </xf>
    <xf numFmtId="167" fontId="63" fillId="0" borderId="59" xfId="6" applyNumberFormat="1" applyFont="1" applyBorder="1" applyAlignment="1">
      <alignment vertical="center"/>
    </xf>
    <xf numFmtId="167" fontId="66" fillId="0" borderId="60" xfId="6" applyNumberFormat="1" applyFont="1" applyBorder="1" applyAlignment="1">
      <alignment vertical="center"/>
    </xf>
    <xf numFmtId="9" fontId="66" fillId="0" borderId="61" xfId="7" applyFont="1" applyBorder="1" applyAlignment="1">
      <alignment vertical="center"/>
    </xf>
    <xf numFmtId="167" fontId="16" fillId="4" borderId="62" xfId="0" applyNumberFormat="1" applyFont="1" applyFill="1" applyBorder="1">
      <alignment vertical="center"/>
    </xf>
    <xf numFmtId="167" fontId="16" fillId="4" borderId="63" xfId="0" applyNumberFormat="1" applyFont="1" applyFill="1" applyBorder="1">
      <alignment vertical="center"/>
    </xf>
    <xf numFmtId="167" fontId="16" fillId="4" borderId="63" xfId="6" applyNumberFormat="1" applyFont="1" applyFill="1" applyBorder="1" applyAlignment="1">
      <alignment vertical="center"/>
    </xf>
    <xf numFmtId="167" fontId="64" fillId="4" borderId="63" xfId="6" applyNumberFormat="1" applyFont="1" applyFill="1" applyBorder="1" applyAlignment="1">
      <alignment vertical="center"/>
    </xf>
    <xf numFmtId="167" fontId="65" fillId="4" borderId="64" xfId="6" applyNumberFormat="1" applyFont="1" applyFill="1" applyBorder="1" applyAlignment="1">
      <alignment vertical="center"/>
    </xf>
    <xf numFmtId="9" fontId="65" fillId="4" borderId="65" xfId="7" applyFont="1" applyFill="1" applyBorder="1" applyAlignment="1">
      <alignment vertical="center"/>
    </xf>
    <xf numFmtId="167" fontId="63" fillId="0" borderId="0" xfId="0" applyNumberFormat="1" applyFont="1">
      <alignment vertical="center"/>
    </xf>
    <xf numFmtId="0" fontId="50" fillId="0" borderId="7" xfId="0" applyFont="1" applyBorder="1" applyAlignment="1">
      <alignment horizontal="center" vertical="center"/>
    </xf>
    <xf numFmtId="166" fontId="0" fillId="0" borderId="0" xfId="0" applyNumberFormat="1" applyFont="1" applyProtection="1">
      <alignment vertical="center"/>
    </xf>
    <xf numFmtId="0" fontId="56" fillId="0" borderId="0" xfId="0" applyNumberFormat="1" applyFont="1" applyProtection="1">
      <alignment vertical="center"/>
    </xf>
    <xf numFmtId="0" fontId="67" fillId="0" borderId="0" xfId="0" applyFont="1">
      <alignment vertical="center"/>
    </xf>
    <xf numFmtId="0" fontId="0" fillId="0" borderId="13" xfId="0" applyBorder="1">
      <alignment vertical="center"/>
    </xf>
    <xf numFmtId="0" fontId="4" fillId="0" borderId="13" xfId="0" applyFont="1" applyBorder="1">
      <alignment vertical="center"/>
    </xf>
    <xf numFmtId="0" fontId="4" fillId="6" borderId="13" xfId="0" applyFont="1" applyFill="1" applyBorder="1" applyAlignment="1">
      <alignment horizontal="center" vertical="center"/>
    </xf>
    <xf numFmtId="0" fontId="0" fillId="0" borderId="12" xfId="0" applyFill="1" applyBorder="1">
      <alignment vertical="center"/>
    </xf>
    <xf numFmtId="0" fontId="50" fillId="0" borderId="14" xfId="0" applyFont="1" applyBorder="1" applyAlignment="1">
      <alignment horizontal="center" vertical="center"/>
    </xf>
    <xf numFmtId="0" fontId="50" fillId="0" borderId="7" xfId="0" applyFont="1" applyBorder="1" applyAlignment="1">
      <alignment horizontal="center" vertical="center"/>
    </xf>
    <xf numFmtId="0" fontId="49" fillId="42" borderId="32" xfId="0" applyFont="1" applyFill="1" applyBorder="1" applyAlignment="1">
      <alignment horizontal="center" vertical="center"/>
    </xf>
    <xf numFmtId="0" fontId="49" fillId="42" borderId="0" xfId="0" applyFont="1" applyFill="1" applyBorder="1" applyAlignment="1">
      <alignment horizontal="center" vertical="center"/>
    </xf>
    <xf numFmtId="165" fontId="3" fillId="2" borderId="5" xfId="0" applyNumberFormat="1" applyFont="1" applyFill="1" applyBorder="1" applyAlignment="1" applyProtection="1">
      <alignment horizontal="center" vertical="center"/>
    </xf>
    <xf numFmtId="165" fontId="3" fillId="2" borderId="7" xfId="0" applyNumberFormat="1" applyFont="1" applyFill="1" applyBorder="1" applyAlignment="1" applyProtection="1">
      <alignment horizontal="center" vertical="center"/>
    </xf>
    <xf numFmtId="0" fontId="3" fillId="2" borderId="5" xfId="0" applyFont="1" applyFill="1" applyBorder="1" applyAlignment="1" applyProtection="1">
      <alignment horizontal="center" vertical="center"/>
    </xf>
    <xf numFmtId="0" fontId="3" fillId="2" borderId="6" xfId="0" applyFont="1" applyFill="1" applyBorder="1" applyAlignment="1" applyProtection="1">
      <alignment horizontal="center" vertical="center"/>
    </xf>
    <xf numFmtId="0" fontId="3" fillId="2" borderId="7" xfId="0" applyFont="1" applyFill="1" applyBorder="1" applyAlignment="1" applyProtection="1">
      <alignment horizontal="center" vertical="center"/>
    </xf>
    <xf numFmtId="16" fontId="16" fillId="4" borderId="5" xfId="0" applyNumberFormat="1" applyFont="1" applyFill="1" applyBorder="1" applyAlignment="1">
      <alignment horizontal="center" vertical="center"/>
    </xf>
    <xf numFmtId="16" fontId="16" fillId="4" borderId="7" xfId="0" applyNumberFormat="1" applyFont="1" applyFill="1" applyBorder="1" applyAlignment="1">
      <alignment horizontal="center" vertical="center"/>
    </xf>
    <xf numFmtId="0" fontId="17" fillId="0" borderId="12" xfId="0" applyFont="1" applyFill="1" applyBorder="1" applyAlignment="1">
      <alignment horizontal="center" vertical="center" wrapText="1" readingOrder="1"/>
    </xf>
    <xf numFmtId="174" fontId="3" fillId="3" borderId="3" xfId="0" quotePrefix="1" applyNumberFormat="1" applyFont="1" applyFill="1" applyBorder="1" applyAlignment="1" applyProtection="1">
      <alignment horizontal="center" vertical="center"/>
    </xf>
    <xf numFmtId="175" fontId="12" fillId="4" borderId="2" xfId="0" applyNumberFormat="1" applyFont="1" applyFill="1" applyBorder="1" applyAlignment="1" applyProtection="1">
      <alignment horizontal="center" vertical="center"/>
      <protection locked="0"/>
    </xf>
    <xf numFmtId="176" fontId="12" fillId="4" borderId="2" xfId="0" applyNumberFormat="1" applyFont="1" applyFill="1" applyBorder="1" applyAlignment="1" applyProtection="1">
      <alignment horizontal="center" vertical="center"/>
      <protection locked="0"/>
    </xf>
    <xf numFmtId="177" fontId="12" fillId="4" borderId="2" xfId="0" applyNumberFormat="1" applyFont="1" applyFill="1" applyBorder="1" applyAlignment="1" applyProtection="1">
      <alignment horizontal="center" vertical="center"/>
      <protection locked="0"/>
    </xf>
  </cellXfs>
  <cellStyles count="53">
    <cellStyle name="20% - Accent1" xfId="23" builtinId="30" customBuiltin="1"/>
    <cellStyle name="20% - Accent2" xfId="27" builtinId="34" customBuiltin="1"/>
    <cellStyle name="20% - Accent3" xfId="31" builtinId="38" customBuiltin="1"/>
    <cellStyle name="20% - Accent4" xfId="35" builtinId="42" customBuiltin="1"/>
    <cellStyle name="20% - Accent5" xfId="39" builtinId="46" customBuiltin="1"/>
    <cellStyle name="20% - Accent6" xfId="43" builtinId="50" customBuiltin="1"/>
    <cellStyle name="40% - Accent1" xfId="24" builtinId="31" customBuiltin="1"/>
    <cellStyle name="40% - Accent2" xfId="28" builtinId="35" customBuiltin="1"/>
    <cellStyle name="40% - Accent3" xfId="32" builtinId="39" customBuiltin="1"/>
    <cellStyle name="40% - Accent4" xfId="36" builtinId="43" customBuiltin="1"/>
    <cellStyle name="40% - Accent5" xfId="40" builtinId="47" customBuiltin="1"/>
    <cellStyle name="40% - Accent6" xfId="44" builtinId="51" customBuiltin="1"/>
    <cellStyle name="60% - Accent1" xfId="25" builtinId="32" customBuiltin="1"/>
    <cellStyle name="60% - Accent2" xfId="29" builtinId="36" customBuiltin="1"/>
    <cellStyle name="60% - Accent3" xfId="33" builtinId="40" customBuiltin="1"/>
    <cellStyle name="60% - Accent4" xfId="37" builtinId="44" customBuiltin="1"/>
    <cellStyle name="60% - Accent5" xfId="41" builtinId="48" customBuiltin="1"/>
    <cellStyle name="60% - Accent6" xfId="45" builtinId="52" customBuiltin="1"/>
    <cellStyle name="Accent1" xfId="22" builtinId="29" customBuiltin="1"/>
    <cellStyle name="Accent2" xfId="26" builtinId="33" customBuiltin="1"/>
    <cellStyle name="Accent3" xfId="30" builtinId="37" customBuiltin="1"/>
    <cellStyle name="Accent4" xfId="34" builtinId="41" customBuiltin="1"/>
    <cellStyle name="Accent5" xfId="38" builtinId="45" customBuiltin="1"/>
    <cellStyle name="Accent6" xfId="42" builtinId="49" customBuiltin="1"/>
    <cellStyle name="Bad" xfId="12" builtinId="27" customBuiltin="1"/>
    <cellStyle name="Calculation" xfId="16" builtinId="22" customBuiltin="1"/>
    <cellStyle name="Check Cell" xfId="18" builtinId="23" customBuiltin="1"/>
    <cellStyle name="Comma" xfId="6" builtinId="3"/>
    <cellStyle name="Explanatory Text" xfId="20" builtinId="53" customBuiltin="1"/>
    <cellStyle name="Good" xfId="11" builtinId="26" customBuiltin="1"/>
    <cellStyle name="Heading 1" xfId="2" builtinId="16" customBuiltin="1"/>
    <cellStyle name="Heading 1 2" xfId="48" xr:uid="{00000000-0005-0000-0000-00001F000000}"/>
    <cellStyle name="Heading 2" xfId="3" builtinId="17" customBuiltin="1"/>
    <cellStyle name="Heading 2 2" xfId="49" xr:uid="{00000000-0005-0000-0000-000021000000}"/>
    <cellStyle name="Heading 3" xfId="4" builtinId="18" customBuiltin="1"/>
    <cellStyle name="Heading 3 2" xfId="50" xr:uid="{00000000-0005-0000-0000-000023000000}"/>
    <cellStyle name="Heading 4" xfId="10" builtinId="19" customBuiltin="1"/>
    <cellStyle name="Input" xfId="14" builtinId="20" customBuiltin="1"/>
    <cellStyle name="Linked Cell" xfId="17" builtinId="24" customBuiltin="1"/>
    <cellStyle name="Neutral" xfId="13" builtinId="28" customBuiltin="1"/>
    <cellStyle name="Normal" xfId="0" builtinId="0" customBuiltin="1"/>
    <cellStyle name="Normal 169" xfId="52" xr:uid="{00000000-0005-0000-0000-000029000000}"/>
    <cellStyle name="Normal 2" xfId="5" xr:uid="{00000000-0005-0000-0000-00002A000000}"/>
    <cellStyle name="Normal 3" xfId="8" xr:uid="{00000000-0005-0000-0000-00002B000000}"/>
    <cellStyle name="Normal 4" xfId="46" xr:uid="{00000000-0005-0000-0000-00002C000000}"/>
    <cellStyle name="Normal 8" xfId="9" xr:uid="{00000000-0005-0000-0000-00002D000000}"/>
    <cellStyle name="Note 2" xfId="51" xr:uid="{00000000-0005-0000-0000-00002E000000}"/>
    <cellStyle name="Output" xfId="15" builtinId="21" customBuiltin="1"/>
    <cellStyle name="Percent" xfId="7" builtinId="5"/>
    <cellStyle name="Title" xfId="1" builtinId="15" customBuiltin="1"/>
    <cellStyle name="Title 2" xfId="47" xr:uid="{00000000-0005-0000-0000-000032000000}"/>
    <cellStyle name="Total" xfId="21" builtinId="25" customBuiltin="1"/>
    <cellStyle name="Warning Text" xfId="19" builtinId="11" customBuiltin="1"/>
  </cellStyles>
  <dxfs count="39">
    <dxf>
      <fill>
        <patternFill>
          <bgColor theme="0" tint="-0.14996795556505021"/>
        </patternFill>
      </fill>
    </dxf>
    <dxf>
      <font>
        <b/>
        <i val="0"/>
        <color theme="0" tint="-4.9989318521683403E-2"/>
      </font>
      <fill>
        <patternFill>
          <bgColor rgb="FF002060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 tint="-4.9989318521683403E-2"/>
      </font>
      <fill>
        <patternFill>
          <bgColor rgb="FF00206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FF0000"/>
      </font>
      <fill>
        <patternFill patternType="solid"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FF0000"/>
      </font>
      <fill>
        <patternFill patternType="solid">
          <bgColor rgb="FFFFFF00"/>
        </patternFill>
      </fill>
    </dxf>
    <dxf>
      <font>
        <color rgb="FFFF0000"/>
      </font>
      <fill>
        <patternFill patternType="solid">
          <bgColor rgb="FFFFFF00"/>
        </patternFill>
      </fill>
    </dxf>
    <dxf>
      <fill>
        <patternFill>
          <bgColor theme="2" tint="-9.9948118533890809E-2"/>
        </patternFill>
      </fill>
    </dxf>
    <dxf>
      <border>
        <right style="thick">
          <color theme="0"/>
        </right>
      </border>
    </dxf>
    <dxf>
      <font>
        <color theme="2" tint="-0.749961851863155"/>
      </font>
      <fill>
        <patternFill>
          <bgColor theme="2" tint="-9.9948118533890809E-2"/>
        </patternFill>
      </fill>
    </dxf>
  </dxfs>
  <tableStyles count="1" defaultTableStyle="TableStyleMedium2" defaultPivotStyle="PivotStyleLight16">
    <tableStyle name="Infant Schedule and Weight" pivot="0" count="3" xr9:uid="{00000000-0011-0000-FFFF-FFFF00000000}">
      <tableStyleElement type="headerRow" dxfId="38"/>
      <tableStyleElement type="firstColumn" dxfId="37"/>
      <tableStyleElement type="secondRowStripe" dxfId="36"/>
    </tableStyle>
  </tableStyles>
  <colors>
    <mruColors>
      <color rgb="FF391854"/>
      <color rgb="FF210E30"/>
      <color rgb="FFFFFFCC"/>
      <color rgb="FF66FFFF"/>
      <color rgb="FFE78B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6515100" cy="323850"/>
    <xdr:grpSp>
      <xdr:nvGrpSpPr>
        <xdr:cNvPr id="2" name="Group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>
        <a:xfrm>
          <a:off x="609600" y="0"/>
          <a:ext cx="6515100" cy="323850"/>
          <a:chOff x="0" y="0"/>
          <a:chExt cx="684" cy="34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0" y="0"/>
            <a:ext cx="357" cy="17"/>
          </a:xfrm>
          <a:prstGeom prst="rect">
            <a:avLst/>
          </a:prstGeom>
          <a:noFill/>
          <a:ln w="9525" cmpd="sng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="horz" wrap="square" lIns="9144" tIns="9144" rIns="9144" bIns="9144" anchor="ctr" anchorCtr="0"/>
          <a:lstStyle/>
          <a:p>
            <a:pPr>
              <a:defRPr/>
            </a:pPr>
            <a:r>
              <a:rPr lang="en-US" sz="900" b="1" i="0" u="none" baseline="0">
                <a:solidFill>
                  <a:srgbClr val="000000"/>
                </a:solidFill>
                <a:latin typeface="Segoe UI"/>
                <a:ea typeface="Segoe UI"/>
                <a:cs typeface="Segoe UI"/>
              </a:rPr>
              <a:t>CÔNG TY TNHH SẢN XUẤT LỐP XE BRIDGESTONE VIỆT NAM</a:t>
            </a:r>
          </a:p>
        </xdr:txBody>
      </xdr:sp>
      <xdr:sp macro="" textlink="">
        <xdr:nvSpPr>
          <xdr:cNvPr id="4" name="TextBox 2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0" y="17"/>
            <a:ext cx="684" cy="17"/>
          </a:xfrm>
          <a:prstGeom prst="rect">
            <a:avLst/>
          </a:prstGeom>
          <a:noFill/>
          <a:ln w="9525" cmpd="sng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="horz" wrap="square" lIns="9144" tIns="9144" rIns="9144" bIns="9144" anchor="ctr" anchorCtr="0"/>
          <a:lstStyle/>
          <a:p>
            <a:pPr>
              <a:defRPr/>
            </a:pPr>
            <a:r>
              <a:rPr lang="en-US" sz="900" b="1" i="0" u="none" baseline="0">
                <a:solidFill>
                  <a:srgbClr val="000000"/>
                </a:solidFill>
                <a:latin typeface="Segoe UI"/>
                <a:ea typeface="Segoe UI"/>
                <a:cs typeface="Segoe UI"/>
              </a:rPr>
              <a:t>Khu đất CN3.6 - CN4.1, Khu công nghiệp Đình Vũ, Phường Đông Hải 2, Quận Hải An, thành phố Hải Phòng, Việt Nam</a:t>
            </a:r>
          </a:p>
        </xdr:txBody>
      </xdr:sp>
    </xdr:grpSp>
    <xdr:clientData/>
  </xdr:oneCellAnchor>
  <xdr:oneCellAnchor>
    <xdr:from>
      <xdr:col>1</xdr:col>
      <xdr:colOff>0</xdr:colOff>
      <xdr:row>2</xdr:row>
      <xdr:rowOff>0</xdr:rowOff>
    </xdr:from>
    <xdr:ext cx="17640300" cy="209550"/>
    <xdr:grpSp>
      <xdr:nvGrpSpPr>
        <xdr:cNvPr id="5" name="Group 5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>
          <a:grpSpLocks/>
        </xdr:cNvGrpSpPr>
      </xdr:nvGrpSpPr>
      <xdr:grpSpPr>
        <a:xfrm>
          <a:off x="609600" y="323850"/>
          <a:ext cx="17640300" cy="209550"/>
          <a:chOff x="0" y="34"/>
          <a:chExt cx="1852" cy="22"/>
        </a:xfrm>
      </xdr:grpSpPr>
      <xdr:sp macro="" textlink="">
        <xdr:nvSpPr>
          <xdr:cNvPr id="6" name="TextBox 4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 txBox="1"/>
        </xdr:nvSpPr>
        <xdr:spPr>
          <a:xfrm>
            <a:off x="0" y="34"/>
            <a:ext cx="1852" cy="22"/>
          </a:xfrm>
          <a:prstGeom prst="rect">
            <a:avLst/>
          </a:prstGeom>
          <a:noFill/>
          <a:ln w="9525" cmpd="sng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="horz" wrap="square" lIns="9144" tIns="9144" rIns="9144" bIns="9144" anchor="ctr" anchorCtr="0"/>
          <a:lstStyle/>
          <a:p>
            <a:pPr>
              <a:defRPr/>
            </a:pPr>
            <a:r>
              <a:rPr lang="en-US" sz="900" b="1" i="0" u="none" baseline="0">
                <a:solidFill>
                  <a:srgbClr val="000000"/>
                </a:solidFill>
                <a:latin typeface="Segoe UI"/>
                <a:ea typeface="Segoe UI"/>
                <a:cs typeface="Segoe UI"/>
              </a:rPr>
              <a:t>DANH MỤC ĐỐI TƯỢNG</a:t>
            </a:r>
          </a:p>
        </xdr:txBody>
      </xdr:sp>
    </xdr:grpSp>
    <xdr:clientData/>
  </xdr:oneCellAnchor>
</xdr:wsDr>
</file>

<file path=xl/theme/theme1.xml><?xml version="1.0" encoding="utf-8"?>
<a:theme xmlns:a="http://schemas.openxmlformats.org/drawingml/2006/main" name="Office Theme">
  <a:themeElements>
    <a:clrScheme name="Infant Schedule">
      <a:dk1>
        <a:sysClr val="windowText" lastClr="000000"/>
      </a:dk1>
      <a:lt1>
        <a:sysClr val="window" lastClr="FFFFFF"/>
      </a:lt1>
      <a:dk2>
        <a:srgbClr val="5A5242"/>
      </a:dk2>
      <a:lt2>
        <a:srgbClr val="F8F7F5"/>
      </a:lt2>
      <a:accent1>
        <a:srgbClr val="FF6633"/>
      </a:accent1>
      <a:accent2>
        <a:srgbClr val="52BFC5"/>
      </a:accent2>
      <a:accent3>
        <a:srgbClr val="9C7EAC"/>
      </a:accent3>
      <a:accent4>
        <a:srgbClr val="ADBB41"/>
      </a:accent4>
      <a:accent5>
        <a:srgbClr val="FF9933"/>
      </a:accent5>
      <a:accent6>
        <a:srgbClr val="FA9AAD"/>
      </a:accent6>
      <a:hlink>
        <a:srgbClr val="5CBFC5"/>
      </a:hlink>
      <a:folHlink>
        <a:srgbClr val="9C7EAC"/>
      </a:folHlink>
    </a:clrScheme>
    <a:fontScheme name="Infant Feeding">
      <a:majorFont>
        <a:latin typeface="Century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0.bin"/><Relationship Id="rId3" Type="http://schemas.openxmlformats.org/officeDocument/2006/relationships/printerSettings" Target="../printerSettings/printerSettings5.bin"/><Relationship Id="rId7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printerSettings" Target="../printerSettings/printerSettings8.bin"/><Relationship Id="rId5" Type="http://schemas.openxmlformats.org/officeDocument/2006/relationships/printerSettings" Target="../printerSettings/printerSettings7.bin"/><Relationship Id="rId4" Type="http://schemas.openxmlformats.org/officeDocument/2006/relationships/printerSettings" Target="../printerSettings/printerSettings6.bin"/><Relationship Id="rId9" Type="http://schemas.openxmlformats.org/officeDocument/2006/relationships/printerSettings" Target="../printerSettings/printerSettings1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9.bin"/><Relationship Id="rId13" Type="http://schemas.openxmlformats.org/officeDocument/2006/relationships/printerSettings" Target="../printerSettings/printerSettings24.bin"/><Relationship Id="rId18" Type="http://schemas.openxmlformats.org/officeDocument/2006/relationships/printerSettings" Target="../printerSettings/printerSettings29.bin"/><Relationship Id="rId3" Type="http://schemas.openxmlformats.org/officeDocument/2006/relationships/printerSettings" Target="../printerSettings/printerSettings14.bin"/><Relationship Id="rId21" Type="http://schemas.openxmlformats.org/officeDocument/2006/relationships/printerSettings" Target="../printerSettings/printerSettings32.bin"/><Relationship Id="rId7" Type="http://schemas.openxmlformats.org/officeDocument/2006/relationships/printerSettings" Target="../printerSettings/printerSettings18.bin"/><Relationship Id="rId12" Type="http://schemas.openxmlformats.org/officeDocument/2006/relationships/printerSettings" Target="../printerSettings/printerSettings23.bin"/><Relationship Id="rId17" Type="http://schemas.openxmlformats.org/officeDocument/2006/relationships/printerSettings" Target="../printerSettings/printerSettings28.bin"/><Relationship Id="rId25" Type="http://schemas.openxmlformats.org/officeDocument/2006/relationships/comments" Target="../comments1.xml"/><Relationship Id="rId2" Type="http://schemas.openxmlformats.org/officeDocument/2006/relationships/printerSettings" Target="../printerSettings/printerSettings13.bin"/><Relationship Id="rId16" Type="http://schemas.openxmlformats.org/officeDocument/2006/relationships/printerSettings" Target="../printerSettings/printerSettings27.bin"/><Relationship Id="rId20" Type="http://schemas.openxmlformats.org/officeDocument/2006/relationships/printerSettings" Target="../printerSettings/printerSettings31.bin"/><Relationship Id="rId1" Type="http://schemas.openxmlformats.org/officeDocument/2006/relationships/printerSettings" Target="../printerSettings/printerSettings12.bin"/><Relationship Id="rId6" Type="http://schemas.openxmlformats.org/officeDocument/2006/relationships/printerSettings" Target="../printerSettings/printerSettings17.bin"/><Relationship Id="rId11" Type="http://schemas.openxmlformats.org/officeDocument/2006/relationships/printerSettings" Target="../printerSettings/printerSettings22.bin"/><Relationship Id="rId24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6.bin"/><Relationship Id="rId15" Type="http://schemas.openxmlformats.org/officeDocument/2006/relationships/printerSettings" Target="../printerSettings/printerSettings26.bin"/><Relationship Id="rId23" Type="http://schemas.openxmlformats.org/officeDocument/2006/relationships/printerSettings" Target="../printerSettings/printerSettings34.bin"/><Relationship Id="rId10" Type="http://schemas.openxmlformats.org/officeDocument/2006/relationships/printerSettings" Target="../printerSettings/printerSettings21.bin"/><Relationship Id="rId19" Type="http://schemas.openxmlformats.org/officeDocument/2006/relationships/printerSettings" Target="../printerSettings/printerSettings30.bin"/><Relationship Id="rId4" Type="http://schemas.openxmlformats.org/officeDocument/2006/relationships/printerSettings" Target="../printerSettings/printerSettings15.bin"/><Relationship Id="rId9" Type="http://schemas.openxmlformats.org/officeDocument/2006/relationships/printerSettings" Target="../printerSettings/printerSettings20.bin"/><Relationship Id="rId14" Type="http://schemas.openxmlformats.org/officeDocument/2006/relationships/printerSettings" Target="../printerSettings/printerSettings25.bin"/><Relationship Id="rId22" Type="http://schemas.openxmlformats.org/officeDocument/2006/relationships/printerSettings" Target="../printerSettings/printerSettings3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3.bin"/><Relationship Id="rId13" Type="http://schemas.openxmlformats.org/officeDocument/2006/relationships/printerSettings" Target="../printerSettings/printerSettings48.bin"/><Relationship Id="rId18" Type="http://schemas.openxmlformats.org/officeDocument/2006/relationships/printerSettings" Target="../printerSettings/printerSettings53.bin"/><Relationship Id="rId3" Type="http://schemas.openxmlformats.org/officeDocument/2006/relationships/printerSettings" Target="../printerSettings/printerSettings38.bin"/><Relationship Id="rId21" Type="http://schemas.openxmlformats.org/officeDocument/2006/relationships/printerSettings" Target="../printerSettings/printerSettings56.bin"/><Relationship Id="rId7" Type="http://schemas.openxmlformats.org/officeDocument/2006/relationships/printerSettings" Target="../printerSettings/printerSettings42.bin"/><Relationship Id="rId12" Type="http://schemas.openxmlformats.org/officeDocument/2006/relationships/printerSettings" Target="../printerSettings/printerSettings47.bin"/><Relationship Id="rId17" Type="http://schemas.openxmlformats.org/officeDocument/2006/relationships/printerSettings" Target="../printerSettings/printerSettings52.bin"/><Relationship Id="rId2" Type="http://schemas.openxmlformats.org/officeDocument/2006/relationships/printerSettings" Target="../printerSettings/printerSettings37.bin"/><Relationship Id="rId16" Type="http://schemas.openxmlformats.org/officeDocument/2006/relationships/printerSettings" Target="../printerSettings/printerSettings51.bin"/><Relationship Id="rId20" Type="http://schemas.openxmlformats.org/officeDocument/2006/relationships/printerSettings" Target="../printerSettings/printerSettings55.bin"/><Relationship Id="rId1" Type="http://schemas.openxmlformats.org/officeDocument/2006/relationships/printerSettings" Target="../printerSettings/printerSettings36.bin"/><Relationship Id="rId6" Type="http://schemas.openxmlformats.org/officeDocument/2006/relationships/printerSettings" Target="../printerSettings/printerSettings41.bin"/><Relationship Id="rId11" Type="http://schemas.openxmlformats.org/officeDocument/2006/relationships/printerSettings" Target="../printerSettings/printerSettings46.bin"/><Relationship Id="rId5" Type="http://schemas.openxmlformats.org/officeDocument/2006/relationships/printerSettings" Target="../printerSettings/printerSettings40.bin"/><Relationship Id="rId15" Type="http://schemas.openxmlformats.org/officeDocument/2006/relationships/printerSettings" Target="../printerSettings/printerSettings50.bin"/><Relationship Id="rId23" Type="http://schemas.openxmlformats.org/officeDocument/2006/relationships/printerSettings" Target="../printerSettings/printerSettings58.bin"/><Relationship Id="rId10" Type="http://schemas.openxmlformats.org/officeDocument/2006/relationships/printerSettings" Target="../printerSettings/printerSettings45.bin"/><Relationship Id="rId19" Type="http://schemas.openxmlformats.org/officeDocument/2006/relationships/printerSettings" Target="../printerSettings/printerSettings54.bin"/><Relationship Id="rId4" Type="http://schemas.openxmlformats.org/officeDocument/2006/relationships/printerSettings" Target="../printerSettings/printerSettings39.bin"/><Relationship Id="rId9" Type="http://schemas.openxmlformats.org/officeDocument/2006/relationships/printerSettings" Target="../printerSettings/printerSettings44.bin"/><Relationship Id="rId14" Type="http://schemas.openxmlformats.org/officeDocument/2006/relationships/printerSettings" Target="../printerSettings/printerSettings49.bin"/><Relationship Id="rId22" Type="http://schemas.openxmlformats.org/officeDocument/2006/relationships/printerSettings" Target="../printerSettings/printerSettings57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6.bin"/><Relationship Id="rId13" Type="http://schemas.openxmlformats.org/officeDocument/2006/relationships/printerSettings" Target="../printerSettings/printerSettings71.bin"/><Relationship Id="rId18" Type="http://schemas.openxmlformats.org/officeDocument/2006/relationships/printerSettings" Target="../printerSettings/printerSettings76.bin"/><Relationship Id="rId3" Type="http://schemas.openxmlformats.org/officeDocument/2006/relationships/printerSettings" Target="../printerSettings/printerSettings61.bin"/><Relationship Id="rId21" Type="http://schemas.openxmlformats.org/officeDocument/2006/relationships/printerSettings" Target="../printerSettings/printerSettings79.bin"/><Relationship Id="rId7" Type="http://schemas.openxmlformats.org/officeDocument/2006/relationships/printerSettings" Target="../printerSettings/printerSettings65.bin"/><Relationship Id="rId12" Type="http://schemas.openxmlformats.org/officeDocument/2006/relationships/printerSettings" Target="../printerSettings/printerSettings70.bin"/><Relationship Id="rId17" Type="http://schemas.openxmlformats.org/officeDocument/2006/relationships/printerSettings" Target="../printerSettings/printerSettings75.bin"/><Relationship Id="rId2" Type="http://schemas.openxmlformats.org/officeDocument/2006/relationships/printerSettings" Target="../printerSettings/printerSettings60.bin"/><Relationship Id="rId16" Type="http://schemas.openxmlformats.org/officeDocument/2006/relationships/printerSettings" Target="../printerSettings/printerSettings74.bin"/><Relationship Id="rId20" Type="http://schemas.openxmlformats.org/officeDocument/2006/relationships/printerSettings" Target="../printerSettings/printerSettings78.bin"/><Relationship Id="rId1" Type="http://schemas.openxmlformats.org/officeDocument/2006/relationships/printerSettings" Target="../printerSettings/printerSettings59.bin"/><Relationship Id="rId6" Type="http://schemas.openxmlformats.org/officeDocument/2006/relationships/printerSettings" Target="../printerSettings/printerSettings64.bin"/><Relationship Id="rId11" Type="http://schemas.openxmlformats.org/officeDocument/2006/relationships/printerSettings" Target="../printerSettings/printerSettings69.bin"/><Relationship Id="rId5" Type="http://schemas.openxmlformats.org/officeDocument/2006/relationships/printerSettings" Target="../printerSettings/printerSettings63.bin"/><Relationship Id="rId15" Type="http://schemas.openxmlformats.org/officeDocument/2006/relationships/printerSettings" Target="../printerSettings/printerSettings73.bin"/><Relationship Id="rId23" Type="http://schemas.openxmlformats.org/officeDocument/2006/relationships/printerSettings" Target="../printerSettings/printerSettings81.bin"/><Relationship Id="rId10" Type="http://schemas.openxmlformats.org/officeDocument/2006/relationships/printerSettings" Target="../printerSettings/printerSettings68.bin"/><Relationship Id="rId19" Type="http://schemas.openxmlformats.org/officeDocument/2006/relationships/printerSettings" Target="../printerSettings/printerSettings77.bin"/><Relationship Id="rId4" Type="http://schemas.openxmlformats.org/officeDocument/2006/relationships/printerSettings" Target="../printerSettings/printerSettings62.bin"/><Relationship Id="rId9" Type="http://schemas.openxmlformats.org/officeDocument/2006/relationships/printerSettings" Target="../printerSettings/printerSettings67.bin"/><Relationship Id="rId14" Type="http://schemas.openxmlformats.org/officeDocument/2006/relationships/printerSettings" Target="../printerSettings/printerSettings72.bin"/><Relationship Id="rId22" Type="http://schemas.openxmlformats.org/officeDocument/2006/relationships/printerSettings" Target="../printerSettings/printerSettings80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9.bin"/><Relationship Id="rId13" Type="http://schemas.openxmlformats.org/officeDocument/2006/relationships/printerSettings" Target="../printerSettings/printerSettings94.bin"/><Relationship Id="rId18" Type="http://schemas.openxmlformats.org/officeDocument/2006/relationships/printerSettings" Target="../printerSettings/printerSettings99.bin"/><Relationship Id="rId3" Type="http://schemas.openxmlformats.org/officeDocument/2006/relationships/printerSettings" Target="../printerSettings/printerSettings84.bin"/><Relationship Id="rId21" Type="http://schemas.openxmlformats.org/officeDocument/2006/relationships/printerSettings" Target="../printerSettings/printerSettings102.bin"/><Relationship Id="rId7" Type="http://schemas.openxmlformats.org/officeDocument/2006/relationships/printerSettings" Target="../printerSettings/printerSettings88.bin"/><Relationship Id="rId12" Type="http://schemas.openxmlformats.org/officeDocument/2006/relationships/printerSettings" Target="../printerSettings/printerSettings93.bin"/><Relationship Id="rId17" Type="http://schemas.openxmlformats.org/officeDocument/2006/relationships/printerSettings" Target="../printerSettings/printerSettings98.bin"/><Relationship Id="rId2" Type="http://schemas.openxmlformats.org/officeDocument/2006/relationships/printerSettings" Target="../printerSettings/printerSettings83.bin"/><Relationship Id="rId16" Type="http://schemas.openxmlformats.org/officeDocument/2006/relationships/printerSettings" Target="../printerSettings/printerSettings97.bin"/><Relationship Id="rId20" Type="http://schemas.openxmlformats.org/officeDocument/2006/relationships/printerSettings" Target="../printerSettings/printerSettings101.bin"/><Relationship Id="rId1" Type="http://schemas.openxmlformats.org/officeDocument/2006/relationships/printerSettings" Target="../printerSettings/printerSettings82.bin"/><Relationship Id="rId6" Type="http://schemas.openxmlformats.org/officeDocument/2006/relationships/printerSettings" Target="../printerSettings/printerSettings87.bin"/><Relationship Id="rId11" Type="http://schemas.openxmlformats.org/officeDocument/2006/relationships/printerSettings" Target="../printerSettings/printerSettings92.bin"/><Relationship Id="rId5" Type="http://schemas.openxmlformats.org/officeDocument/2006/relationships/printerSettings" Target="../printerSettings/printerSettings86.bin"/><Relationship Id="rId15" Type="http://schemas.openxmlformats.org/officeDocument/2006/relationships/printerSettings" Target="../printerSettings/printerSettings96.bin"/><Relationship Id="rId23" Type="http://schemas.openxmlformats.org/officeDocument/2006/relationships/printerSettings" Target="../printerSettings/printerSettings104.bin"/><Relationship Id="rId10" Type="http://schemas.openxmlformats.org/officeDocument/2006/relationships/printerSettings" Target="../printerSettings/printerSettings91.bin"/><Relationship Id="rId19" Type="http://schemas.openxmlformats.org/officeDocument/2006/relationships/printerSettings" Target="../printerSettings/printerSettings100.bin"/><Relationship Id="rId4" Type="http://schemas.openxmlformats.org/officeDocument/2006/relationships/printerSettings" Target="../printerSettings/printerSettings85.bin"/><Relationship Id="rId9" Type="http://schemas.openxmlformats.org/officeDocument/2006/relationships/printerSettings" Target="../printerSettings/printerSettings90.bin"/><Relationship Id="rId14" Type="http://schemas.openxmlformats.org/officeDocument/2006/relationships/printerSettings" Target="../printerSettings/printerSettings95.bin"/><Relationship Id="rId22" Type="http://schemas.openxmlformats.org/officeDocument/2006/relationships/printerSettings" Target="../printerSettings/printerSettings103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12.bin"/><Relationship Id="rId13" Type="http://schemas.openxmlformats.org/officeDocument/2006/relationships/printerSettings" Target="../printerSettings/printerSettings117.bin"/><Relationship Id="rId18" Type="http://schemas.openxmlformats.org/officeDocument/2006/relationships/printerSettings" Target="../printerSettings/printerSettings122.bin"/><Relationship Id="rId3" Type="http://schemas.openxmlformats.org/officeDocument/2006/relationships/printerSettings" Target="../printerSettings/printerSettings107.bin"/><Relationship Id="rId21" Type="http://schemas.openxmlformats.org/officeDocument/2006/relationships/printerSettings" Target="../printerSettings/printerSettings125.bin"/><Relationship Id="rId7" Type="http://schemas.openxmlformats.org/officeDocument/2006/relationships/printerSettings" Target="../printerSettings/printerSettings111.bin"/><Relationship Id="rId12" Type="http://schemas.openxmlformats.org/officeDocument/2006/relationships/printerSettings" Target="../printerSettings/printerSettings116.bin"/><Relationship Id="rId17" Type="http://schemas.openxmlformats.org/officeDocument/2006/relationships/printerSettings" Target="../printerSettings/printerSettings121.bin"/><Relationship Id="rId2" Type="http://schemas.openxmlformats.org/officeDocument/2006/relationships/printerSettings" Target="../printerSettings/printerSettings106.bin"/><Relationship Id="rId16" Type="http://schemas.openxmlformats.org/officeDocument/2006/relationships/printerSettings" Target="../printerSettings/printerSettings120.bin"/><Relationship Id="rId20" Type="http://schemas.openxmlformats.org/officeDocument/2006/relationships/printerSettings" Target="../printerSettings/printerSettings124.bin"/><Relationship Id="rId1" Type="http://schemas.openxmlformats.org/officeDocument/2006/relationships/printerSettings" Target="../printerSettings/printerSettings105.bin"/><Relationship Id="rId6" Type="http://schemas.openxmlformats.org/officeDocument/2006/relationships/printerSettings" Target="../printerSettings/printerSettings110.bin"/><Relationship Id="rId11" Type="http://schemas.openxmlformats.org/officeDocument/2006/relationships/printerSettings" Target="../printerSettings/printerSettings115.bin"/><Relationship Id="rId5" Type="http://schemas.openxmlformats.org/officeDocument/2006/relationships/printerSettings" Target="../printerSettings/printerSettings109.bin"/><Relationship Id="rId15" Type="http://schemas.openxmlformats.org/officeDocument/2006/relationships/printerSettings" Target="../printerSettings/printerSettings119.bin"/><Relationship Id="rId23" Type="http://schemas.openxmlformats.org/officeDocument/2006/relationships/printerSettings" Target="../printerSettings/printerSettings127.bin"/><Relationship Id="rId10" Type="http://schemas.openxmlformats.org/officeDocument/2006/relationships/printerSettings" Target="../printerSettings/printerSettings114.bin"/><Relationship Id="rId19" Type="http://schemas.openxmlformats.org/officeDocument/2006/relationships/printerSettings" Target="../printerSettings/printerSettings123.bin"/><Relationship Id="rId4" Type="http://schemas.openxmlformats.org/officeDocument/2006/relationships/printerSettings" Target="../printerSettings/printerSettings108.bin"/><Relationship Id="rId9" Type="http://schemas.openxmlformats.org/officeDocument/2006/relationships/printerSettings" Target="../printerSettings/printerSettings113.bin"/><Relationship Id="rId14" Type="http://schemas.openxmlformats.org/officeDocument/2006/relationships/printerSettings" Target="../printerSettings/printerSettings118.bin"/><Relationship Id="rId22" Type="http://schemas.openxmlformats.org/officeDocument/2006/relationships/printerSettings" Target="../printerSettings/printerSettings1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outlinePr summaryBelow="0"/>
  </sheetPr>
  <dimension ref="A1:P2120"/>
  <sheetViews>
    <sheetView showGridLines="0" workbookViewId="0"/>
  </sheetViews>
  <sheetFormatPr defaultColWidth="10.6640625" defaultRowHeight="12.75"/>
  <cols>
    <col min="1" max="1" width="10.6640625" style="139"/>
    <col min="2" max="2" width="41.6640625" style="187" customWidth="1"/>
    <col min="3" max="3" width="19.33203125" style="187" customWidth="1"/>
    <col min="4" max="4" width="13.33203125" style="187" customWidth="1"/>
    <col min="5" max="5" width="16.6640625" style="187" customWidth="1"/>
    <col min="6" max="6" width="57.6640625" style="187" customWidth="1"/>
    <col min="7" max="12" width="18.33203125" style="187" customWidth="1"/>
    <col min="13" max="13" width="11" style="187" customWidth="1"/>
    <col min="14" max="16" width="18.33203125" style="187" customWidth="1"/>
    <col min="17" max="16384" width="10.6640625" style="139"/>
  </cols>
  <sheetData>
    <row r="1" spans="1:16" s="187" customFormat="1" ht="12.75" customHeight="1"/>
    <row r="2" spans="1:16" s="187" customFormat="1" ht="12.75" customHeight="1"/>
    <row r="3" spans="1:16" s="187" customFormat="1" ht="16.5" customHeight="1"/>
    <row r="4" spans="1:16" s="187" customFormat="1" ht="16.5" customHeight="1">
      <c r="B4" s="205" t="s">
        <v>13</v>
      </c>
      <c r="C4" s="205" t="s">
        <v>14</v>
      </c>
      <c r="D4" s="205" t="s">
        <v>12</v>
      </c>
      <c r="E4" s="205" t="s">
        <v>15</v>
      </c>
      <c r="F4" s="205" t="s">
        <v>16</v>
      </c>
      <c r="G4" s="205" t="s">
        <v>17</v>
      </c>
      <c r="H4" s="205" t="s">
        <v>18</v>
      </c>
      <c r="I4" s="205" t="s">
        <v>19</v>
      </c>
      <c r="J4" s="205" t="s">
        <v>20</v>
      </c>
      <c r="K4" s="205" t="s">
        <v>21</v>
      </c>
      <c r="L4" s="205" t="s">
        <v>22</v>
      </c>
      <c r="M4" s="205" t="s">
        <v>23</v>
      </c>
      <c r="N4" s="205" t="s">
        <v>24</v>
      </c>
      <c r="O4" s="205" t="s">
        <v>25</v>
      </c>
      <c r="P4" s="205" t="s">
        <v>26</v>
      </c>
    </row>
    <row r="5" spans="1:16" s="187" customFormat="1" ht="18" customHeight="1">
      <c r="A5" s="187" t="str">
        <f>D5</f>
        <v>V20110B</v>
      </c>
      <c r="B5" s="206" t="s">
        <v>28</v>
      </c>
      <c r="C5" s="206"/>
      <c r="D5" s="206" t="s">
        <v>27</v>
      </c>
      <c r="E5" s="206" t="s">
        <v>29</v>
      </c>
      <c r="F5" s="206" t="s">
        <v>30</v>
      </c>
      <c r="G5" s="206"/>
      <c r="H5" s="206"/>
      <c r="I5" s="206" t="s">
        <v>31</v>
      </c>
      <c r="J5" s="206" t="s">
        <v>32</v>
      </c>
      <c r="K5" s="206" t="s">
        <v>33</v>
      </c>
      <c r="L5" s="206"/>
      <c r="M5" s="207"/>
      <c r="N5" s="206"/>
      <c r="O5" s="206"/>
      <c r="P5" s="206" t="s">
        <v>34</v>
      </c>
    </row>
    <row r="6" spans="1:16" s="187" customFormat="1" ht="18" customHeight="1">
      <c r="A6" s="187" t="str">
        <f t="shared" ref="A6:A69" si="0">D6</f>
        <v>V20110C</v>
      </c>
      <c r="B6" s="208" t="s">
        <v>28</v>
      </c>
      <c r="C6" s="208"/>
      <c r="D6" s="208" t="s">
        <v>4023</v>
      </c>
      <c r="E6" s="208" t="s">
        <v>29</v>
      </c>
      <c r="F6" s="208" t="s">
        <v>4024</v>
      </c>
      <c r="G6" s="208"/>
      <c r="H6" s="208"/>
      <c r="I6" s="208"/>
      <c r="J6" s="208" t="s">
        <v>5137</v>
      </c>
      <c r="K6" s="208" t="s">
        <v>5138</v>
      </c>
      <c r="L6" s="208"/>
      <c r="M6" s="209"/>
      <c r="N6" s="208"/>
      <c r="O6" s="208"/>
      <c r="P6" s="208" t="s">
        <v>34</v>
      </c>
    </row>
    <row r="7" spans="1:16" s="187" customFormat="1" ht="18" customHeight="1">
      <c r="A7" s="187" t="str">
        <f t="shared" si="0"/>
        <v>000201</v>
      </c>
      <c r="B7" s="206" t="s">
        <v>4025</v>
      </c>
      <c r="C7" s="206"/>
      <c r="D7" s="206" t="s">
        <v>4026</v>
      </c>
      <c r="E7" s="206" t="s">
        <v>29</v>
      </c>
      <c r="F7" s="206"/>
      <c r="G7" s="206"/>
      <c r="H7" s="206"/>
      <c r="I7" s="206"/>
      <c r="J7" s="206"/>
      <c r="K7" s="206"/>
      <c r="L7" s="206"/>
      <c r="M7" s="207"/>
      <c r="N7" s="206"/>
      <c r="O7" s="206"/>
      <c r="P7" s="206"/>
    </row>
    <row r="8" spans="1:16" s="187" customFormat="1" ht="18" customHeight="1">
      <c r="A8" s="187" t="str">
        <f t="shared" si="0"/>
        <v>000401</v>
      </c>
      <c r="B8" s="208" t="s">
        <v>4027</v>
      </c>
      <c r="C8" s="208"/>
      <c r="D8" s="208" t="s">
        <v>4028</v>
      </c>
      <c r="E8" s="208" t="s">
        <v>29</v>
      </c>
      <c r="F8" s="208"/>
      <c r="G8" s="208"/>
      <c r="H8" s="208"/>
      <c r="I8" s="208"/>
      <c r="J8" s="208"/>
      <c r="K8" s="208"/>
      <c r="L8" s="208"/>
      <c r="M8" s="209"/>
      <c r="N8" s="208"/>
      <c r="O8" s="208"/>
      <c r="P8" s="208"/>
    </row>
    <row r="9" spans="1:16" s="187" customFormat="1" ht="18" customHeight="1">
      <c r="A9" s="187" t="str">
        <f t="shared" si="0"/>
        <v>000402</v>
      </c>
      <c r="B9" s="206" t="s">
        <v>4027</v>
      </c>
      <c r="C9" s="206"/>
      <c r="D9" s="206" t="s">
        <v>4029</v>
      </c>
      <c r="E9" s="206" t="s">
        <v>29</v>
      </c>
      <c r="F9" s="206"/>
      <c r="G9" s="206"/>
      <c r="H9" s="206"/>
      <c r="I9" s="206"/>
      <c r="J9" s="206"/>
      <c r="K9" s="206"/>
      <c r="L9" s="206"/>
      <c r="M9" s="207"/>
      <c r="N9" s="206"/>
      <c r="O9" s="206"/>
      <c r="P9" s="206"/>
    </row>
    <row r="10" spans="1:16" s="187" customFormat="1" ht="18" customHeight="1">
      <c r="A10" s="187" t="str">
        <f t="shared" si="0"/>
        <v>000403</v>
      </c>
      <c r="B10" s="208" t="s">
        <v>4027</v>
      </c>
      <c r="C10" s="208"/>
      <c r="D10" s="208" t="s">
        <v>4030</v>
      </c>
      <c r="E10" s="208" t="s">
        <v>29</v>
      </c>
      <c r="F10" s="208"/>
      <c r="G10" s="208"/>
      <c r="H10" s="208"/>
      <c r="I10" s="208"/>
      <c r="J10" s="208"/>
      <c r="K10" s="208"/>
      <c r="L10" s="208"/>
      <c r="M10" s="209"/>
      <c r="N10" s="208"/>
      <c r="O10" s="208"/>
      <c r="P10" s="208"/>
    </row>
    <row r="11" spans="1:16" s="187" customFormat="1" ht="18" customHeight="1">
      <c r="A11" s="187" t="str">
        <f t="shared" si="0"/>
        <v>000404</v>
      </c>
      <c r="B11" s="206" t="s">
        <v>4027</v>
      </c>
      <c r="C11" s="206"/>
      <c r="D11" s="206" t="s">
        <v>4031</v>
      </c>
      <c r="E11" s="206" t="s">
        <v>29</v>
      </c>
      <c r="F11" s="206"/>
      <c r="G11" s="206"/>
      <c r="H11" s="206"/>
      <c r="I11" s="206"/>
      <c r="J11" s="206"/>
      <c r="K11" s="206"/>
      <c r="L11" s="206"/>
      <c r="M11" s="207"/>
      <c r="N11" s="206"/>
      <c r="O11" s="206"/>
      <c r="P11" s="206"/>
    </row>
    <row r="12" spans="1:16" s="187" customFormat="1" ht="18" customHeight="1">
      <c r="A12" s="187" t="str">
        <f t="shared" si="0"/>
        <v>000405</v>
      </c>
      <c r="B12" s="208" t="s">
        <v>4027</v>
      </c>
      <c r="C12" s="208"/>
      <c r="D12" s="208" t="s">
        <v>4032</v>
      </c>
      <c r="E12" s="208" t="s">
        <v>29</v>
      </c>
      <c r="F12" s="208"/>
      <c r="G12" s="208"/>
      <c r="H12" s="208"/>
      <c r="I12" s="208"/>
      <c r="J12" s="208"/>
      <c r="K12" s="208"/>
      <c r="L12" s="208"/>
      <c r="M12" s="209"/>
      <c r="N12" s="208"/>
      <c r="O12" s="208"/>
      <c r="P12" s="208"/>
    </row>
    <row r="13" spans="1:16" s="187" customFormat="1" ht="18" customHeight="1">
      <c r="A13" s="187" t="str">
        <f t="shared" si="0"/>
        <v>000406</v>
      </c>
      <c r="B13" s="206" t="s">
        <v>4027</v>
      </c>
      <c r="C13" s="206"/>
      <c r="D13" s="206" t="s">
        <v>4033</v>
      </c>
      <c r="E13" s="206" t="s">
        <v>29</v>
      </c>
      <c r="F13" s="206"/>
      <c r="G13" s="206"/>
      <c r="H13" s="206"/>
      <c r="I13" s="206"/>
      <c r="J13" s="206"/>
      <c r="K13" s="206"/>
      <c r="L13" s="206"/>
      <c r="M13" s="207"/>
      <c r="N13" s="206"/>
      <c r="O13" s="206"/>
      <c r="P13" s="206"/>
    </row>
    <row r="14" spans="1:16" s="187" customFormat="1" ht="18" customHeight="1">
      <c r="A14" s="187" t="str">
        <f t="shared" si="0"/>
        <v>000407</v>
      </c>
      <c r="B14" s="208" t="s">
        <v>4027</v>
      </c>
      <c r="C14" s="208"/>
      <c r="D14" s="208" t="s">
        <v>4034</v>
      </c>
      <c r="E14" s="208" t="s">
        <v>29</v>
      </c>
      <c r="F14" s="208"/>
      <c r="G14" s="208"/>
      <c r="H14" s="208"/>
      <c r="I14" s="208"/>
      <c r="J14" s="208"/>
      <c r="K14" s="208"/>
      <c r="L14" s="208"/>
      <c r="M14" s="209"/>
      <c r="N14" s="208"/>
      <c r="O14" s="208"/>
      <c r="P14" s="208"/>
    </row>
    <row r="15" spans="1:16" s="187" customFormat="1" ht="18" customHeight="1">
      <c r="A15" s="187" t="str">
        <f t="shared" si="0"/>
        <v>000408</v>
      </c>
      <c r="B15" s="206" t="s">
        <v>4027</v>
      </c>
      <c r="C15" s="206"/>
      <c r="D15" s="206" t="s">
        <v>4035</v>
      </c>
      <c r="E15" s="206" t="s">
        <v>29</v>
      </c>
      <c r="F15" s="206"/>
      <c r="G15" s="206"/>
      <c r="H15" s="206"/>
      <c r="I15" s="206"/>
      <c r="J15" s="206"/>
      <c r="K15" s="206"/>
      <c r="L15" s="206"/>
      <c r="M15" s="207"/>
      <c r="N15" s="206"/>
      <c r="O15" s="206"/>
      <c r="P15" s="206"/>
    </row>
    <row r="16" spans="1:16" s="187" customFormat="1" ht="18" customHeight="1">
      <c r="A16" s="187" t="str">
        <f t="shared" si="0"/>
        <v>000409</v>
      </c>
      <c r="B16" s="208" t="s">
        <v>4027</v>
      </c>
      <c r="C16" s="208"/>
      <c r="D16" s="208" t="s">
        <v>4036</v>
      </c>
      <c r="E16" s="208" t="s">
        <v>29</v>
      </c>
      <c r="F16" s="208"/>
      <c r="G16" s="208"/>
      <c r="H16" s="208"/>
      <c r="I16" s="208"/>
      <c r="J16" s="208"/>
      <c r="K16" s="208"/>
      <c r="L16" s="208"/>
      <c r="M16" s="209"/>
      <c r="N16" s="208"/>
      <c r="O16" s="208"/>
      <c r="P16" s="208"/>
    </row>
    <row r="17" spans="1:16" s="187" customFormat="1" ht="18" customHeight="1">
      <c r="A17" s="187" t="str">
        <f t="shared" si="0"/>
        <v>000410</v>
      </c>
      <c r="B17" s="206" t="s">
        <v>4027</v>
      </c>
      <c r="C17" s="206"/>
      <c r="D17" s="206" t="s">
        <v>4037</v>
      </c>
      <c r="E17" s="206" t="s">
        <v>29</v>
      </c>
      <c r="F17" s="206"/>
      <c r="G17" s="206"/>
      <c r="H17" s="206"/>
      <c r="I17" s="206"/>
      <c r="J17" s="206"/>
      <c r="K17" s="206"/>
      <c r="L17" s="206"/>
      <c r="M17" s="207"/>
      <c r="N17" s="206"/>
      <c r="O17" s="206"/>
      <c r="P17" s="206"/>
    </row>
    <row r="18" spans="1:16" s="187" customFormat="1" ht="18" customHeight="1">
      <c r="A18" s="187" t="str">
        <f t="shared" si="0"/>
        <v>000411</v>
      </c>
      <c r="B18" s="208" t="s">
        <v>4027</v>
      </c>
      <c r="C18" s="208"/>
      <c r="D18" s="208" t="s">
        <v>4038</v>
      </c>
      <c r="E18" s="208" t="s">
        <v>29</v>
      </c>
      <c r="F18" s="208"/>
      <c r="G18" s="208"/>
      <c r="H18" s="208"/>
      <c r="I18" s="208"/>
      <c r="J18" s="208"/>
      <c r="K18" s="208"/>
      <c r="L18" s="208"/>
      <c r="M18" s="209"/>
      <c r="N18" s="208"/>
      <c r="O18" s="208"/>
      <c r="P18" s="208"/>
    </row>
    <row r="19" spans="1:16" s="187" customFormat="1" ht="18" customHeight="1">
      <c r="A19" s="187" t="str">
        <f t="shared" si="0"/>
        <v>000412</v>
      </c>
      <c r="B19" s="206" t="s">
        <v>4027</v>
      </c>
      <c r="C19" s="206"/>
      <c r="D19" s="206" t="s">
        <v>4039</v>
      </c>
      <c r="E19" s="206" t="s">
        <v>29</v>
      </c>
      <c r="F19" s="206"/>
      <c r="G19" s="206"/>
      <c r="H19" s="206"/>
      <c r="I19" s="206"/>
      <c r="J19" s="206"/>
      <c r="K19" s="206"/>
      <c r="L19" s="206"/>
      <c r="M19" s="207"/>
      <c r="N19" s="206"/>
      <c r="O19" s="206"/>
      <c r="P19" s="206"/>
    </row>
    <row r="20" spans="1:16" s="187" customFormat="1" ht="18" customHeight="1">
      <c r="A20" s="187" t="str">
        <f t="shared" si="0"/>
        <v>000413</v>
      </c>
      <c r="B20" s="208" t="s">
        <v>4027</v>
      </c>
      <c r="C20" s="208"/>
      <c r="D20" s="208" t="s">
        <v>4040</v>
      </c>
      <c r="E20" s="208" t="s">
        <v>29</v>
      </c>
      <c r="F20" s="208"/>
      <c r="G20" s="208"/>
      <c r="H20" s="208"/>
      <c r="I20" s="208"/>
      <c r="J20" s="208"/>
      <c r="K20" s="208"/>
      <c r="L20" s="208"/>
      <c r="M20" s="209"/>
      <c r="N20" s="208"/>
      <c r="O20" s="208"/>
      <c r="P20" s="208"/>
    </row>
    <row r="21" spans="1:16" s="187" customFormat="1" ht="18" customHeight="1">
      <c r="A21" s="187" t="str">
        <f t="shared" si="0"/>
        <v>000501</v>
      </c>
      <c r="B21" s="206" t="s">
        <v>4041</v>
      </c>
      <c r="C21" s="206"/>
      <c r="D21" s="206" t="s">
        <v>4042</v>
      </c>
      <c r="E21" s="206" t="s">
        <v>29</v>
      </c>
      <c r="F21" s="206"/>
      <c r="G21" s="206"/>
      <c r="H21" s="206"/>
      <c r="I21" s="206"/>
      <c r="J21" s="206"/>
      <c r="K21" s="206"/>
      <c r="L21" s="206"/>
      <c r="M21" s="207"/>
      <c r="N21" s="206"/>
      <c r="O21" s="206"/>
      <c r="P21" s="206"/>
    </row>
    <row r="22" spans="1:16" s="187" customFormat="1" ht="18" customHeight="1">
      <c r="A22" s="187" t="str">
        <f t="shared" si="0"/>
        <v>000502</v>
      </c>
      <c r="B22" s="208" t="s">
        <v>4041</v>
      </c>
      <c r="C22" s="208"/>
      <c r="D22" s="208" t="s">
        <v>4043</v>
      </c>
      <c r="E22" s="208" t="s">
        <v>29</v>
      </c>
      <c r="F22" s="208"/>
      <c r="G22" s="208"/>
      <c r="H22" s="208"/>
      <c r="I22" s="208"/>
      <c r="J22" s="208"/>
      <c r="K22" s="208"/>
      <c r="L22" s="208"/>
      <c r="M22" s="209"/>
      <c r="N22" s="208"/>
      <c r="O22" s="208"/>
      <c r="P22" s="208"/>
    </row>
    <row r="23" spans="1:16" s="187" customFormat="1" ht="18" customHeight="1">
      <c r="A23" s="187" t="str">
        <f t="shared" si="0"/>
        <v>000503</v>
      </c>
      <c r="B23" s="206" t="s">
        <v>4041</v>
      </c>
      <c r="C23" s="206"/>
      <c r="D23" s="206" t="s">
        <v>4044</v>
      </c>
      <c r="E23" s="206" t="s">
        <v>29</v>
      </c>
      <c r="F23" s="206"/>
      <c r="G23" s="206"/>
      <c r="H23" s="206"/>
      <c r="I23" s="206"/>
      <c r="J23" s="206"/>
      <c r="K23" s="206"/>
      <c r="L23" s="206"/>
      <c r="M23" s="207"/>
      <c r="N23" s="206"/>
      <c r="O23" s="206"/>
      <c r="P23" s="206"/>
    </row>
    <row r="24" spans="1:16" s="187" customFormat="1" ht="18" customHeight="1">
      <c r="A24" s="187" t="str">
        <f t="shared" si="0"/>
        <v>CG40011508</v>
      </c>
      <c r="B24" s="208" t="s">
        <v>4045</v>
      </c>
      <c r="C24" s="208"/>
      <c r="D24" s="208" t="s">
        <v>4046</v>
      </c>
      <c r="E24" s="208" t="s">
        <v>151</v>
      </c>
      <c r="F24" s="208"/>
      <c r="G24" s="208"/>
      <c r="H24" s="208"/>
      <c r="I24" s="208"/>
      <c r="J24" s="208"/>
      <c r="K24" s="208"/>
      <c r="L24" s="208"/>
      <c r="M24" s="209"/>
      <c r="N24" s="208"/>
      <c r="O24" s="208"/>
      <c r="P24" s="208" t="s">
        <v>107</v>
      </c>
    </row>
    <row r="25" spans="1:16" s="187" customFormat="1" ht="18" customHeight="1">
      <c r="A25" s="187" t="str">
        <f t="shared" si="0"/>
        <v>V20098A</v>
      </c>
      <c r="B25" s="206" t="s">
        <v>36</v>
      </c>
      <c r="C25" s="206"/>
      <c r="D25" s="206" t="s">
        <v>35</v>
      </c>
      <c r="E25" s="206" t="s">
        <v>29</v>
      </c>
      <c r="F25" s="206" t="s">
        <v>37</v>
      </c>
      <c r="G25" s="206"/>
      <c r="H25" s="206"/>
      <c r="I25" s="206"/>
      <c r="J25" s="206" t="s">
        <v>38</v>
      </c>
      <c r="K25" s="206" t="s">
        <v>39</v>
      </c>
      <c r="L25" s="206"/>
      <c r="M25" s="207"/>
      <c r="N25" s="206"/>
      <c r="O25" s="206" t="s">
        <v>40</v>
      </c>
      <c r="P25" s="206" t="s">
        <v>34</v>
      </c>
    </row>
    <row r="26" spans="1:16" s="187" customFormat="1" ht="18" customHeight="1">
      <c r="A26" s="187" t="str">
        <f t="shared" si="0"/>
        <v>V20098B</v>
      </c>
      <c r="B26" s="208" t="s">
        <v>36</v>
      </c>
      <c r="C26" s="208"/>
      <c r="D26" s="208" t="s">
        <v>41</v>
      </c>
      <c r="E26" s="208" t="s">
        <v>29</v>
      </c>
      <c r="F26" s="208" t="s">
        <v>37</v>
      </c>
      <c r="G26" s="208"/>
      <c r="H26" s="208"/>
      <c r="I26" s="208"/>
      <c r="J26" s="208" t="s">
        <v>38</v>
      </c>
      <c r="K26" s="208" t="s">
        <v>39</v>
      </c>
      <c r="L26" s="208"/>
      <c r="M26" s="209"/>
      <c r="N26" s="208"/>
      <c r="O26" s="208" t="s">
        <v>40</v>
      </c>
      <c r="P26" s="208" t="s">
        <v>34</v>
      </c>
    </row>
    <row r="27" spans="1:16" s="187" customFormat="1" ht="18" customHeight="1">
      <c r="A27" s="187" t="str">
        <f t="shared" si="0"/>
        <v>V20098C</v>
      </c>
      <c r="B27" s="206" t="s">
        <v>36</v>
      </c>
      <c r="C27" s="206"/>
      <c r="D27" s="206" t="s">
        <v>42</v>
      </c>
      <c r="E27" s="206" t="s">
        <v>29</v>
      </c>
      <c r="F27" s="206" t="s">
        <v>37</v>
      </c>
      <c r="G27" s="206"/>
      <c r="H27" s="206"/>
      <c r="I27" s="206"/>
      <c r="J27" s="206" t="s">
        <v>38</v>
      </c>
      <c r="K27" s="206" t="s">
        <v>39</v>
      </c>
      <c r="L27" s="206"/>
      <c r="M27" s="207"/>
      <c r="N27" s="206"/>
      <c r="O27" s="206" t="s">
        <v>40</v>
      </c>
      <c r="P27" s="206" t="s">
        <v>34</v>
      </c>
    </row>
    <row r="28" spans="1:16" s="187" customFormat="1" ht="18" customHeight="1">
      <c r="A28" s="187" t="str">
        <f t="shared" si="0"/>
        <v>V20021A</v>
      </c>
      <c r="B28" s="208" t="s">
        <v>44</v>
      </c>
      <c r="C28" s="208"/>
      <c r="D28" s="208" t="s">
        <v>43</v>
      </c>
      <c r="E28" s="208" t="s">
        <v>29</v>
      </c>
      <c r="F28" s="208" t="s">
        <v>45</v>
      </c>
      <c r="G28" s="208"/>
      <c r="H28" s="208"/>
      <c r="I28" s="208"/>
      <c r="J28" s="208" t="s">
        <v>46</v>
      </c>
      <c r="K28" s="208" t="s">
        <v>47</v>
      </c>
      <c r="L28" s="208"/>
      <c r="M28" s="209"/>
      <c r="N28" s="208"/>
      <c r="O28" s="208" t="s">
        <v>40</v>
      </c>
      <c r="P28" s="208" t="s">
        <v>34</v>
      </c>
    </row>
    <row r="29" spans="1:16" s="187" customFormat="1" ht="18" customHeight="1">
      <c r="A29" s="187" t="str">
        <f t="shared" si="0"/>
        <v>V20021B</v>
      </c>
      <c r="B29" s="206" t="s">
        <v>44</v>
      </c>
      <c r="C29" s="206"/>
      <c r="D29" s="206" t="s">
        <v>48</v>
      </c>
      <c r="E29" s="206" t="s">
        <v>29</v>
      </c>
      <c r="F29" s="206" t="s">
        <v>45</v>
      </c>
      <c r="G29" s="206"/>
      <c r="H29" s="206"/>
      <c r="I29" s="206"/>
      <c r="J29" s="206" t="s">
        <v>46</v>
      </c>
      <c r="K29" s="206" t="s">
        <v>47</v>
      </c>
      <c r="L29" s="206"/>
      <c r="M29" s="207"/>
      <c r="N29" s="206"/>
      <c r="O29" s="206" t="s">
        <v>40</v>
      </c>
      <c r="P29" s="206" t="s">
        <v>34</v>
      </c>
    </row>
    <row r="30" spans="1:16" s="187" customFormat="1" ht="18" customHeight="1">
      <c r="A30" s="187" t="str">
        <f t="shared" si="0"/>
        <v>V20021C</v>
      </c>
      <c r="B30" s="208" t="s">
        <v>44</v>
      </c>
      <c r="C30" s="208"/>
      <c r="D30" s="208" t="s">
        <v>49</v>
      </c>
      <c r="E30" s="208" t="s">
        <v>29</v>
      </c>
      <c r="F30" s="208" t="s">
        <v>45</v>
      </c>
      <c r="G30" s="208"/>
      <c r="H30" s="208"/>
      <c r="I30" s="208"/>
      <c r="J30" s="208" t="s">
        <v>46</v>
      </c>
      <c r="K30" s="208" t="s">
        <v>47</v>
      </c>
      <c r="L30" s="208"/>
      <c r="M30" s="209"/>
      <c r="N30" s="208"/>
      <c r="O30" s="208" t="s">
        <v>40</v>
      </c>
      <c r="P30" s="208" t="s">
        <v>34</v>
      </c>
    </row>
    <row r="31" spans="1:16" s="187" customFormat="1" ht="18" customHeight="1">
      <c r="A31" s="187" t="str">
        <f t="shared" si="0"/>
        <v>V20005A</v>
      </c>
      <c r="B31" s="206" t="s">
        <v>51</v>
      </c>
      <c r="C31" s="206"/>
      <c r="D31" s="206" t="s">
        <v>50</v>
      </c>
      <c r="E31" s="206" t="s">
        <v>29</v>
      </c>
      <c r="F31" s="206" t="s">
        <v>52</v>
      </c>
      <c r="G31" s="206"/>
      <c r="H31" s="206"/>
      <c r="I31" s="206"/>
      <c r="J31" s="206" t="s">
        <v>53</v>
      </c>
      <c r="K31" s="206" t="s">
        <v>54</v>
      </c>
      <c r="L31" s="206"/>
      <c r="M31" s="207"/>
      <c r="N31" s="206"/>
      <c r="O31" s="206" t="s">
        <v>40</v>
      </c>
      <c r="P31" s="206" t="s">
        <v>34</v>
      </c>
    </row>
    <row r="32" spans="1:16" s="187" customFormat="1" ht="18" customHeight="1">
      <c r="A32" s="187" t="str">
        <f t="shared" si="0"/>
        <v>V20005B</v>
      </c>
      <c r="B32" s="208" t="s">
        <v>51</v>
      </c>
      <c r="C32" s="208"/>
      <c r="D32" s="208" t="s">
        <v>55</v>
      </c>
      <c r="E32" s="208" t="s">
        <v>29</v>
      </c>
      <c r="F32" s="208" t="s">
        <v>52</v>
      </c>
      <c r="G32" s="208"/>
      <c r="H32" s="208"/>
      <c r="I32" s="208"/>
      <c r="J32" s="208" t="s">
        <v>53</v>
      </c>
      <c r="K32" s="208" t="s">
        <v>54</v>
      </c>
      <c r="L32" s="208"/>
      <c r="M32" s="209"/>
      <c r="N32" s="208"/>
      <c r="O32" s="208" t="s">
        <v>40</v>
      </c>
      <c r="P32" s="208" t="s">
        <v>34</v>
      </c>
    </row>
    <row r="33" spans="1:16" s="187" customFormat="1" ht="18" customHeight="1">
      <c r="A33" s="187" t="str">
        <f t="shared" si="0"/>
        <v>V20005C</v>
      </c>
      <c r="B33" s="206" t="s">
        <v>51</v>
      </c>
      <c r="C33" s="206"/>
      <c r="D33" s="206" t="s">
        <v>56</v>
      </c>
      <c r="E33" s="206" t="s">
        <v>29</v>
      </c>
      <c r="F33" s="206" t="s">
        <v>52</v>
      </c>
      <c r="G33" s="206"/>
      <c r="H33" s="206"/>
      <c r="I33" s="206"/>
      <c r="J33" s="206" t="s">
        <v>53</v>
      </c>
      <c r="K33" s="206" t="s">
        <v>54</v>
      </c>
      <c r="L33" s="206"/>
      <c r="M33" s="207"/>
      <c r="N33" s="206"/>
      <c r="O33" s="206" t="s">
        <v>40</v>
      </c>
      <c r="P33" s="206" t="s">
        <v>34</v>
      </c>
    </row>
    <row r="34" spans="1:16" s="187" customFormat="1" ht="18" customHeight="1">
      <c r="A34" s="187" t="str">
        <f t="shared" si="0"/>
        <v>V20135B</v>
      </c>
      <c r="B34" s="208" t="s">
        <v>4872</v>
      </c>
      <c r="C34" s="208"/>
      <c r="D34" s="208" t="s">
        <v>5565</v>
      </c>
      <c r="E34" s="208" t="s">
        <v>29</v>
      </c>
      <c r="F34" s="208" t="s">
        <v>5566</v>
      </c>
      <c r="G34" s="208"/>
      <c r="H34" s="208"/>
      <c r="I34" s="208" t="s">
        <v>4875</v>
      </c>
      <c r="J34" s="208" t="s">
        <v>4872</v>
      </c>
      <c r="K34" s="208" t="s">
        <v>4877</v>
      </c>
      <c r="L34" s="208"/>
      <c r="M34" s="209"/>
      <c r="N34" s="208"/>
      <c r="O34" s="208"/>
      <c r="P34" s="208" t="s">
        <v>34</v>
      </c>
    </row>
    <row r="35" spans="1:16" s="187" customFormat="1" ht="18" customHeight="1">
      <c r="A35" s="187" t="str">
        <f t="shared" si="0"/>
        <v>V20135C</v>
      </c>
      <c r="B35" s="206" t="s">
        <v>4872</v>
      </c>
      <c r="C35" s="206"/>
      <c r="D35" s="206" t="s">
        <v>4873</v>
      </c>
      <c r="E35" s="206" t="s">
        <v>29</v>
      </c>
      <c r="F35" s="206" t="s">
        <v>4874</v>
      </c>
      <c r="G35" s="206"/>
      <c r="H35" s="206"/>
      <c r="I35" s="206" t="s">
        <v>4875</v>
      </c>
      <c r="J35" s="206" t="s">
        <v>4876</v>
      </c>
      <c r="K35" s="206" t="s">
        <v>4877</v>
      </c>
      <c r="L35" s="206"/>
      <c r="M35" s="207"/>
      <c r="N35" s="206"/>
      <c r="O35" s="206"/>
      <c r="P35" s="206" t="s">
        <v>34</v>
      </c>
    </row>
    <row r="36" spans="1:16" s="187" customFormat="1" ht="18" customHeight="1">
      <c r="A36" s="187" t="str">
        <f t="shared" si="0"/>
        <v>CG450018C0</v>
      </c>
      <c r="B36" s="208" t="s">
        <v>4872</v>
      </c>
      <c r="C36" s="208"/>
      <c r="D36" s="208" t="s">
        <v>5808</v>
      </c>
      <c r="E36" s="208" t="s">
        <v>29</v>
      </c>
      <c r="F36" s="208" t="s">
        <v>5809</v>
      </c>
      <c r="G36" s="208"/>
      <c r="H36" s="208"/>
      <c r="I36" s="208"/>
      <c r="J36" s="208"/>
      <c r="K36" s="208"/>
      <c r="L36" s="208"/>
      <c r="M36" s="209"/>
      <c r="N36" s="208"/>
      <c r="O36" s="208"/>
      <c r="P36" s="208" t="s">
        <v>100</v>
      </c>
    </row>
    <row r="37" spans="1:16" s="187" customFormat="1" ht="18" customHeight="1">
      <c r="A37" s="187" t="str">
        <f t="shared" si="0"/>
        <v>V20084A</v>
      </c>
      <c r="B37" s="206" t="s">
        <v>58</v>
      </c>
      <c r="C37" s="206"/>
      <c r="D37" s="206" t="s">
        <v>57</v>
      </c>
      <c r="E37" s="206" t="s">
        <v>29</v>
      </c>
      <c r="F37" s="206" t="s">
        <v>59</v>
      </c>
      <c r="G37" s="206"/>
      <c r="H37" s="206"/>
      <c r="I37" s="206" t="s">
        <v>60</v>
      </c>
      <c r="J37" s="206" t="s">
        <v>4878</v>
      </c>
      <c r="K37" s="206" t="s">
        <v>61</v>
      </c>
      <c r="L37" s="206"/>
      <c r="M37" s="207"/>
      <c r="N37" s="206"/>
      <c r="O37" s="206" t="s">
        <v>40</v>
      </c>
      <c r="P37" s="206" t="s">
        <v>34</v>
      </c>
    </row>
    <row r="38" spans="1:16" s="187" customFormat="1" ht="18" customHeight="1">
      <c r="A38" s="187" t="str">
        <f t="shared" si="0"/>
        <v>V20084B</v>
      </c>
      <c r="B38" s="208" t="s">
        <v>58</v>
      </c>
      <c r="C38" s="208"/>
      <c r="D38" s="208" t="s">
        <v>62</v>
      </c>
      <c r="E38" s="208" t="s">
        <v>29</v>
      </c>
      <c r="F38" s="208" t="s">
        <v>59</v>
      </c>
      <c r="G38" s="208"/>
      <c r="H38" s="208"/>
      <c r="I38" s="208" t="s">
        <v>60</v>
      </c>
      <c r="J38" s="208" t="s">
        <v>4878</v>
      </c>
      <c r="K38" s="208" t="s">
        <v>61</v>
      </c>
      <c r="L38" s="208"/>
      <c r="M38" s="209"/>
      <c r="N38" s="208"/>
      <c r="O38" s="208" t="s">
        <v>40</v>
      </c>
      <c r="P38" s="208" t="s">
        <v>34</v>
      </c>
    </row>
    <row r="39" spans="1:16" s="187" customFormat="1" ht="18" customHeight="1">
      <c r="A39" s="187" t="str">
        <f t="shared" si="0"/>
        <v>V20084C</v>
      </c>
      <c r="B39" s="206" t="s">
        <v>58</v>
      </c>
      <c r="C39" s="206"/>
      <c r="D39" s="206" t="s">
        <v>63</v>
      </c>
      <c r="E39" s="206" t="s">
        <v>29</v>
      </c>
      <c r="F39" s="206" t="s">
        <v>59</v>
      </c>
      <c r="G39" s="206"/>
      <c r="H39" s="206"/>
      <c r="I39" s="206" t="s">
        <v>60</v>
      </c>
      <c r="J39" s="206" t="s">
        <v>4878</v>
      </c>
      <c r="K39" s="206" t="s">
        <v>61</v>
      </c>
      <c r="L39" s="206"/>
      <c r="M39" s="207"/>
      <c r="N39" s="206"/>
      <c r="O39" s="206" t="s">
        <v>40</v>
      </c>
      <c r="P39" s="206" t="s">
        <v>34</v>
      </c>
    </row>
    <row r="40" spans="1:16" s="187" customFormat="1" ht="18" customHeight="1">
      <c r="A40" s="187" t="str">
        <f t="shared" si="0"/>
        <v>000101</v>
      </c>
      <c r="B40" s="208" t="s">
        <v>4047</v>
      </c>
      <c r="C40" s="208"/>
      <c r="D40" s="208" t="s">
        <v>4048</v>
      </c>
      <c r="E40" s="208" t="s">
        <v>29</v>
      </c>
      <c r="F40" s="208"/>
      <c r="G40" s="208"/>
      <c r="H40" s="208"/>
      <c r="I40" s="208"/>
      <c r="J40" s="208"/>
      <c r="K40" s="208"/>
      <c r="L40" s="208"/>
      <c r="M40" s="209"/>
      <c r="N40" s="208"/>
      <c r="O40" s="208"/>
      <c r="P40" s="208"/>
    </row>
    <row r="41" spans="1:16" s="187" customFormat="1" ht="18" customHeight="1">
      <c r="A41" s="187" t="str">
        <f t="shared" si="0"/>
        <v>000102</v>
      </c>
      <c r="B41" s="206" t="s">
        <v>4047</v>
      </c>
      <c r="C41" s="206"/>
      <c r="D41" s="206" t="s">
        <v>4049</v>
      </c>
      <c r="E41" s="206" t="s">
        <v>29</v>
      </c>
      <c r="F41" s="206"/>
      <c r="G41" s="206"/>
      <c r="H41" s="206"/>
      <c r="I41" s="206"/>
      <c r="J41" s="206"/>
      <c r="K41" s="206"/>
      <c r="L41" s="206"/>
      <c r="M41" s="207"/>
      <c r="N41" s="206"/>
      <c r="O41" s="206"/>
      <c r="P41" s="206"/>
    </row>
    <row r="42" spans="1:16" s="187" customFormat="1" ht="18" customHeight="1">
      <c r="A42" s="187" t="str">
        <f t="shared" si="0"/>
        <v>000103</v>
      </c>
      <c r="B42" s="208" t="s">
        <v>4047</v>
      </c>
      <c r="C42" s="208"/>
      <c r="D42" s="208" t="s">
        <v>4050</v>
      </c>
      <c r="E42" s="208" t="s">
        <v>29</v>
      </c>
      <c r="F42" s="208"/>
      <c r="G42" s="208"/>
      <c r="H42" s="208"/>
      <c r="I42" s="208"/>
      <c r="J42" s="208"/>
      <c r="K42" s="208"/>
      <c r="L42" s="208"/>
      <c r="M42" s="209"/>
      <c r="N42" s="208"/>
      <c r="O42" s="208"/>
      <c r="P42" s="208"/>
    </row>
    <row r="43" spans="1:16" s="187" customFormat="1" ht="18" customHeight="1">
      <c r="A43" s="187" t="str">
        <f t="shared" si="0"/>
        <v>V20044A</v>
      </c>
      <c r="B43" s="206" t="s">
        <v>65</v>
      </c>
      <c r="C43" s="206"/>
      <c r="D43" s="206" t="s">
        <v>64</v>
      </c>
      <c r="E43" s="206" t="s">
        <v>29</v>
      </c>
      <c r="F43" s="206" t="s">
        <v>66</v>
      </c>
      <c r="G43" s="206"/>
      <c r="H43" s="206"/>
      <c r="I43" s="206" t="s">
        <v>67</v>
      </c>
      <c r="J43" s="206" t="s">
        <v>68</v>
      </c>
      <c r="K43" s="206" t="s">
        <v>69</v>
      </c>
      <c r="L43" s="206"/>
      <c r="M43" s="207"/>
      <c r="N43" s="206"/>
      <c r="O43" s="206" t="s">
        <v>40</v>
      </c>
      <c r="P43" s="206" t="s">
        <v>34</v>
      </c>
    </row>
    <row r="44" spans="1:16" s="187" customFormat="1" ht="18" customHeight="1">
      <c r="A44" s="187" t="str">
        <f t="shared" si="0"/>
        <v>V20044B</v>
      </c>
      <c r="B44" s="208" t="s">
        <v>65</v>
      </c>
      <c r="C44" s="208"/>
      <c r="D44" s="208" t="s">
        <v>70</v>
      </c>
      <c r="E44" s="208" t="s">
        <v>29</v>
      </c>
      <c r="F44" s="208" t="s">
        <v>66</v>
      </c>
      <c r="G44" s="208"/>
      <c r="H44" s="208"/>
      <c r="I44" s="208" t="s">
        <v>67</v>
      </c>
      <c r="J44" s="208" t="s">
        <v>68</v>
      </c>
      <c r="K44" s="208" t="s">
        <v>69</v>
      </c>
      <c r="L44" s="208"/>
      <c r="M44" s="209"/>
      <c r="N44" s="208"/>
      <c r="O44" s="208" t="s">
        <v>40</v>
      </c>
      <c r="P44" s="208" t="s">
        <v>34</v>
      </c>
    </row>
    <row r="45" spans="1:16" s="187" customFormat="1" ht="18" customHeight="1">
      <c r="A45" s="187" t="str">
        <f t="shared" si="0"/>
        <v>V20044C</v>
      </c>
      <c r="B45" s="206" t="s">
        <v>65</v>
      </c>
      <c r="C45" s="206"/>
      <c r="D45" s="206" t="s">
        <v>71</v>
      </c>
      <c r="E45" s="206" t="s">
        <v>29</v>
      </c>
      <c r="F45" s="206" t="s">
        <v>66</v>
      </c>
      <c r="G45" s="206"/>
      <c r="H45" s="206"/>
      <c r="I45" s="206" t="s">
        <v>67</v>
      </c>
      <c r="J45" s="206" t="s">
        <v>68</v>
      </c>
      <c r="K45" s="206" t="s">
        <v>69</v>
      </c>
      <c r="L45" s="206"/>
      <c r="M45" s="207"/>
      <c r="N45" s="206"/>
      <c r="O45" s="206" t="s">
        <v>40</v>
      </c>
      <c r="P45" s="206" t="s">
        <v>34</v>
      </c>
    </row>
    <row r="46" spans="1:16" s="187" customFormat="1" ht="18" customHeight="1">
      <c r="A46" s="187" t="str">
        <f t="shared" si="0"/>
        <v>V20053A</v>
      </c>
      <c r="B46" s="208" t="s">
        <v>73</v>
      </c>
      <c r="C46" s="208"/>
      <c r="D46" s="208" t="s">
        <v>72</v>
      </c>
      <c r="E46" s="208" t="s">
        <v>29</v>
      </c>
      <c r="F46" s="208" t="s">
        <v>74</v>
      </c>
      <c r="G46" s="208"/>
      <c r="H46" s="208"/>
      <c r="I46" s="208" t="s">
        <v>75</v>
      </c>
      <c r="J46" s="208" t="s">
        <v>76</v>
      </c>
      <c r="K46" s="208" t="s">
        <v>77</v>
      </c>
      <c r="L46" s="208"/>
      <c r="M46" s="209"/>
      <c r="N46" s="208"/>
      <c r="O46" s="208" t="s">
        <v>40</v>
      </c>
      <c r="P46" s="208" t="s">
        <v>34</v>
      </c>
    </row>
    <row r="47" spans="1:16" s="187" customFormat="1" ht="18" customHeight="1">
      <c r="A47" s="187" t="str">
        <f t="shared" si="0"/>
        <v>V20053B</v>
      </c>
      <c r="B47" s="206" t="s">
        <v>73</v>
      </c>
      <c r="C47" s="206"/>
      <c r="D47" s="206" t="s">
        <v>78</v>
      </c>
      <c r="E47" s="206" t="s">
        <v>29</v>
      </c>
      <c r="F47" s="206" t="s">
        <v>74</v>
      </c>
      <c r="G47" s="206"/>
      <c r="H47" s="206"/>
      <c r="I47" s="206" t="s">
        <v>75</v>
      </c>
      <c r="J47" s="206" t="s">
        <v>76</v>
      </c>
      <c r="K47" s="206" t="s">
        <v>77</v>
      </c>
      <c r="L47" s="206"/>
      <c r="M47" s="207"/>
      <c r="N47" s="206"/>
      <c r="O47" s="206" t="s">
        <v>40</v>
      </c>
      <c r="P47" s="206" t="s">
        <v>34</v>
      </c>
    </row>
    <row r="48" spans="1:16" s="187" customFormat="1" ht="18" customHeight="1">
      <c r="A48" s="187" t="str">
        <f t="shared" si="0"/>
        <v>V20053C</v>
      </c>
      <c r="B48" s="208" t="s">
        <v>73</v>
      </c>
      <c r="C48" s="208"/>
      <c r="D48" s="208" t="s">
        <v>79</v>
      </c>
      <c r="E48" s="208" t="s">
        <v>29</v>
      </c>
      <c r="F48" s="208" t="s">
        <v>74</v>
      </c>
      <c r="G48" s="208"/>
      <c r="H48" s="208"/>
      <c r="I48" s="208" t="s">
        <v>75</v>
      </c>
      <c r="J48" s="208" t="s">
        <v>76</v>
      </c>
      <c r="K48" s="208" t="s">
        <v>77</v>
      </c>
      <c r="L48" s="208"/>
      <c r="M48" s="209"/>
      <c r="N48" s="208"/>
      <c r="O48" s="208" t="s">
        <v>40</v>
      </c>
      <c r="P48" s="208" t="s">
        <v>34</v>
      </c>
    </row>
    <row r="49" spans="1:16" s="187" customFormat="1" ht="18" customHeight="1">
      <c r="A49" s="187" t="str">
        <f t="shared" si="0"/>
        <v>V20122A</v>
      </c>
      <c r="B49" s="206" t="s">
        <v>4051</v>
      </c>
      <c r="C49" s="206"/>
      <c r="D49" s="206" t="s">
        <v>4052</v>
      </c>
      <c r="E49" s="206" t="s">
        <v>29</v>
      </c>
      <c r="F49" s="206" t="s">
        <v>5902</v>
      </c>
      <c r="G49" s="206"/>
      <c r="H49" s="206"/>
      <c r="I49" s="206" t="s">
        <v>4053</v>
      </c>
      <c r="J49" s="206" t="s">
        <v>4054</v>
      </c>
      <c r="K49" s="206" t="s">
        <v>77</v>
      </c>
      <c r="L49" s="206"/>
      <c r="M49" s="207"/>
      <c r="N49" s="206"/>
      <c r="O49" s="206"/>
      <c r="P49" s="206" t="s">
        <v>34</v>
      </c>
    </row>
    <row r="50" spans="1:16" s="187" customFormat="1" ht="18" customHeight="1">
      <c r="A50" s="187" t="str">
        <f t="shared" si="0"/>
        <v>060001</v>
      </c>
      <c r="B50" s="208" t="s">
        <v>4055</v>
      </c>
      <c r="C50" s="208"/>
      <c r="D50" s="208" t="s">
        <v>4056</v>
      </c>
      <c r="E50" s="208" t="s">
        <v>29</v>
      </c>
      <c r="F50" s="208"/>
      <c r="G50" s="208"/>
      <c r="H50" s="208"/>
      <c r="I50" s="208"/>
      <c r="J50" s="208"/>
      <c r="K50" s="208"/>
      <c r="L50" s="208"/>
      <c r="M50" s="209"/>
      <c r="N50" s="208"/>
      <c r="O50" s="208"/>
      <c r="P50" s="208"/>
    </row>
    <row r="51" spans="1:16" s="187" customFormat="1" ht="18" customHeight="1">
      <c r="A51" s="187" t="str">
        <f t="shared" si="0"/>
        <v>000301</v>
      </c>
      <c r="B51" s="206" t="s">
        <v>4057</v>
      </c>
      <c r="C51" s="206"/>
      <c r="D51" s="206" t="s">
        <v>4058</v>
      </c>
      <c r="E51" s="206" t="s">
        <v>29</v>
      </c>
      <c r="F51" s="206"/>
      <c r="G51" s="206"/>
      <c r="H51" s="206"/>
      <c r="I51" s="206"/>
      <c r="J51" s="206"/>
      <c r="K51" s="206"/>
      <c r="L51" s="206"/>
      <c r="M51" s="207"/>
      <c r="N51" s="206"/>
      <c r="O51" s="206"/>
      <c r="P51" s="206"/>
    </row>
    <row r="52" spans="1:16" s="187" customFormat="1" ht="18" customHeight="1">
      <c r="A52" s="187" t="str">
        <f t="shared" si="0"/>
        <v>000302</v>
      </c>
      <c r="B52" s="208" t="s">
        <v>4057</v>
      </c>
      <c r="C52" s="208"/>
      <c r="D52" s="208" t="s">
        <v>4059</v>
      </c>
      <c r="E52" s="208" t="s">
        <v>29</v>
      </c>
      <c r="F52" s="208"/>
      <c r="G52" s="208"/>
      <c r="H52" s="208"/>
      <c r="I52" s="208"/>
      <c r="J52" s="208"/>
      <c r="K52" s="208"/>
      <c r="L52" s="208"/>
      <c r="M52" s="209"/>
      <c r="N52" s="208"/>
      <c r="O52" s="208"/>
      <c r="P52" s="208"/>
    </row>
    <row r="53" spans="1:16" s="187" customFormat="1" ht="18" customHeight="1">
      <c r="A53" s="187" t="str">
        <f t="shared" si="0"/>
        <v>000303</v>
      </c>
      <c r="B53" s="206" t="s">
        <v>4057</v>
      </c>
      <c r="C53" s="206"/>
      <c r="D53" s="206" t="s">
        <v>4060</v>
      </c>
      <c r="E53" s="206" t="s">
        <v>29</v>
      </c>
      <c r="F53" s="206"/>
      <c r="G53" s="206"/>
      <c r="H53" s="206"/>
      <c r="I53" s="206"/>
      <c r="J53" s="206"/>
      <c r="K53" s="206"/>
      <c r="L53" s="206"/>
      <c r="M53" s="207"/>
      <c r="N53" s="206"/>
      <c r="O53" s="206"/>
      <c r="P53" s="206"/>
    </row>
    <row r="54" spans="1:16" s="187" customFormat="1" ht="18" customHeight="1">
      <c r="A54" s="187" t="str">
        <f t="shared" si="0"/>
        <v>000304</v>
      </c>
      <c r="B54" s="208" t="s">
        <v>4057</v>
      </c>
      <c r="C54" s="208"/>
      <c r="D54" s="208" t="s">
        <v>4061</v>
      </c>
      <c r="E54" s="208" t="s">
        <v>29</v>
      </c>
      <c r="F54" s="208"/>
      <c r="G54" s="208"/>
      <c r="H54" s="208"/>
      <c r="I54" s="208"/>
      <c r="J54" s="208"/>
      <c r="K54" s="208"/>
      <c r="L54" s="208"/>
      <c r="M54" s="209"/>
      <c r="N54" s="208"/>
      <c r="O54" s="208"/>
      <c r="P54" s="208"/>
    </row>
    <row r="55" spans="1:16" s="187" customFormat="1" ht="18" customHeight="1">
      <c r="A55" s="187" t="str">
        <f t="shared" si="0"/>
        <v>000305</v>
      </c>
      <c r="B55" s="206" t="s">
        <v>4057</v>
      </c>
      <c r="C55" s="206"/>
      <c r="D55" s="206" t="s">
        <v>4062</v>
      </c>
      <c r="E55" s="206" t="s">
        <v>29</v>
      </c>
      <c r="F55" s="206"/>
      <c r="G55" s="206"/>
      <c r="H55" s="206"/>
      <c r="I55" s="206"/>
      <c r="J55" s="206"/>
      <c r="K55" s="206"/>
      <c r="L55" s="206"/>
      <c r="M55" s="207"/>
      <c r="N55" s="206"/>
      <c r="O55" s="206"/>
      <c r="P55" s="206"/>
    </row>
    <row r="56" spans="1:16" s="187" customFormat="1" ht="18" customHeight="1">
      <c r="A56" s="187" t="str">
        <f t="shared" si="0"/>
        <v>000306</v>
      </c>
      <c r="B56" s="208" t="s">
        <v>4057</v>
      </c>
      <c r="C56" s="208"/>
      <c r="D56" s="208" t="s">
        <v>4063</v>
      </c>
      <c r="E56" s="208" t="s">
        <v>29</v>
      </c>
      <c r="F56" s="208"/>
      <c r="G56" s="208"/>
      <c r="H56" s="208"/>
      <c r="I56" s="208"/>
      <c r="J56" s="208"/>
      <c r="K56" s="208"/>
      <c r="L56" s="208"/>
      <c r="M56" s="209"/>
      <c r="N56" s="208"/>
      <c r="O56" s="208"/>
      <c r="P56" s="208"/>
    </row>
    <row r="57" spans="1:16" s="187" customFormat="1" ht="18" customHeight="1">
      <c r="A57" s="187" t="str">
        <f t="shared" si="0"/>
        <v>000307</v>
      </c>
      <c r="B57" s="206" t="s">
        <v>4057</v>
      </c>
      <c r="C57" s="206"/>
      <c r="D57" s="206" t="s">
        <v>4064</v>
      </c>
      <c r="E57" s="206" t="s">
        <v>29</v>
      </c>
      <c r="F57" s="206"/>
      <c r="G57" s="206"/>
      <c r="H57" s="206"/>
      <c r="I57" s="206"/>
      <c r="J57" s="206"/>
      <c r="K57" s="206"/>
      <c r="L57" s="206"/>
      <c r="M57" s="207"/>
      <c r="N57" s="206"/>
      <c r="O57" s="206"/>
      <c r="P57" s="206"/>
    </row>
    <row r="58" spans="1:16" s="187" customFormat="1" ht="18" customHeight="1">
      <c r="A58" s="187" t="str">
        <f t="shared" si="0"/>
        <v>000308</v>
      </c>
      <c r="B58" s="208" t="s">
        <v>4057</v>
      </c>
      <c r="C58" s="208"/>
      <c r="D58" s="208" t="s">
        <v>4065</v>
      </c>
      <c r="E58" s="208" t="s">
        <v>29</v>
      </c>
      <c r="F58" s="208"/>
      <c r="G58" s="208"/>
      <c r="H58" s="208"/>
      <c r="I58" s="208"/>
      <c r="J58" s="208"/>
      <c r="K58" s="208"/>
      <c r="L58" s="208"/>
      <c r="M58" s="209"/>
      <c r="N58" s="208"/>
      <c r="O58" s="208"/>
      <c r="P58" s="208"/>
    </row>
    <row r="59" spans="1:16" s="187" customFormat="1" ht="18" customHeight="1">
      <c r="A59" s="187" t="str">
        <f t="shared" si="0"/>
        <v>000309</v>
      </c>
      <c r="B59" s="206" t="s">
        <v>4057</v>
      </c>
      <c r="C59" s="206"/>
      <c r="D59" s="206" t="s">
        <v>4066</v>
      </c>
      <c r="E59" s="206" t="s">
        <v>29</v>
      </c>
      <c r="F59" s="206"/>
      <c r="G59" s="206"/>
      <c r="H59" s="206"/>
      <c r="I59" s="206"/>
      <c r="J59" s="206"/>
      <c r="K59" s="206"/>
      <c r="L59" s="206"/>
      <c r="M59" s="207"/>
      <c r="N59" s="206"/>
      <c r="O59" s="206"/>
      <c r="P59" s="206"/>
    </row>
    <row r="60" spans="1:16" s="187" customFormat="1" ht="18" customHeight="1">
      <c r="A60" s="187" t="str">
        <f t="shared" si="0"/>
        <v>000310</v>
      </c>
      <c r="B60" s="208" t="s">
        <v>4057</v>
      </c>
      <c r="C60" s="208"/>
      <c r="D60" s="208" t="s">
        <v>4067</v>
      </c>
      <c r="E60" s="208" t="s">
        <v>29</v>
      </c>
      <c r="F60" s="208"/>
      <c r="G60" s="208"/>
      <c r="H60" s="208"/>
      <c r="I60" s="208"/>
      <c r="J60" s="208"/>
      <c r="K60" s="208"/>
      <c r="L60" s="208"/>
      <c r="M60" s="209"/>
      <c r="N60" s="208"/>
      <c r="O60" s="208"/>
      <c r="P60" s="208"/>
    </row>
    <row r="61" spans="1:16" s="187" customFormat="1" ht="18" customHeight="1">
      <c r="A61" s="187" t="str">
        <f t="shared" si="0"/>
        <v>000311</v>
      </c>
      <c r="B61" s="206" t="s">
        <v>4057</v>
      </c>
      <c r="C61" s="206"/>
      <c r="D61" s="206" t="s">
        <v>4068</v>
      </c>
      <c r="E61" s="206" t="s">
        <v>29</v>
      </c>
      <c r="F61" s="206"/>
      <c r="G61" s="206"/>
      <c r="H61" s="206"/>
      <c r="I61" s="206"/>
      <c r="J61" s="206"/>
      <c r="K61" s="206"/>
      <c r="L61" s="206"/>
      <c r="M61" s="207"/>
      <c r="N61" s="206"/>
      <c r="O61" s="206"/>
      <c r="P61" s="206"/>
    </row>
    <row r="62" spans="1:16" s="187" customFormat="1" ht="18" customHeight="1">
      <c r="A62" s="187" t="str">
        <f t="shared" si="0"/>
        <v>000312</v>
      </c>
      <c r="B62" s="208" t="s">
        <v>4057</v>
      </c>
      <c r="C62" s="208"/>
      <c r="D62" s="208" t="s">
        <v>4069</v>
      </c>
      <c r="E62" s="208" t="s">
        <v>29</v>
      </c>
      <c r="F62" s="208"/>
      <c r="G62" s="208"/>
      <c r="H62" s="208"/>
      <c r="I62" s="208"/>
      <c r="J62" s="208"/>
      <c r="K62" s="208"/>
      <c r="L62" s="208"/>
      <c r="M62" s="209"/>
      <c r="N62" s="208"/>
      <c r="O62" s="208"/>
      <c r="P62" s="208"/>
    </row>
    <row r="63" spans="1:16" s="187" customFormat="1" ht="18" customHeight="1">
      <c r="A63" s="187" t="str">
        <f t="shared" si="0"/>
        <v>000313</v>
      </c>
      <c r="B63" s="206" t="s">
        <v>4057</v>
      </c>
      <c r="C63" s="206"/>
      <c r="D63" s="206" t="s">
        <v>4070</v>
      </c>
      <c r="E63" s="206" t="s">
        <v>29</v>
      </c>
      <c r="F63" s="206"/>
      <c r="G63" s="206"/>
      <c r="H63" s="206"/>
      <c r="I63" s="206"/>
      <c r="J63" s="206"/>
      <c r="K63" s="206"/>
      <c r="L63" s="206"/>
      <c r="M63" s="207"/>
      <c r="N63" s="206"/>
      <c r="O63" s="206"/>
      <c r="P63" s="206"/>
    </row>
    <row r="64" spans="1:16" s="187" customFormat="1" ht="18" customHeight="1">
      <c r="A64" s="187" t="str">
        <f t="shared" si="0"/>
        <v>000314</v>
      </c>
      <c r="B64" s="208" t="s">
        <v>4057</v>
      </c>
      <c r="C64" s="208"/>
      <c r="D64" s="208" t="s">
        <v>4071</v>
      </c>
      <c r="E64" s="208" t="s">
        <v>29</v>
      </c>
      <c r="F64" s="208"/>
      <c r="G64" s="208"/>
      <c r="H64" s="208"/>
      <c r="I64" s="208"/>
      <c r="J64" s="208"/>
      <c r="K64" s="208"/>
      <c r="L64" s="208"/>
      <c r="M64" s="209"/>
      <c r="N64" s="208"/>
      <c r="O64" s="208"/>
      <c r="P64" s="208"/>
    </row>
    <row r="65" spans="1:16" s="187" customFormat="1" ht="18" customHeight="1">
      <c r="A65" s="187" t="str">
        <f t="shared" si="0"/>
        <v>000315</v>
      </c>
      <c r="B65" s="206" t="s">
        <v>4057</v>
      </c>
      <c r="C65" s="206"/>
      <c r="D65" s="206" t="s">
        <v>4072</v>
      </c>
      <c r="E65" s="206" t="s">
        <v>29</v>
      </c>
      <c r="F65" s="206"/>
      <c r="G65" s="206"/>
      <c r="H65" s="206"/>
      <c r="I65" s="206"/>
      <c r="J65" s="206"/>
      <c r="K65" s="206"/>
      <c r="L65" s="206"/>
      <c r="M65" s="207"/>
      <c r="N65" s="206"/>
      <c r="O65" s="206"/>
      <c r="P65" s="206"/>
    </row>
    <row r="66" spans="1:16" s="187" customFormat="1" ht="18" customHeight="1">
      <c r="A66" s="187" t="str">
        <f t="shared" si="0"/>
        <v>000316</v>
      </c>
      <c r="B66" s="208" t="s">
        <v>4057</v>
      </c>
      <c r="C66" s="208"/>
      <c r="D66" s="208" t="s">
        <v>4073</v>
      </c>
      <c r="E66" s="208" t="s">
        <v>29</v>
      </c>
      <c r="F66" s="208"/>
      <c r="G66" s="208"/>
      <c r="H66" s="208"/>
      <c r="I66" s="208"/>
      <c r="J66" s="208"/>
      <c r="K66" s="208"/>
      <c r="L66" s="208"/>
      <c r="M66" s="209"/>
      <c r="N66" s="208"/>
      <c r="O66" s="208"/>
      <c r="P66" s="208"/>
    </row>
    <row r="67" spans="1:16" s="187" customFormat="1" ht="18" customHeight="1">
      <c r="A67" s="187" t="str">
        <f t="shared" si="0"/>
        <v>000317</v>
      </c>
      <c r="B67" s="206" t="s">
        <v>4057</v>
      </c>
      <c r="C67" s="206"/>
      <c r="D67" s="206" t="s">
        <v>4074</v>
      </c>
      <c r="E67" s="206" t="s">
        <v>29</v>
      </c>
      <c r="F67" s="206"/>
      <c r="G67" s="206"/>
      <c r="H67" s="206"/>
      <c r="I67" s="206"/>
      <c r="J67" s="206"/>
      <c r="K67" s="206"/>
      <c r="L67" s="206"/>
      <c r="M67" s="207"/>
      <c r="N67" s="206"/>
      <c r="O67" s="206"/>
      <c r="P67" s="206"/>
    </row>
    <row r="68" spans="1:16" s="187" customFormat="1" ht="18" customHeight="1">
      <c r="A68" s="187" t="str">
        <f t="shared" si="0"/>
        <v>000318</v>
      </c>
      <c r="B68" s="208" t="s">
        <v>4057</v>
      </c>
      <c r="C68" s="208"/>
      <c r="D68" s="208" t="s">
        <v>4075</v>
      </c>
      <c r="E68" s="208" t="s">
        <v>29</v>
      </c>
      <c r="F68" s="208"/>
      <c r="G68" s="208"/>
      <c r="H68" s="208"/>
      <c r="I68" s="208"/>
      <c r="J68" s="208"/>
      <c r="K68" s="208"/>
      <c r="L68" s="208"/>
      <c r="M68" s="209"/>
      <c r="N68" s="208"/>
      <c r="O68" s="208"/>
      <c r="P68" s="208"/>
    </row>
    <row r="69" spans="1:16" s="187" customFormat="1" ht="18" customHeight="1">
      <c r="A69" s="187" t="str">
        <f t="shared" si="0"/>
        <v>000319</v>
      </c>
      <c r="B69" s="206" t="s">
        <v>4057</v>
      </c>
      <c r="C69" s="206"/>
      <c r="D69" s="206" t="s">
        <v>4076</v>
      </c>
      <c r="E69" s="206" t="s">
        <v>29</v>
      </c>
      <c r="F69" s="206"/>
      <c r="G69" s="206"/>
      <c r="H69" s="206"/>
      <c r="I69" s="206"/>
      <c r="J69" s="206"/>
      <c r="K69" s="206"/>
      <c r="L69" s="206"/>
      <c r="M69" s="207"/>
      <c r="N69" s="206"/>
      <c r="O69" s="206"/>
      <c r="P69" s="206"/>
    </row>
    <row r="70" spans="1:16" s="187" customFormat="1" ht="18" customHeight="1">
      <c r="A70" s="187" t="str">
        <f t="shared" ref="A70:A133" si="1">D70</f>
        <v>000320</v>
      </c>
      <c r="B70" s="208" t="s">
        <v>4057</v>
      </c>
      <c r="C70" s="208"/>
      <c r="D70" s="208" t="s">
        <v>4077</v>
      </c>
      <c r="E70" s="208" t="s">
        <v>29</v>
      </c>
      <c r="F70" s="208"/>
      <c r="G70" s="208"/>
      <c r="H70" s="208"/>
      <c r="I70" s="208"/>
      <c r="J70" s="208"/>
      <c r="K70" s="208"/>
      <c r="L70" s="208"/>
      <c r="M70" s="209"/>
      <c r="N70" s="208"/>
      <c r="O70" s="208"/>
      <c r="P70" s="208"/>
    </row>
    <row r="71" spans="1:16" s="187" customFormat="1" ht="18" customHeight="1">
      <c r="A71" s="187" t="str">
        <f t="shared" si="1"/>
        <v>000321</v>
      </c>
      <c r="B71" s="206" t="s">
        <v>4057</v>
      </c>
      <c r="C71" s="206"/>
      <c r="D71" s="206" t="s">
        <v>4078</v>
      </c>
      <c r="E71" s="206" t="s">
        <v>29</v>
      </c>
      <c r="F71" s="206"/>
      <c r="G71" s="206"/>
      <c r="H71" s="206"/>
      <c r="I71" s="206"/>
      <c r="J71" s="206"/>
      <c r="K71" s="206"/>
      <c r="L71" s="206"/>
      <c r="M71" s="207"/>
      <c r="N71" s="206"/>
      <c r="O71" s="206"/>
      <c r="P71" s="206"/>
    </row>
    <row r="72" spans="1:16" s="187" customFormat="1" ht="18" customHeight="1">
      <c r="A72" s="187" t="str">
        <f t="shared" si="1"/>
        <v>000322</v>
      </c>
      <c r="B72" s="208" t="s">
        <v>4057</v>
      </c>
      <c r="C72" s="208"/>
      <c r="D72" s="208" t="s">
        <v>4079</v>
      </c>
      <c r="E72" s="208" t="s">
        <v>29</v>
      </c>
      <c r="F72" s="208"/>
      <c r="G72" s="208"/>
      <c r="H72" s="208"/>
      <c r="I72" s="208"/>
      <c r="J72" s="208"/>
      <c r="K72" s="208"/>
      <c r="L72" s="208"/>
      <c r="M72" s="209"/>
      <c r="N72" s="208"/>
      <c r="O72" s="208"/>
      <c r="P72" s="208"/>
    </row>
    <row r="73" spans="1:16" s="187" customFormat="1" ht="18" customHeight="1">
      <c r="A73" s="187" t="str">
        <f t="shared" si="1"/>
        <v>000323</v>
      </c>
      <c r="B73" s="206" t="s">
        <v>4057</v>
      </c>
      <c r="C73" s="206"/>
      <c r="D73" s="206" t="s">
        <v>4080</v>
      </c>
      <c r="E73" s="206" t="s">
        <v>29</v>
      </c>
      <c r="F73" s="206"/>
      <c r="G73" s="206"/>
      <c r="H73" s="206"/>
      <c r="I73" s="206"/>
      <c r="J73" s="206"/>
      <c r="K73" s="206"/>
      <c r="L73" s="206"/>
      <c r="M73" s="207"/>
      <c r="N73" s="206"/>
      <c r="O73" s="206"/>
      <c r="P73" s="206"/>
    </row>
    <row r="74" spans="1:16" s="187" customFormat="1" ht="18" customHeight="1">
      <c r="A74" s="187" t="str">
        <f t="shared" si="1"/>
        <v>000324</v>
      </c>
      <c r="B74" s="208" t="s">
        <v>4057</v>
      </c>
      <c r="C74" s="208"/>
      <c r="D74" s="208" t="s">
        <v>4081</v>
      </c>
      <c r="E74" s="208" t="s">
        <v>29</v>
      </c>
      <c r="F74" s="208"/>
      <c r="G74" s="208"/>
      <c r="H74" s="208"/>
      <c r="I74" s="208"/>
      <c r="J74" s="208"/>
      <c r="K74" s="208"/>
      <c r="L74" s="208"/>
      <c r="M74" s="209"/>
      <c r="N74" s="208"/>
      <c r="O74" s="208"/>
      <c r="P74" s="208"/>
    </row>
    <row r="75" spans="1:16" s="187" customFormat="1" ht="18" customHeight="1">
      <c r="A75" s="187" t="str">
        <f t="shared" si="1"/>
        <v>000325</v>
      </c>
      <c r="B75" s="206" t="s">
        <v>4057</v>
      </c>
      <c r="C75" s="206"/>
      <c r="D75" s="206" t="s">
        <v>4082</v>
      </c>
      <c r="E75" s="206" t="s">
        <v>29</v>
      </c>
      <c r="F75" s="206"/>
      <c r="G75" s="206"/>
      <c r="H75" s="206"/>
      <c r="I75" s="206"/>
      <c r="J75" s="206"/>
      <c r="K75" s="206"/>
      <c r="L75" s="206"/>
      <c r="M75" s="207"/>
      <c r="N75" s="206"/>
      <c r="O75" s="206"/>
      <c r="P75" s="206"/>
    </row>
    <row r="76" spans="1:16" s="187" customFormat="1" ht="18" customHeight="1">
      <c r="A76" s="187" t="str">
        <f t="shared" si="1"/>
        <v>000326</v>
      </c>
      <c r="B76" s="208" t="s">
        <v>4057</v>
      </c>
      <c r="C76" s="208"/>
      <c r="D76" s="208" t="s">
        <v>4083</v>
      </c>
      <c r="E76" s="208" t="s">
        <v>29</v>
      </c>
      <c r="F76" s="208"/>
      <c r="G76" s="208"/>
      <c r="H76" s="208"/>
      <c r="I76" s="208"/>
      <c r="J76" s="208"/>
      <c r="K76" s="208"/>
      <c r="L76" s="208"/>
      <c r="M76" s="209"/>
      <c r="N76" s="208"/>
      <c r="O76" s="208"/>
      <c r="P76" s="208"/>
    </row>
    <row r="77" spans="1:16" s="187" customFormat="1" ht="18" customHeight="1">
      <c r="A77" s="187" t="str">
        <f t="shared" si="1"/>
        <v>000327</v>
      </c>
      <c r="B77" s="206" t="s">
        <v>4057</v>
      </c>
      <c r="C77" s="206"/>
      <c r="D77" s="206" t="s">
        <v>4084</v>
      </c>
      <c r="E77" s="206" t="s">
        <v>29</v>
      </c>
      <c r="F77" s="206"/>
      <c r="G77" s="206"/>
      <c r="H77" s="206"/>
      <c r="I77" s="206"/>
      <c r="J77" s="206"/>
      <c r="K77" s="206"/>
      <c r="L77" s="206"/>
      <c r="M77" s="207"/>
      <c r="N77" s="206"/>
      <c r="O77" s="206"/>
      <c r="P77" s="206"/>
    </row>
    <row r="78" spans="1:16" s="187" customFormat="1" ht="18" customHeight="1">
      <c r="A78" s="187" t="str">
        <f t="shared" si="1"/>
        <v>000328</v>
      </c>
      <c r="B78" s="208" t="s">
        <v>4057</v>
      </c>
      <c r="C78" s="208"/>
      <c r="D78" s="208" t="s">
        <v>4085</v>
      </c>
      <c r="E78" s="208" t="s">
        <v>29</v>
      </c>
      <c r="F78" s="208"/>
      <c r="G78" s="208"/>
      <c r="H78" s="208"/>
      <c r="I78" s="208"/>
      <c r="J78" s="208"/>
      <c r="K78" s="208"/>
      <c r="L78" s="208"/>
      <c r="M78" s="209"/>
      <c r="N78" s="208"/>
      <c r="O78" s="208"/>
      <c r="P78" s="208"/>
    </row>
    <row r="79" spans="1:16" s="187" customFormat="1" ht="18" customHeight="1">
      <c r="A79" s="187" t="str">
        <f t="shared" si="1"/>
        <v>000329</v>
      </c>
      <c r="B79" s="206" t="s">
        <v>4057</v>
      </c>
      <c r="C79" s="206"/>
      <c r="D79" s="206" t="s">
        <v>4086</v>
      </c>
      <c r="E79" s="206" t="s">
        <v>29</v>
      </c>
      <c r="F79" s="206"/>
      <c r="G79" s="206"/>
      <c r="H79" s="206"/>
      <c r="I79" s="206"/>
      <c r="J79" s="206"/>
      <c r="K79" s="206"/>
      <c r="L79" s="206"/>
      <c r="M79" s="207"/>
      <c r="N79" s="206"/>
      <c r="O79" s="206"/>
      <c r="P79" s="206"/>
    </row>
    <row r="80" spans="1:16" s="187" customFormat="1" ht="18" customHeight="1">
      <c r="A80" s="187" t="str">
        <f t="shared" si="1"/>
        <v>V20121C</v>
      </c>
      <c r="B80" s="208" t="s">
        <v>81</v>
      </c>
      <c r="C80" s="208"/>
      <c r="D80" s="208" t="s">
        <v>80</v>
      </c>
      <c r="E80" s="208" t="s">
        <v>29</v>
      </c>
      <c r="F80" s="208" t="s">
        <v>82</v>
      </c>
      <c r="G80" s="208"/>
      <c r="H80" s="208"/>
      <c r="I80" s="208"/>
      <c r="J80" s="208" t="s">
        <v>83</v>
      </c>
      <c r="K80" s="208" t="s">
        <v>84</v>
      </c>
      <c r="L80" s="208"/>
      <c r="M80" s="209"/>
      <c r="N80" s="208"/>
      <c r="O80" s="208"/>
      <c r="P80" s="208" t="s">
        <v>34</v>
      </c>
    </row>
    <row r="81" spans="1:16" s="187" customFormat="1" ht="18" customHeight="1">
      <c r="A81" s="187" t="str">
        <f t="shared" si="1"/>
        <v>V10262C</v>
      </c>
      <c r="B81" s="206" t="s">
        <v>86</v>
      </c>
      <c r="C81" s="206"/>
      <c r="D81" s="206" t="s">
        <v>85</v>
      </c>
      <c r="E81" s="206" t="s">
        <v>29</v>
      </c>
      <c r="F81" s="206" t="s">
        <v>87</v>
      </c>
      <c r="G81" s="206" t="s">
        <v>88</v>
      </c>
      <c r="H81" s="206"/>
      <c r="I81" s="206"/>
      <c r="J81" s="206" t="s">
        <v>89</v>
      </c>
      <c r="K81" s="206" t="s">
        <v>90</v>
      </c>
      <c r="L81" s="206"/>
      <c r="M81" s="207"/>
      <c r="N81" s="206"/>
      <c r="O81" s="206"/>
      <c r="P81" s="206" t="s">
        <v>91</v>
      </c>
    </row>
    <row r="82" spans="1:16" s="187" customFormat="1" ht="18" customHeight="1">
      <c r="A82" s="187" t="str">
        <f t="shared" si="1"/>
        <v>T3000C0</v>
      </c>
      <c r="B82" s="208" t="s">
        <v>93</v>
      </c>
      <c r="C82" s="208"/>
      <c r="D82" s="208" t="s">
        <v>92</v>
      </c>
      <c r="E82" s="208" t="s">
        <v>29</v>
      </c>
      <c r="F82" s="208" t="s">
        <v>94</v>
      </c>
      <c r="G82" s="208"/>
      <c r="H82" s="208"/>
      <c r="I82" s="208"/>
      <c r="J82" s="208"/>
      <c r="K82" s="208"/>
      <c r="L82" s="208"/>
      <c r="M82" s="209"/>
      <c r="N82" s="208"/>
      <c r="O82" s="208" t="s">
        <v>95</v>
      </c>
      <c r="P82" s="208" t="s">
        <v>96</v>
      </c>
    </row>
    <row r="83" spans="1:16" s="187" customFormat="1" ht="18" customHeight="1">
      <c r="A83" s="187" t="str">
        <f t="shared" si="1"/>
        <v>000801</v>
      </c>
      <c r="B83" s="206" t="s">
        <v>4087</v>
      </c>
      <c r="C83" s="206"/>
      <c r="D83" s="206" t="s">
        <v>4088</v>
      </c>
      <c r="E83" s="206" t="s">
        <v>29</v>
      </c>
      <c r="F83" s="206"/>
      <c r="G83" s="206"/>
      <c r="H83" s="206"/>
      <c r="I83" s="206"/>
      <c r="J83" s="206"/>
      <c r="K83" s="206"/>
      <c r="L83" s="206"/>
      <c r="M83" s="207"/>
      <c r="N83" s="206"/>
      <c r="O83" s="206"/>
      <c r="P83" s="206"/>
    </row>
    <row r="84" spans="1:16" s="187" customFormat="1" ht="18" customHeight="1">
      <c r="A84" s="187" t="str">
        <f t="shared" si="1"/>
        <v>000802</v>
      </c>
      <c r="B84" s="208" t="s">
        <v>4087</v>
      </c>
      <c r="C84" s="208"/>
      <c r="D84" s="208" t="s">
        <v>4089</v>
      </c>
      <c r="E84" s="208" t="s">
        <v>29</v>
      </c>
      <c r="F84" s="208"/>
      <c r="G84" s="208"/>
      <c r="H84" s="208"/>
      <c r="I84" s="208"/>
      <c r="J84" s="208"/>
      <c r="K84" s="208"/>
      <c r="L84" s="208"/>
      <c r="M84" s="209"/>
      <c r="N84" s="208"/>
      <c r="O84" s="208"/>
      <c r="P84" s="208"/>
    </row>
    <row r="85" spans="1:16" s="187" customFormat="1" ht="18" customHeight="1">
      <c r="A85" s="187" t="str">
        <f t="shared" si="1"/>
        <v>000803</v>
      </c>
      <c r="B85" s="206" t="s">
        <v>4087</v>
      </c>
      <c r="C85" s="206"/>
      <c r="D85" s="206" t="s">
        <v>4090</v>
      </c>
      <c r="E85" s="206" t="s">
        <v>29</v>
      </c>
      <c r="F85" s="206"/>
      <c r="G85" s="206"/>
      <c r="H85" s="206"/>
      <c r="I85" s="206"/>
      <c r="J85" s="206"/>
      <c r="K85" s="206"/>
      <c r="L85" s="206"/>
      <c r="M85" s="207"/>
      <c r="N85" s="206"/>
      <c r="O85" s="206"/>
      <c r="P85" s="206"/>
    </row>
    <row r="86" spans="1:16" s="187" customFormat="1" ht="18" customHeight="1">
      <c r="A86" s="187" t="str">
        <f t="shared" si="1"/>
        <v>000804</v>
      </c>
      <c r="B86" s="208" t="s">
        <v>4087</v>
      </c>
      <c r="C86" s="208"/>
      <c r="D86" s="208" t="s">
        <v>4091</v>
      </c>
      <c r="E86" s="208" t="s">
        <v>29</v>
      </c>
      <c r="F86" s="208"/>
      <c r="G86" s="208"/>
      <c r="H86" s="208"/>
      <c r="I86" s="208"/>
      <c r="J86" s="208"/>
      <c r="K86" s="208"/>
      <c r="L86" s="208"/>
      <c r="M86" s="209"/>
      <c r="N86" s="208"/>
      <c r="O86" s="208"/>
      <c r="P86" s="208"/>
    </row>
    <row r="87" spans="1:16" s="187" customFormat="1" ht="18" customHeight="1">
      <c r="A87" s="187" t="str">
        <f t="shared" si="1"/>
        <v>000805</v>
      </c>
      <c r="B87" s="206" t="s">
        <v>4087</v>
      </c>
      <c r="C87" s="206"/>
      <c r="D87" s="206" t="s">
        <v>4092</v>
      </c>
      <c r="E87" s="206" t="s">
        <v>29</v>
      </c>
      <c r="F87" s="206"/>
      <c r="G87" s="206"/>
      <c r="H87" s="206"/>
      <c r="I87" s="206"/>
      <c r="J87" s="206"/>
      <c r="K87" s="206"/>
      <c r="L87" s="206"/>
      <c r="M87" s="207"/>
      <c r="N87" s="206"/>
      <c r="O87" s="206"/>
      <c r="P87" s="206"/>
    </row>
    <row r="88" spans="1:16" s="187" customFormat="1" ht="18" customHeight="1">
      <c r="A88" s="187" t="str">
        <f t="shared" si="1"/>
        <v>000806</v>
      </c>
      <c r="B88" s="208" t="s">
        <v>4087</v>
      </c>
      <c r="C88" s="208"/>
      <c r="D88" s="208" t="s">
        <v>4093</v>
      </c>
      <c r="E88" s="208" t="s">
        <v>29</v>
      </c>
      <c r="F88" s="208"/>
      <c r="G88" s="208"/>
      <c r="H88" s="208"/>
      <c r="I88" s="208"/>
      <c r="J88" s="208"/>
      <c r="K88" s="208"/>
      <c r="L88" s="208"/>
      <c r="M88" s="209"/>
      <c r="N88" s="208"/>
      <c r="O88" s="208"/>
      <c r="P88" s="208"/>
    </row>
    <row r="89" spans="1:16" s="187" customFormat="1" ht="18" customHeight="1">
      <c r="A89" s="187" t="str">
        <f t="shared" si="1"/>
        <v>000807</v>
      </c>
      <c r="B89" s="206" t="s">
        <v>4087</v>
      </c>
      <c r="C89" s="206"/>
      <c r="D89" s="206" t="s">
        <v>4094</v>
      </c>
      <c r="E89" s="206" t="s">
        <v>29</v>
      </c>
      <c r="F89" s="206"/>
      <c r="G89" s="206"/>
      <c r="H89" s="206"/>
      <c r="I89" s="206"/>
      <c r="J89" s="206"/>
      <c r="K89" s="206"/>
      <c r="L89" s="206"/>
      <c r="M89" s="207"/>
      <c r="N89" s="206"/>
      <c r="O89" s="206"/>
      <c r="P89" s="206"/>
    </row>
    <row r="90" spans="1:16" s="187" customFormat="1" ht="18" customHeight="1">
      <c r="A90" s="187" t="str">
        <f t="shared" si="1"/>
        <v>000808</v>
      </c>
      <c r="B90" s="208" t="s">
        <v>4087</v>
      </c>
      <c r="C90" s="208"/>
      <c r="D90" s="208" t="s">
        <v>4095</v>
      </c>
      <c r="E90" s="208" t="s">
        <v>29</v>
      </c>
      <c r="F90" s="208"/>
      <c r="G90" s="208"/>
      <c r="H90" s="208"/>
      <c r="I90" s="208"/>
      <c r="J90" s="208"/>
      <c r="K90" s="208"/>
      <c r="L90" s="208"/>
      <c r="M90" s="209"/>
      <c r="N90" s="208"/>
      <c r="O90" s="208"/>
      <c r="P90" s="208"/>
    </row>
    <row r="91" spans="1:16" s="187" customFormat="1" ht="18" customHeight="1">
      <c r="A91" s="187" t="str">
        <f t="shared" si="1"/>
        <v>000809</v>
      </c>
      <c r="B91" s="206" t="s">
        <v>4087</v>
      </c>
      <c r="C91" s="206"/>
      <c r="D91" s="206" t="s">
        <v>4096</v>
      </c>
      <c r="E91" s="206" t="s">
        <v>29</v>
      </c>
      <c r="F91" s="206"/>
      <c r="G91" s="206"/>
      <c r="H91" s="206"/>
      <c r="I91" s="206"/>
      <c r="J91" s="206"/>
      <c r="K91" s="206"/>
      <c r="L91" s="206"/>
      <c r="M91" s="207"/>
      <c r="N91" s="206"/>
      <c r="O91" s="206"/>
      <c r="P91" s="206"/>
    </row>
    <row r="92" spans="1:16" s="187" customFormat="1" ht="18" customHeight="1">
      <c r="A92" s="187" t="str">
        <f t="shared" si="1"/>
        <v>003820</v>
      </c>
      <c r="B92" s="208" t="s">
        <v>4097</v>
      </c>
      <c r="C92" s="208"/>
      <c r="D92" s="208" t="s">
        <v>4098</v>
      </c>
      <c r="E92" s="208" t="s">
        <v>29</v>
      </c>
      <c r="F92" s="208"/>
      <c r="G92" s="208"/>
      <c r="H92" s="208"/>
      <c r="I92" s="208"/>
      <c r="J92" s="208"/>
      <c r="K92" s="208"/>
      <c r="L92" s="208"/>
      <c r="M92" s="209"/>
      <c r="N92" s="208"/>
      <c r="O92" s="208"/>
      <c r="P92" s="208"/>
    </row>
    <row r="93" spans="1:16" s="187" customFormat="1" ht="18" customHeight="1">
      <c r="A93" s="187" t="str">
        <f t="shared" si="1"/>
        <v>000601</v>
      </c>
      <c r="B93" s="206" t="s">
        <v>3612</v>
      </c>
      <c r="C93" s="206"/>
      <c r="D93" s="206" t="s">
        <v>4100</v>
      </c>
      <c r="E93" s="206" t="s">
        <v>29</v>
      </c>
      <c r="F93" s="206"/>
      <c r="G93" s="206"/>
      <c r="H93" s="206"/>
      <c r="I93" s="206"/>
      <c r="J93" s="206"/>
      <c r="K93" s="206"/>
      <c r="L93" s="206"/>
      <c r="M93" s="207"/>
      <c r="N93" s="206"/>
      <c r="O93" s="206"/>
      <c r="P93" s="206"/>
    </row>
    <row r="94" spans="1:16" s="187" customFormat="1" ht="18" customHeight="1">
      <c r="A94" s="187" t="str">
        <f t="shared" si="1"/>
        <v>000603</v>
      </c>
      <c r="B94" s="208" t="s">
        <v>3612</v>
      </c>
      <c r="C94" s="208"/>
      <c r="D94" s="208" t="s">
        <v>4099</v>
      </c>
      <c r="E94" s="208" t="s">
        <v>29</v>
      </c>
      <c r="F94" s="208"/>
      <c r="G94" s="208"/>
      <c r="H94" s="208"/>
      <c r="I94" s="208"/>
      <c r="J94" s="208"/>
      <c r="K94" s="208"/>
      <c r="L94" s="208"/>
      <c r="M94" s="209"/>
      <c r="N94" s="208"/>
      <c r="O94" s="208"/>
      <c r="P94" s="208"/>
    </row>
    <row r="95" spans="1:16" s="187" customFormat="1" ht="18" customHeight="1">
      <c r="A95" s="187" t="str">
        <f t="shared" si="1"/>
        <v>000602</v>
      </c>
      <c r="B95" s="206" t="s">
        <v>4101</v>
      </c>
      <c r="C95" s="206"/>
      <c r="D95" s="206" t="s">
        <v>4102</v>
      </c>
      <c r="E95" s="206" t="s">
        <v>29</v>
      </c>
      <c r="F95" s="206"/>
      <c r="G95" s="206"/>
      <c r="H95" s="206"/>
      <c r="I95" s="206"/>
      <c r="J95" s="206"/>
      <c r="K95" s="206"/>
      <c r="L95" s="206"/>
      <c r="M95" s="207"/>
      <c r="N95" s="206"/>
      <c r="O95" s="206"/>
      <c r="P95" s="206"/>
    </row>
    <row r="96" spans="1:16" s="187" customFormat="1" ht="18" customHeight="1">
      <c r="A96" s="187" t="str">
        <f t="shared" si="1"/>
        <v>007001</v>
      </c>
      <c r="B96" s="208" t="s">
        <v>4103</v>
      </c>
      <c r="C96" s="208"/>
      <c r="D96" s="208" t="s">
        <v>4104</v>
      </c>
      <c r="E96" s="208" t="s">
        <v>29</v>
      </c>
      <c r="F96" s="208"/>
      <c r="G96" s="208"/>
      <c r="H96" s="208"/>
      <c r="I96" s="208"/>
      <c r="J96" s="208"/>
      <c r="K96" s="208"/>
      <c r="L96" s="208"/>
      <c r="M96" s="209"/>
      <c r="N96" s="208"/>
      <c r="O96" s="208"/>
      <c r="P96" s="208"/>
    </row>
    <row r="97" spans="1:16" s="187" customFormat="1" ht="18" customHeight="1">
      <c r="A97" s="187" t="str">
        <f t="shared" si="1"/>
        <v>001201</v>
      </c>
      <c r="B97" s="206" t="s">
        <v>4105</v>
      </c>
      <c r="C97" s="206"/>
      <c r="D97" s="206" t="s">
        <v>4106</v>
      </c>
      <c r="E97" s="206" t="s">
        <v>29</v>
      </c>
      <c r="F97" s="206"/>
      <c r="G97" s="206"/>
      <c r="H97" s="206"/>
      <c r="I97" s="206"/>
      <c r="J97" s="206"/>
      <c r="K97" s="206"/>
      <c r="L97" s="206"/>
      <c r="M97" s="207"/>
      <c r="N97" s="206"/>
      <c r="O97" s="206"/>
      <c r="P97" s="206"/>
    </row>
    <row r="98" spans="1:16" s="187" customFormat="1" ht="18" customHeight="1">
      <c r="A98" s="187" t="str">
        <f t="shared" si="1"/>
        <v>001202</v>
      </c>
      <c r="B98" s="208" t="s">
        <v>4105</v>
      </c>
      <c r="C98" s="208"/>
      <c r="D98" s="208" t="s">
        <v>4107</v>
      </c>
      <c r="E98" s="208" t="s">
        <v>29</v>
      </c>
      <c r="F98" s="208"/>
      <c r="G98" s="208"/>
      <c r="H98" s="208"/>
      <c r="I98" s="208"/>
      <c r="J98" s="208"/>
      <c r="K98" s="208"/>
      <c r="L98" s="208"/>
      <c r="M98" s="209"/>
      <c r="N98" s="208"/>
      <c r="O98" s="208"/>
      <c r="P98" s="208"/>
    </row>
    <row r="99" spans="1:16" s="187" customFormat="1" ht="18" customHeight="1">
      <c r="A99" s="187" t="str">
        <f t="shared" si="1"/>
        <v>001203</v>
      </c>
      <c r="B99" s="206" t="s">
        <v>4105</v>
      </c>
      <c r="C99" s="206"/>
      <c r="D99" s="206" t="s">
        <v>4108</v>
      </c>
      <c r="E99" s="206" t="s">
        <v>29</v>
      </c>
      <c r="F99" s="206"/>
      <c r="G99" s="206"/>
      <c r="H99" s="206"/>
      <c r="I99" s="206"/>
      <c r="J99" s="206"/>
      <c r="K99" s="206"/>
      <c r="L99" s="206"/>
      <c r="M99" s="207"/>
      <c r="N99" s="206"/>
      <c r="O99" s="206"/>
      <c r="P99" s="206"/>
    </row>
    <row r="100" spans="1:16" s="187" customFormat="1" ht="18" customHeight="1">
      <c r="A100" s="187" t="str">
        <f t="shared" si="1"/>
        <v>001204</v>
      </c>
      <c r="B100" s="208" t="s">
        <v>4105</v>
      </c>
      <c r="C100" s="208"/>
      <c r="D100" s="208" t="s">
        <v>4109</v>
      </c>
      <c r="E100" s="208" t="s">
        <v>29</v>
      </c>
      <c r="F100" s="208"/>
      <c r="G100" s="208"/>
      <c r="H100" s="208"/>
      <c r="I100" s="208"/>
      <c r="J100" s="208"/>
      <c r="K100" s="208"/>
      <c r="L100" s="208"/>
      <c r="M100" s="209"/>
      <c r="N100" s="208"/>
      <c r="O100" s="208"/>
      <c r="P100" s="208"/>
    </row>
    <row r="101" spans="1:16" s="187" customFormat="1" ht="18" customHeight="1">
      <c r="A101" s="187" t="str">
        <f t="shared" si="1"/>
        <v>001205</v>
      </c>
      <c r="B101" s="206" t="s">
        <v>4105</v>
      </c>
      <c r="C101" s="206"/>
      <c r="D101" s="206" t="s">
        <v>4110</v>
      </c>
      <c r="E101" s="206" t="s">
        <v>29</v>
      </c>
      <c r="F101" s="206"/>
      <c r="G101" s="206"/>
      <c r="H101" s="206"/>
      <c r="I101" s="206"/>
      <c r="J101" s="206"/>
      <c r="K101" s="206"/>
      <c r="L101" s="206"/>
      <c r="M101" s="207"/>
      <c r="N101" s="206"/>
      <c r="O101" s="206"/>
      <c r="P101" s="206"/>
    </row>
    <row r="102" spans="1:16" s="187" customFormat="1" ht="18" customHeight="1">
      <c r="A102" s="187" t="str">
        <f t="shared" si="1"/>
        <v>001206</v>
      </c>
      <c r="B102" s="208" t="s">
        <v>4105</v>
      </c>
      <c r="C102" s="208"/>
      <c r="D102" s="208" t="s">
        <v>4111</v>
      </c>
      <c r="E102" s="208" t="s">
        <v>29</v>
      </c>
      <c r="F102" s="208"/>
      <c r="G102" s="208"/>
      <c r="H102" s="208"/>
      <c r="I102" s="208"/>
      <c r="J102" s="208"/>
      <c r="K102" s="208"/>
      <c r="L102" s="208"/>
      <c r="M102" s="209"/>
      <c r="N102" s="208"/>
      <c r="O102" s="208"/>
      <c r="P102" s="208"/>
    </row>
    <row r="103" spans="1:16" s="187" customFormat="1" ht="18" customHeight="1">
      <c r="A103" s="187" t="str">
        <f t="shared" si="1"/>
        <v>001207</v>
      </c>
      <c r="B103" s="206" t="s">
        <v>4105</v>
      </c>
      <c r="C103" s="206"/>
      <c r="D103" s="206" t="s">
        <v>4112</v>
      </c>
      <c r="E103" s="206" t="s">
        <v>29</v>
      </c>
      <c r="F103" s="206"/>
      <c r="G103" s="206"/>
      <c r="H103" s="206"/>
      <c r="I103" s="206"/>
      <c r="J103" s="206"/>
      <c r="K103" s="206"/>
      <c r="L103" s="206"/>
      <c r="M103" s="207"/>
      <c r="N103" s="206"/>
      <c r="O103" s="206"/>
      <c r="P103" s="206"/>
    </row>
    <row r="104" spans="1:16" s="187" customFormat="1" ht="18" customHeight="1">
      <c r="A104" s="187" t="str">
        <f t="shared" si="1"/>
        <v>001208</v>
      </c>
      <c r="B104" s="208" t="s">
        <v>4105</v>
      </c>
      <c r="C104" s="208"/>
      <c r="D104" s="208" t="s">
        <v>4113</v>
      </c>
      <c r="E104" s="208" t="s">
        <v>29</v>
      </c>
      <c r="F104" s="208"/>
      <c r="G104" s="208"/>
      <c r="H104" s="208"/>
      <c r="I104" s="208"/>
      <c r="J104" s="208"/>
      <c r="K104" s="208"/>
      <c r="L104" s="208"/>
      <c r="M104" s="209"/>
      <c r="N104" s="208"/>
      <c r="O104" s="208"/>
      <c r="P104" s="208"/>
    </row>
    <row r="105" spans="1:16" s="187" customFormat="1" ht="18" customHeight="1">
      <c r="A105" s="187" t="str">
        <f t="shared" si="1"/>
        <v>001209</v>
      </c>
      <c r="B105" s="206" t="s">
        <v>4105</v>
      </c>
      <c r="C105" s="206"/>
      <c r="D105" s="206" t="s">
        <v>4114</v>
      </c>
      <c r="E105" s="206" t="s">
        <v>29</v>
      </c>
      <c r="F105" s="206"/>
      <c r="G105" s="206"/>
      <c r="H105" s="206"/>
      <c r="I105" s="206"/>
      <c r="J105" s="206"/>
      <c r="K105" s="206"/>
      <c r="L105" s="206"/>
      <c r="M105" s="207"/>
      <c r="N105" s="206"/>
      <c r="O105" s="206"/>
      <c r="P105" s="206"/>
    </row>
    <row r="106" spans="1:16" s="187" customFormat="1" ht="18" customHeight="1">
      <c r="A106" s="187" t="str">
        <f t="shared" si="1"/>
        <v>CG470001C0</v>
      </c>
      <c r="B106" s="208" t="s">
        <v>98</v>
      </c>
      <c r="C106" s="208"/>
      <c r="D106" s="208" t="s">
        <v>97</v>
      </c>
      <c r="E106" s="208" t="s">
        <v>29</v>
      </c>
      <c r="F106" s="208" t="s">
        <v>99</v>
      </c>
      <c r="G106" s="208"/>
      <c r="H106" s="208"/>
      <c r="I106" s="208"/>
      <c r="J106" s="208"/>
      <c r="K106" s="208"/>
      <c r="L106" s="208"/>
      <c r="M106" s="209"/>
      <c r="N106" s="208"/>
      <c r="O106" s="208"/>
      <c r="P106" s="208" t="s">
        <v>100</v>
      </c>
    </row>
    <row r="107" spans="1:16" s="187" customFormat="1" ht="18" customHeight="1">
      <c r="A107" s="187" t="str">
        <f t="shared" si="1"/>
        <v>040001</v>
      </c>
      <c r="B107" s="206" t="s">
        <v>4115</v>
      </c>
      <c r="C107" s="206"/>
      <c r="D107" s="206" t="s">
        <v>4116</v>
      </c>
      <c r="E107" s="206" t="s">
        <v>29</v>
      </c>
      <c r="F107" s="206"/>
      <c r="G107" s="206"/>
      <c r="H107" s="206"/>
      <c r="I107" s="206"/>
      <c r="J107" s="206"/>
      <c r="K107" s="206"/>
      <c r="L107" s="206"/>
      <c r="M107" s="207"/>
      <c r="N107" s="206"/>
      <c r="O107" s="206"/>
      <c r="P107" s="206"/>
    </row>
    <row r="108" spans="1:16" s="187" customFormat="1" ht="18" customHeight="1">
      <c r="A108" s="187" t="str">
        <f t="shared" si="1"/>
        <v>0100001</v>
      </c>
      <c r="B108" s="208" t="s">
        <v>4118</v>
      </c>
      <c r="C108" s="208"/>
      <c r="D108" s="208" t="s">
        <v>4117</v>
      </c>
      <c r="E108" s="208" t="s">
        <v>29</v>
      </c>
      <c r="F108" s="208"/>
      <c r="G108" s="208"/>
      <c r="H108" s="208"/>
      <c r="I108" s="208"/>
      <c r="J108" s="208"/>
      <c r="K108" s="208"/>
      <c r="L108" s="208"/>
      <c r="M108" s="209"/>
      <c r="N108" s="208"/>
      <c r="O108" s="208"/>
      <c r="P108" s="208"/>
    </row>
    <row r="109" spans="1:16" s="187" customFormat="1" ht="18" customHeight="1">
      <c r="A109" s="187" t="str">
        <f t="shared" si="1"/>
        <v>006501</v>
      </c>
      <c r="B109" s="206" t="s">
        <v>4120</v>
      </c>
      <c r="C109" s="206"/>
      <c r="D109" s="206" t="s">
        <v>4119</v>
      </c>
      <c r="E109" s="206" t="s">
        <v>29</v>
      </c>
      <c r="F109" s="206"/>
      <c r="G109" s="206"/>
      <c r="H109" s="206"/>
      <c r="I109" s="206"/>
      <c r="J109" s="206"/>
      <c r="K109" s="206"/>
      <c r="L109" s="206"/>
      <c r="M109" s="207"/>
      <c r="N109" s="206"/>
      <c r="O109" s="206"/>
      <c r="P109" s="206"/>
    </row>
    <row r="110" spans="1:16" s="187" customFormat="1" ht="18" customHeight="1">
      <c r="A110" s="187" t="str">
        <f t="shared" si="1"/>
        <v>V10243C</v>
      </c>
      <c r="B110" s="208" t="s">
        <v>102</v>
      </c>
      <c r="C110" s="208"/>
      <c r="D110" s="208" t="s">
        <v>101</v>
      </c>
      <c r="E110" s="208" t="s">
        <v>29</v>
      </c>
      <c r="F110" s="208" t="s">
        <v>103</v>
      </c>
      <c r="G110" s="208" t="s">
        <v>104</v>
      </c>
      <c r="H110" s="208"/>
      <c r="I110" s="208"/>
      <c r="J110" s="208" t="s">
        <v>105</v>
      </c>
      <c r="K110" s="208" t="s">
        <v>106</v>
      </c>
      <c r="L110" s="208"/>
      <c r="M110" s="209"/>
      <c r="N110" s="208"/>
      <c r="O110" s="208"/>
      <c r="P110" s="208" t="s">
        <v>91</v>
      </c>
    </row>
    <row r="111" spans="1:16" s="187" customFormat="1" ht="18" customHeight="1">
      <c r="A111" s="187" t="str">
        <f t="shared" si="1"/>
        <v>HSI</v>
      </c>
      <c r="B111" s="206" t="s">
        <v>108</v>
      </c>
      <c r="C111" s="206"/>
      <c r="D111" s="206" t="s">
        <v>1</v>
      </c>
      <c r="E111" s="206" t="s">
        <v>29</v>
      </c>
      <c r="F111" s="206" t="s">
        <v>109</v>
      </c>
      <c r="G111" s="206"/>
      <c r="H111" s="206"/>
      <c r="I111" s="206"/>
      <c r="J111" s="206" t="s">
        <v>110</v>
      </c>
      <c r="K111" s="206" t="s">
        <v>111</v>
      </c>
      <c r="L111" s="206"/>
      <c r="M111" s="207"/>
      <c r="N111" s="206"/>
      <c r="O111" s="206"/>
      <c r="P111" s="206" t="s">
        <v>96</v>
      </c>
    </row>
    <row r="112" spans="1:16" s="187" customFormat="1" ht="18" customHeight="1">
      <c r="A112" s="187" t="str">
        <f t="shared" si="1"/>
        <v>T3007C0</v>
      </c>
      <c r="B112" s="208" t="s">
        <v>108</v>
      </c>
      <c r="C112" s="208"/>
      <c r="D112" s="208" t="s">
        <v>4121</v>
      </c>
      <c r="E112" s="208" t="s">
        <v>29</v>
      </c>
      <c r="F112" s="208" t="s">
        <v>4122</v>
      </c>
      <c r="G112" s="208"/>
      <c r="H112" s="208"/>
      <c r="I112" s="208"/>
      <c r="J112" s="208"/>
      <c r="K112" s="208"/>
      <c r="L112" s="208"/>
      <c r="M112" s="209"/>
      <c r="N112" s="208"/>
      <c r="O112" s="208"/>
      <c r="P112" s="208" t="s">
        <v>96</v>
      </c>
    </row>
    <row r="113" spans="1:16" s="187" customFormat="1" ht="18" customHeight="1">
      <c r="A113" s="187" t="str">
        <f t="shared" si="1"/>
        <v>000701</v>
      </c>
      <c r="B113" s="206" t="s">
        <v>4124</v>
      </c>
      <c r="C113" s="206"/>
      <c r="D113" s="206" t="s">
        <v>4123</v>
      </c>
      <c r="E113" s="206" t="s">
        <v>29</v>
      </c>
      <c r="F113" s="206"/>
      <c r="G113" s="206"/>
      <c r="H113" s="206"/>
      <c r="I113" s="206"/>
      <c r="J113" s="206"/>
      <c r="K113" s="206"/>
      <c r="L113" s="206"/>
      <c r="M113" s="207"/>
      <c r="N113" s="206"/>
      <c r="O113" s="206"/>
      <c r="P113" s="206"/>
    </row>
    <row r="114" spans="1:16" s="187" customFormat="1" ht="18" customHeight="1">
      <c r="A114" s="187" t="str">
        <f t="shared" si="1"/>
        <v>T3001C0</v>
      </c>
      <c r="B114" s="208" t="s">
        <v>113</v>
      </c>
      <c r="C114" s="208"/>
      <c r="D114" s="208" t="s">
        <v>112</v>
      </c>
      <c r="E114" s="208" t="s">
        <v>29</v>
      </c>
      <c r="F114" s="208" t="s">
        <v>114</v>
      </c>
      <c r="G114" s="208"/>
      <c r="H114" s="208"/>
      <c r="I114" s="208"/>
      <c r="J114" s="208" t="s">
        <v>115</v>
      </c>
      <c r="K114" s="208" t="s">
        <v>116</v>
      </c>
      <c r="L114" s="208"/>
      <c r="M114" s="209"/>
      <c r="N114" s="208"/>
      <c r="O114" s="208" t="s">
        <v>95</v>
      </c>
      <c r="P114" s="208" t="s">
        <v>96</v>
      </c>
    </row>
    <row r="115" spans="1:16" s="187" customFormat="1" ht="18" customHeight="1">
      <c r="A115" s="187" t="str">
        <f t="shared" si="1"/>
        <v>V20179C</v>
      </c>
      <c r="B115" s="206" t="s">
        <v>6258</v>
      </c>
      <c r="C115" s="206"/>
      <c r="D115" s="206" t="s">
        <v>6259</v>
      </c>
      <c r="E115" s="206" t="s">
        <v>29</v>
      </c>
      <c r="F115" s="206" t="s">
        <v>6260</v>
      </c>
      <c r="G115" s="206"/>
      <c r="H115" s="206"/>
      <c r="I115" s="206"/>
      <c r="J115" s="206"/>
      <c r="K115" s="206"/>
      <c r="L115" s="206"/>
      <c r="M115" s="207"/>
      <c r="N115" s="206"/>
      <c r="O115" s="206"/>
      <c r="P115" s="206" t="s">
        <v>34</v>
      </c>
    </row>
    <row r="116" spans="1:16" s="187" customFormat="1" ht="18" customHeight="1">
      <c r="A116" s="187" t="str">
        <f t="shared" si="1"/>
        <v>V20055A</v>
      </c>
      <c r="B116" s="208" t="s">
        <v>118</v>
      </c>
      <c r="C116" s="208"/>
      <c r="D116" s="208" t="s">
        <v>117</v>
      </c>
      <c r="E116" s="208" t="s">
        <v>29</v>
      </c>
      <c r="F116" s="208" t="s">
        <v>119</v>
      </c>
      <c r="G116" s="208"/>
      <c r="H116" s="208"/>
      <c r="I116" s="208" t="s">
        <v>120</v>
      </c>
      <c r="J116" s="208" t="s">
        <v>121</v>
      </c>
      <c r="K116" s="208" t="s">
        <v>122</v>
      </c>
      <c r="L116" s="208"/>
      <c r="M116" s="209"/>
      <c r="N116" s="208"/>
      <c r="O116" s="208" t="s">
        <v>40</v>
      </c>
      <c r="P116" s="208" t="s">
        <v>34</v>
      </c>
    </row>
    <row r="117" spans="1:16" s="187" customFormat="1" ht="18" customHeight="1">
      <c r="A117" s="187" t="str">
        <f t="shared" si="1"/>
        <v>V20055B</v>
      </c>
      <c r="B117" s="206" t="s">
        <v>118</v>
      </c>
      <c r="C117" s="206"/>
      <c r="D117" s="206" t="s">
        <v>123</v>
      </c>
      <c r="E117" s="206" t="s">
        <v>29</v>
      </c>
      <c r="F117" s="206" t="s">
        <v>119</v>
      </c>
      <c r="G117" s="206"/>
      <c r="H117" s="206"/>
      <c r="I117" s="206" t="s">
        <v>120</v>
      </c>
      <c r="J117" s="206" t="s">
        <v>121</v>
      </c>
      <c r="K117" s="206" t="s">
        <v>122</v>
      </c>
      <c r="L117" s="206"/>
      <c r="M117" s="207"/>
      <c r="N117" s="206"/>
      <c r="O117" s="206" t="s">
        <v>40</v>
      </c>
      <c r="P117" s="206" t="s">
        <v>34</v>
      </c>
    </row>
    <row r="118" spans="1:16" s="187" customFormat="1" ht="18" customHeight="1">
      <c r="A118" s="187" t="str">
        <f t="shared" si="1"/>
        <v>V20055C</v>
      </c>
      <c r="B118" s="208" t="s">
        <v>118</v>
      </c>
      <c r="C118" s="208"/>
      <c r="D118" s="208" t="s">
        <v>124</v>
      </c>
      <c r="E118" s="208" t="s">
        <v>29</v>
      </c>
      <c r="F118" s="208" t="s">
        <v>119</v>
      </c>
      <c r="G118" s="208"/>
      <c r="H118" s="208"/>
      <c r="I118" s="208" t="s">
        <v>120</v>
      </c>
      <c r="J118" s="208" t="s">
        <v>121</v>
      </c>
      <c r="K118" s="208" t="s">
        <v>122</v>
      </c>
      <c r="L118" s="208"/>
      <c r="M118" s="209"/>
      <c r="N118" s="208"/>
      <c r="O118" s="208" t="s">
        <v>40</v>
      </c>
      <c r="P118" s="208" t="s">
        <v>34</v>
      </c>
    </row>
    <row r="119" spans="1:16" s="187" customFormat="1" ht="18" customHeight="1">
      <c r="A119" s="187" t="str">
        <f t="shared" si="1"/>
        <v>V4000C0</v>
      </c>
      <c r="B119" s="206" t="s">
        <v>126</v>
      </c>
      <c r="C119" s="206"/>
      <c r="D119" s="206" t="s">
        <v>125</v>
      </c>
      <c r="E119" s="206" t="s">
        <v>29</v>
      </c>
      <c r="F119" s="206" t="s">
        <v>127</v>
      </c>
      <c r="G119" s="206"/>
      <c r="H119" s="206"/>
      <c r="I119" s="206" t="s">
        <v>128</v>
      </c>
      <c r="J119" s="206" t="s">
        <v>129</v>
      </c>
      <c r="K119" s="206" t="s">
        <v>130</v>
      </c>
      <c r="L119" s="206"/>
      <c r="M119" s="207"/>
      <c r="N119" s="206"/>
      <c r="O119" s="206" t="s">
        <v>131</v>
      </c>
      <c r="P119" s="206" t="s">
        <v>107</v>
      </c>
    </row>
    <row r="120" spans="1:16" s="187" customFormat="1" ht="18" customHeight="1">
      <c r="A120" s="187" t="str">
        <f t="shared" si="1"/>
        <v>V10263C</v>
      </c>
      <c r="B120" s="208" t="s">
        <v>133</v>
      </c>
      <c r="C120" s="208"/>
      <c r="D120" s="208" t="s">
        <v>132</v>
      </c>
      <c r="E120" s="208" t="s">
        <v>29</v>
      </c>
      <c r="F120" s="208" t="s">
        <v>134</v>
      </c>
      <c r="G120" s="208" t="s">
        <v>135</v>
      </c>
      <c r="H120" s="208"/>
      <c r="I120" s="208" t="s">
        <v>136</v>
      </c>
      <c r="J120" s="208" t="s">
        <v>137</v>
      </c>
      <c r="K120" s="208" t="s">
        <v>138</v>
      </c>
      <c r="L120" s="208"/>
      <c r="M120" s="209"/>
      <c r="N120" s="208"/>
      <c r="O120" s="208"/>
      <c r="P120" s="208" t="s">
        <v>91</v>
      </c>
    </row>
    <row r="121" spans="1:16" s="187" customFormat="1" ht="18" customHeight="1">
      <c r="A121" s="187" t="str">
        <f t="shared" si="1"/>
        <v>V20112A</v>
      </c>
      <c r="B121" s="206" t="s">
        <v>5704</v>
      </c>
      <c r="C121" s="206"/>
      <c r="D121" s="206" t="s">
        <v>3640</v>
      </c>
      <c r="E121" s="206" t="s">
        <v>29</v>
      </c>
      <c r="F121" s="206" t="s">
        <v>3641</v>
      </c>
      <c r="G121" s="206"/>
      <c r="H121" s="206"/>
      <c r="I121" s="206" t="s">
        <v>3642</v>
      </c>
      <c r="J121" s="206" t="s">
        <v>3643</v>
      </c>
      <c r="K121" s="206" t="s">
        <v>3644</v>
      </c>
      <c r="L121" s="206"/>
      <c r="M121" s="207"/>
      <c r="N121" s="206"/>
      <c r="O121" s="206"/>
      <c r="P121" s="206" t="s">
        <v>34</v>
      </c>
    </row>
    <row r="122" spans="1:16" s="187" customFormat="1" ht="18" customHeight="1">
      <c r="A122" s="187" t="str">
        <f t="shared" si="1"/>
        <v>000901</v>
      </c>
      <c r="B122" s="208" t="s">
        <v>4126</v>
      </c>
      <c r="C122" s="208"/>
      <c r="D122" s="208" t="s">
        <v>4125</v>
      </c>
      <c r="E122" s="208" t="s">
        <v>29</v>
      </c>
      <c r="F122" s="208"/>
      <c r="G122" s="208"/>
      <c r="H122" s="208"/>
      <c r="I122" s="208"/>
      <c r="J122" s="208"/>
      <c r="K122" s="208"/>
      <c r="L122" s="208"/>
      <c r="M122" s="209"/>
      <c r="N122" s="208"/>
      <c r="O122" s="208"/>
      <c r="P122" s="208"/>
    </row>
    <row r="123" spans="1:16" s="187" customFormat="1" ht="18" customHeight="1">
      <c r="A123" s="187" t="str">
        <f t="shared" si="1"/>
        <v>001001</v>
      </c>
      <c r="B123" s="206" t="s">
        <v>4128</v>
      </c>
      <c r="C123" s="206"/>
      <c r="D123" s="206" t="s">
        <v>4127</v>
      </c>
      <c r="E123" s="206" t="s">
        <v>29</v>
      </c>
      <c r="F123" s="206"/>
      <c r="G123" s="206"/>
      <c r="H123" s="206"/>
      <c r="I123" s="206"/>
      <c r="J123" s="206"/>
      <c r="K123" s="206"/>
      <c r="L123" s="206"/>
      <c r="M123" s="207"/>
      <c r="N123" s="206"/>
      <c r="O123" s="206"/>
      <c r="P123" s="206"/>
    </row>
    <row r="124" spans="1:16" s="187" customFormat="1" ht="18" customHeight="1">
      <c r="A124" s="187" t="str">
        <f t="shared" si="1"/>
        <v>V20156C</v>
      </c>
      <c r="B124" s="208" t="s">
        <v>5516</v>
      </c>
      <c r="C124" s="208"/>
      <c r="D124" s="208" t="s">
        <v>5517</v>
      </c>
      <c r="E124" s="208" t="s">
        <v>29</v>
      </c>
      <c r="F124" s="208" t="s">
        <v>5518</v>
      </c>
      <c r="G124" s="208"/>
      <c r="H124" s="208"/>
      <c r="I124" s="208"/>
      <c r="J124" s="208" t="s">
        <v>5519</v>
      </c>
      <c r="K124" s="208" t="s">
        <v>5520</v>
      </c>
      <c r="L124" s="208"/>
      <c r="M124" s="209"/>
      <c r="N124" s="208"/>
      <c r="O124" s="208" t="s">
        <v>260</v>
      </c>
      <c r="P124" s="208" t="s">
        <v>34</v>
      </c>
    </row>
    <row r="125" spans="1:16" s="187" customFormat="1" ht="18" customHeight="1">
      <c r="A125" s="187" t="str">
        <f t="shared" si="1"/>
        <v>353500C</v>
      </c>
      <c r="B125" s="206" t="s">
        <v>6261</v>
      </c>
      <c r="C125" s="206"/>
      <c r="D125" s="206" t="s">
        <v>6262</v>
      </c>
      <c r="E125" s="206" t="s">
        <v>141</v>
      </c>
      <c r="F125" s="206" t="s">
        <v>6263</v>
      </c>
      <c r="G125" s="206"/>
      <c r="H125" s="206"/>
      <c r="I125" s="206"/>
      <c r="J125" s="206" t="s">
        <v>6264</v>
      </c>
      <c r="K125" s="206" t="s">
        <v>6265</v>
      </c>
      <c r="L125" s="206"/>
      <c r="M125" s="207"/>
      <c r="N125" s="206"/>
      <c r="O125" s="206"/>
      <c r="P125" s="206" t="s">
        <v>147</v>
      </c>
    </row>
    <row r="126" spans="1:16" s="187" customFormat="1" ht="18" customHeight="1">
      <c r="A126" s="187" t="str">
        <f t="shared" si="1"/>
        <v>353600A</v>
      </c>
      <c r="B126" s="208" t="s">
        <v>4130</v>
      </c>
      <c r="C126" s="208"/>
      <c r="D126" s="208" t="s">
        <v>4129</v>
      </c>
      <c r="E126" s="208" t="s">
        <v>141</v>
      </c>
      <c r="F126" s="208" t="s">
        <v>4131</v>
      </c>
      <c r="G126" s="208"/>
      <c r="H126" s="208"/>
      <c r="I126" s="208"/>
      <c r="J126" s="208"/>
      <c r="K126" s="208"/>
      <c r="L126" s="208"/>
      <c r="M126" s="209"/>
      <c r="N126" s="208"/>
      <c r="O126" s="208"/>
      <c r="P126" s="208" t="s">
        <v>152</v>
      </c>
    </row>
    <row r="127" spans="1:16" s="187" customFormat="1" ht="18" customHeight="1">
      <c r="A127" s="187" t="str">
        <f t="shared" si="1"/>
        <v>P0000117</v>
      </c>
      <c r="B127" s="206" t="s">
        <v>4133</v>
      </c>
      <c r="C127" s="206"/>
      <c r="D127" s="206" t="s">
        <v>4132</v>
      </c>
      <c r="E127" s="206" t="s">
        <v>29</v>
      </c>
      <c r="F127" s="206" t="s">
        <v>4134</v>
      </c>
      <c r="G127" s="206"/>
      <c r="H127" s="206"/>
      <c r="I127" s="206"/>
      <c r="J127" s="206"/>
      <c r="K127" s="206"/>
      <c r="L127" s="206"/>
      <c r="M127" s="207"/>
      <c r="N127" s="206"/>
      <c r="O127" s="206"/>
      <c r="P127" s="206"/>
    </row>
    <row r="128" spans="1:16" s="187" customFormat="1" ht="18" customHeight="1">
      <c r="A128" s="187" t="str">
        <f t="shared" si="1"/>
        <v>CG460008C0</v>
      </c>
      <c r="B128" s="208" t="s">
        <v>5903</v>
      </c>
      <c r="C128" s="208"/>
      <c r="D128" s="208" t="s">
        <v>5904</v>
      </c>
      <c r="E128" s="208" t="s">
        <v>141</v>
      </c>
      <c r="F128" s="208" t="s">
        <v>5905</v>
      </c>
      <c r="G128" s="208"/>
      <c r="H128" s="208"/>
      <c r="I128" s="208"/>
      <c r="J128" s="208"/>
      <c r="K128" s="208"/>
      <c r="L128" s="208"/>
      <c r="M128" s="209"/>
      <c r="N128" s="208"/>
      <c r="O128" s="208"/>
      <c r="P128" s="208" t="s">
        <v>170</v>
      </c>
    </row>
    <row r="129" spans="1:16" s="187" customFormat="1" ht="18" customHeight="1">
      <c r="A129" s="187" t="str">
        <f t="shared" si="1"/>
        <v>CG460002C0</v>
      </c>
      <c r="B129" s="206" t="s">
        <v>140</v>
      </c>
      <c r="C129" s="206"/>
      <c r="D129" s="206" t="s">
        <v>150</v>
      </c>
      <c r="E129" s="206" t="s">
        <v>141</v>
      </c>
      <c r="F129" s="206" t="s">
        <v>142</v>
      </c>
      <c r="G129" s="206"/>
      <c r="H129" s="206"/>
      <c r="I129" s="206" t="s">
        <v>143</v>
      </c>
      <c r="J129" s="206" t="s">
        <v>144</v>
      </c>
      <c r="K129" s="206" t="s">
        <v>145</v>
      </c>
      <c r="L129" s="206"/>
      <c r="M129" s="207"/>
      <c r="N129" s="206"/>
      <c r="O129" s="206"/>
      <c r="P129" s="206" t="s">
        <v>152</v>
      </c>
    </row>
    <row r="130" spans="1:16" s="187" customFormat="1" ht="18" customHeight="1">
      <c r="A130" s="187" t="str">
        <f t="shared" si="1"/>
        <v>355000B</v>
      </c>
      <c r="B130" s="208" t="s">
        <v>140</v>
      </c>
      <c r="C130" s="208"/>
      <c r="D130" s="208" t="s">
        <v>139</v>
      </c>
      <c r="E130" s="208" t="s">
        <v>141</v>
      </c>
      <c r="F130" s="208" t="s">
        <v>142</v>
      </c>
      <c r="G130" s="208"/>
      <c r="H130" s="208"/>
      <c r="I130" s="208" t="s">
        <v>143</v>
      </c>
      <c r="J130" s="208" t="s">
        <v>144</v>
      </c>
      <c r="K130" s="208" t="s">
        <v>145</v>
      </c>
      <c r="L130" s="208"/>
      <c r="M130" s="209"/>
      <c r="N130" s="208"/>
      <c r="O130" s="208" t="s">
        <v>146</v>
      </c>
      <c r="P130" s="208" t="s">
        <v>147</v>
      </c>
    </row>
    <row r="131" spans="1:16" s="187" customFormat="1" ht="18" customHeight="1">
      <c r="A131" s="187" t="str">
        <f t="shared" si="1"/>
        <v>355000A</v>
      </c>
      <c r="B131" s="206" t="s">
        <v>140</v>
      </c>
      <c r="C131" s="206"/>
      <c r="D131" s="206" t="s">
        <v>148</v>
      </c>
      <c r="E131" s="206" t="s">
        <v>141</v>
      </c>
      <c r="F131" s="206" t="s">
        <v>142</v>
      </c>
      <c r="G131" s="206"/>
      <c r="H131" s="206"/>
      <c r="I131" s="206" t="s">
        <v>143</v>
      </c>
      <c r="J131" s="206" t="s">
        <v>144</v>
      </c>
      <c r="K131" s="206" t="s">
        <v>145</v>
      </c>
      <c r="L131" s="206"/>
      <c r="M131" s="207"/>
      <c r="N131" s="206"/>
      <c r="O131" s="206" t="s">
        <v>146</v>
      </c>
      <c r="P131" s="206" t="s">
        <v>147</v>
      </c>
    </row>
    <row r="132" spans="1:16" s="187" customFormat="1" ht="18" customHeight="1">
      <c r="A132" s="187" t="str">
        <f t="shared" si="1"/>
        <v>355000C</v>
      </c>
      <c r="B132" s="208" t="s">
        <v>140</v>
      </c>
      <c r="C132" s="208"/>
      <c r="D132" s="208" t="s">
        <v>149</v>
      </c>
      <c r="E132" s="208" t="s">
        <v>141</v>
      </c>
      <c r="F132" s="208" t="s">
        <v>142</v>
      </c>
      <c r="G132" s="208"/>
      <c r="H132" s="208"/>
      <c r="I132" s="208" t="s">
        <v>143</v>
      </c>
      <c r="J132" s="208" t="s">
        <v>144</v>
      </c>
      <c r="K132" s="208" t="s">
        <v>145</v>
      </c>
      <c r="L132" s="208"/>
      <c r="M132" s="209"/>
      <c r="N132" s="208"/>
      <c r="O132" s="208" t="s">
        <v>146</v>
      </c>
      <c r="P132" s="208" t="s">
        <v>147</v>
      </c>
    </row>
    <row r="133" spans="1:16" s="187" customFormat="1" ht="18" customHeight="1">
      <c r="A133" s="187" t="str">
        <f t="shared" si="1"/>
        <v>P0000115</v>
      </c>
      <c r="B133" s="206" t="s">
        <v>4136</v>
      </c>
      <c r="C133" s="206"/>
      <c r="D133" s="206" t="s">
        <v>4135</v>
      </c>
      <c r="E133" s="206" t="s">
        <v>29</v>
      </c>
      <c r="F133" s="206" t="s">
        <v>4137</v>
      </c>
      <c r="G133" s="206"/>
      <c r="H133" s="206"/>
      <c r="I133" s="206"/>
      <c r="J133" s="206"/>
      <c r="K133" s="206"/>
      <c r="L133" s="206"/>
      <c r="M133" s="207"/>
      <c r="N133" s="206"/>
      <c r="O133" s="206"/>
      <c r="P133" s="206"/>
    </row>
    <row r="134" spans="1:16" s="187" customFormat="1" ht="18" customHeight="1">
      <c r="A134" s="187" t="str">
        <f t="shared" ref="A134:A197" si="2">D134</f>
        <v>355002A</v>
      </c>
      <c r="B134" s="208" t="s">
        <v>4136</v>
      </c>
      <c r="C134" s="208"/>
      <c r="D134" s="208" t="s">
        <v>4138</v>
      </c>
      <c r="E134" s="208" t="s">
        <v>29</v>
      </c>
      <c r="F134" s="208" t="s">
        <v>4139</v>
      </c>
      <c r="G134" s="208"/>
      <c r="H134" s="208"/>
      <c r="I134" s="208"/>
      <c r="J134" s="208"/>
      <c r="K134" s="208"/>
      <c r="L134" s="208"/>
      <c r="M134" s="209"/>
      <c r="N134" s="208"/>
      <c r="O134" s="208"/>
      <c r="P134" s="208" t="s">
        <v>147</v>
      </c>
    </row>
    <row r="135" spans="1:16" s="187" customFormat="1" ht="18" customHeight="1">
      <c r="A135" s="187" t="str">
        <f t="shared" si="2"/>
        <v>CG460004C0</v>
      </c>
      <c r="B135" s="206" t="s">
        <v>5139</v>
      </c>
      <c r="C135" s="206"/>
      <c r="D135" s="206" t="s">
        <v>5140</v>
      </c>
      <c r="E135" s="206" t="s">
        <v>141</v>
      </c>
      <c r="F135" s="206" t="s">
        <v>5141</v>
      </c>
      <c r="G135" s="206"/>
      <c r="H135" s="206"/>
      <c r="I135" s="206"/>
      <c r="J135" s="206"/>
      <c r="K135" s="206"/>
      <c r="L135" s="206"/>
      <c r="M135" s="207"/>
      <c r="N135" s="206"/>
      <c r="O135" s="206"/>
      <c r="P135" s="206" t="s">
        <v>152</v>
      </c>
    </row>
    <row r="136" spans="1:16" s="187" customFormat="1" ht="18" customHeight="1">
      <c r="A136" s="187" t="str">
        <f t="shared" si="2"/>
        <v>V4058C0</v>
      </c>
      <c r="B136" s="208" t="s">
        <v>154</v>
      </c>
      <c r="C136" s="208"/>
      <c r="D136" s="208" t="s">
        <v>153</v>
      </c>
      <c r="E136" s="208" t="s">
        <v>29</v>
      </c>
      <c r="F136" s="208" t="s">
        <v>155</v>
      </c>
      <c r="G136" s="208"/>
      <c r="H136" s="208"/>
      <c r="I136" s="208" t="s">
        <v>156</v>
      </c>
      <c r="J136" s="208" t="s">
        <v>157</v>
      </c>
      <c r="K136" s="208" t="s">
        <v>158</v>
      </c>
      <c r="L136" s="208"/>
      <c r="M136" s="209"/>
      <c r="N136" s="208"/>
      <c r="O136" s="208" t="s">
        <v>131</v>
      </c>
      <c r="P136" s="208" t="s">
        <v>147</v>
      </c>
    </row>
    <row r="137" spans="1:16" s="187" customFormat="1" ht="18" customHeight="1">
      <c r="A137" s="187" t="str">
        <f t="shared" si="2"/>
        <v>100000A</v>
      </c>
      <c r="B137" s="206" t="s">
        <v>160</v>
      </c>
      <c r="C137" s="206"/>
      <c r="D137" s="206" t="s">
        <v>159</v>
      </c>
      <c r="E137" s="206" t="s">
        <v>141</v>
      </c>
      <c r="F137" s="206" t="s">
        <v>161</v>
      </c>
      <c r="G137" s="206"/>
      <c r="H137" s="206"/>
      <c r="I137" s="206"/>
      <c r="J137" s="206" t="s">
        <v>162</v>
      </c>
      <c r="K137" s="206" t="s">
        <v>163</v>
      </c>
      <c r="L137" s="206"/>
      <c r="M137" s="207"/>
      <c r="N137" s="206"/>
      <c r="O137" s="206" t="s">
        <v>146</v>
      </c>
      <c r="P137" s="206" t="s">
        <v>164</v>
      </c>
    </row>
    <row r="138" spans="1:16" s="187" customFormat="1" ht="18" customHeight="1">
      <c r="A138" s="187" t="str">
        <f t="shared" si="2"/>
        <v>100000B</v>
      </c>
      <c r="B138" s="208" t="s">
        <v>160</v>
      </c>
      <c r="C138" s="208"/>
      <c r="D138" s="208" t="s">
        <v>165</v>
      </c>
      <c r="E138" s="208" t="s">
        <v>141</v>
      </c>
      <c r="F138" s="208" t="s">
        <v>161</v>
      </c>
      <c r="G138" s="208"/>
      <c r="H138" s="208"/>
      <c r="I138" s="208"/>
      <c r="J138" s="208" t="s">
        <v>162</v>
      </c>
      <c r="K138" s="208" t="s">
        <v>163</v>
      </c>
      <c r="L138" s="208"/>
      <c r="M138" s="209"/>
      <c r="N138" s="208"/>
      <c r="O138" s="208" t="s">
        <v>146</v>
      </c>
      <c r="P138" s="208" t="s">
        <v>164</v>
      </c>
    </row>
    <row r="139" spans="1:16" s="187" customFormat="1" ht="18" customHeight="1">
      <c r="A139" s="187" t="str">
        <f t="shared" si="2"/>
        <v>100000C</v>
      </c>
      <c r="B139" s="206" t="s">
        <v>160</v>
      </c>
      <c r="C139" s="206"/>
      <c r="D139" s="206" t="s">
        <v>166</v>
      </c>
      <c r="E139" s="206" t="s">
        <v>141</v>
      </c>
      <c r="F139" s="206" t="s">
        <v>161</v>
      </c>
      <c r="G139" s="206"/>
      <c r="H139" s="206"/>
      <c r="I139" s="206"/>
      <c r="J139" s="206" t="s">
        <v>162</v>
      </c>
      <c r="K139" s="206" t="s">
        <v>163</v>
      </c>
      <c r="L139" s="206"/>
      <c r="M139" s="207"/>
      <c r="N139" s="206"/>
      <c r="O139" s="206" t="s">
        <v>146</v>
      </c>
      <c r="P139" s="206" t="s">
        <v>164</v>
      </c>
    </row>
    <row r="140" spans="1:16" s="187" customFormat="1" ht="18" customHeight="1">
      <c r="A140" s="187" t="str">
        <f t="shared" si="2"/>
        <v>P0000113</v>
      </c>
      <c r="B140" s="208" t="s">
        <v>4141</v>
      </c>
      <c r="C140" s="208"/>
      <c r="D140" s="208" t="s">
        <v>4140</v>
      </c>
      <c r="E140" s="208" t="s">
        <v>29</v>
      </c>
      <c r="F140" s="208" t="s">
        <v>4142</v>
      </c>
      <c r="G140" s="208"/>
      <c r="H140" s="208"/>
      <c r="I140" s="208"/>
      <c r="J140" s="208"/>
      <c r="K140" s="208"/>
      <c r="L140" s="208"/>
      <c r="M140" s="209"/>
      <c r="N140" s="208"/>
      <c r="O140" s="208"/>
      <c r="P140" s="208"/>
    </row>
    <row r="141" spans="1:16" s="187" customFormat="1" ht="18" customHeight="1">
      <c r="A141" s="187" t="str">
        <f t="shared" si="2"/>
        <v>100000B__</v>
      </c>
      <c r="B141" s="206" t="s">
        <v>160</v>
      </c>
      <c r="C141" s="206"/>
      <c r="D141" s="206" t="s">
        <v>4143</v>
      </c>
      <c r="E141" s="206" t="s">
        <v>29</v>
      </c>
      <c r="F141" s="206" t="s">
        <v>4144</v>
      </c>
      <c r="G141" s="206"/>
      <c r="H141" s="206"/>
      <c r="I141" s="206"/>
      <c r="J141" s="206"/>
      <c r="K141" s="206"/>
      <c r="L141" s="206"/>
      <c r="M141" s="207"/>
      <c r="N141" s="206"/>
      <c r="O141" s="206"/>
      <c r="P141" s="206" t="s">
        <v>164</v>
      </c>
    </row>
    <row r="142" spans="1:16" s="187" customFormat="1" ht="18" customHeight="1">
      <c r="A142" s="187" t="str">
        <f t="shared" si="2"/>
        <v>CG460006C0</v>
      </c>
      <c r="B142" s="208" t="s">
        <v>5294</v>
      </c>
      <c r="C142" s="208"/>
      <c r="D142" s="208" t="s">
        <v>5295</v>
      </c>
      <c r="E142" s="208" t="s">
        <v>141</v>
      </c>
      <c r="F142" s="208" t="s">
        <v>5296</v>
      </c>
      <c r="G142" s="208"/>
      <c r="H142" s="208"/>
      <c r="I142" s="208"/>
      <c r="J142" s="208"/>
      <c r="K142" s="208"/>
      <c r="L142" s="208"/>
      <c r="M142" s="209"/>
      <c r="N142" s="208"/>
      <c r="O142" s="208"/>
      <c r="P142" s="208" t="s">
        <v>170</v>
      </c>
    </row>
    <row r="143" spans="1:16" s="187" customFormat="1" ht="18" customHeight="1">
      <c r="A143" s="187" t="str">
        <f t="shared" si="2"/>
        <v>CG460001C0</v>
      </c>
      <c r="B143" s="206" t="s">
        <v>168</v>
      </c>
      <c r="C143" s="206"/>
      <c r="D143" s="206" t="s">
        <v>167</v>
      </c>
      <c r="E143" s="206" t="s">
        <v>29</v>
      </c>
      <c r="F143" s="206" t="s">
        <v>169</v>
      </c>
      <c r="G143" s="206"/>
      <c r="H143" s="206"/>
      <c r="I143" s="206"/>
      <c r="J143" s="206"/>
      <c r="K143" s="206"/>
      <c r="L143" s="206"/>
      <c r="M143" s="207"/>
      <c r="N143" s="206"/>
      <c r="O143" s="206"/>
      <c r="P143" s="206" t="s">
        <v>170</v>
      </c>
    </row>
    <row r="144" spans="1:16" s="187" customFormat="1" ht="18" customHeight="1">
      <c r="A144" s="187" t="str">
        <f t="shared" si="2"/>
        <v>316800B</v>
      </c>
      <c r="B144" s="208" t="s">
        <v>172</v>
      </c>
      <c r="C144" s="208"/>
      <c r="D144" s="208" t="s">
        <v>171</v>
      </c>
      <c r="E144" s="208" t="s">
        <v>141</v>
      </c>
      <c r="F144" s="208" t="s">
        <v>6266</v>
      </c>
      <c r="G144" s="208"/>
      <c r="H144" s="208"/>
      <c r="I144" s="208" t="s">
        <v>173</v>
      </c>
      <c r="J144" s="208" t="s">
        <v>174</v>
      </c>
      <c r="K144" s="208" t="s">
        <v>175</v>
      </c>
      <c r="L144" s="208"/>
      <c r="M144" s="209"/>
      <c r="N144" s="208"/>
      <c r="O144" s="208" t="s">
        <v>146</v>
      </c>
      <c r="P144" s="208" t="s">
        <v>164</v>
      </c>
    </row>
    <row r="145" spans="1:16" s="187" customFormat="1" ht="18" customHeight="1">
      <c r="A145" s="187" t="str">
        <f t="shared" si="2"/>
        <v>316800A</v>
      </c>
      <c r="B145" s="206" t="s">
        <v>172</v>
      </c>
      <c r="C145" s="206"/>
      <c r="D145" s="206" t="s">
        <v>176</v>
      </c>
      <c r="E145" s="206" t="s">
        <v>141</v>
      </c>
      <c r="F145" s="206" t="s">
        <v>6266</v>
      </c>
      <c r="G145" s="206"/>
      <c r="H145" s="206"/>
      <c r="I145" s="206" t="s">
        <v>173</v>
      </c>
      <c r="J145" s="206" t="s">
        <v>174</v>
      </c>
      <c r="K145" s="206" t="s">
        <v>175</v>
      </c>
      <c r="L145" s="206"/>
      <c r="M145" s="207"/>
      <c r="N145" s="206"/>
      <c r="O145" s="206" t="s">
        <v>146</v>
      </c>
      <c r="P145" s="206" t="s">
        <v>164</v>
      </c>
    </row>
    <row r="146" spans="1:16" s="187" customFormat="1" ht="18" customHeight="1">
      <c r="A146" s="187" t="str">
        <f t="shared" si="2"/>
        <v>316800C</v>
      </c>
      <c r="B146" s="208" t="s">
        <v>172</v>
      </c>
      <c r="C146" s="208"/>
      <c r="D146" s="208" t="s">
        <v>177</v>
      </c>
      <c r="E146" s="208" t="s">
        <v>141</v>
      </c>
      <c r="F146" s="208" t="s">
        <v>6266</v>
      </c>
      <c r="G146" s="208"/>
      <c r="H146" s="208"/>
      <c r="I146" s="208" t="s">
        <v>173</v>
      </c>
      <c r="J146" s="208" t="s">
        <v>174</v>
      </c>
      <c r="K146" s="208" t="s">
        <v>175</v>
      </c>
      <c r="L146" s="208"/>
      <c r="M146" s="209"/>
      <c r="N146" s="208"/>
      <c r="O146" s="208" t="s">
        <v>146</v>
      </c>
      <c r="P146" s="208" t="s">
        <v>164</v>
      </c>
    </row>
    <row r="147" spans="1:16" s="187" customFormat="1" ht="18" customHeight="1">
      <c r="A147" s="187" t="str">
        <f t="shared" si="2"/>
        <v>CG460009C0</v>
      </c>
      <c r="B147" s="206" t="s">
        <v>6014</v>
      </c>
      <c r="C147" s="206"/>
      <c r="D147" s="206" t="s">
        <v>6015</v>
      </c>
      <c r="E147" s="206" t="s">
        <v>141</v>
      </c>
      <c r="F147" s="206"/>
      <c r="G147" s="206"/>
      <c r="H147" s="206"/>
      <c r="I147" s="206"/>
      <c r="J147" s="206"/>
      <c r="K147" s="206"/>
      <c r="L147" s="206"/>
      <c r="M147" s="207"/>
      <c r="N147" s="206"/>
      <c r="O147" s="206"/>
      <c r="P147" s="206" t="s">
        <v>170</v>
      </c>
    </row>
    <row r="148" spans="1:16" s="187" customFormat="1" ht="18" customHeight="1">
      <c r="A148" s="187" t="str">
        <f t="shared" si="2"/>
        <v>CG460007C0</v>
      </c>
      <c r="B148" s="208" t="s">
        <v>5705</v>
      </c>
      <c r="C148" s="208"/>
      <c r="D148" s="208" t="s">
        <v>5706</v>
      </c>
      <c r="E148" s="208" t="s">
        <v>141</v>
      </c>
      <c r="F148" s="208"/>
      <c r="G148" s="208"/>
      <c r="H148" s="208"/>
      <c r="I148" s="208"/>
      <c r="J148" s="208"/>
      <c r="K148" s="208"/>
      <c r="L148" s="208"/>
      <c r="M148" s="209"/>
      <c r="N148" s="208"/>
      <c r="O148" s="208"/>
      <c r="P148" s="208" t="s">
        <v>152</v>
      </c>
    </row>
    <row r="149" spans="1:16" s="187" customFormat="1" ht="18" customHeight="1">
      <c r="A149" s="187" t="str">
        <f t="shared" si="2"/>
        <v>350700B</v>
      </c>
      <c r="B149" s="206" t="s">
        <v>179</v>
      </c>
      <c r="C149" s="206"/>
      <c r="D149" s="206" t="s">
        <v>4145</v>
      </c>
      <c r="E149" s="206" t="s">
        <v>29</v>
      </c>
      <c r="F149" s="206" t="s">
        <v>4146</v>
      </c>
      <c r="G149" s="206"/>
      <c r="H149" s="206"/>
      <c r="I149" s="206"/>
      <c r="J149" s="206"/>
      <c r="K149" s="206"/>
      <c r="L149" s="206"/>
      <c r="M149" s="207"/>
      <c r="N149" s="206"/>
      <c r="O149" s="206"/>
      <c r="P149" s="206" t="s">
        <v>147</v>
      </c>
    </row>
    <row r="150" spans="1:16" s="187" customFormat="1" ht="18" customHeight="1">
      <c r="A150" s="187" t="str">
        <f t="shared" si="2"/>
        <v>350700C</v>
      </c>
      <c r="B150" s="208" t="s">
        <v>179</v>
      </c>
      <c r="C150" s="208"/>
      <c r="D150" s="208" t="s">
        <v>178</v>
      </c>
      <c r="E150" s="208" t="s">
        <v>29</v>
      </c>
      <c r="F150" s="208" t="s">
        <v>180</v>
      </c>
      <c r="G150" s="208"/>
      <c r="H150" s="208"/>
      <c r="I150" s="208"/>
      <c r="J150" s="208" t="s">
        <v>181</v>
      </c>
      <c r="K150" s="208" t="s">
        <v>182</v>
      </c>
      <c r="L150" s="208"/>
      <c r="M150" s="209"/>
      <c r="N150" s="208"/>
      <c r="O150" s="208"/>
      <c r="P150" s="208" t="s">
        <v>147</v>
      </c>
    </row>
    <row r="151" spans="1:16" s="187" customFormat="1" ht="18" customHeight="1">
      <c r="A151" s="187" t="str">
        <f t="shared" si="2"/>
        <v>971081B</v>
      </c>
      <c r="B151" s="206" t="s">
        <v>184</v>
      </c>
      <c r="C151" s="206"/>
      <c r="D151" s="206" t="s">
        <v>183</v>
      </c>
      <c r="E151" s="206" t="s">
        <v>141</v>
      </c>
      <c r="F151" s="206" t="s">
        <v>185</v>
      </c>
      <c r="G151" s="206"/>
      <c r="H151" s="206"/>
      <c r="I151" s="206" t="s">
        <v>186</v>
      </c>
      <c r="J151" s="206" t="s">
        <v>187</v>
      </c>
      <c r="K151" s="206" t="s">
        <v>188</v>
      </c>
      <c r="L151" s="206"/>
      <c r="M151" s="207"/>
      <c r="N151" s="206"/>
      <c r="O151" s="206" t="s">
        <v>146</v>
      </c>
      <c r="P151" s="206" t="s">
        <v>164</v>
      </c>
    </row>
    <row r="152" spans="1:16" s="187" customFormat="1" ht="18" customHeight="1">
      <c r="A152" s="187" t="str">
        <f t="shared" si="2"/>
        <v>971081C</v>
      </c>
      <c r="B152" s="208" t="s">
        <v>184</v>
      </c>
      <c r="C152" s="208"/>
      <c r="D152" s="208" t="s">
        <v>189</v>
      </c>
      <c r="E152" s="208" t="s">
        <v>141</v>
      </c>
      <c r="F152" s="208" t="s">
        <v>185</v>
      </c>
      <c r="G152" s="208"/>
      <c r="H152" s="208"/>
      <c r="I152" s="208" t="s">
        <v>186</v>
      </c>
      <c r="J152" s="208" t="s">
        <v>187</v>
      </c>
      <c r="K152" s="208" t="s">
        <v>188</v>
      </c>
      <c r="L152" s="208"/>
      <c r="M152" s="209"/>
      <c r="N152" s="208"/>
      <c r="O152" s="208" t="s">
        <v>146</v>
      </c>
      <c r="P152" s="208" t="s">
        <v>164</v>
      </c>
    </row>
    <row r="153" spans="1:16" s="187" customFormat="1" ht="18" customHeight="1">
      <c r="A153" s="187" t="str">
        <f t="shared" si="2"/>
        <v>P0000102</v>
      </c>
      <c r="B153" s="206" t="s">
        <v>4148</v>
      </c>
      <c r="C153" s="206"/>
      <c r="D153" s="206" t="s">
        <v>4150</v>
      </c>
      <c r="E153" s="206" t="s">
        <v>29</v>
      </c>
      <c r="F153" s="206" t="s">
        <v>4151</v>
      </c>
      <c r="G153" s="206"/>
      <c r="H153" s="206"/>
      <c r="I153" s="206"/>
      <c r="J153" s="206"/>
      <c r="K153" s="206"/>
      <c r="L153" s="206"/>
      <c r="M153" s="207"/>
      <c r="N153" s="206"/>
      <c r="O153" s="206"/>
      <c r="P153" s="206"/>
    </row>
    <row r="154" spans="1:16" s="187" customFormat="1" ht="18" customHeight="1">
      <c r="A154" s="187" t="str">
        <f t="shared" si="2"/>
        <v>P0000103</v>
      </c>
      <c r="B154" s="208" t="s">
        <v>4148</v>
      </c>
      <c r="C154" s="208"/>
      <c r="D154" s="208" t="s">
        <v>4152</v>
      </c>
      <c r="E154" s="208" t="s">
        <v>29</v>
      </c>
      <c r="F154" s="208" t="s">
        <v>4142</v>
      </c>
      <c r="G154" s="208"/>
      <c r="H154" s="208"/>
      <c r="I154" s="208"/>
      <c r="J154" s="208"/>
      <c r="K154" s="208"/>
      <c r="L154" s="208"/>
      <c r="M154" s="209"/>
      <c r="N154" s="208"/>
      <c r="O154" s="208"/>
      <c r="P154" s="208"/>
    </row>
    <row r="155" spans="1:16" s="187" customFormat="1" ht="18" customHeight="1">
      <c r="A155" s="187" t="str">
        <f t="shared" si="2"/>
        <v>P0000104</v>
      </c>
      <c r="B155" s="206" t="s">
        <v>4148</v>
      </c>
      <c r="C155" s="206"/>
      <c r="D155" s="206" t="s">
        <v>4153</v>
      </c>
      <c r="E155" s="206" t="s">
        <v>29</v>
      </c>
      <c r="F155" s="206" t="s">
        <v>4154</v>
      </c>
      <c r="G155" s="206"/>
      <c r="H155" s="206"/>
      <c r="I155" s="206"/>
      <c r="J155" s="206"/>
      <c r="K155" s="206"/>
      <c r="L155" s="206"/>
      <c r="M155" s="207"/>
      <c r="N155" s="206"/>
      <c r="O155" s="206"/>
      <c r="P155" s="206"/>
    </row>
    <row r="156" spans="1:16" s="187" customFormat="1" ht="18" customHeight="1">
      <c r="A156" s="187" t="str">
        <f t="shared" si="2"/>
        <v>P0000105</v>
      </c>
      <c r="B156" s="208" t="s">
        <v>4148</v>
      </c>
      <c r="C156" s="208"/>
      <c r="D156" s="208" t="s">
        <v>4155</v>
      </c>
      <c r="E156" s="208" t="s">
        <v>29</v>
      </c>
      <c r="F156" s="208" t="s">
        <v>4156</v>
      </c>
      <c r="G156" s="208"/>
      <c r="H156" s="208"/>
      <c r="I156" s="208"/>
      <c r="J156" s="208"/>
      <c r="K156" s="208"/>
      <c r="L156" s="208"/>
      <c r="M156" s="209"/>
      <c r="N156" s="208"/>
      <c r="O156" s="208"/>
      <c r="P156" s="208"/>
    </row>
    <row r="157" spans="1:16" s="187" customFormat="1" ht="18" customHeight="1">
      <c r="A157" s="187" t="str">
        <f t="shared" si="2"/>
        <v>P0000106</v>
      </c>
      <c r="B157" s="206" t="s">
        <v>4148</v>
      </c>
      <c r="C157" s="206"/>
      <c r="D157" s="206" t="s">
        <v>4157</v>
      </c>
      <c r="E157" s="206" t="s">
        <v>29</v>
      </c>
      <c r="F157" s="206" t="s">
        <v>4158</v>
      </c>
      <c r="G157" s="206"/>
      <c r="H157" s="206"/>
      <c r="I157" s="206"/>
      <c r="J157" s="206"/>
      <c r="K157" s="206"/>
      <c r="L157" s="206"/>
      <c r="M157" s="207"/>
      <c r="N157" s="206"/>
      <c r="O157" s="206"/>
      <c r="P157" s="206"/>
    </row>
    <row r="158" spans="1:16" s="187" customFormat="1" ht="18" customHeight="1">
      <c r="A158" s="187" t="str">
        <f t="shared" si="2"/>
        <v>P0000107</v>
      </c>
      <c r="B158" s="208" t="s">
        <v>4148</v>
      </c>
      <c r="C158" s="208"/>
      <c r="D158" s="208" t="s">
        <v>4159</v>
      </c>
      <c r="E158" s="208" t="s">
        <v>29</v>
      </c>
      <c r="F158" s="208" t="s">
        <v>4160</v>
      </c>
      <c r="G158" s="208"/>
      <c r="H158" s="208"/>
      <c r="I158" s="208"/>
      <c r="J158" s="208"/>
      <c r="K158" s="208"/>
      <c r="L158" s="208"/>
      <c r="M158" s="209"/>
      <c r="N158" s="208"/>
      <c r="O158" s="208"/>
      <c r="P158" s="208"/>
    </row>
    <row r="159" spans="1:16" s="187" customFormat="1" ht="18" customHeight="1">
      <c r="A159" s="187" t="str">
        <f t="shared" si="2"/>
        <v>P0000108</v>
      </c>
      <c r="B159" s="206" t="s">
        <v>4148</v>
      </c>
      <c r="C159" s="206"/>
      <c r="D159" s="206" t="s">
        <v>4161</v>
      </c>
      <c r="E159" s="206" t="s">
        <v>29</v>
      </c>
      <c r="F159" s="206" t="s">
        <v>4162</v>
      </c>
      <c r="G159" s="206"/>
      <c r="H159" s="206"/>
      <c r="I159" s="206"/>
      <c r="J159" s="206"/>
      <c r="K159" s="206"/>
      <c r="L159" s="206"/>
      <c r="M159" s="207"/>
      <c r="N159" s="206"/>
      <c r="O159" s="206"/>
      <c r="P159" s="206"/>
    </row>
    <row r="160" spans="1:16" s="187" customFormat="1" ht="18" customHeight="1">
      <c r="A160" s="187" t="str">
        <f t="shared" si="2"/>
        <v>P0000101</v>
      </c>
      <c r="B160" s="208" t="s">
        <v>4148</v>
      </c>
      <c r="C160" s="208"/>
      <c r="D160" s="208" t="s">
        <v>4147</v>
      </c>
      <c r="E160" s="208" t="s">
        <v>29</v>
      </c>
      <c r="F160" s="208" t="s">
        <v>4149</v>
      </c>
      <c r="G160" s="208"/>
      <c r="H160" s="208"/>
      <c r="I160" s="208"/>
      <c r="J160" s="208"/>
      <c r="K160" s="208"/>
      <c r="L160" s="208"/>
      <c r="M160" s="209"/>
      <c r="N160" s="208"/>
      <c r="O160" s="208"/>
      <c r="P160" s="208"/>
    </row>
    <row r="161" spans="1:16" s="187" customFormat="1" ht="18" customHeight="1">
      <c r="A161" s="187" t="str">
        <f t="shared" si="2"/>
        <v>971081A</v>
      </c>
      <c r="B161" s="206" t="s">
        <v>184</v>
      </c>
      <c r="C161" s="206"/>
      <c r="D161" s="206" t="s">
        <v>190</v>
      </c>
      <c r="E161" s="206" t="s">
        <v>141</v>
      </c>
      <c r="F161" s="206" t="s">
        <v>185</v>
      </c>
      <c r="G161" s="206"/>
      <c r="H161" s="206"/>
      <c r="I161" s="206" t="s">
        <v>186</v>
      </c>
      <c r="J161" s="206" t="s">
        <v>187</v>
      </c>
      <c r="K161" s="206" t="s">
        <v>188</v>
      </c>
      <c r="L161" s="206"/>
      <c r="M161" s="207"/>
      <c r="N161" s="206"/>
      <c r="O161" s="206" t="s">
        <v>146</v>
      </c>
      <c r="P161" s="206" t="s">
        <v>164</v>
      </c>
    </row>
    <row r="162" spans="1:16" s="187" customFormat="1" ht="18" customHeight="1">
      <c r="A162" s="187" t="str">
        <f t="shared" si="2"/>
        <v>P0000110</v>
      </c>
      <c r="B162" s="208" t="s">
        <v>4164</v>
      </c>
      <c r="C162" s="208"/>
      <c r="D162" s="208" t="s">
        <v>4163</v>
      </c>
      <c r="E162" s="208" t="s">
        <v>29</v>
      </c>
      <c r="F162" s="208" t="s">
        <v>4165</v>
      </c>
      <c r="G162" s="208"/>
      <c r="H162" s="208"/>
      <c r="I162" s="208"/>
      <c r="J162" s="208"/>
      <c r="K162" s="208"/>
      <c r="L162" s="208"/>
      <c r="M162" s="209"/>
      <c r="N162" s="208"/>
      <c r="O162" s="208"/>
      <c r="P162" s="208"/>
    </row>
    <row r="163" spans="1:16" s="187" customFormat="1" ht="18" customHeight="1">
      <c r="A163" s="187" t="str">
        <f t="shared" si="2"/>
        <v>P0000118</v>
      </c>
      <c r="B163" s="206" t="s">
        <v>4164</v>
      </c>
      <c r="C163" s="206"/>
      <c r="D163" s="206" t="s">
        <v>4166</v>
      </c>
      <c r="E163" s="206" t="s">
        <v>29</v>
      </c>
      <c r="F163" s="206" t="s">
        <v>4167</v>
      </c>
      <c r="G163" s="206"/>
      <c r="H163" s="206"/>
      <c r="I163" s="206"/>
      <c r="J163" s="206"/>
      <c r="K163" s="206"/>
      <c r="L163" s="206"/>
      <c r="M163" s="207"/>
      <c r="N163" s="206"/>
      <c r="O163" s="206"/>
      <c r="P163" s="206"/>
    </row>
    <row r="164" spans="1:16" s="187" customFormat="1" ht="18" customHeight="1">
      <c r="A164" s="187" t="str">
        <f t="shared" si="2"/>
        <v>P0000119</v>
      </c>
      <c r="B164" s="208" t="s">
        <v>4164</v>
      </c>
      <c r="C164" s="208"/>
      <c r="D164" s="208" t="s">
        <v>4168</v>
      </c>
      <c r="E164" s="208" t="s">
        <v>29</v>
      </c>
      <c r="F164" s="208" t="s">
        <v>4169</v>
      </c>
      <c r="G164" s="208"/>
      <c r="H164" s="208"/>
      <c r="I164" s="208"/>
      <c r="J164" s="208"/>
      <c r="K164" s="208"/>
      <c r="L164" s="208"/>
      <c r="M164" s="209"/>
      <c r="N164" s="208"/>
      <c r="O164" s="208"/>
      <c r="P164" s="208"/>
    </row>
    <row r="165" spans="1:16" s="187" customFormat="1" ht="18" customHeight="1">
      <c r="A165" s="187" t="str">
        <f t="shared" si="2"/>
        <v>P0000112</v>
      </c>
      <c r="B165" s="206" t="s">
        <v>4171</v>
      </c>
      <c r="C165" s="206"/>
      <c r="D165" s="206" t="s">
        <v>4170</v>
      </c>
      <c r="E165" s="206" t="s">
        <v>29</v>
      </c>
      <c r="F165" s="206" t="s">
        <v>4172</v>
      </c>
      <c r="G165" s="206"/>
      <c r="H165" s="206"/>
      <c r="I165" s="206"/>
      <c r="J165" s="206"/>
      <c r="K165" s="206"/>
      <c r="L165" s="206"/>
      <c r="M165" s="207"/>
      <c r="N165" s="206"/>
      <c r="O165" s="206"/>
      <c r="P165" s="206"/>
    </row>
    <row r="166" spans="1:16" s="187" customFormat="1" ht="18" customHeight="1">
      <c r="A166" s="187" t="str">
        <f t="shared" si="2"/>
        <v>520200A</v>
      </c>
      <c r="B166" s="208" t="s">
        <v>192</v>
      </c>
      <c r="C166" s="208"/>
      <c r="D166" s="208" t="s">
        <v>191</v>
      </c>
      <c r="E166" s="208" t="s">
        <v>141</v>
      </c>
      <c r="F166" s="208" t="s">
        <v>193</v>
      </c>
      <c r="G166" s="208"/>
      <c r="H166" s="208"/>
      <c r="I166" s="208"/>
      <c r="J166" s="208" t="s">
        <v>194</v>
      </c>
      <c r="K166" s="208" t="s">
        <v>195</v>
      </c>
      <c r="L166" s="208"/>
      <c r="M166" s="209"/>
      <c r="N166" s="208"/>
      <c r="O166" s="208" t="s">
        <v>146</v>
      </c>
      <c r="P166" s="208" t="s">
        <v>164</v>
      </c>
    </row>
    <row r="167" spans="1:16" s="187" customFormat="1" ht="18" customHeight="1">
      <c r="A167" s="187" t="str">
        <f t="shared" si="2"/>
        <v>520200B</v>
      </c>
      <c r="B167" s="206" t="s">
        <v>192</v>
      </c>
      <c r="C167" s="206"/>
      <c r="D167" s="206" t="s">
        <v>196</v>
      </c>
      <c r="E167" s="206" t="s">
        <v>141</v>
      </c>
      <c r="F167" s="206" t="s">
        <v>193</v>
      </c>
      <c r="G167" s="206"/>
      <c r="H167" s="206"/>
      <c r="I167" s="206"/>
      <c r="J167" s="206" t="s">
        <v>194</v>
      </c>
      <c r="K167" s="206" t="s">
        <v>195</v>
      </c>
      <c r="L167" s="206"/>
      <c r="M167" s="207"/>
      <c r="N167" s="206"/>
      <c r="O167" s="206" t="s">
        <v>146</v>
      </c>
      <c r="P167" s="206" t="s">
        <v>164</v>
      </c>
    </row>
    <row r="168" spans="1:16" s="187" customFormat="1" ht="18" customHeight="1">
      <c r="A168" s="187" t="str">
        <f t="shared" si="2"/>
        <v>520200C</v>
      </c>
      <c r="B168" s="208" t="s">
        <v>192</v>
      </c>
      <c r="C168" s="208"/>
      <c r="D168" s="208" t="s">
        <v>197</v>
      </c>
      <c r="E168" s="208" t="s">
        <v>141</v>
      </c>
      <c r="F168" s="208" t="s">
        <v>198</v>
      </c>
      <c r="G168" s="208"/>
      <c r="H168" s="208"/>
      <c r="I168" s="208"/>
      <c r="J168" s="208" t="s">
        <v>194</v>
      </c>
      <c r="K168" s="208" t="s">
        <v>195</v>
      </c>
      <c r="L168" s="208"/>
      <c r="M168" s="209"/>
      <c r="N168" s="208"/>
      <c r="O168" s="208" t="s">
        <v>146</v>
      </c>
      <c r="P168" s="208" t="s">
        <v>164</v>
      </c>
    </row>
    <row r="169" spans="1:16" s="187" customFormat="1" ht="18" customHeight="1">
      <c r="A169" s="187" t="str">
        <f t="shared" si="2"/>
        <v>CG460005C0</v>
      </c>
      <c r="B169" s="206" t="s">
        <v>192</v>
      </c>
      <c r="C169" s="206"/>
      <c r="D169" s="206" t="s">
        <v>5297</v>
      </c>
      <c r="E169" s="206" t="s">
        <v>141</v>
      </c>
      <c r="F169" s="206" t="s">
        <v>198</v>
      </c>
      <c r="G169" s="206"/>
      <c r="H169" s="206"/>
      <c r="I169" s="206"/>
      <c r="J169" s="206" t="s">
        <v>194</v>
      </c>
      <c r="K169" s="206" t="s">
        <v>195</v>
      </c>
      <c r="L169" s="206"/>
      <c r="M169" s="207"/>
      <c r="N169" s="206"/>
      <c r="O169" s="206" t="s">
        <v>146</v>
      </c>
      <c r="P169" s="206" t="s">
        <v>152</v>
      </c>
    </row>
    <row r="170" spans="1:16" s="187" customFormat="1" ht="18" customHeight="1">
      <c r="A170" s="187" t="str">
        <f t="shared" si="2"/>
        <v>P0000114</v>
      </c>
      <c r="B170" s="208" t="s">
        <v>4174</v>
      </c>
      <c r="C170" s="208"/>
      <c r="D170" s="208" t="s">
        <v>4173</v>
      </c>
      <c r="E170" s="208" t="s">
        <v>29</v>
      </c>
      <c r="F170" s="208" t="s">
        <v>4175</v>
      </c>
      <c r="G170" s="208"/>
      <c r="H170" s="208"/>
      <c r="I170" s="208"/>
      <c r="J170" s="208"/>
      <c r="K170" s="208"/>
      <c r="L170" s="208"/>
      <c r="M170" s="209"/>
      <c r="N170" s="208"/>
      <c r="O170" s="208"/>
      <c r="P170" s="208"/>
    </row>
    <row r="171" spans="1:16" s="187" customFormat="1" ht="18" customHeight="1">
      <c r="A171" s="187" t="str">
        <f t="shared" si="2"/>
        <v>101463A</v>
      </c>
      <c r="B171" s="206" t="s">
        <v>200</v>
      </c>
      <c r="C171" s="206"/>
      <c r="D171" s="206" t="s">
        <v>199</v>
      </c>
      <c r="E171" s="206" t="s">
        <v>141</v>
      </c>
      <c r="F171" s="206" t="s">
        <v>201</v>
      </c>
      <c r="G171" s="206"/>
      <c r="H171" s="206"/>
      <c r="I171" s="206"/>
      <c r="J171" s="206" t="s">
        <v>202</v>
      </c>
      <c r="K171" s="206" t="s">
        <v>203</v>
      </c>
      <c r="L171" s="206"/>
      <c r="M171" s="207"/>
      <c r="N171" s="206"/>
      <c r="O171" s="206" t="s">
        <v>146</v>
      </c>
      <c r="P171" s="206" t="s">
        <v>164</v>
      </c>
    </row>
    <row r="172" spans="1:16" s="187" customFormat="1" ht="18" customHeight="1">
      <c r="A172" s="187" t="str">
        <f t="shared" si="2"/>
        <v>101463B</v>
      </c>
      <c r="B172" s="208" t="s">
        <v>200</v>
      </c>
      <c r="C172" s="208"/>
      <c r="D172" s="208" t="s">
        <v>204</v>
      </c>
      <c r="E172" s="208" t="s">
        <v>141</v>
      </c>
      <c r="F172" s="208" t="s">
        <v>201</v>
      </c>
      <c r="G172" s="208"/>
      <c r="H172" s="208"/>
      <c r="I172" s="208"/>
      <c r="J172" s="208" t="s">
        <v>202</v>
      </c>
      <c r="K172" s="208" t="s">
        <v>203</v>
      </c>
      <c r="L172" s="208"/>
      <c r="M172" s="209"/>
      <c r="N172" s="208"/>
      <c r="O172" s="208" t="s">
        <v>146</v>
      </c>
      <c r="P172" s="208" t="s">
        <v>164</v>
      </c>
    </row>
    <row r="173" spans="1:16" s="187" customFormat="1" ht="18" customHeight="1">
      <c r="A173" s="187" t="str">
        <f t="shared" si="2"/>
        <v>101463C</v>
      </c>
      <c r="B173" s="206" t="s">
        <v>200</v>
      </c>
      <c r="C173" s="206"/>
      <c r="D173" s="206" t="s">
        <v>205</v>
      </c>
      <c r="E173" s="206" t="s">
        <v>141</v>
      </c>
      <c r="F173" s="206" t="s">
        <v>201</v>
      </c>
      <c r="G173" s="206"/>
      <c r="H173" s="206"/>
      <c r="I173" s="206"/>
      <c r="J173" s="206" t="s">
        <v>202</v>
      </c>
      <c r="K173" s="206" t="s">
        <v>203</v>
      </c>
      <c r="L173" s="206"/>
      <c r="M173" s="207"/>
      <c r="N173" s="206"/>
      <c r="O173" s="206" t="s">
        <v>146</v>
      </c>
      <c r="P173" s="206" t="s">
        <v>164</v>
      </c>
    </row>
    <row r="174" spans="1:16" s="187" customFormat="1" ht="18" customHeight="1">
      <c r="A174" s="187" t="str">
        <f t="shared" si="2"/>
        <v>CG460010C0</v>
      </c>
      <c r="B174" s="208" t="s">
        <v>200</v>
      </c>
      <c r="C174" s="208"/>
      <c r="D174" s="208" t="s">
        <v>6267</v>
      </c>
      <c r="E174" s="208" t="s">
        <v>141</v>
      </c>
      <c r="F174" s="208" t="s">
        <v>201</v>
      </c>
      <c r="G174" s="208"/>
      <c r="H174" s="208"/>
      <c r="I174" s="208"/>
      <c r="J174" s="208" t="s">
        <v>202</v>
      </c>
      <c r="K174" s="208" t="s">
        <v>203</v>
      </c>
      <c r="L174" s="208"/>
      <c r="M174" s="209"/>
      <c r="N174" s="208"/>
      <c r="O174" s="208" t="s">
        <v>146</v>
      </c>
      <c r="P174" s="208" t="s">
        <v>152</v>
      </c>
    </row>
    <row r="175" spans="1:16" s="187" customFormat="1" ht="18" customHeight="1">
      <c r="A175" s="187" t="str">
        <f t="shared" si="2"/>
        <v>101000C</v>
      </c>
      <c r="B175" s="206" t="s">
        <v>5906</v>
      </c>
      <c r="C175" s="206"/>
      <c r="D175" s="206" t="s">
        <v>5907</v>
      </c>
      <c r="E175" s="206" t="s">
        <v>141</v>
      </c>
      <c r="F175" s="206" t="s">
        <v>5908</v>
      </c>
      <c r="G175" s="206"/>
      <c r="H175" s="206"/>
      <c r="I175" s="206"/>
      <c r="J175" s="206" t="s">
        <v>5909</v>
      </c>
      <c r="K175" s="206" t="s">
        <v>5910</v>
      </c>
      <c r="L175" s="206"/>
      <c r="M175" s="207"/>
      <c r="N175" s="206"/>
      <c r="O175" s="206"/>
      <c r="P175" s="206" t="s">
        <v>164</v>
      </c>
    </row>
    <row r="176" spans="1:16" s="187" customFormat="1" ht="18" customHeight="1">
      <c r="A176" s="187" t="str">
        <f t="shared" si="2"/>
        <v>310300B</v>
      </c>
      <c r="B176" s="208" t="s">
        <v>207</v>
      </c>
      <c r="C176" s="208"/>
      <c r="D176" s="208" t="s">
        <v>206</v>
      </c>
      <c r="E176" s="208" t="s">
        <v>141</v>
      </c>
      <c r="F176" s="208" t="s">
        <v>208</v>
      </c>
      <c r="G176" s="208"/>
      <c r="H176" s="208"/>
      <c r="I176" s="208"/>
      <c r="J176" s="208" t="s">
        <v>209</v>
      </c>
      <c r="K176" s="208" t="s">
        <v>210</v>
      </c>
      <c r="L176" s="208"/>
      <c r="M176" s="209"/>
      <c r="N176" s="208"/>
      <c r="O176" s="208" t="s">
        <v>146</v>
      </c>
      <c r="P176" s="208" t="s">
        <v>164</v>
      </c>
    </row>
    <row r="177" spans="1:16" s="187" customFormat="1" ht="18" customHeight="1">
      <c r="A177" s="187" t="str">
        <f t="shared" si="2"/>
        <v>310300A</v>
      </c>
      <c r="B177" s="206" t="s">
        <v>207</v>
      </c>
      <c r="C177" s="206"/>
      <c r="D177" s="206" t="s">
        <v>211</v>
      </c>
      <c r="E177" s="206" t="s">
        <v>141</v>
      </c>
      <c r="F177" s="206" t="s">
        <v>208</v>
      </c>
      <c r="G177" s="206"/>
      <c r="H177" s="206"/>
      <c r="I177" s="206"/>
      <c r="J177" s="206" t="s">
        <v>209</v>
      </c>
      <c r="K177" s="206" t="s">
        <v>210</v>
      </c>
      <c r="L177" s="206"/>
      <c r="M177" s="207"/>
      <c r="N177" s="206"/>
      <c r="O177" s="206" t="s">
        <v>146</v>
      </c>
      <c r="P177" s="206" t="s">
        <v>164</v>
      </c>
    </row>
    <row r="178" spans="1:16" s="187" customFormat="1" ht="18" customHeight="1">
      <c r="A178" s="187" t="str">
        <f t="shared" si="2"/>
        <v>310300C</v>
      </c>
      <c r="B178" s="208" t="s">
        <v>207</v>
      </c>
      <c r="C178" s="208"/>
      <c r="D178" s="208" t="s">
        <v>212</v>
      </c>
      <c r="E178" s="208" t="s">
        <v>141</v>
      </c>
      <c r="F178" s="208" t="s">
        <v>208</v>
      </c>
      <c r="G178" s="208"/>
      <c r="H178" s="208"/>
      <c r="I178" s="208"/>
      <c r="J178" s="208" t="s">
        <v>209</v>
      </c>
      <c r="K178" s="208" t="s">
        <v>210</v>
      </c>
      <c r="L178" s="208"/>
      <c r="M178" s="209"/>
      <c r="N178" s="208"/>
      <c r="O178" s="208" t="s">
        <v>146</v>
      </c>
      <c r="P178" s="208" t="s">
        <v>164</v>
      </c>
    </row>
    <row r="179" spans="1:16" s="187" customFormat="1" ht="18" customHeight="1">
      <c r="A179" s="187" t="str">
        <f t="shared" si="2"/>
        <v>CG450010C0</v>
      </c>
      <c r="B179" s="206" t="s">
        <v>214</v>
      </c>
      <c r="C179" s="206"/>
      <c r="D179" s="206" t="s">
        <v>213</v>
      </c>
      <c r="E179" s="206" t="s">
        <v>141</v>
      </c>
      <c r="F179" s="206" t="s">
        <v>215</v>
      </c>
      <c r="G179" s="206"/>
      <c r="H179" s="206"/>
      <c r="I179" s="206"/>
      <c r="J179" s="206"/>
      <c r="K179" s="206"/>
      <c r="L179" s="206"/>
      <c r="M179" s="207"/>
      <c r="N179" s="206"/>
      <c r="O179" s="206"/>
      <c r="P179" s="206" t="s">
        <v>152</v>
      </c>
    </row>
    <row r="180" spans="1:16" s="187" customFormat="1" ht="18" customHeight="1">
      <c r="A180" s="187" t="str">
        <f t="shared" si="2"/>
        <v>350300A</v>
      </c>
      <c r="B180" s="208" t="s">
        <v>214</v>
      </c>
      <c r="C180" s="208"/>
      <c r="D180" s="208" t="s">
        <v>216</v>
      </c>
      <c r="E180" s="208" t="s">
        <v>141</v>
      </c>
      <c r="F180" s="208" t="s">
        <v>217</v>
      </c>
      <c r="G180" s="208"/>
      <c r="H180" s="208"/>
      <c r="I180" s="208"/>
      <c r="J180" s="208" t="s">
        <v>218</v>
      </c>
      <c r="K180" s="208" t="s">
        <v>219</v>
      </c>
      <c r="L180" s="208"/>
      <c r="M180" s="209"/>
      <c r="N180" s="208"/>
      <c r="O180" s="208" t="s">
        <v>146</v>
      </c>
      <c r="P180" s="208" t="s">
        <v>147</v>
      </c>
    </row>
    <row r="181" spans="1:16" s="187" customFormat="1" ht="18" customHeight="1">
      <c r="A181" s="187" t="str">
        <f t="shared" si="2"/>
        <v>350300B</v>
      </c>
      <c r="B181" s="206" t="s">
        <v>214</v>
      </c>
      <c r="C181" s="206"/>
      <c r="D181" s="206" t="s">
        <v>220</v>
      </c>
      <c r="E181" s="206" t="s">
        <v>141</v>
      </c>
      <c r="F181" s="206" t="s">
        <v>217</v>
      </c>
      <c r="G181" s="206"/>
      <c r="H181" s="206"/>
      <c r="I181" s="206"/>
      <c r="J181" s="206" t="s">
        <v>218</v>
      </c>
      <c r="K181" s="206" t="s">
        <v>219</v>
      </c>
      <c r="L181" s="206"/>
      <c r="M181" s="207"/>
      <c r="N181" s="206"/>
      <c r="O181" s="206" t="s">
        <v>146</v>
      </c>
      <c r="P181" s="206" t="s">
        <v>147</v>
      </c>
    </row>
    <row r="182" spans="1:16" s="187" customFormat="1" ht="18" customHeight="1">
      <c r="A182" s="187" t="str">
        <f t="shared" si="2"/>
        <v>350300C</v>
      </c>
      <c r="B182" s="208" t="s">
        <v>214</v>
      </c>
      <c r="C182" s="208"/>
      <c r="D182" s="208" t="s">
        <v>221</v>
      </c>
      <c r="E182" s="208" t="s">
        <v>141</v>
      </c>
      <c r="F182" s="208" t="s">
        <v>217</v>
      </c>
      <c r="G182" s="208"/>
      <c r="H182" s="208"/>
      <c r="I182" s="208"/>
      <c r="J182" s="208" t="s">
        <v>218</v>
      </c>
      <c r="K182" s="208" t="s">
        <v>219</v>
      </c>
      <c r="L182" s="208"/>
      <c r="M182" s="209"/>
      <c r="N182" s="208"/>
      <c r="O182" s="208" t="s">
        <v>146</v>
      </c>
      <c r="P182" s="208" t="s">
        <v>147</v>
      </c>
    </row>
    <row r="183" spans="1:16" s="187" customFormat="1" ht="18" customHeight="1">
      <c r="A183" s="187" t="str">
        <f t="shared" si="2"/>
        <v>CG450006C0</v>
      </c>
      <c r="B183" s="206" t="s">
        <v>223</v>
      </c>
      <c r="C183" s="206"/>
      <c r="D183" s="206" t="s">
        <v>222</v>
      </c>
      <c r="E183" s="206" t="s">
        <v>141</v>
      </c>
      <c r="F183" s="206" t="s">
        <v>224</v>
      </c>
      <c r="G183" s="206"/>
      <c r="H183" s="206"/>
      <c r="I183" s="206"/>
      <c r="J183" s="206"/>
      <c r="K183" s="206"/>
      <c r="L183" s="206"/>
      <c r="M183" s="207"/>
      <c r="N183" s="206"/>
      <c r="O183" s="206"/>
      <c r="P183" s="206" t="s">
        <v>152</v>
      </c>
    </row>
    <row r="184" spans="1:16" s="187" customFormat="1" ht="18" customHeight="1">
      <c r="A184" s="187" t="str">
        <f t="shared" si="2"/>
        <v>351700A</v>
      </c>
      <c r="B184" s="208" t="s">
        <v>223</v>
      </c>
      <c r="C184" s="208"/>
      <c r="D184" s="208" t="s">
        <v>225</v>
      </c>
      <c r="E184" s="208" t="s">
        <v>141</v>
      </c>
      <c r="F184" s="208" t="s">
        <v>226</v>
      </c>
      <c r="G184" s="208"/>
      <c r="H184" s="208"/>
      <c r="I184" s="208" t="s">
        <v>227</v>
      </c>
      <c r="J184" s="208" t="s">
        <v>228</v>
      </c>
      <c r="K184" s="208" t="s">
        <v>229</v>
      </c>
      <c r="L184" s="208"/>
      <c r="M184" s="209"/>
      <c r="N184" s="208"/>
      <c r="O184" s="208" t="s">
        <v>146</v>
      </c>
      <c r="P184" s="208" t="s">
        <v>147</v>
      </c>
    </row>
    <row r="185" spans="1:16" s="187" customFormat="1" ht="18" customHeight="1">
      <c r="A185" s="187" t="str">
        <f t="shared" si="2"/>
        <v>351700B</v>
      </c>
      <c r="B185" s="206" t="s">
        <v>223</v>
      </c>
      <c r="C185" s="206"/>
      <c r="D185" s="206" t="s">
        <v>230</v>
      </c>
      <c r="E185" s="206" t="s">
        <v>141</v>
      </c>
      <c r="F185" s="206" t="s">
        <v>226</v>
      </c>
      <c r="G185" s="206"/>
      <c r="H185" s="206"/>
      <c r="I185" s="206" t="s">
        <v>227</v>
      </c>
      <c r="J185" s="206" t="s">
        <v>228</v>
      </c>
      <c r="K185" s="206" t="s">
        <v>229</v>
      </c>
      <c r="L185" s="206"/>
      <c r="M185" s="207"/>
      <c r="N185" s="206"/>
      <c r="O185" s="206" t="s">
        <v>146</v>
      </c>
      <c r="P185" s="206" t="s">
        <v>147</v>
      </c>
    </row>
    <row r="186" spans="1:16" s="187" customFormat="1" ht="18" customHeight="1">
      <c r="A186" s="187" t="str">
        <f t="shared" si="2"/>
        <v>351700C</v>
      </c>
      <c r="B186" s="208" t="s">
        <v>223</v>
      </c>
      <c r="C186" s="208"/>
      <c r="D186" s="208" t="s">
        <v>231</v>
      </c>
      <c r="E186" s="208" t="s">
        <v>141</v>
      </c>
      <c r="F186" s="208" t="s">
        <v>226</v>
      </c>
      <c r="G186" s="208"/>
      <c r="H186" s="208"/>
      <c r="I186" s="208" t="s">
        <v>227</v>
      </c>
      <c r="J186" s="208" t="s">
        <v>228</v>
      </c>
      <c r="K186" s="208" t="s">
        <v>229</v>
      </c>
      <c r="L186" s="208"/>
      <c r="M186" s="209"/>
      <c r="N186" s="208"/>
      <c r="O186" s="208" t="s">
        <v>146</v>
      </c>
      <c r="P186" s="208" t="s">
        <v>147</v>
      </c>
    </row>
    <row r="187" spans="1:16" s="187" customFormat="1" ht="18" customHeight="1">
      <c r="A187" s="187" t="str">
        <f t="shared" si="2"/>
        <v>352000C</v>
      </c>
      <c r="B187" s="206" t="s">
        <v>6268</v>
      </c>
      <c r="C187" s="206"/>
      <c r="D187" s="206" t="s">
        <v>6269</v>
      </c>
      <c r="E187" s="206" t="s">
        <v>141</v>
      </c>
      <c r="F187" s="206" t="s">
        <v>6270</v>
      </c>
      <c r="G187" s="206"/>
      <c r="H187" s="206"/>
      <c r="I187" s="206"/>
      <c r="J187" s="206" t="s">
        <v>6271</v>
      </c>
      <c r="K187" s="206" t="s">
        <v>6272</v>
      </c>
      <c r="L187" s="206"/>
      <c r="M187" s="207"/>
      <c r="N187" s="206"/>
      <c r="O187" s="206"/>
      <c r="P187" s="206" t="s">
        <v>147</v>
      </c>
    </row>
    <row r="188" spans="1:16" s="187" customFormat="1" ht="18" customHeight="1">
      <c r="A188" s="187" t="str">
        <f t="shared" si="2"/>
        <v>V4066C0</v>
      </c>
      <c r="B188" s="208" t="s">
        <v>233</v>
      </c>
      <c r="C188" s="208"/>
      <c r="D188" s="208" t="s">
        <v>232</v>
      </c>
      <c r="E188" s="208" t="s">
        <v>141</v>
      </c>
      <c r="F188" s="208" t="s">
        <v>234</v>
      </c>
      <c r="G188" s="208"/>
      <c r="H188" s="208"/>
      <c r="I188" s="208"/>
      <c r="J188" s="208" t="s">
        <v>235</v>
      </c>
      <c r="K188" s="208" t="s">
        <v>236</v>
      </c>
      <c r="L188" s="208"/>
      <c r="M188" s="209"/>
      <c r="N188" s="208"/>
      <c r="O188" s="208"/>
      <c r="P188" s="208" t="s">
        <v>164</v>
      </c>
    </row>
    <row r="189" spans="1:16" s="187" customFormat="1" ht="18" customHeight="1">
      <c r="A189" s="187" t="str">
        <f t="shared" si="2"/>
        <v>353400A</v>
      </c>
      <c r="B189" s="206" t="s">
        <v>238</v>
      </c>
      <c r="C189" s="206"/>
      <c r="D189" s="206" t="s">
        <v>237</v>
      </c>
      <c r="E189" s="206" t="s">
        <v>151</v>
      </c>
      <c r="F189" s="206" t="s">
        <v>239</v>
      </c>
      <c r="G189" s="206"/>
      <c r="H189" s="206"/>
      <c r="I189" s="206" t="s">
        <v>240</v>
      </c>
      <c r="J189" s="206" t="s">
        <v>241</v>
      </c>
      <c r="K189" s="206"/>
      <c r="L189" s="206"/>
      <c r="M189" s="207"/>
      <c r="N189" s="206"/>
      <c r="O189" s="206"/>
      <c r="P189" s="206" t="s">
        <v>147</v>
      </c>
    </row>
    <row r="190" spans="1:16" s="187" customFormat="1" ht="18" customHeight="1">
      <c r="A190" s="187" t="str">
        <f t="shared" si="2"/>
        <v>V20026A</v>
      </c>
      <c r="B190" s="208" t="s">
        <v>243</v>
      </c>
      <c r="C190" s="208"/>
      <c r="D190" s="208" t="s">
        <v>242</v>
      </c>
      <c r="E190" s="208" t="s">
        <v>29</v>
      </c>
      <c r="F190" s="208" t="s">
        <v>244</v>
      </c>
      <c r="G190" s="208" t="s">
        <v>245</v>
      </c>
      <c r="H190" s="208"/>
      <c r="I190" s="208" t="s">
        <v>246</v>
      </c>
      <c r="J190" s="208" t="s">
        <v>247</v>
      </c>
      <c r="K190" s="208" t="s">
        <v>248</v>
      </c>
      <c r="L190" s="208"/>
      <c r="M190" s="209"/>
      <c r="N190" s="208"/>
      <c r="O190" s="208" t="s">
        <v>40</v>
      </c>
      <c r="P190" s="208" t="s">
        <v>34</v>
      </c>
    </row>
    <row r="191" spans="1:16" s="187" customFormat="1" ht="18" customHeight="1">
      <c r="A191" s="187" t="str">
        <f t="shared" si="2"/>
        <v>V20026B</v>
      </c>
      <c r="B191" s="206" t="s">
        <v>243</v>
      </c>
      <c r="C191" s="206"/>
      <c r="D191" s="206" t="s">
        <v>249</v>
      </c>
      <c r="E191" s="206" t="s">
        <v>29</v>
      </c>
      <c r="F191" s="206" t="s">
        <v>244</v>
      </c>
      <c r="G191" s="206" t="s">
        <v>250</v>
      </c>
      <c r="H191" s="206"/>
      <c r="I191" s="206" t="s">
        <v>246</v>
      </c>
      <c r="J191" s="206" t="s">
        <v>247</v>
      </c>
      <c r="K191" s="206" t="s">
        <v>248</v>
      </c>
      <c r="L191" s="206"/>
      <c r="M191" s="207"/>
      <c r="N191" s="206"/>
      <c r="O191" s="206" t="s">
        <v>40</v>
      </c>
      <c r="P191" s="206" t="s">
        <v>34</v>
      </c>
    </row>
    <row r="192" spans="1:16" s="187" customFormat="1" ht="18" customHeight="1">
      <c r="A192" s="187" t="str">
        <f t="shared" si="2"/>
        <v>V20026C</v>
      </c>
      <c r="B192" s="208" t="s">
        <v>243</v>
      </c>
      <c r="C192" s="208"/>
      <c r="D192" s="208" t="s">
        <v>251</v>
      </c>
      <c r="E192" s="208" t="s">
        <v>29</v>
      </c>
      <c r="F192" s="208" t="s">
        <v>244</v>
      </c>
      <c r="G192" s="208" t="s">
        <v>250</v>
      </c>
      <c r="H192" s="208"/>
      <c r="I192" s="208" t="s">
        <v>246</v>
      </c>
      <c r="J192" s="208" t="s">
        <v>247</v>
      </c>
      <c r="K192" s="208" t="s">
        <v>248</v>
      </c>
      <c r="L192" s="208"/>
      <c r="M192" s="209"/>
      <c r="N192" s="208"/>
      <c r="O192" s="208" t="s">
        <v>40</v>
      </c>
      <c r="P192" s="208" t="s">
        <v>34</v>
      </c>
    </row>
    <row r="193" spans="1:16" s="187" customFormat="1" ht="18" customHeight="1">
      <c r="A193" s="187" t="str">
        <f t="shared" si="2"/>
        <v>V4092C0</v>
      </c>
      <c r="B193" s="206" t="s">
        <v>5298</v>
      </c>
      <c r="C193" s="206"/>
      <c r="D193" s="206" t="s">
        <v>5299</v>
      </c>
      <c r="E193" s="206" t="s">
        <v>151</v>
      </c>
      <c r="F193" s="206" t="s">
        <v>5300</v>
      </c>
      <c r="G193" s="206"/>
      <c r="H193" s="206"/>
      <c r="I193" s="206"/>
      <c r="J193" s="206" t="s">
        <v>5301</v>
      </c>
      <c r="K193" s="206"/>
      <c r="L193" s="206"/>
      <c r="M193" s="207"/>
      <c r="N193" s="206"/>
      <c r="O193" s="206"/>
      <c r="P193" s="206" t="s">
        <v>107</v>
      </c>
    </row>
    <row r="194" spans="1:16" s="187" customFormat="1" ht="18" customHeight="1">
      <c r="A194" s="187" t="str">
        <f t="shared" si="2"/>
        <v>CG440041C0</v>
      </c>
      <c r="B194" s="208" t="s">
        <v>5427</v>
      </c>
      <c r="C194" s="208"/>
      <c r="D194" s="208" t="s">
        <v>5911</v>
      </c>
      <c r="E194" s="208" t="s">
        <v>151</v>
      </c>
      <c r="F194" s="208"/>
      <c r="G194" s="208"/>
      <c r="H194" s="208"/>
      <c r="I194" s="208"/>
      <c r="J194" s="208"/>
      <c r="K194" s="208"/>
      <c r="L194" s="208"/>
      <c r="M194" s="209"/>
      <c r="N194" s="208"/>
      <c r="O194" s="208"/>
      <c r="P194" s="208" t="s">
        <v>100</v>
      </c>
    </row>
    <row r="195" spans="1:16" s="187" customFormat="1" ht="18" customHeight="1">
      <c r="A195" s="187" t="str">
        <f t="shared" si="2"/>
        <v>V4094C0</v>
      </c>
      <c r="B195" s="206" t="s">
        <v>5427</v>
      </c>
      <c r="C195" s="206"/>
      <c r="D195" s="206" t="s">
        <v>5428</v>
      </c>
      <c r="E195" s="206" t="s">
        <v>151</v>
      </c>
      <c r="F195" s="206"/>
      <c r="G195" s="206"/>
      <c r="H195" s="206"/>
      <c r="I195" s="206"/>
      <c r="J195" s="206"/>
      <c r="K195" s="206"/>
      <c r="L195" s="206"/>
      <c r="M195" s="207"/>
      <c r="N195" s="206"/>
      <c r="O195" s="206"/>
      <c r="P195" s="206" t="s">
        <v>107</v>
      </c>
    </row>
    <row r="196" spans="1:16" s="187" customFormat="1" ht="18" customHeight="1">
      <c r="A196" s="187" t="str">
        <f t="shared" si="2"/>
        <v>001101</v>
      </c>
      <c r="B196" s="208" t="s">
        <v>4177</v>
      </c>
      <c r="C196" s="208"/>
      <c r="D196" s="208" t="s">
        <v>4176</v>
      </c>
      <c r="E196" s="208" t="s">
        <v>29</v>
      </c>
      <c r="F196" s="208"/>
      <c r="G196" s="208"/>
      <c r="H196" s="208"/>
      <c r="I196" s="208"/>
      <c r="J196" s="208"/>
      <c r="K196" s="208"/>
      <c r="L196" s="208"/>
      <c r="M196" s="209"/>
      <c r="N196" s="208"/>
      <c r="O196" s="208"/>
      <c r="P196" s="208"/>
    </row>
    <row r="197" spans="1:16" s="187" customFormat="1" ht="18" customHeight="1">
      <c r="A197" s="187" t="str">
        <f t="shared" si="2"/>
        <v>CG440025C0</v>
      </c>
      <c r="B197" s="206" t="s">
        <v>253</v>
      </c>
      <c r="C197" s="206"/>
      <c r="D197" s="206" t="s">
        <v>252</v>
      </c>
      <c r="E197" s="206" t="s">
        <v>29</v>
      </c>
      <c r="F197" s="206" t="s">
        <v>254</v>
      </c>
      <c r="G197" s="206" t="s">
        <v>255</v>
      </c>
      <c r="H197" s="206"/>
      <c r="I197" s="206"/>
      <c r="J197" s="206"/>
      <c r="K197" s="206"/>
      <c r="L197" s="206"/>
      <c r="M197" s="207"/>
      <c r="N197" s="206"/>
      <c r="O197" s="206"/>
      <c r="P197" s="206" t="s">
        <v>100</v>
      </c>
    </row>
    <row r="198" spans="1:16" s="187" customFormat="1" ht="18" customHeight="1">
      <c r="A198" s="187" t="str">
        <f t="shared" ref="A198:A261" si="3">D198</f>
        <v>V10180A</v>
      </c>
      <c r="B198" s="208" t="s">
        <v>253</v>
      </c>
      <c r="C198" s="208"/>
      <c r="D198" s="208" t="s">
        <v>256</v>
      </c>
      <c r="E198" s="208" t="s">
        <v>29</v>
      </c>
      <c r="F198" s="208" t="s">
        <v>5128</v>
      </c>
      <c r="G198" s="208" t="s">
        <v>255</v>
      </c>
      <c r="H198" s="208"/>
      <c r="I198" s="208" t="s">
        <v>257</v>
      </c>
      <c r="J198" s="208" t="s">
        <v>258</v>
      </c>
      <c r="K198" s="208" t="s">
        <v>259</v>
      </c>
      <c r="L198" s="208"/>
      <c r="M198" s="209"/>
      <c r="N198" s="208"/>
      <c r="O198" s="208" t="s">
        <v>260</v>
      </c>
      <c r="P198" s="208" t="s">
        <v>91</v>
      </c>
    </row>
    <row r="199" spans="1:16" s="187" customFormat="1" ht="18" customHeight="1">
      <c r="A199" s="187" t="str">
        <f t="shared" si="3"/>
        <v>V10180B</v>
      </c>
      <c r="B199" s="206" t="s">
        <v>253</v>
      </c>
      <c r="C199" s="206"/>
      <c r="D199" s="206" t="s">
        <v>261</v>
      </c>
      <c r="E199" s="206" t="s">
        <v>29</v>
      </c>
      <c r="F199" s="206" t="s">
        <v>5128</v>
      </c>
      <c r="G199" s="206" t="s">
        <v>255</v>
      </c>
      <c r="H199" s="206"/>
      <c r="I199" s="206" t="s">
        <v>257</v>
      </c>
      <c r="J199" s="206" t="s">
        <v>258</v>
      </c>
      <c r="K199" s="206" t="s">
        <v>259</v>
      </c>
      <c r="L199" s="206"/>
      <c r="M199" s="207"/>
      <c r="N199" s="206"/>
      <c r="O199" s="206" t="s">
        <v>260</v>
      </c>
      <c r="P199" s="206" t="s">
        <v>91</v>
      </c>
    </row>
    <row r="200" spans="1:16" s="187" customFormat="1" ht="18" customHeight="1">
      <c r="A200" s="187" t="str">
        <f t="shared" si="3"/>
        <v>V10180C</v>
      </c>
      <c r="B200" s="208" t="s">
        <v>253</v>
      </c>
      <c r="C200" s="208"/>
      <c r="D200" s="208" t="s">
        <v>262</v>
      </c>
      <c r="E200" s="208" t="s">
        <v>29</v>
      </c>
      <c r="F200" s="208" t="s">
        <v>5128</v>
      </c>
      <c r="G200" s="208" t="s">
        <v>255</v>
      </c>
      <c r="H200" s="208"/>
      <c r="I200" s="208" t="s">
        <v>257</v>
      </c>
      <c r="J200" s="208" t="s">
        <v>258</v>
      </c>
      <c r="K200" s="208" t="s">
        <v>259</v>
      </c>
      <c r="L200" s="208"/>
      <c r="M200" s="209"/>
      <c r="N200" s="208"/>
      <c r="O200" s="208" t="s">
        <v>260</v>
      </c>
      <c r="P200" s="208" t="s">
        <v>91</v>
      </c>
    </row>
    <row r="201" spans="1:16" s="187" customFormat="1" ht="18" customHeight="1">
      <c r="A201" s="187" t="str">
        <f t="shared" si="3"/>
        <v>P0000109</v>
      </c>
      <c r="B201" s="206" t="s">
        <v>4179</v>
      </c>
      <c r="C201" s="206"/>
      <c r="D201" s="206" t="s">
        <v>4178</v>
      </c>
      <c r="E201" s="206" t="s">
        <v>29</v>
      </c>
      <c r="F201" s="206" t="s">
        <v>4180</v>
      </c>
      <c r="G201" s="206"/>
      <c r="H201" s="206"/>
      <c r="I201" s="206"/>
      <c r="J201" s="206"/>
      <c r="K201" s="206"/>
      <c r="L201" s="206"/>
      <c r="M201" s="207"/>
      <c r="N201" s="206"/>
      <c r="O201" s="206"/>
      <c r="P201" s="206"/>
    </row>
    <row r="202" spans="1:16" s="187" customFormat="1" ht="18" customHeight="1">
      <c r="A202" s="187" t="str">
        <f t="shared" si="3"/>
        <v>V20153C</v>
      </c>
      <c r="B202" s="208" t="s">
        <v>5567</v>
      </c>
      <c r="C202" s="208"/>
      <c r="D202" s="208" t="s">
        <v>5568</v>
      </c>
      <c r="E202" s="208" t="s">
        <v>29</v>
      </c>
      <c r="F202" s="208" t="s">
        <v>5569</v>
      </c>
      <c r="G202" s="208"/>
      <c r="H202" s="208"/>
      <c r="I202" s="208"/>
      <c r="J202" s="208" t="s">
        <v>5570</v>
      </c>
      <c r="K202" s="208" t="s">
        <v>5571</v>
      </c>
      <c r="L202" s="208"/>
      <c r="M202" s="209"/>
      <c r="N202" s="208"/>
      <c r="O202" s="208" t="s">
        <v>260</v>
      </c>
      <c r="P202" s="208" t="s">
        <v>34</v>
      </c>
    </row>
    <row r="203" spans="1:16" s="187" customFormat="1" ht="18" customHeight="1">
      <c r="A203" s="187" t="str">
        <f t="shared" si="3"/>
        <v>V3100C0</v>
      </c>
      <c r="B203" s="206" t="s">
        <v>264</v>
      </c>
      <c r="C203" s="206"/>
      <c r="D203" s="206" t="s">
        <v>267</v>
      </c>
      <c r="E203" s="206" t="s">
        <v>151</v>
      </c>
      <c r="F203" s="206" t="s">
        <v>94</v>
      </c>
      <c r="G203" s="206"/>
      <c r="H203" s="206"/>
      <c r="I203" s="206"/>
      <c r="J203" s="206"/>
      <c r="K203" s="206"/>
      <c r="L203" s="206"/>
      <c r="M203" s="207"/>
      <c r="N203" s="206"/>
      <c r="O203" s="206" t="s">
        <v>268</v>
      </c>
      <c r="P203" s="206" t="s">
        <v>269</v>
      </c>
    </row>
    <row r="204" spans="1:16" s="187" customFormat="1" ht="18" customHeight="1">
      <c r="A204" s="187" t="str">
        <f t="shared" si="3"/>
        <v>CG410001C0</v>
      </c>
      <c r="B204" s="208" t="s">
        <v>264</v>
      </c>
      <c r="C204" s="208"/>
      <c r="D204" s="208" t="s">
        <v>263</v>
      </c>
      <c r="E204" s="208" t="s">
        <v>151</v>
      </c>
      <c r="F204" s="208" t="s">
        <v>265</v>
      </c>
      <c r="G204" s="208"/>
      <c r="H204" s="208"/>
      <c r="I204" s="208"/>
      <c r="J204" s="208"/>
      <c r="K204" s="208"/>
      <c r="L204" s="208"/>
      <c r="M204" s="209"/>
      <c r="N204" s="208"/>
      <c r="O204" s="208"/>
      <c r="P204" s="208" t="s">
        <v>266</v>
      </c>
    </row>
    <row r="205" spans="1:16" s="187" customFormat="1" ht="18" customHeight="1">
      <c r="A205" s="187" t="str">
        <f t="shared" si="3"/>
        <v>V20070A</v>
      </c>
      <c r="B205" s="206" t="s">
        <v>271</v>
      </c>
      <c r="C205" s="206"/>
      <c r="D205" s="206" t="s">
        <v>270</v>
      </c>
      <c r="E205" s="206" t="s">
        <v>29</v>
      </c>
      <c r="F205" s="206" t="s">
        <v>272</v>
      </c>
      <c r="G205" s="206"/>
      <c r="H205" s="206"/>
      <c r="I205" s="206"/>
      <c r="J205" s="206" t="s">
        <v>273</v>
      </c>
      <c r="K205" s="206" t="s">
        <v>274</v>
      </c>
      <c r="L205" s="206"/>
      <c r="M205" s="207"/>
      <c r="N205" s="206"/>
      <c r="O205" s="206" t="s">
        <v>40</v>
      </c>
      <c r="P205" s="206" t="s">
        <v>34</v>
      </c>
    </row>
    <row r="206" spans="1:16" s="187" customFormat="1" ht="18" customHeight="1">
      <c r="A206" s="187" t="str">
        <f t="shared" si="3"/>
        <v>V20070B</v>
      </c>
      <c r="B206" s="208" t="s">
        <v>271</v>
      </c>
      <c r="C206" s="208"/>
      <c r="D206" s="208" t="s">
        <v>275</v>
      </c>
      <c r="E206" s="208" t="s">
        <v>29</v>
      </c>
      <c r="F206" s="208" t="s">
        <v>272</v>
      </c>
      <c r="G206" s="208"/>
      <c r="H206" s="208"/>
      <c r="I206" s="208"/>
      <c r="J206" s="208" t="s">
        <v>273</v>
      </c>
      <c r="K206" s="208" t="s">
        <v>274</v>
      </c>
      <c r="L206" s="208"/>
      <c r="M206" s="209"/>
      <c r="N206" s="208"/>
      <c r="O206" s="208" t="s">
        <v>40</v>
      </c>
      <c r="P206" s="208" t="s">
        <v>34</v>
      </c>
    </row>
    <row r="207" spans="1:16" s="187" customFormat="1" ht="18" customHeight="1">
      <c r="A207" s="187" t="str">
        <f t="shared" si="3"/>
        <v>V20070C</v>
      </c>
      <c r="B207" s="206" t="s">
        <v>271</v>
      </c>
      <c r="C207" s="206"/>
      <c r="D207" s="206" t="s">
        <v>276</v>
      </c>
      <c r="E207" s="206" t="s">
        <v>29</v>
      </c>
      <c r="F207" s="206" t="s">
        <v>272</v>
      </c>
      <c r="G207" s="206"/>
      <c r="H207" s="206"/>
      <c r="I207" s="206"/>
      <c r="J207" s="206" t="s">
        <v>273</v>
      </c>
      <c r="K207" s="206" t="s">
        <v>274</v>
      </c>
      <c r="L207" s="206"/>
      <c r="M207" s="207"/>
      <c r="N207" s="206"/>
      <c r="O207" s="206" t="s">
        <v>40</v>
      </c>
      <c r="P207" s="206" t="s">
        <v>34</v>
      </c>
    </row>
    <row r="208" spans="1:16" s="187" customFormat="1" ht="18" customHeight="1">
      <c r="A208" s="187" t="str">
        <f t="shared" si="3"/>
        <v>T3005C0</v>
      </c>
      <c r="B208" s="208" t="s">
        <v>278</v>
      </c>
      <c r="C208" s="208"/>
      <c r="D208" s="208" t="s">
        <v>277</v>
      </c>
      <c r="E208" s="208" t="s">
        <v>29</v>
      </c>
      <c r="F208" s="208" t="s">
        <v>94</v>
      </c>
      <c r="G208" s="208"/>
      <c r="H208" s="208"/>
      <c r="I208" s="208"/>
      <c r="J208" s="208"/>
      <c r="K208" s="208"/>
      <c r="L208" s="208"/>
      <c r="M208" s="209"/>
      <c r="N208" s="208"/>
      <c r="O208" s="208" t="s">
        <v>95</v>
      </c>
      <c r="P208" s="208" t="s">
        <v>96</v>
      </c>
    </row>
    <row r="209" spans="1:16" s="187" customFormat="1" ht="18" customHeight="1">
      <c r="A209" s="187" t="str">
        <f t="shared" si="3"/>
        <v>T3005C2</v>
      </c>
      <c r="B209" s="206" t="s">
        <v>5521</v>
      </c>
      <c r="C209" s="206"/>
      <c r="D209" s="206" t="s">
        <v>5514</v>
      </c>
      <c r="E209" s="206" t="s">
        <v>29</v>
      </c>
      <c r="F209" s="206"/>
      <c r="G209" s="206"/>
      <c r="H209" s="206"/>
      <c r="I209" s="206"/>
      <c r="J209" s="206"/>
      <c r="K209" s="206"/>
      <c r="L209" s="206"/>
      <c r="M209" s="207"/>
      <c r="N209" s="206"/>
      <c r="O209" s="206"/>
      <c r="P209" s="206" t="s">
        <v>96</v>
      </c>
    </row>
    <row r="210" spans="1:16" s="187" customFormat="1" ht="18" customHeight="1">
      <c r="A210" s="187" t="str">
        <f t="shared" si="3"/>
        <v>T3010C0</v>
      </c>
      <c r="B210" s="208" t="s">
        <v>6273</v>
      </c>
      <c r="C210" s="208"/>
      <c r="D210" s="208" t="s">
        <v>6274</v>
      </c>
      <c r="E210" s="208" t="s">
        <v>29</v>
      </c>
      <c r="F210" s="208" t="s">
        <v>6275</v>
      </c>
      <c r="G210" s="208"/>
      <c r="H210" s="208"/>
      <c r="I210" s="208"/>
      <c r="J210" s="208" t="s">
        <v>6276</v>
      </c>
      <c r="K210" s="208" t="s">
        <v>2795</v>
      </c>
      <c r="L210" s="208"/>
      <c r="M210" s="209"/>
      <c r="N210" s="208"/>
      <c r="O210" s="208" t="s">
        <v>95</v>
      </c>
      <c r="P210" s="208" t="s">
        <v>96</v>
      </c>
    </row>
    <row r="211" spans="1:16" s="187" customFormat="1" ht="18" customHeight="1">
      <c r="A211" s="187" t="str">
        <f t="shared" si="3"/>
        <v>V10289C</v>
      </c>
      <c r="B211" s="206" t="s">
        <v>4181</v>
      </c>
      <c r="C211" s="206"/>
      <c r="D211" s="206" t="s">
        <v>279</v>
      </c>
      <c r="E211" s="206" t="s">
        <v>29</v>
      </c>
      <c r="F211" s="206" t="s">
        <v>4182</v>
      </c>
      <c r="G211" s="206"/>
      <c r="H211" s="206"/>
      <c r="I211" s="206"/>
      <c r="J211" s="206"/>
      <c r="K211" s="206"/>
      <c r="L211" s="206"/>
      <c r="M211" s="207"/>
      <c r="N211" s="206"/>
      <c r="O211" s="206"/>
      <c r="P211" s="206" t="s">
        <v>91</v>
      </c>
    </row>
    <row r="212" spans="1:16" s="187" customFormat="1" ht="18" customHeight="1">
      <c r="A212" s="187" t="str">
        <f t="shared" si="3"/>
        <v>V10409C</v>
      </c>
      <c r="B212" s="208" t="s">
        <v>5522</v>
      </c>
      <c r="C212" s="208"/>
      <c r="D212" s="208" t="s">
        <v>5523</v>
      </c>
      <c r="E212" s="208" t="s">
        <v>29</v>
      </c>
      <c r="F212" s="208" t="s">
        <v>5524</v>
      </c>
      <c r="G212" s="208"/>
      <c r="H212" s="208"/>
      <c r="I212" s="208"/>
      <c r="J212" s="208" t="s">
        <v>4381</v>
      </c>
      <c r="K212" s="208" t="s">
        <v>5525</v>
      </c>
      <c r="L212" s="208"/>
      <c r="M212" s="209"/>
      <c r="N212" s="208"/>
      <c r="O212" s="208"/>
      <c r="P212" s="208" t="s">
        <v>91</v>
      </c>
    </row>
    <row r="213" spans="1:16" s="187" customFormat="1" ht="18" customHeight="1">
      <c r="A213" s="187" t="str">
        <f t="shared" si="3"/>
        <v>V10016A</v>
      </c>
      <c r="B213" s="206" t="s">
        <v>281</v>
      </c>
      <c r="C213" s="206"/>
      <c r="D213" s="206" t="s">
        <v>280</v>
      </c>
      <c r="E213" s="206" t="s">
        <v>29</v>
      </c>
      <c r="F213" s="206" t="s">
        <v>5127</v>
      </c>
      <c r="G213" s="206" t="s">
        <v>282</v>
      </c>
      <c r="H213" s="206"/>
      <c r="I213" s="206" t="s">
        <v>283</v>
      </c>
      <c r="J213" s="206" t="s">
        <v>284</v>
      </c>
      <c r="K213" s="206" t="s">
        <v>285</v>
      </c>
      <c r="L213" s="206"/>
      <c r="M213" s="207"/>
      <c r="N213" s="206"/>
      <c r="O213" s="206" t="s">
        <v>260</v>
      </c>
      <c r="P213" s="206" t="s">
        <v>91</v>
      </c>
    </row>
    <row r="214" spans="1:16" s="187" customFormat="1" ht="18" customHeight="1">
      <c r="A214" s="187" t="str">
        <f t="shared" si="3"/>
        <v>V10016B</v>
      </c>
      <c r="B214" s="208" t="s">
        <v>281</v>
      </c>
      <c r="C214" s="208"/>
      <c r="D214" s="208" t="s">
        <v>286</v>
      </c>
      <c r="E214" s="208" t="s">
        <v>29</v>
      </c>
      <c r="F214" s="208" t="s">
        <v>5127</v>
      </c>
      <c r="G214" s="208" t="s">
        <v>282</v>
      </c>
      <c r="H214" s="208"/>
      <c r="I214" s="208" t="s">
        <v>283</v>
      </c>
      <c r="J214" s="208" t="s">
        <v>284</v>
      </c>
      <c r="K214" s="208" t="s">
        <v>285</v>
      </c>
      <c r="L214" s="208"/>
      <c r="M214" s="209"/>
      <c r="N214" s="208"/>
      <c r="O214" s="208" t="s">
        <v>260</v>
      </c>
      <c r="P214" s="208" t="s">
        <v>91</v>
      </c>
    </row>
    <row r="215" spans="1:16" s="187" customFormat="1" ht="18" customHeight="1">
      <c r="A215" s="187" t="str">
        <f t="shared" si="3"/>
        <v>V10016C</v>
      </c>
      <c r="B215" s="206" t="s">
        <v>281</v>
      </c>
      <c r="C215" s="206"/>
      <c r="D215" s="206" t="s">
        <v>287</v>
      </c>
      <c r="E215" s="206" t="s">
        <v>29</v>
      </c>
      <c r="F215" s="206" t="s">
        <v>5127</v>
      </c>
      <c r="G215" s="206" t="s">
        <v>282</v>
      </c>
      <c r="H215" s="206"/>
      <c r="I215" s="206" t="s">
        <v>283</v>
      </c>
      <c r="J215" s="206" t="s">
        <v>284</v>
      </c>
      <c r="K215" s="206" t="s">
        <v>285</v>
      </c>
      <c r="L215" s="206"/>
      <c r="M215" s="207"/>
      <c r="N215" s="206"/>
      <c r="O215" s="206" t="s">
        <v>260</v>
      </c>
      <c r="P215" s="206" t="s">
        <v>91</v>
      </c>
    </row>
    <row r="216" spans="1:16" s="187" customFormat="1" ht="18" customHeight="1">
      <c r="A216" s="187" t="str">
        <f t="shared" si="3"/>
        <v>V10469C</v>
      </c>
      <c r="B216" s="208" t="s">
        <v>5810</v>
      </c>
      <c r="C216" s="208"/>
      <c r="D216" s="208" t="s">
        <v>5811</v>
      </c>
      <c r="E216" s="208" t="s">
        <v>29</v>
      </c>
      <c r="F216" s="208" t="s">
        <v>5812</v>
      </c>
      <c r="G216" s="208" t="s">
        <v>5813</v>
      </c>
      <c r="H216" s="208"/>
      <c r="I216" s="208"/>
      <c r="J216" s="208" t="s">
        <v>5814</v>
      </c>
      <c r="K216" s="208" t="s">
        <v>5815</v>
      </c>
      <c r="L216" s="208"/>
      <c r="M216" s="209"/>
      <c r="N216" s="208"/>
      <c r="O216" s="208" t="s">
        <v>260</v>
      </c>
      <c r="P216" s="208" t="s">
        <v>91</v>
      </c>
    </row>
    <row r="217" spans="1:16" s="187" customFormat="1" ht="18" customHeight="1">
      <c r="A217" s="187" t="str">
        <f t="shared" si="3"/>
        <v>V10507C</v>
      </c>
      <c r="B217" s="206" t="s">
        <v>6016</v>
      </c>
      <c r="C217" s="206"/>
      <c r="D217" s="206" t="s">
        <v>6017</v>
      </c>
      <c r="E217" s="206" t="s">
        <v>29</v>
      </c>
      <c r="F217" s="206" t="s">
        <v>6018</v>
      </c>
      <c r="G217" s="206" t="s">
        <v>6019</v>
      </c>
      <c r="H217" s="206"/>
      <c r="I217" s="206"/>
      <c r="J217" s="206" t="s">
        <v>6020</v>
      </c>
      <c r="K217" s="206" t="s">
        <v>6021</v>
      </c>
      <c r="L217" s="206"/>
      <c r="M217" s="207"/>
      <c r="N217" s="206"/>
      <c r="O217" s="206" t="s">
        <v>260</v>
      </c>
      <c r="P217" s="206" t="s">
        <v>91</v>
      </c>
    </row>
    <row r="218" spans="1:16" s="187" customFormat="1" ht="18" customHeight="1">
      <c r="A218" s="187" t="str">
        <f t="shared" si="3"/>
        <v>V10352C</v>
      </c>
      <c r="B218" s="208" t="s">
        <v>5142</v>
      </c>
      <c r="C218" s="208"/>
      <c r="D218" s="208" t="s">
        <v>5143</v>
      </c>
      <c r="E218" s="208" t="s">
        <v>29</v>
      </c>
      <c r="F218" s="208" t="s">
        <v>5144</v>
      </c>
      <c r="G218" s="208"/>
      <c r="H218" s="208"/>
      <c r="I218" s="208" t="s">
        <v>5145</v>
      </c>
      <c r="J218" s="208" t="s">
        <v>5146</v>
      </c>
      <c r="K218" s="208" t="s">
        <v>5147</v>
      </c>
      <c r="L218" s="208"/>
      <c r="M218" s="209"/>
      <c r="N218" s="208"/>
      <c r="O218" s="208"/>
      <c r="P218" s="208" t="s">
        <v>91</v>
      </c>
    </row>
    <row r="219" spans="1:16" s="187" customFormat="1" ht="18" customHeight="1">
      <c r="A219" s="187" t="str">
        <f t="shared" si="3"/>
        <v>V10089A</v>
      </c>
      <c r="B219" s="206" t="s">
        <v>289</v>
      </c>
      <c r="C219" s="206"/>
      <c r="D219" s="206" t="s">
        <v>288</v>
      </c>
      <c r="E219" s="206" t="s">
        <v>29</v>
      </c>
      <c r="F219" s="206" t="s">
        <v>290</v>
      </c>
      <c r="G219" s="206" t="s">
        <v>291</v>
      </c>
      <c r="H219" s="206"/>
      <c r="I219" s="206"/>
      <c r="J219" s="206" t="s">
        <v>292</v>
      </c>
      <c r="K219" s="206" t="s">
        <v>293</v>
      </c>
      <c r="L219" s="206"/>
      <c r="M219" s="207"/>
      <c r="N219" s="206"/>
      <c r="O219" s="206" t="s">
        <v>260</v>
      </c>
      <c r="P219" s="206" t="s">
        <v>91</v>
      </c>
    </row>
    <row r="220" spans="1:16" s="187" customFormat="1" ht="18" customHeight="1">
      <c r="A220" s="187" t="str">
        <f t="shared" si="3"/>
        <v>V10089B</v>
      </c>
      <c r="B220" s="208" t="s">
        <v>289</v>
      </c>
      <c r="C220" s="208"/>
      <c r="D220" s="208" t="s">
        <v>294</v>
      </c>
      <c r="E220" s="208" t="s">
        <v>29</v>
      </c>
      <c r="F220" s="208" t="s">
        <v>290</v>
      </c>
      <c r="G220" s="208" t="s">
        <v>291</v>
      </c>
      <c r="H220" s="208"/>
      <c r="I220" s="208"/>
      <c r="J220" s="208" t="s">
        <v>292</v>
      </c>
      <c r="K220" s="208" t="s">
        <v>293</v>
      </c>
      <c r="L220" s="208"/>
      <c r="M220" s="209"/>
      <c r="N220" s="208"/>
      <c r="O220" s="208" t="s">
        <v>260</v>
      </c>
      <c r="P220" s="208" t="s">
        <v>91</v>
      </c>
    </row>
    <row r="221" spans="1:16" s="187" customFormat="1" ht="18" customHeight="1">
      <c r="A221" s="187" t="str">
        <f t="shared" si="3"/>
        <v>V10089C</v>
      </c>
      <c r="B221" s="206" t="s">
        <v>289</v>
      </c>
      <c r="C221" s="206"/>
      <c r="D221" s="206" t="s">
        <v>295</v>
      </c>
      <c r="E221" s="206" t="s">
        <v>29</v>
      </c>
      <c r="F221" s="206" t="s">
        <v>290</v>
      </c>
      <c r="G221" s="206" t="s">
        <v>291</v>
      </c>
      <c r="H221" s="206"/>
      <c r="I221" s="206"/>
      <c r="J221" s="206" t="s">
        <v>292</v>
      </c>
      <c r="K221" s="206" t="s">
        <v>293</v>
      </c>
      <c r="L221" s="206"/>
      <c r="M221" s="207"/>
      <c r="N221" s="206"/>
      <c r="O221" s="206" t="s">
        <v>260</v>
      </c>
      <c r="P221" s="206" t="s">
        <v>91</v>
      </c>
    </row>
    <row r="222" spans="1:16" s="187" customFormat="1" ht="18" customHeight="1">
      <c r="A222" s="187" t="str">
        <f t="shared" si="3"/>
        <v>V4108C0</v>
      </c>
      <c r="B222" s="208" t="s">
        <v>6022</v>
      </c>
      <c r="C222" s="208"/>
      <c r="D222" s="208" t="s">
        <v>6023</v>
      </c>
      <c r="E222" s="208" t="s">
        <v>29</v>
      </c>
      <c r="F222" s="208" t="s">
        <v>6024</v>
      </c>
      <c r="G222" s="208" t="s">
        <v>6025</v>
      </c>
      <c r="H222" s="208"/>
      <c r="I222" s="208"/>
      <c r="J222" s="208" t="s">
        <v>5317</v>
      </c>
      <c r="K222" s="208" t="s">
        <v>6026</v>
      </c>
      <c r="L222" s="208"/>
      <c r="M222" s="209"/>
      <c r="N222" s="208"/>
      <c r="O222" s="208"/>
      <c r="P222" s="208" t="s">
        <v>107</v>
      </c>
    </row>
    <row r="223" spans="1:16" s="187" customFormat="1" ht="18" customHeight="1">
      <c r="A223" s="187" t="str">
        <f t="shared" si="3"/>
        <v>V4078C0</v>
      </c>
      <c r="B223" s="206" t="s">
        <v>297</v>
      </c>
      <c r="C223" s="206"/>
      <c r="D223" s="206" t="s">
        <v>296</v>
      </c>
      <c r="E223" s="206" t="s">
        <v>151</v>
      </c>
      <c r="F223" s="206" t="s">
        <v>298</v>
      </c>
      <c r="G223" s="206"/>
      <c r="H223" s="206"/>
      <c r="I223" s="206"/>
      <c r="J223" s="206" t="s">
        <v>299</v>
      </c>
      <c r="K223" s="206" t="s">
        <v>300</v>
      </c>
      <c r="L223" s="206"/>
      <c r="M223" s="207"/>
      <c r="N223" s="206"/>
      <c r="O223" s="206"/>
      <c r="P223" s="206" t="s">
        <v>107</v>
      </c>
    </row>
    <row r="224" spans="1:16" s="187" customFormat="1" ht="18" customHeight="1">
      <c r="A224" s="187" t="str">
        <f t="shared" si="3"/>
        <v>V10454B</v>
      </c>
      <c r="B224" s="208" t="s">
        <v>5816</v>
      </c>
      <c r="C224" s="208"/>
      <c r="D224" s="208" t="s">
        <v>5824</v>
      </c>
      <c r="E224" s="208" t="s">
        <v>29</v>
      </c>
      <c r="F224" s="208" t="s">
        <v>5825</v>
      </c>
      <c r="G224" s="208"/>
      <c r="H224" s="208"/>
      <c r="I224" s="208"/>
      <c r="J224" s="208"/>
      <c r="K224" s="208"/>
      <c r="L224" s="208"/>
      <c r="M224" s="209"/>
      <c r="N224" s="208"/>
      <c r="O224" s="208"/>
      <c r="P224" s="208" t="s">
        <v>91</v>
      </c>
    </row>
    <row r="225" spans="1:16" s="187" customFormat="1" ht="18" customHeight="1">
      <c r="A225" s="187" t="str">
        <f t="shared" si="3"/>
        <v>V10373C</v>
      </c>
      <c r="B225" s="206" t="s">
        <v>5148</v>
      </c>
      <c r="C225" s="206"/>
      <c r="D225" s="206" t="s">
        <v>5149</v>
      </c>
      <c r="E225" s="206" t="s">
        <v>29</v>
      </c>
      <c r="F225" s="206" t="s">
        <v>6027</v>
      </c>
      <c r="G225" s="206" t="s">
        <v>5150</v>
      </c>
      <c r="H225" s="206"/>
      <c r="I225" s="206"/>
      <c r="J225" s="206" t="s">
        <v>1048</v>
      </c>
      <c r="K225" s="206" t="s">
        <v>5151</v>
      </c>
      <c r="L225" s="206"/>
      <c r="M225" s="207"/>
      <c r="N225" s="206"/>
      <c r="O225" s="206"/>
      <c r="P225" s="206" t="s">
        <v>91</v>
      </c>
    </row>
    <row r="226" spans="1:16" s="187" customFormat="1" ht="18" customHeight="1">
      <c r="A226" s="187" t="str">
        <f t="shared" si="3"/>
        <v>V10359C</v>
      </c>
      <c r="B226" s="208" t="s">
        <v>4879</v>
      </c>
      <c r="C226" s="208"/>
      <c r="D226" s="208" t="s">
        <v>4880</v>
      </c>
      <c r="E226" s="208" t="s">
        <v>29</v>
      </c>
      <c r="F226" s="208" t="s">
        <v>5152</v>
      </c>
      <c r="G226" s="208"/>
      <c r="H226" s="208"/>
      <c r="I226" s="208" t="s">
        <v>4881</v>
      </c>
      <c r="J226" s="208" t="s">
        <v>4882</v>
      </c>
      <c r="K226" s="208" t="s">
        <v>4883</v>
      </c>
      <c r="L226" s="208"/>
      <c r="M226" s="209"/>
      <c r="N226" s="208"/>
      <c r="O226" s="208"/>
      <c r="P226" s="208" t="s">
        <v>91</v>
      </c>
    </row>
    <row r="227" spans="1:16" s="187" customFormat="1" ht="18" customHeight="1">
      <c r="A227" s="187" t="str">
        <f t="shared" si="3"/>
        <v>V10217A</v>
      </c>
      <c r="B227" s="206" t="s">
        <v>302</v>
      </c>
      <c r="C227" s="206"/>
      <c r="D227" s="206" t="s">
        <v>301</v>
      </c>
      <c r="E227" s="206" t="s">
        <v>29</v>
      </c>
      <c r="F227" s="206" t="s">
        <v>303</v>
      </c>
      <c r="G227" s="206" t="s">
        <v>304</v>
      </c>
      <c r="H227" s="206"/>
      <c r="I227" s="206" t="s">
        <v>305</v>
      </c>
      <c r="J227" s="206" t="s">
        <v>306</v>
      </c>
      <c r="K227" s="206" t="s">
        <v>307</v>
      </c>
      <c r="L227" s="206"/>
      <c r="M227" s="207"/>
      <c r="N227" s="206"/>
      <c r="O227" s="206" t="s">
        <v>260</v>
      </c>
      <c r="P227" s="206" t="s">
        <v>91</v>
      </c>
    </row>
    <row r="228" spans="1:16" s="187" customFormat="1" ht="18" customHeight="1">
      <c r="A228" s="187" t="str">
        <f t="shared" si="3"/>
        <v>V10217B</v>
      </c>
      <c r="B228" s="208" t="s">
        <v>302</v>
      </c>
      <c r="C228" s="208"/>
      <c r="D228" s="208" t="s">
        <v>308</v>
      </c>
      <c r="E228" s="208" t="s">
        <v>29</v>
      </c>
      <c r="F228" s="208" t="s">
        <v>303</v>
      </c>
      <c r="G228" s="208" t="s">
        <v>304</v>
      </c>
      <c r="H228" s="208"/>
      <c r="I228" s="208" t="s">
        <v>305</v>
      </c>
      <c r="J228" s="208" t="s">
        <v>306</v>
      </c>
      <c r="K228" s="208" t="s">
        <v>307</v>
      </c>
      <c r="L228" s="208"/>
      <c r="M228" s="209"/>
      <c r="N228" s="208"/>
      <c r="O228" s="208" t="s">
        <v>260</v>
      </c>
      <c r="P228" s="208" t="s">
        <v>91</v>
      </c>
    </row>
    <row r="229" spans="1:16" s="187" customFormat="1" ht="18" customHeight="1">
      <c r="A229" s="187" t="str">
        <f t="shared" si="3"/>
        <v>V10217C</v>
      </c>
      <c r="B229" s="206" t="s">
        <v>302</v>
      </c>
      <c r="C229" s="206"/>
      <c r="D229" s="206" t="s">
        <v>309</v>
      </c>
      <c r="E229" s="206" t="s">
        <v>29</v>
      </c>
      <c r="F229" s="206" t="s">
        <v>303</v>
      </c>
      <c r="G229" s="206" t="s">
        <v>304</v>
      </c>
      <c r="H229" s="206"/>
      <c r="I229" s="206" t="s">
        <v>305</v>
      </c>
      <c r="J229" s="206" t="s">
        <v>306</v>
      </c>
      <c r="K229" s="206" t="s">
        <v>307</v>
      </c>
      <c r="L229" s="206"/>
      <c r="M229" s="207"/>
      <c r="N229" s="206"/>
      <c r="O229" s="206" t="s">
        <v>260</v>
      </c>
      <c r="P229" s="206" t="s">
        <v>91</v>
      </c>
    </row>
    <row r="230" spans="1:16" s="187" customFormat="1" ht="18" customHeight="1">
      <c r="A230" s="187" t="str">
        <f t="shared" si="3"/>
        <v>V4001C0</v>
      </c>
      <c r="B230" s="208" t="s">
        <v>302</v>
      </c>
      <c r="C230" s="208"/>
      <c r="D230" s="208" t="s">
        <v>310</v>
      </c>
      <c r="E230" s="208" t="s">
        <v>29</v>
      </c>
      <c r="F230" s="208" t="s">
        <v>303</v>
      </c>
      <c r="G230" s="208" t="s">
        <v>304</v>
      </c>
      <c r="H230" s="208"/>
      <c r="I230" s="208" t="s">
        <v>305</v>
      </c>
      <c r="J230" s="208" t="s">
        <v>306</v>
      </c>
      <c r="K230" s="208" t="s">
        <v>307</v>
      </c>
      <c r="L230" s="208"/>
      <c r="M230" s="209"/>
      <c r="N230" s="208"/>
      <c r="O230" s="208" t="s">
        <v>131</v>
      </c>
      <c r="P230" s="208" t="s">
        <v>107</v>
      </c>
    </row>
    <row r="231" spans="1:16" s="187" customFormat="1" ht="18" customHeight="1">
      <c r="A231" s="187" t="str">
        <f t="shared" si="3"/>
        <v>V10416B</v>
      </c>
      <c r="B231" s="206" t="s">
        <v>5622</v>
      </c>
      <c r="C231" s="206"/>
      <c r="D231" s="206" t="s">
        <v>5623</v>
      </c>
      <c r="E231" s="206" t="s">
        <v>29</v>
      </c>
      <c r="F231" s="206" t="s">
        <v>5624</v>
      </c>
      <c r="G231" s="206"/>
      <c r="H231" s="206"/>
      <c r="I231" s="206" t="s">
        <v>5625</v>
      </c>
      <c r="J231" s="206" t="s">
        <v>5626</v>
      </c>
      <c r="K231" s="206" t="s">
        <v>5627</v>
      </c>
      <c r="L231" s="206"/>
      <c r="M231" s="207"/>
      <c r="N231" s="206"/>
      <c r="O231" s="206"/>
      <c r="P231" s="206" t="s">
        <v>91</v>
      </c>
    </row>
    <row r="232" spans="1:16" s="187" customFormat="1" ht="18" customHeight="1">
      <c r="A232" s="187" t="str">
        <f t="shared" si="3"/>
        <v>V4104C0</v>
      </c>
      <c r="B232" s="208" t="s">
        <v>5622</v>
      </c>
      <c r="C232" s="208"/>
      <c r="D232" s="208" t="s">
        <v>6028</v>
      </c>
      <c r="E232" s="208" t="s">
        <v>29</v>
      </c>
      <c r="F232" s="208" t="s">
        <v>5624</v>
      </c>
      <c r="G232" s="208"/>
      <c r="H232" s="208"/>
      <c r="I232" s="208" t="s">
        <v>5625</v>
      </c>
      <c r="J232" s="208" t="s">
        <v>5626</v>
      </c>
      <c r="K232" s="208" t="s">
        <v>5627</v>
      </c>
      <c r="L232" s="208"/>
      <c r="M232" s="209"/>
      <c r="N232" s="208"/>
      <c r="O232" s="208"/>
      <c r="P232" s="208" t="s">
        <v>107</v>
      </c>
    </row>
    <row r="233" spans="1:16" s="187" customFormat="1" ht="18" customHeight="1">
      <c r="A233" s="187" t="str">
        <f t="shared" si="3"/>
        <v>V10416C</v>
      </c>
      <c r="B233" s="206" t="s">
        <v>5622</v>
      </c>
      <c r="C233" s="206"/>
      <c r="D233" s="206" t="s">
        <v>5707</v>
      </c>
      <c r="E233" s="206" t="s">
        <v>29</v>
      </c>
      <c r="F233" s="206" t="s">
        <v>5708</v>
      </c>
      <c r="G233" s="206"/>
      <c r="H233" s="206"/>
      <c r="I233" s="206" t="s">
        <v>5625</v>
      </c>
      <c r="J233" s="206" t="s">
        <v>5822</v>
      </c>
      <c r="K233" s="206" t="s">
        <v>5823</v>
      </c>
      <c r="L233" s="206"/>
      <c r="M233" s="207"/>
      <c r="N233" s="206"/>
      <c r="O233" s="206"/>
      <c r="P233" s="206" t="s">
        <v>91</v>
      </c>
    </row>
    <row r="234" spans="1:16" s="187" customFormat="1" ht="18" customHeight="1">
      <c r="A234" s="187" t="str">
        <f t="shared" si="3"/>
        <v>V10400C</v>
      </c>
      <c r="B234" s="208" t="s">
        <v>5302</v>
      </c>
      <c r="C234" s="208"/>
      <c r="D234" s="208" t="s">
        <v>5303</v>
      </c>
      <c r="E234" s="208" t="s">
        <v>29</v>
      </c>
      <c r="F234" s="208" t="s">
        <v>5304</v>
      </c>
      <c r="G234" s="208"/>
      <c r="H234" s="208"/>
      <c r="I234" s="208"/>
      <c r="J234" s="208" t="s">
        <v>5305</v>
      </c>
      <c r="K234" s="208" t="s">
        <v>5306</v>
      </c>
      <c r="L234" s="208"/>
      <c r="M234" s="209"/>
      <c r="N234" s="208"/>
      <c r="O234" s="208"/>
      <c r="P234" s="208" t="s">
        <v>91</v>
      </c>
    </row>
    <row r="235" spans="1:16" s="187" customFormat="1" ht="18" customHeight="1">
      <c r="A235" s="187" t="str">
        <f t="shared" si="3"/>
        <v>V10326C</v>
      </c>
      <c r="B235" s="206" t="s">
        <v>4184</v>
      </c>
      <c r="C235" s="206"/>
      <c r="D235" s="206" t="s">
        <v>4183</v>
      </c>
      <c r="E235" s="206" t="s">
        <v>29</v>
      </c>
      <c r="F235" s="206" t="s">
        <v>4185</v>
      </c>
      <c r="G235" s="206"/>
      <c r="H235" s="206"/>
      <c r="I235" s="206" t="s">
        <v>4186</v>
      </c>
      <c r="J235" s="206" t="s">
        <v>4187</v>
      </c>
      <c r="K235" s="206" t="s">
        <v>4188</v>
      </c>
      <c r="L235" s="206"/>
      <c r="M235" s="207"/>
      <c r="N235" s="206"/>
      <c r="O235" s="206"/>
      <c r="P235" s="206" t="s">
        <v>91</v>
      </c>
    </row>
    <row r="236" spans="1:16" s="187" customFormat="1" ht="18" customHeight="1">
      <c r="A236" s="187" t="str">
        <f t="shared" si="3"/>
        <v>V10454C</v>
      </c>
      <c r="B236" s="208" t="s">
        <v>6029</v>
      </c>
      <c r="C236" s="208"/>
      <c r="D236" s="208" t="s">
        <v>5817</v>
      </c>
      <c r="E236" s="208" t="s">
        <v>29</v>
      </c>
      <c r="F236" s="208" t="s">
        <v>6277</v>
      </c>
      <c r="G236" s="208" t="s">
        <v>5818</v>
      </c>
      <c r="H236" s="208"/>
      <c r="I236" s="208" t="s">
        <v>5819</v>
      </c>
      <c r="J236" s="208" t="s">
        <v>5820</v>
      </c>
      <c r="K236" s="208" t="s">
        <v>5821</v>
      </c>
      <c r="L236" s="208"/>
      <c r="M236" s="209"/>
      <c r="N236" s="208"/>
      <c r="O236" s="208" t="s">
        <v>260</v>
      </c>
      <c r="P236" s="208" t="s">
        <v>91</v>
      </c>
    </row>
    <row r="237" spans="1:16" s="187" customFormat="1" ht="18" customHeight="1">
      <c r="A237" s="187" t="str">
        <f t="shared" si="3"/>
        <v>V10550C</v>
      </c>
      <c r="B237" s="206" t="s">
        <v>6278</v>
      </c>
      <c r="C237" s="206"/>
      <c r="D237" s="206" t="s">
        <v>6279</v>
      </c>
      <c r="E237" s="206" t="s">
        <v>29</v>
      </c>
      <c r="F237" s="206" t="s">
        <v>6280</v>
      </c>
      <c r="G237" s="206"/>
      <c r="H237" s="206"/>
      <c r="I237" s="206"/>
      <c r="J237" s="206" t="s">
        <v>6281</v>
      </c>
      <c r="K237" s="206" t="s">
        <v>6282</v>
      </c>
      <c r="L237" s="206"/>
      <c r="M237" s="207"/>
      <c r="N237" s="206"/>
      <c r="O237" s="206"/>
      <c r="P237" s="206" t="s">
        <v>91</v>
      </c>
    </row>
    <row r="238" spans="1:16" s="187" customFormat="1" ht="18" customHeight="1">
      <c r="A238" s="187" t="str">
        <f t="shared" si="3"/>
        <v>V10389C</v>
      </c>
      <c r="B238" s="208" t="s">
        <v>5307</v>
      </c>
      <c r="C238" s="208"/>
      <c r="D238" s="208" t="s">
        <v>5308</v>
      </c>
      <c r="E238" s="208" t="s">
        <v>29</v>
      </c>
      <c r="F238" s="208" t="s">
        <v>5309</v>
      </c>
      <c r="G238" s="208"/>
      <c r="H238" s="208"/>
      <c r="I238" s="208" t="s">
        <v>5310</v>
      </c>
      <c r="J238" s="208" t="s">
        <v>5101</v>
      </c>
      <c r="K238" s="208" t="s">
        <v>5311</v>
      </c>
      <c r="L238" s="208"/>
      <c r="M238" s="209"/>
      <c r="N238" s="208"/>
      <c r="O238" s="208"/>
      <c r="P238" s="208" t="s">
        <v>91</v>
      </c>
    </row>
    <row r="239" spans="1:16" s="187" customFormat="1" ht="18" customHeight="1">
      <c r="A239" s="187" t="str">
        <f t="shared" si="3"/>
        <v>V10228A</v>
      </c>
      <c r="B239" s="206" t="s">
        <v>312</v>
      </c>
      <c r="C239" s="206"/>
      <c r="D239" s="206" t="s">
        <v>311</v>
      </c>
      <c r="E239" s="206" t="s">
        <v>29</v>
      </c>
      <c r="F239" s="206" t="s">
        <v>313</v>
      </c>
      <c r="G239" s="206" t="s">
        <v>314</v>
      </c>
      <c r="H239" s="206"/>
      <c r="I239" s="206" t="s">
        <v>315</v>
      </c>
      <c r="J239" s="206" t="s">
        <v>316</v>
      </c>
      <c r="K239" s="206" t="s">
        <v>317</v>
      </c>
      <c r="L239" s="206"/>
      <c r="M239" s="207"/>
      <c r="N239" s="206"/>
      <c r="O239" s="206" t="s">
        <v>260</v>
      </c>
      <c r="P239" s="206" t="s">
        <v>91</v>
      </c>
    </row>
    <row r="240" spans="1:16" s="187" customFormat="1" ht="18" customHeight="1">
      <c r="A240" s="187" t="str">
        <f t="shared" si="3"/>
        <v>V10228B</v>
      </c>
      <c r="B240" s="208" t="s">
        <v>312</v>
      </c>
      <c r="C240" s="208"/>
      <c r="D240" s="208" t="s">
        <v>318</v>
      </c>
      <c r="E240" s="208" t="s">
        <v>29</v>
      </c>
      <c r="F240" s="208" t="s">
        <v>313</v>
      </c>
      <c r="G240" s="208" t="s">
        <v>314</v>
      </c>
      <c r="H240" s="208"/>
      <c r="I240" s="208" t="s">
        <v>315</v>
      </c>
      <c r="J240" s="208" t="s">
        <v>316</v>
      </c>
      <c r="K240" s="208" t="s">
        <v>317</v>
      </c>
      <c r="L240" s="208"/>
      <c r="M240" s="209"/>
      <c r="N240" s="208"/>
      <c r="O240" s="208" t="s">
        <v>260</v>
      </c>
      <c r="P240" s="208" t="s">
        <v>91</v>
      </c>
    </row>
    <row r="241" spans="1:16" s="187" customFormat="1" ht="18" customHeight="1">
      <c r="A241" s="187" t="str">
        <f t="shared" si="3"/>
        <v>V10228C</v>
      </c>
      <c r="B241" s="206" t="s">
        <v>312</v>
      </c>
      <c r="C241" s="206"/>
      <c r="D241" s="206" t="s">
        <v>319</v>
      </c>
      <c r="E241" s="206" t="s">
        <v>29</v>
      </c>
      <c r="F241" s="206" t="s">
        <v>313</v>
      </c>
      <c r="G241" s="206" t="s">
        <v>314</v>
      </c>
      <c r="H241" s="206"/>
      <c r="I241" s="206" t="s">
        <v>315</v>
      </c>
      <c r="J241" s="206" t="s">
        <v>320</v>
      </c>
      <c r="K241" s="206" t="s">
        <v>317</v>
      </c>
      <c r="L241" s="206"/>
      <c r="M241" s="207"/>
      <c r="N241" s="206"/>
      <c r="O241" s="206" t="s">
        <v>260</v>
      </c>
      <c r="P241" s="206" t="s">
        <v>91</v>
      </c>
    </row>
    <row r="242" spans="1:16" s="187" customFormat="1" ht="18" customHeight="1">
      <c r="A242" s="187" t="str">
        <f t="shared" si="3"/>
        <v>V10205A</v>
      </c>
      <c r="B242" s="208" t="s">
        <v>322</v>
      </c>
      <c r="C242" s="208"/>
      <c r="D242" s="208" t="s">
        <v>321</v>
      </c>
      <c r="E242" s="208" t="s">
        <v>29</v>
      </c>
      <c r="F242" s="208" t="s">
        <v>323</v>
      </c>
      <c r="G242" s="208" t="s">
        <v>324</v>
      </c>
      <c r="H242" s="208"/>
      <c r="I242" s="208"/>
      <c r="J242" s="208" t="s">
        <v>325</v>
      </c>
      <c r="K242" s="208" t="s">
        <v>326</v>
      </c>
      <c r="L242" s="208"/>
      <c r="M242" s="209"/>
      <c r="N242" s="208"/>
      <c r="O242" s="208" t="s">
        <v>260</v>
      </c>
      <c r="P242" s="208" t="s">
        <v>91</v>
      </c>
    </row>
    <row r="243" spans="1:16" s="187" customFormat="1" ht="18" customHeight="1">
      <c r="A243" s="187" t="str">
        <f t="shared" si="3"/>
        <v>V10205B</v>
      </c>
      <c r="B243" s="206" t="s">
        <v>322</v>
      </c>
      <c r="C243" s="206"/>
      <c r="D243" s="206" t="s">
        <v>327</v>
      </c>
      <c r="E243" s="206" t="s">
        <v>29</v>
      </c>
      <c r="F243" s="206" t="s">
        <v>323</v>
      </c>
      <c r="G243" s="206" t="s">
        <v>324</v>
      </c>
      <c r="H243" s="206"/>
      <c r="I243" s="206"/>
      <c r="J243" s="206" t="s">
        <v>325</v>
      </c>
      <c r="K243" s="206" t="s">
        <v>326</v>
      </c>
      <c r="L243" s="206"/>
      <c r="M243" s="207"/>
      <c r="N243" s="206"/>
      <c r="O243" s="206" t="s">
        <v>260</v>
      </c>
      <c r="P243" s="206" t="s">
        <v>91</v>
      </c>
    </row>
    <row r="244" spans="1:16" s="187" customFormat="1" ht="18" customHeight="1">
      <c r="A244" s="187" t="str">
        <f t="shared" si="3"/>
        <v>V10205C</v>
      </c>
      <c r="B244" s="208" t="s">
        <v>322</v>
      </c>
      <c r="C244" s="208"/>
      <c r="D244" s="208" t="s">
        <v>328</v>
      </c>
      <c r="E244" s="208" t="s">
        <v>29</v>
      </c>
      <c r="F244" s="208" t="s">
        <v>323</v>
      </c>
      <c r="G244" s="208" t="s">
        <v>324</v>
      </c>
      <c r="H244" s="208"/>
      <c r="I244" s="208"/>
      <c r="J244" s="208" t="s">
        <v>325</v>
      </c>
      <c r="K244" s="208" t="s">
        <v>326</v>
      </c>
      <c r="L244" s="208"/>
      <c r="M244" s="209"/>
      <c r="N244" s="208"/>
      <c r="O244" s="208" t="s">
        <v>260</v>
      </c>
      <c r="P244" s="208" t="s">
        <v>91</v>
      </c>
    </row>
    <row r="245" spans="1:16" s="187" customFormat="1" ht="18" customHeight="1">
      <c r="A245" s="187" t="str">
        <f t="shared" si="3"/>
        <v>V10123A</v>
      </c>
      <c r="B245" s="206" t="s">
        <v>330</v>
      </c>
      <c r="C245" s="206"/>
      <c r="D245" s="206" t="s">
        <v>329</v>
      </c>
      <c r="E245" s="206" t="s">
        <v>29</v>
      </c>
      <c r="F245" s="206" t="s">
        <v>331</v>
      </c>
      <c r="G245" s="206" t="s">
        <v>332</v>
      </c>
      <c r="H245" s="206"/>
      <c r="I245" s="206" t="s">
        <v>333</v>
      </c>
      <c r="J245" s="206" t="s">
        <v>334</v>
      </c>
      <c r="K245" s="206" t="s">
        <v>335</v>
      </c>
      <c r="L245" s="206"/>
      <c r="M245" s="207"/>
      <c r="N245" s="206"/>
      <c r="O245" s="206" t="s">
        <v>260</v>
      </c>
      <c r="P245" s="206" t="s">
        <v>91</v>
      </c>
    </row>
    <row r="246" spans="1:16" s="187" customFormat="1" ht="18" customHeight="1">
      <c r="A246" s="187" t="str">
        <f t="shared" si="3"/>
        <v>V10123B</v>
      </c>
      <c r="B246" s="208" t="s">
        <v>330</v>
      </c>
      <c r="C246" s="208"/>
      <c r="D246" s="208" t="s">
        <v>336</v>
      </c>
      <c r="E246" s="208" t="s">
        <v>29</v>
      </c>
      <c r="F246" s="208" t="s">
        <v>331</v>
      </c>
      <c r="G246" s="208" t="s">
        <v>332</v>
      </c>
      <c r="H246" s="208"/>
      <c r="I246" s="208" t="s">
        <v>333</v>
      </c>
      <c r="J246" s="208" t="s">
        <v>334</v>
      </c>
      <c r="K246" s="208" t="s">
        <v>335</v>
      </c>
      <c r="L246" s="208"/>
      <c r="M246" s="209"/>
      <c r="N246" s="208"/>
      <c r="O246" s="208" t="s">
        <v>260</v>
      </c>
      <c r="P246" s="208" t="s">
        <v>91</v>
      </c>
    </row>
    <row r="247" spans="1:16" s="187" customFormat="1" ht="18" customHeight="1">
      <c r="A247" s="187" t="str">
        <f t="shared" si="3"/>
        <v>V10123C</v>
      </c>
      <c r="B247" s="206" t="s">
        <v>330</v>
      </c>
      <c r="C247" s="206"/>
      <c r="D247" s="206" t="s">
        <v>337</v>
      </c>
      <c r="E247" s="206" t="s">
        <v>29</v>
      </c>
      <c r="F247" s="206" t="s">
        <v>331</v>
      </c>
      <c r="G247" s="206" t="s">
        <v>332</v>
      </c>
      <c r="H247" s="206"/>
      <c r="I247" s="206" t="s">
        <v>333</v>
      </c>
      <c r="J247" s="206" t="s">
        <v>334</v>
      </c>
      <c r="K247" s="206" t="s">
        <v>335</v>
      </c>
      <c r="L247" s="206"/>
      <c r="M247" s="207"/>
      <c r="N247" s="206"/>
      <c r="O247" s="206" t="s">
        <v>260</v>
      </c>
      <c r="P247" s="206" t="s">
        <v>91</v>
      </c>
    </row>
    <row r="248" spans="1:16" s="187" customFormat="1" ht="18" customHeight="1">
      <c r="A248" s="187" t="str">
        <f t="shared" si="3"/>
        <v>V10329C</v>
      </c>
      <c r="B248" s="208" t="s">
        <v>4190</v>
      </c>
      <c r="C248" s="208"/>
      <c r="D248" s="208" t="s">
        <v>4189</v>
      </c>
      <c r="E248" s="208" t="s">
        <v>29</v>
      </c>
      <c r="F248" s="208" t="s">
        <v>4191</v>
      </c>
      <c r="G248" s="208"/>
      <c r="H248" s="208"/>
      <c r="I248" s="208" t="s">
        <v>4192</v>
      </c>
      <c r="J248" s="208" t="s">
        <v>4193</v>
      </c>
      <c r="K248" s="208" t="s">
        <v>4194</v>
      </c>
      <c r="L248" s="208"/>
      <c r="M248" s="209"/>
      <c r="N248" s="208"/>
      <c r="O248" s="208"/>
      <c r="P248" s="208" t="s">
        <v>91</v>
      </c>
    </row>
    <row r="249" spans="1:16" s="187" customFormat="1" ht="18" customHeight="1">
      <c r="A249" s="187" t="str">
        <f t="shared" si="3"/>
        <v>V10456C</v>
      </c>
      <c r="B249" s="206" t="s">
        <v>6030</v>
      </c>
      <c r="C249" s="206"/>
      <c r="D249" s="206" t="s">
        <v>6031</v>
      </c>
      <c r="E249" s="206" t="s">
        <v>29</v>
      </c>
      <c r="F249" s="206" t="s">
        <v>6032</v>
      </c>
      <c r="G249" s="206" t="s">
        <v>6033</v>
      </c>
      <c r="H249" s="206"/>
      <c r="I249" s="206" t="s">
        <v>6034</v>
      </c>
      <c r="J249" s="206" t="s">
        <v>6035</v>
      </c>
      <c r="K249" s="206" t="s">
        <v>6036</v>
      </c>
      <c r="L249" s="206"/>
      <c r="M249" s="207"/>
      <c r="N249" s="206"/>
      <c r="O249" s="206"/>
      <c r="P249" s="206" t="s">
        <v>91</v>
      </c>
    </row>
    <row r="250" spans="1:16" s="187" customFormat="1" ht="18" customHeight="1">
      <c r="A250" s="187" t="str">
        <f t="shared" si="3"/>
        <v>V10354C</v>
      </c>
      <c r="B250" s="208" t="s">
        <v>5126</v>
      </c>
      <c r="C250" s="208"/>
      <c r="D250" s="208" t="s">
        <v>5125</v>
      </c>
      <c r="E250" s="208" t="s">
        <v>29</v>
      </c>
      <c r="F250" s="208" t="s">
        <v>5124</v>
      </c>
      <c r="G250" s="208"/>
      <c r="H250" s="208"/>
      <c r="I250" s="208" t="s">
        <v>5123</v>
      </c>
      <c r="J250" s="208" t="s">
        <v>5122</v>
      </c>
      <c r="K250" s="208" t="s">
        <v>5121</v>
      </c>
      <c r="L250" s="208"/>
      <c r="M250" s="209"/>
      <c r="N250" s="208"/>
      <c r="O250" s="208"/>
      <c r="P250" s="208" t="s">
        <v>91</v>
      </c>
    </row>
    <row r="251" spans="1:16" s="187" customFormat="1" ht="18" customHeight="1">
      <c r="A251" s="187" t="str">
        <f t="shared" si="3"/>
        <v>V4090C0</v>
      </c>
      <c r="B251" s="206" t="s">
        <v>5153</v>
      </c>
      <c r="C251" s="206"/>
      <c r="D251" s="206" t="s">
        <v>5154</v>
      </c>
      <c r="E251" s="206" t="s">
        <v>29</v>
      </c>
      <c r="F251" s="206" t="s">
        <v>5155</v>
      </c>
      <c r="G251" s="206"/>
      <c r="H251" s="206"/>
      <c r="I251" s="206"/>
      <c r="J251" s="206" t="s">
        <v>2642</v>
      </c>
      <c r="K251" s="206" t="s">
        <v>5156</v>
      </c>
      <c r="L251" s="206"/>
      <c r="M251" s="207"/>
      <c r="N251" s="206"/>
      <c r="O251" s="206"/>
      <c r="P251" s="206" t="s">
        <v>107</v>
      </c>
    </row>
    <row r="252" spans="1:16" s="187" customFormat="1" ht="18" customHeight="1">
      <c r="A252" s="187" t="str">
        <f t="shared" si="3"/>
        <v>CG450013C0</v>
      </c>
      <c r="B252" s="208" t="s">
        <v>339</v>
      </c>
      <c r="C252" s="208"/>
      <c r="D252" s="208" t="s">
        <v>5429</v>
      </c>
      <c r="E252" s="208" t="s">
        <v>29</v>
      </c>
      <c r="F252" s="208"/>
      <c r="G252" s="208"/>
      <c r="H252" s="208"/>
      <c r="I252" s="208"/>
      <c r="J252" s="208"/>
      <c r="K252" s="208"/>
      <c r="L252" s="208"/>
      <c r="M252" s="209"/>
      <c r="N252" s="208"/>
      <c r="O252" s="208"/>
      <c r="P252" s="208" t="s">
        <v>100</v>
      </c>
    </row>
    <row r="253" spans="1:16" s="187" customFormat="1" ht="18" customHeight="1">
      <c r="A253" s="187" t="str">
        <f t="shared" si="3"/>
        <v>V20075A</v>
      </c>
      <c r="B253" s="206" t="s">
        <v>339</v>
      </c>
      <c r="C253" s="206"/>
      <c r="D253" s="206" t="s">
        <v>338</v>
      </c>
      <c r="E253" s="206" t="s">
        <v>29</v>
      </c>
      <c r="F253" s="206" t="s">
        <v>340</v>
      </c>
      <c r="G253" s="206"/>
      <c r="H253" s="206"/>
      <c r="I253" s="206" t="s">
        <v>341</v>
      </c>
      <c r="J253" s="206" t="s">
        <v>342</v>
      </c>
      <c r="K253" s="206" t="s">
        <v>343</v>
      </c>
      <c r="L253" s="206"/>
      <c r="M253" s="207"/>
      <c r="N253" s="206"/>
      <c r="O253" s="206" t="s">
        <v>40</v>
      </c>
      <c r="P253" s="206" t="s">
        <v>34</v>
      </c>
    </row>
    <row r="254" spans="1:16" s="187" customFormat="1" ht="18" customHeight="1">
      <c r="A254" s="187" t="str">
        <f t="shared" si="3"/>
        <v>V20075B</v>
      </c>
      <c r="B254" s="208" t="s">
        <v>339</v>
      </c>
      <c r="C254" s="208"/>
      <c r="D254" s="208" t="s">
        <v>344</v>
      </c>
      <c r="E254" s="208" t="s">
        <v>29</v>
      </c>
      <c r="F254" s="208" t="s">
        <v>340</v>
      </c>
      <c r="G254" s="208"/>
      <c r="H254" s="208"/>
      <c r="I254" s="208" t="s">
        <v>341</v>
      </c>
      <c r="J254" s="208" t="s">
        <v>345</v>
      </c>
      <c r="K254" s="208" t="s">
        <v>343</v>
      </c>
      <c r="L254" s="208"/>
      <c r="M254" s="209"/>
      <c r="N254" s="208"/>
      <c r="O254" s="208" t="s">
        <v>40</v>
      </c>
      <c r="P254" s="208" t="s">
        <v>34</v>
      </c>
    </row>
    <row r="255" spans="1:16" s="187" customFormat="1" ht="18" customHeight="1">
      <c r="A255" s="187" t="str">
        <f t="shared" si="3"/>
        <v>V20075C</v>
      </c>
      <c r="B255" s="206" t="s">
        <v>339</v>
      </c>
      <c r="C255" s="206"/>
      <c r="D255" s="206" t="s">
        <v>346</v>
      </c>
      <c r="E255" s="206" t="s">
        <v>29</v>
      </c>
      <c r="F255" s="206" t="s">
        <v>340</v>
      </c>
      <c r="G255" s="206"/>
      <c r="H255" s="206"/>
      <c r="I255" s="206" t="s">
        <v>341</v>
      </c>
      <c r="J255" s="206" t="s">
        <v>345</v>
      </c>
      <c r="K255" s="206" t="s">
        <v>343</v>
      </c>
      <c r="L255" s="206"/>
      <c r="M255" s="207"/>
      <c r="N255" s="206"/>
      <c r="O255" s="206" t="s">
        <v>40</v>
      </c>
      <c r="P255" s="206" t="s">
        <v>34</v>
      </c>
    </row>
    <row r="256" spans="1:16" s="187" customFormat="1" ht="18" customHeight="1">
      <c r="A256" s="187" t="str">
        <f t="shared" si="3"/>
        <v>001301</v>
      </c>
      <c r="B256" s="208" t="s">
        <v>4196</v>
      </c>
      <c r="C256" s="208"/>
      <c r="D256" s="208" t="s">
        <v>4195</v>
      </c>
      <c r="E256" s="208" t="s">
        <v>29</v>
      </c>
      <c r="F256" s="208"/>
      <c r="G256" s="208"/>
      <c r="H256" s="208"/>
      <c r="I256" s="208"/>
      <c r="J256" s="208"/>
      <c r="K256" s="208"/>
      <c r="L256" s="208"/>
      <c r="M256" s="209"/>
      <c r="N256" s="208"/>
      <c r="O256" s="208"/>
      <c r="P256" s="208"/>
    </row>
    <row r="257" spans="1:16" s="187" customFormat="1" ht="18" customHeight="1">
      <c r="A257" s="187" t="str">
        <f t="shared" si="3"/>
        <v>001401</v>
      </c>
      <c r="B257" s="206" t="s">
        <v>4198</v>
      </c>
      <c r="C257" s="206"/>
      <c r="D257" s="206" t="s">
        <v>4197</v>
      </c>
      <c r="E257" s="206" t="s">
        <v>29</v>
      </c>
      <c r="F257" s="206"/>
      <c r="G257" s="206"/>
      <c r="H257" s="206"/>
      <c r="I257" s="206"/>
      <c r="J257" s="206"/>
      <c r="K257" s="206"/>
      <c r="L257" s="206"/>
      <c r="M257" s="207"/>
      <c r="N257" s="206"/>
      <c r="O257" s="206"/>
      <c r="P257" s="206"/>
    </row>
    <row r="258" spans="1:16" s="187" customFormat="1" ht="18" customHeight="1">
      <c r="A258" s="187" t="str">
        <f t="shared" si="3"/>
        <v>V20136C</v>
      </c>
      <c r="B258" s="208" t="s">
        <v>4884</v>
      </c>
      <c r="C258" s="208"/>
      <c r="D258" s="208" t="s">
        <v>4885</v>
      </c>
      <c r="E258" s="208" t="s">
        <v>29</v>
      </c>
      <c r="F258" s="208" t="s">
        <v>4886</v>
      </c>
      <c r="G258" s="208"/>
      <c r="H258" s="208"/>
      <c r="I258" s="208"/>
      <c r="J258" s="208" t="s">
        <v>5526</v>
      </c>
      <c r="K258" s="208" t="s">
        <v>5527</v>
      </c>
      <c r="L258" s="208"/>
      <c r="M258" s="209"/>
      <c r="N258" s="208"/>
      <c r="O258" s="208"/>
      <c r="P258" s="208" t="s">
        <v>34</v>
      </c>
    </row>
    <row r="259" spans="1:16" s="187" customFormat="1" ht="18" customHeight="1">
      <c r="A259" s="187" t="str">
        <f t="shared" si="3"/>
        <v>V4098C0</v>
      </c>
      <c r="B259" s="206" t="s">
        <v>5572</v>
      </c>
      <c r="C259" s="206"/>
      <c r="D259" s="206" t="s">
        <v>5573</v>
      </c>
      <c r="E259" s="206" t="s">
        <v>29</v>
      </c>
      <c r="F259" s="206" t="s">
        <v>5574</v>
      </c>
      <c r="G259" s="206"/>
      <c r="H259" s="206"/>
      <c r="I259" s="206"/>
      <c r="J259" s="206"/>
      <c r="K259" s="206"/>
      <c r="L259" s="206"/>
      <c r="M259" s="207"/>
      <c r="N259" s="206"/>
      <c r="O259" s="206"/>
      <c r="P259" s="206" t="s">
        <v>34</v>
      </c>
    </row>
    <row r="260" spans="1:16" s="187" customFormat="1" ht="18" customHeight="1">
      <c r="A260" s="187" t="str">
        <f t="shared" si="3"/>
        <v>V20161A</v>
      </c>
      <c r="B260" s="208" t="s">
        <v>5575</v>
      </c>
      <c r="C260" s="208"/>
      <c r="D260" s="208" t="s">
        <v>5576</v>
      </c>
      <c r="E260" s="208" t="s">
        <v>29</v>
      </c>
      <c r="F260" s="208" t="s">
        <v>5577</v>
      </c>
      <c r="G260" s="208"/>
      <c r="H260" s="208"/>
      <c r="I260" s="208"/>
      <c r="J260" s="208"/>
      <c r="K260" s="208"/>
      <c r="L260" s="208"/>
      <c r="M260" s="209"/>
      <c r="N260" s="208"/>
      <c r="O260" s="208" t="s">
        <v>260</v>
      </c>
      <c r="P260" s="208" t="s">
        <v>34</v>
      </c>
    </row>
    <row r="261" spans="1:16" s="187" customFormat="1" ht="18" customHeight="1">
      <c r="A261" s="187" t="str">
        <f t="shared" si="3"/>
        <v>001501</v>
      </c>
      <c r="B261" s="206" t="s">
        <v>4200</v>
      </c>
      <c r="C261" s="206"/>
      <c r="D261" s="206" t="s">
        <v>4199</v>
      </c>
      <c r="E261" s="206" t="s">
        <v>29</v>
      </c>
      <c r="F261" s="206"/>
      <c r="G261" s="206"/>
      <c r="H261" s="206"/>
      <c r="I261" s="206"/>
      <c r="J261" s="206"/>
      <c r="K261" s="206"/>
      <c r="L261" s="206"/>
      <c r="M261" s="207"/>
      <c r="N261" s="206"/>
      <c r="O261" s="206"/>
      <c r="P261" s="206"/>
    </row>
    <row r="262" spans="1:16" s="187" customFormat="1" ht="18" customHeight="1">
      <c r="A262" s="187" t="str">
        <f t="shared" ref="A262:A325" si="4">D262</f>
        <v>001508</v>
      </c>
      <c r="B262" s="208" t="s">
        <v>4202</v>
      </c>
      <c r="C262" s="208"/>
      <c r="D262" s="208" t="s">
        <v>4201</v>
      </c>
      <c r="E262" s="208" t="s">
        <v>29</v>
      </c>
      <c r="F262" s="208"/>
      <c r="G262" s="208"/>
      <c r="H262" s="208"/>
      <c r="I262" s="208"/>
      <c r="J262" s="208"/>
      <c r="K262" s="208"/>
      <c r="L262" s="208"/>
      <c r="M262" s="209"/>
      <c r="N262" s="208"/>
      <c r="O262" s="208"/>
      <c r="P262" s="208"/>
    </row>
    <row r="263" spans="1:16" s="187" customFormat="1" ht="18" customHeight="1">
      <c r="A263" s="187" t="str">
        <f t="shared" si="4"/>
        <v>001502</v>
      </c>
      <c r="B263" s="206" t="s">
        <v>4204</v>
      </c>
      <c r="C263" s="206"/>
      <c r="D263" s="206" t="s">
        <v>4203</v>
      </c>
      <c r="E263" s="206" t="s">
        <v>29</v>
      </c>
      <c r="F263" s="206"/>
      <c r="G263" s="206"/>
      <c r="H263" s="206"/>
      <c r="I263" s="206"/>
      <c r="J263" s="206"/>
      <c r="K263" s="206"/>
      <c r="L263" s="206"/>
      <c r="M263" s="207"/>
      <c r="N263" s="206"/>
      <c r="O263" s="206"/>
      <c r="P263" s="206"/>
    </row>
    <row r="264" spans="1:16" s="187" customFormat="1" ht="18" customHeight="1">
      <c r="A264" s="187" t="str">
        <f t="shared" si="4"/>
        <v>001503</v>
      </c>
      <c r="B264" s="208" t="s">
        <v>4206</v>
      </c>
      <c r="C264" s="208"/>
      <c r="D264" s="208" t="s">
        <v>4205</v>
      </c>
      <c r="E264" s="208" t="s">
        <v>29</v>
      </c>
      <c r="F264" s="208"/>
      <c r="G264" s="208"/>
      <c r="H264" s="208"/>
      <c r="I264" s="208"/>
      <c r="J264" s="208"/>
      <c r="K264" s="208"/>
      <c r="L264" s="208"/>
      <c r="M264" s="209"/>
      <c r="N264" s="208"/>
      <c r="O264" s="208"/>
      <c r="P264" s="208"/>
    </row>
    <row r="265" spans="1:16" s="187" customFormat="1" ht="18" customHeight="1">
      <c r="A265" s="187" t="str">
        <f t="shared" si="4"/>
        <v>001504</v>
      </c>
      <c r="B265" s="206" t="s">
        <v>4206</v>
      </c>
      <c r="C265" s="206"/>
      <c r="D265" s="206" t="s">
        <v>4207</v>
      </c>
      <c r="E265" s="206" t="s">
        <v>29</v>
      </c>
      <c r="F265" s="206"/>
      <c r="G265" s="206"/>
      <c r="H265" s="206"/>
      <c r="I265" s="206"/>
      <c r="J265" s="206"/>
      <c r="K265" s="206"/>
      <c r="L265" s="206"/>
      <c r="M265" s="207"/>
      <c r="N265" s="206"/>
      <c r="O265" s="206"/>
      <c r="P265" s="206"/>
    </row>
    <row r="266" spans="1:16" s="187" customFormat="1" ht="18" customHeight="1">
      <c r="A266" s="187" t="str">
        <f t="shared" si="4"/>
        <v>001505</v>
      </c>
      <c r="B266" s="208" t="s">
        <v>4206</v>
      </c>
      <c r="C266" s="208"/>
      <c r="D266" s="208" t="s">
        <v>4208</v>
      </c>
      <c r="E266" s="208" t="s">
        <v>29</v>
      </c>
      <c r="F266" s="208"/>
      <c r="G266" s="208"/>
      <c r="H266" s="208"/>
      <c r="I266" s="208"/>
      <c r="J266" s="208"/>
      <c r="K266" s="208"/>
      <c r="L266" s="208"/>
      <c r="M266" s="209"/>
      <c r="N266" s="208"/>
      <c r="O266" s="208"/>
      <c r="P266" s="208"/>
    </row>
    <row r="267" spans="1:16" s="187" customFormat="1" ht="18" customHeight="1">
      <c r="A267" s="187" t="str">
        <f t="shared" si="4"/>
        <v>001506</v>
      </c>
      <c r="B267" s="206" t="s">
        <v>4206</v>
      </c>
      <c r="C267" s="206"/>
      <c r="D267" s="206" t="s">
        <v>4209</v>
      </c>
      <c r="E267" s="206" t="s">
        <v>29</v>
      </c>
      <c r="F267" s="206"/>
      <c r="G267" s="206"/>
      <c r="H267" s="206"/>
      <c r="I267" s="206"/>
      <c r="J267" s="206"/>
      <c r="K267" s="206"/>
      <c r="L267" s="206"/>
      <c r="M267" s="207"/>
      <c r="N267" s="206"/>
      <c r="O267" s="206"/>
      <c r="P267" s="206"/>
    </row>
    <row r="268" spans="1:16" s="187" customFormat="1" ht="18" customHeight="1">
      <c r="A268" s="187" t="str">
        <f t="shared" si="4"/>
        <v>001507</v>
      </c>
      <c r="B268" s="208" t="s">
        <v>4206</v>
      </c>
      <c r="C268" s="208"/>
      <c r="D268" s="208" t="s">
        <v>4210</v>
      </c>
      <c r="E268" s="208" t="s">
        <v>29</v>
      </c>
      <c r="F268" s="208"/>
      <c r="G268" s="208"/>
      <c r="H268" s="208"/>
      <c r="I268" s="208"/>
      <c r="J268" s="208"/>
      <c r="K268" s="208"/>
      <c r="L268" s="208"/>
      <c r="M268" s="209"/>
      <c r="N268" s="208"/>
      <c r="O268" s="208"/>
      <c r="P268" s="208"/>
    </row>
    <row r="269" spans="1:16" s="187" customFormat="1" ht="18" customHeight="1">
      <c r="A269" s="187" t="str">
        <f t="shared" si="4"/>
        <v>V10147A</v>
      </c>
      <c r="B269" s="206" t="s">
        <v>348</v>
      </c>
      <c r="C269" s="206"/>
      <c r="D269" s="206" t="s">
        <v>347</v>
      </c>
      <c r="E269" s="206" t="s">
        <v>29</v>
      </c>
      <c r="F269" s="206" t="s">
        <v>349</v>
      </c>
      <c r="G269" s="206" t="s">
        <v>350</v>
      </c>
      <c r="H269" s="206"/>
      <c r="I269" s="206"/>
      <c r="J269" s="206" t="s">
        <v>351</v>
      </c>
      <c r="K269" s="206" t="s">
        <v>352</v>
      </c>
      <c r="L269" s="206"/>
      <c r="M269" s="207"/>
      <c r="N269" s="206"/>
      <c r="O269" s="206" t="s">
        <v>260</v>
      </c>
      <c r="P269" s="206" t="s">
        <v>91</v>
      </c>
    </row>
    <row r="270" spans="1:16" s="187" customFormat="1" ht="18" customHeight="1">
      <c r="A270" s="187" t="str">
        <f t="shared" si="4"/>
        <v>V10147B</v>
      </c>
      <c r="B270" s="208" t="s">
        <v>348</v>
      </c>
      <c r="C270" s="208"/>
      <c r="D270" s="208" t="s">
        <v>353</v>
      </c>
      <c r="E270" s="208" t="s">
        <v>29</v>
      </c>
      <c r="F270" s="208" t="s">
        <v>349</v>
      </c>
      <c r="G270" s="208" t="s">
        <v>350</v>
      </c>
      <c r="H270" s="208"/>
      <c r="I270" s="208"/>
      <c r="J270" s="208" t="s">
        <v>351</v>
      </c>
      <c r="K270" s="208" t="s">
        <v>352</v>
      </c>
      <c r="L270" s="208"/>
      <c r="M270" s="209"/>
      <c r="N270" s="208"/>
      <c r="O270" s="208" t="s">
        <v>260</v>
      </c>
      <c r="P270" s="208" t="s">
        <v>91</v>
      </c>
    </row>
    <row r="271" spans="1:16" s="187" customFormat="1" ht="18" customHeight="1">
      <c r="A271" s="187" t="str">
        <f t="shared" si="4"/>
        <v>V10147C</v>
      </c>
      <c r="B271" s="206" t="s">
        <v>348</v>
      </c>
      <c r="C271" s="206"/>
      <c r="D271" s="206" t="s">
        <v>354</v>
      </c>
      <c r="E271" s="206" t="s">
        <v>29</v>
      </c>
      <c r="F271" s="206" t="s">
        <v>349</v>
      </c>
      <c r="G271" s="206" t="s">
        <v>350</v>
      </c>
      <c r="H271" s="206"/>
      <c r="I271" s="206"/>
      <c r="J271" s="206" t="s">
        <v>351</v>
      </c>
      <c r="K271" s="206" t="s">
        <v>352</v>
      </c>
      <c r="L271" s="206"/>
      <c r="M271" s="207"/>
      <c r="N271" s="206"/>
      <c r="O271" s="206" t="s">
        <v>260</v>
      </c>
      <c r="P271" s="206" t="s">
        <v>91</v>
      </c>
    </row>
    <row r="272" spans="1:16" s="187" customFormat="1" ht="18" customHeight="1">
      <c r="A272" s="187" t="str">
        <f t="shared" si="4"/>
        <v>V4059C0</v>
      </c>
      <c r="B272" s="208" t="s">
        <v>356</v>
      </c>
      <c r="C272" s="208"/>
      <c r="D272" s="208" t="s">
        <v>355</v>
      </c>
      <c r="E272" s="208" t="s">
        <v>29</v>
      </c>
      <c r="F272" s="208" t="s">
        <v>357</v>
      </c>
      <c r="G272" s="208" t="s">
        <v>358</v>
      </c>
      <c r="H272" s="208"/>
      <c r="I272" s="208"/>
      <c r="J272" s="208" t="s">
        <v>359</v>
      </c>
      <c r="K272" s="208" t="s">
        <v>360</v>
      </c>
      <c r="L272" s="208"/>
      <c r="M272" s="209"/>
      <c r="N272" s="208"/>
      <c r="O272" s="208"/>
      <c r="P272" s="208" t="s">
        <v>107</v>
      </c>
    </row>
    <row r="273" spans="1:16" s="187" customFormat="1" ht="18" customHeight="1">
      <c r="A273" s="187" t="str">
        <f t="shared" si="4"/>
        <v>CG440035C0</v>
      </c>
      <c r="B273" s="206" t="s">
        <v>5312</v>
      </c>
      <c r="C273" s="206"/>
      <c r="D273" s="206" t="s">
        <v>5313</v>
      </c>
      <c r="E273" s="206" t="s">
        <v>29</v>
      </c>
      <c r="F273" s="206" t="s">
        <v>5314</v>
      </c>
      <c r="G273" s="206" t="s">
        <v>5315</v>
      </c>
      <c r="H273" s="206"/>
      <c r="I273" s="206" t="s">
        <v>5316</v>
      </c>
      <c r="J273" s="206" t="s">
        <v>5317</v>
      </c>
      <c r="K273" s="206" t="s">
        <v>5318</v>
      </c>
      <c r="L273" s="206"/>
      <c r="M273" s="207"/>
      <c r="N273" s="206"/>
      <c r="O273" s="206"/>
      <c r="P273" s="206" t="s">
        <v>91</v>
      </c>
    </row>
    <row r="274" spans="1:16" s="187" customFormat="1" ht="18" customHeight="1">
      <c r="A274" s="187" t="str">
        <f t="shared" si="4"/>
        <v>V10232C</v>
      </c>
      <c r="B274" s="208" t="s">
        <v>362</v>
      </c>
      <c r="C274" s="208"/>
      <c r="D274" s="208" t="s">
        <v>368</v>
      </c>
      <c r="E274" s="208" t="s">
        <v>29</v>
      </c>
      <c r="F274" s="208" t="s">
        <v>363</v>
      </c>
      <c r="G274" s="208" t="s">
        <v>364</v>
      </c>
      <c r="H274" s="208"/>
      <c r="I274" s="208"/>
      <c r="J274" s="208" t="s">
        <v>369</v>
      </c>
      <c r="K274" s="208" t="s">
        <v>370</v>
      </c>
      <c r="L274" s="208"/>
      <c r="M274" s="209"/>
      <c r="N274" s="208"/>
      <c r="O274" s="208" t="s">
        <v>260</v>
      </c>
      <c r="P274" s="208" t="s">
        <v>91</v>
      </c>
    </row>
    <row r="275" spans="1:16" s="187" customFormat="1" ht="18" customHeight="1">
      <c r="A275" s="187" t="str">
        <f t="shared" si="4"/>
        <v>V10232A</v>
      </c>
      <c r="B275" s="206" t="s">
        <v>362</v>
      </c>
      <c r="C275" s="206"/>
      <c r="D275" s="206" t="s">
        <v>361</v>
      </c>
      <c r="E275" s="206" t="s">
        <v>29</v>
      </c>
      <c r="F275" s="206" t="s">
        <v>363</v>
      </c>
      <c r="G275" s="206" t="s">
        <v>364</v>
      </c>
      <c r="H275" s="206"/>
      <c r="I275" s="206"/>
      <c r="J275" s="206" t="s">
        <v>365</v>
      </c>
      <c r="K275" s="206" t="s">
        <v>370</v>
      </c>
      <c r="L275" s="206"/>
      <c r="M275" s="207"/>
      <c r="N275" s="206"/>
      <c r="O275" s="206" t="s">
        <v>260</v>
      </c>
      <c r="P275" s="206" t="s">
        <v>91</v>
      </c>
    </row>
    <row r="276" spans="1:16" s="187" customFormat="1" ht="18" customHeight="1">
      <c r="A276" s="187" t="str">
        <f t="shared" si="4"/>
        <v>V10232B</v>
      </c>
      <c r="B276" s="208" t="s">
        <v>362</v>
      </c>
      <c r="C276" s="208"/>
      <c r="D276" s="208" t="s">
        <v>366</v>
      </c>
      <c r="E276" s="208" t="s">
        <v>29</v>
      </c>
      <c r="F276" s="208" t="s">
        <v>363</v>
      </c>
      <c r="G276" s="208" t="s">
        <v>364</v>
      </c>
      <c r="H276" s="208"/>
      <c r="I276" s="208"/>
      <c r="J276" s="208" t="s">
        <v>367</v>
      </c>
      <c r="K276" s="208" t="s">
        <v>370</v>
      </c>
      <c r="L276" s="208"/>
      <c r="M276" s="209"/>
      <c r="N276" s="208"/>
      <c r="O276" s="208" t="s">
        <v>260</v>
      </c>
      <c r="P276" s="208" t="s">
        <v>91</v>
      </c>
    </row>
    <row r="277" spans="1:16" s="187" customFormat="1" ht="18" customHeight="1">
      <c r="A277" s="187" t="str">
        <f t="shared" si="4"/>
        <v>V10179A</v>
      </c>
      <c r="B277" s="206" t="s">
        <v>372</v>
      </c>
      <c r="C277" s="206"/>
      <c r="D277" s="206" t="s">
        <v>380</v>
      </c>
      <c r="E277" s="206" t="s">
        <v>29</v>
      </c>
      <c r="F277" s="206" t="s">
        <v>373</v>
      </c>
      <c r="G277" s="206" t="s">
        <v>374</v>
      </c>
      <c r="H277" s="206"/>
      <c r="I277" s="206" t="s">
        <v>375</v>
      </c>
      <c r="J277" s="206" t="s">
        <v>376</v>
      </c>
      <c r="K277" s="206" t="s">
        <v>377</v>
      </c>
      <c r="L277" s="206"/>
      <c r="M277" s="207"/>
      <c r="N277" s="206"/>
      <c r="O277" s="206" t="s">
        <v>260</v>
      </c>
      <c r="P277" s="206" t="s">
        <v>91</v>
      </c>
    </row>
    <row r="278" spans="1:16" s="187" customFormat="1" ht="18" customHeight="1">
      <c r="A278" s="187" t="str">
        <f t="shared" si="4"/>
        <v>V10179B</v>
      </c>
      <c r="B278" s="208" t="s">
        <v>372</v>
      </c>
      <c r="C278" s="208"/>
      <c r="D278" s="208" t="s">
        <v>381</v>
      </c>
      <c r="E278" s="208" t="s">
        <v>29</v>
      </c>
      <c r="F278" s="208" t="s">
        <v>373</v>
      </c>
      <c r="G278" s="208" t="s">
        <v>374</v>
      </c>
      <c r="H278" s="208"/>
      <c r="I278" s="208" t="s">
        <v>375</v>
      </c>
      <c r="J278" s="208" t="s">
        <v>376</v>
      </c>
      <c r="K278" s="208" t="s">
        <v>377</v>
      </c>
      <c r="L278" s="208"/>
      <c r="M278" s="209"/>
      <c r="N278" s="208"/>
      <c r="O278" s="208" t="s">
        <v>260</v>
      </c>
      <c r="P278" s="208" t="s">
        <v>91</v>
      </c>
    </row>
    <row r="279" spans="1:16" s="187" customFormat="1" ht="18" customHeight="1">
      <c r="A279" s="187" t="str">
        <f t="shared" si="4"/>
        <v>V10179C</v>
      </c>
      <c r="B279" s="206" t="s">
        <v>372</v>
      </c>
      <c r="C279" s="206"/>
      <c r="D279" s="206" t="s">
        <v>382</v>
      </c>
      <c r="E279" s="206" t="s">
        <v>29</v>
      </c>
      <c r="F279" s="206" t="s">
        <v>373</v>
      </c>
      <c r="G279" s="206" t="s">
        <v>374</v>
      </c>
      <c r="H279" s="206"/>
      <c r="I279" s="206" t="s">
        <v>375</v>
      </c>
      <c r="J279" s="206" t="s">
        <v>376</v>
      </c>
      <c r="K279" s="206" t="s">
        <v>377</v>
      </c>
      <c r="L279" s="206"/>
      <c r="M279" s="207"/>
      <c r="N279" s="206"/>
      <c r="O279" s="206" t="s">
        <v>260</v>
      </c>
      <c r="P279" s="206" t="s">
        <v>91</v>
      </c>
    </row>
    <row r="280" spans="1:16" s="187" customFormat="1" ht="18" customHeight="1">
      <c r="A280" s="187" t="str">
        <f t="shared" si="4"/>
        <v>V4057C0</v>
      </c>
      <c r="B280" s="208" t="s">
        <v>372</v>
      </c>
      <c r="C280" s="208"/>
      <c r="D280" s="208" t="s">
        <v>379</v>
      </c>
      <c r="E280" s="208" t="s">
        <v>29</v>
      </c>
      <c r="F280" s="208" t="s">
        <v>373</v>
      </c>
      <c r="G280" s="208" t="s">
        <v>374</v>
      </c>
      <c r="H280" s="208"/>
      <c r="I280" s="208" t="s">
        <v>375</v>
      </c>
      <c r="J280" s="208" t="s">
        <v>376</v>
      </c>
      <c r="K280" s="208" t="s">
        <v>377</v>
      </c>
      <c r="L280" s="208"/>
      <c r="M280" s="209"/>
      <c r="N280" s="208"/>
      <c r="O280" s="208" t="s">
        <v>131</v>
      </c>
      <c r="P280" s="208" t="s">
        <v>107</v>
      </c>
    </row>
    <row r="281" spans="1:16" s="187" customFormat="1" ht="18" customHeight="1">
      <c r="A281" s="187" t="str">
        <f t="shared" si="4"/>
        <v>V4057A0</v>
      </c>
      <c r="B281" s="206" t="s">
        <v>372</v>
      </c>
      <c r="C281" s="206"/>
      <c r="D281" s="206" t="s">
        <v>371</v>
      </c>
      <c r="E281" s="206" t="s">
        <v>29</v>
      </c>
      <c r="F281" s="206" t="s">
        <v>373</v>
      </c>
      <c r="G281" s="206" t="s">
        <v>374</v>
      </c>
      <c r="H281" s="206"/>
      <c r="I281" s="206" t="s">
        <v>375</v>
      </c>
      <c r="J281" s="206" t="s">
        <v>376</v>
      </c>
      <c r="K281" s="206" t="s">
        <v>377</v>
      </c>
      <c r="L281" s="206"/>
      <c r="M281" s="207"/>
      <c r="N281" s="206"/>
      <c r="O281" s="206" t="s">
        <v>131</v>
      </c>
      <c r="P281" s="206" t="s">
        <v>107</v>
      </c>
    </row>
    <row r="282" spans="1:16" s="187" customFormat="1" ht="18" customHeight="1">
      <c r="A282" s="187" t="str">
        <f t="shared" si="4"/>
        <v>V4057B0</v>
      </c>
      <c r="B282" s="208" t="s">
        <v>372</v>
      </c>
      <c r="C282" s="208"/>
      <c r="D282" s="208" t="s">
        <v>378</v>
      </c>
      <c r="E282" s="208" t="s">
        <v>29</v>
      </c>
      <c r="F282" s="208" t="s">
        <v>373</v>
      </c>
      <c r="G282" s="208" t="s">
        <v>374</v>
      </c>
      <c r="H282" s="208"/>
      <c r="I282" s="208" t="s">
        <v>375</v>
      </c>
      <c r="J282" s="208" t="s">
        <v>376</v>
      </c>
      <c r="K282" s="208" t="s">
        <v>377</v>
      </c>
      <c r="L282" s="208"/>
      <c r="M282" s="209"/>
      <c r="N282" s="208"/>
      <c r="O282" s="208" t="s">
        <v>131</v>
      </c>
      <c r="P282" s="208" t="s">
        <v>107</v>
      </c>
    </row>
    <row r="283" spans="1:16" s="187" customFormat="1" ht="18" customHeight="1">
      <c r="A283" s="187" t="str">
        <f t="shared" si="4"/>
        <v>V10185A</v>
      </c>
      <c r="B283" s="206" t="s">
        <v>384</v>
      </c>
      <c r="C283" s="206"/>
      <c r="D283" s="206" t="s">
        <v>383</v>
      </c>
      <c r="E283" s="206" t="s">
        <v>29</v>
      </c>
      <c r="F283" s="206" t="s">
        <v>385</v>
      </c>
      <c r="G283" s="206" t="s">
        <v>386</v>
      </c>
      <c r="H283" s="206"/>
      <c r="I283" s="206"/>
      <c r="J283" s="206" t="s">
        <v>1194</v>
      </c>
      <c r="K283" s="206" t="s">
        <v>5119</v>
      </c>
      <c r="L283" s="206"/>
      <c r="M283" s="207"/>
      <c r="N283" s="206"/>
      <c r="O283" s="206" t="s">
        <v>260</v>
      </c>
      <c r="P283" s="206" t="s">
        <v>91</v>
      </c>
    </row>
    <row r="284" spans="1:16" s="187" customFormat="1" ht="18" customHeight="1">
      <c r="A284" s="187" t="str">
        <f t="shared" si="4"/>
        <v>V10185B</v>
      </c>
      <c r="B284" s="208" t="s">
        <v>384</v>
      </c>
      <c r="C284" s="208"/>
      <c r="D284" s="208" t="s">
        <v>388</v>
      </c>
      <c r="E284" s="208" t="s">
        <v>29</v>
      </c>
      <c r="F284" s="208" t="s">
        <v>385</v>
      </c>
      <c r="G284" s="208" t="s">
        <v>386</v>
      </c>
      <c r="H284" s="208"/>
      <c r="I284" s="208"/>
      <c r="J284" s="208" t="s">
        <v>5120</v>
      </c>
      <c r="K284" s="208" t="s">
        <v>5119</v>
      </c>
      <c r="L284" s="208"/>
      <c r="M284" s="209"/>
      <c r="N284" s="208"/>
      <c r="O284" s="208" t="s">
        <v>260</v>
      </c>
      <c r="P284" s="208" t="s">
        <v>91</v>
      </c>
    </row>
    <row r="285" spans="1:16" s="187" customFormat="1" ht="18" customHeight="1">
      <c r="A285" s="187" t="str">
        <f t="shared" si="4"/>
        <v>V10185C</v>
      </c>
      <c r="B285" s="206" t="s">
        <v>384</v>
      </c>
      <c r="C285" s="206"/>
      <c r="D285" s="206" t="s">
        <v>389</v>
      </c>
      <c r="E285" s="206" t="s">
        <v>29</v>
      </c>
      <c r="F285" s="206" t="s">
        <v>385</v>
      </c>
      <c r="G285" s="206" t="s">
        <v>386</v>
      </c>
      <c r="H285" s="206"/>
      <c r="I285" s="206"/>
      <c r="J285" s="206" t="s">
        <v>5120</v>
      </c>
      <c r="K285" s="206" t="s">
        <v>5119</v>
      </c>
      <c r="L285" s="206"/>
      <c r="M285" s="207"/>
      <c r="N285" s="206"/>
      <c r="O285" s="206" t="s">
        <v>260</v>
      </c>
      <c r="P285" s="206" t="s">
        <v>91</v>
      </c>
    </row>
    <row r="286" spans="1:16" s="187" customFormat="1" ht="18" customHeight="1">
      <c r="A286" s="187" t="str">
        <f t="shared" si="4"/>
        <v>V10515C</v>
      </c>
      <c r="B286" s="208" t="s">
        <v>6037</v>
      </c>
      <c r="C286" s="208"/>
      <c r="D286" s="208" t="s">
        <v>6038</v>
      </c>
      <c r="E286" s="208" t="s">
        <v>29</v>
      </c>
      <c r="F286" s="208" t="s">
        <v>6039</v>
      </c>
      <c r="G286" s="208" t="s">
        <v>6040</v>
      </c>
      <c r="H286" s="208"/>
      <c r="I286" s="208"/>
      <c r="J286" s="208" t="s">
        <v>1194</v>
      </c>
      <c r="K286" s="208" t="s">
        <v>6041</v>
      </c>
      <c r="L286" s="208"/>
      <c r="M286" s="209"/>
      <c r="N286" s="208"/>
      <c r="O286" s="208" t="s">
        <v>260</v>
      </c>
      <c r="P286" s="208" t="s">
        <v>91</v>
      </c>
    </row>
    <row r="287" spans="1:16" s="187" customFormat="1" ht="18" customHeight="1">
      <c r="A287" s="187" t="str">
        <f t="shared" si="4"/>
        <v>V10327C</v>
      </c>
      <c r="B287" s="206" t="s">
        <v>4212</v>
      </c>
      <c r="C287" s="206"/>
      <c r="D287" s="206" t="s">
        <v>4211</v>
      </c>
      <c r="E287" s="206" t="s">
        <v>29</v>
      </c>
      <c r="F287" s="206" t="s">
        <v>4213</v>
      </c>
      <c r="G287" s="206" t="s">
        <v>4214</v>
      </c>
      <c r="H287" s="206"/>
      <c r="I287" s="206"/>
      <c r="J287" s="206" t="s">
        <v>4215</v>
      </c>
      <c r="K287" s="206" t="s">
        <v>4216</v>
      </c>
      <c r="L287" s="206"/>
      <c r="M287" s="207"/>
      <c r="N287" s="206"/>
      <c r="O287" s="206"/>
      <c r="P287" s="206" t="s">
        <v>91</v>
      </c>
    </row>
    <row r="288" spans="1:16" s="187" customFormat="1" ht="18" customHeight="1">
      <c r="A288" s="187" t="str">
        <f t="shared" si="4"/>
        <v>V10008C</v>
      </c>
      <c r="B288" s="208" t="s">
        <v>391</v>
      </c>
      <c r="C288" s="208"/>
      <c r="D288" s="208" t="s">
        <v>390</v>
      </c>
      <c r="E288" s="208" t="s">
        <v>29</v>
      </c>
      <c r="F288" s="208" t="s">
        <v>5157</v>
      </c>
      <c r="G288" s="208" t="s">
        <v>392</v>
      </c>
      <c r="H288" s="208"/>
      <c r="I288" s="208"/>
      <c r="J288" s="208" t="s">
        <v>393</v>
      </c>
      <c r="K288" s="208" t="s">
        <v>394</v>
      </c>
      <c r="L288" s="208"/>
      <c r="M288" s="209"/>
      <c r="N288" s="208"/>
      <c r="O288" s="208" t="s">
        <v>260</v>
      </c>
      <c r="P288" s="208" t="s">
        <v>91</v>
      </c>
    </row>
    <row r="289" spans="1:16" s="187" customFormat="1" ht="18" customHeight="1">
      <c r="A289" s="187" t="str">
        <f t="shared" si="4"/>
        <v>V10008A</v>
      </c>
      <c r="B289" s="206" t="s">
        <v>391</v>
      </c>
      <c r="C289" s="206"/>
      <c r="D289" s="206" t="s">
        <v>395</v>
      </c>
      <c r="E289" s="206" t="s">
        <v>29</v>
      </c>
      <c r="F289" s="206" t="s">
        <v>5157</v>
      </c>
      <c r="G289" s="206" t="s">
        <v>392</v>
      </c>
      <c r="H289" s="206"/>
      <c r="I289" s="206"/>
      <c r="J289" s="206" t="s">
        <v>393</v>
      </c>
      <c r="K289" s="206" t="s">
        <v>394</v>
      </c>
      <c r="L289" s="206"/>
      <c r="M289" s="207"/>
      <c r="N289" s="206"/>
      <c r="O289" s="206" t="s">
        <v>260</v>
      </c>
      <c r="P289" s="206" t="s">
        <v>91</v>
      </c>
    </row>
    <row r="290" spans="1:16" s="187" customFormat="1" ht="18" customHeight="1">
      <c r="A290" s="187" t="str">
        <f t="shared" si="4"/>
        <v>V10008B</v>
      </c>
      <c r="B290" s="208" t="s">
        <v>391</v>
      </c>
      <c r="C290" s="208"/>
      <c r="D290" s="208" t="s">
        <v>396</v>
      </c>
      <c r="E290" s="208" t="s">
        <v>29</v>
      </c>
      <c r="F290" s="208" t="s">
        <v>5157</v>
      </c>
      <c r="G290" s="208" t="s">
        <v>392</v>
      </c>
      <c r="H290" s="208"/>
      <c r="I290" s="208"/>
      <c r="J290" s="208" t="s">
        <v>393</v>
      </c>
      <c r="K290" s="208" t="s">
        <v>394</v>
      </c>
      <c r="L290" s="208"/>
      <c r="M290" s="209"/>
      <c r="N290" s="208"/>
      <c r="O290" s="208" t="s">
        <v>260</v>
      </c>
      <c r="P290" s="208" t="s">
        <v>91</v>
      </c>
    </row>
    <row r="291" spans="1:16" s="187" customFormat="1" ht="18" customHeight="1">
      <c r="A291" s="187" t="str">
        <f t="shared" si="4"/>
        <v>LS-000148</v>
      </c>
      <c r="B291" s="206" t="s">
        <v>398</v>
      </c>
      <c r="C291" s="206"/>
      <c r="D291" s="206" t="s">
        <v>397</v>
      </c>
      <c r="E291" s="206" t="s">
        <v>29</v>
      </c>
      <c r="F291" s="206" t="s">
        <v>5063</v>
      </c>
      <c r="G291" s="206" t="s">
        <v>399</v>
      </c>
      <c r="H291" s="206"/>
      <c r="I291" s="206" t="s">
        <v>400</v>
      </c>
      <c r="J291" s="206" t="s">
        <v>401</v>
      </c>
      <c r="K291" s="206" t="s">
        <v>402</v>
      </c>
      <c r="L291" s="206"/>
      <c r="M291" s="207"/>
      <c r="N291" s="206"/>
      <c r="O291" s="206"/>
      <c r="P291" s="206" t="s">
        <v>91</v>
      </c>
    </row>
    <row r="292" spans="1:16" s="187" customFormat="1" ht="18" customHeight="1">
      <c r="A292" s="187" t="str">
        <f t="shared" si="4"/>
        <v>V20067A</v>
      </c>
      <c r="B292" s="208" t="s">
        <v>404</v>
      </c>
      <c r="C292" s="208"/>
      <c r="D292" s="208" t="s">
        <v>403</v>
      </c>
      <c r="E292" s="208" t="s">
        <v>29</v>
      </c>
      <c r="F292" s="208" t="s">
        <v>405</v>
      </c>
      <c r="G292" s="208"/>
      <c r="H292" s="208"/>
      <c r="I292" s="208" t="s">
        <v>406</v>
      </c>
      <c r="J292" s="208" t="s">
        <v>407</v>
      </c>
      <c r="K292" s="208" t="s">
        <v>408</v>
      </c>
      <c r="L292" s="208"/>
      <c r="M292" s="209"/>
      <c r="N292" s="208"/>
      <c r="O292" s="208" t="s">
        <v>40</v>
      </c>
      <c r="P292" s="208" t="s">
        <v>34</v>
      </c>
    </row>
    <row r="293" spans="1:16" s="187" customFormat="1" ht="18" customHeight="1">
      <c r="A293" s="187" t="str">
        <f t="shared" si="4"/>
        <v>V20067B</v>
      </c>
      <c r="B293" s="206" t="s">
        <v>404</v>
      </c>
      <c r="C293" s="206"/>
      <c r="D293" s="206" t="s">
        <v>409</v>
      </c>
      <c r="E293" s="206" t="s">
        <v>29</v>
      </c>
      <c r="F293" s="206" t="s">
        <v>405</v>
      </c>
      <c r="G293" s="206"/>
      <c r="H293" s="206"/>
      <c r="I293" s="206" t="s">
        <v>406</v>
      </c>
      <c r="J293" s="206" t="s">
        <v>407</v>
      </c>
      <c r="K293" s="206" t="s">
        <v>408</v>
      </c>
      <c r="L293" s="206"/>
      <c r="M293" s="207"/>
      <c r="N293" s="206"/>
      <c r="O293" s="206" t="s">
        <v>40</v>
      </c>
      <c r="P293" s="206" t="s">
        <v>34</v>
      </c>
    </row>
    <row r="294" spans="1:16" s="187" customFormat="1" ht="18" customHeight="1">
      <c r="A294" s="187" t="str">
        <f t="shared" si="4"/>
        <v>V20067C</v>
      </c>
      <c r="B294" s="208" t="s">
        <v>404</v>
      </c>
      <c r="C294" s="208"/>
      <c r="D294" s="208" t="s">
        <v>410</v>
      </c>
      <c r="E294" s="208" t="s">
        <v>29</v>
      </c>
      <c r="F294" s="208" t="s">
        <v>405</v>
      </c>
      <c r="G294" s="208"/>
      <c r="H294" s="208"/>
      <c r="I294" s="208" t="s">
        <v>406</v>
      </c>
      <c r="J294" s="208" t="s">
        <v>407</v>
      </c>
      <c r="K294" s="208" t="s">
        <v>408</v>
      </c>
      <c r="L294" s="208"/>
      <c r="M294" s="209"/>
      <c r="N294" s="208"/>
      <c r="O294" s="208" t="s">
        <v>40</v>
      </c>
      <c r="P294" s="208" t="s">
        <v>34</v>
      </c>
    </row>
    <row r="295" spans="1:16" s="187" customFormat="1" ht="18" customHeight="1">
      <c r="A295" s="187" t="str">
        <f t="shared" si="4"/>
        <v>T3006C0</v>
      </c>
      <c r="B295" s="206" t="s">
        <v>412</v>
      </c>
      <c r="C295" s="206"/>
      <c r="D295" s="206" t="s">
        <v>411</v>
      </c>
      <c r="E295" s="206" t="s">
        <v>29</v>
      </c>
      <c r="F295" s="206" t="s">
        <v>94</v>
      </c>
      <c r="G295" s="206"/>
      <c r="H295" s="206"/>
      <c r="I295" s="206"/>
      <c r="J295" s="206" t="s">
        <v>413</v>
      </c>
      <c r="K295" s="206" t="s">
        <v>414</v>
      </c>
      <c r="L295" s="206"/>
      <c r="M295" s="207"/>
      <c r="N295" s="206"/>
      <c r="O295" s="206" t="s">
        <v>95</v>
      </c>
      <c r="P295" s="206" t="s">
        <v>96</v>
      </c>
    </row>
    <row r="296" spans="1:16" s="187" customFormat="1" ht="18" customHeight="1">
      <c r="A296" s="187" t="str">
        <f t="shared" si="4"/>
        <v>CG480001C0</v>
      </c>
      <c r="B296" s="208" t="s">
        <v>412</v>
      </c>
      <c r="C296" s="208"/>
      <c r="D296" s="208" t="s">
        <v>418</v>
      </c>
      <c r="E296" s="208" t="s">
        <v>29</v>
      </c>
      <c r="F296" s="208" t="s">
        <v>419</v>
      </c>
      <c r="G296" s="208"/>
      <c r="H296" s="208"/>
      <c r="I296" s="208"/>
      <c r="J296" s="208"/>
      <c r="K296" s="208"/>
      <c r="L296" s="208"/>
      <c r="M296" s="209"/>
      <c r="N296" s="208"/>
      <c r="O296" s="208"/>
      <c r="P296" s="208" t="s">
        <v>100</v>
      </c>
    </row>
    <row r="297" spans="1:16" s="187" customFormat="1" ht="18" customHeight="1">
      <c r="A297" s="187" t="str">
        <f t="shared" si="4"/>
        <v>V4050C0</v>
      </c>
      <c r="B297" s="206" t="s">
        <v>412</v>
      </c>
      <c r="C297" s="206"/>
      <c r="D297" s="206" t="s">
        <v>415</v>
      </c>
      <c r="E297" s="206" t="s">
        <v>29</v>
      </c>
      <c r="F297" s="206" t="s">
        <v>94</v>
      </c>
      <c r="G297" s="206"/>
      <c r="H297" s="206"/>
      <c r="I297" s="206"/>
      <c r="J297" s="206" t="s">
        <v>416</v>
      </c>
      <c r="K297" s="206" t="s">
        <v>417</v>
      </c>
      <c r="L297" s="206"/>
      <c r="M297" s="207"/>
      <c r="N297" s="206"/>
      <c r="O297" s="206" t="s">
        <v>131</v>
      </c>
      <c r="P297" s="206" t="s">
        <v>107</v>
      </c>
    </row>
    <row r="298" spans="1:16" s="187" customFormat="1" ht="18" customHeight="1">
      <c r="A298" s="187" t="str">
        <f t="shared" si="4"/>
        <v>V4048C0</v>
      </c>
      <c r="B298" s="208" t="s">
        <v>421</v>
      </c>
      <c r="C298" s="208"/>
      <c r="D298" s="208" t="s">
        <v>420</v>
      </c>
      <c r="E298" s="208" t="s">
        <v>29</v>
      </c>
      <c r="F298" s="208" t="s">
        <v>4887</v>
      </c>
      <c r="G298" s="208" t="s">
        <v>422</v>
      </c>
      <c r="H298" s="208"/>
      <c r="I298" s="208"/>
      <c r="J298" s="208" t="s">
        <v>423</v>
      </c>
      <c r="K298" s="208" t="s">
        <v>424</v>
      </c>
      <c r="L298" s="208"/>
      <c r="M298" s="209"/>
      <c r="N298" s="208"/>
      <c r="O298" s="208" t="s">
        <v>131</v>
      </c>
      <c r="P298" s="208" t="s">
        <v>107</v>
      </c>
    </row>
    <row r="299" spans="1:16" s="187" customFormat="1" ht="18" customHeight="1">
      <c r="A299" s="187" t="str">
        <f t="shared" si="4"/>
        <v>CG440026C0</v>
      </c>
      <c r="B299" s="206" t="s">
        <v>421</v>
      </c>
      <c r="C299" s="206"/>
      <c r="D299" s="206" t="s">
        <v>425</v>
      </c>
      <c r="E299" s="206" t="s">
        <v>29</v>
      </c>
      <c r="F299" s="206" t="s">
        <v>426</v>
      </c>
      <c r="G299" s="206" t="s">
        <v>422</v>
      </c>
      <c r="H299" s="206"/>
      <c r="I299" s="206"/>
      <c r="J299" s="206" t="s">
        <v>427</v>
      </c>
      <c r="K299" s="206" t="s">
        <v>428</v>
      </c>
      <c r="L299" s="206"/>
      <c r="M299" s="207"/>
      <c r="N299" s="206"/>
      <c r="O299" s="206"/>
      <c r="P299" s="206" t="s">
        <v>107</v>
      </c>
    </row>
    <row r="300" spans="1:16" s="187" customFormat="1" ht="18" customHeight="1">
      <c r="A300" s="187" t="str">
        <f t="shared" si="4"/>
        <v>V10468C</v>
      </c>
      <c r="B300" s="208" t="s">
        <v>5826</v>
      </c>
      <c r="C300" s="208"/>
      <c r="D300" s="208" t="s">
        <v>5827</v>
      </c>
      <c r="E300" s="208" t="s">
        <v>29</v>
      </c>
      <c r="F300" s="208" t="s">
        <v>5828</v>
      </c>
      <c r="G300" s="208" t="s">
        <v>5829</v>
      </c>
      <c r="H300" s="208"/>
      <c r="I300" s="208"/>
      <c r="J300" s="208" t="s">
        <v>5830</v>
      </c>
      <c r="K300" s="208" t="s">
        <v>5831</v>
      </c>
      <c r="L300" s="208"/>
      <c r="M300" s="209"/>
      <c r="N300" s="208"/>
      <c r="O300" s="208" t="s">
        <v>260</v>
      </c>
      <c r="P300" s="208" t="s">
        <v>91</v>
      </c>
    </row>
    <row r="301" spans="1:16" s="187" customFormat="1" ht="18" customHeight="1">
      <c r="A301" s="187" t="str">
        <f t="shared" si="4"/>
        <v>V10012A</v>
      </c>
      <c r="B301" s="206" t="s">
        <v>430</v>
      </c>
      <c r="C301" s="206"/>
      <c r="D301" s="206" t="s">
        <v>429</v>
      </c>
      <c r="E301" s="206" t="s">
        <v>29</v>
      </c>
      <c r="F301" s="206" t="s">
        <v>431</v>
      </c>
      <c r="G301" s="206" t="s">
        <v>5158</v>
      </c>
      <c r="H301" s="206"/>
      <c r="I301" s="206"/>
      <c r="J301" s="206" t="s">
        <v>5159</v>
      </c>
      <c r="K301" s="206" t="s">
        <v>433</v>
      </c>
      <c r="L301" s="206"/>
      <c r="M301" s="207"/>
      <c r="N301" s="206"/>
      <c r="O301" s="206" t="s">
        <v>260</v>
      </c>
      <c r="P301" s="206" t="s">
        <v>91</v>
      </c>
    </row>
    <row r="302" spans="1:16" s="187" customFormat="1" ht="18" customHeight="1">
      <c r="A302" s="187" t="str">
        <f t="shared" si="4"/>
        <v>V10012B</v>
      </c>
      <c r="B302" s="208" t="s">
        <v>430</v>
      </c>
      <c r="C302" s="208"/>
      <c r="D302" s="208" t="s">
        <v>434</v>
      </c>
      <c r="E302" s="208" t="s">
        <v>29</v>
      </c>
      <c r="F302" s="208" t="s">
        <v>431</v>
      </c>
      <c r="G302" s="208" t="s">
        <v>5158</v>
      </c>
      <c r="H302" s="208"/>
      <c r="I302" s="208"/>
      <c r="J302" s="208" t="s">
        <v>5159</v>
      </c>
      <c r="K302" s="208" t="s">
        <v>433</v>
      </c>
      <c r="L302" s="208"/>
      <c r="M302" s="209"/>
      <c r="N302" s="208"/>
      <c r="O302" s="208" t="s">
        <v>260</v>
      </c>
      <c r="P302" s="208" t="s">
        <v>91</v>
      </c>
    </row>
    <row r="303" spans="1:16" s="187" customFormat="1" ht="18" customHeight="1">
      <c r="A303" s="187" t="str">
        <f t="shared" si="4"/>
        <v>V10012C</v>
      </c>
      <c r="B303" s="206" t="s">
        <v>430</v>
      </c>
      <c r="C303" s="206"/>
      <c r="D303" s="206" t="s">
        <v>435</v>
      </c>
      <c r="E303" s="206" t="s">
        <v>29</v>
      </c>
      <c r="F303" s="206" t="s">
        <v>431</v>
      </c>
      <c r="G303" s="206" t="s">
        <v>432</v>
      </c>
      <c r="H303" s="206"/>
      <c r="I303" s="206"/>
      <c r="J303" s="206" t="s">
        <v>5118</v>
      </c>
      <c r="K303" s="206" t="s">
        <v>433</v>
      </c>
      <c r="L303" s="206"/>
      <c r="M303" s="207"/>
      <c r="N303" s="206"/>
      <c r="O303" s="206" t="s">
        <v>260</v>
      </c>
      <c r="P303" s="206" t="s">
        <v>91</v>
      </c>
    </row>
    <row r="304" spans="1:16" s="187" customFormat="1" ht="18" customHeight="1">
      <c r="A304" s="187" t="str">
        <f t="shared" si="4"/>
        <v>V10398C</v>
      </c>
      <c r="B304" s="208" t="s">
        <v>5319</v>
      </c>
      <c r="C304" s="208"/>
      <c r="D304" s="208" t="s">
        <v>5320</v>
      </c>
      <c r="E304" s="208" t="s">
        <v>29</v>
      </c>
      <c r="F304" s="208" t="s">
        <v>5321</v>
      </c>
      <c r="G304" s="208"/>
      <c r="H304" s="208"/>
      <c r="I304" s="208"/>
      <c r="J304" s="208" t="s">
        <v>5322</v>
      </c>
      <c r="K304" s="208" t="s">
        <v>5323</v>
      </c>
      <c r="L304" s="208"/>
      <c r="M304" s="209"/>
      <c r="N304" s="208"/>
      <c r="O304" s="208"/>
      <c r="P304" s="208" t="s">
        <v>91</v>
      </c>
    </row>
    <row r="305" spans="1:16" s="187" customFormat="1" ht="18" customHeight="1">
      <c r="A305" s="187" t="str">
        <f t="shared" si="4"/>
        <v>V10493C</v>
      </c>
      <c r="B305" s="206" t="s">
        <v>6042</v>
      </c>
      <c r="C305" s="206"/>
      <c r="D305" s="206" t="s">
        <v>6043</v>
      </c>
      <c r="E305" s="206" t="s">
        <v>29</v>
      </c>
      <c r="F305" s="206" t="s">
        <v>6044</v>
      </c>
      <c r="G305" s="206" t="s">
        <v>6045</v>
      </c>
      <c r="H305" s="206"/>
      <c r="I305" s="206"/>
      <c r="J305" s="206" t="s">
        <v>6046</v>
      </c>
      <c r="K305" s="206" t="s">
        <v>6047</v>
      </c>
      <c r="L305" s="206"/>
      <c r="M305" s="207"/>
      <c r="N305" s="206"/>
      <c r="O305" s="206" t="s">
        <v>260</v>
      </c>
      <c r="P305" s="206" t="s">
        <v>91</v>
      </c>
    </row>
    <row r="306" spans="1:16" s="187" customFormat="1" ht="18" customHeight="1">
      <c r="A306" s="187" t="str">
        <f t="shared" si="4"/>
        <v>V10429C</v>
      </c>
      <c r="B306" s="208" t="s">
        <v>5628</v>
      </c>
      <c r="C306" s="208"/>
      <c r="D306" s="208" t="s">
        <v>5629</v>
      </c>
      <c r="E306" s="208" t="s">
        <v>29</v>
      </c>
      <c r="F306" s="208" t="s">
        <v>5630</v>
      </c>
      <c r="G306" s="208"/>
      <c r="H306" s="208"/>
      <c r="I306" s="208" t="s">
        <v>5631</v>
      </c>
      <c r="J306" s="208" t="s">
        <v>5632</v>
      </c>
      <c r="K306" s="208" t="s">
        <v>5633</v>
      </c>
      <c r="L306" s="208"/>
      <c r="M306" s="209"/>
      <c r="N306" s="208"/>
      <c r="O306" s="208" t="s">
        <v>260</v>
      </c>
      <c r="P306" s="208" t="s">
        <v>91</v>
      </c>
    </row>
    <row r="307" spans="1:16" s="187" customFormat="1" ht="18" customHeight="1">
      <c r="A307" s="187" t="str">
        <f t="shared" si="4"/>
        <v>V10166A</v>
      </c>
      <c r="B307" s="206" t="s">
        <v>437</v>
      </c>
      <c r="C307" s="206"/>
      <c r="D307" s="206" t="s">
        <v>436</v>
      </c>
      <c r="E307" s="206" t="s">
        <v>29</v>
      </c>
      <c r="F307" s="206" t="s">
        <v>438</v>
      </c>
      <c r="G307" s="206" t="s">
        <v>439</v>
      </c>
      <c r="H307" s="206"/>
      <c r="I307" s="206" t="s">
        <v>440</v>
      </c>
      <c r="J307" s="206" t="s">
        <v>4217</v>
      </c>
      <c r="K307" s="206" t="s">
        <v>4218</v>
      </c>
      <c r="L307" s="206"/>
      <c r="M307" s="207"/>
      <c r="N307" s="206"/>
      <c r="O307" s="206" t="s">
        <v>260</v>
      </c>
      <c r="P307" s="206" t="s">
        <v>91</v>
      </c>
    </row>
    <row r="308" spans="1:16" s="187" customFormat="1" ht="18" customHeight="1">
      <c r="A308" s="187" t="str">
        <f t="shared" si="4"/>
        <v>V10166B</v>
      </c>
      <c r="B308" s="208" t="s">
        <v>437</v>
      </c>
      <c r="C308" s="208"/>
      <c r="D308" s="208" t="s">
        <v>441</v>
      </c>
      <c r="E308" s="208" t="s">
        <v>29</v>
      </c>
      <c r="F308" s="208" t="s">
        <v>438</v>
      </c>
      <c r="G308" s="208" t="s">
        <v>439</v>
      </c>
      <c r="H308" s="208"/>
      <c r="I308" s="208" t="s">
        <v>440</v>
      </c>
      <c r="J308" s="208" t="s">
        <v>4217</v>
      </c>
      <c r="K308" s="208" t="s">
        <v>4218</v>
      </c>
      <c r="L308" s="208"/>
      <c r="M308" s="209"/>
      <c r="N308" s="208"/>
      <c r="O308" s="208" t="s">
        <v>260</v>
      </c>
      <c r="P308" s="208" t="s">
        <v>91</v>
      </c>
    </row>
    <row r="309" spans="1:16" s="187" customFormat="1" ht="18" customHeight="1">
      <c r="A309" s="187" t="str">
        <f t="shared" si="4"/>
        <v>V10166C</v>
      </c>
      <c r="B309" s="206" t="s">
        <v>437</v>
      </c>
      <c r="C309" s="206"/>
      <c r="D309" s="206" t="s">
        <v>442</v>
      </c>
      <c r="E309" s="206" t="s">
        <v>29</v>
      </c>
      <c r="F309" s="206" t="s">
        <v>438</v>
      </c>
      <c r="G309" s="206" t="s">
        <v>439</v>
      </c>
      <c r="H309" s="206"/>
      <c r="I309" s="206" t="s">
        <v>440</v>
      </c>
      <c r="J309" s="206" t="s">
        <v>4217</v>
      </c>
      <c r="K309" s="206" t="s">
        <v>4218</v>
      </c>
      <c r="L309" s="206"/>
      <c r="M309" s="207"/>
      <c r="N309" s="206"/>
      <c r="O309" s="206" t="s">
        <v>260</v>
      </c>
      <c r="P309" s="206" t="s">
        <v>91</v>
      </c>
    </row>
    <row r="310" spans="1:16" s="187" customFormat="1" ht="18" customHeight="1">
      <c r="A310" s="187" t="str">
        <f t="shared" si="4"/>
        <v>V10132A</v>
      </c>
      <c r="B310" s="208" t="s">
        <v>444</v>
      </c>
      <c r="C310" s="208"/>
      <c r="D310" s="208" t="s">
        <v>443</v>
      </c>
      <c r="E310" s="208" t="s">
        <v>29</v>
      </c>
      <c r="F310" s="208" t="s">
        <v>445</v>
      </c>
      <c r="G310" s="208" t="s">
        <v>446</v>
      </c>
      <c r="H310" s="208"/>
      <c r="I310" s="208" t="s">
        <v>447</v>
      </c>
      <c r="J310" s="208" t="s">
        <v>448</v>
      </c>
      <c r="K310" s="208" t="s">
        <v>449</v>
      </c>
      <c r="L310" s="208"/>
      <c r="M310" s="209"/>
      <c r="N310" s="208"/>
      <c r="O310" s="208" t="s">
        <v>260</v>
      </c>
      <c r="P310" s="208" t="s">
        <v>91</v>
      </c>
    </row>
    <row r="311" spans="1:16" s="187" customFormat="1" ht="18" customHeight="1">
      <c r="A311" s="187" t="str">
        <f t="shared" si="4"/>
        <v>V10132B</v>
      </c>
      <c r="B311" s="206" t="s">
        <v>444</v>
      </c>
      <c r="C311" s="206"/>
      <c r="D311" s="206" t="s">
        <v>450</v>
      </c>
      <c r="E311" s="206" t="s">
        <v>29</v>
      </c>
      <c r="F311" s="206" t="s">
        <v>445</v>
      </c>
      <c r="G311" s="206" t="s">
        <v>446</v>
      </c>
      <c r="H311" s="206"/>
      <c r="I311" s="206" t="s">
        <v>447</v>
      </c>
      <c r="J311" s="206" t="s">
        <v>448</v>
      </c>
      <c r="K311" s="206" t="s">
        <v>449</v>
      </c>
      <c r="L311" s="206"/>
      <c r="M311" s="207"/>
      <c r="N311" s="206"/>
      <c r="O311" s="206" t="s">
        <v>260</v>
      </c>
      <c r="P311" s="206" t="s">
        <v>91</v>
      </c>
    </row>
    <row r="312" spans="1:16" s="187" customFormat="1" ht="18" customHeight="1">
      <c r="A312" s="187" t="str">
        <f t="shared" si="4"/>
        <v>V10132C</v>
      </c>
      <c r="B312" s="208" t="s">
        <v>444</v>
      </c>
      <c r="C312" s="208"/>
      <c r="D312" s="208" t="s">
        <v>451</v>
      </c>
      <c r="E312" s="208" t="s">
        <v>29</v>
      </c>
      <c r="F312" s="208" t="s">
        <v>445</v>
      </c>
      <c r="G312" s="208" t="s">
        <v>446</v>
      </c>
      <c r="H312" s="208"/>
      <c r="I312" s="208" t="s">
        <v>447</v>
      </c>
      <c r="J312" s="208" t="s">
        <v>448</v>
      </c>
      <c r="K312" s="208" t="s">
        <v>449</v>
      </c>
      <c r="L312" s="208"/>
      <c r="M312" s="209"/>
      <c r="N312" s="208"/>
      <c r="O312" s="208" t="s">
        <v>260</v>
      </c>
      <c r="P312" s="208" t="s">
        <v>91</v>
      </c>
    </row>
    <row r="313" spans="1:16" s="187" customFormat="1" ht="18" customHeight="1">
      <c r="A313" s="187" t="str">
        <f t="shared" si="4"/>
        <v>V10039A</v>
      </c>
      <c r="B313" s="206" t="s">
        <v>453</v>
      </c>
      <c r="C313" s="206"/>
      <c r="D313" s="206" t="s">
        <v>452</v>
      </c>
      <c r="E313" s="206" t="s">
        <v>29</v>
      </c>
      <c r="F313" s="206" t="s">
        <v>454</v>
      </c>
      <c r="G313" s="206" t="s">
        <v>455</v>
      </c>
      <c r="H313" s="206"/>
      <c r="I313" s="206"/>
      <c r="J313" s="206" t="s">
        <v>456</v>
      </c>
      <c r="K313" s="206" t="s">
        <v>457</v>
      </c>
      <c r="L313" s="206"/>
      <c r="M313" s="207"/>
      <c r="N313" s="206"/>
      <c r="O313" s="206" t="s">
        <v>260</v>
      </c>
      <c r="P313" s="206" t="s">
        <v>91</v>
      </c>
    </row>
    <row r="314" spans="1:16" s="187" customFormat="1" ht="18" customHeight="1">
      <c r="A314" s="187" t="str">
        <f t="shared" si="4"/>
        <v>V10039B</v>
      </c>
      <c r="B314" s="208" t="s">
        <v>453</v>
      </c>
      <c r="C314" s="208"/>
      <c r="D314" s="208" t="s">
        <v>458</v>
      </c>
      <c r="E314" s="208" t="s">
        <v>29</v>
      </c>
      <c r="F314" s="208" t="s">
        <v>454</v>
      </c>
      <c r="G314" s="208" t="s">
        <v>455</v>
      </c>
      <c r="H314" s="208"/>
      <c r="I314" s="208"/>
      <c r="J314" s="208" t="s">
        <v>456</v>
      </c>
      <c r="K314" s="208" t="s">
        <v>457</v>
      </c>
      <c r="L314" s="208"/>
      <c r="M314" s="209"/>
      <c r="N314" s="208"/>
      <c r="O314" s="208" t="s">
        <v>260</v>
      </c>
      <c r="P314" s="208" t="s">
        <v>91</v>
      </c>
    </row>
    <row r="315" spans="1:16" s="187" customFormat="1" ht="18" customHeight="1">
      <c r="A315" s="187" t="str">
        <f t="shared" si="4"/>
        <v>V10039C</v>
      </c>
      <c r="B315" s="206" t="s">
        <v>453</v>
      </c>
      <c r="C315" s="206"/>
      <c r="D315" s="206" t="s">
        <v>459</v>
      </c>
      <c r="E315" s="206" t="s">
        <v>29</v>
      </c>
      <c r="F315" s="206" t="s">
        <v>454</v>
      </c>
      <c r="G315" s="206" t="s">
        <v>455</v>
      </c>
      <c r="H315" s="206"/>
      <c r="I315" s="206"/>
      <c r="J315" s="206" t="s">
        <v>460</v>
      </c>
      <c r="K315" s="206" t="s">
        <v>457</v>
      </c>
      <c r="L315" s="206"/>
      <c r="M315" s="207"/>
      <c r="N315" s="206"/>
      <c r="O315" s="206" t="s">
        <v>260</v>
      </c>
      <c r="P315" s="206" t="s">
        <v>91</v>
      </c>
    </row>
    <row r="316" spans="1:16" s="187" customFormat="1" ht="18" customHeight="1">
      <c r="A316" s="187" t="str">
        <f t="shared" si="4"/>
        <v>CG440011C0</v>
      </c>
      <c r="B316" s="208" t="s">
        <v>453</v>
      </c>
      <c r="C316" s="208"/>
      <c r="D316" s="208" t="s">
        <v>461</v>
      </c>
      <c r="E316" s="208" t="s">
        <v>29</v>
      </c>
      <c r="F316" s="208" t="s">
        <v>454</v>
      </c>
      <c r="G316" s="208"/>
      <c r="H316" s="208"/>
      <c r="I316" s="208"/>
      <c r="J316" s="208"/>
      <c r="K316" s="208"/>
      <c r="L316" s="208"/>
      <c r="M316" s="209"/>
      <c r="N316" s="208"/>
      <c r="O316" s="208"/>
      <c r="P316" s="208" t="s">
        <v>100</v>
      </c>
    </row>
    <row r="317" spans="1:16" s="187" customFormat="1" ht="18" customHeight="1">
      <c r="A317" s="187" t="str">
        <f t="shared" si="4"/>
        <v>V10148A</v>
      </c>
      <c r="B317" s="206" t="s">
        <v>463</v>
      </c>
      <c r="C317" s="206"/>
      <c r="D317" s="206" t="s">
        <v>462</v>
      </c>
      <c r="E317" s="206" t="s">
        <v>29</v>
      </c>
      <c r="F317" s="206" t="s">
        <v>464</v>
      </c>
      <c r="G317" s="206" t="s">
        <v>465</v>
      </c>
      <c r="H317" s="206"/>
      <c r="I317" s="206" t="s">
        <v>466</v>
      </c>
      <c r="J317" s="206" t="s">
        <v>5117</v>
      </c>
      <c r="K317" s="206" t="s">
        <v>467</v>
      </c>
      <c r="L317" s="206"/>
      <c r="M317" s="207"/>
      <c r="N317" s="206"/>
      <c r="O317" s="206" t="s">
        <v>260</v>
      </c>
      <c r="P317" s="206" t="s">
        <v>91</v>
      </c>
    </row>
    <row r="318" spans="1:16" s="187" customFormat="1" ht="18" customHeight="1">
      <c r="A318" s="187" t="str">
        <f t="shared" si="4"/>
        <v>V10148B</v>
      </c>
      <c r="B318" s="208" t="s">
        <v>463</v>
      </c>
      <c r="C318" s="208"/>
      <c r="D318" s="208" t="s">
        <v>468</v>
      </c>
      <c r="E318" s="208" t="s">
        <v>29</v>
      </c>
      <c r="F318" s="208" t="s">
        <v>464</v>
      </c>
      <c r="G318" s="208" t="s">
        <v>465</v>
      </c>
      <c r="H318" s="208"/>
      <c r="I318" s="208" t="s">
        <v>466</v>
      </c>
      <c r="J318" s="208" t="s">
        <v>5117</v>
      </c>
      <c r="K318" s="208" t="s">
        <v>467</v>
      </c>
      <c r="L318" s="208"/>
      <c r="M318" s="209"/>
      <c r="N318" s="208"/>
      <c r="O318" s="208" t="s">
        <v>260</v>
      </c>
      <c r="P318" s="208" t="s">
        <v>91</v>
      </c>
    </row>
    <row r="319" spans="1:16" s="187" customFormat="1" ht="18" customHeight="1">
      <c r="A319" s="187" t="str">
        <f t="shared" si="4"/>
        <v>V10148C</v>
      </c>
      <c r="B319" s="206" t="s">
        <v>463</v>
      </c>
      <c r="C319" s="206"/>
      <c r="D319" s="206" t="s">
        <v>469</v>
      </c>
      <c r="E319" s="206" t="s">
        <v>29</v>
      </c>
      <c r="F319" s="206" t="s">
        <v>464</v>
      </c>
      <c r="G319" s="206" t="s">
        <v>465</v>
      </c>
      <c r="H319" s="206"/>
      <c r="I319" s="206" t="s">
        <v>466</v>
      </c>
      <c r="J319" s="206" t="s">
        <v>5117</v>
      </c>
      <c r="K319" s="206" t="s">
        <v>467</v>
      </c>
      <c r="L319" s="206"/>
      <c r="M319" s="207"/>
      <c r="N319" s="206"/>
      <c r="O319" s="206" t="s">
        <v>260</v>
      </c>
      <c r="P319" s="206" t="s">
        <v>91</v>
      </c>
    </row>
    <row r="320" spans="1:16" s="187" customFormat="1" ht="18" customHeight="1">
      <c r="A320" s="187" t="str">
        <f t="shared" si="4"/>
        <v>V10174A</v>
      </c>
      <c r="B320" s="208" t="s">
        <v>471</v>
      </c>
      <c r="C320" s="208"/>
      <c r="D320" s="208" t="s">
        <v>470</v>
      </c>
      <c r="E320" s="208" t="s">
        <v>29</v>
      </c>
      <c r="F320" s="208" t="s">
        <v>5116</v>
      </c>
      <c r="G320" s="208" t="s">
        <v>472</v>
      </c>
      <c r="H320" s="208"/>
      <c r="I320" s="208"/>
      <c r="J320" s="208" t="s">
        <v>473</v>
      </c>
      <c r="K320" s="208" t="s">
        <v>474</v>
      </c>
      <c r="L320" s="208"/>
      <c r="M320" s="209"/>
      <c r="N320" s="208"/>
      <c r="O320" s="208" t="s">
        <v>260</v>
      </c>
      <c r="P320" s="208" t="s">
        <v>91</v>
      </c>
    </row>
    <row r="321" spans="1:16" s="187" customFormat="1" ht="18" customHeight="1">
      <c r="A321" s="187" t="str">
        <f t="shared" si="4"/>
        <v>V10174B</v>
      </c>
      <c r="B321" s="206" t="s">
        <v>471</v>
      </c>
      <c r="C321" s="206"/>
      <c r="D321" s="206" t="s">
        <v>475</v>
      </c>
      <c r="E321" s="206" t="s">
        <v>29</v>
      </c>
      <c r="F321" s="206" t="s">
        <v>5116</v>
      </c>
      <c r="G321" s="206" t="s">
        <v>472</v>
      </c>
      <c r="H321" s="206"/>
      <c r="I321" s="206"/>
      <c r="J321" s="206" t="s">
        <v>473</v>
      </c>
      <c r="K321" s="206" t="s">
        <v>474</v>
      </c>
      <c r="L321" s="206"/>
      <c r="M321" s="207"/>
      <c r="N321" s="206"/>
      <c r="O321" s="206" t="s">
        <v>260</v>
      </c>
      <c r="P321" s="206" t="s">
        <v>91</v>
      </c>
    </row>
    <row r="322" spans="1:16" s="187" customFormat="1" ht="18" customHeight="1">
      <c r="A322" s="187" t="str">
        <f t="shared" si="4"/>
        <v>V10174C</v>
      </c>
      <c r="B322" s="208" t="s">
        <v>471</v>
      </c>
      <c r="C322" s="208"/>
      <c r="D322" s="208" t="s">
        <v>476</v>
      </c>
      <c r="E322" s="208" t="s">
        <v>29</v>
      </c>
      <c r="F322" s="208" t="s">
        <v>5116</v>
      </c>
      <c r="G322" s="208" t="s">
        <v>472</v>
      </c>
      <c r="H322" s="208"/>
      <c r="I322" s="208"/>
      <c r="J322" s="208" t="s">
        <v>473</v>
      </c>
      <c r="K322" s="208" t="s">
        <v>474</v>
      </c>
      <c r="L322" s="208"/>
      <c r="M322" s="209"/>
      <c r="N322" s="208"/>
      <c r="O322" s="208" t="s">
        <v>260</v>
      </c>
      <c r="P322" s="208" t="s">
        <v>91</v>
      </c>
    </row>
    <row r="323" spans="1:16" s="187" customFormat="1" ht="18" customHeight="1">
      <c r="A323" s="187" t="str">
        <f t="shared" si="4"/>
        <v>V10084A</v>
      </c>
      <c r="B323" s="206" t="s">
        <v>478</v>
      </c>
      <c r="C323" s="206"/>
      <c r="D323" s="206" t="s">
        <v>477</v>
      </c>
      <c r="E323" s="206" t="s">
        <v>29</v>
      </c>
      <c r="F323" s="206" t="s">
        <v>479</v>
      </c>
      <c r="G323" s="206" t="s">
        <v>480</v>
      </c>
      <c r="H323" s="206"/>
      <c r="I323" s="206" t="s">
        <v>481</v>
      </c>
      <c r="J323" s="206" t="s">
        <v>482</v>
      </c>
      <c r="K323" s="206" t="s">
        <v>483</v>
      </c>
      <c r="L323" s="206"/>
      <c r="M323" s="207"/>
      <c r="N323" s="206"/>
      <c r="O323" s="206" t="s">
        <v>260</v>
      </c>
      <c r="P323" s="206" t="s">
        <v>91</v>
      </c>
    </row>
    <row r="324" spans="1:16" s="187" customFormat="1" ht="18" customHeight="1">
      <c r="A324" s="187" t="str">
        <f t="shared" si="4"/>
        <v>V10084B</v>
      </c>
      <c r="B324" s="208" t="s">
        <v>478</v>
      </c>
      <c r="C324" s="208"/>
      <c r="D324" s="208" t="s">
        <v>484</v>
      </c>
      <c r="E324" s="208" t="s">
        <v>29</v>
      </c>
      <c r="F324" s="208" t="s">
        <v>479</v>
      </c>
      <c r="G324" s="208" t="s">
        <v>480</v>
      </c>
      <c r="H324" s="208"/>
      <c r="I324" s="208" t="s">
        <v>481</v>
      </c>
      <c r="J324" s="208" t="s">
        <v>482</v>
      </c>
      <c r="K324" s="208" t="s">
        <v>483</v>
      </c>
      <c r="L324" s="208"/>
      <c r="M324" s="209"/>
      <c r="N324" s="208"/>
      <c r="O324" s="208" t="s">
        <v>260</v>
      </c>
      <c r="P324" s="208" t="s">
        <v>91</v>
      </c>
    </row>
    <row r="325" spans="1:16" s="187" customFormat="1" ht="18" customHeight="1">
      <c r="A325" s="187" t="str">
        <f t="shared" si="4"/>
        <v>V10084C</v>
      </c>
      <c r="B325" s="206" t="s">
        <v>478</v>
      </c>
      <c r="C325" s="206"/>
      <c r="D325" s="206" t="s">
        <v>485</v>
      </c>
      <c r="E325" s="206" t="s">
        <v>29</v>
      </c>
      <c r="F325" s="206" t="s">
        <v>479</v>
      </c>
      <c r="G325" s="206" t="s">
        <v>480</v>
      </c>
      <c r="H325" s="206"/>
      <c r="I325" s="206" t="s">
        <v>481</v>
      </c>
      <c r="J325" s="206" t="s">
        <v>482</v>
      </c>
      <c r="K325" s="206" t="s">
        <v>483</v>
      </c>
      <c r="L325" s="206"/>
      <c r="M325" s="207"/>
      <c r="N325" s="206"/>
      <c r="O325" s="206" t="s">
        <v>260</v>
      </c>
      <c r="P325" s="206" t="s">
        <v>91</v>
      </c>
    </row>
    <row r="326" spans="1:16" s="187" customFormat="1" ht="18" customHeight="1">
      <c r="A326" s="187" t="str">
        <f t="shared" ref="A326:A389" si="5">D326</f>
        <v>V10516B</v>
      </c>
      <c r="B326" s="208" t="s">
        <v>6048</v>
      </c>
      <c r="C326" s="208"/>
      <c r="D326" s="208" t="s">
        <v>6283</v>
      </c>
      <c r="E326" s="208" t="s">
        <v>29</v>
      </c>
      <c r="F326" s="208" t="s">
        <v>6050</v>
      </c>
      <c r="G326" s="208" t="s">
        <v>6051</v>
      </c>
      <c r="H326" s="208"/>
      <c r="I326" s="208"/>
      <c r="J326" s="208" t="s">
        <v>6052</v>
      </c>
      <c r="K326" s="208" t="s">
        <v>6053</v>
      </c>
      <c r="L326" s="208"/>
      <c r="M326" s="209"/>
      <c r="N326" s="208"/>
      <c r="O326" s="208"/>
      <c r="P326" s="208" t="s">
        <v>91</v>
      </c>
    </row>
    <row r="327" spans="1:16" s="187" customFormat="1" ht="18" customHeight="1">
      <c r="A327" s="187" t="str">
        <f t="shared" si="5"/>
        <v>CG440045C0</v>
      </c>
      <c r="B327" s="206" t="s">
        <v>6048</v>
      </c>
      <c r="C327" s="206"/>
      <c r="D327" s="206" t="s">
        <v>6284</v>
      </c>
      <c r="E327" s="206" t="s">
        <v>29</v>
      </c>
      <c r="F327" s="206" t="s">
        <v>6285</v>
      </c>
      <c r="G327" s="206"/>
      <c r="H327" s="206"/>
      <c r="I327" s="206"/>
      <c r="J327" s="206"/>
      <c r="K327" s="206"/>
      <c r="L327" s="206"/>
      <c r="M327" s="207"/>
      <c r="N327" s="206"/>
      <c r="O327" s="206"/>
      <c r="P327" s="206" t="s">
        <v>100</v>
      </c>
    </row>
    <row r="328" spans="1:16" s="187" customFormat="1" ht="18" customHeight="1">
      <c r="A328" s="187" t="str">
        <f t="shared" si="5"/>
        <v>V10516C</v>
      </c>
      <c r="B328" s="208" t="s">
        <v>6048</v>
      </c>
      <c r="C328" s="208"/>
      <c r="D328" s="208" t="s">
        <v>6049</v>
      </c>
      <c r="E328" s="208" t="s">
        <v>29</v>
      </c>
      <c r="F328" s="208" t="s">
        <v>6050</v>
      </c>
      <c r="G328" s="208" t="s">
        <v>6051</v>
      </c>
      <c r="H328" s="208"/>
      <c r="I328" s="208"/>
      <c r="J328" s="208" t="s">
        <v>6052</v>
      </c>
      <c r="K328" s="208" t="s">
        <v>6053</v>
      </c>
      <c r="L328" s="208"/>
      <c r="M328" s="209"/>
      <c r="N328" s="208"/>
      <c r="O328" s="208" t="s">
        <v>260</v>
      </c>
      <c r="P328" s="208" t="s">
        <v>91</v>
      </c>
    </row>
    <row r="329" spans="1:16" s="187" customFormat="1" ht="18" customHeight="1">
      <c r="A329" s="187" t="str">
        <f t="shared" si="5"/>
        <v>V10453B</v>
      </c>
      <c r="B329" s="206" t="s">
        <v>5709</v>
      </c>
      <c r="C329" s="206"/>
      <c r="D329" s="206" t="s">
        <v>5912</v>
      </c>
      <c r="E329" s="206" t="s">
        <v>29</v>
      </c>
      <c r="F329" s="206" t="s">
        <v>6286</v>
      </c>
      <c r="G329" s="206" t="s">
        <v>5711</v>
      </c>
      <c r="H329" s="206"/>
      <c r="I329" s="206"/>
      <c r="J329" s="206" t="s">
        <v>5713</v>
      </c>
      <c r="K329" s="206" t="s">
        <v>5714</v>
      </c>
      <c r="L329" s="206"/>
      <c r="M329" s="207"/>
      <c r="N329" s="206"/>
      <c r="O329" s="206"/>
      <c r="P329" s="206" t="s">
        <v>91</v>
      </c>
    </row>
    <row r="330" spans="1:16" s="187" customFormat="1" ht="18" customHeight="1">
      <c r="A330" s="187" t="str">
        <f t="shared" si="5"/>
        <v>V10453C</v>
      </c>
      <c r="B330" s="208" t="s">
        <v>5709</v>
      </c>
      <c r="C330" s="208"/>
      <c r="D330" s="208" t="s">
        <v>5710</v>
      </c>
      <c r="E330" s="208" t="s">
        <v>29</v>
      </c>
      <c r="F330" s="208" t="s">
        <v>6286</v>
      </c>
      <c r="G330" s="208" t="s">
        <v>5711</v>
      </c>
      <c r="H330" s="208"/>
      <c r="I330" s="208" t="s">
        <v>5712</v>
      </c>
      <c r="J330" s="208" t="s">
        <v>5713</v>
      </c>
      <c r="K330" s="208" t="s">
        <v>5714</v>
      </c>
      <c r="L330" s="208"/>
      <c r="M330" s="209"/>
      <c r="N330" s="208"/>
      <c r="O330" s="208"/>
      <c r="P330" s="208" t="s">
        <v>91</v>
      </c>
    </row>
    <row r="331" spans="1:16" s="187" customFormat="1" ht="18" customHeight="1">
      <c r="A331" s="187" t="str">
        <f t="shared" si="5"/>
        <v>V10188A</v>
      </c>
      <c r="B331" s="206" t="s">
        <v>487</v>
      </c>
      <c r="C331" s="206"/>
      <c r="D331" s="206" t="s">
        <v>486</v>
      </c>
      <c r="E331" s="206" t="s">
        <v>29</v>
      </c>
      <c r="F331" s="206" t="s">
        <v>488</v>
      </c>
      <c r="G331" s="206" t="s">
        <v>489</v>
      </c>
      <c r="H331" s="206"/>
      <c r="I331" s="206" t="s">
        <v>490</v>
      </c>
      <c r="J331" s="206" t="s">
        <v>491</v>
      </c>
      <c r="K331" s="206" t="s">
        <v>492</v>
      </c>
      <c r="L331" s="206"/>
      <c r="M331" s="207"/>
      <c r="N331" s="206"/>
      <c r="O331" s="206" t="s">
        <v>260</v>
      </c>
      <c r="P331" s="206" t="s">
        <v>91</v>
      </c>
    </row>
    <row r="332" spans="1:16" s="187" customFormat="1" ht="18" customHeight="1">
      <c r="A332" s="187" t="str">
        <f t="shared" si="5"/>
        <v>V10188B</v>
      </c>
      <c r="B332" s="208" t="s">
        <v>487</v>
      </c>
      <c r="C332" s="208"/>
      <c r="D332" s="208" t="s">
        <v>493</v>
      </c>
      <c r="E332" s="208" t="s">
        <v>29</v>
      </c>
      <c r="F332" s="208" t="s">
        <v>488</v>
      </c>
      <c r="G332" s="208" t="s">
        <v>489</v>
      </c>
      <c r="H332" s="208"/>
      <c r="I332" s="208" t="s">
        <v>490</v>
      </c>
      <c r="J332" s="208" t="s">
        <v>491</v>
      </c>
      <c r="K332" s="208" t="s">
        <v>492</v>
      </c>
      <c r="L332" s="208"/>
      <c r="M332" s="209"/>
      <c r="N332" s="208"/>
      <c r="O332" s="208" t="s">
        <v>260</v>
      </c>
      <c r="P332" s="208" t="s">
        <v>91</v>
      </c>
    </row>
    <row r="333" spans="1:16" s="187" customFormat="1" ht="18" customHeight="1">
      <c r="A333" s="187" t="str">
        <f t="shared" si="5"/>
        <v>V10188C</v>
      </c>
      <c r="B333" s="206" t="s">
        <v>487</v>
      </c>
      <c r="C333" s="206"/>
      <c r="D333" s="206" t="s">
        <v>494</v>
      </c>
      <c r="E333" s="206" t="s">
        <v>29</v>
      </c>
      <c r="F333" s="206" t="s">
        <v>488</v>
      </c>
      <c r="G333" s="206" t="s">
        <v>489</v>
      </c>
      <c r="H333" s="206"/>
      <c r="I333" s="206" t="s">
        <v>490</v>
      </c>
      <c r="J333" s="206" t="s">
        <v>491</v>
      </c>
      <c r="K333" s="206" t="s">
        <v>492</v>
      </c>
      <c r="L333" s="206"/>
      <c r="M333" s="207"/>
      <c r="N333" s="206"/>
      <c r="O333" s="206" t="s">
        <v>260</v>
      </c>
      <c r="P333" s="206" t="s">
        <v>91</v>
      </c>
    </row>
    <row r="334" spans="1:16" s="187" customFormat="1" ht="18" customHeight="1">
      <c r="A334" s="187" t="str">
        <f t="shared" si="5"/>
        <v>CG440015C0</v>
      </c>
      <c r="B334" s="208" t="s">
        <v>496</v>
      </c>
      <c r="C334" s="208"/>
      <c r="D334" s="208" t="s">
        <v>495</v>
      </c>
      <c r="E334" s="208" t="s">
        <v>29</v>
      </c>
      <c r="F334" s="208" t="s">
        <v>497</v>
      </c>
      <c r="G334" s="208"/>
      <c r="H334" s="208"/>
      <c r="I334" s="208"/>
      <c r="J334" s="208"/>
      <c r="K334" s="208"/>
      <c r="L334" s="208"/>
      <c r="M334" s="209"/>
      <c r="N334" s="208"/>
      <c r="O334" s="208"/>
      <c r="P334" s="208" t="s">
        <v>100</v>
      </c>
    </row>
    <row r="335" spans="1:16" s="187" customFormat="1" ht="18" customHeight="1">
      <c r="A335" s="187" t="str">
        <f t="shared" si="5"/>
        <v>V4002C0</v>
      </c>
      <c r="B335" s="206" t="s">
        <v>496</v>
      </c>
      <c r="C335" s="206"/>
      <c r="D335" s="206" t="s">
        <v>498</v>
      </c>
      <c r="E335" s="206" t="s">
        <v>29</v>
      </c>
      <c r="F335" s="206" t="s">
        <v>497</v>
      </c>
      <c r="G335" s="206" t="s">
        <v>499</v>
      </c>
      <c r="H335" s="206"/>
      <c r="I335" s="206" t="s">
        <v>500</v>
      </c>
      <c r="J335" s="206" t="s">
        <v>501</v>
      </c>
      <c r="K335" s="206" t="s">
        <v>502</v>
      </c>
      <c r="L335" s="206"/>
      <c r="M335" s="207"/>
      <c r="N335" s="206"/>
      <c r="O335" s="206" t="s">
        <v>131</v>
      </c>
      <c r="P335" s="206" t="s">
        <v>107</v>
      </c>
    </row>
    <row r="336" spans="1:16" s="187" customFormat="1" ht="18" customHeight="1">
      <c r="A336" s="187" t="str">
        <f t="shared" si="5"/>
        <v>V10198A</v>
      </c>
      <c r="B336" s="208" t="s">
        <v>504</v>
      </c>
      <c r="C336" s="208"/>
      <c r="D336" s="208" t="s">
        <v>503</v>
      </c>
      <c r="E336" s="208" t="s">
        <v>29</v>
      </c>
      <c r="F336" s="208" t="s">
        <v>505</v>
      </c>
      <c r="G336" s="208" t="s">
        <v>506</v>
      </c>
      <c r="H336" s="208"/>
      <c r="I336" s="208" t="s">
        <v>507</v>
      </c>
      <c r="J336" s="208" t="s">
        <v>508</v>
      </c>
      <c r="K336" s="208" t="s">
        <v>509</v>
      </c>
      <c r="L336" s="208"/>
      <c r="M336" s="209"/>
      <c r="N336" s="208"/>
      <c r="O336" s="208" t="s">
        <v>260</v>
      </c>
      <c r="P336" s="208" t="s">
        <v>91</v>
      </c>
    </row>
    <row r="337" spans="1:16" s="187" customFormat="1" ht="18" customHeight="1">
      <c r="A337" s="187" t="str">
        <f t="shared" si="5"/>
        <v>V10198B</v>
      </c>
      <c r="B337" s="206" t="s">
        <v>504</v>
      </c>
      <c r="C337" s="206"/>
      <c r="D337" s="206" t="s">
        <v>510</v>
      </c>
      <c r="E337" s="206" t="s">
        <v>29</v>
      </c>
      <c r="F337" s="206" t="s">
        <v>505</v>
      </c>
      <c r="G337" s="206" t="s">
        <v>506</v>
      </c>
      <c r="H337" s="206"/>
      <c r="I337" s="206" t="s">
        <v>507</v>
      </c>
      <c r="J337" s="206" t="s">
        <v>508</v>
      </c>
      <c r="K337" s="206" t="s">
        <v>509</v>
      </c>
      <c r="L337" s="206"/>
      <c r="M337" s="207"/>
      <c r="N337" s="206"/>
      <c r="O337" s="206" t="s">
        <v>260</v>
      </c>
      <c r="P337" s="206" t="s">
        <v>91</v>
      </c>
    </row>
    <row r="338" spans="1:16" s="187" customFormat="1" ht="18" customHeight="1">
      <c r="A338" s="187" t="str">
        <f t="shared" si="5"/>
        <v>V10198C</v>
      </c>
      <c r="B338" s="208" t="s">
        <v>504</v>
      </c>
      <c r="C338" s="208"/>
      <c r="D338" s="208" t="s">
        <v>511</v>
      </c>
      <c r="E338" s="208" t="s">
        <v>29</v>
      </c>
      <c r="F338" s="208" t="s">
        <v>505</v>
      </c>
      <c r="G338" s="208" t="s">
        <v>506</v>
      </c>
      <c r="H338" s="208"/>
      <c r="I338" s="208" t="s">
        <v>507</v>
      </c>
      <c r="J338" s="208" t="s">
        <v>508</v>
      </c>
      <c r="K338" s="208" t="s">
        <v>509</v>
      </c>
      <c r="L338" s="208"/>
      <c r="M338" s="209"/>
      <c r="N338" s="208"/>
      <c r="O338" s="208" t="s">
        <v>260</v>
      </c>
      <c r="P338" s="208" t="s">
        <v>91</v>
      </c>
    </row>
    <row r="339" spans="1:16" s="187" customFormat="1" ht="18" customHeight="1">
      <c r="A339" s="187" t="str">
        <f t="shared" si="5"/>
        <v>V10298C</v>
      </c>
      <c r="B339" s="206" t="s">
        <v>5715</v>
      </c>
      <c r="C339" s="206"/>
      <c r="D339" s="206" t="s">
        <v>4224</v>
      </c>
      <c r="E339" s="206" t="s">
        <v>151</v>
      </c>
      <c r="F339" s="206" t="s">
        <v>6287</v>
      </c>
      <c r="G339" s="206" t="s">
        <v>4225</v>
      </c>
      <c r="H339" s="206"/>
      <c r="I339" s="206"/>
      <c r="J339" s="206" t="s">
        <v>4226</v>
      </c>
      <c r="K339" s="206" t="s">
        <v>4227</v>
      </c>
      <c r="L339" s="206"/>
      <c r="M339" s="207"/>
      <c r="N339" s="206"/>
      <c r="O339" s="206"/>
      <c r="P339" s="206" t="s">
        <v>91</v>
      </c>
    </row>
    <row r="340" spans="1:16" s="187" customFormat="1" ht="18" customHeight="1">
      <c r="A340" s="187" t="str">
        <f t="shared" si="5"/>
        <v>V10095A</v>
      </c>
      <c r="B340" s="208" t="s">
        <v>513</v>
      </c>
      <c r="C340" s="208"/>
      <c r="D340" s="208" t="s">
        <v>512</v>
      </c>
      <c r="E340" s="208" t="s">
        <v>29</v>
      </c>
      <c r="F340" s="208" t="s">
        <v>514</v>
      </c>
      <c r="G340" s="208" t="s">
        <v>515</v>
      </c>
      <c r="H340" s="208"/>
      <c r="I340" s="208" t="s">
        <v>516</v>
      </c>
      <c r="J340" s="208" t="s">
        <v>517</v>
      </c>
      <c r="K340" s="208" t="s">
        <v>518</v>
      </c>
      <c r="L340" s="208"/>
      <c r="M340" s="209"/>
      <c r="N340" s="208"/>
      <c r="O340" s="208" t="s">
        <v>260</v>
      </c>
      <c r="P340" s="208" t="s">
        <v>91</v>
      </c>
    </row>
    <row r="341" spans="1:16" s="187" customFormat="1" ht="18" customHeight="1">
      <c r="A341" s="187" t="str">
        <f t="shared" si="5"/>
        <v>V10095B</v>
      </c>
      <c r="B341" s="206" t="s">
        <v>513</v>
      </c>
      <c r="C341" s="206"/>
      <c r="D341" s="206" t="s">
        <v>519</v>
      </c>
      <c r="E341" s="206" t="s">
        <v>29</v>
      </c>
      <c r="F341" s="206" t="s">
        <v>514</v>
      </c>
      <c r="G341" s="206" t="s">
        <v>515</v>
      </c>
      <c r="H341" s="206"/>
      <c r="I341" s="206" t="s">
        <v>516</v>
      </c>
      <c r="J341" s="206" t="s">
        <v>517</v>
      </c>
      <c r="K341" s="206" t="s">
        <v>518</v>
      </c>
      <c r="L341" s="206"/>
      <c r="M341" s="207"/>
      <c r="N341" s="206"/>
      <c r="O341" s="206" t="s">
        <v>260</v>
      </c>
      <c r="P341" s="206" t="s">
        <v>91</v>
      </c>
    </row>
    <row r="342" spans="1:16" s="187" customFormat="1" ht="18" customHeight="1">
      <c r="A342" s="187" t="str">
        <f t="shared" si="5"/>
        <v>V10095C</v>
      </c>
      <c r="B342" s="208" t="s">
        <v>513</v>
      </c>
      <c r="C342" s="208"/>
      <c r="D342" s="208" t="s">
        <v>520</v>
      </c>
      <c r="E342" s="208" t="s">
        <v>29</v>
      </c>
      <c r="F342" s="208" t="s">
        <v>514</v>
      </c>
      <c r="G342" s="208" t="s">
        <v>515</v>
      </c>
      <c r="H342" s="208"/>
      <c r="I342" s="208" t="s">
        <v>516</v>
      </c>
      <c r="J342" s="208" t="s">
        <v>517</v>
      </c>
      <c r="K342" s="208" t="s">
        <v>518</v>
      </c>
      <c r="L342" s="208"/>
      <c r="M342" s="209"/>
      <c r="N342" s="208"/>
      <c r="O342" s="208" t="s">
        <v>260</v>
      </c>
      <c r="P342" s="208" t="s">
        <v>91</v>
      </c>
    </row>
    <row r="343" spans="1:16" s="187" customFormat="1" ht="18" customHeight="1">
      <c r="A343" s="187" t="str">
        <f t="shared" si="5"/>
        <v>V10397C</v>
      </c>
      <c r="B343" s="206" t="s">
        <v>5324</v>
      </c>
      <c r="C343" s="206"/>
      <c r="D343" s="206" t="s">
        <v>5325</v>
      </c>
      <c r="E343" s="206" t="s">
        <v>29</v>
      </c>
      <c r="F343" s="206" t="s">
        <v>5326</v>
      </c>
      <c r="G343" s="206"/>
      <c r="H343" s="206"/>
      <c r="I343" s="206"/>
      <c r="J343" s="206" t="s">
        <v>5327</v>
      </c>
      <c r="K343" s="206" t="s">
        <v>5328</v>
      </c>
      <c r="L343" s="206"/>
      <c r="M343" s="207"/>
      <c r="N343" s="206"/>
      <c r="O343" s="206"/>
      <c r="P343" s="206" t="s">
        <v>91</v>
      </c>
    </row>
    <row r="344" spans="1:16" s="187" customFormat="1" ht="18" customHeight="1">
      <c r="A344" s="187" t="str">
        <f t="shared" si="5"/>
        <v>V10071A</v>
      </c>
      <c r="B344" s="208" t="s">
        <v>522</v>
      </c>
      <c r="C344" s="208"/>
      <c r="D344" s="208" t="s">
        <v>521</v>
      </c>
      <c r="E344" s="208" t="s">
        <v>29</v>
      </c>
      <c r="F344" s="208" t="s">
        <v>523</v>
      </c>
      <c r="G344" s="208" t="s">
        <v>524</v>
      </c>
      <c r="H344" s="208"/>
      <c r="I344" s="208" t="s">
        <v>525</v>
      </c>
      <c r="J344" s="208" t="s">
        <v>526</v>
      </c>
      <c r="K344" s="208" t="s">
        <v>527</v>
      </c>
      <c r="L344" s="208"/>
      <c r="M344" s="209"/>
      <c r="N344" s="208"/>
      <c r="O344" s="208" t="s">
        <v>260</v>
      </c>
      <c r="P344" s="208" t="s">
        <v>91</v>
      </c>
    </row>
    <row r="345" spans="1:16" s="187" customFormat="1" ht="18" customHeight="1">
      <c r="A345" s="187" t="str">
        <f t="shared" si="5"/>
        <v>V10071B</v>
      </c>
      <c r="B345" s="206" t="s">
        <v>522</v>
      </c>
      <c r="C345" s="206"/>
      <c r="D345" s="206" t="s">
        <v>528</v>
      </c>
      <c r="E345" s="206" t="s">
        <v>29</v>
      </c>
      <c r="F345" s="206" t="s">
        <v>523</v>
      </c>
      <c r="G345" s="206" t="s">
        <v>524</v>
      </c>
      <c r="H345" s="206"/>
      <c r="I345" s="206" t="s">
        <v>525</v>
      </c>
      <c r="J345" s="206" t="s">
        <v>526</v>
      </c>
      <c r="K345" s="206" t="s">
        <v>527</v>
      </c>
      <c r="L345" s="206"/>
      <c r="M345" s="207"/>
      <c r="N345" s="206"/>
      <c r="O345" s="206" t="s">
        <v>260</v>
      </c>
      <c r="P345" s="206" t="s">
        <v>91</v>
      </c>
    </row>
    <row r="346" spans="1:16" s="187" customFormat="1" ht="18" customHeight="1">
      <c r="A346" s="187" t="str">
        <f t="shared" si="5"/>
        <v>V10071C</v>
      </c>
      <c r="B346" s="208" t="s">
        <v>522</v>
      </c>
      <c r="C346" s="208"/>
      <c r="D346" s="208" t="s">
        <v>529</v>
      </c>
      <c r="E346" s="208" t="s">
        <v>29</v>
      </c>
      <c r="F346" s="208" t="s">
        <v>523</v>
      </c>
      <c r="G346" s="208" t="s">
        <v>524</v>
      </c>
      <c r="H346" s="208"/>
      <c r="I346" s="208" t="s">
        <v>525</v>
      </c>
      <c r="J346" s="208" t="s">
        <v>526</v>
      </c>
      <c r="K346" s="208" t="s">
        <v>527</v>
      </c>
      <c r="L346" s="208"/>
      <c r="M346" s="209"/>
      <c r="N346" s="208"/>
      <c r="O346" s="208" t="s">
        <v>260</v>
      </c>
      <c r="P346" s="208" t="s">
        <v>91</v>
      </c>
    </row>
    <row r="347" spans="1:16" s="187" customFormat="1" ht="18" customHeight="1">
      <c r="A347" s="187" t="str">
        <f t="shared" si="5"/>
        <v>V4100C0</v>
      </c>
      <c r="B347" s="206" t="s">
        <v>5634</v>
      </c>
      <c r="C347" s="206"/>
      <c r="D347" s="206" t="s">
        <v>5635</v>
      </c>
      <c r="E347" s="206" t="s">
        <v>29</v>
      </c>
      <c r="F347" s="206" t="s">
        <v>5636</v>
      </c>
      <c r="G347" s="206"/>
      <c r="H347" s="206"/>
      <c r="I347" s="206"/>
      <c r="J347" s="206" t="s">
        <v>5637</v>
      </c>
      <c r="K347" s="206" t="s">
        <v>5638</v>
      </c>
      <c r="L347" s="206"/>
      <c r="M347" s="207"/>
      <c r="N347" s="206"/>
      <c r="O347" s="206"/>
      <c r="P347" s="206" t="s">
        <v>107</v>
      </c>
    </row>
    <row r="348" spans="1:16" s="187" customFormat="1" ht="18" customHeight="1">
      <c r="A348" s="187" t="str">
        <f t="shared" si="5"/>
        <v>V10375C</v>
      </c>
      <c r="B348" s="208" t="s">
        <v>5160</v>
      </c>
      <c r="C348" s="208"/>
      <c r="D348" s="208" t="s">
        <v>5161</v>
      </c>
      <c r="E348" s="208" t="s">
        <v>29</v>
      </c>
      <c r="F348" s="208" t="s">
        <v>5162</v>
      </c>
      <c r="G348" s="208"/>
      <c r="H348" s="208"/>
      <c r="I348" s="208"/>
      <c r="J348" s="208" t="s">
        <v>5163</v>
      </c>
      <c r="K348" s="208" t="s">
        <v>5164</v>
      </c>
      <c r="L348" s="208"/>
      <c r="M348" s="209"/>
      <c r="N348" s="208"/>
      <c r="O348" s="208"/>
      <c r="P348" s="208" t="s">
        <v>91</v>
      </c>
    </row>
    <row r="349" spans="1:16" s="187" customFormat="1" ht="18" customHeight="1">
      <c r="A349" s="187" t="str">
        <f t="shared" si="5"/>
        <v>V10479B</v>
      </c>
      <c r="B349" s="206" t="s">
        <v>5913</v>
      </c>
      <c r="C349" s="206"/>
      <c r="D349" s="206" t="s">
        <v>5914</v>
      </c>
      <c r="E349" s="206" t="s">
        <v>29</v>
      </c>
      <c r="F349" s="206" t="s">
        <v>5915</v>
      </c>
      <c r="G349" s="206" t="s">
        <v>5916</v>
      </c>
      <c r="H349" s="206"/>
      <c r="I349" s="206"/>
      <c r="J349" s="206" t="s">
        <v>5917</v>
      </c>
      <c r="K349" s="206" t="s">
        <v>5918</v>
      </c>
      <c r="L349" s="206"/>
      <c r="M349" s="207"/>
      <c r="N349" s="206"/>
      <c r="O349" s="206"/>
      <c r="P349" s="206" t="s">
        <v>91</v>
      </c>
    </row>
    <row r="350" spans="1:16" s="187" customFormat="1" ht="18" customHeight="1">
      <c r="A350" s="187" t="str">
        <f t="shared" si="5"/>
        <v>V10163A</v>
      </c>
      <c r="B350" s="208" t="s">
        <v>531</v>
      </c>
      <c r="C350" s="208"/>
      <c r="D350" s="208" t="s">
        <v>530</v>
      </c>
      <c r="E350" s="208" t="s">
        <v>29</v>
      </c>
      <c r="F350" s="208" t="s">
        <v>532</v>
      </c>
      <c r="G350" s="208" t="s">
        <v>533</v>
      </c>
      <c r="H350" s="208"/>
      <c r="I350" s="208" t="s">
        <v>534</v>
      </c>
      <c r="J350" s="208" t="s">
        <v>535</v>
      </c>
      <c r="K350" s="208" t="s">
        <v>536</v>
      </c>
      <c r="L350" s="208"/>
      <c r="M350" s="209"/>
      <c r="N350" s="208"/>
      <c r="O350" s="208" t="s">
        <v>260</v>
      </c>
      <c r="P350" s="208" t="s">
        <v>91</v>
      </c>
    </row>
    <row r="351" spans="1:16" s="187" customFormat="1" ht="18" customHeight="1">
      <c r="A351" s="187" t="str">
        <f t="shared" si="5"/>
        <v>V10163B</v>
      </c>
      <c r="B351" s="206" t="s">
        <v>531</v>
      </c>
      <c r="C351" s="206"/>
      <c r="D351" s="206" t="s">
        <v>537</v>
      </c>
      <c r="E351" s="206" t="s">
        <v>29</v>
      </c>
      <c r="F351" s="206" t="s">
        <v>532</v>
      </c>
      <c r="G351" s="206" t="s">
        <v>533</v>
      </c>
      <c r="H351" s="206"/>
      <c r="I351" s="206" t="s">
        <v>534</v>
      </c>
      <c r="J351" s="206" t="s">
        <v>535</v>
      </c>
      <c r="K351" s="206" t="s">
        <v>536</v>
      </c>
      <c r="L351" s="206"/>
      <c r="M351" s="207"/>
      <c r="N351" s="206"/>
      <c r="O351" s="206" t="s">
        <v>260</v>
      </c>
      <c r="P351" s="206" t="s">
        <v>91</v>
      </c>
    </row>
    <row r="352" spans="1:16" s="187" customFormat="1" ht="18" customHeight="1">
      <c r="A352" s="187" t="str">
        <f t="shared" si="5"/>
        <v>V10163C</v>
      </c>
      <c r="B352" s="208" t="s">
        <v>531</v>
      </c>
      <c r="C352" s="208"/>
      <c r="D352" s="208" t="s">
        <v>538</v>
      </c>
      <c r="E352" s="208" t="s">
        <v>29</v>
      </c>
      <c r="F352" s="208" t="s">
        <v>532</v>
      </c>
      <c r="G352" s="208" t="s">
        <v>533</v>
      </c>
      <c r="H352" s="208"/>
      <c r="I352" s="208" t="s">
        <v>534</v>
      </c>
      <c r="J352" s="208" t="s">
        <v>535</v>
      </c>
      <c r="K352" s="208" t="s">
        <v>536</v>
      </c>
      <c r="L352" s="208"/>
      <c r="M352" s="209"/>
      <c r="N352" s="208"/>
      <c r="O352" s="208" t="s">
        <v>260</v>
      </c>
      <c r="P352" s="208" t="s">
        <v>91</v>
      </c>
    </row>
    <row r="353" spans="1:16" s="187" customFormat="1" ht="18" customHeight="1">
      <c r="A353" s="187" t="str">
        <f t="shared" si="5"/>
        <v>V10087A</v>
      </c>
      <c r="B353" s="206" t="s">
        <v>540</v>
      </c>
      <c r="C353" s="206"/>
      <c r="D353" s="206" t="s">
        <v>539</v>
      </c>
      <c r="E353" s="206" t="s">
        <v>29</v>
      </c>
      <c r="F353" s="206" t="s">
        <v>541</v>
      </c>
      <c r="G353" s="206" t="s">
        <v>542</v>
      </c>
      <c r="H353" s="206"/>
      <c r="I353" s="206" t="s">
        <v>543</v>
      </c>
      <c r="J353" s="206" t="s">
        <v>544</v>
      </c>
      <c r="K353" s="206" t="s">
        <v>545</v>
      </c>
      <c r="L353" s="206"/>
      <c r="M353" s="207"/>
      <c r="N353" s="206"/>
      <c r="O353" s="206" t="s">
        <v>260</v>
      </c>
      <c r="P353" s="206" t="s">
        <v>91</v>
      </c>
    </row>
    <row r="354" spans="1:16" s="187" customFormat="1" ht="18" customHeight="1">
      <c r="A354" s="187" t="str">
        <f t="shared" si="5"/>
        <v>V10087B</v>
      </c>
      <c r="B354" s="208" t="s">
        <v>540</v>
      </c>
      <c r="C354" s="208"/>
      <c r="D354" s="208" t="s">
        <v>546</v>
      </c>
      <c r="E354" s="208" t="s">
        <v>29</v>
      </c>
      <c r="F354" s="208" t="s">
        <v>541</v>
      </c>
      <c r="G354" s="208" t="s">
        <v>542</v>
      </c>
      <c r="H354" s="208"/>
      <c r="I354" s="208" t="s">
        <v>543</v>
      </c>
      <c r="J354" s="208" t="s">
        <v>544</v>
      </c>
      <c r="K354" s="208" t="s">
        <v>545</v>
      </c>
      <c r="L354" s="208"/>
      <c r="M354" s="209"/>
      <c r="N354" s="208"/>
      <c r="O354" s="208" t="s">
        <v>260</v>
      </c>
      <c r="P354" s="208" t="s">
        <v>91</v>
      </c>
    </row>
    <row r="355" spans="1:16" s="187" customFormat="1" ht="18" customHeight="1">
      <c r="A355" s="187" t="str">
        <f t="shared" si="5"/>
        <v>V10087C</v>
      </c>
      <c r="B355" s="206" t="s">
        <v>540</v>
      </c>
      <c r="C355" s="206"/>
      <c r="D355" s="206" t="s">
        <v>547</v>
      </c>
      <c r="E355" s="206" t="s">
        <v>29</v>
      </c>
      <c r="F355" s="206" t="s">
        <v>541</v>
      </c>
      <c r="G355" s="206" t="s">
        <v>542</v>
      </c>
      <c r="H355" s="206"/>
      <c r="I355" s="206" t="s">
        <v>543</v>
      </c>
      <c r="J355" s="206" t="s">
        <v>544</v>
      </c>
      <c r="K355" s="206" t="s">
        <v>545</v>
      </c>
      <c r="L355" s="206"/>
      <c r="M355" s="207"/>
      <c r="N355" s="206"/>
      <c r="O355" s="206" t="s">
        <v>260</v>
      </c>
      <c r="P355" s="206" t="s">
        <v>91</v>
      </c>
    </row>
    <row r="356" spans="1:16" s="187" customFormat="1" ht="18" customHeight="1">
      <c r="A356" s="187" t="str">
        <f t="shared" si="5"/>
        <v>V10379C</v>
      </c>
      <c r="B356" s="208" t="s">
        <v>5165</v>
      </c>
      <c r="C356" s="208"/>
      <c r="D356" s="208" t="s">
        <v>5166</v>
      </c>
      <c r="E356" s="208" t="s">
        <v>29</v>
      </c>
      <c r="F356" s="208" t="s">
        <v>5167</v>
      </c>
      <c r="G356" s="208"/>
      <c r="H356" s="208"/>
      <c r="I356" s="208"/>
      <c r="J356" s="208" t="s">
        <v>5168</v>
      </c>
      <c r="K356" s="208" t="s">
        <v>5169</v>
      </c>
      <c r="L356" s="208"/>
      <c r="M356" s="209"/>
      <c r="N356" s="208"/>
      <c r="O356" s="208"/>
      <c r="P356" s="208" t="s">
        <v>91</v>
      </c>
    </row>
    <row r="357" spans="1:16" s="187" customFormat="1" ht="18" customHeight="1">
      <c r="A357" s="187" t="str">
        <f t="shared" si="5"/>
        <v>V10100A</v>
      </c>
      <c r="B357" s="206" t="s">
        <v>549</v>
      </c>
      <c r="C357" s="206"/>
      <c r="D357" s="206" t="s">
        <v>548</v>
      </c>
      <c r="E357" s="206" t="s">
        <v>29</v>
      </c>
      <c r="F357" s="206" t="s">
        <v>550</v>
      </c>
      <c r="G357" s="206" t="s">
        <v>551</v>
      </c>
      <c r="H357" s="206"/>
      <c r="I357" s="206" t="s">
        <v>552</v>
      </c>
      <c r="J357" s="206" t="s">
        <v>553</v>
      </c>
      <c r="K357" s="206" t="s">
        <v>554</v>
      </c>
      <c r="L357" s="206"/>
      <c r="M357" s="207"/>
      <c r="N357" s="206"/>
      <c r="O357" s="206" t="s">
        <v>260</v>
      </c>
      <c r="P357" s="206" t="s">
        <v>91</v>
      </c>
    </row>
    <row r="358" spans="1:16" s="187" customFormat="1" ht="18" customHeight="1">
      <c r="A358" s="187" t="str">
        <f t="shared" si="5"/>
        <v>V10100B</v>
      </c>
      <c r="B358" s="208" t="s">
        <v>549</v>
      </c>
      <c r="C358" s="208"/>
      <c r="D358" s="208" t="s">
        <v>555</v>
      </c>
      <c r="E358" s="208" t="s">
        <v>29</v>
      </c>
      <c r="F358" s="208" t="s">
        <v>550</v>
      </c>
      <c r="G358" s="208" t="s">
        <v>551</v>
      </c>
      <c r="H358" s="208"/>
      <c r="I358" s="208" t="s">
        <v>552</v>
      </c>
      <c r="J358" s="208" t="s">
        <v>553</v>
      </c>
      <c r="K358" s="208" t="s">
        <v>554</v>
      </c>
      <c r="L358" s="208"/>
      <c r="M358" s="209"/>
      <c r="N358" s="208"/>
      <c r="O358" s="208" t="s">
        <v>260</v>
      </c>
      <c r="P358" s="208" t="s">
        <v>91</v>
      </c>
    </row>
    <row r="359" spans="1:16" s="187" customFormat="1" ht="18" customHeight="1">
      <c r="A359" s="187" t="str">
        <f t="shared" si="5"/>
        <v>V10100C</v>
      </c>
      <c r="B359" s="206" t="s">
        <v>549</v>
      </c>
      <c r="C359" s="206"/>
      <c r="D359" s="206" t="s">
        <v>556</v>
      </c>
      <c r="E359" s="206" t="s">
        <v>29</v>
      </c>
      <c r="F359" s="206" t="s">
        <v>550</v>
      </c>
      <c r="G359" s="206" t="s">
        <v>551</v>
      </c>
      <c r="H359" s="206"/>
      <c r="I359" s="206" t="s">
        <v>552</v>
      </c>
      <c r="J359" s="206" t="s">
        <v>553</v>
      </c>
      <c r="K359" s="206" t="s">
        <v>554</v>
      </c>
      <c r="L359" s="206"/>
      <c r="M359" s="207"/>
      <c r="N359" s="206"/>
      <c r="O359" s="206" t="s">
        <v>260</v>
      </c>
      <c r="P359" s="206" t="s">
        <v>91</v>
      </c>
    </row>
    <row r="360" spans="1:16" s="187" customFormat="1" ht="18" customHeight="1">
      <c r="A360" s="187" t="str">
        <f t="shared" si="5"/>
        <v>V10110A</v>
      </c>
      <c r="B360" s="208" t="s">
        <v>558</v>
      </c>
      <c r="C360" s="208"/>
      <c r="D360" s="208" t="s">
        <v>557</v>
      </c>
      <c r="E360" s="208" t="s">
        <v>29</v>
      </c>
      <c r="F360" s="208" t="s">
        <v>559</v>
      </c>
      <c r="G360" s="208" t="s">
        <v>560</v>
      </c>
      <c r="H360" s="208"/>
      <c r="I360" s="208" t="s">
        <v>561</v>
      </c>
      <c r="J360" s="208" t="s">
        <v>562</v>
      </c>
      <c r="K360" s="208" t="s">
        <v>563</v>
      </c>
      <c r="L360" s="208"/>
      <c r="M360" s="209"/>
      <c r="N360" s="208"/>
      <c r="O360" s="208" t="s">
        <v>260</v>
      </c>
      <c r="P360" s="208" t="s">
        <v>91</v>
      </c>
    </row>
    <row r="361" spans="1:16" s="187" customFormat="1" ht="18" customHeight="1">
      <c r="A361" s="187" t="str">
        <f t="shared" si="5"/>
        <v>V10110B</v>
      </c>
      <c r="B361" s="206" t="s">
        <v>558</v>
      </c>
      <c r="C361" s="206"/>
      <c r="D361" s="206" t="s">
        <v>564</v>
      </c>
      <c r="E361" s="206" t="s">
        <v>29</v>
      </c>
      <c r="F361" s="206" t="s">
        <v>559</v>
      </c>
      <c r="G361" s="206" t="s">
        <v>560</v>
      </c>
      <c r="H361" s="206"/>
      <c r="I361" s="206" t="s">
        <v>561</v>
      </c>
      <c r="J361" s="206" t="s">
        <v>562</v>
      </c>
      <c r="K361" s="206" t="s">
        <v>563</v>
      </c>
      <c r="L361" s="206"/>
      <c r="M361" s="207"/>
      <c r="N361" s="206"/>
      <c r="O361" s="206" t="s">
        <v>260</v>
      </c>
      <c r="P361" s="206" t="s">
        <v>91</v>
      </c>
    </row>
    <row r="362" spans="1:16" s="187" customFormat="1" ht="18" customHeight="1">
      <c r="A362" s="187" t="str">
        <f t="shared" si="5"/>
        <v>V10110C</v>
      </c>
      <c r="B362" s="208" t="s">
        <v>558</v>
      </c>
      <c r="C362" s="208"/>
      <c r="D362" s="208" t="s">
        <v>565</v>
      </c>
      <c r="E362" s="208" t="s">
        <v>29</v>
      </c>
      <c r="F362" s="208" t="s">
        <v>559</v>
      </c>
      <c r="G362" s="208" t="s">
        <v>560</v>
      </c>
      <c r="H362" s="208"/>
      <c r="I362" s="208" t="s">
        <v>561</v>
      </c>
      <c r="J362" s="208" t="s">
        <v>562</v>
      </c>
      <c r="K362" s="208" t="s">
        <v>563</v>
      </c>
      <c r="L362" s="208"/>
      <c r="M362" s="209"/>
      <c r="N362" s="208"/>
      <c r="O362" s="208" t="s">
        <v>260</v>
      </c>
      <c r="P362" s="208" t="s">
        <v>91</v>
      </c>
    </row>
    <row r="363" spans="1:16" s="187" customFormat="1" ht="18" customHeight="1">
      <c r="A363" s="187" t="str">
        <f t="shared" si="5"/>
        <v>V4105C0</v>
      </c>
      <c r="B363" s="206" t="s">
        <v>6054</v>
      </c>
      <c r="C363" s="206"/>
      <c r="D363" s="206" t="s">
        <v>6055</v>
      </c>
      <c r="E363" s="206" t="s">
        <v>29</v>
      </c>
      <c r="F363" s="206" t="s">
        <v>6056</v>
      </c>
      <c r="G363" s="206"/>
      <c r="H363" s="206"/>
      <c r="I363" s="206"/>
      <c r="J363" s="206" t="s">
        <v>6057</v>
      </c>
      <c r="K363" s="206" t="s">
        <v>6058</v>
      </c>
      <c r="L363" s="206"/>
      <c r="M363" s="207"/>
      <c r="N363" s="206"/>
      <c r="O363" s="206"/>
      <c r="P363" s="206" t="s">
        <v>107</v>
      </c>
    </row>
    <row r="364" spans="1:16" s="187" customFormat="1" ht="18" customHeight="1">
      <c r="A364" s="187" t="str">
        <f t="shared" si="5"/>
        <v>V10369C</v>
      </c>
      <c r="B364" s="208" t="s">
        <v>5639</v>
      </c>
      <c r="C364" s="208"/>
      <c r="D364" s="208" t="s">
        <v>5062</v>
      </c>
      <c r="E364" s="208" t="s">
        <v>29</v>
      </c>
      <c r="F364" s="208" t="s">
        <v>5061</v>
      </c>
      <c r="G364" s="208"/>
      <c r="H364" s="208"/>
      <c r="I364" s="208" t="s">
        <v>5060</v>
      </c>
      <c r="J364" s="208" t="s">
        <v>5059</v>
      </c>
      <c r="K364" s="208" t="s">
        <v>5058</v>
      </c>
      <c r="L364" s="208"/>
      <c r="M364" s="209"/>
      <c r="N364" s="208"/>
      <c r="O364" s="208"/>
      <c r="P364" s="208" t="s">
        <v>91</v>
      </c>
    </row>
    <row r="365" spans="1:16" s="187" customFormat="1" ht="18" customHeight="1">
      <c r="A365" s="187" t="str">
        <f t="shared" si="5"/>
        <v>V10553C</v>
      </c>
      <c r="B365" s="206" t="s">
        <v>6288</v>
      </c>
      <c r="C365" s="206"/>
      <c r="D365" s="206" t="s">
        <v>6289</v>
      </c>
      <c r="E365" s="206" t="s">
        <v>29</v>
      </c>
      <c r="F365" s="206" t="s">
        <v>6290</v>
      </c>
      <c r="G365" s="206"/>
      <c r="H365" s="206"/>
      <c r="I365" s="206"/>
      <c r="J365" s="206" t="s">
        <v>6291</v>
      </c>
      <c r="K365" s="206" t="s">
        <v>6292</v>
      </c>
      <c r="L365" s="206"/>
      <c r="M365" s="207"/>
      <c r="N365" s="206"/>
      <c r="O365" s="206"/>
      <c r="P365" s="206" t="s">
        <v>91</v>
      </c>
    </row>
    <row r="366" spans="1:16" s="187" customFormat="1" ht="18" customHeight="1">
      <c r="A366" s="187" t="str">
        <f t="shared" si="5"/>
        <v>V10336C</v>
      </c>
      <c r="B366" s="208" t="s">
        <v>4888</v>
      </c>
      <c r="C366" s="208"/>
      <c r="D366" s="208" t="s">
        <v>4889</v>
      </c>
      <c r="E366" s="208" t="s">
        <v>29</v>
      </c>
      <c r="F366" s="208" t="s">
        <v>4890</v>
      </c>
      <c r="G366" s="208"/>
      <c r="H366" s="208"/>
      <c r="I366" s="208" t="s">
        <v>4891</v>
      </c>
      <c r="J366" s="208" t="s">
        <v>4892</v>
      </c>
      <c r="K366" s="208" t="s">
        <v>4893</v>
      </c>
      <c r="L366" s="208"/>
      <c r="M366" s="209"/>
      <c r="N366" s="208"/>
      <c r="O366" s="208"/>
      <c r="P366" s="208" t="s">
        <v>91</v>
      </c>
    </row>
    <row r="367" spans="1:16" s="187" customFormat="1" ht="18" customHeight="1">
      <c r="A367" s="187" t="str">
        <f t="shared" si="5"/>
        <v>V10501C</v>
      </c>
      <c r="B367" s="206" t="s">
        <v>6059</v>
      </c>
      <c r="C367" s="206"/>
      <c r="D367" s="206" t="s">
        <v>6060</v>
      </c>
      <c r="E367" s="206" t="s">
        <v>29</v>
      </c>
      <c r="F367" s="206" t="s">
        <v>6061</v>
      </c>
      <c r="G367" s="206" t="s">
        <v>6062</v>
      </c>
      <c r="H367" s="206"/>
      <c r="I367" s="206"/>
      <c r="J367" s="206" t="s">
        <v>6063</v>
      </c>
      <c r="K367" s="206" t="s">
        <v>6064</v>
      </c>
      <c r="L367" s="206"/>
      <c r="M367" s="207"/>
      <c r="N367" s="206"/>
      <c r="O367" s="206" t="s">
        <v>260</v>
      </c>
      <c r="P367" s="206" t="s">
        <v>91</v>
      </c>
    </row>
    <row r="368" spans="1:16" s="187" customFormat="1" ht="18" customHeight="1">
      <c r="A368" s="187" t="str">
        <f t="shared" si="5"/>
        <v>V10428C</v>
      </c>
      <c r="B368" s="208" t="s">
        <v>5640</v>
      </c>
      <c r="C368" s="208"/>
      <c r="D368" s="208" t="s">
        <v>5641</v>
      </c>
      <c r="E368" s="208" t="s">
        <v>29</v>
      </c>
      <c r="F368" s="208" t="s">
        <v>5642</v>
      </c>
      <c r="G368" s="208"/>
      <c r="H368" s="208"/>
      <c r="I368" s="208"/>
      <c r="J368" s="208" t="s">
        <v>5643</v>
      </c>
      <c r="K368" s="208" t="s">
        <v>5644</v>
      </c>
      <c r="L368" s="208"/>
      <c r="M368" s="209"/>
      <c r="N368" s="208"/>
      <c r="O368" s="208"/>
      <c r="P368" s="208" t="s">
        <v>91</v>
      </c>
    </row>
    <row r="369" spans="1:16" s="187" customFormat="1" ht="18" customHeight="1">
      <c r="A369" s="187" t="str">
        <f t="shared" si="5"/>
        <v>V10178A</v>
      </c>
      <c r="B369" s="206" t="s">
        <v>567</v>
      </c>
      <c r="C369" s="206"/>
      <c r="D369" s="206" t="s">
        <v>566</v>
      </c>
      <c r="E369" s="206" t="s">
        <v>29</v>
      </c>
      <c r="F369" s="206" t="s">
        <v>568</v>
      </c>
      <c r="G369" s="206" t="s">
        <v>569</v>
      </c>
      <c r="H369" s="206"/>
      <c r="I369" s="206" t="s">
        <v>570</v>
      </c>
      <c r="J369" s="206" t="s">
        <v>571</v>
      </c>
      <c r="K369" s="206" t="s">
        <v>572</v>
      </c>
      <c r="L369" s="206"/>
      <c r="M369" s="207"/>
      <c r="N369" s="206"/>
      <c r="O369" s="206" t="s">
        <v>260</v>
      </c>
      <c r="P369" s="206" t="s">
        <v>91</v>
      </c>
    </row>
    <row r="370" spans="1:16" s="187" customFormat="1" ht="18" customHeight="1">
      <c r="A370" s="187" t="str">
        <f t="shared" si="5"/>
        <v>V10178B</v>
      </c>
      <c r="B370" s="208" t="s">
        <v>567</v>
      </c>
      <c r="C370" s="208"/>
      <c r="D370" s="208" t="s">
        <v>573</v>
      </c>
      <c r="E370" s="208" t="s">
        <v>29</v>
      </c>
      <c r="F370" s="208" t="s">
        <v>568</v>
      </c>
      <c r="G370" s="208" t="s">
        <v>569</v>
      </c>
      <c r="H370" s="208"/>
      <c r="I370" s="208" t="s">
        <v>570</v>
      </c>
      <c r="J370" s="208" t="s">
        <v>571</v>
      </c>
      <c r="K370" s="208" t="s">
        <v>572</v>
      </c>
      <c r="L370" s="208"/>
      <c r="M370" s="209"/>
      <c r="N370" s="208"/>
      <c r="O370" s="208" t="s">
        <v>260</v>
      </c>
      <c r="P370" s="208" t="s">
        <v>91</v>
      </c>
    </row>
    <row r="371" spans="1:16" s="187" customFormat="1" ht="18" customHeight="1">
      <c r="A371" s="187" t="str">
        <f t="shared" si="5"/>
        <v>V10178C</v>
      </c>
      <c r="B371" s="206" t="s">
        <v>567</v>
      </c>
      <c r="C371" s="206"/>
      <c r="D371" s="206" t="s">
        <v>574</v>
      </c>
      <c r="E371" s="206" t="s">
        <v>29</v>
      </c>
      <c r="F371" s="206" t="s">
        <v>568</v>
      </c>
      <c r="G371" s="206" t="s">
        <v>569</v>
      </c>
      <c r="H371" s="206"/>
      <c r="I371" s="206" t="s">
        <v>570</v>
      </c>
      <c r="J371" s="206" t="s">
        <v>571</v>
      </c>
      <c r="K371" s="206" t="s">
        <v>572</v>
      </c>
      <c r="L371" s="206"/>
      <c r="M371" s="207"/>
      <c r="N371" s="206"/>
      <c r="O371" s="206" t="s">
        <v>260</v>
      </c>
      <c r="P371" s="206" t="s">
        <v>91</v>
      </c>
    </row>
    <row r="372" spans="1:16" s="187" customFormat="1" ht="18" customHeight="1">
      <c r="A372" s="187" t="str">
        <f t="shared" si="5"/>
        <v>V10216A</v>
      </c>
      <c r="B372" s="208" t="s">
        <v>576</v>
      </c>
      <c r="C372" s="208"/>
      <c r="D372" s="208" t="s">
        <v>575</v>
      </c>
      <c r="E372" s="208" t="s">
        <v>29</v>
      </c>
      <c r="F372" s="208" t="s">
        <v>577</v>
      </c>
      <c r="G372" s="208" t="s">
        <v>578</v>
      </c>
      <c r="H372" s="208"/>
      <c r="I372" s="208" t="s">
        <v>579</v>
      </c>
      <c r="J372" s="208" t="s">
        <v>580</v>
      </c>
      <c r="K372" s="208" t="s">
        <v>581</v>
      </c>
      <c r="L372" s="208"/>
      <c r="M372" s="209"/>
      <c r="N372" s="208"/>
      <c r="O372" s="208" t="s">
        <v>260</v>
      </c>
      <c r="P372" s="208" t="s">
        <v>91</v>
      </c>
    </row>
    <row r="373" spans="1:16" s="187" customFormat="1" ht="18" customHeight="1">
      <c r="A373" s="187" t="str">
        <f t="shared" si="5"/>
        <v>V10216B</v>
      </c>
      <c r="B373" s="206" t="s">
        <v>576</v>
      </c>
      <c r="C373" s="206"/>
      <c r="D373" s="206" t="s">
        <v>582</v>
      </c>
      <c r="E373" s="206" t="s">
        <v>29</v>
      </c>
      <c r="F373" s="206" t="s">
        <v>577</v>
      </c>
      <c r="G373" s="206" t="s">
        <v>578</v>
      </c>
      <c r="H373" s="206"/>
      <c r="I373" s="206" t="s">
        <v>579</v>
      </c>
      <c r="J373" s="206" t="s">
        <v>580</v>
      </c>
      <c r="K373" s="206" t="s">
        <v>581</v>
      </c>
      <c r="L373" s="206"/>
      <c r="M373" s="207"/>
      <c r="N373" s="206"/>
      <c r="O373" s="206" t="s">
        <v>260</v>
      </c>
      <c r="P373" s="206" t="s">
        <v>91</v>
      </c>
    </row>
    <row r="374" spans="1:16" s="187" customFormat="1" ht="18" customHeight="1">
      <c r="A374" s="187" t="str">
        <f t="shared" si="5"/>
        <v>V10216C</v>
      </c>
      <c r="B374" s="208" t="s">
        <v>576</v>
      </c>
      <c r="C374" s="208"/>
      <c r="D374" s="208" t="s">
        <v>583</v>
      </c>
      <c r="E374" s="208" t="s">
        <v>29</v>
      </c>
      <c r="F374" s="208" t="s">
        <v>577</v>
      </c>
      <c r="G374" s="208" t="s">
        <v>578</v>
      </c>
      <c r="H374" s="208"/>
      <c r="I374" s="208" t="s">
        <v>579</v>
      </c>
      <c r="J374" s="208" t="s">
        <v>580</v>
      </c>
      <c r="K374" s="208" t="s">
        <v>581</v>
      </c>
      <c r="L374" s="208"/>
      <c r="M374" s="209"/>
      <c r="N374" s="208"/>
      <c r="O374" s="208" t="s">
        <v>260</v>
      </c>
      <c r="P374" s="208" t="s">
        <v>91</v>
      </c>
    </row>
    <row r="375" spans="1:16" s="187" customFormat="1" ht="18" customHeight="1">
      <c r="A375" s="187" t="str">
        <f t="shared" si="5"/>
        <v>V10546C</v>
      </c>
      <c r="B375" s="206" t="s">
        <v>6293</v>
      </c>
      <c r="C375" s="206"/>
      <c r="D375" s="206" t="s">
        <v>6294</v>
      </c>
      <c r="E375" s="206" t="s">
        <v>29</v>
      </c>
      <c r="F375" s="206" t="s">
        <v>6295</v>
      </c>
      <c r="G375" s="206"/>
      <c r="H375" s="206"/>
      <c r="I375" s="206"/>
      <c r="J375" s="206" t="s">
        <v>6296</v>
      </c>
      <c r="K375" s="206" t="s">
        <v>6297</v>
      </c>
      <c r="L375" s="206"/>
      <c r="M375" s="207"/>
      <c r="N375" s="206"/>
      <c r="O375" s="206"/>
      <c r="P375" s="206" t="s">
        <v>91</v>
      </c>
    </row>
    <row r="376" spans="1:16" s="187" customFormat="1" ht="18" customHeight="1">
      <c r="A376" s="187" t="str">
        <f t="shared" si="5"/>
        <v>V4093C0</v>
      </c>
      <c r="B376" s="208" t="s">
        <v>5289</v>
      </c>
      <c r="C376" s="208"/>
      <c r="D376" s="208" t="s">
        <v>5288</v>
      </c>
      <c r="E376" s="208" t="s">
        <v>29</v>
      </c>
      <c r="F376" s="208" t="s">
        <v>5329</v>
      </c>
      <c r="G376" s="208"/>
      <c r="H376" s="208"/>
      <c r="I376" s="208"/>
      <c r="J376" s="208" t="s">
        <v>5330</v>
      </c>
      <c r="K376" s="208" t="s">
        <v>5331</v>
      </c>
      <c r="L376" s="208"/>
      <c r="M376" s="209"/>
      <c r="N376" s="208"/>
      <c r="O376" s="208"/>
      <c r="P376" s="208" t="s">
        <v>107</v>
      </c>
    </row>
    <row r="377" spans="1:16" s="187" customFormat="1" ht="18" customHeight="1">
      <c r="A377" s="187" t="str">
        <f t="shared" si="5"/>
        <v>V4003C0</v>
      </c>
      <c r="B377" s="206" t="s">
        <v>585</v>
      </c>
      <c r="C377" s="206"/>
      <c r="D377" s="206" t="s">
        <v>584</v>
      </c>
      <c r="E377" s="206" t="s">
        <v>29</v>
      </c>
      <c r="F377" s="206" t="s">
        <v>586</v>
      </c>
      <c r="G377" s="206" t="s">
        <v>587</v>
      </c>
      <c r="H377" s="206"/>
      <c r="I377" s="206"/>
      <c r="J377" s="206" t="s">
        <v>588</v>
      </c>
      <c r="K377" s="206" t="s">
        <v>589</v>
      </c>
      <c r="L377" s="206"/>
      <c r="M377" s="207"/>
      <c r="N377" s="206"/>
      <c r="O377" s="206" t="s">
        <v>131</v>
      </c>
      <c r="P377" s="206" t="s">
        <v>107</v>
      </c>
    </row>
    <row r="378" spans="1:16" s="187" customFormat="1" ht="18" customHeight="1">
      <c r="A378" s="187" t="str">
        <f t="shared" si="5"/>
        <v>V10518C</v>
      </c>
      <c r="B378" s="208" t="s">
        <v>6065</v>
      </c>
      <c r="C378" s="208"/>
      <c r="D378" s="208" t="s">
        <v>6066</v>
      </c>
      <c r="E378" s="208" t="s">
        <v>29</v>
      </c>
      <c r="F378" s="208" t="s">
        <v>6298</v>
      </c>
      <c r="G378" s="208" t="s">
        <v>6067</v>
      </c>
      <c r="H378" s="208"/>
      <c r="I378" s="208"/>
      <c r="J378" s="208" t="s">
        <v>6068</v>
      </c>
      <c r="K378" s="208" t="s">
        <v>6069</v>
      </c>
      <c r="L378" s="208"/>
      <c r="M378" s="209"/>
      <c r="N378" s="208"/>
      <c r="O378" s="208" t="s">
        <v>260</v>
      </c>
      <c r="P378" s="208" t="s">
        <v>91</v>
      </c>
    </row>
    <row r="379" spans="1:16" s="187" customFormat="1" ht="18" customHeight="1">
      <c r="A379" s="187" t="str">
        <f t="shared" si="5"/>
        <v>V10506C</v>
      </c>
      <c r="B379" s="206" t="s">
        <v>6070</v>
      </c>
      <c r="C379" s="206"/>
      <c r="D379" s="206" t="s">
        <v>6071</v>
      </c>
      <c r="E379" s="206" t="s">
        <v>29</v>
      </c>
      <c r="F379" s="206" t="s">
        <v>6072</v>
      </c>
      <c r="G379" s="206"/>
      <c r="H379" s="206"/>
      <c r="I379" s="206" t="s">
        <v>31</v>
      </c>
      <c r="J379" s="206"/>
      <c r="K379" s="206"/>
      <c r="L379" s="206"/>
      <c r="M379" s="207"/>
      <c r="N379" s="206"/>
      <c r="O379" s="206"/>
      <c r="P379" s="206" t="s">
        <v>91</v>
      </c>
    </row>
    <row r="380" spans="1:16" s="187" customFormat="1" ht="18" customHeight="1">
      <c r="A380" s="187" t="str">
        <f t="shared" si="5"/>
        <v>V10261C</v>
      </c>
      <c r="B380" s="208" t="s">
        <v>591</v>
      </c>
      <c r="C380" s="208"/>
      <c r="D380" s="208" t="s">
        <v>590</v>
      </c>
      <c r="E380" s="208" t="s">
        <v>29</v>
      </c>
      <c r="F380" s="208" t="s">
        <v>592</v>
      </c>
      <c r="G380" s="208" t="s">
        <v>593</v>
      </c>
      <c r="H380" s="208"/>
      <c r="I380" s="208" t="s">
        <v>594</v>
      </c>
      <c r="J380" s="208" t="s">
        <v>595</v>
      </c>
      <c r="K380" s="208" t="s">
        <v>596</v>
      </c>
      <c r="L380" s="208"/>
      <c r="M380" s="209"/>
      <c r="N380" s="208"/>
      <c r="O380" s="208"/>
      <c r="P380" s="208" t="s">
        <v>91</v>
      </c>
    </row>
    <row r="381" spans="1:16" s="187" customFormat="1" ht="18" customHeight="1">
      <c r="A381" s="187" t="str">
        <f t="shared" si="5"/>
        <v>V10350C</v>
      </c>
      <c r="B381" s="206" t="s">
        <v>4229</v>
      </c>
      <c r="C381" s="206"/>
      <c r="D381" s="206" t="s">
        <v>4228</v>
      </c>
      <c r="E381" s="206" t="s">
        <v>29</v>
      </c>
      <c r="F381" s="206" t="s">
        <v>4230</v>
      </c>
      <c r="G381" s="206" t="s">
        <v>4231</v>
      </c>
      <c r="H381" s="206"/>
      <c r="I381" s="206"/>
      <c r="J381" s="206" t="s">
        <v>4232</v>
      </c>
      <c r="K381" s="206" t="s">
        <v>4233</v>
      </c>
      <c r="L381" s="206"/>
      <c r="M381" s="207"/>
      <c r="N381" s="206"/>
      <c r="O381" s="206"/>
      <c r="P381" s="206" t="s">
        <v>91</v>
      </c>
    </row>
    <row r="382" spans="1:16" s="187" customFormat="1" ht="18" customHeight="1">
      <c r="A382" s="187" t="str">
        <f t="shared" si="5"/>
        <v>V10482C</v>
      </c>
      <c r="B382" s="208" t="s">
        <v>5919</v>
      </c>
      <c r="C382" s="208"/>
      <c r="D382" s="208" t="s">
        <v>5920</v>
      </c>
      <c r="E382" s="208" t="s">
        <v>29</v>
      </c>
      <c r="F382" s="208" t="s">
        <v>5921</v>
      </c>
      <c r="G382" s="208"/>
      <c r="H382" s="208"/>
      <c r="I382" s="208"/>
      <c r="J382" s="208" t="s">
        <v>5922</v>
      </c>
      <c r="K382" s="208" t="s">
        <v>5923</v>
      </c>
      <c r="L382" s="208"/>
      <c r="M382" s="209"/>
      <c r="N382" s="208"/>
      <c r="O382" s="208"/>
      <c r="P382" s="208" t="s">
        <v>91</v>
      </c>
    </row>
    <row r="383" spans="1:16" s="187" customFormat="1" ht="18" customHeight="1">
      <c r="A383" s="187" t="str">
        <f t="shared" si="5"/>
        <v>V10022A</v>
      </c>
      <c r="B383" s="206" t="s">
        <v>598</v>
      </c>
      <c r="C383" s="206"/>
      <c r="D383" s="206" t="s">
        <v>597</v>
      </c>
      <c r="E383" s="206" t="s">
        <v>29</v>
      </c>
      <c r="F383" s="206" t="s">
        <v>599</v>
      </c>
      <c r="G383" s="206" t="s">
        <v>600</v>
      </c>
      <c r="H383" s="206"/>
      <c r="I383" s="206"/>
      <c r="J383" s="206" t="s">
        <v>5832</v>
      </c>
      <c r="K383" s="206" t="s">
        <v>5833</v>
      </c>
      <c r="L383" s="206"/>
      <c r="M383" s="207"/>
      <c r="N383" s="206"/>
      <c r="O383" s="206" t="s">
        <v>260</v>
      </c>
      <c r="P383" s="206" t="s">
        <v>91</v>
      </c>
    </row>
    <row r="384" spans="1:16" s="187" customFormat="1" ht="18" customHeight="1">
      <c r="A384" s="187" t="str">
        <f t="shared" si="5"/>
        <v>V10022B</v>
      </c>
      <c r="B384" s="208" t="s">
        <v>598</v>
      </c>
      <c r="C384" s="208"/>
      <c r="D384" s="208" t="s">
        <v>602</v>
      </c>
      <c r="E384" s="208" t="s">
        <v>29</v>
      </c>
      <c r="F384" s="208" t="s">
        <v>599</v>
      </c>
      <c r="G384" s="208" t="s">
        <v>600</v>
      </c>
      <c r="H384" s="208"/>
      <c r="I384" s="208"/>
      <c r="J384" s="208" t="s">
        <v>5832</v>
      </c>
      <c r="K384" s="208" t="s">
        <v>5833</v>
      </c>
      <c r="L384" s="208"/>
      <c r="M384" s="209"/>
      <c r="N384" s="208"/>
      <c r="O384" s="208" t="s">
        <v>260</v>
      </c>
      <c r="P384" s="208" t="s">
        <v>91</v>
      </c>
    </row>
    <row r="385" spans="1:16" s="187" customFormat="1" ht="18" customHeight="1">
      <c r="A385" s="187" t="str">
        <f t="shared" si="5"/>
        <v>V10022C</v>
      </c>
      <c r="B385" s="206" t="s">
        <v>598</v>
      </c>
      <c r="C385" s="206"/>
      <c r="D385" s="206" t="s">
        <v>603</v>
      </c>
      <c r="E385" s="206" t="s">
        <v>29</v>
      </c>
      <c r="F385" s="206" t="s">
        <v>599</v>
      </c>
      <c r="G385" s="206" t="s">
        <v>600</v>
      </c>
      <c r="H385" s="206"/>
      <c r="I385" s="206"/>
      <c r="J385" s="206" t="s">
        <v>5832</v>
      </c>
      <c r="K385" s="206" t="s">
        <v>5833</v>
      </c>
      <c r="L385" s="206"/>
      <c r="M385" s="207"/>
      <c r="N385" s="206"/>
      <c r="O385" s="206" t="s">
        <v>260</v>
      </c>
      <c r="P385" s="206" t="s">
        <v>91</v>
      </c>
    </row>
    <row r="386" spans="1:16" s="187" customFormat="1" ht="18" customHeight="1">
      <c r="A386" s="187" t="str">
        <f t="shared" si="5"/>
        <v>V10407C</v>
      </c>
      <c r="B386" s="208" t="s">
        <v>5483</v>
      </c>
      <c r="C386" s="208"/>
      <c r="D386" s="208" t="s">
        <v>5425</v>
      </c>
      <c r="E386" s="208" t="s">
        <v>29</v>
      </c>
      <c r="F386" s="208" t="s">
        <v>5430</v>
      </c>
      <c r="G386" s="208"/>
      <c r="H386" s="208"/>
      <c r="I386" s="208"/>
      <c r="J386" s="208"/>
      <c r="K386" s="208"/>
      <c r="L386" s="208"/>
      <c r="M386" s="209"/>
      <c r="N386" s="208"/>
      <c r="O386" s="208"/>
      <c r="P386" s="208" t="s">
        <v>91</v>
      </c>
    </row>
    <row r="387" spans="1:16" s="187" customFormat="1" ht="18" customHeight="1">
      <c r="A387" s="187" t="str">
        <f t="shared" si="5"/>
        <v>V10502C</v>
      </c>
      <c r="B387" s="206" t="s">
        <v>6073</v>
      </c>
      <c r="C387" s="206"/>
      <c r="D387" s="206" t="s">
        <v>6074</v>
      </c>
      <c r="E387" s="206" t="s">
        <v>29</v>
      </c>
      <c r="F387" s="206" t="s">
        <v>6075</v>
      </c>
      <c r="G387" s="206" t="s">
        <v>6076</v>
      </c>
      <c r="H387" s="206"/>
      <c r="I387" s="206"/>
      <c r="J387" s="206" t="s">
        <v>6077</v>
      </c>
      <c r="K387" s="206" t="s">
        <v>6078</v>
      </c>
      <c r="L387" s="206"/>
      <c r="M387" s="207"/>
      <c r="N387" s="206"/>
      <c r="O387" s="206"/>
      <c r="P387" s="206" t="s">
        <v>91</v>
      </c>
    </row>
    <row r="388" spans="1:16" s="187" customFormat="1" ht="18" customHeight="1">
      <c r="A388" s="187" t="str">
        <f t="shared" si="5"/>
        <v>V10355C</v>
      </c>
      <c r="B388" s="208" t="s">
        <v>4894</v>
      </c>
      <c r="C388" s="208"/>
      <c r="D388" s="208" t="s">
        <v>4895</v>
      </c>
      <c r="E388" s="208" t="s">
        <v>29</v>
      </c>
      <c r="F388" s="208" t="s">
        <v>4896</v>
      </c>
      <c r="G388" s="208"/>
      <c r="H388" s="208"/>
      <c r="I388" s="208" t="s">
        <v>4897</v>
      </c>
      <c r="J388" s="208"/>
      <c r="K388" s="208"/>
      <c r="L388" s="208"/>
      <c r="M388" s="209"/>
      <c r="N388" s="208"/>
      <c r="O388" s="208"/>
      <c r="P388" s="208" t="s">
        <v>91</v>
      </c>
    </row>
    <row r="389" spans="1:16" s="187" customFormat="1" ht="18" customHeight="1">
      <c r="A389" s="187" t="str">
        <f t="shared" si="5"/>
        <v>V10146A</v>
      </c>
      <c r="B389" s="206" t="s">
        <v>605</v>
      </c>
      <c r="C389" s="206"/>
      <c r="D389" s="206" t="s">
        <v>604</v>
      </c>
      <c r="E389" s="206" t="s">
        <v>29</v>
      </c>
      <c r="F389" s="206" t="s">
        <v>606</v>
      </c>
      <c r="G389" s="206" t="s">
        <v>607</v>
      </c>
      <c r="H389" s="206"/>
      <c r="I389" s="206" t="s">
        <v>608</v>
      </c>
      <c r="J389" s="206" t="s">
        <v>609</v>
      </c>
      <c r="K389" s="206" t="s">
        <v>610</v>
      </c>
      <c r="L389" s="206"/>
      <c r="M389" s="207"/>
      <c r="N389" s="206"/>
      <c r="O389" s="206" t="s">
        <v>260</v>
      </c>
      <c r="P389" s="206" t="s">
        <v>91</v>
      </c>
    </row>
    <row r="390" spans="1:16" s="187" customFormat="1" ht="18" customHeight="1">
      <c r="A390" s="187" t="str">
        <f t="shared" ref="A390:A453" si="6">D390</f>
        <v>V10146B</v>
      </c>
      <c r="B390" s="208" t="s">
        <v>605</v>
      </c>
      <c r="C390" s="208"/>
      <c r="D390" s="208" t="s">
        <v>611</v>
      </c>
      <c r="E390" s="208" t="s">
        <v>29</v>
      </c>
      <c r="F390" s="208" t="s">
        <v>606</v>
      </c>
      <c r="G390" s="208" t="s">
        <v>607</v>
      </c>
      <c r="H390" s="208"/>
      <c r="I390" s="208" t="s">
        <v>608</v>
      </c>
      <c r="J390" s="208" t="s">
        <v>609</v>
      </c>
      <c r="K390" s="208" t="s">
        <v>610</v>
      </c>
      <c r="L390" s="208"/>
      <c r="M390" s="209"/>
      <c r="N390" s="208"/>
      <c r="O390" s="208" t="s">
        <v>260</v>
      </c>
      <c r="P390" s="208" t="s">
        <v>91</v>
      </c>
    </row>
    <row r="391" spans="1:16" s="187" customFormat="1" ht="18" customHeight="1">
      <c r="A391" s="187" t="str">
        <f t="shared" si="6"/>
        <v>V10146C</v>
      </c>
      <c r="B391" s="206" t="s">
        <v>605</v>
      </c>
      <c r="C391" s="206"/>
      <c r="D391" s="206" t="s">
        <v>612</v>
      </c>
      <c r="E391" s="206" t="s">
        <v>29</v>
      </c>
      <c r="F391" s="206" t="s">
        <v>606</v>
      </c>
      <c r="G391" s="206" t="s">
        <v>607</v>
      </c>
      <c r="H391" s="206"/>
      <c r="I391" s="206" t="s">
        <v>608</v>
      </c>
      <c r="J391" s="206" t="s">
        <v>609</v>
      </c>
      <c r="K391" s="206" t="s">
        <v>610</v>
      </c>
      <c r="L391" s="206"/>
      <c r="M391" s="207"/>
      <c r="N391" s="206"/>
      <c r="O391" s="206" t="s">
        <v>260</v>
      </c>
      <c r="P391" s="206" t="s">
        <v>91</v>
      </c>
    </row>
    <row r="392" spans="1:16" s="187" customFormat="1" ht="18" customHeight="1">
      <c r="A392" s="187" t="str">
        <f t="shared" si="6"/>
        <v>V10201A</v>
      </c>
      <c r="B392" s="208" t="s">
        <v>614</v>
      </c>
      <c r="C392" s="208"/>
      <c r="D392" s="208" t="s">
        <v>613</v>
      </c>
      <c r="E392" s="208" t="s">
        <v>29</v>
      </c>
      <c r="F392" s="208" t="s">
        <v>6079</v>
      </c>
      <c r="G392" s="208"/>
      <c r="H392" s="208"/>
      <c r="I392" s="208" t="s">
        <v>615</v>
      </c>
      <c r="J392" s="208" t="s">
        <v>6080</v>
      </c>
      <c r="K392" s="208" t="s">
        <v>616</v>
      </c>
      <c r="L392" s="208"/>
      <c r="M392" s="209"/>
      <c r="N392" s="208"/>
      <c r="O392" s="208" t="s">
        <v>260</v>
      </c>
      <c r="P392" s="208" t="s">
        <v>91</v>
      </c>
    </row>
    <row r="393" spans="1:16" s="187" customFormat="1" ht="18" customHeight="1">
      <c r="A393" s="187" t="str">
        <f t="shared" si="6"/>
        <v>V10201B</v>
      </c>
      <c r="B393" s="206" t="s">
        <v>614</v>
      </c>
      <c r="C393" s="206"/>
      <c r="D393" s="206" t="s">
        <v>617</v>
      </c>
      <c r="E393" s="206" t="s">
        <v>29</v>
      </c>
      <c r="F393" s="206" t="s">
        <v>6079</v>
      </c>
      <c r="G393" s="206"/>
      <c r="H393" s="206"/>
      <c r="I393" s="206" t="s">
        <v>615</v>
      </c>
      <c r="J393" s="206" t="s">
        <v>6080</v>
      </c>
      <c r="K393" s="206" t="s">
        <v>616</v>
      </c>
      <c r="L393" s="206"/>
      <c r="M393" s="207"/>
      <c r="N393" s="206"/>
      <c r="O393" s="206" t="s">
        <v>260</v>
      </c>
      <c r="P393" s="206" t="s">
        <v>91</v>
      </c>
    </row>
    <row r="394" spans="1:16" s="187" customFormat="1" ht="18" customHeight="1">
      <c r="A394" s="187" t="str">
        <f t="shared" si="6"/>
        <v>V10201C</v>
      </c>
      <c r="B394" s="208" t="s">
        <v>614</v>
      </c>
      <c r="C394" s="208"/>
      <c r="D394" s="208" t="s">
        <v>618</v>
      </c>
      <c r="E394" s="208" t="s">
        <v>29</v>
      </c>
      <c r="F394" s="208" t="s">
        <v>6079</v>
      </c>
      <c r="G394" s="208"/>
      <c r="H394" s="208"/>
      <c r="I394" s="208" t="s">
        <v>615</v>
      </c>
      <c r="J394" s="208" t="s">
        <v>6080</v>
      </c>
      <c r="K394" s="208" t="s">
        <v>616</v>
      </c>
      <c r="L394" s="208"/>
      <c r="M394" s="209"/>
      <c r="N394" s="208"/>
      <c r="O394" s="208" t="s">
        <v>260</v>
      </c>
      <c r="P394" s="208" t="s">
        <v>91</v>
      </c>
    </row>
    <row r="395" spans="1:16" s="187" customFormat="1" ht="18" customHeight="1">
      <c r="A395" s="187" t="str">
        <f t="shared" si="6"/>
        <v>V4049C0</v>
      </c>
      <c r="B395" s="206" t="s">
        <v>620</v>
      </c>
      <c r="C395" s="206"/>
      <c r="D395" s="206" t="s">
        <v>619</v>
      </c>
      <c r="E395" s="206" t="s">
        <v>29</v>
      </c>
      <c r="F395" s="206" t="s">
        <v>621</v>
      </c>
      <c r="G395" s="206" t="s">
        <v>622</v>
      </c>
      <c r="H395" s="206"/>
      <c r="I395" s="206"/>
      <c r="J395" s="206" t="s">
        <v>387</v>
      </c>
      <c r="K395" s="206" t="s">
        <v>623</v>
      </c>
      <c r="L395" s="206"/>
      <c r="M395" s="207"/>
      <c r="N395" s="206"/>
      <c r="O395" s="206" t="s">
        <v>131</v>
      </c>
      <c r="P395" s="206" t="s">
        <v>107</v>
      </c>
    </row>
    <row r="396" spans="1:16" s="187" customFormat="1" ht="18" customHeight="1">
      <c r="A396" s="187" t="str">
        <f t="shared" si="6"/>
        <v>V10120A</v>
      </c>
      <c r="B396" s="208" t="s">
        <v>625</v>
      </c>
      <c r="C396" s="208"/>
      <c r="D396" s="208" t="s">
        <v>624</v>
      </c>
      <c r="E396" s="208" t="s">
        <v>29</v>
      </c>
      <c r="F396" s="208" t="s">
        <v>626</v>
      </c>
      <c r="G396" s="208" t="s">
        <v>627</v>
      </c>
      <c r="H396" s="208"/>
      <c r="I396" s="208"/>
      <c r="J396" s="208" t="s">
        <v>4898</v>
      </c>
      <c r="K396" s="208" t="s">
        <v>4899</v>
      </c>
      <c r="L396" s="208"/>
      <c r="M396" s="209"/>
      <c r="N396" s="208"/>
      <c r="O396" s="208" t="s">
        <v>260</v>
      </c>
      <c r="P396" s="208" t="s">
        <v>91</v>
      </c>
    </row>
    <row r="397" spans="1:16" s="187" customFormat="1" ht="18" customHeight="1">
      <c r="A397" s="187" t="str">
        <f t="shared" si="6"/>
        <v>V10120B</v>
      </c>
      <c r="B397" s="206" t="s">
        <v>625</v>
      </c>
      <c r="C397" s="206"/>
      <c r="D397" s="206" t="s">
        <v>628</v>
      </c>
      <c r="E397" s="206" t="s">
        <v>29</v>
      </c>
      <c r="F397" s="206" t="s">
        <v>626</v>
      </c>
      <c r="G397" s="206" t="s">
        <v>627</v>
      </c>
      <c r="H397" s="206"/>
      <c r="I397" s="206"/>
      <c r="J397" s="206" t="s">
        <v>4898</v>
      </c>
      <c r="K397" s="206" t="s">
        <v>4899</v>
      </c>
      <c r="L397" s="206"/>
      <c r="M397" s="207"/>
      <c r="N397" s="206"/>
      <c r="O397" s="206" t="s">
        <v>260</v>
      </c>
      <c r="P397" s="206" t="s">
        <v>91</v>
      </c>
    </row>
    <row r="398" spans="1:16" s="187" customFormat="1" ht="18" customHeight="1">
      <c r="A398" s="187" t="str">
        <f t="shared" si="6"/>
        <v>V10120C</v>
      </c>
      <c r="B398" s="208" t="s">
        <v>625</v>
      </c>
      <c r="C398" s="208"/>
      <c r="D398" s="208" t="s">
        <v>629</v>
      </c>
      <c r="E398" s="208" t="s">
        <v>29</v>
      </c>
      <c r="F398" s="208" t="s">
        <v>626</v>
      </c>
      <c r="G398" s="208" t="s">
        <v>627</v>
      </c>
      <c r="H398" s="208"/>
      <c r="I398" s="208"/>
      <c r="J398" s="208" t="s">
        <v>4898</v>
      </c>
      <c r="K398" s="208" t="s">
        <v>4899</v>
      </c>
      <c r="L398" s="208"/>
      <c r="M398" s="209"/>
      <c r="N398" s="208"/>
      <c r="O398" s="208" t="s">
        <v>260</v>
      </c>
      <c r="P398" s="208" t="s">
        <v>91</v>
      </c>
    </row>
    <row r="399" spans="1:16" s="187" customFormat="1" ht="18" customHeight="1">
      <c r="A399" s="187" t="str">
        <f t="shared" si="6"/>
        <v>V10522C</v>
      </c>
      <c r="B399" s="206" t="s">
        <v>6299</v>
      </c>
      <c r="C399" s="206"/>
      <c r="D399" s="206" t="s">
        <v>6300</v>
      </c>
      <c r="E399" s="206" t="s">
        <v>29</v>
      </c>
      <c r="F399" s="206" t="s">
        <v>6301</v>
      </c>
      <c r="G399" s="206" t="s">
        <v>6302</v>
      </c>
      <c r="H399" s="206"/>
      <c r="I399" s="206"/>
      <c r="J399" s="206" t="s">
        <v>6303</v>
      </c>
      <c r="K399" s="206" t="s">
        <v>6304</v>
      </c>
      <c r="L399" s="206"/>
      <c r="M399" s="207"/>
      <c r="N399" s="206"/>
      <c r="O399" s="206"/>
      <c r="P399" s="206" t="s">
        <v>91</v>
      </c>
    </row>
    <row r="400" spans="1:16" s="187" customFormat="1" ht="18" customHeight="1">
      <c r="A400" s="187" t="str">
        <f t="shared" si="6"/>
        <v>V10522B</v>
      </c>
      <c r="B400" s="208" t="s">
        <v>6299</v>
      </c>
      <c r="C400" s="208"/>
      <c r="D400" s="208" t="s">
        <v>6305</v>
      </c>
      <c r="E400" s="208" t="s">
        <v>29</v>
      </c>
      <c r="F400" s="208" t="s">
        <v>6301</v>
      </c>
      <c r="G400" s="208" t="s">
        <v>6302</v>
      </c>
      <c r="H400" s="208"/>
      <c r="I400" s="208"/>
      <c r="J400" s="208" t="s">
        <v>6303</v>
      </c>
      <c r="K400" s="208" t="s">
        <v>6304</v>
      </c>
      <c r="L400" s="208"/>
      <c r="M400" s="209"/>
      <c r="N400" s="208"/>
      <c r="O400" s="208"/>
      <c r="P400" s="208" t="s">
        <v>91</v>
      </c>
    </row>
    <row r="401" spans="1:16" s="187" customFormat="1" ht="18" customHeight="1">
      <c r="A401" s="187" t="str">
        <f t="shared" si="6"/>
        <v>V10277B</v>
      </c>
      <c r="B401" s="206" t="s">
        <v>631</v>
      </c>
      <c r="C401" s="206"/>
      <c r="D401" s="206" t="s">
        <v>5332</v>
      </c>
      <c r="E401" s="206" t="s">
        <v>29</v>
      </c>
      <c r="F401" s="206" t="s">
        <v>5333</v>
      </c>
      <c r="G401" s="206" t="s">
        <v>633</v>
      </c>
      <c r="H401" s="206"/>
      <c r="I401" s="206" t="s">
        <v>5334</v>
      </c>
      <c r="J401" s="206" t="s">
        <v>5335</v>
      </c>
      <c r="K401" s="206" t="s">
        <v>635</v>
      </c>
      <c r="L401" s="206"/>
      <c r="M401" s="207"/>
      <c r="N401" s="206"/>
      <c r="O401" s="206" t="s">
        <v>260</v>
      </c>
      <c r="P401" s="206" t="s">
        <v>91</v>
      </c>
    </row>
    <row r="402" spans="1:16" s="187" customFormat="1" ht="18" customHeight="1">
      <c r="A402" s="187" t="str">
        <f t="shared" si="6"/>
        <v>V10277C</v>
      </c>
      <c r="B402" s="208" t="s">
        <v>631</v>
      </c>
      <c r="C402" s="208"/>
      <c r="D402" s="208" t="s">
        <v>630</v>
      </c>
      <c r="E402" s="208" t="s">
        <v>29</v>
      </c>
      <c r="F402" s="208" t="s">
        <v>632</v>
      </c>
      <c r="G402" s="208" t="s">
        <v>633</v>
      </c>
      <c r="H402" s="208"/>
      <c r="I402" s="208"/>
      <c r="J402" s="208" t="s">
        <v>634</v>
      </c>
      <c r="K402" s="208" t="s">
        <v>635</v>
      </c>
      <c r="L402" s="208"/>
      <c r="M402" s="209"/>
      <c r="N402" s="208"/>
      <c r="O402" s="208"/>
      <c r="P402" s="208" t="s">
        <v>91</v>
      </c>
    </row>
    <row r="403" spans="1:16" s="187" customFormat="1" ht="18" customHeight="1">
      <c r="A403" s="187" t="str">
        <f t="shared" si="6"/>
        <v>V10307C</v>
      </c>
      <c r="B403" s="206" t="s">
        <v>4235</v>
      </c>
      <c r="C403" s="206"/>
      <c r="D403" s="206" t="s">
        <v>4234</v>
      </c>
      <c r="E403" s="206" t="s">
        <v>29</v>
      </c>
      <c r="F403" s="206" t="s">
        <v>4236</v>
      </c>
      <c r="G403" s="206" t="s">
        <v>4237</v>
      </c>
      <c r="H403" s="206"/>
      <c r="I403" s="206" t="s">
        <v>4238</v>
      </c>
      <c r="J403" s="206" t="s">
        <v>4239</v>
      </c>
      <c r="K403" s="206" t="s">
        <v>4240</v>
      </c>
      <c r="L403" s="206"/>
      <c r="M403" s="207"/>
      <c r="N403" s="206"/>
      <c r="O403" s="206"/>
      <c r="P403" s="206" t="s">
        <v>91</v>
      </c>
    </row>
    <row r="404" spans="1:16" s="187" customFormat="1" ht="18" customHeight="1">
      <c r="A404" s="187" t="str">
        <f t="shared" si="6"/>
        <v>V10499C</v>
      </c>
      <c r="B404" s="208" t="s">
        <v>6081</v>
      </c>
      <c r="C404" s="208"/>
      <c r="D404" s="208" t="s">
        <v>6082</v>
      </c>
      <c r="E404" s="208" t="s">
        <v>29</v>
      </c>
      <c r="F404" s="208" t="s">
        <v>6083</v>
      </c>
      <c r="G404" s="208"/>
      <c r="H404" s="208"/>
      <c r="I404" s="208"/>
      <c r="J404" s="208" t="s">
        <v>6084</v>
      </c>
      <c r="K404" s="208" t="s">
        <v>6085</v>
      </c>
      <c r="L404" s="208"/>
      <c r="M404" s="209"/>
      <c r="N404" s="208"/>
      <c r="O404" s="208"/>
      <c r="P404" s="208" t="s">
        <v>91</v>
      </c>
    </row>
    <row r="405" spans="1:16" s="187" customFormat="1" ht="18" customHeight="1">
      <c r="A405" s="187" t="str">
        <f t="shared" si="6"/>
        <v>V10125A</v>
      </c>
      <c r="B405" s="206" t="s">
        <v>637</v>
      </c>
      <c r="C405" s="206"/>
      <c r="D405" s="206" t="s">
        <v>636</v>
      </c>
      <c r="E405" s="206" t="s">
        <v>29</v>
      </c>
      <c r="F405" s="206" t="s">
        <v>638</v>
      </c>
      <c r="G405" s="206" t="s">
        <v>639</v>
      </c>
      <c r="H405" s="206"/>
      <c r="I405" s="206"/>
      <c r="J405" s="206" t="s">
        <v>640</v>
      </c>
      <c r="K405" s="206" t="s">
        <v>641</v>
      </c>
      <c r="L405" s="206"/>
      <c r="M405" s="207"/>
      <c r="N405" s="206"/>
      <c r="O405" s="206" t="s">
        <v>260</v>
      </c>
      <c r="P405" s="206" t="s">
        <v>91</v>
      </c>
    </row>
    <row r="406" spans="1:16" s="187" customFormat="1" ht="18" customHeight="1">
      <c r="A406" s="187" t="str">
        <f t="shared" si="6"/>
        <v>V10125B</v>
      </c>
      <c r="B406" s="208" t="s">
        <v>637</v>
      </c>
      <c r="C406" s="208"/>
      <c r="D406" s="208" t="s">
        <v>642</v>
      </c>
      <c r="E406" s="208" t="s">
        <v>29</v>
      </c>
      <c r="F406" s="208" t="s">
        <v>638</v>
      </c>
      <c r="G406" s="208" t="s">
        <v>639</v>
      </c>
      <c r="H406" s="208"/>
      <c r="I406" s="208"/>
      <c r="J406" s="208" t="s">
        <v>640</v>
      </c>
      <c r="K406" s="208" t="s">
        <v>641</v>
      </c>
      <c r="L406" s="208"/>
      <c r="M406" s="209"/>
      <c r="N406" s="208"/>
      <c r="O406" s="208" t="s">
        <v>260</v>
      </c>
      <c r="P406" s="208" t="s">
        <v>91</v>
      </c>
    </row>
    <row r="407" spans="1:16" s="187" customFormat="1" ht="18" customHeight="1">
      <c r="A407" s="187" t="str">
        <f t="shared" si="6"/>
        <v>V10125C</v>
      </c>
      <c r="B407" s="206" t="s">
        <v>637</v>
      </c>
      <c r="C407" s="206"/>
      <c r="D407" s="206" t="s">
        <v>643</v>
      </c>
      <c r="E407" s="206" t="s">
        <v>29</v>
      </c>
      <c r="F407" s="206" t="s">
        <v>638</v>
      </c>
      <c r="G407" s="206" t="s">
        <v>639</v>
      </c>
      <c r="H407" s="206"/>
      <c r="I407" s="206"/>
      <c r="J407" s="206" t="s">
        <v>640</v>
      </c>
      <c r="K407" s="206" t="s">
        <v>641</v>
      </c>
      <c r="L407" s="206"/>
      <c r="M407" s="207"/>
      <c r="N407" s="206"/>
      <c r="O407" s="206" t="s">
        <v>260</v>
      </c>
      <c r="P407" s="206" t="s">
        <v>91</v>
      </c>
    </row>
    <row r="408" spans="1:16" s="187" customFormat="1" ht="18" customHeight="1">
      <c r="A408" s="187" t="str">
        <f t="shared" si="6"/>
        <v>V10446C</v>
      </c>
      <c r="B408" s="208" t="s">
        <v>5716</v>
      </c>
      <c r="C408" s="208"/>
      <c r="D408" s="208" t="s">
        <v>5717</v>
      </c>
      <c r="E408" s="208" t="s">
        <v>29</v>
      </c>
      <c r="F408" s="208" t="s">
        <v>5718</v>
      </c>
      <c r="G408" s="208"/>
      <c r="H408" s="208"/>
      <c r="I408" s="208"/>
      <c r="J408" s="208" t="s">
        <v>1194</v>
      </c>
      <c r="K408" s="208" t="s">
        <v>5719</v>
      </c>
      <c r="L408" s="208"/>
      <c r="M408" s="209"/>
      <c r="N408" s="208"/>
      <c r="O408" s="208"/>
      <c r="P408" s="208" t="s">
        <v>91</v>
      </c>
    </row>
    <row r="409" spans="1:16" s="187" customFormat="1" ht="18" customHeight="1">
      <c r="A409" s="187" t="str">
        <f t="shared" si="6"/>
        <v>V10312C</v>
      </c>
      <c r="B409" s="206" t="s">
        <v>4242</v>
      </c>
      <c r="C409" s="206"/>
      <c r="D409" s="206" t="s">
        <v>4241</v>
      </c>
      <c r="E409" s="206" t="s">
        <v>29</v>
      </c>
      <c r="F409" s="206" t="s">
        <v>4243</v>
      </c>
      <c r="G409" s="206"/>
      <c r="H409" s="206"/>
      <c r="I409" s="206" t="s">
        <v>4244</v>
      </c>
      <c r="J409" s="206" t="s">
        <v>4245</v>
      </c>
      <c r="K409" s="206" t="s">
        <v>4246</v>
      </c>
      <c r="L409" s="206"/>
      <c r="M409" s="207"/>
      <c r="N409" s="206"/>
      <c r="O409" s="206"/>
      <c r="P409" s="206" t="s">
        <v>91</v>
      </c>
    </row>
    <row r="410" spans="1:16" s="187" customFormat="1" ht="18" customHeight="1">
      <c r="A410" s="187" t="str">
        <f t="shared" si="6"/>
        <v>V10270B</v>
      </c>
      <c r="B410" s="208" t="s">
        <v>645</v>
      </c>
      <c r="C410" s="208"/>
      <c r="D410" s="208" t="s">
        <v>5924</v>
      </c>
      <c r="E410" s="208" t="s">
        <v>29</v>
      </c>
      <c r="F410" s="208" t="s">
        <v>646</v>
      </c>
      <c r="G410" s="208" t="s">
        <v>647</v>
      </c>
      <c r="H410" s="208"/>
      <c r="I410" s="208" t="s">
        <v>648</v>
      </c>
      <c r="J410" s="208" t="s">
        <v>649</v>
      </c>
      <c r="K410" s="208" t="s">
        <v>650</v>
      </c>
      <c r="L410" s="208"/>
      <c r="M410" s="209"/>
      <c r="N410" s="208"/>
      <c r="O410" s="208"/>
      <c r="P410" s="208" t="s">
        <v>91</v>
      </c>
    </row>
    <row r="411" spans="1:16" s="187" customFormat="1" ht="18" customHeight="1">
      <c r="A411" s="187" t="str">
        <f t="shared" si="6"/>
        <v>V10270C</v>
      </c>
      <c r="B411" s="206" t="s">
        <v>645</v>
      </c>
      <c r="C411" s="206"/>
      <c r="D411" s="206" t="s">
        <v>644</v>
      </c>
      <c r="E411" s="206" t="s">
        <v>29</v>
      </c>
      <c r="F411" s="206" t="s">
        <v>646</v>
      </c>
      <c r="G411" s="206" t="s">
        <v>647</v>
      </c>
      <c r="H411" s="206"/>
      <c r="I411" s="206" t="s">
        <v>648</v>
      </c>
      <c r="J411" s="206" t="s">
        <v>649</v>
      </c>
      <c r="K411" s="206" t="s">
        <v>650</v>
      </c>
      <c r="L411" s="206"/>
      <c r="M411" s="207"/>
      <c r="N411" s="206"/>
      <c r="O411" s="206"/>
      <c r="P411" s="206" t="s">
        <v>91</v>
      </c>
    </row>
    <row r="412" spans="1:16" s="187" customFormat="1" ht="18" customHeight="1">
      <c r="A412" s="187" t="str">
        <f t="shared" si="6"/>
        <v>V10340C</v>
      </c>
      <c r="B412" s="208" t="s">
        <v>4900</v>
      </c>
      <c r="C412" s="208"/>
      <c r="D412" s="208" t="s">
        <v>4219</v>
      </c>
      <c r="E412" s="208" t="s">
        <v>29</v>
      </c>
      <c r="F412" s="208" t="s">
        <v>4220</v>
      </c>
      <c r="G412" s="208"/>
      <c r="H412" s="208"/>
      <c r="I412" s="208" t="s">
        <v>4221</v>
      </c>
      <c r="J412" s="208" t="s">
        <v>4222</v>
      </c>
      <c r="K412" s="208" t="s">
        <v>4223</v>
      </c>
      <c r="L412" s="208"/>
      <c r="M412" s="209"/>
      <c r="N412" s="208"/>
      <c r="O412" s="208"/>
      <c r="P412" s="208" t="s">
        <v>91</v>
      </c>
    </row>
    <row r="413" spans="1:16" s="187" customFormat="1" ht="18" customHeight="1">
      <c r="A413" s="187" t="str">
        <f t="shared" si="6"/>
        <v>V10113A</v>
      </c>
      <c r="B413" s="206" t="s">
        <v>652</v>
      </c>
      <c r="C413" s="206"/>
      <c r="D413" s="206" t="s">
        <v>651</v>
      </c>
      <c r="E413" s="206" t="s">
        <v>29</v>
      </c>
      <c r="F413" s="206" t="s">
        <v>653</v>
      </c>
      <c r="G413" s="206" t="s">
        <v>654</v>
      </c>
      <c r="H413" s="206"/>
      <c r="I413" s="206" t="s">
        <v>655</v>
      </c>
      <c r="J413" s="206" t="s">
        <v>656</v>
      </c>
      <c r="K413" s="206" t="s">
        <v>657</v>
      </c>
      <c r="L413" s="206"/>
      <c r="M413" s="207"/>
      <c r="N413" s="206"/>
      <c r="O413" s="206" t="s">
        <v>260</v>
      </c>
      <c r="P413" s="206" t="s">
        <v>91</v>
      </c>
    </row>
    <row r="414" spans="1:16" s="187" customFormat="1" ht="18" customHeight="1">
      <c r="A414" s="187" t="str">
        <f t="shared" si="6"/>
        <v>V10113B</v>
      </c>
      <c r="B414" s="208" t="s">
        <v>652</v>
      </c>
      <c r="C414" s="208"/>
      <c r="D414" s="208" t="s">
        <v>658</v>
      </c>
      <c r="E414" s="208" t="s">
        <v>29</v>
      </c>
      <c r="F414" s="208" t="s">
        <v>653</v>
      </c>
      <c r="G414" s="208" t="s">
        <v>654</v>
      </c>
      <c r="H414" s="208"/>
      <c r="I414" s="208" t="s">
        <v>655</v>
      </c>
      <c r="J414" s="208" t="s">
        <v>656</v>
      </c>
      <c r="K414" s="208" t="s">
        <v>657</v>
      </c>
      <c r="L414" s="208"/>
      <c r="M414" s="209"/>
      <c r="N414" s="208"/>
      <c r="O414" s="208" t="s">
        <v>260</v>
      </c>
      <c r="P414" s="208" t="s">
        <v>91</v>
      </c>
    </row>
    <row r="415" spans="1:16" s="187" customFormat="1" ht="18" customHeight="1">
      <c r="A415" s="187" t="str">
        <f t="shared" si="6"/>
        <v>V10113C</v>
      </c>
      <c r="B415" s="206" t="s">
        <v>652</v>
      </c>
      <c r="C415" s="206"/>
      <c r="D415" s="206" t="s">
        <v>659</v>
      </c>
      <c r="E415" s="206" t="s">
        <v>29</v>
      </c>
      <c r="F415" s="206" t="s">
        <v>653</v>
      </c>
      <c r="G415" s="206" t="s">
        <v>654</v>
      </c>
      <c r="H415" s="206"/>
      <c r="I415" s="206" t="s">
        <v>655</v>
      </c>
      <c r="J415" s="206" t="s">
        <v>656</v>
      </c>
      <c r="K415" s="206" t="s">
        <v>657</v>
      </c>
      <c r="L415" s="206"/>
      <c r="M415" s="207"/>
      <c r="N415" s="206"/>
      <c r="O415" s="206" t="s">
        <v>260</v>
      </c>
      <c r="P415" s="206" t="s">
        <v>91</v>
      </c>
    </row>
    <row r="416" spans="1:16" s="187" customFormat="1" ht="18" customHeight="1">
      <c r="A416" s="187" t="str">
        <f t="shared" si="6"/>
        <v>V10552B</v>
      </c>
      <c r="B416" s="208" t="s">
        <v>6523</v>
      </c>
      <c r="C416" s="208"/>
      <c r="D416" s="208" t="s">
        <v>6524</v>
      </c>
      <c r="E416" s="208" t="s">
        <v>29</v>
      </c>
      <c r="F416" s="208" t="s">
        <v>6525</v>
      </c>
      <c r="G416" s="208"/>
      <c r="H416" s="208"/>
      <c r="I416" s="208"/>
      <c r="J416" s="208" t="s">
        <v>6526</v>
      </c>
      <c r="K416" s="208" t="s">
        <v>6527</v>
      </c>
      <c r="L416" s="208"/>
      <c r="M416" s="209"/>
      <c r="N416" s="208"/>
      <c r="O416" s="208"/>
      <c r="P416" s="208" t="s">
        <v>91</v>
      </c>
    </row>
    <row r="417" spans="1:16" s="187" customFormat="1" ht="18" customHeight="1">
      <c r="A417" s="187" t="str">
        <f t="shared" si="6"/>
        <v>V10552C</v>
      </c>
      <c r="B417" s="206" t="s">
        <v>6523</v>
      </c>
      <c r="C417" s="206"/>
      <c r="D417" s="206" t="s">
        <v>6528</v>
      </c>
      <c r="E417" s="206" t="s">
        <v>29</v>
      </c>
      <c r="F417" s="206" t="s">
        <v>6525</v>
      </c>
      <c r="G417" s="206"/>
      <c r="H417" s="206"/>
      <c r="I417" s="206"/>
      <c r="J417" s="206" t="s">
        <v>6526</v>
      </c>
      <c r="K417" s="206" t="s">
        <v>6527</v>
      </c>
      <c r="L417" s="206"/>
      <c r="M417" s="207"/>
      <c r="N417" s="206"/>
      <c r="O417" s="206"/>
      <c r="P417" s="206" t="s">
        <v>91</v>
      </c>
    </row>
    <row r="418" spans="1:16" s="187" customFormat="1" ht="18" customHeight="1">
      <c r="A418" s="187" t="str">
        <f t="shared" si="6"/>
        <v>V10347C</v>
      </c>
      <c r="B418" s="208" t="s">
        <v>4901</v>
      </c>
      <c r="C418" s="208"/>
      <c r="D418" s="208" t="s">
        <v>4902</v>
      </c>
      <c r="E418" s="208" t="s">
        <v>29</v>
      </c>
      <c r="F418" s="208" t="s">
        <v>4903</v>
      </c>
      <c r="G418" s="208"/>
      <c r="H418" s="208"/>
      <c r="I418" s="208"/>
      <c r="J418" s="208"/>
      <c r="K418" s="208"/>
      <c r="L418" s="208"/>
      <c r="M418" s="209"/>
      <c r="N418" s="208"/>
      <c r="O418" s="208"/>
      <c r="P418" s="208" t="s">
        <v>91</v>
      </c>
    </row>
    <row r="419" spans="1:16" s="187" customFormat="1" ht="18" customHeight="1">
      <c r="A419" s="187" t="str">
        <f t="shared" si="6"/>
        <v>V10483C</v>
      </c>
      <c r="B419" s="206" t="s">
        <v>5925</v>
      </c>
      <c r="C419" s="206"/>
      <c r="D419" s="206" t="s">
        <v>5926</v>
      </c>
      <c r="E419" s="206" t="s">
        <v>29</v>
      </c>
      <c r="F419" s="206" t="s">
        <v>5927</v>
      </c>
      <c r="G419" s="206"/>
      <c r="H419" s="206"/>
      <c r="I419" s="206"/>
      <c r="J419" s="206" t="s">
        <v>5928</v>
      </c>
      <c r="K419" s="206" t="s">
        <v>5929</v>
      </c>
      <c r="L419" s="206"/>
      <c r="M419" s="207"/>
      <c r="N419" s="206"/>
      <c r="O419" s="206"/>
      <c r="P419" s="206" t="s">
        <v>91</v>
      </c>
    </row>
    <row r="420" spans="1:16" s="187" customFormat="1" ht="18" customHeight="1">
      <c r="A420" s="187" t="str">
        <f t="shared" si="6"/>
        <v>CG480005C0</v>
      </c>
      <c r="B420" s="208" t="s">
        <v>6306</v>
      </c>
      <c r="C420" s="208"/>
      <c r="D420" s="208" t="s">
        <v>6307</v>
      </c>
      <c r="E420" s="208" t="s">
        <v>29</v>
      </c>
      <c r="F420" s="208" t="s">
        <v>6308</v>
      </c>
      <c r="G420" s="208"/>
      <c r="H420" s="208"/>
      <c r="I420" s="208"/>
      <c r="J420" s="208"/>
      <c r="K420" s="208"/>
      <c r="L420" s="208"/>
      <c r="M420" s="209"/>
      <c r="N420" s="208"/>
      <c r="O420" s="208"/>
      <c r="P420" s="208" t="s">
        <v>100</v>
      </c>
    </row>
    <row r="421" spans="1:16" s="187" customFormat="1" ht="18" customHeight="1">
      <c r="A421" s="187" t="str">
        <f t="shared" si="6"/>
        <v>V10031A</v>
      </c>
      <c r="B421" s="206" t="s">
        <v>661</v>
      </c>
      <c r="C421" s="206"/>
      <c r="D421" s="206" t="s">
        <v>660</v>
      </c>
      <c r="E421" s="206" t="s">
        <v>29</v>
      </c>
      <c r="F421" s="206" t="s">
        <v>662</v>
      </c>
      <c r="G421" s="206" t="s">
        <v>663</v>
      </c>
      <c r="H421" s="206"/>
      <c r="I421" s="206"/>
      <c r="J421" s="206" t="s">
        <v>664</v>
      </c>
      <c r="K421" s="206" t="s">
        <v>665</v>
      </c>
      <c r="L421" s="206"/>
      <c r="M421" s="207"/>
      <c r="N421" s="206"/>
      <c r="O421" s="206" t="s">
        <v>260</v>
      </c>
      <c r="P421" s="206" t="s">
        <v>91</v>
      </c>
    </row>
    <row r="422" spans="1:16" s="187" customFormat="1" ht="18" customHeight="1">
      <c r="A422" s="187" t="str">
        <f t="shared" si="6"/>
        <v>V10031B</v>
      </c>
      <c r="B422" s="208" t="s">
        <v>661</v>
      </c>
      <c r="C422" s="208"/>
      <c r="D422" s="208" t="s">
        <v>666</v>
      </c>
      <c r="E422" s="208" t="s">
        <v>29</v>
      </c>
      <c r="F422" s="208" t="s">
        <v>662</v>
      </c>
      <c r="G422" s="208" t="s">
        <v>663</v>
      </c>
      <c r="H422" s="208"/>
      <c r="I422" s="208"/>
      <c r="J422" s="208" t="s">
        <v>667</v>
      </c>
      <c r="K422" s="208" t="s">
        <v>665</v>
      </c>
      <c r="L422" s="208"/>
      <c r="M422" s="209"/>
      <c r="N422" s="208"/>
      <c r="O422" s="208" t="s">
        <v>260</v>
      </c>
      <c r="P422" s="208" t="s">
        <v>91</v>
      </c>
    </row>
    <row r="423" spans="1:16" s="187" customFormat="1" ht="18" customHeight="1">
      <c r="A423" s="187" t="str">
        <f t="shared" si="6"/>
        <v>V10031C</v>
      </c>
      <c r="B423" s="206" t="s">
        <v>661</v>
      </c>
      <c r="C423" s="206"/>
      <c r="D423" s="206" t="s">
        <v>668</v>
      </c>
      <c r="E423" s="206" t="s">
        <v>29</v>
      </c>
      <c r="F423" s="206" t="s">
        <v>662</v>
      </c>
      <c r="G423" s="206" t="s">
        <v>663</v>
      </c>
      <c r="H423" s="206"/>
      <c r="I423" s="206"/>
      <c r="J423" s="206" t="s">
        <v>669</v>
      </c>
      <c r="K423" s="206" t="s">
        <v>665</v>
      </c>
      <c r="L423" s="206"/>
      <c r="M423" s="207"/>
      <c r="N423" s="206"/>
      <c r="O423" s="206" t="s">
        <v>260</v>
      </c>
      <c r="P423" s="206" t="s">
        <v>91</v>
      </c>
    </row>
    <row r="424" spans="1:16" s="187" customFormat="1" ht="18" customHeight="1">
      <c r="A424" s="187" t="str">
        <f t="shared" si="6"/>
        <v>V10017C</v>
      </c>
      <c r="B424" s="208" t="s">
        <v>6529</v>
      </c>
      <c r="C424" s="208"/>
      <c r="D424" s="208" t="s">
        <v>1081</v>
      </c>
      <c r="E424" s="208" t="s">
        <v>29</v>
      </c>
      <c r="F424" s="208" t="s">
        <v>1075</v>
      </c>
      <c r="G424" s="208" t="s">
        <v>1076</v>
      </c>
      <c r="H424" s="208"/>
      <c r="I424" s="208" t="s">
        <v>1077</v>
      </c>
      <c r="J424" s="208" t="s">
        <v>1078</v>
      </c>
      <c r="K424" s="208" t="s">
        <v>1079</v>
      </c>
      <c r="L424" s="208"/>
      <c r="M424" s="209"/>
      <c r="N424" s="208"/>
      <c r="O424" s="208" t="s">
        <v>260</v>
      </c>
      <c r="P424" s="208" t="s">
        <v>91</v>
      </c>
    </row>
    <row r="425" spans="1:16" s="187" customFormat="1" ht="18" customHeight="1">
      <c r="A425" s="187" t="str">
        <f t="shared" si="6"/>
        <v>V10442C</v>
      </c>
      <c r="B425" s="206" t="s">
        <v>5720</v>
      </c>
      <c r="C425" s="206"/>
      <c r="D425" s="206" t="s">
        <v>5721</v>
      </c>
      <c r="E425" s="206" t="s">
        <v>29</v>
      </c>
      <c r="F425" s="206" t="s">
        <v>5722</v>
      </c>
      <c r="G425" s="206"/>
      <c r="H425" s="206"/>
      <c r="I425" s="206"/>
      <c r="J425" s="206" t="s">
        <v>5723</v>
      </c>
      <c r="K425" s="206" t="s">
        <v>5724</v>
      </c>
      <c r="L425" s="206"/>
      <c r="M425" s="207"/>
      <c r="N425" s="206"/>
      <c r="O425" s="206"/>
      <c r="P425" s="206" t="s">
        <v>91</v>
      </c>
    </row>
    <row r="426" spans="1:16" s="187" customFormat="1" ht="18" customHeight="1">
      <c r="A426" s="187" t="str">
        <f t="shared" si="6"/>
        <v>V10314C</v>
      </c>
      <c r="B426" s="208" t="s">
        <v>4248</v>
      </c>
      <c r="C426" s="208"/>
      <c r="D426" s="208" t="s">
        <v>4247</v>
      </c>
      <c r="E426" s="208" t="s">
        <v>29</v>
      </c>
      <c r="F426" s="208" t="s">
        <v>4249</v>
      </c>
      <c r="G426" s="208"/>
      <c r="H426" s="208"/>
      <c r="I426" s="208"/>
      <c r="J426" s="208" t="s">
        <v>4250</v>
      </c>
      <c r="K426" s="208" t="s">
        <v>4251</v>
      </c>
      <c r="L426" s="208"/>
      <c r="M426" s="209"/>
      <c r="N426" s="208"/>
      <c r="O426" s="208"/>
      <c r="P426" s="208" t="s">
        <v>91</v>
      </c>
    </row>
    <row r="427" spans="1:16" s="187" customFormat="1" ht="18" customHeight="1">
      <c r="A427" s="187" t="str">
        <f t="shared" si="6"/>
        <v>V10314B</v>
      </c>
      <c r="B427" s="206" t="s">
        <v>4248</v>
      </c>
      <c r="C427" s="206"/>
      <c r="D427" s="206" t="s">
        <v>6309</v>
      </c>
      <c r="E427" s="206" t="s">
        <v>29</v>
      </c>
      <c r="F427" s="206" t="s">
        <v>4249</v>
      </c>
      <c r="G427" s="206"/>
      <c r="H427" s="206"/>
      <c r="I427" s="206"/>
      <c r="J427" s="206" t="s">
        <v>4250</v>
      </c>
      <c r="K427" s="206" t="s">
        <v>4251</v>
      </c>
      <c r="L427" s="206"/>
      <c r="M427" s="207"/>
      <c r="N427" s="206"/>
      <c r="O427" s="206"/>
      <c r="P427" s="206" t="s">
        <v>91</v>
      </c>
    </row>
    <row r="428" spans="1:16" s="187" customFormat="1" ht="18" customHeight="1">
      <c r="A428" s="187" t="str">
        <f t="shared" si="6"/>
        <v>V10152A</v>
      </c>
      <c r="B428" s="208" t="s">
        <v>671</v>
      </c>
      <c r="C428" s="208"/>
      <c r="D428" s="208" t="s">
        <v>670</v>
      </c>
      <c r="E428" s="208" t="s">
        <v>29</v>
      </c>
      <c r="F428" s="208" t="s">
        <v>672</v>
      </c>
      <c r="G428" s="208" t="s">
        <v>673</v>
      </c>
      <c r="H428" s="208"/>
      <c r="I428" s="208" t="s">
        <v>674</v>
      </c>
      <c r="J428" s="208" t="s">
        <v>675</v>
      </c>
      <c r="K428" s="208" t="s">
        <v>676</v>
      </c>
      <c r="L428" s="208"/>
      <c r="M428" s="209"/>
      <c r="N428" s="208"/>
      <c r="O428" s="208" t="s">
        <v>260</v>
      </c>
      <c r="P428" s="208" t="s">
        <v>91</v>
      </c>
    </row>
    <row r="429" spans="1:16" s="187" customFormat="1" ht="18" customHeight="1">
      <c r="A429" s="187" t="str">
        <f t="shared" si="6"/>
        <v>V10152B</v>
      </c>
      <c r="B429" s="206" t="s">
        <v>671</v>
      </c>
      <c r="C429" s="206"/>
      <c r="D429" s="206" t="s">
        <v>677</v>
      </c>
      <c r="E429" s="206" t="s">
        <v>29</v>
      </c>
      <c r="F429" s="206" t="s">
        <v>672</v>
      </c>
      <c r="G429" s="206" t="s">
        <v>673</v>
      </c>
      <c r="H429" s="206"/>
      <c r="I429" s="206" t="s">
        <v>674</v>
      </c>
      <c r="J429" s="206" t="s">
        <v>675</v>
      </c>
      <c r="K429" s="206" t="s">
        <v>676</v>
      </c>
      <c r="L429" s="206"/>
      <c r="M429" s="207"/>
      <c r="N429" s="206"/>
      <c r="O429" s="206" t="s">
        <v>260</v>
      </c>
      <c r="P429" s="206" t="s">
        <v>91</v>
      </c>
    </row>
    <row r="430" spans="1:16" s="187" customFormat="1" ht="18" customHeight="1">
      <c r="A430" s="187" t="str">
        <f t="shared" si="6"/>
        <v>V10152C</v>
      </c>
      <c r="B430" s="208" t="s">
        <v>671</v>
      </c>
      <c r="C430" s="208"/>
      <c r="D430" s="208" t="s">
        <v>678</v>
      </c>
      <c r="E430" s="208" t="s">
        <v>29</v>
      </c>
      <c r="F430" s="208" t="s">
        <v>672</v>
      </c>
      <c r="G430" s="208" t="s">
        <v>673</v>
      </c>
      <c r="H430" s="208"/>
      <c r="I430" s="208" t="s">
        <v>674</v>
      </c>
      <c r="J430" s="208" t="s">
        <v>675</v>
      </c>
      <c r="K430" s="208" t="s">
        <v>676</v>
      </c>
      <c r="L430" s="208"/>
      <c r="M430" s="209"/>
      <c r="N430" s="208"/>
      <c r="O430" s="208" t="s">
        <v>260</v>
      </c>
      <c r="P430" s="208" t="s">
        <v>91</v>
      </c>
    </row>
    <row r="431" spans="1:16" s="187" customFormat="1" ht="18" customHeight="1">
      <c r="A431" s="187" t="str">
        <f t="shared" si="6"/>
        <v>V10462C</v>
      </c>
      <c r="B431" s="206" t="s">
        <v>5930</v>
      </c>
      <c r="C431" s="206"/>
      <c r="D431" s="206" t="s">
        <v>5931</v>
      </c>
      <c r="E431" s="206" t="s">
        <v>151</v>
      </c>
      <c r="F431" s="206"/>
      <c r="G431" s="206"/>
      <c r="H431" s="206"/>
      <c r="I431" s="206"/>
      <c r="J431" s="206"/>
      <c r="K431" s="206"/>
      <c r="L431" s="206"/>
      <c r="M431" s="207"/>
      <c r="N431" s="206"/>
      <c r="O431" s="206"/>
      <c r="P431" s="206" t="s">
        <v>91</v>
      </c>
    </row>
    <row r="432" spans="1:16" s="187" customFormat="1" ht="18" customHeight="1">
      <c r="A432" s="187" t="str">
        <f t="shared" si="6"/>
        <v>V10155A</v>
      </c>
      <c r="B432" s="208" t="s">
        <v>680</v>
      </c>
      <c r="C432" s="208"/>
      <c r="D432" s="208" t="s">
        <v>679</v>
      </c>
      <c r="E432" s="208" t="s">
        <v>29</v>
      </c>
      <c r="F432" s="208" t="s">
        <v>681</v>
      </c>
      <c r="G432" s="208" t="s">
        <v>682</v>
      </c>
      <c r="H432" s="208"/>
      <c r="I432" s="208" t="s">
        <v>683</v>
      </c>
      <c r="J432" s="208" t="s">
        <v>684</v>
      </c>
      <c r="K432" s="208" t="s">
        <v>685</v>
      </c>
      <c r="L432" s="208"/>
      <c r="M432" s="209"/>
      <c r="N432" s="208"/>
      <c r="O432" s="208" t="s">
        <v>260</v>
      </c>
      <c r="P432" s="208" t="s">
        <v>91</v>
      </c>
    </row>
    <row r="433" spans="1:16" s="187" customFormat="1" ht="18" customHeight="1">
      <c r="A433" s="187" t="str">
        <f t="shared" si="6"/>
        <v>V10155B</v>
      </c>
      <c r="B433" s="206" t="s">
        <v>680</v>
      </c>
      <c r="C433" s="206"/>
      <c r="D433" s="206" t="s">
        <v>686</v>
      </c>
      <c r="E433" s="206" t="s">
        <v>29</v>
      </c>
      <c r="F433" s="206" t="s">
        <v>681</v>
      </c>
      <c r="G433" s="206" t="s">
        <v>682</v>
      </c>
      <c r="H433" s="206"/>
      <c r="I433" s="206" t="s">
        <v>683</v>
      </c>
      <c r="J433" s="206" t="s">
        <v>684</v>
      </c>
      <c r="K433" s="206" t="s">
        <v>685</v>
      </c>
      <c r="L433" s="206"/>
      <c r="M433" s="207"/>
      <c r="N433" s="206"/>
      <c r="O433" s="206" t="s">
        <v>260</v>
      </c>
      <c r="P433" s="206" t="s">
        <v>91</v>
      </c>
    </row>
    <row r="434" spans="1:16" s="187" customFormat="1" ht="18" customHeight="1">
      <c r="A434" s="187" t="str">
        <f t="shared" si="6"/>
        <v>V10155C</v>
      </c>
      <c r="B434" s="208" t="s">
        <v>680</v>
      </c>
      <c r="C434" s="208"/>
      <c r="D434" s="208" t="s">
        <v>687</v>
      </c>
      <c r="E434" s="208" t="s">
        <v>29</v>
      </c>
      <c r="F434" s="208" t="s">
        <v>681</v>
      </c>
      <c r="G434" s="208" t="s">
        <v>682</v>
      </c>
      <c r="H434" s="208"/>
      <c r="I434" s="208" t="s">
        <v>683</v>
      </c>
      <c r="J434" s="208" t="s">
        <v>684</v>
      </c>
      <c r="K434" s="208" t="s">
        <v>685</v>
      </c>
      <c r="L434" s="208"/>
      <c r="M434" s="209"/>
      <c r="N434" s="208"/>
      <c r="O434" s="208" t="s">
        <v>260</v>
      </c>
      <c r="P434" s="208" t="s">
        <v>91</v>
      </c>
    </row>
    <row r="435" spans="1:16" s="187" customFormat="1" ht="18" customHeight="1">
      <c r="A435" s="187" t="str">
        <f t="shared" si="6"/>
        <v>V10242A</v>
      </c>
      <c r="B435" s="206" t="s">
        <v>689</v>
      </c>
      <c r="C435" s="206"/>
      <c r="D435" s="206" t="s">
        <v>688</v>
      </c>
      <c r="E435" s="206" t="s">
        <v>29</v>
      </c>
      <c r="F435" s="206" t="s">
        <v>690</v>
      </c>
      <c r="G435" s="206" t="s">
        <v>691</v>
      </c>
      <c r="H435" s="206"/>
      <c r="I435" s="206"/>
      <c r="J435" s="206" t="s">
        <v>692</v>
      </c>
      <c r="K435" s="206" t="s">
        <v>693</v>
      </c>
      <c r="L435" s="206"/>
      <c r="M435" s="207"/>
      <c r="N435" s="206"/>
      <c r="O435" s="206" t="s">
        <v>260</v>
      </c>
      <c r="P435" s="206" t="s">
        <v>91</v>
      </c>
    </row>
    <row r="436" spans="1:16" s="187" customFormat="1" ht="18" customHeight="1">
      <c r="A436" s="187" t="str">
        <f t="shared" si="6"/>
        <v>V10242B</v>
      </c>
      <c r="B436" s="208" t="s">
        <v>689</v>
      </c>
      <c r="C436" s="208"/>
      <c r="D436" s="208" t="s">
        <v>694</v>
      </c>
      <c r="E436" s="208" t="s">
        <v>29</v>
      </c>
      <c r="F436" s="208" t="s">
        <v>690</v>
      </c>
      <c r="G436" s="208" t="s">
        <v>691</v>
      </c>
      <c r="H436" s="208"/>
      <c r="I436" s="208"/>
      <c r="J436" s="208" t="s">
        <v>692</v>
      </c>
      <c r="K436" s="208" t="s">
        <v>693</v>
      </c>
      <c r="L436" s="208"/>
      <c r="M436" s="209"/>
      <c r="N436" s="208"/>
      <c r="O436" s="208" t="s">
        <v>260</v>
      </c>
      <c r="P436" s="208" t="s">
        <v>91</v>
      </c>
    </row>
    <row r="437" spans="1:16" s="187" customFormat="1" ht="18" customHeight="1">
      <c r="A437" s="187" t="str">
        <f t="shared" si="6"/>
        <v>V10242C</v>
      </c>
      <c r="B437" s="206" t="s">
        <v>689</v>
      </c>
      <c r="C437" s="206"/>
      <c r="D437" s="206" t="s">
        <v>695</v>
      </c>
      <c r="E437" s="206" t="s">
        <v>29</v>
      </c>
      <c r="F437" s="206" t="s">
        <v>690</v>
      </c>
      <c r="G437" s="206" t="s">
        <v>691</v>
      </c>
      <c r="H437" s="206"/>
      <c r="I437" s="206"/>
      <c r="J437" s="206" t="s">
        <v>692</v>
      </c>
      <c r="K437" s="206" t="s">
        <v>693</v>
      </c>
      <c r="L437" s="206"/>
      <c r="M437" s="207"/>
      <c r="N437" s="206"/>
      <c r="O437" s="206" t="s">
        <v>260</v>
      </c>
      <c r="P437" s="206" t="s">
        <v>91</v>
      </c>
    </row>
    <row r="438" spans="1:16" s="187" customFormat="1" ht="18" customHeight="1">
      <c r="A438" s="187" t="str">
        <f t="shared" si="6"/>
        <v>V4061C0</v>
      </c>
      <c r="B438" s="208" t="s">
        <v>697</v>
      </c>
      <c r="C438" s="208"/>
      <c r="D438" s="208" t="s">
        <v>696</v>
      </c>
      <c r="E438" s="208" t="s">
        <v>29</v>
      </c>
      <c r="F438" s="208" t="s">
        <v>698</v>
      </c>
      <c r="G438" s="208" t="s">
        <v>699</v>
      </c>
      <c r="H438" s="208"/>
      <c r="I438" s="208" t="s">
        <v>700</v>
      </c>
      <c r="J438" s="208" t="s">
        <v>4252</v>
      </c>
      <c r="K438" s="208" t="s">
        <v>701</v>
      </c>
      <c r="L438" s="208"/>
      <c r="M438" s="209"/>
      <c r="N438" s="208"/>
      <c r="O438" s="208"/>
      <c r="P438" s="208" t="s">
        <v>107</v>
      </c>
    </row>
    <row r="439" spans="1:16" s="187" customFormat="1" ht="18" customHeight="1">
      <c r="A439" s="187" t="str">
        <f t="shared" si="6"/>
        <v>V10482</v>
      </c>
      <c r="B439" s="206" t="s">
        <v>6086</v>
      </c>
      <c r="C439" s="206"/>
      <c r="D439" s="206" t="s">
        <v>6092</v>
      </c>
      <c r="E439" s="206" t="s">
        <v>29</v>
      </c>
      <c r="F439" s="206" t="s">
        <v>6088</v>
      </c>
      <c r="G439" s="206" t="s">
        <v>6089</v>
      </c>
      <c r="H439" s="206"/>
      <c r="I439" s="206"/>
      <c r="J439" s="206" t="s">
        <v>6090</v>
      </c>
      <c r="K439" s="206" t="s">
        <v>6091</v>
      </c>
      <c r="L439" s="206"/>
      <c r="M439" s="207"/>
      <c r="N439" s="206"/>
      <c r="O439" s="206" t="s">
        <v>260</v>
      </c>
      <c r="P439" s="206" t="s">
        <v>91</v>
      </c>
    </row>
    <row r="440" spans="1:16" s="187" customFormat="1" ht="18" customHeight="1">
      <c r="A440" s="187" t="str">
        <f t="shared" si="6"/>
        <v>V10485C</v>
      </c>
      <c r="B440" s="208" t="s">
        <v>6086</v>
      </c>
      <c r="C440" s="208"/>
      <c r="D440" s="208" t="s">
        <v>6087</v>
      </c>
      <c r="E440" s="208" t="s">
        <v>29</v>
      </c>
      <c r="F440" s="208" t="s">
        <v>6088</v>
      </c>
      <c r="G440" s="208" t="s">
        <v>6089</v>
      </c>
      <c r="H440" s="208"/>
      <c r="I440" s="208"/>
      <c r="J440" s="208" t="s">
        <v>6090</v>
      </c>
      <c r="K440" s="208" t="s">
        <v>6091</v>
      </c>
      <c r="L440" s="208"/>
      <c r="M440" s="209"/>
      <c r="N440" s="208"/>
      <c r="O440" s="208" t="s">
        <v>260</v>
      </c>
      <c r="P440" s="208" t="s">
        <v>91</v>
      </c>
    </row>
    <row r="441" spans="1:16" s="187" customFormat="1" ht="18" customHeight="1">
      <c r="A441" s="187" t="str">
        <f t="shared" si="6"/>
        <v>V10239A</v>
      </c>
      <c r="B441" s="206" t="s">
        <v>703</v>
      </c>
      <c r="C441" s="206"/>
      <c r="D441" s="206" t="s">
        <v>702</v>
      </c>
      <c r="E441" s="206" t="s">
        <v>29</v>
      </c>
      <c r="F441" s="206" t="s">
        <v>704</v>
      </c>
      <c r="G441" s="206"/>
      <c r="H441" s="206"/>
      <c r="I441" s="206"/>
      <c r="J441" s="206" t="s">
        <v>705</v>
      </c>
      <c r="K441" s="206" t="s">
        <v>706</v>
      </c>
      <c r="L441" s="206"/>
      <c r="M441" s="207"/>
      <c r="N441" s="206"/>
      <c r="O441" s="206" t="s">
        <v>260</v>
      </c>
      <c r="P441" s="206" t="s">
        <v>91</v>
      </c>
    </row>
    <row r="442" spans="1:16" s="187" customFormat="1" ht="18" customHeight="1">
      <c r="A442" s="187" t="str">
        <f t="shared" si="6"/>
        <v>V10239B</v>
      </c>
      <c r="B442" s="208" t="s">
        <v>703</v>
      </c>
      <c r="C442" s="208"/>
      <c r="D442" s="208" t="s">
        <v>707</v>
      </c>
      <c r="E442" s="208" t="s">
        <v>29</v>
      </c>
      <c r="F442" s="208" t="s">
        <v>704</v>
      </c>
      <c r="G442" s="208"/>
      <c r="H442" s="208"/>
      <c r="I442" s="208"/>
      <c r="J442" s="208" t="s">
        <v>705</v>
      </c>
      <c r="K442" s="208" t="s">
        <v>706</v>
      </c>
      <c r="L442" s="208"/>
      <c r="M442" s="209"/>
      <c r="N442" s="208"/>
      <c r="O442" s="208" t="s">
        <v>260</v>
      </c>
      <c r="P442" s="208" t="s">
        <v>91</v>
      </c>
    </row>
    <row r="443" spans="1:16" s="187" customFormat="1" ht="18" customHeight="1">
      <c r="A443" s="187" t="str">
        <f t="shared" si="6"/>
        <v>V10239C</v>
      </c>
      <c r="B443" s="206" t="s">
        <v>703</v>
      </c>
      <c r="C443" s="206"/>
      <c r="D443" s="206" t="s">
        <v>708</v>
      </c>
      <c r="E443" s="206" t="s">
        <v>29</v>
      </c>
      <c r="F443" s="206" t="s">
        <v>704</v>
      </c>
      <c r="G443" s="206"/>
      <c r="H443" s="206"/>
      <c r="I443" s="206"/>
      <c r="J443" s="206" t="s">
        <v>705</v>
      </c>
      <c r="K443" s="206" t="s">
        <v>706</v>
      </c>
      <c r="L443" s="206"/>
      <c r="M443" s="207"/>
      <c r="N443" s="206"/>
      <c r="O443" s="206" t="s">
        <v>260</v>
      </c>
      <c r="P443" s="206" t="s">
        <v>91</v>
      </c>
    </row>
    <row r="444" spans="1:16" s="187" customFormat="1" ht="18" customHeight="1">
      <c r="A444" s="187" t="str">
        <f t="shared" si="6"/>
        <v>V10164A</v>
      </c>
      <c r="B444" s="208" t="s">
        <v>710</v>
      </c>
      <c r="C444" s="208"/>
      <c r="D444" s="208" t="s">
        <v>709</v>
      </c>
      <c r="E444" s="208" t="s">
        <v>29</v>
      </c>
      <c r="F444" s="208" t="s">
        <v>711</v>
      </c>
      <c r="G444" s="208" t="s">
        <v>712</v>
      </c>
      <c r="H444" s="208"/>
      <c r="I444" s="208"/>
      <c r="J444" s="208" t="s">
        <v>713</v>
      </c>
      <c r="K444" s="208" t="s">
        <v>714</v>
      </c>
      <c r="L444" s="208"/>
      <c r="M444" s="209"/>
      <c r="N444" s="208"/>
      <c r="O444" s="208" t="s">
        <v>260</v>
      </c>
      <c r="P444" s="208" t="s">
        <v>91</v>
      </c>
    </row>
    <row r="445" spans="1:16" s="187" customFormat="1" ht="18" customHeight="1">
      <c r="A445" s="187" t="str">
        <f t="shared" si="6"/>
        <v>V10164B</v>
      </c>
      <c r="B445" s="206" t="s">
        <v>710</v>
      </c>
      <c r="C445" s="206"/>
      <c r="D445" s="206" t="s">
        <v>715</v>
      </c>
      <c r="E445" s="206" t="s">
        <v>29</v>
      </c>
      <c r="F445" s="206" t="s">
        <v>711</v>
      </c>
      <c r="G445" s="206" t="s">
        <v>712</v>
      </c>
      <c r="H445" s="206"/>
      <c r="I445" s="206"/>
      <c r="J445" s="206" t="s">
        <v>713</v>
      </c>
      <c r="K445" s="206" t="s">
        <v>714</v>
      </c>
      <c r="L445" s="206"/>
      <c r="M445" s="207"/>
      <c r="N445" s="206"/>
      <c r="O445" s="206" t="s">
        <v>260</v>
      </c>
      <c r="P445" s="206" t="s">
        <v>91</v>
      </c>
    </row>
    <row r="446" spans="1:16" s="187" customFormat="1" ht="18" customHeight="1">
      <c r="A446" s="187" t="str">
        <f t="shared" si="6"/>
        <v>V10164C</v>
      </c>
      <c r="B446" s="208" t="s">
        <v>710</v>
      </c>
      <c r="C446" s="208"/>
      <c r="D446" s="208" t="s">
        <v>716</v>
      </c>
      <c r="E446" s="208" t="s">
        <v>29</v>
      </c>
      <c r="F446" s="208" t="s">
        <v>711</v>
      </c>
      <c r="G446" s="208" t="s">
        <v>712</v>
      </c>
      <c r="H446" s="208"/>
      <c r="I446" s="208"/>
      <c r="J446" s="208" t="s">
        <v>713</v>
      </c>
      <c r="K446" s="208" t="s">
        <v>714</v>
      </c>
      <c r="L446" s="208"/>
      <c r="M446" s="209"/>
      <c r="N446" s="208"/>
      <c r="O446" s="208" t="s">
        <v>260</v>
      </c>
      <c r="P446" s="208" t="s">
        <v>91</v>
      </c>
    </row>
    <row r="447" spans="1:16" s="187" customFormat="1" ht="18" customHeight="1">
      <c r="A447" s="187" t="str">
        <f t="shared" si="6"/>
        <v>V4004C0</v>
      </c>
      <c r="B447" s="206" t="s">
        <v>718</v>
      </c>
      <c r="C447" s="206"/>
      <c r="D447" s="206" t="s">
        <v>717</v>
      </c>
      <c r="E447" s="206" t="s">
        <v>29</v>
      </c>
      <c r="F447" s="206" t="s">
        <v>719</v>
      </c>
      <c r="G447" s="206" t="s">
        <v>720</v>
      </c>
      <c r="H447" s="206"/>
      <c r="I447" s="206" t="s">
        <v>721</v>
      </c>
      <c r="J447" s="206" t="s">
        <v>722</v>
      </c>
      <c r="K447" s="206" t="s">
        <v>723</v>
      </c>
      <c r="L447" s="206"/>
      <c r="M447" s="207"/>
      <c r="N447" s="206"/>
      <c r="O447" s="206" t="s">
        <v>131</v>
      </c>
      <c r="P447" s="206" t="s">
        <v>107</v>
      </c>
    </row>
    <row r="448" spans="1:16" s="187" customFormat="1" ht="18" customHeight="1">
      <c r="A448" s="187" t="str">
        <f t="shared" si="6"/>
        <v>V10308C</v>
      </c>
      <c r="B448" s="208" t="s">
        <v>718</v>
      </c>
      <c r="C448" s="208"/>
      <c r="D448" s="208" t="s">
        <v>4253</v>
      </c>
      <c r="E448" s="208" t="s">
        <v>29</v>
      </c>
      <c r="F448" s="208" t="s">
        <v>719</v>
      </c>
      <c r="G448" s="208" t="s">
        <v>720</v>
      </c>
      <c r="H448" s="208"/>
      <c r="I448" s="208" t="s">
        <v>721</v>
      </c>
      <c r="J448" s="208" t="s">
        <v>722</v>
      </c>
      <c r="K448" s="208" t="s">
        <v>723</v>
      </c>
      <c r="L448" s="208"/>
      <c r="M448" s="209"/>
      <c r="N448" s="208"/>
      <c r="O448" s="208" t="s">
        <v>131</v>
      </c>
      <c r="P448" s="208" t="s">
        <v>91</v>
      </c>
    </row>
    <row r="449" spans="1:16" s="187" customFormat="1" ht="18" customHeight="1">
      <c r="A449" s="187" t="str">
        <f t="shared" si="6"/>
        <v>V10131A</v>
      </c>
      <c r="B449" s="206" t="s">
        <v>725</v>
      </c>
      <c r="C449" s="206"/>
      <c r="D449" s="206" t="s">
        <v>724</v>
      </c>
      <c r="E449" s="206" t="s">
        <v>29</v>
      </c>
      <c r="F449" s="206" t="s">
        <v>726</v>
      </c>
      <c r="G449" s="206" t="s">
        <v>727</v>
      </c>
      <c r="H449" s="206"/>
      <c r="I449" s="206" t="s">
        <v>728</v>
      </c>
      <c r="J449" s="206" t="s">
        <v>729</v>
      </c>
      <c r="K449" s="206" t="s">
        <v>730</v>
      </c>
      <c r="L449" s="206"/>
      <c r="M449" s="207"/>
      <c r="N449" s="206"/>
      <c r="O449" s="206" t="s">
        <v>260</v>
      </c>
      <c r="P449" s="206" t="s">
        <v>91</v>
      </c>
    </row>
    <row r="450" spans="1:16" s="187" customFormat="1" ht="18" customHeight="1">
      <c r="A450" s="187" t="str">
        <f t="shared" si="6"/>
        <v>V10131B</v>
      </c>
      <c r="B450" s="208" t="s">
        <v>725</v>
      </c>
      <c r="C450" s="208"/>
      <c r="D450" s="208" t="s">
        <v>731</v>
      </c>
      <c r="E450" s="208" t="s">
        <v>29</v>
      </c>
      <c r="F450" s="208" t="s">
        <v>726</v>
      </c>
      <c r="G450" s="208" t="s">
        <v>727</v>
      </c>
      <c r="H450" s="208"/>
      <c r="I450" s="208" t="s">
        <v>728</v>
      </c>
      <c r="J450" s="208" t="s">
        <v>729</v>
      </c>
      <c r="K450" s="208" t="s">
        <v>730</v>
      </c>
      <c r="L450" s="208"/>
      <c r="M450" s="209"/>
      <c r="N450" s="208"/>
      <c r="O450" s="208" t="s">
        <v>260</v>
      </c>
      <c r="P450" s="208" t="s">
        <v>91</v>
      </c>
    </row>
    <row r="451" spans="1:16" s="187" customFormat="1" ht="18" customHeight="1">
      <c r="A451" s="187" t="str">
        <f t="shared" si="6"/>
        <v>V10131C</v>
      </c>
      <c r="B451" s="206" t="s">
        <v>725</v>
      </c>
      <c r="C451" s="206"/>
      <c r="D451" s="206" t="s">
        <v>732</v>
      </c>
      <c r="E451" s="206" t="s">
        <v>29</v>
      </c>
      <c r="F451" s="206" t="s">
        <v>726</v>
      </c>
      <c r="G451" s="206" t="s">
        <v>727</v>
      </c>
      <c r="H451" s="206"/>
      <c r="I451" s="206" t="s">
        <v>728</v>
      </c>
      <c r="J451" s="206" t="s">
        <v>729</v>
      </c>
      <c r="K451" s="206" t="s">
        <v>730</v>
      </c>
      <c r="L451" s="206"/>
      <c r="M451" s="207"/>
      <c r="N451" s="206"/>
      <c r="O451" s="206" t="s">
        <v>260</v>
      </c>
      <c r="P451" s="206" t="s">
        <v>91</v>
      </c>
    </row>
    <row r="452" spans="1:16" s="187" customFormat="1" ht="18" customHeight="1">
      <c r="A452" s="187" t="str">
        <f t="shared" si="6"/>
        <v>V10001A</v>
      </c>
      <c r="B452" s="208" t="s">
        <v>734</v>
      </c>
      <c r="C452" s="208"/>
      <c r="D452" s="208" t="s">
        <v>733</v>
      </c>
      <c r="E452" s="208" t="s">
        <v>29</v>
      </c>
      <c r="F452" s="208" t="s">
        <v>735</v>
      </c>
      <c r="G452" s="208" t="s">
        <v>736</v>
      </c>
      <c r="H452" s="208"/>
      <c r="I452" s="208"/>
      <c r="J452" s="208" t="s">
        <v>737</v>
      </c>
      <c r="K452" s="208" t="s">
        <v>738</v>
      </c>
      <c r="L452" s="208"/>
      <c r="M452" s="209"/>
      <c r="N452" s="208"/>
      <c r="O452" s="208" t="s">
        <v>260</v>
      </c>
      <c r="P452" s="208" t="s">
        <v>91</v>
      </c>
    </row>
    <row r="453" spans="1:16" s="187" customFormat="1" ht="18" customHeight="1">
      <c r="A453" s="187" t="str">
        <f t="shared" si="6"/>
        <v>V10001B</v>
      </c>
      <c r="B453" s="206" t="s">
        <v>734</v>
      </c>
      <c r="C453" s="206"/>
      <c r="D453" s="206" t="s">
        <v>739</v>
      </c>
      <c r="E453" s="206" t="s">
        <v>29</v>
      </c>
      <c r="F453" s="206" t="s">
        <v>735</v>
      </c>
      <c r="G453" s="206" t="s">
        <v>736</v>
      </c>
      <c r="H453" s="206"/>
      <c r="I453" s="206"/>
      <c r="J453" s="206" t="s">
        <v>737</v>
      </c>
      <c r="K453" s="206" t="s">
        <v>738</v>
      </c>
      <c r="L453" s="206"/>
      <c r="M453" s="207"/>
      <c r="N453" s="206"/>
      <c r="O453" s="206" t="s">
        <v>260</v>
      </c>
      <c r="P453" s="206" t="s">
        <v>91</v>
      </c>
    </row>
    <row r="454" spans="1:16" s="187" customFormat="1" ht="18" customHeight="1">
      <c r="A454" s="187" t="str">
        <f t="shared" ref="A454:A517" si="7">D454</f>
        <v>V10001C</v>
      </c>
      <c r="B454" s="208" t="s">
        <v>734</v>
      </c>
      <c r="C454" s="208"/>
      <c r="D454" s="208" t="s">
        <v>740</v>
      </c>
      <c r="E454" s="208" t="s">
        <v>29</v>
      </c>
      <c r="F454" s="208" t="s">
        <v>735</v>
      </c>
      <c r="G454" s="208" t="s">
        <v>736</v>
      </c>
      <c r="H454" s="208"/>
      <c r="I454" s="208"/>
      <c r="J454" s="208" t="s">
        <v>737</v>
      </c>
      <c r="K454" s="208" t="s">
        <v>738</v>
      </c>
      <c r="L454" s="208"/>
      <c r="M454" s="209"/>
      <c r="N454" s="208"/>
      <c r="O454" s="208" t="s">
        <v>260</v>
      </c>
      <c r="P454" s="208" t="s">
        <v>91</v>
      </c>
    </row>
    <row r="455" spans="1:16" s="187" customFormat="1" ht="18" customHeight="1">
      <c r="A455" s="187" t="str">
        <f t="shared" si="7"/>
        <v>V10290C</v>
      </c>
      <c r="B455" s="206" t="s">
        <v>742</v>
      </c>
      <c r="C455" s="206"/>
      <c r="D455" s="206" t="s">
        <v>746</v>
      </c>
      <c r="E455" s="206" t="s">
        <v>29</v>
      </c>
      <c r="F455" s="206" t="s">
        <v>5115</v>
      </c>
      <c r="G455" s="206"/>
      <c r="H455" s="206"/>
      <c r="I455" s="206"/>
      <c r="J455" s="206" t="s">
        <v>5114</v>
      </c>
      <c r="K455" s="206" t="s">
        <v>745</v>
      </c>
      <c r="L455" s="206"/>
      <c r="M455" s="207"/>
      <c r="N455" s="206"/>
      <c r="O455" s="206"/>
      <c r="P455" s="206" t="s">
        <v>91</v>
      </c>
    </row>
    <row r="456" spans="1:16" s="187" customFormat="1" ht="18" customHeight="1">
      <c r="A456" s="187" t="str">
        <f t="shared" si="7"/>
        <v>CG440030C0</v>
      </c>
      <c r="B456" s="208" t="s">
        <v>742</v>
      </c>
      <c r="C456" s="208"/>
      <c r="D456" s="208" t="s">
        <v>741</v>
      </c>
      <c r="E456" s="208" t="s">
        <v>29</v>
      </c>
      <c r="F456" s="208" t="s">
        <v>743</v>
      </c>
      <c r="G456" s="208"/>
      <c r="H456" s="208"/>
      <c r="I456" s="208"/>
      <c r="J456" s="208" t="s">
        <v>744</v>
      </c>
      <c r="K456" s="208" t="s">
        <v>745</v>
      </c>
      <c r="L456" s="208"/>
      <c r="M456" s="209"/>
      <c r="N456" s="208"/>
      <c r="O456" s="208"/>
      <c r="P456" s="208" t="s">
        <v>100</v>
      </c>
    </row>
    <row r="457" spans="1:16" s="187" customFormat="1" ht="18" customHeight="1">
      <c r="A457" s="187" t="str">
        <f t="shared" si="7"/>
        <v>V10513C</v>
      </c>
      <c r="B457" s="206" t="s">
        <v>6093</v>
      </c>
      <c r="C457" s="206"/>
      <c r="D457" s="206" t="s">
        <v>6094</v>
      </c>
      <c r="E457" s="206" t="s">
        <v>29</v>
      </c>
      <c r="F457" s="206" t="s">
        <v>6095</v>
      </c>
      <c r="G457" s="206" t="s">
        <v>6096</v>
      </c>
      <c r="H457" s="206"/>
      <c r="I457" s="206"/>
      <c r="J457" s="206" t="s">
        <v>6097</v>
      </c>
      <c r="K457" s="206" t="s">
        <v>6098</v>
      </c>
      <c r="L457" s="206"/>
      <c r="M457" s="207"/>
      <c r="N457" s="206"/>
      <c r="O457" s="206" t="s">
        <v>260</v>
      </c>
      <c r="P457" s="206" t="s">
        <v>91</v>
      </c>
    </row>
    <row r="458" spans="1:16" s="187" customFormat="1" ht="18" customHeight="1">
      <c r="A458" s="187" t="str">
        <f t="shared" si="7"/>
        <v>V10548C</v>
      </c>
      <c r="B458" s="208" t="s">
        <v>6310</v>
      </c>
      <c r="C458" s="208"/>
      <c r="D458" s="208" t="s">
        <v>6311</v>
      </c>
      <c r="E458" s="208" t="s">
        <v>29</v>
      </c>
      <c r="F458" s="208" t="s">
        <v>6312</v>
      </c>
      <c r="G458" s="208"/>
      <c r="H458" s="208"/>
      <c r="I458" s="208"/>
      <c r="J458" s="208" t="s">
        <v>6313</v>
      </c>
      <c r="K458" s="208"/>
      <c r="L458" s="208"/>
      <c r="M458" s="209"/>
      <c r="N458" s="208"/>
      <c r="O458" s="208"/>
      <c r="P458" s="208" t="s">
        <v>91</v>
      </c>
    </row>
    <row r="459" spans="1:16" s="187" customFormat="1" ht="18" customHeight="1">
      <c r="A459" s="187" t="str">
        <f t="shared" si="7"/>
        <v>CG440043C0</v>
      </c>
      <c r="B459" s="206" t="s">
        <v>6310</v>
      </c>
      <c r="C459" s="206"/>
      <c r="D459" s="206" t="s">
        <v>6314</v>
      </c>
      <c r="E459" s="206" t="s">
        <v>29</v>
      </c>
      <c r="F459" s="206" t="s">
        <v>6312</v>
      </c>
      <c r="G459" s="206"/>
      <c r="H459" s="206"/>
      <c r="I459" s="206"/>
      <c r="J459" s="206" t="s">
        <v>6313</v>
      </c>
      <c r="K459" s="206"/>
      <c r="L459" s="206"/>
      <c r="M459" s="207"/>
      <c r="N459" s="206"/>
      <c r="O459" s="206"/>
      <c r="P459" s="206" t="s">
        <v>100</v>
      </c>
    </row>
    <row r="460" spans="1:16" s="187" customFormat="1" ht="18" customHeight="1">
      <c r="A460" s="187" t="str">
        <f t="shared" si="7"/>
        <v>V10431C</v>
      </c>
      <c r="B460" s="208" t="s">
        <v>5645</v>
      </c>
      <c r="C460" s="208"/>
      <c r="D460" s="208" t="s">
        <v>5646</v>
      </c>
      <c r="E460" s="208" t="s">
        <v>29</v>
      </c>
      <c r="F460" s="208" t="s">
        <v>5647</v>
      </c>
      <c r="G460" s="208"/>
      <c r="H460" s="208"/>
      <c r="I460" s="208" t="s">
        <v>5648</v>
      </c>
      <c r="J460" s="208" t="s">
        <v>5649</v>
      </c>
      <c r="K460" s="208" t="s">
        <v>5650</v>
      </c>
      <c r="L460" s="208"/>
      <c r="M460" s="209"/>
      <c r="N460" s="208"/>
      <c r="O460" s="208"/>
      <c r="P460" s="208" t="s">
        <v>91</v>
      </c>
    </row>
    <row r="461" spans="1:16" s="187" customFormat="1" ht="18" customHeight="1">
      <c r="A461" s="187" t="str">
        <f t="shared" si="7"/>
        <v>V10458C</v>
      </c>
      <c r="B461" s="206" t="s">
        <v>5725</v>
      </c>
      <c r="C461" s="206"/>
      <c r="D461" s="206" t="s">
        <v>5726</v>
      </c>
      <c r="E461" s="206" t="s">
        <v>29</v>
      </c>
      <c r="F461" s="206" t="s">
        <v>5727</v>
      </c>
      <c r="G461" s="206" t="s">
        <v>5728</v>
      </c>
      <c r="H461" s="206"/>
      <c r="I461" s="206" t="s">
        <v>5729</v>
      </c>
      <c r="J461" s="206" t="s">
        <v>5730</v>
      </c>
      <c r="K461" s="206" t="s">
        <v>5731</v>
      </c>
      <c r="L461" s="206"/>
      <c r="M461" s="207"/>
      <c r="N461" s="206"/>
      <c r="O461" s="206"/>
      <c r="P461" s="206" t="s">
        <v>91</v>
      </c>
    </row>
    <row r="462" spans="1:16" s="187" customFormat="1" ht="18" customHeight="1">
      <c r="A462" s="187" t="str">
        <f t="shared" si="7"/>
        <v>V10458B</v>
      </c>
      <c r="B462" s="208" t="s">
        <v>6315</v>
      </c>
      <c r="C462" s="208"/>
      <c r="D462" s="208" t="s">
        <v>6099</v>
      </c>
      <c r="E462" s="208" t="s">
        <v>29</v>
      </c>
      <c r="F462" s="208" t="s">
        <v>5727</v>
      </c>
      <c r="G462" s="208" t="s">
        <v>5728</v>
      </c>
      <c r="H462" s="208"/>
      <c r="I462" s="208" t="s">
        <v>5729</v>
      </c>
      <c r="J462" s="208" t="s">
        <v>6100</v>
      </c>
      <c r="K462" s="208" t="s">
        <v>5731</v>
      </c>
      <c r="L462" s="208"/>
      <c r="M462" s="209"/>
      <c r="N462" s="208"/>
      <c r="O462" s="208"/>
      <c r="P462" s="208" t="s">
        <v>91</v>
      </c>
    </row>
    <row r="463" spans="1:16" s="187" customFormat="1" ht="18" customHeight="1">
      <c r="A463" s="187" t="str">
        <f t="shared" si="7"/>
        <v>V10365C</v>
      </c>
      <c r="B463" s="206" t="s">
        <v>4904</v>
      </c>
      <c r="C463" s="206"/>
      <c r="D463" s="206" t="s">
        <v>4905</v>
      </c>
      <c r="E463" s="206" t="s">
        <v>29</v>
      </c>
      <c r="F463" s="206" t="s">
        <v>4906</v>
      </c>
      <c r="G463" s="206"/>
      <c r="H463" s="206"/>
      <c r="I463" s="206" t="s">
        <v>4907</v>
      </c>
      <c r="J463" s="206" t="s">
        <v>4908</v>
      </c>
      <c r="K463" s="206" t="s">
        <v>4909</v>
      </c>
      <c r="L463" s="206"/>
      <c r="M463" s="207"/>
      <c r="N463" s="206"/>
      <c r="O463" s="206"/>
      <c r="P463" s="206" t="s">
        <v>91</v>
      </c>
    </row>
    <row r="464" spans="1:16" s="187" customFormat="1" ht="18" customHeight="1">
      <c r="A464" s="187" t="str">
        <f t="shared" si="7"/>
        <v>V10038A</v>
      </c>
      <c r="B464" s="208" t="s">
        <v>748</v>
      </c>
      <c r="C464" s="208"/>
      <c r="D464" s="208" t="s">
        <v>747</v>
      </c>
      <c r="E464" s="208" t="s">
        <v>29</v>
      </c>
      <c r="F464" s="208" t="s">
        <v>749</v>
      </c>
      <c r="G464" s="208" t="s">
        <v>750</v>
      </c>
      <c r="H464" s="208"/>
      <c r="I464" s="208" t="s">
        <v>751</v>
      </c>
      <c r="J464" s="208" t="s">
        <v>752</v>
      </c>
      <c r="K464" s="208" t="s">
        <v>753</v>
      </c>
      <c r="L464" s="208"/>
      <c r="M464" s="209"/>
      <c r="N464" s="208"/>
      <c r="O464" s="208" t="s">
        <v>260</v>
      </c>
      <c r="P464" s="208" t="s">
        <v>91</v>
      </c>
    </row>
    <row r="465" spans="1:16" s="187" customFormat="1" ht="18" customHeight="1">
      <c r="A465" s="187" t="str">
        <f t="shared" si="7"/>
        <v>V10038B</v>
      </c>
      <c r="B465" s="206" t="s">
        <v>748</v>
      </c>
      <c r="C465" s="206"/>
      <c r="D465" s="206" t="s">
        <v>754</v>
      </c>
      <c r="E465" s="206" t="s">
        <v>29</v>
      </c>
      <c r="F465" s="206" t="s">
        <v>749</v>
      </c>
      <c r="G465" s="206" t="s">
        <v>750</v>
      </c>
      <c r="H465" s="206"/>
      <c r="I465" s="206" t="s">
        <v>751</v>
      </c>
      <c r="J465" s="206" t="s">
        <v>752</v>
      </c>
      <c r="K465" s="206" t="s">
        <v>753</v>
      </c>
      <c r="L465" s="206"/>
      <c r="M465" s="207"/>
      <c r="N465" s="206"/>
      <c r="O465" s="206" t="s">
        <v>260</v>
      </c>
      <c r="P465" s="206" t="s">
        <v>91</v>
      </c>
    </row>
    <row r="466" spans="1:16" s="187" customFormat="1" ht="18" customHeight="1">
      <c r="A466" s="187" t="str">
        <f t="shared" si="7"/>
        <v>V10038C</v>
      </c>
      <c r="B466" s="208" t="s">
        <v>748</v>
      </c>
      <c r="C466" s="208"/>
      <c r="D466" s="208" t="s">
        <v>755</v>
      </c>
      <c r="E466" s="208" t="s">
        <v>29</v>
      </c>
      <c r="F466" s="208" t="s">
        <v>749</v>
      </c>
      <c r="G466" s="208" t="s">
        <v>750</v>
      </c>
      <c r="H466" s="208"/>
      <c r="I466" s="208" t="s">
        <v>751</v>
      </c>
      <c r="J466" s="208" t="s">
        <v>752</v>
      </c>
      <c r="K466" s="208" t="s">
        <v>753</v>
      </c>
      <c r="L466" s="208"/>
      <c r="M466" s="209"/>
      <c r="N466" s="208"/>
      <c r="O466" s="208" t="s">
        <v>260</v>
      </c>
      <c r="P466" s="208" t="s">
        <v>91</v>
      </c>
    </row>
    <row r="467" spans="1:16" s="187" customFormat="1" ht="18" customHeight="1">
      <c r="A467" s="187" t="str">
        <f t="shared" si="7"/>
        <v>V10171A</v>
      </c>
      <c r="B467" s="206" t="s">
        <v>757</v>
      </c>
      <c r="C467" s="206"/>
      <c r="D467" s="206" t="s">
        <v>756</v>
      </c>
      <c r="E467" s="206" t="s">
        <v>29</v>
      </c>
      <c r="F467" s="206" t="s">
        <v>758</v>
      </c>
      <c r="G467" s="206" t="s">
        <v>759</v>
      </c>
      <c r="H467" s="206"/>
      <c r="I467" s="206"/>
      <c r="J467" s="206" t="s">
        <v>760</v>
      </c>
      <c r="K467" s="206" t="s">
        <v>761</v>
      </c>
      <c r="L467" s="206"/>
      <c r="M467" s="207"/>
      <c r="N467" s="206"/>
      <c r="O467" s="206" t="s">
        <v>260</v>
      </c>
      <c r="P467" s="206" t="s">
        <v>91</v>
      </c>
    </row>
    <row r="468" spans="1:16" s="187" customFormat="1" ht="18" customHeight="1">
      <c r="A468" s="187" t="str">
        <f t="shared" si="7"/>
        <v>V10171B</v>
      </c>
      <c r="B468" s="208" t="s">
        <v>757</v>
      </c>
      <c r="C468" s="208"/>
      <c r="D468" s="208" t="s">
        <v>762</v>
      </c>
      <c r="E468" s="208" t="s">
        <v>29</v>
      </c>
      <c r="F468" s="208" t="s">
        <v>758</v>
      </c>
      <c r="G468" s="208" t="s">
        <v>759</v>
      </c>
      <c r="H468" s="208"/>
      <c r="I468" s="208"/>
      <c r="J468" s="208" t="s">
        <v>760</v>
      </c>
      <c r="K468" s="208" t="s">
        <v>761</v>
      </c>
      <c r="L468" s="208"/>
      <c r="M468" s="209"/>
      <c r="N468" s="208"/>
      <c r="O468" s="208" t="s">
        <v>260</v>
      </c>
      <c r="P468" s="208" t="s">
        <v>91</v>
      </c>
    </row>
    <row r="469" spans="1:16" s="187" customFormat="1" ht="18" customHeight="1">
      <c r="A469" s="187" t="str">
        <f t="shared" si="7"/>
        <v>V10171C</v>
      </c>
      <c r="B469" s="206" t="s">
        <v>757</v>
      </c>
      <c r="C469" s="206"/>
      <c r="D469" s="206" t="s">
        <v>763</v>
      </c>
      <c r="E469" s="206" t="s">
        <v>29</v>
      </c>
      <c r="F469" s="206" t="s">
        <v>758</v>
      </c>
      <c r="G469" s="206" t="s">
        <v>759</v>
      </c>
      <c r="H469" s="206"/>
      <c r="I469" s="206"/>
      <c r="J469" s="206" t="s">
        <v>760</v>
      </c>
      <c r="K469" s="206" t="s">
        <v>761</v>
      </c>
      <c r="L469" s="206"/>
      <c r="M469" s="207"/>
      <c r="N469" s="206"/>
      <c r="O469" s="206" t="s">
        <v>260</v>
      </c>
      <c r="P469" s="206" t="s">
        <v>91</v>
      </c>
    </row>
    <row r="470" spans="1:16" s="187" customFormat="1" ht="18" customHeight="1">
      <c r="A470" s="187" t="str">
        <f t="shared" si="7"/>
        <v>V10344B</v>
      </c>
      <c r="B470" s="208" t="s">
        <v>4255</v>
      </c>
      <c r="C470" s="208"/>
      <c r="D470" s="208" t="s">
        <v>4254</v>
      </c>
      <c r="E470" s="208" t="s">
        <v>29</v>
      </c>
      <c r="F470" s="208" t="s">
        <v>4256</v>
      </c>
      <c r="G470" s="208" t="s">
        <v>4257</v>
      </c>
      <c r="H470" s="208"/>
      <c r="I470" s="208"/>
      <c r="J470" s="208" t="s">
        <v>4258</v>
      </c>
      <c r="K470" s="208" t="s">
        <v>4259</v>
      </c>
      <c r="L470" s="208"/>
      <c r="M470" s="209"/>
      <c r="N470" s="208"/>
      <c r="O470" s="208"/>
      <c r="P470" s="208" t="s">
        <v>91</v>
      </c>
    </row>
    <row r="471" spans="1:16" s="187" customFormat="1" ht="18" customHeight="1">
      <c r="A471" s="187" t="str">
        <f t="shared" si="7"/>
        <v>V10046A</v>
      </c>
      <c r="B471" s="206" t="s">
        <v>765</v>
      </c>
      <c r="C471" s="206"/>
      <c r="D471" s="206" t="s">
        <v>764</v>
      </c>
      <c r="E471" s="206" t="s">
        <v>29</v>
      </c>
      <c r="F471" s="206" t="s">
        <v>766</v>
      </c>
      <c r="G471" s="206" t="s">
        <v>767</v>
      </c>
      <c r="H471" s="206"/>
      <c r="I471" s="206" t="s">
        <v>768</v>
      </c>
      <c r="J471" s="206" t="s">
        <v>5113</v>
      </c>
      <c r="K471" s="206" t="s">
        <v>769</v>
      </c>
      <c r="L471" s="206"/>
      <c r="M471" s="207"/>
      <c r="N471" s="206"/>
      <c r="O471" s="206" t="s">
        <v>260</v>
      </c>
      <c r="P471" s="206" t="s">
        <v>91</v>
      </c>
    </row>
    <row r="472" spans="1:16" s="187" customFormat="1" ht="18" customHeight="1">
      <c r="A472" s="187" t="str">
        <f t="shared" si="7"/>
        <v>V10046B</v>
      </c>
      <c r="B472" s="208" t="s">
        <v>765</v>
      </c>
      <c r="C472" s="208"/>
      <c r="D472" s="208" t="s">
        <v>770</v>
      </c>
      <c r="E472" s="208" t="s">
        <v>29</v>
      </c>
      <c r="F472" s="208" t="s">
        <v>766</v>
      </c>
      <c r="G472" s="208" t="s">
        <v>767</v>
      </c>
      <c r="H472" s="208"/>
      <c r="I472" s="208" t="s">
        <v>768</v>
      </c>
      <c r="J472" s="208" t="s">
        <v>5113</v>
      </c>
      <c r="K472" s="208" t="s">
        <v>769</v>
      </c>
      <c r="L472" s="208"/>
      <c r="M472" s="209"/>
      <c r="N472" s="208"/>
      <c r="O472" s="208" t="s">
        <v>260</v>
      </c>
      <c r="P472" s="208" t="s">
        <v>91</v>
      </c>
    </row>
    <row r="473" spans="1:16" s="187" customFormat="1" ht="18" customHeight="1">
      <c r="A473" s="187" t="str">
        <f t="shared" si="7"/>
        <v>V10046C</v>
      </c>
      <c r="B473" s="206" t="s">
        <v>765</v>
      </c>
      <c r="C473" s="206"/>
      <c r="D473" s="206" t="s">
        <v>771</v>
      </c>
      <c r="E473" s="206" t="s">
        <v>29</v>
      </c>
      <c r="F473" s="206" t="s">
        <v>766</v>
      </c>
      <c r="G473" s="206" t="s">
        <v>767</v>
      </c>
      <c r="H473" s="206"/>
      <c r="I473" s="206" t="s">
        <v>768</v>
      </c>
      <c r="J473" s="206" t="s">
        <v>5113</v>
      </c>
      <c r="K473" s="206" t="s">
        <v>769</v>
      </c>
      <c r="L473" s="206"/>
      <c r="M473" s="207"/>
      <c r="N473" s="206"/>
      <c r="O473" s="206" t="s">
        <v>260</v>
      </c>
      <c r="P473" s="206" t="s">
        <v>91</v>
      </c>
    </row>
    <row r="474" spans="1:16" s="187" customFormat="1" ht="18" customHeight="1">
      <c r="A474" s="187" t="str">
        <f t="shared" si="7"/>
        <v>V10107A</v>
      </c>
      <c r="B474" s="208" t="s">
        <v>773</v>
      </c>
      <c r="C474" s="208"/>
      <c r="D474" s="208" t="s">
        <v>772</v>
      </c>
      <c r="E474" s="208" t="s">
        <v>29</v>
      </c>
      <c r="F474" s="208" t="s">
        <v>774</v>
      </c>
      <c r="G474" s="208" t="s">
        <v>775</v>
      </c>
      <c r="H474" s="208"/>
      <c r="I474" s="208"/>
      <c r="J474" s="208" t="s">
        <v>776</v>
      </c>
      <c r="K474" s="208" t="s">
        <v>777</v>
      </c>
      <c r="L474" s="208"/>
      <c r="M474" s="209"/>
      <c r="N474" s="208"/>
      <c r="O474" s="208" t="s">
        <v>260</v>
      </c>
      <c r="P474" s="208" t="s">
        <v>91</v>
      </c>
    </row>
    <row r="475" spans="1:16" s="187" customFormat="1" ht="18" customHeight="1">
      <c r="A475" s="187" t="str">
        <f t="shared" si="7"/>
        <v>V10107B</v>
      </c>
      <c r="B475" s="206" t="s">
        <v>773</v>
      </c>
      <c r="C475" s="206"/>
      <c r="D475" s="206" t="s">
        <v>778</v>
      </c>
      <c r="E475" s="206" t="s">
        <v>29</v>
      </c>
      <c r="F475" s="206" t="s">
        <v>774</v>
      </c>
      <c r="G475" s="206" t="s">
        <v>775</v>
      </c>
      <c r="H475" s="206"/>
      <c r="I475" s="206"/>
      <c r="J475" s="206" t="s">
        <v>776</v>
      </c>
      <c r="K475" s="206" t="s">
        <v>777</v>
      </c>
      <c r="L475" s="206"/>
      <c r="M475" s="207"/>
      <c r="N475" s="206"/>
      <c r="O475" s="206" t="s">
        <v>260</v>
      </c>
      <c r="P475" s="206" t="s">
        <v>91</v>
      </c>
    </row>
    <row r="476" spans="1:16" s="187" customFormat="1" ht="18" customHeight="1">
      <c r="A476" s="187" t="str">
        <f t="shared" si="7"/>
        <v>V10107C</v>
      </c>
      <c r="B476" s="208" t="s">
        <v>773</v>
      </c>
      <c r="C476" s="208"/>
      <c r="D476" s="208" t="s">
        <v>779</v>
      </c>
      <c r="E476" s="208" t="s">
        <v>29</v>
      </c>
      <c r="F476" s="208" t="s">
        <v>774</v>
      </c>
      <c r="G476" s="208" t="s">
        <v>775</v>
      </c>
      <c r="H476" s="208"/>
      <c r="I476" s="208"/>
      <c r="J476" s="208" t="s">
        <v>776</v>
      </c>
      <c r="K476" s="208" t="s">
        <v>777</v>
      </c>
      <c r="L476" s="208"/>
      <c r="M476" s="209"/>
      <c r="N476" s="208"/>
      <c r="O476" s="208" t="s">
        <v>260</v>
      </c>
      <c r="P476" s="208" t="s">
        <v>91</v>
      </c>
    </row>
    <row r="477" spans="1:16" s="187" customFormat="1" ht="18" customHeight="1">
      <c r="A477" s="187" t="str">
        <f t="shared" si="7"/>
        <v>V10266C</v>
      </c>
      <c r="B477" s="206" t="s">
        <v>781</v>
      </c>
      <c r="C477" s="206"/>
      <c r="D477" s="206" t="s">
        <v>780</v>
      </c>
      <c r="E477" s="206" t="s">
        <v>29</v>
      </c>
      <c r="F477" s="206" t="s">
        <v>782</v>
      </c>
      <c r="G477" s="206" t="s">
        <v>783</v>
      </c>
      <c r="H477" s="206"/>
      <c r="I477" s="206" t="s">
        <v>784</v>
      </c>
      <c r="J477" s="206" t="s">
        <v>785</v>
      </c>
      <c r="K477" s="206" t="s">
        <v>786</v>
      </c>
      <c r="L477" s="206"/>
      <c r="M477" s="207"/>
      <c r="N477" s="206"/>
      <c r="O477" s="206"/>
      <c r="P477" s="206" t="s">
        <v>91</v>
      </c>
    </row>
    <row r="478" spans="1:16" s="187" customFormat="1" ht="18" customHeight="1">
      <c r="A478" s="187" t="str">
        <f t="shared" si="7"/>
        <v>V10381C</v>
      </c>
      <c r="B478" s="208" t="s">
        <v>5170</v>
      </c>
      <c r="C478" s="208"/>
      <c r="D478" s="208" t="s">
        <v>5171</v>
      </c>
      <c r="E478" s="208" t="s">
        <v>29</v>
      </c>
      <c r="F478" s="208" t="s">
        <v>5172</v>
      </c>
      <c r="G478" s="208"/>
      <c r="H478" s="208"/>
      <c r="I478" s="208"/>
      <c r="J478" s="208" t="s">
        <v>5336</v>
      </c>
      <c r="K478" s="208" t="s">
        <v>5173</v>
      </c>
      <c r="L478" s="208"/>
      <c r="M478" s="209"/>
      <c r="N478" s="208"/>
      <c r="O478" s="208"/>
      <c r="P478" s="208" t="s">
        <v>91</v>
      </c>
    </row>
    <row r="479" spans="1:16" s="187" customFormat="1" ht="18" customHeight="1">
      <c r="A479" s="187" t="str">
        <f t="shared" si="7"/>
        <v>V10111A</v>
      </c>
      <c r="B479" s="206" t="s">
        <v>788</v>
      </c>
      <c r="C479" s="206"/>
      <c r="D479" s="206" t="s">
        <v>787</v>
      </c>
      <c r="E479" s="206" t="s">
        <v>29</v>
      </c>
      <c r="F479" s="206" t="s">
        <v>789</v>
      </c>
      <c r="G479" s="206" t="s">
        <v>790</v>
      </c>
      <c r="H479" s="206"/>
      <c r="I479" s="206" t="s">
        <v>791</v>
      </c>
      <c r="J479" s="206" t="s">
        <v>4260</v>
      </c>
      <c r="K479" s="206" t="s">
        <v>792</v>
      </c>
      <c r="L479" s="206"/>
      <c r="M479" s="207"/>
      <c r="N479" s="206"/>
      <c r="O479" s="206" t="s">
        <v>260</v>
      </c>
      <c r="P479" s="206" t="s">
        <v>91</v>
      </c>
    </row>
    <row r="480" spans="1:16" s="187" customFormat="1" ht="18" customHeight="1">
      <c r="A480" s="187" t="str">
        <f t="shared" si="7"/>
        <v>V10111B</v>
      </c>
      <c r="B480" s="208" t="s">
        <v>788</v>
      </c>
      <c r="C480" s="208"/>
      <c r="D480" s="208" t="s">
        <v>793</v>
      </c>
      <c r="E480" s="208" t="s">
        <v>29</v>
      </c>
      <c r="F480" s="208" t="s">
        <v>789</v>
      </c>
      <c r="G480" s="208" t="s">
        <v>790</v>
      </c>
      <c r="H480" s="208"/>
      <c r="I480" s="208" t="s">
        <v>791</v>
      </c>
      <c r="J480" s="208" t="s">
        <v>4260</v>
      </c>
      <c r="K480" s="208" t="s">
        <v>792</v>
      </c>
      <c r="L480" s="208"/>
      <c r="M480" s="209"/>
      <c r="N480" s="208"/>
      <c r="O480" s="208" t="s">
        <v>260</v>
      </c>
      <c r="P480" s="208" t="s">
        <v>91</v>
      </c>
    </row>
    <row r="481" spans="1:16" s="187" customFormat="1" ht="18" customHeight="1">
      <c r="A481" s="187" t="str">
        <f t="shared" si="7"/>
        <v>V10111C</v>
      </c>
      <c r="B481" s="206" t="s">
        <v>788</v>
      </c>
      <c r="C481" s="206"/>
      <c r="D481" s="206" t="s">
        <v>794</v>
      </c>
      <c r="E481" s="206" t="s">
        <v>29</v>
      </c>
      <c r="F481" s="206" t="s">
        <v>789</v>
      </c>
      <c r="G481" s="206" t="s">
        <v>790</v>
      </c>
      <c r="H481" s="206"/>
      <c r="I481" s="206" t="s">
        <v>791</v>
      </c>
      <c r="J481" s="206" t="s">
        <v>4260</v>
      </c>
      <c r="K481" s="206" t="s">
        <v>792</v>
      </c>
      <c r="L481" s="206"/>
      <c r="M481" s="207"/>
      <c r="N481" s="206"/>
      <c r="O481" s="206" t="s">
        <v>260</v>
      </c>
      <c r="P481" s="206" t="s">
        <v>91</v>
      </c>
    </row>
    <row r="482" spans="1:16" s="187" customFormat="1" ht="18" customHeight="1">
      <c r="A482" s="187" t="str">
        <f t="shared" si="7"/>
        <v>V10249C</v>
      </c>
      <c r="B482" s="208" t="s">
        <v>4262</v>
      </c>
      <c r="C482" s="208"/>
      <c r="D482" s="208" t="s">
        <v>1104</v>
      </c>
      <c r="E482" s="208" t="s">
        <v>29</v>
      </c>
      <c r="F482" s="208" t="s">
        <v>5112</v>
      </c>
      <c r="G482" s="208" t="s">
        <v>1106</v>
      </c>
      <c r="H482" s="208"/>
      <c r="I482" s="208" t="s">
        <v>1107</v>
      </c>
      <c r="J482" s="208" t="s">
        <v>1108</v>
      </c>
      <c r="K482" s="208" t="s">
        <v>1109</v>
      </c>
      <c r="L482" s="208"/>
      <c r="M482" s="209"/>
      <c r="N482" s="208"/>
      <c r="O482" s="208"/>
      <c r="P482" s="208" t="s">
        <v>91</v>
      </c>
    </row>
    <row r="483" spans="1:16" s="187" customFormat="1" ht="18" customHeight="1">
      <c r="A483" s="187" t="str">
        <f t="shared" si="7"/>
        <v>V10249B</v>
      </c>
      <c r="B483" s="206" t="s">
        <v>4262</v>
      </c>
      <c r="C483" s="206"/>
      <c r="D483" s="206" t="s">
        <v>4261</v>
      </c>
      <c r="E483" s="206" t="s">
        <v>29</v>
      </c>
      <c r="F483" s="206" t="s">
        <v>1105</v>
      </c>
      <c r="G483" s="206"/>
      <c r="H483" s="206"/>
      <c r="I483" s="206"/>
      <c r="J483" s="206"/>
      <c r="K483" s="206"/>
      <c r="L483" s="206"/>
      <c r="M483" s="207"/>
      <c r="N483" s="206"/>
      <c r="O483" s="206"/>
      <c r="P483" s="206" t="s">
        <v>91</v>
      </c>
    </row>
    <row r="484" spans="1:16" s="187" customFormat="1" ht="18" customHeight="1">
      <c r="A484" s="187" t="str">
        <f t="shared" si="7"/>
        <v>V10396C</v>
      </c>
      <c r="B484" s="208" t="s">
        <v>5337</v>
      </c>
      <c r="C484" s="208"/>
      <c r="D484" s="208" t="s">
        <v>5338</v>
      </c>
      <c r="E484" s="208" t="s">
        <v>29</v>
      </c>
      <c r="F484" s="208" t="s">
        <v>5339</v>
      </c>
      <c r="G484" s="208"/>
      <c r="H484" s="208"/>
      <c r="I484" s="208"/>
      <c r="J484" s="208" t="s">
        <v>5340</v>
      </c>
      <c r="K484" s="208"/>
      <c r="L484" s="208"/>
      <c r="M484" s="209"/>
      <c r="N484" s="208"/>
      <c r="O484" s="208"/>
      <c r="P484" s="208" t="s">
        <v>91</v>
      </c>
    </row>
    <row r="485" spans="1:16" s="187" customFormat="1" ht="18" customHeight="1">
      <c r="A485" s="187" t="str">
        <f t="shared" si="7"/>
        <v>V10291C</v>
      </c>
      <c r="B485" s="206" t="s">
        <v>796</v>
      </c>
      <c r="C485" s="206"/>
      <c r="D485" s="206" t="s">
        <v>795</v>
      </c>
      <c r="E485" s="206" t="s">
        <v>29</v>
      </c>
      <c r="F485" s="206" t="s">
        <v>797</v>
      </c>
      <c r="G485" s="206" t="s">
        <v>798</v>
      </c>
      <c r="H485" s="206"/>
      <c r="I485" s="206"/>
      <c r="J485" s="206" t="s">
        <v>799</v>
      </c>
      <c r="K485" s="206" t="s">
        <v>800</v>
      </c>
      <c r="L485" s="206"/>
      <c r="M485" s="207"/>
      <c r="N485" s="206"/>
      <c r="O485" s="206"/>
      <c r="P485" s="206" t="s">
        <v>91</v>
      </c>
    </row>
    <row r="486" spans="1:16" s="187" customFormat="1" ht="18" customHeight="1">
      <c r="A486" s="187" t="str">
        <f t="shared" si="7"/>
        <v>V10291B</v>
      </c>
      <c r="B486" s="208" t="s">
        <v>4266</v>
      </c>
      <c r="C486" s="208"/>
      <c r="D486" s="208" t="s">
        <v>801</v>
      </c>
      <c r="E486" s="208" t="s">
        <v>29</v>
      </c>
      <c r="F486" s="208" t="s">
        <v>4267</v>
      </c>
      <c r="G486" s="208"/>
      <c r="H486" s="208"/>
      <c r="I486" s="208"/>
      <c r="J486" s="208"/>
      <c r="K486" s="208"/>
      <c r="L486" s="208"/>
      <c r="M486" s="209"/>
      <c r="N486" s="208"/>
      <c r="O486" s="208"/>
      <c r="P486" s="208" t="s">
        <v>91</v>
      </c>
    </row>
    <row r="487" spans="1:16" s="187" customFormat="1" ht="18" customHeight="1">
      <c r="A487" s="187" t="str">
        <f t="shared" si="7"/>
        <v>V10461C</v>
      </c>
      <c r="B487" s="206" t="s">
        <v>5834</v>
      </c>
      <c r="C487" s="206"/>
      <c r="D487" s="206" t="s">
        <v>5835</v>
      </c>
      <c r="E487" s="206" t="s">
        <v>29</v>
      </c>
      <c r="F487" s="206" t="s">
        <v>5836</v>
      </c>
      <c r="G487" s="206" t="s">
        <v>5837</v>
      </c>
      <c r="H487" s="206"/>
      <c r="I487" s="206"/>
      <c r="J487" s="206" t="s">
        <v>535</v>
      </c>
      <c r="K487" s="206" t="s">
        <v>5838</v>
      </c>
      <c r="L487" s="206"/>
      <c r="M487" s="207"/>
      <c r="N487" s="206"/>
      <c r="O487" s="206" t="s">
        <v>260</v>
      </c>
      <c r="P487" s="206" t="s">
        <v>91</v>
      </c>
    </row>
    <row r="488" spans="1:16" s="187" customFormat="1" ht="18" customHeight="1">
      <c r="A488" s="187" t="str">
        <f t="shared" si="7"/>
        <v>V10418C</v>
      </c>
      <c r="B488" s="208" t="s">
        <v>5578</v>
      </c>
      <c r="C488" s="208"/>
      <c r="D488" s="208" t="s">
        <v>5579</v>
      </c>
      <c r="E488" s="208" t="s">
        <v>29</v>
      </c>
      <c r="F488" s="208" t="s">
        <v>5580</v>
      </c>
      <c r="G488" s="208"/>
      <c r="H488" s="208"/>
      <c r="I488" s="208"/>
      <c r="J488" s="208" t="s">
        <v>4264</v>
      </c>
      <c r="K488" s="208" t="s">
        <v>5581</v>
      </c>
      <c r="L488" s="208"/>
      <c r="M488" s="209"/>
      <c r="N488" s="208"/>
      <c r="O488" s="208"/>
      <c r="P488" s="208" t="s">
        <v>91</v>
      </c>
    </row>
    <row r="489" spans="1:16" s="187" customFormat="1" ht="18" customHeight="1">
      <c r="A489" s="187" t="str">
        <f t="shared" si="7"/>
        <v>V10103A</v>
      </c>
      <c r="B489" s="206" t="s">
        <v>803</v>
      </c>
      <c r="C489" s="206"/>
      <c r="D489" s="206" t="s">
        <v>802</v>
      </c>
      <c r="E489" s="206" t="s">
        <v>29</v>
      </c>
      <c r="F489" s="206" t="s">
        <v>804</v>
      </c>
      <c r="G489" s="206" t="s">
        <v>805</v>
      </c>
      <c r="H489" s="206"/>
      <c r="I489" s="206" t="s">
        <v>806</v>
      </c>
      <c r="J489" s="206" t="s">
        <v>807</v>
      </c>
      <c r="K489" s="206" t="s">
        <v>808</v>
      </c>
      <c r="L489" s="206"/>
      <c r="M489" s="207"/>
      <c r="N489" s="206"/>
      <c r="O489" s="206" t="s">
        <v>260</v>
      </c>
      <c r="P489" s="206" t="s">
        <v>91</v>
      </c>
    </row>
    <row r="490" spans="1:16" s="187" customFormat="1" ht="18" customHeight="1">
      <c r="A490" s="187" t="str">
        <f t="shared" si="7"/>
        <v>V10103B</v>
      </c>
      <c r="B490" s="208" t="s">
        <v>803</v>
      </c>
      <c r="C490" s="208"/>
      <c r="D490" s="208" t="s">
        <v>809</v>
      </c>
      <c r="E490" s="208" t="s">
        <v>29</v>
      </c>
      <c r="F490" s="208" t="s">
        <v>804</v>
      </c>
      <c r="G490" s="208" t="s">
        <v>805</v>
      </c>
      <c r="H490" s="208"/>
      <c r="I490" s="208" t="s">
        <v>806</v>
      </c>
      <c r="J490" s="208" t="s">
        <v>807</v>
      </c>
      <c r="K490" s="208" t="s">
        <v>808</v>
      </c>
      <c r="L490" s="208"/>
      <c r="M490" s="209"/>
      <c r="N490" s="208"/>
      <c r="O490" s="208" t="s">
        <v>260</v>
      </c>
      <c r="P490" s="208" t="s">
        <v>91</v>
      </c>
    </row>
    <row r="491" spans="1:16" s="187" customFormat="1" ht="18" customHeight="1">
      <c r="A491" s="187" t="str">
        <f t="shared" si="7"/>
        <v>V10103C</v>
      </c>
      <c r="B491" s="206" t="s">
        <v>803</v>
      </c>
      <c r="C491" s="206"/>
      <c r="D491" s="206" t="s">
        <v>810</v>
      </c>
      <c r="E491" s="206" t="s">
        <v>29</v>
      </c>
      <c r="F491" s="206" t="s">
        <v>804</v>
      </c>
      <c r="G491" s="206" t="s">
        <v>805</v>
      </c>
      <c r="H491" s="206"/>
      <c r="I491" s="206" t="s">
        <v>806</v>
      </c>
      <c r="J491" s="206" t="s">
        <v>807</v>
      </c>
      <c r="K491" s="206" t="s">
        <v>808</v>
      </c>
      <c r="L491" s="206"/>
      <c r="M491" s="207"/>
      <c r="N491" s="206"/>
      <c r="O491" s="206" t="s">
        <v>260</v>
      </c>
      <c r="P491" s="206" t="s">
        <v>91</v>
      </c>
    </row>
    <row r="492" spans="1:16" s="187" customFormat="1" ht="18" customHeight="1">
      <c r="A492" s="187" t="str">
        <f t="shared" si="7"/>
        <v>V10391C</v>
      </c>
      <c r="B492" s="208" t="s">
        <v>5341</v>
      </c>
      <c r="C492" s="208"/>
      <c r="D492" s="208" t="s">
        <v>5342</v>
      </c>
      <c r="E492" s="208" t="s">
        <v>29</v>
      </c>
      <c r="F492" s="208" t="s">
        <v>5343</v>
      </c>
      <c r="G492" s="208"/>
      <c r="H492" s="208"/>
      <c r="I492" s="208" t="s">
        <v>5344</v>
      </c>
      <c r="J492" s="208" t="s">
        <v>5345</v>
      </c>
      <c r="K492" s="208" t="s">
        <v>5346</v>
      </c>
      <c r="L492" s="208"/>
      <c r="M492" s="209"/>
      <c r="N492" s="208"/>
      <c r="O492" s="208"/>
      <c r="P492" s="208" t="s">
        <v>91</v>
      </c>
    </row>
    <row r="493" spans="1:16" s="187" customFormat="1" ht="18" customHeight="1">
      <c r="A493" s="187" t="str">
        <f t="shared" si="7"/>
        <v>V10415C</v>
      </c>
      <c r="B493" s="206" t="s">
        <v>5651</v>
      </c>
      <c r="C493" s="206"/>
      <c r="D493" s="206" t="s">
        <v>5652</v>
      </c>
      <c r="E493" s="206" t="s">
        <v>29</v>
      </c>
      <c r="F493" s="206" t="s">
        <v>5653</v>
      </c>
      <c r="G493" s="206"/>
      <c r="H493" s="206"/>
      <c r="I493" s="206"/>
      <c r="J493" s="206" t="s">
        <v>5654</v>
      </c>
      <c r="K493" s="206" t="s">
        <v>5655</v>
      </c>
      <c r="L493" s="206"/>
      <c r="M493" s="207"/>
      <c r="N493" s="206"/>
      <c r="O493" s="206"/>
      <c r="P493" s="206" t="s">
        <v>91</v>
      </c>
    </row>
    <row r="494" spans="1:16" s="187" customFormat="1" ht="18" customHeight="1">
      <c r="A494" s="187" t="str">
        <f t="shared" si="7"/>
        <v>V10385C</v>
      </c>
      <c r="B494" s="208" t="s">
        <v>5347</v>
      </c>
      <c r="C494" s="208"/>
      <c r="D494" s="208" t="s">
        <v>5348</v>
      </c>
      <c r="E494" s="208" t="s">
        <v>29</v>
      </c>
      <c r="F494" s="208" t="s">
        <v>5349</v>
      </c>
      <c r="G494" s="208"/>
      <c r="H494" s="208"/>
      <c r="I494" s="208"/>
      <c r="J494" s="208" t="s">
        <v>5350</v>
      </c>
      <c r="K494" s="208" t="s">
        <v>5351</v>
      </c>
      <c r="L494" s="208"/>
      <c r="M494" s="209"/>
      <c r="N494" s="208"/>
      <c r="O494" s="208"/>
      <c r="P494" s="208" t="s">
        <v>91</v>
      </c>
    </row>
    <row r="495" spans="1:16" s="187" customFormat="1" ht="18" customHeight="1">
      <c r="A495" s="187" t="str">
        <f t="shared" si="7"/>
        <v>V10145A</v>
      </c>
      <c r="B495" s="206" t="s">
        <v>812</v>
      </c>
      <c r="C495" s="206"/>
      <c r="D495" s="206" t="s">
        <v>811</v>
      </c>
      <c r="E495" s="206" t="s">
        <v>29</v>
      </c>
      <c r="F495" s="206" t="s">
        <v>5111</v>
      </c>
      <c r="G495" s="206" t="s">
        <v>813</v>
      </c>
      <c r="H495" s="206"/>
      <c r="I495" s="206"/>
      <c r="J495" s="206" t="s">
        <v>814</v>
      </c>
      <c r="K495" s="206" t="s">
        <v>815</v>
      </c>
      <c r="L495" s="206"/>
      <c r="M495" s="207"/>
      <c r="N495" s="206"/>
      <c r="O495" s="206" t="s">
        <v>260</v>
      </c>
      <c r="P495" s="206" t="s">
        <v>91</v>
      </c>
    </row>
    <row r="496" spans="1:16" s="187" customFormat="1" ht="18" customHeight="1">
      <c r="A496" s="187" t="str">
        <f t="shared" si="7"/>
        <v>V10145B</v>
      </c>
      <c r="B496" s="208" t="s">
        <v>812</v>
      </c>
      <c r="C496" s="208"/>
      <c r="D496" s="208" t="s">
        <v>816</v>
      </c>
      <c r="E496" s="208" t="s">
        <v>29</v>
      </c>
      <c r="F496" s="208" t="s">
        <v>5111</v>
      </c>
      <c r="G496" s="208" t="s">
        <v>813</v>
      </c>
      <c r="H496" s="208"/>
      <c r="I496" s="208"/>
      <c r="J496" s="208" t="s">
        <v>814</v>
      </c>
      <c r="K496" s="208" t="s">
        <v>815</v>
      </c>
      <c r="L496" s="208"/>
      <c r="M496" s="209"/>
      <c r="N496" s="208"/>
      <c r="O496" s="208" t="s">
        <v>260</v>
      </c>
      <c r="P496" s="208" t="s">
        <v>91</v>
      </c>
    </row>
    <row r="497" spans="1:16" s="187" customFormat="1" ht="18" customHeight="1">
      <c r="A497" s="187" t="str">
        <f t="shared" si="7"/>
        <v>V10145C</v>
      </c>
      <c r="B497" s="206" t="s">
        <v>812</v>
      </c>
      <c r="C497" s="206"/>
      <c r="D497" s="206" t="s">
        <v>817</v>
      </c>
      <c r="E497" s="206" t="s">
        <v>29</v>
      </c>
      <c r="F497" s="206" t="s">
        <v>5111</v>
      </c>
      <c r="G497" s="206" t="s">
        <v>813</v>
      </c>
      <c r="H497" s="206"/>
      <c r="I497" s="206"/>
      <c r="J497" s="206" t="s">
        <v>814</v>
      </c>
      <c r="K497" s="206" t="s">
        <v>815</v>
      </c>
      <c r="L497" s="206"/>
      <c r="M497" s="207"/>
      <c r="N497" s="206"/>
      <c r="O497" s="206" t="s">
        <v>260</v>
      </c>
      <c r="P497" s="206" t="s">
        <v>91</v>
      </c>
    </row>
    <row r="498" spans="1:16" s="187" customFormat="1" ht="18" customHeight="1">
      <c r="A498" s="187" t="str">
        <f t="shared" si="7"/>
        <v>V10143A</v>
      </c>
      <c r="B498" s="208" t="s">
        <v>819</v>
      </c>
      <c r="C498" s="208"/>
      <c r="D498" s="208" t="s">
        <v>818</v>
      </c>
      <c r="E498" s="208" t="s">
        <v>29</v>
      </c>
      <c r="F498" s="208" t="s">
        <v>820</v>
      </c>
      <c r="G498" s="208" t="s">
        <v>821</v>
      </c>
      <c r="H498" s="208"/>
      <c r="I498" s="208"/>
      <c r="J498" s="208" t="s">
        <v>822</v>
      </c>
      <c r="K498" s="208" t="s">
        <v>823</v>
      </c>
      <c r="L498" s="208"/>
      <c r="M498" s="209"/>
      <c r="N498" s="208"/>
      <c r="O498" s="208" t="s">
        <v>260</v>
      </c>
      <c r="P498" s="208" t="s">
        <v>91</v>
      </c>
    </row>
    <row r="499" spans="1:16" s="187" customFormat="1" ht="18" customHeight="1">
      <c r="A499" s="187" t="str">
        <f t="shared" si="7"/>
        <v>V10143B</v>
      </c>
      <c r="B499" s="206" t="s">
        <v>819</v>
      </c>
      <c r="C499" s="206"/>
      <c r="D499" s="206" t="s">
        <v>824</v>
      </c>
      <c r="E499" s="206" t="s">
        <v>29</v>
      </c>
      <c r="F499" s="206" t="s">
        <v>820</v>
      </c>
      <c r="G499" s="206" t="s">
        <v>821</v>
      </c>
      <c r="H499" s="206"/>
      <c r="I499" s="206"/>
      <c r="J499" s="206" t="s">
        <v>822</v>
      </c>
      <c r="K499" s="206" t="s">
        <v>823</v>
      </c>
      <c r="L499" s="206"/>
      <c r="M499" s="207"/>
      <c r="N499" s="206"/>
      <c r="O499" s="206" t="s">
        <v>260</v>
      </c>
      <c r="P499" s="206" t="s">
        <v>91</v>
      </c>
    </row>
    <row r="500" spans="1:16" s="187" customFormat="1" ht="18" customHeight="1">
      <c r="A500" s="187" t="str">
        <f t="shared" si="7"/>
        <v>V10143C</v>
      </c>
      <c r="B500" s="208" t="s">
        <v>819</v>
      </c>
      <c r="C500" s="208"/>
      <c r="D500" s="208" t="s">
        <v>825</v>
      </c>
      <c r="E500" s="208" t="s">
        <v>29</v>
      </c>
      <c r="F500" s="208" t="s">
        <v>820</v>
      </c>
      <c r="G500" s="208" t="s">
        <v>821</v>
      </c>
      <c r="H500" s="208"/>
      <c r="I500" s="208"/>
      <c r="J500" s="208" t="s">
        <v>822</v>
      </c>
      <c r="K500" s="208" t="s">
        <v>823</v>
      </c>
      <c r="L500" s="208"/>
      <c r="M500" s="209"/>
      <c r="N500" s="208"/>
      <c r="O500" s="208" t="s">
        <v>260</v>
      </c>
      <c r="P500" s="208" t="s">
        <v>91</v>
      </c>
    </row>
    <row r="501" spans="1:16" s="187" customFormat="1" ht="18" customHeight="1">
      <c r="A501" s="187" t="str">
        <f t="shared" si="7"/>
        <v>V10265C</v>
      </c>
      <c r="B501" s="206" t="s">
        <v>827</v>
      </c>
      <c r="C501" s="206"/>
      <c r="D501" s="206" t="s">
        <v>826</v>
      </c>
      <c r="E501" s="206" t="s">
        <v>29</v>
      </c>
      <c r="F501" s="206" t="s">
        <v>828</v>
      </c>
      <c r="G501" s="206" t="s">
        <v>829</v>
      </c>
      <c r="H501" s="206"/>
      <c r="I501" s="206" t="s">
        <v>830</v>
      </c>
      <c r="J501" s="206" t="s">
        <v>4268</v>
      </c>
      <c r="K501" s="206" t="s">
        <v>832</v>
      </c>
      <c r="L501" s="206"/>
      <c r="M501" s="207"/>
      <c r="N501" s="206"/>
      <c r="O501" s="206"/>
      <c r="P501" s="206" t="s">
        <v>91</v>
      </c>
    </row>
    <row r="502" spans="1:16" s="187" customFormat="1" ht="18" customHeight="1">
      <c r="A502" s="187" t="str">
        <f t="shared" si="7"/>
        <v>V4038C0</v>
      </c>
      <c r="B502" s="208" t="s">
        <v>834</v>
      </c>
      <c r="C502" s="208"/>
      <c r="D502" s="208" t="s">
        <v>833</v>
      </c>
      <c r="E502" s="208" t="s">
        <v>29</v>
      </c>
      <c r="F502" s="208" t="s">
        <v>5732</v>
      </c>
      <c r="G502" s="208" t="s">
        <v>835</v>
      </c>
      <c r="H502" s="208"/>
      <c r="I502" s="208"/>
      <c r="J502" s="208" t="s">
        <v>836</v>
      </c>
      <c r="K502" s="208" t="s">
        <v>837</v>
      </c>
      <c r="L502" s="208"/>
      <c r="M502" s="209"/>
      <c r="N502" s="208"/>
      <c r="O502" s="208" t="s">
        <v>131</v>
      </c>
      <c r="P502" s="208" t="s">
        <v>107</v>
      </c>
    </row>
    <row r="503" spans="1:16" s="187" customFormat="1" ht="18" customHeight="1">
      <c r="A503" s="187" t="str">
        <f t="shared" si="7"/>
        <v>V10099A</v>
      </c>
      <c r="B503" s="206" t="s">
        <v>839</v>
      </c>
      <c r="C503" s="206"/>
      <c r="D503" s="206" t="s">
        <v>838</v>
      </c>
      <c r="E503" s="206" t="s">
        <v>29</v>
      </c>
      <c r="F503" s="206" t="s">
        <v>840</v>
      </c>
      <c r="G503" s="206" t="s">
        <v>841</v>
      </c>
      <c r="H503" s="206"/>
      <c r="I503" s="206" t="s">
        <v>842</v>
      </c>
      <c r="J503" s="206" t="s">
        <v>843</v>
      </c>
      <c r="K503" s="206" t="s">
        <v>844</v>
      </c>
      <c r="L503" s="206"/>
      <c r="M503" s="207"/>
      <c r="N503" s="206"/>
      <c r="O503" s="206" t="s">
        <v>260</v>
      </c>
      <c r="P503" s="206" t="s">
        <v>91</v>
      </c>
    </row>
    <row r="504" spans="1:16" s="187" customFormat="1" ht="18" customHeight="1">
      <c r="A504" s="187" t="str">
        <f t="shared" si="7"/>
        <v>V10099B</v>
      </c>
      <c r="B504" s="208" t="s">
        <v>839</v>
      </c>
      <c r="C504" s="208"/>
      <c r="D504" s="208" t="s">
        <v>845</v>
      </c>
      <c r="E504" s="208" t="s">
        <v>29</v>
      </c>
      <c r="F504" s="208" t="s">
        <v>840</v>
      </c>
      <c r="G504" s="208" t="s">
        <v>841</v>
      </c>
      <c r="H504" s="208"/>
      <c r="I504" s="208" t="s">
        <v>842</v>
      </c>
      <c r="J504" s="208" t="s">
        <v>843</v>
      </c>
      <c r="K504" s="208" t="s">
        <v>844</v>
      </c>
      <c r="L504" s="208"/>
      <c r="M504" s="209"/>
      <c r="N504" s="208"/>
      <c r="O504" s="208" t="s">
        <v>260</v>
      </c>
      <c r="P504" s="208" t="s">
        <v>91</v>
      </c>
    </row>
    <row r="505" spans="1:16" s="187" customFormat="1" ht="18" customHeight="1">
      <c r="A505" s="187" t="str">
        <f t="shared" si="7"/>
        <v>V10099C</v>
      </c>
      <c r="B505" s="206" t="s">
        <v>839</v>
      </c>
      <c r="C505" s="206"/>
      <c r="D505" s="206" t="s">
        <v>846</v>
      </c>
      <c r="E505" s="206" t="s">
        <v>29</v>
      </c>
      <c r="F505" s="206" t="s">
        <v>840</v>
      </c>
      <c r="G505" s="206" t="s">
        <v>841</v>
      </c>
      <c r="H505" s="206"/>
      <c r="I505" s="206" t="s">
        <v>842</v>
      </c>
      <c r="J505" s="206" t="s">
        <v>843</v>
      </c>
      <c r="K505" s="206" t="s">
        <v>844</v>
      </c>
      <c r="L505" s="206"/>
      <c r="M505" s="207"/>
      <c r="N505" s="206"/>
      <c r="O505" s="206" t="s">
        <v>260</v>
      </c>
      <c r="P505" s="206" t="s">
        <v>91</v>
      </c>
    </row>
    <row r="506" spans="1:16" s="187" customFormat="1" ht="18" customHeight="1">
      <c r="A506" s="187" t="str">
        <f t="shared" si="7"/>
        <v>V10505C</v>
      </c>
      <c r="B506" s="208" t="s">
        <v>6101</v>
      </c>
      <c r="C506" s="208"/>
      <c r="D506" s="208" t="s">
        <v>6102</v>
      </c>
      <c r="E506" s="208" t="s">
        <v>29</v>
      </c>
      <c r="F506" s="208" t="s">
        <v>6103</v>
      </c>
      <c r="G506" s="208"/>
      <c r="H506" s="208"/>
      <c r="I506" s="208" t="s">
        <v>6104</v>
      </c>
      <c r="J506" s="208" t="s">
        <v>6105</v>
      </c>
      <c r="K506" s="208" t="s">
        <v>6106</v>
      </c>
      <c r="L506" s="208"/>
      <c r="M506" s="209"/>
      <c r="N506" s="208"/>
      <c r="O506" s="208"/>
      <c r="P506" s="208" t="s">
        <v>91</v>
      </c>
    </row>
    <row r="507" spans="1:16" s="187" customFormat="1" ht="18" customHeight="1">
      <c r="A507" s="187" t="str">
        <f t="shared" si="7"/>
        <v>V10253C</v>
      </c>
      <c r="B507" s="206" t="s">
        <v>848</v>
      </c>
      <c r="C507" s="206"/>
      <c r="D507" s="206" t="s">
        <v>847</v>
      </c>
      <c r="E507" s="206" t="s">
        <v>29</v>
      </c>
      <c r="F507" s="206" t="s">
        <v>849</v>
      </c>
      <c r="G507" s="206" t="s">
        <v>850</v>
      </c>
      <c r="H507" s="206"/>
      <c r="I507" s="206"/>
      <c r="J507" s="206" t="s">
        <v>851</v>
      </c>
      <c r="K507" s="206" t="s">
        <v>852</v>
      </c>
      <c r="L507" s="206"/>
      <c r="M507" s="207"/>
      <c r="N507" s="206"/>
      <c r="O507" s="206"/>
      <c r="P507" s="206" t="s">
        <v>91</v>
      </c>
    </row>
    <row r="508" spans="1:16" s="187" customFormat="1" ht="18" customHeight="1">
      <c r="A508" s="187" t="str">
        <f t="shared" si="7"/>
        <v>V10211A</v>
      </c>
      <c r="B508" s="208" t="s">
        <v>854</v>
      </c>
      <c r="C508" s="208"/>
      <c r="D508" s="208" t="s">
        <v>853</v>
      </c>
      <c r="E508" s="208" t="s">
        <v>29</v>
      </c>
      <c r="F508" s="208" t="s">
        <v>855</v>
      </c>
      <c r="G508" s="208" t="s">
        <v>856</v>
      </c>
      <c r="H508" s="208"/>
      <c r="I508" s="208" t="s">
        <v>857</v>
      </c>
      <c r="J508" s="208" t="s">
        <v>858</v>
      </c>
      <c r="K508" s="208" t="s">
        <v>859</v>
      </c>
      <c r="L508" s="208"/>
      <c r="M508" s="209"/>
      <c r="N508" s="208"/>
      <c r="O508" s="208" t="s">
        <v>260</v>
      </c>
      <c r="P508" s="208" t="s">
        <v>91</v>
      </c>
    </row>
    <row r="509" spans="1:16" s="187" customFormat="1" ht="18" customHeight="1">
      <c r="A509" s="187" t="str">
        <f t="shared" si="7"/>
        <v>V10211B</v>
      </c>
      <c r="B509" s="206" t="s">
        <v>854</v>
      </c>
      <c r="C509" s="206"/>
      <c r="D509" s="206" t="s">
        <v>860</v>
      </c>
      <c r="E509" s="206" t="s">
        <v>29</v>
      </c>
      <c r="F509" s="206" t="s">
        <v>855</v>
      </c>
      <c r="G509" s="206" t="s">
        <v>856</v>
      </c>
      <c r="H509" s="206"/>
      <c r="I509" s="206" t="s">
        <v>857</v>
      </c>
      <c r="J509" s="206" t="s">
        <v>858</v>
      </c>
      <c r="K509" s="206" t="s">
        <v>859</v>
      </c>
      <c r="L509" s="206"/>
      <c r="M509" s="207"/>
      <c r="N509" s="206"/>
      <c r="O509" s="206" t="s">
        <v>260</v>
      </c>
      <c r="P509" s="206" t="s">
        <v>91</v>
      </c>
    </row>
    <row r="510" spans="1:16" s="187" customFormat="1" ht="18" customHeight="1">
      <c r="A510" s="187" t="str">
        <f t="shared" si="7"/>
        <v>V10211C</v>
      </c>
      <c r="B510" s="208" t="s">
        <v>854</v>
      </c>
      <c r="C510" s="208"/>
      <c r="D510" s="208" t="s">
        <v>861</v>
      </c>
      <c r="E510" s="208" t="s">
        <v>29</v>
      </c>
      <c r="F510" s="208" t="s">
        <v>855</v>
      </c>
      <c r="G510" s="208" t="s">
        <v>856</v>
      </c>
      <c r="H510" s="208"/>
      <c r="I510" s="208" t="s">
        <v>857</v>
      </c>
      <c r="J510" s="208" t="s">
        <v>858</v>
      </c>
      <c r="K510" s="208" t="s">
        <v>859</v>
      </c>
      <c r="L510" s="208"/>
      <c r="M510" s="209"/>
      <c r="N510" s="208"/>
      <c r="O510" s="208" t="s">
        <v>260</v>
      </c>
      <c r="P510" s="208" t="s">
        <v>91</v>
      </c>
    </row>
    <row r="511" spans="1:16" s="187" customFormat="1" ht="18" customHeight="1">
      <c r="A511" s="187" t="str">
        <f t="shared" si="7"/>
        <v>V10093A</v>
      </c>
      <c r="B511" s="206" t="s">
        <v>863</v>
      </c>
      <c r="C511" s="206"/>
      <c r="D511" s="206" t="s">
        <v>862</v>
      </c>
      <c r="E511" s="206" t="s">
        <v>29</v>
      </c>
      <c r="F511" s="206" t="s">
        <v>864</v>
      </c>
      <c r="G511" s="206" t="s">
        <v>865</v>
      </c>
      <c r="H511" s="206"/>
      <c r="I511" s="206"/>
      <c r="J511" s="206" t="s">
        <v>866</v>
      </c>
      <c r="K511" s="206" t="s">
        <v>867</v>
      </c>
      <c r="L511" s="206"/>
      <c r="M511" s="207"/>
      <c r="N511" s="206"/>
      <c r="O511" s="206" t="s">
        <v>260</v>
      </c>
      <c r="P511" s="206" t="s">
        <v>91</v>
      </c>
    </row>
    <row r="512" spans="1:16" s="187" customFormat="1" ht="18" customHeight="1">
      <c r="A512" s="187" t="str">
        <f t="shared" si="7"/>
        <v>V10093B</v>
      </c>
      <c r="B512" s="208" t="s">
        <v>863</v>
      </c>
      <c r="C512" s="208"/>
      <c r="D512" s="208" t="s">
        <v>868</v>
      </c>
      <c r="E512" s="208" t="s">
        <v>29</v>
      </c>
      <c r="F512" s="208" t="s">
        <v>864</v>
      </c>
      <c r="G512" s="208" t="s">
        <v>865</v>
      </c>
      <c r="H512" s="208"/>
      <c r="I512" s="208"/>
      <c r="J512" s="208" t="s">
        <v>869</v>
      </c>
      <c r="K512" s="208" t="s">
        <v>867</v>
      </c>
      <c r="L512" s="208"/>
      <c r="M512" s="209"/>
      <c r="N512" s="208"/>
      <c r="O512" s="208" t="s">
        <v>260</v>
      </c>
      <c r="P512" s="208" t="s">
        <v>91</v>
      </c>
    </row>
    <row r="513" spans="1:16" s="187" customFormat="1" ht="18" customHeight="1">
      <c r="A513" s="187" t="str">
        <f t="shared" si="7"/>
        <v>V10093C</v>
      </c>
      <c r="B513" s="206" t="s">
        <v>863</v>
      </c>
      <c r="C513" s="206"/>
      <c r="D513" s="206" t="s">
        <v>870</v>
      </c>
      <c r="E513" s="206" t="s">
        <v>29</v>
      </c>
      <c r="F513" s="206" t="s">
        <v>864</v>
      </c>
      <c r="G513" s="206" t="s">
        <v>865</v>
      </c>
      <c r="H513" s="206"/>
      <c r="I513" s="206"/>
      <c r="J513" s="206" t="s">
        <v>869</v>
      </c>
      <c r="K513" s="206" t="s">
        <v>867</v>
      </c>
      <c r="L513" s="206"/>
      <c r="M513" s="207"/>
      <c r="N513" s="206"/>
      <c r="O513" s="206" t="s">
        <v>260</v>
      </c>
      <c r="P513" s="206" t="s">
        <v>91</v>
      </c>
    </row>
    <row r="514" spans="1:16" s="187" customFormat="1" ht="18" customHeight="1">
      <c r="A514" s="187" t="str">
        <f t="shared" si="7"/>
        <v>V10267A</v>
      </c>
      <c r="B514" s="208" t="s">
        <v>872</v>
      </c>
      <c r="C514" s="208"/>
      <c r="D514" s="208" t="s">
        <v>877</v>
      </c>
      <c r="E514" s="208" t="s">
        <v>29</v>
      </c>
      <c r="F514" s="208" t="s">
        <v>873</v>
      </c>
      <c r="G514" s="208" t="s">
        <v>874</v>
      </c>
      <c r="H514" s="208"/>
      <c r="I514" s="208"/>
      <c r="J514" s="208" t="s">
        <v>875</v>
      </c>
      <c r="K514" s="208" t="s">
        <v>876</v>
      </c>
      <c r="L514" s="208"/>
      <c r="M514" s="209"/>
      <c r="N514" s="208"/>
      <c r="O514" s="208"/>
      <c r="P514" s="208" t="s">
        <v>91</v>
      </c>
    </row>
    <row r="515" spans="1:16" s="187" customFormat="1" ht="18" customHeight="1">
      <c r="A515" s="187" t="str">
        <f t="shared" si="7"/>
        <v>V10267B</v>
      </c>
      <c r="B515" s="206" t="s">
        <v>872</v>
      </c>
      <c r="C515" s="206"/>
      <c r="D515" s="206" t="s">
        <v>878</v>
      </c>
      <c r="E515" s="206" t="s">
        <v>29</v>
      </c>
      <c r="F515" s="206" t="s">
        <v>873</v>
      </c>
      <c r="G515" s="206" t="s">
        <v>874</v>
      </c>
      <c r="H515" s="206"/>
      <c r="I515" s="206"/>
      <c r="J515" s="206" t="s">
        <v>875</v>
      </c>
      <c r="K515" s="206" t="s">
        <v>876</v>
      </c>
      <c r="L515" s="206"/>
      <c r="M515" s="207"/>
      <c r="N515" s="206"/>
      <c r="O515" s="206"/>
      <c r="P515" s="206" t="s">
        <v>91</v>
      </c>
    </row>
    <row r="516" spans="1:16" s="187" customFormat="1" ht="18" customHeight="1">
      <c r="A516" s="187" t="str">
        <f t="shared" si="7"/>
        <v>V10267C</v>
      </c>
      <c r="B516" s="208" t="s">
        <v>872</v>
      </c>
      <c r="C516" s="208"/>
      <c r="D516" s="208" t="s">
        <v>871</v>
      </c>
      <c r="E516" s="208" t="s">
        <v>29</v>
      </c>
      <c r="F516" s="208" t="s">
        <v>873</v>
      </c>
      <c r="G516" s="208" t="s">
        <v>874</v>
      </c>
      <c r="H516" s="208"/>
      <c r="I516" s="208"/>
      <c r="J516" s="208" t="s">
        <v>875</v>
      </c>
      <c r="K516" s="208" t="s">
        <v>876</v>
      </c>
      <c r="L516" s="208"/>
      <c r="M516" s="209"/>
      <c r="N516" s="208"/>
      <c r="O516" s="208"/>
      <c r="P516" s="208" t="s">
        <v>91</v>
      </c>
    </row>
    <row r="517" spans="1:16" s="187" customFormat="1" ht="18" customHeight="1">
      <c r="A517" s="187" t="str">
        <f t="shared" si="7"/>
        <v>V10129A</v>
      </c>
      <c r="B517" s="206" t="s">
        <v>880</v>
      </c>
      <c r="C517" s="206"/>
      <c r="D517" s="206" t="s">
        <v>879</v>
      </c>
      <c r="E517" s="206" t="s">
        <v>29</v>
      </c>
      <c r="F517" s="206" t="s">
        <v>881</v>
      </c>
      <c r="G517" s="206" t="s">
        <v>882</v>
      </c>
      <c r="H517" s="206"/>
      <c r="I517" s="206"/>
      <c r="J517" s="206" t="s">
        <v>5110</v>
      </c>
      <c r="K517" s="206" t="s">
        <v>883</v>
      </c>
      <c r="L517" s="206"/>
      <c r="M517" s="207"/>
      <c r="N517" s="206"/>
      <c r="O517" s="206" t="s">
        <v>260</v>
      </c>
      <c r="P517" s="206" t="s">
        <v>91</v>
      </c>
    </row>
    <row r="518" spans="1:16" s="187" customFormat="1" ht="18" customHeight="1">
      <c r="A518" s="187" t="str">
        <f t="shared" ref="A518:A581" si="8">D518</f>
        <v>V10129B</v>
      </c>
      <c r="B518" s="208" t="s">
        <v>880</v>
      </c>
      <c r="C518" s="208"/>
      <c r="D518" s="208" t="s">
        <v>884</v>
      </c>
      <c r="E518" s="208" t="s">
        <v>29</v>
      </c>
      <c r="F518" s="208" t="s">
        <v>881</v>
      </c>
      <c r="G518" s="208" t="s">
        <v>882</v>
      </c>
      <c r="H518" s="208"/>
      <c r="I518" s="208"/>
      <c r="J518" s="208" t="s">
        <v>5110</v>
      </c>
      <c r="K518" s="208" t="s">
        <v>883</v>
      </c>
      <c r="L518" s="208"/>
      <c r="M518" s="209"/>
      <c r="N518" s="208"/>
      <c r="O518" s="208" t="s">
        <v>260</v>
      </c>
      <c r="P518" s="208" t="s">
        <v>91</v>
      </c>
    </row>
    <row r="519" spans="1:16" s="187" customFormat="1" ht="18" customHeight="1">
      <c r="A519" s="187" t="str">
        <f t="shared" si="8"/>
        <v>V10129C</v>
      </c>
      <c r="B519" s="206" t="s">
        <v>880</v>
      </c>
      <c r="C519" s="206"/>
      <c r="D519" s="206" t="s">
        <v>885</v>
      </c>
      <c r="E519" s="206" t="s">
        <v>29</v>
      </c>
      <c r="F519" s="206" t="s">
        <v>881</v>
      </c>
      <c r="G519" s="206" t="s">
        <v>882</v>
      </c>
      <c r="H519" s="206"/>
      <c r="I519" s="206"/>
      <c r="J519" s="206" t="s">
        <v>5110</v>
      </c>
      <c r="K519" s="206" t="s">
        <v>883</v>
      </c>
      <c r="L519" s="206"/>
      <c r="M519" s="207"/>
      <c r="N519" s="206"/>
      <c r="O519" s="206" t="s">
        <v>260</v>
      </c>
      <c r="P519" s="206" t="s">
        <v>91</v>
      </c>
    </row>
    <row r="520" spans="1:16" s="187" customFormat="1" ht="18" customHeight="1">
      <c r="A520" s="187" t="str">
        <f t="shared" si="8"/>
        <v>V10061A</v>
      </c>
      <c r="B520" s="208" t="s">
        <v>887</v>
      </c>
      <c r="C520" s="208"/>
      <c r="D520" s="208" t="s">
        <v>886</v>
      </c>
      <c r="E520" s="208" t="s">
        <v>29</v>
      </c>
      <c r="F520" s="208" t="s">
        <v>888</v>
      </c>
      <c r="G520" s="208" t="s">
        <v>889</v>
      </c>
      <c r="H520" s="208"/>
      <c r="I520" s="208"/>
      <c r="J520" s="208" t="s">
        <v>890</v>
      </c>
      <c r="K520" s="208" t="s">
        <v>891</v>
      </c>
      <c r="L520" s="208"/>
      <c r="M520" s="209"/>
      <c r="N520" s="208"/>
      <c r="O520" s="208" t="s">
        <v>260</v>
      </c>
      <c r="P520" s="208" t="s">
        <v>91</v>
      </c>
    </row>
    <row r="521" spans="1:16" s="187" customFormat="1" ht="18" customHeight="1">
      <c r="A521" s="187" t="str">
        <f t="shared" si="8"/>
        <v>V10061B</v>
      </c>
      <c r="B521" s="206" t="s">
        <v>887</v>
      </c>
      <c r="C521" s="206"/>
      <c r="D521" s="206" t="s">
        <v>892</v>
      </c>
      <c r="E521" s="206" t="s">
        <v>29</v>
      </c>
      <c r="F521" s="206" t="s">
        <v>888</v>
      </c>
      <c r="G521" s="206" t="s">
        <v>889</v>
      </c>
      <c r="H521" s="206"/>
      <c r="I521" s="206"/>
      <c r="J521" s="206" t="s">
        <v>890</v>
      </c>
      <c r="K521" s="206" t="s">
        <v>891</v>
      </c>
      <c r="L521" s="206"/>
      <c r="M521" s="207"/>
      <c r="N521" s="206"/>
      <c r="O521" s="206" t="s">
        <v>260</v>
      </c>
      <c r="P521" s="206" t="s">
        <v>91</v>
      </c>
    </row>
    <row r="522" spans="1:16" s="187" customFormat="1" ht="18" customHeight="1">
      <c r="A522" s="187" t="str">
        <f t="shared" si="8"/>
        <v>V10061C</v>
      </c>
      <c r="B522" s="208" t="s">
        <v>887</v>
      </c>
      <c r="C522" s="208"/>
      <c r="D522" s="208" t="s">
        <v>893</v>
      </c>
      <c r="E522" s="208" t="s">
        <v>29</v>
      </c>
      <c r="F522" s="208" t="s">
        <v>888</v>
      </c>
      <c r="G522" s="208" t="s">
        <v>889</v>
      </c>
      <c r="H522" s="208"/>
      <c r="I522" s="208"/>
      <c r="J522" s="208" t="s">
        <v>890</v>
      </c>
      <c r="K522" s="208" t="s">
        <v>891</v>
      </c>
      <c r="L522" s="208"/>
      <c r="M522" s="209"/>
      <c r="N522" s="208"/>
      <c r="O522" s="208" t="s">
        <v>260</v>
      </c>
      <c r="P522" s="208" t="s">
        <v>91</v>
      </c>
    </row>
    <row r="523" spans="1:16" s="187" customFormat="1" ht="18" customHeight="1">
      <c r="A523" s="187" t="str">
        <f t="shared" si="8"/>
        <v>V10236A</v>
      </c>
      <c r="B523" s="206" t="s">
        <v>895</v>
      </c>
      <c r="C523" s="206"/>
      <c r="D523" s="206" t="s">
        <v>894</v>
      </c>
      <c r="E523" s="206" t="s">
        <v>29</v>
      </c>
      <c r="F523" s="206" t="s">
        <v>896</v>
      </c>
      <c r="G523" s="206"/>
      <c r="H523" s="206"/>
      <c r="I523" s="206" t="s">
        <v>897</v>
      </c>
      <c r="J523" s="206" t="s">
        <v>898</v>
      </c>
      <c r="K523" s="206" t="s">
        <v>899</v>
      </c>
      <c r="L523" s="206"/>
      <c r="M523" s="207"/>
      <c r="N523" s="206"/>
      <c r="O523" s="206" t="s">
        <v>260</v>
      </c>
      <c r="P523" s="206" t="s">
        <v>91</v>
      </c>
    </row>
    <row r="524" spans="1:16" s="187" customFormat="1" ht="18" customHeight="1">
      <c r="A524" s="187" t="str">
        <f t="shared" si="8"/>
        <v>V10236B</v>
      </c>
      <c r="B524" s="208" t="s">
        <v>895</v>
      </c>
      <c r="C524" s="208"/>
      <c r="D524" s="208" t="s">
        <v>900</v>
      </c>
      <c r="E524" s="208" t="s">
        <v>29</v>
      </c>
      <c r="F524" s="208" t="s">
        <v>896</v>
      </c>
      <c r="G524" s="208"/>
      <c r="H524" s="208"/>
      <c r="I524" s="208" t="s">
        <v>897</v>
      </c>
      <c r="J524" s="208" t="s">
        <v>898</v>
      </c>
      <c r="K524" s="208" t="s">
        <v>899</v>
      </c>
      <c r="L524" s="208"/>
      <c r="M524" s="209"/>
      <c r="N524" s="208"/>
      <c r="O524" s="208" t="s">
        <v>260</v>
      </c>
      <c r="P524" s="208" t="s">
        <v>91</v>
      </c>
    </row>
    <row r="525" spans="1:16" s="187" customFormat="1" ht="18" customHeight="1">
      <c r="A525" s="187" t="str">
        <f t="shared" si="8"/>
        <v>V10236C</v>
      </c>
      <c r="B525" s="206" t="s">
        <v>895</v>
      </c>
      <c r="C525" s="206"/>
      <c r="D525" s="206" t="s">
        <v>901</v>
      </c>
      <c r="E525" s="206" t="s">
        <v>29</v>
      </c>
      <c r="F525" s="206" t="s">
        <v>896</v>
      </c>
      <c r="G525" s="206"/>
      <c r="H525" s="206"/>
      <c r="I525" s="206" t="s">
        <v>897</v>
      </c>
      <c r="J525" s="206" t="s">
        <v>898</v>
      </c>
      <c r="K525" s="206" t="s">
        <v>899</v>
      </c>
      <c r="L525" s="206"/>
      <c r="M525" s="207"/>
      <c r="N525" s="206"/>
      <c r="O525" s="206" t="s">
        <v>260</v>
      </c>
      <c r="P525" s="206" t="s">
        <v>91</v>
      </c>
    </row>
    <row r="526" spans="1:16" s="187" customFormat="1" ht="18" customHeight="1">
      <c r="A526" s="187" t="str">
        <f t="shared" si="8"/>
        <v>V10245A</v>
      </c>
      <c r="B526" s="208" t="s">
        <v>903</v>
      </c>
      <c r="C526" s="208"/>
      <c r="D526" s="208" t="s">
        <v>902</v>
      </c>
      <c r="E526" s="208" t="s">
        <v>29</v>
      </c>
      <c r="F526" s="208" t="s">
        <v>904</v>
      </c>
      <c r="G526" s="208"/>
      <c r="H526" s="208"/>
      <c r="I526" s="208" t="s">
        <v>905</v>
      </c>
      <c r="J526" s="208" t="s">
        <v>906</v>
      </c>
      <c r="K526" s="208" t="s">
        <v>907</v>
      </c>
      <c r="L526" s="208"/>
      <c r="M526" s="209"/>
      <c r="N526" s="208"/>
      <c r="O526" s="208" t="s">
        <v>260</v>
      </c>
      <c r="P526" s="208" t="s">
        <v>91</v>
      </c>
    </row>
    <row r="527" spans="1:16" s="187" customFormat="1" ht="18" customHeight="1">
      <c r="A527" s="187" t="str">
        <f t="shared" si="8"/>
        <v>V10245B</v>
      </c>
      <c r="B527" s="206" t="s">
        <v>903</v>
      </c>
      <c r="C527" s="206"/>
      <c r="D527" s="206" t="s">
        <v>908</v>
      </c>
      <c r="E527" s="206" t="s">
        <v>29</v>
      </c>
      <c r="F527" s="206" t="s">
        <v>904</v>
      </c>
      <c r="G527" s="206"/>
      <c r="H527" s="206"/>
      <c r="I527" s="206" t="s">
        <v>905</v>
      </c>
      <c r="J527" s="206" t="s">
        <v>906</v>
      </c>
      <c r="K527" s="206" t="s">
        <v>907</v>
      </c>
      <c r="L527" s="206"/>
      <c r="M527" s="207"/>
      <c r="N527" s="206"/>
      <c r="O527" s="206" t="s">
        <v>260</v>
      </c>
      <c r="P527" s="206" t="s">
        <v>91</v>
      </c>
    </row>
    <row r="528" spans="1:16" s="187" customFormat="1" ht="18" customHeight="1">
      <c r="A528" s="187" t="str">
        <f t="shared" si="8"/>
        <v>V10245C</v>
      </c>
      <c r="B528" s="208" t="s">
        <v>903</v>
      </c>
      <c r="C528" s="208"/>
      <c r="D528" s="208" t="s">
        <v>909</v>
      </c>
      <c r="E528" s="208" t="s">
        <v>29</v>
      </c>
      <c r="F528" s="208" t="s">
        <v>904</v>
      </c>
      <c r="G528" s="208"/>
      <c r="H528" s="208"/>
      <c r="I528" s="208" t="s">
        <v>905</v>
      </c>
      <c r="J528" s="208" t="s">
        <v>906</v>
      </c>
      <c r="K528" s="208" t="s">
        <v>907</v>
      </c>
      <c r="L528" s="208"/>
      <c r="M528" s="209"/>
      <c r="N528" s="208"/>
      <c r="O528" s="208" t="s">
        <v>260</v>
      </c>
      <c r="P528" s="208" t="s">
        <v>91</v>
      </c>
    </row>
    <row r="529" spans="1:16" s="187" customFormat="1" ht="18" customHeight="1">
      <c r="A529" s="187" t="str">
        <f t="shared" si="8"/>
        <v>V10274C</v>
      </c>
      <c r="B529" s="206" t="s">
        <v>911</v>
      </c>
      <c r="C529" s="206"/>
      <c r="D529" s="206" t="s">
        <v>910</v>
      </c>
      <c r="E529" s="206" t="s">
        <v>29</v>
      </c>
      <c r="F529" s="206" t="s">
        <v>912</v>
      </c>
      <c r="G529" s="206" t="s">
        <v>913</v>
      </c>
      <c r="H529" s="206"/>
      <c r="I529" s="206" t="s">
        <v>914</v>
      </c>
      <c r="J529" s="206" t="s">
        <v>915</v>
      </c>
      <c r="K529" s="206" t="s">
        <v>916</v>
      </c>
      <c r="L529" s="206"/>
      <c r="M529" s="207"/>
      <c r="N529" s="206"/>
      <c r="O529" s="206"/>
      <c r="P529" s="206" t="s">
        <v>91</v>
      </c>
    </row>
    <row r="530" spans="1:16" s="187" customFormat="1" ht="18" customHeight="1">
      <c r="A530" s="187" t="str">
        <f t="shared" si="8"/>
        <v>V10274B</v>
      </c>
      <c r="B530" s="208" t="s">
        <v>4270</v>
      </c>
      <c r="C530" s="208"/>
      <c r="D530" s="208" t="s">
        <v>4269</v>
      </c>
      <c r="E530" s="208" t="s">
        <v>29</v>
      </c>
      <c r="F530" s="208" t="s">
        <v>4271</v>
      </c>
      <c r="G530" s="208"/>
      <c r="H530" s="208"/>
      <c r="I530" s="208" t="s">
        <v>4272</v>
      </c>
      <c r="J530" s="208" t="s">
        <v>4273</v>
      </c>
      <c r="K530" s="208" t="s">
        <v>916</v>
      </c>
      <c r="L530" s="208"/>
      <c r="M530" s="209"/>
      <c r="N530" s="208"/>
      <c r="O530" s="208"/>
      <c r="P530" s="208" t="s">
        <v>91</v>
      </c>
    </row>
    <row r="531" spans="1:16" s="187" customFormat="1" ht="18" customHeight="1">
      <c r="A531" s="187" t="str">
        <f t="shared" si="8"/>
        <v>V10160A</v>
      </c>
      <c r="B531" s="206" t="s">
        <v>918</v>
      </c>
      <c r="C531" s="206"/>
      <c r="D531" s="206" t="s">
        <v>917</v>
      </c>
      <c r="E531" s="206" t="s">
        <v>29</v>
      </c>
      <c r="F531" s="206" t="s">
        <v>919</v>
      </c>
      <c r="G531" s="206" t="s">
        <v>920</v>
      </c>
      <c r="H531" s="206"/>
      <c r="I531" s="206" t="s">
        <v>921</v>
      </c>
      <c r="J531" s="206" t="s">
        <v>922</v>
      </c>
      <c r="K531" s="206" t="s">
        <v>923</v>
      </c>
      <c r="L531" s="206"/>
      <c r="M531" s="207"/>
      <c r="N531" s="206"/>
      <c r="O531" s="206" t="s">
        <v>260</v>
      </c>
      <c r="P531" s="206" t="s">
        <v>91</v>
      </c>
    </row>
    <row r="532" spans="1:16" s="187" customFormat="1" ht="18" customHeight="1">
      <c r="A532" s="187" t="str">
        <f t="shared" si="8"/>
        <v>V10160B</v>
      </c>
      <c r="B532" s="208" t="s">
        <v>918</v>
      </c>
      <c r="C532" s="208"/>
      <c r="D532" s="208" t="s">
        <v>924</v>
      </c>
      <c r="E532" s="208" t="s">
        <v>29</v>
      </c>
      <c r="F532" s="208" t="s">
        <v>919</v>
      </c>
      <c r="G532" s="208" t="s">
        <v>920</v>
      </c>
      <c r="H532" s="208"/>
      <c r="I532" s="208" t="s">
        <v>921</v>
      </c>
      <c r="J532" s="208" t="s">
        <v>922</v>
      </c>
      <c r="K532" s="208" t="s">
        <v>923</v>
      </c>
      <c r="L532" s="208"/>
      <c r="M532" s="209"/>
      <c r="N532" s="208"/>
      <c r="O532" s="208" t="s">
        <v>260</v>
      </c>
      <c r="P532" s="208" t="s">
        <v>91</v>
      </c>
    </row>
    <row r="533" spans="1:16" s="187" customFormat="1" ht="18" customHeight="1">
      <c r="A533" s="187" t="str">
        <f t="shared" si="8"/>
        <v>V10160C</v>
      </c>
      <c r="B533" s="206" t="s">
        <v>918</v>
      </c>
      <c r="C533" s="206"/>
      <c r="D533" s="206" t="s">
        <v>925</v>
      </c>
      <c r="E533" s="206" t="s">
        <v>29</v>
      </c>
      <c r="F533" s="206" t="s">
        <v>919</v>
      </c>
      <c r="G533" s="206" t="s">
        <v>920</v>
      </c>
      <c r="H533" s="206"/>
      <c r="I533" s="206" t="s">
        <v>921</v>
      </c>
      <c r="J533" s="206" t="s">
        <v>922</v>
      </c>
      <c r="K533" s="206" t="s">
        <v>923</v>
      </c>
      <c r="L533" s="206"/>
      <c r="M533" s="207"/>
      <c r="N533" s="206"/>
      <c r="O533" s="206" t="s">
        <v>260</v>
      </c>
      <c r="P533" s="206" t="s">
        <v>91</v>
      </c>
    </row>
    <row r="534" spans="1:16" s="187" customFormat="1" ht="18" customHeight="1">
      <c r="A534" s="187" t="str">
        <f t="shared" si="8"/>
        <v>V10472C</v>
      </c>
      <c r="B534" s="208" t="s">
        <v>5932</v>
      </c>
      <c r="C534" s="208"/>
      <c r="D534" s="208" t="s">
        <v>5839</v>
      </c>
      <c r="E534" s="208" t="s">
        <v>29</v>
      </c>
      <c r="F534" s="208" t="s">
        <v>5840</v>
      </c>
      <c r="G534" s="208" t="s">
        <v>5841</v>
      </c>
      <c r="H534" s="208"/>
      <c r="I534" s="208"/>
      <c r="J534" s="208" t="s">
        <v>4284</v>
      </c>
      <c r="K534" s="208" t="s">
        <v>5842</v>
      </c>
      <c r="L534" s="208"/>
      <c r="M534" s="209"/>
      <c r="N534" s="208"/>
      <c r="O534" s="208"/>
      <c r="P534" s="208" t="s">
        <v>91</v>
      </c>
    </row>
    <row r="535" spans="1:16" s="187" customFormat="1" ht="18" customHeight="1">
      <c r="A535" s="187" t="str">
        <f t="shared" si="8"/>
        <v>V4064C0</v>
      </c>
      <c r="B535" s="206" t="s">
        <v>927</v>
      </c>
      <c r="C535" s="206"/>
      <c r="D535" s="206" t="s">
        <v>926</v>
      </c>
      <c r="E535" s="206" t="s">
        <v>29</v>
      </c>
      <c r="F535" s="206" t="s">
        <v>928</v>
      </c>
      <c r="G535" s="206" t="s">
        <v>929</v>
      </c>
      <c r="H535" s="206"/>
      <c r="I535" s="206" t="s">
        <v>930</v>
      </c>
      <c r="J535" s="206" t="s">
        <v>931</v>
      </c>
      <c r="K535" s="206" t="s">
        <v>932</v>
      </c>
      <c r="L535" s="206"/>
      <c r="M535" s="207"/>
      <c r="N535" s="206"/>
      <c r="O535" s="206"/>
      <c r="P535" s="206" t="s">
        <v>107</v>
      </c>
    </row>
    <row r="536" spans="1:16" s="187" customFormat="1" ht="18" customHeight="1">
      <c r="A536" s="187" t="str">
        <f t="shared" si="8"/>
        <v>V10169A</v>
      </c>
      <c r="B536" s="208" t="s">
        <v>934</v>
      </c>
      <c r="C536" s="208"/>
      <c r="D536" s="208" t="s">
        <v>933</v>
      </c>
      <c r="E536" s="208" t="s">
        <v>29</v>
      </c>
      <c r="F536" s="208" t="s">
        <v>935</v>
      </c>
      <c r="G536" s="208" t="s">
        <v>936</v>
      </c>
      <c r="H536" s="208"/>
      <c r="I536" s="208" t="s">
        <v>937</v>
      </c>
      <c r="J536" s="208" t="s">
        <v>938</v>
      </c>
      <c r="K536" s="208" t="s">
        <v>939</v>
      </c>
      <c r="L536" s="208"/>
      <c r="M536" s="209"/>
      <c r="N536" s="208"/>
      <c r="O536" s="208" t="s">
        <v>260</v>
      </c>
      <c r="P536" s="208" t="s">
        <v>91</v>
      </c>
    </row>
    <row r="537" spans="1:16" s="187" customFormat="1" ht="18" customHeight="1">
      <c r="A537" s="187" t="str">
        <f t="shared" si="8"/>
        <v>V10169B</v>
      </c>
      <c r="B537" s="206" t="s">
        <v>934</v>
      </c>
      <c r="C537" s="206"/>
      <c r="D537" s="206" t="s">
        <v>940</v>
      </c>
      <c r="E537" s="206" t="s">
        <v>29</v>
      </c>
      <c r="F537" s="206" t="s">
        <v>935</v>
      </c>
      <c r="G537" s="206" t="s">
        <v>936</v>
      </c>
      <c r="H537" s="206"/>
      <c r="I537" s="206" t="s">
        <v>937</v>
      </c>
      <c r="J537" s="206" t="s">
        <v>938</v>
      </c>
      <c r="K537" s="206" t="s">
        <v>939</v>
      </c>
      <c r="L537" s="206"/>
      <c r="M537" s="207"/>
      <c r="N537" s="206"/>
      <c r="O537" s="206" t="s">
        <v>260</v>
      </c>
      <c r="P537" s="206" t="s">
        <v>91</v>
      </c>
    </row>
    <row r="538" spans="1:16" s="187" customFormat="1" ht="18" customHeight="1">
      <c r="A538" s="187" t="str">
        <f t="shared" si="8"/>
        <v>V10169C</v>
      </c>
      <c r="B538" s="208" t="s">
        <v>934</v>
      </c>
      <c r="C538" s="208"/>
      <c r="D538" s="208" t="s">
        <v>941</v>
      </c>
      <c r="E538" s="208" t="s">
        <v>29</v>
      </c>
      <c r="F538" s="208" t="s">
        <v>935</v>
      </c>
      <c r="G538" s="208" t="s">
        <v>936</v>
      </c>
      <c r="H538" s="208"/>
      <c r="I538" s="208" t="s">
        <v>937</v>
      </c>
      <c r="J538" s="208" t="s">
        <v>938</v>
      </c>
      <c r="K538" s="208" t="s">
        <v>939</v>
      </c>
      <c r="L538" s="208"/>
      <c r="M538" s="209"/>
      <c r="N538" s="208"/>
      <c r="O538" s="208" t="s">
        <v>260</v>
      </c>
      <c r="P538" s="208" t="s">
        <v>91</v>
      </c>
    </row>
    <row r="539" spans="1:16" s="187" customFormat="1" ht="18" customHeight="1">
      <c r="A539" s="187" t="str">
        <f t="shared" si="8"/>
        <v>V10525C</v>
      </c>
      <c r="B539" s="206" t="s">
        <v>6316</v>
      </c>
      <c r="C539" s="206"/>
      <c r="D539" s="206" t="s">
        <v>6317</v>
      </c>
      <c r="E539" s="206" t="s">
        <v>29</v>
      </c>
      <c r="F539" s="206" t="s">
        <v>6318</v>
      </c>
      <c r="G539" s="206" t="s">
        <v>6319</v>
      </c>
      <c r="H539" s="206"/>
      <c r="I539" s="206" t="s">
        <v>6320</v>
      </c>
      <c r="J539" s="206" t="s">
        <v>6321</v>
      </c>
      <c r="K539" s="206" t="s">
        <v>6322</v>
      </c>
      <c r="L539" s="206"/>
      <c r="M539" s="207"/>
      <c r="N539" s="206"/>
      <c r="O539" s="206" t="s">
        <v>260</v>
      </c>
      <c r="P539" s="206" t="s">
        <v>91</v>
      </c>
    </row>
    <row r="540" spans="1:16" s="187" customFormat="1" ht="18" customHeight="1">
      <c r="A540" s="187" t="str">
        <f t="shared" si="8"/>
        <v>CG440037C0</v>
      </c>
      <c r="B540" s="208" t="s">
        <v>5431</v>
      </c>
      <c r="C540" s="208"/>
      <c r="D540" s="208" t="s">
        <v>5432</v>
      </c>
      <c r="E540" s="208" t="s">
        <v>29</v>
      </c>
      <c r="F540" s="208" t="s">
        <v>5433</v>
      </c>
      <c r="G540" s="208"/>
      <c r="H540" s="208"/>
      <c r="I540" s="208"/>
      <c r="J540" s="208"/>
      <c r="K540" s="208"/>
      <c r="L540" s="208"/>
      <c r="M540" s="209"/>
      <c r="N540" s="208"/>
      <c r="O540" s="208"/>
      <c r="P540" s="208" t="s">
        <v>100</v>
      </c>
    </row>
    <row r="541" spans="1:16" s="187" customFormat="1" ht="18" customHeight="1">
      <c r="A541" s="187" t="str">
        <f t="shared" si="8"/>
        <v>V10324C</v>
      </c>
      <c r="B541" s="206" t="s">
        <v>4275</v>
      </c>
      <c r="C541" s="206"/>
      <c r="D541" s="206" t="s">
        <v>4274</v>
      </c>
      <c r="E541" s="206" t="s">
        <v>29</v>
      </c>
      <c r="F541" s="206" t="s">
        <v>4276</v>
      </c>
      <c r="G541" s="206"/>
      <c r="H541" s="206"/>
      <c r="I541" s="206"/>
      <c r="J541" s="206" t="s">
        <v>1048</v>
      </c>
      <c r="K541" s="206" t="s">
        <v>4277</v>
      </c>
      <c r="L541" s="206"/>
      <c r="M541" s="207"/>
      <c r="N541" s="206"/>
      <c r="O541" s="206"/>
      <c r="P541" s="206" t="s">
        <v>91</v>
      </c>
    </row>
    <row r="542" spans="1:16" s="187" customFormat="1" ht="18" customHeight="1">
      <c r="A542" s="187" t="str">
        <f t="shared" si="8"/>
        <v>V10241A</v>
      </c>
      <c r="B542" s="208" t="s">
        <v>943</v>
      </c>
      <c r="C542" s="208"/>
      <c r="D542" s="208" t="s">
        <v>942</v>
      </c>
      <c r="E542" s="208" t="s">
        <v>29</v>
      </c>
      <c r="F542" s="208" t="s">
        <v>944</v>
      </c>
      <c r="G542" s="208" t="s">
        <v>945</v>
      </c>
      <c r="H542" s="208"/>
      <c r="I542" s="208"/>
      <c r="J542" s="208" t="s">
        <v>946</v>
      </c>
      <c r="K542" s="208" t="s">
        <v>947</v>
      </c>
      <c r="L542" s="208"/>
      <c r="M542" s="209"/>
      <c r="N542" s="208"/>
      <c r="O542" s="208" t="s">
        <v>260</v>
      </c>
      <c r="P542" s="208" t="s">
        <v>91</v>
      </c>
    </row>
    <row r="543" spans="1:16" s="187" customFormat="1" ht="18" customHeight="1">
      <c r="A543" s="187" t="str">
        <f t="shared" si="8"/>
        <v>V10241B</v>
      </c>
      <c r="B543" s="206" t="s">
        <v>943</v>
      </c>
      <c r="C543" s="206"/>
      <c r="D543" s="206" t="s">
        <v>948</v>
      </c>
      <c r="E543" s="206" t="s">
        <v>29</v>
      </c>
      <c r="F543" s="206" t="s">
        <v>944</v>
      </c>
      <c r="G543" s="206" t="s">
        <v>945</v>
      </c>
      <c r="H543" s="206"/>
      <c r="I543" s="206"/>
      <c r="J543" s="206" t="s">
        <v>946</v>
      </c>
      <c r="K543" s="206" t="s">
        <v>947</v>
      </c>
      <c r="L543" s="206"/>
      <c r="M543" s="207"/>
      <c r="N543" s="206"/>
      <c r="O543" s="206" t="s">
        <v>260</v>
      </c>
      <c r="P543" s="206" t="s">
        <v>91</v>
      </c>
    </row>
    <row r="544" spans="1:16" s="187" customFormat="1" ht="18" customHeight="1">
      <c r="A544" s="187" t="str">
        <f t="shared" si="8"/>
        <v>V10241C</v>
      </c>
      <c r="B544" s="208" t="s">
        <v>943</v>
      </c>
      <c r="C544" s="208"/>
      <c r="D544" s="208" t="s">
        <v>949</v>
      </c>
      <c r="E544" s="208" t="s">
        <v>29</v>
      </c>
      <c r="F544" s="208" t="s">
        <v>944</v>
      </c>
      <c r="G544" s="208" t="s">
        <v>945</v>
      </c>
      <c r="H544" s="208"/>
      <c r="I544" s="208"/>
      <c r="J544" s="208" t="s">
        <v>946</v>
      </c>
      <c r="K544" s="208" t="s">
        <v>947</v>
      </c>
      <c r="L544" s="208"/>
      <c r="M544" s="209"/>
      <c r="N544" s="208"/>
      <c r="O544" s="208" t="s">
        <v>260</v>
      </c>
      <c r="P544" s="208" t="s">
        <v>91</v>
      </c>
    </row>
    <row r="545" spans="1:16" s="187" customFormat="1" ht="18" customHeight="1">
      <c r="A545" s="187" t="str">
        <f t="shared" si="8"/>
        <v>V10509C</v>
      </c>
      <c r="B545" s="206" t="s">
        <v>6107</v>
      </c>
      <c r="C545" s="206"/>
      <c r="D545" s="206" t="s">
        <v>6108</v>
      </c>
      <c r="E545" s="206" t="s">
        <v>29</v>
      </c>
      <c r="F545" s="206" t="s">
        <v>6109</v>
      </c>
      <c r="G545" s="206" t="s">
        <v>6110</v>
      </c>
      <c r="H545" s="206"/>
      <c r="I545" s="206" t="s">
        <v>6111</v>
      </c>
      <c r="J545" s="206" t="s">
        <v>6112</v>
      </c>
      <c r="K545" s="206" t="s">
        <v>6113</v>
      </c>
      <c r="L545" s="206"/>
      <c r="M545" s="207"/>
      <c r="N545" s="206"/>
      <c r="O545" s="206"/>
      <c r="P545" s="206" t="s">
        <v>91</v>
      </c>
    </row>
    <row r="546" spans="1:16" s="187" customFormat="1" ht="18" customHeight="1">
      <c r="A546" s="187" t="str">
        <f t="shared" si="8"/>
        <v>V10299C</v>
      </c>
      <c r="B546" s="208" t="s">
        <v>951</v>
      </c>
      <c r="C546" s="208"/>
      <c r="D546" s="208" t="s">
        <v>950</v>
      </c>
      <c r="E546" s="208" t="s">
        <v>151</v>
      </c>
      <c r="F546" s="208" t="s">
        <v>4278</v>
      </c>
      <c r="G546" s="208"/>
      <c r="H546" s="208"/>
      <c r="I546" s="208"/>
      <c r="J546" s="208" t="s">
        <v>5109</v>
      </c>
      <c r="K546" s="208" t="s">
        <v>5108</v>
      </c>
      <c r="L546" s="208"/>
      <c r="M546" s="209"/>
      <c r="N546" s="208"/>
      <c r="O546" s="208"/>
      <c r="P546" s="208" t="s">
        <v>91</v>
      </c>
    </row>
    <row r="547" spans="1:16" s="187" customFormat="1" ht="18" customHeight="1">
      <c r="A547" s="187" t="str">
        <f t="shared" si="8"/>
        <v>V10349C</v>
      </c>
      <c r="B547" s="206" t="s">
        <v>6323</v>
      </c>
      <c r="C547" s="206"/>
      <c r="D547" s="206" t="s">
        <v>4263</v>
      </c>
      <c r="E547" s="206" t="s">
        <v>29</v>
      </c>
      <c r="F547" s="206" t="s">
        <v>6324</v>
      </c>
      <c r="G547" s="206"/>
      <c r="H547" s="206"/>
      <c r="I547" s="206"/>
      <c r="J547" s="206" t="s">
        <v>4264</v>
      </c>
      <c r="K547" s="206" t="s">
        <v>4265</v>
      </c>
      <c r="L547" s="206"/>
      <c r="M547" s="207"/>
      <c r="N547" s="206"/>
      <c r="O547" s="206"/>
      <c r="P547" s="206" t="s">
        <v>91</v>
      </c>
    </row>
    <row r="548" spans="1:16" s="187" customFormat="1" ht="18" customHeight="1">
      <c r="A548" s="187" t="str">
        <f t="shared" si="8"/>
        <v>V10096A</v>
      </c>
      <c r="B548" s="208" t="s">
        <v>953</v>
      </c>
      <c r="C548" s="208"/>
      <c r="D548" s="208" t="s">
        <v>952</v>
      </c>
      <c r="E548" s="208" t="s">
        <v>29</v>
      </c>
      <c r="F548" s="208" t="s">
        <v>5174</v>
      </c>
      <c r="G548" s="208" t="s">
        <v>954</v>
      </c>
      <c r="H548" s="208"/>
      <c r="I548" s="208" t="s">
        <v>955</v>
      </c>
      <c r="J548" s="208" t="s">
        <v>5175</v>
      </c>
      <c r="K548" s="208" t="s">
        <v>5176</v>
      </c>
      <c r="L548" s="208"/>
      <c r="M548" s="209"/>
      <c r="N548" s="208"/>
      <c r="O548" s="208" t="s">
        <v>260</v>
      </c>
      <c r="P548" s="208" t="s">
        <v>91</v>
      </c>
    </row>
    <row r="549" spans="1:16" s="187" customFormat="1" ht="18" customHeight="1">
      <c r="A549" s="187" t="str">
        <f t="shared" si="8"/>
        <v>V10096B</v>
      </c>
      <c r="B549" s="206" t="s">
        <v>953</v>
      </c>
      <c r="C549" s="206"/>
      <c r="D549" s="206" t="s">
        <v>956</v>
      </c>
      <c r="E549" s="206" t="s">
        <v>29</v>
      </c>
      <c r="F549" s="206" t="s">
        <v>5174</v>
      </c>
      <c r="G549" s="206" t="s">
        <v>954</v>
      </c>
      <c r="H549" s="206"/>
      <c r="I549" s="206" t="s">
        <v>955</v>
      </c>
      <c r="J549" s="206" t="s">
        <v>5175</v>
      </c>
      <c r="K549" s="206" t="s">
        <v>5176</v>
      </c>
      <c r="L549" s="206"/>
      <c r="M549" s="207"/>
      <c r="N549" s="206"/>
      <c r="O549" s="206" t="s">
        <v>260</v>
      </c>
      <c r="P549" s="206" t="s">
        <v>91</v>
      </c>
    </row>
    <row r="550" spans="1:16" s="187" customFormat="1" ht="18" customHeight="1">
      <c r="A550" s="187" t="str">
        <f t="shared" si="8"/>
        <v>V10096C</v>
      </c>
      <c r="B550" s="208" t="s">
        <v>953</v>
      </c>
      <c r="C550" s="208"/>
      <c r="D550" s="208" t="s">
        <v>957</v>
      </c>
      <c r="E550" s="208" t="s">
        <v>29</v>
      </c>
      <c r="F550" s="208" t="s">
        <v>5174</v>
      </c>
      <c r="G550" s="208" t="s">
        <v>954</v>
      </c>
      <c r="H550" s="208"/>
      <c r="I550" s="208" t="s">
        <v>955</v>
      </c>
      <c r="J550" s="208" t="s">
        <v>5175</v>
      </c>
      <c r="K550" s="208" t="s">
        <v>5176</v>
      </c>
      <c r="L550" s="208"/>
      <c r="M550" s="209"/>
      <c r="N550" s="208"/>
      <c r="O550" s="208" t="s">
        <v>260</v>
      </c>
      <c r="P550" s="208" t="s">
        <v>91</v>
      </c>
    </row>
    <row r="551" spans="1:16" s="187" customFormat="1" ht="18" customHeight="1">
      <c r="A551" s="187" t="str">
        <f t="shared" si="8"/>
        <v>V10128C</v>
      </c>
      <c r="B551" s="206" t="s">
        <v>959</v>
      </c>
      <c r="C551" s="206"/>
      <c r="D551" s="206" t="s">
        <v>966</v>
      </c>
      <c r="E551" s="206" t="s">
        <v>29</v>
      </c>
      <c r="F551" s="206" t="s">
        <v>960</v>
      </c>
      <c r="G551" s="206" t="s">
        <v>961</v>
      </c>
      <c r="H551" s="206"/>
      <c r="I551" s="206" t="s">
        <v>962</v>
      </c>
      <c r="J551" s="206" t="s">
        <v>963</v>
      </c>
      <c r="K551" s="206" t="s">
        <v>964</v>
      </c>
      <c r="L551" s="206"/>
      <c r="M551" s="207"/>
      <c r="N551" s="206"/>
      <c r="O551" s="206" t="s">
        <v>260</v>
      </c>
      <c r="P551" s="206" t="s">
        <v>91</v>
      </c>
    </row>
    <row r="552" spans="1:16" s="187" customFormat="1" ht="18" customHeight="1">
      <c r="A552" s="187" t="str">
        <f t="shared" si="8"/>
        <v>V10128A</v>
      </c>
      <c r="B552" s="208" t="s">
        <v>959</v>
      </c>
      <c r="C552" s="208"/>
      <c r="D552" s="208" t="s">
        <v>958</v>
      </c>
      <c r="E552" s="208" t="s">
        <v>29</v>
      </c>
      <c r="F552" s="208" t="s">
        <v>960</v>
      </c>
      <c r="G552" s="208" t="s">
        <v>961</v>
      </c>
      <c r="H552" s="208"/>
      <c r="I552" s="208" t="s">
        <v>962</v>
      </c>
      <c r="J552" s="208" t="s">
        <v>963</v>
      </c>
      <c r="K552" s="208" t="s">
        <v>964</v>
      </c>
      <c r="L552" s="208"/>
      <c r="M552" s="209"/>
      <c r="N552" s="208"/>
      <c r="O552" s="208" t="s">
        <v>260</v>
      </c>
      <c r="P552" s="208" t="s">
        <v>91</v>
      </c>
    </row>
    <row r="553" spans="1:16" s="187" customFormat="1" ht="18" customHeight="1">
      <c r="A553" s="187" t="str">
        <f t="shared" si="8"/>
        <v>V10128B</v>
      </c>
      <c r="B553" s="206" t="s">
        <v>959</v>
      </c>
      <c r="C553" s="206"/>
      <c r="D553" s="206" t="s">
        <v>965</v>
      </c>
      <c r="E553" s="206" t="s">
        <v>29</v>
      </c>
      <c r="F553" s="206" t="s">
        <v>960</v>
      </c>
      <c r="G553" s="206" t="s">
        <v>961</v>
      </c>
      <c r="H553" s="206"/>
      <c r="I553" s="206" t="s">
        <v>962</v>
      </c>
      <c r="J553" s="206" t="s">
        <v>963</v>
      </c>
      <c r="K553" s="206" t="s">
        <v>964</v>
      </c>
      <c r="L553" s="206"/>
      <c r="M553" s="207"/>
      <c r="N553" s="206"/>
      <c r="O553" s="206" t="s">
        <v>260</v>
      </c>
      <c r="P553" s="206" t="s">
        <v>91</v>
      </c>
    </row>
    <row r="554" spans="1:16" s="187" customFormat="1" ht="18" customHeight="1">
      <c r="A554" s="187" t="str">
        <f t="shared" si="8"/>
        <v>CG440021C0</v>
      </c>
      <c r="B554" s="208" t="s">
        <v>968</v>
      </c>
      <c r="C554" s="208"/>
      <c r="D554" s="208" t="s">
        <v>974</v>
      </c>
      <c r="E554" s="208" t="s">
        <v>29</v>
      </c>
      <c r="F554" s="208" t="s">
        <v>969</v>
      </c>
      <c r="G554" s="208"/>
      <c r="H554" s="208"/>
      <c r="I554" s="208"/>
      <c r="J554" s="208"/>
      <c r="K554" s="208"/>
      <c r="L554" s="208"/>
      <c r="M554" s="209"/>
      <c r="N554" s="208"/>
      <c r="O554" s="208"/>
      <c r="P554" s="208" t="s">
        <v>100</v>
      </c>
    </row>
    <row r="555" spans="1:16" s="187" customFormat="1" ht="18" customHeight="1">
      <c r="A555" s="187" t="str">
        <f t="shared" si="8"/>
        <v>V4005C0</v>
      </c>
      <c r="B555" s="206" t="s">
        <v>968</v>
      </c>
      <c r="C555" s="206"/>
      <c r="D555" s="206" t="s">
        <v>967</v>
      </c>
      <c r="E555" s="206" t="s">
        <v>29</v>
      </c>
      <c r="F555" s="206" t="s">
        <v>969</v>
      </c>
      <c r="G555" s="206" t="s">
        <v>970</v>
      </c>
      <c r="H555" s="206"/>
      <c r="I555" s="206" t="s">
        <v>971</v>
      </c>
      <c r="J555" s="206" t="s">
        <v>972</v>
      </c>
      <c r="K555" s="206" t="s">
        <v>973</v>
      </c>
      <c r="L555" s="206"/>
      <c r="M555" s="207"/>
      <c r="N555" s="206"/>
      <c r="O555" s="206" t="s">
        <v>131</v>
      </c>
      <c r="P555" s="206" t="s">
        <v>107</v>
      </c>
    </row>
    <row r="556" spans="1:16" s="187" customFormat="1" ht="18" customHeight="1">
      <c r="A556" s="187" t="str">
        <f t="shared" si="8"/>
        <v>V10196C</v>
      </c>
      <c r="B556" s="208" t="s">
        <v>976</v>
      </c>
      <c r="C556" s="208"/>
      <c r="D556" s="208" t="s">
        <v>975</v>
      </c>
      <c r="E556" s="208" t="s">
        <v>29</v>
      </c>
      <c r="F556" s="208" t="s">
        <v>977</v>
      </c>
      <c r="G556" s="208" t="s">
        <v>978</v>
      </c>
      <c r="H556" s="208"/>
      <c r="I556" s="208" t="s">
        <v>979</v>
      </c>
      <c r="J556" s="208" t="s">
        <v>980</v>
      </c>
      <c r="K556" s="208" t="s">
        <v>981</v>
      </c>
      <c r="L556" s="208"/>
      <c r="M556" s="209"/>
      <c r="N556" s="208"/>
      <c r="O556" s="208" t="s">
        <v>260</v>
      </c>
      <c r="P556" s="208" t="s">
        <v>91</v>
      </c>
    </row>
    <row r="557" spans="1:16" s="187" customFormat="1" ht="18" customHeight="1">
      <c r="A557" s="187" t="str">
        <f t="shared" si="8"/>
        <v>V10196A</v>
      </c>
      <c r="B557" s="206" t="s">
        <v>976</v>
      </c>
      <c r="C557" s="206"/>
      <c r="D557" s="206" t="s">
        <v>982</v>
      </c>
      <c r="E557" s="206" t="s">
        <v>29</v>
      </c>
      <c r="F557" s="206" t="s">
        <v>977</v>
      </c>
      <c r="G557" s="206" t="s">
        <v>978</v>
      </c>
      <c r="H557" s="206"/>
      <c r="I557" s="206" t="s">
        <v>979</v>
      </c>
      <c r="J557" s="206" t="s">
        <v>980</v>
      </c>
      <c r="K557" s="206" t="s">
        <v>981</v>
      </c>
      <c r="L557" s="206"/>
      <c r="M557" s="207"/>
      <c r="N557" s="206"/>
      <c r="O557" s="206" t="s">
        <v>260</v>
      </c>
      <c r="P557" s="206" t="s">
        <v>91</v>
      </c>
    </row>
    <row r="558" spans="1:16" s="187" customFormat="1" ht="18" customHeight="1">
      <c r="A558" s="187" t="str">
        <f t="shared" si="8"/>
        <v>V10196B</v>
      </c>
      <c r="B558" s="208" t="s">
        <v>976</v>
      </c>
      <c r="C558" s="208"/>
      <c r="D558" s="208" t="s">
        <v>983</v>
      </c>
      <c r="E558" s="208" t="s">
        <v>29</v>
      </c>
      <c r="F558" s="208" t="s">
        <v>977</v>
      </c>
      <c r="G558" s="208" t="s">
        <v>978</v>
      </c>
      <c r="H558" s="208"/>
      <c r="I558" s="208" t="s">
        <v>979</v>
      </c>
      <c r="J558" s="208" t="s">
        <v>980</v>
      </c>
      <c r="K558" s="208" t="s">
        <v>981</v>
      </c>
      <c r="L558" s="208"/>
      <c r="M558" s="209"/>
      <c r="N558" s="208"/>
      <c r="O558" s="208" t="s">
        <v>260</v>
      </c>
      <c r="P558" s="208" t="s">
        <v>91</v>
      </c>
    </row>
    <row r="559" spans="1:16" s="187" customFormat="1" ht="18" customHeight="1">
      <c r="A559" s="187" t="str">
        <f t="shared" si="8"/>
        <v>CG440003C0</v>
      </c>
      <c r="B559" s="206" t="s">
        <v>985</v>
      </c>
      <c r="C559" s="206"/>
      <c r="D559" s="206" t="s">
        <v>984</v>
      </c>
      <c r="E559" s="206" t="s">
        <v>29</v>
      </c>
      <c r="F559" s="206" t="s">
        <v>6114</v>
      </c>
      <c r="G559" s="206"/>
      <c r="H559" s="206"/>
      <c r="I559" s="206"/>
      <c r="J559" s="206"/>
      <c r="K559" s="206"/>
      <c r="L559" s="206"/>
      <c r="M559" s="207"/>
      <c r="N559" s="206"/>
      <c r="O559" s="206"/>
      <c r="P559" s="206" t="s">
        <v>100</v>
      </c>
    </row>
    <row r="560" spans="1:16" s="187" customFormat="1" ht="18" customHeight="1">
      <c r="A560" s="187" t="str">
        <f t="shared" si="8"/>
        <v>V4006C0</v>
      </c>
      <c r="B560" s="208" t="s">
        <v>985</v>
      </c>
      <c r="C560" s="208"/>
      <c r="D560" s="208" t="s">
        <v>986</v>
      </c>
      <c r="E560" s="208" t="s">
        <v>29</v>
      </c>
      <c r="F560" s="208" t="s">
        <v>6114</v>
      </c>
      <c r="G560" s="208" t="s">
        <v>987</v>
      </c>
      <c r="H560" s="208"/>
      <c r="I560" s="208"/>
      <c r="J560" s="208" t="s">
        <v>988</v>
      </c>
      <c r="K560" s="208" t="s">
        <v>989</v>
      </c>
      <c r="L560" s="208"/>
      <c r="M560" s="209"/>
      <c r="N560" s="208"/>
      <c r="O560" s="208" t="s">
        <v>131</v>
      </c>
      <c r="P560" s="208" t="s">
        <v>107</v>
      </c>
    </row>
    <row r="561" spans="1:16" s="187" customFormat="1" ht="18" customHeight="1">
      <c r="A561" s="187" t="str">
        <f t="shared" si="8"/>
        <v>V10050A</v>
      </c>
      <c r="B561" s="206" t="s">
        <v>991</v>
      </c>
      <c r="C561" s="206"/>
      <c r="D561" s="206" t="s">
        <v>990</v>
      </c>
      <c r="E561" s="206" t="s">
        <v>29</v>
      </c>
      <c r="F561" s="206" t="s">
        <v>992</v>
      </c>
      <c r="G561" s="206" t="s">
        <v>993</v>
      </c>
      <c r="H561" s="206"/>
      <c r="I561" s="206" t="s">
        <v>994</v>
      </c>
      <c r="J561" s="206" t="s">
        <v>5107</v>
      </c>
      <c r="K561" s="206" t="s">
        <v>995</v>
      </c>
      <c r="L561" s="206"/>
      <c r="M561" s="207"/>
      <c r="N561" s="206"/>
      <c r="O561" s="206" t="s">
        <v>260</v>
      </c>
      <c r="P561" s="206" t="s">
        <v>91</v>
      </c>
    </row>
    <row r="562" spans="1:16" s="187" customFormat="1" ht="18" customHeight="1">
      <c r="A562" s="187" t="str">
        <f t="shared" si="8"/>
        <v>V10050B</v>
      </c>
      <c r="B562" s="208" t="s">
        <v>991</v>
      </c>
      <c r="C562" s="208"/>
      <c r="D562" s="208" t="s">
        <v>996</v>
      </c>
      <c r="E562" s="208" t="s">
        <v>29</v>
      </c>
      <c r="F562" s="208" t="s">
        <v>992</v>
      </c>
      <c r="G562" s="208" t="s">
        <v>993</v>
      </c>
      <c r="H562" s="208"/>
      <c r="I562" s="208" t="s">
        <v>994</v>
      </c>
      <c r="J562" s="208" t="s">
        <v>5107</v>
      </c>
      <c r="K562" s="208" t="s">
        <v>995</v>
      </c>
      <c r="L562" s="208"/>
      <c r="M562" s="209"/>
      <c r="N562" s="208"/>
      <c r="O562" s="208" t="s">
        <v>260</v>
      </c>
      <c r="P562" s="208" t="s">
        <v>91</v>
      </c>
    </row>
    <row r="563" spans="1:16" s="187" customFormat="1" ht="18" customHeight="1">
      <c r="A563" s="187" t="str">
        <f t="shared" si="8"/>
        <v>V10050C</v>
      </c>
      <c r="B563" s="206" t="s">
        <v>991</v>
      </c>
      <c r="C563" s="206"/>
      <c r="D563" s="206" t="s">
        <v>997</v>
      </c>
      <c r="E563" s="206" t="s">
        <v>29</v>
      </c>
      <c r="F563" s="206" t="s">
        <v>992</v>
      </c>
      <c r="G563" s="206" t="s">
        <v>993</v>
      </c>
      <c r="H563" s="206"/>
      <c r="I563" s="206" t="s">
        <v>994</v>
      </c>
      <c r="J563" s="206" t="s">
        <v>5107</v>
      </c>
      <c r="K563" s="206" t="s">
        <v>995</v>
      </c>
      <c r="L563" s="206"/>
      <c r="M563" s="207"/>
      <c r="N563" s="206"/>
      <c r="O563" s="206" t="s">
        <v>260</v>
      </c>
      <c r="P563" s="206" t="s">
        <v>91</v>
      </c>
    </row>
    <row r="564" spans="1:16" s="187" customFormat="1" ht="18" customHeight="1">
      <c r="A564" s="187" t="str">
        <f t="shared" si="8"/>
        <v>V10244A</v>
      </c>
      <c r="B564" s="208" t="s">
        <v>999</v>
      </c>
      <c r="C564" s="208"/>
      <c r="D564" s="208" t="s">
        <v>998</v>
      </c>
      <c r="E564" s="208" t="s">
        <v>29</v>
      </c>
      <c r="F564" s="208" t="s">
        <v>1000</v>
      </c>
      <c r="G564" s="208"/>
      <c r="H564" s="208"/>
      <c r="I564" s="208" t="s">
        <v>1001</v>
      </c>
      <c r="J564" s="208" t="s">
        <v>1002</v>
      </c>
      <c r="K564" s="208" t="s">
        <v>1003</v>
      </c>
      <c r="L564" s="208"/>
      <c r="M564" s="209"/>
      <c r="N564" s="208"/>
      <c r="O564" s="208" t="s">
        <v>260</v>
      </c>
      <c r="P564" s="208" t="s">
        <v>91</v>
      </c>
    </row>
    <row r="565" spans="1:16" s="187" customFormat="1" ht="18" customHeight="1">
      <c r="A565" s="187" t="str">
        <f t="shared" si="8"/>
        <v>V10244B</v>
      </c>
      <c r="B565" s="206" t="s">
        <v>999</v>
      </c>
      <c r="C565" s="206"/>
      <c r="D565" s="206" t="s">
        <v>1004</v>
      </c>
      <c r="E565" s="206" t="s">
        <v>29</v>
      </c>
      <c r="F565" s="206" t="s">
        <v>1000</v>
      </c>
      <c r="G565" s="206"/>
      <c r="H565" s="206"/>
      <c r="I565" s="206" t="s">
        <v>1001</v>
      </c>
      <c r="J565" s="206" t="s">
        <v>1002</v>
      </c>
      <c r="K565" s="206" t="s">
        <v>1003</v>
      </c>
      <c r="L565" s="206"/>
      <c r="M565" s="207"/>
      <c r="N565" s="206"/>
      <c r="O565" s="206" t="s">
        <v>260</v>
      </c>
      <c r="P565" s="206" t="s">
        <v>91</v>
      </c>
    </row>
    <row r="566" spans="1:16" s="187" customFormat="1" ht="18" customHeight="1">
      <c r="A566" s="187" t="str">
        <f t="shared" si="8"/>
        <v>V10244C</v>
      </c>
      <c r="B566" s="208" t="s">
        <v>999</v>
      </c>
      <c r="C566" s="208"/>
      <c r="D566" s="208" t="s">
        <v>1005</v>
      </c>
      <c r="E566" s="208" t="s">
        <v>29</v>
      </c>
      <c r="F566" s="208" t="s">
        <v>1000</v>
      </c>
      <c r="G566" s="208"/>
      <c r="H566" s="208"/>
      <c r="I566" s="208" t="s">
        <v>1001</v>
      </c>
      <c r="J566" s="208" t="s">
        <v>1002</v>
      </c>
      <c r="K566" s="208" t="s">
        <v>1003</v>
      </c>
      <c r="L566" s="208"/>
      <c r="M566" s="209"/>
      <c r="N566" s="208"/>
      <c r="O566" s="208" t="s">
        <v>260</v>
      </c>
      <c r="P566" s="208" t="s">
        <v>91</v>
      </c>
    </row>
    <row r="567" spans="1:16" s="187" customFormat="1" ht="18" customHeight="1">
      <c r="A567" s="187" t="str">
        <f t="shared" si="8"/>
        <v>V4007C0</v>
      </c>
      <c r="B567" s="206" t="s">
        <v>1007</v>
      </c>
      <c r="C567" s="206"/>
      <c r="D567" s="206" t="s">
        <v>1006</v>
      </c>
      <c r="E567" s="206" t="s">
        <v>29</v>
      </c>
      <c r="F567" s="206" t="s">
        <v>1008</v>
      </c>
      <c r="G567" s="206" t="s">
        <v>1009</v>
      </c>
      <c r="H567" s="206"/>
      <c r="I567" s="206" t="s">
        <v>1010</v>
      </c>
      <c r="J567" s="206" t="s">
        <v>1011</v>
      </c>
      <c r="K567" s="206" t="s">
        <v>1012</v>
      </c>
      <c r="L567" s="206"/>
      <c r="M567" s="207"/>
      <c r="N567" s="206"/>
      <c r="O567" s="206" t="s">
        <v>131</v>
      </c>
      <c r="P567" s="206" t="s">
        <v>107</v>
      </c>
    </row>
    <row r="568" spans="1:16" s="187" customFormat="1" ht="18" customHeight="1">
      <c r="A568" s="187" t="str">
        <f t="shared" si="8"/>
        <v>V10474B</v>
      </c>
      <c r="B568" s="208" t="s">
        <v>5843</v>
      </c>
      <c r="C568" s="208"/>
      <c r="D568" s="208" t="s">
        <v>5844</v>
      </c>
      <c r="E568" s="208" t="s">
        <v>29</v>
      </c>
      <c r="F568" s="208" t="s">
        <v>5845</v>
      </c>
      <c r="G568" s="208"/>
      <c r="H568" s="208"/>
      <c r="I568" s="208"/>
      <c r="J568" s="208"/>
      <c r="K568" s="208"/>
      <c r="L568" s="208"/>
      <c r="M568" s="209"/>
      <c r="N568" s="208"/>
      <c r="O568" s="208"/>
      <c r="P568" s="208" t="s">
        <v>91</v>
      </c>
    </row>
    <row r="569" spans="1:16" s="187" customFormat="1" ht="18" customHeight="1">
      <c r="A569" s="187" t="str">
        <f t="shared" si="8"/>
        <v>V10034A</v>
      </c>
      <c r="B569" s="206" t="s">
        <v>1014</v>
      </c>
      <c r="C569" s="206"/>
      <c r="D569" s="206" t="s">
        <v>1013</v>
      </c>
      <c r="E569" s="206" t="s">
        <v>29</v>
      </c>
      <c r="F569" s="206" t="s">
        <v>1015</v>
      </c>
      <c r="G569" s="206"/>
      <c r="H569" s="206"/>
      <c r="I569" s="206" t="s">
        <v>1016</v>
      </c>
      <c r="J569" s="206" t="s">
        <v>1017</v>
      </c>
      <c r="K569" s="206" t="s">
        <v>1018</v>
      </c>
      <c r="L569" s="206"/>
      <c r="M569" s="207"/>
      <c r="N569" s="206"/>
      <c r="O569" s="206" t="s">
        <v>260</v>
      </c>
      <c r="P569" s="206" t="s">
        <v>91</v>
      </c>
    </row>
    <row r="570" spans="1:16" s="187" customFormat="1" ht="18" customHeight="1">
      <c r="A570" s="187" t="str">
        <f t="shared" si="8"/>
        <v>V10034B</v>
      </c>
      <c r="B570" s="208" t="s">
        <v>1014</v>
      </c>
      <c r="C570" s="208"/>
      <c r="D570" s="208" t="s">
        <v>1019</v>
      </c>
      <c r="E570" s="208" t="s">
        <v>29</v>
      </c>
      <c r="F570" s="208" t="s">
        <v>1015</v>
      </c>
      <c r="G570" s="208"/>
      <c r="H570" s="208"/>
      <c r="I570" s="208" t="s">
        <v>1016</v>
      </c>
      <c r="J570" s="208" t="s">
        <v>1017</v>
      </c>
      <c r="K570" s="208" t="s">
        <v>1018</v>
      </c>
      <c r="L570" s="208"/>
      <c r="M570" s="209"/>
      <c r="N570" s="208"/>
      <c r="O570" s="208" t="s">
        <v>260</v>
      </c>
      <c r="P570" s="208" t="s">
        <v>91</v>
      </c>
    </row>
    <row r="571" spans="1:16" s="187" customFormat="1" ht="18" customHeight="1">
      <c r="A571" s="187" t="str">
        <f t="shared" si="8"/>
        <v>V10034C</v>
      </c>
      <c r="B571" s="206" t="s">
        <v>1014</v>
      </c>
      <c r="C571" s="206"/>
      <c r="D571" s="206" t="s">
        <v>1020</v>
      </c>
      <c r="E571" s="206" t="s">
        <v>29</v>
      </c>
      <c r="F571" s="206" t="s">
        <v>1015</v>
      </c>
      <c r="G571" s="206"/>
      <c r="H571" s="206"/>
      <c r="I571" s="206" t="s">
        <v>1016</v>
      </c>
      <c r="J571" s="206" t="s">
        <v>1017</v>
      </c>
      <c r="K571" s="206" t="s">
        <v>1018</v>
      </c>
      <c r="L571" s="206"/>
      <c r="M571" s="207"/>
      <c r="N571" s="206"/>
      <c r="O571" s="206" t="s">
        <v>260</v>
      </c>
      <c r="P571" s="206" t="s">
        <v>91</v>
      </c>
    </row>
    <row r="572" spans="1:16" s="187" customFormat="1" ht="18" customHeight="1">
      <c r="A572" s="187" t="str">
        <f t="shared" si="8"/>
        <v>CG440007C0</v>
      </c>
      <c r="B572" s="208" t="s">
        <v>1022</v>
      </c>
      <c r="C572" s="208"/>
      <c r="D572" s="208" t="s">
        <v>1021</v>
      </c>
      <c r="E572" s="208" t="s">
        <v>29</v>
      </c>
      <c r="F572" s="208" t="s">
        <v>1023</v>
      </c>
      <c r="G572" s="208"/>
      <c r="H572" s="208"/>
      <c r="I572" s="208"/>
      <c r="J572" s="208"/>
      <c r="K572" s="208"/>
      <c r="L572" s="208"/>
      <c r="M572" s="209"/>
      <c r="N572" s="208"/>
      <c r="O572" s="208"/>
      <c r="P572" s="208" t="s">
        <v>100</v>
      </c>
    </row>
    <row r="573" spans="1:16" s="187" customFormat="1" ht="18" customHeight="1">
      <c r="A573" s="187" t="str">
        <f t="shared" si="8"/>
        <v>V10226A</v>
      </c>
      <c r="B573" s="206" t="s">
        <v>1022</v>
      </c>
      <c r="C573" s="206"/>
      <c r="D573" s="206" t="s">
        <v>1024</v>
      </c>
      <c r="E573" s="206" t="s">
        <v>29</v>
      </c>
      <c r="F573" s="206" t="s">
        <v>1025</v>
      </c>
      <c r="G573" s="206" t="s">
        <v>1026</v>
      </c>
      <c r="H573" s="206"/>
      <c r="I573" s="206" t="s">
        <v>1027</v>
      </c>
      <c r="J573" s="206" t="s">
        <v>1028</v>
      </c>
      <c r="K573" s="206" t="s">
        <v>1029</v>
      </c>
      <c r="L573" s="206"/>
      <c r="M573" s="207"/>
      <c r="N573" s="206"/>
      <c r="O573" s="206" t="s">
        <v>260</v>
      </c>
      <c r="P573" s="206" t="s">
        <v>91</v>
      </c>
    </row>
    <row r="574" spans="1:16" s="187" customFormat="1" ht="18" customHeight="1">
      <c r="A574" s="187" t="str">
        <f t="shared" si="8"/>
        <v>V10226B</v>
      </c>
      <c r="B574" s="208" t="s">
        <v>1022</v>
      </c>
      <c r="C574" s="208"/>
      <c r="D574" s="208" t="s">
        <v>1030</v>
      </c>
      <c r="E574" s="208" t="s">
        <v>29</v>
      </c>
      <c r="F574" s="208" t="s">
        <v>1025</v>
      </c>
      <c r="G574" s="208" t="s">
        <v>1026</v>
      </c>
      <c r="H574" s="208"/>
      <c r="I574" s="208" t="s">
        <v>1027</v>
      </c>
      <c r="J574" s="208" t="s">
        <v>1028</v>
      </c>
      <c r="K574" s="208" t="s">
        <v>1029</v>
      </c>
      <c r="L574" s="208"/>
      <c r="M574" s="209"/>
      <c r="N574" s="208"/>
      <c r="O574" s="208" t="s">
        <v>260</v>
      </c>
      <c r="P574" s="208" t="s">
        <v>91</v>
      </c>
    </row>
    <row r="575" spans="1:16" s="187" customFormat="1" ht="18" customHeight="1">
      <c r="A575" s="187" t="str">
        <f t="shared" si="8"/>
        <v>V10226C</v>
      </c>
      <c r="B575" s="206" t="s">
        <v>1022</v>
      </c>
      <c r="C575" s="206"/>
      <c r="D575" s="206" t="s">
        <v>1031</v>
      </c>
      <c r="E575" s="206" t="s">
        <v>29</v>
      </c>
      <c r="F575" s="206" t="s">
        <v>1025</v>
      </c>
      <c r="G575" s="206" t="s">
        <v>1026</v>
      </c>
      <c r="H575" s="206"/>
      <c r="I575" s="206" t="s">
        <v>1027</v>
      </c>
      <c r="J575" s="206" t="s">
        <v>1028</v>
      </c>
      <c r="K575" s="206" t="s">
        <v>1029</v>
      </c>
      <c r="L575" s="206"/>
      <c r="M575" s="207"/>
      <c r="N575" s="206"/>
      <c r="O575" s="206" t="s">
        <v>260</v>
      </c>
      <c r="P575" s="206" t="s">
        <v>91</v>
      </c>
    </row>
    <row r="576" spans="1:16" s="187" customFormat="1" ht="18" customHeight="1">
      <c r="A576" s="187" t="str">
        <f t="shared" si="8"/>
        <v>LS-000430</v>
      </c>
      <c r="B576" s="208" t="s">
        <v>1033</v>
      </c>
      <c r="C576" s="208"/>
      <c r="D576" s="208" t="s">
        <v>1032</v>
      </c>
      <c r="E576" s="208" t="s">
        <v>151</v>
      </c>
      <c r="F576" s="208" t="s">
        <v>1034</v>
      </c>
      <c r="G576" s="208" t="s">
        <v>542</v>
      </c>
      <c r="H576" s="208"/>
      <c r="I576" s="208"/>
      <c r="J576" s="208" t="s">
        <v>1035</v>
      </c>
      <c r="K576" s="208" t="s">
        <v>545</v>
      </c>
      <c r="L576" s="208"/>
      <c r="M576" s="209"/>
      <c r="N576" s="208"/>
      <c r="O576" s="208"/>
      <c r="P576" s="208"/>
    </row>
    <row r="577" spans="1:16" s="187" customFormat="1" ht="18" customHeight="1">
      <c r="A577" s="187" t="str">
        <f t="shared" si="8"/>
        <v>V10048C</v>
      </c>
      <c r="B577" s="206" t="s">
        <v>1037</v>
      </c>
      <c r="C577" s="206"/>
      <c r="D577" s="206" t="s">
        <v>1036</v>
      </c>
      <c r="E577" s="206" t="s">
        <v>29</v>
      </c>
      <c r="F577" s="206" t="s">
        <v>1038</v>
      </c>
      <c r="G577" s="206" t="s">
        <v>1039</v>
      </c>
      <c r="H577" s="206"/>
      <c r="I577" s="206"/>
      <c r="J577" s="206" t="s">
        <v>1040</v>
      </c>
      <c r="K577" s="206" t="s">
        <v>1041</v>
      </c>
      <c r="L577" s="206"/>
      <c r="M577" s="207"/>
      <c r="N577" s="206"/>
      <c r="O577" s="206" t="s">
        <v>260</v>
      </c>
      <c r="P577" s="206" t="s">
        <v>91</v>
      </c>
    </row>
    <row r="578" spans="1:16" s="187" customFormat="1" ht="18" customHeight="1">
      <c r="A578" s="187" t="str">
        <f t="shared" si="8"/>
        <v>V10048A</v>
      </c>
      <c r="B578" s="208" t="s">
        <v>1037</v>
      </c>
      <c r="C578" s="208"/>
      <c r="D578" s="208" t="s">
        <v>1042</v>
      </c>
      <c r="E578" s="208" t="s">
        <v>29</v>
      </c>
      <c r="F578" s="208" t="s">
        <v>1038</v>
      </c>
      <c r="G578" s="208" t="s">
        <v>1039</v>
      </c>
      <c r="H578" s="208"/>
      <c r="I578" s="208"/>
      <c r="J578" s="208" t="s">
        <v>1040</v>
      </c>
      <c r="K578" s="208" t="s">
        <v>1041</v>
      </c>
      <c r="L578" s="208"/>
      <c r="M578" s="209"/>
      <c r="N578" s="208"/>
      <c r="O578" s="208" t="s">
        <v>260</v>
      </c>
      <c r="P578" s="208" t="s">
        <v>91</v>
      </c>
    </row>
    <row r="579" spans="1:16" s="187" customFormat="1" ht="18" customHeight="1">
      <c r="A579" s="187" t="str">
        <f t="shared" si="8"/>
        <v>V10048B</v>
      </c>
      <c r="B579" s="206" t="s">
        <v>1037</v>
      </c>
      <c r="C579" s="206"/>
      <c r="D579" s="206" t="s">
        <v>1043</v>
      </c>
      <c r="E579" s="206" t="s">
        <v>29</v>
      </c>
      <c r="F579" s="206" t="s">
        <v>1038</v>
      </c>
      <c r="G579" s="206" t="s">
        <v>1039</v>
      </c>
      <c r="H579" s="206"/>
      <c r="I579" s="206"/>
      <c r="J579" s="206" t="s">
        <v>1040</v>
      </c>
      <c r="K579" s="206" t="s">
        <v>1041</v>
      </c>
      <c r="L579" s="206"/>
      <c r="M579" s="207"/>
      <c r="N579" s="206"/>
      <c r="O579" s="206" t="s">
        <v>260</v>
      </c>
      <c r="P579" s="206" t="s">
        <v>91</v>
      </c>
    </row>
    <row r="580" spans="1:16" s="187" customFormat="1" ht="18" customHeight="1">
      <c r="A580" s="187" t="str">
        <f t="shared" si="8"/>
        <v>V4008C0</v>
      </c>
      <c r="B580" s="208" t="s">
        <v>1045</v>
      </c>
      <c r="C580" s="208"/>
      <c r="D580" s="208" t="s">
        <v>1044</v>
      </c>
      <c r="E580" s="208" t="s">
        <v>29</v>
      </c>
      <c r="F580" s="208" t="s">
        <v>1046</v>
      </c>
      <c r="G580" s="208" t="s">
        <v>1047</v>
      </c>
      <c r="H580" s="208"/>
      <c r="I580" s="208"/>
      <c r="J580" s="208" t="s">
        <v>1048</v>
      </c>
      <c r="K580" s="208" t="s">
        <v>1049</v>
      </c>
      <c r="L580" s="208"/>
      <c r="M580" s="209"/>
      <c r="N580" s="208"/>
      <c r="O580" s="208" t="s">
        <v>131</v>
      </c>
      <c r="P580" s="208" t="s">
        <v>107</v>
      </c>
    </row>
    <row r="581" spans="1:16" s="187" customFormat="1" ht="18" customHeight="1">
      <c r="A581" s="187" t="str">
        <f t="shared" si="8"/>
        <v>CG440005C0</v>
      </c>
      <c r="B581" s="206" t="s">
        <v>1045</v>
      </c>
      <c r="C581" s="206"/>
      <c r="D581" s="206" t="s">
        <v>1050</v>
      </c>
      <c r="E581" s="206" t="s">
        <v>29</v>
      </c>
      <c r="F581" s="206" t="s">
        <v>1046</v>
      </c>
      <c r="G581" s="206"/>
      <c r="H581" s="206"/>
      <c r="I581" s="206"/>
      <c r="J581" s="206"/>
      <c r="K581" s="206"/>
      <c r="L581" s="206"/>
      <c r="M581" s="207"/>
      <c r="N581" s="206"/>
      <c r="O581" s="206"/>
      <c r="P581" s="206" t="s">
        <v>100</v>
      </c>
    </row>
    <row r="582" spans="1:16" s="187" customFormat="1" ht="18" customHeight="1">
      <c r="A582" s="187" t="str">
        <f t="shared" ref="A582:A645" si="9">D582</f>
        <v>V10079A</v>
      </c>
      <c r="B582" s="208" t="s">
        <v>1052</v>
      </c>
      <c r="C582" s="208"/>
      <c r="D582" s="208" t="s">
        <v>1051</v>
      </c>
      <c r="E582" s="208" t="s">
        <v>29</v>
      </c>
      <c r="F582" s="208" t="s">
        <v>1053</v>
      </c>
      <c r="G582" s="208" t="s">
        <v>1054</v>
      </c>
      <c r="H582" s="208"/>
      <c r="I582" s="208" t="s">
        <v>1055</v>
      </c>
      <c r="J582" s="208" t="s">
        <v>1056</v>
      </c>
      <c r="K582" s="208" t="s">
        <v>1057</v>
      </c>
      <c r="L582" s="208"/>
      <c r="M582" s="209"/>
      <c r="N582" s="208"/>
      <c r="O582" s="208" t="s">
        <v>260</v>
      </c>
      <c r="P582" s="208" t="s">
        <v>91</v>
      </c>
    </row>
    <row r="583" spans="1:16" s="187" customFormat="1" ht="18" customHeight="1">
      <c r="A583" s="187" t="str">
        <f t="shared" si="9"/>
        <v>V10079B</v>
      </c>
      <c r="B583" s="206" t="s">
        <v>1052</v>
      </c>
      <c r="C583" s="206"/>
      <c r="D583" s="206" t="s">
        <v>1058</v>
      </c>
      <c r="E583" s="206" t="s">
        <v>29</v>
      </c>
      <c r="F583" s="206" t="s">
        <v>1053</v>
      </c>
      <c r="G583" s="206" t="s">
        <v>1054</v>
      </c>
      <c r="H583" s="206"/>
      <c r="I583" s="206" t="s">
        <v>1055</v>
      </c>
      <c r="J583" s="206" t="s">
        <v>1056</v>
      </c>
      <c r="K583" s="206" t="s">
        <v>1057</v>
      </c>
      <c r="L583" s="206"/>
      <c r="M583" s="207"/>
      <c r="N583" s="206"/>
      <c r="O583" s="206" t="s">
        <v>260</v>
      </c>
      <c r="P583" s="206" t="s">
        <v>91</v>
      </c>
    </row>
    <row r="584" spans="1:16" s="187" customFormat="1" ht="18" customHeight="1">
      <c r="A584" s="187" t="str">
        <f t="shared" si="9"/>
        <v>V10079C</v>
      </c>
      <c r="B584" s="208" t="s">
        <v>1052</v>
      </c>
      <c r="C584" s="208"/>
      <c r="D584" s="208" t="s">
        <v>1059</v>
      </c>
      <c r="E584" s="208" t="s">
        <v>29</v>
      </c>
      <c r="F584" s="208" t="s">
        <v>1053</v>
      </c>
      <c r="G584" s="208" t="s">
        <v>1054</v>
      </c>
      <c r="H584" s="208"/>
      <c r="I584" s="208" t="s">
        <v>1055</v>
      </c>
      <c r="J584" s="208" t="s">
        <v>1056</v>
      </c>
      <c r="K584" s="208" t="s">
        <v>1057</v>
      </c>
      <c r="L584" s="208"/>
      <c r="M584" s="209"/>
      <c r="N584" s="208"/>
      <c r="O584" s="208" t="s">
        <v>260</v>
      </c>
      <c r="P584" s="208" t="s">
        <v>91</v>
      </c>
    </row>
    <row r="585" spans="1:16" s="187" customFormat="1" ht="18" customHeight="1">
      <c r="A585" s="187" t="str">
        <f t="shared" si="9"/>
        <v>V10318C</v>
      </c>
      <c r="B585" s="206" t="s">
        <v>4280</v>
      </c>
      <c r="C585" s="206"/>
      <c r="D585" s="206" t="s">
        <v>4279</v>
      </c>
      <c r="E585" s="206" t="s">
        <v>29</v>
      </c>
      <c r="F585" s="206" t="s">
        <v>4281</v>
      </c>
      <c r="G585" s="206" t="s">
        <v>4282</v>
      </c>
      <c r="H585" s="206"/>
      <c r="I585" s="206"/>
      <c r="J585" s="206" t="s">
        <v>4283</v>
      </c>
      <c r="K585" s="206" t="s">
        <v>5106</v>
      </c>
      <c r="L585" s="206"/>
      <c r="M585" s="207"/>
      <c r="N585" s="206"/>
      <c r="O585" s="206"/>
      <c r="P585" s="206" t="s">
        <v>91</v>
      </c>
    </row>
    <row r="586" spans="1:16" s="187" customFormat="1" ht="18" customHeight="1">
      <c r="A586" s="187" t="str">
        <f t="shared" si="9"/>
        <v>CG440023C0</v>
      </c>
      <c r="B586" s="208" t="s">
        <v>1061</v>
      </c>
      <c r="C586" s="208"/>
      <c r="D586" s="208" t="s">
        <v>1060</v>
      </c>
      <c r="E586" s="208" t="s">
        <v>29</v>
      </c>
      <c r="F586" s="208" t="s">
        <v>599</v>
      </c>
      <c r="G586" s="208"/>
      <c r="H586" s="208"/>
      <c r="I586" s="208"/>
      <c r="J586" s="208"/>
      <c r="K586" s="208"/>
      <c r="L586" s="208"/>
      <c r="M586" s="209"/>
      <c r="N586" s="208"/>
      <c r="O586" s="208"/>
      <c r="P586" s="208" t="s">
        <v>100</v>
      </c>
    </row>
    <row r="587" spans="1:16" s="187" customFormat="1" ht="18" customHeight="1">
      <c r="A587" s="187" t="str">
        <f t="shared" si="9"/>
        <v>V4009C0</v>
      </c>
      <c r="B587" s="206" t="s">
        <v>1063</v>
      </c>
      <c r="C587" s="206"/>
      <c r="D587" s="206" t="s">
        <v>1062</v>
      </c>
      <c r="E587" s="206" t="s">
        <v>29</v>
      </c>
      <c r="F587" s="206" t="s">
        <v>1064</v>
      </c>
      <c r="G587" s="206" t="s">
        <v>1065</v>
      </c>
      <c r="H587" s="206"/>
      <c r="I587" s="206" t="s">
        <v>1066</v>
      </c>
      <c r="J587" s="206" t="s">
        <v>4284</v>
      </c>
      <c r="K587" s="206" t="s">
        <v>1068</v>
      </c>
      <c r="L587" s="206"/>
      <c r="M587" s="207"/>
      <c r="N587" s="206"/>
      <c r="O587" s="206" t="s">
        <v>131</v>
      </c>
      <c r="P587" s="206" t="s">
        <v>107</v>
      </c>
    </row>
    <row r="588" spans="1:16" s="187" customFormat="1" ht="18" customHeight="1">
      <c r="A588" s="187" t="str">
        <f t="shared" si="9"/>
        <v>V4099C0</v>
      </c>
      <c r="B588" s="208" t="s">
        <v>5606</v>
      </c>
      <c r="C588" s="208"/>
      <c r="D588" s="208" t="s">
        <v>5607</v>
      </c>
      <c r="E588" s="208" t="s">
        <v>29</v>
      </c>
      <c r="F588" s="208" t="s">
        <v>5608</v>
      </c>
      <c r="G588" s="208"/>
      <c r="H588" s="208"/>
      <c r="I588" s="208"/>
      <c r="J588" s="208" t="s">
        <v>5285</v>
      </c>
      <c r="K588" s="208" t="s">
        <v>5609</v>
      </c>
      <c r="L588" s="208"/>
      <c r="M588" s="209"/>
      <c r="N588" s="208"/>
      <c r="O588" s="208"/>
      <c r="P588" s="208" t="s">
        <v>107</v>
      </c>
    </row>
    <row r="589" spans="1:16" s="187" customFormat="1" ht="18" customHeight="1">
      <c r="A589" s="187" t="str">
        <f t="shared" si="9"/>
        <v>V4010C0</v>
      </c>
      <c r="B589" s="206" t="s">
        <v>1070</v>
      </c>
      <c r="C589" s="206"/>
      <c r="D589" s="206" t="s">
        <v>1069</v>
      </c>
      <c r="E589" s="206" t="s">
        <v>29</v>
      </c>
      <c r="F589" s="206" t="s">
        <v>1071</v>
      </c>
      <c r="G589" s="206" t="s">
        <v>1072</v>
      </c>
      <c r="H589" s="206"/>
      <c r="I589" s="206"/>
      <c r="J589" s="206" t="s">
        <v>387</v>
      </c>
      <c r="K589" s="206" t="s">
        <v>1073</v>
      </c>
      <c r="L589" s="206"/>
      <c r="M589" s="207"/>
      <c r="N589" s="206"/>
      <c r="O589" s="206" t="s">
        <v>131</v>
      </c>
      <c r="P589" s="206" t="s">
        <v>107</v>
      </c>
    </row>
    <row r="590" spans="1:16" s="187" customFormat="1" ht="18" customHeight="1">
      <c r="A590" s="187" t="str">
        <f t="shared" si="9"/>
        <v>V10017A</v>
      </c>
      <c r="B590" s="208" t="s">
        <v>5177</v>
      </c>
      <c r="C590" s="208"/>
      <c r="D590" s="208" t="s">
        <v>1074</v>
      </c>
      <c r="E590" s="208" t="s">
        <v>29</v>
      </c>
      <c r="F590" s="208" t="s">
        <v>1075</v>
      </c>
      <c r="G590" s="208" t="s">
        <v>1076</v>
      </c>
      <c r="H590" s="208"/>
      <c r="I590" s="208" t="s">
        <v>1077</v>
      </c>
      <c r="J590" s="208" t="s">
        <v>1078</v>
      </c>
      <c r="K590" s="208" t="s">
        <v>1079</v>
      </c>
      <c r="L590" s="208"/>
      <c r="M590" s="209"/>
      <c r="N590" s="208"/>
      <c r="O590" s="208" t="s">
        <v>260</v>
      </c>
      <c r="P590" s="208" t="s">
        <v>91</v>
      </c>
    </row>
    <row r="591" spans="1:16" s="187" customFormat="1" ht="18" customHeight="1">
      <c r="A591" s="187" t="str">
        <f t="shared" si="9"/>
        <v>V10017B</v>
      </c>
      <c r="B591" s="206" t="s">
        <v>5177</v>
      </c>
      <c r="C591" s="206"/>
      <c r="D591" s="206" t="s">
        <v>1080</v>
      </c>
      <c r="E591" s="206" t="s">
        <v>29</v>
      </c>
      <c r="F591" s="206" t="s">
        <v>1075</v>
      </c>
      <c r="G591" s="206" t="s">
        <v>1076</v>
      </c>
      <c r="H591" s="206"/>
      <c r="I591" s="206" t="s">
        <v>1077</v>
      </c>
      <c r="J591" s="206" t="s">
        <v>1078</v>
      </c>
      <c r="K591" s="206" t="s">
        <v>1079</v>
      </c>
      <c r="L591" s="206"/>
      <c r="M591" s="207"/>
      <c r="N591" s="206"/>
      <c r="O591" s="206" t="s">
        <v>260</v>
      </c>
      <c r="P591" s="206" t="s">
        <v>91</v>
      </c>
    </row>
    <row r="592" spans="1:16" s="187" customFormat="1" ht="18" customHeight="1">
      <c r="A592" s="187" t="str">
        <f t="shared" si="9"/>
        <v>V10072A</v>
      </c>
      <c r="B592" s="208" t="s">
        <v>1083</v>
      </c>
      <c r="C592" s="208"/>
      <c r="D592" s="208" t="s">
        <v>1082</v>
      </c>
      <c r="E592" s="208" t="s">
        <v>29</v>
      </c>
      <c r="F592" s="208" t="s">
        <v>1084</v>
      </c>
      <c r="G592" s="208" t="s">
        <v>1085</v>
      </c>
      <c r="H592" s="208"/>
      <c r="I592" s="208" t="s">
        <v>1086</v>
      </c>
      <c r="J592" s="208" t="s">
        <v>4392</v>
      </c>
      <c r="K592" s="208" t="s">
        <v>1087</v>
      </c>
      <c r="L592" s="208"/>
      <c r="M592" s="209"/>
      <c r="N592" s="208"/>
      <c r="O592" s="208" t="s">
        <v>260</v>
      </c>
      <c r="P592" s="208" t="s">
        <v>91</v>
      </c>
    </row>
    <row r="593" spans="1:16" s="187" customFormat="1" ht="18" customHeight="1">
      <c r="A593" s="187" t="str">
        <f t="shared" si="9"/>
        <v>V10072B</v>
      </c>
      <c r="B593" s="206" t="s">
        <v>1083</v>
      </c>
      <c r="C593" s="206"/>
      <c r="D593" s="206" t="s">
        <v>1088</v>
      </c>
      <c r="E593" s="206" t="s">
        <v>29</v>
      </c>
      <c r="F593" s="206" t="s">
        <v>1084</v>
      </c>
      <c r="G593" s="206" t="s">
        <v>1085</v>
      </c>
      <c r="H593" s="206"/>
      <c r="I593" s="206" t="s">
        <v>1086</v>
      </c>
      <c r="J593" s="206" t="s">
        <v>4392</v>
      </c>
      <c r="K593" s="206" t="s">
        <v>1087</v>
      </c>
      <c r="L593" s="206"/>
      <c r="M593" s="207"/>
      <c r="N593" s="206"/>
      <c r="O593" s="206" t="s">
        <v>260</v>
      </c>
      <c r="P593" s="206" t="s">
        <v>91</v>
      </c>
    </row>
    <row r="594" spans="1:16" s="187" customFormat="1" ht="18" customHeight="1">
      <c r="A594" s="187" t="str">
        <f t="shared" si="9"/>
        <v>V10072C</v>
      </c>
      <c r="B594" s="208" t="s">
        <v>1083</v>
      </c>
      <c r="C594" s="208"/>
      <c r="D594" s="208" t="s">
        <v>1089</v>
      </c>
      <c r="E594" s="208" t="s">
        <v>29</v>
      </c>
      <c r="F594" s="208" t="s">
        <v>1084</v>
      </c>
      <c r="G594" s="208" t="s">
        <v>1085</v>
      </c>
      <c r="H594" s="208"/>
      <c r="I594" s="208" t="s">
        <v>1086</v>
      </c>
      <c r="J594" s="208" t="s">
        <v>4392</v>
      </c>
      <c r="K594" s="208" t="s">
        <v>1087</v>
      </c>
      <c r="L594" s="208"/>
      <c r="M594" s="209"/>
      <c r="N594" s="208"/>
      <c r="O594" s="208" t="s">
        <v>260</v>
      </c>
      <c r="P594" s="208" t="s">
        <v>91</v>
      </c>
    </row>
    <row r="595" spans="1:16" s="187" customFormat="1" ht="18" customHeight="1">
      <c r="A595" s="187" t="str">
        <f t="shared" si="9"/>
        <v>V10004A</v>
      </c>
      <c r="B595" s="206" t="s">
        <v>1091</v>
      </c>
      <c r="C595" s="206"/>
      <c r="D595" s="206" t="s">
        <v>1090</v>
      </c>
      <c r="E595" s="206" t="s">
        <v>29</v>
      </c>
      <c r="F595" s="206" t="s">
        <v>5105</v>
      </c>
      <c r="G595" s="206"/>
      <c r="H595" s="206"/>
      <c r="I595" s="206"/>
      <c r="J595" s="206" t="s">
        <v>1092</v>
      </c>
      <c r="K595" s="206" t="s">
        <v>1093</v>
      </c>
      <c r="L595" s="206"/>
      <c r="M595" s="207"/>
      <c r="N595" s="206"/>
      <c r="O595" s="206" t="s">
        <v>260</v>
      </c>
      <c r="P595" s="206" t="s">
        <v>91</v>
      </c>
    </row>
    <row r="596" spans="1:16" s="187" customFormat="1" ht="18" customHeight="1">
      <c r="A596" s="187" t="str">
        <f t="shared" si="9"/>
        <v>V10004B</v>
      </c>
      <c r="B596" s="208" t="s">
        <v>1091</v>
      </c>
      <c r="C596" s="208"/>
      <c r="D596" s="208" t="s">
        <v>1094</v>
      </c>
      <c r="E596" s="208" t="s">
        <v>29</v>
      </c>
      <c r="F596" s="208" t="s">
        <v>5105</v>
      </c>
      <c r="G596" s="208"/>
      <c r="H596" s="208"/>
      <c r="I596" s="208"/>
      <c r="J596" s="208" t="s">
        <v>1092</v>
      </c>
      <c r="K596" s="208" t="s">
        <v>1093</v>
      </c>
      <c r="L596" s="208"/>
      <c r="M596" s="209"/>
      <c r="N596" s="208"/>
      <c r="O596" s="208" t="s">
        <v>260</v>
      </c>
      <c r="P596" s="208" t="s">
        <v>91</v>
      </c>
    </row>
    <row r="597" spans="1:16" s="187" customFormat="1" ht="18" customHeight="1">
      <c r="A597" s="187" t="str">
        <f t="shared" si="9"/>
        <v>V10004C</v>
      </c>
      <c r="B597" s="206" t="s">
        <v>1091</v>
      </c>
      <c r="C597" s="206"/>
      <c r="D597" s="206" t="s">
        <v>1095</v>
      </c>
      <c r="E597" s="206" t="s">
        <v>29</v>
      </c>
      <c r="F597" s="206" t="s">
        <v>5105</v>
      </c>
      <c r="G597" s="206"/>
      <c r="H597" s="206"/>
      <c r="I597" s="206"/>
      <c r="J597" s="206" t="s">
        <v>1092</v>
      </c>
      <c r="K597" s="206" t="s">
        <v>1093</v>
      </c>
      <c r="L597" s="206"/>
      <c r="M597" s="207"/>
      <c r="N597" s="206"/>
      <c r="O597" s="206" t="s">
        <v>260</v>
      </c>
      <c r="P597" s="206" t="s">
        <v>91</v>
      </c>
    </row>
    <row r="598" spans="1:16" s="187" customFormat="1" ht="18" customHeight="1">
      <c r="A598" s="187" t="str">
        <f t="shared" si="9"/>
        <v>V10108A</v>
      </c>
      <c r="B598" s="208" t="s">
        <v>1097</v>
      </c>
      <c r="C598" s="208"/>
      <c r="D598" s="208" t="s">
        <v>1102</v>
      </c>
      <c r="E598" s="208" t="s">
        <v>29</v>
      </c>
      <c r="F598" s="208" t="s">
        <v>1098</v>
      </c>
      <c r="G598" s="208" t="s">
        <v>1099</v>
      </c>
      <c r="H598" s="208"/>
      <c r="I598" s="208"/>
      <c r="J598" s="208" t="s">
        <v>1100</v>
      </c>
      <c r="K598" s="208" t="s">
        <v>1101</v>
      </c>
      <c r="L598" s="208"/>
      <c r="M598" s="209"/>
      <c r="N598" s="208"/>
      <c r="O598" s="208" t="s">
        <v>260</v>
      </c>
      <c r="P598" s="208" t="s">
        <v>91</v>
      </c>
    </row>
    <row r="599" spans="1:16" s="187" customFormat="1" ht="18" customHeight="1">
      <c r="A599" s="187" t="str">
        <f t="shared" si="9"/>
        <v>V10108B</v>
      </c>
      <c r="B599" s="206" t="s">
        <v>1097</v>
      </c>
      <c r="C599" s="206"/>
      <c r="D599" s="206" t="s">
        <v>1103</v>
      </c>
      <c r="E599" s="206" t="s">
        <v>29</v>
      </c>
      <c r="F599" s="206" t="s">
        <v>1098</v>
      </c>
      <c r="G599" s="206" t="s">
        <v>1099</v>
      </c>
      <c r="H599" s="206"/>
      <c r="I599" s="206"/>
      <c r="J599" s="206" t="s">
        <v>1100</v>
      </c>
      <c r="K599" s="206" t="s">
        <v>1101</v>
      </c>
      <c r="L599" s="206"/>
      <c r="M599" s="207"/>
      <c r="N599" s="206"/>
      <c r="O599" s="206" t="s">
        <v>260</v>
      </c>
      <c r="P599" s="206" t="s">
        <v>91</v>
      </c>
    </row>
    <row r="600" spans="1:16" s="187" customFormat="1" ht="18" customHeight="1">
      <c r="A600" s="187" t="str">
        <f t="shared" si="9"/>
        <v>V10108C</v>
      </c>
      <c r="B600" s="208" t="s">
        <v>1097</v>
      </c>
      <c r="C600" s="208"/>
      <c r="D600" s="208" t="s">
        <v>1096</v>
      </c>
      <c r="E600" s="208" t="s">
        <v>29</v>
      </c>
      <c r="F600" s="208" t="s">
        <v>1098</v>
      </c>
      <c r="G600" s="208" t="s">
        <v>1099</v>
      </c>
      <c r="H600" s="208"/>
      <c r="I600" s="208"/>
      <c r="J600" s="208" t="s">
        <v>1100</v>
      </c>
      <c r="K600" s="208" t="s">
        <v>1101</v>
      </c>
      <c r="L600" s="208"/>
      <c r="M600" s="209"/>
      <c r="N600" s="208"/>
      <c r="O600" s="208" t="s">
        <v>260</v>
      </c>
      <c r="P600" s="208" t="s">
        <v>91</v>
      </c>
    </row>
    <row r="601" spans="1:16" s="187" customFormat="1" ht="18" customHeight="1">
      <c r="A601" s="187" t="str">
        <f t="shared" si="9"/>
        <v>V10051A</v>
      </c>
      <c r="B601" s="206" t="s">
        <v>1111</v>
      </c>
      <c r="C601" s="206"/>
      <c r="D601" s="206" t="s">
        <v>1110</v>
      </c>
      <c r="E601" s="206" t="s">
        <v>29</v>
      </c>
      <c r="F601" s="206"/>
      <c r="G601" s="206"/>
      <c r="H601" s="206"/>
      <c r="I601" s="206"/>
      <c r="J601" s="206" t="s">
        <v>1112</v>
      </c>
      <c r="K601" s="206" t="s">
        <v>1113</v>
      </c>
      <c r="L601" s="206"/>
      <c r="M601" s="207"/>
      <c r="N601" s="206"/>
      <c r="O601" s="206" t="s">
        <v>260</v>
      </c>
      <c r="P601" s="206" t="s">
        <v>91</v>
      </c>
    </row>
    <row r="602" spans="1:16" s="187" customFormat="1" ht="18" customHeight="1">
      <c r="A602" s="187" t="str">
        <f t="shared" si="9"/>
        <v>V10051B</v>
      </c>
      <c r="B602" s="208" t="s">
        <v>1111</v>
      </c>
      <c r="C602" s="208"/>
      <c r="D602" s="208" t="s">
        <v>1114</v>
      </c>
      <c r="E602" s="208" t="s">
        <v>29</v>
      </c>
      <c r="F602" s="208"/>
      <c r="G602" s="208"/>
      <c r="H602" s="208"/>
      <c r="I602" s="208"/>
      <c r="J602" s="208" t="s">
        <v>1112</v>
      </c>
      <c r="K602" s="208" t="s">
        <v>1113</v>
      </c>
      <c r="L602" s="208"/>
      <c r="M602" s="209"/>
      <c r="N602" s="208"/>
      <c r="O602" s="208" t="s">
        <v>260</v>
      </c>
      <c r="P602" s="208" t="s">
        <v>91</v>
      </c>
    </row>
    <row r="603" spans="1:16" s="187" customFormat="1" ht="18" customHeight="1">
      <c r="A603" s="187" t="str">
        <f t="shared" si="9"/>
        <v>V10051C</v>
      </c>
      <c r="B603" s="206" t="s">
        <v>1111</v>
      </c>
      <c r="C603" s="206"/>
      <c r="D603" s="206" t="s">
        <v>1115</v>
      </c>
      <c r="E603" s="206" t="s">
        <v>29</v>
      </c>
      <c r="F603" s="206"/>
      <c r="G603" s="206"/>
      <c r="H603" s="206"/>
      <c r="I603" s="206"/>
      <c r="J603" s="206" t="s">
        <v>1112</v>
      </c>
      <c r="K603" s="206" t="s">
        <v>1113</v>
      </c>
      <c r="L603" s="206"/>
      <c r="M603" s="207"/>
      <c r="N603" s="206"/>
      <c r="O603" s="206" t="s">
        <v>260</v>
      </c>
      <c r="P603" s="206" t="s">
        <v>91</v>
      </c>
    </row>
    <row r="604" spans="1:16" s="187" customFormat="1" ht="18" customHeight="1">
      <c r="A604" s="187" t="str">
        <f t="shared" si="9"/>
        <v>CG440012C0</v>
      </c>
      <c r="B604" s="208" t="s">
        <v>1117</v>
      </c>
      <c r="C604" s="208"/>
      <c r="D604" s="208" t="s">
        <v>1116</v>
      </c>
      <c r="E604" s="208" t="s">
        <v>29</v>
      </c>
      <c r="F604" s="208" t="s">
        <v>1118</v>
      </c>
      <c r="G604" s="208"/>
      <c r="H604" s="208"/>
      <c r="I604" s="208"/>
      <c r="J604" s="208" t="s">
        <v>1119</v>
      </c>
      <c r="K604" s="208" t="s">
        <v>1120</v>
      </c>
      <c r="L604" s="208"/>
      <c r="M604" s="209"/>
      <c r="N604" s="208"/>
      <c r="O604" s="208"/>
      <c r="P604" s="208" t="s">
        <v>100</v>
      </c>
    </row>
    <row r="605" spans="1:16" s="187" customFormat="1" ht="18" customHeight="1">
      <c r="A605" s="187" t="str">
        <f t="shared" si="9"/>
        <v>V10077A</v>
      </c>
      <c r="B605" s="206" t="s">
        <v>1117</v>
      </c>
      <c r="C605" s="206"/>
      <c r="D605" s="206" t="s">
        <v>1121</v>
      </c>
      <c r="E605" s="206" t="s">
        <v>29</v>
      </c>
      <c r="F605" s="206" t="s">
        <v>1122</v>
      </c>
      <c r="G605" s="206" t="s">
        <v>5178</v>
      </c>
      <c r="H605" s="206"/>
      <c r="I605" s="206" t="s">
        <v>1123</v>
      </c>
      <c r="J605" s="206" t="s">
        <v>1119</v>
      </c>
      <c r="K605" s="206" t="s">
        <v>1120</v>
      </c>
      <c r="L605" s="206"/>
      <c r="M605" s="207"/>
      <c r="N605" s="206"/>
      <c r="O605" s="206" t="s">
        <v>260</v>
      </c>
      <c r="P605" s="206" t="s">
        <v>91</v>
      </c>
    </row>
    <row r="606" spans="1:16" s="187" customFormat="1" ht="18" customHeight="1">
      <c r="A606" s="187" t="str">
        <f t="shared" si="9"/>
        <v>V10077B</v>
      </c>
      <c r="B606" s="208" t="s">
        <v>1117</v>
      </c>
      <c r="C606" s="208"/>
      <c r="D606" s="208" t="s">
        <v>1124</v>
      </c>
      <c r="E606" s="208" t="s">
        <v>29</v>
      </c>
      <c r="F606" s="208" t="s">
        <v>1122</v>
      </c>
      <c r="G606" s="208" t="s">
        <v>5178</v>
      </c>
      <c r="H606" s="208"/>
      <c r="I606" s="208" t="s">
        <v>1123</v>
      </c>
      <c r="J606" s="208" t="s">
        <v>1119</v>
      </c>
      <c r="K606" s="208" t="s">
        <v>1120</v>
      </c>
      <c r="L606" s="208"/>
      <c r="M606" s="209"/>
      <c r="N606" s="208"/>
      <c r="O606" s="208" t="s">
        <v>260</v>
      </c>
      <c r="P606" s="208" t="s">
        <v>91</v>
      </c>
    </row>
    <row r="607" spans="1:16" s="187" customFormat="1" ht="18" customHeight="1">
      <c r="A607" s="187" t="str">
        <f t="shared" si="9"/>
        <v>V10077C</v>
      </c>
      <c r="B607" s="206" t="s">
        <v>1117</v>
      </c>
      <c r="C607" s="206"/>
      <c r="D607" s="206" t="s">
        <v>1125</v>
      </c>
      <c r="E607" s="206" t="s">
        <v>29</v>
      </c>
      <c r="F607" s="206" t="s">
        <v>1122</v>
      </c>
      <c r="G607" s="206" t="s">
        <v>5178</v>
      </c>
      <c r="H607" s="206"/>
      <c r="I607" s="206" t="s">
        <v>1123</v>
      </c>
      <c r="J607" s="206" t="s">
        <v>1126</v>
      </c>
      <c r="K607" s="206" t="s">
        <v>1120</v>
      </c>
      <c r="L607" s="206"/>
      <c r="M607" s="207"/>
      <c r="N607" s="206"/>
      <c r="O607" s="206" t="s">
        <v>260</v>
      </c>
      <c r="P607" s="206" t="s">
        <v>91</v>
      </c>
    </row>
    <row r="608" spans="1:16" s="187" customFormat="1" ht="18" customHeight="1">
      <c r="A608" s="187" t="str">
        <f t="shared" si="9"/>
        <v>V10202A</v>
      </c>
      <c r="B608" s="208" t="s">
        <v>1128</v>
      </c>
      <c r="C608" s="208"/>
      <c r="D608" s="208" t="s">
        <v>1127</v>
      </c>
      <c r="E608" s="208" t="s">
        <v>29</v>
      </c>
      <c r="F608" s="208" t="s">
        <v>1129</v>
      </c>
      <c r="G608" s="208"/>
      <c r="H608" s="208"/>
      <c r="I608" s="208" t="s">
        <v>1130</v>
      </c>
      <c r="J608" s="208" t="s">
        <v>1131</v>
      </c>
      <c r="K608" s="208" t="s">
        <v>1132</v>
      </c>
      <c r="L608" s="208"/>
      <c r="M608" s="209"/>
      <c r="N608" s="208"/>
      <c r="O608" s="208" t="s">
        <v>260</v>
      </c>
      <c r="P608" s="208" t="s">
        <v>91</v>
      </c>
    </row>
    <row r="609" spans="1:16" s="187" customFormat="1" ht="18" customHeight="1">
      <c r="A609" s="187" t="str">
        <f t="shared" si="9"/>
        <v>V10202B</v>
      </c>
      <c r="B609" s="206" t="s">
        <v>1128</v>
      </c>
      <c r="C609" s="206"/>
      <c r="D609" s="206" t="s">
        <v>1133</v>
      </c>
      <c r="E609" s="206" t="s">
        <v>29</v>
      </c>
      <c r="F609" s="206" t="s">
        <v>1129</v>
      </c>
      <c r="G609" s="206"/>
      <c r="H609" s="206"/>
      <c r="I609" s="206" t="s">
        <v>1130</v>
      </c>
      <c r="J609" s="206" t="s">
        <v>1131</v>
      </c>
      <c r="K609" s="206" t="s">
        <v>1132</v>
      </c>
      <c r="L609" s="206"/>
      <c r="M609" s="207"/>
      <c r="N609" s="206"/>
      <c r="O609" s="206" t="s">
        <v>260</v>
      </c>
      <c r="P609" s="206" t="s">
        <v>91</v>
      </c>
    </row>
    <row r="610" spans="1:16" s="187" customFormat="1" ht="18" customHeight="1">
      <c r="A610" s="187" t="str">
        <f t="shared" si="9"/>
        <v>V10202C</v>
      </c>
      <c r="B610" s="208" t="s">
        <v>1128</v>
      </c>
      <c r="C610" s="208"/>
      <c r="D610" s="208" t="s">
        <v>1134</v>
      </c>
      <c r="E610" s="208" t="s">
        <v>29</v>
      </c>
      <c r="F610" s="208" t="s">
        <v>1129</v>
      </c>
      <c r="G610" s="208"/>
      <c r="H610" s="208"/>
      <c r="I610" s="208" t="s">
        <v>1130</v>
      </c>
      <c r="J610" s="208" t="s">
        <v>1131</v>
      </c>
      <c r="K610" s="208" t="s">
        <v>1132</v>
      </c>
      <c r="L610" s="208"/>
      <c r="M610" s="209"/>
      <c r="N610" s="208"/>
      <c r="O610" s="208" t="s">
        <v>260</v>
      </c>
      <c r="P610" s="208" t="s">
        <v>91</v>
      </c>
    </row>
    <row r="611" spans="1:16" s="187" customFormat="1" ht="18" customHeight="1">
      <c r="A611" s="187" t="str">
        <f t="shared" si="9"/>
        <v>V4011C0</v>
      </c>
      <c r="B611" s="206" t="s">
        <v>1136</v>
      </c>
      <c r="C611" s="206"/>
      <c r="D611" s="206" t="s">
        <v>1135</v>
      </c>
      <c r="E611" s="206" t="s">
        <v>29</v>
      </c>
      <c r="F611" s="206" t="s">
        <v>1137</v>
      </c>
      <c r="G611" s="206" t="s">
        <v>1138</v>
      </c>
      <c r="H611" s="206"/>
      <c r="I611" s="206"/>
      <c r="J611" s="206" t="s">
        <v>1139</v>
      </c>
      <c r="K611" s="206" t="s">
        <v>1140</v>
      </c>
      <c r="L611" s="206"/>
      <c r="M611" s="207"/>
      <c r="N611" s="206"/>
      <c r="O611" s="206" t="s">
        <v>131</v>
      </c>
      <c r="P611" s="206" t="s">
        <v>107</v>
      </c>
    </row>
    <row r="612" spans="1:16" s="187" customFormat="1" ht="18" customHeight="1">
      <c r="A612" s="187" t="str">
        <f t="shared" si="9"/>
        <v>V10058A</v>
      </c>
      <c r="B612" s="208" t="s">
        <v>1142</v>
      </c>
      <c r="C612" s="208"/>
      <c r="D612" s="208" t="s">
        <v>1141</v>
      </c>
      <c r="E612" s="208" t="s">
        <v>29</v>
      </c>
      <c r="F612" s="208" t="s">
        <v>1143</v>
      </c>
      <c r="G612" s="208"/>
      <c r="H612" s="208"/>
      <c r="I612" s="208" t="s">
        <v>1144</v>
      </c>
      <c r="J612" s="208" t="s">
        <v>5179</v>
      </c>
      <c r="K612" s="208" t="s">
        <v>4285</v>
      </c>
      <c r="L612" s="208"/>
      <c r="M612" s="209"/>
      <c r="N612" s="208"/>
      <c r="O612" s="208" t="s">
        <v>260</v>
      </c>
      <c r="P612" s="208" t="s">
        <v>91</v>
      </c>
    </row>
    <row r="613" spans="1:16" s="187" customFormat="1" ht="18" customHeight="1">
      <c r="A613" s="187" t="str">
        <f t="shared" si="9"/>
        <v>V10058B</v>
      </c>
      <c r="B613" s="206" t="s">
        <v>1142</v>
      </c>
      <c r="C613" s="206"/>
      <c r="D613" s="206" t="s">
        <v>1145</v>
      </c>
      <c r="E613" s="206" t="s">
        <v>29</v>
      </c>
      <c r="F613" s="206" t="s">
        <v>1146</v>
      </c>
      <c r="G613" s="206"/>
      <c r="H613" s="206"/>
      <c r="I613" s="206" t="s">
        <v>1144</v>
      </c>
      <c r="J613" s="206" t="s">
        <v>5179</v>
      </c>
      <c r="K613" s="206" t="s">
        <v>4285</v>
      </c>
      <c r="L613" s="206"/>
      <c r="M613" s="207"/>
      <c r="N613" s="206"/>
      <c r="O613" s="206" t="s">
        <v>260</v>
      </c>
      <c r="P613" s="206" t="s">
        <v>91</v>
      </c>
    </row>
    <row r="614" spans="1:16" s="187" customFormat="1" ht="18" customHeight="1">
      <c r="A614" s="187" t="str">
        <f t="shared" si="9"/>
        <v>V10058C</v>
      </c>
      <c r="B614" s="208" t="s">
        <v>1142</v>
      </c>
      <c r="C614" s="208"/>
      <c r="D614" s="208" t="s">
        <v>1147</v>
      </c>
      <c r="E614" s="208" t="s">
        <v>29</v>
      </c>
      <c r="F614" s="208" t="s">
        <v>1148</v>
      </c>
      <c r="G614" s="208"/>
      <c r="H614" s="208"/>
      <c r="I614" s="208" t="s">
        <v>1144</v>
      </c>
      <c r="J614" s="208" t="s">
        <v>5179</v>
      </c>
      <c r="K614" s="208" t="s">
        <v>4285</v>
      </c>
      <c r="L614" s="208"/>
      <c r="M614" s="209"/>
      <c r="N614" s="208"/>
      <c r="O614" s="208" t="s">
        <v>260</v>
      </c>
      <c r="P614" s="208" t="s">
        <v>91</v>
      </c>
    </row>
    <row r="615" spans="1:16" s="187" customFormat="1" ht="18" customHeight="1">
      <c r="A615" s="187" t="str">
        <f t="shared" si="9"/>
        <v>CG440019C0</v>
      </c>
      <c r="B615" s="206" t="s">
        <v>1150</v>
      </c>
      <c r="C615" s="206"/>
      <c r="D615" s="206" t="s">
        <v>1149</v>
      </c>
      <c r="E615" s="206" t="s">
        <v>29</v>
      </c>
      <c r="F615" s="206" t="s">
        <v>1151</v>
      </c>
      <c r="G615" s="206" t="s">
        <v>1152</v>
      </c>
      <c r="H615" s="206"/>
      <c r="I615" s="206"/>
      <c r="J615" s="206" t="s">
        <v>1153</v>
      </c>
      <c r="K615" s="206" t="s">
        <v>1154</v>
      </c>
      <c r="L615" s="206"/>
      <c r="M615" s="207"/>
      <c r="N615" s="206"/>
      <c r="O615" s="206"/>
      <c r="P615" s="206" t="s">
        <v>100</v>
      </c>
    </row>
    <row r="616" spans="1:16" s="187" customFormat="1" ht="18" customHeight="1">
      <c r="A616" s="187" t="str">
        <f t="shared" si="9"/>
        <v>V10187A</v>
      </c>
      <c r="B616" s="208" t="s">
        <v>1150</v>
      </c>
      <c r="C616" s="208"/>
      <c r="D616" s="208" t="s">
        <v>1155</v>
      </c>
      <c r="E616" s="208" t="s">
        <v>29</v>
      </c>
      <c r="F616" s="208" t="s">
        <v>1151</v>
      </c>
      <c r="G616" s="208" t="s">
        <v>1152</v>
      </c>
      <c r="H616" s="208"/>
      <c r="I616" s="208" t="s">
        <v>1156</v>
      </c>
      <c r="J616" s="208" t="s">
        <v>1153</v>
      </c>
      <c r="K616" s="208" t="s">
        <v>1154</v>
      </c>
      <c r="L616" s="208"/>
      <c r="M616" s="209"/>
      <c r="N616" s="208"/>
      <c r="O616" s="208" t="s">
        <v>260</v>
      </c>
      <c r="P616" s="208" t="s">
        <v>91</v>
      </c>
    </row>
    <row r="617" spans="1:16" s="187" customFormat="1" ht="18" customHeight="1">
      <c r="A617" s="187" t="str">
        <f t="shared" si="9"/>
        <v>V10187B</v>
      </c>
      <c r="B617" s="206" t="s">
        <v>1150</v>
      </c>
      <c r="C617" s="206"/>
      <c r="D617" s="206" t="s">
        <v>1157</v>
      </c>
      <c r="E617" s="206" t="s">
        <v>29</v>
      </c>
      <c r="F617" s="206" t="s">
        <v>1151</v>
      </c>
      <c r="G617" s="206" t="s">
        <v>1152</v>
      </c>
      <c r="H617" s="206"/>
      <c r="I617" s="206" t="s">
        <v>1156</v>
      </c>
      <c r="J617" s="206" t="s">
        <v>1153</v>
      </c>
      <c r="K617" s="206" t="s">
        <v>1154</v>
      </c>
      <c r="L617" s="206"/>
      <c r="M617" s="207"/>
      <c r="N617" s="206"/>
      <c r="O617" s="206" t="s">
        <v>260</v>
      </c>
      <c r="P617" s="206" t="s">
        <v>91</v>
      </c>
    </row>
    <row r="618" spans="1:16" s="187" customFormat="1" ht="18" customHeight="1">
      <c r="A618" s="187" t="str">
        <f t="shared" si="9"/>
        <v>V10187C</v>
      </c>
      <c r="B618" s="208" t="s">
        <v>1150</v>
      </c>
      <c r="C618" s="208"/>
      <c r="D618" s="208" t="s">
        <v>1158</v>
      </c>
      <c r="E618" s="208" t="s">
        <v>29</v>
      </c>
      <c r="F618" s="208" t="s">
        <v>1151</v>
      </c>
      <c r="G618" s="208" t="s">
        <v>1152</v>
      </c>
      <c r="H618" s="208"/>
      <c r="I618" s="208" t="s">
        <v>1156</v>
      </c>
      <c r="J618" s="208" t="s">
        <v>1153</v>
      </c>
      <c r="K618" s="208" t="s">
        <v>1154</v>
      </c>
      <c r="L618" s="208"/>
      <c r="M618" s="209"/>
      <c r="N618" s="208"/>
      <c r="O618" s="208" t="s">
        <v>260</v>
      </c>
      <c r="P618" s="208" t="s">
        <v>91</v>
      </c>
    </row>
    <row r="619" spans="1:16" s="187" customFormat="1" ht="18" customHeight="1">
      <c r="A619" s="187" t="str">
        <f t="shared" si="9"/>
        <v>V4012C0</v>
      </c>
      <c r="B619" s="206" t="s">
        <v>1150</v>
      </c>
      <c r="C619" s="206"/>
      <c r="D619" s="206" t="s">
        <v>1159</v>
      </c>
      <c r="E619" s="206" t="s">
        <v>29</v>
      </c>
      <c r="F619" s="206" t="s">
        <v>4286</v>
      </c>
      <c r="G619" s="206" t="s">
        <v>1152</v>
      </c>
      <c r="H619" s="206"/>
      <c r="I619" s="206" t="s">
        <v>1156</v>
      </c>
      <c r="J619" s="206" t="s">
        <v>4287</v>
      </c>
      <c r="K619" s="206" t="s">
        <v>4288</v>
      </c>
      <c r="L619" s="206"/>
      <c r="M619" s="207"/>
      <c r="N619" s="206"/>
      <c r="O619" s="206" t="s">
        <v>131</v>
      </c>
      <c r="P619" s="206" t="s">
        <v>107</v>
      </c>
    </row>
    <row r="620" spans="1:16" s="187" customFormat="1" ht="18" customHeight="1">
      <c r="A620" s="187" t="str">
        <f t="shared" si="9"/>
        <v>V10364C</v>
      </c>
      <c r="B620" s="208" t="s">
        <v>4910</v>
      </c>
      <c r="C620" s="208"/>
      <c r="D620" s="208" t="s">
        <v>4911</v>
      </c>
      <c r="E620" s="208" t="s">
        <v>29</v>
      </c>
      <c r="F620" s="208" t="s">
        <v>4912</v>
      </c>
      <c r="G620" s="208"/>
      <c r="H620" s="208"/>
      <c r="I620" s="208" t="s">
        <v>4913</v>
      </c>
      <c r="J620" s="208" t="s">
        <v>4914</v>
      </c>
      <c r="K620" s="208" t="s">
        <v>4915</v>
      </c>
      <c r="L620" s="208"/>
      <c r="M620" s="209"/>
      <c r="N620" s="208"/>
      <c r="O620" s="208"/>
      <c r="P620" s="208" t="s">
        <v>91</v>
      </c>
    </row>
    <row r="621" spans="1:16" s="187" customFormat="1" ht="18" customHeight="1">
      <c r="A621" s="187" t="str">
        <f t="shared" si="9"/>
        <v>V10065A</v>
      </c>
      <c r="B621" s="206" t="s">
        <v>1161</v>
      </c>
      <c r="C621" s="206"/>
      <c r="D621" s="206" t="s">
        <v>1160</v>
      </c>
      <c r="E621" s="206" t="s">
        <v>29</v>
      </c>
      <c r="F621" s="206" t="s">
        <v>1162</v>
      </c>
      <c r="G621" s="206"/>
      <c r="H621" s="206"/>
      <c r="I621" s="206" t="s">
        <v>1163</v>
      </c>
      <c r="J621" s="206" t="s">
        <v>1164</v>
      </c>
      <c r="K621" s="206" t="s">
        <v>1165</v>
      </c>
      <c r="L621" s="206"/>
      <c r="M621" s="207"/>
      <c r="N621" s="206"/>
      <c r="O621" s="206" t="s">
        <v>260</v>
      </c>
      <c r="P621" s="206" t="s">
        <v>91</v>
      </c>
    </row>
    <row r="622" spans="1:16" s="187" customFormat="1" ht="18" customHeight="1">
      <c r="A622" s="187" t="str">
        <f t="shared" si="9"/>
        <v>V10065B</v>
      </c>
      <c r="B622" s="208" t="s">
        <v>1161</v>
      </c>
      <c r="C622" s="208"/>
      <c r="D622" s="208" t="s">
        <v>1166</v>
      </c>
      <c r="E622" s="208" t="s">
        <v>29</v>
      </c>
      <c r="F622" s="208" t="s">
        <v>1162</v>
      </c>
      <c r="G622" s="208"/>
      <c r="H622" s="208"/>
      <c r="I622" s="208" t="s">
        <v>1163</v>
      </c>
      <c r="J622" s="208" t="s">
        <v>1164</v>
      </c>
      <c r="K622" s="208" t="s">
        <v>1165</v>
      </c>
      <c r="L622" s="208"/>
      <c r="M622" s="209"/>
      <c r="N622" s="208"/>
      <c r="O622" s="208" t="s">
        <v>260</v>
      </c>
      <c r="P622" s="208" t="s">
        <v>91</v>
      </c>
    </row>
    <row r="623" spans="1:16" s="187" customFormat="1" ht="18" customHeight="1">
      <c r="A623" s="187" t="str">
        <f t="shared" si="9"/>
        <v>V10065C</v>
      </c>
      <c r="B623" s="206" t="s">
        <v>1161</v>
      </c>
      <c r="C623" s="206"/>
      <c r="D623" s="206" t="s">
        <v>1167</v>
      </c>
      <c r="E623" s="206" t="s">
        <v>29</v>
      </c>
      <c r="F623" s="206" t="s">
        <v>1162</v>
      </c>
      <c r="G623" s="206"/>
      <c r="H623" s="206"/>
      <c r="I623" s="206" t="s">
        <v>1163</v>
      </c>
      <c r="J623" s="206" t="s">
        <v>1164</v>
      </c>
      <c r="K623" s="206" t="s">
        <v>1165</v>
      </c>
      <c r="L623" s="206"/>
      <c r="M623" s="207"/>
      <c r="N623" s="206"/>
      <c r="O623" s="206" t="s">
        <v>260</v>
      </c>
      <c r="P623" s="206" t="s">
        <v>91</v>
      </c>
    </row>
    <row r="624" spans="1:16" s="187" customFormat="1" ht="18" customHeight="1">
      <c r="A624" s="187" t="str">
        <f t="shared" si="9"/>
        <v>V10009A</v>
      </c>
      <c r="B624" s="208" t="s">
        <v>1169</v>
      </c>
      <c r="C624" s="208"/>
      <c r="D624" s="208" t="s">
        <v>1168</v>
      </c>
      <c r="E624" s="208" t="s">
        <v>29</v>
      </c>
      <c r="F624" s="208" t="s">
        <v>1170</v>
      </c>
      <c r="G624" s="208" t="s">
        <v>1171</v>
      </c>
      <c r="H624" s="208"/>
      <c r="I624" s="208"/>
      <c r="J624" s="208" t="s">
        <v>601</v>
      </c>
      <c r="K624" s="208" t="s">
        <v>1172</v>
      </c>
      <c r="L624" s="208"/>
      <c r="M624" s="209"/>
      <c r="N624" s="208"/>
      <c r="O624" s="208" t="s">
        <v>260</v>
      </c>
      <c r="P624" s="208" t="s">
        <v>91</v>
      </c>
    </row>
    <row r="625" spans="1:16" s="187" customFormat="1" ht="18" customHeight="1">
      <c r="A625" s="187" t="str">
        <f t="shared" si="9"/>
        <v>V10009B</v>
      </c>
      <c r="B625" s="206" t="s">
        <v>1169</v>
      </c>
      <c r="C625" s="206"/>
      <c r="D625" s="206" t="s">
        <v>1173</v>
      </c>
      <c r="E625" s="206" t="s">
        <v>29</v>
      </c>
      <c r="F625" s="206" t="s">
        <v>1170</v>
      </c>
      <c r="G625" s="206" t="s">
        <v>1171</v>
      </c>
      <c r="H625" s="206"/>
      <c r="I625" s="206"/>
      <c r="J625" s="206" t="s">
        <v>601</v>
      </c>
      <c r="K625" s="206" t="s">
        <v>1172</v>
      </c>
      <c r="L625" s="206"/>
      <c r="M625" s="207"/>
      <c r="N625" s="206"/>
      <c r="O625" s="206" t="s">
        <v>260</v>
      </c>
      <c r="P625" s="206" t="s">
        <v>91</v>
      </c>
    </row>
    <row r="626" spans="1:16" s="187" customFormat="1" ht="18" customHeight="1">
      <c r="A626" s="187" t="str">
        <f t="shared" si="9"/>
        <v>V10009C</v>
      </c>
      <c r="B626" s="208" t="s">
        <v>1169</v>
      </c>
      <c r="C626" s="208"/>
      <c r="D626" s="208" t="s">
        <v>1174</v>
      </c>
      <c r="E626" s="208" t="s">
        <v>29</v>
      </c>
      <c r="F626" s="208" t="s">
        <v>1170</v>
      </c>
      <c r="G626" s="208" t="s">
        <v>1171</v>
      </c>
      <c r="H626" s="208"/>
      <c r="I626" s="208"/>
      <c r="J626" s="208" t="s">
        <v>601</v>
      </c>
      <c r="K626" s="208" t="s">
        <v>1172</v>
      </c>
      <c r="L626" s="208"/>
      <c r="M626" s="209"/>
      <c r="N626" s="208"/>
      <c r="O626" s="208" t="s">
        <v>260</v>
      </c>
      <c r="P626" s="208" t="s">
        <v>91</v>
      </c>
    </row>
    <row r="627" spans="1:16" s="187" customFormat="1" ht="18" customHeight="1">
      <c r="A627" s="187" t="str">
        <f t="shared" si="9"/>
        <v>V10018A</v>
      </c>
      <c r="B627" s="206" t="s">
        <v>1176</v>
      </c>
      <c r="C627" s="206"/>
      <c r="D627" s="206" t="s">
        <v>1175</v>
      </c>
      <c r="E627" s="206" t="s">
        <v>29</v>
      </c>
      <c r="F627" s="206" t="s">
        <v>1177</v>
      </c>
      <c r="G627" s="206" t="s">
        <v>1178</v>
      </c>
      <c r="H627" s="206"/>
      <c r="I627" s="206" t="s">
        <v>1179</v>
      </c>
      <c r="J627" s="206" t="s">
        <v>1180</v>
      </c>
      <c r="K627" s="206" t="s">
        <v>1181</v>
      </c>
      <c r="L627" s="206"/>
      <c r="M627" s="207"/>
      <c r="N627" s="206"/>
      <c r="O627" s="206" t="s">
        <v>260</v>
      </c>
      <c r="P627" s="206" t="s">
        <v>91</v>
      </c>
    </row>
    <row r="628" spans="1:16" s="187" customFormat="1" ht="18" customHeight="1">
      <c r="A628" s="187" t="str">
        <f t="shared" si="9"/>
        <v>V10018B</v>
      </c>
      <c r="B628" s="208" t="s">
        <v>1176</v>
      </c>
      <c r="C628" s="208"/>
      <c r="D628" s="208" t="s">
        <v>1182</v>
      </c>
      <c r="E628" s="208" t="s">
        <v>29</v>
      </c>
      <c r="F628" s="208" t="s">
        <v>1177</v>
      </c>
      <c r="G628" s="208" t="s">
        <v>1178</v>
      </c>
      <c r="H628" s="208"/>
      <c r="I628" s="208" t="s">
        <v>1179</v>
      </c>
      <c r="J628" s="208" t="s">
        <v>1180</v>
      </c>
      <c r="K628" s="208" t="s">
        <v>1181</v>
      </c>
      <c r="L628" s="208"/>
      <c r="M628" s="209"/>
      <c r="N628" s="208"/>
      <c r="O628" s="208" t="s">
        <v>260</v>
      </c>
      <c r="P628" s="208" t="s">
        <v>91</v>
      </c>
    </row>
    <row r="629" spans="1:16" s="187" customFormat="1" ht="18" customHeight="1">
      <c r="A629" s="187" t="str">
        <f t="shared" si="9"/>
        <v>V10018C</v>
      </c>
      <c r="B629" s="206" t="s">
        <v>1176</v>
      </c>
      <c r="C629" s="206"/>
      <c r="D629" s="206" t="s">
        <v>1183</v>
      </c>
      <c r="E629" s="206" t="s">
        <v>29</v>
      </c>
      <c r="F629" s="206" t="s">
        <v>1177</v>
      </c>
      <c r="G629" s="206" t="s">
        <v>1178</v>
      </c>
      <c r="H629" s="206"/>
      <c r="I629" s="206" t="s">
        <v>1179</v>
      </c>
      <c r="J629" s="206" t="s">
        <v>1180</v>
      </c>
      <c r="K629" s="206" t="s">
        <v>1181</v>
      </c>
      <c r="L629" s="206"/>
      <c r="M629" s="207"/>
      <c r="N629" s="206"/>
      <c r="O629" s="206" t="s">
        <v>260</v>
      </c>
      <c r="P629" s="206" t="s">
        <v>91</v>
      </c>
    </row>
    <row r="630" spans="1:16" s="187" customFormat="1" ht="18" customHeight="1">
      <c r="A630" s="187" t="str">
        <f t="shared" si="9"/>
        <v>V10186A</v>
      </c>
      <c r="B630" s="208" t="s">
        <v>1185</v>
      </c>
      <c r="C630" s="208"/>
      <c r="D630" s="208" t="s">
        <v>1184</v>
      </c>
      <c r="E630" s="208" t="s">
        <v>29</v>
      </c>
      <c r="F630" s="208" t="s">
        <v>1186</v>
      </c>
      <c r="G630" s="208" t="s">
        <v>1187</v>
      </c>
      <c r="H630" s="208"/>
      <c r="I630" s="208"/>
      <c r="J630" s="208"/>
      <c r="K630" s="208"/>
      <c r="L630" s="208"/>
      <c r="M630" s="209"/>
      <c r="N630" s="208"/>
      <c r="O630" s="208" t="s">
        <v>260</v>
      </c>
      <c r="P630" s="208" t="s">
        <v>91</v>
      </c>
    </row>
    <row r="631" spans="1:16" s="187" customFormat="1" ht="18" customHeight="1">
      <c r="A631" s="187" t="str">
        <f t="shared" si="9"/>
        <v>V10186B</v>
      </c>
      <c r="B631" s="206" t="s">
        <v>1185</v>
      </c>
      <c r="C631" s="206"/>
      <c r="D631" s="206" t="s">
        <v>1188</v>
      </c>
      <c r="E631" s="206" t="s">
        <v>29</v>
      </c>
      <c r="F631" s="206" t="s">
        <v>1186</v>
      </c>
      <c r="G631" s="206" t="s">
        <v>1187</v>
      </c>
      <c r="H631" s="206"/>
      <c r="I631" s="206"/>
      <c r="J631" s="206"/>
      <c r="K631" s="206"/>
      <c r="L631" s="206"/>
      <c r="M631" s="207"/>
      <c r="N631" s="206"/>
      <c r="O631" s="206" t="s">
        <v>260</v>
      </c>
      <c r="P631" s="206" t="s">
        <v>91</v>
      </c>
    </row>
    <row r="632" spans="1:16" s="187" customFormat="1" ht="18" customHeight="1">
      <c r="A632" s="187" t="str">
        <f t="shared" si="9"/>
        <v>V10186C</v>
      </c>
      <c r="B632" s="208" t="s">
        <v>1185</v>
      </c>
      <c r="C632" s="208"/>
      <c r="D632" s="208" t="s">
        <v>1189</v>
      </c>
      <c r="E632" s="208" t="s">
        <v>29</v>
      </c>
      <c r="F632" s="208" t="s">
        <v>1186</v>
      </c>
      <c r="G632" s="208" t="s">
        <v>1187</v>
      </c>
      <c r="H632" s="208"/>
      <c r="I632" s="208"/>
      <c r="J632" s="208"/>
      <c r="K632" s="208"/>
      <c r="L632" s="208"/>
      <c r="M632" s="209"/>
      <c r="N632" s="208"/>
      <c r="O632" s="208" t="s">
        <v>260</v>
      </c>
      <c r="P632" s="208" t="s">
        <v>91</v>
      </c>
    </row>
    <row r="633" spans="1:16" s="187" customFormat="1" ht="18" customHeight="1">
      <c r="A633" s="187" t="str">
        <f t="shared" si="9"/>
        <v>CG440001C0</v>
      </c>
      <c r="B633" s="206" t="s">
        <v>1191</v>
      </c>
      <c r="C633" s="206"/>
      <c r="D633" s="206" t="s">
        <v>1196</v>
      </c>
      <c r="E633" s="206" t="s">
        <v>29</v>
      </c>
      <c r="F633" s="206" t="s">
        <v>1192</v>
      </c>
      <c r="G633" s="206"/>
      <c r="H633" s="206"/>
      <c r="I633" s="206"/>
      <c r="J633" s="206"/>
      <c r="K633" s="206"/>
      <c r="L633" s="206"/>
      <c r="M633" s="207"/>
      <c r="N633" s="206"/>
      <c r="O633" s="206"/>
      <c r="P633" s="206" t="s">
        <v>100</v>
      </c>
    </row>
    <row r="634" spans="1:16" s="187" customFormat="1" ht="18" customHeight="1">
      <c r="A634" s="187" t="str">
        <f t="shared" si="9"/>
        <v>V4013C0</v>
      </c>
      <c r="B634" s="208" t="s">
        <v>1191</v>
      </c>
      <c r="C634" s="208"/>
      <c r="D634" s="208" t="s">
        <v>1190</v>
      </c>
      <c r="E634" s="208" t="s">
        <v>29</v>
      </c>
      <c r="F634" s="208" t="s">
        <v>1192</v>
      </c>
      <c r="G634" s="208" t="s">
        <v>1193</v>
      </c>
      <c r="H634" s="208"/>
      <c r="I634" s="208"/>
      <c r="J634" s="208" t="s">
        <v>1194</v>
      </c>
      <c r="K634" s="208" t="s">
        <v>1195</v>
      </c>
      <c r="L634" s="208"/>
      <c r="M634" s="209"/>
      <c r="N634" s="208"/>
      <c r="O634" s="208" t="s">
        <v>131</v>
      </c>
      <c r="P634" s="208" t="s">
        <v>107</v>
      </c>
    </row>
    <row r="635" spans="1:16" s="187" customFormat="1" ht="18" customHeight="1">
      <c r="A635" s="187" t="str">
        <f t="shared" si="9"/>
        <v>V4060C0</v>
      </c>
      <c r="B635" s="206" t="s">
        <v>1198</v>
      </c>
      <c r="C635" s="206"/>
      <c r="D635" s="206" t="s">
        <v>1197</v>
      </c>
      <c r="E635" s="206" t="s">
        <v>29</v>
      </c>
      <c r="F635" s="206" t="s">
        <v>6325</v>
      </c>
      <c r="G635" s="206" t="s">
        <v>4289</v>
      </c>
      <c r="H635" s="206"/>
      <c r="I635" s="206" t="s">
        <v>1199</v>
      </c>
      <c r="J635" s="206" t="s">
        <v>1443</v>
      </c>
      <c r="K635" s="206" t="s">
        <v>1200</v>
      </c>
      <c r="L635" s="206"/>
      <c r="M635" s="207"/>
      <c r="N635" s="206"/>
      <c r="O635" s="206"/>
      <c r="P635" s="206" t="s">
        <v>107</v>
      </c>
    </row>
    <row r="636" spans="1:16" s="187" customFormat="1" ht="18" customHeight="1">
      <c r="A636" s="187" t="str">
        <f t="shared" si="9"/>
        <v>V10426C</v>
      </c>
      <c r="B636" s="208" t="s">
        <v>5656</v>
      </c>
      <c r="C636" s="208"/>
      <c r="D636" s="208" t="s">
        <v>5657</v>
      </c>
      <c r="E636" s="208" t="s">
        <v>29</v>
      </c>
      <c r="F636" s="208" t="s">
        <v>5658</v>
      </c>
      <c r="G636" s="208"/>
      <c r="H636" s="208"/>
      <c r="I636" s="208" t="s">
        <v>5659</v>
      </c>
      <c r="J636" s="208" t="s">
        <v>5660</v>
      </c>
      <c r="K636" s="208" t="s">
        <v>5661</v>
      </c>
      <c r="L636" s="208"/>
      <c r="M636" s="209"/>
      <c r="N636" s="208"/>
      <c r="O636" s="208" t="s">
        <v>260</v>
      </c>
      <c r="P636" s="208" t="s">
        <v>91</v>
      </c>
    </row>
    <row r="637" spans="1:16" s="187" customFormat="1" ht="18" customHeight="1">
      <c r="A637" s="187" t="str">
        <f t="shared" si="9"/>
        <v>V10325C</v>
      </c>
      <c r="B637" s="206" t="s">
        <v>4296</v>
      </c>
      <c r="C637" s="206"/>
      <c r="D637" s="206" t="s">
        <v>4295</v>
      </c>
      <c r="E637" s="206" t="s">
        <v>29</v>
      </c>
      <c r="F637" s="206" t="s">
        <v>4297</v>
      </c>
      <c r="G637" s="206"/>
      <c r="H637" s="206"/>
      <c r="I637" s="206"/>
      <c r="J637" s="206" t="s">
        <v>4298</v>
      </c>
      <c r="K637" s="206" t="s">
        <v>4299</v>
      </c>
      <c r="L637" s="206"/>
      <c r="M637" s="207"/>
      <c r="N637" s="206"/>
      <c r="O637" s="206"/>
      <c r="P637" s="206" t="s">
        <v>91</v>
      </c>
    </row>
    <row r="638" spans="1:16" s="187" customFormat="1" ht="18" customHeight="1">
      <c r="A638" s="187" t="str">
        <f t="shared" si="9"/>
        <v>V10258C</v>
      </c>
      <c r="B638" s="208" t="s">
        <v>1202</v>
      </c>
      <c r="C638" s="208"/>
      <c r="D638" s="208" t="s">
        <v>1201</v>
      </c>
      <c r="E638" s="208" t="s">
        <v>29</v>
      </c>
      <c r="F638" s="208" t="s">
        <v>1203</v>
      </c>
      <c r="G638" s="208"/>
      <c r="H638" s="208"/>
      <c r="I638" s="208"/>
      <c r="J638" s="208" t="s">
        <v>1204</v>
      </c>
      <c r="K638" s="208" t="s">
        <v>1205</v>
      </c>
      <c r="L638" s="208"/>
      <c r="M638" s="209"/>
      <c r="N638" s="208"/>
      <c r="O638" s="208"/>
      <c r="P638" s="208" t="s">
        <v>91</v>
      </c>
    </row>
    <row r="639" spans="1:16" s="187" customFormat="1" ht="18" customHeight="1">
      <c r="A639" s="187" t="str">
        <f t="shared" si="9"/>
        <v>V4081C0</v>
      </c>
      <c r="B639" s="206" t="s">
        <v>1207</v>
      </c>
      <c r="C639" s="206"/>
      <c r="D639" s="206" t="s">
        <v>1206</v>
      </c>
      <c r="E639" s="206" t="s">
        <v>29</v>
      </c>
      <c r="F639" s="206" t="s">
        <v>1208</v>
      </c>
      <c r="G639" s="206" t="s">
        <v>1209</v>
      </c>
      <c r="H639" s="206"/>
      <c r="I639" s="206"/>
      <c r="J639" s="206"/>
      <c r="K639" s="206"/>
      <c r="L639" s="206"/>
      <c r="M639" s="207"/>
      <c r="N639" s="206"/>
      <c r="O639" s="206"/>
      <c r="P639" s="206" t="s">
        <v>107</v>
      </c>
    </row>
    <row r="640" spans="1:16" s="187" customFormat="1" ht="18" customHeight="1">
      <c r="A640" s="187" t="str">
        <f t="shared" si="9"/>
        <v>V10475C</v>
      </c>
      <c r="B640" s="208" t="s">
        <v>5933</v>
      </c>
      <c r="C640" s="208"/>
      <c r="D640" s="208" t="s">
        <v>5934</v>
      </c>
      <c r="E640" s="208" t="s">
        <v>29</v>
      </c>
      <c r="F640" s="208" t="s">
        <v>5935</v>
      </c>
      <c r="G640" s="208" t="s">
        <v>5936</v>
      </c>
      <c r="H640" s="208"/>
      <c r="I640" s="208"/>
      <c r="J640" s="208" t="s">
        <v>5937</v>
      </c>
      <c r="K640" s="208" t="s">
        <v>5938</v>
      </c>
      <c r="L640" s="208"/>
      <c r="M640" s="209"/>
      <c r="N640" s="208"/>
      <c r="O640" s="208"/>
      <c r="P640" s="208" t="s">
        <v>91</v>
      </c>
    </row>
    <row r="641" spans="1:16" s="187" customFormat="1" ht="18" customHeight="1">
      <c r="A641" s="187" t="str">
        <f t="shared" si="9"/>
        <v>V4046C0</v>
      </c>
      <c r="B641" s="206" t="s">
        <v>1211</v>
      </c>
      <c r="C641" s="206"/>
      <c r="D641" s="206" t="s">
        <v>1210</v>
      </c>
      <c r="E641" s="206" t="s">
        <v>29</v>
      </c>
      <c r="F641" s="206" t="s">
        <v>1212</v>
      </c>
      <c r="G641" s="206" t="s">
        <v>1213</v>
      </c>
      <c r="H641" s="206"/>
      <c r="I641" s="206"/>
      <c r="J641" s="206" t="s">
        <v>1214</v>
      </c>
      <c r="K641" s="206" t="s">
        <v>1215</v>
      </c>
      <c r="L641" s="206"/>
      <c r="M641" s="207"/>
      <c r="N641" s="206"/>
      <c r="O641" s="206" t="s">
        <v>131</v>
      </c>
      <c r="P641" s="206" t="s">
        <v>107</v>
      </c>
    </row>
    <row r="642" spans="1:16" s="187" customFormat="1" ht="18" customHeight="1">
      <c r="A642" s="187" t="str">
        <f t="shared" si="9"/>
        <v>V10225A</v>
      </c>
      <c r="B642" s="208" t="s">
        <v>1217</v>
      </c>
      <c r="C642" s="208"/>
      <c r="D642" s="208" t="s">
        <v>1216</v>
      </c>
      <c r="E642" s="208" t="s">
        <v>29</v>
      </c>
      <c r="F642" s="208" t="s">
        <v>1218</v>
      </c>
      <c r="G642" s="208"/>
      <c r="H642" s="208"/>
      <c r="I642" s="208"/>
      <c r="J642" s="208" t="s">
        <v>1219</v>
      </c>
      <c r="K642" s="208" t="s">
        <v>1220</v>
      </c>
      <c r="L642" s="208"/>
      <c r="M642" s="209"/>
      <c r="N642" s="208"/>
      <c r="O642" s="208" t="s">
        <v>260</v>
      </c>
      <c r="P642" s="208" t="s">
        <v>91</v>
      </c>
    </row>
    <row r="643" spans="1:16" s="187" customFormat="1" ht="18" customHeight="1">
      <c r="A643" s="187" t="str">
        <f t="shared" si="9"/>
        <v>V10225B</v>
      </c>
      <c r="B643" s="206" t="s">
        <v>1217</v>
      </c>
      <c r="C643" s="206"/>
      <c r="D643" s="206" t="s">
        <v>1221</v>
      </c>
      <c r="E643" s="206" t="s">
        <v>29</v>
      </c>
      <c r="F643" s="206" t="s">
        <v>1218</v>
      </c>
      <c r="G643" s="206"/>
      <c r="H643" s="206"/>
      <c r="I643" s="206"/>
      <c r="J643" s="206" t="s">
        <v>1219</v>
      </c>
      <c r="K643" s="206" t="s">
        <v>1220</v>
      </c>
      <c r="L643" s="206"/>
      <c r="M643" s="207"/>
      <c r="N643" s="206"/>
      <c r="O643" s="206" t="s">
        <v>260</v>
      </c>
      <c r="P643" s="206" t="s">
        <v>91</v>
      </c>
    </row>
    <row r="644" spans="1:16" s="187" customFormat="1" ht="18" customHeight="1">
      <c r="A644" s="187" t="str">
        <f t="shared" si="9"/>
        <v>V10225C</v>
      </c>
      <c r="B644" s="208" t="s">
        <v>1217</v>
      </c>
      <c r="C644" s="208"/>
      <c r="D644" s="208" t="s">
        <v>1222</v>
      </c>
      <c r="E644" s="208" t="s">
        <v>29</v>
      </c>
      <c r="F644" s="208" t="s">
        <v>1218</v>
      </c>
      <c r="G644" s="208"/>
      <c r="H644" s="208"/>
      <c r="I644" s="208"/>
      <c r="J644" s="208" t="s">
        <v>1219</v>
      </c>
      <c r="K644" s="208" t="s">
        <v>1220</v>
      </c>
      <c r="L644" s="208"/>
      <c r="M644" s="209"/>
      <c r="N644" s="208"/>
      <c r="O644" s="208" t="s">
        <v>260</v>
      </c>
      <c r="P644" s="208" t="s">
        <v>91</v>
      </c>
    </row>
    <row r="645" spans="1:16" s="187" customFormat="1" ht="18" customHeight="1">
      <c r="A645" s="187" t="str">
        <f t="shared" si="9"/>
        <v>V10540C</v>
      </c>
      <c r="B645" s="206" t="s">
        <v>6326</v>
      </c>
      <c r="C645" s="206"/>
      <c r="D645" s="206" t="s">
        <v>6327</v>
      </c>
      <c r="E645" s="206" t="s">
        <v>29</v>
      </c>
      <c r="F645" s="206" t="s">
        <v>6328</v>
      </c>
      <c r="G645" s="206" t="s">
        <v>6329</v>
      </c>
      <c r="H645" s="206"/>
      <c r="I645" s="206"/>
      <c r="J645" s="206" t="s">
        <v>6330</v>
      </c>
      <c r="K645" s="206" t="s">
        <v>6331</v>
      </c>
      <c r="L645" s="206"/>
      <c r="M645" s="207"/>
      <c r="N645" s="206"/>
      <c r="O645" s="206" t="s">
        <v>260</v>
      </c>
      <c r="P645" s="206" t="s">
        <v>91</v>
      </c>
    </row>
    <row r="646" spans="1:16" s="187" customFormat="1" ht="18" customHeight="1">
      <c r="A646" s="187" t="str">
        <f t="shared" ref="A646:A709" si="10">D646</f>
        <v>V10319B</v>
      </c>
      <c r="B646" s="208" t="s">
        <v>4301</v>
      </c>
      <c r="C646" s="208"/>
      <c r="D646" s="208" t="s">
        <v>5104</v>
      </c>
      <c r="E646" s="208" t="s">
        <v>29</v>
      </c>
      <c r="F646" s="208" t="s">
        <v>5103</v>
      </c>
      <c r="G646" s="208"/>
      <c r="H646" s="208"/>
      <c r="I646" s="208" t="s">
        <v>5102</v>
      </c>
      <c r="J646" s="208" t="s">
        <v>5101</v>
      </c>
      <c r="K646" s="208" t="s">
        <v>4303</v>
      </c>
      <c r="L646" s="208"/>
      <c r="M646" s="209"/>
      <c r="N646" s="208"/>
      <c r="O646" s="208"/>
      <c r="P646" s="208" t="s">
        <v>91</v>
      </c>
    </row>
    <row r="647" spans="1:16" s="187" customFormat="1" ht="18" customHeight="1">
      <c r="A647" s="187" t="str">
        <f t="shared" si="10"/>
        <v>V10319C</v>
      </c>
      <c r="B647" s="206" t="s">
        <v>4301</v>
      </c>
      <c r="C647" s="206"/>
      <c r="D647" s="206" t="s">
        <v>4300</v>
      </c>
      <c r="E647" s="206" t="s">
        <v>29</v>
      </c>
      <c r="F647" s="206" t="s">
        <v>6332</v>
      </c>
      <c r="G647" s="206"/>
      <c r="H647" s="206"/>
      <c r="I647" s="206"/>
      <c r="J647" s="206" t="s">
        <v>4302</v>
      </c>
      <c r="K647" s="206" t="s">
        <v>4303</v>
      </c>
      <c r="L647" s="206"/>
      <c r="M647" s="207"/>
      <c r="N647" s="206"/>
      <c r="O647" s="206"/>
      <c r="P647" s="206" t="s">
        <v>91</v>
      </c>
    </row>
    <row r="648" spans="1:16" s="187" customFormat="1" ht="18" customHeight="1">
      <c r="A648" s="187" t="str">
        <f t="shared" si="10"/>
        <v>V10366C</v>
      </c>
      <c r="B648" s="208" t="s">
        <v>4864</v>
      </c>
      <c r="C648" s="208"/>
      <c r="D648" s="208" t="s">
        <v>4916</v>
      </c>
      <c r="E648" s="208" t="s">
        <v>29</v>
      </c>
      <c r="F648" s="208" t="s">
        <v>4917</v>
      </c>
      <c r="G648" s="208"/>
      <c r="H648" s="208"/>
      <c r="I648" s="208" t="s">
        <v>4918</v>
      </c>
      <c r="J648" s="208" t="s">
        <v>4919</v>
      </c>
      <c r="K648" s="208" t="s">
        <v>4920</v>
      </c>
      <c r="L648" s="208"/>
      <c r="M648" s="209"/>
      <c r="N648" s="208"/>
      <c r="O648" s="208"/>
      <c r="P648" s="208" t="s">
        <v>91</v>
      </c>
    </row>
    <row r="649" spans="1:16" s="187" customFormat="1" ht="18" customHeight="1">
      <c r="A649" s="187" t="str">
        <f t="shared" si="10"/>
        <v>V10411C</v>
      </c>
      <c r="B649" s="206" t="s">
        <v>5484</v>
      </c>
      <c r="C649" s="206"/>
      <c r="D649" s="206" t="s">
        <v>5485</v>
      </c>
      <c r="E649" s="206" t="s">
        <v>29</v>
      </c>
      <c r="F649" s="206" t="s">
        <v>5486</v>
      </c>
      <c r="G649" s="206" t="s">
        <v>5487</v>
      </c>
      <c r="H649" s="206"/>
      <c r="I649" s="206" t="s">
        <v>5488</v>
      </c>
      <c r="J649" s="206" t="s">
        <v>5489</v>
      </c>
      <c r="K649" s="206" t="s">
        <v>5490</v>
      </c>
      <c r="L649" s="206"/>
      <c r="M649" s="207"/>
      <c r="N649" s="206"/>
      <c r="O649" s="206"/>
      <c r="P649" s="206" t="s">
        <v>91</v>
      </c>
    </row>
    <row r="650" spans="1:16" s="187" customFormat="1" ht="18" customHeight="1">
      <c r="A650" s="187" t="str">
        <f t="shared" si="10"/>
        <v>V4106C0</v>
      </c>
      <c r="B650" s="208" t="s">
        <v>6115</v>
      </c>
      <c r="C650" s="208"/>
      <c r="D650" s="208" t="s">
        <v>6116</v>
      </c>
      <c r="E650" s="208" t="s">
        <v>29</v>
      </c>
      <c r="F650" s="208" t="s">
        <v>6117</v>
      </c>
      <c r="G650" s="208"/>
      <c r="H650" s="208"/>
      <c r="I650" s="208"/>
      <c r="J650" s="208" t="s">
        <v>6118</v>
      </c>
      <c r="K650" s="208" t="s">
        <v>6119</v>
      </c>
      <c r="L650" s="208"/>
      <c r="M650" s="209"/>
      <c r="N650" s="208"/>
      <c r="O650" s="208"/>
      <c r="P650" s="208" t="s">
        <v>107</v>
      </c>
    </row>
    <row r="651" spans="1:16" s="187" customFormat="1" ht="18" customHeight="1">
      <c r="A651" s="187" t="str">
        <f t="shared" si="10"/>
        <v>V10033C</v>
      </c>
      <c r="B651" s="206" t="s">
        <v>1224</v>
      </c>
      <c r="C651" s="206"/>
      <c r="D651" s="206" t="s">
        <v>1223</v>
      </c>
      <c r="E651" s="206" t="s">
        <v>29</v>
      </c>
      <c r="F651" s="206" t="s">
        <v>1225</v>
      </c>
      <c r="G651" s="206" t="s">
        <v>1226</v>
      </c>
      <c r="H651" s="206"/>
      <c r="I651" s="206" t="s">
        <v>1227</v>
      </c>
      <c r="J651" s="206" t="s">
        <v>258</v>
      </c>
      <c r="K651" s="206" t="s">
        <v>1228</v>
      </c>
      <c r="L651" s="206"/>
      <c r="M651" s="207"/>
      <c r="N651" s="206"/>
      <c r="O651" s="206" t="s">
        <v>260</v>
      </c>
      <c r="P651" s="206" t="s">
        <v>91</v>
      </c>
    </row>
    <row r="652" spans="1:16" s="187" customFormat="1" ht="18" customHeight="1">
      <c r="A652" s="187" t="str">
        <f t="shared" si="10"/>
        <v>CG490004C0</v>
      </c>
      <c r="B652" s="208" t="s">
        <v>1224</v>
      </c>
      <c r="C652" s="208"/>
      <c r="D652" s="208" t="s">
        <v>1229</v>
      </c>
      <c r="E652" s="208" t="s">
        <v>29</v>
      </c>
      <c r="F652" s="208" t="s">
        <v>1225</v>
      </c>
      <c r="G652" s="208"/>
      <c r="H652" s="208"/>
      <c r="I652" s="208"/>
      <c r="J652" s="208"/>
      <c r="K652" s="208"/>
      <c r="L652" s="208"/>
      <c r="M652" s="209"/>
      <c r="N652" s="208"/>
      <c r="O652" s="208"/>
      <c r="P652" s="208" t="s">
        <v>100</v>
      </c>
    </row>
    <row r="653" spans="1:16" s="187" customFormat="1" ht="18" customHeight="1">
      <c r="A653" s="187" t="str">
        <f t="shared" si="10"/>
        <v>V10033A</v>
      </c>
      <c r="B653" s="206" t="s">
        <v>1224</v>
      </c>
      <c r="C653" s="206"/>
      <c r="D653" s="206" t="s">
        <v>1230</v>
      </c>
      <c r="E653" s="206" t="s">
        <v>29</v>
      </c>
      <c r="F653" s="206" t="s">
        <v>1225</v>
      </c>
      <c r="G653" s="206" t="s">
        <v>1226</v>
      </c>
      <c r="H653" s="206"/>
      <c r="I653" s="206" t="s">
        <v>1227</v>
      </c>
      <c r="J653" s="206" t="s">
        <v>258</v>
      </c>
      <c r="K653" s="206" t="s">
        <v>1228</v>
      </c>
      <c r="L653" s="206"/>
      <c r="M653" s="207"/>
      <c r="N653" s="206"/>
      <c r="O653" s="206" t="s">
        <v>260</v>
      </c>
      <c r="P653" s="206" t="s">
        <v>91</v>
      </c>
    </row>
    <row r="654" spans="1:16" s="187" customFormat="1" ht="18" customHeight="1">
      <c r="A654" s="187" t="str">
        <f t="shared" si="10"/>
        <v>V10033B</v>
      </c>
      <c r="B654" s="208" t="s">
        <v>1224</v>
      </c>
      <c r="C654" s="208"/>
      <c r="D654" s="208" t="s">
        <v>1231</v>
      </c>
      <c r="E654" s="208" t="s">
        <v>29</v>
      </c>
      <c r="F654" s="208" t="s">
        <v>1225</v>
      </c>
      <c r="G654" s="208" t="s">
        <v>1226</v>
      </c>
      <c r="H654" s="208"/>
      <c r="I654" s="208" t="s">
        <v>1227</v>
      </c>
      <c r="J654" s="208" t="s">
        <v>258</v>
      </c>
      <c r="K654" s="208" t="s">
        <v>1228</v>
      </c>
      <c r="L654" s="208"/>
      <c r="M654" s="209"/>
      <c r="N654" s="208"/>
      <c r="O654" s="208" t="s">
        <v>260</v>
      </c>
      <c r="P654" s="208" t="s">
        <v>91</v>
      </c>
    </row>
    <row r="655" spans="1:16" s="187" customFormat="1" ht="18" customHeight="1">
      <c r="A655" s="187" t="str">
        <f t="shared" si="10"/>
        <v>CG440008C0</v>
      </c>
      <c r="B655" s="206" t="s">
        <v>1233</v>
      </c>
      <c r="C655" s="206"/>
      <c r="D655" s="206" t="s">
        <v>1232</v>
      </c>
      <c r="E655" s="206" t="s">
        <v>29</v>
      </c>
      <c r="F655" s="206" t="s">
        <v>1234</v>
      </c>
      <c r="G655" s="206"/>
      <c r="H655" s="206"/>
      <c r="I655" s="206"/>
      <c r="J655" s="206"/>
      <c r="K655" s="206"/>
      <c r="L655" s="206"/>
      <c r="M655" s="207"/>
      <c r="N655" s="206"/>
      <c r="O655" s="206"/>
      <c r="P655" s="206" t="s">
        <v>100</v>
      </c>
    </row>
    <row r="656" spans="1:16" s="187" customFormat="1" ht="18" customHeight="1">
      <c r="A656" s="187" t="str">
        <f t="shared" si="10"/>
        <v>V4014C0</v>
      </c>
      <c r="B656" s="208" t="s">
        <v>1233</v>
      </c>
      <c r="C656" s="208"/>
      <c r="D656" s="208" t="s">
        <v>1235</v>
      </c>
      <c r="E656" s="208" t="s">
        <v>29</v>
      </c>
      <c r="F656" s="208" t="s">
        <v>1236</v>
      </c>
      <c r="G656" s="208" t="s">
        <v>1237</v>
      </c>
      <c r="H656" s="208"/>
      <c r="I656" s="208"/>
      <c r="J656" s="208" t="s">
        <v>1238</v>
      </c>
      <c r="K656" s="208" t="s">
        <v>1239</v>
      </c>
      <c r="L656" s="208"/>
      <c r="M656" s="209"/>
      <c r="N656" s="208"/>
      <c r="O656" s="208" t="s">
        <v>131</v>
      </c>
      <c r="P656" s="208" t="s">
        <v>107</v>
      </c>
    </row>
    <row r="657" spans="1:16" s="187" customFormat="1" ht="18" customHeight="1">
      <c r="A657" s="187" t="str">
        <f t="shared" si="10"/>
        <v>V10254C</v>
      </c>
      <c r="B657" s="206" t="s">
        <v>1241</v>
      </c>
      <c r="C657" s="206"/>
      <c r="D657" s="206" t="s">
        <v>1240</v>
      </c>
      <c r="E657" s="206" t="s">
        <v>29</v>
      </c>
      <c r="F657" s="206" t="s">
        <v>1242</v>
      </c>
      <c r="G657" s="206" t="s">
        <v>1243</v>
      </c>
      <c r="H657" s="206"/>
      <c r="I657" s="206"/>
      <c r="J657" s="206" t="s">
        <v>1244</v>
      </c>
      <c r="K657" s="206" t="s">
        <v>1245</v>
      </c>
      <c r="L657" s="206"/>
      <c r="M657" s="207"/>
      <c r="N657" s="206"/>
      <c r="O657" s="206"/>
      <c r="P657" s="206" t="s">
        <v>91</v>
      </c>
    </row>
    <row r="658" spans="1:16" s="187" customFormat="1" ht="18" customHeight="1">
      <c r="A658" s="187" t="str">
        <f t="shared" si="10"/>
        <v>V10254</v>
      </c>
      <c r="B658" s="208" t="s">
        <v>1241</v>
      </c>
      <c r="C658" s="208"/>
      <c r="D658" s="208" t="s">
        <v>4304</v>
      </c>
      <c r="E658" s="208" t="s">
        <v>29</v>
      </c>
      <c r="F658" s="208" t="s">
        <v>4305</v>
      </c>
      <c r="G658" s="208"/>
      <c r="H658" s="208"/>
      <c r="I658" s="208"/>
      <c r="J658" s="208"/>
      <c r="K658" s="208"/>
      <c r="L658" s="208"/>
      <c r="M658" s="209"/>
      <c r="N658" s="208"/>
      <c r="O658" s="208"/>
      <c r="P658" s="208" t="s">
        <v>91</v>
      </c>
    </row>
    <row r="659" spans="1:16" s="187" customFormat="1" ht="18" customHeight="1">
      <c r="A659" s="187" t="str">
        <f t="shared" si="10"/>
        <v>V10136A</v>
      </c>
      <c r="B659" s="206" t="s">
        <v>1247</v>
      </c>
      <c r="C659" s="206"/>
      <c r="D659" s="206" t="s">
        <v>1246</v>
      </c>
      <c r="E659" s="206" t="s">
        <v>29</v>
      </c>
      <c r="F659" s="206" t="s">
        <v>1248</v>
      </c>
      <c r="G659" s="206" t="s">
        <v>1249</v>
      </c>
      <c r="H659" s="206"/>
      <c r="I659" s="206" t="s">
        <v>1250</v>
      </c>
      <c r="J659" s="206" t="s">
        <v>1251</v>
      </c>
      <c r="K659" s="206" t="s">
        <v>1252</v>
      </c>
      <c r="L659" s="206"/>
      <c r="M659" s="207"/>
      <c r="N659" s="206"/>
      <c r="O659" s="206" t="s">
        <v>260</v>
      </c>
      <c r="P659" s="206" t="s">
        <v>91</v>
      </c>
    </row>
    <row r="660" spans="1:16" s="187" customFormat="1" ht="18" customHeight="1">
      <c r="A660" s="187" t="str">
        <f t="shared" si="10"/>
        <v>V10136B</v>
      </c>
      <c r="B660" s="208" t="s">
        <v>1247</v>
      </c>
      <c r="C660" s="208"/>
      <c r="D660" s="208" t="s">
        <v>1253</v>
      </c>
      <c r="E660" s="208" t="s">
        <v>29</v>
      </c>
      <c r="F660" s="208" t="s">
        <v>1248</v>
      </c>
      <c r="G660" s="208" t="s">
        <v>1249</v>
      </c>
      <c r="H660" s="208"/>
      <c r="I660" s="208" t="s">
        <v>1250</v>
      </c>
      <c r="J660" s="208" t="s">
        <v>1251</v>
      </c>
      <c r="K660" s="208" t="s">
        <v>1252</v>
      </c>
      <c r="L660" s="208"/>
      <c r="M660" s="209"/>
      <c r="N660" s="208"/>
      <c r="O660" s="208" t="s">
        <v>260</v>
      </c>
      <c r="P660" s="208" t="s">
        <v>91</v>
      </c>
    </row>
    <row r="661" spans="1:16" s="187" customFormat="1" ht="18" customHeight="1">
      <c r="A661" s="187" t="str">
        <f t="shared" si="10"/>
        <v>V10136C</v>
      </c>
      <c r="B661" s="206" t="s">
        <v>1247</v>
      </c>
      <c r="C661" s="206"/>
      <c r="D661" s="206" t="s">
        <v>1254</v>
      </c>
      <c r="E661" s="206" t="s">
        <v>29</v>
      </c>
      <c r="F661" s="206" t="s">
        <v>1248</v>
      </c>
      <c r="G661" s="206" t="s">
        <v>1249</v>
      </c>
      <c r="H661" s="206"/>
      <c r="I661" s="206" t="s">
        <v>1250</v>
      </c>
      <c r="J661" s="206" t="s">
        <v>1251</v>
      </c>
      <c r="K661" s="206" t="s">
        <v>1252</v>
      </c>
      <c r="L661" s="206"/>
      <c r="M661" s="207"/>
      <c r="N661" s="206"/>
      <c r="O661" s="206" t="s">
        <v>260</v>
      </c>
      <c r="P661" s="206" t="s">
        <v>91</v>
      </c>
    </row>
    <row r="662" spans="1:16" s="187" customFormat="1" ht="18" customHeight="1">
      <c r="A662" s="187" t="str">
        <f t="shared" si="10"/>
        <v>V4042C0</v>
      </c>
      <c r="B662" s="208" t="s">
        <v>1255</v>
      </c>
      <c r="C662" s="208"/>
      <c r="D662" s="208" t="s">
        <v>4306</v>
      </c>
      <c r="E662" s="208" t="s">
        <v>29</v>
      </c>
      <c r="F662" s="208" t="s">
        <v>1256</v>
      </c>
      <c r="G662" s="208" t="s">
        <v>1257</v>
      </c>
      <c r="H662" s="208"/>
      <c r="I662" s="208" t="s">
        <v>1258</v>
      </c>
      <c r="J662" s="208" t="s">
        <v>4307</v>
      </c>
      <c r="K662" s="208" t="s">
        <v>1260</v>
      </c>
      <c r="L662" s="208"/>
      <c r="M662" s="209"/>
      <c r="N662" s="208"/>
      <c r="O662" s="208" t="s">
        <v>131</v>
      </c>
      <c r="P662" s="208" t="s">
        <v>107</v>
      </c>
    </row>
    <row r="663" spans="1:16" s="187" customFormat="1" ht="18" customHeight="1">
      <c r="A663" s="187" t="str">
        <f t="shared" si="10"/>
        <v>V10305C</v>
      </c>
      <c r="B663" s="206" t="s">
        <v>1255</v>
      </c>
      <c r="C663" s="206"/>
      <c r="D663" s="206" t="s">
        <v>4308</v>
      </c>
      <c r="E663" s="206" t="s">
        <v>29</v>
      </c>
      <c r="F663" s="206" t="s">
        <v>1256</v>
      </c>
      <c r="G663" s="206" t="s">
        <v>1257</v>
      </c>
      <c r="H663" s="206"/>
      <c r="I663" s="206" t="s">
        <v>1258</v>
      </c>
      <c r="J663" s="206" t="s">
        <v>1259</v>
      </c>
      <c r="K663" s="206" t="s">
        <v>1260</v>
      </c>
      <c r="L663" s="206"/>
      <c r="M663" s="207"/>
      <c r="N663" s="206"/>
      <c r="O663" s="206" t="s">
        <v>131</v>
      </c>
      <c r="P663" s="206" t="s">
        <v>91</v>
      </c>
    </row>
    <row r="664" spans="1:16" s="187" customFormat="1" ht="18" customHeight="1">
      <c r="A664" s="187" t="str">
        <f t="shared" si="10"/>
        <v>V10080A</v>
      </c>
      <c r="B664" s="208" t="s">
        <v>1262</v>
      </c>
      <c r="C664" s="208"/>
      <c r="D664" s="208" t="s">
        <v>1261</v>
      </c>
      <c r="E664" s="208" t="s">
        <v>29</v>
      </c>
      <c r="F664" s="208" t="s">
        <v>1263</v>
      </c>
      <c r="G664" s="208" t="s">
        <v>1264</v>
      </c>
      <c r="H664" s="208"/>
      <c r="I664" s="208"/>
      <c r="J664" s="208" t="s">
        <v>1265</v>
      </c>
      <c r="K664" s="208" t="s">
        <v>1266</v>
      </c>
      <c r="L664" s="208"/>
      <c r="M664" s="209"/>
      <c r="N664" s="208"/>
      <c r="O664" s="208" t="s">
        <v>260</v>
      </c>
      <c r="P664" s="208" t="s">
        <v>91</v>
      </c>
    </row>
    <row r="665" spans="1:16" s="187" customFormat="1" ht="18" customHeight="1">
      <c r="A665" s="187" t="str">
        <f t="shared" si="10"/>
        <v>V10080B</v>
      </c>
      <c r="B665" s="206" t="s">
        <v>1262</v>
      </c>
      <c r="C665" s="206"/>
      <c r="D665" s="206" t="s">
        <v>1267</v>
      </c>
      <c r="E665" s="206" t="s">
        <v>29</v>
      </c>
      <c r="F665" s="206" t="s">
        <v>1263</v>
      </c>
      <c r="G665" s="206" t="s">
        <v>1264</v>
      </c>
      <c r="H665" s="206"/>
      <c r="I665" s="206"/>
      <c r="J665" s="206" t="s">
        <v>1265</v>
      </c>
      <c r="K665" s="206" t="s">
        <v>1266</v>
      </c>
      <c r="L665" s="206"/>
      <c r="M665" s="207"/>
      <c r="N665" s="206"/>
      <c r="O665" s="206" t="s">
        <v>260</v>
      </c>
      <c r="P665" s="206" t="s">
        <v>91</v>
      </c>
    </row>
    <row r="666" spans="1:16" s="187" customFormat="1" ht="18" customHeight="1">
      <c r="A666" s="187" t="str">
        <f t="shared" si="10"/>
        <v>V10080C</v>
      </c>
      <c r="B666" s="208" t="s">
        <v>1262</v>
      </c>
      <c r="C666" s="208"/>
      <c r="D666" s="208" t="s">
        <v>1268</v>
      </c>
      <c r="E666" s="208" t="s">
        <v>29</v>
      </c>
      <c r="F666" s="208" t="s">
        <v>1263</v>
      </c>
      <c r="G666" s="208" t="s">
        <v>1264</v>
      </c>
      <c r="H666" s="208"/>
      <c r="I666" s="208" t="s">
        <v>1269</v>
      </c>
      <c r="J666" s="208" t="s">
        <v>1265</v>
      </c>
      <c r="K666" s="208" t="s">
        <v>1266</v>
      </c>
      <c r="L666" s="208"/>
      <c r="M666" s="209"/>
      <c r="N666" s="208"/>
      <c r="O666" s="208" t="s">
        <v>260</v>
      </c>
      <c r="P666" s="208" t="s">
        <v>91</v>
      </c>
    </row>
    <row r="667" spans="1:16" s="187" customFormat="1" ht="18" customHeight="1">
      <c r="A667" s="187" t="str">
        <f t="shared" si="10"/>
        <v>V10105A</v>
      </c>
      <c r="B667" s="206" t="s">
        <v>1271</v>
      </c>
      <c r="C667" s="206"/>
      <c r="D667" s="206" t="s">
        <v>1270</v>
      </c>
      <c r="E667" s="206" t="s">
        <v>29</v>
      </c>
      <c r="F667" s="206" t="s">
        <v>1272</v>
      </c>
      <c r="G667" s="206" t="s">
        <v>1273</v>
      </c>
      <c r="H667" s="206"/>
      <c r="I667" s="206"/>
      <c r="J667" s="206" t="s">
        <v>5100</v>
      </c>
      <c r="K667" s="206" t="s">
        <v>1274</v>
      </c>
      <c r="L667" s="206"/>
      <c r="M667" s="207"/>
      <c r="N667" s="206"/>
      <c r="O667" s="206" t="s">
        <v>260</v>
      </c>
      <c r="P667" s="206" t="s">
        <v>91</v>
      </c>
    </row>
    <row r="668" spans="1:16" s="187" customFormat="1" ht="18" customHeight="1">
      <c r="A668" s="187" t="str">
        <f t="shared" si="10"/>
        <v>V10105B</v>
      </c>
      <c r="B668" s="208" t="s">
        <v>1271</v>
      </c>
      <c r="C668" s="208"/>
      <c r="D668" s="208" t="s">
        <v>1275</v>
      </c>
      <c r="E668" s="208" t="s">
        <v>29</v>
      </c>
      <c r="F668" s="208" t="s">
        <v>1272</v>
      </c>
      <c r="G668" s="208" t="s">
        <v>1273</v>
      </c>
      <c r="H668" s="208"/>
      <c r="I668" s="208"/>
      <c r="J668" s="208" t="s">
        <v>5100</v>
      </c>
      <c r="K668" s="208" t="s">
        <v>1274</v>
      </c>
      <c r="L668" s="208"/>
      <c r="M668" s="209"/>
      <c r="N668" s="208"/>
      <c r="O668" s="208" t="s">
        <v>260</v>
      </c>
      <c r="P668" s="208" t="s">
        <v>91</v>
      </c>
    </row>
    <row r="669" spans="1:16" s="187" customFormat="1" ht="18" customHeight="1">
      <c r="A669" s="187" t="str">
        <f t="shared" si="10"/>
        <v>V10105C</v>
      </c>
      <c r="B669" s="206" t="s">
        <v>1271</v>
      </c>
      <c r="C669" s="206"/>
      <c r="D669" s="206" t="s">
        <v>1276</v>
      </c>
      <c r="E669" s="206" t="s">
        <v>29</v>
      </c>
      <c r="F669" s="206" t="s">
        <v>1272</v>
      </c>
      <c r="G669" s="206" t="s">
        <v>1273</v>
      </c>
      <c r="H669" s="206"/>
      <c r="I669" s="206"/>
      <c r="J669" s="206" t="s">
        <v>5100</v>
      </c>
      <c r="K669" s="206" t="s">
        <v>1274</v>
      </c>
      <c r="L669" s="206"/>
      <c r="M669" s="207"/>
      <c r="N669" s="206"/>
      <c r="O669" s="206" t="s">
        <v>260</v>
      </c>
      <c r="P669" s="206" t="s">
        <v>91</v>
      </c>
    </row>
    <row r="670" spans="1:16" s="187" customFormat="1" ht="18" customHeight="1">
      <c r="A670" s="187" t="str">
        <f t="shared" si="10"/>
        <v>V10292C</v>
      </c>
      <c r="B670" s="208" t="s">
        <v>4309</v>
      </c>
      <c r="C670" s="208"/>
      <c r="D670" s="208" t="s">
        <v>1277</v>
      </c>
      <c r="E670" s="208" t="s">
        <v>29</v>
      </c>
      <c r="F670" s="208" t="s">
        <v>4310</v>
      </c>
      <c r="G670" s="208"/>
      <c r="H670" s="208"/>
      <c r="I670" s="208"/>
      <c r="J670" s="208"/>
      <c r="K670" s="208"/>
      <c r="L670" s="208"/>
      <c r="M670" s="209"/>
      <c r="N670" s="208"/>
      <c r="O670" s="208"/>
      <c r="P670" s="208" t="s">
        <v>91</v>
      </c>
    </row>
    <row r="671" spans="1:16" s="187" customFormat="1" ht="18" customHeight="1">
      <c r="A671" s="187" t="str">
        <f t="shared" si="10"/>
        <v>V10075B</v>
      </c>
      <c r="B671" s="206" t="s">
        <v>1279</v>
      </c>
      <c r="C671" s="206"/>
      <c r="D671" s="206" t="s">
        <v>1278</v>
      </c>
      <c r="E671" s="206" t="s">
        <v>29</v>
      </c>
      <c r="F671" s="206" t="s">
        <v>1280</v>
      </c>
      <c r="G671" s="206" t="s">
        <v>1281</v>
      </c>
      <c r="H671" s="206"/>
      <c r="I671" s="206"/>
      <c r="J671" s="206" t="s">
        <v>1282</v>
      </c>
      <c r="K671" s="206" t="s">
        <v>1283</v>
      </c>
      <c r="L671" s="206"/>
      <c r="M671" s="207"/>
      <c r="N671" s="206"/>
      <c r="O671" s="206" t="s">
        <v>260</v>
      </c>
      <c r="P671" s="206" t="s">
        <v>91</v>
      </c>
    </row>
    <row r="672" spans="1:16" s="187" customFormat="1" ht="18" customHeight="1">
      <c r="A672" s="187" t="str">
        <f t="shared" si="10"/>
        <v>V10075C</v>
      </c>
      <c r="B672" s="208" t="s">
        <v>1279</v>
      </c>
      <c r="C672" s="208"/>
      <c r="D672" s="208" t="s">
        <v>1284</v>
      </c>
      <c r="E672" s="208" t="s">
        <v>29</v>
      </c>
      <c r="F672" s="208" t="s">
        <v>1280</v>
      </c>
      <c r="G672" s="208" t="s">
        <v>1281</v>
      </c>
      <c r="H672" s="208"/>
      <c r="I672" s="208"/>
      <c r="J672" s="208" t="s">
        <v>1285</v>
      </c>
      <c r="K672" s="208" t="s">
        <v>1283</v>
      </c>
      <c r="L672" s="208"/>
      <c r="M672" s="209"/>
      <c r="N672" s="208"/>
      <c r="O672" s="208" t="s">
        <v>260</v>
      </c>
      <c r="P672" s="208" t="s">
        <v>91</v>
      </c>
    </row>
    <row r="673" spans="1:16" s="187" customFormat="1" ht="18" customHeight="1">
      <c r="A673" s="187" t="str">
        <f t="shared" si="10"/>
        <v>V10075A</v>
      </c>
      <c r="B673" s="206" t="s">
        <v>1279</v>
      </c>
      <c r="C673" s="206"/>
      <c r="D673" s="206" t="s">
        <v>1286</v>
      </c>
      <c r="E673" s="206" t="s">
        <v>29</v>
      </c>
      <c r="F673" s="206" t="s">
        <v>1280</v>
      </c>
      <c r="G673" s="206" t="s">
        <v>1281</v>
      </c>
      <c r="H673" s="206"/>
      <c r="I673" s="206"/>
      <c r="J673" s="206" t="s">
        <v>1285</v>
      </c>
      <c r="K673" s="206" t="s">
        <v>1283</v>
      </c>
      <c r="L673" s="206"/>
      <c r="M673" s="207"/>
      <c r="N673" s="206"/>
      <c r="O673" s="206" t="s">
        <v>260</v>
      </c>
      <c r="P673" s="206" t="s">
        <v>91</v>
      </c>
    </row>
    <row r="674" spans="1:16" s="187" customFormat="1" ht="18" customHeight="1">
      <c r="A674" s="187" t="str">
        <f t="shared" si="10"/>
        <v>V10006B</v>
      </c>
      <c r="B674" s="208" t="s">
        <v>1288</v>
      </c>
      <c r="C674" s="208"/>
      <c r="D674" s="208" t="s">
        <v>1287</v>
      </c>
      <c r="E674" s="208" t="s">
        <v>29</v>
      </c>
      <c r="F674" s="208" t="s">
        <v>1289</v>
      </c>
      <c r="G674" s="208" t="s">
        <v>1290</v>
      </c>
      <c r="H674" s="208"/>
      <c r="I674" s="208" t="s">
        <v>1291</v>
      </c>
      <c r="J674" s="208" t="s">
        <v>1295</v>
      </c>
      <c r="K674" s="208" t="s">
        <v>1292</v>
      </c>
      <c r="L674" s="208"/>
      <c r="M674" s="209"/>
      <c r="N674" s="208"/>
      <c r="O674" s="208" t="s">
        <v>260</v>
      </c>
      <c r="P674" s="208" t="s">
        <v>91</v>
      </c>
    </row>
    <row r="675" spans="1:16" s="187" customFormat="1" ht="18" customHeight="1">
      <c r="A675" s="187" t="str">
        <f t="shared" si="10"/>
        <v>V10006C</v>
      </c>
      <c r="B675" s="206" t="s">
        <v>1288</v>
      </c>
      <c r="C675" s="206"/>
      <c r="D675" s="206" t="s">
        <v>1293</v>
      </c>
      <c r="E675" s="206" t="s">
        <v>29</v>
      </c>
      <c r="F675" s="206" t="s">
        <v>1289</v>
      </c>
      <c r="G675" s="206" t="s">
        <v>1290</v>
      </c>
      <c r="H675" s="206"/>
      <c r="I675" s="206" t="s">
        <v>1291</v>
      </c>
      <c r="J675" s="206" t="s">
        <v>1295</v>
      </c>
      <c r="K675" s="206" t="s">
        <v>1292</v>
      </c>
      <c r="L675" s="206"/>
      <c r="M675" s="207"/>
      <c r="N675" s="206"/>
      <c r="O675" s="206" t="s">
        <v>260</v>
      </c>
      <c r="P675" s="206" t="s">
        <v>91</v>
      </c>
    </row>
    <row r="676" spans="1:16" s="187" customFormat="1" ht="18" customHeight="1">
      <c r="A676" s="187" t="str">
        <f t="shared" si="10"/>
        <v>V10006A</v>
      </c>
      <c r="B676" s="208" t="s">
        <v>1288</v>
      </c>
      <c r="C676" s="208"/>
      <c r="D676" s="208" t="s">
        <v>1294</v>
      </c>
      <c r="E676" s="208" t="s">
        <v>29</v>
      </c>
      <c r="F676" s="208" t="s">
        <v>1289</v>
      </c>
      <c r="G676" s="208" t="s">
        <v>1290</v>
      </c>
      <c r="H676" s="208"/>
      <c r="I676" s="208" t="s">
        <v>1291</v>
      </c>
      <c r="J676" s="208" t="s">
        <v>1295</v>
      </c>
      <c r="K676" s="208" t="s">
        <v>1292</v>
      </c>
      <c r="L676" s="208"/>
      <c r="M676" s="209"/>
      <c r="N676" s="208"/>
      <c r="O676" s="208" t="s">
        <v>260</v>
      </c>
      <c r="P676" s="208" t="s">
        <v>91</v>
      </c>
    </row>
    <row r="677" spans="1:16" s="187" customFormat="1" ht="18" customHeight="1">
      <c r="A677" s="187" t="str">
        <f t="shared" si="10"/>
        <v>V10140A</v>
      </c>
      <c r="B677" s="206" t="s">
        <v>1297</v>
      </c>
      <c r="C677" s="206"/>
      <c r="D677" s="206" t="s">
        <v>1296</v>
      </c>
      <c r="E677" s="206" t="s">
        <v>29</v>
      </c>
      <c r="F677" s="206" t="s">
        <v>1298</v>
      </c>
      <c r="G677" s="206" t="s">
        <v>1299</v>
      </c>
      <c r="H677" s="206"/>
      <c r="I677" s="206" t="s">
        <v>1300</v>
      </c>
      <c r="J677" s="206" t="s">
        <v>1301</v>
      </c>
      <c r="K677" s="206" t="s">
        <v>1302</v>
      </c>
      <c r="L677" s="206"/>
      <c r="M677" s="207"/>
      <c r="N677" s="206"/>
      <c r="O677" s="206" t="s">
        <v>260</v>
      </c>
      <c r="P677" s="206" t="s">
        <v>91</v>
      </c>
    </row>
    <row r="678" spans="1:16" s="187" customFormat="1" ht="18" customHeight="1">
      <c r="A678" s="187" t="str">
        <f t="shared" si="10"/>
        <v>V10140B</v>
      </c>
      <c r="B678" s="208" t="s">
        <v>1297</v>
      </c>
      <c r="C678" s="208"/>
      <c r="D678" s="208" t="s">
        <v>1303</v>
      </c>
      <c r="E678" s="208" t="s">
        <v>29</v>
      </c>
      <c r="F678" s="208" t="s">
        <v>1298</v>
      </c>
      <c r="G678" s="208" t="s">
        <v>1299</v>
      </c>
      <c r="H678" s="208"/>
      <c r="I678" s="208" t="s">
        <v>1300</v>
      </c>
      <c r="J678" s="208" t="s">
        <v>1301</v>
      </c>
      <c r="K678" s="208" t="s">
        <v>1302</v>
      </c>
      <c r="L678" s="208"/>
      <c r="M678" s="209"/>
      <c r="N678" s="208"/>
      <c r="O678" s="208" t="s">
        <v>260</v>
      </c>
      <c r="P678" s="208" t="s">
        <v>91</v>
      </c>
    </row>
    <row r="679" spans="1:16" s="187" customFormat="1" ht="18" customHeight="1">
      <c r="A679" s="187" t="str">
        <f t="shared" si="10"/>
        <v>V10140C</v>
      </c>
      <c r="B679" s="206" t="s">
        <v>1297</v>
      </c>
      <c r="C679" s="206"/>
      <c r="D679" s="206" t="s">
        <v>1304</v>
      </c>
      <c r="E679" s="206" t="s">
        <v>29</v>
      </c>
      <c r="F679" s="206" t="s">
        <v>1298</v>
      </c>
      <c r="G679" s="206" t="s">
        <v>1299</v>
      </c>
      <c r="H679" s="206"/>
      <c r="I679" s="206" t="s">
        <v>1300</v>
      </c>
      <c r="J679" s="206" t="s">
        <v>1301</v>
      </c>
      <c r="K679" s="206" t="s">
        <v>1302</v>
      </c>
      <c r="L679" s="206"/>
      <c r="M679" s="207"/>
      <c r="N679" s="206"/>
      <c r="O679" s="206" t="s">
        <v>260</v>
      </c>
      <c r="P679" s="206" t="s">
        <v>91</v>
      </c>
    </row>
    <row r="680" spans="1:16" s="187" customFormat="1" ht="18" customHeight="1">
      <c r="A680" s="187" t="str">
        <f t="shared" si="10"/>
        <v>V10121A</v>
      </c>
      <c r="B680" s="208" t="s">
        <v>1306</v>
      </c>
      <c r="C680" s="208"/>
      <c r="D680" s="208" t="s">
        <v>1305</v>
      </c>
      <c r="E680" s="208" t="s">
        <v>29</v>
      </c>
      <c r="F680" s="208" t="s">
        <v>1307</v>
      </c>
      <c r="G680" s="208" t="s">
        <v>1308</v>
      </c>
      <c r="H680" s="208"/>
      <c r="I680" s="208" t="s">
        <v>1309</v>
      </c>
      <c r="J680" s="208" t="s">
        <v>1310</v>
      </c>
      <c r="K680" s="208" t="s">
        <v>1311</v>
      </c>
      <c r="L680" s="208"/>
      <c r="M680" s="209"/>
      <c r="N680" s="208"/>
      <c r="O680" s="208" t="s">
        <v>260</v>
      </c>
      <c r="P680" s="208" t="s">
        <v>91</v>
      </c>
    </row>
    <row r="681" spans="1:16" s="187" customFormat="1" ht="18" customHeight="1">
      <c r="A681" s="187" t="str">
        <f t="shared" si="10"/>
        <v>V10121B</v>
      </c>
      <c r="B681" s="206" t="s">
        <v>1306</v>
      </c>
      <c r="C681" s="206"/>
      <c r="D681" s="206" t="s">
        <v>1312</v>
      </c>
      <c r="E681" s="206" t="s">
        <v>29</v>
      </c>
      <c r="F681" s="206" t="s">
        <v>1307</v>
      </c>
      <c r="G681" s="206" t="s">
        <v>1308</v>
      </c>
      <c r="H681" s="206"/>
      <c r="I681" s="206" t="s">
        <v>1309</v>
      </c>
      <c r="J681" s="206" t="s">
        <v>1310</v>
      </c>
      <c r="K681" s="206" t="s">
        <v>1311</v>
      </c>
      <c r="L681" s="206"/>
      <c r="M681" s="207"/>
      <c r="N681" s="206"/>
      <c r="O681" s="206" t="s">
        <v>260</v>
      </c>
      <c r="P681" s="206" t="s">
        <v>91</v>
      </c>
    </row>
    <row r="682" spans="1:16" s="187" customFormat="1" ht="18" customHeight="1">
      <c r="A682" s="187" t="str">
        <f t="shared" si="10"/>
        <v>V10121C</v>
      </c>
      <c r="B682" s="208" t="s">
        <v>1306</v>
      </c>
      <c r="C682" s="208"/>
      <c r="D682" s="208" t="s">
        <v>1313</v>
      </c>
      <c r="E682" s="208" t="s">
        <v>29</v>
      </c>
      <c r="F682" s="208" t="s">
        <v>1307</v>
      </c>
      <c r="G682" s="208" t="s">
        <v>1308</v>
      </c>
      <c r="H682" s="208"/>
      <c r="I682" s="208" t="s">
        <v>1309</v>
      </c>
      <c r="J682" s="208" t="s">
        <v>1310</v>
      </c>
      <c r="K682" s="208" t="s">
        <v>1311</v>
      </c>
      <c r="L682" s="208"/>
      <c r="M682" s="209"/>
      <c r="N682" s="208"/>
      <c r="O682" s="208" t="s">
        <v>260</v>
      </c>
      <c r="P682" s="208" t="s">
        <v>91</v>
      </c>
    </row>
    <row r="683" spans="1:16" s="187" customFormat="1" ht="18" customHeight="1">
      <c r="A683" s="187" t="str">
        <f t="shared" si="10"/>
        <v>V10069A</v>
      </c>
      <c r="B683" s="206" t="s">
        <v>1315</v>
      </c>
      <c r="C683" s="206"/>
      <c r="D683" s="206" t="s">
        <v>1314</v>
      </c>
      <c r="E683" s="206" t="s">
        <v>29</v>
      </c>
      <c r="F683" s="206" t="s">
        <v>1316</v>
      </c>
      <c r="G683" s="206" t="s">
        <v>1317</v>
      </c>
      <c r="H683" s="206"/>
      <c r="I683" s="206"/>
      <c r="J683" s="206" t="s">
        <v>1318</v>
      </c>
      <c r="K683" s="206" t="s">
        <v>1319</v>
      </c>
      <c r="L683" s="206"/>
      <c r="M683" s="207"/>
      <c r="N683" s="206"/>
      <c r="O683" s="206" t="s">
        <v>260</v>
      </c>
      <c r="P683" s="206" t="s">
        <v>91</v>
      </c>
    </row>
    <row r="684" spans="1:16" s="187" customFormat="1" ht="18" customHeight="1">
      <c r="A684" s="187" t="str">
        <f t="shared" si="10"/>
        <v>V10069B</v>
      </c>
      <c r="B684" s="208" t="s">
        <v>1315</v>
      </c>
      <c r="C684" s="208"/>
      <c r="D684" s="208" t="s">
        <v>1320</v>
      </c>
      <c r="E684" s="208" t="s">
        <v>29</v>
      </c>
      <c r="F684" s="208" t="s">
        <v>1316</v>
      </c>
      <c r="G684" s="208" t="s">
        <v>1317</v>
      </c>
      <c r="H684" s="208"/>
      <c r="I684" s="208"/>
      <c r="J684" s="208" t="s">
        <v>1318</v>
      </c>
      <c r="K684" s="208" t="s">
        <v>1319</v>
      </c>
      <c r="L684" s="208"/>
      <c r="M684" s="209"/>
      <c r="N684" s="208"/>
      <c r="O684" s="208" t="s">
        <v>260</v>
      </c>
      <c r="P684" s="208" t="s">
        <v>91</v>
      </c>
    </row>
    <row r="685" spans="1:16" s="187" customFormat="1" ht="18" customHeight="1">
      <c r="A685" s="187" t="str">
        <f t="shared" si="10"/>
        <v>V10069C</v>
      </c>
      <c r="B685" s="206" t="s">
        <v>1315</v>
      </c>
      <c r="C685" s="206"/>
      <c r="D685" s="206" t="s">
        <v>1321</v>
      </c>
      <c r="E685" s="206" t="s">
        <v>29</v>
      </c>
      <c r="F685" s="206" t="s">
        <v>1316</v>
      </c>
      <c r="G685" s="206" t="s">
        <v>1317</v>
      </c>
      <c r="H685" s="206"/>
      <c r="I685" s="206"/>
      <c r="J685" s="206" t="s">
        <v>1318</v>
      </c>
      <c r="K685" s="206" t="s">
        <v>1319</v>
      </c>
      <c r="L685" s="206"/>
      <c r="M685" s="207"/>
      <c r="N685" s="206"/>
      <c r="O685" s="206" t="s">
        <v>260</v>
      </c>
      <c r="P685" s="206" t="s">
        <v>91</v>
      </c>
    </row>
    <row r="686" spans="1:16" s="187" customFormat="1" ht="18" customHeight="1">
      <c r="A686" s="187" t="str">
        <f t="shared" si="10"/>
        <v>V4015C0</v>
      </c>
      <c r="B686" s="208" t="s">
        <v>1315</v>
      </c>
      <c r="C686" s="208"/>
      <c r="D686" s="208" t="s">
        <v>1322</v>
      </c>
      <c r="E686" s="208" t="s">
        <v>29</v>
      </c>
      <c r="F686" s="208" t="s">
        <v>1316</v>
      </c>
      <c r="G686" s="208" t="s">
        <v>1317</v>
      </c>
      <c r="H686" s="208"/>
      <c r="I686" s="208"/>
      <c r="J686" s="208" t="s">
        <v>1318</v>
      </c>
      <c r="K686" s="208" t="s">
        <v>1319</v>
      </c>
      <c r="L686" s="208"/>
      <c r="M686" s="209"/>
      <c r="N686" s="208"/>
      <c r="O686" s="208" t="s">
        <v>131</v>
      </c>
      <c r="P686" s="208" t="s">
        <v>107</v>
      </c>
    </row>
    <row r="687" spans="1:16" s="187" customFormat="1" ht="18" customHeight="1">
      <c r="A687" s="187" t="str">
        <f t="shared" si="10"/>
        <v>V10041A</v>
      </c>
      <c r="B687" s="206" t="s">
        <v>1324</v>
      </c>
      <c r="C687" s="206"/>
      <c r="D687" s="206" t="s">
        <v>1323</v>
      </c>
      <c r="E687" s="206" t="s">
        <v>29</v>
      </c>
      <c r="F687" s="206" t="s">
        <v>5180</v>
      </c>
      <c r="G687" s="206" t="s">
        <v>1325</v>
      </c>
      <c r="H687" s="206"/>
      <c r="I687" s="206" t="s">
        <v>1326</v>
      </c>
      <c r="J687" s="206" t="s">
        <v>5181</v>
      </c>
      <c r="K687" s="206" t="s">
        <v>1327</v>
      </c>
      <c r="L687" s="206"/>
      <c r="M687" s="207"/>
      <c r="N687" s="206"/>
      <c r="O687" s="206" t="s">
        <v>260</v>
      </c>
      <c r="P687" s="206" t="s">
        <v>91</v>
      </c>
    </row>
    <row r="688" spans="1:16" s="187" customFormat="1" ht="18" customHeight="1">
      <c r="A688" s="187" t="str">
        <f t="shared" si="10"/>
        <v>V10041B</v>
      </c>
      <c r="B688" s="208" t="s">
        <v>1324</v>
      </c>
      <c r="C688" s="208"/>
      <c r="D688" s="208" t="s">
        <v>1328</v>
      </c>
      <c r="E688" s="208" t="s">
        <v>29</v>
      </c>
      <c r="F688" s="208" t="s">
        <v>5180</v>
      </c>
      <c r="G688" s="208" t="s">
        <v>1325</v>
      </c>
      <c r="H688" s="208"/>
      <c r="I688" s="208" t="s">
        <v>1326</v>
      </c>
      <c r="J688" s="208" t="s">
        <v>5181</v>
      </c>
      <c r="K688" s="208" t="s">
        <v>1327</v>
      </c>
      <c r="L688" s="208"/>
      <c r="M688" s="209"/>
      <c r="N688" s="208"/>
      <c r="O688" s="208" t="s">
        <v>260</v>
      </c>
      <c r="P688" s="208" t="s">
        <v>91</v>
      </c>
    </row>
    <row r="689" spans="1:16" s="187" customFormat="1" ht="18" customHeight="1">
      <c r="A689" s="187" t="str">
        <f t="shared" si="10"/>
        <v>V10041C</v>
      </c>
      <c r="B689" s="206" t="s">
        <v>1324</v>
      </c>
      <c r="C689" s="206"/>
      <c r="D689" s="206" t="s">
        <v>1329</v>
      </c>
      <c r="E689" s="206" t="s">
        <v>29</v>
      </c>
      <c r="F689" s="206" t="s">
        <v>5180</v>
      </c>
      <c r="G689" s="206" t="s">
        <v>1325</v>
      </c>
      <c r="H689" s="206"/>
      <c r="I689" s="206" t="s">
        <v>1326</v>
      </c>
      <c r="J689" s="206" t="s">
        <v>5181</v>
      </c>
      <c r="K689" s="206" t="s">
        <v>1327</v>
      </c>
      <c r="L689" s="206"/>
      <c r="M689" s="207"/>
      <c r="N689" s="206"/>
      <c r="O689" s="206" t="s">
        <v>260</v>
      </c>
      <c r="P689" s="206" t="s">
        <v>91</v>
      </c>
    </row>
    <row r="690" spans="1:16" s="187" customFormat="1" ht="18" customHeight="1">
      <c r="A690" s="187" t="str">
        <f t="shared" si="10"/>
        <v>V10117A</v>
      </c>
      <c r="B690" s="208" t="s">
        <v>1331</v>
      </c>
      <c r="C690" s="208"/>
      <c r="D690" s="208" t="s">
        <v>1330</v>
      </c>
      <c r="E690" s="208" t="s">
        <v>29</v>
      </c>
      <c r="F690" s="208" t="s">
        <v>1332</v>
      </c>
      <c r="G690" s="208" t="s">
        <v>1333</v>
      </c>
      <c r="H690" s="208"/>
      <c r="I690" s="208" t="s">
        <v>1334</v>
      </c>
      <c r="J690" s="208" t="s">
        <v>5352</v>
      </c>
      <c r="K690" s="208" t="s">
        <v>1335</v>
      </c>
      <c r="L690" s="208"/>
      <c r="M690" s="209"/>
      <c r="N690" s="208"/>
      <c r="O690" s="208" t="s">
        <v>260</v>
      </c>
      <c r="P690" s="208" t="s">
        <v>91</v>
      </c>
    </row>
    <row r="691" spans="1:16" s="187" customFormat="1" ht="18" customHeight="1">
      <c r="A691" s="187" t="str">
        <f t="shared" si="10"/>
        <v>V10117B</v>
      </c>
      <c r="B691" s="206" t="s">
        <v>1331</v>
      </c>
      <c r="C691" s="206"/>
      <c r="D691" s="206" t="s">
        <v>1336</v>
      </c>
      <c r="E691" s="206" t="s">
        <v>29</v>
      </c>
      <c r="F691" s="206" t="s">
        <v>1332</v>
      </c>
      <c r="G691" s="206" t="s">
        <v>1333</v>
      </c>
      <c r="H691" s="206"/>
      <c r="I691" s="206" t="s">
        <v>1334</v>
      </c>
      <c r="J691" s="206" t="s">
        <v>5352</v>
      </c>
      <c r="K691" s="206" t="s">
        <v>1335</v>
      </c>
      <c r="L691" s="206"/>
      <c r="M691" s="207"/>
      <c r="N691" s="206"/>
      <c r="O691" s="206" t="s">
        <v>260</v>
      </c>
      <c r="P691" s="206" t="s">
        <v>91</v>
      </c>
    </row>
    <row r="692" spans="1:16" s="187" customFormat="1" ht="18" customHeight="1">
      <c r="A692" s="187" t="str">
        <f t="shared" si="10"/>
        <v>V10117C</v>
      </c>
      <c r="B692" s="208" t="s">
        <v>1331</v>
      </c>
      <c r="C692" s="208"/>
      <c r="D692" s="208" t="s">
        <v>1337</v>
      </c>
      <c r="E692" s="208" t="s">
        <v>29</v>
      </c>
      <c r="F692" s="208" t="s">
        <v>1332</v>
      </c>
      <c r="G692" s="208" t="s">
        <v>1333</v>
      </c>
      <c r="H692" s="208"/>
      <c r="I692" s="208" t="s">
        <v>1334</v>
      </c>
      <c r="J692" s="208" t="s">
        <v>5352</v>
      </c>
      <c r="K692" s="208" t="s">
        <v>1335</v>
      </c>
      <c r="L692" s="208"/>
      <c r="M692" s="209"/>
      <c r="N692" s="208"/>
      <c r="O692" s="208" t="s">
        <v>260</v>
      </c>
      <c r="P692" s="208" t="s">
        <v>91</v>
      </c>
    </row>
    <row r="693" spans="1:16" s="187" customFormat="1" ht="18" customHeight="1">
      <c r="A693" s="187" t="str">
        <f t="shared" si="10"/>
        <v>V10091A</v>
      </c>
      <c r="B693" s="206" t="s">
        <v>1339</v>
      </c>
      <c r="C693" s="206"/>
      <c r="D693" s="206" t="s">
        <v>1338</v>
      </c>
      <c r="E693" s="206" t="s">
        <v>29</v>
      </c>
      <c r="F693" s="206" t="s">
        <v>1340</v>
      </c>
      <c r="G693" s="206" t="s">
        <v>1341</v>
      </c>
      <c r="H693" s="206"/>
      <c r="I693" s="206" t="s">
        <v>1342</v>
      </c>
      <c r="J693" s="206" t="s">
        <v>1343</v>
      </c>
      <c r="K693" s="206" t="s">
        <v>1344</v>
      </c>
      <c r="L693" s="206"/>
      <c r="M693" s="207"/>
      <c r="N693" s="206"/>
      <c r="O693" s="206" t="s">
        <v>260</v>
      </c>
      <c r="P693" s="206" t="s">
        <v>91</v>
      </c>
    </row>
    <row r="694" spans="1:16" s="187" customFormat="1" ht="18" customHeight="1">
      <c r="A694" s="187" t="str">
        <f t="shared" si="10"/>
        <v>V10091B</v>
      </c>
      <c r="B694" s="208" t="s">
        <v>1339</v>
      </c>
      <c r="C694" s="208"/>
      <c r="D694" s="208" t="s">
        <v>1345</v>
      </c>
      <c r="E694" s="208" t="s">
        <v>29</v>
      </c>
      <c r="F694" s="208" t="s">
        <v>1340</v>
      </c>
      <c r="G694" s="208" t="s">
        <v>1341</v>
      </c>
      <c r="H694" s="208"/>
      <c r="I694" s="208" t="s">
        <v>1342</v>
      </c>
      <c r="J694" s="208" t="s">
        <v>1343</v>
      </c>
      <c r="K694" s="208" t="s">
        <v>1344</v>
      </c>
      <c r="L694" s="208"/>
      <c r="M694" s="209"/>
      <c r="N694" s="208"/>
      <c r="O694" s="208" t="s">
        <v>260</v>
      </c>
      <c r="P694" s="208" t="s">
        <v>91</v>
      </c>
    </row>
    <row r="695" spans="1:16" s="187" customFormat="1" ht="18" customHeight="1">
      <c r="A695" s="187" t="str">
        <f t="shared" si="10"/>
        <v>V10091C</v>
      </c>
      <c r="B695" s="206" t="s">
        <v>1339</v>
      </c>
      <c r="C695" s="206"/>
      <c r="D695" s="206" t="s">
        <v>1346</v>
      </c>
      <c r="E695" s="206" t="s">
        <v>29</v>
      </c>
      <c r="F695" s="206" t="s">
        <v>1340</v>
      </c>
      <c r="G695" s="206" t="s">
        <v>1341</v>
      </c>
      <c r="H695" s="206"/>
      <c r="I695" s="206" t="s">
        <v>1342</v>
      </c>
      <c r="J695" s="206" t="s">
        <v>1343</v>
      </c>
      <c r="K695" s="206" t="s">
        <v>1344</v>
      </c>
      <c r="L695" s="206"/>
      <c r="M695" s="207"/>
      <c r="N695" s="206"/>
      <c r="O695" s="206" t="s">
        <v>260</v>
      </c>
      <c r="P695" s="206" t="s">
        <v>91</v>
      </c>
    </row>
    <row r="696" spans="1:16" s="187" customFormat="1" ht="18" customHeight="1">
      <c r="A696" s="187" t="str">
        <f t="shared" si="10"/>
        <v>V10054A</v>
      </c>
      <c r="B696" s="208" t="s">
        <v>1348</v>
      </c>
      <c r="C696" s="208"/>
      <c r="D696" s="208" t="s">
        <v>1347</v>
      </c>
      <c r="E696" s="208" t="s">
        <v>29</v>
      </c>
      <c r="F696" s="208" t="s">
        <v>1349</v>
      </c>
      <c r="G696" s="208" t="s">
        <v>1350</v>
      </c>
      <c r="H696" s="208"/>
      <c r="I696" s="208" t="s">
        <v>1351</v>
      </c>
      <c r="J696" s="208" t="s">
        <v>1352</v>
      </c>
      <c r="K696" s="208" t="s">
        <v>1353</v>
      </c>
      <c r="L696" s="208"/>
      <c r="M696" s="209"/>
      <c r="N696" s="208"/>
      <c r="O696" s="208" t="s">
        <v>260</v>
      </c>
      <c r="P696" s="208" t="s">
        <v>91</v>
      </c>
    </row>
    <row r="697" spans="1:16" s="187" customFormat="1" ht="18" customHeight="1">
      <c r="A697" s="187" t="str">
        <f t="shared" si="10"/>
        <v>V10054B</v>
      </c>
      <c r="B697" s="206" t="s">
        <v>1348</v>
      </c>
      <c r="C697" s="206"/>
      <c r="D697" s="206" t="s">
        <v>1354</v>
      </c>
      <c r="E697" s="206" t="s">
        <v>29</v>
      </c>
      <c r="F697" s="206" t="s">
        <v>1349</v>
      </c>
      <c r="G697" s="206" t="s">
        <v>1350</v>
      </c>
      <c r="H697" s="206"/>
      <c r="I697" s="206" t="s">
        <v>1351</v>
      </c>
      <c r="J697" s="206" t="s">
        <v>1352</v>
      </c>
      <c r="K697" s="206" t="s">
        <v>1353</v>
      </c>
      <c r="L697" s="206"/>
      <c r="M697" s="207"/>
      <c r="N697" s="206"/>
      <c r="O697" s="206" t="s">
        <v>260</v>
      </c>
      <c r="P697" s="206" t="s">
        <v>91</v>
      </c>
    </row>
    <row r="698" spans="1:16" s="187" customFormat="1" ht="18" customHeight="1">
      <c r="A698" s="187" t="str">
        <f t="shared" si="10"/>
        <v>V10054C</v>
      </c>
      <c r="B698" s="208" t="s">
        <v>1348</v>
      </c>
      <c r="C698" s="208"/>
      <c r="D698" s="208" t="s">
        <v>1355</v>
      </c>
      <c r="E698" s="208" t="s">
        <v>29</v>
      </c>
      <c r="F698" s="208" t="s">
        <v>1349</v>
      </c>
      <c r="G698" s="208" t="s">
        <v>1350</v>
      </c>
      <c r="H698" s="208"/>
      <c r="I698" s="208" t="s">
        <v>1351</v>
      </c>
      <c r="J698" s="208" t="s">
        <v>1352</v>
      </c>
      <c r="K698" s="208" t="s">
        <v>1353</v>
      </c>
      <c r="L698" s="208"/>
      <c r="M698" s="209"/>
      <c r="N698" s="208"/>
      <c r="O698" s="208" t="s">
        <v>260</v>
      </c>
      <c r="P698" s="208" t="s">
        <v>91</v>
      </c>
    </row>
    <row r="699" spans="1:16" s="187" customFormat="1" ht="18" customHeight="1">
      <c r="A699" s="187" t="str">
        <f t="shared" si="10"/>
        <v>V10137A</v>
      </c>
      <c r="B699" s="206" t="s">
        <v>1357</v>
      </c>
      <c r="C699" s="206"/>
      <c r="D699" s="206" t="s">
        <v>1356</v>
      </c>
      <c r="E699" s="206" t="s">
        <v>29</v>
      </c>
      <c r="F699" s="206" t="s">
        <v>1358</v>
      </c>
      <c r="G699" s="206" t="s">
        <v>1359</v>
      </c>
      <c r="H699" s="206"/>
      <c r="I699" s="206"/>
      <c r="J699" s="206" t="s">
        <v>5099</v>
      </c>
      <c r="K699" s="206" t="s">
        <v>1361</v>
      </c>
      <c r="L699" s="206"/>
      <c r="M699" s="207"/>
      <c r="N699" s="206"/>
      <c r="O699" s="206" t="s">
        <v>260</v>
      </c>
      <c r="P699" s="206" t="s">
        <v>91</v>
      </c>
    </row>
    <row r="700" spans="1:16" s="187" customFormat="1" ht="18" customHeight="1">
      <c r="A700" s="187" t="str">
        <f t="shared" si="10"/>
        <v>V10137B</v>
      </c>
      <c r="B700" s="208" t="s">
        <v>1357</v>
      </c>
      <c r="C700" s="208"/>
      <c r="D700" s="208" t="s">
        <v>1362</v>
      </c>
      <c r="E700" s="208" t="s">
        <v>29</v>
      </c>
      <c r="F700" s="208" t="s">
        <v>1358</v>
      </c>
      <c r="G700" s="208" t="s">
        <v>1359</v>
      </c>
      <c r="H700" s="208"/>
      <c r="I700" s="208"/>
      <c r="J700" s="208" t="s">
        <v>5099</v>
      </c>
      <c r="K700" s="208" t="s">
        <v>1361</v>
      </c>
      <c r="L700" s="208"/>
      <c r="M700" s="209"/>
      <c r="N700" s="208"/>
      <c r="O700" s="208" t="s">
        <v>260</v>
      </c>
      <c r="P700" s="208" t="s">
        <v>91</v>
      </c>
    </row>
    <row r="701" spans="1:16" s="187" customFormat="1" ht="18" customHeight="1">
      <c r="A701" s="187" t="str">
        <f t="shared" si="10"/>
        <v>V10137C</v>
      </c>
      <c r="B701" s="206" t="s">
        <v>1357</v>
      </c>
      <c r="C701" s="206"/>
      <c r="D701" s="206" t="s">
        <v>1363</v>
      </c>
      <c r="E701" s="206" t="s">
        <v>29</v>
      </c>
      <c r="F701" s="206" t="s">
        <v>1358</v>
      </c>
      <c r="G701" s="206" t="s">
        <v>1359</v>
      </c>
      <c r="H701" s="206"/>
      <c r="I701" s="206"/>
      <c r="J701" s="206" t="s">
        <v>5098</v>
      </c>
      <c r="K701" s="206" t="s">
        <v>1361</v>
      </c>
      <c r="L701" s="206"/>
      <c r="M701" s="207"/>
      <c r="N701" s="206"/>
      <c r="O701" s="206" t="s">
        <v>260</v>
      </c>
      <c r="P701" s="206" t="s">
        <v>91</v>
      </c>
    </row>
    <row r="702" spans="1:16" s="187" customFormat="1" ht="18" customHeight="1">
      <c r="A702" s="187" t="str">
        <f t="shared" si="10"/>
        <v>V10361A</v>
      </c>
      <c r="B702" s="208" t="s">
        <v>5662</v>
      </c>
      <c r="C702" s="208"/>
      <c r="D702" s="208" t="s">
        <v>5199</v>
      </c>
      <c r="E702" s="208" t="s">
        <v>29</v>
      </c>
      <c r="F702" s="208" t="s">
        <v>5200</v>
      </c>
      <c r="G702" s="208"/>
      <c r="H702" s="208"/>
      <c r="I702" s="208"/>
      <c r="J702" s="208" t="s">
        <v>4927</v>
      </c>
      <c r="K702" s="208" t="s">
        <v>4928</v>
      </c>
      <c r="L702" s="208"/>
      <c r="M702" s="209"/>
      <c r="N702" s="208"/>
      <c r="O702" s="208"/>
      <c r="P702" s="208" t="s">
        <v>91</v>
      </c>
    </row>
    <row r="703" spans="1:16" s="187" customFormat="1" ht="18" customHeight="1">
      <c r="A703" s="187" t="str">
        <f t="shared" si="10"/>
        <v>V10361C</v>
      </c>
      <c r="B703" s="206" t="s">
        <v>5662</v>
      </c>
      <c r="C703" s="206"/>
      <c r="D703" s="206" t="s">
        <v>5201</v>
      </c>
      <c r="E703" s="206" t="s">
        <v>29</v>
      </c>
      <c r="F703" s="206" t="s">
        <v>5200</v>
      </c>
      <c r="G703" s="206"/>
      <c r="H703" s="206"/>
      <c r="I703" s="206"/>
      <c r="J703" s="206" t="s">
        <v>4927</v>
      </c>
      <c r="K703" s="206" t="s">
        <v>4928</v>
      </c>
      <c r="L703" s="206"/>
      <c r="M703" s="207"/>
      <c r="N703" s="206"/>
      <c r="O703" s="206"/>
      <c r="P703" s="206" t="s">
        <v>91</v>
      </c>
    </row>
    <row r="704" spans="1:16" s="187" customFormat="1" ht="18" customHeight="1">
      <c r="A704" s="187" t="str">
        <f t="shared" si="10"/>
        <v>V10361B</v>
      </c>
      <c r="B704" s="208" t="s">
        <v>5662</v>
      </c>
      <c r="C704" s="208"/>
      <c r="D704" s="208" t="s">
        <v>4924</v>
      </c>
      <c r="E704" s="208" t="s">
        <v>29</v>
      </c>
      <c r="F704" s="208" t="s">
        <v>4925</v>
      </c>
      <c r="G704" s="208"/>
      <c r="H704" s="208"/>
      <c r="I704" s="208" t="s">
        <v>4926</v>
      </c>
      <c r="J704" s="208" t="s">
        <v>4927</v>
      </c>
      <c r="K704" s="208" t="s">
        <v>4928</v>
      </c>
      <c r="L704" s="208"/>
      <c r="M704" s="209"/>
      <c r="N704" s="208"/>
      <c r="O704" s="208"/>
      <c r="P704" s="208" t="s">
        <v>91</v>
      </c>
    </row>
    <row r="705" spans="1:16" s="187" customFormat="1" ht="18" customHeight="1">
      <c r="A705" s="187" t="str">
        <f t="shared" si="10"/>
        <v>V10395B</v>
      </c>
      <c r="B705" s="206" t="s">
        <v>5353</v>
      </c>
      <c r="C705" s="206"/>
      <c r="D705" s="206" t="s">
        <v>5354</v>
      </c>
      <c r="E705" s="206" t="s">
        <v>29</v>
      </c>
      <c r="F705" s="206" t="s">
        <v>5355</v>
      </c>
      <c r="G705" s="206" t="s">
        <v>5356</v>
      </c>
      <c r="H705" s="206"/>
      <c r="I705" s="206" t="s">
        <v>5357</v>
      </c>
      <c r="J705" s="206" t="s">
        <v>5358</v>
      </c>
      <c r="K705" s="206" t="s">
        <v>5359</v>
      </c>
      <c r="L705" s="206"/>
      <c r="M705" s="207"/>
      <c r="N705" s="206"/>
      <c r="O705" s="206" t="s">
        <v>260</v>
      </c>
      <c r="P705" s="206" t="s">
        <v>91</v>
      </c>
    </row>
    <row r="706" spans="1:16" s="187" customFormat="1" ht="18" customHeight="1">
      <c r="A706" s="187" t="str">
        <f t="shared" si="10"/>
        <v>V10395C</v>
      </c>
      <c r="B706" s="208" t="s">
        <v>5353</v>
      </c>
      <c r="C706" s="208"/>
      <c r="D706" s="208" t="s">
        <v>5582</v>
      </c>
      <c r="E706" s="208" t="s">
        <v>29</v>
      </c>
      <c r="F706" s="208" t="s">
        <v>5583</v>
      </c>
      <c r="G706" s="208"/>
      <c r="H706" s="208"/>
      <c r="I706" s="208"/>
      <c r="J706" s="208" t="s">
        <v>5584</v>
      </c>
      <c r="K706" s="208" t="s">
        <v>5359</v>
      </c>
      <c r="L706" s="208"/>
      <c r="M706" s="209"/>
      <c r="N706" s="208"/>
      <c r="O706" s="208"/>
      <c r="P706" s="208" t="s">
        <v>91</v>
      </c>
    </row>
    <row r="707" spans="1:16" s="187" customFormat="1" ht="18" customHeight="1">
      <c r="A707" s="187" t="str">
        <f t="shared" si="10"/>
        <v>V10390C</v>
      </c>
      <c r="B707" s="206" t="s">
        <v>5528</v>
      </c>
      <c r="C707" s="206"/>
      <c r="D707" s="206" t="s">
        <v>5515</v>
      </c>
      <c r="E707" s="206" t="s">
        <v>29</v>
      </c>
      <c r="F707" s="206" t="s">
        <v>5529</v>
      </c>
      <c r="G707" s="206" t="s">
        <v>5530</v>
      </c>
      <c r="H707" s="206"/>
      <c r="I707" s="206" t="s">
        <v>5531</v>
      </c>
      <c r="J707" s="206" t="s">
        <v>5532</v>
      </c>
      <c r="K707" s="206" t="s">
        <v>5533</v>
      </c>
      <c r="L707" s="206"/>
      <c r="M707" s="207"/>
      <c r="N707" s="206"/>
      <c r="O707" s="206" t="s">
        <v>260</v>
      </c>
      <c r="P707" s="206" t="s">
        <v>91</v>
      </c>
    </row>
    <row r="708" spans="1:16" s="187" customFormat="1" ht="18" customHeight="1">
      <c r="A708" s="187" t="str">
        <f t="shared" si="10"/>
        <v>V10032A</v>
      </c>
      <c r="B708" s="208" t="s">
        <v>1365</v>
      </c>
      <c r="C708" s="208"/>
      <c r="D708" s="208" t="s">
        <v>1364</v>
      </c>
      <c r="E708" s="208" t="s">
        <v>29</v>
      </c>
      <c r="F708" s="208" t="s">
        <v>1366</v>
      </c>
      <c r="G708" s="208" t="s">
        <v>1367</v>
      </c>
      <c r="H708" s="208"/>
      <c r="I708" s="208" t="s">
        <v>1368</v>
      </c>
      <c r="J708" s="208" t="s">
        <v>5182</v>
      </c>
      <c r="K708" s="208" t="s">
        <v>1369</v>
      </c>
      <c r="L708" s="208"/>
      <c r="M708" s="209"/>
      <c r="N708" s="208"/>
      <c r="O708" s="208" t="s">
        <v>260</v>
      </c>
      <c r="P708" s="208" t="s">
        <v>91</v>
      </c>
    </row>
    <row r="709" spans="1:16" s="187" customFormat="1" ht="18" customHeight="1">
      <c r="A709" s="187" t="str">
        <f t="shared" si="10"/>
        <v>V10032B</v>
      </c>
      <c r="B709" s="206" t="s">
        <v>1365</v>
      </c>
      <c r="C709" s="206"/>
      <c r="D709" s="206" t="s">
        <v>1370</v>
      </c>
      <c r="E709" s="206" t="s">
        <v>29</v>
      </c>
      <c r="F709" s="206" t="s">
        <v>1366</v>
      </c>
      <c r="G709" s="206" t="s">
        <v>1367</v>
      </c>
      <c r="H709" s="206"/>
      <c r="I709" s="206" t="s">
        <v>1368</v>
      </c>
      <c r="J709" s="206" t="s">
        <v>5182</v>
      </c>
      <c r="K709" s="206" t="s">
        <v>1369</v>
      </c>
      <c r="L709" s="206"/>
      <c r="M709" s="207"/>
      <c r="N709" s="206"/>
      <c r="O709" s="206" t="s">
        <v>260</v>
      </c>
      <c r="P709" s="206" t="s">
        <v>91</v>
      </c>
    </row>
    <row r="710" spans="1:16" s="187" customFormat="1" ht="18" customHeight="1">
      <c r="A710" s="187" t="str">
        <f t="shared" ref="A710:A773" si="11">D710</f>
        <v>V10032C</v>
      </c>
      <c r="B710" s="208" t="s">
        <v>1365</v>
      </c>
      <c r="C710" s="208"/>
      <c r="D710" s="208" t="s">
        <v>1371</v>
      </c>
      <c r="E710" s="208" t="s">
        <v>29</v>
      </c>
      <c r="F710" s="208" t="s">
        <v>1366</v>
      </c>
      <c r="G710" s="208" t="s">
        <v>1367</v>
      </c>
      <c r="H710" s="208"/>
      <c r="I710" s="208" t="s">
        <v>1368</v>
      </c>
      <c r="J710" s="208" t="s">
        <v>5182</v>
      </c>
      <c r="K710" s="208" t="s">
        <v>1369</v>
      </c>
      <c r="L710" s="208"/>
      <c r="M710" s="209"/>
      <c r="N710" s="208"/>
      <c r="O710" s="208" t="s">
        <v>260</v>
      </c>
      <c r="P710" s="208" t="s">
        <v>91</v>
      </c>
    </row>
    <row r="711" spans="1:16" s="187" customFormat="1" ht="18" customHeight="1">
      <c r="A711" s="187" t="str">
        <f t="shared" si="11"/>
        <v>V4016C0</v>
      </c>
      <c r="B711" s="206" t="s">
        <v>1365</v>
      </c>
      <c r="C711" s="206"/>
      <c r="D711" s="206" t="s">
        <v>1372</v>
      </c>
      <c r="E711" s="206" t="s">
        <v>29</v>
      </c>
      <c r="F711" s="206" t="s">
        <v>1366</v>
      </c>
      <c r="G711" s="206" t="s">
        <v>1367</v>
      </c>
      <c r="H711" s="206"/>
      <c r="I711" s="206" t="s">
        <v>1368</v>
      </c>
      <c r="J711" s="206" t="s">
        <v>1373</v>
      </c>
      <c r="K711" s="206" t="s">
        <v>1369</v>
      </c>
      <c r="L711" s="206"/>
      <c r="M711" s="207"/>
      <c r="N711" s="206"/>
      <c r="O711" s="206" t="s">
        <v>131</v>
      </c>
      <c r="P711" s="206" t="s">
        <v>107</v>
      </c>
    </row>
    <row r="712" spans="1:16" s="187" customFormat="1" ht="18" customHeight="1">
      <c r="A712" s="187" t="str">
        <f t="shared" si="11"/>
        <v>V10218A</v>
      </c>
      <c r="B712" s="208" t="s">
        <v>1375</v>
      </c>
      <c r="C712" s="208"/>
      <c r="D712" s="208" t="s">
        <v>1374</v>
      </c>
      <c r="E712" s="208" t="s">
        <v>29</v>
      </c>
      <c r="F712" s="208" t="s">
        <v>1376</v>
      </c>
      <c r="G712" s="208" t="s">
        <v>1377</v>
      </c>
      <c r="H712" s="208"/>
      <c r="I712" s="208" t="s">
        <v>1378</v>
      </c>
      <c r="J712" s="208" t="s">
        <v>1379</v>
      </c>
      <c r="K712" s="208" t="s">
        <v>1380</v>
      </c>
      <c r="L712" s="208"/>
      <c r="M712" s="209"/>
      <c r="N712" s="208"/>
      <c r="O712" s="208" t="s">
        <v>260</v>
      </c>
      <c r="P712" s="208" t="s">
        <v>91</v>
      </c>
    </row>
    <row r="713" spans="1:16" s="187" customFormat="1" ht="18" customHeight="1">
      <c r="A713" s="187" t="str">
        <f t="shared" si="11"/>
        <v>V10218B</v>
      </c>
      <c r="B713" s="206" t="s">
        <v>1375</v>
      </c>
      <c r="C713" s="206"/>
      <c r="D713" s="206" t="s">
        <v>1381</v>
      </c>
      <c r="E713" s="206" t="s">
        <v>29</v>
      </c>
      <c r="F713" s="206" t="s">
        <v>1376</v>
      </c>
      <c r="G713" s="206" t="s">
        <v>1377</v>
      </c>
      <c r="H713" s="206"/>
      <c r="I713" s="206" t="s">
        <v>1378</v>
      </c>
      <c r="J713" s="206" t="s">
        <v>1379</v>
      </c>
      <c r="K713" s="206" t="s">
        <v>1380</v>
      </c>
      <c r="L713" s="206"/>
      <c r="M713" s="207"/>
      <c r="N713" s="206"/>
      <c r="O713" s="206" t="s">
        <v>260</v>
      </c>
      <c r="P713" s="206" t="s">
        <v>91</v>
      </c>
    </row>
    <row r="714" spans="1:16" s="187" customFormat="1" ht="18" customHeight="1">
      <c r="A714" s="187" t="str">
        <f t="shared" si="11"/>
        <v>V10218C</v>
      </c>
      <c r="B714" s="208" t="s">
        <v>1375</v>
      </c>
      <c r="C714" s="208"/>
      <c r="D714" s="208" t="s">
        <v>1382</v>
      </c>
      <c r="E714" s="208" t="s">
        <v>29</v>
      </c>
      <c r="F714" s="208" t="s">
        <v>1376</v>
      </c>
      <c r="G714" s="208" t="s">
        <v>1377</v>
      </c>
      <c r="H714" s="208"/>
      <c r="I714" s="208" t="s">
        <v>1378</v>
      </c>
      <c r="J714" s="208" t="s">
        <v>1379</v>
      </c>
      <c r="K714" s="208" t="s">
        <v>1380</v>
      </c>
      <c r="L714" s="208"/>
      <c r="M714" s="209"/>
      <c r="N714" s="208"/>
      <c r="O714" s="208" t="s">
        <v>260</v>
      </c>
      <c r="P714" s="208" t="s">
        <v>91</v>
      </c>
    </row>
    <row r="715" spans="1:16" s="187" customFormat="1" ht="18" customHeight="1">
      <c r="A715" s="187" t="str">
        <f t="shared" si="11"/>
        <v>V10037A</v>
      </c>
      <c r="B715" s="206" t="s">
        <v>1384</v>
      </c>
      <c r="C715" s="206"/>
      <c r="D715" s="206" t="s">
        <v>1383</v>
      </c>
      <c r="E715" s="206" t="s">
        <v>29</v>
      </c>
      <c r="F715" s="206" t="s">
        <v>1385</v>
      </c>
      <c r="G715" s="206" t="s">
        <v>1386</v>
      </c>
      <c r="H715" s="206"/>
      <c r="I715" s="206"/>
      <c r="J715" s="206" t="s">
        <v>1387</v>
      </c>
      <c r="K715" s="206" t="s">
        <v>1388</v>
      </c>
      <c r="L715" s="206"/>
      <c r="M715" s="207"/>
      <c r="N715" s="206"/>
      <c r="O715" s="206" t="s">
        <v>260</v>
      </c>
      <c r="P715" s="206" t="s">
        <v>91</v>
      </c>
    </row>
    <row r="716" spans="1:16" s="187" customFormat="1" ht="18" customHeight="1">
      <c r="A716" s="187" t="str">
        <f t="shared" si="11"/>
        <v>V10037B</v>
      </c>
      <c r="B716" s="208" t="s">
        <v>1384</v>
      </c>
      <c r="C716" s="208"/>
      <c r="D716" s="208" t="s">
        <v>1389</v>
      </c>
      <c r="E716" s="208" t="s">
        <v>29</v>
      </c>
      <c r="F716" s="208" t="s">
        <v>1385</v>
      </c>
      <c r="G716" s="208" t="s">
        <v>1386</v>
      </c>
      <c r="H716" s="208"/>
      <c r="I716" s="208"/>
      <c r="J716" s="208" t="s">
        <v>1387</v>
      </c>
      <c r="K716" s="208" t="s">
        <v>1388</v>
      </c>
      <c r="L716" s="208"/>
      <c r="M716" s="209"/>
      <c r="N716" s="208"/>
      <c r="O716" s="208" t="s">
        <v>260</v>
      </c>
      <c r="P716" s="208" t="s">
        <v>91</v>
      </c>
    </row>
    <row r="717" spans="1:16" s="187" customFormat="1" ht="18" customHeight="1">
      <c r="A717" s="187" t="str">
        <f t="shared" si="11"/>
        <v>V10037C</v>
      </c>
      <c r="B717" s="206" t="s">
        <v>1384</v>
      </c>
      <c r="C717" s="206"/>
      <c r="D717" s="206" t="s">
        <v>1390</v>
      </c>
      <c r="E717" s="206" t="s">
        <v>29</v>
      </c>
      <c r="F717" s="206" t="s">
        <v>1385</v>
      </c>
      <c r="G717" s="206" t="s">
        <v>1386</v>
      </c>
      <c r="H717" s="206"/>
      <c r="I717" s="206"/>
      <c r="J717" s="206" t="s">
        <v>1387</v>
      </c>
      <c r="K717" s="206" t="s">
        <v>1388</v>
      </c>
      <c r="L717" s="206"/>
      <c r="M717" s="207"/>
      <c r="N717" s="206"/>
      <c r="O717" s="206" t="s">
        <v>260</v>
      </c>
      <c r="P717" s="206" t="s">
        <v>91</v>
      </c>
    </row>
    <row r="718" spans="1:16" s="187" customFormat="1" ht="18" customHeight="1">
      <c r="A718" s="187" t="str">
        <f t="shared" si="11"/>
        <v>V10422C</v>
      </c>
      <c r="B718" s="208" t="s">
        <v>5846</v>
      </c>
      <c r="C718" s="208"/>
      <c r="D718" s="208" t="s">
        <v>5733</v>
      </c>
      <c r="E718" s="208" t="s">
        <v>29</v>
      </c>
      <c r="F718" s="208" t="s">
        <v>6333</v>
      </c>
      <c r="G718" s="208"/>
      <c r="H718" s="208"/>
      <c r="I718" s="208"/>
      <c r="J718" s="208"/>
      <c r="K718" s="208"/>
      <c r="L718" s="208"/>
      <c r="M718" s="209"/>
      <c r="N718" s="208"/>
      <c r="O718" s="208"/>
      <c r="P718" s="208" t="s">
        <v>91</v>
      </c>
    </row>
    <row r="719" spans="1:16" s="187" customFormat="1" ht="18" customHeight="1">
      <c r="A719" s="187" t="str">
        <f t="shared" si="11"/>
        <v>V10209A</v>
      </c>
      <c r="B719" s="206" t="s">
        <v>1392</v>
      </c>
      <c r="C719" s="206"/>
      <c r="D719" s="206" t="s">
        <v>1391</v>
      </c>
      <c r="E719" s="206" t="s">
        <v>29</v>
      </c>
      <c r="F719" s="206" t="s">
        <v>1393</v>
      </c>
      <c r="G719" s="206" t="s">
        <v>1394</v>
      </c>
      <c r="H719" s="206"/>
      <c r="I719" s="206" t="s">
        <v>1395</v>
      </c>
      <c r="J719" s="206" t="s">
        <v>1396</v>
      </c>
      <c r="K719" s="206" t="s">
        <v>1397</v>
      </c>
      <c r="L719" s="206"/>
      <c r="M719" s="207"/>
      <c r="N719" s="206"/>
      <c r="O719" s="206" t="s">
        <v>260</v>
      </c>
      <c r="P719" s="206" t="s">
        <v>91</v>
      </c>
    </row>
    <row r="720" spans="1:16" s="187" customFormat="1" ht="18" customHeight="1">
      <c r="A720" s="187" t="str">
        <f t="shared" si="11"/>
        <v>V10209B</v>
      </c>
      <c r="B720" s="208" t="s">
        <v>1392</v>
      </c>
      <c r="C720" s="208"/>
      <c r="D720" s="208" t="s">
        <v>1398</v>
      </c>
      <c r="E720" s="208" t="s">
        <v>29</v>
      </c>
      <c r="F720" s="208" t="s">
        <v>1393</v>
      </c>
      <c r="G720" s="208" t="s">
        <v>1394</v>
      </c>
      <c r="H720" s="208"/>
      <c r="I720" s="208" t="s">
        <v>1395</v>
      </c>
      <c r="J720" s="208" t="s">
        <v>1396</v>
      </c>
      <c r="K720" s="208" t="s">
        <v>1397</v>
      </c>
      <c r="L720" s="208"/>
      <c r="M720" s="209"/>
      <c r="N720" s="208"/>
      <c r="O720" s="208" t="s">
        <v>260</v>
      </c>
      <c r="P720" s="208" t="s">
        <v>91</v>
      </c>
    </row>
    <row r="721" spans="1:16" s="187" customFormat="1" ht="18" customHeight="1">
      <c r="A721" s="187" t="str">
        <f t="shared" si="11"/>
        <v>V10209C</v>
      </c>
      <c r="B721" s="206" t="s">
        <v>1392</v>
      </c>
      <c r="C721" s="206"/>
      <c r="D721" s="206" t="s">
        <v>1399</v>
      </c>
      <c r="E721" s="206" t="s">
        <v>29</v>
      </c>
      <c r="F721" s="206" t="s">
        <v>1393</v>
      </c>
      <c r="G721" s="206" t="s">
        <v>1394</v>
      </c>
      <c r="H721" s="206"/>
      <c r="I721" s="206" t="s">
        <v>1395</v>
      </c>
      <c r="J721" s="206" t="s">
        <v>1396</v>
      </c>
      <c r="K721" s="206" t="s">
        <v>1397</v>
      </c>
      <c r="L721" s="206"/>
      <c r="M721" s="207"/>
      <c r="N721" s="206"/>
      <c r="O721" s="206" t="s">
        <v>260</v>
      </c>
      <c r="P721" s="206" t="s">
        <v>91</v>
      </c>
    </row>
    <row r="722" spans="1:16" s="187" customFormat="1" ht="18" customHeight="1">
      <c r="A722" s="187" t="str">
        <f t="shared" si="11"/>
        <v>V10021A</v>
      </c>
      <c r="B722" s="208" t="s">
        <v>1401</v>
      </c>
      <c r="C722" s="208"/>
      <c r="D722" s="208" t="s">
        <v>1400</v>
      </c>
      <c r="E722" s="208" t="s">
        <v>29</v>
      </c>
      <c r="F722" s="208" t="s">
        <v>1402</v>
      </c>
      <c r="G722" s="208" t="s">
        <v>1403</v>
      </c>
      <c r="H722" s="208"/>
      <c r="I722" s="208" t="s">
        <v>1404</v>
      </c>
      <c r="J722" s="208" t="s">
        <v>1405</v>
      </c>
      <c r="K722" s="208" t="s">
        <v>1406</v>
      </c>
      <c r="L722" s="208"/>
      <c r="M722" s="209"/>
      <c r="N722" s="208"/>
      <c r="O722" s="208" t="s">
        <v>260</v>
      </c>
      <c r="P722" s="208" t="s">
        <v>91</v>
      </c>
    </row>
    <row r="723" spans="1:16" s="187" customFormat="1" ht="18" customHeight="1">
      <c r="A723" s="187" t="str">
        <f t="shared" si="11"/>
        <v>V10021B</v>
      </c>
      <c r="B723" s="206" t="s">
        <v>1401</v>
      </c>
      <c r="C723" s="206"/>
      <c r="D723" s="206" t="s">
        <v>1407</v>
      </c>
      <c r="E723" s="206" t="s">
        <v>29</v>
      </c>
      <c r="F723" s="206" t="s">
        <v>1408</v>
      </c>
      <c r="G723" s="206" t="s">
        <v>1403</v>
      </c>
      <c r="H723" s="206"/>
      <c r="I723" s="206" t="s">
        <v>1404</v>
      </c>
      <c r="J723" s="206" t="s">
        <v>1409</v>
      </c>
      <c r="K723" s="206" t="s">
        <v>1406</v>
      </c>
      <c r="L723" s="206"/>
      <c r="M723" s="207"/>
      <c r="N723" s="206"/>
      <c r="O723" s="206" t="s">
        <v>260</v>
      </c>
      <c r="P723" s="206" t="s">
        <v>91</v>
      </c>
    </row>
    <row r="724" spans="1:16" s="187" customFormat="1" ht="18" customHeight="1">
      <c r="A724" s="187" t="str">
        <f t="shared" si="11"/>
        <v>V10021C</v>
      </c>
      <c r="B724" s="208" t="s">
        <v>1401</v>
      </c>
      <c r="C724" s="208"/>
      <c r="D724" s="208" t="s">
        <v>1410</v>
      </c>
      <c r="E724" s="208" t="s">
        <v>29</v>
      </c>
      <c r="F724" s="208" t="s">
        <v>1402</v>
      </c>
      <c r="G724" s="208" t="s">
        <v>1403</v>
      </c>
      <c r="H724" s="208"/>
      <c r="I724" s="208" t="s">
        <v>1404</v>
      </c>
      <c r="J724" s="208" t="s">
        <v>1405</v>
      </c>
      <c r="K724" s="208" t="s">
        <v>1406</v>
      </c>
      <c r="L724" s="208"/>
      <c r="M724" s="209"/>
      <c r="N724" s="208"/>
      <c r="O724" s="208" t="s">
        <v>260</v>
      </c>
      <c r="P724" s="208" t="s">
        <v>91</v>
      </c>
    </row>
    <row r="725" spans="1:16" s="187" customFormat="1" ht="18" customHeight="1">
      <c r="A725" s="187" t="str">
        <f t="shared" si="11"/>
        <v>V10067C</v>
      </c>
      <c r="B725" s="206" t="s">
        <v>1412</v>
      </c>
      <c r="C725" s="206"/>
      <c r="D725" s="206" t="s">
        <v>1411</v>
      </c>
      <c r="E725" s="206" t="s">
        <v>29</v>
      </c>
      <c r="F725" s="206" t="s">
        <v>1413</v>
      </c>
      <c r="G725" s="206" t="s">
        <v>1414</v>
      </c>
      <c r="H725" s="206"/>
      <c r="I725" s="206" t="s">
        <v>1415</v>
      </c>
      <c r="J725" s="206" t="s">
        <v>1416</v>
      </c>
      <c r="K725" s="206" t="s">
        <v>1417</v>
      </c>
      <c r="L725" s="206"/>
      <c r="M725" s="207"/>
      <c r="N725" s="206"/>
      <c r="O725" s="206" t="s">
        <v>260</v>
      </c>
      <c r="P725" s="206" t="s">
        <v>91</v>
      </c>
    </row>
    <row r="726" spans="1:16" s="187" customFormat="1" ht="18" customHeight="1">
      <c r="A726" s="187" t="str">
        <f t="shared" si="11"/>
        <v>V10067A</v>
      </c>
      <c r="B726" s="208" t="s">
        <v>1412</v>
      </c>
      <c r="C726" s="208"/>
      <c r="D726" s="208" t="s">
        <v>1418</v>
      </c>
      <c r="E726" s="208" t="s">
        <v>29</v>
      </c>
      <c r="F726" s="208" t="s">
        <v>1413</v>
      </c>
      <c r="G726" s="208" t="s">
        <v>1414</v>
      </c>
      <c r="H726" s="208"/>
      <c r="I726" s="208" t="s">
        <v>1415</v>
      </c>
      <c r="J726" s="208" t="s">
        <v>1416</v>
      </c>
      <c r="K726" s="208" t="s">
        <v>1417</v>
      </c>
      <c r="L726" s="208"/>
      <c r="M726" s="209"/>
      <c r="N726" s="208"/>
      <c r="O726" s="208" t="s">
        <v>260</v>
      </c>
      <c r="P726" s="208" t="s">
        <v>91</v>
      </c>
    </row>
    <row r="727" spans="1:16" s="187" customFormat="1" ht="18" customHeight="1">
      <c r="A727" s="187" t="str">
        <f t="shared" si="11"/>
        <v>V10067B</v>
      </c>
      <c r="B727" s="206" t="s">
        <v>1412</v>
      </c>
      <c r="C727" s="206"/>
      <c r="D727" s="206" t="s">
        <v>1419</v>
      </c>
      <c r="E727" s="206" t="s">
        <v>29</v>
      </c>
      <c r="F727" s="206" t="s">
        <v>1413</v>
      </c>
      <c r="G727" s="206" t="s">
        <v>1414</v>
      </c>
      <c r="H727" s="206"/>
      <c r="I727" s="206" t="s">
        <v>1415</v>
      </c>
      <c r="J727" s="206" t="s">
        <v>1416</v>
      </c>
      <c r="K727" s="206" t="s">
        <v>1417</v>
      </c>
      <c r="L727" s="206"/>
      <c r="M727" s="207"/>
      <c r="N727" s="206"/>
      <c r="O727" s="206" t="s">
        <v>260</v>
      </c>
      <c r="P727" s="206" t="s">
        <v>91</v>
      </c>
    </row>
    <row r="728" spans="1:16" s="187" customFormat="1" ht="18" customHeight="1">
      <c r="A728" s="187" t="str">
        <f t="shared" si="11"/>
        <v>V10114A</v>
      </c>
      <c r="B728" s="208" t="s">
        <v>1421</v>
      </c>
      <c r="C728" s="208"/>
      <c r="D728" s="208" t="s">
        <v>1420</v>
      </c>
      <c r="E728" s="208" t="s">
        <v>29</v>
      </c>
      <c r="F728" s="208" t="s">
        <v>1422</v>
      </c>
      <c r="G728" s="208" t="s">
        <v>1423</v>
      </c>
      <c r="H728" s="208"/>
      <c r="I728" s="208"/>
      <c r="J728" s="208" t="s">
        <v>1424</v>
      </c>
      <c r="K728" s="208" t="s">
        <v>1425</v>
      </c>
      <c r="L728" s="208"/>
      <c r="M728" s="209"/>
      <c r="N728" s="208"/>
      <c r="O728" s="208" t="s">
        <v>260</v>
      </c>
      <c r="P728" s="208" t="s">
        <v>91</v>
      </c>
    </row>
    <row r="729" spans="1:16" s="187" customFormat="1" ht="18" customHeight="1">
      <c r="A729" s="187" t="str">
        <f t="shared" si="11"/>
        <v>V10114B</v>
      </c>
      <c r="B729" s="206" t="s">
        <v>1421</v>
      </c>
      <c r="C729" s="206"/>
      <c r="D729" s="206" t="s">
        <v>1426</v>
      </c>
      <c r="E729" s="206" t="s">
        <v>29</v>
      </c>
      <c r="F729" s="206" t="s">
        <v>1422</v>
      </c>
      <c r="G729" s="206" t="s">
        <v>1423</v>
      </c>
      <c r="H729" s="206"/>
      <c r="I729" s="206"/>
      <c r="J729" s="206" t="s">
        <v>1427</v>
      </c>
      <c r="K729" s="206" t="s">
        <v>1425</v>
      </c>
      <c r="L729" s="206"/>
      <c r="M729" s="207"/>
      <c r="N729" s="206"/>
      <c r="O729" s="206" t="s">
        <v>260</v>
      </c>
      <c r="P729" s="206" t="s">
        <v>91</v>
      </c>
    </row>
    <row r="730" spans="1:16" s="187" customFormat="1" ht="18" customHeight="1">
      <c r="A730" s="187" t="str">
        <f t="shared" si="11"/>
        <v>V10114C</v>
      </c>
      <c r="B730" s="208" t="s">
        <v>1421</v>
      </c>
      <c r="C730" s="208"/>
      <c r="D730" s="208" t="s">
        <v>1428</v>
      </c>
      <c r="E730" s="208" t="s">
        <v>29</v>
      </c>
      <c r="F730" s="208" t="s">
        <v>6334</v>
      </c>
      <c r="G730" s="208" t="s">
        <v>1423</v>
      </c>
      <c r="H730" s="208"/>
      <c r="I730" s="208"/>
      <c r="J730" s="208" t="s">
        <v>1424</v>
      </c>
      <c r="K730" s="208" t="s">
        <v>1425</v>
      </c>
      <c r="L730" s="208"/>
      <c r="M730" s="209"/>
      <c r="N730" s="208"/>
      <c r="O730" s="208" t="s">
        <v>260</v>
      </c>
      <c r="P730" s="208" t="s">
        <v>91</v>
      </c>
    </row>
    <row r="731" spans="1:16" s="187" customFormat="1" ht="18" customHeight="1">
      <c r="A731" s="187" t="str">
        <f t="shared" si="11"/>
        <v>V10512C</v>
      </c>
      <c r="B731" s="206" t="s">
        <v>6120</v>
      </c>
      <c r="C731" s="206"/>
      <c r="D731" s="206" t="s">
        <v>6121</v>
      </c>
      <c r="E731" s="206" t="s">
        <v>29</v>
      </c>
      <c r="F731" s="206" t="s">
        <v>6122</v>
      </c>
      <c r="G731" s="206" t="s">
        <v>6123</v>
      </c>
      <c r="H731" s="206"/>
      <c r="I731" s="206"/>
      <c r="J731" s="206" t="s">
        <v>6124</v>
      </c>
      <c r="K731" s="206" t="s">
        <v>6125</v>
      </c>
      <c r="L731" s="206"/>
      <c r="M731" s="207"/>
      <c r="N731" s="206"/>
      <c r="O731" s="206" t="s">
        <v>260</v>
      </c>
      <c r="P731" s="206" t="s">
        <v>91</v>
      </c>
    </row>
    <row r="732" spans="1:16" s="187" customFormat="1" ht="18" customHeight="1">
      <c r="A732" s="187" t="str">
        <f t="shared" si="11"/>
        <v>V10177A</v>
      </c>
      <c r="B732" s="208" t="s">
        <v>1430</v>
      </c>
      <c r="C732" s="208"/>
      <c r="D732" s="208" t="s">
        <v>1429</v>
      </c>
      <c r="E732" s="208" t="s">
        <v>29</v>
      </c>
      <c r="F732" s="208" t="s">
        <v>1431</v>
      </c>
      <c r="G732" s="208" t="s">
        <v>1432</v>
      </c>
      <c r="H732" s="208"/>
      <c r="I732" s="208" t="s">
        <v>1433</v>
      </c>
      <c r="J732" s="208" t="s">
        <v>1434</v>
      </c>
      <c r="K732" s="208" t="s">
        <v>1435</v>
      </c>
      <c r="L732" s="208"/>
      <c r="M732" s="209"/>
      <c r="N732" s="208"/>
      <c r="O732" s="208" t="s">
        <v>260</v>
      </c>
      <c r="P732" s="208" t="s">
        <v>91</v>
      </c>
    </row>
    <row r="733" spans="1:16" s="187" customFormat="1" ht="18" customHeight="1">
      <c r="A733" s="187" t="str">
        <f t="shared" si="11"/>
        <v>V10177B</v>
      </c>
      <c r="B733" s="206" t="s">
        <v>1430</v>
      </c>
      <c r="C733" s="206"/>
      <c r="D733" s="206" t="s">
        <v>1436</v>
      </c>
      <c r="E733" s="206" t="s">
        <v>29</v>
      </c>
      <c r="F733" s="206" t="s">
        <v>1431</v>
      </c>
      <c r="G733" s="206" t="s">
        <v>1432</v>
      </c>
      <c r="H733" s="206"/>
      <c r="I733" s="206" t="s">
        <v>1433</v>
      </c>
      <c r="J733" s="206" t="s">
        <v>1434</v>
      </c>
      <c r="K733" s="206" t="s">
        <v>1435</v>
      </c>
      <c r="L733" s="206"/>
      <c r="M733" s="207"/>
      <c r="N733" s="206"/>
      <c r="O733" s="206" t="s">
        <v>260</v>
      </c>
      <c r="P733" s="206" t="s">
        <v>91</v>
      </c>
    </row>
    <row r="734" spans="1:16" s="187" customFormat="1" ht="18" customHeight="1">
      <c r="A734" s="187" t="str">
        <f t="shared" si="11"/>
        <v>V10177C</v>
      </c>
      <c r="B734" s="208" t="s">
        <v>1430</v>
      </c>
      <c r="C734" s="208"/>
      <c r="D734" s="208" t="s">
        <v>1437</v>
      </c>
      <c r="E734" s="208" t="s">
        <v>29</v>
      </c>
      <c r="F734" s="208" t="s">
        <v>1431</v>
      </c>
      <c r="G734" s="208" t="s">
        <v>1432</v>
      </c>
      <c r="H734" s="208"/>
      <c r="I734" s="208" t="s">
        <v>1433</v>
      </c>
      <c r="J734" s="208" t="s">
        <v>1434</v>
      </c>
      <c r="K734" s="208" t="s">
        <v>1435</v>
      </c>
      <c r="L734" s="208"/>
      <c r="M734" s="209"/>
      <c r="N734" s="208"/>
      <c r="O734" s="208" t="s">
        <v>260</v>
      </c>
      <c r="P734" s="208" t="s">
        <v>91</v>
      </c>
    </row>
    <row r="735" spans="1:16" s="187" customFormat="1" ht="18" customHeight="1">
      <c r="A735" s="187" t="str">
        <f t="shared" si="11"/>
        <v>V10530C</v>
      </c>
      <c r="B735" s="206" t="s">
        <v>6126</v>
      </c>
      <c r="C735" s="206"/>
      <c r="D735" s="206" t="s">
        <v>6127</v>
      </c>
      <c r="E735" s="206" t="s">
        <v>29</v>
      </c>
      <c r="F735" s="206" t="s">
        <v>586</v>
      </c>
      <c r="G735" s="206" t="s">
        <v>6128</v>
      </c>
      <c r="H735" s="206"/>
      <c r="I735" s="206"/>
      <c r="J735" s="206" t="s">
        <v>387</v>
      </c>
      <c r="K735" s="206" t="s">
        <v>6129</v>
      </c>
      <c r="L735" s="206"/>
      <c r="M735" s="207"/>
      <c r="N735" s="206"/>
      <c r="O735" s="206" t="s">
        <v>260</v>
      </c>
      <c r="P735" s="206" t="s">
        <v>91</v>
      </c>
    </row>
    <row r="736" spans="1:16" s="187" customFormat="1" ht="18" customHeight="1">
      <c r="A736" s="187" t="str">
        <f t="shared" si="11"/>
        <v>V10530B</v>
      </c>
      <c r="B736" s="208" t="s">
        <v>6126</v>
      </c>
      <c r="C736" s="208"/>
      <c r="D736" s="208" t="s">
        <v>6130</v>
      </c>
      <c r="E736" s="208" t="s">
        <v>29</v>
      </c>
      <c r="F736" s="208" t="s">
        <v>586</v>
      </c>
      <c r="G736" s="208" t="s">
        <v>6128</v>
      </c>
      <c r="H736" s="208"/>
      <c r="I736" s="208"/>
      <c r="J736" s="208" t="s">
        <v>387</v>
      </c>
      <c r="K736" s="208" t="s">
        <v>6129</v>
      </c>
      <c r="L736" s="208"/>
      <c r="M736" s="209"/>
      <c r="N736" s="208"/>
      <c r="O736" s="208" t="s">
        <v>260</v>
      </c>
      <c r="P736" s="208" t="s">
        <v>91</v>
      </c>
    </row>
    <row r="737" spans="1:16" s="187" customFormat="1" ht="18" customHeight="1">
      <c r="A737" s="187" t="str">
        <f t="shared" si="11"/>
        <v>V10138A</v>
      </c>
      <c r="B737" s="206" t="s">
        <v>1439</v>
      </c>
      <c r="C737" s="206"/>
      <c r="D737" s="206" t="s">
        <v>1438</v>
      </c>
      <c r="E737" s="206" t="s">
        <v>29</v>
      </c>
      <c r="F737" s="206" t="s">
        <v>1440</v>
      </c>
      <c r="G737" s="206" t="s">
        <v>1441</v>
      </c>
      <c r="H737" s="206"/>
      <c r="I737" s="206" t="s">
        <v>1442</v>
      </c>
      <c r="J737" s="206" t="s">
        <v>1443</v>
      </c>
      <c r="K737" s="206" t="s">
        <v>1444</v>
      </c>
      <c r="L737" s="206"/>
      <c r="M737" s="207"/>
      <c r="N737" s="206"/>
      <c r="O737" s="206" t="s">
        <v>260</v>
      </c>
      <c r="P737" s="206" t="s">
        <v>91</v>
      </c>
    </row>
    <row r="738" spans="1:16" s="187" customFormat="1" ht="18" customHeight="1">
      <c r="A738" s="187" t="str">
        <f t="shared" si="11"/>
        <v>V10138B</v>
      </c>
      <c r="B738" s="208" t="s">
        <v>1439</v>
      </c>
      <c r="C738" s="208"/>
      <c r="D738" s="208" t="s">
        <v>1445</v>
      </c>
      <c r="E738" s="208" t="s">
        <v>29</v>
      </c>
      <c r="F738" s="208" t="s">
        <v>1440</v>
      </c>
      <c r="G738" s="208" t="s">
        <v>1441</v>
      </c>
      <c r="H738" s="208"/>
      <c r="I738" s="208" t="s">
        <v>1442</v>
      </c>
      <c r="J738" s="208" t="s">
        <v>1443</v>
      </c>
      <c r="K738" s="208" t="s">
        <v>1444</v>
      </c>
      <c r="L738" s="208"/>
      <c r="M738" s="209"/>
      <c r="N738" s="208"/>
      <c r="O738" s="208" t="s">
        <v>260</v>
      </c>
      <c r="P738" s="208" t="s">
        <v>91</v>
      </c>
    </row>
    <row r="739" spans="1:16" s="187" customFormat="1" ht="18" customHeight="1">
      <c r="A739" s="187" t="str">
        <f t="shared" si="11"/>
        <v>V10138C</v>
      </c>
      <c r="B739" s="206" t="s">
        <v>1439</v>
      </c>
      <c r="C739" s="206"/>
      <c r="D739" s="206" t="s">
        <v>1446</v>
      </c>
      <c r="E739" s="206" t="s">
        <v>29</v>
      </c>
      <c r="F739" s="206" t="s">
        <v>1440</v>
      </c>
      <c r="G739" s="206" t="s">
        <v>1441</v>
      </c>
      <c r="H739" s="206"/>
      <c r="I739" s="206" t="s">
        <v>1442</v>
      </c>
      <c r="J739" s="206" t="s">
        <v>1443</v>
      </c>
      <c r="K739" s="206" t="s">
        <v>1444</v>
      </c>
      <c r="L739" s="206"/>
      <c r="M739" s="207"/>
      <c r="N739" s="206"/>
      <c r="O739" s="206" t="s">
        <v>260</v>
      </c>
      <c r="P739" s="206" t="s">
        <v>91</v>
      </c>
    </row>
    <row r="740" spans="1:16" s="187" customFormat="1" ht="18" customHeight="1">
      <c r="A740" s="187" t="str">
        <f t="shared" si="11"/>
        <v>V4095C0</v>
      </c>
      <c r="B740" s="208" t="s">
        <v>5435</v>
      </c>
      <c r="C740" s="208"/>
      <c r="D740" s="208" t="s">
        <v>5436</v>
      </c>
      <c r="E740" s="208" t="s">
        <v>29</v>
      </c>
      <c r="F740" s="208" t="s">
        <v>5437</v>
      </c>
      <c r="G740" s="208"/>
      <c r="H740" s="208"/>
      <c r="I740" s="208"/>
      <c r="J740" s="208"/>
      <c r="K740" s="208"/>
      <c r="L740" s="208"/>
      <c r="M740" s="209"/>
      <c r="N740" s="208"/>
      <c r="O740" s="208"/>
      <c r="P740" s="208" t="s">
        <v>107</v>
      </c>
    </row>
    <row r="741" spans="1:16" s="187" customFormat="1" ht="18" customHeight="1">
      <c r="A741" s="187" t="str">
        <f t="shared" si="11"/>
        <v>V4089C0</v>
      </c>
      <c r="B741" s="206" t="s">
        <v>4921</v>
      </c>
      <c r="C741" s="206"/>
      <c r="D741" s="206" t="s">
        <v>4922</v>
      </c>
      <c r="E741" s="206" t="s">
        <v>29</v>
      </c>
      <c r="F741" s="206" t="s">
        <v>4923</v>
      </c>
      <c r="G741" s="206"/>
      <c r="H741" s="206"/>
      <c r="I741" s="206"/>
      <c r="J741" s="206"/>
      <c r="K741" s="206"/>
      <c r="L741" s="206"/>
      <c r="M741" s="207"/>
      <c r="N741" s="206"/>
      <c r="O741" s="206"/>
      <c r="P741" s="206" t="s">
        <v>107</v>
      </c>
    </row>
    <row r="742" spans="1:16" s="187" customFormat="1" ht="18" customHeight="1">
      <c r="A742" s="187" t="str">
        <f t="shared" si="11"/>
        <v>V10370C</v>
      </c>
      <c r="B742" s="208" t="s">
        <v>5097</v>
      </c>
      <c r="C742" s="208"/>
      <c r="D742" s="208" t="s">
        <v>5096</v>
      </c>
      <c r="E742" s="208" t="s">
        <v>29</v>
      </c>
      <c r="F742" s="208" t="s">
        <v>5095</v>
      </c>
      <c r="G742" s="208"/>
      <c r="H742" s="208"/>
      <c r="I742" s="208" t="s">
        <v>5094</v>
      </c>
      <c r="J742" s="208" t="s">
        <v>5093</v>
      </c>
      <c r="K742" s="208" t="s">
        <v>5092</v>
      </c>
      <c r="L742" s="208"/>
      <c r="M742" s="209"/>
      <c r="N742" s="208"/>
      <c r="O742" s="208"/>
      <c r="P742" s="208" t="s">
        <v>91</v>
      </c>
    </row>
    <row r="743" spans="1:16" s="187" customFormat="1" ht="18" customHeight="1">
      <c r="A743" s="187" t="str">
        <f t="shared" si="11"/>
        <v>V10182A</v>
      </c>
      <c r="B743" s="206" t="s">
        <v>1448</v>
      </c>
      <c r="C743" s="206"/>
      <c r="D743" s="206" t="s">
        <v>1447</v>
      </c>
      <c r="E743" s="206" t="s">
        <v>29</v>
      </c>
      <c r="F743" s="206" t="s">
        <v>1449</v>
      </c>
      <c r="G743" s="206" t="s">
        <v>1450</v>
      </c>
      <c r="H743" s="206"/>
      <c r="I743" s="206" t="s">
        <v>1451</v>
      </c>
      <c r="J743" s="206" t="s">
        <v>1452</v>
      </c>
      <c r="K743" s="206" t="s">
        <v>5091</v>
      </c>
      <c r="L743" s="206"/>
      <c r="M743" s="207"/>
      <c r="N743" s="206"/>
      <c r="O743" s="206" t="s">
        <v>260</v>
      </c>
      <c r="P743" s="206" t="s">
        <v>91</v>
      </c>
    </row>
    <row r="744" spans="1:16" s="187" customFormat="1" ht="18" customHeight="1">
      <c r="A744" s="187" t="str">
        <f t="shared" si="11"/>
        <v>V10182B</v>
      </c>
      <c r="B744" s="208" t="s">
        <v>1448</v>
      </c>
      <c r="C744" s="208"/>
      <c r="D744" s="208" t="s">
        <v>1453</v>
      </c>
      <c r="E744" s="208" t="s">
        <v>29</v>
      </c>
      <c r="F744" s="208" t="s">
        <v>1449</v>
      </c>
      <c r="G744" s="208" t="s">
        <v>1450</v>
      </c>
      <c r="H744" s="208"/>
      <c r="I744" s="208" t="s">
        <v>1451</v>
      </c>
      <c r="J744" s="208" t="s">
        <v>1452</v>
      </c>
      <c r="K744" s="208" t="s">
        <v>5091</v>
      </c>
      <c r="L744" s="208"/>
      <c r="M744" s="209"/>
      <c r="N744" s="208"/>
      <c r="O744" s="208" t="s">
        <v>260</v>
      </c>
      <c r="P744" s="208" t="s">
        <v>91</v>
      </c>
    </row>
    <row r="745" spans="1:16" s="187" customFormat="1" ht="18" customHeight="1">
      <c r="A745" s="187" t="str">
        <f t="shared" si="11"/>
        <v>V10182C</v>
      </c>
      <c r="B745" s="206" t="s">
        <v>1448</v>
      </c>
      <c r="C745" s="206"/>
      <c r="D745" s="206" t="s">
        <v>1454</v>
      </c>
      <c r="E745" s="206" t="s">
        <v>29</v>
      </c>
      <c r="F745" s="206" t="s">
        <v>1449</v>
      </c>
      <c r="G745" s="206" t="s">
        <v>1450</v>
      </c>
      <c r="H745" s="206"/>
      <c r="I745" s="206" t="s">
        <v>1451</v>
      </c>
      <c r="J745" s="206" t="s">
        <v>1452</v>
      </c>
      <c r="K745" s="206" t="s">
        <v>5091</v>
      </c>
      <c r="L745" s="206"/>
      <c r="M745" s="207"/>
      <c r="N745" s="206"/>
      <c r="O745" s="206" t="s">
        <v>260</v>
      </c>
      <c r="P745" s="206" t="s">
        <v>91</v>
      </c>
    </row>
    <row r="746" spans="1:16" s="187" customFormat="1" ht="18" customHeight="1">
      <c r="A746" s="187" t="str">
        <f t="shared" si="11"/>
        <v>V10233A</v>
      </c>
      <c r="B746" s="208" t="s">
        <v>1456</v>
      </c>
      <c r="C746" s="208"/>
      <c r="D746" s="208" t="s">
        <v>1455</v>
      </c>
      <c r="E746" s="208" t="s">
        <v>29</v>
      </c>
      <c r="F746" s="208" t="s">
        <v>1457</v>
      </c>
      <c r="G746" s="208" t="s">
        <v>1458</v>
      </c>
      <c r="H746" s="208"/>
      <c r="I746" s="208"/>
      <c r="J746" s="208" t="s">
        <v>1459</v>
      </c>
      <c r="K746" s="208" t="s">
        <v>1460</v>
      </c>
      <c r="L746" s="208"/>
      <c r="M746" s="209"/>
      <c r="N746" s="208"/>
      <c r="O746" s="208" t="s">
        <v>260</v>
      </c>
      <c r="P746" s="208" t="s">
        <v>91</v>
      </c>
    </row>
    <row r="747" spans="1:16" s="187" customFormat="1" ht="18" customHeight="1">
      <c r="A747" s="187" t="str">
        <f t="shared" si="11"/>
        <v>V10233B</v>
      </c>
      <c r="B747" s="206" t="s">
        <v>1456</v>
      </c>
      <c r="C747" s="206"/>
      <c r="D747" s="206" t="s">
        <v>1461</v>
      </c>
      <c r="E747" s="206" t="s">
        <v>29</v>
      </c>
      <c r="F747" s="206" t="s">
        <v>1457</v>
      </c>
      <c r="G747" s="206" t="s">
        <v>1458</v>
      </c>
      <c r="H747" s="206"/>
      <c r="I747" s="206"/>
      <c r="J747" s="206" t="s">
        <v>1459</v>
      </c>
      <c r="K747" s="206" t="s">
        <v>1460</v>
      </c>
      <c r="L747" s="206"/>
      <c r="M747" s="207"/>
      <c r="N747" s="206"/>
      <c r="O747" s="206" t="s">
        <v>260</v>
      </c>
      <c r="P747" s="206" t="s">
        <v>91</v>
      </c>
    </row>
    <row r="748" spans="1:16" s="187" customFormat="1" ht="18" customHeight="1">
      <c r="A748" s="187" t="str">
        <f t="shared" si="11"/>
        <v>V10233C</v>
      </c>
      <c r="B748" s="208" t="s">
        <v>1456</v>
      </c>
      <c r="C748" s="208"/>
      <c r="D748" s="208" t="s">
        <v>1462</v>
      </c>
      <c r="E748" s="208" t="s">
        <v>29</v>
      </c>
      <c r="F748" s="208" t="s">
        <v>1457</v>
      </c>
      <c r="G748" s="208" t="s">
        <v>1458</v>
      </c>
      <c r="H748" s="208"/>
      <c r="I748" s="208"/>
      <c r="J748" s="208" t="s">
        <v>1459</v>
      </c>
      <c r="K748" s="208" t="s">
        <v>1460</v>
      </c>
      <c r="L748" s="208"/>
      <c r="M748" s="209"/>
      <c r="N748" s="208"/>
      <c r="O748" s="208" t="s">
        <v>260</v>
      </c>
      <c r="P748" s="208" t="s">
        <v>91</v>
      </c>
    </row>
    <row r="749" spans="1:16" s="187" customFormat="1" ht="18" customHeight="1">
      <c r="A749" s="187" t="str">
        <f t="shared" si="11"/>
        <v>V10098A</v>
      </c>
      <c r="B749" s="206" t="s">
        <v>1464</v>
      </c>
      <c r="C749" s="206"/>
      <c r="D749" s="206" t="s">
        <v>1463</v>
      </c>
      <c r="E749" s="206" t="s">
        <v>29</v>
      </c>
      <c r="F749" s="206" t="s">
        <v>1465</v>
      </c>
      <c r="G749" s="206" t="s">
        <v>1466</v>
      </c>
      <c r="H749" s="206"/>
      <c r="I749" s="206" t="s">
        <v>1467</v>
      </c>
      <c r="J749" s="206" t="s">
        <v>1468</v>
      </c>
      <c r="K749" s="206" t="s">
        <v>1469</v>
      </c>
      <c r="L749" s="206"/>
      <c r="M749" s="207"/>
      <c r="N749" s="206"/>
      <c r="O749" s="206" t="s">
        <v>260</v>
      </c>
      <c r="P749" s="206" t="s">
        <v>91</v>
      </c>
    </row>
    <row r="750" spans="1:16" s="187" customFormat="1" ht="18" customHeight="1">
      <c r="A750" s="187" t="str">
        <f t="shared" si="11"/>
        <v>V10098B</v>
      </c>
      <c r="B750" s="208" t="s">
        <v>1464</v>
      </c>
      <c r="C750" s="208"/>
      <c r="D750" s="208" t="s">
        <v>1470</v>
      </c>
      <c r="E750" s="208" t="s">
        <v>29</v>
      </c>
      <c r="F750" s="208" t="s">
        <v>1465</v>
      </c>
      <c r="G750" s="208" t="s">
        <v>1466</v>
      </c>
      <c r="H750" s="208"/>
      <c r="I750" s="208" t="s">
        <v>1467</v>
      </c>
      <c r="J750" s="208" t="s">
        <v>1468</v>
      </c>
      <c r="K750" s="208" t="s">
        <v>1469</v>
      </c>
      <c r="L750" s="208"/>
      <c r="M750" s="209"/>
      <c r="N750" s="208"/>
      <c r="O750" s="208" t="s">
        <v>260</v>
      </c>
      <c r="P750" s="208" t="s">
        <v>91</v>
      </c>
    </row>
    <row r="751" spans="1:16" s="187" customFormat="1" ht="18" customHeight="1">
      <c r="A751" s="187" t="str">
        <f t="shared" si="11"/>
        <v>V10098C</v>
      </c>
      <c r="B751" s="206" t="s">
        <v>1464</v>
      </c>
      <c r="C751" s="206"/>
      <c r="D751" s="206" t="s">
        <v>1471</v>
      </c>
      <c r="E751" s="206" t="s">
        <v>29</v>
      </c>
      <c r="F751" s="206" t="s">
        <v>1465</v>
      </c>
      <c r="G751" s="206" t="s">
        <v>1466</v>
      </c>
      <c r="H751" s="206"/>
      <c r="I751" s="206" t="s">
        <v>1467</v>
      </c>
      <c r="J751" s="206" t="s">
        <v>1468</v>
      </c>
      <c r="K751" s="206" t="s">
        <v>1469</v>
      </c>
      <c r="L751" s="206"/>
      <c r="M751" s="207"/>
      <c r="N751" s="206"/>
      <c r="O751" s="206" t="s">
        <v>260</v>
      </c>
      <c r="P751" s="206" t="s">
        <v>91</v>
      </c>
    </row>
    <row r="752" spans="1:16" s="187" customFormat="1" ht="18" customHeight="1">
      <c r="A752" s="187" t="str">
        <f t="shared" si="11"/>
        <v>V10237A</v>
      </c>
      <c r="B752" s="208" t="s">
        <v>1473</v>
      </c>
      <c r="C752" s="208"/>
      <c r="D752" s="208" t="s">
        <v>1472</v>
      </c>
      <c r="E752" s="208" t="s">
        <v>29</v>
      </c>
      <c r="F752" s="208" t="s">
        <v>1474</v>
      </c>
      <c r="G752" s="208" t="s">
        <v>1475</v>
      </c>
      <c r="H752" s="208"/>
      <c r="I752" s="208"/>
      <c r="J752" s="208" t="s">
        <v>1476</v>
      </c>
      <c r="K752" s="208" t="s">
        <v>1477</v>
      </c>
      <c r="L752" s="208"/>
      <c r="M752" s="209"/>
      <c r="N752" s="208"/>
      <c r="O752" s="208" t="s">
        <v>260</v>
      </c>
      <c r="P752" s="208" t="s">
        <v>91</v>
      </c>
    </row>
    <row r="753" spans="1:16" s="187" customFormat="1" ht="18" customHeight="1">
      <c r="A753" s="187" t="str">
        <f t="shared" si="11"/>
        <v>V10237B</v>
      </c>
      <c r="B753" s="206" t="s">
        <v>1473</v>
      </c>
      <c r="C753" s="206"/>
      <c r="D753" s="206" t="s">
        <v>1478</v>
      </c>
      <c r="E753" s="206" t="s">
        <v>29</v>
      </c>
      <c r="F753" s="206" t="s">
        <v>1474</v>
      </c>
      <c r="G753" s="206" t="s">
        <v>1475</v>
      </c>
      <c r="H753" s="206"/>
      <c r="I753" s="206"/>
      <c r="J753" s="206" t="s">
        <v>1476</v>
      </c>
      <c r="K753" s="206" t="s">
        <v>1477</v>
      </c>
      <c r="L753" s="206"/>
      <c r="M753" s="207"/>
      <c r="N753" s="206"/>
      <c r="O753" s="206" t="s">
        <v>260</v>
      </c>
      <c r="P753" s="206" t="s">
        <v>91</v>
      </c>
    </row>
    <row r="754" spans="1:16" s="187" customFormat="1" ht="18" customHeight="1">
      <c r="A754" s="187" t="str">
        <f t="shared" si="11"/>
        <v>V10237C</v>
      </c>
      <c r="B754" s="208" t="s">
        <v>1473</v>
      </c>
      <c r="C754" s="208"/>
      <c r="D754" s="208" t="s">
        <v>1479</v>
      </c>
      <c r="E754" s="208" t="s">
        <v>29</v>
      </c>
      <c r="F754" s="208" t="s">
        <v>1474</v>
      </c>
      <c r="G754" s="208" t="s">
        <v>1475</v>
      </c>
      <c r="H754" s="208"/>
      <c r="I754" s="208"/>
      <c r="J754" s="208" t="s">
        <v>1476</v>
      </c>
      <c r="K754" s="208" t="s">
        <v>1477</v>
      </c>
      <c r="L754" s="208"/>
      <c r="M754" s="209"/>
      <c r="N754" s="208"/>
      <c r="O754" s="208" t="s">
        <v>260</v>
      </c>
      <c r="P754" s="208" t="s">
        <v>91</v>
      </c>
    </row>
    <row r="755" spans="1:16" s="187" customFormat="1" ht="18" customHeight="1">
      <c r="A755" s="187" t="str">
        <f t="shared" si="11"/>
        <v>V10478B</v>
      </c>
      <c r="B755" s="206" t="s">
        <v>5939</v>
      </c>
      <c r="C755" s="206"/>
      <c r="D755" s="206" t="s">
        <v>5944</v>
      </c>
      <c r="E755" s="206" t="s">
        <v>29</v>
      </c>
      <c r="F755" s="206"/>
      <c r="G755" s="206" t="s">
        <v>5941</v>
      </c>
      <c r="H755" s="206"/>
      <c r="I755" s="206"/>
      <c r="J755" s="206" t="s">
        <v>5942</v>
      </c>
      <c r="K755" s="206" t="s">
        <v>5943</v>
      </c>
      <c r="L755" s="206"/>
      <c r="M755" s="207"/>
      <c r="N755" s="206"/>
      <c r="O755" s="206"/>
      <c r="P755" s="206" t="s">
        <v>91</v>
      </c>
    </row>
    <row r="756" spans="1:16" s="187" customFormat="1" ht="18" customHeight="1">
      <c r="A756" s="187" t="str">
        <f t="shared" si="11"/>
        <v>V10478C</v>
      </c>
      <c r="B756" s="208" t="s">
        <v>5939</v>
      </c>
      <c r="C756" s="208"/>
      <c r="D756" s="208" t="s">
        <v>5940</v>
      </c>
      <c r="E756" s="208" t="s">
        <v>29</v>
      </c>
      <c r="F756" s="208"/>
      <c r="G756" s="208" t="s">
        <v>5941</v>
      </c>
      <c r="H756" s="208"/>
      <c r="I756" s="208"/>
      <c r="J756" s="208" t="s">
        <v>5942</v>
      </c>
      <c r="K756" s="208" t="s">
        <v>5943</v>
      </c>
      <c r="L756" s="208"/>
      <c r="M756" s="209"/>
      <c r="N756" s="208"/>
      <c r="O756" s="208"/>
      <c r="P756" s="208" t="s">
        <v>91</v>
      </c>
    </row>
    <row r="757" spans="1:16" s="187" customFormat="1" ht="18" customHeight="1">
      <c r="A757" s="187" t="str">
        <f t="shared" si="11"/>
        <v>V10224A</v>
      </c>
      <c r="B757" s="206" t="s">
        <v>1481</v>
      </c>
      <c r="C757" s="206"/>
      <c r="D757" s="206" t="s">
        <v>1480</v>
      </c>
      <c r="E757" s="206" t="s">
        <v>29</v>
      </c>
      <c r="F757" s="206" t="s">
        <v>1482</v>
      </c>
      <c r="G757" s="206" t="s">
        <v>1483</v>
      </c>
      <c r="H757" s="206"/>
      <c r="I757" s="206" t="s">
        <v>1484</v>
      </c>
      <c r="J757" s="206" t="s">
        <v>1485</v>
      </c>
      <c r="K757" s="206" t="s">
        <v>1486</v>
      </c>
      <c r="L757" s="206"/>
      <c r="M757" s="207"/>
      <c r="N757" s="206"/>
      <c r="O757" s="206" t="s">
        <v>260</v>
      </c>
      <c r="P757" s="206" t="s">
        <v>91</v>
      </c>
    </row>
    <row r="758" spans="1:16" s="187" customFormat="1" ht="18" customHeight="1">
      <c r="A758" s="187" t="str">
        <f t="shared" si="11"/>
        <v>V10224B</v>
      </c>
      <c r="B758" s="208" t="s">
        <v>1481</v>
      </c>
      <c r="C758" s="208"/>
      <c r="D758" s="208" t="s">
        <v>1487</v>
      </c>
      <c r="E758" s="208" t="s">
        <v>29</v>
      </c>
      <c r="F758" s="208" t="s">
        <v>1482</v>
      </c>
      <c r="G758" s="208" t="s">
        <v>1483</v>
      </c>
      <c r="H758" s="208"/>
      <c r="I758" s="208" t="s">
        <v>1484</v>
      </c>
      <c r="J758" s="208" t="s">
        <v>1485</v>
      </c>
      <c r="K758" s="208" t="s">
        <v>1486</v>
      </c>
      <c r="L758" s="208"/>
      <c r="M758" s="209"/>
      <c r="N758" s="208"/>
      <c r="O758" s="208" t="s">
        <v>260</v>
      </c>
      <c r="P758" s="208" t="s">
        <v>91</v>
      </c>
    </row>
    <row r="759" spans="1:16" s="187" customFormat="1" ht="18" customHeight="1">
      <c r="A759" s="187" t="str">
        <f t="shared" si="11"/>
        <v>V10224C</v>
      </c>
      <c r="B759" s="206" t="s">
        <v>1481</v>
      </c>
      <c r="C759" s="206"/>
      <c r="D759" s="206" t="s">
        <v>1488</v>
      </c>
      <c r="E759" s="206" t="s">
        <v>29</v>
      </c>
      <c r="F759" s="206" t="s">
        <v>1482</v>
      </c>
      <c r="G759" s="206" t="s">
        <v>1483</v>
      </c>
      <c r="H759" s="206"/>
      <c r="I759" s="206" t="s">
        <v>1484</v>
      </c>
      <c r="J759" s="206" t="s">
        <v>1489</v>
      </c>
      <c r="K759" s="206" t="s">
        <v>1486</v>
      </c>
      <c r="L759" s="206"/>
      <c r="M759" s="207"/>
      <c r="N759" s="206"/>
      <c r="O759" s="206" t="s">
        <v>260</v>
      </c>
      <c r="P759" s="206" t="s">
        <v>91</v>
      </c>
    </row>
    <row r="760" spans="1:16" s="187" customFormat="1" ht="18" customHeight="1">
      <c r="A760" s="187" t="str">
        <f t="shared" si="11"/>
        <v>V10387C</v>
      </c>
      <c r="B760" s="208" t="s">
        <v>5360</v>
      </c>
      <c r="C760" s="208"/>
      <c r="D760" s="208" t="s">
        <v>5361</v>
      </c>
      <c r="E760" s="208" t="s">
        <v>29</v>
      </c>
      <c r="F760" s="208" t="s">
        <v>5362</v>
      </c>
      <c r="G760" s="208"/>
      <c r="H760" s="208"/>
      <c r="I760" s="208"/>
      <c r="J760" s="208" t="s">
        <v>5363</v>
      </c>
      <c r="K760" s="208" t="s">
        <v>5364</v>
      </c>
      <c r="L760" s="208"/>
      <c r="M760" s="209"/>
      <c r="N760" s="208"/>
      <c r="O760" s="208"/>
      <c r="P760" s="208" t="s">
        <v>91</v>
      </c>
    </row>
    <row r="761" spans="1:16" s="187" customFormat="1" ht="18" customHeight="1">
      <c r="A761" s="187" t="str">
        <f t="shared" si="11"/>
        <v>V10287C</v>
      </c>
      <c r="B761" s="206" t="s">
        <v>1491</v>
      </c>
      <c r="C761" s="206"/>
      <c r="D761" s="206" t="s">
        <v>1490</v>
      </c>
      <c r="E761" s="206" t="s">
        <v>29</v>
      </c>
      <c r="F761" s="206" t="s">
        <v>1492</v>
      </c>
      <c r="G761" s="206" t="s">
        <v>1493</v>
      </c>
      <c r="H761" s="206"/>
      <c r="I761" s="206"/>
      <c r="J761" s="206" t="s">
        <v>1494</v>
      </c>
      <c r="K761" s="206" t="s">
        <v>1495</v>
      </c>
      <c r="L761" s="206"/>
      <c r="M761" s="207"/>
      <c r="N761" s="206"/>
      <c r="O761" s="206"/>
      <c r="P761" s="206" t="s">
        <v>91</v>
      </c>
    </row>
    <row r="762" spans="1:16" s="187" customFormat="1" ht="18" customHeight="1">
      <c r="A762" s="187" t="str">
        <f t="shared" si="11"/>
        <v>V10555C</v>
      </c>
      <c r="B762" s="208" t="s">
        <v>6530</v>
      </c>
      <c r="C762" s="208"/>
      <c r="D762" s="208" t="s">
        <v>6438</v>
      </c>
      <c r="E762" s="208" t="s">
        <v>29</v>
      </c>
      <c r="F762" s="208" t="s">
        <v>6439</v>
      </c>
      <c r="G762" s="208"/>
      <c r="H762" s="208"/>
      <c r="I762" s="208"/>
      <c r="J762" s="208" t="s">
        <v>6291</v>
      </c>
      <c r="K762" s="208" t="s">
        <v>6292</v>
      </c>
      <c r="L762" s="208"/>
      <c r="M762" s="209"/>
      <c r="N762" s="208"/>
      <c r="O762" s="208"/>
      <c r="P762" s="208" t="s">
        <v>91</v>
      </c>
    </row>
    <row r="763" spans="1:16" s="187" customFormat="1" ht="18" customHeight="1">
      <c r="A763" s="187" t="str">
        <f t="shared" si="11"/>
        <v>V10127A</v>
      </c>
      <c r="B763" s="206" t="s">
        <v>1497</v>
      </c>
      <c r="C763" s="206"/>
      <c r="D763" s="206" t="s">
        <v>1496</v>
      </c>
      <c r="E763" s="206" t="s">
        <v>29</v>
      </c>
      <c r="F763" s="206" t="s">
        <v>1498</v>
      </c>
      <c r="G763" s="206" t="s">
        <v>1499</v>
      </c>
      <c r="H763" s="206"/>
      <c r="I763" s="206" t="s">
        <v>1500</v>
      </c>
      <c r="J763" s="206" t="s">
        <v>1501</v>
      </c>
      <c r="K763" s="206" t="s">
        <v>1502</v>
      </c>
      <c r="L763" s="206"/>
      <c r="M763" s="207"/>
      <c r="N763" s="206"/>
      <c r="O763" s="206" t="s">
        <v>260</v>
      </c>
      <c r="P763" s="206" t="s">
        <v>91</v>
      </c>
    </row>
    <row r="764" spans="1:16" s="187" customFormat="1" ht="18" customHeight="1">
      <c r="A764" s="187" t="str">
        <f t="shared" si="11"/>
        <v>V10127B</v>
      </c>
      <c r="B764" s="208" t="s">
        <v>1497</v>
      </c>
      <c r="C764" s="208"/>
      <c r="D764" s="208" t="s">
        <v>1503</v>
      </c>
      <c r="E764" s="208" t="s">
        <v>29</v>
      </c>
      <c r="F764" s="208" t="s">
        <v>1498</v>
      </c>
      <c r="G764" s="208" t="s">
        <v>1499</v>
      </c>
      <c r="H764" s="208"/>
      <c r="I764" s="208" t="s">
        <v>1500</v>
      </c>
      <c r="J764" s="208" t="s">
        <v>1501</v>
      </c>
      <c r="K764" s="208" t="s">
        <v>1502</v>
      </c>
      <c r="L764" s="208"/>
      <c r="M764" s="209"/>
      <c r="N764" s="208"/>
      <c r="O764" s="208" t="s">
        <v>260</v>
      </c>
      <c r="P764" s="208" t="s">
        <v>91</v>
      </c>
    </row>
    <row r="765" spans="1:16" s="187" customFormat="1" ht="18" customHeight="1">
      <c r="A765" s="187" t="str">
        <f t="shared" si="11"/>
        <v>V10127C</v>
      </c>
      <c r="B765" s="206" t="s">
        <v>1497</v>
      </c>
      <c r="C765" s="206"/>
      <c r="D765" s="206" t="s">
        <v>1504</v>
      </c>
      <c r="E765" s="206" t="s">
        <v>29</v>
      </c>
      <c r="F765" s="206" t="s">
        <v>1498</v>
      </c>
      <c r="G765" s="206" t="s">
        <v>1499</v>
      </c>
      <c r="H765" s="206"/>
      <c r="I765" s="206" t="s">
        <v>1500</v>
      </c>
      <c r="J765" s="206" t="s">
        <v>1501</v>
      </c>
      <c r="K765" s="206" t="s">
        <v>1502</v>
      </c>
      <c r="L765" s="206"/>
      <c r="M765" s="207"/>
      <c r="N765" s="206"/>
      <c r="O765" s="206" t="s">
        <v>260</v>
      </c>
      <c r="P765" s="206" t="s">
        <v>91</v>
      </c>
    </row>
    <row r="766" spans="1:16" s="187" customFormat="1" ht="18" customHeight="1">
      <c r="A766" s="187" t="str">
        <f t="shared" si="11"/>
        <v>CG440016C0</v>
      </c>
      <c r="B766" s="208" t="s">
        <v>1497</v>
      </c>
      <c r="C766" s="208"/>
      <c r="D766" s="208" t="s">
        <v>1505</v>
      </c>
      <c r="E766" s="208" t="s">
        <v>29</v>
      </c>
      <c r="F766" s="208" t="s">
        <v>1498</v>
      </c>
      <c r="G766" s="208"/>
      <c r="H766" s="208"/>
      <c r="I766" s="208"/>
      <c r="J766" s="208"/>
      <c r="K766" s="208"/>
      <c r="L766" s="208"/>
      <c r="M766" s="209"/>
      <c r="N766" s="208"/>
      <c r="O766" s="208"/>
      <c r="P766" s="208" t="s">
        <v>100</v>
      </c>
    </row>
    <row r="767" spans="1:16" s="187" customFormat="1" ht="18" customHeight="1">
      <c r="A767" s="187" t="str">
        <f t="shared" si="11"/>
        <v>CG440044C0</v>
      </c>
      <c r="B767" s="206" t="s">
        <v>6335</v>
      </c>
      <c r="C767" s="206"/>
      <c r="D767" s="206" t="s">
        <v>6336</v>
      </c>
      <c r="E767" s="206" t="s">
        <v>29</v>
      </c>
      <c r="F767" s="206" t="s">
        <v>6337</v>
      </c>
      <c r="G767" s="206"/>
      <c r="H767" s="206"/>
      <c r="I767" s="206"/>
      <c r="J767" s="206"/>
      <c r="K767" s="206"/>
      <c r="L767" s="206"/>
      <c r="M767" s="207"/>
      <c r="N767" s="206"/>
      <c r="O767" s="206"/>
      <c r="P767" s="206" t="s">
        <v>100</v>
      </c>
    </row>
    <row r="768" spans="1:16" s="187" customFormat="1" ht="18" customHeight="1">
      <c r="A768" s="187" t="str">
        <f t="shared" si="11"/>
        <v>V10203A</v>
      </c>
      <c r="B768" s="208" t="s">
        <v>1507</v>
      </c>
      <c r="C768" s="208"/>
      <c r="D768" s="208" t="s">
        <v>1506</v>
      </c>
      <c r="E768" s="208" t="s">
        <v>29</v>
      </c>
      <c r="F768" s="208" t="s">
        <v>1508</v>
      </c>
      <c r="G768" s="208" t="s">
        <v>1509</v>
      </c>
      <c r="H768" s="208"/>
      <c r="I768" s="208" t="s">
        <v>1510</v>
      </c>
      <c r="J768" s="208" t="s">
        <v>1511</v>
      </c>
      <c r="K768" s="208" t="s">
        <v>1512</v>
      </c>
      <c r="L768" s="208"/>
      <c r="M768" s="209"/>
      <c r="N768" s="208"/>
      <c r="O768" s="208" t="s">
        <v>260</v>
      </c>
      <c r="P768" s="208" t="s">
        <v>91</v>
      </c>
    </row>
    <row r="769" spans="1:16" s="187" customFormat="1" ht="18" customHeight="1">
      <c r="A769" s="187" t="str">
        <f t="shared" si="11"/>
        <v>V10203B</v>
      </c>
      <c r="B769" s="206" t="s">
        <v>1507</v>
      </c>
      <c r="C769" s="206"/>
      <c r="D769" s="206" t="s">
        <v>1513</v>
      </c>
      <c r="E769" s="206" t="s">
        <v>29</v>
      </c>
      <c r="F769" s="206" t="s">
        <v>1508</v>
      </c>
      <c r="G769" s="206" t="s">
        <v>1509</v>
      </c>
      <c r="H769" s="206"/>
      <c r="I769" s="206" t="s">
        <v>1510</v>
      </c>
      <c r="J769" s="206" t="s">
        <v>1511</v>
      </c>
      <c r="K769" s="206" t="s">
        <v>1512</v>
      </c>
      <c r="L769" s="206"/>
      <c r="M769" s="207"/>
      <c r="N769" s="206"/>
      <c r="O769" s="206" t="s">
        <v>260</v>
      </c>
      <c r="P769" s="206" t="s">
        <v>91</v>
      </c>
    </row>
    <row r="770" spans="1:16" s="187" customFormat="1" ht="18" customHeight="1">
      <c r="A770" s="187" t="str">
        <f t="shared" si="11"/>
        <v>V10203C</v>
      </c>
      <c r="B770" s="208" t="s">
        <v>1507</v>
      </c>
      <c r="C770" s="208"/>
      <c r="D770" s="208" t="s">
        <v>1514</v>
      </c>
      <c r="E770" s="208" t="s">
        <v>29</v>
      </c>
      <c r="F770" s="208" t="s">
        <v>1508</v>
      </c>
      <c r="G770" s="208" t="s">
        <v>1509</v>
      </c>
      <c r="H770" s="208"/>
      <c r="I770" s="208" t="s">
        <v>1510</v>
      </c>
      <c r="J770" s="208" t="s">
        <v>1511</v>
      </c>
      <c r="K770" s="208" t="s">
        <v>1512</v>
      </c>
      <c r="L770" s="208"/>
      <c r="M770" s="209"/>
      <c r="N770" s="208"/>
      <c r="O770" s="208" t="s">
        <v>260</v>
      </c>
      <c r="P770" s="208" t="s">
        <v>91</v>
      </c>
    </row>
    <row r="771" spans="1:16" s="187" customFormat="1" ht="18" customHeight="1">
      <c r="A771" s="187" t="str">
        <f t="shared" si="11"/>
        <v>V10252C</v>
      </c>
      <c r="B771" s="206" t="s">
        <v>1516</v>
      </c>
      <c r="C771" s="206"/>
      <c r="D771" s="206" t="s">
        <v>1515</v>
      </c>
      <c r="E771" s="206" t="s">
        <v>29</v>
      </c>
      <c r="F771" s="206" t="s">
        <v>1517</v>
      </c>
      <c r="G771" s="206" t="s">
        <v>1518</v>
      </c>
      <c r="H771" s="206"/>
      <c r="I771" s="206"/>
      <c r="J771" s="206" t="s">
        <v>1519</v>
      </c>
      <c r="K771" s="206" t="s">
        <v>1520</v>
      </c>
      <c r="L771" s="206"/>
      <c r="M771" s="207"/>
      <c r="N771" s="206"/>
      <c r="O771" s="206" t="s">
        <v>131</v>
      </c>
      <c r="P771" s="206" t="s">
        <v>91</v>
      </c>
    </row>
    <row r="772" spans="1:16" s="187" customFormat="1" ht="18" customHeight="1">
      <c r="A772" s="187" t="str">
        <f t="shared" si="11"/>
        <v>V4041C0</v>
      </c>
      <c r="B772" s="208" t="s">
        <v>1516</v>
      </c>
      <c r="C772" s="208"/>
      <c r="D772" s="208" t="s">
        <v>4311</v>
      </c>
      <c r="E772" s="208" t="s">
        <v>29</v>
      </c>
      <c r="F772" s="208" t="s">
        <v>4312</v>
      </c>
      <c r="G772" s="208"/>
      <c r="H772" s="208"/>
      <c r="I772" s="208"/>
      <c r="J772" s="208"/>
      <c r="K772" s="208"/>
      <c r="L772" s="208"/>
      <c r="M772" s="209"/>
      <c r="N772" s="208"/>
      <c r="O772" s="208"/>
      <c r="P772" s="208" t="s">
        <v>107</v>
      </c>
    </row>
    <row r="773" spans="1:16" s="187" customFormat="1" ht="18" customHeight="1">
      <c r="A773" s="187" t="str">
        <f t="shared" si="11"/>
        <v>V10192A</v>
      </c>
      <c r="B773" s="206" t="s">
        <v>1522</v>
      </c>
      <c r="C773" s="206"/>
      <c r="D773" s="206" t="s">
        <v>1521</v>
      </c>
      <c r="E773" s="206" t="s">
        <v>29</v>
      </c>
      <c r="F773" s="206" t="s">
        <v>1523</v>
      </c>
      <c r="G773" s="206" t="s">
        <v>1524</v>
      </c>
      <c r="H773" s="206"/>
      <c r="I773" s="206" t="s">
        <v>1525</v>
      </c>
      <c r="J773" s="206" t="s">
        <v>1526</v>
      </c>
      <c r="K773" s="206" t="s">
        <v>1527</v>
      </c>
      <c r="L773" s="206"/>
      <c r="M773" s="207"/>
      <c r="N773" s="206"/>
      <c r="O773" s="206" t="s">
        <v>260</v>
      </c>
      <c r="P773" s="206" t="s">
        <v>91</v>
      </c>
    </row>
    <row r="774" spans="1:16" s="187" customFormat="1" ht="18" customHeight="1">
      <c r="A774" s="187" t="str">
        <f t="shared" ref="A774:A837" si="12">D774</f>
        <v>V10192B</v>
      </c>
      <c r="B774" s="208" t="s">
        <v>1522</v>
      </c>
      <c r="C774" s="208"/>
      <c r="D774" s="208" t="s">
        <v>1528</v>
      </c>
      <c r="E774" s="208" t="s">
        <v>29</v>
      </c>
      <c r="F774" s="208" t="s">
        <v>1523</v>
      </c>
      <c r="G774" s="208" t="s">
        <v>1524</v>
      </c>
      <c r="H774" s="208"/>
      <c r="I774" s="208" t="s">
        <v>1525</v>
      </c>
      <c r="J774" s="208" t="s">
        <v>1526</v>
      </c>
      <c r="K774" s="208" t="s">
        <v>1527</v>
      </c>
      <c r="L774" s="208"/>
      <c r="M774" s="209"/>
      <c r="N774" s="208"/>
      <c r="O774" s="208" t="s">
        <v>260</v>
      </c>
      <c r="P774" s="208" t="s">
        <v>91</v>
      </c>
    </row>
    <row r="775" spans="1:16" s="187" customFormat="1" ht="18" customHeight="1">
      <c r="A775" s="187" t="str">
        <f t="shared" si="12"/>
        <v>V10192C</v>
      </c>
      <c r="B775" s="206" t="s">
        <v>1522</v>
      </c>
      <c r="C775" s="206"/>
      <c r="D775" s="206" t="s">
        <v>1529</v>
      </c>
      <c r="E775" s="206" t="s">
        <v>29</v>
      </c>
      <c r="F775" s="206" t="s">
        <v>1523</v>
      </c>
      <c r="G775" s="206" t="s">
        <v>1524</v>
      </c>
      <c r="H775" s="206"/>
      <c r="I775" s="206" t="s">
        <v>1525</v>
      </c>
      <c r="J775" s="206" t="s">
        <v>1526</v>
      </c>
      <c r="K775" s="206" t="s">
        <v>1527</v>
      </c>
      <c r="L775" s="206"/>
      <c r="M775" s="207"/>
      <c r="N775" s="206"/>
      <c r="O775" s="206" t="s">
        <v>260</v>
      </c>
      <c r="P775" s="206" t="s">
        <v>91</v>
      </c>
    </row>
    <row r="776" spans="1:16" s="187" customFormat="1" ht="18" customHeight="1">
      <c r="A776" s="187" t="str">
        <f t="shared" si="12"/>
        <v>V10057B</v>
      </c>
      <c r="B776" s="208" t="s">
        <v>1531</v>
      </c>
      <c r="C776" s="208"/>
      <c r="D776" s="208" t="s">
        <v>1535</v>
      </c>
      <c r="E776" s="208" t="s">
        <v>29</v>
      </c>
      <c r="F776" s="208" t="s">
        <v>1532</v>
      </c>
      <c r="G776" s="208" t="s">
        <v>1533</v>
      </c>
      <c r="H776" s="208"/>
      <c r="I776" s="208"/>
      <c r="J776" s="208" t="s">
        <v>5090</v>
      </c>
      <c r="K776" s="208" t="s">
        <v>5089</v>
      </c>
      <c r="L776" s="208"/>
      <c r="M776" s="209"/>
      <c r="N776" s="208"/>
      <c r="O776" s="208" t="s">
        <v>260</v>
      </c>
      <c r="P776" s="208" t="s">
        <v>91</v>
      </c>
    </row>
    <row r="777" spans="1:16" s="187" customFormat="1" ht="18" customHeight="1">
      <c r="A777" s="187" t="str">
        <f t="shared" si="12"/>
        <v>V10057C</v>
      </c>
      <c r="B777" s="206" t="s">
        <v>1531</v>
      </c>
      <c r="C777" s="206"/>
      <c r="D777" s="206" t="s">
        <v>1536</v>
      </c>
      <c r="E777" s="206" t="s">
        <v>29</v>
      </c>
      <c r="F777" s="206" t="s">
        <v>1532</v>
      </c>
      <c r="G777" s="206" t="s">
        <v>1533</v>
      </c>
      <c r="H777" s="206"/>
      <c r="I777" s="206"/>
      <c r="J777" s="206" t="s">
        <v>5090</v>
      </c>
      <c r="K777" s="206" t="s">
        <v>5089</v>
      </c>
      <c r="L777" s="206"/>
      <c r="M777" s="207"/>
      <c r="N777" s="206"/>
      <c r="O777" s="206" t="s">
        <v>260</v>
      </c>
      <c r="P777" s="206" t="s">
        <v>91</v>
      </c>
    </row>
    <row r="778" spans="1:16" s="187" customFormat="1" ht="18" customHeight="1">
      <c r="A778" s="187" t="str">
        <f t="shared" si="12"/>
        <v>V4017C0</v>
      </c>
      <c r="B778" s="208" t="s">
        <v>1531</v>
      </c>
      <c r="C778" s="208"/>
      <c r="D778" s="208" t="s">
        <v>1530</v>
      </c>
      <c r="E778" s="208" t="s">
        <v>29</v>
      </c>
      <c r="F778" s="208" t="s">
        <v>1532</v>
      </c>
      <c r="G778" s="208" t="s">
        <v>1533</v>
      </c>
      <c r="H778" s="208"/>
      <c r="I778" s="208"/>
      <c r="J778" s="208" t="s">
        <v>5090</v>
      </c>
      <c r="K778" s="208" t="s">
        <v>5089</v>
      </c>
      <c r="L778" s="208"/>
      <c r="M778" s="209"/>
      <c r="N778" s="208"/>
      <c r="O778" s="208" t="s">
        <v>131</v>
      </c>
      <c r="P778" s="208" t="s">
        <v>107</v>
      </c>
    </row>
    <row r="779" spans="1:16" s="187" customFormat="1" ht="18" customHeight="1">
      <c r="A779" s="187" t="str">
        <f t="shared" si="12"/>
        <v>V10057A</v>
      </c>
      <c r="B779" s="206" t="s">
        <v>1531</v>
      </c>
      <c r="C779" s="206"/>
      <c r="D779" s="206" t="s">
        <v>1534</v>
      </c>
      <c r="E779" s="206" t="s">
        <v>29</v>
      </c>
      <c r="F779" s="206" t="s">
        <v>1532</v>
      </c>
      <c r="G779" s="206" t="s">
        <v>1533</v>
      </c>
      <c r="H779" s="206"/>
      <c r="I779" s="206"/>
      <c r="J779" s="206" t="s">
        <v>5090</v>
      </c>
      <c r="K779" s="206" t="s">
        <v>5089</v>
      </c>
      <c r="L779" s="206"/>
      <c r="M779" s="207"/>
      <c r="N779" s="206"/>
      <c r="O779" s="206" t="s">
        <v>260</v>
      </c>
      <c r="P779" s="206" t="s">
        <v>91</v>
      </c>
    </row>
    <row r="780" spans="1:16" s="187" customFormat="1" ht="18" customHeight="1">
      <c r="A780" s="187" t="str">
        <f t="shared" si="12"/>
        <v>V4018C0</v>
      </c>
      <c r="B780" s="208" t="s">
        <v>1538</v>
      </c>
      <c r="C780" s="208"/>
      <c r="D780" s="208" t="s">
        <v>1537</v>
      </c>
      <c r="E780" s="208" t="s">
        <v>29</v>
      </c>
      <c r="F780" s="208" t="s">
        <v>1539</v>
      </c>
      <c r="G780" s="208" t="s">
        <v>1540</v>
      </c>
      <c r="H780" s="208"/>
      <c r="I780" s="208" t="s">
        <v>1541</v>
      </c>
      <c r="J780" s="208" t="s">
        <v>1542</v>
      </c>
      <c r="K780" s="208" t="s">
        <v>1543</v>
      </c>
      <c r="L780" s="208"/>
      <c r="M780" s="209"/>
      <c r="N780" s="208"/>
      <c r="O780" s="208" t="s">
        <v>131</v>
      </c>
      <c r="P780" s="208" t="s">
        <v>107</v>
      </c>
    </row>
    <row r="781" spans="1:16" s="187" customFormat="1" ht="18" customHeight="1">
      <c r="A781" s="187" t="str">
        <f t="shared" si="12"/>
        <v>CG480006C0</v>
      </c>
      <c r="B781" s="206" t="s">
        <v>6338</v>
      </c>
      <c r="C781" s="206"/>
      <c r="D781" s="206" t="s">
        <v>6339</v>
      </c>
      <c r="E781" s="206" t="s">
        <v>29</v>
      </c>
      <c r="F781" s="206" t="s">
        <v>5203</v>
      </c>
      <c r="G781" s="206" t="s">
        <v>6340</v>
      </c>
      <c r="H781" s="206"/>
      <c r="I781" s="206"/>
      <c r="J781" s="206"/>
      <c r="K781" s="206"/>
      <c r="L781" s="206"/>
      <c r="M781" s="207"/>
      <c r="N781" s="206"/>
      <c r="O781" s="206"/>
      <c r="P781" s="206" t="s">
        <v>100</v>
      </c>
    </row>
    <row r="782" spans="1:16" s="187" customFormat="1" ht="18" customHeight="1">
      <c r="A782" s="187" t="str">
        <f t="shared" si="12"/>
        <v>V10376C</v>
      </c>
      <c r="B782" s="208" t="s">
        <v>6338</v>
      </c>
      <c r="C782" s="208"/>
      <c r="D782" s="208" t="s">
        <v>5202</v>
      </c>
      <c r="E782" s="208" t="s">
        <v>29</v>
      </c>
      <c r="F782" s="208" t="s">
        <v>5203</v>
      </c>
      <c r="G782" s="208"/>
      <c r="H782" s="208"/>
      <c r="I782" s="208"/>
      <c r="J782" s="208" t="s">
        <v>5100</v>
      </c>
      <c r="K782" s="208" t="s">
        <v>5204</v>
      </c>
      <c r="L782" s="208"/>
      <c r="M782" s="209"/>
      <c r="N782" s="208"/>
      <c r="O782" s="208"/>
      <c r="P782" s="208" t="s">
        <v>91</v>
      </c>
    </row>
    <row r="783" spans="1:16" s="187" customFormat="1" ht="18" customHeight="1">
      <c r="A783" s="187" t="str">
        <f t="shared" si="12"/>
        <v>V4019C0</v>
      </c>
      <c r="B783" s="206" t="s">
        <v>1545</v>
      </c>
      <c r="C783" s="206"/>
      <c r="D783" s="206" t="s">
        <v>1544</v>
      </c>
      <c r="E783" s="206" t="s">
        <v>29</v>
      </c>
      <c r="F783" s="206" t="s">
        <v>1546</v>
      </c>
      <c r="G783" s="206" t="s">
        <v>1547</v>
      </c>
      <c r="H783" s="206"/>
      <c r="I783" s="206" t="s">
        <v>1548</v>
      </c>
      <c r="J783" s="206" t="s">
        <v>1549</v>
      </c>
      <c r="K783" s="206" t="s">
        <v>1550</v>
      </c>
      <c r="L783" s="206"/>
      <c r="M783" s="207"/>
      <c r="N783" s="206"/>
      <c r="O783" s="206" t="s">
        <v>131</v>
      </c>
      <c r="P783" s="206" t="s">
        <v>107</v>
      </c>
    </row>
    <row r="784" spans="1:16" s="187" customFormat="1" ht="18" customHeight="1">
      <c r="A784" s="187" t="str">
        <f t="shared" si="12"/>
        <v>V4020C0</v>
      </c>
      <c r="B784" s="208" t="s">
        <v>1552</v>
      </c>
      <c r="C784" s="208"/>
      <c r="D784" s="208" t="s">
        <v>1551</v>
      </c>
      <c r="E784" s="208" t="s">
        <v>29</v>
      </c>
      <c r="F784" s="208" t="s">
        <v>6341</v>
      </c>
      <c r="G784" s="208" t="s">
        <v>1553</v>
      </c>
      <c r="H784" s="208"/>
      <c r="I784" s="208" t="s">
        <v>1554</v>
      </c>
      <c r="J784" s="208" t="s">
        <v>1555</v>
      </c>
      <c r="K784" s="208" t="s">
        <v>1556</v>
      </c>
      <c r="L784" s="208"/>
      <c r="M784" s="209"/>
      <c r="N784" s="208"/>
      <c r="O784" s="208" t="s">
        <v>131</v>
      </c>
      <c r="P784" s="208" t="s">
        <v>107</v>
      </c>
    </row>
    <row r="785" spans="1:16" s="187" customFormat="1" ht="18" customHeight="1">
      <c r="A785" s="187" t="str">
        <f t="shared" si="12"/>
        <v>V10045A</v>
      </c>
      <c r="B785" s="206" t="s">
        <v>1558</v>
      </c>
      <c r="C785" s="206"/>
      <c r="D785" s="206" t="s">
        <v>1557</v>
      </c>
      <c r="E785" s="206" t="s">
        <v>29</v>
      </c>
      <c r="F785" s="206" t="s">
        <v>1559</v>
      </c>
      <c r="G785" s="206" t="s">
        <v>1560</v>
      </c>
      <c r="H785" s="206"/>
      <c r="I785" s="206"/>
      <c r="J785" s="206" t="s">
        <v>5183</v>
      </c>
      <c r="K785" s="206" t="s">
        <v>1561</v>
      </c>
      <c r="L785" s="206"/>
      <c r="M785" s="207"/>
      <c r="N785" s="206"/>
      <c r="O785" s="206" t="s">
        <v>260</v>
      </c>
      <c r="P785" s="206" t="s">
        <v>91</v>
      </c>
    </row>
    <row r="786" spans="1:16" s="187" customFormat="1" ht="18" customHeight="1">
      <c r="A786" s="187" t="str">
        <f t="shared" si="12"/>
        <v>V10045B</v>
      </c>
      <c r="B786" s="208" t="s">
        <v>1558</v>
      </c>
      <c r="C786" s="208"/>
      <c r="D786" s="208" t="s">
        <v>1562</v>
      </c>
      <c r="E786" s="208" t="s">
        <v>29</v>
      </c>
      <c r="F786" s="208" t="s">
        <v>1559</v>
      </c>
      <c r="G786" s="208" t="s">
        <v>1560</v>
      </c>
      <c r="H786" s="208"/>
      <c r="I786" s="208"/>
      <c r="J786" s="208" t="s">
        <v>5183</v>
      </c>
      <c r="K786" s="208" t="s">
        <v>1561</v>
      </c>
      <c r="L786" s="208"/>
      <c r="M786" s="209"/>
      <c r="N786" s="208"/>
      <c r="O786" s="208" t="s">
        <v>260</v>
      </c>
      <c r="P786" s="208" t="s">
        <v>91</v>
      </c>
    </row>
    <row r="787" spans="1:16" s="187" customFormat="1" ht="18" customHeight="1">
      <c r="A787" s="187" t="str">
        <f t="shared" si="12"/>
        <v>V10045C</v>
      </c>
      <c r="B787" s="206" t="s">
        <v>1558</v>
      </c>
      <c r="C787" s="206"/>
      <c r="D787" s="206" t="s">
        <v>1563</v>
      </c>
      <c r="E787" s="206" t="s">
        <v>29</v>
      </c>
      <c r="F787" s="206" t="s">
        <v>1559</v>
      </c>
      <c r="G787" s="206" t="s">
        <v>1560</v>
      </c>
      <c r="H787" s="206"/>
      <c r="I787" s="206"/>
      <c r="J787" s="206" t="s">
        <v>5183</v>
      </c>
      <c r="K787" s="206" t="s">
        <v>1561</v>
      </c>
      <c r="L787" s="206"/>
      <c r="M787" s="207"/>
      <c r="N787" s="206"/>
      <c r="O787" s="206" t="s">
        <v>260</v>
      </c>
      <c r="P787" s="206" t="s">
        <v>91</v>
      </c>
    </row>
    <row r="788" spans="1:16" s="187" customFormat="1" ht="18" customHeight="1">
      <c r="A788" s="187" t="str">
        <f t="shared" si="12"/>
        <v>V10024A</v>
      </c>
      <c r="B788" s="208" t="s">
        <v>1565</v>
      </c>
      <c r="C788" s="208"/>
      <c r="D788" s="208" t="s">
        <v>1564</v>
      </c>
      <c r="E788" s="208" t="s">
        <v>29</v>
      </c>
      <c r="F788" s="208" t="s">
        <v>5184</v>
      </c>
      <c r="G788" s="208" t="s">
        <v>5185</v>
      </c>
      <c r="H788" s="208"/>
      <c r="I788" s="208"/>
      <c r="J788" s="208" t="s">
        <v>664</v>
      </c>
      <c r="K788" s="208" t="s">
        <v>1566</v>
      </c>
      <c r="L788" s="208"/>
      <c r="M788" s="209"/>
      <c r="N788" s="208"/>
      <c r="O788" s="208" t="s">
        <v>260</v>
      </c>
      <c r="P788" s="208" t="s">
        <v>91</v>
      </c>
    </row>
    <row r="789" spans="1:16" s="187" customFormat="1" ht="18" customHeight="1">
      <c r="A789" s="187" t="str">
        <f t="shared" si="12"/>
        <v>V10024B</v>
      </c>
      <c r="B789" s="206" t="s">
        <v>1565</v>
      </c>
      <c r="C789" s="206"/>
      <c r="D789" s="206" t="s">
        <v>1567</v>
      </c>
      <c r="E789" s="206" t="s">
        <v>29</v>
      </c>
      <c r="F789" s="206" t="s">
        <v>5184</v>
      </c>
      <c r="G789" s="206" t="s">
        <v>5185</v>
      </c>
      <c r="H789" s="206"/>
      <c r="I789" s="206"/>
      <c r="J789" s="206" t="s">
        <v>664</v>
      </c>
      <c r="K789" s="206" t="s">
        <v>1566</v>
      </c>
      <c r="L789" s="206"/>
      <c r="M789" s="207"/>
      <c r="N789" s="206"/>
      <c r="O789" s="206" t="s">
        <v>260</v>
      </c>
      <c r="P789" s="206" t="s">
        <v>91</v>
      </c>
    </row>
    <row r="790" spans="1:16" s="187" customFormat="1" ht="18" customHeight="1">
      <c r="A790" s="187" t="str">
        <f t="shared" si="12"/>
        <v>V10024C</v>
      </c>
      <c r="B790" s="208" t="s">
        <v>1565</v>
      </c>
      <c r="C790" s="208"/>
      <c r="D790" s="208" t="s">
        <v>1568</v>
      </c>
      <c r="E790" s="208" t="s">
        <v>29</v>
      </c>
      <c r="F790" s="208" t="s">
        <v>5184</v>
      </c>
      <c r="G790" s="208" t="s">
        <v>5185</v>
      </c>
      <c r="H790" s="208"/>
      <c r="I790" s="208"/>
      <c r="J790" s="208" t="s">
        <v>664</v>
      </c>
      <c r="K790" s="208" t="s">
        <v>1569</v>
      </c>
      <c r="L790" s="208"/>
      <c r="M790" s="209"/>
      <c r="N790" s="208"/>
      <c r="O790" s="208" t="s">
        <v>260</v>
      </c>
      <c r="P790" s="208" t="s">
        <v>91</v>
      </c>
    </row>
    <row r="791" spans="1:16" s="187" customFormat="1" ht="18" customHeight="1">
      <c r="A791" s="187" t="str">
        <f t="shared" si="12"/>
        <v>V10547C</v>
      </c>
      <c r="B791" s="206" t="s">
        <v>6342</v>
      </c>
      <c r="C791" s="206"/>
      <c r="D791" s="206" t="s">
        <v>6343</v>
      </c>
      <c r="E791" s="206" t="s">
        <v>29</v>
      </c>
      <c r="F791" s="206" t="s">
        <v>6344</v>
      </c>
      <c r="G791" s="206"/>
      <c r="H791" s="206"/>
      <c r="I791" s="206"/>
      <c r="J791" s="206" t="s">
        <v>6345</v>
      </c>
      <c r="K791" s="206" t="s">
        <v>6346</v>
      </c>
      <c r="L791" s="206"/>
      <c r="M791" s="207"/>
      <c r="N791" s="206"/>
      <c r="O791" s="206"/>
      <c r="P791" s="206" t="s">
        <v>91</v>
      </c>
    </row>
    <row r="792" spans="1:16" s="187" customFormat="1" ht="18" customHeight="1">
      <c r="A792" s="187" t="str">
        <f t="shared" si="12"/>
        <v>V10273B</v>
      </c>
      <c r="B792" s="208" t="s">
        <v>1571</v>
      </c>
      <c r="C792" s="208"/>
      <c r="D792" s="208" t="s">
        <v>1570</v>
      </c>
      <c r="E792" s="208" t="s">
        <v>151</v>
      </c>
      <c r="F792" s="208" t="s">
        <v>4313</v>
      </c>
      <c r="G792" s="208"/>
      <c r="H792" s="208"/>
      <c r="I792" s="208"/>
      <c r="J792" s="208"/>
      <c r="K792" s="208"/>
      <c r="L792" s="208"/>
      <c r="M792" s="209"/>
      <c r="N792" s="208"/>
      <c r="O792" s="208"/>
      <c r="P792" s="208" t="s">
        <v>91</v>
      </c>
    </row>
    <row r="793" spans="1:16" s="187" customFormat="1" ht="18" customHeight="1">
      <c r="A793" s="187" t="str">
        <f t="shared" si="12"/>
        <v>V10273C</v>
      </c>
      <c r="B793" s="206" t="s">
        <v>1571</v>
      </c>
      <c r="C793" s="206"/>
      <c r="D793" s="206" t="s">
        <v>1576</v>
      </c>
      <c r="E793" s="206" t="s">
        <v>29</v>
      </c>
      <c r="F793" s="206" t="s">
        <v>1572</v>
      </c>
      <c r="G793" s="206" t="s">
        <v>1573</v>
      </c>
      <c r="H793" s="206"/>
      <c r="I793" s="206"/>
      <c r="J793" s="206" t="s">
        <v>1574</v>
      </c>
      <c r="K793" s="206" t="s">
        <v>1575</v>
      </c>
      <c r="L793" s="206"/>
      <c r="M793" s="207"/>
      <c r="N793" s="206"/>
      <c r="O793" s="206"/>
      <c r="P793" s="206" t="s">
        <v>91</v>
      </c>
    </row>
    <row r="794" spans="1:16" s="187" customFormat="1" ht="18" customHeight="1">
      <c r="A794" s="187" t="str">
        <f t="shared" si="12"/>
        <v>V10443C</v>
      </c>
      <c r="B794" s="208" t="s">
        <v>5847</v>
      </c>
      <c r="C794" s="208"/>
      <c r="D794" s="208" t="s">
        <v>5848</v>
      </c>
      <c r="E794" s="208" t="s">
        <v>29</v>
      </c>
      <c r="F794" s="208" t="s">
        <v>5849</v>
      </c>
      <c r="G794" s="208"/>
      <c r="H794" s="208"/>
      <c r="I794" s="208"/>
      <c r="J794" s="208" t="s">
        <v>5850</v>
      </c>
      <c r="K794" s="208" t="s">
        <v>5851</v>
      </c>
      <c r="L794" s="208"/>
      <c r="M794" s="209"/>
      <c r="N794" s="208"/>
      <c r="O794" s="208"/>
      <c r="P794" s="208" t="s">
        <v>91</v>
      </c>
    </row>
    <row r="795" spans="1:16" s="187" customFormat="1" ht="18" customHeight="1">
      <c r="A795" s="187" t="str">
        <f t="shared" si="12"/>
        <v>V10235A</v>
      </c>
      <c r="B795" s="206" t="s">
        <v>1586</v>
      </c>
      <c r="C795" s="206"/>
      <c r="D795" s="206" t="s">
        <v>1585</v>
      </c>
      <c r="E795" s="206" t="s">
        <v>29</v>
      </c>
      <c r="F795" s="206" t="s">
        <v>1587</v>
      </c>
      <c r="G795" s="206"/>
      <c r="H795" s="206"/>
      <c r="I795" s="206" t="s">
        <v>1588</v>
      </c>
      <c r="J795" s="206" t="s">
        <v>1589</v>
      </c>
      <c r="K795" s="206" t="s">
        <v>1590</v>
      </c>
      <c r="L795" s="206"/>
      <c r="M795" s="207"/>
      <c r="N795" s="206"/>
      <c r="O795" s="206" t="s">
        <v>260</v>
      </c>
      <c r="P795" s="206" t="s">
        <v>91</v>
      </c>
    </row>
    <row r="796" spans="1:16" s="187" customFormat="1" ht="18" customHeight="1">
      <c r="A796" s="187" t="str">
        <f t="shared" si="12"/>
        <v>V10235B</v>
      </c>
      <c r="B796" s="208" t="s">
        <v>1586</v>
      </c>
      <c r="C796" s="208"/>
      <c r="D796" s="208" t="s">
        <v>1591</v>
      </c>
      <c r="E796" s="208" t="s">
        <v>29</v>
      </c>
      <c r="F796" s="208" t="s">
        <v>1587</v>
      </c>
      <c r="G796" s="208"/>
      <c r="H796" s="208"/>
      <c r="I796" s="208" t="s">
        <v>1588</v>
      </c>
      <c r="J796" s="208" t="s">
        <v>1589</v>
      </c>
      <c r="K796" s="208" t="s">
        <v>1590</v>
      </c>
      <c r="L796" s="208"/>
      <c r="M796" s="209"/>
      <c r="N796" s="208"/>
      <c r="O796" s="208" t="s">
        <v>260</v>
      </c>
      <c r="P796" s="208" t="s">
        <v>91</v>
      </c>
    </row>
    <row r="797" spans="1:16" s="187" customFormat="1" ht="18" customHeight="1">
      <c r="A797" s="187" t="str">
        <f t="shared" si="12"/>
        <v>V10235C</v>
      </c>
      <c r="B797" s="206" t="s">
        <v>1586</v>
      </c>
      <c r="C797" s="206"/>
      <c r="D797" s="206" t="s">
        <v>1592</v>
      </c>
      <c r="E797" s="206" t="s">
        <v>29</v>
      </c>
      <c r="F797" s="206" t="s">
        <v>1587</v>
      </c>
      <c r="G797" s="206"/>
      <c r="H797" s="206"/>
      <c r="I797" s="206" t="s">
        <v>1588</v>
      </c>
      <c r="J797" s="206" t="s">
        <v>1589</v>
      </c>
      <c r="K797" s="206" t="s">
        <v>1590</v>
      </c>
      <c r="L797" s="206"/>
      <c r="M797" s="207"/>
      <c r="N797" s="206"/>
      <c r="O797" s="206" t="s">
        <v>260</v>
      </c>
      <c r="P797" s="206" t="s">
        <v>91</v>
      </c>
    </row>
    <row r="798" spans="1:16" s="187" customFormat="1" ht="18" customHeight="1">
      <c r="A798" s="187" t="str">
        <f t="shared" si="12"/>
        <v>V10288C</v>
      </c>
      <c r="B798" s="208" t="s">
        <v>4314</v>
      </c>
      <c r="C798" s="208"/>
      <c r="D798" s="208" t="s">
        <v>1593</v>
      </c>
      <c r="E798" s="208" t="s">
        <v>29</v>
      </c>
      <c r="F798" s="208" t="s">
        <v>6347</v>
      </c>
      <c r="G798" s="208"/>
      <c r="H798" s="208"/>
      <c r="I798" s="208"/>
      <c r="J798" s="208" t="s">
        <v>5186</v>
      </c>
      <c r="K798" s="208" t="s">
        <v>5187</v>
      </c>
      <c r="L798" s="208"/>
      <c r="M798" s="209"/>
      <c r="N798" s="208"/>
      <c r="O798" s="208"/>
      <c r="P798" s="208" t="s">
        <v>91</v>
      </c>
    </row>
    <row r="799" spans="1:16" s="187" customFormat="1" ht="18" customHeight="1">
      <c r="A799" s="187" t="str">
        <f t="shared" si="12"/>
        <v>V10401C</v>
      </c>
      <c r="B799" s="206" t="s">
        <v>5438</v>
      </c>
      <c r="C799" s="206"/>
      <c r="D799" s="206" t="s">
        <v>5439</v>
      </c>
      <c r="E799" s="206" t="s">
        <v>29</v>
      </c>
      <c r="F799" s="206" t="s">
        <v>5440</v>
      </c>
      <c r="G799" s="206"/>
      <c r="H799" s="206"/>
      <c r="I799" s="206"/>
      <c r="J799" s="206" t="s">
        <v>5441</v>
      </c>
      <c r="K799" s="206" t="s">
        <v>5442</v>
      </c>
      <c r="L799" s="206"/>
      <c r="M799" s="207"/>
      <c r="N799" s="206"/>
      <c r="O799" s="206"/>
      <c r="P799" s="206" t="s">
        <v>91</v>
      </c>
    </row>
    <row r="800" spans="1:16" s="187" customFormat="1" ht="18" customHeight="1">
      <c r="A800" s="187" t="str">
        <f t="shared" si="12"/>
        <v>V10401B</v>
      </c>
      <c r="B800" s="208" t="s">
        <v>5438</v>
      </c>
      <c r="C800" s="208"/>
      <c r="D800" s="208" t="s">
        <v>5443</v>
      </c>
      <c r="E800" s="208" t="s">
        <v>29</v>
      </c>
      <c r="F800" s="208" t="s">
        <v>5444</v>
      </c>
      <c r="G800" s="208" t="s">
        <v>5445</v>
      </c>
      <c r="H800" s="208"/>
      <c r="I800" s="208" t="s">
        <v>5446</v>
      </c>
      <c r="J800" s="208" t="s">
        <v>5447</v>
      </c>
      <c r="K800" s="208" t="s">
        <v>5442</v>
      </c>
      <c r="L800" s="208"/>
      <c r="M800" s="209"/>
      <c r="N800" s="208"/>
      <c r="O800" s="208"/>
      <c r="P800" s="208" t="s">
        <v>91</v>
      </c>
    </row>
    <row r="801" spans="1:16" s="187" customFormat="1" ht="18" customHeight="1">
      <c r="A801" s="187" t="str">
        <f t="shared" si="12"/>
        <v>V10159A</v>
      </c>
      <c r="B801" s="206" t="s">
        <v>1595</v>
      </c>
      <c r="C801" s="206"/>
      <c r="D801" s="206" t="s">
        <v>1594</v>
      </c>
      <c r="E801" s="206" t="s">
        <v>29</v>
      </c>
      <c r="F801" s="206" t="s">
        <v>1596</v>
      </c>
      <c r="G801" s="206" t="s">
        <v>1597</v>
      </c>
      <c r="H801" s="206"/>
      <c r="I801" s="206" t="s">
        <v>1598</v>
      </c>
      <c r="J801" s="206" t="s">
        <v>1599</v>
      </c>
      <c r="K801" s="206" t="s">
        <v>1600</v>
      </c>
      <c r="L801" s="206"/>
      <c r="M801" s="207"/>
      <c r="N801" s="206"/>
      <c r="O801" s="206" t="s">
        <v>260</v>
      </c>
      <c r="P801" s="206" t="s">
        <v>91</v>
      </c>
    </row>
    <row r="802" spans="1:16" s="187" customFormat="1" ht="18" customHeight="1">
      <c r="A802" s="187" t="str">
        <f t="shared" si="12"/>
        <v>V10159B</v>
      </c>
      <c r="B802" s="208" t="s">
        <v>1595</v>
      </c>
      <c r="C802" s="208"/>
      <c r="D802" s="208" t="s">
        <v>1601</v>
      </c>
      <c r="E802" s="208" t="s">
        <v>29</v>
      </c>
      <c r="F802" s="208" t="s">
        <v>1596</v>
      </c>
      <c r="G802" s="208" t="s">
        <v>1597</v>
      </c>
      <c r="H802" s="208"/>
      <c r="I802" s="208" t="s">
        <v>1598</v>
      </c>
      <c r="J802" s="208" t="s">
        <v>1599</v>
      </c>
      <c r="K802" s="208" t="s">
        <v>1600</v>
      </c>
      <c r="L802" s="208"/>
      <c r="M802" s="209"/>
      <c r="N802" s="208"/>
      <c r="O802" s="208" t="s">
        <v>260</v>
      </c>
      <c r="P802" s="208" t="s">
        <v>91</v>
      </c>
    </row>
    <row r="803" spans="1:16" s="187" customFormat="1" ht="18" customHeight="1">
      <c r="A803" s="187" t="str">
        <f t="shared" si="12"/>
        <v>V10159C</v>
      </c>
      <c r="B803" s="206" t="s">
        <v>1595</v>
      </c>
      <c r="C803" s="206"/>
      <c r="D803" s="206" t="s">
        <v>1602</v>
      </c>
      <c r="E803" s="206" t="s">
        <v>29</v>
      </c>
      <c r="F803" s="206" t="s">
        <v>1596</v>
      </c>
      <c r="G803" s="206" t="s">
        <v>1597</v>
      </c>
      <c r="H803" s="206"/>
      <c r="I803" s="206" t="s">
        <v>1598</v>
      </c>
      <c r="J803" s="206" t="s">
        <v>1599</v>
      </c>
      <c r="K803" s="206" t="s">
        <v>1600</v>
      </c>
      <c r="L803" s="206"/>
      <c r="M803" s="207"/>
      <c r="N803" s="206"/>
      <c r="O803" s="206" t="s">
        <v>260</v>
      </c>
      <c r="P803" s="206" t="s">
        <v>91</v>
      </c>
    </row>
    <row r="804" spans="1:16" s="187" customFormat="1" ht="18" customHeight="1">
      <c r="A804" s="187" t="str">
        <f t="shared" si="12"/>
        <v>V4021C0</v>
      </c>
      <c r="B804" s="208" t="s">
        <v>1604</v>
      </c>
      <c r="C804" s="208"/>
      <c r="D804" s="208" t="s">
        <v>1603</v>
      </c>
      <c r="E804" s="208" t="s">
        <v>29</v>
      </c>
      <c r="F804" s="208" t="s">
        <v>1605</v>
      </c>
      <c r="G804" s="208" t="s">
        <v>1606</v>
      </c>
      <c r="H804" s="208"/>
      <c r="I804" s="208" t="s">
        <v>1607</v>
      </c>
      <c r="J804" s="208" t="s">
        <v>1608</v>
      </c>
      <c r="K804" s="208" t="s">
        <v>1609</v>
      </c>
      <c r="L804" s="208"/>
      <c r="M804" s="209"/>
      <c r="N804" s="208"/>
      <c r="O804" s="208" t="s">
        <v>131</v>
      </c>
      <c r="P804" s="208" t="s">
        <v>107</v>
      </c>
    </row>
    <row r="805" spans="1:16" s="187" customFormat="1" ht="18" customHeight="1">
      <c r="A805" s="187" t="str">
        <f t="shared" si="12"/>
        <v>V10303C</v>
      </c>
      <c r="B805" s="206" t="s">
        <v>1611</v>
      </c>
      <c r="C805" s="206"/>
      <c r="D805" s="206" t="s">
        <v>1610</v>
      </c>
      <c r="E805" s="206" t="s">
        <v>151</v>
      </c>
      <c r="F805" s="206" t="s">
        <v>4315</v>
      </c>
      <c r="G805" s="206"/>
      <c r="H805" s="206"/>
      <c r="I805" s="206"/>
      <c r="J805" s="206"/>
      <c r="K805" s="206"/>
      <c r="L805" s="206"/>
      <c r="M805" s="207"/>
      <c r="N805" s="206"/>
      <c r="O805" s="206"/>
      <c r="P805" s="206" t="s">
        <v>91</v>
      </c>
    </row>
    <row r="806" spans="1:16" s="187" customFormat="1" ht="18" customHeight="1">
      <c r="A806" s="187" t="str">
        <f t="shared" si="12"/>
        <v>V10383C</v>
      </c>
      <c r="B806" s="208" t="s">
        <v>5188</v>
      </c>
      <c r="C806" s="208"/>
      <c r="D806" s="208" t="s">
        <v>5189</v>
      </c>
      <c r="E806" s="208" t="s">
        <v>29</v>
      </c>
      <c r="F806" s="208" t="s">
        <v>5190</v>
      </c>
      <c r="G806" s="208"/>
      <c r="H806" s="208"/>
      <c r="I806" s="208" t="s">
        <v>5191</v>
      </c>
      <c r="J806" s="208" t="s">
        <v>5192</v>
      </c>
      <c r="K806" s="208" t="s">
        <v>5193</v>
      </c>
      <c r="L806" s="208"/>
      <c r="M806" s="209"/>
      <c r="N806" s="208"/>
      <c r="O806" s="208"/>
      <c r="P806" s="208" t="s">
        <v>91</v>
      </c>
    </row>
    <row r="807" spans="1:16" s="187" customFormat="1" ht="18" customHeight="1">
      <c r="A807" s="187" t="str">
        <f t="shared" si="12"/>
        <v>V10052A</v>
      </c>
      <c r="B807" s="206" t="s">
        <v>1613</v>
      </c>
      <c r="C807" s="206"/>
      <c r="D807" s="206" t="s">
        <v>1612</v>
      </c>
      <c r="E807" s="206" t="s">
        <v>29</v>
      </c>
      <c r="F807" s="206" t="s">
        <v>5088</v>
      </c>
      <c r="G807" s="206" t="s">
        <v>1614</v>
      </c>
      <c r="H807" s="206"/>
      <c r="I807" s="206" t="s">
        <v>1615</v>
      </c>
      <c r="J807" s="206" t="s">
        <v>5087</v>
      </c>
      <c r="K807" s="206" t="s">
        <v>1616</v>
      </c>
      <c r="L807" s="206"/>
      <c r="M807" s="207"/>
      <c r="N807" s="206"/>
      <c r="O807" s="206" t="s">
        <v>260</v>
      </c>
      <c r="P807" s="206" t="s">
        <v>91</v>
      </c>
    </row>
    <row r="808" spans="1:16" s="187" customFormat="1" ht="18" customHeight="1">
      <c r="A808" s="187" t="str">
        <f t="shared" si="12"/>
        <v>V10052B</v>
      </c>
      <c r="B808" s="208" t="s">
        <v>1613</v>
      </c>
      <c r="C808" s="208"/>
      <c r="D808" s="208" t="s">
        <v>1617</v>
      </c>
      <c r="E808" s="208" t="s">
        <v>29</v>
      </c>
      <c r="F808" s="208" t="s">
        <v>5088</v>
      </c>
      <c r="G808" s="208" t="s">
        <v>1614</v>
      </c>
      <c r="H808" s="208"/>
      <c r="I808" s="208" t="s">
        <v>1615</v>
      </c>
      <c r="J808" s="208" t="s">
        <v>5087</v>
      </c>
      <c r="K808" s="208" t="s">
        <v>1616</v>
      </c>
      <c r="L808" s="208"/>
      <c r="M808" s="209"/>
      <c r="N808" s="208"/>
      <c r="O808" s="208" t="s">
        <v>260</v>
      </c>
      <c r="P808" s="208" t="s">
        <v>91</v>
      </c>
    </row>
    <row r="809" spans="1:16" s="187" customFormat="1" ht="18" customHeight="1">
      <c r="A809" s="187" t="str">
        <f t="shared" si="12"/>
        <v>V10052C</v>
      </c>
      <c r="B809" s="206" t="s">
        <v>1613</v>
      </c>
      <c r="C809" s="206"/>
      <c r="D809" s="206" t="s">
        <v>1618</v>
      </c>
      <c r="E809" s="206" t="s">
        <v>29</v>
      </c>
      <c r="F809" s="206" t="s">
        <v>5088</v>
      </c>
      <c r="G809" s="206" t="s">
        <v>1614</v>
      </c>
      <c r="H809" s="206"/>
      <c r="I809" s="206" t="s">
        <v>1615</v>
      </c>
      <c r="J809" s="206" t="s">
        <v>5087</v>
      </c>
      <c r="K809" s="206" t="s">
        <v>1616</v>
      </c>
      <c r="L809" s="206"/>
      <c r="M809" s="207"/>
      <c r="N809" s="206"/>
      <c r="O809" s="206" t="s">
        <v>260</v>
      </c>
      <c r="P809" s="206" t="s">
        <v>91</v>
      </c>
    </row>
    <row r="810" spans="1:16" s="187" customFormat="1" ht="18" customHeight="1">
      <c r="A810" s="187" t="str">
        <f t="shared" si="12"/>
        <v>V10112A</v>
      </c>
      <c r="B810" s="208" t="s">
        <v>1620</v>
      </c>
      <c r="C810" s="208"/>
      <c r="D810" s="208" t="s">
        <v>1619</v>
      </c>
      <c r="E810" s="208" t="s">
        <v>29</v>
      </c>
      <c r="F810" s="208" t="s">
        <v>1621</v>
      </c>
      <c r="G810" s="208" t="s">
        <v>1622</v>
      </c>
      <c r="H810" s="208"/>
      <c r="I810" s="208" t="s">
        <v>1623</v>
      </c>
      <c r="J810" s="208" t="s">
        <v>1624</v>
      </c>
      <c r="K810" s="208" t="s">
        <v>1625</v>
      </c>
      <c r="L810" s="208"/>
      <c r="M810" s="209"/>
      <c r="N810" s="208"/>
      <c r="O810" s="208" t="s">
        <v>260</v>
      </c>
      <c r="P810" s="208" t="s">
        <v>91</v>
      </c>
    </row>
    <row r="811" spans="1:16" s="187" customFormat="1" ht="18" customHeight="1">
      <c r="A811" s="187" t="str">
        <f t="shared" si="12"/>
        <v>V10112B</v>
      </c>
      <c r="B811" s="206" t="s">
        <v>1620</v>
      </c>
      <c r="C811" s="206"/>
      <c r="D811" s="206" t="s">
        <v>1626</v>
      </c>
      <c r="E811" s="206" t="s">
        <v>29</v>
      </c>
      <c r="F811" s="206" t="s">
        <v>1621</v>
      </c>
      <c r="G811" s="206" t="s">
        <v>1622</v>
      </c>
      <c r="H811" s="206"/>
      <c r="I811" s="206" t="s">
        <v>1623</v>
      </c>
      <c r="J811" s="206" t="s">
        <v>1624</v>
      </c>
      <c r="K811" s="206" t="s">
        <v>1625</v>
      </c>
      <c r="L811" s="206"/>
      <c r="M811" s="207"/>
      <c r="N811" s="206"/>
      <c r="O811" s="206" t="s">
        <v>260</v>
      </c>
      <c r="P811" s="206" t="s">
        <v>91</v>
      </c>
    </row>
    <row r="812" spans="1:16" s="187" customFormat="1" ht="18" customHeight="1">
      <c r="A812" s="187" t="str">
        <f t="shared" si="12"/>
        <v>V10112C</v>
      </c>
      <c r="B812" s="208" t="s">
        <v>1620</v>
      </c>
      <c r="C812" s="208"/>
      <c r="D812" s="208" t="s">
        <v>1627</v>
      </c>
      <c r="E812" s="208" t="s">
        <v>29</v>
      </c>
      <c r="F812" s="208" t="s">
        <v>1621</v>
      </c>
      <c r="G812" s="208" t="s">
        <v>1622</v>
      </c>
      <c r="H812" s="208"/>
      <c r="I812" s="208" t="s">
        <v>1623</v>
      </c>
      <c r="J812" s="208" t="s">
        <v>1624</v>
      </c>
      <c r="K812" s="208" t="s">
        <v>1625</v>
      </c>
      <c r="L812" s="208"/>
      <c r="M812" s="209"/>
      <c r="N812" s="208"/>
      <c r="O812" s="208" t="s">
        <v>260</v>
      </c>
      <c r="P812" s="208" t="s">
        <v>91</v>
      </c>
    </row>
    <row r="813" spans="1:16" s="187" customFormat="1" ht="18" customHeight="1">
      <c r="A813" s="187" t="str">
        <f t="shared" si="12"/>
        <v>V10259C</v>
      </c>
      <c r="B813" s="206" t="s">
        <v>1629</v>
      </c>
      <c r="C813" s="206"/>
      <c r="D813" s="206" t="s">
        <v>1628</v>
      </c>
      <c r="E813" s="206" t="s">
        <v>29</v>
      </c>
      <c r="F813" s="206" t="s">
        <v>1630</v>
      </c>
      <c r="G813" s="206" t="s">
        <v>1631</v>
      </c>
      <c r="H813" s="206"/>
      <c r="I813" s="206" t="s">
        <v>1632</v>
      </c>
      <c r="J813" s="206" t="s">
        <v>1633</v>
      </c>
      <c r="K813" s="206" t="s">
        <v>1634</v>
      </c>
      <c r="L813" s="206"/>
      <c r="M813" s="207"/>
      <c r="N813" s="206"/>
      <c r="O813" s="206"/>
      <c r="P813" s="206" t="s">
        <v>91</v>
      </c>
    </row>
    <row r="814" spans="1:16" s="187" customFormat="1" ht="18" customHeight="1">
      <c r="A814" s="187" t="str">
        <f t="shared" si="12"/>
        <v>V10313C</v>
      </c>
      <c r="B814" s="208" t="s">
        <v>4317</v>
      </c>
      <c r="C814" s="208"/>
      <c r="D814" s="208" t="s">
        <v>4316</v>
      </c>
      <c r="E814" s="208" t="s">
        <v>29</v>
      </c>
      <c r="F814" s="208" t="s">
        <v>4318</v>
      </c>
      <c r="G814" s="208"/>
      <c r="H814" s="208"/>
      <c r="I814" s="208" t="s">
        <v>4319</v>
      </c>
      <c r="J814" s="208" t="s">
        <v>387</v>
      </c>
      <c r="K814" s="208" t="s">
        <v>4320</v>
      </c>
      <c r="L814" s="208"/>
      <c r="M814" s="209"/>
      <c r="N814" s="208"/>
      <c r="O814" s="208"/>
      <c r="P814" s="208" t="s">
        <v>91</v>
      </c>
    </row>
    <row r="815" spans="1:16" s="187" customFormat="1" ht="18" customHeight="1">
      <c r="A815" s="187" t="str">
        <f t="shared" si="12"/>
        <v>V4091C0</v>
      </c>
      <c r="B815" s="206" t="s">
        <v>5194</v>
      </c>
      <c r="C815" s="206"/>
      <c r="D815" s="206" t="s">
        <v>5195</v>
      </c>
      <c r="E815" s="206" t="s">
        <v>29</v>
      </c>
      <c r="F815" s="206" t="s">
        <v>5196</v>
      </c>
      <c r="G815" s="206"/>
      <c r="H815" s="206"/>
      <c r="I815" s="206"/>
      <c r="J815" s="206" t="s">
        <v>5197</v>
      </c>
      <c r="K815" s="206" t="s">
        <v>5198</v>
      </c>
      <c r="L815" s="206"/>
      <c r="M815" s="207"/>
      <c r="N815" s="206"/>
      <c r="O815" s="206"/>
      <c r="P815" s="206" t="s">
        <v>107</v>
      </c>
    </row>
    <row r="816" spans="1:16" s="187" customFormat="1" ht="18" customHeight="1">
      <c r="A816" s="187" t="str">
        <f t="shared" si="12"/>
        <v>V10510C</v>
      </c>
      <c r="B816" s="208" t="s">
        <v>6348</v>
      </c>
      <c r="C816" s="208"/>
      <c r="D816" s="208" t="s">
        <v>6349</v>
      </c>
      <c r="E816" s="208" t="s">
        <v>29</v>
      </c>
      <c r="F816" s="208" t="s">
        <v>6350</v>
      </c>
      <c r="G816" s="208" t="s">
        <v>6351</v>
      </c>
      <c r="H816" s="208"/>
      <c r="I816" s="208"/>
      <c r="J816" s="208" t="s">
        <v>6352</v>
      </c>
      <c r="K816" s="208" t="s">
        <v>6353</v>
      </c>
      <c r="L816" s="208"/>
      <c r="M816" s="209"/>
      <c r="N816" s="208"/>
      <c r="O816" s="208" t="s">
        <v>260</v>
      </c>
      <c r="P816" s="208" t="s">
        <v>91</v>
      </c>
    </row>
    <row r="817" spans="1:16" s="187" customFormat="1" ht="18" customHeight="1">
      <c r="A817" s="187" t="str">
        <f t="shared" si="12"/>
        <v>V10286A</v>
      </c>
      <c r="B817" s="206" t="s">
        <v>1636</v>
      </c>
      <c r="C817" s="206"/>
      <c r="D817" s="206" t="s">
        <v>1635</v>
      </c>
      <c r="E817" s="206" t="s">
        <v>29</v>
      </c>
      <c r="F817" s="206" t="s">
        <v>4321</v>
      </c>
      <c r="G817" s="206"/>
      <c r="H817" s="206"/>
      <c r="I817" s="206"/>
      <c r="J817" s="206" t="s">
        <v>1637</v>
      </c>
      <c r="K817" s="206" t="s">
        <v>1638</v>
      </c>
      <c r="L817" s="206"/>
      <c r="M817" s="207"/>
      <c r="N817" s="206"/>
      <c r="O817" s="206"/>
      <c r="P817" s="206" t="s">
        <v>91</v>
      </c>
    </row>
    <row r="818" spans="1:16" s="187" customFormat="1" ht="18" customHeight="1">
      <c r="A818" s="187" t="str">
        <f t="shared" si="12"/>
        <v>V10250C</v>
      </c>
      <c r="B818" s="208" t="s">
        <v>1640</v>
      </c>
      <c r="C818" s="208"/>
      <c r="D818" s="208" t="s">
        <v>1639</v>
      </c>
      <c r="E818" s="208" t="s">
        <v>29</v>
      </c>
      <c r="F818" s="208" t="s">
        <v>1641</v>
      </c>
      <c r="G818" s="208" t="s">
        <v>1642</v>
      </c>
      <c r="H818" s="208"/>
      <c r="I818" s="208"/>
      <c r="J818" s="208" t="s">
        <v>1643</v>
      </c>
      <c r="K818" s="208" t="s">
        <v>1644</v>
      </c>
      <c r="L818" s="208"/>
      <c r="M818" s="209"/>
      <c r="N818" s="208"/>
      <c r="O818" s="208"/>
      <c r="P818" s="208" t="s">
        <v>91</v>
      </c>
    </row>
    <row r="819" spans="1:16" s="187" customFormat="1" ht="18" customHeight="1">
      <c r="A819" s="187" t="str">
        <f t="shared" si="12"/>
        <v>V10250B</v>
      </c>
      <c r="B819" s="206" t="s">
        <v>1640</v>
      </c>
      <c r="C819" s="206"/>
      <c r="D819" s="206" t="s">
        <v>5448</v>
      </c>
      <c r="E819" s="206" t="s">
        <v>29</v>
      </c>
      <c r="F819" s="206" t="s">
        <v>1641</v>
      </c>
      <c r="G819" s="206"/>
      <c r="H819" s="206"/>
      <c r="I819" s="206"/>
      <c r="J819" s="206"/>
      <c r="K819" s="206"/>
      <c r="L819" s="206"/>
      <c r="M819" s="207"/>
      <c r="N819" s="206"/>
      <c r="O819" s="206"/>
      <c r="P819" s="206" t="s">
        <v>91</v>
      </c>
    </row>
    <row r="820" spans="1:16" s="187" customFormat="1" ht="18" customHeight="1">
      <c r="A820" s="187" t="str">
        <f t="shared" si="12"/>
        <v>V10085A</v>
      </c>
      <c r="B820" s="208" t="s">
        <v>1646</v>
      </c>
      <c r="C820" s="208"/>
      <c r="D820" s="208" t="s">
        <v>1645</v>
      </c>
      <c r="E820" s="208" t="s">
        <v>29</v>
      </c>
      <c r="F820" s="208" t="s">
        <v>1647</v>
      </c>
      <c r="G820" s="208" t="s">
        <v>1648</v>
      </c>
      <c r="H820" s="208"/>
      <c r="I820" s="208" t="s">
        <v>1649</v>
      </c>
      <c r="J820" s="208" t="s">
        <v>1650</v>
      </c>
      <c r="K820" s="208" t="s">
        <v>1651</v>
      </c>
      <c r="L820" s="208"/>
      <c r="M820" s="209"/>
      <c r="N820" s="208"/>
      <c r="O820" s="208" t="s">
        <v>260</v>
      </c>
      <c r="P820" s="208" t="s">
        <v>91</v>
      </c>
    </row>
    <row r="821" spans="1:16" s="187" customFormat="1" ht="18" customHeight="1">
      <c r="A821" s="187" t="str">
        <f t="shared" si="12"/>
        <v>V10085B</v>
      </c>
      <c r="B821" s="206" t="s">
        <v>1646</v>
      </c>
      <c r="C821" s="206"/>
      <c r="D821" s="206" t="s">
        <v>1652</v>
      </c>
      <c r="E821" s="206" t="s">
        <v>29</v>
      </c>
      <c r="F821" s="206" t="s">
        <v>1647</v>
      </c>
      <c r="G821" s="206" t="s">
        <v>1648</v>
      </c>
      <c r="H821" s="206"/>
      <c r="I821" s="206" t="s">
        <v>1649</v>
      </c>
      <c r="J821" s="206" t="s">
        <v>1650</v>
      </c>
      <c r="K821" s="206" t="s">
        <v>1651</v>
      </c>
      <c r="L821" s="206"/>
      <c r="M821" s="207"/>
      <c r="N821" s="206"/>
      <c r="O821" s="206" t="s">
        <v>260</v>
      </c>
      <c r="P821" s="206" t="s">
        <v>91</v>
      </c>
    </row>
    <row r="822" spans="1:16" s="187" customFormat="1" ht="18" customHeight="1">
      <c r="A822" s="187" t="str">
        <f t="shared" si="12"/>
        <v>V10085C</v>
      </c>
      <c r="B822" s="208" t="s">
        <v>1646</v>
      </c>
      <c r="C822" s="208"/>
      <c r="D822" s="208" t="s">
        <v>1653</v>
      </c>
      <c r="E822" s="208" t="s">
        <v>29</v>
      </c>
      <c r="F822" s="208" t="s">
        <v>1647</v>
      </c>
      <c r="G822" s="208" t="s">
        <v>1648</v>
      </c>
      <c r="H822" s="208"/>
      <c r="I822" s="208" t="s">
        <v>1649</v>
      </c>
      <c r="J822" s="208" t="s">
        <v>1650</v>
      </c>
      <c r="K822" s="208" t="s">
        <v>1651</v>
      </c>
      <c r="L822" s="208"/>
      <c r="M822" s="209"/>
      <c r="N822" s="208"/>
      <c r="O822" s="208" t="s">
        <v>260</v>
      </c>
      <c r="P822" s="208" t="s">
        <v>91</v>
      </c>
    </row>
    <row r="823" spans="1:16" s="187" customFormat="1" ht="18" customHeight="1">
      <c r="A823" s="187" t="str">
        <f t="shared" si="12"/>
        <v>V10529C</v>
      </c>
      <c r="B823" s="206" t="s">
        <v>6354</v>
      </c>
      <c r="C823" s="206"/>
      <c r="D823" s="206" t="s">
        <v>6360</v>
      </c>
      <c r="E823" s="206" t="s">
        <v>29</v>
      </c>
      <c r="F823" s="206" t="s">
        <v>6356</v>
      </c>
      <c r="G823" s="206"/>
      <c r="H823" s="206"/>
      <c r="I823" s="206" t="s">
        <v>6357</v>
      </c>
      <c r="J823" s="206"/>
      <c r="K823" s="206"/>
      <c r="L823" s="206"/>
      <c r="M823" s="207"/>
      <c r="N823" s="206"/>
      <c r="O823" s="206"/>
      <c r="P823" s="206" t="s">
        <v>91</v>
      </c>
    </row>
    <row r="824" spans="1:16" s="187" customFormat="1" ht="18" customHeight="1">
      <c r="A824" s="187" t="str">
        <f t="shared" si="12"/>
        <v>V10529B</v>
      </c>
      <c r="B824" s="208" t="s">
        <v>6354</v>
      </c>
      <c r="C824" s="208"/>
      <c r="D824" s="208" t="s">
        <v>6355</v>
      </c>
      <c r="E824" s="208" t="s">
        <v>29</v>
      </c>
      <c r="F824" s="208" t="s">
        <v>6356</v>
      </c>
      <c r="G824" s="208"/>
      <c r="H824" s="208"/>
      <c r="I824" s="208" t="s">
        <v>6357</v>
      </c>
      <c r="J824" s="208" t="s">
        <v>6358</v>
      </c>
      <c r="K824" s="208" t="s">
        <v>6359</v>
      </c>
      <c r="L824" s="208"/>
      <c r="M824" s="209"/>
      <c r="N824" s="208"/>
      <c r="O824" s="208"/>
      <c r="P824" s="208" t="s">
        <v>91</v>
      </c>
    </row>
    <row r="825" spans="1:16" s="187" customFormat="1" ht="18" customHeight="1">
      <c r="A825" s="187" t="str">
        <f t="shared" si="12"/>
        <v>V10269C</v>
      </c>
      <c r="B825" s="206" t="s">
        <v>1655</v>
      </c>
      <c r="C825" s="206"/>
      <c r="D825" s="206" t="s">
        <v>1654</v>
      </c>
      <c r="E825" s="206" t="s">
        <v>29</v>
      </c>
      <c r="F825" s="206" t="s">
        <v>1656</v>
      </c>
      <c r="G825" s="206" t="s">
        <v>1657</v>
      </c>
      <c r="H825" s="206"/>
      <c r="I825" s="206" t="s">
        <v>1658</v>
      </c>
      <c r="J825" s="206" t="s">
        <v>1659</v>
      </c>
      <c r="K825" s="206" t="s">
        <v>1660</v>
      </c>
      <c r="L825" s="206"/>
      <c r="M825" s="207"/>
      <c r="N825" s="206"/>
      <c r="O825" s="206"/>
      <c r="P825" s="206" t="s">
        <v>91</v>
      </c>
    </row>
    <row r="826" spans="1:16" s="187" customFormat="1" ht="18" customHeight="1">
      <c r="A826" s="187" t="str">
        <f t="shared" si="12"/>
        <v>V10471C</v>
      </c>
      <c r="B826" s="208" t="s">
        <v>5852</v>
      </c>
      <c r="C826" s="208"/>
      <c r="D826" s="208" t="s">
        <v>5853</v>
      </c>
      <c r="E826" s="208" t="s">
        <v>29</v>
      </c>
      <c r="F826" s="208" t="s">
        <v>5854</v>
      </c>
      <c r="G826" s="208" t="s">
        <v>5855</v>
      </c>
      <c r="H826" s="208"/>
      <c r="I826" s="208"/>
      <c r="J826" s="208" t="s">
        <v>5856</v>
      </c>
      <c r="K826" s="208" t="s">
        <v>5857</v>
      </c>
      <c r="L826" s="208"/>
      <c r="M826" s="209"/>
      <c r="N826" s="208"/>
      <c r="O826" s="208"/>
      <c r="P826" s="208" t="s">
        <v>91</v>
      </c>
    </row>
    <row r="827" spans="1:16" s="187" customFormat="1" ht="18" customHeight="1">
      <c r="A827" s="187" t="str">
        <f t="shared" si="12"/>
        <v>V10026A</v>
      </c>
      <c r="B827" s="206" t="s">
        <v>1662</v>
      </c>
      <c r="C827" s="206"/>
      <c r="D827" s="206" t="s">
        <v>1661</v>
      </c>
      <c r="E827" s="206" t="s">
        <v>29</v>
      </c>
      <c r="F827" s="206" t="s">
        <v>1663</v>
      </c>
      <c r="G827" s="206" t="s">
        <v>1664</v>
      </c>
      <c r="H827" s="206"/>
      <c r="I827" s="206" t="s">
        <v>1665</v>
      </c>
      <c r="J827" s="206" t="s">
        <v>1666</v>
      </c>
      <c r="K827" s="206" t="s">
        <v>1667</v>
      </c>
      <c r="L827" s="206"/>
      <c r="M827" s="207"/>
      <c r="N827" s="206"/>
      <c r="O827" s="206" t="s">
        <v>260</v>
      </c>
      <c r="P827" s="206" t="s">
        <v>91</v>
      </c>
    </row>
    <row r="828" spans="1:16" s="187" customFormat="1" ht="18" customHeight="1">
      <c r="A828" s="187" t="str">
        <f t="shared" si="12"/>
        <v>V10026B</v>
      </c>
      <c r="B828" s="208" t="s">
        <v>1662</v>
      </c>
      <c r="C828" s="208"/>
      <c r="D828" s="208" t="s">
        <v>1668</v>
      </c>
      <c r="E828" s="208" t="s">
        <v>29</v>
      </c>
      <c r="F828" s="208" t="s">
        <v>1663</v>
      </c>
      <c r="G828" s="208" t="s">
        <v>1664</v>
      </c>
      <c r="H828" s="208"/>
      <c r="I828" s="208" t="s">
        <v>1665</v>
      </c>
      <c r="J828" s="208" t="s">
        <v>1666</v>
      </c>
      <c r="K828" s="208" t="s">
        <v>1667</v>
      </c>
      <c r="L828" s="208"/>
      <c r="M828" s="209"/>
      <c r="N828" s="208"/>
      <c r="O828" s="208" t="s">
        <v>260</v>
      </c>
      <c r="P828" s="208" t="s">
        <v>91</v>
      </c>
    </row>
    <row r="829" spans="1:16" s="187" customFormat="1" ht="18" customHeight="1">
      <c r="A829" s="187" t="str">
        <f t="shared" si="12"/>
        <v>V10026C</v>
      </c>
      <c r="B829" s="206" t="s">
        <v>1662</v>
      </c>
      <c r="C829" s="206"/>
      <c r="D829" s="206" t="s">
        <v>1669</v>
      </c>
      <c r="E829" s="206" t="s">
        <v>29</v>
      </c>
      <c r="F829" s="206" t="s">
        <v>1663</v>
      </c>
      <c r="G829" s="206" t="s">
        <v>1664</v>
      </c>
      <c r="H829" s="206"/>
      <c r="I829" s="206" t="s">
        <v>1665</v>
      </c>
      <c r="J829" s="206" t="s">
        <v>1666</v>
      </c>
      <c r="K829" s="206" t="s">
        <v>1667</v>
      </c>
      <c r="L829" s="206"/>
      <c r="M829" s="207"/>
      <c r="N829" s="206"/>
      <c r="O829" s="206" t="s">
        <v>260</v>
      </c>
      <c r="P829" s="206" t="s">
        <v>91</v>
      </c>
    </row>
    <row r="830" spans="1:16" s="187" customFormat="1" ht="18" customHeight="1">
      <c r="A830" s="187" t="str">
        <f t="shared" si="12"/>
        <v>V10487C</v>
      </c>
      <c r="B830" s="208" t="s">
        <v>5945</v>
      </c>
      <c r="C830" s="208"/>
      <c r="D830" s="208" t="s">
        <v>5946</v>
      </c>
      <c r="E830" s="208" t="s">
        <v>29</v>
      </c>
      <c r="F830" s="208" t="s">
        <v>6361</v>
      </c>
      <c r="G830" s="208" t="s">
        <v>5947</v>
      </c>
      <c r="H830" s="208"/>
      <c r="I830" s="208" t="s">
        <v>5948</v>
      </c>
      <c r="J830" s="208" t="s">
        <v>1666</v>
      </c>
      <c r="K830" s="208" t="s">
        <v>1667</v>
      </c>
      <c r="L830" s="208"/>
      <c r="M830" s="209"/>
      <c r="N830" s="208"/>
      <c r="O830" s="208" t="s">
        <v>260</v>
      </c>
      <c r="P830" s="208" t="s">
        <v>91</v>
      </c>
    </row>
    <row r="831" spans="1:16" s="187" customFormat="1" ht="18" customHeight="1">
      <c r="A831" s="187" t="str">
        <f t="shared" si="12"/>
        <v>V4086C0</v>
      </c>
      <c r="B831" s="206" t="s">
        <v>1671</v>
      </c>
      <c r="C831" s="206"/>
      <c r="D831" s="206" t="s">
        <v>4322</v>
      </c>
      <c r="E831" s="206" t="s">
        <v>29</v>
      </c>
      <c r="F831" s="206" t="s">
        <v>1672</v>
      </c>
      <c r="G831" s="206" t="s">
        <v>1673</v>
      </c>
      <c r="H831" s="206"/>
      <c r="I831" s="206" t="s">
        <v>1674</v>
      </c>
      <c r="J831" s="206" t="s">
        <v>1675</v>
      </c>
      <c r="K831" s="206" t="s">
        <v>1676</v>
      </c>
      <c r="L831" s="206"/>
      <c r="M831" s="207"/>
      <c r="N831" s="206"/>
      <c r="O831" s="206"/>
      <c r="P831" s="206" t="s">
        <v>107</v>
      </c>
    </row>
    <row r="832" spans="1:16" s="187" customFormat="1" ht="18" customHeight="1">
      <c r="A832" s="187" t="str">
        <f t="shared" si="12"/>
        <v>V10300C</v>
      </c>
      <c r="B832" s="208" t="s">
        <v>1671</v>
      </c>
      <c r="C832" s="208"/>
      <c r="D832" s="208" t="s">
        <v>1670</v>
      </c>
      <c r="E832" s="208" t="s">
        <v>151</v>
      </c>
      <c r="F832" s="208" t="s">
        <v>1672</v>
      </c>
      <c r="G832" s="208"/>
      <c r="H832" s="208"/>
      <c r="I832" s="208"/>
      <c r="J832" s="208" t="s">
        <v>5086</v>
      </c>
      <c r="K832" s="208" t="s">
        <v>1676</v>
      </c>
      <c r="L832" s="208"/>
      <c r="M832" s="209"/>
      <c r="N832" s="208"/>
      <c r="O832" s="208"/>
      <c r="P832" s="208" t="s">
        <v>91</v>
      </c>
    </row>
    <row r="833" spans="1:16" s="187" customFormat="1" ht="18" customHeight="1">
      <c r="A833" s="187" t="str">
        <f t="shared" si="12"/>
        <v>V10141A</v>
      </c>
      <c r="B833" s="206" t="s">
        <v>1678</v>
      </c>
      <c r="C833" s="206"/>
      <c r="D833" s="206" t="s">
        <v>1677</v>
      </c>
      <c r="E833" s="206" t="s">
        <v>29</v>
      </c>
      <c r="F833" s="206" t="s">
        <v>1679</v>
      </c>
      <c r="G833" s="206" t="s">
        <v>1680</v>
      </c>
      <c r="H833" s="206"/>
      <c r="I833" s="206" t="s">
        <v>1681</v>
      </c>
      <c r="J833" s="206" t="s">
        <v>1682</v>
      </c>
      <c r="K833" s="206" t="s">
        <v>1683</v>
      </c>
      <c r="L833" s="206"/>
      <c r="M833" s="207"/>
      <c r="N833" s="206"/>
      <c r="O833" s="206" t="s">
        <v>260</v>
      </c>
      <c r="P833" s="206" t="s">
        <v>91</v>
      </c>
    </row>
    <row r="834" spans="1:16" s="187" customFormat="1" ht="18" customHeight="1">
      <c r="A834" s="187" t="str">
        <f t="shared" si="12"/>
        <v>V10141B</v>
      </c>
      <c r="B834" s="208" t="s">
        <v>1678</v>
      </c>
      <c r="C834" s="208"/>
      <c r="D834" s="208" t="s">
        <v>1684</v>
      </c>
      <c r="E834" s="208" t="s">
        <v>29</v>
      </c>
      <c r="F834" s="208" t="s">
        <v>1679</v>
      </c>
      <c r="G834" s="208" t="s">
        <v>1680</v>
      </c>
      <c r="H834" s="208"/>
      <c r="I834" s="208" t="s">
        <v>1681</v>
      </c>
      <c r="J834" s="208" t="s">
        <v>1682</v>
      </c>
      <c r="K834" s="208" t="s">
        <v>1683</v>
      </c>
      <c r="L834" s="208"/>
      <c r="M834" s="209"/>
      <c r="N834" s="208"/>
      <c r="O834" s="208" t="s">
        <v>260</v>
      </c>
      <c r="P834" s="208" t="s">
        <v>91</v>
      </c>
    </row>
    <row r="835" spans="1:16" s="187" customFormat="1" ht="18" customHeight="1">
      <c r="A835" s="187" t="str">
        <f t="shared" si="12"/>
        <v>V10141C</v>
      </c>
      <c r="B835" s="206" t="s">
        <v>1678</v>
      </c>
      <c r="C835" s="206"/>
      <c r="D835" s="206" t="s">
        <v>1685</v>
      </c>
      <c r="E835" s="206" t="s">
        <v>29</v>
      </c>
      <c r="F835" s="206" t="s">
        <v>1679</v>
      </c>
      <c r="G835" s="206" t="s">
        <v>1680</v>
      </c>
      <c r="H835" s="206"/>
      <c r="I835" s="206" t="s">
        <v>1681</v>
      </c>
      <c r="J835" s="206" t="s">
        <v>1682</v>
      </c>
      <c r="K835" s="206" t="s">
        <v>1683</v>
      </c>
      <c r="L835" s="206"/>
      <c r="M835" s="207"/>
      <c r="N835" s="206"/>
      <c r="O835" s="206" t="s">
        <v>260</v>
      </c>
      <c r="P835" s="206" t="s">
        <v>91</v>
      </c>
    </row>
    <row r="836" spans="1:16" s="187" customFormat="1" ht="18" customHeight="1">
      <c r="A836" s="187" t="str">
        <f t="shared" si="12"/>
        <v>V10126A</v>
      </c>
      <c r="B836" s="208" t="s">
        <v>1687</v>
      </c>
      <c r="C836" s="208"/>
      <c r="D836" s="208" t="s">
        <v>1686</v>
      </c>
      <c r="E836" s="208" t="s">
        <v>29</v>
      </c>
      <c r="F836" s="208" t="s">
        <v>1688</v>
      </c>
      <c r="G836" s="208" t="s">
        <v>5085</v>
      </c>
      <c r="H836" s="208"/>
      <c r="I836" s="208" t="s">
        <v>1689</v>
      </c>
      <c r="J836" s="208" t="s">
        <v>1690</v>
      </c>
      <c r="K836" s="208" t="s">
        <v>1691</v>
      </c>
      <c r="L836" s="208"/>
      <c r="M836" s="209"/>
      <c r="N836" s="208"/>
      <c r="O836" s="208" t="s">
        <v>260</v>
      </c>
      <c r="P836" s="208" t="s">
        <v>91</v>
      </c>
    </row>
    <row r="837" spans="1:16" s="187" customFormat="1" ht="18" customHeight="1">
      <c r="A837" s="187" t="str">
        <f t="shared" si="12"/>
        <v>V10126B</v>
      </c>
      <c r="B837" s="206" t="s">
        <v>1687</v>
      </c>
      <c r="C837" s="206"/>
      <c r="D837" s="206" t="s">
        <v>1692</v>
      </c>
      <c r="E837" s="206" t="s">
        <v>29</v>
      </c>
      <c r="F837" s="206" t="s">
        <v>1688</v>
      </c>
      <c r="G837" s="206" t="s">
        <v>5085</v>
      </c>
      <c r="H837" s="206"/>
      <c r="I837" s="206" t="s">
        <v>1689</v>
      </c>
      <c r="J837" s="206" t="s">
        <v>1690</v>
      </c>
      <c r="K837" s="206" t="s">
        <v>1691</v>
      </c>
      <c r="L837" s="206"/>
      <c r="M837" s="207"/>
      <c r="N837" s="206"/>
      <c r="O837" s="206" t="s">
        <v>260</v>
      </c>
      <c r="P837" s="206" t="s">
        <v>91</v>
      </c>
    </row>
    <row r="838" spans="1:16" s="187" customFormat="1" ht="18" customHeight="1">
      <c r="A838" s="187" t="str">
        <f t="shared" ref="A838:A901" si="13">D838</f>
        <v>V10126C</v>
      </c>
      <c r="B838" s="208" t="s">
        <v>1687</v>
      </c>
      <c r="C838" s="208"/>
      <c r="D838" s="208" t="s">
        <v>1693</v>
      </c>
      <c r="E838" s="208" t="s">
        <v>29</v>
      </c>
      <c r="F838" s="208" t="s">
        <v>1688</v>
      </c>
      <c r="G838" s="208" t="s">
        <v>5085</v>
      </c>
      <c r="H838" s="208"/>
      <c r="I838" s="208" t="s">
        <v>1689</v>
      </c>
      <c r="J838" s="208" t="s">
        <v>1690</v>
      </c>
      <c r="K838" s="208" t="s">
        <v>1691</v>
      </c>
      <c r="L838" s="208"/>
      <c r="M838" s="209"/>
      <c r="N838" s="208"/>
      <c r="O838" s="208" t="s">
        <v>260</v>
      </c>
      <c r="P838" s="208" t="s">
        <v>91</v>
      </c>
    </row>
    <row r="839" spans="1:16" s="187" customFormat="1" ht="18" customHeight="1">
      <c r="A839" s="187" t="str">
        <f t="shared" si="13"/>
        <v>V4022C0</v>
      </c>
      <c r="B839" s="206" t="s">
        <v>1695</v>
      </c>
      <c r="C839" s="206"/>
      <c r="D839" s="206" t="s">
        <v>1694</v>
      </c>
      <c r="E839" s="206" t="s">
        <v>29</v>
      </c>
      <c r="F839" s="206" t="s">
        <v>1696</v>
      </c>
      <c r="G839" s="206"/>
      <c r="H839" s="206"/>
      <c r="I839" s="206" t="s">
        <v>1697</v>
      </c>
      <c r="J839" s="206" t="s">
        <v>1698</v>
      </c>
      <c r="K839" s="206" t="s">
        <v>1699</v>
      </c>
      <c r="L839" s="206"/>
      <c r="M839" s="207"/>
      <c r="N839" s="206"/>
      <c r="O839" s="206" t="s">
        <v>131</v>
      </c>
      <c r="P839" s="206" t="s">
        <v>107</v>
      </c>
    </row>
    <row r="840" spans="1:16" s="187" customFormat="1" ht="18" customHeight="1">
      <c r="A840" s="187" t="str">
        <f t="shared" si="13"/>
        <v>V10222A</v>
      </c>
      <c r="B840" s="208" t="s">
        <v>1695</v>
      </c>
      <c r="C840" s="208"/>
      <c r="D840" s="208" t="s">
        <v>1700</v>
      </c>
      <c r="E840" s="208" t="s">
        <v>29</v>
      </c>
      <c r="F840" s="208" t="s">
        <v>1696</v>
      </c>
      <c r="G840" s="208"/>
      <c r="H840" s="208"/>
      <c r="I840" s="208" t="s">
        <v>1697</v>
      </c>
      <c r="J840" s="208" t="s">
        <v>1092</v>
      </c>
      <c r="K840" s="208" t="s">
        <v>1699</v>
      </c>
      <c r="L840" s="208"/>
      <c r="M840" s="209"/>
      <c r="N840" s="208"/>
      <c r="O840" s="208" t="s">
        <v>260</v>
      </c>
      <c r="P840" s="208" t="s">
        <v>91</v>
      </c>
    </row>
    <row r="841" spans="1:16" s="187" customFormat="1" ht="18" customHeight="1">
      <c r="A841" s="187" t="str">
        <f t="shared" si="13"/>
        <v>V10222B</v>
      </c>
      <c r="B841" s="206" t="s">
        <v>1695</v>
      </c>
      <c r="C841" s="206"/>
      <c r="D841" s="206" t="s">
        <v>1701</v>
      </c>
      <c r="E841" s="206" t="s">
        <v>29</v>
      </c>
      <c r="F841" s="206" t="s">
        <v>1696</v>
      </c>
      <c r="G841" s="206"/>
      <c r="H841" s="206"/>
      <c r="I841" s="206" t="s">
        <v>1697</v>
      </c>
      <c r="J841" s="206" t="s">
        <v>1092</v>
      </c>
      <c r="K841" s="206" t="s">
        <v>1699</v>
      </c>
      <c r="L841" s="206"/>
      <c r="M841" s="207"/>
      <c r="N841" s="206"/>
      <c r="O841" s="206" t="s">
        <v>260</v>
      </c>
      <c r="P841" s="206" t="s">
        <v>91</v>
      </c>
    </row>
    <row r="842" spans="1:16" s="187" customFormat="1" ht="18" customHeight="1">
      <c r="A842" s="187" t="str">
        <f t="shared" si="13"/>
        <v>V10222C</v>
      </c>
      <c r="B842" s="208" t="s">
        <v>1695</v>
      </c>
      <c r="C842" s="208"/>
      <c r="D842" s="208" t="s">
        <v>1702</v>
      </c>
      <c r="E842" s="208" t="s">
        <v>29</v>
      </c>
      <c r="F842" s="208" t="s">
        <v>1696</v>
      </c>
      <c r="G842" s="208"/>
      <c r="H842" s="208"/>
      <c r="I842" s="208" t="s">
        <v>1697</v>
      </c>
      <c r="J842" s="208" t="s">
        <v>1092</v>
      </c>
      <c r="K842" s="208" t="s">
        <v>1699</v>
      </c>
      <c r="L842" s="208"/>
      <c r="M842" s="209"/>
      <c r="N842" s="208"/>
      <c r="O842" s="208" t="s">
        <v>260</v>
      </c>
      <c r="P842" s="208" t="s">
        <v>91</v>
      </c>
    </row>
    <row r="843" spans="1:16" s="187" customFormat="1" ht="18" customHeight="1">
      <c r="A843" s="187" t="str">
        <f t="shared" si="13"/>
        <v>V10256C</v>
      </c>
      <c r="B843" s="206" t="s">
        <v>1704</v>
      </c>
      <c r="C843" s="206"/>
      <c r="D843" s="206" t="s">
        <v>1703</v>
      </c>
      <c r="E843" s="206" t="s">
        <v>29</v>
      </c>
      <c r="F843" s="206" t="s">
        <v>1705</v>
      </c>
      <c r="G843" s="206" t="s">
        <v>1706</v>
      </c>
      <c r="H843" s="206"/>
      <c r="I843" s="206"/>
      <c r="J843" s="206" t="s">
        <v>1707</v>
      </c>
      <c r="K843" s="206" t="s">
        <v>1708</v>
      </c>
      <c r="L843" s="206"/>
      <c r="M843" s="207"/>
      <c r="N843" s="206"/>
      <c r="O843" s="206"/>
      <c r="P843" s="206" t="s">
        <v>91</v>
      </c>
    </row>
    <row r="844" spans="1:16" s="187" customFormat="1" ht="18" customHeight="1">
      <c r="A844" s="187" t="str">
        <f t="shared" si="13"/>
        <v>V10412C</v>
      </c>
      <c r="B844" s="208" t="s">
        <v>5663</v>
      </c>
      <c r="C844" s="208"/>
      <c r="D844" s="208" t="s">
        <v>5664</v>
      </c>
      <c r="E844" s="208" t="s">
        <v>29</v>
      </c>
      <c r="F844" s="208" t="s">
        <v>5665</v>
      </c>
      <c r="G844" s="208"/>
      <c r="H844" s="208"/>
      <c r="I844" s="208"/>
      <c r="J844" s="208" t="s">
        <v>5666</v>
      </c>
      <c r="K844" s="208" t="s">
        <v>5667</v>
      </c>
      <c r="L844" s="208"/>
      <c r="M844" s="209"/>
      <c r="N844" s="208"/>
      <c r="O844" s="208"/>
      <c r="P844" s="208" t="s">
        <v>91</v>
      </c>
    </row>
    <row r="845" spans="1:16" s="187" customFormat="1" ht="18" customHeight="1">
      <c r="A845" s="187" t="str">
        <f t="shared" si="13"/>
        <v>V4101C0</v>
      </c>
      <c r="B845" s="206" t="s">
        <v>5668</v>
      </c>
      <c r="C845" s="206"/>
      <c r="D845" s="206" t="s">
        <v>5669</v>
      </c>
      <c r="E845" s="206" t="s">
        <v>29</v>
      </c>
      <c r="F845" s="206" t="s">
        <v>5670</v>
      </c>
      <c r="G845" s="206"/>
      <c r="H845" s="206"/>
      <c r="I845" s="206"/>
      <c r="J845" s="206" t="s">
        <v>5671</v>
      </c>
      <c r="K845" s="206" t="s">
        <v>5672</v>
      </c>
      <c r="L845" s="206"/>
      <c r="M845" s="207"/>
      <c r="N845" s="206"/>
      <c r="O845" s="206"/>
      <c r="P845" s="206" t="s">
        <v>107</v>
      </c>
    </row>
    <row r="846" spans="1:16" s="187" customFormat="1" ht="18" customHeight="1">
      <c r="A846" s="187" t="str">
        <f t="shared" si="13"/>
        <v>V10144A</v>
      </c>
      <c r="B846" s="208" t="s">
        <v>1710</v>
      </c>
      <c r="C846" s="208"/>
      <c r="D846" s="208" t="s">
        <v>1709</v>
      </c>
      <c r="E846" s="208" t="s">
        <v>29</v>
      </c>
      <c r="F846" s="208" t="s">
        <v>1711</v>
      </c>
      <c r="G846" s="208" t="s">
        <v>1712</v>
      </c>
      <c r="H846" s="208"/>
      <c r="I846" s="208"/>
      <c r="J846" s="208" t="s">
        <v>1713</v>
      </c>
      <c r="K846" s="208" t="s">
        <v>1714</v>
      </c>
      <c r="L846" s="208"/>
      <c r="M846" s="209"/>
      <c r="N846" s="208"/>
      <c r="O846" s="208" t="s">
        <v>260</v>
      </c>
      <c r="P846" s="208" t="s">
        <v>91</v>
      </c>
    </row>
    <row r="847" spans="1:16" s="187" customFormat="1" ht="18" customHeight="1">
      <c r="A847" s="187" t="str">
        <f t="shared" si="13"/>
        <v>V10144B</v>
      </c>
      <c r="B847" s="206" t="s">
        <v>1710</v>
      </c>
      <c r="C847" s="206"/>
      <c r="D847" s="206" t="s">
        <v>1715</v>
      </c>
      <c r="E847" s="206" t="s">
        <v>29</v>
      </c>
      <c r="F847" s="206" t="s">
        <v>1711</v>
      </c>
      <c r="G847" s="206" t="s">
        <v>1712</v>
      </c>
      <c r="H847" s="206"/>
      <c r="I847" s="206"/>
      <c r="J847" s="206" t="s">
        <v>1713</v>
      </c>
      <c r="K847" s="206" t="s">
        <v>1714</v>
      </c>
      <c r="L847" s="206"/>
      <c r="M847" s="207"/>
      <c r="N847" s="206"/>
      <c r="O847" s="206" t="s">
        <v>260</v>
      </c>
      <c r="P847" s="206" t="s">
        <v>91</v>
      </c>
    </row>
    <row r="848" spans="1:16" s="187" customFormat="1" ht="18" customHeight="1">
      <c r="A848" s="187" t="str">
        <f t="shared" si="13"/>
        <v>V10144C</v>
      </c>
      <c r="B848" s="208" t="s">
        <v>1710</v>
      </c>
      <c r="C848" s="208"/>
      <c r="D848" s="208" t="s">
        <v>1716</v>
      </c>
      <c r="E848" s="208" t="s">
        <v>29</v>
      </c>
      <c r="F848" s="208" t="s">
        <v>1711</v>
      </c>
      <c r="G848" s="208" t="s">
        <v>1712</v>
      </c>
      <c r="H848" s="208"/>
      <c r="I848" s="208"/>
      <c r="J848" s="208" t="s">
        <v>1713</v>
      </c>
      <c r="K848" s="208" t="s">
        <v>1714</v>
      </c>
      <c r="L848" s="208"/>
      <c r="M848" s="209"/>
      <c r="N848" s="208"/>
      <c r="O848" s="208" t="s">
        <v>260</v>
      </c>
      <c r="P848" s="208" t="s">
        <v>91</v>
      </c>
    </row>
    <row r="849" spans="1:16" s="187" customFormat="1" ht="18" customHeight="1">
      <c r="A849" s="187" t="str">
        <f t="shared" si="13"/>
        <v>V4053C0</v>
      </c>
      <c r="B849" s="206" t="s">
        <v>1718</v>
      </c>
      <c r="C849" s="206"/>
      <c r="D849" s="206" t="s">
        <v>1717</v>
      </c>
      <c r="E849" s="206" t="s">
        <v>29</v>
      </c>
      <c r="F849" s="206" t="s">
        <v>1719</v>
      </c>
      <c r="G849" s="206" t="s">
        <v>1720</v>
      </c>
      <c r="H849" s="206"/>
      <c r="I849" s="206" t="s">
        <v>1721</v>
      </c>
      <c r="J849" s="206" t="s">
        <v>1722</v>
      </c>
      <c r="K849" s="206" t="s">
        <v>1723</v>
      </c>
      <c r="L849" s="206"/>
      <c r="M849" s="207"/>
      <c r="N849" s="206"/>
      <c r="O849" s="206" t="s">
        <v>131</v>
      </c>
      <c r="P849" s="206" t="s">
        <v>107</v>
      </c>
    </row>
    <row r="850" spans="1:16" s="187" customFormat="1" ht="18" customHeight="1">
      <c r="A850" s="187" t="str">
        <f t="shared" si="13"/>
        <v>CG440027C0</v>
      </c>
      <c r="B850" s="208" t="s">
        <v>1725</v>
      </c>
      <c r="C850" s="208"/>
      <c r="D850" s="208" t="s">
        <v>1724</v>
      </c>
      <c r="E850" s="208" t="s">
        <v>29</v>
      </c>
      <c r="F850" s="208" t="s">
        <v>1719</v>
      </c>
      <c r="G850" s="208" t="s">
        <v>1720</v>
      </c>
      <c r="H850" s="208"/>
      <c r="I850" s="208"/>
      <c r="J850" s="208" t="s">
        <v>1726</v>
      </c>
      <c r="K850" s="208" t="s">
        <v>1723</v>
      </c>
      <c r="L850" s="208"/>
      <c r="M850" s="209"/>
      <c r="N850" s="208"/>
      <c r="O850" s="208"/>
      <c r="P850" s="208" t="s">
        <v>100</v>
      </c>
    </row>
    <row r="851" spans="1:16" s="187" customFormat="1" ht="18" customHeight="1">
      <c r="A851" s="187" t="str">
        <f t="shared" si="13"/>
        <v>V4023C0</v>
      </c>
      <c r="B851" s="206" t="s">
        <v>1728</v>
      </c>
      <c r="C851" s="206"/>
      <c r="D851" s="206" t="s">
        <v>1727</v>
      </c>
      <c r="E851" s="206" t="s">
        <v>29</v>
      </c>
      <c r="F851" s="206" t="s">
        <v>1729</v>
      </c>
      <c r="G851" s="206" t="s">
        <v>1730</v>
      </c>
      <c r="H851" s="206"/>
      <c r="I851" s="206" t="s">
        <v>1731</v>
      </c>
      <c r="J851" s="206" t="s">
        <v>387</v>
      </c>
      <c r="K851" s="206" t="s">
        <v>1732</v>
      </c>
      <c r="L851" s="206"/>
      <c r="M851" s="207"/>
      <c r="N851" s="206"/>
      <c r="O851" s="206" t="s">
        <v>131</v>
      </c>
      <c r="P851" s="206" t="s">
        <v>107</v>
      </c>
    </row>
    <row r="852" spans="1:16" s="187" customFormat="1" ht="18" customHeight="1">
      <c r="A852" s="187" t="str">
        <f t="shared" si="13"/>
        <v>V10382C</v>
      </c>
      <c r="B852" s="208" t="s">
        <v>5365</v>
      </c>
      <c r="C852" s="208"/>
      <c r="D852" s="208" t="s">
        <v>5366</v>
      </c>
      <c r="E852" s="208" t="s">
        <v>29</v>
      </c>
      <c r="F852" s="208" t="s">
        <v>5367</v>
      </c>
      <c r="G852" s="208"/>
      <c r="H852" s="208"/>
      <c r="I852" s="208" t="s">
        <v>5368</v>
      </c>
      <c r="J852" s="208" t="s">
        <v>5369</v>
      </c>
      <c r="K852" s="241" t="s">
        <v>5370</v>
      </c>
      <c r="L852" s="208"/>
      <c r="M852" s="209"/>
      <c r="N852" s="208"/>
      <c r="O852" s="208"/>
      <c r="P852" s="208" t="s">
        <v>91</v>
      </c>
    </row>
    <row r="853" spans="1:16" s="187" customFormat="1" ht="18" customHeight="1">
      <c r="A853" s="187" t="str">
        <f t="shared" si="13"/>
        <v>V10495C</v>
      </c>
      <c r="B853" s="206" t="s">
        <v>6131</v>
      </c>
      <c r="C853" s="206"/>
      <c r="D853" s="206" t="s">
        <v>6132</v>
      </c>
      <c r="E853" s="206" t="s">
        <v>29</v>
      </c>
      <c r="F853" s="206" t="s">
        <v>6133</v>
      </c>
      <c r="G853" s="206"/>
      <c r="H853" s="206"/>
      <c r="I853" s="206"/>
      <c r="J853" s="206" t="s">
        <v>5122</v>
      </c>
      <c r="K853" s="206" t="s">
        <v>6134</v>
      </c>
      <c r="L853" s="206"/>
      <c r="M853" s="207"/>
      <c r="N853" s="206"/>
      <c r="O853" s="206"/>
      <c r="P853" s="206" t="s">
        <v>91</v>
      </c>
    </row>
    <row r="854" spans="1:16" s="187" customFormat="1" ht="18" customHeight="1">
      <c r="A854" s="187" t="str">
        <f t="shared" si="13"/>
        <v>V4107C0</v>
      </c>
      <c r="B854" s="208" t="s">
        <v>6131</v>
      </c>
      <c r="C854" s="208"/>
      <c r="D854" s="208" t="s">
        <v>6135</v>
      </c>
      <c r="E854" s="208" t="s">
        <v>29</v>
      </c>
      <c r="F854" s="208" t="s">
        <v>6136</v>
      </c>
      <c r="G854" s="208"/>
      <c r="H854" s="208"/>
      <c r="I854" s="208"/>
      <c r="J854" s="208"/>
      <c r="K854" s="208"/>
      <c r="L854" s="208"/>
      <c r="M854" s="209"/>
      <c r="N854" s="208"/>
      <c r="O854" s="208"/>
      <c r="P854" s="208" t="s">
        <v>107</v>
      </c>
    </row>
    <row r="855" spans="1:16" s="187" customFormat="1" ht="18" customHeight="1">
      <c r="A855" s="187" t="str">
        <f t="shared" si="13"/>
        <v>V10102A</v>
      </c>
      <c r="B855" s="206" t="s">
        <v>1734</v>
      </c>
      <c r="C855" s="206"/>
      <c r="D855" s="206" t="s">
        <v>1733</v>
      </c>
      <c r="E855" s="206" t="s">
        <v>29</v>
      </c>
      <c r="F855" s="206" t="s">
        <v>5084</v>
      </c>
      <c r="G855" s="206" t="s">
        <v>1735</v>
      </c>
      <c r="H855" s="206"/>
      <c r="I855" s="206" t="s">
        <v>1736</v>
      </c>
      <c r="J855" s="206" t="s">
        <v>4323</v>
      </c>
      <c r="K855" s="206" t="s">
        <v>1737</v>
      </c>
      <c r="L855" s="206"/>
      <c r="M855" s="207"/>
      <c r="N855" s="206"/>
      <c r="O855" s="206" t="s">
        <v>260</v>
      </c>
      <c r="P855" s="206" t="s">
        <v>91</v>
      </c>
    </row>
    <row r="856" spans="1:16" s="187" customFormat="1" ht="18" customHeight="1">
      <c r="A856" s="187" t="str">
        <f t="shared" si="13"/>
        <v>V10102B</v>
      </c>
      <c r="B856" s="208" t="s">
        <v>1734</v>
      </c>
      <c r="C856" s="208"/>
      <c r="D856" s="208" t="s">
        <v>1738</v>
      </c>
      <c r="E856" s="208" t="s">
        <v>29</v>
      </c>
      <c r="F856" s="208" t="s">
        <v>5084</v>
      </c>
      <c r="G856" s="208" t="s">
        <v>1735</v>
      </c>
      <c r="H856" s="208"/>
      <c r="I856" s="208" t="s">
        <v>1736</v>
      </c>
      <c r="J856" s="208" t="s">
        <v>4323</v>
      </c>
      <c r="K856" s="208" t="s">
        <v>1737</v>
      </c>
      <c r="L856" s="208"/>
      <c r="M856" s="209"/>
      <c r="N856" s="208"/>
      <c r="O856" s="208" t="s">
        <v>260</v>
      </c>
      <c r="P856" s="208" t="s">
        <v>91</v>
      </c>
    </row>
    <row r="857" spans="1:16" s="187" customFormat="1" ht="18" customHeight="1">
      <c r="A857" s="187" t="str">
        <f t="shared" si="13"/>
        <v>V10102C</v>
      </c>
      <c r="B857" s="206" t="s">
        <v>1734</v>
      </c>
      <c r="C857" s="206"/>
      <c r="D857" s="206" t="s">
        <v>1739</v>
      </c>
      <c r="E857" s="206" t="s">
        <v>29</v>
      </c>
      <c r="F857" s="206" t="s">
        <v>5084</v>
      </c>
      <c r="G857" s="206" t="s">
        <v>1735</v>
      </c>
      <c r="H857" s="206"/>
      <c r="I857" s="206" t="s">
        <v>1736</v>
      </c>
      <c r="J857" s="206" t="s">
        <v>4323</v>
      </c>
      <c r="K857" s="206" t="s">
        <v>1737</v>
      </c>
      <c r="L857" s="206"/>
      <c r="M857" s="207"/>
      <c r="N857" s="206"/>
      <c r="O857" s="206" t="s">
        <v>260</v>
      </c>
      <c r="P857" s="206" t="s">
        <v>91</v>
      </c>
    </row>
    <row r="858" spans="1:16" s="187" customFormat="1" ht="18" customHeight="1">
      <c r="A858" s="187" t="str">
        <f t="shared" si="13"/>
        <v>CG440014C0</v>
      </c>
      <c r="B858" s="208" t="s">
        <v>1741</v>
      </c>
      <c r="C858" s="208"/>
      <c r="D858" s="208" t="s">
        <v>1740</v>
      </c>
      <c r="E858" s="208" t="s">
        <v>29</v>
      </c>
      <c r="F858" s="208" t="s">
        <v>5084</v>
      </c>
      <c r="G858" s="208"/>
      <c r="H858" s="208"/>
      <c r="I858" s="208"/>
      <c r="J858" s="208"/>
      <c r="K858" s="208"/>
      <c r="L858" s="208"/>
      <c r="M858" s="209"/>
      <c r="N858" s="208"/>
      <c r="O858" s="208"/>
      <c r="P858" s="208" t="s">
        <v>100</v>
      </c>
    </row>
    <row r="859" spans="1:16" s="187" customFormat="1" ht="18" customHeight="1">
      <c r="A859" s="187" t="str">
        <f t="shared" si="13"/>
        <v>V10063A</v>
      </c>
      <c r="B859" s="206" t="s">
        <v>1743</v>
      </c>
      <c r="C859" s="206"/>
      <c r="D859" s="206" t="s">
        <v>1742</v>
      </c>
      <c r="E859" s="206" t="s">
        <v>29</v>
      </c>
      <c r="F859" s="206" t="s">
        <v>1744</v>
      </c>
      <c r="G859" s="206"/>
      <c r="H859" s="206"/>
      <c r="I859" s="206" t="s">
        <v>1745</v>
      </c>
      <c r="J859" s="206" t="s">
        <v>1746</v>
      </c>
      <c r="K859" s="206" t="s">
        <v>1747</v>
      </c>
      <c r="L859" s="206"/>
      <c r="M859" s="207"/>
      <c r="N859" s="206"/>
      <c r="O859" s="206" t="s">
        <v>260</v>
      </c>
      <c r="P859" s="206" t="s">
        <v>91</v>
      </c>
    </row>
    <row r="860" spans="1:16" s="187" customFormat="1" ht="18" customHeight="1">
      <c r="A860" s="187" t="str">
        <f t="shared" si="13"/>
        <v>V10063B</v>
      </c>
      <c r="B860" s="208" t="s">
        <v>1743</v>
      </c>
      <c r="C860" s="208"/>
      <c r="D860" s="208" t="s">
        <v>1748</v>
      </c>
      <c r="E860" s="208" t="s">
        <v>29</v>
      </c>
      <c r="F860" s="208" t="s">
        <v>1744</v>
      </c>
      <c r="G860" s="208"/>
      <c r="H860" s="208"/>
      <c r="I860" s="208" t="s">
        <v>1745</v>
      </c>
      <c r="J860" s="208" t="s">
        <v>1746</v>
      </c>
      <c r="K860" s="208" t="s">
        <v>1747</v>
      </c>
      <c r="L860" s="208"/>
      <c r="M860" s="209"/>
      <c r="N860" s="208"/>
      <c r="O860" s="208" t="s">
        <v>260</v>
      </c>
      <c r="P860" s="208" t="s">
        <v>91</v>
      </c>
    </row>
    <row r="861" spans="1:16" s="187" customFormat="1" ht="18" customHeight="1">
      <c r="A861" s="187" t="str">
        <f t="shared" si="13"/>
        <v>V10063C</v>
      </c>
      <c r="B861" s="206" t="s">
        <v>1743</v>
      </c>
      <c r="C861" s="206"/>
      <c r="D861" s="206" t="s">
        <v>1749</v>
      </c>
      <c r="E861" s="206" t="s">
        <v>29</v>
      </c>
      <c r="F861" s="206" t="s">
        <v>1744</v>
      </c>
      <c r="G861" s="206"/>
      <c r="H861" s="206"/>
      <c r="I861" s="206" t="s">
        <v>1745</v>
      </c>
      <c r="J861" s="206" t="s">
        <v>1746</v>
      </c>
      <c r="K861" s="206" t="s">
        <v>1747</v>
      </c>
      <c r="L861" s="206"/>
      <c r="M861" s="207"/>
      <c r="N861" s="206"/>
      <c r="O861" s="206" t="s">
        <v>260</v>
      </c>
      <c r="P861" s="206" t="s">
        <v>91</v>
      </c>
    </row>
    <row r="862" spans="1:16" s="187" customFormat="1" ht="18" customHeight="1">
      <c r="A862" s="187" t="str">
        <f t="shared" si="13"/>
        <v>V10247C</v>
      </c>
      <c r="B862" s="208" t="s">
        <v>1751</v>
      </c>
      <c r="C862" s="208"/>
      <c r="D862" s="208" t="s">
        <v>1750</v>
      </c>
      <c r="E862" s="208" t="s">
        <v>29</v>
      </c>
      <c r="F862" s="208" t="s">
        <v>1744</v>
      </c>
      <c r="G862" s="208"/>
      <c r="H862" s="208"/>
      <c r="I862" s="208" t="s">
        <v>1745</v>
      </c>
      <c r="J862" s="208" t="s">
        <v>1746</v>
      </c>
      <c r="K862" s="208" t="s">
        <v>1747</v>
      </c>
      <c r="L862" s="208"/>
      <c r="M862" s="209"/>
      <c r="N862" s="208"/>
      <c r="O862" s="208" t="s">
        <v>260</v>
      </c>
      <c r="P862" s="208" t="s">
        <v>91</v>
      </c>
    </row>
    <row r="863" spans="1:16" s="187" customFormat="1" ht="18" customHeight="1">
      <c r="A863" s="187" t="str">
        <f t="shared" si="13"/>
        <v>V10247B</v>
      </c>
      <c r="B863" s="206" t="s">
        <v>1751</v>
      </c>
      <c r="C863" s="206"/>
      <c r="D863" s="206" t="s">
        <v>4324</v>
      </c>
      <c r="E863" s="206" t="s">
        <v>29</v>
      </c>
      <c r="F863" s="206" t="s">
        <v>4325</v>
      </c>
      <c r="G863" s="206"/>
      <c r="H863" s="206"/>
      <c r="I863" s="206"/>
      <c r="J863" s="206"/>
      <c r="K863" s="206"/>
      <c r="L863" s="206"/>
      <c r="M863" s="207"/>
      <c r="N863" s="206"/>
      <c r="O863" s="206"/>
      <c r="P863" s="206" t="s">
        <v>91</v>
      </c>
    </row>
    <row r="864" spans="1:16" s="187" customFormat="1" ht="18" customHeight="1">
      <c r="A864" s="187" t="str">
        <f t="shared" si="13"/>
        <v>V10464C</v>
      </c>
      <c r="B864" s="208" t="s">
        <v>5734</v>
      </c>
      <c r="C864" s="208"/>
      <c r="D864" s="208" t="s">
        <v>5735</v>
      </c>
      <c r="E864" s="208" t="s">
        <v>29</v>
      </c>
      <c r="F864" s="208" t="s">
        <v>5736</v>
      </c>
      <c r="G864" s="208" t="s">
        <v>5737</v>
      </c>
      <c r="H864" s="208"/>
      <c r="I864" s="208"/>
      <c r="J864" s="208" t="s">
        <v>5858</v>
      </c>
      <c r="K864" s="208" t="s">
        <v>5859</v>
      </c>
      <c r="L864" s="208"/>
      <c r="M864" s="209"/>
      <c r="N864" s="208"/>
      <c r="O864" s="208"/>
      <c r="P864" s="208" t="s">
        <v>91</v>
      </c>
    </row>
    <row r="865" spans="1:16" s="187" customFormat="1" ht="18" customHeight="1">
      <c r="A865" s="187" t="str">
        <f t="shared" si="13"/>
        <v>V10015A</v>
      </c>
      <c r="B865" s="206" t="s">
        <v>1753</v>
      </c>
      <c r="C865" s="206"/>
      <c r="D865" s="206" t="s">
        <v>1752</v>
      </c>
      <c r="E865" s="206" t="s">
        <v>29</v>
      </c>
      <c r="F865" s="206" t="s">
        <v>1754</v>
      </c>
      <c r="G865" s="206"/>
      <c r="H865" s="206"/>
      <c r="I865" s="206"/>
      <c r="J865" s="206" t="s">
        <v>1755</v>
      </c>
      <c r="K865" s="206" t="s">
        <v>1756</v>
      </c>
      <c r="L865" s="206"/>
      <c r="M865" s="207"/>
      <c r="N865" s="206"/>
      <c r="O865" s="206" t="s">
        <v>260</v>
      </c>
      <c r="P865" s="206" t="s">
        <v>91</v>
      </c>
    </row>
    <row r="866" spans="1:16" s="187" customFormat="1" ht="18" customHeight="1">
      <c r="A866" s="187" t="str">
        <f t="shared" si="13"/>
        <v>V10015B</v>
      </c>
      <c r="B866" s="208" t="s">
        <v>1753</v>
      </c>
      <c r="C866" s="208"/>
      <c r="D866" s="208" t="s">
        <v>1757</v>
      </c>
      <c r="E866" s="208" t="s">
        <v>29</v>
      </c>
      <c r="F866" s="208" t="s">
        <v>1754</v>
      </c>
      <c r="G866" s="208" t="s">
        <v>1758</v>
      </c>
      <c r="H866" s="208"/>
      <c r="I866" s="208"/>
      <c r="J866" s="208" t="s">
        <v>1755</v>
      </c>
      <c r="K866" s="208" t="s">
        <v>1756</v>
      </c>
      <c r="L866" s="208"/>
      <c r="M866" s="209"/>
      <c r="N866" s="208"/>
      <c r="O866" s="208" t="s">
        <v>260</v>
      </c>
      <c r="P866" s="208" t="s">
        <v>91</v>
      </c>
    </row>
    <row r="867" spans="1:16" s="187" customFormat="1" ht="18" customHeight="1">
      <c r="A867" s="187" t="str">
        <f t="shared" si="13"/>
        <v>V10015C</v>
      </c>
      <c r="B867" s="206" t="s">
        <v>1753</v>
      </c>
      <c r="C867" s="206"/>
      <c r="D867" s="206" t="s">
        <v>1759</v>
      </c>
      <c r="E867" s="206" t="s">
        <v>29</v>
      </c>
      <c r="F867" s="206" t="s">
        <v>1754</v>
      </c>
      <c r="G867" s="206"/>
      <c r="H867" s="206"/>
      <c r="I867" s="206"/>
      <c r="J867" s="206" t="s">
        <v>1755</v>
      </c>
      <c r="K867" s="206" t="s">
        <v>1756</v>
      </c>
      <c r="L867" s="206"/>
      <c r="M867" s="207"/>
      <c r="N867" s="206"/>
      <c r="O867" s="206" t="s">
        <v>260</v>
      </c>
      <c r="P867" s="206" t="s">
        <v>91</v>
      </c>
    </row>
    <row r="868" spans="1:16" s="187" customFormat="1" ht="18" customHeight="1">
      <c r="A868" s="187" t="str">
        <f t="shared" si="13"/>
        <v>CG440004C0</v>
      </c>
      <c r="B868" s="208" t="s">
        <v>1753</v>
      </c>
      <c r="C868" s="208"/>
      <c r="D868" s="208" t="s">
        <v>1760</v>
      </c>
      <c r="E868" s="208" t="s">
        <v>29</v>
      </c>
      <c r="F868" s="208" t="s">
        <v>1754</v>
      </c>
      <c r="G868" s="208"/>
      <c r="H868" s="208"/>
      <c r="I868" s="208"/>
      <c r="J868" s="208"/>
      <c r="K868" s="208"/>
      <c r="L868" s="208"/>
      <c r="M868" s="209"/>
      <c r="N868" s="208"/>
      <c r="O868" s="208"/>
      <c r="P868" s="208" t="s">
        <v>100</v>
      </c>
    </row>
    <row r="869" spans="1:16" s="187" customFormat="1" ht="18" customHeight="1">
      <c r="A869" s="187" t="str">
        <f t="shared" si="13"/>
        <v>V10309C</v>
      </c>
      <c r="B869" s="206" t="s">
        <v>4327</v>
      </c>
      <c r="C869" s="206"/>
      <c r="D869" s="206" t="s">
        <v>5738</v>
      </c>
      <c r="E869" s="206" t="s">
        <v>29</v>
      </c>
      <c r="F869" s="206" t="s">
        <v>4328</v>
      </c>
      <c r="G869" s="206" t="s">
        <v>4329</v>
      </c>
      <c r="H869" s="206"/>
      <c r="I869" s="206" t="s">
        <v>4330</v>
      </c>
      <c r="J869" s="206" t="s">
        <v>4331</v>
      </c>
      <c r="K869" s="206" t="s">
        <v>4332</v>
      </c>
      <c r="L869" s="206"/>
      <c r="M869" s="207"/>
      <c r="N869" s="206"/>
      <c r="O869" s="206"/>
      <c r="P869" s="206" t="s">
        <v>91</v>
      </c>
    </row>
    <row r="870" spans="1:16" s="187" customFormat="1" ht="18" customHeight="1">
      <c r="A870" s="187" t="str">
        <f t="shared" si="13"/>
        <v>V10309B</v>
      </c>
      <c r="B870" s="208" t="s">
        <v>4327</v>
      </c>
      <c r="C870" s="208"/>
      <c r="D870" s="208" t="s">
        <v>4326</v>
      </c>
      <c r="E870" s="208" t="s">
        <v>29</v>
      </c>
      <c r="F870" s="208" t="s">
        <v>4328</v>
      </c>
      <c r="G870" s="208" t="s">
        <v>4329</v>
      </c>
      <c r="H870" s="208"/>
      <c r="I870" s="208" t="s">
        <v>4330</v>
      </c>
      <c r="J870" s="208" t="s">
        <v>4331</v>
      </c>
      <c r="K870" s="208" t="s">
        <v>4332</v>
      </c>
      <c r="L870" s="208"/>
      <c r="M870" s="209"/>
      <c r="N870" s="208"/>
      <c r="O870" s="208"/>
      <c r="P870" s="208" t="s">
        <v>91</v>
      </c>
    </row>
    <row r="871" spans="1:16" s="187" customFormat="1" ht="18" customHeight="1">
      <c r="A871" s="187" t="str">
        <f t="shared" si="13"/>
        <v>V10097A</v>
      </c>
      <c r="B871" s="206" t="s">
        <v>1762</v>
      </c>
      <c r="C871" s="206"/>
      <c r="D871" s="206" t="s">
        <v>1761</v>
      </c>
      <c r="E871" s="206" t="s">
        <v>29</v>
      </c>
      <c r="F871" s="206" t="s">
        <v>1763</v>
      </c>
      <c r="G871" s="206" t="s">
        <v>1764</v>
      </c>
      <c r="H871" s="206"/>
      <c r="I871" s="206" t="s">
        <v>1765</v>
      </c>
      <c r="J871" s="206" t="s">
        <v>1092</v>
      </c>
      <c r="K871" s="206" t="s">
        <v>1766</v>
      </c>
      <c r="L871" s="206"/>
      <c r="M871" s="207"/>
      <c r="N871" s="206"/>
      <c r="O871" s="206" t="s">
        <v>260</v>
      </c>
      <c r="P871" s="206" t="s">
        <v>91</v>
      </c>
    </row>
    <row r="872" spans="1:16" s="187" customFormat="1" ht="18" customHeight="1">
      <c r="A872" s="187" t="str">
        <f t="shared" si="13"/>
        <v>V10097B</v>
      </c>
      <c r="B872" s="208" t="s">
        <v>1762</v>
      </c>
      <c r="C872" s="208"/>
      <c r="D872" s="208" t="s">
        <v>1767</v>
      </c>
      <c r="E872" s="208" t="s">
        <v>29</v>
      </c>
      <c r="F872" s="208" t="s">
        <v>1763</v>
      </c>
      <c r="G872" s="208" t="s">
        <v>1764</v>
      </c>
      <c r="H872" s="208"/>
      <c r="I872" s="208" t="s">
        <v>1765</v>
      </c>
      <c r="J872" s="208" t="s">
        <v>1092</v>
      </c>
      <c r="K872" s="208" t="s">
        <v>1766</v>
      </c>
      <c r="L872" s="208"/>
      <c r="M872" s="209"/>
      <c r="N872" s="208"/>
      <c r="O872" s="208" t="s">
        <v>260</v>
      </c>
      <c r="P872" s="208" t="s">
        <v>91</v>
      </c>
    </row>
    <row r="873" spans="1:16" s="187" customFormat="1" ht="18" customHeight="1">
      <c r="A873" s="187" t="str">
        <f t="shared" si="13"/>
        <v>V10097C</v>
      </c>
      <c r="B873" s="206" t="s">
        <v>1762</v>
      </c>
      <c r="C873" s="206"/>
      <c r="D873" s="206" t="s">
        <v>1768</v>
      </c>
      <c r="E873" s="206" t="s">
        <v>29</v>
      </c>
      <c r="F873" s="206" t="s">
        <v>1763</v>
      </c>
      <c r="G873" s="206" t="s">
        <v>1764</v>
      </c>
      <c r="H873" s="206"/>
      <c r="I873" s="206" t="s">
        <v>1765</v>
      </c>
      <c r="J873" s="206" t="s">
        <v>1092</v>
      </c>
      <c r="K873" s="206" t="s">
        <v>1766</v>
      </c>
      <c r="L873" s="206"/>
      <c r="M873" s="207"/>
      <c r="N873" s="206"/>
      <c r="O873" s="206" t="s">
        <v>260</v>
      </c>
      <c r="P873" s="206" t="s">
        <v>91</v>
      </c>
    </row>
    <row r="874" spans="1:16" s="187" customFormat="1" ht="18" customHeight="1">
      <c r="A874" s="187" t="str">
        <f t="shared" si="13"/>
        <v>V10283C</v>
      </c>
      <c r="B874" s="208" t="s">
        <v>1770</v>
      </c>
      <c r="C874" s="208"/>
      <c r="D874" s="208" t="s">
        <v>1769</v>
      </c>
      <c r="E874" s="208" t="s">
        <v>29</v>
      </c>
      <c r="F874" s="208" t="s">
        <v>1771</v>
      </c>
      <c r="G874" s="208"/>
      <c r="H874" s="208"/>
      <c r="I874" s="208"/>
      <c r="J874" s="208" t="s">
        <v>1772</v>
      </c>
      <c r="K874" s="208" t="s">
        <v>1773</v>
      </c>
      <c r="L874" s="208"/>
      <c r="M874" s="209"/>
      <c r="N874" s="208"/>
      <c r="O874" s="208"/>
      <c r="P874" s="208" t="s">
        <v>91</v>
      </c>
    </row>
    <row r="875" spans="1:16" s="187" customFormat="1" ht="18" customHeight="1">
      <c r="A875" s="187" t="str">
        <f t="shared" si="13"/>
        <v>LS-000166</v>
      </c>
      <c r="B875" s="206" t="s">
        <v>1775</v>
      </c>
      <c r="C875" s="206"/>
      <c r="D875" s="206" t="s">
        <v>1774</v>
      </c>
      <c r="E875" s="206" t="s">
        <v>151</v>
      </c>
      <c r="F875" s="206" t="s">
        <v>1776</v>
      </c>
      <c r="G875" s="206" t="s">
        <v>1777</v>
      </c>
      <c r="H875" s="206"/>
      <c r="I875" s="206" t="s">
        <v>1778</v>
      </c>
      <c r="J875" s="206" t="s">
        <v>1519</v>
      </c>
      <c r="K875" s="206" t="s">
        <v>1779</v>
      </c>
      <c r="L875" s="206"/>
      <c r="M875" s="207"/>
      <c r="N875" s="206"/>
      <c r="O875" s="206"/>
      <c r="P875" s="206"/>
    </row>
    <row r="876" spans="1:16" s="187" customFormat="1" ht="18" customHeight="1">
      <c r="A876" s="187" t="str">
        <f t="shared" si="13"/>
        <v>HONG_MON</v>
      </c>
      <c r="B876" s="208" t="s">
        <v>1781</v>
      </c>
      <c r="C876" s="208"/>
      <c r="D876" s="208" t="s">
        <v>1780</v>
      </c>
      <c r="E876" s="208" t="s">
        <v>29</v>
      </c>
      <c r="F876" s="208" t="s">
        <v>1782</v>
      </c>
      <c r="G876" s="208"/>
      <c r="H876" s="208"/>
      <c r="I876" s="208" t="s">
        <v>1783</v>
      </c>
      <c r="J876" s="208"/>
      <c r="K876" s="208"/>
      <c r="L876" s="208"/>
      <c r="M876" s="209"/>
      <c r="N876" s="208"/>
      <c r="O876" s="208"/>
      <c r="P876" s="208" t="s">
        <v>91</v>
      </c>
    </row>
    <row r="877" spans="1:16" s="187" customFormat="1" ht="18" customHeight="1">
      <c r="A877" s="187" t="str">
        <f t="shared" si="13"/>
        <v>V10519C</v>
      </c>
      <c r="B877" s="206" t="s">
        <v>6362</v>
      </c>
      <c r="C877" s="206"/>
      <c r="D877" s="206" t="s">
        <v>6363</v>
      </c>
      <c r="E877" s="206" t="s">
        <v>29</v>
      </c>
      <c r="F877" s="206" t="s">
        <v>6364</v>
      </c>
      <c r="G877" s="206" t="s">
        <v>6365</v>
      </c>
      <c r="H877" s="206"/>
      <c r="I877" s="206"/>
      <c r="J877" s="206" t="s">
        <v>6366</v>
      </c>
      <c r="K877" s="206" t="s">
        <v>6367</v>
      </c>
      <c r="L877" s="206"/>
      <c r="M877" s="207"/>
      <c r="N877" s="206"/>
      <c r="O877" s="206" t="s">
        <v>260</v>
      </c>
      <c r="P877" s="206" t="s">
        <v>91</v>
      </c>
    </row>
    <row r="878" spans="1:16" s="187" customFormat="1" ht="18" customHeight="1">
      <c r="A878" s="187" t="str">
        <f t="shared" si="13"/>
        <v>V10488B</v>
      </c>
      <c r="B878" s="208" t="s">
        <v>6137</v>
      </c>
      <c r="C878" s="208"/>
      <c r="D878" s="208" t="s">
        <v>6138</v>
      </c>
      <c r="E878" s="208" t="s">
        <v>29</v>
      </c>
      <c r="F878" s="208" t="s">
        <v>6139</v>
      </c>
      <c r="G878" s="208" t="s">
        <v>6140</v>
      </c>
      <c r="H878" s="208"/>
      <c r="I878" s="208" t="s">
        <v>6141</v>
      </c>
      <c r="J878" s="208" t="s">
        <v>6142</v>
      </c>
      <c r="K878" s="208" t="s">
        <v>6143</v>
      </c>
      <c r="L878" s="208"/>
      <c r="M878" s="209"/>
      <c r="N878" s="208"/>
      <c r="O878" s="208"/>
      <c r="P878" s="208" t="s">
        <v>91</v>
      </c>
    </row>
    <row r="879" spans="1:16" s="187" customFormat="1" ht="18" customHeight="1">
      <c r="A879" s="187" t="str">
        <f t="shared" si="13"/>
        <v>V10488C</v>
      </c>
      <c r="B879" s="206" t="s">
        <v>6137</v>
      </c>
      <c r="C879" s="206"/>
      <c r="D879" s="206" t="s">
        <v>6144</v>
      </c>
      <c r="E879" s="206" t="s">
        <v>29</v>
      </c>
      <c r="F879" s="206" t="s">
        <v>6139</v>
      </c>
      <c r="G879" s="206" t="s">
        <v>6140</v>
      </c>
      <c r="H879" s="206"/>
      <c r="I879" s="206"/>
      <c r="J879" s="206" t="s">
        <v>6142</v>
      </c>
      <c r="K879" s="206" t="s">
        <v>6143</v>
      </c>
      <c r="L879" s="206"/>
      <c r="M879" s="207"/>
      <c r="N879" s="206"/>
      <c r="O879" s="206"/>
      <c r="P879" s="206" t="s">
        <v>91</v>
      </c>
    </row>
    <row r="880" spans="1:16" s="187" customFormat="1" ht="18" customHeight="1">
      <c r="A880" s="187" t="str">
        <f t="shared" si="13"/>
        <v>V10523C</v>
      </c>
      <c r="B880" s="208" t="s">
        <v>6368</v>
      </c>
      <c r="C880" s="208"/>
      <c r="D880" s="208" t="s">
        <v>6369</v>
      </c>
      <c r="E880" s="208" t="s">
        <v>29</v>
      </c>
      <c r="F880" s="208" t="s">
        <v>6370</v>
      </c>
      <c r="G880" s="208" t="s">
        <v>6371</v>
      </c>
      <c r="H880" s="208"/>
      <c r="I880" s="208" t="s">
        <v>6372</v>
      </c>
      <c r="J880" s="208" t="s">
        <v>6373</v>
      </c>
      <c r="K880" s="208" t="s">
        <v>6374</v>
      </c>
      <c r="L880" s="208"/>
      <c r="M880" s="209"/>
      <c r="N880" s="208"/>
      <c r="O880" s="208" t="s">
        <v>260</v>
      </c>
      <c r="P880" s="208" t="s">
        <v>91</v>
      </c>
    </row>
    <row r="881" spans="1:16" s="187" customFormat="1" ht="18" customHeight="1">
      <c r="A881" s="187" t="str">
        <f t="shared" si="13"/>
        <v>V10189A</v>
      </c>
      <c r="B881" s="206" t="s">
        <v>1785</v>
      </c>
      <c r="C881" s="206"/>
      <c r="D881" s="206" t="s">
        <v>1784</v>
      </c>
      <c r="E881" s="206" t="s">
        <v>29</v>
      </c>
      <c r="F881" s="206" t="s">
        <v>1786</v>
      </c>
      <c r="G881" s="206" t="s">
        <v>1787</v>
      </c>
      <c r="H881" s="206"/>
      <c r="I881" s="206" t="s">
        <v>1788</v>
      </c>
      <c r="J881" s="206" t="s">
        <v>1789</v>
      </c>
      <c r="K881" s="206" t="s">
        <v>1790</v>
      </c>
      <c r="L881" s="206"/>
      <c r="M881" s="207"/>
      <c r="N881" s="206"/>
      <c r="O881" s="206" t="s">
        <v>260</v>
      </c>
      <c r="P881" s="206" t="s">
        <v>91</v>
      </c>
    </row>
    <row r="882" spans="1:16" s="187" customFormat="1" ht="18" customHeight="1">
      <c r="A882" s="187" t="str">
        <f t="shared" si="13"/>
        <v>V10189B</v>
      </c>
      <c r="B882" s="208" t="s">
        <v>1785</v>
      </c>
      <c r="C882" s="208"/>
      <c r="D882" s="208" t="s">
        <v>1791</v>
      </c>
      <c r="E882" s="208" t="s">
        <v>29</v>
      </c>
      <c r="F882" s="208" t="s">
        <v>1786</v>
      </c>
      <c r="G882" s="208" t="s">
        <v>1787</v>
      </c>
      <c r="H882" s="208"/>
      <c r="I882" s="208" t="s">
        <v>1788</v>
      </c>
      <c r="J882" s="208" t="s">
        <v>1789</v>
      </c>
      <c r="K882" s="208" t="s">
        <v>1790</v>
      </c>
      <c r="L882" s="208"/>
      <c r="M882" s="209"/>
      <c r="N882" s="208"/>
      <c r="O882" s="208" t="s">
        <v>260</v>
      </c>
      <c r="P882" s="208" t="s">
        <v>91</v>
      </c>
    </row>
    <row r="883" spans="1:16" s="187" customFormat="1" ht="18" customHeight="1">
      <c r="A883" s="187" t="str">
        <f t="shared" si="13"/>
        <v>V10189C</v>
      </c>
      <c r="B883" s="206" t="s">
        <v>1785</v>
      </c>
      <c r="C883" s="206"/>
      <c r="D883" s="206" t="s">
        <v>1792</v>
      </c>
      <c r="E883" s="206" t="s">
        <v>29</v>
      </c>
      <c r="F883" s="206" t="s">
        <v>1786</v>
      </c>
      <c r="G883" s="206" t="s">
        <v>1787</v>
      </c>
      <c r="H883" s="206"/>
      <c r="I883" s="206" t="s">
        <v>1788</v>
      </c>
      <c r="J883" s="206" t="s">
        <v>1789</v>
      </c>
      <c r="K883" s="206" t="s">
        <v>1790</v>
      </c>
      <c r="L883" s="206"/>
      <c r="M883" s="207"/>
      <c r="N883" s="206"/>
      <c r="O883" s="206" t="s">
        <v>260</v>
      </c>
      <c r="P883" s="206" t="s">
        <v>91</v>
      </c>
    </row>
    <row r="884" spans="1:16" s="187" customFormat="1" ht="18" customHeight="1">
      <c r="A884" s="187" t="str">
        <f t="shared" si="13"/>
        <v>V10255</v>
      </c>
      <c r="B884" s="208" t="s">
        <v>4334</v>
      </c>
      <c r="C884" s="208"/>
      <c r="D884" s="208" t="s">
        <v>4333</v>
      </c>
      <c r="E884" s="208" t="s">
        <v>29</v>
      </c>
      <c r="F884" s="208" t="s">
        <v>4335</v>
      </c>
      <c r="G884" s="208"/>
      <c r="H884" s="208"/>
      <c r="I884" s="208"/>
      <c r="J884" s="208"/>
      <c r="K884" s="208"/>
      <c r="L884" s="208"/>
      <c r="M884" s="209"/>
      <c r="N884" s="208"/>
      <c r="O884" s="208"/>
      <c r="P884" s="208" t="s">
        <v>91</v>
      </c>
    </row>
    <row r="885" spans="1:16" s="187" customFormat="1" ht="18" customHeight="1">
      <c r="A885" s="187" t="str">
        <f t="shared" si="13"/>
        <v>V10255C</v>
      </c>
      <c r="B885" s="206" t="s">
        <v>1794</v>
      </c>
      <c r="C885" s="206"/>
      <c r="D885" s="206" t="s">
        <v>1793</v>
      </c>
      <c r="E885" s="206" t="s">
        <v>29</v>
      </c>
      <c r="F885" s="206" t="s">
        <v>1795</v>
      </c>
      <c r="G885" s="206" t="s">
        <v>1796</v>
      </c>
      <c r="H885" s="206"/>
      <c r="I885" s="206" t="s">
        <v>1797</v>
      </c>
      <c r="J885" s="206" t="s">
        <v>1798</v>
      </c>
      <c r="K885" s="206" t="s">
        <v>1799</v>
      </c>
      <c r="L885" s="206"/>
      <c r="M885" s="207"/>
      <c r="N885" s="206"/>
      <c r="O885" s="206"/>
      <c r="P885" s="206" t="s">
        <v>91</v>
      </c>
    </row>
    <row r="886" spans="1:16" s="187" customFormat="1" ht="18" customHeight="1">
      <c r="A886" s="187" t="str">
        <f t="shared" si="13"/>
        <v>V10331C</v>
      </c>
      <c r="B886" s="208" t="s">
        <v>4337</v>
      </c>
      <c r="C886" s="208"/>
      <c r="D886" s="208" t="s">
        <v>4336</v>
      </c>
      <c r="E886" s="208" t="s">
        <v>29</v>
      </c>
      <c r="F886" s="208" t="s">
        <v>4338</v>
      </c>
      <c r="G886" s="208"/>
      <c r="H886" s="208"/>
      <c r="I886" s="208" t="s">
        <v>4339</v>
      </c>
      <c r="J886" s="208" t="s">
        <v>4340</v>
      </c>
      <c r="K886" s="208" t="s">
        <v>4341</v>
      </c>
      <c r="L886" s="208"/>
      <c r="M886" s="209"/>
      <c r="N886" s="208"/>
      <c r="O886" s="208"/>
      <c r="P886" s="208" t="s">
        <v>91</v>
      </c>
    </row>
    <row r="887" spans="1:16" s="187" customFormat="1" ht="18" customHeight="1">
      <c r="A887" s="187" t="str">
        <f t="shared" si="13"/>
        <v>V10013A</v>
      </c>
      <c r="B887" s="206" t="s">
        <v>1801</v>
      </c>
      <c r="C887" s="206"/>
      <c r="D887" s="206" t="s">
        <v>1800</v>
      </c>
      <c r="E887" s="206" t="s">
        <v>29</v>
      </c>
      <c r="F887" s="206" t="s">
        <v>1802</v>
      </c>
      <c r="G887" s="206" t="s">
        <v>1803</v>
      </c>
      <c r="H887" s="206"/>
      <c r="I887" s="206" t="s">
        <v>1804</v>
      </c>
      <c r="J887" s="206" t="s">
        <v>1805</v>
      </c>
      <c r="K887" s="206" t="s">
        <v>1806</v>
      </c>
      <c r="L887" s="206"/>
      <c r="M887" s="207"/>
      <c r="N887" s="206"/>
      <c r="O887" s="206" t="s">
        <v>260</v>
      </c>
      <c r="P887" s="206" t="s">
        <v>91</v>
      </c>
    </row>
    <row r="888" spans="1:16" s="187" customFormat="1" ht="18" customHeight="1">
      <c r="A888" s="187" t="str">
        <f t="shared" si="13"/>
        <v>V10013B</v>
      </c>
      <c r="B888" s="208" t="s">
        <v>1801</v>
      </c>
      <c r="C888" s="208"/>
      <c r="D888" s="208" t="s">
        <v>1807</v>
      </c>
      <c r="E888" s="208" t="s">
        <v>29</v>
      </c>
      <c r="F888" s="208" t="s">
        <v>1802</v>
      </c>
      <c r="G888" s="208" t="s">
        <v>1803</v>
      </c>
      <c r="H888" s="208"/>
      <c r="I888" s="208" t="s">
        <v>1804</v>
      </c>
      <c r="J888" s="208" t="s">
        <v>1805</v>
      </c>
      <c r="K888" s="208" t="s">
        <v>1806</v>
      </c>
      <c r="L888" s="208"/>
      <c r="M888" s="209"/>
      <c r="N888" s="208"/>
      <c r="O888" s="208" t="s">
        <v>260</v>
      </c>
      <c r="P888" s="208" t="s">
        <v>91</v>
      </c>
    </row>
    <row r="889" spans="1:16" s="187" customFormat="1" ht="18" customHeight="1">
      <c r="A889" s="187" t="str">
        <f t="shared" si="13"/>
        <v>V10013C</v>
      </c>
      <c r="B889" s="206" t="s">
        <v>1801</v>
      </c>
      <c r="C889" s="206"/>
      <c r="D889" s="206" t="s">
        <v>1808</v>
      </c>
      <c r="E889" s="206" t="s">
        <v>29</v>
      </c>
      <c r="F889" s="206" t="s">
        <v>1802</v>
      </c>
      <c r="G889" s="206" t="s">
        <v>1803</v>
      </c>
      <c r="H889" s="206"/>
      <c r="I889" s="206" t="s">
        <v>1804</v>
      </c>
      <c r="J889" s="206" t="s">
        <v>1805</v>
      </c>
      <c r="K889" s="206" t="s">
        <v>1806</v>
      </c>
      <c r="L889" s="206"/>
      <c r="M889" s="207"/>
      <c r="N889" s="206"/>
      <c r="O889" s="206" t="s">
        <v>260</v>
      </c>
      <c r="P889" s="206" t="s">
        <v>91</v>
      </c>
    </row>
    <row r="890" spans="1:16" s="187" customFormat="1" ht="18" customHeight="1">
      <c r="A890" s="187" t="str">
        <f t="shared" si="13"/>
        <v>V10060A</v>
      </c>
      <c r="B890" s="208" t="s">
        <v>1810</v>
      </c>
      <c r="C890" s="208"/>
      <c r="D890" s="208" t="s">
        <v>1809</v>
      </c>
      <c r="E890" s="208" t="s">
        <v>29</v>
      </c>
      <c r="F890" s="208" t="s">
        <v>1811</v>
      </c>
      <c r="G890" s="208" t="s">
        <v>1812</v>
      </c>
      <c r="H890" s="208"/>
      <c r="I890" s="208"/>
      <c r="J890" s="208" t="s">
        <v>1813</v>
      </c>
      <c r="K890" s="208" t="s">
        <v>1814</v>
      </c>
      <c r="L890" s="208"/>
      <c r="M890" s="209"/>
      <c r="N890" s="208"/>
      <c r="O890" s="208" t="s">
        <v>260</v>
      </c>
      <c r="P890" s="208" t="s">
        <v>91</v>
      </c>
    </row>
    <row r="891" spans="1:16" s="187" customFormat="1" ht="18" customHeight="1">
      <c r="A891" s="187" t="str">
        <f t="shared" si="13"/>
        <v>V10060B</v>
      </c>
      <c r="B891" s="206" t="s">
        <v>1810</v>
      </c>
      <c r="C891" s="206"/>
      <c r="D891" s="206" t="s">
        <v>1815</v>
      </c>
      <c r="E891" s="206" t="s">
        <v>29</v>
      </c>
      <c r="F891" s="206" t="s">
        <v>1811</v>
      </c>
      <c r="G891" s="206" t="s">
        <v>1812</v>
      </c>
      <c r="H891" s="206"/>
      <c r="I891" s="206"/>
      <c r="J891" s="206" t="s">
        <v>1813</v>
      </c>
      <c r="K891" s="206" t="s">
        <v>1814</v>
      </c>
      <c r="L891" s="206"/>
      <c r="M891" s="207"/>
      <c r="N891" s="206"/>
      <c r="O891" s="206" t="s">
        <v>260</v>
      </c>
      <c r="P891" s="206" t="s">
        <v>91</v>
      </c>
    </row>
    <row r="892" spans="1:16" s="187" customFormat="1" ht="18" customHeight="1">
      <c r="A892" s="187" t="str">
        <f t="shared" si="13"/>
        <v>V10060C</v>
      </c>
      <c r="B892" s="208" t="s">
        <v>1810</v>
      </c>
      <c r="C892" s="208"/>
      <c r="D892" s="208" t="s">
        <v>1816</v>
      </c>
      <c r="E892" s="208" t="s">
        <v>29</v>
      </c>
      <c r="F892" s="208" t="s">
        <v>1811</v>
      </c>
      <c r="G892" s="208" t="s">
        <v>1812</v>
      </c>
      <c r="H892" s="208"/>
      <c r="I892" s="208"/>
      <c r="J892" s="208" t="s">
        <v>1813</v>
      </c>
      <c r="K892" s="208" t="s">
        <v>1814</v>
      </c>
      <c r="L892" s="208"/>
      <c r="M892" s="209"/>
      <c r="N892" s="208"/>
      <c r="O892" s="208" t="s">
        <v>260</v>
      </c>
      <c r="P892" s="208" t="s">
        <v>91</v>
      </c>
    </row>
    <row r="893" spans="1:16" s="187" customFormat="1" ht="18" customHeight="1">
      <c r="A893" s="187" t="str">
        <f t="shared" si="13"/>
        <v>CG440006C0</v>
      </c>
      <c r="B893" s="206" t="s">
        <v>1810</v>
      </c>
      <c r="C893" s="206"/>
      <c r="D893" s="206" t="s">
        <v>1817</v>
      </c>
      <c r="E893" s="206" t="s">
        <v>29</v>
      </c>
      <c r="F893" s="206" t="s">
        <v>1818</v>
      </c>
      <c r="G893" s="206"/>
      <c r="H893" s="206"/>
      <c r="I893" s="206"/>
      <c r="J893" s="206"/>
      <c r="K893" s="206"/>
      <c r="L893" s="206"/>
      <c r="M893" s="207"/>
      <c r="N893" s="206"/>
      <c r="O893" s="206"/>
      <c r="P893" s="206" t="s">
        <v>100</v>
      </c>
    </row>
    <row r="894" spans="1:16" s="187" customFormat="1" ht="18" customHeight="1">
      <c r="A894" s="187" t="str">
        <f t="shared" si="13"/>
        <v>V10214A</v>
      </c>
      <c r="B894" s="208" t="s">
        <v>1820</v>
      </c>
      <c r="C894" s="208"/>
      <c r="D894" s="208" t="s">
        <v>1819</v>
      </c>
      <c r="E894" s="208" t="s">
        <v>29</v>
      </c>
      <c r="F894" s="208" t="s">
        <v>1821</v>
      </c>
      <c r="G894" s="208" t="s">
        <v>1822</v>
      </c>
      <c r="H894" s="208"/>
      <c r="I894" s="208" t="s">
        <v>1823</v>
      </c>
      <c r="J894" s="208" t="s">
        <v>1824</v>
      </c>
      <c r="K894" s="208" t="s">
        <v>1825</v>
      </c>
      <c r="L894" s="208"/>
      <c r="M894" s="209"/>
      <c r="N894" s="208"/>
      <c r="O894" s="208" t="s">
        <v>260</v>
      </c>
      <c r="P894" s="208" t="s">
        <v>91</v>
      </c>
    </row>
    <row r="895" spans="1:16" s="187" customFormat="1" ht="18" customHeight="1">
      <c r="A895" s="187" t="str">
        <f t="shared" si="13"/>
        <v>V10214B</v>
      </c>
      <c r="B895" s="206" t="s">
        <v>1820</v>
      </c>
      <c r="C895" s="206"/>
      <c r="D895" s="206" t="s">
        <v>1826</v>
      </c>
      <c r="E895" s="206" t="s">
        <v>29</v>
      </c>
      <c r="F895" s="206" t="s">
        <v>1821</v>
      </c>
      <c r="G895" s="206" t="s">
        <v>1822</v>
      </c>
      <c r="H895" s="206"/>
      <c r="I895" s="206" t="s">
        <v>1823</v>
      </c>
      <c r="J895" s="206" t="s">
        <v>1824</v>
      </c>
      <c r="K895" s="206" t="s">
        <v>1825</v>
      </c>
      <c r="L895" s="206"/>
      <c r="M895" s="207"/>
      <c r="N895" s="206"/>
      <c r="O895" s="206" t="s">
        <v>260</v>
      </c>
      <c r="P895" s="206" t="s">
        <v>91</v>
      </c>
    </row>
    <row r="896" spans="1:16" s="187" customFormat="1" ht="18" customHeight="1">
      <c r="A896" s="187" t="str">
        <f t="shared" si="13"/>
        <v>V10214C</v>
      </c>
      <c r="B896" s="208" t="s">
        <v>1820</v>
      </c>
      <c r="C896" s="208"/>
      <c r="D896" s="208" t="s">
        <v>1827</v>
      </c>
      <c r="E896" s="208" t="s">
        <v>29</v>
      </c>
      <c r="F896" s="208" t="s">
        <v>1821</v>
      </c>
      <c r="G896" s="208" t="s">
        <v>1822</v>
      </c>
      <c r="H896" s="208"/>
      <c r="I896" s="208" t="s">
        <v>1823</v>
      </c>
      <c r="J896" s="208" t="s">
        <v>1824</v>
      </c>
      <c r="K896" s="208" t="s">
        <v>1825</v>
      </c>
      <c r="L896" s="208"/>
      <c r="M896" s="209"/>
      <c r="N896" s="208"/>
      <c r="O896" s="208" t="s">
        <v>260</v>
      </c>
      <c r="P896" s="208" t="s">
        <v>91</v>
      </c>
    </row>
    <row r="897" spans="1:16" s="187" customFormat="1" ht="18" customHeight="1">
      <c r="A897" s="187" t="str">
        <f t="shared" si="13"/>
        <v>CG440022C0</v>
      </c>
      <c r="B897" s="206" t="s">
        <v>1820</v>
      </c>
      <c r="C897" s="206"/>
      <c r="D897" s="206" t="s">
        <v>1828</v>
      </c>
      <c r="E897" s="206" t="s">
        <v>29</v>
      </c>
      <c r="F897" s="206" t="s">
        <v>1821</v>
      </c>
      <c r="G897" s="206"/>
      <c r="H897" s="206"/>
      <c r="I897" s="206"/>
      <c r="J897" s="206"/>
      <c r="K897" s="206"/>
      <c r="L897" s="206"/>
      <c r="M897" s="207"/>
      <c r="N897" s="206"/>
      <c r="O897" s="206"/>
      <c r="P897" s="206" t="s">
        <v>100</v>
      </c>
    </row>
    <row r="898" spans="1:16" s="187" customFormat="1" ht="18" customHeight="1">
      <c r="A898" s="187" t="str">
        <f t="shared" si="13"/>
        <v>V10134A</v>
      </c>
      <c r="B898" s="208" t="s">
        <v>1830</v>
      </c>
      <c r="C898" s="208"/>
      <c r="D898" s="208" t="s">
        <v>1829</v>
      </c>
      <c r="E898" s="208" t="s">
        <v>29</v>
      </c>
      <c r="F898" s="208" t="s">
        <v>1831</v>
      </c>
      <c r="G898" s="208" t="s">
        <v>1832</v>
      </c>
      <c r="H898" s="208"/>
      <c r="I898" s="208" t="s">
        <v>1833</v>
      </c>
      <c r="J898" s="208" t="s">
        <v>1056</v>
      </c>
      <c r="K898" s="208" t="s">
        <v>1834</v>
      </c>
      <c r="L898" s="208"/>
      <c r="M898" s="209"/>
      <c r="N898" s="208"/>
      <c r="O898" s="208" t="s">
        <v>260</v>
      </c>
      <c r="P898" s="208" t="s">
        <v>91</v>
      </c>
    </row>
    <row r="899" spans="1:16" s="187" customFormat="1" ht="18" customHeight="1">
      <c r="A899" s="187" t="str">
        <f t="shared" si="13"/>
        <v>V10134B</v>
      </c>
      <c r="B899" s="206" t="s">
        <v>1830</v>
      </c>
      <c r="C899" s="206"/>
      <c r="D899" s="206" t="s">
        <v>1835</v>
      </c>
      <c r="E899" s="206" t="s">
        <v>29</v>
      </c>
      <c r="F899" s="206" t="s">
        <v>1831</v>
      </c>
      <c r="G899" s="206" t="s">
        <v>1832</v>
      </c>
      <c r="H899" s="206"/>
      <c r="I899" s="206" t="s">
        <v>1833</v>
      </c>
      <c r="J899" s="206" t="s">
        <v>1056</v>
      </c>
      <c r="K899" s="206" t="s">
        <v>1834</v>
      </c>
      <c r="L899" s="206"/>
      <c r="M899" s="207"/>
      <c r="N899" s="206"/>
      <c r="O899" s="206" t="s">
        <v>260</v>
      </c>
      <c r="P899" s="206" t="s">
        <v>91</v>
      </c>
    </row>
    <row r="900" spans="1:16" s="187" customFormat="1" ht="18" customHeight="1">
      <c r="A900" s="187" t="str">
        <f t="shared" si="13"/>
        <v>V10134C</v>
      </c>
      <c r="B900" s="208" t="s">
        <v>1830</v>
      </c>
      <c r="C900" s="208"/>
      <c r="D900" s="208" t="s">
        <v>1836</v>
      </c>
      <c r="E900" s="208" t="s">
        <v>29</v>
      </c>
      <c r="F900" s="208" t="s">
        <v>1831</v>
      </c>
      <c r="G900" s="208" t="s">
        <v>1832</v>
      </c>
      <c r="H900" s="208"/>
      <c r="I900" s="208" t="s">
        <v>1833</v>
      </c>
      <c r="J900" s="208" t="s">
        <v>1056</v>
      </c>
      <c r="K900" s="208" t="s">
        <v>1834</v>
      </c>
      <c r="L900" s="208"/>
      <c r="M900" s="209"/>
      <c r="N900" s="208"/>
      <c r="O900" s="208" t="s">
        <v>260</v>
      </c>
      <c r="P900" s="208" t="s">
        <v>91</v>
      </c>
    </row>
    <row r="901" spans="1:16" s="187" customFormat="1" ht="18" customHeight="1">
      <c r="A901" s="187" t="str">
        <f t="shared" si="13"/>
        <v>V4024C0</v>
      </c>
      <c r="B901" s="206" t="s">
        <v>1838</v>
      </c>
      <c r="C901" s="206"/>
      <c r="D901" s="206" t="s">
        <v>4342</v>
      </c>
      <c r="E901" s="206" t="s">
        <v>29</v>
      </c>
      <c r="F901" s="206" t="s">
        <v>1839</v>
      </c>
      <c r="G901" s="206" t="s">
        <v>1840</v>
      </c>
      <c r="H901" s="206"/>
      <c r="I901" s="206"/>
      <c r="J901" s="206" t="s">
        <v>1841</v>
      </c>
      <c r="K901" s="206" t="s">
        <v>1842</v>
      </c>
      <c r="L901" s="206"/>
      <c r="M901" s="207"/>
      <c r="N901" s="206"/>
      <c r="O901" s="206" t="s">
        <v>131</v>
      </c>
      <c r="P901" s="206" t="s">
        <v>107</v>
      </c>
    </row>
    <row r="902" spans="1:16" s="187" customFormat="1" ht="18" customHeight="1">
      <c r="A902" s="187" t="str">
        <f t="shared" ref="A902:A965" si="14">D902</f>
        <v>V10301C</v>
      </c>
      <c r="B902" s="208" t="s">
        <v>4344</v>
      </c>
      <c r="C902" s="208"/>
      <c r="D902" s="208" t="s">
        <v>4343</v>
      </c>
      <c r="E902" s="208" t="s">
        <v>151</v>
      </c>
      <c r="F902" s="208" t="s">
        <v>4345</v>
      </c>
      <c r="G902" s="208"/>
      <c r="H902" s="208"/>
      <c r="I902" s="208"/>
      <c r="J902" s="208"/>
      <c r="K902" s="208"/>
      <c r="L902" s="208"/>
      <c r="M902" s="209"/>
      <c r="N902" s="208"/>
      <c r="O902" s="208"/>
      <c r="P902" s="208" t="s">
        <v>91</v>
      </c>
    </row>
    <row r="903" spans="1:16" s="187" customFormat="1" ht="18" customHeight="1">
      <c r="A903" s="187" t="str">
        <f t="shared" si="14"/>
        <v>V10301</v>
      </c>
      <c r="B903" s="206" t="s">
        <v>1838</v>
      </c>
      <c r="C903" s="206"/>
      <c r="D903" s="206" t="s">
        <v>1837</v>
      </c>
      <c r="E903" s="206" t="s">
        <v>29</v>
      </c>
      <c r="F903" s="206" t="s">
        <v>1839</v>
      </c>
      <c r="G903" s="206" t="s">
        <v>1840</v>
      </c>
      <c r="H903" s="206"/>
      <c r="I903" s="206"/>
      <c r="J903" s="206" t="s">
        <v>1841</v>
      </c>
      <c r="K903" s="206" t="s">
        <v>1842</v>
      </c>
      <c r="L903" s="206"/>
      <c r="M903" s="207"/>
      <c r="N903" s="206"/>
      <c r="O903" s="206" t="s">
        <v>131</v>
      </c>
      <c r="P903" s="206" t="s">
        <v>91</v>
      </c>
    </row>
    <row r="904" spans="1:16" s="187" customFormat="1" ht="18" customHeight="1">
      <c r="A904" s="187" t="str">
        <f t="shared" si="14"/>
        <v>CG440033C0</v>
      </c>
      <c r="B904" s="208" t="s">
        <v>4344</v>
      </c>
      <c r="C904" s="208"/>
      <c r="D904" s="208" t="s">
        <v>5205</v>
      </c>
      <c r="E904" s="208" t="s">
        <v>29</v>
      </c>
      <c r="F904" s="208" t="s">
        <v>5206</v>
      </c>
      <c r="G904" s="208"/>
      <c r="H904" s="208"/>
      <c r="I904" s="208"/>
      <c r="J904" s="208"/>
      <c r="K904" s="208"/>
      <c r="L904" s="208"/>
      <c r="M904" s="209"/>
      <c r="N904" s="208"/>
      <c r="O904" s="208"/>
      <c r="P904" s="208" t="s">
        <v>100</v>
      </c>
    </row>
    <row r="905" spans="1:16" s="187" customFormat="1" ht="18" customHeight="1">
      <c r="A905" s="187" t="str">
        <f t="shared" si="14"/>
        <v>V10459C</v>
      </c>
      <c r="B905" s="206" t="s">
        <v>5949</v>
      </c>
      <c r="C905" s="206"/>
      <c r="D905" s="206" t="s">
        <v>5950</v>
      </c>
      <c r="E905" s="206" t="s">
        <v>29</v>
      </c>
      <c r="F905" s="206" t="s">
        <v>5951</v>
      </c>
      <c r="G905" s="206"/>
      <c r="H905" s="206"/>
      <c r="I905" s="206"/>
      <c r="J905" s="206" t="s">
        <v>588</v>
      </c>
      <c r="K905" s="206" t="s">
        <v>5952</v>
      </c>
      <c r="L905" s="206"/>
      <c r="M905" s="207"/>
      <c r="N905" s="206"/>
      <c r="O905" s="206"/>
      <c r="P905" s="206" t="s">
        <v>91</v>
      </c>
    </row>
    <row r="906" spans="1:16" s="187" customFormat="1" ht="18" customHeight="1">
      <c r="A906" s="187" t="str">
        <f t="shared" si="14"/>
        <v>V10230A</v>
      </c>
      <c r="B906" s="208" t="s">
        <v>1844</v>
      </c>
      <c r="C906" s="208"/>
      <c r="D906" s="208" t="s">
        <v>1843</v>
      </c>
      <c r="E906" s="208" t="s">
        <v>29</v>
      </c>
      <c r="F906" s="208" t="s">
        <v>1845</v>
      </c>
      <c r="G906" s="208"/>
      <c r="H906" s="208"/>
      <c r="I906" s="208" t="s">
        <v>1846</v>
      </c>
      <c r="J906" s="208" t="s">
        <v>1847</v>
      </c>
      <c r="K906" s="208" t="s">
        <v>1848</v>
      </c>
      <c r="L906" s="208"/>
      <c r="M906" s="209"/>
      <c r="N906" s="208"/>
      <c r="O906" s="208" t="s">
        <v>260</v>
      </c>
      <c r="P906" s="208" t="s">
        <v>91</v>
      </c>
    </row>
    <row r="907" spans="1:16" s="187" customFormat="1" ht="18" customHeight="1">
      <c r="A907" s="187" t="str">
        <f t="shared" si="14"/>
        <v>V10230B</v>
      </c>
      <c r="B907" s="206" t="s">
        <v>1844</v>
      </c>
      <c r="C907" s="206"/>
      <c r="D907" s="206" t="s">
        <v>1849</v>
      </c>
      <c r="E907" s="206" t="s">
        <v>29</v>
      </c>
      <c r="F907" s="206" t="s">
        <v>1845</v>
      </c>
      <c r="G907" s="206"/>
      <c r="H907" s="206"/>
      <c r="I907" s="206" t="s">
        <v>1846</v>
      </c>
      <c r="J907" s="206" t="s">
        <v>1847</v>
      </c>
      <c r="K907" s="206" t="s">
        <v>1848</v>
      </c>
      <c r="L907" s="206"/>
      <c r="M907" s="207"/>
      <c r="N907" s="206"/>
      <c r="O907" s="206" t="s">
        <v>260</v>
      </c>
      <c r="P907" s="206" t="s">
        <v>91</v>
      </c>
    </row>
    <row r="908" spans="1:16" s="187" customFormat="1" ht="18" customHeight="1">
      <c r="A908" s="187" t="str">
        <f t="shared" si="14"/>
        <v>V10230C</v>
      </c>
      <c r="B908" s="208" t="s">
        <v>1844</v>
      </c>
      <c r="C908" s="208"/>
      <c r="D908" s="208" t="s">
        <v>1850</v>
      </c>
      <c r="E908" s="208" t="s">
        <v>29</v>
      </c>
      <c r="F908" s="208" t="s">
        <v>1845</v>
      </c>
      <c r="G908" s="208"/>
      <c r="H908" s="208"/>
      <c r="I908" s="208" t="s">
        <v>1846</v>
      </c>
      <c r="J908" s="208" t="s">
        <v>1847</v>
      </c>
      <c r="K908" s="208" t="s">
        <v>1848</v>
      </c>
      <c r="L908" s="208"/>
      <c r="M908" s="209"/>
      <c r="N908" s="208"/>
      <c r="O908" s="208" t="s">
        <v>260</v>
      </c>
      <c r="P908" s="208" t="s">
        <v>91</v>
      </c>
    </row>
    <row r="909" spans="1:16" s="187" customFormat="1" ht="18" customHeight="1">
      <c r="A909" s="187" t="str">
        <f t="shared" si="14"/>
        <v>V10481C</v>
      </c>
      <c r="B909" s="206" t="s">
        <v>5953</v>
      </c>
      <c r="C909" s="206"/>
      <c r="D909" s="206" t="s">
        <v>5954</v>
      </c>
      <c r="E909" s="206" t="s">
        <v>29</v>
      </c>
      <c r="F909" s="206" t="s">
        <v>5955</v>
      </c>
      <c r="G909" s="206"/>
      <c r="H909" s="206"/>
      <c r="I909" s="206"/>
      <c r="J909" s="206" t="s">
        <v>5956</v>
      </c>
      <c r="K909" s="206" t="s">
        <v>5957</v>
      </c>
      <c r="L909" s="206"/>
      <c r="M909" s="207"/>
      <c r="N909" s="206"/>
      <c r="O909" s="206"/>
      <c r="P909" s="206" t="s">
        <v>91</v>
      </c>
    </row>
    <row r="910" spans="1:16" s="187" customFormat="1" ht="18" customHeight="1">
      <c r="A910" s="187" t="str">
        <f t="shared" si="14"/>
        <v>V10328C</v>
      </c>
      <c r="B910" s="208" t="s">
        <v>4347</v>
      </c>
      <c r="C910" s="208"/>
      <c r="D910" s="208" t="s">
        <v>4346</v>
      </c>
      <c r="E910" s="208" t="s">
        <v>29</v>
      </c>
      <c r="F910" s="208" t="s">
        <v>4348</v>
      </c>
      <c r="G910" s="208"/>
      <c r="H910" s="208"/>
      <c r="I910" s="208" t="s">
        <v>4349</v>
      </c>
      <c r="J910" s="208" t="s">
        <v>4929</v>
      </c>
      <c r="K910" s="208" t="s">
        <v>4350</v>
      </c>
      <c r="L910" s="208"/>
      <c r="M910" s="209"/>
      <c r="N910" s="208"/>
      <c r="O910" s="208"/>
      <c r="P910" s="208" t="s">
        <v>91</v>
      </c>
    </row>
    <row r="911" spans="1:16" s="187" customFormat="1" ht="18" customHeight="1">
      <c r="A911" s="187" t="str">
        <f t="shared" si="14"/>
        <v>V10280B</v>
      </c>
      <c r="B911" s="206" t="s">
        <v>1852</v>
      </c>
      <c r="C911" s="206"/>
      <c r="D911" s="206" t="s">
        <v>4351</v>
      </c>
      <c r="E911" s="206" t="s">
        <v>29</v>
      </c>
      <c r="F911" s="206" t="s">
        <v>4352</v>
      </c>
      <c r="G911" s="206"/>
      <c r="H911" s="206"/>
      <c r="I911" s="206"/>
      <c r="J911" s="206"/>
      <c r="K911" s="206"/>
      <c r="L911" s="206"/>
      <c r="M911" s="207"/>
      <c r="N911" s="206"/>
      <c r="O911" s="206"/>
      <c r="P911" s="206" t="s">
        <v>91</v>
      </c>
    </row>
    <row r="912" spans="1:16" s="187" customFormat="1" ht="18" customHeight="1">
      <c r="A912" s="187" t="str">
        <f t="shared" si="14"/>
        <v>V10280C</v>
      </c>
      <c r="B912" s="208" t="s">
        <v>1852</v>
      </c>
      <c r="C912" s="208"/>
      <c r="D912" s="208" t="s">
        <v>1851</v>
      </c>
      <c r="E912" s="208" t="s">
        <v>29</v>
      </c>
      <c r="F912" s="208" t="s">
        <v>1853</v>
      </c>
      <c r="G912" s="208"/>
      <c r="H912" s="208"/>
      <c r="I912" s="208"/>
      <c r="J912" s="208" t="s">
        <v>1854</v>
      </c>
      <c r="K912" s="208" t="s">
        <v>1855</v>
      </c>
      <c r="L912" s="208"/>
      <c r="M912" s="209"/>
      <c r="N912" s="208"/>
      <c r="O912" s="208"/>
      <c r="P912" s="208" t="s">
        <v>91</v>
      </c>
    </row>
    <row r="913" spans="1:16" s="187" customFormat="1" ht="18" customHeight="1">
      <c r="A913" s="187" t="str">
        <f t="shared" si="14"/>
        <v>V10090A</v>
      </c>
      <c r="B913" s="206" t="s">
        <v>1857</v>
      </c>
      <c r="C913" s="206"/>
      <c r="D913" s="206" t="s">
        <v>1856</v>
      </c>
      <c r="E913" s="206" t="s">
        <v>29</v>
      </c>
      <c r="F913" s="206" t="s">
        <v>1858</v>
      </c>
      <c r="G913" s="206" t="s">
        <v>1859</v>
      </c>
      <c r="H913" s="206"/>
      <c r="I913" s="206" t="s">
        <v>1860</v>
      </c>
      <c r="J913" s="206" t="s">
        <v>1861</v>
      </c>
      <c r="K913" s="206" t="s">
        <v>1862</v>
      </c>
      <c r="L913" s="206"/>
      <c r="M913" s="207"/>
      <c r="N913" s="206"/>
      <c r="O913" s="206" t="s">
        <v>260</v>
      </c>
      <c r="P913" s="206" t="s">
        <v>91</v>
      </c>
    </row>
    <row r="914" spans="1:16" s="187" customFormat="1" ht="18" customHeight="1">
      <c r="A914" s="187" t="str">
        <f t="shared" si="14"/>
        <v>V10090B</v>
      </c>
      <c r="B914" s="208" t="s">
        <v>1857</v>
      </c>
      <c r="C914" s="208"/>
      <c r="D914" s="208" t="s">
        <v>1863</v>
      </c>
      <c r="E914" s="208" t="s">
        <v>29</v>
      </c>
      <c r="F914" s="208" t="s">
        <v>1858</v>
      </c>
      <c r="G914" s="208" t="s">
        <v>1859</v>
      </c>
      <c r="H914" s="208"/>
      <c r="I914" s="208" t="s">
        <v>1860</v>
      </c>
      <c r="J914" s="208" t="s">
        <v>1861</v>
      </c>
      <c r="K914" s="208" t="s">
        <v>1862</v>
      </c>
      <c r="L914" s="208"/>
      <c r="M914" s="209"/>
      <c r="N914" s="208"/>
      <c r="O914" s="208" t="s">
        <v>260</v>
      </c>
      <c r="P914" s="208" t="s">
        <v>91</v>
      </c>
    </row>
    <row r="915" spans="1:16" s="187" customFormat="1" ht="18" customHeight="1">
      <c r="A915" s="187" t="str">
        <f t="shared" si="14"/>
        <v>V10090C</v>
      </c>
      <c r="B915" s="206" t="s">
        <v>1857</v>
      </c>
      <c r="C915" s="206"/>
      <c r="D915" s="206" t="s">
        <v>1864</v>
      </c>
      <c r="E915" s="206" t="s">
        <v>29</v>
      </c>
      <c r="F915" s="206" t="s">
        <v>1858</v>
      </c>
      <c r="G915" s="206" t="s">
        <v>1859</v>
      </c>
      <c r="H915" s="206"/>
      <c r="I915" s="206" t="s">
        <v>1860</v>
      </c>
      <c r="J915" s="206" t="s">
        <v>1861</v>
      </c>
      <c r="K915" s="206" t="s">
        <v>1862</v>
      </c>
      <c r="L915" s="206"/>
      <c r="M915" s="207"/>
      <c r="N915" s="206"/>
      <c r="O915" s="206" t="s">
        <v>260</v>
      </c>
      <c r="P915" s="206" t="s">
        <v>91</v>
      </c>
    </row>
    <row r="916" spans="1:16" s="187" customFormat="1" ht="18" customHeight="1">
      <c r="A916" s="187" t="str">
        <f t="shared" si="14"/>
        <v>V10260C</v>
      </c>
      <c r="B916" s="208" t="s">
        <v>1866</v>
      </c>
      <c r="C916" s="208"/>
      <c r="D916" s="208" t="s">
        <v>1865</v>
      </c>
      <c r="E916" s="208" t="s">
        <v>29</v>
      </c>
      <c r="F916" s="208" t="s">
        <v>1867</v>
      </c>
      <c r="G916" s="208" t="s">
        <v>1868</v>
      </c>
      <c r="H916" s="208"/>
      <c r="I916" s="208" t="s">
        <v>1869</v>
      </c>
      <c r="J916" s="208" t="s">
        <v>1870</v>
      </c>
      <c r="K916" s="208" t="s">
        <v>1871</v>
      </c>
      <c r="L916" s="208"/>
      <c r="M916" s="209"/>
      <c r="N916" s="208"/>
      <c r="O916" s="208"/>
      <c r="P916" s="208" t="s">
        <v>91</v>
      </c>
    </row>
    <row r="917" spans="1:16" s="187" customFormat="1" ht="18" customHeight="1">
      <c r="A917" s="187" t="str">
        <f t="shared" si="14"/>
        <v>V10260A</v>
      </c>
      <c r="B917" s="206" t="s">
        <v>1866</v>
      </c>
      <c r="C917" s="206"/>
      <c r="D917" s="206" t="s">
        <v>1872</v>
      </c>
      <c r="E917" s="206" t="s">
        <v>29</v>
      </c>
      <c r="F917" s="206" t="s">
        <v>1867</v>
      </c>
      <c r="G917" s="206" t="s">
        <v>1868</v>
      </c>
      <c r="H917" s="206"/>
      <c r="I917" s="206" t="s">
        <v>1869</v>
      </c>
      <c r="J917" s="206" t="s">
        <v>1870</v>
      </c>
      <c r="K917" s="206" t="s">
        <v>1871</v>
      </c>
      <c r="L917" s="206"/>
      <c r="M917" s="207"/>
      <c r="N917" s="206"/>
      <c r="O917" s="206"/>
      <c r="P917" s="206" t="s">
        <v>91</v>
      </c>
    </row>
    <row r="918" spans="1:16" s="187" customFormat="1" ht="18" customHeight="1">
      <c r="A918" s="187" t="str">
        <f t="shared" si="14"/>
        <v>V10260B</v>
      </c>
      <c r="B918" s="208" t="s">
        <v>1866</v>
      </c>
      <c r="C918" s="208"/>
      <c r="D918" s="208" t="s">
        <v>1873</v>
      </c>
      <c r="E918" s="208" t="s">
        <v>29</v>
      </c>
      <c r="F918" s="208" t="s">
        <v>1867</v>
      </c>
      <c r="G918" s="208" t="s">
        <v>1868</v>
      </c>
      <c r="H918" s="208"/>
      <c r="I918" s="208" t="s">
        <v>1869</v>
      </c>
      <c r="J918" s="208" t="s">
        <v>1870</v>
      </c>
      <c r="K918" s="208" t="s">
        <v>1871</v>
      </c>
      <c r="L918" s="208"/>
      <c r="M918" s="209"/>
      <c r="N918" s="208"/>
      <c r="O918" s="208"/>
      <c r="P918" s="208" t="s">
        <v>91</v>
      </c>
    </row>
    <row r="919" spans="1:16" s="187" customFormat="1" ht="18" customHeight="1">
      <c r="A919" s="187" t="str">
        <f t="shared" si="14"/>
        <v>V10158A</v>
      </c>
      <c r="B919" s="206" t="s">
        <v>1875</v>
      </c>
      <c r="C919" s="206"/>
      <c r="D919" s="206" t="s">
        <v>1874</v>
      </c>
      <c r="E919" s="206" t="s">
        <v>29</v>
      </c>
      <c r="F919" s="206" t="s">
        <v>1876</v>
      </c>
      <c r="G919" s="206" t="s">
        <v>1877</v>
      </c>
      <c r="H919" s="206"/>
      <c r="I919" s="206" t="s">
        <v>1878</v>
      </c>
      <c r="J919" s="206" t="s">
        <v>1879</v>
      </c>
      <c r="K919" s="206" t="s">
        <v>1880</v>
      </c>
      <c r="L919" s="206"/>
      <c r="M919" s="207"/>
      <c r="N919" s="206"/>
      <c r="O919" s="206" t="s">
        <v>260</v>
      </c>
      <c r="P919" s="206" t="s">
        <v>91</v>
      </c>
    </row>
    <row r="920" spans="1:16" s="187" customFormat="1" ht="18" customHeight="1">
      <c r="A920" s="187" t="str">
        <f t="shared" si="14"/>
        <v>V10158B</v>
      </c>
      <c r="B920" s="208" t="s">
        <v>1875</v>
      </c>
      <c r="C920" s="208"/>
      <c r="D920" s="208" t="s">
        <v>1881</v>
      </c>
      <c r="E920" s="208" t="s">
        <v>29</v>
      </c>
      <c r="F920" s="208" t="s">
        <v>1876</v>
      </c>
      <c r="G920" s="208" t="s">
        <v>1877</v>
      </c>
      <c r="H920" s="208"/>
      <c r="I920" s="208" t="s">
        <v>1878</v>
      </c>
      <c r="J920" s="208" t="s">
        <v>1879</v>
      </c>
      <c r="K920" s="208" t="s">
        <v>1880</v>
      </c>
      <c r="L920" s="208"/>
      <c r="M920" s="209"/>
      <c r="N920" s="208"/>
      <c r="O920" s="208" t="s">
        <v>260</v>
      </c>
      <c r="P920" s="208" t="s">
        <v>91</v>
      </c>
    </row>
    <row r="921" spans="1:16" s="187" customFormat="1" ht="18" customHeight="1">
      <c r="A921" s="187" t="str">
        <f t="shared" si="14"/>
        <v>V10158C</v>
      </c>
      <c r="B921" s="206" t="s">
        <v>1875</v>
      </c>
      <c r="C921" s="206"/>
      <c r="D921" s="206" t="s">
        <v>1882</v>
      </c>
      <c r="E921" s="206" t="s">
        <v>29</v>
      </c>
      <c r="F921" s="206" t="s">
        <v>1876</v>
      </c>
      <c r="G921" s="206" t="s">
        <v>1877</v>
      </c>
      <c r="H921" s="206"/>
      <c r="I921" s="206" t="s">
        <v>1878</v>
      </c>
      <c r="J921" s="206" t="s">
        <v>1879</v>
      </c>
      <c r="K921" s="206" t="s">
        <v>1880</v>
      </c>
      <c r="L921" s="206"/>
      <c r="M921" s="207"/>
      <c r="N921" s="206"/>
      <c r="O921" s="206" t="s">
        <v>260</v>
      </c>
      <c r="P921" s="206" t="s">
        <v>91</v>
      </c>
    </row>
    <row r="922" spans="1:16" s="187" customFormat="1" ht="18" customHeight="1">
      <c r="A922" s="187" t="str">
        <f t="shared" si="14"/>
        <v>V10142A</v>
      </c>
      <c r="B922" s="208" t="s">
        <v>1884</v>
      </c>
      <c r="C922" s="208"/>
      <c r="D922" s="208" t="s">
        <v>1883</v>
      </c>
      <c r="E922" s="208" t="s">
        <v>29</v>
      </c>
      <c r="F922" s="208" t="s">
        <v>5083</v>
      </c>
      <c r="G922" s="208" t="s">
        <v>1885</v>
      </c>
      <c r="H922" s="208"/>
      <c r="I922" s="208" t="s">
        <v>1886</v>
      </c>
      <c r="J922" s="208" t="s">
        <v>1887</v>
      </c>
      <c r="K922" s="208" t="s">
        <v>1888</v>
      </c>
      <c r="L922" s="208"/>
      <c r="M922" s="209"/>
      <c r="N922" s="208"/>
      <c r="O922" s="208" t="s">
        <v>260</v>
      </c>
      <c r="P922" s="208" t="s">
        <v>91</v>
      </c>
    </row>
    <row r="923" spans="1:16" s="187" customFormat="1" ht="18" customHeight="1">
      <c r="A923" s="187" t="str">
        <f t="shared" si="14"/>
        <v>V10142B</v>
      </c>
      <c r="B923" s="206" t="s">
        <v>1884</v>
      </c>
      <c r="C923" s="206"/>
      <c r="D923" s="206" t="s">
        <v>1889</v>
      </c>
      <c r="E923" s="206" t="s">
        <v>29</v>
      </c>
      <c r="F923" s="206" t="s">
        <v>5083</v>
      </c>
      <c r="G923" s="206" t="s">
        <v>1885</v>
      </c>
      <c r="H923" s="206"/>
      <c r="I923" s="206" t="s">
        <v>1886</v>
      </c>
      <c r="J923" s="206" t="s">
        <v>1887</v>
      </c>
      <c r="K923" s="206" t="s">
        <v>1888</v>
      </c>
      <c r="L923" s="206"/>
      <c r="M923" s="207"/>
      <c r="N923" s="206"/>
      <c r="O923" s="206" t="s">
        <v>260</v>
      </c>
      <c r="P923" s="206" t="s">
        <v>91</v>
      </c>
    </row>
    <row r="924" spans="1:16" s="187" customFormat="1" ht="18" customHeight="1">
      <c r="A924" s="187" t="str">
        <f t="shared" si="14"/>
        <v>V10142C</v>
      </c>
      <c r="B924" s="208" t="s">
        <v>1884</v>
      </c>
      <c r="C924" s="208"/>
      <c r="D924" s="208" t="s">
        <v>1890</v>
      </c>
      <c r="E924" s="208" t="s">
        <v>29</v>
      </c>
      <c r="F924" s="208" t="s">
        <v>5083</v>
      </c>
      <c r="G924" s="208" t="s">
        <v>1885</v>
      </c>
      <c r="H924" s="208"/>
      <c r="I924" s="208" t="s">
        <v>1886</v>
      </c>
      <c r="J924" s="208" t="s">
        <v>1887</v>
      </c>
      <c r="K924" s="208" t="s">
        <v>1888</v>
      </c>
      <c r="L924" s="208"/>
      <c r="M924" s="209"/>
      <c r="N924" s="208"/>
      <c r="O924" s="208" t="s">
        <v>260</v>
      </c>
      <c r="P924" s="208" t="s">
        <v>91</v>
      </c>
    </row>
    <row r="925" spans="1:16" s="187" customFormat="1" ht="18" customHeight="1">
      <c r="A925" s="187" t="str">
        <f t="shared" si="14"/>
        <v>V10297C</v>
      </c>
      <c r="B925" s="206" t="s">
        <v>1892</v>
      </c>
      <c r="C925" s="206"/>
      <c r="D925" s="206" t="s">
        <v>1891</v>
      </c>
      <c r="E925" s="206" t="s">
        <v>151</v>
      </c>
      <c r="F925" s="206" t="s">
        <v>4353</v>
      </c>
      <c r="G925" s="206"/>
      <c r="H925" s="206"/>
      <c r="I925" s="206"/>
      <c r="J925" s="206"/>
      <c r="K925" s="206"/>
      <c r="L925" s="206"/>
      <c r="M925" s="207"/>
      <c r="N925" s="206"/>
      <c r="O925" s="206"/>
      <c r="P925" s="206" t="s">
        <v>91</v>
      </c>
    </row>
    <row r="926" spans="1:16" s="187" customFormat="1" ht="18" customHeight="1">
      <c r="A926" s="187" t="str">
        <f t="shared" si="14"/>
        <v>V10466A</v>
      </c>
      <c r="B926" s="208" t="s">
        <v>5958</v>
      </c>
      <c r="C926" s="208"/>
      <c r="D926" s="208" t="s">
        <v>6145</v>
      </c>
      <c r="E926" s="208" t="s">
        <v>29</v>
      </c>
      <c r="F926" s="208" t="s">
        <v>5960</v>
      </c>
      <c r="G926" s="208"/>
      <c r="H926" s="208"/>
      <c r="I926" s="208"/>
      <c r="J926" s="208"/>
      <c r="K926" s="208"/>
      <c r="L926" s="208"/>
      <c r="M926" s="209"/>
      <c r="N926" s="208"/>
      <c r="O926" s="208"/>
      <c r="P926" s="208" t="s">
        <v>91</v>
      </c>
    </row>
    <row r="927" spans="1:16" s="187" customFormat="1" ht="18" customHeight="1">
      <c r="A927" s="187" t="str">
        <f t="shared" si="14"/>
        <v>V10466C</v>
      </c>
      <c r="B927" s="206" t="s">
        <v>5958</v>
      </c>
      <c r="C927" s="206"/>
      <c r="D927" s="206" t="s">
        <v>5959</v>
      </c>
      <c r="E927" s="206" t="s">
        <v>29</v>
      </c>
      <c r="F927" s="206" t="s">
        <v>5960</v>
      </c>
      <c r="G927" s="206"/>
      <c r="H927" s="206"/>
      <c r="I927" s="206"/>
      <c r="J927" s="206"/>
      <c r="K927" s="206"/>
      <c r="L927" s="206"/>
      <c r="M927" s="207"/>
      <c r="N927" s="206"/>
      <c r="O927" s="206"/>
      <c r="P927" s="206" t="s">
        <v>91</v>
      </c>
    </row>
    <row r="928" spans="1:16" s="187" customFormat="1" ht="18" customHeight="1">
      <c r="A928" s="187" t="str">
        <f t="shared" si="14"/>
        <v>CG460003C0</v>
      </c>
      <c r="B928" s="208" t="s">
        <v>1894</v>
      </c>
      <c r="C928" s="208"/>
      <c r="D928" s="208" t="s">
        <v>5207</v>
      </c>
      <c r="E928" s="208" t="s">
        <v>29</v>
      </c>
      <c r="F928" s="208" t="s">
        <v>5208</v>
      </c>
      <c r="G928" s="208"/>
      <c r="H928" s="208"/>
      <c r="I928" s="208"/>
      <c r="J928" s="208"/>
      <c r="K928" s="208"/>
      <c r="L928" s="208"/>
      <c r="M928" s="209"/>
      <c r="N928" s="208"/>
      <c r="O928" s="208"/>
      <c r="P928" s="208" t="s">
        <v>100</v>
      </c>
    </row>
    <row r="929" spans="1:16" s="187" customFormat="1" ht="18" customHeight="1">
      <c r="A929" s="187" t="str">
        <f t="shared" si="14"/>
        <v>V10053A</v>
      </c>
      <c r="B929" s="206" t="s">
        <v>1894</v>
      </c>
      <c r="C929" s="206"/>
      <c r="D929" s="206" t="s">
        <v>1893</v>
      </c>
      <c r="E929" s="206" t="s">
        <v>29</v>
      </c>
      <c r="F929" s="206" t="s">
        <v>1895</v>
      </c>
      <c r="G929" s="206" t="s">
        <v>1896</v>
      </c>
      <c r="H929" s="206"/>
      <c r="I929" s="206"/>
      <c r="J929" s="206" t="s">
        <v>1897</v>
      </c>
      <c r="K929" s="206" t="s">
        <v>1898</v>
      </c>
      <c r="L929" s="206"/>
      <c r="M929" s="207"/>
      <c r="N929" s="206"/>
      <c r="O929" s="206" t="s">
        <v>260</v>
      </c>
      <c r="P929" s="206" t="s">
        <v>147</v>
      </c>
    </row>
    <row r="930" spans="1:16" s="187" customFormat="1" ht="18" customHeight="1">
      <c r="A930" s="187" t="str">
        <f t="shared" si="14"/>
        <v>V10053B</v>
      </c>
      <c r="B930" s="208" t="s">
        <v>1894</v>
      </c>
      <c r="C930" s="208"/>
      <c r="D930" s="208" t="s">
        <v>1899</v>
      </c>
      <c r="E930" s="208" t="s">
        <v>29</v>
      </c>
      <c r="F930" s="208" t="s">
        <v>1895</v>
      </c>
      <c r="G930" s="208" t="s">
        <v>1896</v>
      </c>
      <c r="H930" s="208"/>
      <c r="I930" s="208"/>
      <c r="J930" s="208" t="s">
        <v>1897</v>
      </c>
      <c r="K930" s="208" t="s">
        <v>1898</v>
      </c>
      <c r="L930" s="208"/>
      <c r="M930" s="209"/>
      <c r="N930" s="208"/>
      <c r="O930" s="208" t="s">
        <v>260</v>
      </c>
      <c r="P930" s="208" t="s">
        <v>147</v>
      </c>
    </row>
    <row r="931" spans="1:16" s="187" customFormat="1" ht="18" customHeight="1">
      <c r="A931" s="187" t="str">
        <f t="shared" si="14"/>
        <v>V10053C</v>
      </c>
      <c r="B931" s="206" t="s">
        <v>1894</v>
      </c>
      <c r="C931" s="206"/>
      <c r="D931" s="206" t="s">
        <v>1900</v>
      </c>
      <c r="E931" s="206" t="s">
        <v>29</v>
      </c>
      <c r="F931" s="206" t="s">
        <v>1895</v>
      </c>
      <c r="G931" s="206" t="s">
        <v>1896</v>
      </c>
      <c r="H931" s="206"/>
      <c r="I931" s="206"/>
      <c r="J931" s="206" t="s">
        <v>1897</v>
      </c>
      <c r="K931" s="206" t="s">
        <v>1898</v>
      </c>
      <c r="L931" s="206"/>
      <c r="M931" s="207"/>
      <c r="N931" s="206"/>
      <c r="O931" s="206" t="s">
        <v>260</v>
      </c>
      <c r="P931" s="206" t="s">
        <v>147</v>
      </c>
    </row>
    <row r="932" spans="1:16" s="187" customFormat="1" ht="18" customHeight="1">
      <c r="A932" s="187" t="str">
        <f t="shared" si="14"/>
        <v>V10339B</v>
      </c>
      <c r="B932" s="208" t="s">
        <v>4355</v>
      </c>
      <c r="C932" s="208"/>
      <c r="D932" s="208" t="s">
        <v>4354</v>
      </c>
      <c r="E932" s="208" t="s">
        <v>29</v>
      </c>
      <c r="F932" s="208" t="s">
        <v>4356</v>
      </c>
      <c r="G932" s="208"/>
      <c r="H932" s="208"/>
      <c r="I932" s="208" t="s">
        <v>4357</v>
      </c>
      <c r="J932" s="208" t="s">
        <v>4358</v>
      </c>
      <c r="K932" s="208" t="s">
        <v>4359</v>
      </c>
      <c r="L932" s="208"/>
      <c r="M932" s="209"/>
      <c r="N932" s="208"/>
      <c r="O932" s="208"/>
      <c r="P932" s="208" t="s">
        <v>91</v>
      </c>
    </row>
    <row r="933" spans="1:16" s="187" customFormat="1" ht="18" customHeight="1">
      <c r="A933" s="187" t="str">
        <f t="shared" si="14"/>
        <v>V10339C</v>
      </c>
      <c r="B933" s="206" t="s">
        <v>4355</v>
      </c>
      <c r="C933" s="206"/>
      <c r="D933" s="206" t="s">
        <v>4360</v>
      </c>
      <c r="E933" s="206" t="s">
        <v>29</v>
      </c>
      <c r="F933" s="206" t="s">
        <v>4356</v>
      </c>
      <c r="G933" s="206"/>
      <c r="H933" s="206"/>
      <c r="I933" s="206" t="s">
        <v>4357</v>
      </c>
      <c r="J933" s="206" t="s">
        <v>4358</v>
      </c>
      <c r="K933" s="206" t="s">
        <v>4359</v>
      </c>
      <c r="L933" s="206"/>
      <c r="M933" s="207"/>
      <c r="N933" s="206"/>
      <c r="O933" s="206"/>
      <c r="P933" s="206" t="s">
        <v>91</v>
      </c>
    </row>
    <row r="934" spans="1:16" s="187" customFormat="1" ht="18" customHeight="1">
      <c r="A934" s="187" t="str">
        <f t="shared" si="14"/>
        <v>V10334C</v>
      </c>
      <c r="B934" s="208" t="s">
        <v>5082</v>
      </c>
      <c r="C934" s="208"/>
      <c r="D934" s="208" t="s">
        <v>5081</v>
      </c>
      <c r="E934" s="208" t="s">
        <v>29</v>
      </c>
      <c r="F934" s="208" t="s">
        <v>5080</v>
      </c>
      <c r="G934" s="208"/>
      <c r="H934" s="208"/>
      <c r="I934" s="208" t="s">
        <v>5079</v>
      </c>
      <c r="J934" s="208" t="s">
        <v>5078</v>
      </c>
      <c r="K934" s="208" t="s">
        <v>5077</v>
      </c>
      <c r="L934" s="208"/>
      <c r="M934" s="209"/>
      <c r="N934" s="208"/>
      <c r="O934" s="208"/>
      <c r="P934" s="208" t="s">
        <v>91</v>
      </c>
    </row>
    <row r="935" spans="1:16" s="187" customFormat="1" ht="18" customHeight="1">
      <c r="A935" s="187" t="str">
        <f t="shared" si="14"/>
        <v>V10055A</v>
      </c>
      <c r="B935" s="206" t="s">
        <v>1902</v>
      </c>
      <c r="C935" s="206"/>
      <c r="D935" s="206" t="s">
        <v>1901</v>
      </c>
      <c r="E935" s="206" t="s">
        <v>29</v>
      </c>
      <c r="F935" s="206" t="s">
        <v>1903</v>
      </c>
      <c r="G935" s="206" t="s">
        <v>1904</v>
      </c>
      <c r="H935" s="206"/>
      <c r="I935" s="206" t="s">
        <v>1905</v>
      </c>
      <c r="J935" s="206" t="s">
        <v>5209</v>
      </c>
      <c r="K935" s="206" t="s">
        <v>1906</v>
      </c>
      <c r="L935" s="206"/>
      <c r="M935" s="207"/>
      <c r="N935" s="206"/>
      <c r="O935" s="206" t="s">
        <v>260</v>
      </c>
      <c r="P935" s="206" t="s">
        <v>91</v>
      </c>
    </row>
    <row r="936" spans="1:16" s="187" customFormat="1" ht="18" customHeight="1">
      <c r="A936" s="187" t="str">
        <f t="shared" si="14"/>
        <v>V10055B</v>
      </c>
      <c r="B936" s="208" t="s">
        <v>1902</v>
      </c>
      <c r="C936" s="208"/>
      <c r="D936" s="208" t="s">
        <v>1907</v>
      </c>
      <c r="E936" s="208" t="s">
        <v>29</v>
      </c>
      <c r="F936" s="208" t="s">
        <v>1903</v>
      </c>
      <c r="G936" s="208" t="s">
        <v>1904</v>
      </c>
      <c r="H936" s="208"/>
      <c r="I936" s="208" t="s">
        <v>1905</v>
      </c>
      <c r="J936" s="208" t="s">
        <v>5209</v>
      </c>
      <c r="K936" s="208" t="s">
        <v>1906</v>
      </c>
      <c r="L936" s="208"/>
      <c r="M936" s="209"/>
      <c r="N936" s="208"/>
      <c r="O936" s="208" t="s">
        <v>260</v>
      </c>
      <c r="P936" s="208" t="s">
        <v>91</v>
      </c>
    </row>
    <row r="937" spans="1:16" s="187" customFormat="1" ht="18" customHeight="1">
      <c r="A937" s="187" t="str">
        <f t="shared" si="14"/>
        <v>V10055C</v>
      </c>
      <c r="B937" s="206" t="s">
        <v>1902</v>
      </c>
      <c r="C937" s="206"/>
      <c r="D937" s="206" t="s">
        <v>1908</v>
      </c>
      <c r="E937" s="206" t="s">
        <v>29</v>
      </c>
      <c r="F937" s="206" t="s">
        <v>1903</v>
      </c>
      <c r="G937" s="206" t="s">
        <v>1904</v>
      </c>
      <c r="H937" s="206"/>
      <c r="I937" s="206" t="s">
        <v>1905</v>
      </c>
      <c r="J937" s="206" t="s">
        <v>5209</v>
      </c>
      <c r="K937" s="206" t="s">
        <v>1906</v>
      </c>
      <c r="L937" s="206"/>
      <c r="M937" s="207"/>
      <c r="N937" s="206"/>
      <c r="O937" s="206" t="s">
        <v>260</v>
      </c>
      <c r="P937" s="206" t="s">
        <v>91</v>
      </c>
    </row>
    <row r="938" spans="1:16" s="187" customFormat="1" ht="18" customHeight="1">
      <c r="A938" s="187" t="str">
        <f t="shared" si="14"/>
        <v>V10330C</v>
      </c>
      <c r="B938" s="208" t="s">
        <v>4362</v>
      </c>
      <c r="C938" s="208"/>
      <c r="D938" s="208" t="s">
        <v>4361</v>
      </c>
      <c r="E938" s="208" t="s">
        <v>29</v>
      </c>
      <c r="F938" s="208" t="s">
        <v>4363</v>
      </c>
      <c r="G938" s="208"/>
      <c r="H938" s="208"/>
      <c r="I938" s="208" t="s">
        <v>4364</v>
      </c>
      <c r="J938" s="208" t="s">
        <v>4365</v>
      </c>
      <c r="K938" s="208" t="s">
        <v>4366</v>
      </c>
      <c r="L938" s="208"/>
      <c r="M938" s="209"/>
      <c r="N938" s="208"/>
      <c r="O938" s="208"/>
      <c r="P938" s="208" t="s">
        <v>91</v>
      </c>
    </row>
    <row r="939" spans="1:16" s="187" customFormat="1" ht="18" customHeight="1">
      <c r="A939" s="187" t="str">
        <f t="shared" si="14"/>
        <v>V10500C</v>
      </c>
      <c r="B939" s="206" t="s">
        <v>6146</v>
      </c>
      <c r="C939" s="206"/>
      <c r="D939" s="206" t="s">
        <v>6147</v>
      </c>
      <c r="E939" s="206" t="s">
        <v>29</v>
      </c>
      <c r="F939" s="206" t="s">
        <v>6148</v>
      </c>
      <c r="G939" s="206" t="s">
        <v>6149</v>
      </c>
      <c r="H939" s="206"/>
      <c r="I939" s="206"/>
      <c r="J939" s="206" t="s">
        <v>6150</v>
      </c>
      <c r="K939" s="206" t="s">
        <v>6151</v>
      </c>
      <c r="L939" s="206"/>
      <c r="M939" s="207"/>
      <c r="N939" s="206"/>
      <c r="O939" s="206" t="s">
        <v>260</v>
      </c>
      <c r="P939" s="206" t="s">
        <v>91</v>
      </c>
    </row>
    <row r="940" spans="1:16" s="187" customFormat="1" ht="18" customHeight="1">
      <c r="A940" s="187" t="str">
        <f t="shared" si="14"/>
        <v>V10295C</v>
      </c>
      <c r="B940" s="208" t="s">
        <v>4368</v>
      </c>
      <c r="C940" s="208"/>
      <c r="D940" s="208" t="s">
        <v>4367</v>
      </c>
      <c r="E940" s="208" t="s">
        <v>151</v>
      </c>
      <c r="F940" s="208" t="s">
        <v>4369</v>
      </c>
      <c r="G940" s="208"/>
      <c r="H940" s="208"/>
      <c r="I940" s="208"/>
      <c r="J940" s="208"/>
      <c r="K940" s="208"/>
      <c r="L940" s="208"/>
      <c r="M940" s="209"/>
      <c r="N940" s="208"/>
      <c r="O940" s="208"/>
      <c r="P940" s="208" t="s">
        <v>91</v>
      </c>
    </row>
    <row r="941" spans="1:16" s="187" customFormat="1" ht="18" customHeight="1">
      <c r="A941" s="187" t="str">
        <f t="shared" si="14"/>
        <v>V10109A</v>
      </c>
      <c r="B941" s="206" t="s">
        <v>1910</v>
      </c>
      <c r="C941" s="206"/>
      <c r="D941" s="206" t="s">
        <v>1909</v>
      </c>
      <c r="E941" s="206" t="s">
        <v>29</v>
      </c>
      <c r="F941" s="206" t="s">
        <v>1911</v>
      </c>
      <c r="G941" s="206" t="s">
        <v>1912</v>
      </c>
      <c r="H941" s="206"/>
      <c r="I941" s="206" t="s">
        <v>1913</v>
      </c>
      <c r="J941" s="206" t="s">
        <v>1914</v>
      </c>
      <c r="K941" s="206" t="s">
        <v>1915</v>
      </c>
      <c r="L941" s="206"/>
      <c r="M941" s="207"/>
      <c r="N941" s="206"/>
      <c r="O941" s="206" t="s">
        <v>260</v>
      </c>
      <c r="P941" s="206" t="s">
        <v>91</v>
      </c>
    </row>
    <row r="942" spans="1:16" s="187" customFormat="1" ht="18" customHeight="1">
      <c r="A942" s="187" t="str">
        <f t="shared" si="14"/>
        <v>V10109B</v>
      </c>
      <c r="B942" s="208" t="s">
        <v>1910</v>
      </c>
      <c r="C942" s="208"/>
      <c r="D942" s="208" t="s">
        <v>1916</v>
      </c>
      <c r="E942" s="208" t="s">
        <v>29</v>
      </c>
      <c r="F942" s="208" t="s">
        <v>1911</v>
      </c>
      <c r="G942" s="208" t="s">
        <v>1912</v>
      </c>
      <c r="H942" s="208"/>
      <c r="I942" s="208" t="s">
        <v>1913</v>
      </c>
      <c r="J942" s="208" t="s">
        <v>1914</v>
      </c>
      <c r="K942" s="208" t="s">
        <v>1915</v>
      </c>
      <c r="L942" s="208"/>
      <c r="M942" s="209"/>
      <c r="N942" s="208"/>
      <c r="O942" s="208" t="s">
        <v>260</v>
      </c>
      <c r="P942" s="208" t="s">
        <v>91</v>
      </c>
    </row>
    <row r="943" spans="1:16" s="187" customFormat="1" ht="18" customHeight="1">
      <c r="A943" s="187" t="str">
        <f t="shared" si="14"/>
        <v>V10109C</v>
      </c>
      <c r="B943" s="206" t="s">
        <v>1910</v>
      </c>
      <c r="C943" s="206"/>
      <c r="D943" s="206" t="s">
        <v>1917</v>
      </c>
      <c r="E943" s="206" t="s">
        <v>29</v>
      </c>
      <c r="F943" s="206" t="s">
        <v>1911</v>
      </c>
      <c r="G943" s="206" t="s">
        <v>1912</v>
      </c>
      <c r="H943" s="206"/>
      <c r="I943" s="206" t="s">
        <v>1913</v>
      </c>
      <c r="J943" s="206" t="s">
        <v>1914</v>
      </c>
      <c r="K943" s="206" t="s">
        <v>1915</v>
      </c>
      <c r="L943" s="206"/>
      <c r="M943" s="207"/>
      <c r="N943" s="206"/>
      <c r="O943" s="206" t="s">
        <v>260</v>
      </c>
      <c r="P943" s="206" t="s">
        <v>91</v>
      </c>
    </row>
    <row r="944" spans="1:16" s="187" customFormat="1" ht="18" customHeight="1">
      <c r="A944" s="187" t="str">
        <f t="shared" si="14"/>
        <v>V10153A</v>
      </c>
      <c r="B944" s="208" t="s">
        <v>1919</v>
      </c>
      <c r="C944" s="208"/>
      <c r="D944" s="208" t="s">
        <v>1918</v>
      </c>
      <c r="E944" s="208" t="s">
        <v>29</v>
      </c>
      <c r="F944" s="208" t="s">
        <v>1920</v>
      </c>
      <c r="G944" s="208" t="s">
        <v>1921</v>
      </c>
      <c r="H944" s="208"/>
      <c r="I944" s="208"/>
      <c r="J944" s="208" t="s">
        <v>1922</v>
      </c>
      <c r="K944" s="208" t="s">
        <v>1923</v>
      </c>
      <c r="L944" s="208"/>
      <c r="M944" s="209"/>
      <c r="N944" s="208"/>
      <c r="O944" s="208" t="s">
        <v>260</v>
      </c>
      <c r="P944" s="208" t="s">
        <v>91</v>
      </c>
    </row>
    <row r="945" spans="1:16" s="187" customFormat="1" ht="18" customHeight="1">
      <c r="A945" s="187" t="str">
        <f t="shared" si="14"/>
        <v>V10153B</v>
      </c>
      <c r="B945" s="206" t="s">
        <v>1919</v>
      </c>
      <c r="C945" s="206"/>
      <c r="D945" s="206" t="s">
        <v>1924</v>
      </c>
      <c r="E945" s="206" t="s">
        <v>29</v>
      </c>
      <c r="F945" s="206" t="s">
        <v>1920</v>
      </c>
      <c r="G945" s="206" t="s">
        <v>1921</v>
      </c>
      <c r="H945" s="206"/>
      <c r="I945" s="206"/>
      <c r="J945" s="206" t="s">
        <v>1922</v>
      </c>
      <c r="K945" s="206" t="s">
        <v>1923</v>
      </c>
      <c r="L945" s="206"/>
      <c r="M945" s="207"/>
      <c r="N945" s="206"/>
      <c r="O945" s="206" t="s">
        <v>260</v>
      </c>
      <c r="P945" s="206" t="s">
        <v>91</v>
      </c>
    </row>
    <row r="946" spans="1:16" s="187" customFormat="1" ht="18" customHeight="1">
      <c r="A946" s="187" t="str">
        <f t="shared" si="14"/>
        <v>V10153C</v>
      </c>
      <c r="B946" s="208" t="s">
        <v>1919</v>
      </c>
      <c r="C946" s="208"/>
      <c r="D946" s="208" t="s">
        <v>1925</v>
      </c>
      <c r="E946" s="208" t="s">
        <v>29</v>
      </c>
      <c r="F946" s="208" t="s">
        <v>1920</v>
      </c>
      <c r="G946" s="208" t="s">
        <v>1921</v>
      </c>
      <c r="H946" s="208"/>
      <c r="I946" s="208"/>
      <c r="J946" s="208" t="s">
        <v>1922</v>
      </c>
      <c r="K946" s="208" t="s">
        <v>1923</v>
      </c>
      <c r="L946" s="208"/>
      <c r="M946" s="209"/>
      <c r="N946" s="208"/>
      <c r="O946" s="208" t="s">
        <v>260</v>
      </c>
      <c r="P946" s="208" t="s">
        <v>91</v>
      </c>
    </row>
    <row r="947" spans="1:16" s="187" customFormat="1" ht="18" customHeight="1">
      <c r="A947" s="187" t="str">
        <f t="shared" si="14"/>
        <v>V10282C</v>
      </c>
      <c r="B947" s="206" t="s">
        <v>1927</v>
      </c>
      <c r="C947" s="206"/>
      <c r="D947" s="206" t="s">
        <v>1926</v>
      </c>
      <c r="E947" s="206" t="s">
        <v>29</v>
      </c>
      <c r="F947" s="206" t="s">
        <v>1928</v>
      </c>
      <c r="G947" s="206"/>
      <c r="H947" s="206"/>
      <c r="I947" s="206"/>
      <c r="J947" s="206" t="s">
        <v>1929</v>
      </c>
      <c r="K947" s="206" t="s">
        <v>1930</v>
      </c>
      <c r="L947" s="206"/>
      <c r="M947" s="207"/>
      <c r="N947" s="206"/>
      <c r="O947" s="206"/>
      <c r="P947" s="206" t="s">
        <v>91</v>
      </c>
    </row>
    <row r="948" spans="1:16" s="187" customFormat="1" ht="18" customHeight="1">
      <c r="A948" s="187" t="str">
        <f t="shared" si="14"/>
        <v>V10394C</v>
      </c>
      <c r="B948" s="208" t="s">
        <v>5491</v>
      </c>
      <c r="C948" s="208"/>
      <c r="D948" s="208" t="s">
        <v>5492</v>
      </c>
      <c r="E948" s="208" t="s">
        <v>29</v>
      </c>
      <c r="F948" s="208" t="s">
        <v>5493</v>
      </c>
      <c r="G948" s="208"/>
      <c r="H948" s="208"/>
      <c r="I948" s="208"/>
      <c r="J948" s="208" t="s">
        <v>5494</v>
      </c>
      <c r="K948" s="208" t="s">
        <v>5495</v>
      </c>
      <c r="L948" s="208"/>
      <c r="M948" s="209"/>
      <c r="N948" s="208"/>
      <c r="O948" s="208"/>
      <c r="P948" s="208" t="s">
        <v>91</v>
      </c>
    </row>
    <row r="949" spans="1:16" s="187" customFormat="1" ht="18" customHeight="1">
      <c r="A949" s="187" t="str">
        <f t="shared" si="14"/>
        <v>V10447C</v>
      </c>
      <c r="B949" s="206" t="s">
        <v>5739</v>
      </c>
      <c r="C949" s="206"/>
      <c r="D949" s="206" t="s">
        <v>5740</v>
      </c>
      <c r="E949" s="206" t="s">
        <v>29</v>
      </c>
      <c r="F949" s="206" t="s">
        <v>5741</v>
      </c>
      <c r="G949" s="206" t="s">
        <v>5742</v>
      </c>
      <c r="H949" s="206"/>
      <c r="I949" s="206"/>
      <c r="J949" s="206" t="s">
        <v>5743</v>
      </c>
      <c r="K949" s="206" t="s">
        <v>5744</v>
      </c>
      <c r="L949" s="206"/>
      <c r="M949" s="207"/>
      <c r="N949" s="206"/>
      <c r="O949" s="206" t="s">
        <v>260</v>
      </c>
      <c r="P949" s="206" t="s">
        <v>91</v>
      </c>
    </row>
    <row r="950" spans="1:16" s="187" customFormat="1" ht="18" customHeight="1">
      <c r="A950" s="187" t="str">
        <f t="shared" si="14"/>
        <v>V10035A</v>
      </c>
      <c r="B950" s="208" t="s">
        <v>1932</v>
      </c>
      <c r="C950" s="208"/>
      <c r="D950" s="208" t="s">
        <v>1931</v>
      </c>
      <c r="E950" s="208" t="s">
        <v>29</v>
      </c>
      <c r="F950" s="208" t="s">
        <v>5076</v>
      </c>
      <c r="G950" s="208" t="s">
        <v>1933</v>
      </c>
      <c r="H950" s="208"/>
      <c r="I950" s="208" t="s">
        <v>1934</v>
      </c>
      <c r="J950" s="208" t="s">
        <v>1935</v>
      </c>
      <c r="K950" s="208" t="s">
        <v>1936</v>
      </c>
      <c r="L950" s="208"/>
      <c r="M950" s="209"/>
      <c r="N950" s="208"/>
      <c r="O950" s="208" t="s">
        <v>260</v>
      </c>
      <c r="P950" s="208" t="s">
        <v>91</v>
      </c>
    </row>
    <row r="951" spans="1:16" s="187" customFormat="1" ht="18" customHeight="1">
      <c r="A951" s="187" t="str">
        <f t="shared" si="14"/>
        <v>V10035B</v>
      </c>
      <c r="B951" s="206" t="s">
        <v>1932</v>
      </c>
      <c r="C951" s="206"/>
      <c r="D951" s="206" t="s">
        <v>1937</v>
      </c>
      <c r="E951" s="206" t="s">
        <v>29</v>
      </c>
      <c r="F951" s="206" t="s">
        <v>5076</v>
      </c>
      <c r="G951" s="206" t="s">
        <v>1933</v>
      </c>
      <c r="H951" s="206"/>
      <c r="I951" s="206" t="s">
        <v>1934</v>
      </c>
      <c r="J951" s="206" t="s">
        <v>1938</v>
      </c>
      <c r="K951" s="206" t="s">
        <v>1936</v>
      </c>
      <c r="L951" s="206"/>
      <c r="M951" s="207"/>
      <c r="N951" s="206"/>
      <c r="O951" s="206" t="s">
        <v>260</v>
      </c>
      <c r="P951" s="206" t="s">
        <v>91</v>
      </c>
    </row>
    <row r="952" spans="1:16" s="187" customFormat="1" ht="18" customHeight="1">
      <c r="A952" s="187" t="str">
        <f t="shared" si="14"/>
        <v>V10035C</v>
      </c>
      <c r="B952" s="208" t="s">
        <v>1932</v>
      </c>
      <c r="C952" s="208"/>
      <c r="D952" s="208" t="s">
        <v>1939</v>
      </c>
      <c r="E952" s="208" t="s">
        <v>29</v>
      </c>
      <c r="F952" s="208" t="s">
        <v>5076</v>
      </c>
      <c r="G952" s="208" t="s">
        <v>1933</v>
      </c>
      <c r="H952" s="208"/>
      <c r="I952" s="208" t="s">
        <v>1934</v>
      </c>
      <c r="J952" s="208" t="s">
        <v>1938</v>
      </c>
      <c r="K952" s="208" t="s">
        <v>1936</v>
      </c>
      <c r="L952" s="208"/>
      <c r="M952" s="209"/>
      <c r="N952" s="208"/>
      <c r="O952" s="208" t="s">
        <v>260</v>
      </c>
      <c r="P952" s="208" t="s">
        <v>91</v>
      </c>
    </row>
    <row r="953" spans="1:16" s="187" customFormat="1" ht="18" customHeight="1">
      <c r="A953" s="187" t="str">
        <f t="shared" si="14"/>
        <v>V10139A</v>
      </c>
      <c r="B953" s="206" t="s">
        <v>1941</v>
      </c>
      <c r="C953" s="206"/>
      <c r="D953" s="206" t="s">
        <v>1940</v>
      </c>
      <c r="E953" s="206" t="s">
        <v>29</v>
      </c>
      <c r="F953" s="206" t="s">
        <v>1942</v>
      </c>
      <c r="G953" s="206" t="s">
        <v>1943</v>
      </c>
      <c r="H953" s="206"/>
      <c r="I953" s="206" t="s">
        <v>1944</v>
      </c>
      <c r="J953" s="206" t="s">
        <v>1945</v>
      </c>
      <c r="K953" s="206" t="s">
        <v>1946</v>
      </c>
      <c r="L953" s="206"/>
      <c r="M953" s="207"/>
      <c r="N953" s="206"/>
      <c r="O953" s="206" t="s">
        <v>260</v>
      </c>
      <c r="P953" s="206" t="s">
        <v>91</v>
      </c>
    </row>
    <row r="954" spans="1:16" s="187" customFormat="1" ht="18" customHeight="1">
      <c r="A954" s="187" t="str">
        <f t="shared" si="14"/>
        <v>V10139B</v>
      </c>
      <c r="B954" s="208" t="s">
        <v>1941</v>
      </c>
      <c r="C954" s="208"/>
      <c r="D954" s="208" t="s">
        <v>1947</v>
      </c>
      <c r="E954" s="208" t="s">
        <v>29</v>
      </c>
      <c r="F954" s="208" t="s">
        <v>1942</v>
      </c>
      <c r="G954" s="208" t="s">
        <v>1943</v>
      </c>
      <c r="H954" s="208"/>
      <c r="I954" s="208" t="s">
        <v>1944</v>
      </c>
      <c r="J954" s="208" t="s">
        <v>1945</v>
      </c>
      <c r="K954" s="208" t="s">
        <v>1946</v>
      </c>
      <c r="L954" s="208"/>
      <c r="M954" s="209"/>
      <c r="N954" s="208"/>
      <c r="O954" s="208" t="s">
        <v>260</v>
      </c>
      <c r="P954" s="208" t="s">
        <v>91</v>
      </c>
    </row>
    <row r="955" spans="1:16" s="187" customFormat="1" ht="18" customHeight="1">
      <c r="A955" s="187" t="str">
        <f t="shared" si="14"/>
        <v>V10139C</v>
      </c>
      <c r="B955" s="206" t="s">
        <v>1941</v>
      </c>
      <c r="C955" s="206"/>
      <c r="D955" s="206" t="s">
        <v>1948</v>
      </c>
      <c r="E955" s="206" t="s">
        <v>29</v>
      </c>
      <c r="F955" s="206" t="s">
        <v>1942</v>
      </c>
      <c r="G955" s="206" t="s">
        <v>1943</v>
      </c>
      <c r="H955" s="206"/>
      <c r="I955" s="206" t="s">
        <v>1944</v>
      </c>
      <c r="J955" s="206" t="s">
        <v>1945</v>
      </c>
      <c r="K955" s="206" t="s">
        <v>1946</v>
      </c>
      <c r="L955" s="206"/>
      <c r="M955" s="207"/>
      <c r="N955" s="206"/>
      <c r="O955" s="206" t="s">
        <v>260</v>
      </c>
      <c r="P955" s="206" t="s">
        <v>91</v>
      </c>
    </row>
    <row r="956" spans="1:16" s="187" customFormat="1" ht="18" customHeight="1">
      <c r="A956" s="187" t="str">
        <f t="shared" si="14"/>
        <v>V10473C</v>
      </c>
      <c r="B956" s="208" t="s">
        <v>6152</v>
      </c>
      <c r="C956" s="208"/>
      <c r="D956" s="208" t="s">
        <v>6153</v>
      </c>
      <c r="E956" s="208" t="s">
        <v>29</v>
      </c>
      <c r="F956" s="208" t="s">
        <v>6154</v>
      </c>
      <c r="G956" s="208" t="s">
        <v>6155</v>
      </c>
      <c r="H956" s="208"/>
      <c r="I956" s="208" t="s">
        <v>6156</v>
      </c>
      <c r="J956" s="208" t="s">
        <v>6157</v>
      </c>
      <c r="K956" s="208" t="s">
        <v>6158</v>
      </c>
      <c r="L956" s="208"/>
      <c r="M956" s="209"/>
      <c r="N956" s="208"/>
      <c r="O956" s="208"/>
      <c r="P956" s="208" t="s">
        <v>91</v>
      </c>
    </row>
    <row r="957" spans="1:16" s="187" customFormat="1" ht="18" customHeight="1">
      <c r="A957" s="187" t="str">
        <f t="shared" si="14"/>
        <v>V10162A</v>
      </c>
      <c r="B957" s="206" t="s">
        <v>1950</v>
      </c>
      <c r="C957" s="206"/>
      <c r="D957" s="206" t="s">
        <v>1949</v>
      </c>
      <c r="E957" s="206" t="s">
        <v>29</v>
      </c>
      <c r="F957" s="206" t="s">
        <v>1951</v>
      </c>
      <c r="G957" s="206" t="s">
        <v>1952</v>
      </c>
      <c r="H957" s="206"/>
      <c r="I957" s="206" t="s">
        <v>1953</v>
      </c>
      <c r="J957" s="206" t="s">
        <v>1954</v>
      </c>
      <c r="K957" s="206" t="s">
        <v>1955</v>
      </c>
      <c r="L957" s="206"/>
      <c r="M957" s="207"/>
      <c r="N957" s="206"/>
      <c r="O957" s="206" t="s">
        <v>260</v>
      </c>
      <c r="P957" s="206" t="s">
        <v>91</v>
      </c>
    </row>
    <row r="958" spans="1:16" s="187" customFormat="1" ht="18" customHeight="1">
      <c r="A958" s="187" t="str">
        <f t="shared" si="14"/>
        <v>V10162B</v>
      </c>
      <c r="B958" s="208" t="s">
        <v>1950</v>
      </c>
      <c r="C958" s="208"/>
      <c r="D958" s="208" t="s">
        <v>1956</v>
      </c>
      <c r="E958" s="208" t="s">
        <v>29</v>
      </c>
      <c r="F958" s="208" t="s">
        <v>1951</v>
      </c>
      <c r="G958" s="208" t="s">
        <v>1952</v>
      </c>
      <c r="H958" s="208"/>
      <c r="I958" s="208" t="s">
        <v>1953</v>
      </c>
      <c r="J958" s="208" t="s">
        <v>1954</v>
      </c>
      <c r="K958" s="208" t="s">
        <v>1955</v>
      </c>
      <c r="L958" s="208"/>
      <c r="M958" s="209"/>
      <c r="N958" s="208"/>
      <c r="O958" s="208" t="s">
        <v>260</v>
      </c>
      <c r="P958" s="208" t="s">
        <v>91</v>
      </c>
    </row>
    <row r="959" spans="1:16" s="187" customFormat="1" ht="18" customHeight="1">
      <c r="A959" s="187" t="str">
        <f t="shared" si="14"/>
        <v>V10162C</v>
      </c>
      <c r="B959" s="206" t="s">
        <v>1950</v>
      </c>
      <c r="C959" s="206"/>
      <c r="D959" s="206" t="s">
        <v>1957</v>
      </c>
      <c r="E959" s="206" t="s">
        <v>29</v>
      </c>
      <c r="F959" s="206" t="s">
        <v>1951</v>
      </c>
      <c r="G959" s="206" t="s">
        <v>1952</v>
      </c>
      <c r="H959" s="206"/>
      <c r="I959" s="206" t="s">
        <v>1953</v>
      </c>
      <c r="J959" s="206" t="s">
        <v>1954</v>
      </c>
      <c r="K959" s="206" t="s">
        <v>1955</v>
      </c>
      <c r="L959" s="206"/>
      <c r="M959" s="207"/>
      <c r="N959" s="206"/>
      <c r="O959" s="206" t="s">
        <v>260</v>
      </c>
      <c r="P959" s="206" t="s">
        <v>91</v>
      </c>
    </row>
    <row r="960" spans="1:16" s="187" customFormat="1" ht="18" customHeight="1">
      <c r="A960" s="187" t="str">
        <f t="shared" si="14"/>
        <v>V10281C</v>
      </c>
      <c r="B960" s="208" t="s">
        <v>1959</v>
      </c>
      <c r="C960" s="208"/>
      <c r="D960" s="208" t="s">
        <v>1958</v>
      </c>
      <c r="E960" s="208" t="s">
        <v>29</v>
      </c>
      <c r="F960" s="208" t="s">
        <v>1960</v>
      </c>
      <c r="G960" s="208" t="s">
        <v>5210</v>
      </c>
      <c r="H960" s="208"/>
      <c r="I960" s="208"/>
      <c r="J960" s="208" t="s">
        <v>1961</v>
      </c>
      <c r="K960" s="208" t="s">
        <v>4370</v>
      </c>
      <c r="L960" s="208"/>
      <c r="M960" s="209"/>
      <c r="N960" s="208"/>
      <c r="O960" s="208"/>
      <c r="P960" s="208" t="s">
        <v>91</v>
      </c>
    </row>
    <row r="961" spans="1:16" s="187" customFormat="1" ht="18" customHeight="1">
      <c r="A961" s="187" t="str">
        <f t="shared" si="14"/>
        <v>V10281B</v>
      </c>
      <c r="B961" s="206" t="s">
        <v>1959</v>
      </c>
      <c r="C961" s="206"/>
      <c r="D961" s="206" t="s">
        <v>4371</v>
      </c>
      <c r="E961" s="206" t="s">
        <v>29</v>
      </c>
      <c r="F961" s="206" t="s">
        <v>1960</v>
      </c>
      <c r="G961" s="206" t="s">
        <v>5210</v>
      </c>
      <c r="H961" s="206"/>
      <c r="I961" s="206"/>
      <c r="J961" s="206" t="s">
        <v>1961</v>
      </c>
      <c r="K961" s="206" t="s">
        <v>4370</v>
      </c>
      <c r="L961" s="206"/>
      <c r="M961" s="207"/>
      <c r="N961" s="206"/>
      <c r="O961" s="206"/>
      <c r="P961" s="206" t="s">
        <v>91</v>
      </c>
    </row>
    <row r="962" spans="1:16" s="187" customFormat="1" ht="18" customHeight="1">
      <c r="A962" s="187" t="str">
        <f t="shared" si="14"/>
        <v>V10335C</v>
      </c>
      <c r="B962" s="208" t="s">
        <v>4373</v>
      </c>
      <c r="C962" s="208"/>
      <c r="D962" s="208" t="s">
        <v>4372</v>
      </c>
      <c r="E962" s="208" t="s">
        <v>29</v>
      </c>
      <c r="F962" s="208" t="s">
        <v>4374</v>
      </c>
      <c r="G962" s="208" t="s">
        <v>4375</v>
      </c>
      <c r="H962" s="208"/>
      <c r="I962" s="208"/>
      <c r="J962" s="208" t="s">
        <v>4232</v>
      </c>
      <c r="K962" s="208" t="s">
        <v>4376</v>
      </c>
      <c r="L962" s="208"/>
      <c r="M962" s="209"/>
      <c r="N962" s="208"/>
      <c r="O962" s="208"/>
      <c r="P962" s="208" t="s">
        <v>91</v>
      </c>
    </row>
    <row r="963" spans="1:16" s="187" customFormat="1" ht="18" customHeight="1">
      <c r="A963" s="187" t="str">
        <f t="shared" si="14"/>
        <v>V10544C</v>
      </c>
      <c r="B963" s="206" t="s">
        <v>6375</v>
      </c>
      <c r="C963" s="206"/>
      <c r="D963" s="206" t="s">
        <v>6376</v>
      </c>
      <c r="E963" s="206" t="s">
        <v>29</v>
      </c>
      <c r="F963" s="206" t="s">
        <v>6377</v>
      </c>
      <c r="G963" s="206"/>
      <c r="H963" s="206"/>
      <c r="I963" s="206"/>
      <c r="J963" s="206" t="s">
        <v>6378</v>
      </c>
      <c r="K963" s="206" t="s">
        <v>6379</v>
      </c>
      <c r="L963" s="206"/>
      <c r="M963" s="207"/>
      <c r="N963" s="206"/>
      <c r="O963" s="206"/>
      <c r="P963" s="206" t="s">
        <v>91</v>
      </c>
    </row>
    <row r="964" spans="1:16" s="187" customFormat="1" ht="18" customHeight="1">
      <c r="A964" s="187" t="str">
        <f t="shared" si="14"/>
        <v>V10310C</v>
      </c>
      <c r="B964" s="208" t="s">
        <v>4378</v>
      </c>
      <c r="C964" s="208"/>
      <c r="D964" s="208" t="s">
        <v>4377</v>
      </c>
      <c r="E964" s="208" t="s">
        <v>29</v>
      </c>
      <c r="F964" s="208" t="s">
        <v>4379</v>
      </c>
      <c r="G964" s="208"/>
      <c r="H964" s="208"/>
      <c r="I964" s="208" t="s">
        <v>4380</v>
      </c>
      <c r="J964" s="208" t="s">
        <v>4381</v>
      </c>
      <c r="K964" s="208" t="s">
        <v>4382</v>
      </c>
      <c r="L964" s="208"/>
      <c r="M964" s="209"/>
      <c r="N964" s="208"/>
      <c r="O964" s="208"/>
      <c r="P964" s="208" t="s">
        <v>91</v>
      </c>
    </row>
    <row r="965" spans="1:16" s="187" customFormat="1" ht="18" customHeight="1">
      <c r="A965" s="187" t="str">
        <f t="shared" si="14"/>
        <v>CG440017C0</v>
      </c>
      <c r="B965" s="206" t="s">
        <v>1963</v>
      </c>
      <c r="C965" s="206"/>
      <c r="D965" s="206" t="s">
        <v>1969</v>
      </c>
      <c r="E965" s="206" t="s">
        <v>29</v>
      </c>
      <c r="F965" s="206" t="s">
        <v>1964</v>
      </c>
      <c r="G965" s="206"/>
      <c r="H965" s="206"/>
      <c r="I965" s="206"/>
      <c r="J965" s="206"/>
      <c r="K965" s="206"/>
      <c r="L965" s="206"/>
      <c r="M965" s="207"/>
      <c r="N965" s="206"/>
      <c r="O965" s="206"/>
      <c r="P965" s="206" t="s">
        <v>100</v>
      </c>
    </row>
    <row r="966" spans="1:16" s="187" customFormat="1" ht="18" customHeight="1">
      <c r="A966" s="187" t="str">
        <f t="shared" ref="A966:A1029" si="15">D966</f>
        <v>V4025C0</v>
      </c>
      <c r="B966" s="208" t="s">
        <v>1963</v>
      </c>
      <c r="C966" s="208"/>
      <c r="D966" s="208" t="s">
        <v>1962</v>
      </c>
      <c r="E966" s="208" t="s">
        <v>29</v>
      </c>
      <c r="F966" s="208" t="s">
        <v>1964</v>
      </c>
      <c r="G966" s="208" t="s">
        <v>1965</v>
      </c>
      <c r="H966" s="208"/>
      <c r="I966" s="208" t="s">
        <v>1966</v>
      </c>
      <c r="J966" s="208" t="s">
        <v>1967</v>
      </c>
      <c r="K966" s="208" t="s">
        <v>1968</v>
      </c>
      <c r="L966" s="208"/>
      <c r="M966" s="209"/>
      <c r="N966" s="208"/>
      <c r="O966" s="208" t="s">
        <v>131</v>
      </c>
      <c r="P966" s="208" t="s">
        <v>107</v>
      </c>
    </row>
    <row r="967" spans="1:16" s="187" customFormat="1" ht="18" customHeight="1">
      <c r="A967" s="187" t="str">
        <f t="shared" si="15"/>
        <v>V10358C</v>
      </c>
      <c r="B967" s="206" t="s">
        <v>4930</v>
      </c>
      <c r="C967" s="206"/>
      <c r="D967" s="206" t="s">
        <v>4931</v>
      </c>
      <c r="E967" s="206" t="s">
        <v>29</v>
      </c>
      <c r="F967" s="206" t="s">
        <v>4932</v>
      </c>
      <c r="G967" s="206"/>
      <c r="H967" s="206"/>
      <c r="I967" s="206" t="s">
        <v>4933</v>
      </c>
      <c r="J967" s="206" t="s">
        <v>4934</v>
      </c>
      <c r="K967" s="206" t="s">
        <v>4935</v>
      </c>
      <c r="L967" s="206"/>
      <c r="M967" s="207"/>
      <c r="N967" s="206"/>
      <c r="O967" s="206"/>
      <c r="P967" s="206" t="s">
        <v>91</v>
      </c>
    </row>
    <row r="968" spans="1:16" s="187" customFormat="1" ht="18" customHeight="1">
      <c r="A968" s="187" t="str">
        <f t="shared" si="15"/>
        <v>V10215A</v>
      </c>
      <c r="B968" s="208" t="s">
        <v>1971</v>
      </c>
      <c r="C968" s="208"/>
      <c r="D968" s="208" t="s">
        <v>1970</v>
      </c>
      <c r="E968" s="208" t="s">
        <v>29</v>
      </c>
      <c r="F968" s="208" t="s">
        <v>1972</v>
      </c>
      <c r="G968" s="208" t="s">
        <v>1973</v>
      </c>
      <c r="H968" s="208"/>
      <c r="I968" s="208" t="s">
        <v>1974</v>
      </c>
      <c r="J968" s="208" t="s">
        <v>1975</v>
      </c>
      <c r="K968" s="208" t="s">
        <v>1976</v>
      </c>
      <c r="L968" s="208"/>
      <c r="M968" s="209"/>
      <c r="N968" s="208"/>
      <c r="O968" s="208" t="s">
        <v>260</v>
      </c>
      <c r="P968" s="208" t="s">
        <v>91</v>
      </c>
    </row>
    <row r="969" spans="1:16" s="187" customFormat="1" ht="18" customHeight="1">
      <c r="A969" s="187" t="str">
        <f t="shared" si="15"/>
        <v>V10215B</v>
      </c>
      <c r="B969" s="206" t="s">
        <v>1971</v>
      </c>
      <c r="C969" s="206"/>
      <c r="D969" s="206" t="s">
        <v>1977</v>
      </c>
      <c r="E969" s="206" t="s">
        <v>29</v>
      </c>
      <c r="F969" s="206" t="s">
        <v>1972</v>
      </c>
      <c r="G969" s="206" t="s">
        <v>1973</v>
      </c>
      <c r="H969" s="206"/>
      <c r="I969" s="206" t="s">
        <v>1974</v>
      </c>
      <c r="J969" s="206" t="s">
        <v>1975</v>
      </c>
      <c r="K969" s="206" t="s">
        <v>1976</v>
      </c>
      <c r="L969" s="206"/>
      <c r="M969" s="207"/>
      <c r="N969" s="206"/>
      <c r="O969" s="206" t="s">
        <v>260</v>
      </c>
      <c r="P969" s="206" t="s">
        <v>91</v>
      </c>
    </row>
    <row r="970" spans="1:16" s="187" customFormat="1" ht="18" customHeight="1">
      <c r="A970" s="187" t="str">
        <f t="shared" si="15"/>
        <v>V10215C</v>
      </c>
      <c r="B970" s="208" t="s">
        <v>1971</v>
      </c>
      <c r="C970" s="208"/>
      <c r="D970" s="208" t="s">
        <v>1978</v>
      </c>
      <c r="E970" s="208" t="s">
        <v>29</v>
      </c>
      <c r="F970" s="208" t="s">
        <v>1972</v>
      </c>
      <c r="G970" s="208" t="s">
        <v>1973</v>
      </c>
      <c r="H970" s="208"/>
      <c r="I970" s="208" t="s">
        <v>1974</v>
      </c>
      <c r="J970" s="208" t="s">
        <v>1975</v>
      </c>
      <c r="K970" s="208" t="s">
        <v>1976</v>
      </c>
      <c r="L970" s="208"/>
      <c r="M970" s="209"/>
      <c r="N970" s="208"/>
      <c r="O970" s="208" t="s">
        <v>260</v>
      </c>
      <c r="P970" s="208" t="s">
        <v>91</v>
      </c>
    </row>
    <row r="971" spans="1:16" s="187" customFormat="1" ht="18" customHeight="1">
      <c r="A971" s="187" t="str">
        <f t="shared" si="15"/>
        <v>V10094A</v>
      </c>
      <c r="B971" s="206" t="s">
        <v>1980</v>
      </c>
      <c r="C971" s="206"/>
      <c r="D971" s="206" t="s">
        <v>1979</v>
      </c>
      <c r="E971" s="206" t="s">
        <v>29</v>
      </c>
      <c r="F971" s="206" t="s">
        <v>1981</v>
      </c>
      <c r="G971" s="206" t="s">
        <v>1982</v>
      </c>
      <c r="H971" s="206"/>
      <c r="I971" s="206" t="s">
        <v>1983</v>
      </c>
      <c r="J971" s="206" t="s">
        <v>1984</v>
      </c>
      <c r="K971" s="206" t="s">
        <v>1985</v>
      </c>
      <c r="L971" s="206"/>
      <c r="M971" s="207"/>
      <c r="N971" s="206"/>
      <c r="O971" s="206" t="s">
        <v>260</v>
      </c>
      <c r="P971" s="206" t="s">
        <v>91</v>
      </c>
    </row>
    <row r="972" spans="1:16" s="187" customFormat="1" ht="18" customHeight="1">
      <c r="A972" s="187" t="str">
        <f t="shared" si="15"/>
        <v>V10094B</v>
      </c>
      <c r="B972" s="208" t="s">
        <v>1980</v>
      </c>
      <c r="C972" s="208"/>
      <c r="D972" s="208" t="s">
        <v>1986</v>
      </c>
      <c r="E972" s="208" t="s">
        <v>29</v>
      </c>
      <c r="F972" s="208" t="s">
        <v>1981</v>
      </c>
      <c r="G972" s="208" t="s">
        <v>1982</v>
      </c>
      <c r="H972" s="208"/>
      <c r="I972" s="208" t="s">
        <v>1983</v>
      </c>
      <c r="J972" s="208" t="s">
        <v>1984</v>
      </c>
      <c r="K972" s="208" t="s">
        <v>1985</v>
      </c>
      <c r="L972" s="208"/>
      <c r="M972" s="209"/>
      <c r="N972" s="208"/>
      <c r="O972" s="208" t="s">
        <v>260</v>
      </c>
      <c r="P972" s="208" t="s">
        <v>91</v>
      </c>
    </row>
    <row r="973" spans="1:16" s="187" customFormat="1" ht="18" customHeight="1">
      <c r="A973" s="187" t="str">
        <f t="shared" si="15"/>
        <v>V10094C</v>
      </c>
      <c r="B973" s="206" t="s">
        <v>1980</v>
      </c>
      <c r="C973" s="206"/>
      <c r="D973" s="206" t="s">
        <v>1987</v>
      </c>
      <c r="E973" s="206" t="s">
        <v>29</v>
      </c>
      <c r="F973" s="206" t="s">
        <v>1981</v>
      </c>
      <c r="G973" s="206" t="s">
        <v>1982</v>
      </c>
      <c r="H973" s="206"/>
      <c r="I973" s="206" t="s">
        <v>1983</v>
      </c>
      <c r="J973" s="206" t="s">
        <v>1984</v>
      </c>
      <c r="K973" s="206" t="s">
        <v>1985</v>
      </c>
      <c r="L973" s="206"/>
      <c r="M973" s="207"/>
      <c r="N973" s="206"/>
      <c r="O973" s="206" t="s">
        <v>260</v>
      </c>
      <c r="P973" s="206" t="s">
        <v>91</v>
      </c>
    </row>
    <row r="974" spans="1:16" s="187" customFormat="1" ht="18" customHeight="1">
      <c r="A974" s="187" t="str">
        <f t="shared" si="15"/>
        <v>V10275C</v>
      </c>
      <c r="B974" s="208" t="s">
        <v>1989</v>
      </c>
      <c r="C974" s="208"/>
      <c r="D974" s="208" t="s">
        <v>1988</v>
      </c>
      <c r="E974" s="208" t="s">
        <v>29</v>
      </c>
      <c r="F974" s="208" t="s">
        <v>1990</v>
      </c>
      <c r="G974" s="208" t="s">
        <v>1991</v>
      </c>
      <c r="H974" s="208"/>
      <c r="I974" s="208"/>
      <c r="J974" s="208" t="s">
        <v>1992</v>
      </c>
      <c r="K974" s="208" t="s">
        <v>1993</v>
      </c>
      <c r="L974" s="208"/>
      <c r="M974" s="209"/>
      <c r="N974" s="208"/>
      <c r="O974" s="208"/>
      <c r="P974" s="208" t="s">
        <v>91</v>
      </c>
    </row>
    <row r="975" spans="1:16" s="187" customFormat="1" ht="18" customHeight="1">
      <c r="A975" s="187" t="str">
        <f t="shared" si="15"/>
        <v>V10064C</v>
      </c>
      <c r="B975" s="206" t="s">
        <v>1995</v>
      </c>
      <c r="C975" s="206"/>
      <c r="D975" s="206" t="s">
        <v>1994</v>
      </c>
      <c r="E975" s="206" t="s">
        <v>29</v>
      </c>
      <c r="F975" s="206" t="s">
        <v>6159</v>
      </c>
      <c r="G975" s="206" t="s">
        <v>1996</v>
      </c>
      <c r="H975" s="206"/>
      <c r="I975" s="206"/>
      <c r="J975" s="206" t="s">
        <v>387</v>
      </c>
      <c r="K975" s="206" t="s">
        <v>1997</v>
      </c>
      <c r="L975" s="206"/>
      <c r="M975" s="207"/>
      <c r="N975" s="206"/>
      <c r="O975" s="206" t="s">
        <v>260</v>
      </c>
      <c r="P975" s="206" t="s">
        <v>91</v>
      </c>
    </row>
    <row r="976" spans="1:16" s="187" customFormat="1" ht="18" customHeight="1">
      <c r="A976" s="187" t="str">
        <f t="shared" si="15"/>
        <v>V10064A</v>
      </c>
      <c r="B976" s="208" t="s">
        <v>1995</v>
      </c>
      <c r="C976" s="208"/>
      <c r="D976" s="208" t="s">
        <v>1998</v>
      </c>
      <c r="E976" s="208" t="s">
        <v>29</v>
      </c>
      <c r="F976" s="208" t="s">
        <v>6159</v>
      </c>
      <c r="G976" s="208" t="s">
        <v>1996</v>
      </c>
      <c r="H976" s="208"/>
      <c r="I976" s="208"/>
      <c r="J976" s="208" t="s">
        <v>387</v>
      </c>
      <c r="K976" s="208" t="s">
        <v>1997</v>
      </c>
      <c r="L976" s="208"/>
      <c r="M976" s="209"/>
      <c r="N976" s="208"/>
      <c r="O976" s="208" t="s">
        <v>260</v>
      </c>
      <c r="P976" s="208" t="s">
        <v>91</v>
      </c>
    </row>
    <row r="977" spans="1:16" s="187" customFormat="1" ht="18" customHeight="1">
      <c r="A977" s="187" t="str">
        <f t="shared" si="15"/>
        <v>V10064B</v>
      </c>
      <c r="B977" s="206" t="s">
        <v>1995</v>
      </c>
      <c r="C977" s="206"/>
      <c r="D977" s="206" t="s">
        <v>1999</v>
      </c>
      <c r="E977" s="206" t="s">
        <v>29</v>
      </c>
      <c r="F977" s="206" t="s">
        <v>6159</v>
      </c>
      <c r="G977" s="206" t="s">
        <v>1996</v>
      </c>
      <c r="H977" s="206"/>
      <c r="I977" s="206"/>
      <c r="J977" s="206" t="s">
        <v>387</v>
      </c>
      <c r="K977" s="206" t="s">
        <v>1997</v>
      </c>
      <c r="L977" s="206"/>
      <c r="M977" s="207"/>
      <c r="N977" s="206"/>
      <c r="O977" s="206" t="s">
        <v>260</v>
      </c>
      <c r="P977" s="206" t="s">
        <v>91</v>
      </c>
    </row>
    <row r="978" spans="1:16" s="187" customFormat="1" ht="18" customHeight="1">
      <c r="A978" s="187" t="str">
        <f t="shared" si="15"/>
        <v>CG440032C0</v>
      </c>
      <c r="B978" s="208" t="s">
        <v>1995</v>
      </c>
      <c r="C978" s="208"/>
      <c r="D978" s="208" t="s">
        <v>5075</v>
      </c>
      <c r="E978" s="208" t="s">
        <v>29</v>
      </c>
      <c r="F978" s="208" t="s">
        <v>5074</v>
      </c>
      <c r="G978" s="208"/>
      <c r="H978" s="208"/>
      <c r="I978" s="208"/>
      <c r="J978" s="208"/>
      <c r="K978" s="208"/>
      <c r="L978" s="208"/>
      <c r="M978" s="209"/>
      <c r="N978" s="208"/>
      <c r="O978" s="208"/>
      <c r="P978" s="208" t="s">
        <v>100</v>
      </c>
    </row>
    <row r="979" spans="1:16" s="187" customFormat="1" ht="18" customHeight="1">
      <c r="A979" s="187" t="str">
        <f t="shared" si="15"/>
        <v>V10321C</v>
      </c>
      <c r="B979" s="206" t="s">
        <v>4384</v>
      </c>
      <c r="C979" s="206"/>
      <c r="D979" s="206" t="s">
        <v>4383</v>
      </c>
      <c r="E979" s="206" t="s">
        <v>29</v>
      </c>
      <c r="F979" s="206" t="s">
        <v>4385</v>
      </c>
      <c r="G979" s="206"/>
      <c r="H979" s="206"/>
      <c r="I979" s="206"/>
      <c r="J979" s="206" t="s">
        <v>4386</v>
      </c>
      <c r="K979" s="206" t="s">
        <v>4387</v>
      </c>
      <c r="L979" s="206"/>
      <c r="M979" s="207"/>
      <c r="N979" s="206"/>
      <c r="O979" s="206"/>
      <c r="P979" s="206" t="s">
        <v>91</v>
      </c>
    </row>
    <row r="980" spans="1:16" s="187" customFormat="1" ht="18" customHeight="1">
      <c r="A980" s="187" t="str">
        <f t="shared" si="15"/>
        <v>V10363C</v>
      </c>
      <c r="B980" s="208" t="s">
        <v>4936</v>
      </c>
      <c r="C980" s="208"/>
      <c r="D980" s="208" t="s">
        <v>4937</v>
      </c>
      <c r="E980" s="208" t="s">
        <v>29</v>
      </c>
      <c r="F980" s="208" t="s">
        <v>4938</v>
      </c>
      <c r="G980" s="208"/>
      <c r="H980" s="208"/>
      <c r="I980" s="208" t="s">
        <v>4939</v>
      </c>
      <c r="J980" s="208" t="s">
        <v>5211</v>
      </c>
      <c r="K980" s="208" t="s">
        <v>5212</v>
      </c>
      <c r="L980" s="208"/>
      <c r="M980" s="209"/>
      <c r="N980" s="208"/>
      <c r="O980" s="208"/>
      <c r="P980" s="208" t="s">
        <v>91</v>
      </c>
    </row>
    <row r="981" spans="1:16" s="187" customFormat="1" ht="18" customHeight="1">
      <c r="A981" s="187" t="str">
        <f t="shared" si="15"/>
        <v>V10406C</v>
      </c>
      <c r="B981" s="206" t="s">
        <v>5423</v>
      </c>
      <c r="C981" s="206"/>
      <c r="D981" s="206" t="s">
        <v>5449</v>
      </c>
      <c r="E981" s="206" t="s">
        <v>29</v>
      </c>
      <c r="F981" s="206" t="s">
        <v>5450</v>
      </c>
      <c r="G981" s="206"/>
      <c r="H981" s="206"/>
      <c r="I981" s="206"/>
      <c r="J981" s="206" t="s">
        <v>5451</v>
      </c>
      <c r="K981" s="206" t="s">
        <v>5452</v>
      </c>
      <c r="L981" s="206"/>
      <c r="M981" s="207"/>
      <c r="N981" s="206"/>
      <c r="O981" s="206"/>
      <c r="P981" s="206" t="s">
        <v>91</v>
      </c>
    </row>
    <row r="982" spans="1:16" s="187" customFormat="1" ht="18" customHeight="1">
      <c r="A982" s="187" t="str">
        <f t="shared" si="15"/>
        <v>V10316A</v>
      </c>
      <c r="B982" s="208" t="s">
        <v>4389</v>
      </c>
      <c r="C982" s="208"/>
      <c r="D982" s="208" t="s">
        <v>4388</v>
      </c>
      <c r="E982" s="208" t="s">
        <v>29</v>
      </c>
      <c r="F982" s="208" t="s">
        <v>4390</v>
      </c>
      <c r="G982" s="208"/>
      <c r="H982" s="208"/>
      <c r="I982" s="208" t="s">
        <v>4391</v>
      </c>
      <c r="J982" s="208" t="s">
        <v>4392</v>
      </c>
      <c r="K982" s="208" t="s">
        <v>4393</v>
      </c>
      <c r="L982" s="208"/>
      <c r="M982" s="209"/>
      <c r="N982" s="208"/>
      <c r="O982" s="208"/>
      <c r="P982" s="208" t="s">
        <v>91</v>
      </c>
    </row>
    <row r="983" spans="1:16" s="187" customFormat="1" ht="18" customHeight="1">
      <c r="A983" s="187" t="str">
        <f t="shared" si="15"/>
        <v>V10106A</v>
      </c>
      <c r="B983" s="206" t="s">
        <v>2001</v>
      </c>
      <c r="C983" s="206"/>
      <c r="D983" s="206" t="s">
        <v>2000</v>
      </c>
      <c r="E983" s="206" t="s">
        <v>29</v>
      </c>
      <c r="F983" s="206" t="s">
        <v>2002</v>
      </c>
      <c r="G983" s="206" t="s">
        <v>2003</v>
      </c>
      <c r="H983" s="206"/>
      <c r="I983" s="206" t="s">
        <v>2004</v>
      </c>
      <c r="J983" s="206" t="s">
        <v>2005</v>
      </c>
      <c r="K983" s="206" t="s">
        <v>2006</v>
      </c>
      <c r="L983" s="206"/>
      <c r="M983" s="207"/>
      <c r="N983" s="206"/>
      <c r="O983" s="206" t="s">
        <v>260</v>
      </c>
      <c r="P983" s="206" t="s">
        <v>91</v>
      </c>
    </row>
    <row r="984" spans="1:16" s="187" customFormat="1" ht="18" customHeight="1">
      <c r="A984" s="187" t="str">
        <f t="shared" si="15"/>
        <v>V10106B</v>
      </c>
      <c r="B984" s="208" t="s">
        <v>2001</v>
      </c>
      <c r="C984" s="208"/>
      <c r="D984" s="208" t="s">
        <v>2007</v>
      </c>
      <c r="E984" s="208" t="s">
        <v>29</v>
      </c>
      <c r="F984" s="208" t="s">
        <v>2002</v>
      </c>
      <c r="G984" s="208" t="s">
        <v>2003</v>
      </c>
      <c r="H984" s="208"/>
      <c r="I984" s="208" t="s">
        <v>2004</v>
      </c>
      <c r="J984" s="208" t="s">
        <v>2005</v>
      </c>
      <c r="K984" s="208" t="s">
        <v>2006</v>
      </c>
      <c r="L984" s="208"/>
      <c r="M984" s="209"/>
      <c r="N984" s="208"/>
      <c r="O984" s="208" t="s">
        <v>260</v>
      </c>
      <c r="P984" s="208" t="s">
        <v>91</v>
      </c>
    </row>
    <row r="985" spans="1:16" s="187" customFormat="1" ht="18" customHeight="1">
      <c r="A985" s="187" t="str">
        <f t="shared" si="15"/>
        <v>V10106C</v>
      </c>
      <c r="B985" s="206" t="s">
        <v>2001</v>
      </c>
      <c r="C985" s="206"/>
      <c r="D985" s="206" t="s">
        <v>2008</v>
      </c>
      <c r="E985" s="206" t="s">
        <v>29</v>
      </c>
      <c r="F985" s="206" t="s">
        <v>2002</v>
      </c>
      <c r="G985" s="206" t="s">
        <v>2003</v>
      </c>
      <c r="H985" s="206"/>
      <c r="I985" s="206" t="s">
        <v>2004</v>
      </c>
      <c r="J985" s="206" t="s">
        <v>2005</v>
      </c>
      <c r="K985" s="206" t="s">
        <v>2006</v>
      </c>
      <c r="L985" s="206"/>
      <c r="M985" s="207"/>
      <c r="N985" s="206"/>
      <c r="O985" s="206" t="s">
        <v>260</v>
      </c>
      <c r="P985" s="206" t="s">
        <v>91</v>
      </c>
    </row>
    <row r="986" spans="1:16" s="187" customFormat="1" ht="18" customHeight="1">
      <c r="A986" s="187" t="str">
        <f t="shared" si="15"/>
        <v>V10199A</v>
      </c>
      <c r="B986" s="208" t="s">
        <v>2010</v>
      </c>
      <c r="C986" s="208"/>
      <c r="D986" s="208" t="s">
        <v>2009</v>
      </c>
      <c r="E986" s="208" t="s">
        <v>29</v>
      </c>
      <c r="F986" s="208" t="s">
        <v>2011</v>
      </c>
      <c r="G986" s="208" t="s">
        <v>2012</v>
      </c>
      <c r="H986" s="208"/>
      <c r="I986" s="208" t="s">
        <v>2013</v>
      </c>
      <c r="J986" s="208" t="s">
        <v>2014</v>
      </c>
      <c r="K986" s="208" t="s">
        <v>2015</v>
      </c>
      <c r="L986" s="208"/>
      <c r="M986" s="209"/>
      <c r="N986" s="208"/>
      <c r="O986" s="208" t="s">
        <v>260</v>
      </c>
      <c r="P986" s="208" t="s">
        <v>91</v>
      </c>
    </row>
    <row r="987" spans="1:16" s="187" customFormat="1" ht="18" customHeight="1">
      <c r="A987" s="187" t="str">
        <f t="shared" si="15"/>
        <v>V10199B</v>
      </c>
      <c r="B987" s="206" t="s">
        <v>2010</v>
      </c>
      <c r="C987" s="206"/>
      <c r="D987" s="206" t="s">
        <v>2016</v>
      </c>
      <c r="E987" s="206" t="s">
        <v>29</v>
      </c>
      <c r="F987" s="206" t="s">
        <v>2011</v>
      </c>
      <c r="G987" s="206" t="s">
        <v>2012</v>
      </c>
      <c r="H987" s="206"/>
      <c r="I987" s="206" t="s">
        <v>2013</v>
      </c>
      <c r="J987" s="206" t="s">
        <v>2014</v>
      </c>
      <c r="K987" s="206" t="s">
        <v>2015</v>
      </c>
      <c r="L987" s="206"/>
      <c r="M987" s="207"/>
      <c r="N987" s="206"/>
      <c r="O987" s="206" t="s">
        <v>260</v>
      </c>
      <c r="P987" s="206" t="s">
        <v>91</v>
      </c>
    </row>
    <row r="988" spans="1:16" s="187" customFormat="1" ht="18" customHeight="1">
      <c r="A988" s="187" t="str">
        <f t="shared" si="15"/>
        <v>V10199C</v>
      </c>
      <c r="B988" s="208" t="s">
        <v>2010</v>
      </c>
      <c r="C988" s="208"/>
      <c r="D988" s="208" t="s">
        <v>2017</v>
      </c>
      <c r="E988" s="208" t="s">
        <v>29</v>
      </c>
      <c r="F988" s="208" t="s">
        <v>2011</v>
      </c>
      <c r="G988" s="208" t="s">
        <v>2012</v>
      </c>
      <c r="H988" s="208"/>
      <c r="I988" s="208" t="s">
        <v>2013</v>
      </c>
      <c r="J988" s="208" t="s">
        <v>2014</v>
      </c>
      <c r="K988" s="208" t="s">
        <v>2015</v>
      </c>
      <c r="L988" s="208"/>
      <c r="M988" s="209"/>
      <c r="N988" s="208"/>
      <c r="O988" s="208" t="s">
        <v>260</v>
      </c>
      <c r="P988" s="208" t="s">
        <v>91</v>
      </c>
    </row>
    <row r="989" spans="1:16" s="187" customFormat="1" ht="18" customHeight="1">
      <c r="A989" s="187" t="str">
        <f t="shared" si="15"/>
        <v>V10248C</v>
      </c>
      <c r="B989" s="206" t="s">
        <v>2019</v>
      </c>
      <c r="C989" s="206"/>
      <c r="D989" s="206" t="s">
        <v>2018</v>
      </c>
      <c r="E989" s="206" t="s">
        <v>29</v>
      </c>
      <c r="F989" s="206" t="s">
        <v>2020</v>
      </c>
      <c r="G989" s="206" t="s">
        <v>2021</v>
      </c>
      <c r="H989" s="206"/>
      <c r="I989" s="206"/>
      <c r="J989" s="206" t="s">
        <v>2022</v>
      </c>
      <c r="K989" s="206" t="s">
        <v>2023</v>
      </c>
      <c r="L989" s="206"/>
      <c r="M989" s="207"/>
      <c r="N989" s="206"/>
      <c r="O989" s="206"/>
      <c r="P989" s="206" t="s">
        <v>91</v>
      </c>
    </row>
    <row r="990" spans="1:16" s="187" customFormat="1" ht="18" customHeight="1">
      <c r="A990" s="187" t="str">
        <f t="shared" si="15"/>
        <v>V10368C</v>
      </c>
      <c r="B990" s="208" t="s">
        <v>5213</v>
      </c>
      <c r="C990" s="208"/>
      <c r="D990" s="208" t="s">
        <v>5133</v>
      </c>
      <c r="E990" s="208" t="s">
        <v>29</v>
      </c>
      <c r="F990" s="208" t="s">
        <v>5214</v>
      </c>
      <c r="G990" s="208"/>
      <c r="H990" s="208"/>
      <c r="I990" s="208"/>
      <c r="J990" s="208" t="s">
        <v>1511</v>
      </c>
      <c r="K990" s="208" t="s">
        <v>5215</v>
      </c>
      <c r="L990" s="208"/>
      <c r="M990" s="209"/>
      <c r="N990" s="208"/>
      <c r="O990" s="208"/>
      <c r="P990" s="208" t="s">
        <v>91</v>
      </c>
    </row>
    <row r="991" spans="1:16" s="187" customFormat="1" ht="18" customHeight="1">
      <c r="A991" s="187" t="str">
        <f t="shared" si="15"/>
        <v>V10448C</v>
      </c>
      <c r="B991" s="206" t="s">
        <v>5961</v>
      </c>
      <c r="C991" s="206"/>
      <c r="D991" s="206" t="s">
        <v>5962</v>
      </c>
      <c r="E991" s="206" t="s">
        <v>29</v>
      </c>
      <c r="F991" s="206" t="s">
        <v>5963</v>
      </c>
      <c r="G991" s="206"/>
      <c r="H991" s="206"/>
      <c r="I991" s="206"/>
      <c r="J991" s="206" t="s">
        <v>5964</v>
      </c>
      <c r="K991" s="206" t="s">
        <v>5965</v>
      </c>
      <c r="L991" s="206"/>
      <c r="M991" s="207"/>
      <c r="N991" s="206"/>
      <c r="O991" s="206"/>
      <c r="P991" s="206" t="s">
        <v>91</v>
      </c>
    </row>
    <row r="992" spans="1:16" s="187" customFormat="1" ht="18" customHeight="1">
      <c r="A992" s="187" t="str">
        <f t="shared" si="15"/>
        <v>V4026C0</v>
      </c>
      <c r="B992" s="208" t="s">
        <v>2025</v>
      </c>
      <c r="C992" s="208"/>
      <c r="D992" s="208" t="s">
        <v>2024</v>
      </c>
      <c r="E992" s="208" t="s">
        <v>29</v>
      </c>
      <c r="F992" s="208" t="s">
        <v>2026</v>
      </c>
      <c r="G992" s="208"/>
      <c r="H992" s="208"/>
      <c r="I992" s="208"/>
      <c r="J992" s="208" t="s">
        <v>2027</v>
      </c>
      <c r="K992" s="208" t="s">
        <v>2028</v>
      </c>
      <c r="L992" s="208"/>
      <c r="M992" s="209"/>
      <c r="N992" s="208"/>
      <c r="O992" s="208" t="s">
        <v>131</v>
      </c>
      <c r="P992" s="208" t="s">
        <v>107</v>
      </c>
    </row>
    <row r="993" spans="1:16" s="187" customFormat="1" ht="18" customHeight="1">
      <c r="A993" s="187" t="str">
        <f t="shared" si="15"/>
        <v>V10545C</v>
      </c>
      <c r="B993" s="206" t="s">
        <v>6380</v>
      </c>
      <c r="C993" s="206"/>
      <c r="D993" s="206" t="s">
        <v>6381</v>
      </c>
      <c r="E993" s="206" t="s">
        <v>29</v>
      </c>
      <c r="F993" s="206" t="s">
        <v>6382</v>
      </c>
      <c r="G993" s="206"/>
      <c r="H993" s="206"/>
      <c r="I993" s="206"/>
      <c r="J993" s="206" t="s">
        <v>6383</v>
      </c>
      <c r="K993" s="206" t="s">
        <v>6384</v>
      </c>
      <c r="L993" s="206"/>
      <c r="M993" s="207"/>
      <c r="N993" s="206"/>
      <c r="O993" s="206"/>
      <c r="P993" s="206" t="s">
        <v>91</v>
      </c>
    </row>
    <row r="994" spans="1:16" s="187" customFormat="1" ht="18" customHeight="1">
      <c r="A994" s="187" t="str">
        <f t="shared" si="15"/>
        <v>V10184A</v>
      </c>
      <c r="B994" s="208" t="s">
        <v>2030</v>
      </c>
      <c r="C994" s="208"/>
      <c r="D994" s="208" t="s">
        <v>2029</v>
      </c>
      <c r="E994" s="208" t="s">
        <v>29</v>
      </c>
      <c r="F994" s="208" t="s">
        <v>2031</v>
      </c>
      <c r="G994" s="208" t="s">
        <v>2032</v>
      </c>
      <c r="H994" s="208"/>
      <c r="I994" s="208" t="s">
        <v>2033</v>
      </c>
      <c r="J994" s="208" t="s">
        <v>2034</v>
      </c>
      <c r="K994" s="208" t="s">
        <v>2035</v>
      </c>
      <c r="L994" s="208"/>
      <c r="M994" s="209"/>
      <c r="N994" s="208"/>
      <c r="O994" s="208" t="s">
        <v>260</v>
      </c>
      <c r="P994" s="208" t="s">
        <v>91</v>
      </c>
    </row>
    <row r="995" spans="1:16" s="187" customFormat="1" ht="18" customHeight="1">
      <c r="A995" s="187" t="str">
        <f t="shared" si="15"/>
        <v>V10184B</v>
      </c>
      <c r="B995" s="206" t="s">
        <v>2030</v>
      </c>
      <c r="C995" s="206"/>
      <c r="D995" s="206" t="s">
        <v>2036</v>
      </c>
      <c r="E995" s="206" t="s">
        <v>29</v>
      </c>
      <c r="F995" s="206" t="s">
        <v>2031</v>
      </c>
      <c r="G995" s="206" t="s">
        <v>2032</v>
      </c>
      <c r="H995" s="206"/>
      <c r="I995" s="206" t="s">
        <v>2033</v>
      </c>
      <c r="J995" s="206" t="s">
        <v>2037</v>
      </c>
      <c r="K995" s="206" t="s">
        <v>2035</v>
      </c>
      <c r="L995" s="206"/>
      <c r="M995" s="207"/>
      <c r="N995" s="206"/>
      <c r="O995" s="206" t="s">
        <v>260</v>
      </c>
      <c r="P995" s="206" t="s">
        <v>91</v>
      </c>
    </row>
    <row r="996" spans="1:16" s="187" customFormat="1" ht="18" customHeight="1">
      <c r="A996" s="187" t="str">
        <f t="shared" si="15"/>
        <v>V10184C</v>
      </c>
      <c r="B996" s="208" t="s">
        <v>2030</v>
      </c>
      <c r="C996" s="208"/>
      <c r="D996" s="208" t="s">
        <v>2038</v>
      </c>
      <c r="E996" s="208" t="s">
        <v>29</v>
      </c>
      <c r="F996" s="208" t="s">
        <v>2031</v>
      </c>
      <c r="G996" s="208" t="s">
        <v>2032</v>
      </c>
      <c r="H996" s="208"/>
      <c r="I996" s="208" t="s">
        <v>2033</v>
      </c>
      <c r="J996" s="208" t="s">
        <v>2034</v>
      </c>
      <c r="K996" s="208" t="s">
        <v>2035</v>
      </c>
      <c r="L996" s="208"/>
      <c r="M996" s="209"/>
      <c r="N996" s="208"/>
      <c r="O996" s="208" t="s">
        <v>260</v>
      </c>
      <c r="P996" s="208" t="s">
        <v>91</v>
      </c>
    </row>
    <row r="997" spans="1:16" s="187" customFormat="1" ht="18" customHeight="1">
      <c r="A997" s="187" t="str">
        <f t="shared" si="15"/>
        <v>V10150A</v>
      </c>
      <c r="B997" s="206" t="s">
        <v>2040</v>
      </c>
      <c r="C997" s="206"/>
      <c r="D997" s="206" t="s">
        <v>2039</v>
      </c>
      <c r="E997" s="206" t="s">
        <v>29</v>
      </c>
      <c r="F997" s="206" t="s">
        <v>2041</v>
      </c>
      <c r="G997" s="206" t="s">
        <v>2042</v>
      </c>
      <c r="H997" s="206"/>
      <c r="I997" s="206"/>
      <c r="J997" s="206" t="s">
        <v>2043</v>
      </c>
      <c r="K997" s="206" t="s">
        <v>2044</v>
      </c>
      <c r="L997" s="206"/>
      <c r="M997" s="207"/>
      <c r="N997" s="206"/>
      <c r="O997" s="206" t="s">
        <v>260</v>
      </c>
      <c r="P997" s="206" t="s">
        <v>91</v>
      </c>
    </row>
    <row r="998" spans="1:16" s="187" customFormat="1" ht="18" customHeight="1">
      <c r="A998" s="187" t="str">
        <f t="shared" si="15"/>
        <v>V10150B</v>
      </c>
      <c r="B998" s="208" t="s">
        <v>2040</v>
      </c>
      <c r="C998" s="208"/>
      <c r="D998" s="208" t="s">
        <v>2045</v>
      </c>
      <c r="E998" s="208" t="s">
        <v>29</v>
      </c>
      <c r="F998" s="208" t="s">
        <v>2041</v>
      </c>
      <c r="G998" s="208" t="s">
        <v>2042</v>
      </c>
      <c r="H998" s="208"/>
      <c r="I998" s="208"/>
      <c r="J998" s="208" t="s">
        <v>2043</v>
      </c>
      <c r="K998" s="208" t="s">
        <v>2044</v>
      </c>
      <c r="L998" s="208"/>
      <c r="M998" s="209"/>
      <c r="N998" s="208"/>
      <c r="O998" s="208" t="s">
        <v>260</v>
      </c>
      <c r="P998" s="208" t="s">
        <v>91</v>
      </c>
    </row>
    <row r="999" spans="1:16" s="187" customFormat="1" ht="18" customHeight="1">
      <c r="A999" s="187" t="str">
        <f t="shared" si="15"/>
        <v>V10150C</v>
      </c>
      <c r="B999" s="206" t="s">
        <v>2040</v>
      </c>
      <c r="C999" s="206"/>
      <c r="D999" s="206" t="s">
        <v>2046</v>
      </c>
      <c r="E999" s="206" t="s">
        <v>29</v>
      </c>
      <c r="F999" s="206" t="s">
        <v>2041</v>
      </c>
      <c r="G999" s="206" t="s">
        <v>2042</v>
      </c>
      <c r="H999" s="206"/>
      <c r="I999" s="206"/>
      <c r="J999" s="206" t="s">
        <v>2043</v>
      </c>
      <c r="K999" s="206" t="s">
        <v>2044</v>
      </c>
      <c r="L999" s="206"/>
      <c r="M999" s="207"/>
      <c r="N999" s="206"/>
      <c r="O999" s="206" t="s">
        <v>260</v>
      </c>
      <c r="P999" s="206" t="s">
        <v>91</v>
      </c>
    </row>
    <row r="1000" spans="1:16" s="187" customFormat="1" ht="18" customHeight="1">
      <c r="A1000" s="187" t="str">
        <f t="shared" si="15"/>
        <v>V4096C0</v>
      </c>
      <c r="B1000" s="208" t="s">
        <v>5453</v>
      </c>
      <c r="C1000" s="208"/>
      <c r="D1000" s="208" t="s">
        <v>5426</v>
      </c>
      <c r="E1000" s="208" t="s">
        <v>29</v>
      </c>
      <c r="F1000" s="208" t="s">
        <v>5454</v>
      </c>
      <c r="G1000" s="208"/>
      <c r="H1000" s="208"/>
      <c r="I1000" s="208"/>
      <c r="J1000" s="208" t="s">
        <v>5455</v>
      </c>
      <c r="K1000" s="208" t="s">
        <v>5456</v>
      </c>
      <c r="L1000" s="208"/>
      <c r="M1000" s="209"/>
      <c r="N1000" s="208"/>
      <c r="O1000" s="208"/>
      <c r="P1000" s="208" t="s">
        <v>107</v>
      </c>
    </row>
    <row r="1001" spans="1:16" s="187" customFormat="1" ht="18" customHeight="1">
      <c r="A1001" s="187" t="str">
        <f t="shared" si="15"/>
        <v>V10002A</v>
      </c>
      <c r="B1001" s="206" t="s">
        <v>6385</v>
      </c>
      <c r="C1001" s="206"/>
      <c r="D1001" s="206" t="s">
        <v>2849</v>
      </c>
      <c r="E1001" s="206" t="s">
        <v>29</v>
      </c>
      <c r="F1001" s="206" t="s">
        <v>2850</v>
      </c>
      <c r="G1001" s="206" t="s">
        <v>2851</v>
      </c>
      <c r="H1001" s="206"/>
      <c r="I1001" s="206" t="s">
        <v>2852</v>
      </c>
      <c r="J1001" s="206" t="s">
        <v>2853</v>
      </c>
      <c r="K1001" s="206" t="s">
        <v>2854</v>
      </c>
      <c r="L1001" s="206"/>
      <c r="M1001" s="207"/>
      <c r="N1001" s="206"/>
      <c r="O1001" s="206" t="s">
        <v>260</v>
      </c>
      <c r="P1001" s="206" t="s">
        <v>91</v>
      </c>
    </row>
    <row r="1002" spans="1:16" s="187" customFormat="1" ht="18" customHeight="1">
      <c r="A1002" s="187" t="str">
        <f t="shared" si="15"/>
        <v>V10002B</v>
      </c>
      <c r="B1002" s="208" t="s">
        <v>6385</v>
      </c>
      <c r="C1002" s="208"/>
      <c r="D1002" s="208" t="s">
        <v>2855</v>
      </c>
      <c r="E1002" s="208" t="s">
        <v>29</v>
      </c>
      <c r="F1002" s="208" t="s">
        <v>2850</v>
      </c>
      <c r="G1002" s="208" t="s">
        <v>2851</v>
      </c>
      <c r="H1002" s="208"/>
      <c r="I1002" s="208" t="s">
        <v>2852</v>
      </c>
      <c r="J1002" s="208" t="s">
        <v>2853</v>
      </c>
      <c r="K1002" s="208" t="s">
        <v>2854</v>
      </c>
      <c r="L1002" s="208"/>
      <c r="M1002" s="209"/>
      <c r="N1002" s="208"/>
      <c r="O1002" s="208" t="s">
        <v>260</v>
      </c>
      <c r="P1002" s="208" t="s">
        <v>91</v>
      </c>
    </row>
    <row r="1003" spans="1:16" s="187" customFormat="1" ht="18" customHeight="1">
      <c r="A1003" s="187" t="str">
        <f t="shared" si="15"/>
        <v>V10002C</v>
      </c>
      <c r="B1003" s="206" t="s">
        <v>6385</v>
      </c>
      <c r="C1003" s="206"/>
      <c r="D1003" s="206" t="s">
        <v>2856</v>
      </c>
      <c r="E1003" s="206" t="s">
        <v>29</v>
      </c>
      <c r="F1003" s="206" t="s">
        <v>2850</v>
      </c>
      <c r="G1003" s="206" t="s">
        <v>2851</v>
      </c>
      <c r="H1003" s="206"/>
      <c r="I1003" s="206" t="s">
        <v>2852</v>
      </c>
      <c r="J1003" s="206" t="s">
        <v>2853</v>
      </c>
      <c r="K1003" s="206" t="s">
        <v>2854</v>
      </c>
      <c r="L1003" s="206"/>
      <c r="M1003" s="207"/>
      <c r="N1003" s="206"/>
      <c r="O1003" s="206" t="s">
        <v>260</v>
      </c>
      <c r="P1003" s="206" t="s">
        <v>91</v>
      </c>
    </row>
    <row r="1004" spans="1:16" s="187" customFormat="1" ht="18" customHeight="1">
      <c r="A1004" s="187" t="str">
        <f t="shared" si="15"/>
        <v>V10433C</v>
      </c>
      <c r="B1004" s="208" t="s">
        <v>5702</v>
      </c>
      <c r="C1004" s="208"/>
      <c r="D1004" s="208" t="s">
        <v>5673</v>
      </c>
      <c r="E1004" s="208" t="s">
        <v>29</v>
      </c>
      <c r="F1004" s="208" t="s">
        <v>5674</v>
      </c>
      <c r="G1004" s="208"/>
      <c r="H1004" s="208"/>
      <c r="I1004" s="208"/>
      <c r="J1004" s="208" t="s">
        <v>5675</v>
      </c>
      <c r="K1004" s="208" t="s">
        <v>5676</v>
      </c>
      <c r="L1004" s="208"/>
      <c r="M1004" s="209"/>
      <c r="N1004" s="208"/>
      <c r="O1004" s="208" t="s">
        <v>260</v>
      </c>
      <c r="P1004" s="208" t="s">
        <v>91</v>
      </c>
    </row>
    <row r="1005" spans="1:16" s="187" customFormat="1" ht="18" customHeight="1">
      <c r="A1005" s="187" t="str">
        <f t="shared" si="15"/>
        <v>V10496C</v>
      </c>
      <c r="B1005" s="206" t="s">
        <v>6160</v>
      </c>
      <c r="C1005" s="206"/>
      <c r="D1005" s="206" t="s">
        <v>6161</v>
      </c>
      <c r="E1005" s="206" t="s">
        <v>29</v>
      </c>
      <c r="F1005" s="206" t="s">
        <v>6162</v>
      </c>
      <c r="G1005" s="206"/>
      <c r="H1005" s="206"/>
      <c r="I1005" s="206"/>
      <c r="J1005" s="206"/>
      <c r="K1005" s="206"/>
      <c r="L1005" s="206"/>
      <c r="M1005" s="207"/>
      <c r="N1005" s="206"/>
      <c r="O1005" s="206"/>
      <c r="P1005" s="206" t="s">
        <v>91</v>
      </c>
    </row>
    <row r="1006" spans="1:16" s="187" customFormat="1" ht="18" customHeight="1">
      <c r="A1006" s="187" t="str">
        <f t="shared" si="15"/>
        <v>V10023A</v>
      </c>
      <c r="B1006" s="208" t="s">
        <v>2048</v>
      </c>
      <c r="C1006" s="208"/>
      <c r="D1006" s="208" t="s">
        <v>2047</v>
      </c>
      <c r="E1006" s="208" t="s">
        <v>29</v>
      </c>
      <c r="F1006" s="208" t="s">
        <v>2049</v>
      </c>
      <c r="G1006" s="208" t="s">
        <v>2050</v>
      </c>
      <c r="H1006" s="208"/>
      <c r="I1006" s="208"/>
      <c r="J1006" s="208" t="s">
        <v>5073</v>
      </c>
      <c r="K1006" s="208" t="s">
        <v>2051</v>
      </c>
      <c r="L1006" s="208"/>
      <c r="M1006" s="209"/>
      <c r="N1006" s="208"/>
      <c r="O1006" s="208" t="s">
        <v>260</v>
      </c>
      <c r="P1006" s="208" t="s">
        <v>91</v>
      </c>
    </row>
    <row r="1007" spans="1:16" s="187" customFormat="1" ht="18" customHeight="1">
      <c r="A1007" s="187" t="str">
        <f t="shared" si="15"/>
        <v>V10023B</v>
      </c>
      <c r="B1007" s="206" t="s">
        <v>2048</v>
      </c>
      <c r="C1007" s="206"/>
      <c r="D1007" s="206" t="s">
        <v>2052</v>
      </c>
      <c r="E1007" s="206" t="s">
        <v>29</v>
      </c>
      <c r="F1007" s="206" t="s">
        <v>2049</v>
      </c>
      <c r="G1007" s="206" t="s">
        <v>2050</v>
      </c>
      <c r="H1007" s="206"/>
      <c r="I1007" s="206"/>
      <c r="J1007" s="206" t="s">
        <v>5073</v>
      </c>
      <c r="K1007" s="206" t="s">
        <v>2051</v>
      </c>
      <c r="L1007" s="206"/>
      <c r="M1007" s="207"/>
      <c r="N1007" s="206"/>
      <c r="O1007" s="206" t="s">
        <v>260</v>
      </c>
      <c r="P1007" s="206" t="s">
        <v>91</v>
      </c>
    </row>
    <row r="1008" spans="1:16" s="187" customFormat="1" ht="18" customHeight="1">
      <c r="A1008" s="187" t="str">
        <f t="shared" si="15"/>
        <v>V10023C</v>
      </c>
      <c r="B1008" s="208" t="s">
        <v>2048</v>
      </c>
      <c r="C1008" s="208"/>
      <c r="D1008" s="208" t="s">
        <v>2053</v>
      </c>
      <c r="E1008" s="208" t="s">
        <v>29</v>
      </c>
      <c r="F1008" s="208" t="s">
        <v>2049</v>
      </c>
      <c r="G1008" s="208" t="s">
        <v>2050</v>
      </c>
      <c r="H1008" s="208"/>
      <c r="I1008" s="208"/>
      <c r="J1008" s="208" t="s">
        <v>5073</v>
      </c>
      <c r="K1008" s="208" t="s">
        <v>2051</v>
      </c>
      <c r="L1008" s="208"/>
      <c r="M1008" s="209"/>
      <c r="N1008" s="208"/>
      <c r="O1008" s="208" t="s">
        <v>260</v>
      </c>
      <c r="P1008" s="208" t="s">
        <v>91</v>
      </c>
    </row>
    <row r="1009" spans="1:16" s="187" customFormat="1" ht="18" customHeight="1">
      <c r="A1009" s="187" t="str">
        <f t="shared" si="15"/>
        <v>V4074C0</v>
      </c>
      <c r="B1009" s="206" t="s">
        <v>2055</v>
      </c>
      <c r="C1009" s="206"/>
      <c r="D1009" s="206" t="s">
        <v>2054</v>
      </c>
      <c r="E1009" s="206" t="s">
        <v>29</v>
      </c>
      <c r="F1009" s="206" t="s">
        <v>2056</v>
      </c>
      <c r="G1009" s="206" t="s">
        <v>2057</v>
      </c>
      <c r="H1009" s="206"/>
      <c r="I1009" s="206"/>
      <c r="J1009" s="206" t="s">
        <v>831</v>
      </c>
      <c r="K1009" s="206" t="s">
        <v>2058</v>
      </c>
      <c r="L1009" s="206"/>
      <c r="M1009" s="207"/>
      <c r="N1009" s="206"/>
      <c r="O1009" s="206"/>
      <c r="P1009" s="206" t="s">
        <v>107</v>
      </c>
    </row>
    <row r="1010" spans="1:16" s="187" customFormat="1" ht="18" customHeight="1">
      <c r="A1010" s="187" t="str">
        <f t="shared" si="15"/>
        <v>V10357C</v>
      </c>
      <c r="B1010" s="208" t="s">
        <v>4940</v>
      </c>
      <c r="C1010" s="208"/>
      <c r="D1010" s="208" t="s">
        <v>4941</v>
      </c>
      <c r="E1010" s="208" t="s">
        <v>29</v>
      </c>
      <c r="F1010" s="208" t="s">
        <v>4942</v>
      </c>
      <c r="G1010" s="208"/>
      <c r="H1010" s="208"/>
      <c r="I1010" s="208" t="s">
        <v>4943</v>
      </c>
      <c r="J1010" s="208" t="s">
        <v>5216</v>
      </c>
      <c r="K1010" s="208" t="s">
        <v>5217</v>
      </c>
      <c r="L1010" s="208"/>
      <c r="M1010" s="209"/>
      <c r="N1010" s="208"/>
      <c r="O1010" s="208"/>
      <c r="P1010" s="208" t="s">
        <v>91</v>
      </c>
    </row>
    <row r="1011" spans="1:16" s="187" customFormat="1" ht="18" customHeight="1">
      <c r="A1011" s="187" t="str">
        <f t="shared" si="15"/>
        <v>V10345C</v>
      </c>
      <c r="B1011" s="206" t="s">
        <v>4944</v>
      </c>
      <c r="C1011" s="206"/>
      <c r="D1011" s="206" t="s">
        <v>4945</v>
      </c>
      <c r="E1011" s="206" t="s">
        <v>29</v>
      </c>
      <c r="F1011" s="206" t="s">
        <v>4946</v>
      </c>
      <c r="G1011" s="206"/>
      <c r="H1011" s="206"/>
      <c r="I1011" s="206"/>
      <c r="J1011" s="206" t="s">
        <v>4947</v>
      </c>
      <c r="K1011" s="206" t="s">
        <v>4948</v>
      </c>
      <c r="L1011" s="206"/>
      <c r="M1011" s="207"/>
      <c r="N1011" s="206"/>
      <c r="O1011" s="206"/>
      <c r="P1011" s="206" t="s">
        <v>91</v>
      </c>
    </row>
    <row r="1012" spans="1:16" s="187" customFormat="1" ht="18" customHeight="1">
      <c r="A1012" s="187" t="str">
        <f t="shared" si="15"/>
        <v>V10345B</v>
      </c>
      <c r="B1012" s="208" t="s">
        <v>4944</v>
      </c>
      <c r="C1012" s="208"/>
      <c r="D1012" s="208" t="s">
        <v>5218</v>
      </c>
      <c r="E1012" s="208" t="s">
        <v>29</v>
      </c>
      <c r="F1012" s="208" t="s">
        <v>5219</v>
      </c>
      <c r="G1012" s="208"/>
      <c r="H1012" s="208"/>
      <c r="I1012" s="208"/>
      <c r="J1012" s="208" t="s">
        <v>5220</v>
      </c>
      <c r="K1012" s="208" t="s">
        <v>4948</v>
      </c>
      <c r="L1012" s="208"/>
      <c r="M1012" s="209"/>
      <c r="N1012" s="208"/>
      <c r="O1012" s="208"/>
      <c r="P1012" s="208" t="s">
        <v>91</v>
      </c>
    </row>
    <row r="1013" spans="1:16" s="187" customFormat="1" ht="18" customHeight="1">
      <c r="A1013" s="187" t="str">
        <f t="shared" si="15"/>
        <v>V4052A0</v>
      </c>
      <c r="B1013" s="206" t="s">
        <v>2060</v>
      </c>
      <c r="C1013" s="206"/>
      <c r="D1013" s="206" t="s">
        <v>2066</v>
      </c>
      <c r="E1013" s="206" t="s">
        <v>29</v>
      </c>
      <c r="F1013" s="206" t="s">
        <v>2061</v>
      </c>
      <c r="G1013" s="206" t="s">
        <v>2062</v>
      </c>
      <c r="H1013" s="206"/>
      <c r="I1013" s="206"/>
      <c r="J1013" s="206" t="s">
        <v>387</v>
      </c>
      <c r="K1013" s="206" t="s">
        <v>2063</v>
      </c>
      <c r="L1013" s="206"/>
      <c r="M1013" s="207"/>
      <c r="N1013" s="206"/>
      <c r="O1013" s="206" t="s">
        <v>131</v>
      </c>
      <c r="P1013" s="206" t="s">
        <v>107</v>
      </c>
    </row>
    <row r="1014" spans="1:16" s="187" customFormat="1" ht="18" customHeight="1">
      <c r="A1014" s="187" t="str">
        <f t="shared" si="15"/>
        <v>V4052B0</v>
      </c>
      <c r="B1014" s="208" t="s">
        <v>2060</v>
      </c>
      <c r="C1014" s="208"/>
      <c r="D1014" s="208" t="s">
        <v>2067</v>
      </c>
      <c r="E1014" s="208" t="s">
        <v>29</v>
      </c>
      <c r="F1014" s="208" t="s">
        <v>2061</v>
      </c>
      <c r="G1014" s="208" t="s">
        <v>2062</v>
      </c>
      <c r="H1014" s="208"/>
      <c r="I1014" s="208"/>
      <c r="J1014" s="208" t="s">
        <v>387</v>
      </c>
      <c r="K1014" s="208" t="s">
        <v>2063</v>
      </c>
      <c r="L1014" s="208"/>
      <c r="M1014" s="209"/>
      <c r="N1014" s="208"/>
      <c r="O1014" s="208" t="s">
        <v>131</v>
      </c>
      <c r="P1014" s="208" t="s">
        <v>107</v>
      </c>
    </row>
    <row r="1015" spans="1:16" s="187" customFormat="1" ht="18" customHeight="1">
      <c r="A1015" s="187" t="str">
        <f t="shared" si="15"/>
        <v>V4052C0</v>
      </c>
      <c r="B1015" s="206" t="s">
        <v>2060</v>
      </c>
      <c r="C1015" s="206"/>
      <c r="D1015" s="206" t="s">
        <v>2068</v>
      </c>
      <c r="E1015" s="206" t="s">
        <v>29</v>
      </c>
      <c r="F1015" s="206" t="s">
        <v>2061</v>
      </c>
      <c r="G1015" s="206" t="s">
        <v>2062</v>
      </c>
      <c r="H1015" s="206"/>
      <c r="I1015" s="206"/>
      <c r="J1015" s="206" t="s">
        <v>387</v>
      </c>
      <c r="K1015" s="206" t="s">
        <v>2063</v>
      </c>
      <c r="L1015" s="206"/>
      <c r="M1015" s="207"/>
      <c r="N1015" s="206"/>
      <c r="O1015" s="206" t="s">
        <v>131</v>
      </c>
      <c r="P1015" s="206" t="s">
        <v>107</v>
      </c>
    </row>
    <row r="1016" spans="1:16" s="187" customFormat="1" ht="18" customHeight="1">
      <c r="A1016" s="187" t="str">
        <f t="shared" si="15"/>
        <v>V10206A</v>
      </c>
      <c r="B1016" s="208" t="s">
        <v>2060</v>
      </c>
      <c r="C1016" s="208"/>
      <c r="D1016" s="208" t="s">
        <v>2059</v>
      </c>
      <c r="E1016" s="208" t="s">
        <v>29</v>
      </c>
      <c r="F1016" s="208" t="s">
        <v>2061</v>
      </c>
      <c r="G1016" s="208" t="s">
        <v>2062</v>
      </c>
      <c r="H1016" s="208"/>
      <c r="I1016" s="208"/>
      <c r="J1016" s="208" t="s">
        <v>387</v>
      </c>
      <c r="K1016" s="208" t="s">
        <v>2063</v>
      </c>
      <c r="L1016" s="208"/>
      <c r="M1016" s="209"/>
      <c r="N1016" s="208"/>
      <c r="O1016" s="208" t="s">
        <v>260</v>
      </c>
      <c r="P1016" s="208" t="s">
        <v>91</v>
      </c>
    </row>
    <row r="1017" spans="1:16" s="187" customFormat="1" ht="18" customHeight="1">
      <c r="A1017" s="187" t="str">
        <f t="shared" si="15"/>
        <v>V10206B</v>
      </c>
      <c r="B1017" s="206" t="s">
        <v>2060</v>
      </c>
      <c r="C1017" s="206"/>
      <c r="D1017" s="206" t="s">
        <v>2064</v>
      </c>
      <c r="E1017" s="206" t="s">
        <v>29</v>
      </c>
      <c r="F1017" s="206" t="s">
        <v>2061</v>
      </c>
      <c r="G1017" s="206" t="s">
        <v>2062</v>
      </c>
      <c r="H1017" s="206"/>
      <c r="I1017" s="206"/>
      <c r="J1017" s="206" t="s">
        <v>387</v>
      </c>
      <c r="K1017" s="206" t="s">
        <v>2063</v>
      </c>
      <c r="L1017" s="206"/>
      <c r="M1017" s="207"/>
      <c r="N1017" s="206"/>
      <c r="O1017" s="206" t="s">
        <v>260</v>
      </c>
      <c r="P1017" s="206" t="s">
        <v>91</v>
      </c>
    </row>
    <row r="1018" spans="1:16" s="187" customFormat="1" ht="18" customHeight="1">
      <c r="A1018" s="187" t="str">
        <f t="shared" si="15"/>
        <v>V10206C</v>
      </c>
      <c r="B1018" s="208" t="s">
        <v>2060</v>
      </c>
      <c r="C1018" s="208"/>
      <c r="D1018" s="208" t="s">
        <v>2065</v>
      </c>
      <c r="E1018" s="208" t="s">
        <v>29</v>
      </c>
      <c r="F1018" s="208" t="s">
        <v>2061</v>
      </c>
      <c r="G1018" s="208" t="s">
        <v>2062</v>
      </c>
      <c r="H1018" s="208"/>
      <c r="I1018" s="208"/>
      <c r="J1018" s="208" t="s">
        <v>387</v>
      </c>
      <c r="K1018" s="208" t="s">
        <v>2063</v>
      </c>
      <c r="L1018" s="208"/>
      <c r="M1018" s="209"/>
      <c r="N1018" s="208"/>
      <c r="O1018" s="208" t="s">
        <v>260</v>
      </c>
      <c r="P1018" s="208" t="s">
        <v>91</v>
      </c>
    </row>
    <row r="1019" spans="1:16" s="187" customFormat="1" ht="18" customHeight="1">
      <c r="A1019" s="187" t="str">
        <f t="shared" si="15"/>
        <v>V10477C</v>
      </c>
      <c r="B1019" s="206" t="s">
        <v>5966</v>
      </c>
      <c r="C1019" s="206"/>
      <c r="D1019" s="206" t="s">
        <v>5967</v>
      </c>
      <c r="E1019" s="206" t="s">
        <v>29</v>
      </c>
      <c r="F1019" s="206" t="s">
        <v>5968</v>
      </c>
      <c r="G1019" s="206" t="s">
        <v>5969</v>
      </c>
      <c r="H1019" s="206"/>
      <c r="I1019" s="206"/>
      <c r="J1019" s="206" t="s">
        <v>5970</v>
      </c>
      <c r="K1019" s="206" t="s">
        <v>5971</v>
      </c>
      <c r="L1019" s="206"/>
      <c r="M1019" s="207"/>
      <c r="N1019" s="206"/>
      <c r="O1019" s="206" t="s">
        <v>40</v>
      </c>
      <c r="P1019" s="206" t="s">
        <v>91</v>
      </c>
    </row>
    <row r="1020" spans="1:16" s="187" customFormat="1" ht="18" customHeight="1">
      <c r="A1020" s="187" t="str">
        <f t="shared" si="15"/>
        <v>V10056A</v>
      </c>
      <c r="B1020" s="208" t="s">
        <v>2070</v>
      </c>
      <c r="C1020" s="208"/>
      <c r="D1020" s="208" t="s">
        <v>2069</v>
      </c>
      <c r="E1020" s="208" t="s">
        <v>29</v>
      </c>
      <c r="F1020" s="208" t="s">
        <v>2071</v>
      </c>
      <c r="G1020" s="208" t="s">
        <v>2072</v>
      </c>
      <c r="H1020" s="208"/>
      <c r="I1020" s="208" t="s">
        <v>2073</v>
      </c>
      <c r="J1020" s="208" t="s">
        <v>2074</v>
      </c>
      <c r="K1020" s="208" t="s">
        <v>2075</v>
      </c>
      <c r="L1020" s="208"/>
      <c r="M1020" s="209"/>
      <c r="N1020" s="208"/>
      <c r="O1020" s="208" t="s">
        <v>260</v>
      </c>
      <c r="P1020" s="208" t="s">
        <v>91</v>
      </c>
    </row>
    <row r="1021" spans="1:16" s="187" customFormat="1" ht="18" customHeight="1">
      <c r="A1021" s="187" t="str">
        <f t="shared" si="15"/>
        <v>V10056B</v>
      </c>
      <c r="B1021" s="206" t="s">
        <v>2070</v>
      </c>
      <c r="C1021" s="206"/>
      <c r="D1021" s="206" t="s">
        <v>2076</v>
      </c>
      <c r="E1021" s="206" t="s">
        <v>29</v>
      </c>
      <c r="F1021" s="206" t="s">
        <v>2071</v>
      </c>
      <c r="G1021" s="206" t="s">
        <v>2072</v>
      </c>
      <c r="H1021" s="206"/>
      <c r="I1021" s="206" t="s">
        <v>2073</v>
      </c>
      <c r="J1021" s="206" t="s">
        <v>2074</v>
      </c>
      <c r="K1021" s="206" t="s">
        <v>2075</v>
      </c>
      <c r="L1021" s="206"/>
      <c r="M1021" s="207"/>
      <c r="N1021" s="206"/>
      <c r="O1021" s="206" t="s">
        <v>260</v>
      </c>
      <c r="P1021" s="206" t="s">
        <v>91</v>
      </c>
    </row>
    <row r="1022" spans="1:16" s="187" customFormat="1" ht="18" customHeight="1">
      <c r="A1022" s="187" t="str">
        <f t="shared" si="15"/>
        <v>V10056C</v>
      </c>
      <c r="B1022" s="208" t="s">
        <v>2070</v>
      </c>
      <c r="C1022" s="208"/>
      <c r="D1022" s="208" t="s">
        <v>2077</v>
      </c>
      <c r="E1022" s="208" t="s">
        <v>29</v>
      </c>
      <c r="F1022" s="208" t="s">
        <v>2071</v>
      </c>
      <c r="G1022" s="208" t="s">
        <v>2072</v>
      </c>
      <c r="H1022" s="208"/>
      <c r="I1022" s="208" t="s">
        <v>2073</v>
      </c>
      <c r="J1022" s="208" t="s">
        <v>2074</v>
      </c>
      <c r="K1022" s="208" t="s">
        <v>2075</v>
      </c>
      <c r="L1022" s="208"/>
      <c r="M1022" s="209"/>
      <c r="N1022" s="208"/>
      <c r="O1022" s="208" t="s">
        <v>260</v>
      </c>
      <c r="P1022" s="208" t="s">
        <v>91</v>
      </c>
    </row>
    <row r="1023" spans="1:16" s="187" customFormat="1" ht="18" customHeight="1">
      <c r="A1023" s="187" t="str">
        <f t="shared" si="15"/>
        <v>V10200A</v>
      </c>
      <c r="B1023" s="206" t="s">
        <v>2079</v>
      </c>
      <c r="C1023" s="206"/>
      <c r="D1023" s="206" t="s">
        <v>2078</v>
      </c>
      <c r="E1023" s="206" t="s">
        <v>29</v>
      </c>
      <c r="F1023" s="206" t="s">
        <v>2080</v>
      </c>
      <c r="G1023" s="206" t="s">
        <v>2081</v>
      </c>
      <c r="H1023" s="206"/>
      <c r="I1023" s="206" t="s">
        <v>2082</v>
      </c>
      <c r="J1023" s="206" t="s">
        <v>2083</v>
      </c>
      <c r="K1023" s="206" t="s">
        <v>2084</v>
      </c>
      <c r="L1023" s="206"/>
      <c r="M1023" s="207"/>
      <c r="N1023" s="206"/>
      <c r="O1023" s="206" t="s">
        <v>260</v>
      </c>
      <c r="P1023" s="206" t="s">
        <v>91</v>
      </c>
    </row>
    <row r="1024" spans="1:16" s="187" customFormat="1" ht="18" customHeight="1">
      <c r="A1024" s="187" t="str">
        <f t="shared" si="15"/>
        <v>V10200B</v>
      </c>
      <c r="B1024" s="208" t="s">
        <v>2079</v>
      </c>
      <c r="C1024" s="208"/>
      <c r="D1024" s="208" t="s">
        <v>2085</v>
      </c>
      <c r="E1024" s="208" t="s">
        <v>29</v>
      </c>
      <c r="F1024" s="208" t="s">
        <v>2080</v>
      </c>
      <c r="G1024" s="208" t="s">
        <v>2081</v>
      </c>
      <c r="H1024" s="208"/>
      <c r="I1024" s="208" t="s">
        <v>2082</v>
      </c>
      <c r="J1024" s="208" t="s">
        <v>2083</v>
      </c>
      <c r="K1024" s="208" t="s">
        <v>2084</v>
      </c>
      <c r="L1024" s="208"/>
      <c r="M1024" s="209"/>
      <c r="N1024" s="208"/>
      <c r="O1024" s="208" t="s">
        <v>260</v>
      </c>
      <c r="P1024" s="208" t="s">
        <v>91</v>
      </c>
    </row>
    <row r="1025" spans="1:16" s="187" customFormat="1" ht="18" customHeight="1">
      <c r="A1025" s="187" t="str">
        <f t="shared" si="15"/>
        <v>V10200C</v>
      </c>
      <c r="B1025" s="206" t="s">
        <v>2079</v>
      </c>
      <c r="C1025" s="206"/>
      <c r="D1025" s="206" t="s">
        <v>2086</v>
      </c>
      <c r="E1025" s="206" t="s">
        <v>29</v>
      </c>
      <c r="F1025" s="206" t="s">
        <v>2080</v>
      </c>
      <c r="G1025" s="206" t="s">
        <v>2081</v>
      </c>
      <c r="H1025" s="206"/>
      <c r="I1025" s="206" t="s">
        <v>2082</v>
      </c>
      <c r="J1025" s="206" t="s">
        <v>2083</v>
      </c>
      <c r="K1025" s="206" t="s">
        <v>2084</v>
      </c>
      <c r="L1025" s="206"/>
      <c r="M1025" s="207"/>
      <c r="N1025" s="206"/>
      <c r="O1025" s="206" t="s">
        <v>260</v>
      </c>
      <c r="P1025" s="206" t="s">
        <v>91</v>
      </c>
    </row>
    <row r="1026" spans="1:16" s="187" customFormat="1" ht="18" customHeight="1">
      <c r="A1026" s="187" t="str">
        <f t="shared" si="15"/>
        <v>V10115C</v>
      </c>
      <c r="B1026" s="208" t="s">
        <v>2088</v>
      </c>
      <c r="C1026" s="208"/>
      <c r="D1026" s="208" t="s">
        <v>2087</v>
      </c>
      <c r="E1026" s="208" t="s">
        <v>29</v>
      </c>
      <c r="F1026" s="208" t="s">
        <v>2089</v>
      </c>
      <c r="G1026" s="208" t="s">
        <v>2090</v>
      </c>
      <c r="H1026" s="208"/>
      <c r="I1026" s="208" t="s">
        <v>2091</v>
      </c>
      <c r="J1026" s="208" t="s">
        <v>5072</v>
      </c>
      <c r="K1026" s="208" t="s">
        <v>2092</v>
      </c>
      <c r="L1026" s="208"/>
      <c r="M1026" s="209"/>
      <c r="N1026" s="208"/>
      <c r="O1026" s="208" t="s">
        <v>260</v>
      </c>
      <c r="P1026" s="208" t="s">
        <v>91</v>
      </c>
    </row>
    <row r="1027" spans="1:16" s="187" customFormat="1" ht="18" customHeight="1">
      <c r="A1027" s="187" t="str">
        <f t="shared" si="15"/>
        <v>V10115A</v>
      </c>
      <c r="B1027" s="206" t="s">
        <v>2088</v>
      </c>
      <c r="C1027" s="206"/>
      <c r="D1027" s="206" t="s">
        <v>2093</v>
      </c>
      <c r="E1027" s="206" t="s">
        <v>29</v>
      </c>
      <c r="F1027" s="206" t="s">
        <v>2089</v>
      </c>
      <c r="G1027" s="206" t="s">
        <v>2090</v>
      </c>
      <c r="H1027" s="206"/>
      <c r="I1027" s="206" t="s">
        <v>2091</v>
      </c>
      <c r="J1027" s="206" t="s">
        <v>5072</v>
      </c>
      <c r="K1027" s="206" t="s">
        <v>2092</v>
      </c>
      <c r="L1027" s="206"/>
      <c r="M1027" s="207"/>
      <c r="N1027" s="206"/>
      <c r="O1027" s="206" t="s">
        <v>260</v>
      </c>
      <c r="P1027" s="206" t="s">
        <v>91</v>
      </c>
    </row>
    <row r="1028" spans="1:16" s="187" customFormat="1" ht="18" customHeight="1">
      <c r="A1028" s="187" t="str">
        <f t="shared" si="15"/>
        <v>V10115B</v>
      </c>
      <c r="B1028" s="208" t="s">
        <v>2088</v>
      </c>
      <c r="C1028" s="208"/>
      <c r="D1028" s="208" t="s">
        <v>2094</v>
      </c>
      <c r="E1028" s="208" t="s">
        <v>29</v>
      </c>
      <c r="F1028" s="208" t="s">
        <v>2089</v>
      </c>
      <c r="G1028" s="208" t="s">
        <v>2090</v>
      </c>
      <c r="H1028" s="208"/>
      <c r="I1028" s="208" t="s">
        <v>2091</v>
      </c>
      <c r="J1028" s="208" t="s">
        <v>5072</v>
      </c>
      <c r="K1028" s="208" t="s">
        <v>2092</v>
      </c>
      <c r="L1028" s="208"/>
      <c r="M1028" s="209"/>
      <c r="N1028" s="208"/>
      <c r="O1028" s="208" t="s">
        <v>260</v>
      </c>
      <c r="P1028" s="208" t="s">
        <v>91</v>
      </c>
    </row>
    <row r="1029" spans="1:16" s="187" customFormat="1" ht="18" customHeight="1">
      <c r="A1029" s="187" t="str">
        <f t="shared" si="15"/>
        <v>V10020A</v>
      </c>
      <c r="B1029" s="206" t="s">
        <v>2096</v>
      </c>
      <c r="C1029" s="206"/>
      <c r="D1029" s="206" t="s">
        <v>2095</v>
      </c>
      <c r="E1029" s="206" t="s">
        <v>29</v>
      </c>
      <c r="F1029" s="206" t="s">
        <v>5221</v>
      </c>
      <c r="G1029" s="206" t="s">
        <v>2097</v>
      </c>
      <c r="H1029" s="206"/>
      <c r="I1029" s="206"/>
      <c r="J1029" s="206" t="s">
        <v>2098</v>
      </c>
      <c r="K1029" s="206" t="s">
        <v>2099</v>
      </c>
      <c r="L1029" s="206"/>
      <c r="M1029" s="207"/>
      <c r="N1029" s="206"/>
      <c r="O1029" s="206" t="s">
        <v>260</v>
      </c>
      <c r="P1029" s="206" t="s">
        <v>91</v>
      </c>
    </row>
    <row r="1030" spans="1:16" s="187" customFormat="1" ht="18" customHeight="1">
      <c r="A1030" s="187" t="str">
        <f t="shared" ref="A1030:A1093" si="16">D1030</f>
        <v>V10020B</v>
      </c>
      <c r="B1030" s="208" t="s">
        <v>2096</v>
      </c>
      <c r="C1030" s="208"/>
      <c r="D1030" s="208" t="s">
        <v>2100</v>
      </c>
      <c r="E1030" s="208" t="s">
        <v>29</v>
      </c>
      <c r="F1030" s="208" t="s">
        <v>5221</v>
      </c>
      <c r="G1030" s="208" t="s">
        <v>2097</v>
      </c>
      <c r="H1030" s="208"/>
      <c r="I1030" s="208"/>
      <c r="J1030" s="208" t="s">
        <v>2098</v>
      </c>
      <c r="K1030" s="208" t="s">
        <v>2099</v>
      </c>
      <c r="L1030" s="208"/>
      <c r="M1030" s="209"/>
      <c r="N1030" s="208"/>
      <c r="O1030" s="208" t="s">
        <v>260</v>
      </c>
      <c r="P1030" s="208" t="s">
        <v>91</v>
      </c>
    </row>
    <row r="1031" spans="1:16" s="187" customFormat="1" ht="18" customHeight="1">
      <c r="A1031" s="187" t="str">
        <f t="shared" si="16"/>
        <v>V10020C</v>
      </c>
      <c r="B1031" s="206" t="s">
        <v>2096</v>
      </c>
      <c r="C1031" s="206"/>
      <c r="D1031" s="206" t="s">
        <v>2101</v>
      </c>
      <c r="E1031" s="206" t="s">
        <v>29</v>
      </c>
      <c r="F1031" s="206" t="s">
        <v>5221</v>
      </c>
      <c r="G1031" s="206" t="s">
        <v>2097</v>
      </c>
      <c r="H1031" s="206"/>
      <c r="I1031" s="206"/>
      <c r="J1031" s="206" t="s">
        <v>2098</v>
      </c>
      <c r="K1031" s="206" t="s">
        <v>2099</v>
      </c>
      <c r="L1031" s="206"/>
      <c r="M1031" s="207"/>
      <c r="N1031" s="206"/>
      <c r="O1031" s="206" t="s">
        <v>260</v>
      </c>
      <c r="P1031" s="206" t="s">
        <v>91</v>
      </c>
    </row>
    <row r="1032" spans="1:16" s="187" customFormat="1" ht="18" customHeight="1">
      <c r="A1032" s="187" t="str">
        <f t="shared" si="16"/>
        <v>V10007A</v>
      </c>
      <c r="B1032" s="208" t="s">
        <v>2103</v>
      </c>
      <c r="C1032" s="208"/>
      <c r="D1032" s="208" t="s">
        <v>2102</v>
      </c>
      <c r="E1032" s="208" t="s">
        <v>29</v>
      </c>
      <c r="F1032" s="208" t="s">
        <v>2104</v>
      </c>
      <c r="G1032" s="208" t="s">
        <v>2105</v>
      </c>
      <c r="H1032" s="208"/>
      <c r="I1032" s="208" t="s">
        <v>2106</v>
      </c>
      <c r="J1032" s="208" t="s">
        <v>2107</v>
      </c>
      <c r="K1032" s="208" t="s">
        <v>2108</v>
      </c>
      <c r="L1032" s="208"/>
      <c r="M1032" s="209"/>
      <c r="N1032" s="208"/>
      <c r="O1032" s="208" t="s">
        <v>260</v>
      </c>
      <c r="P1032" s="208" t="s">
        <v>91</v>
      </c>
    </row>
    <row r="1033" spans="1:16" s="187" customFormat="1" ht="18" customHeight="1">
      <c r="A1033" s="187" t="str">
        <f t="shared" si="16"/>
        <v>V10007B</v>
      </c>
      <c r="B1033" s="206" t="s">
        <v>2103</v>
      </c>
      <c r="C1033" s="206"/>
      <c r="D1033" s="206" t="s">
        <v>2109</v>
      </c>
      <c r="E1033" s="206" t="s">
        <v>29</v>
      </c>
      <c r="F1033" s="206" t="s">
        <v>2104</v>
      </c>
      <c r="G1033" s="206" t="s">
        <v>2105</v>
      </c>
      <c r="H1033" s="206"/>
      <c r="I1033" s="206" t="s">
        <v>2106</v>
      </c>
      <c r="J1033" s="206" t="s">
        <v>2107</v>
      </c>
      <c r="K1033" s="206" t="s">
        <v>2108</v>
      </c>
      <c r="L1033" s="206"/>
      <c r="M1033" s="207"/>
      <c r="N1033" s="206"/>
      <c r="O1033" s="206" t="s">
        <v>260</v>
      </c>
      <c r="P1033" s="206" t="s">
        <v>91</v>
      </c>
    </row>
    <row r="1034" spans="1:16" s="187" customFormat="1" ht="18" customHeight="1">
      <c r="A1034" s="187" t="str">
        <f t="shared" si="16"/>
        <v>V10007C</v>
      </c>
      <c r="B1034" s="208" t="s">
        <v>2103</v>
      </c>
      <c r="C1034" s="208"/>
      <c r="D1034" s="208" t="s">
        <v>2110</v>
      </c>
      <c r="E1034" s="208" t="s">
        <v>29</v>
      </c>
      <c r="F1034" s="208" t="s">
        <v>2104</v>
      </c>
      <c r="G1034" s="208" t="s">
        <v>2105</v>
      </c>
      <c r="H1034" s="208"/>
      <c r="I1034" s="208" t="s">
        <v>2106</v>
      </c>
      <c r="J1034" s="208" t="s">
        <v>2107</v>
      </c>
      <c r="K1034" s="208" t="s">
        <v>2108</v>
      </c>
      <c r="L1034" s="208"/>
      <c r="M1034" s="209"/>
      <c r="N1034" s="208"/>
      <c r="O1034" s="208" t="s">
        <v>260</v>
      </c>
      <c r="P1034" s="208" t="s">
        <v>91</v>
      </c>
    </row>
    <row r="1035" spans="1:16" s="187" customFormat="1" ht="18" customHeight="1">
      <c r="A1035" s="187" t="str">
        <f t="shared" si="16"/>
        <v>V10386C</v>
      </c>
      <c r="B1035" s="206" t="s">
        <v>5222</v>
      </c>
      <c r="C1035" s="206"/>
      <c r="D1035" s="206" t="s">
        <v>5223</v>
      </c>
      <c r="E1035" s="206" t="s">
        <v>29</v>
      </c>
      <c r="F1035" s="206" t="s">
        <v>5224</v>
      </c>
      <c r="G1035" s="206"/>
      <c r="H1035" s="206"/>
      <c r="I1035" s="206"/>
      <c r="J1035" s="206" t="s">
        <v>5225</v>
      </c>
      <c r="K1035" s="206" t="s">
        <v>5226</v>
      </c>
      <c r="L1035" s="206"/>
      <c r="M1035" s="207"/>
      <c r="N1035" s="206"/>
      <c r="O1035" s="206"/>
      <c r="P1035" s="206" t="s">
        <v>91</v>
      </c>
    </row>
    <row r="1036" spans="1:16" s="187" customFormat="1" ht="18" customHeight="1">
      <c r="A1036" s="187" t="str">
        <f t="shared" si="16"/>
        <v>V10204A</v>
      </c>
      <c r="B1036" s="208" t="s">
        <v>2112</v>
      </c>
      <c r="C1036" s="208"/>
      <c r="D1036" s="208" t="s">
        <v>2111</v>
      </c>
      <c r="E1036" s="208" t="s">
        <v>29</v>
      </c>
      <c r="F1036" s="208" t="s">
        <v>2113</v>
      </c>
      <c r="G1036" s="208" t="s">
        <v>2114</v>
      </c>
      <c r="H1036" s="208"/>
      <c r="I1036" s="208" t="s">
        <v>2115</v>
      </c>
      <c r="J1036" s="208" t="s">
        <v>2116</v>
      </c>
      <c r="K1036" s="208" t="s">
        <v>2117</v>
      </c>
      <c r="L1036" s="208"/>
      <c r="M1036" s="209"/>
      <c r="N1036" s="208"/>
      <c r="O1036" s="208" t="s">
        <v>260</v>
      </c>
      <c r="P1036" s="208" t="s">
        <v>91</v>
      </c>
    </row>
    <row r="1037" spans="1:16" s="187" customFormat="1" ht="18" customHeight="1">
      <c r="A1037" s="187" t="str">
        <f t="shared" si="16"/>
        <v>V10204B</v>
      </c>
      <c r="B1037" s="206" t="s">
        <v>2112</v>
      </c>
      <c r="C1037" s="206"/>
      <c r="D1037" s="206" t="s">
        <v>2118</v>
      </c>
      <c r="E1037" s="206" t="s">
        <v>29</v>
      </c>
      <c r="F1037" s="206" t="s">
        <v>2113</v>
      </c>
      <c r="G1037" s="206" t="s">
        <v>2114</v>
      </c>
      <c r="H1037" s="206"/>
      <c r="I1037" s="206" t="s">
        <v>2115</v>
      </c>
      <c r="J1037" s="206" t="s">
        <v>2116</v>
      </c>
      <c r="K1037" s="206" t="s">
        <v>2117</v>
      </c>
      <c r="L1037" s="206"/>
      <c r="M1037" s="207"/>
      <c r="N1037" s="206"/>
      <c r="O1037" s="206" t="s">
        <v>260</v>
      </c>
      <c r="P1037" s="206" t="s">
        <v>91</v>
      </c>
    </row>
    <row r="1038" spans="1:16" s="187" customFormat="1" ht="18" customHeight="1">
      <c r="A1038" s="187" t="str">
        <f t="shared" si="16"/>
        <v>V10204C</v>
      </c>
      <c r="B1038" s="208" t="s">
        <v>2112</v>
      </c>
      <c r="C1038" s="208"/>
      <c r="D1038" s="208" t="s">
        <v>2119</v>
      </c>
      <c r="E1038" s="208" t="s">
        <v>29</v>
      </c>
      <c r="F1038" s="208" t="s">
        <v>2113</v>
      </c>
      <c r="G1038" s="208" t="s">
        <v>2114</v>
      </c>
      <c r="H1038" s="208"/>
      <c r="I1038" s="208" t="s">
        <v>2115</v>
      </c>
      <c r="J1038" s="208" t="s">
        <v>2116</v>
      </c>
      <c r="K1038" s="208" t="s">
        <v>2117</v>
      </c>
      <c r="L1038" s="208"/>
      <c r="M1038" s="209"/>
      <c r="N1038" s="208"/>
      <c r="O1038" s="208" t="s">
        <v>260</v>
      </c>
      <c r="P1038" s="208" t="s">
        <v>91</v>
      </c>
    </row>
    <row r="1039" spans="1:16" s="187" customFormat="1" ht="18" customHeight="1">
      <c r="A1039" s="187" t="str">
        <f t="shared" si="16"/>
        <v>V10353C</v>
      </c>
      <c r="B1039" s="206" t="s">
        <v>4867</v>
      </c>
      <c r="C1039" s="206"/>
      <c r="D1039" s="206" t="s">
        <v>4949</v>
      </c>
      <c r="E1039" s="206" t="s">
        <v>29</v>
      </c>
      <c r="F1039" s="206" t="s">
        <v>4950</v>
      </c>
      <c r="G1039" s="206"/>
      <c r="H1039" s="206"/>
      <c r="I1039" s="206" t="s">
        <v>4951</v>
      </c>
      <c r="J1039" s="206" t="s">
        <v>4952</v>
      </c>
      <c r="K1039" s="206" t="s">
        <v>4953</v>
      </c>
      <c r="L1039" s="206"/>
      <c r="M1039" s="207"/>
      <c r="N1039" s="206"/>
      <c r="O1039" s="206"/>
      <c r="P1039" s="206" t="s">
        <v>91</v>
      </c>
    </row>
    <row r="1040" spans="1:16" s="187" customFormat="1" ht="18" customHeight="1">
      <c r="A1040" s="187" t="str">
        <f t="shared" si="16"/>
        <v>V10066A</v>
      </c>
      <c r="B1040" s="208" t="s">
        <v>2121</v>
      </c>
      <c r="C1040" s="208"/>
      <c r="D1040" s="208" t="s">
        <v>2120</v>
      </c>
      <c r="E1040" s="208" t="s">
        <v>29</v>
      </c>
      <c r="F1040" s="208" t="s">
        <v>2122</v>
      </c>
      <c r="G1040" s="208" t="s">
        <v>2123</v>
      </c>
      <c r="H1040" s="208"/>
      <c r="I1040" s="208" t="s">
        <v>2124</v>
      </c>
      <c r="J1040" s="208" t="s">
        <v>2125</v>
      </c>
      <c r="K1040" s="208" t="s">
        <v>2126</v>
      </c>
      <c r="L1040" s="208"/>
      <c r="M1040" s="209"/>
      <c r="N1040" s="208"/>
      <c r="O1040" s="208" t="s">
        <v>260</v>
      </c>
      <c r="P1040" s="208" t="s">
        <v>91</v>
      </c>
    </row>
    <row r="1041" spans="1:16" s="187" customFormat="1" ht="18" customHeight="1">
      <c r="A1041" s="187" t="str">
        <f t="shared" si="16"/>
        <v>V10066B</v>
      </c>
      <c r="B1041" s="206" t="s">
        <v>2121</v>
      </c>
      <c r="C1041" s="206"/>
      <c r="D1041" s="206" t="s">
        <v>2127</v>
      </c>
      <c r="E1041" s="206" t="s">
        <v>29</v>
      </c>
      <c r="F1041" s="206" t="s">
        <v>2122</v>
      </c>
      <c r="G1041" s="206" t="s">
        <v>2123</v>
      </c>
      <c r="H1041" s="206"/>
      <c r="I1041" s="206" t="s">
        <v>2124</v>
      </c>
      <c r="J1041" s="206" t="s">
        <v>2125</v>
      </c>
      <c r="K1041" s="206" t="s">
        <v>2126</v>
      </c>
      <c r="L1041" s="206"/>
      <c r="M1041" s="207"/>
      <c r="N1041" s="206"/>
      <c r="O1041" s="206" t="s">
        <v>260</v>
      </c>
      <c r="P1041" s="206" t="s">
        <v>91</v>
      </c>
    </row>
    <row r="1042" spans="1:16" s="187" customFormat="1" ht="18" customHeight="1">
      <c r="A1042" s="187" t="str">
        <f t="shared" si="16"/>
        <v>V10066C</v>
      </c>
      <c r="B1042" s="208" t="s">
        <v>2121</v>
      </c>
      <c r="C1042" s="208"/>
      <c r="D1042" s="208" t="s">
        <v>2128</v>
      </c>
      <c r="E1042" s="208" t="s">
        <v>29</v>
      </c>
      <c r="F1042" s="208" t="s">
        <v>2122</v>
      </c>
      <c r="G1042" s="208" t="s">
        <v>2123</v>
      </c>
      <c r="H1042" s="208"/>
      <c r="I1042" s="208" t="s">
        <v>2124</v>
      </c>
      <c r="J1042" s="208" t="s">
        <v>2125</v>
      </c>
      <c r="K1042" s="208" t="s">
        <v>2126</v>
      </c>
      <c r="L1042" s="208"/>
      <c r="M1042" s="209"/>
      <c r="N1042" s="208"/>
      <c r="O1042" s="208" t="s">
        <v>260</v>
      </c>
      <c r="P1042" s="208" t="s">
        <v>91</v>
      </c>
    </row>
    <row r="1043" spans="1:16" s="187" customFormat="1" ht="18" customHeight="1">
      <c r="A1043" s="187" t="str">
        <f t="shared" si="16"/>
        <v>V10374C</v>
      </c>
      <c r="B1043" s="206" t="s">
        <v>5227</v>
      </c>
      <c r="C1043" s="206"/>
      <c r="D1043" s="206" t="s">
        <v>5228</v>
      </c>
      <c r="E1043" s="206" t="s">
        <v>29</v>
      </c>
      <c r="F1043" s="206" t="s">
        <v>5229</v>
      </c>
      <c r="G1043" s="206"/>
      <c r="H1043" s="206"/>
      <c r="I1043" s="206"/>
      <c r="J1043" s="206" t="s">
        <v>831</v>
      </c>
      <c r="K1043" s="206" t="s">
        <v>5230</v>
      </c>
      <c r="L1043" s="206"/>
      <c r="M1043" s="207"/>
      <c r="N1043" s="206"/>
      <c r="O1043" s="206"/>
      <c r="P1043" s="206" t="s">
        <v>91</v>
      </c>
    </row>
    <row r="1044" spans="1:16" s="187" customFormat="1" ht="18" customHeight="1">
      <c r="A1044" s="187" t="str">
        <f t="shared" si="16"/>
        <v>V10322C</v>
      </c>
      <c r="B1044" s="208" t="s">
        <v>6163</v>
      </c>
      <c r="C1044" s="208"/>
      <c r="D1044" s="208" t="s">
        <v>4290</v>
      </c>
      <c r="E1044" s="208" t="s">
        <v>29</v>
      </c>
      <c r="F1044" s="208" t="s">
        <v>4291</v>
      </c>
      <c r="G1044" s="208" t="s">
        <v>4292</v>
      </c>
      <c r="H1044" s="208"/>
      <c r="I1044" s="208"/>
      <c r="J1044" s="208" t="s">
        <v>4293</v>
      </c>
      <c r="K1044" s="208" t="s">
        <v>4294</v>
      </c>
      <c r="L1044" s="208"/>
      <c r="M1044" s="209"/>
      <c r="N1044" s="208"/>
      <c r="O1044" s="208"/>
      <c r="P1044" s="208" t="s">
        <v>91</v>
      </c>
    </row>
    <row r="1045" spans="1:16" s="187" customFormat="1" ht="18" customHeight="1">
      <c r="A1045" s="187" t="str">
        <f t="shared" si="16"/>
        <v>V10294C</v>
      </c>
      <c r="B1045" s="206" t="s">
        <v>4394</v>
      </c>
      <c r="C1045" s="206"/>
      <c r="D1045" s="206" t="s">
        <v>2129</v>
      </c>
      <c r="E1045" s="206" t="s">
        <v>29</v>
      </c>
      <c r="F1045" s="206" t="s">
        <v>4395</v>
      </c>
      <c r="G1045" s="206"/>
      <c r="H1045" s="206"/>
      <c r="I1045" s="206"/>
      <c r="J1045" s="206" t="s">
        <v>2130</v>
      </c>
      <c r="K1045" s="206" t="s">
        <v>2131</v>
      </c>
      <c r="L1045" s="206"/>
      <c r="M1045" s="207"/>
      <c r="N1045" s="206"/>
      <c r="O1045" s="206"/>
      <c r="P1045" s="206" t="s">
        <v>91</v>
      </c>
    </row>
    <row r="1046" spans="1:16" s="187" customFormat="1" ht="18" customHeight="1">
      <c r="A1046" s="187" t="str">
        <f t="shared" si="16"/>
        <v>V10293C</v>
      </c>
      <c r="B1046" s="208" t="s">
        <v>2133</v>
      </c>
      <c r="C1046" s="208"/>
      <c r="D1046" s="208" t="s">
        <v>2132</v>
      </c>
      <c r="E1046" s="208" t="s">
        <v>29</v>
      </c>
      <c r="F1046" s="208" t="s">
        <v>4396</v>
      </c>
      <c r="G1046" s="208"/>
      <c r="H1046" s="208"/>
      <c r="I1046" s="208"/>
      <c r="J1046" s="208"/>
      <c r="K1046" s="208"/>
      <c r="L1046" s="208"/>
      <c r="M1046" s="209"/>
      <c r="N1046" s="208"/>
      <c r="O1046" s="208"/>
      <c r="P1046" s="208" t="s">
        <v>91</v>
      </c>
    </row>
    <row r="1047" spans="1:16" s="187" customFormat="1" ht="18" customHeight="1">
      <c r="A1047" s="187" t="str">
        <f t="shared" si="16"/>
        <v>V10437C</v>
      </c>
      <c r="B1047" s="206" t="s">
        <v>2134</v>
      </c>
      <c r="C1047" s="206"/>
      <c r="D1047" s="206" t="s">
        <v>5860</v>
      </c>
      <c r="E1047" s="206" t="s">
        <v>29</v>
      </c>
      <c r="F1047" s="206" t="s">
        <v>5861</v>
      </c>
      <c r="G1047" s="206" t="s">
        <v>2135</v>
      </c>
      <c r="H1047" s="206"/>
      <c r="I1047" s="206"/>
      <c r="J1047" s="206" t="s">
        <v>3854</v>
      </c>
      <c r="K1047" s="206" t="s">
        <v>5862</v>
      </c>
      <c r="L1047" s="206"/>
      <c r="M1047" s="207"/>
      <c r="N1047" s="206"/>
      <c r="O1047" s="206" t="s">
        <v>260</v>
      </c>
      <c r="P1047" s="206" t="s">
        <v>91</v>
      </c>
    </row>
    <row r="1048" spans="1:16" s="187" customFormat="1" ht="18" customHeight="1">
      <c r="A1048" s="187" t="str">
        <f t="shared" si="16"/>
        <v>V10086A</v>
      </c>
      <c r="B1048" s="208" t="s">
        <v>6164</v>
      </c>
      <c r="C1048" s="208"/>
      <c r="D1048" s="208" t="s">
        <v>2221</v>
      </c>
      <c r="E1048" s="208" t="s">
        <v>29</v>
      </c>
      <c r="F1048" s="208" t="s">
        <v>2222</v>
      </c>
      <c r="G1048" s="208"/>
      <c r="H1048" s="208"/>
      <c r="I1048" s="208" t="s">
        <v>2223</v>
      </c>
      <c r="J1048" s="208" t="s">
        <v>2224</v>
      </c>
      <c r="K1048" s="208" t="s">
        <v>2225</v>
      </c>
      <c r="L1048" s="208"/>
      <c r="M1048" s="209"/>
      <c r="N1048" s="208"/>
      <c r="O1048" s="208" t="s">
        <v>260</v>
      </c>
      <c r="P1048" s="208" t="s">
        <v>91</v>
      </c>
    </row>
    <row r="1049" spans="1:16" s="187" customFormat="1" ht="18" customHeight="1">
      <c r="A1049" s="187" t="str">
        <f t="shared" si="16"/>
        <v>V10086B</v>
      </c>
      <c r="B1049" s="206" t="s">
        <v>6164</v>
      </c>
      <c r="C1049" s="206"/>
      <c r="D1049" s="206" t="s">
        <v>2226</v>
      </c>
      <c r="E1049" s="206" t="s">
        <v>29</v>
      </c>
      <c r="F1049" s="206" t="s">
        <v>2222</v>
      </c>
      <c r="G1049" s="206"/>
      <c r="H1049" s="206"/>
      <c r="I1049" s="206" t="s">
        <v>2223</v>
      </c>
      <c r="J1049" s="206" t="s">
        <v>2224</v>
      </c>
      <c r="K1049" s="206" t="s">
        <v>2225</v>
      </c>
      <c r="L1049" s="206"/>
      <c r="M1049" s="207"/>
      <c r="N1049" s="206"/>
      <c r="O1049" s="206" t="s">
        <v>260</v>
      </c>
      <c r="P1049" s="206" t="s">
        <v>91</v>
      </c>
    </row>
    <row r="1050" spans="1:16" s="187" customFormat="1" ht="18" customHeight="1">
      <c r="A1050" s="187" t="str">
        <f t="shared" si="16"/>
        <v>V10086C</v>
      </c>
      <c r="B1050" s="208" t="s">
        <v>6164</v>
      </c>
      <c r="C1050" s="208"/>
      <c r="D1050" s="208" t="s">
        <v>2227</v>
      </c>
      <c r="E1050" s="208" t="s">
        <v>29</v>
      </c>
      <c r="F1050" s="208" t="s">
        <v>2222</v>
      </c>
      <c r="G1050" s="208"/>
      <c r="H1050" s="208"/>
      <c r="I1050" s="208" t="s">
        <v>2223</v>
      </c>
      <c r="J1050" s="208" t="s">
        <v>2224</v>
      </c>
      <c r="K1050" s="208" t="s">
        <v>2225</v>
      </c>
      <c r="L1050" s="208"/>
      <c r="M1050" s="209"/>
      <c r="N1050" s="208"/>
      <c r="O1050" s="208" t="s">
        <v>260</v>
      </c>
      <c r="P1050" s="208" t="s">
        <v>91</v>
      </c>
    </row>
    <row r="1051" spans="1:16" s="187" customFormat="1" ht="18" customHeight="1">
      <c r="A1051" s="187" t="str">
        <f t="shared" si="16"/>
        <v>V10380C</v>
      </c>
      <c r="B1051" s="206" t="s">
        <v>5231</v>
      </c>
      <c r="C1051" s="206"/>
      <c r="D1051" s="206" t="s">
        <v>5232</v>
      </c>
      <c r="E1051" s="206" t="s">
        <v>29</v>
      </c>
      <c r="F1051" s="206" t="s">
        <v>5233</v>
      </c>
      <c r="G1051" s="206"/>
      <c r="H1051" s="206"/>
      <c r="I1051" s="206"/>
      <c r="J1051" s="206" t="s">
        <v>5234</v>
      </c>
      <c r="K1051" s="206" t="s">
        <v>5371</v>
      </c>
      <c r="L1051" s="206"/>
      <c r="M1051" s="207"/>
      <c r="N1051" s="206"/>
      <c r="O1051" s="206"/>
      <c r="P1051" s="206" t="s">
        <v>91</v>
      </c>
    </row>
    <row r="1052" spans="1:16" s="187" customFormat="1" ht="18" customHeight="1">
      <c r="A1052" s="187" t="str">
        <f t="shared" si="16"/>
        <v>V10161A</v>
      </c>
      <c r="B1052" s="208" t="s">
        <v>2137</v>
      </c>
      <c r="C1052" s="208"/>
      <c r="D1052" s="208" t="s">
        <v>2136</v>
      </c>
      <c r="E1052" s="208" t="s">
        <v>29</v>
      </c>
      <c r="F1052" s="208" t="s">
        <v>2138</v>
      </c>
      <c r="G1052" s="208"/>
      <c r="H1052" s="208"/>
      <c r="I1052" s="208" t="s">
        <v>2139</v>
      </c>
      <c r="J1052" s="208" t="s">
        <v>4954</v>
      </c>
      <c r="K1052" s="208" t="s">
        <v>2140</v>
      </c>
      <c r="L1052" s="208"/>
      <c r="M1052" s="209"/>
      <c r="N1052" s="208"/>
      <c r="O1052" s="208" t="s">
        <v>260</v>
      </c>
      <c r="P1052" s="208" t="s">
        <v>91</v>
      </c>
    </row>
    <row r="1053" spans="1:16" s="187" customFormat="1" ht="18" customHeight="1">
      <c r="A1053" s="187" t="str">
        <f t="shared" si="16"/>
        <v>V10161B</v>
      </c>
      <c r="B1053" s="206" t="s">
        <v>2137</v>
      </c>
      <c r="C1053" s="206"/>
      <c r="D1053" s="206" t="s">
        <v>2141</v>
      </c>
      <c r="E1053" s="206" t="s">
        <v>29</v>
      </c>
      <c r="F1053" s="206" t="s">
        <v>2138</v>
      </c>
      <c r="G1053" s="206"/>
      <c r="H1053" s="206"/>
      <c r="I1053" s="206" t="s">
        <v>2139</v>
      </c>
      <c r="J1053" s="206" t="s">
        <v>4954</v>
      </c>
      <c r="K1053" s="210" t="s">
        <v>2140</v>
      </c>
      <c r="L1053" s="206"/>
      <c r="M1053" s="207"/>
      <c r="N1053" s="206"/>
      <c r="O1053" s="206" t="s">
        <v>260</v>
      </c>
      <c r="P1053" s="206" t="s">
        <v>91</v>
      </c>
    </row>
    <row r="1054" spans="1:16" s="187" customFormat="1" ht="18" customHeight="1">
      <c r="A1054" s="187" t="str">
        <f t="shared" si="16"/>
        <v>V10161C</v>
      </c>
      <c r="B1054" s="208" t="s">
        <v>2137</v>
      </c>
      <c r="C1054" s="208"/>
      <c r="D1054" s="208" t="s">
        <v>2142</v>
      </c>
      <c r="E1054" s="208" t="s">
        <v>29</v>
      </c>
      <c r="F1054" s="208" t="s">
        <v>2138</v>
      </c>
      <c r="G1054" s="208"/>
      <c r="H1054" s="208"/>
      <c r="I1054" s="208" t="s">
        <v>2139</v>
      </c>
      <c r="J1054" s="208" t="s">
        <v>4954</v>
      </c>
      <c r="K1054" s="208" t="s">
        <v>2140</v>
      </c>
      <c r="L1054" s="208"/>
      <c r="M1054" s="209"/>
      <c r="N1054" s="208"/>
      <c r="O1054" s="208" t="s">
        <v>260</v>
      </c>
      <c r="P1054" s="208" t="s">
        <v>91</v>
      </c>
    </row>
    <row r="1055" spans="1:16" s="187" customFormat="1" ht="18" customHeight="1">
      <c r="A1055" s="187" t="str">
        <f t="shared" si="16"/>
        <v>V10025A</v>
      </c>
      <c r="B1055" s="206" t="s">
        <v>2144</v>
      </c>
      <c r="C1055" s="206"/>
      <c r="D1055" s="206" t="s">
        <v>2143</v>
      </c>
      <c r="E1055" s="206" t="s">
        <v>29</v>
      </c>
      <c r="F1055" s="206" t="s">
        <v>2145</v>
      </c>
      <c r="G1055" s="206" t="s">
        <v>2146</v>
      </c>
      <c r="H1055" s="206"/>
      <c r="I1055" s="206" t="s">
        <v>2147</v>
      </c>
      <c r="J1055" s="206" t="s">
        <v>2148</v>
      </c>
      <c r="K1055" s="206" t="s">
        <v>2149</v>
      </c>
      <c r="L1055" s="206"/>
      <c r="M1055" s="207"/>
      <c r="N1055" s="206"/>
      <c r="O1055" s="206" t="s">
        <v>260</v>
      </c>
      <c r="P1055" s="206" t="s">
        <v>91</v>
      </c>
    </row>
    <row r="1056" spans="1:16" s="187" customFormat="1" ht="18" customHeight="1">
      <c r="A1056" s="187" t="str">
        <f t="shared" si="16"/>
        <v>V10025B</v>
      </c>
      <c r="B1056" s="208" t="s">
        <v>2144</v>
      </c>
      <c r="C1056" s="208"/>
      <c r="D1056" s="208" t="s">
        <v>2150</v>
      </c>
      <c r="E1056" s="208" t="s">
        <v>29</v>
      </c>
      <c r="F1056" s="208" t="s">
        <v>2145</v>
      </c>
      <c r="G1056" s="208" t="s">
        <v>2146</v>
      </c>
      <c r="H1056" s="208"/>
      <c r="I1056" s="208" t="s">
        <v>2147</v>
      </c>
      <c r="J1056" s="208" t="s">
        <v>2148</v>
      </c>
      <c r="K1056" s="208" t="s">
        <v>2149</v>
      </c>
      <c r="L1056" s="208"/>
      <c r="M1056" s="209"/>
      <c r="N1056" s="208"/>
      <c r="O1056" s="208" t="s">
        <v>260</v>
      </c>
      <c r="P1056" s="208" t="s">
        <v>91</v>
      </c>
    </row>
    <row r="1057" spans="1:16" s="187" customFormat="1" ht="18" customHeight="1">
      <c r="A1057" s="187" t="str">
        <f t="shared" si="16"/>
        <v>V10025C</v>
      </c>
      <c r="B1057" s="206" t="s">
        <v>2144</v>
      </c>
      <c r="C1057" s="206"/>
      <c r="D1057" s="206" t="s">
        <v>2151</v>
      </c>
      <c r="E1057" s="206" t="s">
        <v>29</v>
      </c>
      <c r="F1057" s="206" t="s">
        <v>2145</v>
      </c>
      <c r="G1057" s="206" t="s">
        <v>2146</v>
      </c>
      <c r="H1057" s="206"/>
      <c r="I1057" s="206" t="s">
        <v>2147</v>
      </c>
      <c r="J1057" s="206" t="s">
        <v>2148</v>
      </c>
      <c r="K1057" s="206" t="s">
        <v>2149</v>
      </c>
      <c r="L1057" s="206"/>
      <c r="M1057" s="207"/>
      <c r="N1057" s="206"/>
      <c r="O1057" s="206" t="s">
        <v>260</v>
      </c>
      <c r="P1057" s="206" t="s">
        <v>91</v>
      </c>
    </row>
    <row r="1058" spans="1:16" s="187" customFormat="1" ht="18" customHeight="1">
      <c r="A1058" s="187" t="str">
        <f t="shared" si="16"/>
        <v>V10257C</v>
      </c>
      <c r="B1058" s="208" t="s">
        <v>2153</v>
      </c>
      <c r="C1058" s="208"/>
      <c r="D1058" s="208" t="s">
        <v>2152</v>
      </c>
      <c r="E1058" s="208" t="s">
        <v>29</v>
      </c>
      <c r="F1058" s="208" t="s">
        <v>2154</v>
      </c>
      <c r="G1058" s="208" t="s">
        <v>2155</v>
      </c>
      <c r="H1058" s="208"/>
      <c r="I1058" s="208" t="s">
        <v>2156</v>
      </c>
      <c r="J1058" s="208" t="s">
        <v>2157</v>
      </c>
      <c r="K1058" s="208" t="s">
        <v>2158</v>
      </c>
      <c r="L1058" s="208"/>
      <c r="M1058" s="209"/>
      <c r="N1058" s="208"/>
      <c r="O1058" s="208"/>
      <c r="P1058" s="208" t="s">
        <v>91</v>
      </c>
    </row>
    <row r="1059" spans="1:16" s="187" customFormat="1" ht="18" customHeight="1">
      <c r="A1059" s="187" t="str">
        <f t="shared" si="16"/>
        <v>CG440038C0</v>
      </c>
      <c r="B1059" s="206" t="s">
        <v>5457</v>
      </c>
      <c r="C1059" s="206"/>
      <c r="D1059" s="206" t="s">
        <v>5458</v>
      </c>
      <c r="E1059" s="206" t="s">
        <v>29</v>
      </c>
      <c r="F1059" s="206" t="s">
        <v>5459</v>
      </c>
      <c r="G1059" s="206"/>
      <c r="H1059" s="206"/>
      <c r="I1059" s="206"/>
      <c r="J1059" s="206"/>
      <c r="K1059" s="206"/>
      <c r="L1059" s="206"/>
      <c r="M1059" s="207"/>
      <c r="N1059" s="206"/>
      <c r="O1059" s="206"/>
      <c r="P1059" s="206" t="s">
        <v>266</v>
      </c>
    </row>
    <row r="1060" spans="1:16" s="187" customFormat="1" ht="18" customHeight="1">
      <c r="A1060" s="187" t="str">
        <f t="shared" si="16"/>
        <v>BTMV</v>
      </c>
      <c r="B1060" s="208" t="s">
        <v>2160</v>
      </c>
      <c r="C1060" s="208"/>
      <c r="D1060" s="208" t="s">
        <v>2159</v>
      </c>
      <c r="E1060" s="208" t="s">
        <v>141</v>
      </c>
      <c r="F1060" s="208" t="s">
        <v>265</v>
      </c>
      <c r="G1060" s="208"/>
      <c r="H1060" s="208"/>
      <c r="I1060" s="208"/>
      <c r="J1060" s="208"/>
      <c r="K1060" s="208" t="s">
        <v>2161</v>
      </c>
      <c r="L1060" s="208"/>
      <c r="M1060" s="209"/>
      <c r="N1060" s="208"/>
      <c r="O1060" s="208"/>
      <c r="P1060" s="208" t="s">
        <v>107</v>
      </c>
    </row>
    <row r="1061" spans="1:16" s="187" customFormat="1" ht="18" customHeight="1">
      <c r="A1061" s="187" t="str">
        <f t="shared" si="16"/>
        <v>V10463C</v>
      </c>
      <c r="B1061" s="206" t="s">
        <v>5863</v>
      </c>
      <c r="C1061" s="206"/>
      <c r="D1061" s="206" t="s">
        <v>5764</v>
      </c>
      <c r="E1061" s="206" t="s">
        <v>29</v>
      </c>
      <c r="F1061" s="206" t="s">
        <v>5765</v>
      </c>
      <c r="G1061" s="206" t="s">
        <v>5766</v>
      </c>
      <c r="H1061" s="206"/>
      <c r="I1061" s="206"/>
      <c r="J1061" s="206" t="s">
        <v>5767</v>
      </c>
      <c r="K1061" s="206" t="s">
        <v>5864</v>
      </c>
      <c r="L1061" s="206"/>
      <c r="M1061" s="207"/>
      <c r="N1061" s="206"/>
      <c r="O1061" s="206"/>
      <c r="P1061" s="206" t="s">
        <v>91</v>
      </c>
    </row>
    <row r="1062" spans="1:16" s="187" customFormat="1" ht="18" customHeight="1">
      <c r="A1062" s="187" t="str">
        <f t="shared" si="16"/>
        <v>V10151A</v>
      </c>
      <c r="B1062" s="208" t="s">
        <v>2163</v>
      </c>
      <c r="C1062" s="208"/>
      <c r="D1062" s="208" t="s">
        <v>2162</v>
      </c>
      <c r="E1062" s="208" t="s">
        <v>29</v>
      </c>
      <c r="F1062" s="208" t="s">
        <v>2164</v>
      </c>
      <c r="G1062" s="208" t="s">
        <v>2165</v>
      </c>
      <c r="H1062" s="208"/>
      <c r="I1062" s="208"/>
      <c r="J1062" s="208" t="s">
        <v>2166</v>
      </c>
      <c r="K1062" s="208" t="s">
        <v>2167</v>
      </c>
      <c r="L1062" s="208"/>
      <c r="M1062" s="209"/>
      <c r="N1062" s="208"/>
      <c r="O1062" s="208" t="s">
        <v>260</v>
      </c>
      <c r="P1062" s="208" t="s">
        <v>91</v>
      </c>
    </row>
    <row r="1063" spans="1:16" s="187" customFormat="1" ht="18" customHeight="1">
      <c r="A1063" s="187" t="str">
        <f t="shared" si="16"/>
        <v>V10151B</v>
      </c>
      <c r="B1063" s="206" t="s">
        <v>2163</v>
      </c>
      <c r="C1063" s="206"/>
      <c r="D1063" s="206" t="s">
        <v>2168</v>
      </c>
      <c r="E1063" s="206" t="s">
        <v>29</v>
      </c>
      <c r="F1063" s="206" t="s">
        <v>2164</v>
      </c>
      <c r="G1063" s="206" t="s">
        <v>2165</v>
      </c>
      <c r="H1063" s="206"/>
      <c r="I1063" s="206"/>
      <c r="J1063" s="206" t="s">
        <v>2166</v>
      </c>
      <c r="K1063" s="206" t="s">
        <v>2167</v>
      </c>
      <c r="L1063" s="206"/>
      <c r="M1063" s="207"/>
      <c r="N1063" s="206"/>
      <c r="O1063" s="206" t="s">
        <v>260</v>
      </c>
      <c r="P1063" s="206" t="s">
        <v>91</v>
      </c>
    </row>
    <row r="1064" spans="1:16" s="187" customFormat="1" ht="18" customHeight="1">
      <c r="A1064" s="187" t="str">
        <f t="shared" si="16"/>
        <v>V10151C</v>
      </c>
      <c r="B1064" s="208" t="s">
        <v>2163</v>
      </c>
      <c r="C1064" s="208"/>
      <c r="D1064" s="208" t="s">
        <v>2169</v>
      </c>
      <c r="E1064" s="208" t="s">
        <v>29</v>
      </c>
      <c r="F1064" s="208" t="s">
        <v>2164</v>
      </c>
      <c r="G1064" s="208" t="s">
        <v>2165</v>
      </c>
      <c r="H1064" s="208"/>
      <c r="I1064" s="208"/>
      <c r="J1064" s="208" t="s">
        <v>2166</v>
      </c>
      <c r="K1064" s="208" t="s">
        <v>2167</v>
      </c>
      <c r="L1064" s="208"/>
      <c r="M1064" s="209"/>
      <c r="N1064" s="208"/>
      <c r="O1064" s="208" t="s">
        <v>260</v>
      </c>
      <c r="P1064" s="208" t="s">
        <v>91</v>
      </c>
    </row>
    <row r="1065" spans="1:16" s="187" customFormat="1" ht="18" customHeight="1">
      <c r="A1065" s="187" t="str">
        <f t="shared" si="16"/>
        <v>V10062A</v>
      </c>
      <c r="B1065" s="206" t="s">
        <v>2171</v>
      </c>
      <c r="C1065" s="206"/>
      <c r="D1065" s="206" t="s">
        <v>2170</v>
      </c>
      <c r="E1065" s="206" t="s">
        <v>29</v>
      </c>
      <c r="F1065" s="206" t="s">
        <v>2172</v>
      </c>
      <c r="G1065" s="206" t="s">
        <v>2173</v>
      </c>
      <c r="H1065" s="206"/>
      <c r="I1065" s="206" t="s">
        <v>2174</v>
      </c>
      <c r="J1065" s="206" t="s">
        <v>2175</v>
      </c>
      <c r="K1065" s="206" t="s">
        <v>2176</v>
      </c>
      <c r="L1065" s="206"/>
      <c r="M1065" s="207"/>
      <c r="N1065" s="206"/>
      <c r="O1065" s="206" t="s">
        <v>260</v>
      </c>
      <c r="P1065" s="206" t="s">
        <v>91</v>
      </c>
    </row>
    <row r="1066" spans="1:16" s="187" customFormat="1" ht="18" customHeight="1">
      <c r="A1066" s="187" t="str">
        <f t="shared" si="16"/>
        <v>V10062B</v>
      </c>
      <c r="B1066" s="208" t="s">
        <v>2171</v>
      </c>
      <c r="C1066" s="208"/>
      <c r="D1066" s="208" t="s">
        <v>2177</v>
      </c>
      <c r="E1066" s="208" t="s">
        <v>29</v>
      </c>
      <c r="F1066" s="208" t="s">
        <v>2172</v>
      </c>
      <c r="G1066" s="208" t="s">
        <v>2173</v>
      </c>
      <c r="H1066" s="208"/>
      <c r="I1066" s="208" t="s">
        <v>2174</v>
      </c>
      <c r="J1066" s="208" t="s">
        <v>2175</v>
      </c>
      <c r="K1066" s="208" t="s">
        <v>2176</v>
      </c>
      <c r="L1066" s="208"/>
      <c r="M1066" s="209"/>
      <c r="N1066" s="208"/>
      <c r="O1066" s="208" t="s">
        <v>260</v>
      </c>
      <c r="P1066" s="208" t="s">
        <v>91</v>
      </c>
    </row>
    <row r="1067" spans="1:16" s="187" customFormat="1" ht="18" customHeight="1">
      <c r="A1067" s="187" t="str">
        <f t="shared" si="16"/>
        <v>V10062C</v>
      </c>
      <c r="B1067" s="206" t="s">
        <v>2171</v>
      </c>
      <c r="C1067" s="206"/>
      <c r="D1067" s="206" t="s">
        <v>2178</v>
      </c>
      <c r="E1067" s="206" t="s">
        <v>29</v>
      </c>
      <c r="F1067" s="206" t="s">
        <v>2172</v>
      </c>
      <c r="G1067" s="206" t="s">
        <v>2173</v>
      </c>
      <c r="H1067" s="206"/>
      <c r="I1067" s="206" t="s">
        <v>2174</v>
      </c>
      <c r="J1067" s="206" t="s">
        <v>2175</v>
      </c>
      <c r="K1067" s="206" t="s">
        <v>2176</v>
      </c>
      <c r="L1067" s="206"/>
      <c r="M1067" s="207"/>
      <c r="N1067" s="206"/>
      <c r="O1067" s="206" t="s">
        <v>260</v>
      </c>
      <c r="P1067" s="206" t="s">
        <v>91</v>
      </c>
    </row>
    <row r="1068" spans="1:16" s="187" customFormat="1" ht="18" customHeight="1">
      <c r="A1068" s="187" t="str">
        <f t="shared" si="16"/>
        <v>CG440010C0</v>
      </c>
      <c r="B1068" s="208" t="s">
        <v>2171</v>
      </c>
      <c r="C1068" s="208"/>
      <c r="D1068" s="208" t="s">
        <v>2179</v>
      </c>
      <c r="E1068" s="208" t="s">
        <v>29</v>
      </c>
      <c r="F1068" s="208" t="s">
        <v>2172</v>
      </c>
      <c r="G1068" s="208" t="s">
        <v>2173</v>
      </c>
      <c r="H1068" s="208"/>
      <c r="I1068" s="208" t="s">
        <v>2174</v>
      </c>
      <c r="J1068" s="208" t="s">
        <v>2175</v>
      </c>
      <c r="K1068" s="208" t="s">
        <v>2176</v>
      </c>
      <c r="L1068" s="208"/>
      <c r="M1068" s="209"/>
      <c r="N1068" s="208"/>
      <c r="O1068" s="208"/>
      <c r="P1068" s="208" t="s">
        <v>100</v>
      </c>
    </row>
    <row r="1069" spans="1:16" s="187" customFormat="1" ht="18" customHeight="1">
      <c r="A1069" s="187" t="str">
        <f t="shared" si="16"/>
        <v>V10342C</v>
      </c>
      <c r="B1069" s="206" t="s">
        <v>4955</v>
      </c>
      <c r="C1069" s="206"/>
      <c r="D1069" s="206" t="s">
        <v>4956</v>
      </c>
      <c r="E1069" s="206" t="s">
        <v>29</v>
      </c>
      <c r="F1069" s="206" t="s">
        <v>4957</v>
      </c>
      <c r="G1069" s="206"/>
      <c r="H1069" s="206"/>
      <c r="I1069" s="206"/>
      <c r="J1069" s="206" t="s">
        <v>4958</v>
      </c>
      <c r="K1069" s="206" t="s">
        <v>4959</v>
      </c>
      <c r="L1069" s="206"/>
      <c r="M1069" s="207"/>
      <c r="N1069" s="206"/>
      <c r="O1069" s="206"/>
      <c r="P1069" s="206" t="s">
        <v>91</v>
      </c>
    </row>
    <row r="1070" spans="1:16" s="187" customFormat="1" ht="18" customHeight="1">
      <c r="A1070" s="187" t="str">
        <f t="shared" si="16"/>
        <v>V10221A</v>
      </c>
      <c r="B1070" s="208" t="s">
        <v>2181</v>
      </c>
      <c r="C1070" s="208"/>
      <c r="D1070" s="208" t="s">
        <v>2180</v>
      </c>
      <c r="E1070" s="208" t="s">
        <v>29</v>
      </c>
      <c r="F1070" s="208" t="s">
        <v>2182</v>
      </c>
      <c r="G1070" s="208" t="s">
        <v>2183</v>
      </c>
      <c r="H1070" s="208"/>
      <c r="I1070" s="208" t="s">
        <v>2184</v>
      </c>
      <c r="J1070" s="208" t="s">
        <v>2185</v>
      </c>
      <c r="K1070" s="208" t="s">
        <v>2186</v>
      </c>
      <c r="L1070" s="208"/>
      <c r="M1070" s="209"/>
      <c r="N1070" s="208"/>
      <c r="O1070" s="208" t="s">
        <v>260</v>
      </c>
      <c r="P1070" s="208" t="s">
        <v>91</v>
      </c>
    </row>
    <row r="1071" spans="1:16" s="187" customFormat="1" ht="18" customHeight="1">
      <c r="A1071" s="187" t="str">
        <f t="shared" si="16"/>
        <v>V10221B</v>
      </c>
      <c r="B1071" s="206" t="s">
        <v>2181</v>
      </c>
      <c r="C1071" s="206"/>
      <c r="D1071" s="206" t="s">
        <v>2187</v>
      </c>
      <c r="E1071" s="206" t="s">
        <v>29</v>
      </c>
      <c r="F1071" s="206" t="s">
        <v>2182</v>
      </c>
      <c r="G1071" s="206" t="s">
        <v>2183</v>
      </c>
      <c r="H1071" s="206"/>
      <c r="I1071" s="206" t="s">
        <v>2184</v>
      </c>
      <c r="J1071" s="206" t="s">
        <v>2185</v>
      </c>
      <c r="K1071" s="206" t="s">
        <v>2186</v>
      </c>
      <c r="L1071" s="206"/>
      <c r="M1071" s="207"/>
      <c r="N1071" s="206"/>
      <c r="O1071" s="206" t="s">
        <v>260</v>
      </c>
      <c r="P1071" s="206" t="s">
        <v>91</v>
      </c>
    </row>
    <row r="1072" spans="1:16" s="187" customFormat="1" ht="18" customHeight="1">
      <c r="A1072" s="187" t="str">
        <f t="shared" si="16"/>
        <v>V10221C</v>
      </c>
      <c r="B1072" s="208" t="s">
        <v>2181</v>
      </c>
      <c r="C1072" s="208"/>
      <c r="D1072" s="208" t="s">
        <v>2188</v>
      </c>
      <c r="E1072" s="208" t="s">
        <v>29</v>
      </c>
      <c r="F1072" s="208" t="s">
        <v>2182</v>
      </c>
      <c r="G1072" s="208" t="s">
        <v>2183</v>
      </c>
      <c r="H1072" s="208"/>
      <c r="I1072" s="208" t="s">
        <v>2184</v>
      </c>
      <c r="J1072" s="208" t="s">
        <v>2185</v>
      </c>
      <c r="K1072" s="208" t="s">
        <v>2186</v>
      </c>
      <c r="L1072" s="208"/>
      <c r="M1072" s="209"/>
      <c r="N1072" s="208"/>
      <c r="O1072" s="208" t="s">
        <v>260</v>
      </c>
      <c r="P1072" s="208" t="s">
        <v>91</v>
      </c>
    </row>
    <row r="1073" spans="1:16" s="187" customFormat="1" ht="18" customHeight="1">
      <c r="A1073" s="187" t="str">
        <f t="shared" si="16"/>
        <v>CG440039C0</v>
      </c>
      <c r="B1073" s="206" t="s">
        <v>5610</v>
      </c>
      <c r="C1073" s="206"/>
      <c r="D1073" s="206" t="s">
        <v>5745</v>
      </c>
      <c r="E1073" s="206" t="s">
        <v>29</v>
      </c>
      <c r="F1073" s="206" t="s">
        <v>5612</v>
      </c>
      <c r="G1073" s="206"/>
      <c r="H1073" s="206"/>
      <c r="I1073" s="206"/>
      <c r="J1073" s="206" t="s">
        <v>5613</v>
      </c>
      <c r="K1073" s="206" t="s">
        <v>5614</v>
      </c>
      <c r="L1073" s="206"/>
      <c r="M1073" s="207"/>
      <c r="N1073" s="206"/>
      <c r="O1073" s="206"/>
      <c r="P1073" s="206" t="s">
        <v>100</v>
      </c>
    </row>
    <row r="1074" spans="1:16" s="187" customFormat="1" ht="18" customHeight="1">
      <c r="A1074" s="187" t="str">
        <f t="shared" si="16"/>
        <v>V10420C</v>
      </c>
      <c r="B1074" s="208" t="s">
        <v>5610</v>
      </c>
      <c r="C1074" s="208"/>
      <c r="D1074" s="208" t="s">
        <v>5611</v>
      </c>
      <c r="E1074" s="208" t="s">
        <v>29</v>
      </c>
      <c r="F1074" s="208" t="s">
        <v>5612</v>
      </c>
      <c r="G1074" s="208"/>
      <c r="H1074" s="208"/>
      <c r="I1074" s="208"/>
      <c r="J1074" s="208" t="s">
        <v>5613</v>
      </c>
      <c r="K1074" s="208" t="s">
        <v>5614</v>
      </c>
      <c r="L1074" s="208"/>
      <c r="M1074" s="209"/>
      <c r="N1074" s="208"/>
      <c r="O1074" s="208"/>
      <c r="P1074" s="208" t="s">
        <v>91</v>
      </c>
    </row>
    <row r="1075" spans="1:16" s="187" customFormat="1" ht="18" customHeight="1">
      <c r="A1075" s="187" t="str">
        <f t="shared" si="16"/>
        <v>V10408C</v>
      </c>
      <c r="B1075" s="206" t="s">
        <v>5534</v>
      </c>
      <c r="C1075" s="206"/>
      <c r="D1075" s="206" t="s">
        <v>5535</v>
      </c>
      <c r="E1075" s="206" t="s">
        <v>29</v>
      </c>
      <c r="F1075" s="206" t="s">
        <v>5536</v>
      </c>
      <c r="G1075" s="206" t="s">
        <v>5537</v>
      </c>
      <c r="H1075" s="206"/>
      <c r="I1075" s="206" t="s">
        <v>5538</v>
      </c>
      <c r="J1075" s="206" t="s">
        <v>5539</v>
      </c>
      <c r="K1075" s="206" t="s">
        <v>5540</v>
      </c>
      <c r="L1075" s="206"/>
      <c r="M1075" s="207"/>
      <c r="N1075" s="206"/>
      <c r="O1075" s="206" t="s">
        <v>260</v>
      </c>
      <c r="P1075" s="206" t="s">
        <v>91</v>
      </c>
    </row>
    <row r="1076" spans="1:16" s="187" customFormat="1" ht="18" customHeight="1">
      <c r="A1076" s="187" t="str">
        <f t="shared" si="16"/>
        <v>V10190A</v>
      </c>
      <c r="B1076" s="208" t="s">
        <v>2190</v>
      </c>
      <c r="C1076" s="208"/>
      <c r="D1076" s="208" t="s">
        <v>2189</v>
      </c>
      <c r="E1076" s="208" t="s">
        <v>29</v>
      </c>
      <c r="F1076" s="208" t="s">
        <v>2191</v>
      </c>
      <c r="G1076" s="208" t="s">
        <v>2192</v>
      </c>
      <c r="H1076" s="208"/>
      <c r="I1076" s="208" t="s">
        <v>2193</v>
      </c>
      <c r="J1076" s="208" t="s">
        <v>988</v>
      </c>
      <c r="K1076" s="208" t="s">
        <v>2194</v>
      </c>
      <c r="L1076" s="208"/>
      <c r="M1076" s="209"/>
      <c r="N1076" s="208"/>
      <c r="O1076" s="208" t="s">
        <v>260</v>
      </c>
      <c r="P1076" s="208" t="s">
        <v>91</v>
      </c>
    </row>
    <row r="1077" spans="1:16" s="187" customFormat="1" ht="18" customHeight="1">
      <c r="A1077" s="187" t="str">
        <f t="shared" si="16"/>
        <v>V10190B</v>
      </c>
      <c r="B1077" s="206" t="s">
        <v>2190</v>
      </c>
      <c r="C1077" s="206"/>
      <c r="D1077" s="206" t="s">
        <v>2195</v>
      </c>
      <c r="E1077" s="206" t="s">
        <v>29</v>
      </c>
      <c r="F1077" s="206" t="s">
        <v>2191</v>
      </c>
      <c r="G1077" s="206" t="s">
        <v>2192</v>
      </c>
      <c r="H1077" s="206"/>
      <c r="I1077" s="206" t="s">
        <v>2193</v>
      </c>
      <c r="J1077" s="206" t="s">
        <v>988</v>
      </c>
      <c r="K1077" s="206" t="s">
        <v>2194</v>
      </c>
      <c r="L1077" s="206"/>
      <c r="M1077" s="207"/>
      <c r="N1077" s="206"/>
      <c r="O1077" s="206" t="s">
        <v>260</v>
      </c>
      <c r="P1077" s="206" t="s">
        <v>91</v>
      </c>
    </row>
    <row r="1078" spans="1:16" s="187" customFormat="1" ht="18" customHeight="1">
      <c r="A1078" s="187" t="str">
        <f t="shared" si="16"/>
        <v>V10190C</v>
      </c>
      <c r="B1078" s="208" t="s">
        <v>2190</v>
      </c>
      <c r="C1078" s="208"/>
      <c r="D1078" s="208" t="s">
        <v>2196</v>
      </c>
      <c r="E1078" s="208" t="s">
        <v>29</v>
      </c>
      <c r="F1078" s="208" t="s">
        <v>2191</v>
      </c>
      <c r="G1078" s="208" t="s">
        <v>2192</v>
      </c>
      <c r="H1078" s="208"/>
      <c r="I1078" s="208" t="s">
        <v>2193</v>
      </c>
      <c r="J1078" s="208" t="s">
        <v>988</v>
      </c>
      <c r="K1078" s="208" t="s">
        <v>2194</v>
      </c>
      <c r="L1078" s="208"/>
      <c r="M1078" s="209"/>
      <c r="N1078" s="208"/>
      <c r="O1078" s="208" t="s">
        <v>260</v>
      </c>
      <c r="P1078" s="208" t="s">
        <v>91</v>
      </c>
    </row>
    <row r="1079" spans="1:16" s="187" customFormat="1" ht="18" customHeight="1">
      <c r="A1079" s="187" t="str">
        <f t="shared" si="16"/>
        <v>V10402A</v>
      </c>
      <c r="B1079" s="206" t="s">
        <v>5372</v>
      </c>
      <c r="C1079" s="206"/>
      <c r="D1079" s="206" t="s">
        <v>5373</v>
      </c>
      <c r="E1079" s="206" t="s">
        <v>29</v>
      </c>
      <c r="F1079" s="206" t="s">
        <v>5972</v>
      </c>
      <c r="G1079" s="206"/>
      <c r="H1079" s="206"/>
      <c r="I1079" s="206"/>
      <c r="J1079" s="206" t="s">
        <v>5973</v>
      </c>
      <c r="K1079" s="206" t="s">
        <v>5974</v>
      </c>
      <c r="L1079" s="206"/>
      <c r="M1079" s="207"/>
      <c r="N1079" s="206"/>
      <c r="O1079" s="206"/>
      <c r="P1079" s="206" t="s">
        <v>91</v>
      </c>
    </row>
    <row r="1080" spans="1:16" s="187" customFormat="1" ht="18" customHeight="1">
      <c r="A1080" s="187" t="str">
        <f t="shared" si="16"/>
        <v>V10438B</v>
      </c>
      <c r="B1080" s="208" t="s">
        <v>5865</v>
      </c>
      <c r="C1080" s="208"/>
      <c r="D1080" s="208" t="s">
        <v>5866</v>
      </c>
      <c r="E1080" s="208" t="s">
        <v>29</v>
      </c>
      <c r="F1080" s="208" t="s">
        <v>5867</v>
      </c>
      <c r="G1080" s="208"/>
      <c r="H1080" s="208"/>
      <c r="I1080" s="208"/>
      <c r="J1080" s="208"/>
      <c r="K1080" s="208"/>
      <c r="L1080" s="208"/>
      <c r="M1080" s="209"/>
      <c r="N1080" s="208"/>
      <c r="O1080" s="208"/>
      <c r="P1080" s="208" t="s">
        <v>91</v>
      </c>
    </row>
    <row r="1081" spans="1:16" s="187" customFormat="1" ht="18" customHeight="1">
      <c r="A1081" s="187" t="str">
        <f t="shared" si="16"/>
        <v>V10494C</v>
      </c>
      <c r="B1081" s="206" t="s">
        <v>6165</v>
      </c>
      <c r="C1081" s="206"/>
      <c r="D1081" s="206" t="s">
        <v>6166</v>
      </c>
      <c r="E1081" s="206" t="s">
        <v>29</v>
      </c>
      <c r="F1081" s="206" t="s">
        <v>6167</v>
      </c>
      <c r="G1081" s="206" t="s">
        <v>6168</v>
      </c>
      <c r="H1081" s="206"/>
      <c r="I1081" s="206" t="s">
        <v>6169</v>
      </c>
      <c r="J1081" s="206" t="s">
        <v>6170</v>
      </c>
      <c r="K1081" s="206" t="s">
        <v>6171</v>
      </c>
      <c r="L1081" s="206"/>
      <c r="M1081" s="207"/>
      <c r="N1081" s="206"/>
      <c r="O1081" s="206" t="s">
        <v>260</v>
      </c>
      <c r="P1081" s="206" t="s">
        <v>91</v>
      </c>
    </row>
    <row r="1082" spans="1:16" s="187" customFormat="1" ht="18" customHeight="1">
      <c r="A1082" s="187" t="str">
        <f t="shared" si="16"/>
        <v>V10279C</v>
      </c>
      <c r="B1082" s="208" t="s">
        <v>2198</v>
      </c>
      <c r="C1082" s="208"/>
      <c r="D1082" s="208" t="s">
        <v>2197</v>
      </c>
      <c r="E1082" s="208" t="s">
        <v>29</v>
      </c>
      <c r="F1082" s="208" t="s">
        <v>2199</v>
      </c>
      <c r="G1082" s="208" t="s">
        <v>2200</v>
      </c>
      <c r="H1082" s="208"/>
      <c r="I1082" s="208"/>
      <c r="J1082" s="208" t="s">
        <v>2201</v>
      </c>
      <c r="K1082" s="208" t="s">
        <v>2202</v>
      </c>
      <c r="L1082" s="208"/>
      <c r="M1082" s="209"/>
      <c r="N1082" s="208"/>
      <c r="O1082" s="208"/>
      <c r="P1082" s="208" t="s">
        <v>91</v>
      </c>
    </row>
    <row r="1083" spans="1:16" s="187" customFormat="1" ht="18" customHeight="1">
      <c r="A1083" s="187" t="str">
        <f t="shared" si="16"/>
        <v>V10070B</v>
      </c>
      <c r="B1083" s="206" t="s">
        <v>5868</v>
      </c>
      <c r="C1083" s="206"/>
      <c r="D1083" s="206" t="s">
        <v>3556</v>
      </c>
      <c r="E1083" s="206" t="s">
        <v>29</v>
      </c>
      <c r="F1083" s="206" t="s">
        <v>3557</v>
      </c>
      <c r="G1083" s="206" t="s">
        <v>3558</v>
      </c>
      <c r="H1083" s="206"/>
      <c r="I1083" s="206" t="s">
        <v>3559</v>
      </c>
      <c r="J1083" s="206" t="s">
        <v>5869</v>
      </c>
      <c r="K1083" s="206" t="s">
        <v>3560</v>
      </c>
      <c r="L1083" s="206"/>
      <c r="M1083" s="207"/>
      <c r="N1083" s="206"/>
      <c r="O1083" s="206" t="s">
        <v>260</v>
      </c>
      <c r="P1083" s="206" t="s">
        <v>91</v>
      </c>
    </row>
    <row r="1084" spans="1:16" s="187" customFormat="1" ht="18" customHeight="1">
      <c r="A1084" s="187" t="str">
        <f t="shared" si="16"/>
        <v>V10070C</v>
      </c>
      <c r="B1084" s="208" t="s">
        <v>5868</v>
      </c>
      <c r="C1084" s="208"/>
      <c r="D1084" s="208" t="s">
        <v>3561</v>
      </c>
      <c r="E1084" s="208" t="s">
        <v>29</v>
      </c>
      <c r="F1084" s="208" t="s">
        <v>3557</v>
      </c>
      <c r="G1084" s="208" t="s">
        <v>3558</v>
      </c>
      <c r="H1084" s="208"/>
      <c r="I1084" s="208" t="s">
        <v>3559</v>
      </c>
      <c r="J1084" s="208" t="s">
        <v>5869</v>
      </c>
      <c r="K1084" s="208" t="s">
        <v>3560</v>
      </c>
      <c r="L1084" s="208"/>
      <c r="M1084" s="209"/>
      <c r="N1084" s="208"/>
      <c r="O1084" s="208" t="s">
        <v>260</v>
      </c>
      <c r="P1084" s="208" t="s">
        <v>91</v>
      </c>
    </row>
    <row r="1085" spans="1:16" s="187" customFormat="1" ht="18" customHeight="1">
      <c r="A1085" s="187" t="str">
        <f t="shared" si="16"/>
        <v>V10070A</v>
      </c>
      <c r="B1085" s="206" t="s">
        <v>5868</v>
      </c>
      <c r="C1085" s="206"/>
      <c r="D1085" s="206" t="s">
        <v>3562</v>
      </c>
      <c r="E1085" s="206" t="s">
        <v>29</v>
      </c>
      <c r="F1085" s="206" t="s">
        <v>3557</v>
      </c>
      <c r="G1085" s="206" t="s">
        <v>3558</v>
      </c>
      <c r="H1085" s="206"/>
      <c r="I1085" s="206" t="s">
        <v>3559</v>
      </c>
      <c r="J1085" s="206" t="s">
        <v>5869</v>
      </c>
      <c r="K1085" s="206" t="s">
        <v>3560</v>
      </c>
      <c r="L1085" s="206"/>
      <c r="M1085" s="207"/>
      <c r="N1085" s="206"/>
      <c r="O1085" s="206" t="s">
        <v>260</v>
      </c>
      <c r="P1085" s="206" t="s">
        <v>91</v>
      </c>
    </row>
    <row r="1086" spans="1:16" s="187" customFormat="1" ht="18" customHeight="1">
      <c r="A1086" s="187" t="str">
        <f t="shared" si="16"/>
        <v>V10118C</v>
      </c>
      <c r="B1086" s="208" t="s">
        <v>2204</v>
      </c>
      <c r="C1086" s="208"/>
      <c r="D1086" s="208" t="s">
        <v>2211</v>
      </c>
      <c r="E1086" s="208" t="s">
        <v>29</v>
      </c>
      <c r="F1086" s="208" t="s">
        <v>2205</v>
      </c>
      <c r="G1086" s="208" t="s">
        <v>2206</v>
      </c>
      <c r="H1086" s="208"/>
      <c r="I1086" s="208" t="s">
        <v>2207</v>
      </c>
      <c r="J1086" s="208" t="s">
        <v>2208</v>
      </c>
      <c r="K1086" s="208" t="s">
        <v>2209</v>
      </c>
      <c r="L1086" s="208"/>
      <c r="M1086" s="209"/>
      <c r="N1086" s="208"/>
      <c r="O1086" s="208" t="s">
        <v>260</v>
      </c>
      <c r="P1086" s="208" t="s">
        <v>91</v>
      </c>
    </row>
    <row r="1087" spans="1:16" s="187" customFormat="1" ht="18" customHeight="1">
      <c r="A1087" s="187" t="str">
        <f t="shared" si="16"/>
        <v>V10118A</v>
      </c>
      <c r="B1087" s="206" t="s">
        <v>2204</v>
      </c>
      <c r="C1087" s="206"/>
      <c r="D1087" s="206" t="s">
        <v>2203</v>
      </c>
      <c r="E1087" s="206" t="s">
        <v>29</v>
      </c>
      <c r="F1087" s="206" t="s">
        <v>2205</v>
      </c>
      <c r="G1087" s="206" t="s">
        <v>2206</v>
      </c>
      <c r="H1087" s="206"/>
      <c r="I1087" s="206" t="s">
        <v>2207</v>
      </c>
      <c r="J1087" s="206" t="s">
        <v>2208</v>
      </c>
      <c r="K1087" s="206" t="s">
        <v>2209</v>
      </c>
      <c r="L1087" s="206"/>
      <c r="M1087" s="207"/>
      <c r="N1087" s="206"/>
      <c r="O1087" s="206" t="s">
        <v>260</v>
      </c>
      <c r="P1087" s="206" t="s">
        <v>91</v>
      </c>
    </row>
    <row r="1088" spans="1:16" s="187" customFormat="1" ht="18" customHeight="1">
      <c r="A1088" s="187" t="str">
        <f t="shared" si="16"/>
        <v>V10118B</v>
      </c>
      <c r="B1088" s="208" t="s">
        <v>2204</v>
      </c>
      <c r="C1088" s="208"/>
      <c r="D1088" s="208" t="s">
        <v>2210</v>
      </c>
      <c r="E1088" s="208" t="s">
        <v>29</v>
      </c>
      <c r="F1088" s="208" t="s">
        <v>2205</v>
      </c>
      <c r="G1088" s="208" t="s">
        <v>2206</v>
      </c>
      <c r="H1088" s="208"/>
      <c r="I1088" s="208" t="s">
        <v>2207</v>
      </c>
      <c r="J1088" s="208" t="s">
        <v>2208</v>
      </c>
      <c r="K1088" s="208" t="s">
        <v>2209</v>
      </c>
      <c r="L1088" s="208"/>
      <c r="M1088" s="209"/>
      <c r="N1088" s="208"/>
      <c r="O1088" s="208" t="s">
        <v>260</v>
      </c>
      <c r="P1088" s="208" t="s">
        <v>91</v>
      </c>
    </row>
    <row r="1089" spans="1:16" s="187" customFormat="1" ht="18" customHeight="1">
      <c r="A1089" s="187" t="str">
        <f t="shared" si="16"/>
        <v>V10378C</v>
      </c>
      <c r="B1089" s="206" t="s">
        <v>5235</v>
      </c>
      <c r="C1089" s="206"/>
      <c r="D1089" s="206" t="s">
        <v>5236</v>
      </c>
      <c r="E1089" s="206" t="s">
        <v>29</v>
      </c>
      <c r="F1089" s="206" t="s">
        <v>5237</v>
      </c>
      <c r="G1089" s="206"/>
      <c r="H1089" s="206"/>
      <c r="I1089" s="206"/>
      <c r="J1089" s="206" t="s">
        <v>5374</v>
      </c>
      <c r="K1089" s="206" t="s">
        <v>5238</v>
      </c>
      <c r="L1089" s="206"/>
      <c r="M1089" s="207"/>
      <c r="N1089" s="206"/>
      <c r="O1089" s="206"/>
      <c r="P1089" s="206" t="s">
        <v>91</v>
      </c>
    </row>
    <row r="1090" spans="1:16" s="187" customFormat="1" ht="18" customHeight="1">
      <c r="A1090" s="187" t="str">
        <f t="shared" si="16"/>
        <v>V10207A</v>
      </c>
      <c r="B1090" s="208" t="s">
        <v>2213</v>
      </c>
      <c r="C1090" s="208"/>
      <c r="D1090" s="208" t="s">
        <v>2212</v>
      </c>
      <c r="E1090" s="208" t="s">
        <v>29</v>
      </c>
      <c r="F1090" s="208" t="s">
        <v>2214</v>
      </c>
      <c r="G1090" s="208" t="s">
        <v>2215</v>
      </c>
      <c r="H1090" s="208"/>
      <c r="I1090" s="208" t="s">
        <v>2216</v>
      </c>
      <c r="J1090" s="208" t="s">
        <v>2217</v>
      </c>
      <c r="K1090" s="208" t="s">
        <v>2218</v>
      </c>
      <c r="L1090" s="208"/>
      <c r="M1090" s="209"/>
      <c r="N1090" s="208"/>
      <c r="O1090" s="208" t="s">
        <v>260</v>
      </c>
      <c r="P1090" s="208" t="s">
        <v>91</v>
      </c>
    </row>
    <row r="1091" spans="1:16" s="187" customFormat="1" ht="18" customHeight="1">
      <c r="A1091" s="187" t="str">
        <f t="shared" si="16"/>
        <v>V10207B</v>
      </c>
      <c r="B1091" s="206" t="s">
        <v>2213</v>
      </c>
      <c r="C1091" s="206"/>
      <c r="D1091" s="206" t="s">
        <v>2219</v>
      </c>
      <c r="E1091" s="206" t="s">
        <v>29</v>
      </c>
      <c r="F1091" s="206" t="s">
        <v>2214</v>
      </c>
      <c r="G1091" s="206" t="s">
        <v>2215</v>
      </c>
      <c r="H1091" s="206"/>
      <c r="I1091" s="206" t="s">
        <v>2216</v>
      </c>
      <c r="J1091" s="206" t="s">
        <v>2217</v>
      </c>
      <c r="K1091" s="206" t="s">
        <v>2218</v>
      </c>
      <c r="L1091" s="206"/>
      <c r="M1091" s="207"/>
      <c r="N1091" s="206"/>
      <c r="O1091" s="206" t="s">
        <v>260</v>
      </c>
      <c r="P1091" s="206" t="s">
        <v>91</v>
      </c>
    </row>
    <row r="1092" spans="1:16" s="187" customFormat="1" ht="18" customHeight="1">
      <c r="A1092" s="187" t="str">
        <f t="shared" si="16"/>
        <v>V10207C</v>
      </c>
      <c r="B1092" s="208" t="s">
        <v>2213</v>
      </c>
      <c r="C1092" s="208"/>
      <c r="D1092" s="208" t="s">
        <v>2220</v>
      </c>
      <c r="E1092" s="208" t="s">
        <v>29</v>
      </c>
      <c r="F1092" s="208" t="s">
        <v>2214</v>
      </c>
      <c r="G1092" s="208" t="s">
        <v>2215</v>
      </c>
      <c r="H1092" s="208"/>
      <c r="I1092" s="208" t="s">
        <v>2216</v>
      </c>
      <c r="J1092" s="208" t="s">
        <v>2217</v>
      </c>
      <c r="K1092" s="208" t="s">
        <v>2218</v>
      </c>
      <c r="L1092" s="208"/>
      <c r="M1092" s="209"/>
      <c r="N1092" s="208"/>
      <c r="O1092" s="208" t="s">
        <v>260</v>
      </c>
      <c r="P1092" s="208" t="s">
        <v>91</v>
      </c>
    </row>
    <row r="1093" spans="1:16" s="187" customFormat="1" ht="18" customHeight="1">
      <c r="A1093" s="187" t="str">
        <f t="shared" si="16"/>
        <v>V10356C</v>
      </c>
      <c r="B1093" s="206" t="s">
        <v>5239</v>
      </c>
      <c r="C1093" s="206"/>
      <c r="D1093" s="206" t="s">
        <v>5240</v>
      </c>
      <c r="E1093" s="206" t="s">
        <v>29</v>
      </c>
      <c r="F1093" s="206" t="s">
        <v>5241</v>
      </c>
      <c r="G1093" s="206"/>
      <c r="H1093" s="206"/>
      <c r="I1093" s="206"/>
      <c r="J1093" s="206" t="s">
        <v>5242</v>
      </c>
      <c r="K1093" s="206" t="s">
        <v>5243</v>
      </c>
      <c r="L1093" s="206"/>
      <c r="M1093" s="207"/>
      <c r="N1093" s="206"/>
      <c r="O1093" s="206"/>
      <c r="P1093" s="206" t="s">
        <v>91</v>
      </c>
    </row>
    <row r="1094" spans="1:16" s="187" customFormat="1" ht="18" customHeight="1">
      <c r="A1094" s="187" t="str">
        <f t="shared" ref="A1094:A1157" si="17">D1094</f>
        <v>V10272B</v>
      </c>
      <c r="B1094" s="208" t="s">
        <v>2229</v>
      </c>
      <c r="C1094" s="208"/>
      <c r="D1094" s="208" t="s">
        <v>2228</v>
      </c>
      <c r="E1094" s="208" t="s">
        <v>29</v>
      </c>
      <c r="F1094" s="208" t="s">
        <v>2230</v>
      </c>
      <c r="G1094" s="208" t="s">
        <v>2231</v>
      </c>
      <c r="H1094" s="208"/>
      <c r="I1094" s="208" t="s">
        <v>2232</v>
      </c>
      <c r="J1094" s="208" t="s">
        <v>258</v>
      </c>
      <c r="K1094" s="208" t="s">
        <v>2233</v>
      </c>
      <c r="L1094" s="208"/>
      <c r="M1094" s="209"/>
      <c r="N1094" s="208"/>
      <c r="O1094" s="208"/>
      <c r="P1094" s="208" t="s">
        <v>91</v>
      </c>
    </row>
    <row r="1095" spans="1:16" s="187" customFormat="1" ht="18" customHeight="1">
      <c r="A1095" s="187" t="str">
        <f t="shared" si="17"/>
        <v>V10272A</v>
      </c>
      <c r="B1095" s="206" t="s">
        <v>2229</v>
      </c>
      <c r="C1095" s="206"/>
      <c r="D1095" s="206" t="s">
        <v>2234</v>
      </c>
      <c r="E1095" s="206" t="s">
        <v>29</v>
      </c>
      <c r="F1095" s="206" t="s">
        <v>2230</v>
      </c>
      <c r="G1095" s="206" t="s">
        <v>2231</v>
      </c>
      <c r="H1095" s="206"/>
      <c r="I1095" s="206" t="s">
        <v>2232</v>
      </c>
      <c r="J1095" s="206" t="s">
        <v>258</v>
      </c>
      <c r="K1095" s="206" t="s">
        <v>2233</v>
      </c>
      <c r="L1095" s="206"/>
      <c r="M1095" s="207"/>
      <c r="N1095" s="206"/>
      <c r="O1095" s="206"/>
      <c r="P1095" s="206" t="s">
        <v>91</v>
      </c>
    </row>
    <row r="1096" spans="1:16" s="187" customFormat="1" ht="18" customHeight="1">
      <c r="A1096" s="187" t="str">
        <f t="shared" si="17"/>
        <v>V10272C</v>
      </c>
      <c r="B1096" s="208" t="s">
        <v>2229</v>
      </c>
      <c r="C1096" s="208"/>
      <c r="D1096" s="208" t="s">
        <v>2235</v>
      </c>
      <c r="E1096" s="208" t="s">
        <v>29</v>
      </c>
      <c r="F1096" s="208" t="s">
        <v>2230</v>
      </c>
      <c r="G1096" s="208" t="s">
        <v>2231</v>
      </c>
      <c r="H1096" s="208"/>
      <c r="I1096" s="208" t="s">
        <v>2232</v>
      </c>
      <c r="J1096" s="208" t="s">
        <v>258</v>
      </c>
      <c r="K1096" s="208" t="s">
        <v>2233</v>
      </c>
      <c r="L1096" s="208"/>
      <c r="M1096" s="209"/>
      <c r="N1096" s="208"/>
      <c r="O1096" s="208"/>
      <c r="P1096" s="208" t="s">
        <v>91</v>
      </c>
    </row>
    <row r="1097" spans="1:16" s="187" customFormat="1" ht="18" customHeight="1">
      <c r="A1097" s="187" t="str">
        <f t="shared" si="17"/>
        <v>V10317C</v>
      </c>
      <c r="B1097" s="206" t="s">
        <v>4398</v>
      </c>
      <c r="C1097" s="206"/>
      <c r="D1097" s="206" t="s">
        <v>4397</v>
      </c>
      <c r="E1097" s="206" t="s">
        <v>29</v>
      </c>
      <c r="F1097" s="206" t="s">
        <v>4399</v>
      </c>
      <c r="G1097" s="206" t="s">
        <v>4400</v>
      </c>
      <c r="H1097" s="206"/>
      <c r="I1097" s="206" t="s">
        <v>4401</v>
      </c>
      <c r="J1097" s="206" t="s">
        <v>4402</v>
      </c>
      <c r="K1097" s="206" t="s">
        <v>4403</v>
      </c>
      <c r="L1097" s="206"/>
      <c r="M1097" s="207"/>
      <c r="N1097" s="206"/>
      <c r="O1097" s="206"/>
      <c r="P1097" s="206" t="s">
        <v>91</v>
      </c>
    </row>
    <row r="1098" spans="1:16" s="187" customFormat="1" ht="18" customHeight="1">
      <c r="A1098" s="187" t="str">
        <f t="shared" si="17"/>
        <v>V10497C</v>
      </c>
      <c r="B1098" s="208" t="s">
        <v>6172</v>
      </c>
      <c r="C1098" s="208"/>
      <c r="D1098" s="208" t="s">
        <v>6173</v>
      </c>
      <c r="E1098" s="208" t="s">
        <v>29</v>
      </c>
      <c r="F1098" s="208" t="s">
        <v>6174</v>
      </c>
      <c r="G1098" s="208"/>
      <c r="H1098" s="208"/>
      <c r="I1098" s="208"/>
      <c r="J1098" s="208" t="s">
        <v>6175</v>
      </c>
      <c r="K1098" s="208" t="s">
        <v>6176</v>
      </c>
      <c r="L1098" s="208"/>
      <c r="M1098" s="209"/>
      <c r="N1098" s="208"/>
      <c r="O1098" s="208"/>
      <c r="P1098" s="208" t="s">
        <v>91</v>
      </c>
    </row>
    <row r="1099" spans="1:16" s="187" customFormat="1" ht="18" customHeight="1">
      <c r="A1099" s="187" t="str">
        <f t="shared" si="17"/>
        <v>V10157A</v>
      </c>
      <c r="B1099" s="206" t="s">
        <v>2237</v>
      </c>
      <c r="C1099" s="206"/>
      <c r="D1099" s="206" t="s">
        <v>2236</v>
      </c>
      <c r="E1099" s="206" t="s">
        <v>29</v>
      </c>
      <c r="F1099" s="206" t="s">
        <v>2238</v>
      </c>
      <c r="G1099" s="206" t="s">
        <v>1209</v>
      </c>
      <c r="H1099" s="206"/>
      <c r="I1099" s="206"/>
      <c r="J1099" s="206" t="s">
        <v>2239</v>
      </c>
      <c r="K1099" s="206" t="s">
        <v>2240</v>
      </c>
      <c r="L1099" s="206"/>
      <c r="M1099" s="207"/>
      <c r="N1099" s="206"/>
      <c r="O1099" s="206" t="s">
        <v>260</v>
      </c>
      <c r="P1099" s="206" t="s">
        <v>91</v>
      </c>
    </row>
    <row r="1100" spans="1:16" s="187" customFormat="1" ht="18" customHeight="1">
      <c r="A1100" s="187" t="str">
        <f t="shared" si="17"/>
        <v>V10157B</v>
      </c>
      <c r="B1100" s="208" t="s">
        <v>2237</v>
      </c>
      <c r="C1100" s="208"/>
      <c r="D1100" s="208" t="s">
        <v>2241</v>
      </c>
      <c r="E1100" s="208" t="s">
        <v>29</v>
      </c>
      <c r="F1100" s="208" t="s">
        <v>2238</v>
      </c>
      <c r="G1100" s="208" t="s">
        <v>1209</v>
      </c>
      <c r="H1100" s="208"/>
      <c r="I1100" s="208"/>
      <c r="J1100" s="208" t="s">
        <v>2239</v>
      </c>
      <c r="K1100" s="208" t="s">
        <v>2240</v>
      </c>
      <c r="L1100" s="208"/>
      <c r="M1100" s="209"/>
      <c r="N1100" s="208"/>
      <c r="O1100" s="208" t="s">
        <v>260</v>
      </c>
      <c r="P1100" s="208" t="s">
        <v>91</v>
      </c>
    </row>
    <row r="1101" spans="1:16" s="187" customFormat="1" ht="18" customHeight="1">
      <c r="A1101" s="187" t="str">
        <f t="shared" si="17"/>
        <v>V10157C</v>
      </c>
      <c r="B1101" s="206" t="s">
        <v>2237</v>
      </c>
      <c r="C1101" s="206"/>
      <c r="D1101" s="206" t="s">
        <v>2242</v>
      </c>
      <c r="E1101" s="206" t="s">
        <v>29</v>
      </c>
      <c r="F1101" s="206" t="s">
        <v>2238</v>
      </c>
      <c r="G1101" s="206" t="s">
        <v>1209</v>
      </c>
      <c r="H1101" s="206"/>
      <c r="I1101" s="206"/>
      <c r="J1101" s="206" t="s">
        <v>2239</v>
      </c>
      <c r="K1101" s="206" t="s">
        <v>2240</v>
      </c>
      <c r="L1101" s="206"/>
      <c r="M1101" s="207"/>
      <c r="N1101" s="206"/>
      <c r="O1101" s="206" t="s">
        <v>260</v>
      </c>
      <c r="P1101" s="206" t="s">
        <v>91</v>
      </c>
    </row>
    <row r="1102" spans="1:16" s="187" customFormat="1" ht="18" customHeight="1">
      <c r="A1102" s="187" t="str">
        <f t="shared" si="17"/>
        <v>V10059A</v>
      </c>
      <c r="B1102" s="208" t="s">
        <v>2244</v>
      </c>
      <c r="C1102" s="208"/>
      <c r="D1102" s="208" t="s">
        <v>2243</v>
      </c>
      <c r="E1102" s="208" t="s">
        <v>29</v>
      </c>
      <c r="F1102" s="208" t="s">
        <v>5244</v>
      </c>
      <c r="G1102" s="208"/>
      <c r="H1102" s="208"/>
      <c r="I1102" s="208"/>
      <c r="J1102" s="208" t="s">
        <v>2245</v>
      </c>
      <c r="K1102" s="208" t="s">
        <v>5071</v>
      </c>
      <c r="L1102" s="208"/>
      <c r="M1102" s="209"/>
      <c r="N1102" s="208"/>
      <c r="O1102" s="208" t="s">
        <v>260</v>
      </c>
      <c r="P1102" s="208" t="s">
        <v>91</v>
      </c>
    </row>
    <row r="1103" spans="1:16" s="187" customFormat="1" ht="18" customHeight="1">
      <c r="A1103" s="187" t="str">
        <f t="shared" si="17"/>
        <v>V10059B</v>
      </c>
      <c r="B1103" s="206" t="s">
        <v>2244</v>
      </c>
      <c r="C1103" s="206"/>
      <c r="D1103" s="206" t="s">
        <v>2246</v>
      </c>
      <c r="E1103" s="206" t="s">
        <v>29</v>
      </c>
      <c r="F1103" s="206" t="s">
        <v>5244</v>
      </c>
      <c r="G1103" s="206"/>
      <c r="H1103" s="206"/>
      <c r="I1103" s="206"/>
      <c r="J1103" s="206" t="s">
        <v>2245</v>
      </c>
      <c r="K1103" s="206" t="s">
        <v>5071</v>
      </c>
      <c r="L1103" s="206"/>
      <c r="M1103" s="207"/>
      <c r="N1103" s="206"/>
      <c r="O1103" s="206" t="s">
        <v>260</v>
      </c>
      <c r="P1103" s="206" t="s">
        <v>91</v>
      </c>
    </row>
    <row r="1104" spans="1:16" s="187" customFormat="1" ht="18" customHeight="1">
      <c r="A1104" s="187" t="str">
        <f t="shared" si="17"/>
        <v>V10059C</v>
      </c>
      <c r="B1104" s="208" t="s">
        <v>2244</v>
      </c>
      <c r="C1104" s="208"/>
      <c r="D1104" s="208" t="s">
        <v>2247</v>
      </c>
      <c r="E1104" s="208" t="s">
        <v>29</v>
      </c>
      <c r="F1104" s="208" t="s">
        <v>5244</v>
      </c>
      <c r="G1104" s="208"/>
      <c r="H1104" s="208"/>
      <c r="I1104" s="208"/>
      <c r="J1104" s="208" t="s">
        <v>2245</v>
      </c>
      <c r="K1104" s="208" t="s">
        <v>5071</v>
      </c>
      <c r="L1104" s="208"/>
      <c r="M1104" s="209"/>
      <c r="N1104" s="208"/>
      <c r="O1104" s="208" t="s">
        <v>260</v>
      </c>
      <c r="P1104" s="208" t="s">
        <v>91</v>
      </c>
    </row>
    <row r="1105" spans="1:16" s="187" customFormat="1" ht="18" customHeight="1">
      <c r="A1105" s="187" t="str">
        <f t="shared" si="17"/>
        <v>V10088A</v>
      </c>
      <c r="B1105" s="206" t="s">
        <v>2249</v>
      </c>
      <c r="C1105" s="206"/>
      <c r="D1105" s="206" t="s">
        <v>2248</v>
      </c>
      <c r="E1105" s="206" t="s">
        <v>29</v>
      </c>
      <c r="F1105" s="206" t="s">
        <v>2250</v>
      </c>
      <c r="G1105" s="206" t="s">
        <v>1859</v>
      </c>
      <c r="H1105" s="206"/>
      <c r="I1105" s="206"/>
      <c r="J1105" s="206" t="s">
        <v>2251</v>
      </c>
      <c r="K1105" s="206" t="s">
        <v>2252</v>
      </c>
      <c r="L1105" s="206"/>
      <c r="M1105" s="207"/>
      <c r="N1105" s="206"/>
      <c r="O1105" s="206" t="s">
        <v>260</v>
      </c>
      <c r="P1105" s="206" t="s">
        <v>91</v>
      </c>
    </row>
    <row r="1106" spans="1:16" s="187" customFormat="1" ht="18" customHeight="1">
      <c r="A1106" s="187" t="str">
        <f t="shared" si="17"/>
        <v>V10088B</v>
      </c>
      <c r="B1106" s="208" t="s">
        <v>2249</v>
      </c>
      <c r="C1106" s="208"/>
      <c r="D1106" s="208" t="s">
        <v>2253</v>
      </c>
      <c r="E1106" s="208" t="s">
        <v>29</v>
      </c>
      <c r="F1106" s="208" t="s">
        <v>2250</v>
      </c>
      <c r="G1106" s="208" t="s">
        <v>1859</v>
      </c>
      <c r="H1106" s="208"/>
      <c r="I1106" s="208"/>
      <c r="J1106" s="208" t="s">
        <v>2251</v>
      </c>
      <c r="K1106" s="208" t="s">
        <v>2252</v>
      </c>
      <c r="L1106" s="208"/>
      <c r="M1106" s="209"/>
      <c r="N1106" s="208"/>
      <c r="O1106" s="208" t="s">
        <v>260</v>
      </c>
      <c r="P1106" s="208" t="s">
        <v>91</v>
      </c>
    </row>
    <row r="1107" spans="1:16" s="187" customFormat="1" ht="18" customHeight="1">
      <c r="A1107" s="187" t="str">
        <f t="shared" si="17"/>
        <v>V10088C</v>
      </c>
      <c r="B1107" s="206" t="s">
        <v>2249</v>
      </c>
      <c r="C1107" s="206"/>
      <c r="D1107" s="206" t="s">
        <v>2254</v>
      </c>
      <c r="E1107" s="206" t="s">
        <v>29</v>
      </c>
      <c r="F1107" s="206" t="s">
        <v>2250</v>
      </c>
      <c r="G1107" s="206" t="s">
        <v>1859</v>
      </c>
      <c r="H1107" s="206"/>
      <c r="I1107" s="206"/>
      <c r="J1107" s="206" t="s">
        <v>2251</v>
      </c>
      <c r="K1107" s="206" t="s">
        <v>2252</v>
      </c>
      <c r="L1107" s="206"/>
      <c r="M1107" s="207"/>
      <c r="N1107" s="206"/>
      <c r="O1107" s="206" t="s">
        <v>260</v>
      </c>
      <c r="P1107" s="206" t="s">
        <v>91</v>
      </c>
    </row>
    <row r="1108" spans="1:16" s="187" customFormat="1" ht="18" customHeight="1">
      <c r="A1108" s="187" t="str">
        <f t="shared" si="17"/>
        <v>CG440013C0</v>
      </c>
      <c r="B1108" s="208" t="s">
        <v>2249</v>
      </c>
      <c r="C1108" s="208"/>
      <c r="D1108" s="208" t="s">
        <v>2255</v>
      </c>
      <c r="E1108" s="208" t="s">
        <v>29</v>
      </c>
      <c r="F1108" s="208" t="s">
        <v>2250</v>
      </c>
      <c r="G1108" s="208"/>
      <c r="H1108" s="208"/>
      <c r="I1108" s="208"/>
      <c r="J1108" s="208"/>
      <c r="K1108" s="208"/>
      <c r="L1108" s="208"/>
      <c r="M1108" s="209"/>
      <c r="N1108" s="208"/>
      <c r="O1108" s="208"/>
      <c r="P1108" s="208" t="s">
        <v>100</v>
      </c>
    </row>
    <row r="1109" spans="1:16" s="187" customFormat="1" ht="18" customHeight="1">
      <c r="A1109" s="187" t="str">
        <f t="shared" si="17"/>
        <v>V10449C</v>
      </c>
      <c r="B1109" s="206" t="s">
        <v>5746</v>
      </c>
      <c r="C1109" s="206"/>
      <c r="D1109" s="206" t="s">
        <v>5747</v>
      </c>
      <c r="E1109" s="206" t="s">
        <v>29</v>
      </c>
      <c r="F1109" s="206" t="s">
        <v>5748</v>
      </c>
      <c r="G1109" s="206" t="s">
        <v>5749</v>
      </c>
      <c r="H1109" s="206"/>
      <c r="I1109" s="206"/>
      <c r="J1109" s="206" t="s">
        <v>5750</v>
      </c>
      <c r="K1109" s="206" t="s">
        <v>5751</v>
      </c>
      <c r="L1109" s="206"/>
      <c r="M1109" s="207"/>
      <c r="N1109" s="206"/>
      <c r="O1109" s="206"/>
      <c r="P1109" s="206" t="s">
        <v>91</v>
      </c>
    </row>
    <row r="1110" spans="1:16" s="187" customFormat="1" ht="18" customHeight="1">
      <c r="A1110" s="187" t="str">
        <f t="shared" si="17"/>
        <v>V10238A</v>
      </c>
      <c r="B1110" s="208" t="s">
        <v>2257</v>
      </c>
      <c r="C1110" s="208"/>
      <c r="D1110" s="208" t="s">
        <v>2256</v>
      </c>
      <c r="E1110" s="208" t="s">
        <v>29</v>
      </c>
      <c r="F1110" s="208" t="s">
        <v>2258</v>
      </c>
      <c r="G1110" s="208" t="s">
        <v>2259</v>
      </c>
      <c r="H1110" s="208"/>
      <c r="I1110" s="208"/>
      <c r="J1110" s="208" t="s">
        <v>2260</v>
      </c>
      <c r="K1110" s="208" t="s">
        <v>5070</v>
      </c>
      <c r="L1110" s="208"/>
      <c r="M1110" s="209"/>
      <c r="N1110" s="208"/>
      <c r="O1110" s="208" t="s">
        <v>260</v>
      </c>
      <c r="P1110" s="208" t="s">
        <v>91</v>
      </c>
    </row>
    <row r="1111" spans="1:16" s="187" customFormat="1" ht="18" customHeight="1">
      <c r="A1111" s="187" t="str">
        <f t="shared" si="17"/>
        <v>V10238B</v>
      </c>
      <c r="B1111" s="206" t="s">
        <v>2257</v>
      </c>
      <c r="C1111" s="206"/>
      <c r="D1111" s="206" t="s">
        <v>2261</v>
      </c>
      <c r="E1111" s="206" t="s">
        <v>29</v>
      </c>
      <c r="F1111" s="206" t="s">
        <v>2258</v>
      </c>
      <c r="G1111" s="206" t="s">
        <v>2259</v>
      </c>
      <c r="H1111" s="206"/>
      <c r="I1111" s="206"/>
      <c r="J1111" s="206" t="s">
        <v>2260</v>
      </c>
      <c r="K1111" s="206" t="s">
        <v>5070</v>
      </c>
      <c r="L1111" s="206"/>
      <c r="M1111" s="207"/>
      <c r="N1111" s="206"/>
      <c r="O1111" s="206" t="s">
        <v>260</v>
      </c>
      <c r="P1111" s="206" t="s">
        <v>91</v>
      </c>
    </row>
    <row r="1112" spans="1:16" s="187" customFormat="1" ht="18" customHeight="1">
      <c r="A1112" s="187" t="str">
        <f t="shared" si="17"/>
        <v>V10238C</v>
      </c>
      <c r="B1112" s="208" t="s">
        <v>2257</v>
      </c>
      <c r="C1112" s="208"/>
      <c r="D1112" s="208" t="s">
        <v>2262</v>
      </c>
      <c r="E1112" s="208" t="s">
        <v>29</v>
      </c>
      <c r="F1112" s="208" t="s">
        <v>2258</v>
      </c>
      <c r="G1112" s="208" t="s">
        <v>2259</v>
      </c>
      <c r="H1112" s="208"/>
      <c r="I1112" s="208"/>
      <c r="J1112" s="208" t="s">
        <v>2260</v>
      </c>
      <c r="K1112" s="208" t="s">
        <v>5070</v>
      </c>
      <c r="L1112" s="208"/>
      <c r="M1112" s="209"/>
      <c r="N1112" s="208"/>
      <c r="O1112" s="208" t="s">
        <v>260</v>
      </c>
      <c r="P1112" s="208" t="s">
        <v>91</v>
      </c>
    </row>
    <row r="1113" spans="1:16" s="187" customFormat="1" ht="18" customHeight="1">
      <c r="A1113" s="187" t="str">
        <f t="shared" si="17"/>
        <v>V10119A</v>
      </c>
      <c r="B1113" s="206" t="s">
        <v>2264</v>
      </c>
      <c r="C1113" s="206"/>
      <c r="D1113" s="206" t="s">
        <v>2263</v>
      </c>
      <c r="E1113" s="206" t="s">
        <v>29</v>
      </c>
      <c r="F1113" s="206" t="s">
        <v>2265</v>
      </c>
      <c r="G1113" s="206" t="s">
        <v>2266</v>
      </c>
      <c r="H1113" s="206"/>
      <c r="I1113" s="206" t="s">
        <v>2267</v>
      </c>
      <c r="J1113" s="206" t="s">
        <v>2268</v>
      </c>
      <c r="K1113" s="206" t="s">
        <v>2269</v>
      </c>
      <c r="L1113" s="206"/>
      <c r="M1113" s="207"/>
      <c r="N1113" s="206"/>
      <c r="O1113" s="206" t="s">
        <v>260</v>
      </c>
      <c r="P1113" s="206" t="s">
        <v>91</v>
      </c>
    </row>
    <row r="1114" spans="1:16" s="187" customFormat="1" ht="18" customHeight="1">
      <c r="A1114" s="187" t="str">
        <f t="shared" si="17"/>
        <v>V10119B</v>
      </c>
      <c r="B1114" s="208" t="s">
        <v>2264</v>
      </c>
      <c r="C1114" s="208"/>
      <c r="D1114" s="208" t="s">
        <v>2270</v>
      </c>
      <c r="E1114" s="208" t="s">
        <v>29</v>
      </c>
      <c r="F1114" s="208" t="s">
        <v>2265</v>
      </c>
      <c r="G1114" s="208" t="s">
        <v>2266</v>
      </c>
      <c r="H1114" s="208"/>
      <c r="I1114" s="208" t="s">
        <v>2267</v>
      </c>
      <c r="J1114" s="208" t="s">
        <v>2268</v>
      </c>
      <c r="K1114" s="208" t="s">
        <v>2269</v>
      </c>
      <c r="L1114" s="208"/>
      <c r="M1114" s="209"/>
      <c r="N1114" s="208"/>
      <c r="O1114" s="208" t="s">
        <v>260</v>
      </c>
      <c r="P1114" s="208" t="s">
        <v>91</v>
      </c>
    </row>
    <row r="1115" spans="1:16" s="187" customFormat="1" ht="18" customHeight="1">
      <c r="A1115" s="187" t="str">
        <f t="shared" si="17"/>
        <v>V10119C</v>
      </c>
      <c r="B1115" s="206" t="s">
        <v>2264</v>
      </c>
      <c r="C1115" s="206"/>
      <c r="D1115" s="206" t="s">
        <v>2271</v>
      </c>
      <c r="E1115" s="206" t="s">
        <v>29</v>
      </c>
      <c r="F1115" s="206" t="s">
        <v>2265</v>
      </c>
      <c r="G1115" s="206" t="s">
        <v>2266</v>
      </c>
      <c r="H1115" s="206"/>
      <c r="I1115" s="206" t="s">
        <v>2267</v>
      </c>
      <c r="J1115" s="206" t="s">
        <v>2268</v>
      </c>
      <c r="K1115" s="206" t="s">
        <v>2269</v>
      </c>
      <c r="L1115" s="206"/>
      <c r="M1115" s="207"/>
      <c r="N1115" s="206"/>
      <c r="O1115" s="206" t="s">
        <v>260</v>
      </c>
      <c r="P1115" s="206" t="s">
        <v>91</v>
      </c>
    </row>
    <row r="1116" spans="1:16" s="187" customFormat="1" ht="18" customHeight="1">
      <c r="A1116" s="187" t="str">
        <f t="shared" si="17"/>
        <v>V10044A</v>
      </c>
      <c r="B1116" s="208" t="s">
        <v>2273</v>
      </c>
      <c r="C1116" s="208"/>
      <c r="D1116" s="208" t="s">
        <v>2272</v>
      </c>
      <c r="E1116" s="208" t="s">
        <v>29</v>
      </c>
      <c r="F1116" s="208" t="s">
        <v>2274</v>
      </c>
      <c r="G1116" s="208"/>
      <c r="H1116" s="208"/>
      <c r="I1116" s="208"/>
      <c r="J1116" s="208" t="s">
        <v>2275</v>
      </c>
      <c r="K1116" s="208" t="s">
        <v>2276</v>
      </c>
      <c r="L1116" s="208"/>
      <c r="M1116" s="209"/>
      <c r="N1116" s="208"/>
      <c r="O1116" s="208" t="s">
        <v>260</v>
      </c>
      <c r="P1116" s="208" t="s">
        <v>91</v>
      </c>
    </row>
    <row r="1117" spans="1:16" s="187" customFormat="1" ht="18" customHeight="1">
      <c r="A1117" s="187" t="str">
        <f t="shared" si="17"/>
        <v>V10044B</v>
      </c>
      <c r="B1117" s="206" t="s">
        <v>2273</v>
      </c>
      <c r="C1117" s="206"/>
      <c r="D1117" s="206" t="s">
        <v>2277</v>
      </c>
      <c r="E1117" s="206" t="s">
        <v>29</v>
      </c>
      <c r="F1117" s="206" t="s">
        <v>2274</v>
      </c>
      <c r="G1117" s="206"/>
      <c r="H1117" s="206"/>
      <c r="I1117" s="206"/>
      <c r="J1117" s="206" t="s">
        <v>2275</v>
      </c>
      <c r="K1117" s="206" t="s">
        <v>2276</v>
      </c>
      <c r="L1117" s="206"/>
      <c r="M1117" s="207"/>
      <c r="N1117" s="206"/>
      <c r="O1117" s="206" t="s">
        <v>260</v>
      </c>
      <c r="P1117" s="206" t="s">
        <v>91</v>
      </c>
    </row>
    <row r="1118" spans="1:16" s="187" customFormat="1" ht="18" customHeight="1">
      <c r="A1118" s="187" t="str">
        <f t="shared" si="17"/>
        <v>V10044C</v>
      </c>
      <c r="B1118" s="208" t="s">
        <v>2273</v>
      </c>
      <c r="C1118" s="208"/>
      <c r="D1118" s="208" t="s">
        <v>2278</v>
      </c>
      <c r="E1118" s="208" t="s">
        <v>29</v>
      </c>
      <c r="F1118" s="208" t="s">
        <v>2274</v>
      </c>
      <c r="G1118" s="208"/>
      <c r="H1118" s="208"/>
      <c r="I1118" s="208"/>
      <c r="J1118" s="208" t="s">
        <v>2275</v>
      </c>
      <c r="K1118" s="208" t="s">
        <v>2276</v>
      </c>
      <c r="L1118" s="208"/>
      <c r="M1118" s="209"/>
      <c r="N1118" s="208"/>
      <c r="O1118" s="208" t="s">
        <v>260</v>
      </c>
      <c r="P1118" s="208" t="s">
        <v>91</v>
      </c>
    </row>
    <row r="1119" spans="1:16" s="187" customFormat="1" ht="18" customHeight="1">
      <c r="A1119" s="187" t="str">
        <f t="shared" si="17"/>
        <v>V10405A</v>
      </c>
      <c r="B1119" s="206" t="s">
        <v>5752</v>
      </c>
      <c r="C1119" s="206"/>
      <c r="D1119" s="206" t="s">
        <v>5753</v>
      </c>
      <c r="E1119" s="206" t="s">
        <v>29</v>
      </c>
      <c r="F1119" s="206" t="s">
        <v>5754</v>
      </c>
      <c r="G1119" s="206"/>
      <c r="H1119" s="206"/>
      <c r="I1119" s="206"/>
      <c r="J1119" s="206" t="s">
        <v>5755</v>
      </c>
      <c r="K1119" s="206" t="s">
        <v>5756</v>
      </c>
      <c r="L1119" s="206"/>
      <c r="M1119" s="207"/>
      <c r="N1119" s="206"/>
      <c r="O1119" s="206"/>
      <c r="P1119" s="206" t="s">
        <v>91</v>
      </c>
    </row>
    <row r="1120" spans="1:16" s="187" customFormat="1" ht="18" customHeight="1">
      <c r="A1120" s="187" t="str">
        <f t="shared" si="17"/>
        <v>V10405C</v>
      </c>
      <c r="B1120" s="208" t="s">
        <v>5752</v>
      </c>
      <c r="C1120" s="208"/>
      <c r="D1120" s="208" t="s">
        <v>5434</v>
      </c>
      <c r="E1120" s="208" t="s">
        <v>29</v>
      </c>
      <c r="F1120" s="208" t="s">
        <v>5754</v>
      </c>
      <c r="G1120" s="208"/>
      <c r="H1120" s="208"/>
      <c r="I1120" s="208"/>
      <c r="J1120" s="208" t="s">
        <v>5755</v>
      </c>
      <c r="K1120" s="208" t="s">
        <v>5756</v>
      </c>
      <c r="L1120" s="208"/>
      <c r="M1120" s="209"/>
      <c r="N1120" s="208"/>
      <c r="O1120" s="208"/>
      <c r="P1120" s="208" t="s">
        <v>91</v>
      </c>
    </row>
    <row r="1121" spans="1:16" s="187" customFormat="1" ht="18" customHeight="1">
      <c r="A1121" s="187" t="str">
        <f t="shared" si="17"/>
        <v>V10414C</v>
      </c>
      <c r="B1121" s="206" t="s">
        <v>5541</v>
      </c>
      <c r="C1121" s="206"/>
      <c r="D1121" s="206" t="s">
        <v>5542</v>
      </c>
      <c r="E1121" s="206" t="s">
        <v>29</v>
      </c>
      <c r="F1121" s="206" t="s">
        <v>5543</v>
      </c>
      <c r="G1121" s="206"/>
      <c r="H1121" s="206"/>
      <c r="I1121" s="206" t="s">
        <v>5544</v>
      </c>
      <c r="J1121" s="206" t="s">
        <v>5545</v>
      </c>
      <c r="K1121" s="206" t="s">
        <v>5546</v>
      </c>
      <c r="L1121" s="206"/>
      <c r="M1121" s="207"/>
      <c r="N1121" s="206"/>
      <c r="O1121" s="206" t="s">
        <v>260</v>
      </c>
      <c r="P1121" s="206" t="s">
        <v>91</v>
      </c>
    </row>
    <row r="1122" spans="1:16" s="187" customFormat="1" ht="18" customHeight="1">
      <c r="A1122" s="187" t="str">
        <f t="shared" si="17"/>
        <v>V10081A</v>
      </c>
      <c r="B1122" s="208" t="s">
        <v>2280</v>
      </c>
      <c r="C1122" s="208"/>
      <c r="D1122" s="208" t="s">
        <v>2279</v>
      </c>
      <c r="E1122" s="208" t="s">
        <v>29</v>
      </c>
      <c r="F1122" s="208" t="s">
        <v>2281</v>
      </c>
      <c r="G1122" s="208" t="s">
        <v>2282</v>
      </c>
      <c r="H1122" s="208"/>
      <c r="I1122" s="208" t="s">
        <v>2283</v>
      </c>
      <c r="J1122" s="208" t="s">
        <v>2284</v>
      </c>
      <c r="K1122" s="208" t="s">
        <v>2285</v>
      </c>
      <c r="L1122" s="208"/>
      <c r="M1122" s="209"/>
      <c r="N1122" s="208"/>
      <c r="O1122" s="208" t="s">
        <v>260</v>
      </c>
      <c r="P1122" s="208" t="s">
        <v>91</v>
      </c>
    </row>
    <row r="1123" spans="1:16" s="187" customFormat="1" ht="18" customHeight="1">
      <c r="A1123" s="187" t="str">
        <f t="shared" si="17"/>
        <v>V10081B</v>
      </c>
      <c r="B1123" s="206" t="s">
        <v>2280</v>
      </c>
      <c r="C1123" s="206"/>
      <c r="D1123" s="206" t="s">
        <v>2286</v>
      </c>
      <c r="E1123" s="206" t="s">
        <v>29</v>
      </c>
      <c r="F1123" s="206" t="s">
        <v>2281</v>
      </c>
      <c r="G1123" s="206" t="s">
        <v>2282</v>
      </c>
      <c r="H1123" s="206"/>
      <c r="I1123" s="206" t="s">
        <v>2283</v>
      </c>
      <c r="J1123" s="206" t="s">
        <v>2284</v>
      </c>
      <c r="K1123" s="206" t="s">
        <v>2285</v>
      </c>
      <c r="L1123" s="206"/>
      <c r="M1123" s="207"/>
      <c r="N1123" s="206"/>
      <c r="O1123" s="206" t="s">
        <v>260</v>
      </c>
      <c r="P1123" s="206" t="s">
        <v>91</v>
      </c>
    </row>
    <row r="1124" spans="1:16" s="187" customFormat="1" ht="18" customHeight="1">
      <c r="A1124" s="187" t="str">
        <f t="shared" si="17"/>
        <v>V10081C</v>
      </c>
      <c r="B1124" s="208" t="s">
        <v>2280</v>
      </c>
      <c r="C1124" s="208"/>
      <c r="D1124" s="208" t="s">
        <v>2287</v>
      </c>
      <c r="E1124" s="208" t="s">
        <v>29</v>
      </c>
      <c r="F1124" s="208" t="s">
        <v>2281</v>
      </c>
      <c r="G1124" s="208" t="s">
        <v>2282</v>
      </c>
      <c r="H1124" s="208"/>
      <c r="I1124" s="208" t="s">
        <v>2283</v>
      </c>
      <c r="J1124" s="208" t="s">
        <v>2284</v>
      </c>
      <c r="K1124" s="208" t="s">
        <v>2285</v>
      </c>
      <c r="L1124" s="208"/>
      <c r="M1124" s="209"/>
      <c r="N1124" s="208"/>
      <c r="O1124" s="208" t="s">
        <v>260</v>
      </c>
      <c r="P1124" s="208" t="s">
        <v>91</v>
      </c>
    </row>
    <row r="1125" spans="1:16" s="187" customFormat="1" ht="18" customHeight="1">
      <c r="A1125" s="187" t="str">
        <f t="shared" si="17"/>
        <v>V10371C</v>
      </c>
      <c r="B1125" s="206" t="s">
        <v>5245</v>
      </c>
      <c r="C1125" s="206"/>
      <c r="D1125" s="206" t="s">
        <v>5246</v>
      </c>
      <c r="E1125" s="206" t="s">
        <v>29</v>
      </c>
      <c r="F1125" s="206" t="s">
        <v>5247</v>
      </c>
      <c r="G1125" s="206"/>
      <c r="H1125" s="206"/>
      <c r="I1125" s="206"/>
      <c r="J1125" s="206" t="s">
        <v>5248</v>
      </c>
      <c r="K1125" s="206" t="s">
        <v>5249</v>
      </c>
      <c r="L1125" s="206"/>
      <c r="M1125" s="207"/>
      <c r="N1125" s="206"/>
      <c r="O1125" s="206"/>
      <c r="P1125" s="206" t="s">
        <v>91</v>
      </c>
    </row>
    <row r="1126" spans="1:16" s="187" customFormat="1" ht="18" customHeight="1">
      <c r="A1126" s="187" t="str">
        <f t="shared" si="17"/>
        <v>V10452C</v>
      </c>
      <c r="B1126" s="208" t="s">
        <v>5757</v>
      </c>
      <c r="C1126" s="208"/>
      <c r="D1126" s="208" t="s">
        <v>5758</v>
      </c>
      <c r="E1126" s="208" t="s">
        <v>29</v>
      </c>
      <c r="F1126" s="208" t="s">
        <v>5759</v>
      </c>
      <c r="G1126" s="208" t="s">
        <v>5760</v>
      </c>
      <c r="H1126" s="208"/>
      <c r="I1126" s="208" t="s">
        <v>5761</v>
      </c>
      <c r="J1126" s="208" t="s">
        <v>5762</v>
      </c>
      <c r="K1126" s="208" t="s">
        <v>5763</v>
      </c>
      <c r="L1126" s="208"/>
      <c r="M1126" s="209"/>
      <c r="N1126" s="208"/>
      <c r="O1126" s="208"/>
      <c r="P1126" s="208" t="s">
        <v>91</v>
      </c>
    </row>
    <row r="1127" spans="1:16" s="187" customFormat="1" ht="18" customHeight="1">
      <c r="A1127" s="187" t="str">
        <f t="shared" si="17"/>
        <v>V10040A</v>
      </c>
      <c r="B1127" s="206" t="s">
        <v>2289</v>
      </c>
      <c r="C1127" s="206"/>
      <c r="D1127" s="206" t="s">
        <v>2288</v>
      </c>
      <c r="E1127" s="206" t="s">
        <v>29</v>
      </c>
      <c r="F1127" s="206" t="s">
        <v>2290</v>
      </c>
      <c r="G1127" s="206" t="s">
        <v>2291</v>
      </c>
      <c r="H1127" s="206"/>
      <c r="I1127" s="206" t="s">
        <v>2292</v>
      </c>
      <c r="J1127" s="206" t="s">
        <v>2293</v>
      </c>
      <c r="K1127" s="206" t="s">
        <v>2294</v>
      </c>
      <c r="L1127" s="206"/>
      <c r="M1127" s="207"/>
      <c r="N1127" s="206"/>
      <c r="O1127" s="206" t="s">
        <v>260</v>
      </c>
      <c r="P1127" s="206" t="s">
        <v>91</v>
      </c>
    </row>
    <row r="1128" spans="1:16" s="187" customFormat="1" ht="18" customHeight="1">
      <c r="A1128" s="187" t="str">
        <f t="shared" si="17"/>
        <v>V10040B</v>
      </c>
      <c r="B1128" s="208" t="s">
        <v>2289</v>
      </c>
      <c r="C1128" s="208"/>
      <c r="D1128" s="208" t="s">
        <v>2295</v>
      </c>
      <c r="E1128" s="208" t="s">
        <v>29</v>
      </c>
      <c r="F1128" s="208" t="s">
        <v>2290</v>
      </c>
      <c r="G1128" s="208" t="s">
        <v>2291</v>
      </c>
      <c r="H1128" s="208"/>
      <c r="I1128" s="208" t="s">
        <v>2292</v>
      </c>
      <c r="J1128" s="208" t="s">
        <v>2293</v>
      </c>
      <c r="K1128" s="208" t="s">
        <v>2294</v>
      </c>
      <c r="L1128" s="208"/>
      <c r="M1128" s="209"/>
      <c r="N1128" s="208"/>
      <c r="O1128" s="208" t="s">
        <v>260</v>
      </c>
      <c r="P1128" s="208" t="s">
        <v>91</v>
      </c>
    </row>
    <row r="1129" spans="1:16" s="187" customFormat="1" ht="18" customHeight="1">
      <c r="A1129" s="187" t="str">
        <f t="shared" si="17"/>
        <v>V10040C</v>
      </c>
      <c r="B1129" s="206" t="s">
        <v>2289</v>
      </c>
      <c r="C1129" s="206"/>
      <c r="D1129" s="206" t="s">
        <v>2296</v>
      </c>
      <c r="E1129" s="206" t="s">
        <v>29</v>
      </c>
      <c r="F1129" s="206" t="s">
        <v>2290</v>
      </c>
      <c r="G1129" s="206" t="s">
        <v>2291</v>
      </c>
      <c r="H1129" s="206"/>
      <c r="I1129" s="206" t="s">
        <v>2292</v>
      </c>
      <c r="J1129" s="206" t="s">
        <v>2293</v>
      </c>
      <c r="K1129" s="206" t="s">
        <v>2294</v>
      </c>
      <c r="L1129" s="206"/>
      <c r="M1129" s="207"/>
      <c r="N1129" s="206"/>
      <c r="O1129" s="206" t="s">
        <v>260</v>
      </c>
      <c r="P1129" s="206" t="s">
        <v>91</v>
      </c>
    </row>
    <row r="1130" spans="1:16" s="187" customFormat="1" ht="18" customHeight="1">
      <c r="A1130" s="187" t="str">
        <f t="shared" si="17"/>
        <v>V10484C</v>
      </c>
      <c r="B1130" s="208" t="s">
        <v>6177</v>
      </c>
      <c r="C1130" s="208"/>
      <c r="D1130" s="208" t="s">
        <v>6178</v>
      </c>
      <c r="E1130" s="208" t="s">
        <v>29</v>
      </c>
      <c r="F1130" s="208" t="s">
        <v>6179</v>
      </c>
      <c r="G1130" s="208" t="s">
        <v>6180</v>
      </c>
      <c r="H1130" s="208"/>
      <c r="I1130" s="208"/>
      <c r="J1130" s="208" t="s">
        <v>6181</v>
      </c>
      <c r="K1130" s="208" t="s">
        <v>6182</v>
      </c>
      <c r="L1130" s="208"/>
      <c r="M1130" s="209"/>
      <c r="N1130" s="208"/>
      <c r="O1130" s="208" t="s">
        <v>260</v>
      </c>
      <c r="P1130" s="208" t="s">
        <v>91</v>
      </c>
    </row>
    <row r="1131" spans="1:16" s="187" customFormat="1" ht="18" customHeight="1">
      <c r="A1131" s="187" t="str">
        <f t="shared" si="17"/>
        <v>V10172A</v>
      </c>
      <c r="B1131" s="206" t="s">
        <v>2298</v>
      </c>
      <c r="C1131" s="206"/>
      <c r="D1131" s="206" t="s">
        <v>2297</v>
      </c>
      <c r="E1131" s="206" t="s">
        <v>29</v>
      </c>
      <c r="F1131" s="206" t="s">
        <v>2299</v>
      </c>
      <c r="G1131" s="206" t="s">
        <v>2300</v>
      </c>
      <c r="H1131" s="206"/>
      <c r="I1131" s="206"/>
      <c r="J1131" s="206" t="s">
        <v>2301</v>
      </c>
      <c r="K1131" s="206" t="s">
        <v>2302</v>
      </c>
      <c r="L1131" s="206"/>
      <c r="M1131" s="207"/>
      <c r="N1131" s="206"/>
      <c r="O1131" s="206" t="s">
        <v>260</v>
      </c>
      <c r="P1131" s="206" t="s">
        <v>91</v>
      </c>
    </row>
    <row r="1132" spans="1:16" s="187" customFormat="1" ht="18" customHeight="1">
      <c r="A1132" s="187" t="str">
        <f t="shared" si="17"/>
        <v>V10172B</v>
      </c>
      <c r="B1132" s="208" t="s">
        <v>2298</v>
      </c>
      <c r="C1132" s="208"/>
      <c r="D1132" s="208" t="s">
        <v>2303</v>
      </c>
      <c r="E1132" s="208" t="s">
        <v>29</v>
      </c>
      <c r="F1132" s="208" t="s">
        <v>2299</v>
      </c>
      <c r="G1132" s="208" t="s">
        <v>2300</v>
      </c>
      <c r="H1132" s="208"/>
      <c r="I1132" s="208"/>
      <c r="J1132" s="208" t="s">
        <v>2301</v>
      </c>
      <c r="K1132" s="208" t="s">
        <v>2302</v>
      </c>
      <c r="L1132" s="208"/>
      <c r="M1132" s="209"/>
      <c r="N1132" s="208"/>
      <c r="O1132" s="208" t="s">
        <v>260</v>
      </c>
      <c r="P1132" s="208" t="s">
        <v>91</v>
      </c>
    </row>
    <row r="1133" spans="1:16" s="187" customFormat="1" ht="18" customHeight="1">
      <c r="A1133" s="187" t="str">
        <f t="shared" si="17"/>
        <v>V10172C</v>
      </c>
      <c r="B1133" s="206" t="s">
        <v>2298</v>
      </c>
      <c r="C1133" s="206"/>
      <c r="D1133" s="206" t="s">
        <v>2304</v>
      </c>
      <c r="E1133" s="206" t="s">
        <v>29</v>
      </c>
      <c r="F1133" s="206" t="s">
        <v>2299</v>
      </c>
      <c r="G1133" s="206" t="s">
        <v>2300</v>
      </c>
      <c r="H1133" s="206"/>
      <c r="I1133" s="206"/>
      <c r="J1133" s="206" t="s">
        <v>2301</v>
      </c>
      <c r="K1133" s="206" t="s">
        <v>2302</v>
      </c>
      <c r="L1133" s="206"/>
      <c r="M1133" s="207"/>
      <c r="N1133" s="206"/>
      <c r="O1133" s="206" t="s">
        <v>260</v>
      </c>
      <c r="P1133" s="206" t="s">
        <v>91</v>
      </c>
    </row>
    <row r="1134" spans="1:16" s="187" customFormat="1" ht="18" customHeight="1">
      <c r="A1134" s="187" t="str">
        <f t="shared" si="17"/>
        <v>V10323C</v>
      </c>
      <c r="B1134" s="208" t="s">
        <v>4405</v>
      </c>
      <c r="C1134" s="208"/>
      <c r="D1134" s="208" t="s">
        <v>4404</v>
      </c>
      <c r="E1134" s="208" t="s">
        <v>29</v>
      </c>
      <c r="F1134" s="208" t="s">
        <v>4406</v>
      </c>
      <c r="G1134" s="208"/>
      <c r="H1134" s="208"/>
      <c r="I1134" s="208"/>
      <c r="J1134" s="208" t="s">
        <v>4407</v>
      </c>
      <c r="K1134" s="208" t="s">
        <v>4408</v>
      </c>
      <c r="L1134" s="208"/>
      <c r="M1134" s="209"/>
      <c r="N1134" s="208"/>
      <c r="O1134" s="208"/>
      <c r="P1134" s="208" t="s">
        <v>91</v>
      </c>
    </row>
    <row r="1135" spans="1:16" s="187" customFormat="1" ht="18" customHeight="1">
      <c r="A1135" s="187" t="str">
        <f t="shared" si="17"/>
        <v>V10194A</v>
      </c>
      <c r="B1135" s="206" t="s">
        <v>2306</v>
      </c>
      <c r="C1135" s="206"/>
      <c r="D1135" s="206" t="s">
        <v>2305</v>
      </c>
      <c r="E1135" s="206" t="s">
        <v>29</v>
      </c>
      <c r="F1135" s="206" t="s">
        <v>5615</v>
      </c>
      <c r="G1135" s="206" t="s">
        <v>2307</v>
      </c>
      <c r="H1135" s="206"/>
      <c r="I1135" s="206" t="s">
        <v>2308</v>
      </c>
      <c r="J1135" s="206" t="s">
        <v>2309</v>
      </c>
      <c r="K1135" s="206" t="s">
        <v>2310</v>
      </c>
      <c r="L1135" s="206"/>
      <c r="M1135" s="207"/>
      <c r="N1135" s="206"/>
      <c r="O1135" s="206" t="s">
        <v>260</v>
      </c>
      <c r="P1135" s="206" t="s">
        <v>91</v>
      </c>
    </row>
    <row r="1136" spans="1:16" s="187" customFormat="1" ht="18" customHeight="1">
      <c r="A1136" s="187" t="str">
        <f t="shared" si="17"/>
        <v>V10194B</v>
      </c>
      <c r="B1136" s="208" t="s">
        <v>2306</v>
      </c>
      <c r="C1136" s="208"/>
      <c r="D1136" s="208" t="s">
        <v>2311</v>
      </c>
      <c r="E1136" s="208" t="s">
        <v>29</v>
      </c>
      <c r="F1136" s="208" t="s">
        <v>5615</v>
      </c>
      <c r="G1136" s="208" t="s">
        <v>2307</v>
      </c>
      <c r="H1136" s="208"/>
      <c r="I1136" s="208" t="s">
        <v>2308</v>
      </c>
      <c r="J1136" s="208" t="s">
        <v>2309</v>
      </c>
      <c r="K1136" s="208" t="s">
        <v>2310</v>
      </c>
      <c r="L1136" s="208"/>
      <c r="M1136" s="209"/>
      <c r="N1136" s="208"/>
      <c r="O1136" s="208" t="s">
        <v>260</v>
      </c>
      <c r="P1136" s="208" t="s">
        <v>91</v>
      </c>
    </row>
    <row r="1137" spans="1:16" s="187" customFormat="1" ht="18" customHeight="1">
      <c r="A1137" s="187" t="str">
        <f t="shared" si="17"/>
        <v>V10194C</v>
      </c>
      <c r="B1137" s="206" t="s">
        <v>2306</v>
      </c>
      <c r="C1137" s="206"/>
      <c r="D1137" s="206" t="s">
        <v>2312</v>
      </c>
      <c r="E1137" s="206" t="s">
        <v>29</v>
      </c>
      <c r="F1137" s="206" t="s">
        <v>5585</v>
      </c>
      <c r="G1137" s="206" t="s">
        <v>2307</v>
      </c>
      <c r="H1137" s="206"/>
      <c r="I1137" s="206" t="s">
        <v>2308</v>
      </c>
      <c r="J1137" s="206" t="s">
        <v>2309</v>
      </c>
      <c r="K1137" s="206" t="s">
        <v>2310</v>
      </c>
      <c r="L1137" s="206"/>
      <c r="M1137" s="207"/>
      <c r="N1137" s="206"/>
      <c r="O1137" s="206" t="s">
        <v>260</v>
      </c>
      <c r="P1137" s="206" t="s">
        <v>91</v>
      </c>
    </row>
    <row r="1138" spans="1:16" s="187" customFormat="1" ht="18" customHeight="1">
      <c r="A1138" s="187" t="str">
        <f t="shared" si="17"/>
        <v>V10212A</v>
      </c>
      <c r="B1138" s="208" t="s">
        <v>2314</v>
      </c>
      <c r="C1138" s="208"/>
      <c r="D1138" s="208" t="s">
        <v>2313</v>
      </c>
      <c r="E1138" s="208" t="s">
        <v>29</v>
      </c>
      <c r="F1138" s="208" t="s">
        <v>2315</v>
      </c>
      <c r="G1138" s="208" t="s">
        <v>2316</v>
      </c>
      <c r="H1138" s="208"/>
      <c r="I1138" s="208" t="s">
        <v>2317</v>
      </c>
      <c r="J1138" s="208" t="s">
        <v>2318</v>
      </c>
      <c r="K1138" s="208" t="s">
        <v>2319</v>
      </c>
      <c r="L1138" s="208"/>
      <c r="M1138" s="209"/>
      <c r="N1138" s="208"/>
      <c r="O1138" s="208" t="s">
        <v>260</v>
      </c>
      <c r="P1138" s="208" t="s">
        <v>91</v>
      </c>
    </row>
    <row r="1139" spans="1:16" s="187" customFormat="1" ht="18" customHeight="1">
      <c r="A1139" s="187" t="str">
        <f t="shared" si="17"/>
        <v>V10212B</v>
      </c>
      <c r="B1139" s="206" t="s">
        <v>2314</v>
      </c>
      <c r="C1139" s="206"/>
      <c r="D1139" s="206" t="s">
        <v>2320</v>
      </c>
      <c r="E1139" s="206" t="s">
        <v>29</v>
      </c>
      <c r="F1139" s="206" t="s">
        <v>2315</v>
      </c>
      <c r="G1139" s="206" t="s">
        <v>2316</v>
      </c>
      <c r="H1139" s="206"/>
      <c r="I1139" s="206" t="s">
        <v>2317</v>
      </c>
      <c r="J1139" s="206" t="s">
        <v>2318</v>
      </c>
      <c r="K1139" s="206" t="s">
        <v>2319</v>
      </c>
      <c r="L1139" s="206"/>
      <c r="M1139" s="207"/>
      <c r="N1139" s="206"/>
      <c r="O1139" s="206" t="s">
        <v>260</v>
      </c>
      <c r="P1139" s="206" t="s">
        <v>91</v>
      </c>
    </row>
    <row r="1140" spans="1:16" s="187" customFormat="1" ht="18" customHeight="1">
      <c r="A1140" s="187" t="str">
        <f t="shared" si="17"/>
        <v>V10212C</v>
      </c>
      <c r="B1140" s="208" t="s">
        <v>2314</v>
      </c>
      <c r="C1140" s="208"/>
      <c r="D1140" s="208" t="s">
        <v>2321</v>
      </c>
      <c r="E1140" s="208" t="s">
        <v>29</v>
      </c>
      <c r="F1140" s="208" t="s">
        <v>2315</v>
      </c>
      <c r="G1140" s="208" t="s">
        <v>2316</v>
      </c>
      <c r="H1140" s="208"/>
      <c r="I1140" s="208" t="s">
        <v>2317</v>
      </c>
      <c r="J1140" s="208" t="s">
        <v>2318</v>
      </c>
      <c r="K1140" s="208" t="s">
        <v>2319</v>
      </c>
      <c r="L1140" s="208"/>
      <c r="M1140" s="209"/>
      <c r="N1140" s="208"/>
      <c r="O1140" s="208" t="s">
        <v>260</v>
      </c>
      <c r="P1140" s="208" t="s">
        <v>91</v>
      </c>
    </row>
    <row r="1141" spans="1:16" s="187" customFormat="1" ht="18" customHeight="1">
      <c r="A1141" s="187" t="str">
        <f t="shared" si="17"/>
        <v>V10554B</v>
      </c>
      <c r="B1141" s="206" t="s">
        <v>6386</v>
      </c>
      <c r="C1141" s="206"/>
      <c r="D1141" s="206" t="s">
        <v>6387</v>
      </c>
      <c r="E1141" s="206" t="s">
        <v>29</v>
      </c>
      <c r="F1141" s="206" t="s">
        <v>6388</v>
      </c>
      <c r="G1141" s="206"/>
      <c r="H1141" s="206"/>
      <c r="I1141" s="206"/>
      <c r="J1141" s="206" t="s">
        <v>6389</v>
      </c>
      <c r="K1141" s="206" t="s">
        <v>6390</v>
      </c>
      <c r="L1141" s="206"/>
      <c r="M1141" s="207"/>
      <c r="N1141" s="206"/>
      <c r="O1141" s="206"/>
      <c r="P1141" s="206" t="s">
        <v>91</v>
      </c>
    </row>
    <row r="1142" spans="1:16" s="187" customFormat="1" ht="18" customHeight="1">
      <c r="A1142" s="187" t="str">
        <f t="shared" si="17"/>
        <v>V10149A</v>
      </c>
      <c r="B1142" s="208" t="s">
        <v>2323</v>
      </c>
      <c r="C1142" s="208"/>
      <c r="D1142" s="208" t="s">
        <v>2322</v>
      </c>
      <c r="E1142" s="208" t="s">
        <v>29</v>
      </c>
      <c r="F1142" s="208" t="s">
        <v>2324</v>
      </c>
      <c r="G1142" s="208" t="s">
        <v>2325</v>
      </c>
      <c r="H1142" s="208"/>
      <c r="I1142" s="208"/>
      <c r="J1142" s="208" t="s">
        <v>2034</v>
      </c>
      <c r="K1142" s="208" t="s">
        <v>2326</v>
      </c>
      <c r="L1142" s="208"/>
      <c r="M1142" s="209"/>
      <c r="N1142" s="208"/>
      <c r="O1142" s="208" t="s">
        <v>260</v>
      </c>
      <c r="P1142" s="208" t="s">
        <v>91</v>
      </c>
    </row>
    <row r="1143" spans="1:16" s="187" customFormat="1" ht="18" customHeight="1">
      <c r="A1143" s="187" t="str">
        <f t="shared" si="17"/>
        <v>V10149B</v>
      </c>
      <c r="B1143" s="206" t="s">
        <v>2323</v>
      </c>
      <c r="C1143" s="206"/>
      <c r="D1143" s="206" t="s">
        <v>2327</v>
      </c>
      <c r="E1143" s="206" t="s">
        <v>29</v>
      </c>
      <c r="F1143" s="206" t="s">
        <v>2324</v>
      </c>
      <c r="G1143" s="206" t="s">
        <v>2325</v>
      </c>
      <c r="H1143" s="206"/>
      <c r="I1143" s="206"/>
      <c r="J1143" s="206" t="s">
        <v>2034</v>
      </c>
      <c r="K1143" s="206" t="s">
        <v>2326</v>
      </c>
      <c r="L1143" s="206"/>
      <c r="M1143" s="207"/>
      <c r="N1143" s="206"/>
      <c r="O1143" s="206" t="s">
        <v>260</v>
      </c>
      <c r="P1143" s="206" t="s">
        <v>91</v>
      </c>
    </row>
    <row r="1144" spans="1:16" s="187" customFormat="1" ht="18" customHeight="1">
      <c r="A1144" s="187" t="str">
        <f t="shared" si="17"/>
        <v>V10149C</v>
      </c>
      <c r="B1144" s="208" t="s">
        <v>2323</v>
      </c>
      <c r="C1144" s="208"/>
      <c r="D1144" s="208" t="s">
        <v>2328</v>
      </c>
      <c r="E1144" s="208" t="s">
        <v>29</v>
      </c>
      <c r="F1144" s="208" t="s">
        <v>2324</v>
      </c>
      <c r="G1144" s="208" t="s">
        <v>2325</v>
      </c>
      <c r="H1144" s="208"/>
      <c r="I1144" s="208"/>
      <c r="J1144" s="208" t="s">
        <v>2034</v>
      </c>
      <c r="K1144" s="208" t="s">
        <v>2326</v>
      </c>
      <c r="L1144" s="208"/>
      <c r="M1144" s="209"/>
      <c r="N1144" s="208"/>
      <c r="O1144" s="208" t="s">
        <v>260</v>
      </c>
      <c r="P1144" s="208" t="s">
        <v>91</v>
      </c>
    </row>
    <row r="1145" spans="1:16" s="187" customFormat="1" ht="18" customHeight="1">
      <c r="A1145" s="187" t="str">
        <f t="shared" si="17"/>
        <v>V10271B</v>
      </c>
      <c r="B1145" s="206" t="s">
        <v>2330</v>
      </c>
      <c r="C1145" s="206"/>
      <c r="D1145" s="206" t="s">
        <v>2329</v>
      </c>
      <c r="E1145" s="206" t="s">
        <v>29</v>
      </c>
      <c r="F1145" s="206" t="s">
        <v>2331</v>
      </c>
      <c r="G1145" s="206" t="s">
        <v>2332</v>
      </c>
      <c r="H1145" s="206"/>
      <c r="I1145" s="206" t="s">
        <v>2333</v>
      </c>
      <c r="J1145" s="206" t="s">
        <v>2334</v>
      </c>
      <c r="K1145" s="206" t="s">
        <v>2335</v>
      </c>
      <c r="L1145" s="206"/>
      <c r="M1145" s="207"/>
      <c r="N1145" s="206"/>
      <c r="O1145" s="206"/>
      <c r="P1145" s="206" t="s">
        <v>91</v>
      </c>
    </row>
    <row r="1146" spans="1:16" s="187" customFormat="1" ht="18" customHeight="1">
      <c r="A1146" s="187" t="str">
        <f t="shared" si="17"/>
        <v>V10514C</v>
      </c>
      <c r="B1146" s="208" t="s">
        <v>6183</v>
      </c>
      <c r="C1146" s="208"/>
      <c r="D1146" s="208" t="s">
        <v>6184</v>
      </c>
      <c r="E1146" s="208" t="s">
        <v>29</v>
      </c>
      <c r="F1146" s="208" t="s">
        <v>6185</v>
      </c>
      <c r="G1146" s="208" t="s">
        <v>6186</v>
      </c>
      <c r="H1146" s="208"/>
      <c r="I1146" s="208"/>
      <c r="J1146" s="208" t="s">
        <v>6187</v>
      </c>
      <c r="K1146" s="208" t="s">
        <v>6188</v>
      </c>
      <c r="L1146" s="208"/>
      <c r="M1146" s="209"/>
      <c r="N1146" s="208"/>
      <c r="O1146" s="208"/>
      <c r="P1146" s="208" t="s">
        <v>91</v>
      </c>
    </row>
    <row r="1147" spans="1:16" s="187" customFormat="1" ht="18" customHeight="1">
      <c r="A1147" s="187" t="str">
        <f t="shared" si="17"/>
        <v>V10156A</v>
      </c>
      <c r="B1147" s="206" t="s">
        <v>2337</v>
      </c>
      <c r="C1147" s="206"/>
      <c r="D1147" s="206" t="s">
        <v>2336</v>
      </c>
      <c r="E1147" s="206" t="s">
        <v>29</v>
      </c>
      <c r="F1147" s="206" t="s">
        <v>2338</v>
      </c>
      <c r="G1147" s="206" t="s">
        <v>2339</v>
      </c>
      <c r="H1147" s="206"/>
      <c r="I1147" s="206" t="s">
        <v>2340</v>
      </c>
      <c r="J1147" s="206" t="s">
        <v>2341</v>
      </c>
      <c r="K1147" s="206" t="s">
        <v>2342</v>
      </c>
      <c r="L1147" s="206"/>
      <c r="M1147" s="207"/>
      <c r="N1147" s="206"/>
      <c r="O1147" s="206" t="s">
        <v>260</v>
      </c>
      <c r="P1147" s="206" t="s">
        <v>91</v>
      </c>
    </row>
    <row r="1148" spans="1:16" s="187" customFormat="1" ht="18" customHeight="1">
      <c r="A1148" s="187" t="str">
        <f t="shared" si="17"/>
        <v>V10156B</v>
      </c>
      <c r="B1148" s="208" t="s">
        <v>2337</v>
      </c>
      <c r="C1148" s="208"/>
      <c r="D1148" s="208" t="s">
        <v>2343</v>
      </c>
      <c r="E1148" s="208" t="s">
        <v>29</v>
      </c>
      <c r="F1148" s="208" t="s">
        <v>2338</v>
      </c>
      <c r="G1148" s="208" t="s">
        <v>2339</v>
      </c>
      <c r="H1148" s="208"/>
      <c r="I1148" s="208" t="s">
        <v>2340</v>
      </c>
      <c r="J1148" s="208" t="s">
        <v>2341</v>
      </c>
      <c r="K1148" s="208" t="s">
        <v>2342</v>
      </c>
      <c r="L1148" s="208"/>
      <c r="M1148" s="209"/>
      <c r="N1148" s="208"/>
      <c r="O1148" s="208" t="s">
        <v>260</v>
      </c>
      <c r="P1148" s="208" t="s">
        <v>91</v>
      </c>
    </row>
    <row r="1149" spans="1:16" s="187" customFormat="1" ht="18" customHeight="1">
      <c r="A1149" s="187" t="str">
        <f t="shared" si="17"/>
        <v>V10156C</v>
      </c>
      <c r="B1149" s="206" t="s">
        <v>2337</v>
      </c>
      <c r="C1149" s="206"/>
      <c r="D1149" s="206" t="s">
        <v>2344</v>
      </c>
      <c r="E1149" s="206" t="s">
        <v>29</v>
      </c>
      <c r="F1149" s="206" t="s">
        <v>2338</v>
      </c>
      <c r="G1149" s="206" t="s">
        <v>2339</v>
      </c>
      <c r="H1149" s="206"/>
      <c r="I1149" s="206" t="s">
        <v>2340</v>
      </c>
      <c r="J1149" s="206" t="s">
        <v>2341</v>
      </c>
      <c r="K1149" s="206" t="s">
        <v>2342</v>
      </c>
      <c r="L1149" s="206"/>
      <c r="M1149" s="207"/>
      <c r="N1149" s="206"/>
      <c r="O1149" s="206" t="s">
        <v>260</v>
      </c>
      <c r="P1149" s="206" t="s">
        <v>91</v>
      </c>
    </row>
    <row r="1150" spans="1:16" s="187" customFormat="1" ht="18" customHeight="1">
      <c r="A1150" s="187" t="str">
        <f t="shared" si="17"/>
        <v>V10229</v>
      </c>
      <c r="B1150" s="208" t="s">
        <v>4410</v>
      </c>
      <c r="C1150" s="208"/>
      <c r="D1150" s="208" t="s">
        <v>4409</v>
      </c>
      <c r="E1150" s="208" t="s">
        <v>29</v>
      </c>
      <c r="F1150" s="208" t="s">
        <v>4411</v>
      </c>
      <c r="G1150" s="208"/>
      <c r="H1150" s="208"/>
      <c r="I1150" s="208"/>
      <c r="J1150" s="208"/>
      <c r="K1150" s="208"/>
      <c r="L1150" s="208"/>
      <c r="M1150" s="209"/>
      <c r="N1150" s="208"/>
      <c r="O1150" s="208"/>
      <c r="P1150" s="208" t="s">
        <v>91</v>
      </c>
    </row>
    <row r="1151" spans="1:16" s="187" customFormat="1" ht="18" customHeight="1">
      <c r="A1151" s="187" t="str">
        <f t="shared" si="17"/>
        <v>V10251C</v>
      </c>
      <c r="B1151" s="206" t="s">
        <v>2346</v>
      </c>
      <c r="C1151" s="206"/>
      <c r="D1151" s="206" t="s">
        <v>2345</v>
      </c>
      <c r="E1151" s="206" t="s">
        <v>29</v>
      </c>
      <c r="F1151" s="206" t="s">
        <v>2347</v>
      </c>
      <c r="G1151" s="206" t="s">
        <v>2348</v>
      </c>
      <c r="H1151" s="206"/>
      <c r="I1151" s="206"/>
      <c r="J1151" s="206" t="s">
        <v>2349</v>
      </c>
      <c r="K1151" s="206" t="s">
        <v>2350</v>
      </c>
      <c r="L1151" s="206"/>
      <c r="M1151" s="207"/>
      <c r="N1151" s="206"/>
      <c r="O1151" s="206"/>
      <c r="P1151" s="206" t="s">
        <v>91</v>
      </c>
    </row>
    <row r="1152" spans="1:16" s="187" customFormat="1" ht="18" customHeight="1">
      <c r="A1152" s="187" t="str">
        <f t="shared" si="17"/>
        <v>V10030A</v>
      </c>
      <c r="B1152" s="208" t="s">
        <v>2352</v>
      </c>
      <c r="C1152" s="208"/>
      <c r="D1152" s="208" t="s">
        <v>2351</v>
      </c>
      <c r="E1152" s="208" t="s">
        <v>29</v>
      </c>
      <c r="F1152" s="208" t="s">
        <v>2353</v>
      </c>
      <c r="G1152" s="208" t="s">
        <v>2354</v>
      </c>
      <c r="H1152" s="208"/>
      <c r="I1152" s="208" t="s">
        <v>2355</v>
      </c>
      <c r="J1152" s="208" t="s">
        <v>601</v>
      </c>
      <c r="K1152" s="208" t="s">
        <v>2356</v>
      </c>
      <c r="L1152" s="208"/>
      <c r="M1152" s="209"/>
      <c r="N1152" s="208"/>
      <c r="O1152" s="208" t="s">
        <v>260</v>
      </c>
      <c r="P1152" s="208" t="s">
        <v>91</v>
      </c>
    </row>
    <row r="1153" spans="1:16" s="187" customFormat="1" ht="18" customHeight="1">
      <c r="A1153" s="187" t="str">
        <f t="shared" si="17"/>
        <v>V10030B</v>
      </c>
      <c r="B1153" s="206" t="s">
        <v>2352</v>
      </c>
      <c r="C1153" s="206"/>
      <c r="D1153" s="206" t="s">
        <v>2357</v>
      </c>
      <c r="E1153" s="206" t="s">
        <v>29</v>
      </c>
      <c r="F1153" s="206" t="s">
        <v>2353</v>
      </c>
      <c r="G1153" s="206" t="s">
        <v>2354</v>
      </c>
      <c r="H1153" s="206"/>
      <c r="I1153" s="206" t="s">
        <v>2355</v>
      </c>
      <c r="J1153" s="206" t="s">
        <v>601</v>
      </c>
      <c r="K1153" s="206" t="s">
        <v>2356</v>
      </c>
      <c r="L1153" s="206"/>
      <c r="M1153" s="207"/>
      <c r="N1153" s="206"/>
      <c r="O1153" s="206" t="s">
        <v>260</v>
      </c>
      <c r="P1153" s="206" t="s">
        <v>91</v>
      </c>
    </row>
    <row r="1154" spans="1:16" s="187" customFormat="1" ht="18" customHeight="1">
      <c r="A1154" s="187" t="str">
        <f t="shared" si="17"/>
        <v>V10030C</v>
      </c>
      <c r="B1154" s="208" t="s">
        <v>2352</v>
      </c>
      <c r="C1154" s="208"/>
      <c r="D1154" s="208" t="s">
        <v>2358</v>
      </c>
      <c r="E1154" s="208" t="s">
        <v>29</v>
      </c>
      <c r="F1154" s="208" t="s">
        <v>2353</v>
      </c>
      <c r="G1154" s="208" t="s">
        <v>2354</v>
      </c>
      <c r="H1154" s="208"/>
      <c r="I1154" s="208" t="s">
        <v>2355</v>
      </c>
      <c r="J1154" s="208" t="s">
        <v>601</v>
      </c>
      <c r="K1154" s="208" t="s">
        <v>2356</v>
      </c>
      <c r="L1154" s="208"/>
      <c r="M1154" s="209"/>
      <c r="N1154" s="208"/>
      <c r="O1154" s="208" t="s">
        <v>260</v>
      </c>
      <c r="P1154" s="208" t="s">
        <v>91</v>
      </c>
    </row>
    <row r="1155" spans="1:16" s="187" customFormat="1" ht="18" customHeight="1">
      <c r="A1155" s="187" t="str">
        <f t="shared" si="17"/>
        <v>V10526C</v>
      </c>
      <c r="B1155" s="206" t="s">
        <v>6391</v>
      </c>
      <c r="C1155" s="206"/>
      <c r="D1155" s="206" t="s">
        <v>6392</v>
      </c>
      <c r="E1155" s="206" t="s">
        <v>29</v>
      </c>
      <c r="F1155" s="206" t="s">
        <v>6393</v>
      </c>
      <c r="G1155" s="206"/>
      <c r="H1155" s="206"/>
      <c r="I1155" s="206" t="s">
        <v>6394</v>
      </c>
      <c r="J1155" s="206" t="s">
        <v>6395</v>
      </c>
      <c r="K1155" s="206" t="s">
        <v>6396</v>
      </c>
      <c r="L1155" s="206"/>
      <c r="M1155" s="207"/>
      <c r="N1155" s="206"/>
      <c r="O1155" s="206" t="s">
        <v>260</v>
      </c>
      <c r="P1155" s="206" t="s">
        <v>91</v>
      </c>
    </row>
    <row r="1156" spans="1:16" s="187" customFormat="1" ht="18" customHeight="1">
      <c r="A1156" s="187" t="str">
        <f t="shared" si="17"/>
        <v>V10197A</v>
      </c>
      <c r="B1156" s="208" t="s">
        <v>5375</v>
      </c>
      <c r="C1156" s="208"/>
      <c r="D1156" s="208" t="s">
        <v>1577</v>
      </c>
      <c r="E1156" s="208" t="s">
        <v>29</v>
      </c>
      <c r="F1156" s="208" t="s">
        <v>1578</v>
      </c>
      <c r="G1156" s="208" t="s">
        <v>1579</v>
      </c>
      <c r="H1156" s="208"/>
      <c r="I1156" s="208" t="s">
        <v>1580</v>
      </c>
      <c r="J1156" s="208" t="s">
        <v>1581</v>
      </c>
      <c r="K1156" s="208" t="s">
        <v>1582</v>
      </c>
      <c r="L1156" s="208"/>
      <c r="M1156" s="209"/>
      <c r="N1156" s="208"/>
      <c r="O1156" s="208" t="s">
        <v>260</v>
      </c>
      <c r="P1156" s="208" t="s">
        <v>91</v>
      </c>
    </row>
    <row r="1157" spans="1:16" s="187" customFormat="1" ht="18" customHeight="1">
      <c r="A1157" s="187" t="str">
        <f t="shared" si="17"/>
        <v>V10197B</v>
      </c>
      <c r="B1157" s="206" t="s">
        <v>5375</v>
      </c>
      <c r="C1157" s="206"/>
      <c r="D1157" s="206" t="s">
        <v>1583</v>
      </c>
      <c r="E1157" s="206" t="s">
        <v>29</v>
      </c>
      <c r="F1157" s="206" t="s">
        <v>1578</v>
      </c>
      <c r="G1157" s="206" t="s">
        <v>1579</v>
      </c>
      <c r="H1157" s="206"/>
      <c r="I1157" s="206" t="s">
        <v>1580</v>
      </c>
      <c r="J1157" s="206" t="s">
        <v>1581</v>
      </c>
      <c r="K1157" s="206" t="s">
        <v>1582</v>
      </c>
      <c r="L1157" s="206"/>
      <c r="M1157" s="207"/>
      <c r="N1157" s="206"/>
      <c r="O1157" s="206" t="s">
        <v>260</v>
      </c>
      <c r="P1157" s="206" t="s">
        <v>91</v>
      </c>
    </row>
    <row r="1158" spans="1:16" s="187" customFormat="1" ht="18" customHeight="1">
      <c r="A1158" s="187" t="str">
        <f t="shared" ref="A1158:A1221" si="18">D1158</f>
        <v>V10197C</v>
      </c>
      <c r="B1158" s="208" t="s">
        <v>5375</v>
      </c>
      <c r="C1158" s="208"/>
      <c r="D1158" s="208" t="s">
        <v>1584</v>
      </c>
      <c r="E1158" s="208" t="s">
        <v>29</v>
      </c>
      <c r="F1158" s="208" t="s">
        <v>1578</v>
      </c>
      <c r="G1158" s="208" t="s">
        <v>1579</v>
      </c>
      <c r="H1158" s="208"/>
      <c r="I1158" s="208" t="s">
        <v>1580</v>
      </c>
      <c r="J1158" s="208" t="s">
        <v>1581</v>
      </c>
      <c r="K1158" s="208" t="s">
        <v>1582</v>
      </c>
      <c r="L1158" s="208"/>
      <c r="M1158" s="209"/>
      <c r="N1158" s="208"/>
      <c r="O1158" s="208" t="s">
        <v>260</v>
      </c>
      <c r="P1158" s="208" t="s">
        <v>91</v>
      </c>
    </row>
    <row r="1159" spans="1:16" s="187" customFormat="1" ht="18" customHeight="1">
      <c r="A1159" s="187" t="str">
        <f t="shared" si="18"/>
        <v>V10467C</v>
      </c>
      <c r="B1159" s="206" t="s">
        <v>5975</v>
      </c>
      <c r="C1159" s="206"/>
      <c r="D1159" s="206" t="s">
        <v>5976</v>
      </c>
      <c r="E1159" s="206" t="s">
        <v>29</v>
      </c>
      <c r="F1159" s="206" t="s">
        <v>5977</v>
      </c>
      <c r="G1159" s="206" t="s">
        <v>5978</v>
      </c>
      <c r="H1159" s="206"/>
      <c r="I1159" s="206"/>
      <c r="J1159" s="206" t="s">
        <v>5979</v>
      </c>
      <c r="K1159" s="206" t="s">
        <v>5980</v>
      </c>
      <c r="L1159" s="206"/>
      <c r="M1159" s="207"/>
      <c r="N1159" s="206"/>
      <c r="O1159" s="206"/>
      <c r="P1159" s="206" t="s">
        <v>91</v>
      </c>
    </row>
    <row r="1160" spans="1:16" s="187" customFormat="1" ht="18" customHeight="1">
      <c r="A1160" s="187" t="str">
        <f t="shared" si="18"/>
        <v>V10504C</v>
      </c>
      <c r="B1160" s="208" t="s">
        <v>6189</v>
      </c>
      <c r="C1160" s="208"/>
      <c r="D1160" s="208" t="s">
        <v>6190</v>
      </c>
      <c r="E1160" s="208" t="s">
        <v>29</v>
      </c>
      <c r="F1160" s="208" t="s">
        <v>6191</v>
      </c>
      <c r="G1160" s="208" t="s">
        <v>6192</v>
      </c>
      <c r="H1160" s="208"/>
      <c r="I1160" s="208"/>
      <c r="J1160" s="208" t="s">
        <v>6193</v>
      </c>
      <c r="K1160" s="208" t="s">
        <v>6194</v>
      </c>
      <c r="L1160" s="208"/>
      <c r="M1160" s="209"/>
      <c r="N1160" s="208"/>
      <c r="O1160" s="208" t="s">
        <v>260</v>
      </c>
      <c r="P1160" s="208" t="s">
        <v>91</v>
      </c>
    </row>
    <row r="1161" spans="1:16" s="187" customFormat="1" ht="18" customHeight="1">
      <c r="A1161" s="187" t="str">
        <f t="shared" si="18"/>
        <v>V10480C</v>
      </c>
      <c r="B1161" s="206" t="s">
        <v>5981</v>
      </c>
      <c r="C1161" s="206"/>
      <c r="D1161" s="206" t="s">
        <v>5982</v>
      </c>
      <c r="E1161" s="206" t="s">
        <v>29</v>
      </c>
      <c r="F1161" s="206" t="s">
        <v>5983</v>
      </c>
      <c r="G1161" s="206"/>
      <c r="H1161" s="206"/>
      <c r="I1161" s="206"/>
      <c r="J1161" s="206" t="s">
        <v>667</v>
      </c>
      <c r="K1161" s="206" t="s">
        <v>5984</v>
      </c>
      <c r="L1161" s="206"/>
      <c r="M1161" s="207"/>
      <c r="N1161" s="206"/>
      <c r="O1161" s="206"/>
      <c r="P1161" s="206" t="s">
        <v>91</v>
      </c>
    </row>
    <row r="1162" spans="1:16" s="187" customFormat="1" ht="18" customHeight="1">
      <c r="A1162" s="187" t="str">
        <f t="shared" si="18"/>
        <v>V10315C</v>
      </c>
      <c r="B1162" s="208" t="s">
        <v>4413</v>
      </c>
      <c r="C1162" s="208"/>
      <c r="D1162" s="208" t="s">
        <v>4412</v>
      </c>
      <c r="E1162" s="208" t="s">
        <v>29</v>
      </c>
      <c r="F1162" s="208" t="s">
        <v>4414</v>
      </c>
      <c r="G1162" s="208"/>
      <c r="H1162" s="208"/>
      <c r="I1162" s="208" t="s">
        <v>4415</v>
      </c>
      <c r="J1162" s="208" t="s">
        <v>4416</v>
      </c>
      <c r="K1162" s="208" t="s">
        <v>4417</v>
      </c>
      <c r="L1162" s="208"/>
      <c r="M1162" s="209"/>
      <c r="N1162" s="208"/>
      <c r="O1162" s="208"/>
      <c r="P1162" s="208" t="s">
        <v>91</v>
      </c>
    </row>
    <row r="1163" spans="1:16" s="187" customFormat="1" ht="18" customHeight="1">
      <c r="A1163" s="187" t="str">
        <f t="shared" si="18"/>
        <v>V10333C</v>
      </c>
      <c r="B1163" s="206" t="s">
        <v>4863</v>
      </c>
      <c r="C1163" s="206"/>
      <c r="D1163" s="206" t="s">
        <v>4862</v>
      </c>
      <c r="E1163" s="206" t="s">
        <v>29</v>
      </c>
      <c r="F1163" s="206" t="s">
        <v>6195</v>
      </c>
      <c r="G1163" s="206"/>
      <c r="H1163" s="206"/>
      <c r="I1163" s="206"/>
      <c r="J1163" s="206" t="s">
        <v>4960</v>
      </c>
      <c r="K1163" s="206" t="s">
        <v>4961</v>
      </c>
      <c r="L1163" s="206"/>
      <c r="M1163" s="207"/>
      <c r="N1163" s="206"/>
      <c r="O1163" s="206"/>
      <c r="P1163" s="206" t="s">
        <v>91</v>
      </c>
    </row>
    <row r="1164" spans="1:16" s="187" customFormat="1" ht="18" customHeight="1">
      <c r="A1164" s="187" t="str">
        <f t="shared" si="18"/>
        <v>V10208A</v>
      </c>
      <c r="B1164" s="208" t="s">
        <v>2360</v>
      </c>
      <c r="C1164" s="208"/>
      <c r="D1164" s="208" t="s">
        <v>2359</v>
      </c>
      <c r="E1164" s="208" t="s">
        <v>29</v>
      </c>
      <c r="F1164" s="208" t="s">
        <v>5069</v>
      </c>
      <c r="G1164" s="208" t="s">
        <v>2361</v>
      </c>
      <c r="H1164" s="208"/>
      <c r="I1164" s="208" t="s">
        <v>2362</v>
      </c>
      <c r="J1164" s="208" t="s">
        <v>2363</v>
      </c>
      <c r="K1164" s="208" t="s">
        <v>2364</v>
      </c>
      <c r="L1164" s="208"/>
      <c r="M1164" s="209"/>
      <c r="N1164" s="208"/>
      <c r="O1164" s="208" t="s">
        <v>260</v>
      </c>
      <c r="P1164" s="208" t="s">
        <v>91</v>
      </c>
    </row>
    <row r="1165" spans="1:16" s="187" customFormat="1" ht="18" customHeight="1">
      <c r="A1165" s="187" t="str">
        <f t="shared" si="18"/>
        <v>V10208B</v>
      </c>
      <c r="B1165" s="206" t="s">
        <v>2360</v>
      </c>
      <c r="C1165" s="206"/>
      <c r="D1165" s="206" t="s">
        <v>2365</v>
      </c>
      <c r="E1165" s="206" t="s">
        <v>29</v>
      </c>
      <c r="F1165" s="206" t="s">
        <v>5069</v>
      </c>
      <c r="G1165" s="206" t="s">
        <v>2361</v>
      </c>
      <c r="H1165" s="206"/>
      <c r="I1165" s="206" t="s">
        <v>2362</v>
      </c>
      <c r="J1165" s="206" t="s">
        <v>2363</v>
      </c>
      <c r="K1165" s="206" t="s">
        <v>2364</v>
      </c>
      <c r="L1165" s="206"/>
      <c r="M1165" s="207"/>
      <c r="N1165" s="206"/>
      <c r="O1165" s="206" t="s">
        <v>260</v>
      </c>
      <c r="P1165" s="206" t="s">
        <v>91</v>
      </c>
    </row>
    <row r="1166" spans="1:16" s="187" customFormat="1" ht="18" customHeight="1">
      <c r="A1166" s="187" t="str">
        <f t="shared" si="18"/>
        <v>V10208C</v>
      </c>
      <c r="B1166" s="208" t="s">
        <v>2360</v>
      </c>
      <c r="C1166" s="208"/>
      <c r="D1166" s="208" t="s">
        <v>2366</v>
      </c>
      <c r="E1166" s="208" t="s">
        <v>29</v>
      </c>
      <c r="F1166" s="208" t="s">
        <v>5069</v>
      </c>
      <c r="G1166" s="208" t="s">
        <v>2361</v>
      </c>
      <c r="H1166" s="208"/>
      <c r="I1166" s="208" t="s">
        <v>2362</v>
      </c>
      <c r="J1166" s="208" t="s">
        <v>2363</v>
      </c>
      <c r="K1166" s="208" t="s">
        <v>2364</v>
      </c>
      <c r="L1166" s="208"/>
      <c r="M1166" s="209"/>
      <c r="N1166" s="208"/>
      <c r="O1166" s="208" t="s">
        <v>260</v>
      </c>
      <c r="P1166" s="208" t="s">
        <v>91</v>
      </c>
    </row>
    <row r="1167" spans="1:16" s="187" customFormat="1" ht="18" customHeight="1">
      <c r="A1167" s="187" t="str">
        <f t="shared" si="18"/>
        <v>V10392B</v>
      </c>
      <c r="B1167" s="206" t="s">
        <v>5424</v>
      </c>
      <c r="C1167" s="206"/>
      <c r="D1167" s="206" t="s">
        <v>6196</v>
      </c>
      <c r="E1167" s="206" t="s">
        <v>29</v>
      </c>
      <c r="F1167" s="206" t="s">
        <v>5461</v>
      </c>
      <c r="G1167" s="206" t="s">
        <v>5462</v>
      </c>
      <c r="H1167" s="206"/>
      <c r="I1167" s="206" t="s">
        <v>5463</v>
      </c>
      <c r="J1167" s="206" t="s">
        <v>5464</v>
      </c>
      <c r="K1167" s="206" t="s">
        <v>5465</v>
      </c>
      <c r="L1167" s="206"/>
      <c r="M1167" s="207"/>
      <c r="N1167" s="206"/>
      <c r="O1167" s="206"/>
      <c r="P1167" s="206" t="s">
        <v>91</v>
      </c>
    </row>
    <row r="1168" spans="1:16" s="187" customFormat="1" ht="18" customHeight="1">
      <c r="A1168" s="187" t="str">
        <f t="shared" si="18"/>
        <v>V10392C</v>
      </c>
      <c r="B1168" s="208" t="s">
        <v>5424</v>
      </c>
      <c r="C1168" s="208"/>
      <c r="D1168" s="208" t="s">
        <v>5460</v>
      </c>
      <c r="E1168" s="208" t="s">
        <v>29</v>
      </c>
      <c r="F1168" s="208" t="s">
        <v>5461</v>
      </c>
      <c r="G1168" s="208" t="s">
        <v>5462</v>
      </c>
      <c r="H1168" s="208"/>
      <c r="I1168" s="208" t="s">
        <v>5463</v>
      </c>
      <c r="J1168" s="208" t="s">
        <v>5464</v>
      </c>
      <c r="K1168" s="208" t="s">
        <v>5465</v>
      </c>
      <c r="L1168" s="208"/>
      <c r="M1168" s="209"/>
      <c r="N1168" s="208"/>
      <c r="O1168" s="208" t="s">
        <v>260</v>
      </c>
      <c r="P1168" s="208" t="s">
        <v>91</v>
      </c>
    </row>
    <row r="1169" spans="1:16" s="187" customFormat="1" ht="18" customHeight="1">
      <c r="A1169" s="187" t="str">
        <f t="shared" si="18"/>
        <v>V10076A</v>
      </c>
      <c r="B1169" s="206" t="s">
        <v>2368</v>
      </c>
      <c r="C1169" s="206"/>
      <c r="D1169" s="206" t="s">
        <v>2367</v>
      </c>
      <c r="E1169" s="206" t="s">
        <v>29</v>
      </c>
      <c r="F1169" s="206" t="s">
        <v>2369</v>
      </c>
      <c r="G1169" s="206" t="s">
        <v>2370</v>
      </c>
      <c r="H1169" s="206"/>
      <c r="I1169" s="206" t="s">
        <v>2371</v>
      </c>
      <c r="J1169" s="206" t="s">
        <v>2372</v>
      </c>
      <c r="K1169" s="206" t="s">
        <v>2373</v>
      </c>
      <c r="L1169" s="206"/>
      <c r="M1169" s="207"/>
      <c r="N1169" s="206"/>
      <c r="O1169" s="206" t="s">
        <v>260</v>
      </c>
      <c r="P1169" s="206" t="s">
        <v>91</v>
      </c>
    </row>
    <row r="1170" spans="1:16" s="187" customFormat="1" ht="18" customHeight="1">
      <c r="A1170" s="187" t="str">
        <f t="shared" si="18"/>
        <v>V10076B</v>
      </c>
      <c r="B1170" s="208" t="s">
        <v>2368</v>
      </c>
      <c r="C1170" s="208"/>
      <c r="D1170" s="208" t="s">
        <v>2374</v>
      </c>
      <c r="E1170" s="208" t="s">
        <v>29</v>
      </c>
      <c r="F1170" s="208" t="s">
        <v>2369</v>
      </c>
      <c r="G1170" s="208" t="s">
        <v>2370</v>
      </c>
      <c r="H1170" s="208"/>
      <c r="I1170" s="208" t="s">
        <v>2371</v>
      </c>
      <c r="J1170" s="208" t="s">
        <v>2372</v>
      </c>
      <c r="K1170" s="208" t="s">
        <v>2373</v>
      </c>
      <c r="L1170" s="208"/>
      <c r="M1170" s="209"/>
      <c r="N1170" s="208"/>
      <c r="O1170" s="208" t="s">
        <v>260</v>
      </c>
      <c r="P1170" s="208" t="s">
        <v>91</v>
      </c>
    </row>
    <row r="1171" spans="1:16" s="187" customFormat="1" ht="18" customHeight="1">
      <c r="A1171" s="187" t="str">
        <f t="shared" si="18"/>
        <v>V10076C</v>
      </c>
      <c r="B1171" s="206" t="s">
        <v>2368</v>
      </c>
      <c r="C1171" s="206"/>
      <c r="D1171" s="206" t="s">
        <v>2375</v>
      </c>
      <c r="E1171" s="206" t="s">
        <v>29</v>
      </c>
      <c r="F1171" s="206" t="s">
        <v>2369</v>
      </c>
      <c r="G1171" s="206" t="s">
        <v>2370</v>
      </c>
      <c r="H1171" s="206"/>
      <c r="I1171" s="206" t="s">
        <v>2371</v>
      </c>
      <c r="J1171" s="206" t="s">
        <v>2372</v>
      </c>
      <c r="K1171" s="206" t="s">
        <v>2373</v>
      </c>
      <c r="L1171" s="206"/>
      <c r="M1171" s="207"/>
      <c r="N1171" s="206"/>
      <c r="O1171" s="206" t="s">
        <v>260</v>
      </c>
      <c r="P1171" s="206" t="s">
        <v>91</v>
      </c>
    </row>
    <row r="1172" spans="1:16" s="187" customFormat="1" ht="18" customHeight="1">
      <c r="A1172" s="187" t="str">
        <f t="shared" si="18"/>
        <v>V10167A</v>
      </c>
      <c r="B1172" s="208" t="s">
        <v>2377</v>
      </c>
      <c r="C1172" s="208"/>
      <c r="D1172" s="208" t="s">
        <v>2376</v>
      </c>
      <c r="E1172" s="208" t="s">
        <v>29</v>
      </c>
      <c r="F1172" s="208" t="s">
        <v>2378</v>
      </c>
      <c r="G1172" s="208" t="s">
        <v>2379</v>
      </c>
      <c r="H1172" s="208"/>
      <c r="I1172" s="208" t="s">
        <v>2380</v>
      </c>
      <c r="J1172" s="208" t="s">
        <v>2381</v>
      </c>
      <c r="K1172" s="208" t="s">
        <v>2382</v>
      </c>
      <c r="L1172" s="208"/>
      <c r="M1172" s="209"/>
      <c r="N1172" s="208"/>
      <c r="O1172" s="208" t="s">
        <v>260</v>
      </c>
      <c r="P1172" s="208" t="s">
        <v>91</v>
      </c>
    </row>
    <row r="1173" spans="1:16" s="187" customFormat="1" ht="18" customHeight="1">
      <c r="A1173" s="187" t="str">
        <f t="shared" si="18"/>
        <v>V10167B</v>
      </c>
      <c r="B1173" s="206" t="s">
        <v>2377</v>
      </c>
      <c r="C1173" s="206"/>
      <c r="D1173" s="206" t="s">
        <v>2383</v>
      </c>
      <c r="E1173" s="206" t="s">
        <v>29</v>
      </c>
      <c r="F1173" s="206" t="s">
        <v>2378</v>
      </c>
      <c r="G1173" s="206" t="s">
        <v>2379</v>
      </c>
      <c r="H1173" s="206"/>
      <c r="I1173" s="206" t="s">
        <v>2380</v>
      </c>
      <c r="J1173" s="206" t="s">
        <v>2381</v>
      </c>
      <c r="K1173" s="206" t="s">
        <v>2382</v>
      </c>
      <c r="L1173" s="206"/>
      <c r="M1173" s="207"/>
      <c r="N1173" s="206"/>
      <c r="O1173" s="206" t="s">
        <v>260</v>
      </c>
      <c r="P1173" s="206" t="s">
        <v>91</v>
      </c>
    </row>
    <row r="1174" spans="1:16" s="187" customFormat="1" ht="18" customHeight="1">
      <c r="A1174" s="187" t="str">
        <f t="shared" si="18"/>
        <v>V10167C</v>
      </c>
      <c r="B1174" s="208" t="s">
        <v>2377</v>
      </c>
      <c r="C1174" s="208"/>
      <c r="D1174" s="208" t="s">
        <v>2384</v>
      </c>
      <c r="E1174" s="208" t="s">
        <v>29</v>
      </c>
      <c r="F1174" s="208" t="s">
        <v>2378</v>
      </c>
      <c r="G1174" s="208" t="s">
        <v>2379</v>
      </c>
      <c r="H1174" s="208"/>
      <c r="I1174" s="208" t="s">
        <v>2380</v>
      </c>
      <c r="J1174" s="208" t="s">
        <v>2381</v>
      </c>
      <c r="K1174" s="208" t="s">
        <v>2382</v>
      </c>
      <c r="L1174" s="208"/>
      <c r="M1174" s="209"/>
      <c r="N1174" s="208"/>
      <c r="O1174" s="208" t="s">
        <v>260</v>
      </c>
      <c r="P1174" s="208" t="s">
        <v>91</v>
      </c>
    </row>
    <row r="1175" spans="1:16" s="187" customFormat="1" ht="18" customHeight="1">
      <c r="A1175" s="187" t="str">
        <f t="shared" si="18"/>
        <v>V10367C</v>
      </c>
      <c r="B1175" s="206" t="s">
        <v>5068</v>
      </c>
      <c r="C1175" s="206"/>
      <c r="D1175" s="206" t="s">
        <v>5067</v>
      </c>
      <c r="E1175" s="206" t="s">
        <v>29</v>
      </c>
      <c r="F1175" s="206" t="s">
        <v>5066</v>
      </c>
      <c r="G1175" s="206"/>
      <c r="H1175" s="206"/>
      <c r="I1175" s="206" t="s">
        <v>5065</v>
      </c>
      <c r="J1175" s="206" t="s">
        <v>5250</v>
      </c>
      <c r="K1175" s="206" t="s">
        <v>5064</v>
      </c>
      <c r="L1175" s="206"/>
      <c r="M1175" s="207"/>
      <c r="N1175" s="206"/>
      <c r="O1175" s="206"/>
      <c r="P1175" s="206" t="s">
        <v>91</v>
      </c>
    </row>
    <row r="1176" spans="1:16" s="187" customFormat="1" ht="18" customHeight="1">
      <c r="A1176" s="187" t="str">
        <f t="shared" si="18"/>
        <v>V10193A</v>
      </c>
      <c r="B1176" s="208" t="s">
        <v>2386</v>
      </c>
      <c r="C1176" s="208"/>
      <c r="D1176" s="208" t="s">
        <v>2385</v>
      </c>
      <c r="E1176" s="208" t="s">
        <v>29</v>
      </c>
      <c r="F1176" s="208" t="s">
        <v>2387</v>
      </c>
      <c r="G1176" s="208" t="s">
        <v>2388</v>
      </c>
      <c r="H1176" s="208"/>
      <c r="I1176" s="208" t="s">
        <v>2389</v>
      </c>
      <c r="J1176" s="208" t="s">
        <v>2390</v>
      </c>
      <c r="K1176" s="208" t="s">
        <v>2391</v>
      </c>
      <c r="L1176" s="208"/>
      <c r="M1176" s="209"/>
      <c r="N1176" s="208"/>
      <c r="O1176" s="208" t="s">
        <v>260</v>
      </c>
      <c r="P1176" s="208" t="s">
        <v>91</v>
      </c>
    </row>
    <row r="1177" spans="1:16" s="187" customFormat="1" ht="18" customHeight="1">
      <c r="A1177" s="187" t="str">
        <f t="shared" si="18"/>
        <v>V10193B</v>
      </c>
      <c r="B1177" s="206" t="s">
        <v>2386</v>
      </c>
      <c r="C1177" s="206"/>
      <c r="D1177" s="206" t="s">
        <v>2392</v>
      </c>
      <c r="E1177" s="206" t="s">
        <v>29</v>
      </c>
      <c r="F1177" s="206" t="s">
        <v>2387</v>
      </c>
      <c r="G1177" s="206" t="s">
        <v>2388</v>
      </c>
      <c r="H1177" s="206"/>
      <c r="I1177" s="206" t="s">
        <v>2389</v>
      </c>
      <c r="J1177" s="206" t="s">
        <v>2390</v>
      </c>
      <c r="K1177" s="206" t="s">
        <v>2391</v>
      </c>
      <c r="L1177" s="206"/>
      <c r="M1177" s="207"/>
      <c r="N1177" s="206"/>
      <c r="O1177" s="206" t="s">
        <v>260</v>
      </c>
      <c r="P1177" s="206" t="s">
        <v>91</v>
      </c>
    </row>
    <row r="1178" spans="1:16" s="187" customFormat="1" ht="18" customHeight="1">
      <c r="A1178" s="187" t="str">
        <f t="shared" si="18"/>
        <v>V10193C</v>
      </c>
      <c r="B1178" s="208" t="s">
        <v>2386</v>
      </c>
      <c r="C1178" s="208"/>
      <c r="D1178" s="208" t="s">
        <v>2393</v>
      </c>
      <c r="E1178" s="208" t="s">
        <v>29</v>
      </c>
      <c r="F1178" s="208" t="s">
        <v>2387</v>
      </c>
      <c r="G1178" s="208" t="s">
        <v>2388</v>
      </c>
      <c r="H1178" s="208"/>
      <c r="I1178" s="208" t="s">
        <v>2389</v>
      </c>
      <c r="J1178" s="208" t="s">
        <v>2390</v>
      </c>
      <c r="K1178" s="208" t="s">
        <v>2394</v>
      </c>
      <c r="L1178" s="208"/>
      <c r="M1178" s="209"/>
      <c r="N1178" s="208"/>
      <c r="O1178" s="208" t="s">
        <v>260</v>
      </c>
      <c r="P1178" s="208" t="s">
        <v>91</v>
      </c>
    </row>
    <row r="1179" spans="1:16" s="187" customFormat="1" ht="18" customHeight="1">
      <c r="A1179" s="187" t="str">
        <f t="shared" si="18"/>
        <v>V10432C</v>
      </c>
      <c r="B1179" s="206" t="s">
        <v>5768</v>
      </c>
      <c r="C1179" s="206"/>
      <c r="D1179" s="206" t="s">
        <v>5769</v>
      </c>
      <c r="E1179" s="206" t="s">
        <v>29</v>
      </c>
      <c r="F1179" s="206" t="s">
        <v>5770</v>
      </c>
      <c r="G1179" s="206" t="s">
        <v>5771</v>
      </c>
      <c r="H1179" s="206"/>
      <c r="I1179" s="206" t="s">
        <v>5772</v>
      </c>
      <c r="J1179" s="206" t="s">
        <v>5870</v>
      </c>
      <c r="K1179" s="206" t="s">
        <v>5773</v>
      </c>
      <c r="L1179" s="206"/>
      <c r="M1179" s="207"/>
      <c r="N1179" s="206"/>
      <c r="O1179" s="206"/>
      <c r="P1179" s="206" t="s">
        <v>91</v>
      </c>
    </row>
    <row r="1180" spans="1:16" s="187" customFormat="1" ht="18" customHeight="1">
      <c r="A1180" s="187" t="str">
        <f t="shared" si="18"/>
        <v>V10432B</v>
      </c>
      <c r="B1180" s="208" t="s">
        <v>5768</v>
      </c>
      <c r="C1180" s="208"/>
      <c r="D1180" s="208" t="s">
        <v>6197</v>
      </c>
      <c r="E1180" s="208" t="s">
        <v>29</v>
      </c>
      <c r="F1180" s="208" t="s">
        <v>6198</v>
      </c>
      <c r="G1180" s="208"/>
      <c r="H1180" s="208"/>
      <c r="I1180" s="208" t="s">
        <v>5772</v>
      </c>
      <c r="J1180" s="208" t="s">
        <v>6199</v>
      </c>
      <c r="K1180" s="208" t="s">
        <v>6200</v>
      </c>
      <c r="L1180" s="208"/>
      <c r="M1180" s="209"/>
      <c r="N1180" s="208"/>
      <c r="O1180" s="208"/>
      <c r="P1180" s="208" t="s">
        <v>91</v>
      </c>
    </row>
    <row r="1181" spans="1:16" s="187" customFormat="1" ht="18" customHeight="1">
      <c r="A1181" s="187" t="str">
        <f t="shared" si="18"/>
        <v>V10014A</v>
      </c>
      <c r="B1181" s="206" t="s">
        <v>2396</v>
      </c>
      <c r="C1181" s="206"/>
      <c r="D1181" s="206" t="s">
        <v>2403</v>
      </c>
      <c r="E1181" s="206" t="s">
        <v>29</v>
      </c>
      <c r="F1181" s="206" t="s">
        <v>2397</v>
      </c>
      <c r="G1181" s="206" t="s">
        <v>2398</v>
      </c>
      <c r="H1181" s="206"/>
      <c r="I1181" s="206" t="s">
        <v>2399</v>
      </c>
      <c r="J1181" s="206" t="s">
        <v>2400</v>
      </c>
      <c r="K1181" s="206" t="s">
        <v>2401</v>
      </c>
      <c r="L1181" s="206"/>
      <c r="M1181" s="207"/>
      <c r="N1181" s="206"/>
      <c r="O1181" s="206" t="s">
        <v>260</v>
      </c>
      <c r="P1181" s="206" t="s">
        <v>91</v>
      </c>
    </row>
    <row r="1182" spans="1:16" s="187" customFormat="1" ht="18" customHeight="1">
      <c r="A1182" s="187" t="str">
        <f t="shared" si="18"/>
        <v>V10014B</v>
      </c>
      <c r="B1182" s="208" t="s">
        <v>2396</v>
      </c>
      <c r="C1182" s="208"/>
      <c r="D1182" s="208" t="s">
        <v>2395</v>
      </c>
      <c r="E1182" s="208" t="s">
        <v>29</v>
      </c>
      <c r="F1182" s="208" t="s">
        <v>2397</v>
      </c>
      <c r="G1182" s="208" t="s">
        <v>2398</v>
      </c>
      <c r="H1182" s="208"/>
      <c r="I1182" s="208" t="s">
        <v>2399</v>
      </c>
      <c r="J1182" s="208" t="s">
        <v>2400</v>
      </c>
      <c r="K1182" s="208" t="s">
        <v>2401</v>
      </c>
      <c r="L1182" s="208"/>
      <c r="M1182" s="209"/>
      <c r="N1182" s="208"/>
      <c r="O1182" s="208" t="s">
        <v>260</v>
      </c>
      <c r="P1182" s="208" t="s">
        <v>91</v>
      </c>
    </row>
    <row r="1183" spans="1:16" s="187" customFormat="1" ht="18" customHeight="1">
      <c r="A1183" s="187" t="str">
        <f t="shared" si="18"/>
        <v>V10014C</v>
      </c>
      <c r="B1183" s="206" t="s">
        <v>2396</v>
      </c>
      <c r="C1183" s="206"/>
      <c r="D1183" s="206" t="s">
        <v>2402</v>
      </c>
      <c r="E1183" s="206" t="s">
        <v>29</v>
      </c>
      <c r="F1183" s="206" t="s">
        <v>2397</v>
      </c>
      <c r="G1183" s="206" t="s">
        <v>2398</v>
      </c>
      <c r="H1183" s="206"/>
      <c r="I1183" s="206" t="s">
        <v>2399</v>
      </c>
      <c r="J1183" s="206" t="s">
        <v>2400</v>
      </c>
      <c r="K1183" s="206" t="s">
        <v>2401</v>
      </c>
      <c r="L1183" s="206"/>
      <c r="M1183" s="207"/>
      <c r="N1183" s="206"/>
      <c r="O1183" s="206" t="s">
        <v>260</v>
      </c>
      <c r="P1183" s="206" t="s">
        <v>91</v>
      </c>
    </row>
    <row r="1184" spans="1:16" s="187" customFormat="1" ht="18" customHeight="1">
      <c r="A1184" s="187" t="str">
        <f t="shared" si="18"/>
        <v>V10531B</v>
      </c>
      <c r="B1184" s="208" t="s">
        <v>6397</v>
      </c>
      <c r="C1184" s="208"/>
      <c r="D1184" s="208" t="s">
        <v>6398</v>
      </c>
      <c r="E1184" s="208" t="s">
        <v>29</v>
      </c>
      <c r="F1184" s="208" t="s">
        <v>6399</v>
      </c>
      <c r="G1184" s="208"/>
      <c r="H1184" s="208"/>
      <c r="I1184" s="208" t="s">
        <v>6400</v>
      </c>
      <c r="J1184" s="208" t="s">
        <v>6401</v>
      </c>
      <c r="K1184" s="208" t="s">
        <v>6402</v>
      </c>
      <c r="L1184" s="208"/>
      <c r="M1184" s="209"/>
      <c r="N1184" s="208"/>
      <c r="O1184" s="208"/>
      <c r="P1184" s="208" t="s">
        <v>91</v>
      </c>
    </row>
    <row r="1185" spans="1:16" s="187" customFormat="1" ht="18" customHeight="1">
      <c r="A1185" s="187" t="str">
        <f t="shared" si="18"/>
        <v>V10444C</v>
      </c>
      <c r="B1185" s="206" t="s">
        <v>5774</v>
      </c>
      <c r="C1185" s="206"/>
      <c r="D1185" s="206" t="s">
        <v>5775</v>
      </c>
      <c r="E1185" s="206" t="s">
        <v>29</v>
      </c>
      <c r="F1185" s="206" t="s">
        <v>5776</v>
      </c>
      <c r="G1185" s="206" t="s">
        <v>5777</v>
      </c>
      <c r="H1185" s="206"/>
      <c r="I1185" s="206" t="s">
        <v>5778</v>
      </c>
      <c r="J1185" s="206" t="s">
        <v>5779</v>
      </c>
      <c r="K1185" s="206" t="s">
        <v>5780</v>
      </c>
      <c r="L1185" s="206"/>
      <c r="M1185" s="207"/>
      <c r="N1185" s="206"/>
      <c r="O1185" s="206" t="s">
        <v>260</v>
      </c>
      <c r="P1185" s="206" t="s">
        <v>91</v>
      </c>
    </row>
    <row r="1186" spans="1:16" s="187" customFormat="1" ht="18" customHeight="1">
      <c r="A1186" s="187" t="str">
        <f t="shared" si="18"/>
        <v>LS-000417</v>
      </c>
      <c r="B1186" s="208" t="s">
        <v>2405</v>
      </c>
      <c r="C1186" s="208"/>
      <c r="D1186" s="208" t="s">
        <v>2404</v>
      </c>
      <c r="E1186" s="208" t="s">
        <v>151</v>
      </c>
      <c r="F1186" s="208" t="s">
        <v>2406</v>
      </c>
      <c r="G1186" s="208" t="s">
        <v>2407</v>
      </c>
      <c r="H1186" s="208"/>
      <c r="I1186" s="208"/>
      <c r="J1186" s="208" t="s">
        <v>2408</v>
      </c>
      <c r="K1186" s="208" t="s">
        <v>2409</v>
      </c>
      <c r="L1186" s="208"/>
      <c r="M1186" s="209"/>
      <c r="N1186" s="208"/>
      <c r="O1186" s="208"/>
      <c r="P1186" s="208"/>
    </row>
    <row r="1187" spans="1:16" s="187" customFormat="1" ht="18" customHeight="1">
      <c r="A1187" s="187" t="str">
        <f t="shared" si="18"/>
        <v>V10122A</v>
      </c>
      <c r="B1187" s="206" t="s">
        <v>2411</v>
      </c>
      <c r="C1187" s="206"/>
      <c r="D1187" s="206" t="s">
        <v>2410</v>
      </c>
      <c r="E1187" s="206" t="s">
        <v>29</v>
      </c>
      <c r="F1187" s="206" t="s">
        <v>2412</v>
      </c>
      <c r="G1187" s="206" t="s">
        <v>2413</v>
      </c>
      <c r="H1187" s="206"/>
      <c r="I1187" s="206" t="s">
        <v>2414</v>
      </c>
      <c r="J1187" s="206" t="s">
        <v>2415</v>
      </c>
      <c r="K1187" s="206" t="s">
        <v>2416</v>
      </c>
      <c r="L1187" s="206"/>
      <c r="M1187" s="207"/>
      <c r="N1187" s="206"/>
      <c r="O1187" s="206" t="s">
        <v>260</v>
      </c>
      <c r="P1187" s="206" t="s">
        <v>91</v>
      </c>
    </row>
    <row r="1188" spans="1:16" s="187" customFormat="1" ht="18" customHeight="1">
      <c r="A1188" s="187" t="str">
        <f t="shared" si="18"/>
        <v>V10122B</v>
      </c>
      <c r="B1188" s="208" t="s">
        <v>2411</v>
      </c>
      <c r="C1188" s="208"/>
      <c r="D1188" s="208" t="s">
        <v>2417</v>
      </c>
      <c r="E1188" s="208" t="s">
        <v>29</v>
      </c>
      <c r="F1188" s="208" t="s">
        <v>2412</v>
      </c>
      <c r="G1188" s="208" t="s">
        <v>2413</v>
      </c>
      <c r="H1188" s="208"/>
      <c r="I1188" s="208" t="s">
        <v>2414</v>
      </c>
      <c r="J1188" s="208" t="s">
        <v>2415</v>
      </c>
      <c r="K1188" s="208" t="s">
        <v>2416</v>
      </c>
      <c r="L1188" s="208"/>
      <c r="M1188" s="209"/>
      <c r="N1188" s="208"/>
      <c r="O1188" s="208" t="s">
        <v>260</v>
      </c>
      <c r="P1188" s="208" t="s">
        <v>91</v>
      </c>
    </row>
    <row r="1189" spans="1:16" s="187" customFormat="1" ht="18" customHeight="1">
      <c r="A1189" s="187" t="str">
        <f t="shared" si="18"/>
        <v>V10122C</v>
      </c>
      <c r="B1189" s="206" t="s">
        <v>2411</v>
      </c>
      <c r="C1189" s="206"/>
      <c r="D1189" s="206" t="s">
        <v>2418</v>
      </c>
      <c r="E1189" s="206" t="s">
        <v>29</v>
      </c>
      <c r="F1189" s="206" t="s">
        <v>2412</v>
      </c>
      <c r="G1189" s="206" t="s">
        <v>2413</v>
      </c>
      <c r="H1189" s="206"/>
      <c r="I1189" s="206" t="s">
        <v>2414</v>
      </c>
      <c r="J1189" s="206" t="s">
        <v>2415</v>
      </c>
      <c r="K1189" s="206" t="s">
        <v>2416</v>
      </c>
      <c r="L1189" s="206"/>
      <c r="M1189" s="207"/>
      <c r="N1189" s="206"/>
      <c r="O1189" s="206" t="s">
        <v>260</v>
      </c>
      <c r="P1189" s="206" t="s">
        <v>91</v>
      </c>
    </row>
    <row r="1190" spans="1:16" s="187" customFormat="1" ht="18" customHeight="1">
      <c r="A1190" s="187" t="str">
        <f t="shared" si="18"/>
        <v>V10528C</v>
      </c>
      <c r="B1190" s="208" t="s">
        <v>6403</v>
      </c>
      <c r="C1190" s="208"/>
      <c r="D1190" s="208" t="s">
        <v>6404</v>
      </c>
      <c r="E1190" s="208" t="s">
        <v>29</v>
      </c>
      <c r="F1190" s="208" t="s">
        <v>6405</v>
      </c>
      <c r="G1190" s="208"/>
      <c r="H1190" s="208"/>
      <c r="I1190" s="208"/>
      <c r="J1190" s="208" t="s">
        <v>6406</v>
      </c>
      <c r="K1190" s="208" t="s">
        <v>6407</v>
      </c>
      <c r="L1190" s="208"/>
      <c r="M1190" s="209"/>
      <c r="N1190" s="208"/>
      <c r="O1190" s="208" t="s">
        <v>260</v>
      </c>
      <c r="P1190" s="208" t="s">
        <v>91</v>
      </c>
    </row>
    <row r="1191" spans="1:16" s="187" customFormat="1" ht="18" customHeight="1">
      <c r="A1191" s="187" t="str">
        <f t="shared" si="18"/>
        <v>V10476C</v>
      </c>
      <c r="B1191" s="206" t="s">
        <v>5985</v>
      </c>
      <c r="C1191" s="206"/>
      <c r="D1191" s="206" t="s">
        <v>5986</v>
      </c>
      <c r="E1191" s="206" t="s">
        <v>29</v>
      </c>
      <c r="F1191" s="206" t="s">
        <v>5987</v>
      </c>
      <c r="G1191" s="206"/>
      <c r="H1191" s="206"/>
      <c r="I1191" s="206"/>
      <c r="J1191" s="206" t="s">
        <v>5988</v>
      </c>
      <c r="K1191" s="206" t="s">
        <v>5989</v>
      </c>
      <c r="L1191" s="206"/>
      <c r="M1191" s="207"/>
      <c r="N1191" s="206"/>
      <c r="O1191" s="206"/>
      <c r="P1191" s="206" t="s">
        <v>91</v>
      </c>
    </row>
    <row r="1192" spans="1:16" s="187" customFormat="1" ht="18" customHeight="1">
      <c r="A1192" s="187" t="str">
        <f t="shared" si="18"/>
        <v>LS-000136</v>
      </c>
      <c r="B1192" s="208" t="s">
        <v>2420</v>
      </c>
      <c r="C1192" s="208"/>
      <c r="D1192" s="208" t="s">
        <v>2419</v>
      </c>
      <c r="E1192" s="208" t="s">
        <v>29</v>
      </c>
      <c r="F1192" s="208" t="s">
        <v>2421</v>
      </c>
      <c r="G1192" s="208" t="s">
        <v>2422</v>
      </c>
      <c r="H1192" s="208"/>
      <c r="I1192" s="208" t="s">
        <v>2423</v>
      </c>
      <c r="J1192" s="208" t="s">
        <v>2424</v>
      </c>
      <c r="K1192" s="208" t="s">
        <v>2425</v>
      </c>
      <c r="L1192" s="208"/>
      <c r="M1192" s="209"/>
      <c r="N1192" s="208"/>
      <c r="O1192" s="208"/>
      <c r="P1192" s="208" t="s">
        <v>91</v>
      </c>
    </row>
    <row r="1193" spans="1:16" s="187" customFormat="1" ht="18" customHeight="1">
      <c r="A1193" s="187" t="str">
        <f t="shared" si="18"/>
        <v>V10419C</v>
      </c>
      <c r="B1193" s="206" t="s">
        <v>5677</v>
      </c>
      <c r="C1193" s="206"/>
      <c r="D1193" s="206" t="s">
        <v>5678</v>
      </c>
      <c r="E1193" s="206" t="s">
        <v>29</v>
      </c>
      <c r="F1193" s="206" t="s">
        <v>5679</v>
      </c>
      <c r="G1193" s="206" t="s">
        <v>1859</v>
      </c>
      <c r="H1193" s="206"/>
      <c r="I1193" s="206" t="s">
        <v>1860</v>
      </c>
      <c r="J1193" s="206" t="s">
        <v>5680</v>
      </c>
      <c r="K1193" s="206" t="s">
        <v>5681</v>
      </c>
      <c r="L1193" s="206"/>
      <c r="M1193" s="207"/>
      <c r="N1193" s="206"/>
      <c r="O1193" s="206" t="s">
        <v>260</v>
      </c>
      <c r="P1193" s="206" t="s">
        <v>91</v>
      </c>
    </row>
    <row r="1194" spans="1:16" s="187" customFormat="1" ht="18" customHeight="1">
      <c r="A1194" s="187" t="str">
        <f t="shared" si="18"/>
        <v>V10240A</v>
      </c>
      <c r="B1194" s="208" t="s">
        <v>2427</v>
      </c>
      <c r="C1194" s="208"/>
      <c r="D1194" s="208" t="s">
        <v>2426</v>
      </c>
      <c r="E1194" s="208" t="s">
        <v>29</v>
      </c>
      <c r="F1194" s="208" t="s">
        <v>2428</v>
      </c>
      <c r="G1194" s="208"/>
      <c r="H1194" s="208"/>
      <c r="I1194" s="208" t="s">
        <v>2429</v>
      </c>
      <c r="J1194" s="208" t="s">
        <v>2430</v>
      </c>
      <c r="K1194" s="208" t="s">
        <v>2431</v>
      </c>
      <c r="L1194" s="208"/>
      <c r="M1194" s="209"/>
      <c r="N1194" s="208"/>
      <c r="O1194" s="208" t="s">
        <v>260</v>
      </c>
      <c r="P1194" s="208" t="s">
        <v>91</v>
      </c>
    </row>
    <row r="1195" spans="1:16" s="187" customFormat="1" ht="18" customHeight="1">
      <c r="A1195" s="187" t="str">
        <f t="shared" si="18"/>
        <v>V10240B</v>
      </c>
      <c r="B1195" s="206" t="s">
        <v>2427</v>
      </c>
      <c r="C1195" s="206"/>
      <c r="D1195" s="206" t="s">
        <v>2432</v>
      </c>
      <c r="E1195" s="206" t="s">
        <v>29</v>
      </c>
      <c r="F1195" s="206" t="s">
        <v>2428</v>
      </c>
      <c r="G1195" s="206"/>
      <c r="H1195" s="206"/>
      <c r="I1195" s="206" t="s">
        <v>2429</v>
      </c>
      <c r="J1195" s="206" t="s">
        <v>2430</v>
      </c>
      <c r="K1195" s="206" t="s">
        <v>2431</v>
      </c>
      <c r="L1195" s="206"/>
      <c r="M1195" s="207"/>
      <c r="N1195" s="206"/>
      <c r="O1195" s="206" t="s">
        <v>260</v>
      </c>
      <c r="P1195" s="206" t="s">
        <v>91</v>
      </c>
    </row>
    <row r="1196" spans="1:16" s="187" customFormat="1" ht="18" customHeight="1">
      <c r="A1196" s="187" t="str">
        <f t="shared" si="18"/>
        <v>V10240C</v>
      </c>
      <c r="B1196" s="208" t="s">
        <v>2427</v>
      </c>
      <c r="C1196" s="208"/>
      <c r="D1196" s="208" t="s">
        <v>2433</v>
      </c>
      <c r="E1196" s="208" t="s">
        <v>29</v>
      </c>
      <c r="F1196" s="208" t="s">
        <v>2428</v>
      </c>
      <c r="G1196" s="208"/>
      <c r="H1196" s="208"/>
      <c r="I1196" s="208" t="s">
        <v>2429</v>
      </c>
      <c r="J1196" s="208" t="s">
        <v>2430</v>
      </c>
      <c r="K1196" s="208" t="s">
        <v>2431</v>
      </c>
      <c r="L1196" s="208"/>
      <c r="M1196" s="209"/>
      <c r="N1196" s="208"/>
      <c r="O1196" s="208" t="s">
        <v>260</v>
      </c>
      <c r="P1196" s="208" t="s">
        <v>91</v>
      </c>
    </row>
    <row r="1197" spans="1:16" s="187" customFormat="1" ht="18" customHeight="1">
      <c r="A1197" s="187" t="str">
        <f t="shared" si="18"/>
        <v>V10042A</v>
      </c>
      <c r="B1197" s="206" t="s">
        <v>6408</v>
      </c>
      <c r="C1197" s="206"/>
      <c r="D1197" s="206" t="s">
        <v>2434</v>
      </c>
      <c r="E1197" s="206" t="s">
        <v>29</v>
      </c>
      <c r="F1197" s="206" t="s">
        <v>5063</v>
      </c>
      <c r="G1197" s="206" t="s">
        <v>2435</v>
      </c>
      <c r="H1197" s="206"/>
      <c r="I1197" s="206"/>
      <c r="J1197" s="206" t="s">
        <v>2436</v>
      </c>
      <c r="K1197" s="206" t="s">
        <v>2437</v>
      </c>
      <c r="L1197" s="206"/>
      <c r="M1197" s="207"/>
      <c r="N1197" s="206"/>
      <c r="O1197" s="206" t="s">
        <v>260</v>
      </c>
      <c r="P1197" s="206" t="s">
        <v>91</v>
      </c>
    </row>
    <row r="1198" spans="1:16" s="187" customFormat="1" ht="18" customHeight="1">
      <c r="A1198" s="187" t="str">
        <f t="shared" si="18"/>
        <v>V10042B</v>
      </c>
      <c r="B1198" s="208" t="s">
        <v>6408</v>
      </c>
      <c r="C1198" s="208"/>
      <c r="D1198" s="208" t="s">
        <v>2438</v>
      </c>
      <c r="E1198" s="208" t="s">
        <v>29</v>
      </c>
      <c r="F1198" s="208" t="s">
        <v>5063</v>
      </c>
      <c r="G1198" s="208" t="s">
        <v>2435</v>
      </c>
      <c r="H1198" s="208"/>
      <c r="I1198" s="208"/>
      <c r="J1198" s="208" t="s">
        <v>2436</v>
      </c>
      <c r="K1198" s="208" t="s">
        <v>2437</v>
      </c>
      <c r="L1198" s="208"/>
      <c r="M1198" s="209"/>
      <c r="N1198" s="208"/>
      <c r="O1198" s="208" t="s">
        <v>260</v>
      </c>
      <c r="P1198" s="208" t="s">
        <v>91</v>
      </c>
    </row>
    <row r="1199" spans="1:16" s="187" customFormat="1" ht="18" customHeight="1">
      <c r="A1199" s="187" t="str">
        <f t="shared" si="18"/>
        <v>V10042C</v>
      </c>
      <c r="B1199" s="206" t="s">
        <v>6408</v>
      </c>
      <c r="C1199" s="206"/>
      <c r="D1199" s="206" t="s">
        <v>2439</v>
      </c>
      <c r="E1199" s="206" t="s">
        <v>29</v>
      </c>
      <c r="F1199" s="206" t="s">
        <v>5063</v>
      </c>
      <c r="G1199" s="206" t="s">
        <v>2435</v>
      </c>
      <c r="H1199" s="206"/>
      <c r="I1199" s="206"/>
      <c r="J1199" s="206" t="s">
        <v>2436</v>
      </c>
      <c r="K1199" s="206" t="s">
        <v>2437</v>
      </c>
      <c r="L1199" s="206"/>
      <c r="M1199" s="207"/>
      <c r="N1199" s="206"/>
      <c r="O1199" s="206" t="s">
        <v>260</v>
      </c>
      <c r="P1199" s="206" t="s">
        <v>91</v>
      </c>
    </row>
    <row r="1200" spans="1:16" s="187" customFormat="1" ht="18" customHeight="1">
      <c r="A1200" s="187" t="str">
        <f t="shared" si="18"/>
        <v>V10010A</v>
      </c>
      <c r="B1200" s="208" t="s">
        <v>2441</v>
      </c>
      <c r="C1200" s="208"/>
      <c r="D1200" s="208" t="s">
        <v>2440</v>
      </c>
      <c r="E1200" s="208" t="s">
        <v>29</v>
      </c>
      <c r="F1200" s="208" t="s">
        <v>2442</v>
      </c>
      <c r="G1200" s="208" t="s">
        <v>2443</v>
      </c>
      <c r="H1200" s="208"/>
      <c r="I1200" s="208" t="s">
        <v>2444</v>
      </c>
      <c r="J1200" s="208" t="s">
        <v>387</v>
      </c>
      <c r="K1200" s="208" t="s">
        <v>2445</v>
      </c>
      <c r="L1200" s="208"/>
      <c r="M1200" s="209"/>
      <c r="N1200" s="208"/>
      <c r="O1200" s="208" t="s">
        <v>260</v>
      </c>
      <c r="P1200" s="208" t="s">
        <v>91</v>
      </c>
    </row>
    <row r="1201" spans="1:16" s="187" customFormat="1" ht="18" customHeight="1">
      <c r="A1201" s="187" t="str">
        <f t="shared" si="18"/>
        <v>V10010B</v>
      </c>
      <c r="B1201" s="206" t="s">
        <v>2441</v>
      </c>
      <c r="C1201" s="206"/>
      <c r="D1201" s="206" t="s">
        <v>2446</v>
      </c>
      <c r="E1201" s="206" t="s">
        <v>29</v>
      </c>
      <c r="F1201" s="206" t="s">
        <v>2442</v>
      </c>
      <c r="G1201" s="206" t="s">
        <v>2443</v>
      </c>
      <c r="H1201" s="206"/>
      <c r="I1201" s="206" t="s">
        <v>2444</v>
      </c>
      <c r="J1201" s="206" t="s">
        <v>387</v>
      </c>
      <c r="K1201" s="206" t="s">
        <v>2445</v>
      </c>
      <c r="L1201" s="206"/>
      <c r="M1201" s="207"/>
      <c r="N1201" s="206"/>
      <c r="O1201" s="206" t="s">
        <v>260</v>
      </c>
      <c r="P1201" s="206" t="s">
        <v>91</v>
      </c>
    </row>
    <row r="1202" spans="1:16" s="187" customFormat="1" ht="18" customHeight="1">
      <c r="A1202" s="187" t="str">
        <f t="shared" si="18"/>
        <v>V10010C</v>
      </c>
      <c r="B1202" s="208" t="s">
        <v>2441</v>
      </c>
      <c r="C1202" s="208"/>
      <c r="D1202" s="208" t="s">
        <v>2447</v>
      </c>
      <c r="E1202" s="208" t="s">
        <v>29</v>
      </c>
      <c r="F1202" s="208" t="s">
        <v>2442</v>
      </c>
      <c r="G1202" s="208" t="s">
        <v>2443</v>
      </c>
      <c r="H1202" s="208"/>
      <c r="I1202" s="208" t="s">
        <v>2444</v>
      </c>
      <c r="J1202" s="208" t="s">
        <v>387</v>
      </c>
      <c r="K1202" s="208" t="s">
        <v>2445</v>
      </c>
      <c r="L1202" s="208"/>
      <c r="M1202" s="209"/>
      <c r="N1202" s="208"/>
      <c r="O1202" s="208" t="s">
        <v>260</v>
      </c>
      <c r="P1202" s="208" t="s">
        <v>91</v>
      </c>
    </row>
    <row r="1203" spans="1:16" s="187" customFormat="1" ht="18" customHeight="1">
      <c r="A1203" s="187" t="str">
        <f t="shared" si="18"/>
        <v>V10521C</v>
      </c>
      <c r="B1203" s="206" t="s">
        <v>6409</v>
      </c>
      <c r="C1203" s="206"/>
      <c r="D1203" s="206" t="s">
        <v>6410</v>
      </c>
      <c r="E1203" s="206" t="s">
        <v>29</v>
      </c>
      <c r="F1203" s="206" t="s">
        <v>6411</v>
      </c>
      <c r="G1203" s="206" t="s">
        <v>6412</v>
      </c>
      <c r="H1203" s="206"/>
      <c r="I1203" s="206"/>
      <c r="J1203" s="206" t="s">
        <v>2642</v>
      </c>
      <c r="K1203" s="206" t="s">
        <v>6413</v>
      </c>
      <c r="L1203" s="206"/>
      <c r="M1203" s="207"/>
      <c r="N1203" s="206"/>
      <c r="O1203" s="206"/>
      <c r="P1203" s="206" t="s">
        <v>91</v>
      </c>
    </row>
    <row r="1204" spans="1:16" s="187" customFormat="1" ht="18" customHeight="1">
      <c r="A1204" s="187" t="str">
        <f t="shared" si="18"/>
        <v>V10424C</v>
      </c>
      <c r="B1204" s="208" t="s">
        <v>5682</v>
      </c>
      <c r="C1204" s="208"/>
      <c r="D1204" s="208" t="s">
        <v>5683</v>
      </c>
      <c r="E1204" s="208" t="s">
        <v>29</v>
      </c>
      <c r="F1204" s="208" t="s">
        <v>5684</v>
      </c>
      <c r="G1204" s="208"/>
      <c r="H1204" s="208"/>
      <c r="I1204" s="208" t="s">
        <v>5659</v>
      </c>
      <c r="J1204" s="208" t="s">
        <v>5685</v>
      </c>
      <c r="K1204" s="208" t="s">
        <v>5686</v>
      </c>
      <c r="L1204" s="208"/>
      <c r="M1204" s="209"/>
      <c r="N1204" s="208"/>
      <c r="O1204" s="208" t="s">
        <v>260</v>
      </c>
      <c r="P1204" s="208" t="s">
        <v>91</v>
      </c>
    </row>
    <row r="1205" spans="1:16" s="187" customFormat="1" ht="18" customHeight="1">
      <c r="A1205" s="187" t="str">
        <f t="shared" si="18"/>
        <v>V10424B</v>
      </c>
      <c r="B1205" s="206" t="s">
        <v>5682</v>
      </c>
      <c r="C1205" s="206"/>
      <c r="D1205" s="206" t="s">
        <v>5871</v>
      </c>
      <c r="E1205" s="206" t="s">
        <v>29</v>
      </c>
      <c r="F1205" s="206" t="s">
        <v>5872</v>
      </c>
      <c r="G1205" s="206"/>
      <c r="H1205" s="206"/>
      <c r="I1205" s="206"/>
      <c r="J1205" s="206"/>
      <c r="K1205" s="206"/>
      <c r="L1205" s="206"/>
      <c r="M1205" s="207"/>
      <c r="N1205" s="206"/>
      <c r="O1205" s="206"/>
      <c r="P1205" s="206" t="s">
        <v>91</v>
      </c>
    </row>
    <row r="1206" spans="1:16" s="187" customFormat="1" ht="18" customHeight="1">
      <c r="A1206" s="187" t="str">
        <f t="shared" si="18"/>
        <v>V4039C0</v>
      </c>
      <c r="B1206" s="208" t="s">
        <v>5376</v>
      </c>
      <c r="C1206" s="208"/>
      <c r="D1206" s="208" t="s">
        <v>2507</v>
      </c>
      <c r="E1206" s="208" t="s">
        <v>29</v>
      </c>
      <c r="F1206" s="208" t="s">
        <v>2508</v>
      </c>
      <c r="G1206" s="208" t="s">
        <v>2509</v>
      </c>
      <c r="H1206" s="208"/>
      <c r="I1206" s="208"/>
      <c r="J1206" s="208" t="s">
        <v>1017</v>
      </c>
      <c r="K1206" s="208" t="s">
        <v>2510</v>
      </c>
      <c r="L1206" s="208"/>
      <c r="M1206" s="209"/>
      <c r="N1206" s="208"/>
      <c r="O1206" s="208" t="s">
        <v>131</v>
      </c>
      <c r="P1206" s="208" t="s">
        <v>107</v>
      </c>
    </row>
    <row r="1207" spans="1:16" s="187" customFormat="1" ht="18" customHeight="1">
      <c r="A1207" s="187" t="str">
        <f t="shared" si="18"/>
        <v>V10229A</v>
      </c>
      <c r="B1207" s="206" t="s">
        <v>2449</v>
      </c>
      <c r="C1207" s="206"/>
      <c r="D1207" s="206" t="s">
        <v>2452</v>
      </c>
      <c r="E1207" s="206" t="s">
        <v>29</v>
      </c>
      <c r="F1207" s="206" t="s">
        <v>2450</v>
      </c>
      <c r="G1207" s="206"/>
      <c r="H1207" s="206"/>
      <c r="I1207" s="206" t="s">
        <v>2451</v>
      </c>
      <c r="J1207" s="206"/>
      <c r="K1207" s="206"/>
      <c r="L1207" s="206"/>
      <c r="M1207" s="207"/>
      <c r="N1207" s="206"/>
      <c r="O1207" s="206" t="s">
        <v>260</v>
      </c>
      <c r="P1207" s="206" t="s">
        <v>91</v>
      </c>
    </row>
    <row r="1208" spans="1:16" s="187" customFormat="1" ht="18" customHeight="1">
      <c r="A1208" s="187" t="str">
        <f t="shared" si="18"/>
        <v>V10229B</v>
      </c>
      <c r="B1208" s="208" t="s">
        <v>2449</v>
      </c>
      <c r="C1208" s="208"/>
      <c r="D1208" s="208" t="s">
        <v>2453</v>
      </c>
      <c r="E1208" s="208" t="s">
        <v>29</v>
      </c>
      <c r="F1208" s="208" t="s">
        <v>2450</v>
      </c>
      <c r="G1208" s="208"/>
      <c r="H1208" s="208"/>
      <c r="I1208" s="208" t="s">
        <v>2451</v>
      </c>
      <c r="J1208" s="208"/>
      <c r="K1208" s="208"/>
      <c r="L1208" s="208"/>
      <c r="M1208" s="209"/>
      <c r="N1208" s="208"/>
      <c r="O1208" s="208" t="s">
        <v>260</v>
      </c>
      <c r="P1208" s="208" t="s">
        <v>91</v>
      </c>
    </row>
    <row r="1209" spans="1:16" s="187" customFormat="1" ht="18" customHeight="1">
      <c r="A1209" s="187" t="str">
        <f t="shared" si="18"/>
        <v>V10229C</v>
      </c>
      <c r="B1209" s="206" t="s">
        <v>2449</v>
      </c>
      <c r="C1209" s="206"/>
      <c r="D1209" s="206" t="s">
        <v>2448</v>
      </c>
      <c r="E1209" s="206" t="s">
        <v>29</v>
      </c>
      <c r="F1209" s="206" t="s">
        <v>2450</v>
      </c>
      <c r="G1209" s="206"/>
      <c r="H1209" s="206"/>
      <c r="I1209" s="206" t="s">
        <v>2451</v>
      </c>
      <c r="J1209" s="206"/>
      <c r="K1209" s="206"/>
      <c r="L1209" s="206"/>
      <c r="M1209" s="207"/>
      <c r="N1209" s="206"/>
      <c r="O1209" s="206" t="s">
        <v>260</v>
      </c>
      <c r="P1209" s="206" t="s">
        <v>91</v>
      </c>
    </row>
    <row r="1210" spans="1:16" s="187" customFormat="1" ht="18" customHeight="1">
      <c r="A1210" s="187" t="str">
        <f t="shared" si="18"/>
        <v>V10549C</v>
      </c>
      <c r="B1210" s="208" t="s">
        <v>6531</v>
      </c>
      <c r="C1210" s="208"/>
      <c r="D1210" s="208" t="s">
        <v>6440</v>
      </c>
      <c r="E1210" s="208" t="s">
        <v>29</v>
      </c>
      <c r="F1210" s="208" t="s">
        <v>6441</v>
      </c>
      <c r="G1210" s="208"/>
      <c r="H1210" s="208"/>
      <c r="I1210" s="208"/>
      <c r="J1210" s="208" t="s">
        <v>6442</v>
      </c>
      <c r="K1210" s="208" t="s">
        <v>6443</v>
      </c>
      <c r="L1210" s="208"/>
      <c r="M1210" s="209"/>
      <c r="N1210" s="208"/>
      <c r="O1210" s="208"/>
      <c r="P1210" s="208" t="s">
        <v>91</v>
      </c>
    </row>
    <row r="1211" spans="1:16" s="187" customFormat="1" ht="18" customHeight="1">
      <c r="A1211" s="187" t="str">
        <f t="shared" si="18"/>
        <v>V10082A</v>
      </c>
      <c r="B1211" s="206" t="s">
        <v>2455</v>
      </c>
      <c r="C1211" s="206"/>
      <c r="D1211" s="206" t="s">
        <v>2454</v>
      </c>
      <c r="E1211" s="206" t="s">
        <v>29</v>
      </c>
      <c r="F1211" s="206" t="s">
        <v>2456</v>
      </c>
      <c r="G1211" s="206" t="s">
        <v>2457</v>
      </c>
      <c r="H1211" s="206"/>
      <c r="I1211" s="206" t="s">
        <v>2458</v>
      </c>
      <c r="J1211" s="206" t="s">
        <v>2459</v>
      </c>
      <c r="K1211" s="206" t="s">
        <v>2460</v>
      </c>
      <c r="L1211" s="206"/>
      <c r="M1211" s="207"/>
      <c r="N1211" s="206"/>
      <c r="O1211" s="206" t="s">
        <v>260</v>
      </c>
      <c r="P1211" s="206" t="s">
        <v>91</v>
      </c>
    </row>
    <row r="1212" spans="1:16" s="187" customFormat="1" ht="18" customHeight="1">
      <c r="A1212" s="187" t="str">
        <f t="shared" si="18"/>
        <v>V10082B</v>
      </c>
      <c r="B1212" s="208" t="s">
        <v>2455</v>
      </c>
      <c r="C1212" s="208"/>
      <c r="D1212" s="208" t="s">
        <v>2461</v>
      </c>
      <c r="E1212" s="208" t="s">
        <v>29</v>
      </c>
      <c r="F1212" s="208" t="s">
        <v>2456</v>
      </c>
      <c r="G1212" s="208" t="s">
        <v>2457</v>
      </c>
      <c r="H1212" s="208"/>
      <c r="I1212" s="208" t="s">
        <v>2458</v>
      </c>
      <c r="J1212" s="208" t="s">
        <v>2459</v>
      </c>
      <c r="K1212" s="208" t="s">
        <v>2460</v>
      </c>
      <c r="L1212" s="208"/>
      <c r="M1212" s="209"/>
      <c r="N1212" s="208"/>
      <c r="O1212" s="208" t="s">
        <v>260</v>
      </c>
      <c r="P1212" s="208" t="s">
        <v>91</v>
      </c>
    </row>
    <row r="1213" spans="1:16" s="187" customFormat="1" ht="18" customHeight="1">
      <c r="A1213" s="187" t="str">
        <f t="shared" si="18"/>
        <v>V10082C</v>
      </c>
      <c r="B1213" s="206" t="s">
        <v>2455</v>
      </c>
      <c r="C1213" s="206"/>
      <c r="D1213" s="206" t="s">
        <v>2462</v>
      </c>
      <c r="E1213" s="206" t="s">
        <v>29</v>
      </c>
      <c r="F1213" s="206" t="s">
        <v>2456</v>
      </c>
      <c r="G1213" s="206" t="s">
        <v>2457</v>
      </c>
      <c r="H1213" s="206"/>
      <c r="I1213" s="206" t="s">
        <v>2458</v>
      </c>
      <c r="J1213" s="206" t="s">
        <v>2459</v>
      </c>
      <c r="K1213" s="206" t="s">
        <v>2460</v>
      </c>
      <c r="L1213" s="206"/>
      <c r="M1213" s="207"/>
      <c r="N1213" s="206"/>
      <c r="O1213" s="206" t="s">
        <v>260</v>
      </c>
      <c r="P1213" s="206" t="s">
        <v>91</v>
      </c>
    </row>
    <row r="1214" spans="1:16" s="187" customFormat="1" ht="18" customHeight="1">
      <c r="A1214" s="187" t="str">
        <f t="shared" si="18"/>
        <v>V4067C0</v>
      </c>
      <c r="B1214" s="208" t="s">
        <v>2464</v>
      </c>
      <c r="C1214" s="208"/>
      <c r="D1214" s="208" t="s">
        <v>2463</v>
      </c>
      <c r="E1214" s="208" t="s">
        <v>29</v>
      </c>
      <c r="F1214" s="208" t="s">
        <v>2465</v>
      </c>
      <c r="G1214" s="208" t="s">
        <v>2466</v>
      </c>
      <c r="H1214" s="208"/>
      <c r="I1214" s="208"/>
      <c r="J1214" s="208" t="s">
        <v>387</v>
      </c>
      <c r="K1214" s="208" t="s">
        <v>2467</v>
      </c>
      <c r="L1214" s="208"/>
      <c r="M1214" s="209"/>
      <c r="N1214" s="208"/>
      <c r="O1214" s="208"/>
      <c r="P1214" s="208" t="s">
        <v>107</v>
      </c>
    </row>
    <row r="1215" spans="1:16" s="187" customFormat="1" ht="18" customHeight="1">
      <c r="A1215" s="187" t="str">
        <f t="shared" si="18"/>
        <v>LS-000362</v>
      </c>
      <c r="B1215" s="206" t="s">
        <v>2464</v>
      </c>
      <c r="C1215" s="206"/>
      <c r="D1215" s="206" t="s">
        <v>2468</v>
      </c>
      <c r="E1215" s="206" t="s">
        <v>151</v>
      </c>
      <c r="F1215" s="206" t="s">
        <v>2469</v>
      </c>
      <c r="G1215" s="206" t="s">
        <v>2466</v>
      </c>
      <c r="H1215" s="206"/>
      <c r="I1215" s="206" t="s">
        <v>2470</v>
      </c>
      <c r="J1215" s="206" t="s">
        <v>387</v>
      </c>
      <c r="K1215" s="206" t="s">
        <v>2471</v>
      </c>
      <c r="L1215" s="206"/>
      <c r="M1215" s="207"/>
      <c r="N1215" s="206"/>
      <c r="O1215" s="206"/>
      <c r="P1215" s="206"/>
    </row>
    <row r="1216" spans="1:16" s="187" customFormat="1" ht="18" customHeight="1">
      <c r="A1216" s="187" t="str">
        <f t="shared" si="18"/>
        <v>V4080C0</v>
      </c>
      <c r="B1216" s="208" t="s">
        <v>2473</v>
      </c>
      <c r="C1216" s="208"/>
      <c r="D1216" s="208" t="s">
        <v>2472</v>
      </c>
      <c r="E1216" s="208" t="s">
        <v>151</v>
      </c>
      <c r="F1216" s="208"/>
      <c r="G1216" s="208"/>
      <c r="H1216" s="208"/>
      <c r="I1216" s="208"/>
      <c r="J1216" s="208" t="s">
        <v>2474</v>
      </c>
      <c r="K1216" s="208" t="s">
        <v>2475</v>
      </c>
      <c r="L1216" s="208"/>
      <c r="M1216" s="209"/>
      <c r="N1216" s="208"/>
      <c r="O1216" s="208"/>
      <c r="P1216" s="208" t="s">
        <v>107</v>
      </c>
    </row>
    <row r="1217" spans="1:16" s="187" customFormat="1" ht="18" customHeight="1">
      <c r="A1217" s="187" t="str">
        <f t="shared" si="18"/>
        <v>V10078A</v>
      </c>
      <c r="B1217" s="206" t="s">
        <v>2477</v>
      </c>
      <c r="C1217" s="206"/>
      <c r="D1217" s="206" t="s">
        <v>2476</v>
      </c>
      <c r="E1217" s="206" t="s">
        <v>29</v>
      </c>
      <c r="F1217" s="206" t="s">
        <v>2478</v>
      </c>
      <c r="G1217" s="206"/>
      <c r="H1217" s="206"/>
      <c r="I1217" s="206" t="s">
        <v>2479</v>
      </c>
      <c r="J1217" s="206" t="s">
        <v>2480</v>
      </c>
      <c r="K1217" s="206" t="s">
        <v>2481</v>
      </c>
      <c r="L1217" s="206"/>
      <c r="M1217" s="207"/>
      <c r="N1217" s="206"/>
      <c r="O1217" s="206" t="s">
        <v>260</v>
      </c>
      <c r="P1217" s="206" t="s">
        <v>91</v>
      </c>
    </row>
    <row r="1218" spans="1:16" s="187" customFormat="1" ht="18" customHeight="1">
      <c r="A1218" s="187" t="str">
        <f t="shared" si="18"/>
        <v>V10078B</v>
      </c>
      <c r="B1218" s="208" t="s">
        <v>2477</v>
      </c>
      <c r="C1218" s="208"/>
      <c r="D1218" s="208" t="s">
        <v>2482</v>
      </c>
      <c r="E1218" s="208" t="s">
        <v>29</v>
      </c>
      <c r="F1218" s="208" t="s">
        <v>2478</v>
      </c>
      <c r="G1218" s="208"/>
      <c r="H1218" s="208"/>
      <c r="I1218" s="208" t="s">
        <v>2479</v>
      </c>
      <c r="J1218" s="208" t="s">
        <v>2480</v>
      </c>
      <c r="K1218" s="208" t="s">
        <v>2481</v>
      </c>
      <c r="L1218" s="208"/>
      <c r="M1218" s="209"/>
      <c r="N1218" s="208"/>
      <c r="O1218" s="208" t="s">
        <v>260</v>
      </c>
      <c r="P1218" s="208" t="s">
        <v>91</v>
      </c>
    </row>
    <row r="1219" spans="1:16" s="187" customFormat="1" ht="18" customHeight="1">
      <c r="A1219" s="187" t="str">
        <f t="shared" si="18"/>
        <v>V10078C</v>
      </c>
      <c r="B1219" s="206" t="s">
        <v>2477</v>
      </c>
      <c r="C1219" s="206"/>
      <c r="D1219" s="206" t="s">
        <v>2483</v>
      </c>
      <c r="E1219" s="206" t="s">
        <v>29</v>
      </c>
      <c r="F1219" s="206" t="s">
        <v>2478</v>
      </c>
      <c r="G1219" s="206"/>
      <c r="H1219" s="206"/>
      <c r="I1219" s="206" t="s">
        <v>2479</v>
      </c>
      <c r="J1219" s="206" t="s">
        <v>2480</v>
      </c>
      <c r="K1219" s="206" t="s">
        <v>2481</v>
      </c>
      <c r="L1219" s="206"/>
      <c r="M1219" s="207"/>
      <c r="N1219" s="206"/>
      <c r="O1219" s="206" t="s">
        <v>260</v>
      </c>
      <c r="P1219" s="206" t="s">
        <v>91</v>
      </c>
    </row>
    <row r="1220" spans="1:16" s="187" customFormat="1" ht="18" customHeight="1">
      <c r="A1220" s="187" t="str">
        <f t="shared" si="18"/>
        <v>V10220A</v>
      </c>
      <c r="B1220" s="208" t="s">
        <v>2485</v>
      </c>
      <c r="C1220" s="208"/>
      <c r="D1220" s="208" t="s">
        <v>2484</v>
      </c>
      <c r="E1220" s="208" t="s">
        <v>29</v>
      </c>
      <c r="F1220" s="208" t="s">
        <v>2486</v>
      </c>
      <c r="G1220" s="208" t="s">
        <v>2487</v>
      </c>
      <c r="H1220" s="208"/>
      <c r="I1220" s="208" t="s">
        <v>2488</v>
      </c>
      <c r="J1220" s="208" t="s">
        <v>2489</v>
      </c>
      <c r="K1220" s="208" t="s">
        <v>2490</v>
      </c>
      <c r="L1220" s="208"/>
      <c r="M1220" s="209"/>
      <c r="N1220" s="208"/>
      <c r="O1220" s="208" t="s">
        <v>260</v>
      </c>
      <c r="P1220" s="208" t="s">
        <v>91</v>
      </c>
    </row>
    <row r="1221" spans="1:16" s="187" customFormat="1" ht="18" customHeight="1">
      <c r="A1221" s="187" t="str">
        <f t="shared" si="18"/>
        <v>V10220B</v>
      </c>
      <c r="B1221" s="206" t="s">
        <v>2485</v>
      </c>
      <c r="C1221" s="206"/>
      <c r="D1221" s="206" t="s">
        <v>2491</v>
      </c>
      <c r="E1221" s="206" t="s">
        <v>29</v>
      </c>
      <c r="F1221" s="206" t="s">
        <v>2486</v>
      </c>
      <c r="G1221" s="206" t="s">
        <v>2487</v>
      </c>
      <c r="H1221" s="206"/>
      <c r="I1221" s="206" t="s">
        <v>2488</v>
      </c>
      <c r="J1221" s="206" t="s">
        <v>2489</v>
      </c>
      <c r="K1221" s="206" t="s">
        <v>2490</v>
      </c>
      <c r="L1221" s="206"/>
      <c r="M1221" s="207"/>
      <c r="N1221" s="206"/>
      <c r="O1221" s="206" t="s">
        <v>260</v>
      </c>
      <c r="P1221" s="206" t="s">
        <v>91</v>
      </c>
    </row>
    <row r="1222" spans="1:16" s="187" customFormat="1" ht="18" customHeight="1">
      <c r="A1222" s="187" t="str">
        <f t="shared" ref="A1222:A1285" si="19">D1222</f>
        <v>V10220C</v>
      </c>
      <c r="B1222" s="208" t="s">
        <v>2485</v>
      </c>
      <c r="C1222" s="208"/>
      <c r="D1222" s="208" t="s">
        <v>2492</v>
      </c>
      <c r="E1222" s="208" t="s">
        <v>29</v>
      </c>
      <c r="F1222" s="208" t="s">
        <v>2486</v>
      </c>
      <c r="G1222" s="208" t="s">
        <v>2487</v>
      </c>
      <c r="H1222" s="208"/>
      <c r="I1222" s="208" t="s">
        <v>2488</v>
      </c>
      <c r="J1222" s="208" t="s">
        <v>2489</v>
      </c>
      <c r="K1222" s="208" t="s">
        <v>2490</v>
      </c>
      <c r="L1222" s="208"/>
      <c r="M1222" s="209"/>
      <c r="N1222" s="208"/>
      <c r="O1222" s="208" t="s">
        <v>260</v>
      </c>
      <c r="P1222" s="208" t="s">
        <v>91</v>
      </c>
    </row>
    <row r="1223" spans="1:16" s="187" customFormat="1" ht="18" customHeight="1">
      <c r="A1223" s="187" t="str">
        <f t="shared" si="19"/>
        <v>V10421B</v>
      </c>
      <c r="B1223" s="206" t="s">
        <v>5687</v>
      </c>
      <c r="C1223" s="206"/>
      <c r="D1223" s="206" t="s">
        <v>5873</v>
      </c>
      <c r="E1223" s="206" t="s">
        <v>29</v>
      </c>
      <c r="F1223" s="206" t="s">
        <v>5874</v>
      </c>
      <c r="G1223" s="206"/>
      <c r="H1223" s="206"/>
      <c r="I1223" s="206"/>
      <c r="J1223" s="206"/>
      <c r="K1223" s="206"/>
      <c r="L1223" s="206"/>
      <c r="M1223" s="207"/>
      <c r="N1223" s="206"/>
      <c r="O1223" s="206"/>
      <c r="P1223" s="206" t="s">
        <v>91</v>
      </c>
    </row>
    <row r="1224" spans="1:16" s="187" customFormat="1" ht="18" customHeight="1">
      <c r="A1224" s="187" t="str">
        <f t="shared" si="19"/>
        <v>V10421C</v>
      </c>
      <c r="B1224" s="208" t="s">
        <v>5687</v>
      </c>
      <c r="C1224" s="208"/>
      <c r="D1224" s="208" t="s">
        <v>5688</v>
      </c>
      <c r="E1224" s="208" t="s">
        <v>29</v>
      </c>
      <c r="F1224" s="208" t="s">
        <v>5689</v>
      </c>
      <c r="G1224" s="208"/>
      <c r="H1224" s="208"/>
      <c r="I1224" s="208"/>
      <c r="J1224" s="208" t="s">
        <v>5690</v>
      </c>
      <c r="K1224" s="208" t="s">
        <v>5691</v>
      </c>
      <c r="L1224" s="208"/>
      <c r="M1224" s="209"/>
      <c r="N1224" s="208"/>
      <c r="O1224" s="208" t="s">
        <v>260</v>
      </c>
      <c r="P1224" s="208" t="s">
        <v>91</v>
      </c>
    </row>
    <row r="1225" spans="1:16" s="187" customFormat="1" ht="18" customHeight="1">
      <c r="A1225" s="187" t="str">
        <f t="shared" si="19"/>
        <v>V4028C0</v>
      </c>
      <c r="B1225" s="206" t="s">
        <v>2494</v>
      </c>
      <c r="C1225" s="206"/>
      <c r="D1225" s="206" t="s">
        <v>2493</v>
      </c>
      <c r="E1225" s="206" t="s">
        <v>29</v>
      </c>
      <c r="F1225" s="206" t="s">
        <v>2495</v>
      </c>
      <c r="G1225" s="206" t="s">
        <v>2496</v>
      </c>
      <c r="H1225" s="206"/>
      <c r="I1225" s="206"/>
      <c r="J1225" s="206" t="s">
        <v>2497</v>
      </c>
      <c r="K1225" s="206" t="s">
        <v>2498</v>
      </c>
      <c r="L1225" s="206"/>
      <c r="M1225" s="207"/>
      <c r="N1225" s="206"/>
      <c r="O1225" s="206" t="s">
        <v>131</v>
      </c>
      <c r="P1225" s="206" t="s">
        <v>107</v>
      </c>
    </row>
    <row r="1226" spans="1:16" s="187" customFormat="1" ht="18" customHeight="1">
      <c r="A1226" s="187" t="str">
        <f t="shared" si="19"/>
        <v>V10173A</v>
      </c>
      <c r="B1226" s="208" t="s">
        <v>2500</v>
      </c>
      <c r="C1226" s="208"/>
      <c r="D1226" s="208" t="s">
        <v>2499</v>
      </c>
      <c r="E1226" s="208" t="s">
        <v>29</v>
      </c>
      <c r="F1226" s="208" t="s">
        <v>2501</v>
      </c>
      <c r="G1226" s="208" t="s">
        <v>2502</v>
      </c>
      <c r="H1226" s="208"/>
      <c r="I1226" s="208"/>
      <c r="J1226" s="208" t="s">
        <v>2503</v>
      </c>
      <c r="K1226" s="208" t="s">
        <v>2504</v>
      </c>
      <c r="L1226" s="208"/>
      <c r="M1226" s="209"/>
      <c r="N1226" s="208"/>
      <c r="O1226" s="208" t="s">
        <v>260</v>
      </c>
      <c r="P1226" s="208" t="s">
        <v>91</v>
      </c>
    </row>
    <row r="1227" spans="1:16" s="187" customFormat="1" ht="18" customHeight="1">
      <c r="A1227" s="187" t="str">
        <f t="shared" si="19"/>
        <v>V10173B</v>
      </c>
      <c r="B1227" s="206" t="s">
        <v>2500</v>
      </c>
      <c r="C1227" s="206"/>
      <c r="D1227" s="206" t="s">
        <v>2505</v>
      </c>
      <c r="E1227" s="206" t="s">
        <v>29</v>
      </c>
      <c r="F1227" s="206" t="s">
        <v>2501</v>
      </c>
      <c r="G1227" s="206" t="s">
        <v>2502</v>
      </c>
      <c r="H1227" s="206"/>
      <c r="I1227" s="206"/>
      <c r="J1227" s="206" t="s">
        <v>2503</v>
      </c>
      <c r="K1227" s="206" t="s">
        <v>2504</v>
      </c>
      <c r="L1227" s="206"/>
      <c r="M1227" s="207"/>
      <c r="N1227" s="206"/>
      <c r="O1227" s="206" t="s">
        <v>260</v>
      </c>
      <c r="P1227" s="206" t="s">
        <v>91</v>
      </c>
    </row>
    <row r="1228" spans="1:16" s="187" customFormat="1" ht="18" customHeight="1">
      <c r="A1228" s="187" t="str">
        <f t="shared" si="19"/>
        <v>V10173C</v>
      </c>
      <c r="B1228" s="208" t="s">
        <v>2500</v>
      </c>
      <c r="C1228" s="208"/>
      <c r="D1228" s="208" t="s">
        <v>2506</v>
      </c>
      <c r="E1228" s="208" t="s">
        <v>29</v>
      </c>
      <c r="F1228" s="208" t="s">
        <v>2501</v>
      </c>
      <c r="G1228" s="208" t="s">
        <v>2502</v>
      </c>
      <c r="H1228" s="208"/>
      <c r="I1228" s="208"/>
      <c r="J1228" s="208" t="s">
        <v>2503</v>
      </c>
      <c r="K1228" s="208" t="s">
        <v>2504</v>
      </c>
      <c r="L1228" s="208"/>
      <c r="M1228" s="209"/>
      <c r="N1228" s="208"/>
      <c r="O1228" s="208" t="s">
        <v>260</v>
      </c>
      <c r="P1228" s="208" t="s">
        <v>91</v>
      </c>
    </row>
    <row r="1229" spans="1:16" s="187" customFormat="1" ht="18" customHeight="1">
      <c r="A1229" s="187" t="str">
        <f t="shared" si="19"/>
        <v>V10068A</v>
      </c>
      <c r="B1229" s="206" t="s">
        <v>2512</v>
      </c>
      <c r="C1229" s="206"/>
      <c r="D1229" s="206" t="s">
        <v>2511</v>
      </c>
      <c r="E1229" s="206" t="s">
        <v>29</v>
      </c>
      <c r="F1229" s="206" t="s">
        <v>2513</v>
      </c>
      <c r="G1229" s="206" t="s">
        <v>2514</v>
      </c>
      <c r="H1229" s="206"/>
      <c r="I1229" s="206"/>
      <c r="J1229" s="206" t="s">
        <v>2515</v>
      </c>
      <c r="K1229" s="206" t="s">
        <v>2516</v>
      </c>
      <c r="L1229" s="206"/>
      <c r="M1229" s="207"/>
      <c r="N1229" s="206"/>
      <c r="O1229" s="206" t="s">
        <v>260</v>
      </c>
      <c r="P1229" s="206" t="s">
        <v>91</v>
      </c>
    </row>
    <row r="1230" spans="1:16" s="187" customFormat="1" ht="18" customHeight="1">
      <c r="A1230" s="187" t="str">
        <f t="shared" si="19"/>
        <v>V10068B</v>
      </c>
      <c r="B1230" s="208" t="s">
        <v>2512</v>
      </c>
      <c r="C1230" s="208"/>
      <c r="D1230" s="208" t="s">
        <v>2517</v>
      </c>
      <c r="E1230" s="208" t="s">
        <v>29</v>
      </c>
      <c r="F1230" s="208" t="s">
        <v>2513</v>
      </c>
      <c r="G1230" s="208" t="s">
        <v>2514</v>
      </c>
      <c r="H1230" s="208"/>
      <c r="I1230" s="208"/>
      <c r="J1230" s="208" t="s">
        <v>2518</v>
      </c>
      <c r="K1230" s="208" t="s">
        <v>2516</v>
      </c>
      <c r="L1230" s="208"/>
      <c r="M1230" s="209"/>
      <c r="N1230" s="208"/>
      <c r="O1230" s="208" t="s">
        <v>260</v>
      </c>
      <c r="P1230" s="208" t="s">
        <v>91</v>
      </c>
    </row>
    <row r="1231" spans="1:16" s="187" customFormat="1" ht="18" customHeight="1">
      <c r="A1231" s="187" t="str">
        <f t="shared" si="19"/>
        <v>V10068C</v>
      </c>
      <c r="B1231" s="206" t="s">
        <v>2512</v>
      </c>
      <c r="C1231" s="206"/>
      <c r="D1231" s="206" t="s">
        <v>2519</v>
      </c>
      <c r="E1231" s="206" t="s">
        <v>29</v>
      </c>
      <c r="F1231" s="206" t="s">
        <v>2513</v>
      </c>
      <c r="G1231" s="206" t="s">
        <v>2514</v>
      </c>
      <c r="H1231" s="206"/>
      <c r="I1231" s="206"/>
      <c r="J1231" s="206" t="s">
        <v>2520</v>
      </c>
      <c r="K1231" s="206" t="s">
        <v>2516</v>
      </c>
      <c r="L1231" s="206"/>
      <c r="M1231" s="207"/>
      <c r="N1231" s="206"/>
      <c r="O1231" s="206" t="s">
        <v>260</v>
      </c>
      <c r="P1231" s="206" t="s">
        <v>91</v>
      </c>
    </row>
    <row r="1232" spans="1:16" s="187" customFormat="1" ht="18" customHeight="1">
      <c r="A1232" s="187" t="str">
        <f t="shared" si="19"/>
        <v>V10168A</v>
      </c>
      <c r="B1232" s="208" t="s">
        <v>2522</v>
      </c>
      <c r="C1232" s="208"/>
      <c r="D1232" s="208" t="s">
        <v>2521</v>
      </c>
      <c r="E1232" s="208" t="s">
        <v>29</v>
      </c>
      <c r="F1232" s="208" t="s">
        <v>2523</v>
      </c>
      <c r="G1232" s="208" t="s">
        <v>2524</v>
      </c>
      <c r="H1232" s="208"/>
      <c r="I1232" s="208" t="s">
        <v>2525</v>
      </c>
      <c r="J1232" s="208" t="s">
        <v>2526</v>
      </c>
      <c r="K1232" s="208" t="s">
        <v>2527</v>
      </c>
      <c r="L1232" s="208"/>
      <c r="M1232" s="209"/>
      <c r="N1232" s="208"/>
      <c r="O1232" s="208" t="s">
        <v>260</v>
      </c>
      <c r="P1232" s="208" t="s">
        <v>91</v>
      </c>
    </row>
    <row r="1233" spans="1:16" s="187" customFormat="1" ht="18" customHeight="1">
      <c r="A1233" s="187" t="str">
        <f t="shared" si="19"/>
        <v>V10168B</v>
      </c>
      <c r="B1233" s="206" t="s">
        <v>2522</v>
      </c>
      <c r="C1233" s="206"/>
      <c r="D1233" s="206" t="s">
        <v>2528</v>
      </c>
      <c r="E1233" s="206" t="s">
        <v>29</v>
      </c>
      <c r="F1233" s="206" t="s">
        <v>2523</v>
      </c>
      <c r="G1233" s="206" t="s">
        <v>2524</v>
      </c>
      <c r="H1233" s="206"/>
      <c r="I1233" s="206" t="s">
        <v>2525</v>
      </c>
      <c r="J1233" s="206" t="s">
        <v>2526</v>
      </c>
      <c r="K1233" s="206" t="s">
        <v>2527</v>
      </c>
      <c r="L1233" s="206"/>
      <c r="M1233" s="207"/>
      <c r="N1233" s="206"/>
      <c r="O1233" s="206" t="s">
        <v>260</v>
      </c>
      <c r="P1233" s="206" t="s">
        <v>91</v>
      </c>
    </row>
    <row r="1234" spans="1:16" s="187" customFormat="1" ht="18" customHeight="1">
      <c r="A1234" s="187" t="str">
        <f t="shared" si="19"/>
        <v>V10168C</v>
      </c>
      <c r="B1234" s="208" t="s">
        <v>2522</v>
      </c>
      <c r="C1234" s="208"/>
      <c r="D1234" s="208" t="s">
        <v>2529</v>
      </c>
      <c r="E1234" s="208" t="s">
        <v>29</v>
      </c>
      <c r="F1234" s="208" t="s">
        <v>2523</v>
      </c>
      <c r="G1234" s="208" t="s">
        <v>2524</v>
      </c>
      <c r="H1234" s="208"/>
      <c r="I1234" s="208" t="s">
        <v>2525</v>
      </c>
      <c r="J1234" s="208" t="s">
        <v>2526</v>
      </c>
      <c r="K1234" s="208" t="s">
        <v>2527</v>
      </c>
      <c r="L1234" s="208"/>
      <c r="M1234" s="209"/>
      <c r="N1234" s="208"/>
      <c r="O1234" s="208" t="s">
        <v>260</v>
      </c>
      <c r="P1234" s="208" t="s">
        <v>91</v>
      </c>
    </row>
    <row r="1235" spans="1:16" s="187" customFormat="1" ht="18" customHeight="1">
      <c r="A1235" s="187" t="str">
        <f t="shared" si="19"/>
        <v>V10154A</v>
      </c>
      <c r="B1235" s="206" t="s">
        <v>2531</v>
      </c>
      <c r="C1235" s="206"/>
      <c r="D1235" s="206" t="s">
        <v>2530</v>
      </c>
      <c r="E1235" s="206" t="s">
        <v>29</v>
      </c>
      <c r="F1235" s="206" t="s">
        <v>2532</v>
      </c>
      <c r="G1235" s="206" t="s">
        <v>2533</v>
      </c>
      <c r="H1235" s="206"/>
      <c r="I1235" s="206" t="s">
        <v>2534</v>
      </c>
      <c r="J1235" s="206" t="s">
        <v>2535</v>
      </c>
      <c r="K1235" s="206" t="s">
        <v>2536</v>
      </c>
      <c r="L1235" s="206"/>
      <c r="M1235" s="207"/>
      <c r="N1235" s="206"/>
      <c r="O1235" s="206" t="s">
        <v>260</v>
      </c>
      <c r="P1235" s="206" t="s">
        <v>91</v>
      </c>
    </row>
    <row r="1236" spans="1:16" s="187" customFormat="1" ht="18" customHeight="1">
      <c r="A1236" s="187" t="str">
        <f t="shared" si="19"/>
        <v>V10154B</v>
      </c>
      <c r="B1236" s="208" t="s">
        <v>2531</v>
      </c>
      <c r="C1236" s="208"/>
      <c r="D1236" s="208" t="s">
        <v>2537</v>
      </c>
      <c r="E1236" s="208" t="s">
        <v>29</v>
      </c>
      <c r="F1236" s="208" t="s">
        <v>2532</v>
      </c>
      <c r="G1236" s="208" t="s">
        <v>2533</v>
      </c>
      <c r="H1236" s="208"/>
      <c r="I1236" s="208" t="s">
        <v>2534</v>
      </c>
      <c r="J1236" s="208" t="s">
        <v>2535</v>
      </c>
      <c r="K1236" s="208" t="s">
        <v>2536</v>
      </c>
      <c r="L1236" s="208"/>
      <c r="M1236" s="209"/>
      <c r="N1236" s="208"/>
      <c r="O1236" s="208" t="s">
        <v>260</v>
      </c>
      <c r="P1236" s="208" t="s">
        <v>91</v>
      </c>
    </row>
    <row r="1237" spans="1:16" s="187" customFormat="1" ht="18" customHeight="1">
      <c r="A1237" s="187" t="str">
        <f t="shared" si="19"/>
        <v>V10154C</v>
      </c>
      <c r="B1237" s="206" t="s">
        <v>2531</v>
      </c>
      <c r="C1237" s="206"/>
      <c r="D1237" s="206" t="s">
        <v>2538</v>
      </c>
      <c r="E1237" s="206" t="s">
        <v>29</v>
      </c>
      <c r="F1237" s="206" t="s">
        <v>2532</v>
      </c>
      <c r="G1237" s="206" t="s">
        <v>2533</v>
      </c>
      <c r="H1237" s="206"/>
      <c r="I1237" s="206" t="s">
        <v>2534</v>
      </c>
      <c r="J1237" s="206" t="s">
        <v>2535</v>
      </c>
      <c r="K1237" s="206" t="s">
        <v>2536</v>
      </c>
      <c r="L1237" s="206"/>
      <c r="M1237" s="207"/>
      <c r="N1237" s="206"/>
      <c r="O1237" s="206" t="s">
        <v>260</v>
      </c>
      <c r="P1237" s="206" t="s">
        <v>91</v>
      </c>
    </row>
    <row r="1238" spans="1:16" s="187" customFormat="1" ht="18" customHeight="1">
      <c r="A1238" s="187" t="str">
        <f t="shared" si="19"/>
        <v>V10083A</v>
      </c>
      <c r="B1238" s="208" t="s">
        <v>2540</v>
      </c>
      <c r="C1238" s="208"/>
      <c r="D1238" s="208" t="s">
        <v>2539</v>
      </c>
      <c r="E1238" s="208" t="s">
        <v>29</v>
      </c>
      <c r="F1238" s="208" t="s">
        <v>2541</v>
      </c>
      <c r="G1238" s="208" t="s">
        <v>2542</v>
      </c>
      <c r="H1238" s="208"/>
      <c r="I1238" s="208"/>
      <c r="J1238" s="208" t="s">
        <v>2543</v>
      </c>
      <c r="K1238" s="208" t="s">
        <v>2544</v>
      </c>
      <c r="L1238" s="208"/>
      <c r="M1238" s="209"/>
      <c r="N1238" s="208"/>
      <c r="O1238" s="208" t="s">
        <v>260</v>
      </c>
      <c r="P1238" s="208" t="s">
        <v>91</v>
      </c>
    </row>
    <row r="1239" spans="1:16" s="187" customFormat="1" ht="18" customHeight="1">
      <c r="A1239" s="187" t="str">
        <f t="shared" si="19"/>
        <v>V10083B</v>
      </c>
      <c r="B1239" s="206" t="s">
        <v>2540</v>
      </c>
      <c r="C1239" s="206"/>
      <c r="D1239" s="206" t="s">
        <v>2545</v>
      </c>
      <c r="E1239" s="206" t="s">
        <v>29</v>
      </c>
      <c r="F1239" s="206" t="s">
        <v>2541</v>
      </c>
      <c r="G1239" s="206" t="s">
        <v>2542</v>
      </c>
      <c r="H1239" s="206"/>
      <c r="I1239" s="206"/>
      <c r="J1239" s="206" t="s">
        <v>2543</v>
      </c>
      <c r="K1239" s="206" t="s">
        <v>2544</v>
      </c>
      <c r="L1239" s="206"/>
      <c r="M1239" s="207"/>
      <c r="N1239" s="206"/>
      <c r="O1239" s="206" t="s">
        <v>260</v>
      </c>
      <c r="P1239" s="206" t="s">
        <v>91</v>
      </c>
    </row>
    <row r="1240" spans="1:16" s="187" customFormat="1" ht="18" customHeight="1">
      <c r="A1240" s="187" t="str">
        <f t="shared" si="19"/>
        <v>V10083C</v>
      </c>
      <c r="B1240" s="208" t="s">
        <v>2540</v>
      </c>
      <c r="C1240" s="208"/>
      <c r="D1240" s="208" t="s">
        <v>2546</v>
      </c>
      <c r="E1240" s="208" t="s">
        <v>29</v>
      </c>
      <c r="F1240" s="208" t="s">
        <v>2541</v>
      </c>
      <c r="G1240" s="208" t="s">
        <v>2542</v>
      </c>
      <c r="H1240" s="208"/>
      <c r="I1240" s="208"/>
      <c r="J1240" s="208" t="s">
        <v>2543</v>
      </c>
      <c r="K1240" s="208" t="s">
        <v>2544</v>
      </c>
      <c r="L1240" s="208"/>
      <c r="M1240" s="209"/>
      <c r="N1240" s="208"/>
      <c r="O1240" s="208" t="s">
        <v>260</v>
      </c>
      <c r="P1240" s="208" t="s">
        <v>91</v>
      </c>
    </row>
    <row r="1241" spans="1:16" s="187" customFormat="1" ht="18" customHeight="1">
      <c r="A1241" s="187" t="str">
        <f t="shared" si="19"/>
        <v>V10195A</v>
      </c>
      <c r="B1241" s="206" t="s">
        <v>2548</v>
      </c>
      <c r="C1241" s="206"/>
      <c r="D1241" s="206" t="s">
        <v>2547</v>
      </c>
      <c r="E1241" s="206" t="s">
        <v>29</v>
      </c>
      <c r="F1241" s="206" t="s">
        <v>2549</v>
      </c>
      <c r="G1241" s="206" t="s">
        <v>2550</v>
      </c>
      <c r="H1241" s="206"/>
      <c r="I1241" s="206" t="s">
        <v>2551</v>
      </c>
      <c r="J1241" s="206" t="s">
        <v>4418</v>
      </c>
      <c r="K1241" s="206" t="s">
        <v>4419</v>
      </c>
      <c r="L1241" s="206"/>
      <c r="M1241" s="207"/>
      <c r="N1241" s="206"/>
      <c r="O1241" s="206" t="s">
        <v>260</v>
      </c>
      <c r="P1241" s="206" t="s">
        <v>91</v>
      </c>
    </row>
    <row r="1242" spans="1:16" s="187" customFormat="1" ht="18" customHeight="1">
      <c r="A1242" s="187" t="str">
        <f t="shared" si="19"/>
        <v>V10195B</v>
      </c>
      <c r="B1242" s="208" t="s">
        <v>2548</v>
      </c>
      <c r="C1242" s="208"/>
      <c r="D1242" s="208" t="s">
        <v>2552</v>
      </c>
      <c r="E1242" s="208" t="s">
        <v>29</v>
      </c>
      <c r="F1242" s="208" t="s">
        <v>2549</v>
      </c>
      <c r="G1242" s="208" t="s">
        <v>2550</v>
      </c>
      <c r="H1242" s="208"/>
      <c r="I1242" s="208" t="s">
        <v>2551</v>
      </c>
      <c r="J1242" s="208" t="s">
        <v>4418</v>
      </c>
      <c r="K1242" s="208" t="s">
        <v>4419</v>
      </c>
      <c r="L1242" s="208"/>
      <c r="M1242" s="209"/>
      <c r="N1242" s="208"/>
      <c r="O1242" s="208" t="s">
        <v>260</v>
      </c>
      <c r="P1242" s="208" t="s">
        <v>91</v>
      </c>
    </row>
    <row r="1243" spans="1:16" s="187" customFormat="1" ht="18" customHeight="1">
      <c r="A1243" s="187" t="str">
        <f t="shared" si="19"/>
        <v>V10195C</v>
      </c>
      <c r="B1243" s="206" t="s">
        <v>2548</v>
      </c>
      <c r="C1243" s="206"/>
      <c r="D1243" s="206" t="s">
        <v>2553</v>
      </c>
      <c r="E1243" s="206" t="s">
        <v>29</v>
      </c>
      <c r="F1243" s="206" t="s">
        <v>2549</v>
      </c>
      <c r="G1243" s="206" t="s">
        <v>2550</v>
      </c>
      <c r="H1243" s="206"/>
      <c r="I1243" s="206" t="s">
        <v>2551</v>
      </c>
      <c r="J1243" s="206" t="s">
        <v>4418</v>
      </c>
      <c r="K1243" s="206" t="s">
        <v>4419</v>
      </c>
      <c r="L1243" s="206"/>
      <c r="M1243" s="207"/>
      <c r="N1243" s="206"/>
      <c r="O1243" s="206" t="s">
        <v>260</v>
      </c>
      <c r="P1243" s="206" t="s">
        <v>91</v>
      </c>
    </row>
    <row r="1244" spans="1:16" s="187" customFormat="1" ht="18" customHeight="1">
      <c r="A1244" s="187" t="str">
        <f t="shared" si="19"/>
        <v>V10005A</v>
      </c>
      <c r="B1244" s="208" t="s">
        <v>5251</v>
      </c>
      <c r="C1244" s="208"/>
      <c r="D1244" s="208" t="s">
        <v>2838</v>
      </c>
      <c r="E1244" s="208" t="s">
        <v>29</v>
      </c>
      <c r="F1244" s="208" t="s">
        <v>5053</v>
      </c>
      <c r="G1244" s="208" t="s">
        <v>2839</v>
      </c>
      <c r="H1244" s="208"/>
      <c r="I1244" s="208" t="s">
        <v>2840</v>
      </c>
      <c r="J1244" s="208" t="s">
        <v>4464</v>
      </c>
      <c r="K1244" s="208" t="s">
        <v>2841</v>
      </c>
      <c r="L1244" s="208"/>
      <c r="M1244" s="209"/>
      <c r="N1244" s="208"/>
      <c r="O1244" s="208" t="s">
        <v>260</v>
      </c>
      <c r="P1244" s="208" t="s">
        <v>91</v>
      </c>
    </row>
    <row r="1245" spans="1:16" s="187" customFormat="1" ht="18" customHeight="1">
      <c r="A1245" s="187" t="str">
        <f t="shared" si="19"/>
        <v>V10005B</v>
      </c>
      <c r="B1245" s="206" t="s">
        <v>5251</v>
      </c>
      <c r="C1245" s="206"/>
      <c r="D1245" s="206" t="s">
        <v>2842</v>
      </c>
      <c r="E1245" s="206" t="s">
        <v>29</v>
      </c>
      <c r="F1245" s="206" t="s">
        <v>5053</v>
      </c>
      <c r="G1245" s="206" t="s">
        <v>2839</v>
      </c>
      <c r="H1245" s="206"/>
      <c r="I1245" s="206" t="s">
        <v>2840</v>
      </c>
      <c r="J1245" s="206" t="s">
        <v>4464</v>
      </c>
      <c r="K1245" s="206" t="s">
        <v>2841</v>
      </c>
      <c r="L1245" s="206"/>
      <c r="M1245" s="207"/>
      <c r="N1245" s="206"/>
      <c r="O1245" s="206" t="s">
        <v>260</v>
      </c>
      <c r="P1245" s="206" t="s">
        <v>91</v>
      </c>
    </row>
    <row r="1246" spans="1:16" s="187" customFormat="1" ht="18" customHeight="1">
      <c r="A1246" s="187" t="str">
        <f t="shared" si="19"/>
        <v>V10005C</v>
      </c>
      <c r="B1246" s="208" t="s">
        <v>6414</v>
      </c>
      <c r="C1246" s="208"/>
      <c r="D1246" s="208" t="s">
        <v>2843</v>
      </c>
      <c r="E1246" s="208" t="s">
        <v>29</v>
      </c>
      <c r="F1246" s="208" t="s">
        <v>5053</v>
      </c>
      <c r="G1246" s="208" t="s">
        <v>2839</v>
      </c>
      <c r="H1246" s="208"/>
      <c r="I1246" s="208" t="s">
        <v>2840</v>
      </c>
      <c r="J1246" s="208" t="s">
        <v>4464</v>
      </c>
      <c r="K1246" s="208" t="s">
        <v>2841</v>
      </c>
      <c r="L1246" s="208"/>
      <c r="M1246" s="209"/>
      <c r="N1246" s="208"/>
      <c r="O1246" s="208" t="s">
        <v>260</v>
      </c>
      <c r="P1246" s="208" t="s">
        <v>91</v>
      </c>
    </row>
    <row r="1247" spans="1:16" s="187" customFormat="1" ht="18" customHeight="1">
      <c r="A1247" s="187" t="str">
        <f t="shared" si="19"/>
        <v>V10231A</v>
      </c>
      <c r="B1247" s="206" t="s">
        <v>2555</v>
      </c>
      <c r="C1247" s="206"/>
      <c r="D1247" s="206" t="s">
        <v>2554</v>
      </c>
      <c r="E1247" s="206" t="s">
        <v>29</v>
      </c>
      <c r="F1247" s="206" t="s">
        <v>2556</v>
      </c>
      <c r="G1247" s="206" t="s">
        <v>2557</v>
      </c>
      <c r="H1247" s="206"/>
      <c r="I1247" s="206"/>
      <c r="J1247" s="206" t="s">
        <v>2558</v>
      </c>
      <c r="K1247" s="206" t="s">
        <v>2559</v>
      </c>
      <c r="L1247" s="206"/>
      <c r="M1247" s="207"/>
      <c r="N1247" s="206"/>
      <c r="O1247" s="206" t="s">
        <v>260</v>
      </c>
      <c r="P1247" s="206" t="s">
        <v>91</v>
      </c>
    </row>
    <row r="1248" spans="1:16" s="187" customFormat="1" ht="18" customHeight="1">
      <c r="A1248" s="187" t="str">
        <f t="shared" si="19"/>
        <v>V10231B</v>
      </c>
      <c r="B1248" s="208" t="s">
        <v>2555</v>
      </c>
      <c r="C1248" s="208"/>
      <c r="D1248" s="208" t="s">
        <v>2560</v>
      </c>
      <c r="E1248" s="208" t="s">
        <v>29</v>
      </c>
      <c r="F1248" s="208" t="s">
        <v>2556</v>
      </c>
      <c r="G1248" s="208" t="s">
        <v>2557</v>
      </c>
      <c r="H1248" s="208"/>
      <c r="I1248" s="208"/>
      <c r="J1248" s="208" t="s">
        <v>2558</v>
      </c>
      <c r="K1248" s="208" t="s">
        <v>2559</v>
      </c>
      <c r="L1248" s="208"/>
      <c r="M1248" s="209"/>
      <c r="N1248" s="208"/>
      <c r="O1248" s="208" t="s">
        <v>260</v>
      </c>
      <c r="P1248" s="208" t="s">
        <v>91</v>
      </c>
    </row>
    <row r="1249" spans="1:16" s="187" customFormat="1" ht="18" customHeight="1">
      <c r="A1249" s="187" t="str">
        <f t="shared" si="19"/>
        <v>V10231C</v>
      </c>
      <c r="B1249" s="206" t="s">
        <v>2555</v>
      </c>
      <c r="C1249" s="206"/>
      <c r="D1249" s="206" t="s">
        <v>2561</v>
      </c>
      <c r="E1249" s="206" t="s">
        <v>29</v>
      </c>
      <c r="F1249" s="206" t="s">
        <v>2556</v>
      </c>
      <c r="G1249" s="206" t="s">
        <v>2557</v>
      </c>
      <c r="H1249" s="206"/>
      <c r="I1249" s="206"/>
      <c r="J1249" s="206" t="s">
        <v>2558</v>
      </c>
      <c r="K1249" s="206" t="s">
        <v>2559</v>
      </c>
      <c r="L1249" s="206"/>
      <c r="M1249" s="207"/>
      <c r="N1249" s="206"/>
      <c r="O1249" s="206" t="s">
        <v>260</v>
      </c>
      <c r="P1249" s="206" t="s">
        <v>91</v>
      </c>
    </row>
    <row r="1250" spans="1:16" s="187" customFormat="1" ht="18" customHeight="1">
      <c r="A1250" s="187" t="str">
        <f t="shared" si="19"/>
        <v>V10338C</v>
      </c>
      <c r="B1250" s="208" t="s">
        <v>4421</v>
      </c>
      <c r="C1250" s="208"/>
      <c r="D1250" s="208" t="s">
        <v>4420</v>
      </c>
      <c r="E1250" s="208" t="s">
        <v>29</v>
      </c>
      <c r="F1250" s="208" t="s">
        <v>4422</v>
      </c>
      <c r="G1250" s="208" t="s">
        <v>4423</v>
      </c>
      <c r="H1250" s="208"/>
      <c r="I1250" s="208"/>
      <c r="J1250" s="208" t="s">
        <v>4424</v>
      </c>
      <c r="K1250" s="208" t="s">
        <v>4425</v>
      </c>
      <c r="L1250" s="208"/>
      <c r="M1250" s="209"/>
      <c r="N1250" s="208"/>
      <c r="O1250" s="208"/>
      <c r="P1250" s="208" t="s">
        <v>91</v>
      </c>
    </row>
    <row r="1251" spans="1:16" s="187" customFormat="1" ht="18" customHeight="1">
      <c r="A1251" s="187" t="str">
        <f t="shared" si="19"/>
        <v>V10498C</v>
      </c>
      <c r="B1251" s="206" t="s">
        <v>6201</v>
      </c>
      <c r="C1251" s="206"/>
      <c r="D1251" s="206" t="s">
        <v>6202</v>
      </c>
      <c r="E1251" s="206" t="s">
        <v>29</v>
      </c>
      <c r="F1251" s="206" t="s">
        <v>6203</v>
      </c>
      <c r="G1251" s="206" t="s">
        <v>6204</v>
      </c>
      <c r="H1251" s="206"/>
      <c r="I1251" s="206"/>
      <c r="J1251" s="206" t="s">
        <v>6205</v>
      </c>
      <c r="K1251" s="206" t="s">
        <v>6206</v>
      </c>
      <c r="L1251" s="206"/>
      <c r="M1251" s="207"/>
      <c r="N1251" s="206"/>
      <c r="O1251" s="206" t="s">
        <v>260</v>
      </c>
      <c r="P1251" s="206" t="s">
        <v>91</v>
      </c>
    </row>
    <row r="1252" spans="1:16" s="187" customFormat="1" ht="18" customHeight="1">
      <c r="A1252" s="187" t="str">
        <f t="shared" si="19"/>
        <v>V10498B</v>
      </c>
      <c r="B1252" s="208" t="s">
        <v>6201</v>
      </c>
      <c r="C1252" s="208"/>
      <c r="D1252" s="208" t="s">
        <v>6415</v>
      </c>
      <c r="E1252" s="208" t="s">
        <v>29</v>
      </c>
      <c r="F1252" s="208" t="s">
        <v>6203</v>
      </c>
      <c r="G1252" s="208" t="s">
        <v>6204</v>
      </c>
      <c r="H1252" s="208"/>
      <c r="I1252" s="208"/>
      <c r="J1252" s="208" t="s">
        <v>6205</v>
      </c>
      <c r="K1252" s="208" t="s">
        <v>6206</v>
      </c>
      <c r="L1252" s="208"/>
      <c r="M1252" s="209"/>
      <c r="N1252" s="208"/>
      <c r="O1252" s="208" t="s">
        <v>260</v>
      </c>
      <c r="P1252" s="208" t="s">
        <v>91</v>
      </c>
    </row>
    <row r="1253" spans="1:16" s="187" customFormat="1" ht="18" customHeight="1">
      <c r="A1253" s="187" t="str">
        <f t="shared" si="19"/>
        <v>V10538C</v>
      </c>
      <c r="B1253" s="206" t="s">
        <v>6416</v>
      </c>
      <c r="C1253" s="206"/>
      <c r="D1253" s="206" t="s">
        <v>6417</v>
      </c>
      <c r="E1253" s="206" t="s">
        <v>29</v>
      </c>
      <c r="F1253" s="206" t="s">
        <v>6418</v>
      </c>
      <c r="G1253" s="206"/>
      <c r="H1253" s="206"/>
      <c r="I1253" s="206"/>
      <c r="J1253" s="206" t="s">
        <v>6419</v>
      </c>
      <c r="K1253" s="206" t="s">
        <v>6420</v>
      </c>
      <c r="L1253" s="206"/>
      <c r="M1253" s="207"/>
      <c r="N1253" s="206"/>
      <c r="O1253" s="206" t="s">
        <v>260</v>
      </c>
      <c r="P1253" s="206" t="s">
        <v>91</v>
      </c>
    </row>
    <row r="1254" spans="1:16" s="187" customFormat="1" ht="18" customHeight="1">
      <c r="A1254" s="187" t="str">
        <f t="shared" si="19"/>
        <v>V10116A</v>
      </c>
      <c r="B1254" s="208" t="s">
        <v>2563</v>
      </c>
      <c r="C1254" s="208"/>
      <c r="D1254" s="208" t="s">
        <v>2562</v>
      </c>
      <c r="E1254" s="208" t="s">
        <v>29</v>
      </c>
      <c r="F1254" s="208" t="s">
        <v>2564</v>
      </c>
      <c r="G1254" s="208" t="s">
        <v>2565</v>
      </c>
      <c r="H1254" s="208"/>
      <c r="I1254" s="208"/>
      <c r="J1254" s="208" t="s">
        <v>2566</v>
      </c>
      <c r="K1254" s="208" t="s">
        <v>2567</v>
      </c>
      <c r="L1254" s="208"/>
      <c r="M1254" s="209"/>
      <c r="N1254" s="208"/>
      <c r="O1254" s="208" t="s">
        <v>260</v>
      </c>
      <c r="P1254" s="208" t="s">
        <v>91</v>
      </c>
    </row>
    <row r="1255" spans="1:16" s="187" customFormat="1" ht="18" customHeight="1">
      <c r="A1255" s="187" t="str">
        <f t="shared" si="19"/>
        <v>V10116B</v>
      </c>
      <c r="B1255" s="206" t="s">
        <v>2563</v>
      </c>
      <c r="C1255" s="206"/>
      <c r="D1255" s="206" t="s">
        <v>2568</v>
      </c>
      <c r="E1255" s="206" t="s">
        <v>29</v>
      </c>
      <c r="F1255" s="206" t="s">
        <v>2564</v>
      </c>
      <c r="G1255" s="206" t="s">
        <v>2565</v>
      </c>
      <c r="H1255" s="206"/>
      <c r="I1255" s="206"/>
      <c r="J1255" s="206" t="s">
        <v>2566</v>
      </c>
      <c r="K1255" s="206" t="s">
        <v>2567</v>
      </c>
      <c r="L1255" s="206"/>
      <c r="M1255" s="207"/>
      <c r="N1255" s="206"/>
      <c r="O1255" s="206" t="s">
        <v>260</v>
      </c>
      <c r="P1255" s="206" t="s">
        <v>91</v>
      </c>
    </row>
    <row r="1256" spans="1:16" s="187" customFormat="1" ht="18" customHeight="1">
      <c r="A1256" s="187" t="str">
        <f t="shared" si="19"/>
        <v>V10116C</v>
      </c>
      <c r="B1256" s="208" t="s">
        <v>2563</v>
      </c>
      <c r="C1256" s="208"/>
      <c r="D1256" s="208" t="s">
        <v>2569</v>
      </c>
      <c r="E1256" s="208" t="s">
        <v>29</v>
      </c>
      <c r="F1256" s="208" t="s">
        <v>2564</v>
      </c>
      <c r="G1256" s="208" t="s">
        <v>2565</v>
      </c>
      <c r="H1256" s="208"/>
      <c r="I1256" s="208"/>
      <c r="J1256" s="208" t="s">
        <v>2566</v>
      </c>
      <c r="K1256" s="208" t="s">
        <v>2567</v>
      </c>
      <c r="L1256" s="208"/>
      <c r="M1256" s="209"/>
      <c r="N1256" s="208"/>
      <c r="O1256" s="208" t="s">
        <v>260</v>
      </c>
      <c r="P1256" s="208" t="s">
        <v>91</v>
      </c>
    </row>
    <row r="1257" spans="1:16" s="187" customFormat="1" ht="18" customHeight="1">
      <c r="A1257" s="187" t="str">
        <f t="shared" si="19"/>
        <v>V10404C</v>
      </c>
      <c r="B1257" s="206" t="s">
        <v>5466</v>
      </c>
      <c r="C1257" s="206"/>
      <c r="D1257" s="206" t="s">
        <v>5467</v>
      </c>
      <c r="E1257" s="206" t="s">
        <v>29</v>
      </c>
      <c r="F1257" s="206" t="s">
        <v>5468</v>
      </c>
      <c r="G1257" s="206"/>
      <c r="H1257" s="206"/>
      <c r="I1257" s="206"/>
      <c r="J1257" s="206" t="s">
        <v>5469</v>
      </c>
      <c r="K1257" s="206" t="s">
        <v>5470</v>
      </c>
      <c r="L1257" s="206"/>
      <c r="M1257" s="207"/>
      <c r="N1257" s="206"/>
      <c r="O1257" s="206"/>
      <c r="P1257" s="206" t="s">
        <v>91</v>
      </c>
    </row>
    <row r="1258" spans="1:16" s="187" customFormat="1" ht="18" customHeight="1">
      <c r="A1258" s="187" t="str">
        <f t="shared" si="19"/>
        <v>CG440029C0</v>
      </c>
      <c r="B1258" s="208" t="s">
        <v>2571</v>
      </c>
      <c r="C1258" s="208"/>
      <c r="D1258" s="208" t="s">
        <v>2570</v>
      </c>
      <c r="E1258" s="208" t="s">
        <v>151</v>
      </c>
      <c r="F1258" s="208" t="s">
        <v>2572</v>
      </c>
      <c r="G1258" s="208" t="s">
        <v>2573</v>
      </c>
      <c r="H1258" s="208"/>
      <c r="I1258" s="208"/>
      <c r="J1258" s="208"/>
      <c r="K1258" s="208"/>
      <c r="L1258" s="208"/>
      <c r="M1258" s="209"/>
      <c r="N1258" s="208"/>
      <c r="O1258" s="208"/>
      <c r="P1258" s="208" t="s">
        <v>107</v>
      </c>
    </row>
    <row r="1259" spans="1:16" s="187" customFormat="1" ht="18" customHeight="1">
      <c r="A1259" s="187" t="str">
        <f t="shared" si="19"/>
        <v>V4029C0</v>
      </c>
      <c r="B1259" s="206" t="s">
        <v>2575</v>
      </c>
      <c r="C1259" s="206"/>
      <c r="D1259" s="206" t="s">
        <v>2574</v>
      </c>
      <c r="E1259" s="206" t="s">
        <v>29</v>
      </c>
      <c r="F1259" s="206" t="s">
        <v>2576</v>
      </c>
      <c r="G1259" s="206" t="s">
        <v>2577</v>
      </c>
      <c r="H1259" s="206"/>
      <c r="I1259" s="206"/>
      <c r="J1259" s="206" t="s">
        <v>2578</v>
      </c>
      <c r="K1259" s="206" t="s">
        <v>2579</v>
      </c>
      <c r="L1259" s="206"/>
      <c r="M1259" s="207"/>
      <c r="N1259" s="206"/>
      <c r="O1259" s="206" t="s">
        <v>131</v>
      </c>
      <c r="P1259" s="206" t="s">
        <v>107</v>
      </c>
    </row>
    <row r="1260" spans="1:16" s="187" customFormat="1" ht="18" customHeight="1">
      <c r="A1260" s="187" t="str">
        <f t="shared" si="19"/>
        <v>CG440009C0</v>
      </c>
      <c r="B1260" s="208" t="s">
        <v>2575</v>
      </c>
      <c r="C1260" s="208"/>
      <c r="D1260" s="208" t="s">
        <v>2580</v>
      </c>
      <c r="E1260" s="208" t="s">
        <v>29</v>
      </c>
      <c r="F1260" s="208" t="s">
        <v>2581</v>
      </c>
      <c r="G1260" s="208"/>
      <c r="H1260" s="208"/>
      <c r="I1260" s="208"/>
      <c r="J1260" s="208"/>
      <c r="K1260" s="208"/>
      <c r="L1260" s="208"/>
      <c r="M1260" s="209"/>
      <c r="N1260" s="208"/>
      <c r="O1260" s="208"/>
      <c r="P1260" s="208" t="s">
        <v>100</v>
      </c>
    </row>
    <row r="1261" spans="1:16" s="187" customFormat="1" ht="18" customHeight="1">
      <c r="A1261" s="187" t="str">
        <f t="shared" si="19"/>
        <v>V10362C</v>
      </c>
      <c r="B1261" s="206" t="s">
        <v>4962</v>
      </c>
      <c r="C1261" s="206"/>
      <c r="D1261" s="206" t="s">
        <v>4963</v>
      </c>
      <c r="E1261" s="206" t="s">
        <v>29</v>
      </c>
      <c r="F1261" s="206" t="s">
        <v>4964</v>
      </c>
      <c r="G1261" s="206"/>
      <c r="H1261" s="206"/>
      <c r="I1261" s="206" t="s">
        <v>4965</v>
      </c>
      <c r="J1261" s="206" t="s">
        <v>4966</v>
      </c>
      <c r="K1261" s="206" t="s">
        <v>4967</v>
      </c>
      <c r="L1261" s="206"/>
      <c r="M1261" s="207"/>
      <c r="N1261" s="206"/>
      <c r="O1261" s="206"/>
      <c r="P1261" s="206" t="s">
        <v>91</v>
      </c>
    </row>
    <row r="1262" spans="1:16" s="187" customFormat="1" ht="18" customHeight="1">
      <c r="A1262" s="187" t="str">
        <f t="shared" si="19"/>
        <v>V10302C</v>
      </c>
      <c r="B1262" s="208" t="s">
        <v>4427</v>
      </c>
      <c r="C1262" s="208"/>
      <c r="D1262" s="208" t="s">
        <v>4426</v>
      </c>
      <c r="E1262" s="208" t="s">
        <v>151</v>
      </c>
      <c r="F1262" s="208" t="s">
        <v>4428</v>
      </c>
      <c r="G1262" s="208" t="s">
        <v>4429</v>
      </c>
      <c r="H1262" s="208"/>
      <c r="I1262" s="208"/>
      <c r="J1262" s="208" t="s">
        <v>4430</v>
      </c>
      <c r="K1262" s="208" t="s">
        <v>4431</v>
      </c>
      <c r="L1262" s="208"/>
      <c r="M1262" s="209"/>
      <c r="N1262" s="208"/>
      <c r="O1262" s="208"/>
      <c r="P1262" s="208" t="s">
        <v>91</v>
      </c>
    </row>
    <row r="1263" spans="1:16" s="187" customFormat="1" ht="18" customHeight="1">
      <c r="A1263" s="187" t="str">
        <f t="shared" si="19"/>
        <v>V10219A</v>
      </c>
      <c r="B1263" s="206" t="s">
        <v>2583</v>
      </c>
      <c r="C1263" s="206"/>
      <c r="D1263" s="206" t="s">
        <v>2582</v>
      </c>
      <c r="E1263" s="206" t="s">
        <v>29</v>
      </c>
      <c r="F1263" s="206" t="s">
        <v>2584</v>
      </c>
      <c r="G1263" s="206" t="s">
        <v>2585</v>
      </c>
      <c r="H1263" s="206"/>
      <c r="I1263" s="206"/>
      <c r="J1263" s="206" t="s">
        <v>2586</v>
      </c>
      <c r="K1263" s="206" t="s">
        <v>2587</v>
      </c>
      <c r="L1263" s="206"/>
      <c r="M1263" s="207"/>
      <c r="N1263" s="206"/>
      <c r="O1263" s="206" t="s">
        <v>260</v>
      </c>
      <c r="P1263" s="206" t="s">
        <v>91</v>
      </c>
    </row>
    <row r="1264" spans="1:16" s="187" customFormat="1" ht="18" customHeight="1">
      <c r="A1264" s="187" t="str">
        <f t="shared" si="19"/>
        <v>V10219B</v>
      </c>
      <c r="B1264" s="208" t="s">
        <v>2583</v>
      </c>
      <c r="C1264" s="208"/>
      <c r="D1264" s="208" t="s">
        <v>2588</v>
      </c>
      <c r="E1264" s="208" t="s">
        <v>29</v>
      </c>
      <c r="F1264" s="208" t="s">
        <v>2584</v>
      </c>
      <c r="G1264" s="208" t="s">
        <v>2585</v>
      </c>
      <c r="H1264" s="208"/>
      <c r="I1264" s="208"/>
      <c r="J1264" s="208" t="s">
        <v>2586</v>
      </c>
      <c r="K1264" s="208" t="s">
        <v>2587</v>
      </c>
      <c r="L1264" s="208"/>
      <c r="M1264" s="209"/>
      <c r="N1264" s="208"/>
      <c r="O1264" s="208" t="s">
        <v>260</v>
      </c>
      <c r="P1264" s="208" t="s">
        <v>91</v>
      </c>
    </row>
    <row r="1265" spans="1:16" s="187" customFormat="1" ht="18" customHeight="1">
      <c r="A1265" s="187" t="str">
        <f t="shared" si="19"/>
        <v>V10219C</v>
      </c>
      <c r="B1265" s="206" t="s">
        <v>2583</v>
      </c>
      <c r="C1265" s="206"/>
      <c r="D1265" s="206" t="s">
        <v>2589</v>
      </c>
      <c r="E1265" s="206" t="s">
        <v>29</v>
      </c>
      <c r="F1265" s="206" t="s">
        <v>2584</v>
      </c>
      <c r="G1265" s="206" t="s">
        <v>2585</v>
      </c>
      <c r="H1265" s="206"/>
      <c r="I1265" s="206"/>
      <c r="J1265" s="206" t="s">
        <v>2586</v>
      </c>
      <c r="K1265" s="206" t="s">
        <v>2587</v>
      </c>
      <c r="L1265" s="206"/>
      <c r="M1265" s="207"/>
      <c r="N1265" s="206"/>
      <c r="O1265" s="206" t="s">
        <v>260</v>
      </c>
      <c r="P1265" s="206" t="s">
        <v>91</v>
      </c>
    </row>
    <row r="1266" spans="1:16" s="187" customFormat="1" ht="18" customHeight="1">
      <c r="A1266" s="187" t="str">
        <f t="shared" si="19"/>
        <v>V10388C</v>
      </c>
      <c r="B1266" s="208" t="s">
        <v>5377</v>
      </c>
      <c r="C1266" s="208"/>
      <c r="D1266" s="208" t="s">
        <v>5378</v>
      </c>
      <c r="E1266" s="208" t="s">
        <v>29</v>
      </c>
      <c r="F1266" s="208" t="s">
        <v>5379</v>
      </c>
      <c r="G1266" s="208"/>
      <c r="H1266" s="208"/>
      <c r="I1266" s="208"/>
      <c r="J1266" s="208" t="s">
        <v>5380</v>
      </c>
      <c r="K1266" s="208" t="s">
        <v>5381</v>
      </c>
      <c r="L1266" s="208"/>
      <c r="M1266" s="209"/>
      <c r="N1266" s="208"/>
      <c r="O1266" s="208"/>
      <c r="P1266" s="208" t="s">
        <v>91</v>
      </c>
    </row>
    <row r="1267" spans="1:16" s="187" customFormat="1" ht="18" customHeight="1">
      <c r="A1267" s="187" t="str">
        <f t="shared" si="19"/>
        <v>V10191A</v>
      </c>
      <c r="B1267" s="206" t="s">
        <v>2591</v>
      </c>
      <c r="C1267" s="206"/>
      <c r="D1267" s="206" t="s">
        <v>2590</v>
      </c>
      <c r="E1267" s="206" t="s">
        <v>29</v>
      </c>
      <c r="F1267" s="206" t="s">
        <v>2592</v>
      </c>
      <c r="G1267" s="206"/>
      <c r="H1267" s="206"/>
      <c r="I1267" s="206" t="s">
        <v>2593</v>
      </c>
      <c r="J1267" s="206" t="s">
        <v>2594</v>
      </c>
      <c r="K1267" s="206" t="s">
        <v>2595</v>
      </c>
      <c r="L1267" s="206"/>
      <c r="M1267" s="207"/>
      <c r="N1267" s="206"/>
      <c r="O1267" s="206" t="s">
        <v>260</v>
      </c>
      <c r="P1267" s="206" t="s">
        <v>91</v>
      </c>
    </row>
    <row r="1268" spans="1:16" s="187" customFormat="1" ht="18" customHeight="1">
      <c r="A1268" s="187" t="str">
        <f t="shared" si="19"/>
        <v>V10191B</v>
      </c>
      <c r="B1268" s="208" t="s">
        <v>2591</v>
      </c>
      <c r="C1268" s="208"/>
      <c r="D1268" s="208" t="s">
        <v>2596</v>
      </c>
      <c r="E1268" s="208" t="s">
        <v>29</v>
      </c>
      <c r="F1268" s="208" t="s">
        <v>2592</v>
      </c>
      <c r="G1268" s="208"/>
      <c r="H1268" s="208"/>
      <c r="I1268" s="208" t="s">
        <v>2593</v>
      </c>
      <c r="J1268" s="208" t="s">
        <v>2594</v>
      </c>
      <c r="K1268" s="208" t="s">
        <v>2595</v>
      </c>
      <c r="L1268" s="208"/>
      <c r="M1268" s="209"/>
      <c r="N1268" s="208"/>
      <c r="O1268" s="208" t="s">
        <v>260</v>
      </c>
      <c r="P1268" s="208" t="s">
        <v>91</v>
      </c>
    </row>
    <row r="1269" spans="1:16" s="187" customFormat="1" ht="18" customHeight="1">
      <c r="A1269" s="187" t="str">
        <f t="shared" si="19"/>
        <v>V10191C</v>
      </c>
      <c r="B1269" s="206" t="s">
        <v>2591</v>
      </c>
      <c r="C1269" s="206"/>
      <c r="D1269" s="206" t="s">
        <v>2597</v>
      </c>
      <c r="E1269" s="206" t="s">
        <v>29</v>
      </c>
      <c r="F1269" s="206" t="s">
        <v>2592</v>
      </c>
      <c r="G1269" s="206"/>
      <c r="H1269" s="206"/>
      <c r="I1269" s="206" t="s">
        <v>2593</v>
      </c>
      <c r="J1269" s="206" t="s">
        <v>2594</v>
      </c>
      <c r="K1269" s="206" t="s">
        <v>2595</v>
      </c>
      <c r="L1269" s="206"/>
      <c r="M1269" s="207"/>
      <c r="N1269" s="206"/>
      <c r="O1269" s="206" t="s">
        <v>260</v>
      </c>
      <c r="P1269" s="206" t="s">
        <v>91</v>
      </c>
    </row>
    <row r="1270" spans="1:16" s="187" customFormat="1" ht="18" customHeight="1">
      <c r="A1270" s="187" t="str">
        <f t="shared" si="19"/>
        <v>V10268C</v>
      </c>
      <c r="B1270" s="208" t="s">
        <v>2599</v>
      </c>
      <c r="C1270" s="208"/>
      <c r="D1270" s="208" t="s">
        <v>2598</v>
      </c>
      <c r="E1270" s="208" t="s">
        <v>29</v>
      </c>
      <c r="F1270" s="208" t="s">
        <v>2600</v>
      </c>
      <c r="G1270" s="208" t="s">
        <v>2601</v>
      </c>
      <c r="H1270" s="208"/>
      <c r="I1270" s="208" t="s">
        <v>2602</v>
      </c>
      <c r="J1270" s="208" t="s">
        <v>2603</v>
      </c>
      <c r="K1270" s="208" t="s">
        <v>2604</v>
      </c>
      <c r="L1270" s="208"/>
      <c r="M1270" s="209"/>
      <c r="N1270" s="208"/>
      <c r="O1270" s="208"/>
      <c r="P1270" s="208" t="s">
        <v>91</v>
      </c>
    </row>
    <row r="1271" spans="1:16" s="187" customFormat="1" ht="18" customHeight="1">
      <c r="A1271" s="187" t="str">
        <f t="shared" si="19"/>
        <v>V4030C0</v>
      </c>
      <c r="B1271" s="206" t="s">
        <v>2606</v>
      </c>
      <c r="C1271" s="206"/>
      <c r="D1271" s="206" t="s">
        <v>2605</v>
      </c>
      <c r="E1271" s="206" t="s">
        <v>29</v>
      </c>
      <c r="F1271" s="206" t="s">
        <v>6421</v>
      </c>
      <c r="G1271" s="206" t="s">
        <v>2607</v>
      </c>
      <c r="H1271" s="206"/>
      <c r="I1271" s="206" t="s">
        <v>2608</v>
      </c>
      <c r="J1271" s="206" t="s">
        <v>2609</v>
      </c>
      <c r="K1271" s="206" t="s">
        <v>2610</v>
      </c>
      <c r="L1271" s="206"/>
      <c r="M1271" s="207"/>
      <c r="N1271" s="206"/>
      <c r="O1271" s="206" t="s">
        <v>131</v>
      </c>
      <c r="P1271" s="206" t="s">
        <v>107</v>
      </c>
    </row>
    <row r="1272" spans="1:16" s="187" customFormat="1" ht="18" customHeight="1">
      <c r="A1272" s="187" t="str">
        <f t="shared" si="19"/>
        <v>V10276C</v>
      </c>
      <c r="B1272" s="208" t="s">
        <v>2612</v>
      </c>
      <c r="C1272" s="208"/>
      <c r="D1272" s="208" t="s">
        <v>2611</v>
      </c>
      <c r="E1272" s="208" t="s">
        <v>29</v>
      </c>
      <c r="F1272" s="208" t="s">
        <v>2613</v>
      </c>
      <c r="G1272" s="208" t="s">
        <v>2614</v>
      </c>
      <c r="H1272" s="208"/>
      <c r="I1272" s="208"/>
      <c r="J1272" s="208" t="s">
        <v>2615</v>
      </c>
      <c r="K1272" s="208" t="s">
        <v>2616</v>
      </c>
      <c r="L1272" s="208"/>
      <c r="M1272" s="209"/>
      <c r="N1272" s="208"/>
      <c r="O1272" s="208"/>
      <c r="P1272" s="208" t="s">
        <v>91</v>
      </c>
    </row>
    <row r="1273" spans="1:16" s="187" customFormat="1" ht="18" customHeight="1">
      <c r="A1273" s="187" t="str">
        <f t="shared" si="19"/>
        <v>V10348C</v>
      </c>
      <c r="B1273" s="206" t="s">
        <v>4433</v>
      </c>
      <c r="C1273" s="206"/>
      <c r="D1273" s="206" t="s">
        <v>4432</v>
      </c>
      <c r="E1273" s="206" t="s">
        <v>29</v>
      </c>
      <c r="F1273" s="206" t="s">
        <v>4434</v>
      </c>
      <c r="G1273" s="206"/>
      <c r="H1273" s="206"/>
      <c r="I1273" s="206"/>
      <c r="J1273" s="206" t="s">
        <v>4435</v>
      </c>
      <c r="K1273" s="206" t="s">
        <v>4436</v>
      </c>
      <c r="L1273" s="206"/>
      <c r="M1273" s="207"/>
      <c r="N1273" s="206"/>
      <c r="O1273" s="206"/>
      <c r="P1273" s="206" t="s">
        <v>91</v>
      </c>
    </row>
    <row r="1274" spans="1:16" s="187" customFormat="1" ht="18" customHeight="1">
      <c r="A1274" s="187" t="str">
        <f t="shared" si="19"/>
        <v>V10073A</v>
      </c>
      <c r="B1274" s="208" t="s">
        <v>2618</v>
      </c>
      <c r="C1274" s="208"/>
      <c r="D1274" s="208" t="s">
        <v>2617</v>
      </c>
      <c r="E1274" s="208" t="s">
        <v>29</v>
      </c>
      <c r="F1274" s="208" t="s">
        <v>2619</v>
      </c>
      <c r="G1274" s="208" t="s">
        <v>2620</v>
      </c>
      <c r="H1274" s="208"/>
      <c r="I1274" s="208" t="s">
        <v>2621</v>
      </c>
      <c r="J1274" s="208" t="s">
        <v>2622</v>
      </c>
      <c r="K1274" s="208" t="s">
        <v>2623</v>
      </c>
      <c r="L1274" s="208"/>
      <c r="M1274" s="209"/>
      <c r="N1274" s="208"/>
      <c r="O1274" s="208" t="s">
        <v>260</v>
      </c>
      <c r="P1274" s="208" t="s">
        <v>91</v>
      </c>
    </row>
    <row r="1275" spans="1:16" s="187" customFormat="1" ht="18" customHeight="1">
      <c r="A1275" s="187" t="str">
        <f t="shared" si="19"/>
        <v>V10073B</v>
      </c>
      <c r="B1275" s="206" t="s">
        <v>2618</v>
      </c>
      <c r="C1275" s="206"/>
      <c r="D1275" s="206" t="s">
        <v>2624</v>
      </c>
      <c r="E1275" s="206" t="s">
        <v>29</v>
      </c>
      <c r="F1275" s="206" t="s">
        <v>2619</v>
      </c>
      <c r="G1275" s="206" t="s">
        <v>2620</v>
      </c>
      <c r="H1275" s="206"/>
      <c r="I1275" s="206" t="s">
        <v>2621</v>
      </c>
      <c r="J1275" s="206" t="s">
        <v>2622</v>
      </c>
      <c r="K1275" s="206" t="s">
        <v>2623</v>
      </c>
      <c r="L1275" s="206"/>
      <c r="M1275" s="207"/>
      <c r="N1275" s="206"/>
      <c r="O1275" s="206" t="s">
        <v>260</v>
      </c>
      <c r="P1275" s="206" t="s">
        <v>91</v>
      </c>
    </row>
    <row r="1276" spans="1:16" s="187" customFormat="1" ht="18" customHeight="1">
      <c r="A1276" s="187" t="str">
        <f t="shared" si="19"/>
        <v>V10073C</v>
      </c>
      <c r="B1276" s="208" t="s">
        <v>2618</v>
      </c>
      <c r="C1276" s="208"/>
      <c r="D1276" s="208" t="s">
        <v>2625</v>
      </c>
      <c r="E1276" s="208" t="s">
        <v>29</v>
      </c>
      <c r="F1276" s="208" t="s">
        <v>2619</v>
      </c>
      <c r="G1276" s="208" t="s">
        <v>2620</v>
      </c>
      <c r="H1276" s="208"/>
      <c r="I1276" s="208" t="s">
        <v>2621</v>
      </c>
      <c r="J1276" s="208" t="s">
        <v>2622</v>
      </c>
      <c r="K1276" s="208" t="s">
        <v>2623</v>
      </c>
      <c r="L1276" s="208"/>
      <c r="M1276" s="209"/>
      <c r="N1276" s="208"/>
      <c r="O1276" s="208" t="s">
        <v>260</v>
      </c>
      <c r="P1276" s="208" t="s">
        <v>91</v>
      </c>
    </row>
    <row r="1277" spans="1:16" s="187" customFormat="1" ht="18" customHeight="1">
      <c r="A1277" s="187" t="str">
        <f t="shared" si="19"/>
        <v>V10213A</v>
      </c>
      <c r="B1277" s="206" t="s">
        <v>2627</v>
      </c>
      <c r="C1277" s="206"/>
      <c r="D1277" s="206" t="s">
        <v>2626</v>
      </c>
      <c r="E1277" s="206" t="s">
        <v>29</v>
      </c>
      <c r="F1277" s="206" t="s">
        <v>2628</v>
      </c>
      <c r="G1277" s="206" t="s">
        <v>2629</v>
      </c>
      <c r="H1277" s="206"/>
      <c r="I1277" s="206" t="s">
        <v>2630</v>
      </c>
      <c r="J1277" s="206" t="s">
        <v>2631</v>
      </c>
      <c r="K1277" s="206" t="s">
        <v>2632</v>
      </c>
      <c r="L1277" s="206"/>
      <c r="M1277" s="207"/>
      <c r="N1277" s="206"/>
      <c r="O1277" s="206" t="s">
        <v>260</v>
      </c>
      <c r="P1277" s="206" t="s">
        <v>91</v>
      </c>
    </row>
    <row r="1278" spans="1:16" s="187" customFormat="1" ht="18" customHeight="1">
      <c r="A1278" s="187" t="str">
        <f t="shared" si="19"/>
        <v>V10213B</v>
      </c>
      <c r="B1278" s="208" t="s">
        <v>2627</v>
      </c>
      <c r="C1278" s="208"/>
      <c r="D1278" s="208" t="s">
        <v>2633</v>
      </c>
      <c r="E1278" s="208" t="s">
        <v>29</v>
      </c>
      <c r="F1278" s="208" t="s">
        <v>2628</v>
      </c>
      <c r="G1278" s="208" t="s">
        <v>2629</v>
      </c>
      <c r="H1278" s="208"/>
      <c r="I1278" s="208" t="s">
        <v>2630</v>
      </c>
      <c r="J1278" s="208" t="s">
        <v>2631</v>
      </c>
      <c r="K1278" s="208" t="s">
        <v>2632</v>
      </c>
      <c r="L1278" s="208"/>
      <c r="M1278" s="209"/>
      <c r="N1278" s="208"/>
      <c r="O1278" s="208" t="s">
        <v>260</v>
      </c>
      <c r="P1278" s="208" t="s">
        <v>91</v>
      </c>
    </row>
    <row r="1279" spans="1:16" s="187" customFormat="1" ht="18" customHeight="1">
      <c r="A1279" s="187" t="str">
        <f t="shared" si="19"/>
        <v>V10213C</v>
      </c>
      <c r="B1279" s="206" t="s">
        <v>2627</v>
      </c>
      <c r="C1279" s="206"/>
      <c r="D1279" s="206" t="s">
        <v>2634</v>
      </c>
      <c r="E1279" s="206" t="s">
        <v>29</v>
      </c>
      <c r="F1279" s="206" t="s">
        <v>2628</v>
      </c>
      <c r="G1279" s="206" t="s">
        <v>2629</v>
      </c>
      <c r="H1279" s="206"/>
      <c r="I1279" s="206" t="s">
        <v>2630</v>
      </c>
      <c r="J1279" s="206" t="s">
        <v>2631</v>
      </c>
      <c r="K1279" s="206" t="s">
        <v>2632</v>
      </c>
      <c r="L1279" s="206"/>
      <c r="M1279" s="207"/>
      <c r="N1279" s="206"/>
      <c r="O1279" s="206" t="s">
        <v>260</v>
      </c>
      <c r="P1279" s="206" t="s">
        <v>91</v>
      </c>
    </row>
    <row r="1280" spans="1:16" s="187" customFormat="1" ht="18" customHeight="1">
      <c r="A1280" s="187" t="str">
        <f t="shared" si="19"/>
        <v>V10491C</v>
      </c>
      <c r="B1280" s="208" t="s">
        <v>6207</v>
      </c>
      <c r="C1280" s="208"/>
      <c r="D1280" s="208" t="s">
        <v>6208</v>
      </c>
      <c r="E1280" s="208" t="s">
        <v>29</v>
      </c>
      <c r="F1280" s="208" t="s">
        <v>6209</v>
      </c>
      <c r="G1280" s="208" t="s">
        <v>6210</v>
      </c>
      <c r="H1280" s="208"/>
      <c r="I1280" s="208" t="s">
        <v>6211</v>
      </c>
      <c r="J1280" s="208" t="s">
        <v>6212</v>
      </c>
      <c r="K1280" s="208" t="s">
        <v>6213</v>
      </c>
      <c r="L1280" s="208"/>
      <c r="M1280" s="209"/>
      <c r="N1280" s="208"/>
      <c r="O1280" s="208"/>
      <c r="P1280" s="208" t="s">
        <v>91</v>
      </c>
    </row>
    <row r="1281" spans="1:16" s="187" customFormat="1" ht="18" customHeight="1">
      <c r="A1281" s="187" t="str">
        <f t="shared" si="19"/>
        <v>V10343C</v>
      </c>
      <c r="B1281" s="206" t="s">
        <v>4968</v>
      </c>
      <c r="C1281" s="206"/>
      <c r="D1281" s="206" t="s">
        <v>4969</v>
      </c>
      <c r="E1281" s="206" t="s">
        <v>29</v>
      </c>
      <c r="F1281" s="206" t="s">
        <v>4970</v>
      </c>
      <c r="G1281" s="206"/>
      <c r="H1281" s="206"/>
      <c r="I1281" s="206" t="s">
        <v>4971</v>
      </c>
      <c r="J1281" s="206" t="s">
        <v>4972</v>
      </c>
      <c r="K1281" s="206" t="s">
        <v>4973</v>
      </c>
      <c r="L1281" s="206"/>
      <c r="M1281" s="207"/>
      <c r="N1281" s="206"/>
      <c r="O1281" s="206"/>
      <c r="P1281" s="206" t="s">
        <v>91</v>
      </c>
    </row>
    <row r="1282" spans="1:16" s="187" customFormat="1" ht="18" customHeight="1">
      <c r="A1282" s="187" t="str">
        <f t="shared" si="19"/>
        <v>V10511C</v>
      </c>
      <c r="B1282" s="208" t="s">
        <v>6214</v>
      </c>
      <c r="C1282" s="208"/>
      <c r="D1282" s="208" t="s">
        <v>6215</v>
      </c>
      <c r="E1282" s="208" t="s">
        <v>29</v>
      </c>
      <c r="F1282" s="208" t="s">
        <v>6216</v>
      </c>
      <c r="G1282" s="208" t="s">
        <v>6217</v>
      </c>
      <c r="H1282" s="208"/>
      <c r="I1282" s="208"/>
      <c r="J1282" s="208" t="s">
        <v>5455</v>
      </c>
      <c r="K1282" s="208" t="s">
        <v>6218</v>
      </c>
      <c r="L1282" s="208"/>
      <c r="M1282" s="209"/>
      <c r="N1282" s="208"/>
      <c r="O1282" s="208"/>
      <c r="P1282" s="208" t="s">
        <v>91</v>
      </c>
    </row>
    <row r="1283" spans="1:16" s="187" customFormat="1" ht="18" customHeight="1">
      <c r="A1283" s="187" t="str">
        <f t="shared" si="19"/>
        <v>V10527C</v>
      </c>
      <c r="B1283" s="206" t="s">
        <v>6422</v>
      </c>
      <c r="C1283" s="206"/>
      <c r="D1283" s="206" t="s">
        <v>6423</v>
      </c>
      <c r="E1283" s="206" t="s">
        <v>29</v>
      </c>
      <c r="F1283" s="206" t="s">
        <v>6424</v>
      </c>
      <c r="G1283" s="206" t="s">
        <v>6425</v>
      </c>
      <c r="H1283" s="206"/>
      <c r="I1283" s="206"/>
      <c r="J1283" s="206" t="s">
        <v>6426</v>
      </c>
      <c r="K1283" s="206" t="s">
        <v>6427</v>
      </c>
      <c r="L1283" s="206"/>
      <c r="M1283" s="207"/>
      <c r="N1283" s="206"/>
      <c r="O1283" s="206"/>
      <c r="P1283" s="206" t="s">
        <v>91</v>
      </c>
    </row>
    <row r="1284" spans="1:16" s="187" customFormat="1" ht="18" customHeight="1">
      <c r="A1284" s="187" t="str">
        <f t="shared" si="19"/>
        <v>V10296C</v>
      </c>
      <c r="B1284" s="208" t="s">
        <v>2636</v>
      </c>
      <c r="C1284" s="208"/>
      <c r="D1284" s="208" t="s">
        <v>2635</v>
      </c>
      <c r="E1284" s="208" t="s">
        <v>151</v>
      </c>
      <c r="F1284" s="208" t="s">
        <v>4437</v>
      </c>
      <c r="G1284" s="208"/>
      <c r="H1284" s="208"/>
      <c r="I1284" s="208"/>
      <c r="J1284" s="208" t="s">
        <v>5057</v>
      </c>
      <c r="K1284" s="208" t="s">
        <v>5056</v>
      </c>
      <c r="L1284" s="208"/>
      <c r="M1284" s="209"/>
      <c r="N1284" s="208"/>
      <c r="O1284" s="208"/>
      <c r="P1284" s="208" t="s">
        <v>91</v>
      </c>
    </row>
    <row r="1285" spans="1:16" s="187" customFormat="1" ht="18" customHeight="1">
      <c r="A1285" s="187" t="str">
        <f t="shared" si="19"/>
        <v>V10223A</v>
      </c>
      <c r="B1285" s="206" t="s">
        <v>2638</v>
      </c>
      <c r="C1285" s="206"/>
      <c r="D1285" s="206" t="s">
        <v>2637</v>
      </c>
      <c r="E1285" s="206" t="s">
        <v>29</v>
      </c>
      <c r="F1285" s="206" t="s">
        <v>2639</v>
      </c>
      <c r="G1285" s="206" t="s">
        <v>2640</v>
      </c>
      <c r="H1285" s="206"/>
      <c r="I1285" s="206" t="s">
        <v>2641</v>
      </c>
      <c r="J1285" s="206" t="s">
        <v>2642</v>
      </c>
      <c r="K1285" s="206" t="s">
        <v>2643</v>
      </c>
      <c r="L1285" s="206"/>
      <c r="M1285" s="207"/>
      <c r="N1285" s="206"/>
      <c r="O1285" s="206" t="s">
        <v>260</v>
      </c>
      <c r="P1285" s="206" t="s">
        <v>91</v>
      </c>
    </row>
    <row r="1286" spans="1:16" s="187" customFormat="1" ht="18" customHeight="1">
      <c r="A1286" s="187" t="str">
        <f t="shared" ref="A1286:A1349" si="20">D1286</f>
        <v>V10223B</v>
      </c>
      <c r="B1286" s="208" t="s">
        <v>2638</v>
      </c>
      <c r="C1286" s="208"/>
      <c r="D1286" s="208" t="s">
        <v>2644</v>
      </c>
      <c r="E1286" s="208" t="s">
        <v>29</v>
      </c>
      <c r="F1286" s="208" t="s">
        <v>2639</v>
      </c>
      <c r="G1286" s="208" t="s">
        <v>2640</v>
      </c>
      <c r="H1286" s="208"/>
      <c r="I1286" s="208" t="s">
        <v>2641</v>
      </c>
      <c r="J1286" s="208" t="s">
        <v>2642</v>
      </c>
      <c r="K1286" s="208" t="s">
        <v>2643</v>
      </c>
      <c r="L1286" s="208"/>
      <c r="M1286" s="209"/>
      <c r="N1286" s="208"/>
      <c r="O1286" s="208" t="s">
        <v>260</v>
      </c>
      <c r="P1286" s="208" t="s">
        <v>91</v>
      </c>
    </row>
    <row r="1287" spans="1:16" s="187" customFormat="1" ht="18" customHeight="1">
      <c r="A1287" s="187" t="str">
        <f t="shared" si="20"/>
        <v>V10223C</v>
      </c>
      <c r="B1287" s="206" t="s">
        <v>2638</v>
      </c>
      <c r="C1287" s="206"/>
      <c r="D1287" s="206" t="s">
        <v>2645</v>
      </c>
      <c r="E1287" s="206" t="s">
        <v>29</v>
      </c>
      <c r="F1287" s="206" t="s">
        <v>2639</v>
      </c>
      <c r="G1287" s="206" t="s">
        <v>2640</v>
      </c>
      <c r="H1287" s="206"/>
      <c r="I1287" s="206" t="s">
        <v>2641</v>
      </c>
      <c r="J1287" s="206" t="s">
        <v>2642</v>
      </c>
      <c r="K1287" s="206" t="s">
        <v>2643</v>
      </c>
      <c r="L1287" s="206"/>
      <c r="M1287" s="207"/>
      <c r="N1287" s="206"/>
      <c r="O1287" s="206" t="s">
        <v>260</v>
      </c>
      <c r="P1287" s="206" t="s">
        <v>91</v>
      </c>
    </row>
    <row r="1288" spans="1:16" s="187" customFormat="1" ht="18" customHeight="1">
      <c r="A1288" s="187" t="str">
        <f t="shared" si="20"/>
        <v>V10393C</v>
      </c>
      <c r="B1288" s="208" t="s">
        <v>5252</v>
      </c>
      <c r="C1288" s="208"/>
      <c r="D1288" s="208" t="s">
        <v>5253</v>
      </c>
      <c r="E1288" s="208" t="s">
        <v>29</v>
      </c>
      <c r="F1288" s="208" t="s">
        <v>5254</v>
      </c>
      <c r="G1288" s="208"/>
      <c r="H1288" s="208"/>
      <c r="I1288" s="208"/>
      <c r="J1288" s="208" t="s">
        <v>5255</v>
      </c>
      <c r="K1288" s="208" t="s">
        <v>5256</v>
      </c>
      <c r="L1288" s="208"/>
      <c r="M1288" s="209"/>
      <c r="N1288" s="208"/>
      <c r="O1288" s="208"/>
      <c r="P1288" s="208" t="s">
        <v>91</v>
      </c>
    </row>
    <row r="1289" spans="1:16" s="187" customFormat="1" ht="18" customHeight="1">
      <c r="A1289" s="187" t="str">
        <f t="shared" si="20"/>
        <v>V10503C</v>
      </c>
      <c r="B1289" s="206" t="s">
        <v>6219</v>
      </c>
      <c r="C1289" s="206"/>
      <c r="D1289" s="206" t="s">
        <v>6220</v>
      </c>
      <c r="E1289" s="206" t="s">
        <v>29</v>
      </c>
      <c r="F1289" s="206" t="s">
        <v>6221</v>
      </c>
      <c r="G1289" s="206" t="s">
        <v>6222</v>
      </c>
      <c r="H1289" s="206"/>
      <c r="I1289" s="206"/>
      <c r="J1289" s="206" t="s">
        <v>6223</v>
      </c>
      <c r="K1289" s="206" t="s">
        <v>6224</v>
      </c>
      <c r="L1289" s="206"/>
      <c r="M1289" s="207"/>
      <c r="N1289" s="206"/>
      <c r="O1289" s="206" t="s">
        <v>260</v>
      </c>
      <c r="P1289" s="206" t="s">
        <v>91</v>
      </c>
    </row>
    <row r="1290" spans="1:16" s="187" customFormat="1" ht="18" customHeight="1">
      <c r="A1290" s="187" t="str">
        <f t="shared" si="20"/>
        <v>V4040C0</v>
      </c>
      <c r="B1290" s="208" t="s">
        <v>2647</v>
      </c>
      <c r="C1290" s="208"/>
      <c r="D1290" s="208" t="s">
        <v>2646</v>
      </c>
      <c r="E1290" s="208" t="s">
        <v>29</v>
      </c>
      <c r="F1290" s="208" t="s">
        <v>2648</v>
      </c>
      <c r="G1290" s="208" t="s">
        <v>2649</v>
      </c>
      <c r="H1290" s="208"/>
      <c r="I1290" s="208" t="s">
        <v>2650</v>
      </c>
      <c r="J1290" s="208" t="s">
        <v>2651</v>
      </c>
      <c r="K1290" s="208" t="s">
        <v>2652</v>
      </c>
      <c r="L1290" s="208"/>
      <c r="M1290" s="209"/>
      <c r="N1290" s="208"/>
      <c r="O1290" s="208" t="s">
        <v>131</v>
      </c>
      <c r="P1290" s="208" t="s">
        <v>107</v>
      </c>
    </row>
    <row r="1291" spans="1:16" s="187" customFormat="1" ht="18" customHeight="1">
      <c r="A1291" s="187" t="str">
        <f t="shared" si="20"/>
        <v>V4070C0</v>
      </c>
      <c r="B1291" s="206" t="s">
        <v>2654</v>
      </c>
      <c r="C1291" s="206"/>
      <c r="D1291" s="206" t="s">
        <v>2653</v>
      </c>
      <c r="E1291" s="206" t="s">
        <v>151</v>
      </c>
      <c r="F1291" s="206" t="s">
        <v>2655</v>
      </c>
      <c r="G1291" s="206" t="s">
        <v>2656</v>
      </c>
      <c r="H1291" s="206"/>
      <c r="I1291" s="206" t="s">
        <v>2657</v>
      </c>
      <c r="J1291" s="206" t="s">
        <v>5382</v>
      </c>
      <c r="K1291" s="206" t="s">
        <v>5383</v>
      </c>
      <c r="L1291" s="206"/>
      <c r="M1291" s="207"/>
      <c r="N1291" s="206"/>
      <c r="O1291" s="206"/>
      <c r="P1291" s="206" t="s">
        <v>107</v>
      </c>
    </row>
    <row r="1292" spans="1:16" s="187" customFormat="1" ht="18" customHeight="1">
      <c r="A1292" s="187" t="str">
        <f t="shared" si="20"/>
        <v>V10246A</v>
      </c>
      <c r="B1292" s="208" t="s">
        <v>2659</v>
      </c>
      <c r="C1292" s="208"/>
      <c r="D1292" s="208" t="s">
        <v>2658</v>
      </c>
      <c r="E1292" s="208" t="s">
        <v>29</v>
      </c>
      <c r="F1292" s="208" t="s">
        <v>2660</v>
      </c>
      <c r="G1292" s="208"/>
      <c r="H1292" s="208"/>
      <c r="I1292" s="208" t="s">
        <v>2661</v>
      </c>
      <c r="J1292" s="208" t="s">
        <v>2662</v>
      </c>
      <c r="K1292" s="208" t="s">
        <v>2663</v>
      </c>
      <c r="L1292" s="208"/>
      <c r="M1292" s="209"/>
      <c r="N1292" s="208"/>
      <c r="O1292" s="208" t="s">
        <v>260</v>
      </c>
      <c r="P1292" s="208" t="s">
        <v>91</v>
      </c>
    </row>
    <row r="1293" spans="1:16" s="187" customFormat="1" ht="18" customHeight="1">
      <c r="A1293" s="187" t="str">
        <f t="shared" si="20"/>
        <v>V10246B</v>
      </c>
      <c r="B1293" s="206" t="s">
        <v>2659</v>
      </c>
      <c r="C1293" s="206"/>
      <c r="D1293" s="206" t="s">
        <v>2664</v>
      </c>
      <c r="E1293" s="206" t="s">
        <v>29</v>
      </c>
      <c r="F1293" s="206" t="s">
        <v>2660</v>
      </c>
      <c r="G1293" s="206"/>
      <c r="H1293" s="206"/>
      <c r="I1293" s="206" t="s">
        <v>2661</v>
      </c>
      <c r="J1293" s="206" t="s">
        <v>2662</v>
      </c>
      <c r="K1293" s="206" t="s">
        <v>2663</v>
      </c>
      <c r="L1293" s="206"/>
      <c r="M1293" s="207"/>
      <c r="N1293" s="206"/>
      <c r="O1293" s="206" t="s">
        <v>260</v>
      </c>
      <c r="P1293" s="206" t="s">
        <v>91</v>
      </c>
    </row>
    <row r="1294" spans="1:16" s="187" customFormat="1" ht="18" customHeight="1">
      <c r="A1294" s="187" t="str">
        <f t="shared" si="20"/>
        <v>V10246C</v>
      </c>
      <c r="B1294" s="208" t="s">
        <v>2659</v>
      </c>
      <c r="C1294" s="208"/>
      <c r="D1294" s="208" t="s">
        <v>2665</v>
      </c>
      <c r="E1294" s="208" t="s">
        <v>29</v>
      </c>
      <c r="F1294" s="208" t="s">
        <v>2660</v>
      </c>
      <c r="G1294" s="208"/>
      <c r="H1294" s="208"/>
      <c r="I1294" s="208" t="s">
        <v>2661</v>
      </c>
      <c r="J1294" s="208" t="s">
        <v>2662</v>
      </c>
      <c r="K1294" s="208" t="s">
        <v>2663</v>
      </c>
      <c r="L1294" s="208"/>
      <c r="M1294" s="209"/>
      <c r="N1294" s="208"/>
      <c r="O1294" s="208" t="s">
        <v>260</v>
      </c>
      <c r="P1294" s="208" t="s">
        <v>91</v>
      </c>
    </row>
    <row r="1295" spans="1:16" s="187" customFormat="1" ht="18" customHeight="1">
      <c r="A1295" s="187" t="str">
        <f t="shared" si="20"/>
        <v>V10543C</v>
      </c>
      <c r="B1295" s="206" t="s">
        <v>6428</v>
      </c>
      <c r="C1295" s="206"/>
      <c r="D1295" s="206" t="s">
        <v>6429</v>
      </c>
      <c r="E1295" s="206" t="s">
        <v>29</v>
      </c>
      <c r="F1295" s="206" t="s">
        <v>6430</v>
      </c>
      <c r="G1295" s="206"/>
      <c r="H1295" s="206"/>
      <c r="I1295" s="206"/>
      <c r="J1295" s="206" t="s">
        <v>6431</v>
      </c>
      <c r="K1295" s="206" t="s">
        <v>6432</v>
      </c>
      <c r="L1295" s="206"/>
      <c r="M1295" s="207"/>
      <c r="N1295" s="206"/>
      <c r="O1295" s="206"/>
      <c r="P1295" s="206" t="s">
        <v>91</v>
      </c>
    </row>
    <row r="1296" spans="1:16" s="187" customFormat="1" ht="18" customHeight="1">
      <c r="A1296" s="187" t="str">
        <f t="shared" si="20"/>
        <v>V10210A</v>
      </c>
      <c r="B1296" s="208" t="s">
        <v>2667</v>
      </c>
      <c r="C1296" s="208"/>
      <c r="D1296" s="208" t="s">
        <v>2666</v>
      </c>
      <c r="E1296" s="208" t="s">
        <v>29</v>
      </c>
      <c r="F1296" s="208" t="s">
        <v>2668</v>
      </c>
      <c r="G1296" s="208" t="s">
        <v>2669</v>
      </c>
      <c r="H1296" s="208"/>
      <c r="I1296" s="208" t="s">
        <v>2670</v>
      </c>
      <c r="J1296" s="208" t="s">
        <v>2671</v>
      </c>
      <c r="K1296" s="208" t="s">
        <v>2672</v>
      </c>
      <c r="L1296" s="208"/>
      <c r="M1296" s="209"/>
      <c r="N1296" s="208"/>
      <c r="O1296" s="208" t="s">
        <v>260</v>
      </c>
      <c r="P1296" s="208" t="s">
        <v>91</v>
      </c>
    </row>
    <row r="1297" spans="1:16" s="187" customFormat="1" ht="18" customHeight="1">
      <c r="A1297" s="187" t="str">
        <f t="shared" si="20"/>
        <v>V10210B</v>
      </c>
      <c r="B1297" s="206" t="s">
        <v>2667</v>
      </c>
      <c r="C1297" s="206"/>
      <c r="D1297" s="206" t="s">
        <v>2673</v>
      </c>
      <c r="E1297" s="206" t="s">
        <v>29</v>
      </c>
      <c r="F1297" s="206" t="s">
        <v>2668</v>
      </c>
      <c r="G1297" s="206" t="s">
        <v>2669</v>
      </c>
      <c r="H1297" s="206"/>
      <c r="I1297" s="206" t="s">
        <v>2670</v>
      </c>
      <c r="J1297" s="206" t="s">
        <v>2671</v>
      </c>
      <c r="K1297" s="206" t="s">
        <v>2672</v>
      </c>
      <c r="L1297" s="206"/>
      <c r="M1297" s="207"/>
      <c r="N1297" s="206"/>
      <c r="O1297" s="206" t="s">
        <v>260</v>
      </c>
      <c r="P1297" s="206" t="s">
        <v>91</v>
      </c>
    </row>
    <row r="1298" spans="1:16" s="187" customFormat="1" ht="18" customHeight="1">
      <c r="A1298" s="187" t="str">
        <f t="shared" si="20"/>
        <v>V10210C</v>
      </c>
      <c r="B1298" s="208" t="s">
        <v>2667</v>
      </c>
      <c r="C1298" s="208"/>
      <c r="D1298" s="208" t="s">
        <v>2674</v>
      </c>
      <c r="E1298" s="208" t="s">
        <v>29</v>
      </c>
      <c r="F1298" s="208" t="s">
        <v>2668</v>
      </c>
      <c r="G1298" s="208" t="s">
        <v>2669</v>
      </c>
      <c r="H1298" s="208"/>
      <c r="I1298" s="208" t="s">
        <v>2670</v>
      </c>
      <c r="J1298" s="208" t="s">
        <v>2671</v>
      </c>
      <c r="K1298" s="208" t="s">
        <v>2672</v>
      </c>
      <c r="L1298" s="208"/>
      <c r="M1298" s="209"/>
      <c r="N1298" s="208"/>
      <c r="O1298" s="208" t="s">
        <v>260</v>
      </c>
      <c r="P1298" s="208" t="s">
        <v>91</v>
      </c>
    </row>
    <row r="1299" spans="1:16" s="187" customFormat="1" ht="18" customHeight="1">
      <c r="A1299" s="187" t="str">
        <f t="shared" si="20"/>
        <v>V10403C</v>
      </c>
      <c r="B1299" s="206" t="s">
        <v>5547</v>
      </c>
      <c r="C1299" s="206"/>
      <c r="D1299" s="206" t="s">
        <v>5548</v>
      </c>
      <c r="E1299" s="206" t="s">
        <v>29</v>
      </c>
      <c r="F1299" s="206" t="s">
        <v>5549</v>
      </c>
      <c r="G1299" s="206"/>
      <c r="H1299" s="206"/>
      <c r="I1299" s="206"/>
      <c r="J1299" s="206" t="s">
        <v>5550</v>
      </c>
      <c r="K1299" s="206" t="s">
        <v>5551</v>
      </c>
      <c r="L1299" s="206"/>
      <c r="M1299" s="207"/>
      <c r="N1299" s="206"/>
      <c r="O1299" s="206"/>
      <c r="P1299" s="206" t="s">
        <v>91</v>
      </c>
    </row>
    <row r="1300" spans="1:16" s="187" customFormat="1" ht="18" customHeight="1">
      <c r="A1300" s="187" t="str">
        <f t="shared" si="20"/>
        <v>V10410C</v>
      </c>
      <c r="B1300" s="208" t="s">
        <v>5496</v>
      </c>
      <c r="C1300" s="208"/>
      <c r="D1300" s="208" t="s">
        <v>5497</v>
      </c>
      <c r="E1300" s="208" t="s">
        <v>29</v>
      </c>
      <c r="F1300" s="208" t="s">
        <v>5498</v>
      </c>
      <c r="G1300" s="208" t="s">
        <v>5499</v>
      </c>
      <c r="H1300" s="208"/>
      <c r="I1300" s="208"/>
      <c r="J1300" s="208" t="s">
        <v>5500</v>
      </c>
      <c r="K1300" s="208" t="s">
        <v>5501</v>
      </c>
      <c r="L1300" s="208"/>
      <c r="M1300" s="209"/>
      <c r="N1300" s="208"/>
      <c r="O1300" s="208"/>
      <c r="P1300" s="208" t="s">
        <v>91</v>
      </c>
    </row>
    <row r="1301" spans="1:16" s="187" customFormat="1" ht="18" customHeight="1">
      <c r="A1301" s="187" t="str">
        <f t="shared" si="20"/>
        <v>V10311B</v>
      </c>
      <c r="B1301" s="206" t="s">
        <v>4439</v>
      </c>
      <c r="C1301" s="206"/>
      <c r="D1301" s="206" t="s">
        <v>4974</v>
      </c>
      <c r="E1301" s="206" t="s">
        <v>29</v>
      </c>
      <c r="F1301" s="206" t="s">
        <v>4975</v>
      </c>
      <c r="G1301" s="206" t="s">
        <v>4976</v>
      </c>
      <c r="H1301" s="206"/>
      <c r="I1301" s="206"/>
      <c r="J1301" s="206" t="s">
        <v>4977</v>
      </c>
      <c r="K1301" s="206" t="s">
        <v>4443</v>
      </c>
      <c r="L1301" s="206"/>
      <c r="M1301" s="207"/>
      <c r="N1301" s="206"/>
      <c r="O1301" s="206"/>
      <c r="P1301" s="206" t="s">
        <v>91</v>
      </c>
    </row>
    <row r="1302" spans="1:16" s="187" customFormat="1" ht="18" customHeight="1">
      <c r="A1302" s="187" t="str">
        <f t="shared" si="20"/>
        <v>V10311C</v>
      </c>
      <c r="B1302" s="208" t="s">
        <v>4439</v>
      </c>
      <c r="C1302" s="208"/>
      <c r="D1302" s="208" t="s">
        <v>4438</v>
      </c>
      <c r="E1302" s="208" t="s">
        <v>29</v>
      </c>
      <c r="F1302" s="208" t="s">
        <v>4440</v>
      </c>
      <c r="G1302" s="208"/>
      <c r="H1302" s="208"/>
      <c r="I1302" s="208" t="s">
        <v>4441</v>
      </c>
      <c r="J1302" s="208" t="s">
        <v>4442</v>
      </c>
      <c r="K1302" s="208" t="s">
        <v>4443</v>
      </c>
      <c r="L1302" s="208"/>
      <c r="M1302" s="209"/>
      <c r="N1302" s="208"/>
      <c r="O1302" s="208"/>
      <c r="P1302" s="208" t="s">
        <v>91</v>
      </c>
    </row>
    <row r="1303" spans="1:16" s="187" customFormat="1" ht="18" customHeight="1">
      <c r="A1303" s="187" t="str">
        <f t="shared" si="20"/>
        <v>V10175A</v>
      </c>
      <c r="B1303" s="206" t="s">
        <v>2676</v>
      </c>
      <c r="C1303" s="206"/>
      <c r="D1303" s="206" t="s">
        <v>2675</v>
      </c>
      <c r="E1303" s="206" t="s">
        <v>29</v>
      </c>
      <c r="F1303" s="206" t="s">
        <v>2677</v>
      </c>
      <c r="G1303" s="206" t="s">
        <v>2678</v>
      </c>
      <c r="H1303" s="206"/>
      <c r="I1303" s="206" t="s">
        <v>2679</v>
      </c>
      <c r="J1303" s="206" t="s">
        <v>2680</v>
      </c>
      <c r="K1303" s="206" t="s">
        <v>2681</v>
      </c>
      <c r="L1303" s="206"/>
      <c r="M1303" s="207"/>
      <c r="N1303" s="206"/>
      <c r="O1303" s="206" t="s">
        <v>260</v>
      </c>
      <c r="P1303" s="206" t="s">
        <v>91</v>
      </c>
    </row>
    <row r="1304" spans="1:16" s="187" customFormat="1" ht="18" customHeight="1">
      <c r="A1304" s="187" t="str">
        <f t="shared" si="20"/>
        <v>V10175B</v>
      </c>
      <c r="B1304" s="208" t="s">
        <v>2676</v>
      </c>
      <c r="C1304" s="208"/>
      <c r="D1304" s="208" t="s">
        <v>2682</v>
      </c>
      <c r="E1304" s="208" t="s">
        <v>29</v>
      </c>
      <c r="F1304" s="208" t="s">
        <v>2677</v>
      </c>
      <c r="G1304" s="208" t="s">
        <v>2678</v>
      </c>
      <c r="H1304" s="208"/>
      <c r="I1304" s="208" t="s">
        <v>2679</v>
      </c>
      <c r="J1304" s="208" t="s">
        <v>2680</v>
      </c>
      <c r="K1304" s="208" t="s">
        <v>2681</v>
      </c>
      <c r="L1304" s="208"/>
      <c r="M1304" s="209"/>
      <c r="N1304" s="208"/>
      <c r="O1304" s="208" t="s">
        <v>260</v>
      </c>
      <c r="P1304" s="208" t="s">
        <v>91</v>
      </c>
    </row>
    <row r="1305" spans="1:16" s="187" customFormat="1" ht="18" customHeight="1">
      <c r="A1305" s="187" t="str">
        <f t="shared" si="20"/>
        <v>V10175C</v>
      </c>
      <c r="B1305" s="206" t="s">
        <v>2676</v>
      </c>
      <c r="C1305" s="206"/>
      <c r="D1305" s="206" t="s">
        <v>2683</v>
      </c>
      <c r="E1305" s="206" t="s">
        <v>29</v>
      </c>
      <c r="F1305" s="206" t="s">
        <v>2677</v>
      </c>
      <c r="G1305" s="206" t="s">
        <v>2678</v>
      </c>
      <c r="H1305" s="206"/>
      <c r="I1305" s="206" t="s">
        <v>2679</v>
      </c>
      <c r="J1305" s="206" t="s">
        <v>2680</v>
      </c>
      <c r="K1305" s="206" t="s">
        <v>2681</v>
      </c>
      <c r="L1305" s="206"/>
      <c r="M1305" s="207"/>
      <c r="N1305" s="206"/>
      <c r="O1305" s="206" t="s">
        <v>260</v>
      </c>
      <c r="P1305" s="206" t="s">
        <v>91</v>
      </c>
    </row>
    <row r="1306" spans="1:16" s="187" customFormat="1" ht="18" customHeight="1">
      <c r="A1306" s="187" t="str">
        <f t="shared" si="20"/>
        <v>V10029A</v>
      </c>
      <c r="B1306" s="208" t="s">
        <v>2685</v>
      </c>
      <c r="C1306" s="208"/>
      <c r="D1306" s="208" t="s">
        <v>2684</v>
      </c>
      <c r="E1306" s="208" t="s">
        <v>29</v>
      </c>
      <c r="F1306" s="208" t="s">
        <v>2686</v>
      </c>
      <c r="G1306" s="208" t="s">
        <v>2687</v>
      </c>
      <c r="H1306" s="208"/>
      <c r="I1306" s="208" t="s">
        <v>2688</v>
      </c>
      <c r="J1306" s="208" t="s">
        <v>2689</v>
      </c>
      <c r="K1306" s="208" t="s">
        <v>2690</v>
      </c>
      <c r="L1306" s="208"/>
      <c r="M1306" s="209"/>
      <c r="N1306" s="208"/>
      <c r="O1306" s="208" t="s">
        <v>260</v>
      </c>
      <c r="P1306" s="208" t="s">
        <v>91</v>
      </c>
    </row>
    <row r="1307" spans="1:16" s="187" customFormat="1" ht="18" customHeight="1">
      <c r="A1307" s="187" t="str">
        <f t="shared" si="20"/>
        <v>V10029B</v>
      </c>
      <c r="B1307" s="206" t="s">
        <v>2685</v>
      </c>
      <c r="C1307" s="206"/>
      <c r="D1307" s="206" t="s">
        <v>2691</v>
      </c>
      <c r="E1307" s="206" t="s">
        <v>29</v>
      </c>
      <c r="F1307" s="206" t="s">
        <v>2686</v>
      </c>
      <c r="G1307" s="206" t="s">
        <v>2687</v>
      </c>
      <c r="H1307" s="206"/>
      <c r="I1307" s="206" t="s">
        <v>2688</v>
      </c>
      <c r="J1307" s="206" t="s">
        <v>2689</v>
      </c>
      <c r="K1307" s="206" t="s">
        <v>2690</v>
      </c>
      <c r="L1307" s="206"/>
      <c r="M1307" s="207"/>
      <c r="N1307" s="206"/>
      <c r="O1307" s="206" t="s">
        <v>260</v>
      </c>
      <c r="P1307" s="206" t="s">
        <v>91</v>
      </c>
    </row>
    <row r="1308" spans="1:16" s="187" customFormat="1" ht="18" customHeight="1">
      <c r="A1308" s="187" t="str">
        <f t="shared" si="20"/>
        <v>V10029C</v>
      </c>
      <c r="B1308" s="208" t="s">
        <v>2685</v>
      </c>
      <c r="C1308" s="208"/>
      <c r="D1308" s="208" t="s">
        <v>2692</v>
      </c>
      <c r="E1308" s="208" t="s">
        <v>29</v>
      </c>
      <c r="F1308" s="208" t="s">
        <v>2686</v>
      </c>
      <c r="G1308" s="208" t="s">
        <v>2687</v>
      </c>
      <c r="H1308" s="208"/>
      <c r="I1308" s="208" t="s">
        <v>2688</v>
      </c>
      <c r="J1308" s="208" t="s">
        <v>2689</v>
      </c>
      <c r="K1308" s="208" t="s">
        <v>2690</v>
      </c>
      <c r="L1308" s="208"/>
      <c r="M1308" s="209"/>
      <c r="N1308" s="208"/>
      <c r="O1308" s="208" t="s">
        <v>260</v>
      </c>
      <c r="P1308" s="208" t="s">
        <v>91</v>
      </c>
    </row>
    <row r="1309" spans="1:16" s="187" customFormat="1" ht="18" customHeight="1">
      <c r="A1309" s="187" t="str">
        <f t="shared" si="20"/>
        <v>V4051A0</v>
      </c>
      <c r="B1309" s="206" t="s">
        <v>2694</v>
      </c>
      <c r="C1309" s="206"/>
      <c r="D1309" s="206" t="s">
        <v>2693</v>
      </c>
      <c r="E1309" s="206" t="s">
        <v>29</v>
      </c>
      <c r="F1309" s="206" t="s">
        <v>5257</v>
      </c>
      <c r="G1309" s="206" t="s">
        <v>2696</v>
      </c>
      <c r="H1309" s="206"/>
      <c r="I1309" s="206" t="s">
        <v>2697</v>
      </c>
      <c r="J1309" s="206" t="s">
        <v>2698</v>
      </c>
      <c r="K1309" s="206" t="s">
        <v>2699</v>
      </c>
      <c r="L1309" s="206"/>
      <c r="M1309" s="207"/>
      <c r="N1309" s="206"/>
      <c r="O1309" s="206" t="s">
        <v>131</v>
      </c>
      <c r="P1309" s="206" t="s">
        <v>107</v>
      </c>
    </row>
    <row r="1310" spans="1:16" s="187" customFormat="1" ht="18" customHeight="1">
      <c r="A1310" s="187" t="str">
        <f t="shared" si="20"/>
        <v>V4051B0</v>
      </c>
      <c r="B1310" s="208" t="s">
        <v>2694</v>
      </c>
      <c r="C1310" s="208"/>
      <c r="D1310" s="208" t="s">
        <v>2700</v>
      </c>
      <c r="E1310" s="208" t="s">
        <v>29</v>
      </c>
      <c r="F1310" s="208" t="s">
        <v>5257</v>
      </c>
      <c r="G1310" s="208" t="s">
        <v>2696</v>
      </c>
      <c r="H1310" s="208"/>
      <c r="I1310" s="208" t="s">
        <v>2697</v>
      </c>
      <c r="J1310" s="208" t="s">
        <v>2698</v>
      </c>
      <c r="K1310" s="208" t="s">
        <v>2699</v>
      </c>
      <c r="L1310" s="208"/>
      <c r="M1310" s="209"/>
      <c r="N1310" s="208"/>
      <c r="O1310" s="208" t="s">
        <v>131</v>
      </c>
      <c r="P1310" s="208" t="s">
        <v>107</v>
      </c>
    </row>
    <row r="1311" spans="1:16" s="187" customFormat="1" ht="18" customHeight="1">
      <c r="A1311" s="187" t="str">
        <f t="shared" si="20"/>
        <v>V4051C0</v>
      </c>
      <c r="B1311" s="206" t="s">
        <v>2694</v>
      </c>
      <c r="C1311" s="206"/>
      <c r="D1311" s="206" t="s">
        <v>2701</v>
      </c>
      <c r="E1311" s="206" t="s">
        <v>29</v>
      </c>
      <c r="F1311" s="206" t="s">
        <v>5257</v>
      </c>
      <c r="G1311" s="206" t="s">
        <v>2696</v>
      </c>
      <c r="H1311" s="206"/>
      <c r="I1311" s="206" t="s">
        <v>2697</v>
      </c>
      <c r="J1311" s="206" t="s">
        <v>2698</v>
      </c>
      <c r="K1311" s="206" t="s">
        <v>2699</v>
      </c>
      <c r="L1311" s="206"/>
      <c r="M1311" s="207"/>
      <c r="N1311" s="206"/>
      <c r="O1311" s="206" t="s">
        <v>131</v>
      </c>
      <c r="P1311" s="206" t="s">
        <v>107</v>
      </c>
    </row>
    <row r="1312" spans="1:16" s="187" customFormat="1" ht="18" customHeight="1">
      <c r="A1312" s="187" t="str">
        <f t="shared" si="20"/>
        <v>V10074A</v>
      </c>
      <c r="B1312" s="208" t="s">
        <v>2694</v>
      </c>
      <c r="C1312" s="208"/>
      <c r="D1312" s="208" t="s">
        <v>2703</v>
      </c>
      <c r="E1312" s="208" t="s">
        <v>29</v>
      </c>
      <c r="F1312" s="208" t="s">
        <v>5257</v>
      </c>
      <c r="G1312" s="208" t="s">
        <v>2696</v>
      </c>
      <c r="H1312" s="208"/>
      <c r="I1312" s="208" t="s">
        <v>2697</v>
      </c>
      <c r="J1312" s="208" t="s">
        <v>2698</v>
      </c>
      <c r="K1312" s="208" t="s">
        <v>2699</v>
      </c>
      <c r="L1312" s="208"/>
      <c r="M1312" s="209"/>
      <c r="N1312" s="208"/>
      <c r="O1312" s="208" t="s">
        <v>260</v>
      </c>
      <c r="P1312" s="208" t="s">
        <v>91</v>
      </c>
    </row>
    <row r="1313" spans="1:16" s="187" customFormat="1" ht="18" customHeight="1">
      <c r="A1313" s="187" t="str">
        <f t="shared" si="20"/>
        <v>V10074B</v>
      </c>
      <c r="B1313" s="206" t="s">
        <v>2694</v>
      </c>
      <c r="C1313" s="206"/>
      <c r="D1313" s="206" t="s">
        <v>2704</v>
      </c>
      <c r="E1313" s="206" t="s">
        <v>29</v>
      </c>
      <c r="F1313" s="206" t="s">
        <v>5257</v>
      </c>
      <c r="G1313" s="206" t="s">
        <v>2696</v>
      </c>
      <c r="H1313" s="206"/>
      <c r="I1313" s="206" t="s">
        <v>2697</v>
      </c>
      <c r="J1313" s="206" t="s">
        <v>2698</v>
      </c>
      <c r="K1313" s="206" t="s">
        <v>2699</v>
      </c>
      <c r="L1313" s="206"/>
      <c r="M1313" s="207"/>
      <c r="N1313" s="206"/>
      <c r="O1313" s="206" t="s">
        <v>260</v>
      </c>
      <c r="P1313" s="206" t="s">
        <v>91</v>
      </c>
    </row>
    <row r="1314" spans="1:16" s="187" customFormat="1" ht="18" customHeight="1">
      <c r="A1314" s="187" t="str">
        <f t="shared" si="20"/>
        <v>V10074C</v>
      </c>
      <c r="B1314" s="208" t="s">
        <v>2694</v>
      </c>
      <c r="C1314" s="208"/>
      <c r="D1314" s="208" t="s">
        <v>2705</v>
      </c>
      <c r="E1314" s="208" t="s">
        <v>29</v>
      </c>
      <c r="F1314" s="208" t="s">
        <v>5257</v>
      </c>
      <c r="G1314" s="208" t="s">
        <v>2696</v>
      </c>
      <c r="H1314" s="208"/>
      <c r="I1314" s="208" t="s">
        <v>2697</v>
      </c>
      <c r="J1314" s="208" t="s">
        <v>2698</v>
      </c>
      <c r="K1314" s="208" t="s">
        <v>2699</v>
      </c>
      <c r="L1314" s="208"/>
      <c r="M1314" s="209"/>
      <c r="N1314" s="208"/>
      <c r="O1314" s="208" t="s">
        <v>260</v>
      </c>
      <c r="P1314" s="208" t="s">
        <v>91</v>
      </c>
    </row>
    <row r="1315" spans="1:16" s="187" customFormat="1" ht="18" customHeight="1">
      <c r="A1315" s="187" t="str">
        <f t="shared" si="20"/>
        <v>CG440024C0</v>
      </c>
      <c r="B1315" s="206" t="s">
        <v>2694</v>
      </c>
      <c r="C1315" s="206"/>
      <c r="D1315" s="206" t="s">
        <v>2702</v>
      </c>
      <c r="E1315" s="206" t="s">
        <v>29</v>
      </c>
      <c r="F1315" s="206" t="s">
        <v>2695</v>
      </c>
      <c r="G1315" s="206" t="s">
        <v>2696</v>
      </c>
      <c r="H1315" s="206"/>
      <c r="I1315" s="206" t="s">
        <v>2697</v>
      </c>
      <c r="J1315" s="206" t="s">
        <v>2698</v>
      </c>
      <c r="K1315" s="206" t="s">
        <v>2699</v>
      </c>
      <c r="L1315" s="206"/>
      <c r="M1315" s="207"/>
      <c r="N1315" s="206"/>
      <c r="O1315" s="206" t="s">
        <v>131</v>
      </c>
      <c r="P1315" s="206" t="s">
        <v>100</v>
      </c>
    </row>
    <row r="1316" spans="1:16" s="187" customFormat="1" ht="18" customHeight="1">
      <c r="A1316" s="187" t="str">
        <f t="shared" si="20"/>
        <v>V10372B</v>
      </c>
      <c r="B1316" s="208" t="s">
        <v>5384</v>
      </c>
      <c r="C1316" s="208"/>
      <c r="D1316" s="208" t="s">
        <v>5385</v>
      </c>
      <c r="E1316" s="208" t="s">
        <v>29</v>
      </c>
      <c r="F1316" s="208" t="s">
        <v>5386</v>
      </c>
      <c r="G1316" s="208"/>
      <c r="H1316" s="208"/>
      <c r="I1316" s="208"/>
      <c r="J1316" s="208"/>
      <c r="K1316" s="208"/>
      <c r="L1316" s="208"/>
      <c r="M1316" s="209"/>
      <c r="N1316" s="208"/>
      <c r="O1316" s="208"/>
      <c r="P1316" s="208" t="s">
        <v>91</v>
      </c>
    </row>
    <row r="1317" spans="1:16" s="187" customFormat="1" ht="18" customHeight="1">
      <c r="A1317" s="187" t="str">
        <f t="shared" si="20"/>
        <v>V10372C</v>
      </c>
      <c r="B1317" s="206" t="s">
        <v>5384</v>
      </c>
      <c r="C1317" s="206"/>
      <c r="D1317" s="206" t="s">
        <v>5293</v>
      </c>
      <c r="E1317" s="206" t="s">
        <v>29</v>
      </c>
      <c r="F1317" s="206" t="s">
        <v>5386</v>
      </c>
      <c r="G1317" s="206"/>
      <c r="H1317" s="206"/>
      <c r="I1317" s="206" t="s">
        <v>5387</v>
      </c>
      <c r="J1317" s="206" t="s">
        <v>5388</v>
      </c>
      <c r="K1317" s="206" t="s">
        <v>5389</v>
      </c>
      <c r="L1317" s="206"/>
      <c r="M1317" s="207"/>
      <c r="N1317" s="206"/>
      <c r="O1317" s="206"/>
      <c r="P1317" s="206" t="s">
        <v>91</v>
      </c>
    </row>
    <row r="1318" spans="1:16" s="187" customFormat="1" ht="18" customHeight="1">
      <c r="A1318" s="187" t="str">
        <f t="shared" si="20"/>
        <v>V10135A</v>
      </c>
      <c r="B1318" s="208" t="s">
        <v>2707</v>
      </c>
      <c r="C1318" s="208"/>
      <c r="D1318" s="208" t="s">
        <v>2706</v>
      </c>
      <c r="E1318" s="208" t="s">
        <v>29</v>
      </c>
      <c r="F1318" s="208" t="s">
        <v>2708</v>
      </c>
      <c r="G1318" s="208" t="s">
        <v>2709</v>
      </c>
      <c r="H1318" s="208"/>
      <c r="I1318" s="208"/>
      <c r="J1318" s="208" t="s">
        <v>2710</v>
      </c>
      <c r="K1318" s="208" t="s">
        <v>2711</v>
      </c>
      <c r="L1318" s="208"/>
      <c r="M1318" s="209"/>
      <c r="N1318" s="208"/>
      <c r="O1318" s="208" t="s">
        <v>260</v>
      </c>
      <c r="P1318" s="208" t="s">
        <v>91</v>
      </c>
    </row>
    <row r="1319" spans="1:16" s="187" customFormat="1" ht="18" customHeight="1">
      <c r="A1319" s="187" t="str">
        <f t="shared" si="20"/>
        <v>V10135B</v>
      </c>
      <c r="B1319" s="206" t="s">
        <v>2707</v>
      </c>
      <c r="C1319" s="206"/>
      <c r="D1319" s="206" t="s">
        <v>2712</v>
      </c>
      <c r="E1319" s="206" t="s">
        <v>29</v>
      </c>
      <c r="F1319" s="206" t="s">
        <v>2708</v>
      </c>
      <c r="G1319" s="206" t="s">
        <v>2709</v>
      </c>
      <c r="H1319" s="206"/>
      <c r="I1319" s="206"/>
      <c r="J1319" s="206" t="s">
        <v>2710</v>
      </c>
      <c r="K1319" s="206" t="s">
        <v>2711</v>
      </c>
      <c r="L1319" s="206"/>
      <c r="M1319" s="207"/>
      <c r="N1319" s="206"/>
      <c r="O1319" s="206" t="s">
        <v>260</v>
      </c>
      <c r="P1319" s="206" t="s">
        <v>91</v>
      </c>
    </row>
    <row r="1320" spans="1:16" s="187" customFormat="1" ht="18" customHeight="1">
      <c r="A1320" s="187" t="str">
        <f t="shared" si="20"/>
        <v>V10135C</v>
      </c>
      <c r="B1320" s="208" t="s">
        <v>2707</v>
      </c>
      <c r="C1320" s="208"/>
      <c r="D1320" s="208" t="s">
        <v>2713</v>
      </c>
      <c r="E1320" s="208" t="s">
        <v>29</v>
      </c>
      <c r="F1320" s="208" t="s">
        <v>2708</v>
      </c>
      <c r="G1320" s="208" t="s">
        <v>2709</v>
      </c>
      <c r="H1320" s="208"/>
      <c r="I1320" s="208"/>
      <c r="J1320" s="208" t="s">
        <v>2710</v>
      </c>
      <c r="K1320" s="208" t="s">
        <v>2711</v>
      </c>
      <c r="L1320" s="208"/>
      <c r="M1320" s="209"/>
      <c r="N1320" s="208"/>
      <c r="O1320" s="208" t="s">
        <v>260</v>
      </c>
      <c r="P1320" s="208" t="s">
        <v>91</v>
      </c>
    </row>
    <row r="1321" spans="1:16" s="187" customFormat="1" ht="18" customHeight="1">
      <c r="A1321" s="187" t="str">
        <f t="shared" si="20"/>
        <v>V10279B</v>
      </c>
      <c r="B1321" s="206" t="s">
        <v>4445</v>
      </c>
      <c r="C1321" s="206"/>
      <c r="D1321" s="206" t="s">
        <v>4444</v>
      </c>
      <c r="E1321" s="206" t="s">
        <v>29</v>
      </c>
      <c r="F1321" s="206" t="s">
        <v>4446</v>
      </c>
      <c r="G1321" s="206"/>
      <c r="H1321" s="206"/>
      <c r="I1321" s="206"/>
      <c r="J1321" s="206"/>
      <c r="K1321" s="206"/>
      <c r="L1321" s="206"/>
      <c r="M1321" s="207"/>
      <c r="N1321" s="206"/>
      <c r="O1321" s="206"/>
      <c r="P1321" s="206" t="s">
        <v>91</v>
      </c>
    </row>
    <row r="1322" spans="1:16" s="187" customFormat="1" ht="18" customHeight="1">
      <c r="A1322" s="187" t="str">
        <f t="shared" si="20"/>
        <v>V10092A</v>
      </c>
      <c r="B1322" s="208" t="s">
        <v>2715</v>
      </c>
      <c r="C1322" s="208"/>
      <c r="D1322" s="208" t="s">
        <v>2714</v>
      </c>
      <c r="E1322" s="208" t="s">
        <v>29</v>
      </c>
      <c r="F1322" s="208" t="s">
        <v>2716</v>
      </c>
      <c r="G1322" s="208" t="s">
        <v>2717</v>
      </c>
      <c r="H1322" s="208"/>
      <c r="I1322" s="208" t="s">
        <v>2718</v>
      </c>
      <c r="J1322" s="208" t="s">
        <v>2719</v>
      </c>
      <c r="K1322" s="208" t="s">
        <v>2720</v>
      </c>
      <c r="L1322" s="208"/>
      <c r="M1322" s="209"/>
      <c r="N1322" s="208"/>
      <c r="O1322" s="208" t="s">
        <v>260</v>
      </c>
      <c r="P1322" s="208" t="s">
        <v>91</v>
      </c>
    </row>
    <row r="1323" spans="1:16" s="187" customFormat="1" ht="18" customHeight="1">
      <c r="A1323" s="187" t="str">
        <f t="shared" si="20"/>
        <v>V10092B</v>
      </c>
      <c r="B1323" s="206" t="s">
        <v>2715</v>
      </c>
      <c r="C1323" s="206"/>
      <c r="D1323" s="206" t="s">
        <v>2721</v>
      </c>
      <c r="E1323" s="206" t="s">
        <v>29</v>
      </c>
      <c r="F1323" s="206" t="s">
        <v>2716</v>
      </c>
      <c r="G1323" s="206" t="s">
        <v>2717</v>
      </c>
      <c r="H1323" s="206"/>
      <c r="I1323" s="206" t="s">
        <v>2718</v>
      </c>
      <c r="J1323" s="206" t="s">
        <v>2719</v>
      </c>
      <c r="K1323" s="206" t="s">
        <v>2720</v>
      </c>
      <c r="L1323" s="206"/>
      <c r="M1323" s="207"/>
      <c r="N1323" s="206"/>
      <c r="O1323" s="206" t="s">
        <v>260</v>
      </c>
      <c r="P1323" s="206" t="s">
        <v>91</v>
      </c>
    </row>
    <row r="1324" spans="1:16" s="187" customFormat="1" ht="18" customHeight="1">
      <c r="A1324" s="187" t="str">
        <f t="shared" si="20"/>
        <v>V10092C</v>
      </c>
      <c r="B1324" s="208" t="s">
        <v>2715</v>
      </c>
      <c r="C1324" s="208"/>
      <c r="D1324" s="208" t="s">
        <v>2722</v>
      </c>
      <c r="E1324" s="208" t="s">
        <v>29</v>
      </c>
      <c r="F1324" s="208" t="s">
        <v>2716</v>
      </c>
      <c r="G1324" s="208" t="s">
        <v>2717</v>
      </c>
      <c r="H1324" s="208"/>
      <c r="I1324" s="208" t="s">
        <v>2718</v>
      </c>
      <c r="J1324" s="208" t="s">
        <v>2719</v>
      </c>
      <c r="K1324" s="208" t="s">
        <v>2720</v>
      </c>
      <c r="L1324" s="208"/>
      <c r="M1324" s="209"/>
      <c r="N1324" s="208"/>
      <c r="O1324" s="208" t="s">
        <v>260</v>
      </c>
      <c r="P1324" s="208" t="s">
        <v>91</v>
      </c>
    </row>
    <row r="1325" spans="1:16" s="187" customFormat="1" ht="18" customHeight="1">
      <c r="A1325" s="187" t="str">
        <f t="shared" si="20"/>
        <v>V10027A</v>
      </c>
      <c r="B1325" s="206" t="s">
        <v>2724</v>
      </c>
      <c r="C1325" s="206"/>
      <c r="D1325" s="206" t="s">
        <v>2723</v>
      </c>
      <c r="E1325" s="206" t="s">
        <v>29</v>
      </c>
      <c r="F1325" s="206" t="s">
        <v>2725</v>
      </c>
      <c r="G1325" s="206" t="s">
        <v>2726</v>
      </c>
      <c r="H1325" s="206"/>
      <c r="I1325" s="206"/>
      <c r="J1325" s="206" t="s">
        <v>5258</v>
      </c>
      <c r="K1325" s="206" t="s">
        <v>2727</v>
      </c>
      <c r="L1325" s="206"/>
      <c r="M1325" s="207"/>
      <c r="N1325" s="206"/>
      <c r="O1325" s="206" t="s">
        <v>260</v>
      </c>
      <c r="P1325" s="206" t="s">
        <v>91</v>
      </c>
    </row>
    <row r="1326" spans="1:16" s="187" customFormat="1" ht="18" customHeight="1">
      <c r="A1326" s="187" t="str">
        <f t="shared" si="20"/>
        <v>V10027B</v>
      </c>
      <c r="B1326" s="208" t="s">
        <v>2724</v>
      </c>
      <c r="C1326" s="208"/>
      <c r="D1326" s="208" t="s">
        <v>2728</v>
      </c>
      <c r="E1326" s="208" t="s">
        <v>29</v>
      </c>
      <c r="F1326" s="208" t="s">
        <v>2725</v>
      </c>
      <c r="G1326" s="208" t="s">
        <v>2726</v>
      </c>
      <c r="H1326" s="208"/>
      <c r="I1326" s="208"/>
      <c r="J1326" s="208" t="s">
        <v>5258</v>
      </c>
      <c r="K1326" s="208" t="s">
        <v>2727</v>
      </c>
      <c r="L1326" s="208"/>
      <c r="M1326" s="209"/>
      <c r="N1326" s="208"/>
      <c r="O1326" s="208" t="s">
        <v>260</v>
      </c>
      <c r="P1326" s="208" t="s">
        <v>91</v>
      </c>
    </row>
    <row r="1327" spans="1:16" s="187" customFormat="1" ht="18" customHeight="1">
      <c r="A1327" s="187" t="str">
        <f t="shared" si="20"/>
        <v>V10027C</v>
      </c>
      <c r="B1327" s="206" t="s">
        <v>2724</v>
      </c>
      <c r="C1327" s="206"/>
      <c r="D1327" s="206" t="s">
        <v>2729</v>
      </c>
      <c r="E1327" s="206" t="s">
        <v>29</v>
      </c>
      <c r="F1327" s="206" t="s">
        <v>2725</v>
      </c>
      <c r="G1327" s="206" t="s">
        <v>2726</v>
      </c>
      <c r="H1327" s="206"/>
      <c r="I1327" s="206"/>
      <c r="J1327" s="206" t="s">
        <v>5258</v>
      </c>
      <c r="K1327" s="206" t="s">
        <v>2727</v>
      </c>
      <c r="L1327" s="206"/>
      <c r="M1327" s="207"/>
      <c r="N1327" s="206"/>
      <c r="O1327" s="206" t="s">
        <v>260</v>
      </c>
      <c r="P1327" s="206" t="s">
        <v>91</v>
      </c>
    </row>
    <row r="1328" spans="1:16" s="187" customFormat="1" ht="18" customHeight="1">
      <c r="A1328" s="187" t="str">
        <f t="shared" si="20"/>
        <v>CG480003C0</v>
      </c>
      <c r="B1328" s="208" t="s">
        <v>2724</v>
      </c>
      <c r="C1328" s="208"/>
      <c r="D1328" s="208" t="s">
        <v>2730</v>
      </c>
      <c r="E1328" s="208" t="s">
        <v>151</v>
      </c>
      <c r="F1328" s="208" t="s">
        <v>2725</v>
      </c>
      <c r="G1328" s="208"/>
      <c r="H1328" s="208"/>
      <c r="I1328" s="208"/>
      <c r="J1328" s="208"/>
      <c r="K1328" s="208"/>
      <c r="L1328" s="208"/>
      <c r="M1328" s="209"/>
      <c r="N1328" s="208"/>
      <c r="O1328" s="208"/>
      <c r="P1328" s="208" t="s">
        <v>100</v>
      </c>
    </row>
    <row r="1329" spans="1:16" s="187" customFormat="1" ht="18" customHeight="1">
      <c r="A1329" s="187" t="str">
        <f t="shared" si="20"/>
        <v>V10271C</v>
      </c>
      <c r="B1329" s="206" t="s">
        <v>4448</v>
      </c>
      <c r="C1329" s="206"/>
      <c r="D1329" s="206" t="s">
        <v>4447</v>
      </c>
      <c r="E1329" s="206" t="s">
        <v>29</v>
      </c>
      <c r="F1329" s="206" t="s">
        <v>4449</v>
      </c>
      <c r="G1329" s="206" t="s">
        <v>2332</v>
      </c>
      <c r="H1329" s="206"/>
      <c r="I1329" s="206"/>
      <c r="J1329" s="206"/>
      <c r="K1329" s="206"/>
      <c r="L1329" s="206"/>
      <c r="M1329" s="207"/>
      <c r="N1329" s="206"/>
      <c r="O1329" s="206"/>
      <c r="P1329" s="206" t="s">
        <v>91</v>
      </c>
    </row>
    <row r="1330" spans="1:16" s="187" customFormat="1" ht="18" customHeight="1">
      <c r="A1330" s="187" t="str">
        <f t="shared" si="20"/>
        <v>V20158A</v>
      </c>
      <c r="B1330" s="208" t="s">
        <v>5586</v>
      </c>
      <c r="C1330" s="208"/>
      <c r="D1330" s="208" t="s">
        <v>5587</v>
      </c>
      <c r="E1330" s="208" t="s">
        <v>29</v>
      </c>
      <c r="F1330" s="208" t="s">
        <v>5588</v>
      </c>
      <c r="G1330" s="208"/>
      <c r="H1330" s="208"/>
      <c r="I1330" s="208"/>
      <c r="J1330" s="208"/>
      <c r="K1330" s="208"/>
      <c r="L1330" s="208"/>
      <c r="M1330" s="209"/>
      <c r="N1330" s="208"/>
      <c r="O1330" s="208"/>
      <c r="P1330" s="208" t="s">
        <v>34</v>
      </c>
    </row>
    <row r="1331" spans="1:16" s="187" customFormat="1" ht="18" customHeight="1">
      <c r="A1331" s="187" t="str">
        <f t="shared" si="20"/>
        <v>V10520C</v>
      </c>
      <c r="B1331" s="206" t="s">
        <v>6433</v>
      </c>
      <c r="C1331" s="206"/>
      <c r="D1331" s="206" t="s">
        <v>6434</v>
      </c>
      <c r="E1331" s="206" t="s">
        <v>29</v>
      </c>
      <c r="F1331" s="206" t="s">
        <v>6435</v>
      </c>
      <c r="G1331" s="206"/>
      <c r="H1331" s="206"/>
      <c r="I1331" s="206"/>
      <c r="J1331" s="206" t="s">
        <v>6436</v>
      </c>
      <c r="K1331" s="206" t="s">
        <v>6437</v>
      </c>
      <c r="L1331" s="206"/>
      <c r="M1331" s="207"/>
      <c r="N1331" s="206"/>
      <c r="O1331" s="206"/>
      <c r="P1331" s="206" t="s">
        <v>91</v>
      </c>
    </row>
    <row r="1332" spans="1:16" s="187" customFormat="1" ht="18" customHeight="1">
      <c r="A1332" s="187" t="str">
        <f t="shared" si="20"/>
        <v>V10445C</v>
      </c>
      <c r="B1332" s="208" t="s">
        <v>5781</v>
      </c>
      <c r="C1332" s="208"/>
      <c r="D1332" s="208" t="s">
        <v>5782</v>
      </c>
      <c r="E1332" s="208" t="s">
        <v>29</v>
      </c>
      <c r="F1332" s="208" t="s">
        <v>5783</v>
      </c>
      <c r="G1332" s="208"/>
      <c r="H1332" s="208"/>
      <c r="I1332" s="208"/>
      <c r="J1332" s="208" t="s">
        <v>5784</v>
      </c>
      <c r="K1332" s="208" t="s">
        <v>5785</v>
      </c>
      <c r="L1332" s="208"/>
      <c r="M1332" s="209"/>
      <c r="N1332" s="208"/>
      <c r="O1332" s="208" t="s">
        <v>260</v>
      </c>
      <c r="P1332" s="208" t="s">
        <v>91</v>
      </c>
    </row>
    <row r="1333" spans="1:16" s="187" customFormat="1" ht="18" customHeight="1">
      <c r="A1333" s="187" t="str">
        <f t="shared" si="20"/>
        <v>V10176A</v>
      </c>
      <c r="B1333" s="206" t="s">
        <v>2732</v>
      </c>
      <c r="C1333" s="206"/>
      <c r="D1333" s="206" t="s">
        <v>2731</v>
      </c>
      <c r="E1333" s="206" t="s">
        <v>29</v>
      </c>
      <c r="F1333" s="206" t="s">
        <v>2733</v>
      </c>
      <c r="G1333" s="206" t="s">
        <v>2734</v>
      </c>
      <c r="H1333" s="206"/>
      <c r="I1333" s="206"/>
      <c r="J1333" s="206" t="s">
        <v>2735</v>
      </c>
      <c r="K1333" s="206" t="s">
        <v>2736</v>
      </c>
      <c r="L1333" s="206"/>
      <c r="M1333" s="207"/>
      <c r="N1333" s="206"/>
      <c r="O1333" s="206" t="s">
        <v>260</v>
      </c>
      <c r="P1333" s="206" t="s">
        <v>91</v>
      </c>
    </row>
    <row r="1334" spans="1:16" s="187" customFormat="1" ht="18" customHeight="1">
      <c r="A1334" s="187" t="str">
        <f t="shared" si="20"/>
        <v>V10176B</v>
      </c>
      <c r="B1334" s="208" t="s">
        <v>2732</v>
      </c>
      <c r="C1334" s="208"/>
      <c r="D1334" s="208" t="s">
        <v>2737</v>
      </c>
      <c r="E1334" s="208" t="s">
        <v>29</v>
      </c>
      <c r="F1334" s="208" t="s">
        <v>2733</v>
      </c>
      <c r="G1334" s="208" t="s">
        <v>2734</v>
      </c>
      <c r="H1334" s="208"/>
      <c r="I1334" s="208"/>
      <c r="J1334" s="208" t="s">
        <v>2735</v>
      </c>
      <c r="K1334" s="208" t="s">
        <v>2736</v>
      </c>
      <c r="L1334" s="208"/>
      <c r="M1334" s="209"/>
      <c r="N1334" s="208"/>
      <c r="O1334" s="208" t="s">
        <v>260</v>
      </c>
      <c r="P1334" s="208" t="s">
        <v>91</v>
      </c>
    </row>
    <row r="1335" spans="1:16" s="187" customFormat="1" ht="18" customHeight="1">
      <c r="A1335" s="187" t="str">
        <f t="shared" si="20"/>
        <v>V10176C</v>
      </c>
      <c r="B1335" s="206" t="s">
        <v>2732</v>
      </c>
      <c r="C1335" s="206"/>
      <c r="D1335" s="206" t="s">
        <v>2738</v>
      </c>
      <c r="E1335" s="206" t="s">
        <v>29</v>
      </c>
      <c r="F1335" s="206" t="s">
        <v>2733</v>
      </c>
      <c r="G1335" s="206" t="s">
        <v>2734</v>
      </c>
      <c r="H1335" s="206"/>
      <c r="I1335" s="206"/>
      <c r="J1335" s="206" t="s">
        <v>2735</v>
      </c>
      <c r="K1335" s="206" t="s">
        <v>2736</v>
      </c>
      <c r="L1335" s="206"/>
      <c r="M1335" s="207"/>
      <c r="N1335" s="206"/>
      <c r="O1335" s="206" t="s">
        <v>260</v>
      </c>
      <c r="P1335" s="206" t="s">
        <v>91</v>
      </c>
    </row>
    <row r="1336" spans="1:16" s="187" customFormat="1" ht="18" customHeight="1">
      <c r="A1336" s="187" t="str">
        <f t="shared" si="20"/>
        <v>V4076C0</v>
      </c>
      <c r="B1336" s="208" t="s">
        <v>2740</v>
      </c>
      <c r="C1336" s="208"/>
      <c r="D1336" s="208" t="s">
        <v>2739</v>
      </c>
      <c r="E1336" s="208" t="s">
        <v>29</v>
      </c>
      <c r="F1336" s="208" t="s">
        <v>2741</v>
      </c>
      <c r="G1336" s="208" t="s">
        <v>2742</v>
      </c>
      <c r="H1336" s="208"/>
      <c r="I1336" s="208"/>
      <c r="J1336" s="208" t="s">
        <v>2743</v>
      </c>
      <c r="K1336" s="208" t="s">
        <v>2744</v>
      </c>
      <c r="L1336" s="208"/>
      <c r="M1336" s="209"/>
      <c r="N1336" s="208"/>
      <c r="O1336" s="208"/>
      <c r="P1336" s="208" t="s">
        <v>107</v>
      </c>
    </row>
    <row r="1337" spans="1:16" s="187" customFormat="1" ht="18" customHeight="1">
      <c r="A1337" s="187" t="str">
        <f t="shared" si="20"/>
        <v>V4031C0</v>
      </c>
      <c r="B1337" s="206" t="s">
        <v>2746</v>
      </c>
      <c r="C1337" s="206"/>
      <c r="D1337" s="206" t="s">
        <v>2745</v>
      </c>
      <c r="E1337" s="206" t="s">
        <v>29</v>
      </c>
      <c r="F1337" s="206" t="s">
        <v>2747</v>
      </c>
      <c r="G1337" s="206" t="s">
        <v>2748</v>
      </c>
      <c r="H1337" s="206"/>
      <c r="I1337" s="206" t="s">
        <v>2749</v>
      </c>
      <c r="J1337" s="206" t="s">
        <v>2750</v>
      </c>
      <c r="K1337" s="206" t="s">
        <v>2751</v>
      </c>
      <c r="L1337" s="206"/>
      <c r="M1337" s="207"/>
      <c r="N1337" s="206"/>
      <c r="O1337" s="206" t="s">
        <v>131</v>
      </c>
      <c r="P1337" s="206" t="s">
        <v>107</v>
      </c>
    </row>
    <row r="1338" spans="1:16" s="187" customFormat="1" ht="18" customHeight="1">
      <c r="A1338" s="187" t="str">
        <f t="shared" si="20"/>
        <v>V10234A</v>
      </c>
      <c r="B1338" s="208" t="s">
        <v>2753</v>
      </c>
      <c r="C1338" s="208"/>
      <c r="D1338" s="208" t="s">
        <v>2752</v>
      </c>
      <c r="E1338" s="208" t="s">
        <v>29</v>
      </c>
      <c r="F1338" s="208" t="s">
        <v>2754</v>
      </c>
      <c r="G1338" s="208" t="s">
        <v>2755</v>
      </c>
      <c r="H1338" s="208"/>
      <c r="I1338" s="208"/>
      <c r="J1338" s="208" t="s">
        <v>2756</v>
      </c>
      <c r="K1338" s="208" t="s">
        <v>2757</v>
      </c>
      <c r="L1338" s="208"/>
      <c r="M1338" s="209"/>
      <c r="N1338" s="208"/>
      <c r="O1338" s="208" t="s">
        <v>260</v>
      </c>
      <c r="P1338" s="208" t="s">
        <v>91</v>
      </c>
    </row>
    <row r="1339" spans="1:16" s="187" customFormat="1" ht="18" customHeight="1">
      <c r="A1339" s="187" t="str">
        <f t="shared" si="20"/>
        <v>V10234B</v>
      </c>
      <c r="B1339" s="206" t="s">
        <v>2753</v>
      </c>
      <c r="C1339" s="206"/>
      <c r="D1339" s="206" t="s">
        <v>2758</v>
      </c>
      <c r="E1339" s="206" t="s">
        <v>29</v>
      </c>
      <c r="F1339" s="206" t="s">
        <v>2754</v>
      </c>
      <c r="G1339" s="206" t="s">
        <v>2755</v>
      </c>
      <c r="H1339" s="206"/>
      <c r="I1339" s="206"/>
      <c r="J1339" s="206" t="s">
        <v>2759</v>
      </c>
      <c r="K1339" s="206" t="s">
        <v>2757</v>
      </c>
      <c r="L1339" s="206"/>
      <c r="M1339" s="207"/>
      <c r="N1339" s="206"/>
      <c r="O1339" s="206" t="s">
        <v>260</v>
      </c>
      <c r="P1339" s="206" t="s">
        <v>91</v>
      </c>
    </row>
    <row r="1340" spans="1:16" s="187" customFormat="1" ht="18" customHeight="1">
      <c r="A1340" s="187" t="str">
        <f t="shared" si="20"/>
        <v>V10234C</v>
      </c>
      <c r="B1340" s="208" t="s">
        <v>2753</v>
      </c>
      <c r="C1340" s="208"/>
      <c r="D1340" s="208" t="s">
        <v>2760</v>
      </c>
      <c r="E1340" s="208" t="s">
        <v>29</v>
      </c>
      <c r="F1340" s="208" t="s">
        <v>2754</v>
      </c>
      <c r="G1340" s="208" t="s">
        <v>2755</v>
      </c>
      <c r="H1340" s="208"/>
      <c r="I1340" s="208"/>
      <c r="J1340" s="208" t="s">
        <v>2756</v>
      </c>
      <c r="K1340" s="208" t="s">
        <v>2757</v>
      </c>
      <c r="L1340" s="208"/>
      <c r="M1340" s="209"/>
      <c r="N1340" s="208"/>
      <c r="O1340" s="208" t="s">
        <v>260</v>
      </c>
      <c r="P1340" s="208" t="s">
        <v>91</v>
      </c>
    </row>
    <row r="1341" spans="1:16" s="187" customFormat="1" ht="18" customHeight="1">
      <c r="A1341" s="187" t="str">
        <f t="shared" si="20"/>
        <v>V10360B</v>
      </c>
      <c r="B1341" s="206" t="s">
        <v>4860</v>
      </c>
      <c r="C1341" s="206"/>
      <c r="D1341" s="206" t="s">
        <v>6444</v>
      </c>
      <c r="E1341" s="206" t="s">
        <v>29</v>
      </c>
      <c r="F1341" s="206" t="s">
        <v>4978</v>
      </c>
      <c r="G1341" s="206"/>
      <c r="H1341" s="206"/>
      <c r="I1341" s="206" t="s">
        <v>4979</v>
      </c>
      <c r="J1341" s="206" t="s">
        <v>4980</v>
      </c>
      <c r="K1341" s="206" t="s">
        <v>2757</v>
      </c>
      <c r="L1341" s="206"/>
      <c r="M1341" s="207"/>
      <c r="N1341" s="206"/>
      <c r="O1341" s="206"/>
      <c r="P1341" s="206" t="s">
        <v>91</v>
      </c>
    </row>
    <row r="1342" spans="1:16" s="187" customFormat="1" ht="18" customHeight="1">
      <c r="A1342" s="187" t="str">
        <f t="shared" si="20"/>
        <v>V10360C</v>
      </c>
      <c r="B1342" s="208" t="s">
        <v>4860</v>
      </c>
      <c r="C1342" s="208"/>
      <c r="D1342" s="208" t="s">
        <v>4859</v>
      </c>
      <c r="E1342" s="208" t="s">
        <v>29</v>
      </c>
      <c r="F1342" s="208" t="s">
        <v>4978</v>
      </c>
      <c r="G1342" s="208"/>
      <c r="H1342" s="208"/>
      <c r="I1342" s="208" t="s">
        <v>4979</v>
      </c>
      <c r="J1342" s="208" t="s">
        <v>4980</v>
      </c>
      <c r="K1342" s="208" t="s">
        <v>2757</v>
      </c>
      <c r="L1342" s="208"/>
      <c r="M1342" s="209"/>
      <c r="N1342" s="208"/>
      <c r="O1342" s="208"/>
      <c r="P1342" s="208" t="s">
        <v>91</v>
      </c>
    </row>
    <row r="1343" spans="1:16" s="187" customFormat="1" ht="18" customHeight="1">
      <c r="A1343" s="187" t="str">
        <f t="shared" si="20"/>
        <v>V10124A</v>
      </c>
      <c r="B1343" s="206" t="s">
        <v>2762</v>
      </c>
      <c r="C1343" s="206"/>
      <c r="D1343" s="206" t="s">
        <v>2761</v>
      </c>
      <c r="E1343" s="206" t="s">
        <v>29</v>
      </c>
      <c r="F1343" s="206" t="s">
        <v>2763</v>
      </c>
      <c r="G1343" s="206" t="s">
        <v>2764</v>
      </c>
      <c r="H1343" s="206"/>
      <c r="I1343" s="206"/>
      <c r="J1343" s="206" t="s">
        <v>1519</v>
      </c>
      <c r="K1343" s="206" t="s">
        <v>2765</v>
      </c>
      <c r="L1343" s="206"/>
      <c r="M1343" s="207"/>
      <c r="N1343" s="206"/>
      <c r="O1343" s="206" t="s">
        <v>260</v>
      </c>
      <c r="P1343" s="206" t="s">
        <v>91</v>
      </c>
    </row>
    <row r="1344" spans="1:16" s="187" customFormat="1" ht="18" customHeight="1">
      <c r="A1344" s="187" t="str">
        <f t="shared" si="20"/>
        <v>V10124B</v>
      </c>
      <c r="B1344" s="208" t="s">
        <v>2762</v>
      </c>
      <c r="C1344" s="208"/>
      <c r="D1344" s="208" t="s">
        <v>2766</v>
      </c>
      <c r="E1344" s="208" t="s">
        <v>29</v>
      </c>
      <c r="F1344" s="208" t="s">
        <v>2767</v>
      </c>
      <c r="G1344" s="208" t="s">
        <v>2764</v>
      </c>
      <c r="H1344" s="208"/>
      <c r="I1344" s="208"/>
      <c r="J1344" s="208" t="s">
        <v>1519</v>
      </c>
      <c r="K1344" s="208" t="s">
        <v>2765</v>
      </c>
      <c r="L1344" s="208"/>
      <c r="M1344" s="209"/>
      <c r="N1344" s="208"/>
      <c r="O1344" s="208" t="s">
        <v>260</v>
      </c>
      <c r="P1344" s="208" t="s">
        <v>91</v>
      </c>
    </row>
    <row r="1345" spans="1:16" s="187" customFormat="1" ht="18" customHeight="1">
      <c r="A1345" s="187" t="str">
        <f t="shared" si="20"/>
        <v>V10124C</v>
      </c>
      <c r="B1345" s="206" t="s">
        <v>2762</v>
      </c>
      <c r="C1345" s="206"/>
      <c r="D1345" s="206" t="s">
        <v>2768</v>
      </c>
      <c r="E1345" s="206" t="s">
        <v>29</v>
      </c>
      <c r="F1345" s="206" t="s">
        <v>2767</v>
      </c>
      <c r="G1345" s="206" t="s">
        <v>2764</v>
      </c>
      <c r="H1345" s="206"/>
      <c r="I1345" s="206"/>
      <c r="J1345" s="206" t="s">
        <v>1519</v>
      </c>
      <c r="K1345" s="206" t="s">
        <v>2765</v>
      </c>
      <c r="L1345" s="206"/>
      <c r="M1345" s="207"/>
      <c r="N1345" s="206"/>
      <c r="O1345" s="206" t="s">
        <v>260</v>
      </c>
      <c r="P1345" s="206" t="s">
        <v>91</v>
      </c>
    </row>
    <row r="1346" spans="1:16" s="187" customFormat="1" ht="18" customHeight="1">
      <c r="A1346" s="187" t="str">
        <f t="shared" si="20"/>
        <v>V10011C</v>
      </c>
      <c r="B1346" s="208" t="s">
        <v>2770</v>
      </c>
      <c r="C1346" s="208"/>
      <c r="D1346" s="208" t="s">
        <v>2769</v>
      </c>
      <c r="E1346" s="208" t="s">
        <v>29</v>
      </c>
      <c r="F1346" s="208" t="s">
        <v>2771</v>
      </c>
      <c r="G1346" s="208" t="s">
        <v>2772</v>
      </c>
      <c r="H1346" s="208"/>
      <c r="I1346" s="208"/>
      <c r="J1346" s="208" t="s">
        <v>5055</v>
      </c>
      <c r="K1346" s="208" t="s">
        <v>2773</v>
      </c>
      <c r="L1346" s="208"/>
      <c r="M1346" s="209"/>
      <c r="N1346" s="208"/>
      <c r="O1346" s="208" t="s">
        <v>260</v>
      </c>
      <c r="P1346" s="208" t="s">
        <v>91</v>
      </c>
    </row>
    <row r="1347" spans="1:16" s="187" customFormat="1" ht="18" customHeight="1">
      <c r="A1347" s="187" t="str">
        <f t="shared" si="20"/>
        <v>V10011A</v>
      </c>
      <c r="B1347" s="206" t="s">
        <v>2770</v>
      </c>
      <c r="C1347" s="206"/>
      <c r="D1347" s="206" t="s">
        <v>2774</v>
      </c>
      <c r="E1347" s="206" t="s">
        <v>29</v>
      </c>
      <c r="F1347" s="206" t="s">
        <v>2771</v>
      </c>
      <c r="G1347" s="206" t="s">
        <v>2772</v>
      </c>
      <c r="H1347" s="206"/>
      <c r="I1347" s="206"/>
      <c r="J1347" s="206" t="s">
        <v>5055</v>
      </c>
      <c r="K1347" s="206" t="s">
        <v>2773</v>
      </c>
      <c r="L1347" s="206"/>
      <c r="M1347" s="207"/>
      <c r="N1347" s="206"/>
      <c r="O1347" s="206" t="s">
        <v>260</v>
      </c>
      <c r="P1347" s="206" t="s">
        <v>91</v>
      </c>
    </row>
    <row r="1348" spans="1:16" s="187" customFormat="1" ht="18" customHeight="1">
      <c r="A1348" s="187" t="str">
        <f t="shared" si="20"/>
        <v>V10011B</v>
      </c>
      <c r="B1348" s="208" t="s">
        <v>2770</v>
      </c>
      <c r="C1348" s="208"/>
      <c r="D1348" s="208" t="s">
        <v>2775</v>
      </c>
      <c r="E1348" s="208" t="s">
        <v>29</v>
      </c>
      <c r="F1348" s="208" t="s">
        <v>2771</v>
      </c>
      <c r="G1348" s="208" t="s">
        <v>2772</v>
      </c>
      <c r="H1348" s="208"/>
      <c r="I1348" s="208"/>
      <c r="J1348" s="208" t="s">
        <v>5055</v>
      </c>
      <c r="K1348" s="208" t="s">
        <v>2773</v>
      </c>
      <c r="L1348" s="208"/>
      <c r="M1348" s="209"/>
      <c r="N1348" s="208"/>
      <c r="O1348" s="208" t="s">
        <v>260</v>
      </c>
      <c r="P1348" s="208" t="s">
        <v>91</v>
      </c>
    </row>
    <row r="1349" spans="1:16" s="187" customFormat="1" ht="18" customHeight="1">
      <c r="A1349" s="187" t="str">
        <f t="shared" si="20"/>
        <v>V10470C</v>
      </c>
      <c r="B1349" s="206" t="s">
        <v>5875</v>
      </c>
      <c r="C1349" s="206"/>
      <c r="D1349" s="206" t="s">
        <v>5876</v>
      </c>
      <c r="E1349" s="206" t="s">
        <v>29</v>
      </c>
      <c r="F1349" s="206" t="s">
        <v>5877</v>
      </c>
      <c r="G1349" s="206" t="s">
        <v>5878</v>
      </c>
      <c r="H1349" s="206"/>
      <c r="I1349" s="206"/>
      <c r="J1349" s="206" t="s">
        <v>5879</v>
      </c>
      <c r="K1349" s="206" t="s">
        <v>5880</v>
      </c>
      <c r="L1349" s="206"/>
      <c r="M1349" s="207"/>
      <c r="N1349" s="206"/>
      <c r="O1349" s="206"/>
      <c r="P1349" s="206" t="s">
        <v>91</v>
      </c>
    </row>
    <row r="1350" spans="1:16" s="187" customFormat="1" ht="18" customHeight="1">
      <c r="A1350" s="187" t="str">
        <f t="shared" ref="A1350:A1413" si="21">D1350</f>
        <v>V10003B</v>
      </c>
      <c r="B1350" s="208" t="s">
        <v>2777</v>
      </c>
      <c r="C1350" s="208"/>
      <c r="D1350" s="208" t="s">
        <v>2776</v>
      </c>
      <c r="E1350" s="208" t="s">
        <v>29</v>
      </c>
      <c r="F1350" s="208" t="s">
        <v>2778</v>
      </c>
      <c r="G1350" s="208" t="s">
        <v>2779</v>
      </c>
      <c r="H1350" s="208"/>
      <c r="I1350" s="208"/>
      <c r="J1350" s="208" t="s">
        <v>2780</v>
      </c>
      <c r="K1350" s="208" t="s">
        <v>2781</v>
      </c>
      <c r="L1350" s="208"/>
      <c r="M1350" s="209"/>
      <c r="N1350" s="208"/>
      <c r="O1350" s="208" t="s">
        <v>260</v>
      </c>
      <c r="P1350" s="208" t="s">
        <v>91</v>
      </c>
    </row>
    <row r="1351" spans="1:16" s="187" customFormat="1" ht="18" customHeight="1">
      <c r="A1351" s="187" t="str">
        <f t="shared" si="21"/>
        <v>V10003C</v>
      </c>
      <c r="B1351" s="206" t="s">
        <v>2777</v>
      </c>
      <c r="C1351" s="206"/>
      <c r="D1351" s="206" t="s">
        <v>2782</v>
      </c>
      <c r="E1351" s="206" t="s">
        <v>29</v>
      </c>
      <c r="F1351" s="206" t="s">
        <v>2778</v>
      </c>
      <c r="G1351" s="206" t="s">
        <v>2779</v>
      </c>
      <c r="H1351" s="206"/>
      <c r="I1351" s="206"/>
      <c r="J1351" s="206" t="s">
        <v>2780</v>
      </c>
      <c r="K1351" s="206" t="s">
        <v>2781</v>
      </c>
      <c r="L1351" s="206"/>
      <c r="M1351" s="207"/>
      <c r="N1351" s="206"/>
      <c r="O1351" s="206" t="s">
        <v>260</v>
      </c>
      <c r="P1351" s="206" t="s">
        <v>91</v>
      </c>
    </row>
    <row r="1352" spans="1:16" s="187" customFormat="1" ht="18" customHeight="1">
      <c r="A1352" s="187" t="str">
        <f t="shared" si="21"/>
        <v>V10003A</v>
      </c>
      <c r="B1352" s="208" t="s">
        <v>2777</v>
      </c>
      <c r="C1352" s="208"/>
      <c r="D1352" s="208" t="s">
        <v>2783</v>
      </c>
      <c r="E1352" s="208" t="s">
        <v>29</v>
      </c>
      <c r="F1352" s="208" t="s">
        <v>2778</v>
      </c>
      <c r="G1352" s="208" t="s">
        <v>2779</v>
      </c>
      <c r="H1352" s="208"/>
      <c r="I1352" s="208"/>
      <c r="J1352" s="208" t="s">
        <v>2780</v>
      </c>
      <c r="K1352" s="208" t="s">
        <v>2781</v>
      </c>
      <c r="L1352" s="208"/>
      <c r="M1352" s="209"/>
      <c r="N1352" s="208"/>
      <c r="O1352" s="208" t="s">
        <v>260</v>
      </c>
      <c r="P1352" s="208" t="s">
        <v>91</v>
      </c>
    </row>
    <row r="1353" spans="1:16" s="187" customFormat="1" ht="18" customHeight="1">
      <c r="A1353" s="187" t="str">
        <f t="shared" si="21"/>
        <v>V10133A</v>
      </c>
      <c r="B1353" s="206" t="s">
        <v>2785</v>
      </c>
      <c r="C1353" s="206"/>
      <c r="D1353" s="206" t="s">
        <v>2784</v>
      </c>
      <c r="E1353" s="206" t="s">
        <v>29</v>
      </c>
      <c r="F1353" s="206" t="s">
        <v>2786</v>
      </c>
      <c r="G1353" s="206" t="s">
        <v>2787</v>
      </c>
      <c r="H1353" s="206"/>
      <c r="I1353" s="206"/>
      <c r="J1353" s="206" t="s">
        <v>5054</v>
      </c>
      <c r="K1353" s="206" t="s">
        <v>2788</v>
      </c>
      <c r="L1353" s="206"/>
      <c r="M1353" s="207"/>
      <c r="N1353" s="206"/>
      <c r="O1353" s="206" t="s">
        <v>260</v>
      </c>
      <c r="P1353" s="206" t="s">
        <v>91</v>
      </c>
    </row>
    <row r="1354" spans="1:16" s="187" customFormat="1" ht="18" customHeight="1">
      <c r="A1354" s="187" t="str">
        <f t="shared" si="21"/>
        <v>V10133B</v>
      </c>
      <c r="B1354" s="208" t="s">
        <v>2785</v>
      </c>
      <c r="C1354" s="208"/>
      <c r="D1354" s="208" t="s">
        <v>2789</v>
      </c>
      <c r="E1354" s="208" t="s">
        <v>29</v>
      </c>
      <c r="F1354" s="208" t="s">
        <v>2786</v>
      </c>
      <c r="G1354" s="208" t="s">
        <v>2787</v>
      </c>
      <c r="H1354" s="208"/>
      <c r="I1354" s="208"/>
      <c r="J1354" s="208" t="s">
        <v>5054</v>
      </c>
      <c r="K1354" s="208" t="s">
        <v>2788</v>
      </c>
      <c r="L1354" s="208"/>
      <c r="M1354" s="209"/>
      <c r="N1354" s="208"/>
      <c r="O1354" s="208" t="s">
        <v>260</v>
      </c>
      <c r="P1354" s="208" t="s">
        <v>91</v>
      </c>
    </row>
    <row r="1355" spans="1:16" s="187" customFormat="1" ht="18" customHeight="1">
      <c r="A1355" s="187" t="str">
        <f t="shared" si="21"/>
        <v>V10133C</v>
      </c>
      <c r="B1355" s="206" t="s">
        <v>2785</v>
      </c>
      <c r="C1355" s="206"/>
      <c r="D1355" s="206" t="s">
        <v>2790</v>
      </c>
      <c r="E1355" s="206" t="s">
        <v>29</v>
      </c>
      <c r="F1355" s="206" t="s">
        <v>2786</v>
      </c>
      <c r="G1355" s="206" t="s">
        <v>2787</v>
      </c>
      <c r="H1355" s="206"/>
      <c r="I1355" s="206"/>
      <c r="J1355" s="206" t="s">
        <v>5054</v>
      </c>
      <c r="K1355" s="206" t="s">
        <v>2788</v>
      </c>
      <c r="L1355" s="206"/>
      <c r="M1355" s="207"/>
      <c r="N1355" s="206"/>
      <c r="O1355" s="206" t="s">
        <v>260</v>
      </c>
      <c r="P1355" s="206" t="s">
        <v>91</v>
      </c>
    </row>
    <row r="1356" spans="1:16" s="187" customFormat="1" ht="18" customHeight="1">
      <c r="A1356" s="187" t="str">
        <f t="shared" si="21"/>
        <v>V4109C0</v>
      </c>
      <c r="B1356" s="208" t="s">
        <v>6445</v>
      </c>
      <c r="C1356" s="208"/>
      <c r="D1356" s="208" t="s">
        <v>6446</v>
      </c>
      <c r="E1356" s="208" t="s">
        <v>29</v>
      </c>
      <c r="F1356" s="208" t="s">
        <v>6447</v>
      </c>
      <c r="G1356" s="208"/>
      <c r="H1356" s="208"/>
      <c r="I1356" s="208"/>
      <c r="J1356" s="208" t="s">
        <v>6448</v>
      </c>
      <c r="K1356" s="208" t="s">
        <v>6449</v>
      </c>
      <c r="L1356" s="208"/>
      <c r="M1356" s="209"/>
      <c r="N1356" s="208"/>
      <c r="O1356" s="208" t="s">
        <v>131</v>
      </c>
      <c r="P1356" s="208" t="s">
        <v>107</v>
      </c>
    </row>
    <row r="1357" spans="1:16" s="187" customFormat="1" ht="18" customHeight="1">
      <c r="A1357" s="187" t="str">
        <f t="shared" si="21"/>
        <v>T3009C0</v>
      </c>
      <c r="B1357" s="206" t="s">
        <v>5786</v>
      </c>
      <c r="C1357" s="206"/>
      <c r="D1357" s="206" t="s">
        <v>5787</v>
      </c>
      <c r="E1357" s="206" t="s">
        <v>29</v>
      </c>
      <c r="F1357" s="206" t="s">
        <v>2793</v>
      </c>
      <c r="G1357" s="206"/>
      <c r="H1357" s="206"/>
      <c r="I1357" s="206"/>
      <c r="J1357" s="206"/>
      <c r="K1357" s="206"/>
      <c r="L1357" s="206"/>
      <c r="M1357" s="207"/>
      <c r="N1357" s="206"/>
      <c r="O1357" s="206" t="s">
        <v>95</v>
      </c>
      <c r="P1357" s="206" t="s">
        <v>96</v>
      </c>
    </row>
    <row r="1358" spans="1:16" s="187" customFormat="1" ht="18" customHeight="1">
      <c r="A1358" s="187" t="str">
        <f t="shared" si="21"/>
        <v>T3008C0</v>
      </c>
      <c r="B1358" s="208" t="s">
        <v>2792</v>
      </c>
      <c r="C1358" s="208"/>
      <c r="D1358" s="208" t="s">
        <v>2791</v>
      </c>
      <c r="E1358" s="208" t="s">
        <v>29</v>
      </c>
      <c r="F1358" s="208" t="s">
        <v>2793</v>
      </c>
      <c r="G1358" s="208"/>
      <c r="H1358" s="208"/>
      <c r="I1358" s="208"/>
      <c r="J1358" s="208" t="s">
        <v>2794</v>
      </c>
      <c r="K1358" s="208" t="s">
        <v>2795</v>
      </c>
      <c r="L1358" s="208"/>
      <c r="M1358" s="209"/>
      <c r="N1358" s="208"/>
      <c r="O1358" s="208" t="s">
        <v>95</v>
      </c>
      <c r="P1358" s="208" t="s">
        <v>96</v>
      </c>
    </row>
    <row r="1359" spans="1:16" s="187" customFormat="1" ht="18" customHeight="1">
      <c r="A1359" s="187" t="str">
        <f t="shared" si="21"/>
        <v>T3002C2</v>
      </c>
      <c r="B1359" s="206" t="s">
        <v>2797</v>
      </c>
      <c r="C1359" s="206"/>
      <c r="D1359" s="206" t="s">
        <v>2799</v>
      </c>
      <c r="E1359" s="206" t="s">
        <v>29</v>
      </c>
      <c r="F1359" s="206" t="s">
        <v>2798</v>
      </c>
      <c r="G1359" s="206"/>
      <c r="H1359" s="206"/>
      <c r="I1359" s="206"/>
      <c r="J1359" s="206"/>
      <c r="K1359" s="206"/>
      <c r="L1359" s="206"/>
      <c r="M1359" s="207"/>
      <c r="N1359" s="206"/>
      <c r="O1359" s="206" t="s">
        <v>95</v>
      </c>
      <c r="P1359" s="206" t="s">
        <v>96</v>
      </c>
    </row>
    <row r="1360" spans="1:16" s="187" customFormat="1" ht="18" customHeight="1">
      <c r="A1360" s="187" t="str">
        <f t="shared" si="21"/>
        <v>T3002C3</v>
      </c>
      <c r="B1360" s="208" t="s">
        <v>2797</v>
      </c>
      <c r="C1360" s="208"/>
      <c r="D1360" s="208" t="s">
        <v>2800</v>
      </c>
      <c r="E1360" s="208" t="s">
        <v>29</v>
      </c>
      <c r="F1360" s="208" t="s">
        <v>2798</v>
      </c>
      <c r="G1360" s="208"/>
      <c r="H1360" s="208"/>
      <c r="I1360" s="208"/>
      <c r="J1360" s="208"/>
      <c r="K1360" s="208"/>
      <c r="L1360" s="208"/>
      <c r="M1360" s="209"/>
      <c r="N1360" s="208"/>
      <c r="O1360" s="208" t="s">
        <v>95</v>
      </c>
      <c r="P1360" s="208" t="s">
        <v>96</v>
      </c>
    </row>
    <row r="1361" spans="1:16" s="187" customFormat="1" ht="18" customHeight="1">
      <c r="A1361" s="187" t="str">
        <f t="shared" si="21"/>
        <v>T3002C4</v>
      </c>
      <c r="B1361" s="206" t="s">
        <v>2797</v>
      </c>
      <c r="C1361" s="206"/>
      <c r="D1361" s="206" t="s">
        <v>2801</v>
      </c>
      <c r="E1361" s="206" t="s">
        <v>29</v>
      </c>
      <c r="F1361" s="206" t="s">
        <v>2798</v>
      </c>
      <c r="G1361" s="206"/>
      <c r="H1361" s="206"/>
      <c r="I1361" s="206"/>
      <c r="J1361" s="206"/>
      <c r="K1361" s="206"/>
      <c r="L1361" s="206"/>
      <c r="M1361" s="207"/>
      <c r="N1361" s="206"/>
      <c r="O1361" s="206" t="s">
        <v>95</v>
      </c>
      <c r="P1361" s="206" t="s">
        <v>96</v>
      </c>
    </row>
    <row r="1362" spans="1:16" s="187" customFormat="1" ht="18" customHeight="1">
      <c r="A1362" s="187" t="str">
        <f t="shared" si="21"/>
        <v>T3002C5</v>
      </c>
      <c r="B1362" s="208" t="s">
        <v>2797</v>
      </c>
      <c r="C1362" s="208"/>
      <c r="D1362" s="208" t="s">
        <v>2802</v>
      </c>
      <c r="E1362" s="208" t="s">
        <v>29</v>
      </c>
      <c r="F1362" s="208" t="s">
        <v>2798</v>
      </c>
      <c r="G1362" s="208"/>
      <c r="H1362" s="208"/>
      <c r="I1362" s="208"/>
      <c r="J1362" s="208"/>
      <c r="K1362" s="208"/>
      <c r="L1362" s="208"/>
      <c r="M1362" s="209"/>
      <c r="N1362" s="208"/>
      <c r="O1362" s="208" t="s">
        <v>95</v>
      </c>
      <c r="P1362" s="208" t="s">
        <v>96</v>
      </c>
    </row>
    <row r="1363" spans="1:16" s="187" customFormat="1" ht="18" customHeight="1">
      <c r="A1363" s="187" t="str">
        <f t="shared" si="21"/>
        <v>T3002C0</v>
      </c>
      <c r="B1363" s="206" t="s">
        <v>2797</v>
      </c>
      <c r="C1363" s="206"/>
      <c r="D1363" s="206" t="s">
        <v>2796</v>
      </c>
      <c r="E1363" s="206" t="s">
        <v>29</v>
      </c>
      <c r="F1363" s="206" t="s">
        <v>2798</v>
      </c>
      <c r="G1363" s="206"/>
      <c r="H1363" s="206"/>
      <c r="I1363" s="206"/>
      <c r="J1363" s="206"/>
      <c r="K1363" s="206"/>
      <c r="L1363" s="206"/>
      <c r="M1363" s="207"/>
      <c r="N1363" s="206"/>
      <c r="O1363" s="206" t="s">
        <v>95</v>
      </c>
      <c r="P1363" s="206" t="s">
        <v>96</v>
      </c>
    </row>
    <row r="1364" spans="1:16" s="187" customFormat="1" ht="18" customHeight="1">
      <c r="A1364" s="187" t="str">
        <f t="shared" si="21"/>
        <v>001601</v>
      </c>
      <c r="B1364" s="208" t="s">
        <v>4451</v>
      </c>
      <c r="C1364" s="208"/>
      <c r="D1364" s="208" t="s">
        <v>4450</v>
      </c>
      <c r="E1364" s="208" t="s">
        <v>29</v>
      </c>
      <c r="F1364" s="208"/>
      <c r="G1364" s="208"/>
      <c r="H1364" s="208"/>
      <c r="I1364" s="208"/>
      <c r="J1364" s="208"/>
      <c r="K1364" s="208"/>
      <c r="L1364" s="208"/>
      <c r="M1364" s="209"/>
      <c r="N1364" s="208"/>
      <c r="O1364" s="208"/>
      <c r="P1364" s="208"/>
    </row>
    <row r="1365" spans="1:16" s="187" customFormat="1" ht="18" customHeight="1">
      <c r="A1365" s="187" t="str">
        <f t="shared" si="21"/>
        <v>V20020A</v>
      </c>
      <c r="B1365" s="206" t="s">
        <v>2804</v>
      </c>
      <c r="C1365" s="206"/>
      <c r="D1365" s="206" t="s">
        <v>2803</v>
      </c>
      <c r="E1365" s="206" t="s">
        <v>29</v>
      </c>
      <c r="F1365" s="206" t="s">
        <v>2805</v>
      </c>
      <c r="G1365" s="206"/>
      <c r="H1365" s="206"/>
      <c r="I1365" s="206" t="s">
        <v>2806</v>
      </c>
      <c r="J1365" s="206" t="s">
        <v>2807</v>
      </c>
      <c r="K1365" s="206" t="s">
        <v>2808</v>
      </c>
      <c r="L1365" s="206"/>
      <c r="M1365" s="207"/>
      <c r="N1365" s="206"/>
      <c r="O1365" s="206" t="s">
        <v>40</v>
      </c>
      <c r="P1365" s="206" t="s">
        <v>34</v>
      </c>
    </row>
    <row r="1366" spans="1:16" s="187" customFormat="1" ht="18" customHeight="1">
      <c r="A1366" s="187" t="str">
        <f t="shared" si="21"/>
        <v>V20020B</v>
      </c>
      <c r="B1366" s="208" t="s">
        <v>2804</v>
      </c>
      <c r="C1366" s="208"/>
      <c r="D1366" s="208" t="s">
        <v>2809</v>
      </c>
      <c r="E1366" s="208" t="s">
        <v>29</v>
      </c>
      <c r="F1366" s="208" t="s">
        <v>2805</v>
      </c>
      <c r="G1366" s="208"/>
      <c r="H1366" s="208"/>
      <c r="I1366" s="208" t="s">
        <v>2806</v>
      </c>
      <c r="J1366" s="208" t="s">
        <v>2807</v>
      </c>
      <c r="K1366" s="208" t="s">
        <v>2808</v>
      </c>
      <c r="L1366" s="208"/>
      <c r="M1366" s="209"/>
      <c r="N1366" s="208"/>
      <c r="O1366" s="208" t="s">
        <v>40</v>
      </c>
      <c r="P1366" s="208" t="s">
        <v>34</v>
      </c>
    </row>
    <row r="1367" spans="1:16" s="187" customFormat="1" ht="18" customHeight="1">
      <c r="A1367" s="187" t="str">
        <f t="shared" si="21"/>
        <v>V20020C</v>
      </c>
      <c r="B1367" s="206" t="s">
        <v>2804</v>
      </c>
      <c r="C1367" s="206"/>
      <c r="D1367" s="206" t="s">
        <v>2810</v>
      </c>
      <c r="E1367" s="206" t="s">
        <v>29</v>
      </c>
      <c r="F1367" s="206" t="s">
        <v>2805</v>
      </c>
      <c r="G1367" s="206"/>
      <c r="H1367" s="206"/>
      <c r="I1367" s="206" t="s">
        <v>2806</v>
      </c>
      <c r="J1367" s="206" t="s">
        <v>2807</v>
      </c>
      <c r="K1367" s="206" t="s">
        <v>2808</v>
      </c>
      <c r="L1367" s="206"/>
      <c r="M1367" s="207"/>
      <c r="N1367" s="206"/>
      <c r="O1367" s="206" t="s">
        <v>40</v>
      </c>
      <c r="P1367" s="206" t="s">
        <v>34</v>
      </c>
    </row>
    <row r="1368" spans="1:16" s="187" customFormat="1" ht="18" customHeight="1">
      <c r="A1368" s="187" t="str">
        <f t="shared" si="21"/>
        <v>V20111A</v>
      </c>
      <c r="B1368" s="208" t="s">
        <v>2812</v>
      </c>
      <c r="C1368" s="208"/>
      <c r="D1368" s="208" t="s">
        <v>2811</v>
      </c>
      <c r="E1368" s="208" t="s">
        <v>29</v>
      </c>
      <c r="F1368" s="208" t="s">
        <v>5259</v>
      </c>
      <c r="G1368" s="208"/>
      <c r="H1368" s="208"/>
      <c r="I1368" s="208"/>
      <c r="J1368" s="208" t="s">
        <v>2813</v>
      </c>
      <c r="K1368" s="208" t="s">
        <v>2814</v>
      </c>
      <c r="L1368" s="208"/>
      <c r="M1368" s="209"/>
      <c r="N1368" s="208"/>
      <c r="O1368" s="208"/>
      <c r="P1368" s="208" t="s">
        <v>34</v>
      </c>
    </row>
    <row r="1369" spans="1:16" s="187" customFormat="1" ht="18" customHeight="1">
      <c r="A1369" s="187" t="str">
        <f t="shared" si="21"/>
        <v>V20111B</v>
      </c>
      <c r="B1369" s="206" t="s">
        <v>2812</v>
      </c>
      <c r="C1369" s="206"/>
      <c r="D1369" s="206" t="s">
        <v>2815</v>
      </c>
      <c r="E1369" s="206" t="s">
        <v>29</v>
      </c>
      <c r="F1369" s="206" t="s">
        <v>4452</v>
      </c>
      <c r="G1369" s="206"/>
      <c r="H1369" s="206"/>
      <c r="I1369" s="206"/>
      <c r="J1369" s="206" t="s">
        <v>2813</v>
      </c>
      <c r="K1369" s="206" t="s">
        <v>2814</v>
      </c>
      <c r="L1369" s="206"/>
      <c r="M1369" s="207"/>
      <c r="N1369" s="206"/>
      <c r="O1369" s="206"/>
      <c r="P1369" s="206" t="s">
        <v>34</v>
      </c>
    </row>
    <row r="1370" spans="1:16" s="187" customFormat="1" ht="18" customHeight="1">
      <c r="A1370" s="187" t="str">
        <f t="shared" si="21"/>
        <v>V20111C</v>
      </c>
      <c r="B1370" s="208" t="s">
        <v>2812</v>
      </c>
      <c r="C1370" s="208"/>
      <c r="D1370" s="208" t="s">
        <v>2816</v>
      </c>
      <c r="E1370" s="208" t="s">
        <v>29</v>
      </c>
      <c r="F1370" s="208"/>
      <c r="G1370" s="208"/>
      <c r="H1370" s="208"/>
      <c r="I1370" s="208"/>
      <c r="J1370" s="208" t="s">
        <v>2813</v>
      </c>
      <c r="K1370" s="208" t="s">
        <v>2814</v>
      </c>
      <c r="L1370" s="208"/>
      <c r="M1370" s="209"/>
      <c r="N1370" s="208"/>
      <c r="O1370" s="208"/>
      <c r="P1370" s="208" t="s">
        <v>34</v>
      </c>
    </row>
    <row r="1371" spans="1:16" s="187" customFormat="1" ht="18" customHeight="1">
      <c r="A1371" s="187" t="str">
        <f t="shared" si="21"/>
        <v>V20155C</v>
      </c>
      <c r="B1371" s="206" t="s">
        <v>5589</v>
      </c>
      <c r="C1371" s="206"/>
      <c r="D1371" s="206" t="s">
        <v>5590</v>
      </c>
      <c r="E1371" s="206" t="s">
        <v>29</v>
      </c>
      <c r="F1371" s="206" t="s">
        <v>5591</v>
      </c>
      <c r="G1371" s="206"/>
      <c r="H1371" s="206"/>
      <c r="I1371" s="206"/>
      <c r="J1371" s="206" t="s">
        <v>5592</v>
      </c>
      <c r="K1371" s="206" t="s">
        <v>5593</v>
      </c>
      <c r="L1371" s="206"/>
      <c r="M1371" s="207"/>
      <c r="N1371" s="206"/>
      <c r="O1371" s="206"/>
      <c r="P1371" s="206" t="s">
        <v>34</v>
      </c>
    </row>
    <row r="1372" spans="1:16" s="187" customFormat="1" ht="18" customHeight="1">
      <c r="A1372" s="187" t="str">
        <f t="shared" si="21"/>
        <v>V10341C</v>
      </c>
      <c r="B1372" s="208" t="s">
        <v>4454</v>
      </c>
      <c r="C1372" s="208"/>
      <c r="D1372" s="208" t="s">
        <v>4453</v>
      </c>
      <c r="E1372" s="208" t="s">
        <v>151</v>
      </c>
      <c r="F1372" s="208" t="s">
        <v>4455</v>
      </c>
      <c r="G1372" s="208" t="s">
        <v>4456</v>
      </c>
      <c r="H1372" s="208"/>
      <c r="I1372" s="208"/>
      <c r="J1372" s="208" t="s">
        <v>2037</v>
      </c>
      <c r="K1372" s="208" t="s">
        <v>4457</v>
      </c>
      <c r="L1372" s="208"/>
      <c r="M1372" s="209"/>
      <c r="N1372" s="208"/>
      <c r="O1372" s="208"/>
      <c r="P1372" s="208" t="s">
        <v>91</v>
      </c>
    </row>
    <row r="1373" spans="1:16" s="187" customFormat="1" ht="18" customHeight="1">
      <c r="A1373" s="187" t="str">
        <f t="shared" si="21"/>
        <v>V4084C0</v>
      </c>
      <c r="B1373" s="206" t="s">
        <v>2818</v>
      </c>
      <c r="C1373" s="206"/>
      <c r="D1373" s="206" t="s">
        <v>2817</v>
      </c>
      <c r="E1373" s="206" t="s">
        <v>151</v>
      </c>
      <c r="F1373" s="206" t="s">
        <v>2819</v>
      </c>
      <c r="G1373" s="206" t="s">
        <v>2820</v>
      </c>
      <c r="H1373" s="206"/>
      <c r="I1373" s="206"/>
      <c r="J1373" s="206" t="s">
        <v>2743</v>
      </c>
      <c r="K1373" s="206" t="s">
        <v>2821</v>
      </c>
      <c r="L1373" s="206"/>
      <c r="M1373" s="207"/>
      <c r="N1373" s="206"/>
      <c r="O1373" s="206"/>
      <c r="P1373" s="206" t="s">
        <v>107</v>
      </c>
    </row>
    <row r="1374" spans="1:16" s="187" customFormat="1" ht="18" customHeight="1">
      <c r="A1374" s="187" t="str">
        <f t="shared" si="21"/>
        <v>V4032C1</v>
      </c>
      <c r="B1374" s="208" t="s">
        <v>2823</v>
      </c>
      <c r="C1374" s="208"/>
      <c r="D1374" s="208" t="s">
        <v>2822</v>
      </c>
      <c r="E1374" s="208" t="s">
        <v>151</v>
      </c>
      <c r="F1374" s="208" t="s">
        <v>2824</v>
      </c>
      <c r="G1374" s="208"/>
      <c r="H1374" s="208"/>
      <c r="I1374" s="208"/>
      <c r="J1374" s="208" t="s">
        <v>2825</v>
      </c>
      <c r="K1374" s="208" t="s">
        <v>2826</v>
      </c>
      <c r="L1374" s="208"/>
      <c r="M1374" s="209"/>
      <c r="N1374" s="208"/>
      <c r="O1374" s="208"/>
      <c r="P1374" s="208" t="s">
        <v>107</v>
      </c>
    </row>
    <row r="1375" spans="1:16" s="187" customFormat="1" ht="18" customHeight="1">
      <c r="A1375" s="187" t="str">
        <f t="shared" si="21"/>
        <v>001701</v>
      </c>
      <c r="B1375" s="206" t="s">
        <v>4459</v>
      </c>
      <c r="C1375" s="206"/>
      <c r="D1375" s="206" t="s">
        <v>4458</v>
      </c>
      <c r="E1375" s="206" t="s">
        <v>29</v>
      </c>
      <c r="F1375" s="206"/>
      <c r="G1375" s="206"/>
      <c r="H1375" s="206"/>
      <c r="I1375" s="206"/>
      <c r="J1375" s="206"/>
      <c r="K1375" s="206"/>
      <c r="L1375" s="206"/>
      <c r="M1375" s="207"/>
      <c r="N1375" s="206"/>
      <c r="O1375" s="206"/>
      <c r="P1375" s="206"/>
    </row>
    <row r="1376" spans="1:16" s="187" customFormat="1" ht="18" customHeight="1">
      <c r="A1376" s="187" t="str">
        <f t="shared" si="21"/>
        <v>001702</v>
      </c>
      <c r="B1376" s="208" t="s">
        <v>4461</v>
      </c>
      <c r="C1376" s="208"/>
      <c r="D1376" s="208" t="s">
        <v>4460</v>
      </c>
      <c r="E1376" s="208" t="s">
        <v>29</v>
      </c>
      <c r="F1376" s="208"/>
      <c r="G1376" s="208"/>
      <c r="H1376" s="208"/>
      <c r="I1376" s="208"/>
      <c r="J1376" s="208"/>
      <c r="K1376" s="208"/>
      <c r="L1376" s="208"/>
      <c r="M1376" s="209"/>
      <c r="N1376" s="208"/>
      <c r="O1376" s="208"/>
      <c r="P1376" s="208"/>
    </row>
    <row r="1377" spans="1:16" s="187" customFormat="1" ht="18" customHeight="1">
      <c r="A1377" s="187" t="str">
        <f t="shared" si="21"/>
        <v>V4102C0</v>
      </c>
      <c r="B1377" s="206" t="s">
        <v>5881</v>
      </c>
      <c r="C1377" s="206"/>
      <c r="D1377" s="206" t="s">
        <v>5882</v>
      </c>
      <c r="E1377" s="206" t="s">
        <v>29</v>
      </c>
      <c r="F1377" s="206" t="s">
        <v>5883</v>
      </c>
      <c r="G1377" s="206"/>
      <c r="H1377" s="206"/>
      <c r="I1377" s="206" t="s">
        <v>5884</v>
      </c>
      <c r="J1377" s="206" t="s">
        <v>5885</v>
      </c>
      <c r="K1377" s="206" t="s">
        <v>5886</v>
      </c>
      <c r="L1377" s="206"/>
      <c r="M1377" s="207"/>
      <c r="N1377" s="206"/>
      <c r="O1377" s="206" t="s">
        <v>131</v>
      </c>
      <c r="P1377" s="206" t="s">
        <v>107</v>
      </c>
    </row>
    <row r="1378" spans="1:16" s="187" customFormat="1" ht="18" customHeight="1">
      <c r="A1378" s="187" t="str">
        <f t="shared" si="21"/>
        <v>BTMV-000</v>
      </c>
      <c r="B1378" s="208" t="s">
        <v>2828</v>
      </c>
      <c r="C1378" s="208"/>
      <c r="D1378" s="208" t="s">
        <v>2827</v>
      </c>
      <c r="E1378" s="208" t="s">
        <v>151</v>
      </c>
      <c r="F1378" s="208" t="s">
        <v>94</v>
      </c>
      <c r="G1378" s="208"/>
      <c r="H1378" s="208"/>
      <c r="I1378" s="208"/>
      <c r="J1378" s="208" t="s">
        <v>2829</v>
      </c>
      <c r="K1378" s="208" t="s">
        <v>2829</v>
      </c>
      <c r="L1378" s="208"/>
      <c r="M1378" s="209"/>
      <c r="N1378" s="208"/>
      <c r="O1378" s="208"/>
      <c r="P1378" s="208" t="s">
        <v>269</v>
      </c>
    </row>
    <row r="1379" spans="1:16" s="187" customFormat="1" ht="18" customHeight="1">
      <c r="A1379" s="187" t="str">
        <f t="shared" si="21"/>
        <v>001801</v>
      </c>
      <c r="B1379" s="206" t="s">
        <v>4463</v>
      </c>
      <c r="C1379" s="206"/>
      <c r="D1379" s="206" t="s">
        <v>4462</v>
      </c>
      <c r="E1379" s="206" t="s">
        <v>29</v>
      </c>
      <c r="F1379" s="206"/>
      <c r="G1379" s="206"/>
      <c r="H1379" s="206"/>
      <c r="I1379" s="206"/>
      <c r="J1379" s="206"/>
      <c r="K1379" s="206"/>
      <c r="L1379" s="206"/>
      <c r="M1379" s="207"/>
      <c r="N1379" s="206"/>
      <c r="O1379" s="206"/>
      <c r="P1379" s="206"/>
    </row>
    <row r="1380" spans="1:16" s="187" customFormat="1" ht="18" customHeight="1">
      <c r="A1380" s="187" t="str">
        <f t="shared" si="21"/>
        <v>V20015A</v>
      </c>
      <c r="B1380" s="208" t="s">
        <v>2831</v>
      </c>
      <c r="C1380" s="208"/>
      <c r="D1380" s="208" t="s">
        <v>2830</v>
      </c>
      <c r="E1380" s="208" t="s">
        <v>29</v>
      </c>
      <c r="F1380" s="208" t="s">
        <v>2832</v>
      </c>
      <c r="G1380" s="208"/>
      <c r="H1380" s="208"/>
      <c r="I1380" s="208" t="s">
        <v>2833</v>
      </c>
      <c r="J1380" s="208" t="s">
        <v>2834</v>
      </c>
      <c r="K1380" s="208" t="s">
        <v>2835</v>
      </c>
      <c r="L1380" s="208"/>
      <c r="M1380" s="209"/>
      <c r="N1380" s="208"/>
      <c r="O1380" s="208" t="s">
        <v>40</v>
      </c>
      <c r="P1380" s="208" t="s">
        <v>34</v>
      </c>
    </row>
    <row r="1381" spans="1:16" s="187" customFormat="1" ht="18" customHeight="1">
      <c r="A1381" s="187" t="str">
        <f t="shared" si="21"/>
        <v>V20015B</v>
      </c>
      <c r="B1381" s="206" t="s">
        <v>2831</v>
      </c>
      <c r="C1381" s="206"/>
      <c r="D1381" s="206" t="s">
        <v>2836</v>
      </c>
      <c r="E1381" s="206" t="s">
        <v>29</v>
      </c>
      <c r="F1381" s="206" t="s">
        <v>2832</v>
      </c>
      <c r="G1381" s="206"/>
      <c r="H1381" s="206"/>
      <c r="I1381" s="206" t="s">
        <v>2833</v>
      </c>
      <c r="J1381" s="206" t="s">
        <v>2834</v>
      </c>
      <c r="K1381" s="206" t="s">
        <v>2835</v>
      </c>
      <c r="L1381" s="206"/>
      <c r="M1381" s="207"/>
      <c r="N1381" s="206"/>
      <c r="O1381" s="206" t="s">
        <v>40</v>
      </c>
      <c r="P1381" s="206" t="s">
        <v>34</v>
      </c>
    </row>
    <row r="1382" spans="1:16" s="187" customFormat="1" ht="18" customHeight="1">
      <c r="A1382" s="187" t="str">
        <f t="shared" si="21"/>
        <v>V20015C</v>
      </c>
      <c r="B1382" s="208" t="s">
        <v>2831</v>
      </c>
      <c r="C1382" s="208"/>
      <c r="D1382" s="208" t="s">
        <v>2837</v>
      </c>
      <c r="E1382" s="208" t="s">
        <v>29</v>
      </c>
      <c r="F1382" s="208" t="s">
        <v>2832</v>
      </c>
      <c r="G1382" s="208"/>
      <c r="H1382" s="208"/>
      <c r="I1382" s="208" t="s">
        <v>2833</v>
      </c>
      <c r="J1382" s="208" t="s">
        <v>2834</v>
      </c>
      <c r="K1382" s="208" t="s">
        <v>2835</v>
      </c>
      <c r="L1382" s="208"/>
      <c r="M1382" s="209"/>
      <c r="N1382" s="208"/>
      <c r="O1382" s="208" t="s">
        <v>40</v>
      </c>
      <c r="P1382" s="208" t="s">
        <v>34</v>
      </c>
    </row>
    <row r="1383" spans="1:16" s="187" customFormat="1" ht="18" customHeight="1">
      <c r="A1383" s="187" t="str">
        <f t="shared" si="21"/>
        <v>V4071C0</v>
      </c>
      <c r="B1383" s="206" t="s">
        <v>2845</v>
      </c>
      <c r="C1383" s="206"/>
      <c r="D1383" s="206" t="s">
        <v>2844</v>
      </c>
      <c r="E1383" s="206" t="s">
        <v>151</v>
      </c>
      <c r="F1383" s="206" t="s">
        <v>2846</v>
      </c>
      <c r="G1383" s="206"/>
      <c r="H1383" s="206"/>
      <c r="I1383" s="206"/>
      <c r="J1383" s="206" t="s">
        <v>2847</v>
      </c>
      <c r="K1383" s="206" t="s">
        <v>2848</v>
      </c>
      <c r="L1383" s="206"/>
      <c r="M1383" s="207"/>
      <c r="N1383" s="206"/>
      <c r="O1383" s="206"/>
      <c r="P1383" s="206" t="s">
        <v>107</v>
      </c>
    </row>
    <row r="1384" spans="1:16" s="187" customFormat="1" ht="18" customHeight="1">
      <c r="A1384" s="187" t="str">
        <f t="shared" si="21"/>
        <v>V4068C0</v>
      </c>
      <c r="B1384" s="208" t="s">
        <v>4466</v>
      </c>
      <c r="C1384" s="208"/>
      <c r="D1384" s="208" t="s">
        <v>4465</v>
      </c>
      <c r="E1384" s="208" t="s">
        <v>29</v>
      </c>
      <c r="F1384" s="208"/>
      <c r="G1384" s="208"/>
      <c r="H1384" s="208"/>
      <c r="I1384" s="208"/>
      <c r="J1384" s="208"/>
      <c r="K1384" s="208"/>
      <c r="L1384" s="208"/>
      <c r="M1384" s="209"/>
      <c r="N1384" s="208"/>
      <c r="O1384" s="208"/>
      <c r="P1384" s="208" t="s">
        <v>107</v>
      </c>
    </row>
    <row r="1385" spans="1:16" s="187" customFormat="1" ht="18" customHeight="1">
      <c r="A1385" s="187" t="str">
        <f t="shared" si="21"/>
        <v>001901</v>
      </c>
      <c r="B1385" s="206" t="s">
        <v>4468</v>
      </c>
      <c r="C1385" s="206"/>
      <c r="D1385" s="206" t="s">
        <v>4467</v>
      </c>
      <c r="E1385" s="206" t="s">
        <v>29</v>
      </c>
      <c r="F1385" s="206"/>
      <c r="G1385" s="206"/>
      <c r="H1385" s="206"/>
      <c r="I1385" s="206"/>
      <c r="J1385" s="206"/>
      <c r="K1385" s="206"/>
      <c r="L1385" s="206"/>
      <c r="M1385" s="207"/>
      <c r="N1385" s="206"/>
      <c r="O1385" s="206"/>
      <c r="P1385" s="206"/>
    </row>
    <row r="1386" spans="1:16" s="187" customFormat="1" ht="18" customHeight="1">
      <c r="A1386" s="187" t="str">
        <f t="shared" si="21"/>
        <v>001902</v>
      </c>
      <c r="B1386" s="208" t="s">
        <v>4468</v>
      </c>
      <c r="C1386" s="208"/>
      <c r="D1386" s="208" t="s">
        <v>4469</v>
      </c>
      <c r="E1386" s="208" t="s">
        <v>29</v>
      </c>
      <c r="F1386" s="208"/>
      <c r="G1386" s="208"/>
      <c r="H1386" s="208"/>
      <c r="I1386" s="208"/>
      <c r="J1386" s="208"/>
      <c r="K1386" s="208"/>
      <c r="L1386" s="208"/>
      <c r="M1386" s="209"/>
      <c r="N1386" s="208"/>
      <c r="O1386" s="208"/>
      <c r="P1386" s="208"/>
    </row>
    <row r="1387" spans="1:16" s="187" customFormat="1" ht="18" customHeight="1">
      <c r="A1387" s="187" t="str">
        <f t="shared" si="21"/>
        <v>001903</v>
      </c>
      <c r="B1387" s="206" t="s">
        <v>4468</v>
      </c>
      <c r="C1387" s="206"/>
      <c r="D1387" s="206" t="s">
        <v>4470</v>
      </c>
      <c r="E1387" s="206" t="s">
        <v>29</v>
      </c>
      <c r="F1387" s="206"/>
      <c r="G1387" s="206"/>
      <c r="H1387" s="206"/>
      <c r="I1387" s="206"/>
      <c r="J1387" s="206"/>
      <c r="K1387" s="206"/>
      <c r="L1387" s="206"/>
      <c r="M1387" s="207"/>
      <c r="N1387" s="206"/>
      <c r="O1387" s="206"/>
      <c r="P1387" s="206"/>
    </row>
    <row r="1388" spans="1:16" s="187" customFormat="1" ht="18" customHeight="1">
      <c r="A1388" s="187" t="str">
        <f t="shared" si="21"/>
        <v>001904</v>
      </c>
      <c r="B1388" s="208" t="s">
        <v>4468</v>
      </c>
      <c r="C1388" s="208"/>
      <c r="D1388" s="208" t="s">
        <v>4471</v>
      </c>
      <c r="E1388" s="208" t="s">
        <v>29</v>
      </c>
      <c r="F1388" s="208"/>
      <c r="G1388" s="208"/>
      <c r="H1388" s="208"/>
      <c r="I1388" s="208"/>
      <c r="J1388" s="208"/>
      <c r="K1388" s="208"/>
      <c r="L1388" s="208"/>
      <c r="M1388" s="209"/>
      <c r="N1388" s="208"/>
      <c r="O1388" s="208"/>
      <c r="P1388" s="208"/>
    </row>
    <row r="1389" spans="1:16" s="187" customFormat="1" ht="18" customHeight="1">
      <c r="A1389" s="187" t="str">
        <f t="shared" si="21"/>
        <v>V20063A</v>
      </c>
      <c r="B1389" s="206" t="s">
        <v>2858</v>
      </c>
      <c r="C1389" s="206"/>
      <c r="D1389" s="206" t="s">
        <v>2857</v>
      </c>
      <c r="E1389" s="206" t="s">
        <v>29</v>
      </c>
      <c r="F1389" s="206" t="s">
        <v>2859</v>
      </c>
      <c r="G1389" s="206"/>
      <c r="H1389" s="206"/>
      <c r="I1389" s="206"/>
      <c r="J1389" s="206" t="s">
        <v>2860</v>
      </c>
      <c r="K1389" s="206" t="s">
        <v>2861</v>
      </c>
      <c r="L1389" s="206"/>
      <c r="M1389" s="207"/>
      <c r="N1389" s="206"/>
      <c r="O1389" s="206" t="s">
        <v>40</v>
      </c>
      <c r="P1389" s="206" t="s">
        <v>34</v>
      </c>
    </row>
    <row r="1390" spans="1:16" s="187" customFormat="1" ht="18" customHeight="1">
      <c r="A1390" s="187" t="str">
        <f t="shared" si="21"/>
        <v>V20063B</v>
      </c>
      <c r="B1390" s="208" t="s">
        <v>2858</v>
      </c>
      <c r="C1390" s="208"/>
      <c r="D1390" s="208" t="s">
        <v>2862</v>
      </c>
      <c r="E1390" s="208" t="s">
        <v>29</v>
      </c>
      <c r="F1390" s="208" t="s">
        <v>2859</v>
      </c>
      <c r="G1390" s="208"/>
      <c r="H1390" s="208"/>
      <c r="I1390" s="208"/>
      <c r="J1390" s="208" t="s">
        <v>2860</v>
      </c>
      <c r="K1390" s="208" t="s">
        <v>2861</v>
      </c>
      <c r="L1390" s="208"/>
      <c r="M1390" s="209"/>
      <c r="N1390" s="208"/>
      <c r="O1390" s="208" t="s">
        <v>40</v>
      </c>
      <c r="P1390" s="208" t="s">
        <v>34</v>
      </c>
    </row>
    <row r="1391" spans="1:16" s="187" customFormat="1" ht="18" customHeight="1">
      <c r="A1391" s="187" t="str">
        <f t="shared" si="21"/>
        <v>V20063C</v>
      </c>
      <c r="B1391" s="206" t="s">
        <v>2858</v>
      </c>
      <c r="C1391" s="206"/>
      <c r="D1391" s="206" t="s">
        <v>2863</v>
      </c>
      <c r="E1391" s="206" t="s">
        <v>29</v>
      </c>
      <c r="F1391" s="206" t="s">
        <v>2859</v>
      </c>
      <c r="G1391" s="206"/>
      <c r="H1391" s="206"/>
      <c r="I1391" s="206"/>
      <c r="J1391" s="206" t="s">
        <v>2860</v>
      </c>
      <c r="K1391" s="206" t="s">
        <v>2861</v>
      </c>
      <c r="L1391" s="206"/>
      <c r="M1391" s="207"/>
      <c r="N1391" s="206"/>
      <c r="O1391" s="206" t="s">
        <v>40</v>
      </c>
      <c r="P1391" s="206" t="s">
        <v>34</v>
      </c>
    </row>
    <row r="1392" spans="1:16" s="187" customFormat="1" ht="18" customHeight="1">
      <c r="A1392" s="187" t="str">
        <f t="shared" si="21"/>
        <v>V20167A</v>
      </c>
      <c r="B1392" s="208" t="s">
        <v>5887</v>
      </c>
      <c r="C1392" s="208"/>
      <c r="D1392" s="208" t="s">
        <v>5888</v>
      </c>
      <c r="E1392" s="208" t="s">
        <v>29</v>
      </c>
      <c r="F1392" s="208" t="s">
        <v>5889</v>
      </c>
      <c r="G1392" s="208"/>
      <c r="H1392" s="208"/>
      <c r="I1392" s="208" t="s">
        <v>31</v>
      </c>
      <c r="J1392" s="208"/>
      <c r="K1392" s="208" t="s">
        <v>33</v>
      </c>
      <c r="L1392" s="208"/>
      <c r="M1392" s="209"/>
      <c r="N1392" s="208"/>
      <c r="O1392" s="208"/>
      <c r="P1392" s="208" t="s">
        <v>34</v>
      </c>
    </row>
    <row r="1393" spans="1:16" s="187" customFormat="1" ht="18" customHeight="1">
      <c r="A1393" s="187" t="str">
        <f t="shared" si="21"/>
        <v>V20095A</v>
      </c>
      <c r="B1393" s="206" t="s">
        <v>2865</v>
      </c>
      <c r="C1393" s="206"/>
      <c r="D1393" s="206" t="s">
        <v>2864</v>
      </c>
      <c r="E1393" s="206" t="s">
        <v>29</v>
      </c>
      <c r="F1393" s="206" t="s">
        <v>2866</v>
      </c>
      <c r="G1393" s="206"/>
      <c r="H1393" s="206"/>
      <c r="I1393" s="206"/>
      <c r="J1393" s="206" t="s">
        <v>2867</v>
      </c>
      <c r="K1393" s="206" t="s">
        <v>2868</v>
      </c>
      <c r="L1393" s="206"/>
      <c r="M1393" s="207"/>
      <c r="N1393" s="206"/>
      <c r="O1393" s="206" t="s">
        <v>40</v>
      </c>
      <c r="P1393" s="206" t="s">
        <v>34</v>
      </c>
    </row>
    <row r="1394" spans="1:16" s="187" customFormat="1" ht="18" customHeight="1">
      <c r="A1394" s="187" t="str">
        <f t="shared" si="21"/>
        <v>V20095B</v>
      </c>
      <c r="B1394" s="208" t="s">
        <v>2865</v>
      </c>
      <c r="C1394" s="208"/>
      <c r="D1394" s="208" t="s">
        <v>2869</v>
      </c>
      <c r="E1394" s="208" t="s">
        <v>29</v>
      </c>
      <c r="F1394" s="208" t="s">
        <v>2866</v>
      </c>
      <c r="G1394" s="208"/>
      <c r="H1394" s="208"/>
      <c r="I1394" s="208"/>
      <c r="J1394" s="208" t="s">
        <v>2867</v>
      </c>
      <c r="K1394" s="208" t="s">
        <v>2868</v>
      </c>
      <c r="L1394" s="208"/>
      <c r="M1394" s="209"/>
      <c r="N1394" s="208"/>
      <c r="O1394" s="208" t="s">
        <v>40</v>
      </c>
      <c r="P1394" s="208" t="s">
        <v>34</v>
      </c>
    </row>
    <row r="1395" spans="1:16" s="187" customFormat="1" ht="18" customHeight="1">
      <c r="A1395" s="187" t="str">
        <f t="shared" si="21"/>
        <v>V20095C</v>
      </c>
      <c r="B1395" s="206" t="s">
        <v>2865</v>
      </c>
      <c r="C1395" s="206"/>
      <c r="D1395" s="206" t="s">
        <v>2870</v>
      </c>
      <c r="E1395" s="206" t="s">
        <v>29</v>
      </c>
      <c r="F1395" s="206" t="s">
        <v>2866</v>
      </c>
      <c r="G1395" s="206"/>
      <c r="H1395" s="206"/>
      <c r="I1395" s="206"/>
      <c r="J1395" s="206" t="s">
        <v>2867</v>
      </c>
      <c r="K1395" s="206" t="s">
        <v>2868</v>
      </c>
      <c r="L1395" s="206"/>
      <c r="M1395" s="207"/>
      <c r="N1395" s="206"/>
      <c r="O1395" s="206" t="s">
        <v>40</v>
      </c>
      <c r="P1395" s="206" t="s">
        <v>34</v>
      </c>
    </row>
    <row r="1396" spans="1:16" s="187" customFormat="1" ht="18" customHeight="1">
      <c r="A1396" s="187" t="str">
        <f t="shared" si="21"/>
        <v>V20174C</v>
      </c>
      <c r="B1396" s="208" t="s">
        <v>6450</v>
      </c>
      <c r="C1396" s="208"/>
      <c r="D1396" s="208" t="s">
        <v>6456</v>
      </c>
      <c r="E1396" s="208" t="s">
        <v>29</v>
      </c>
      <c r="F1396" s="208" t="s">
        <v>6452</v>
      </c>
      <c r="G1396" s="208"/>
      <c r="H1396" s="208"/>
      <c r="I1396" s="208" t="s">
        <v>6453</v>
      </c>
      <c r="J1396" s="208" t="s">
        <v>6454</v>
      </c>
      <c r="K1396" s="208" t="s">
        <v>6455</v>
      </c>
      <c r="L1396" s="208"/>
      <c r="M1396" s="209"/>
      <c r="N1396" s="208"/>
      <c r="O1396" s="208" t="s">
        <v>260</v>
      </c>
      <c r="P1396" s="208" t="s">
        <v>34</v>
      </c>
    </row>
    <row r="1397" spans="1:16" s="187" customFormat="1" ht="18" customHeight="1">
      <c r="A1397" s="187" t="str">
        <f t="shared" si="21"/>
        <v>V20174B</v>
      </c>
      <c r="B1397" s="206" t="s">
        <v>6450</v>
      </c>
      <c r="C1397" s="206"/>
      <c r="D1397" s="206" t="s">
        <v>6451</v>
      </c>
      <c r="E1397" s="206" t="s">
        <v>29</v>
      </c>
      <c r="F1397" s="206" t="s">
        <v>6452</v>
      </c>
      <c r="G1397" s="206"/>
      <c r="H1397" s="206"/>
      <c r="I1397" s="206" t="s">
        <v>6453</v>
      </c>
      <c r="J1397" s="206" t="s">
        <v>6454</v>
      </c>
      <c r="K1397" s="206" t="s">
        <v>6455</v>
      </c>
      <c r="L1397" s="206"/>
      <c r="M1397" s="207"/>
      <c r="N1397" s="206"/>
      <c r="O1397" s="206"/>
      <c r="P1397" s="206" t="s">
        <v>34</v>
      </c>
    </row>
    <row r="1398" spans="1:16" s="187" customFormat="1" ht="18" customHeight="1">
      <c r="A1398" s="187" t="str">
        <f t="shared" si="21"/>
        <v>V20010A</v>
      </c>
      <c r="B1398" s="208" t="s">
        <v>2872</v>
      </c>
      <c r="C1398" s="208"/>
      <c r="D1398" s="208" t="s">
        <v>2871</v>
      </c>
      <c r="E1398" s="208" t="s">
        <v>29</v>
      </c>
      <c r="F1398" s="208" t="s">
        <v>2873</v>
      </c>
      <c r="G1398" s="208"/>
      <c r="H1398" s="208"/>
      <c r="I1398" s="208" t="s">
        <v>2874</v>
      </c>
      <c r="J1398" s="208" t="s">
        <v>2875</v>
      </c>
      <c r="K1398" s="208" t="s">
        <v>2876</v>
      </c>
      <c r="L1398" s="208"/>
      <c r="M1398" s="209"/>
      <c r="N1398" s="208"/>
      <c r="O1398" s="208" t="s">
        <v>40</v>
      </c>
      <c r="P1398" s="208" t="s">
        <v>34</v>
      </c>
    </row>
    <row r="1399" spans="1:16" s="187" customFormat="1" ht="18" customHeight="1">
      <c r="A1399" s="187" t="str">
        <f t="shared" si="21"/>
        <v>V20010B</v>
      </c>
      <c r="B1399" s="206" t="s">
        <v>2872</v>
      </c>
      <c r="C1399" s="206"/>
      <c r="D1399" s="206" t="s">
        <v>2877</v>
      </c>
      <c r="E1399" s="206" t="s">
        <v>29</v>
      </c>
      <c r="F1399" s="206" t="s">
        <v>2873</v>
      </c>
      <c r="G1399" s="206"/>
      <c r="H1399" s="206"/>
      <c r="I1399" s="206" t="s">
        <v>2874</v>
      </c>
      <c r="J1399" s="206" t="s">
        <v>2875</v>
      </c>
      <c r="K1399" s="206" t="s">
        <v>2876</v>
      </c>
      <c r="L1399" s="206"/>
      <c r="M1399" s="207"/>
      <c r="N1399" s="206"/>
      <c r="O1399" s="206" t="s">
        <v>40</v>
      </c>
      <c r="P1399" s="206" t="s">
        <v>34</v>
      </c>
    </row>
    <row r="1400" spans="1:16" s="187" customFormat="1" ht="18" customHeight="1">
      <c r="A1400" s="187" t="str">
        <f t="shared" si="21"/>
        <v>V20010C</v>
      </c>
      <c r="B1400" s="208" t="s">
        <v>2872</v>
      </c>
      <c r="C1400" s="208"/>
      <c r="D1400" s="208" t="s">
        <v>2878</v>
      </c>
      <c r="E1400" s="208" t="s">
        <v>29</v>
      </c>
      <c r="F1400" s="208" t="s">
        <v>2873</v>
      </c>
      <c r="G1400" s="208"/>
      <c r="H1400" s="208"/>
      <c r="I1400" s="208" t="s">
        <v>2874</v>
      </c>
      <c r="J1400" s="208" t="s">
        <v>2875</v>
      </c>
      <c r="K1400" s="208" t="s">
        <v>2876</v>
      </c>
      <c r="L1400" s="208"/>
      <c r="M1400" s="209"/>
      <c r="N1400" s="208"/>
      <c r="O1400" s="208" t="s">
        <v>40</v>
      </c>
      <c r="P1400" s="208" t="s">
        <v>34</v>
      </c>
    </row>
    <row r="1401" spans="1:16" s="187" customFormat="1" ht="18" customHeight="1">
      <c r="A1401" s="187" t="str">
        <f t="shared" si="21"/>
        <v>CG470002C0</v>
      </c>
      <c r="B1401" s="206" t="s">
        <v>1360</v>
      </c>
      <c r="C1401" s="206"/>
      <c r="D1401" s="206" t="s">
        <v>2879</v>
      </c>
      <c r="E1401" s="206" t="s">
        <v>29</v>
      </c>
      <c r="F1401" s="206" t="s">
        <v>2880</v>
      </c>
      <c r="G1401" s="206"/>
      <c r="H1401" s="206"/>
      <c r="I1401" s="206"/>
      <c r="J1401" s="206"/>
      <c r="K1401" s="206"/>
      <c r="L1401" s="206"/>
      <c r="M1401" s="207"/>
      <c r="N1401" s="206"/>
      <c r="O1401" s="206"/>
      <c r="P1401" s="206" t="s">
        <v>100</v>
      </c>
    </row>
    <row r="1402" spans="1:16" s="187" customFormat="1" ht="18" customHeight="1">
      <c r="A1402" s="187" t="str">
        <f t="shared" si="21"/>
        <v>V4110C0</v>
      </c>
      <c r="B1402" s="208" t="s">
        <v>1360</v>
      </c>
      <c r="C1402" s="208"/>
      <c r="D1402" s="208" t="s">
        <v>6457</v>
      </c>
      <c r="E1402" s="208" t="s">
        <v>29</v>
      </c>
      <c r="F1402" s="208" t="s">
        <v>2880</v>
      </c>
      <c r="G1402" s="208"/>
      <c r="H1402" s="208"/>
      <c r="I1402" s="208"/>
      <c r="J1402" s="208"/>
      <c r="K1402" s="208"/>
      <c r="L1402" s="208"/>
      <c r="M1402" s="209"/>
      <c r="N1402" s="208"/>
      <c r="O1402" s="208"/>
      <c r="P1402" s="208" t="s">
        <v>107</v>
      </c>
    </row>
    <row r="1403" spans="1:16" s="187" customFormat="1" ht="18" customHeight="1">
      <c r="A1403" s="187" t="str">
        <f t="shared" si="21"/>
        <v>CG450002C0</v>
      </c>
      <c r="B1403" s="206" t="s">
        <v>2882</v>
      </c>
      <c r="C1403" s="206"/>
      <c r="D1403" s="206" t="s">
        <v>2881</v>
      </c>
      <c r="E1403" s="206" t="s">
        <v>29</v>
      </c>
      <c r="F1403" s="206" t="s">
        <v>2883</v>
      </c>
      <c r="G1403" s="206"/>
      <c r="H1403" s="206"/>
      <c r="I1403" s="206"/>
      <c r="J1403" s="206"/>
      <c r="K1403" s="206"/>
      <c r="L1403" s="206"/>
      <c r="M1403" s="207"/>
      <c r="N1403" s="206"/>
      <c r="O1403" s="206"/>
      <c r="P1403" s="206" t="s">
        <v>100</v>
      </c>
    </row>
    <row r="1404" spans="1:16" s="187" customFormat="1" ht="18" customHeight="1">
      <c r="A1404" s="187" t="str">
        <f t="shared" si="21"/>
        <v>V20028A</v>
      </c>
      <c r="B1404" s="208" t="s">
        <v>2882</v>
      </c>
      <c r="C1404" s="208"/>
      <c r="D1404" s="208" t="s">
        <v>2884</v>
      </c>
      <c r="E1404" s="208" t="s">
        <v>29</v>
      </c>
      <c r="F1404" s="208" t="s">
        <v>2885</v>
      </c>
      <c r="G1404" s="208"/>
      <c r="H1404" s="208"/>
      <c r="I1404" s="208"/>
      <c r="J1404" s="208" t="s">
        <v>2886</v>
      </c>
      <c r="K1404" s="208" t="s">
        <v>2887</v>
      </c>
      <c r="L1404" s="208"/>
      <c r="M1404" s="209"/>
      <c r="N1404" s="208"/>
      <c r="O1404" s="208" t="s">
        <v>40</v>
      </c>
      <c r="P1404" s="208" t="s">
        <v>34</v>
      </c>
    </row>
    <row r="1405" spans="1:16" s="187" customFormat="1" ht="18" customHeight="1">
      <c r="A1405" s="187" t="str">
        <f t="shared" si="21"/>
        <v>V20028B</v>
      </c>
      <c r="B1405" s="206" t="s">
        <v>2882</v>
      </c>
      <c r="C1405" s="206"/>
      <c r="D1405" s="206" t="s">
        <v>2888</v>
      </c>
      <c r="E1405" s="206" t="s">
        <v>29</v>
      </c>
      <c r="F1405" s="206" t="s">
        <v>2885</v>
      </c>
      <c r="G1405" s="206"/>
      <c r="H1405" s="206"/>
      <c r="I1405" s="206"/>
      <c r="J1405" s="206" t="s">
        <v>2886</v>
      </c>
      <c r="K1405" s="206" t="s">
        <v>2887</v>
      </c>
      <c r="L1405" s="206"/>
      <c r="M1405" s="207"/>
      <c r="N1405" s="206"/>
      <c r="O1405" s="206" t="s">
        <v>40</v>
      </c>
      <c r="P1405" s="206" t="s">
        <v>34</v>
      </c>
    </row>
    <row r="1406" spans="1:16" s="187" customFormat="1" ht="18" customHeight="1">
      <c r="A1406" s="187" t="str">
        <f t="shared" si="21"/>
        <v>V20028C</v>
      </c>
      <c r="B1406" s="208" t="s">
        <v>2882</v>
      </c>
      <c r="C1406" s="208"/>
      <c r="D1406" s="208" t="s">
        <v>2889</v>
      </c>
      <c r="E1406" s="208" t="s">
        <v>29</v>
      </c>
      <c r="F1406" s="208" t="s">
        <v>2885</v>
      </c>
      <c r="G1406" s="208"/>
      <c r="H1406" s="208"/>
      <c r="I1406" s="208"/>
      <c r="J1406" s="208" t="s">
        <v>2886</v>
      </c>
      <c r="K1406" s="208" t="s">
        <v>2887</v>
      </c>
      <c r="L1406" s="208"/>
      <c r="M1406" s="209"/>
      <c r="N1406" s="208"/>
      <c r="O1406" s="208" t="s">
        <v>40</v>
      </c>
      <c r="P1406" s="208" t="s">
        <v>34</v>
      </c>
    </row>
    <row r="1407" spans="1:16" s="187" customFormat="1" ht="18" customHeight="1">
      <c r="A1407" s="187" t="str">
        <f t="shared" si="21"/>
        <v>107301A</v>
      </c>
      <c r="B1407" s="206" t="s">
        <v>2891</v>
      </c>
      <c r="C1407" s="206"/>
      <c r="D1407" s="206" t="s">
        <v>2890</v>
      </c>
      <c r="E1407" s="206" t="s">
        <v>29</v>
      </c>
      <c r="F1407" s="206" t="s">
        <v>2892</v>
      </c>
      <c r="G1407" s="206"/>
      <c r="H1407" s="206"/>
      <c r="I1407" s="206" t="s">
        <v>2893</v>
      </c>
      <c r="J1407" s="206" t="s">
        <v>2894</v>
      </c>
      <c r="K1407" s="206" t="s">
        <v>2895</v>
      </c>
      <c r="L1407" s="206"/>
      <c r="M1407" s="207"/>
      <c r="N1407" s="206"/>
      <c r="O1407" s="206"/>
      <c r="P1407" s="206" t="s">
        <v>164</v>
      </c>
    </row>
    <row r="1408" spans="1:16" s="187" customFormat="1" ht="18" customHeight="1">
      <c r="A1408" s="187" t="str">
        <f t="shared" si="21"/>
        <v>V20117A</v>
      </c>
      <c r="B1408" s="208" t="s">
        <v>2897</v>
      </c>
      <c r="C1408" s="208"/>
      <c r="D1408" s="208" t="s">
        <v>2896</v>
      </c>
      <c r="E1408" s="208" t="s">
        <v>29</v>
      </c>
      <c r="F1408" s="208" t="s">
        <v>4472</v>
      </c>
      <c r="G1408" s="208"/>
      <c r="H1408" s="208"/>
      <c r="I1408" s="208"/>
      <c r="J1408" s="208"/>
      <c r="K1408" s="208"/>
      <c r="L1408" s="208"/>
      <c r="M1408" s="209"/>
      <c r="N1408" s="208"/>
      <c r="O1408" s="208"/>
      <c r="P1408" s="208" t="s">
        <v>34</v>
      </c>
    </row>
    <row r="1409" spans="1:16" s="187" customFormat="1" ht="18" customHeight="1">
      <c r="A1409" s="187" t="str">
        <f t="shared" si="21"/>
        <v>V20150A</v>
      </c>
      <c r="B1409" s="206" t="s">
        <v>5415</v>
      </c>
      <c r="C1409" s="206"/>
      <c r="D1409" s="206" t="s">
        <v>5416</v>
      </c>
      <c r="E1409" s="206" t="s">
        <v>29</v>
      </c>
      <c r="F1409" s="206" t="s">
        <v>5417</v>
      </c>
      <c r="G1409" s="206"/>
      <c r="H1409" s="206"/>
      <c r="I1409" s="206"/>
      <c r="J1409" s="206" t="s">
        <v>5418</v>
      </c>
      <c r="K1409" s="206" t="s">
        <v>5419</v>
      </c>
      <c r="L1409" s="206"/>
      <c r="M1409" s="207"/>
      <c r="N1409" s="206"/>
      <c r="O1409" s="206"/>
      <c r="P1409" s="206" t="s">
        <v>34</v>
      </c>
    </row>
    <row r="1410" spans="1:16" s="187" customFormat="1" ht="18" customHeight="1">
      <c r="A1410" s="187" t="str">
        <f t="shared" si="21"/>
        <v>V20127C</v>
      </c>
      <c r="B1410" s="208" t="s">
        <v>4981</v>
      </c>
      <c r="C1410" s="208"/>
      <c r="D1410" s="208" t="s">
        <v>4982</v>
      </c>
      <c r="E1410" s="208" t="s">
        <v>29</v>
      </c>
      <c r="F1410" s="208" t="s">
        <v>4983</v>
      </c>
      <c r="G1410" s="208"/>
      <c r="H1410" s="208"/>
      <c r="I1410" s="208"/>
      <c r="J1410" s="208" t="s">
        <v>4984</v>
      </c>
      <c r="K1410" s="208" t="s">
        <v>4985</v>
      </c>
      <c r="L1410" s="208"/>
      <c r="M1410" s="209"/>
      <c r="N1410" s="208"/>
      <c r="O1410" s="208"/>
      <c r="P1410" s="208" t="s">
        <v>34</v>
      </c>
    </row>
    <row r="1411" spans="1:16" s="187" customFormat="1" ht="18" customHeight="1">
      <c r="A1411" s="187" t="str">
        <f t="shared" si="21"/>
        <v>V20078A</v>
      </c>
      <c r="B1411" s="206" t="s">
        <v>2899</v>
      </c>
      <c r="C1411" s="206"/>
      <c r="D1411" s="206" t="s">
        <v>2898</v>
      </c>
      <c r="E1411" s="206" t="s">
        <v>29</v>
      </c>
      <c r="F1411" s="206" t="s">
        <v>2900</v>
      </c>
      <c r="G1411" s="206"/>
      <c r="H1411" s="206"/>
      <c r="I1411" s="206" t="s">
        <v>2901</v>
      </c>
      <c r="J1411" s="206" t="s">
        <v>2902</v>
      </c>
      <c r="K1411" s="206" t="s">
        <v>2903</v>
      </c>
      <c r="L1411" s="206"/>
      <c r="M1411" s="207"/>
      <c r="N1411" s="206"/>
      <c r="O1411" s="206" t="s">
        <v>40</v>
      </c>
      <c r="P1411" s="206" t="s">
        <v>34</v>
      </c>
    </row>
    <row r="1412" spans="1:16" s="187" customFormat="1" ht="18" customHeight="1">
      <c r="A1412" s="187" t="str">
        <f t="shared" si="21"/>
        <v>V20078B</v>
      </c>
      <c r="B1412" s="208" t="s">
        <v>2899</v>
      </c>
      <c r="C1412" s="208"/>
      <c r="D1412" s="208" t="s">
        <v>2904</v>
      </c>
      <c r="E1412" s="208" t="s">
        <v>29</v>
      </c>
      <c r="F1412" s="208" t="s">
        <v>2900</v>
      </c>
      <c r="G1412" s="208"/>
      <c r="H1412" s="208"/>
      <c r="I1412" s="208" t="s">
        <v>2901</v>
      </c>
      <c r="J1412" s="208" t="s">
        <v>2902</v>
      </c>
      <c r="K1412" s="208" t="s">
        <v>2903</v>
      </c>
      <c r="L1412" s="208"/>
      <c r="M1412" s="209"/>
      <c r="N1412" s="208"/>
      <c r="O1412" s="208" t="s">
        <v>40</v>
      </c>
      <c r="P1412" s="208" t="s">
        <v>34</v>
      </c>
    </row>
    <row r="1413" spans="1:16" s="187" customFormat="1" ht="18" customHeight="1">
      <c r="A1413" s="187" t="str">
        <f t="shared" si="21"/>
        <v>V20078C</v>
      </c>
      <c r="B1413" s="206" t="s">
        <v>2899</v>
      </c>
      <c r="C1413" s="206"/>
      <c r="D1413" s="206" t="s">
        <v>2905</v>
      </c>
      <c r="E1413" s="206" t="s">
        <v>29</v>
      </c>
      <c r="F1413" s="206" t="s">
        <v>2900</v>
      </c>
      <c r="G1413" s="206"/>
      <c r="H1413" s="206"/>
      <c r="I1413" s="206" t="s">
        <v>2901</v>
      </c>
      <c r="J1413" s="206" t="s">
        <v>2902</v>
      </c>
      <c r="K1413" s="206" t="s">
        <v>2903</v>
      </c>
      <c r="L1413" s="206"/>
      <c r="M1413" s="207"/>
      <c r="N1413" s="206"/>
      <c r="O1413" s="206" t="s">
        <v>40</v>
      </c>
      <c r="P1413" s="206" t="s">
        <v>34</v>
      </c>
    </row>
    <row r="1414" spans="1:16" s="187" customFormat="1" ht="18" customHeight="1">
      <c r="A1414" s="187" t="str">
        <f t="shared" ref="A1414:A1477" si="22">D1414</f>
        <v>V20011A</v>
      </c>
      <c r="B1414" s="208" t="s">
        <v>2907</v>
      </c>
      <c r="C1414" s="208"/>
      <c r="D1414" s="208" t="s">
        <v>2906</v>
      </c>
      <c r="E1414" s="208" t="s">
        <v>29</v>
      </c>
      <c r="F1414" s="208" t="s">
        <v>2908</v>
      </c>
      <c r="G1414" s="208"/>
      <c r="H1414" s="208"/>
      <c r="I1414" s="208" t="s">
        <v>2909</v>
      </c>
      <c r="J1414" s="208" t="s">
        <v>2910</v>
      </c>
      <c r="K1414" s="208" t="s">
        <v>2911</v>
      </c>
      <c r="L1414" s="208"/>
      <c r="M1414" s="209"/>
      <c r="N1414" s="208"/>
      <c r="O1414" s="208" t="s">
        <v>40</v>
      </c>
      <c r="P1414" s="208" t="s">
        <v>34</v>
      </c>
    </row>
    <row r="1415" spans="1:16" s="187" customFormat="1" ht="18" customHeight="1">
      <c r="A1415" s="187" t="str">
        <f t="shared" si="22"/>
        <v>V20011B</v>
      </c>
      <c r="B1415" s="206" t="s">
        <v>2907</v>
      </c>
      <c r="C1415" s="206"/>
      <c r="D1415" s="206" t="s">
        <v>2912</v>
      </c>
      <c r="E1415" s="206" t="s">
        <v>29</v>
      </c>
      <c r="F1415" s="206" t="s">
        <v>2908</v>
      </c>
      <c r="G1415" s="206"/>
      <c r="H1415" s="206"/>
      <c r="I1415" s="206" t="s">
        <v>2909</v>
      </c>
      <c r="J1415" s="206" t="s">
        <v>2910</v>
      </c>
      <c r="K1415" s="206" t="s">
        <v>2911</v>
      </c>
      <c r="L1415" s="206"/>
      <c r="M1415" s="207"/>
      <c r="N1415" s="206"/>
      <c r="O1415" s="206" t="s">
        <v>40</v>
      </c>
      <c r="P1415" s="206" t="s">
        <v>34</v>
      </c>
    </row>
    <row r="1416" spans="1:16" s="187" customFormat="1" ht="18" customHeight="1">
      <c r="A1416" s="187" t="str">
        <f t="shared" si="22"/>
        <v>V20011C</v>
      </c>
      <c r="B1416" s="208" t="s">
        <v>2907</v>
      </c>
      <c r="C1416" s="208"/>
      <c r="D1416" s="208" t="s">
        <v>2913</v>
      </c>
      <c r="E1416" s="208" t="s">
        <v>29</v>
      </c>
      <c r="F1416" s="208" t="s">
        <v>2908</v>
      </c>
      <c r="G1416" s="208"/>
      <c r="H1416" s="208"/>
      <c r="I1416" s="208" t="s">
        <v>2909</v>
      </c>
      <c r="J1416" s="208" t="s">
        <v>2910</v>
      </c>
      <c r="K1416" s="208" t="s">
        <v>2911</v>
      </c>
      <c r="L1416" s="208"/>
      <c r="M1416" s="209"/>
      <c r="N1416" s="208"/>
      <c r="O1416" s="208" t="s">
        <v>40</v>
      </c>
      <c r="P1416" s="208" t="s">
        <v>34</v>
      </c>
    </row>
    <row r="1417" spans="1:16" s="187" customFormat="1" ht="18" customHeight="1">
      <c r="A1417" s="187" t="str">
        <f t="shared" si="22"/>
        <v>V20059A</v>
      </c>
      <c r="B1417" s="206" t="s">
        <v>2915</v>
      </c>
      <c r="C1417" s="206"/>
      <c r="D1417" s="206" t="s">
        <v>2914</v>
      </c>
      <c r="E1417" s="206" t="s">
        <v>29</v>
      </c>
      <c r="F1417" s="206" t="s">
        <v>2916</v>
      </c>
      <c r="G1417" s="206"/>
      <c r="H1417" s="206"/>
      <c r="I1417" s="206"/>
      <c r="J1417" s="206" t="s">
        <v>2917</v>
      </c>
      <c r="K1417" s="206" t="s">
        <v>2918</v>
      </c>
      <c r="L1417" s="206"/>
      <c r="M1417" s="207"/>
      <c r="N1417" s="206"/>
      <c r="O1417" s="206" t="s">
        <v>40</v>
      </c>
      <c r="P1417" s="206" t="s">
        <v>34</v>
      </c>
    </row>
    <row r="1418" spans="1:16" s="187" customFormat="1" ht="18" customHeight="1">
      <c r="A1418" s="187" t="str">
        <f t="shared" si="22"/>
        <v>V20059B</v>
      </c>
      <c r="B1418" s="208" t="s">
        <v>2915</v>
      </c>
      <c r="C1418" s="208"/>
      <c r="D1418" s="208" t="s">
        <v>2919</v>
      </c>
      <c r="E1418" s="208" t="s">
        <v>29</v>
      </c>
      <c r="F1418" s="208" t="s">
        <v>2916</v>
      </c>
      <c r="G1418" s="208"/>
      <c r="H1418" s="208"/>
      <c r="I1418" s="208"/>
      <c r="J1418" s="208" t="s">
        <v>2917</v>
      </c>
      <c r="K1418" s="208" t="s">
        <v>2918</v>
      </c>
      <c r="L1418" s="208"/>
      <c r="M1418" s="209"/>
      <c r="N1418" s="208"/>
      <c r="O1418" s="208" t="s">
        <v>40</v>
      </c>
      <c r="P1418" s="208" t="s">
        <v>34</v>
      </c>
    </row>
    <row r="1419" spans="1:16" s="187" customFormat="1" ht="18" customHeight="1">
      <c r="A1419" s="187" t="str">
        <f t="shared" si="22"/>
        <v>V20059C</v>
      </c>
      <c r="B1419" s="206" t="s">
        <v>2915</v>
      </c>
      <c r="C1419" s="206"/>
      <c r="D1419" s="206" t="s">
        <v>2920</v>
      </c>
      <c r="E1419" s="206" t="s">
        <v>29</v>
      </c>
      <c r="F1419" s="206" t="s">
        <v>2916</v>
      </c>
      <c r="G1419" s="206"/>
      <c r="H1419" s="206"/>
      <c r="I1419" s="206"/>
      <c r="J1419" s="206" t="s">
        <v>2917</v>
      </c>
      <c r="K1419" s="206" t="s">
        <v>2918</v>
      </c>
      <c r="L1419" s="206"/>
      <c r="M1419" s="207"/>
      <c r="N1419" s="206"/>
      <c r="O1419" s="206" t="s">
        <v>40</v>
      </c>
      <c r="P1419" s="206" t="s">
        <v>34</v>
      </c>
    </row>
    <row r="1420" spans="1:16" s="187" customFormat="1" ht="18" customHeight="1">
      <c r="A1420" s="187" t="str">
        <f t="shared" si="22"/>
        <v>V20138C</v>
      </c>
      <c r="B1420" s="208" t="s">
        <v>4986</v>
      </c>
      <c r="C1420" s="208"/>
      <c r="D1420" s="208" t="s">
        <v>4987</v>
      </c>
      <c r="E1420" s="208" t="s">
        <v>29</v>
      </c>
      <c r="F1420" s="208" t="s">
        <v>4988</v>
      </c>
      <c r="G1420" s="208"/>
      <c r="H1420" s="208"/>
      <c r="I1420" s="208" t="s">
        <v>4989</v>
      </c>
      <c r="J1420" s="208" t="s">
        <v>4990</v>
      </c>
      <c r="K1420" s="208" t="s">
        <v>4991</v>
      </c>
      <c r="L1420" s="208"/>
      <c r="M1420" s="209"/>
      <c r="N1420" s="208"/>
      <c r="O1420" s="208"/>
      <c r="P1420" s="208" t="s">
        <v>34</v>
      </c>
    </row>
    <row r="1421" spans="1:16" s="187" customFormat="1" ht="18" customHeight="1">
      <c r="A1421" s="187" t="str">
        <f t="shared" si="22"/>
        <v>V20025A</v>
      </c>
      <c r="B1421" s="206" t="s">
        <v>2922</v>
      </c>
      <c r="C1421" s="206"/>
      <c r="D1421" s="206" t="s">
        <v>2921</v>
      </c>
      <c r="E1421" s="206" t="s">
        <v>29</v>
      </c>
      <c r="F1421" s="206" t="s">
        <v>2923</v>
      </c>
      <c r="G1421" s="206"/>
      <c r="H1421" s="206"/>
      <c r="I1421" s="206" t="s">
        <v>2924</v>
      </c>
      <c r="J1421" s="206" t="s">
        <v>2925</v>
      </c>
      <c r="K1421" s="206" t="s">
        <v>2926</v>
      </c>
      <c r="L1421" s="206"/>
      <c r="M1421" s="207"/>
      <c r="N1421" s="206"/>
      <c r="O1421" s="206" t="s">
        <v>40</v>
      </c>
      <c r="P1421" s="206" t="s">
        <v>34</v>
      </c>
    </row>
    <row r="1422" spans="1:16" s="187" customFormat="1" ht="18" customHeight="1">
      <c r="A1422" s="187" t="str">
        <f t="shared" si="22"/>
        <v>V20025B</v>
      </c>
      <c r="B1422" s="208" t="s">
        <v>2922</v>
      </c>
      <c r="C1422" s="208"/>
      <c r="D1422" s="208" t="s">
        <v>2927</v>
      </c>
      <c r="E1422" s="208" t="s">
        <v>29</v>
      </c>
      <c r="F1422" s="208" t="s">
        <v>2923</v>
      </c>
      <c r="G1422" s="208"/>
      <c r="H1422" s="208"/>
      <c r="I1422" s="208" t="s">
        <v>2924</v>
      </c>
      <c r="J1422" s="208" t="s">
        <v>2925</v>
      </c>
      <c r="K1422" s="208" t="s">
        <v>2926</v>
      </c>
      <c r="L1422" s="208"/>
      <c r="M1422" s="209"/>
      <c r="N1422" s="208"/>
      <c r="O1422" s="208" t="s">
        <v>40</v>
      </c>
      <c r="P1422" s="208" t="s">
        <v>34</v>
      </c>
    </row>
    <row r="1423" spans="1:16" s="187" customFormat="1" ht="18" customHeight="1">
      <c r="A1423" s="187" t="str">
        <f t="shared" si="22"/>
        <v>V20025C</v>
      </c>
      <c r="B1423" s="206" t="s">
        <v>2922</v>
      </c>
      <c r="C1423" s="206"/>
      <c r="D1423" s="206" t="s">
        <v>2928</v>
      </c>
      <c r="E1423" s="206" t="s">
        <v>29</v>
      </c>
      <c r="F1423" s="206" t="s">
        <v>2923</v>
      </c>
      <c r="G1423" s="206"/>
      <c r="H1423" s="206"/>
      <c r="I1423" s="206" t="s">
        <v>2924</v>
      </c>
      <c r="J1423" s="206" t="s">
        <v>2925</v>
      </c>
      <c r="K1423" s="206" t="s">
        <v>2926</v>
      </c>
      <c r="L1423" s="206"/>
      <c r="M1423" s="207"/>
      <c r="N1423" s="206"/>
      <c r="O1423" s="206" t="s">
        <v>40</v>
      </c>
      <c r="P1423" s="206" t="s">
        <v>34</v>
      </c>
    </row>
    <row r="1424" spans="1:16" s="187" customFormat="1" ht="18" customHeight="1">
      <c r="A1424" s="187" t="str">
        <f t="shared" si="22"/>
        <v>V20031A</v>
      </c>
      <c r="B1424" s="208" t="s">
        <v>2930</v>
      </c>
      <c r="C1424" s="208"/>
      <c r="D1424" s="208" t="s">
        <v>2929</v>
      </c>
      <c r="E1424" s="208" t="s">
        <v>29</v>
      </c>
      <c r="F1424" s="208" t="s">
        <v>2931</v>
      </c>
      <c r="G1424" s="208"/>
      <c r="H1424" s="208"/>
      <c r="I1424" s="208" t="s">
        <v>2932</v>
      </c>
      <c r="J1424" s="208" t="s">
        <v>2933</v>
      </c>
      <c r="K1424" s="208" t="s">
        <v>2934</v>
      </c>
      <c r="L1424" s="208"/>
      <c r="M1424" s="209"/>
      <c r="N1424" s="208"/>
      <c r="O1424" s="208" t="s">
        <v>40</v>
      </c>
      <c r="P1424" s="208" t="s">
        <v>34</v>
      </c>
    </row>
    <row r="1425" spans="1:16" s="187" customFormat="1" ht="18" customHeight="1">
      <c r="A1425" s="187" t="str">
        <f t="shared" si="22"/>
        <v>V20031B</v>
      </c>
      <c r="B1425" s="206" t="s">
        <v>2930</v>
      </c>
      <c r="C1425" s="206"/>
      <c r="D1425" s="206" t="s">
        <v>2935</v>
      </c>
      <c r="E1425" s="206" t="s">
        <v>29</v>
      </c>
      <c r="F1425" s="206" t="s">
        <v>2931</v>
      </c>
      <c r="G1425" s="206"/>
      <c r="H1425" s="206"/>
      <c r="I1425" s="206" t="s">
        <v>2932</v>
      </c>
      <c r="J1425" s="206" t="s">
        <v>2933</v>
      </c>
      <c r="K1425" s="206" t="s">
        <v>2934</v>
      </c>
      <c r="L1425" s="206"/>
      <c r="M1425" s="207"/>
      <c r="N1425" s="206"/>
      <c r="O1425" s="206" t="s">
        <v>40</v>
      </c>
      <c r="P1425" s="206" t="s">
        <v>34</v>
      </c>
    </row>
    <row r="1426" spans="1:16" s="187" customFormat="1" ht="18" customHeight="1">
      <c r="A1426" s="187" t="str">
        <f t="shared" si="22"/>
        <v>V20031C</v>
      </c>
      <c r="B1426" s="208" t="s">
        <v>2930</v>
      </c>
      <c r="C1426" s="208"/>
      <c r="D1426" s="208" t="s">
        <v>2936</v>
      </c>
      <c r="E1426" s="208" t="s">
        <v>29</v>
      </c>
      <c r="F1426" s="208" t="s">
        <v>2931</v>
      </c>
      <c r="G1426" s="208"/>
      <c r="H1426" s="208"/>
      <c r="I1426" s="208" t="s">
        <v>2932</v>
      </c>
      <c r="J1426" s="208" t="s">
        <v>2933</v>
      </c>
      <c r="K1426" s="208" t="s">
        <v>2934</v>
      </c>
      <c r="L1426" s="208"/>
      <c r="M1426" s="209"/>
      <c r="N1426" s="208"/>
      <c r="O1426" s="208" t="s">
        <v>40</v>
      </c>
      <c r="P1426" s="208" t="s">
        <v>34</v>
      </c>
    </row>
    <row r="1427" spans="1:16" s="187" customFormat="1" ht="18" customHeight="1">
      <c r="A1427" s="187" t="str">
        <f t="shared" si="22"/>
        <v>CG450011C0</v>
      </c>
      <c r="B1427" s="206" t="s">
        <v>2930</v>
      </c>
      <c r="C1427" s="206"/>
      <c r="D1427" s="206" t="s">
        <v>2937</v>
      </c>
      <c r="E1427" s="206" t="s">
        <v>29</v>
      </c>
      <c r="F1427" s="206" t="s">
        <v>2931</v>
      </c>
      <c r="G1427" s="206"/>
      <c r="H1427" s="206"/>
      <c r="I1427" s="206" t="s">
        <v>2932</v>
      </c>
      <c r="J1427" s="206" t="s">
        <v>2933</v>
      </c>
      <c r="K1427" s="206" t="s">
        <v>2934</v>
      </c>
      <c r="L1427" s="206"/>
      <c r="M1427" s="207"/>
      <c r="N1427" s="206"/>
      <c r="O1427" s="206" t="s">
        <v>40</v>
      </c>
      <c r="P1427" s="206" t="s">
        <v>100</v>
      </c>
    </row>
    <row r="1428" spans="1:16" s="187" customFormat="1" ht="18" customHeight="1">
      <c r="A1428" s="187" t="str">
        <f t="shared" si="22"/>
        <v>V20182A</v>
      </c>
      <c r="B1428" s="208" t="s">
        <v>6532</v>
      </c>
      <c r="C1428" s="208"/>
      <c r="D1428" s="208" t="s">
        <v>6533</v>
      </c>
      <c r="E1428" s="208" t="s">
        <v>29</v>
      </c>
      <c r="F1428" s="208" t="s">
        <v>6534</v>
      </c>
      <c r="G1428" s="208"/>
      <c r="H1428" s="208"/>
      <c r="I1428" s="208"/>
      <c r="J1428" s="208" t="s">
        <v>6535</v>
      </c>
      <c r="K1428" s="208" t="s">
        <v>6536</v>
      </c>
      <c r="L1428" s="208"/>
      <c r="M1428" s="209"/>
      <c r="N1428" s="208"/>
      <c r="O1428" s="208"/>
      <c r="P1428" s="208" t="s">
        <v>34</v>
      </c>
    </row>
    <row r="1429" spans="1:16" s="187" customFormat="1" ht="18" customHeight="1">
      <c r="A1429" s="187" t="str">
        <f t="shared" si="22"/>
        <v>002201</v>
      </c>
      <c r="B1429" s="206" t="s">
        <v>4474</v>
      </c>
      <c r="C1429" s="206"/>
      <c r="D1429" s="206" t="s">
        <v>4473</v>
      </c>
      <c r="E1429" s="206" t="s">
        <v>29</v>
      </c>
      <c r="F1429" s="206"/>
      <c r="G1429" s="206"/>
      <c r="H1429" s="206"/>
      <c r="I1429" s="206"/>
      <c r="J1429" s="206"/>
      <c r="K1429" s="206"/>
      <c r="L1429" s="206"/>
      <c r="M1429" s="207"/>
      <c r="N1429" s="206"/>
      <c r="O1429" s="206"/>
      <c r="P1429" s="206"/>
    </row>
    <row r="1430" spans="1:16" s="187" customFormat="1" ht="18" customHeight="1">
      <c r="A1430" s="187" t="str">
        <f t="shared" si="22"/>
        <v>CG450026C0</v>
      </c>
      <c r="B1430" s="208" t="s">
        <v>6458</v>
      </c>
      <c r="C1430" s="208"/>
      <c r="D1430" s="208" t="s">
        <v>6459</v>
      </c>
      <c r="E1430" s="208" t="s">
        <v>29</v>
      </c>
      <c r="F1430" s="208" t="s">
        <v>2940</v>
      </c>
      <c r="G1430" s="208"/>
      <c r="H1430" s="208"/>
      <c r="I1430" s="208" t="s">
        <v>2941</v>
      </c>
      <c r="J1430" s="208"/>
      <c r="K1430" s="208"/>
      <c r="L1430" s="208"/>
      <c r="M1430" s="209"/>
      <c r="N1430" s="208"/>
      <c r="O1430" s="208"/>
      <c r="P1430" s="208" t="s">
        <v>34</v>
      </c>
    </row>
    <row r="1431" spans="1:16" s="187" customFormat="1" ht="18" customHeight="1">
      <c r="A1431" s="187" t="str">
        <f t="shared" si="22"/>
        <v>V20032A</v>
      </c>
      <c r="B1431" s="206" t="s">
        <v>2939</v>
      </c>
      <c r="C1431" s="206"/>
      <c r="D1431" s="206" t="s">
        <v>2938</v>
      </c>
      <c r="E1431" s="206" t="s">
        <v>29</v>
      </c>
      <c r="F1431" s="206" t="s">
        <v>2940</v>
      </c>
      <c r="G1431" s="206"/>
      <c r="H1431" s="206"/>
      <c r="I1431" s="206" t="s">
        <v>2941</v>
      </c>
      <c r="J1431" s="206" t="s">
        <v>2942</v>
      </c>
      <c r="K1431" s="206" t="s">
        <v>2943</v>
      </c>
      <c r="L1431" s="206"/>
      <c r="M1431" s="207"/>
      <c r="N1431" s="206"/>
      <c r="O1431" s="206" t="s">
        <v>40</v>
      </c>
      <c r="P1431" s="206" t="s">
        <v>34</v>
      </c>
    </row>
    <row r="1432" spans="1:16" s="187" customFormat="1" ht="18" customHeight="1">
      <c r="A1432" s="187" t="str">
        <f t="shared" si="22"/>
        <v>V20032B</v>
      </c>
      <c r="B1432" s="208" t="s">
        <v>2939</v>
      </c>
      <c r="C1432" s="208"/>
      <c r="D1432" s="208" t="s">
        <v>2944</v>
      </c>
      <c r="E1432" s="208" t="s">
        <v>29</v>
      </c>
      <c r="F1432" s="208" t="s">
        <v>2940</v>
      </c>
      <c r="G1432" s="208"/>
      <c r="H1432" s="208"/>
      <c r="I1432" s="208" t="s">
        <v>2941</v>
      </c>
      <c r="J1432" s="208" t="s">
        <v>2942</v>
      </c>
      <c r="K1432" s="208" t="s">
        <v>2943</v>
      </c>
      <c r="L1432" s="208"/>
      <c r="M1432" s="209"/>
      <c r="N1432" s="208"/>
      <c r="O1432" s="208" t="s">
        <v>40</v>
      </c>
      <c r="P1432" s="208" t="s">
        <v>34</v>
      </c>
    </row>
    <row r="1433" spans="1:16" s="187" customFormat="1" ht="18" customHeight="1">
      <c r="A1433" s="187" t="str">
        <f t="shared" si="22"/>
        <v>V20032C</v>
      </c>
      <c r="B1433" s="206" t="s">
        <v>2939</v>
      </c>
      <c r="C1433" s="206"/>
      <c r="D1433" s="206" t="s">
        <v>2945</v>
      </c>
      <c r="E1433" s="206" t="s">
        <v>29</v>
      </c>
      <c r="F1433" s="206" t="s">
        <v>2940</v>
      </c>
      <c r="G1433" s="206"/>
      <c r="H1433" s="206"/>
      <c r="I1433" s="206" t="s">
        <v>2941</v>
      </c>
      <c r="J1433" s="206" t="s">
        <v>2942</v>
      </c>
      <c r="K1433" s="206" t="s">
        <v>2943</v>
      </c>
      <c r="L1433" s="206"/>
      <c r="M1433" s="207"/>
      <c r="N1433" s="206"/>
      <c r="O1433" s="206" t="s">
        <v>40</v>
      </c>
      <c r="P1433" s="206" t="s">
        <v>34</v>
      </c>
    </row>
    <row r="1434" spans="1:16" s="187" customFormat="1" ht="18" customHeight="1">
      <c r="A1434" s="187" t="str">
        <f t="shared" si="22"/>
        <v>V20152C</v>
      </c>
      <c r="B1434" s="208" t="s">
        <v>5471</v>
      </c>
      <c r="C1434" s="208"/>
      <c r="D1434" s="208" t="s">
        <v>5472</v>
      </c>
      <c r="E1434" s="208" t="s">
        <v>29</v>
      </c>
      <c r="F1434" s="208"/>
      <c r="G1434" s="208"/>
      <c r="H1434" s="208"/>
      <c r="I1434" s="208"/>
      <c r="J1434" s="208" t="s">
        <v>3854</v>
      </c>
      <c r="K1434" s="208" t="s">
        <v>5552</v>
      </c>
      <c r="L1434" s="208"/>
      <c r="M1434" s="209"/>
      <c r="N1434" s="208"/>
      <c r="O1434" s="208" t="s">
        <v>260</v>
      </c>
      <c r="P1434" s="208" t="s">
        <v>34</v>
      </c>
    </row>
    <row r="1435" spans="1:16" s="187" customFormat="1" ht="18" customHeight="1">
      <c r="A1435" s="187" t="str">
        <f t="shared" si="22"/>
        <v>002301</v>
      </c>
      <c r="B1435" s="206" t="s">
        <v>4476</v>
      </c>
      <c r="C1435" s="206"/>
      <c r="D1435" s="206" t="s">
        <v>4475</v>
      </c>
      <c r="E1435" s="206" t="s">
        <v>29</v>
      </c>
      <c r="F1435" s="206"/>
      <c r="G1435" s="206"/>
      <c r="H1435" s="206"/>
      <c r="I1435" s="206"/>
      <c r="J1435" s="206"/>
      <c r="K1435" s="206"/>
      <c r="L1435" s="206"/>
      <c r="M1435" s="207"/>
      <c r="N1435" s="206"/>
      <c r="O1435" s="206"/>
      <c r="P1435" s="206"/>
    </row>
    <row r="1436" spans="1:16" s="187" customFormat="1" ht="18" customHeight="1">
      <c r="A1436" s="187" t="str">
        <f t="shared" si="22"/>
        <v>007201</v>
      </c>
      <c r="B1436" s="208" t="s">
        <v>4478</v>
      </c>
      <c r="C1436" s="208"/>
      <c r="D1436" s="208" t="s">
        <v>4477</v>
      </c>
      <c r="E1436" s="208" t="s">
        <v>29</v>
      </c>
      <c r="F1436" s="208"/>
      <c r="G1436" s="208"/>
      <c r="H1436" s="208"/>
      <c r="I1436" s="208"/>
      <c r="J1436" s="208"/>
      <c r="K1436" s="208"/>
      <c r="L1436" s="208"/>
      <c r="M1436" s="209"/>
      <c r="N1436" s="208"/>
      <c r="O1436" s="208"/>
      <c r="P1436" s="208"/>
    </row>
    <row r="1437" spans="1:16" s="187" customFormat="1" ht="18" customHeight="1">
      <c r="A1437" s="187" t="str">
        <f t="shared" si="22"/>
        <v>002401</v>
      </c>
      <c r="B1437" s="206" t="s">
        <v>4480</v>
      </c>
      <c r="C1437" s="206"/>
      <c r="D1437" s="206" t="s">
        <v>4479</v>
      </c>
      <c r="E1437" s="206" t="s">
        <v>29</v>
      </c>
      <c r="F1437" s="206"/>
      <c r="G1437" s="206"/>
      <c r="H1437" s="206"/>
      <c r="I1437" s="206"/>
      <c r="J1437" s="206"/>
      <c r="K1437" s="206"/>
      <c r="L1437" s="206"/>
      <c r="M1437" s="207"/>
      <c r="N1437" s="206"/>
      <c r="O1437" s="206"/>
      <c r="P1437" s="206"/>
    </row>
    <row r="1438" spans="1:16" s="187" customFormat="1" ht="18" customHeight="1">
      <c r="A1438" s="187" t="str">
        <f t="shared" si="22"/>
        <v>V20039A</v>
      </c>
      <c r="B1438" s="208" t="s">
        <v>2947</v>
      </c>
      <c r="C1438" s="208"/>
      <c r="D1438" s="208" t="s">
        <v>2946</v>
      </c>
      <c r="E1438" s="208" t="s">
        <v>29</v>
      </c>
      <c r="F1438" s="208" t="s">
        <v>2948</v>
      </c>
      <c r="G1438" s="208"/>
      <c r="H1438" s="208"/>
      <c r="I1438" s="208" t="s">
        <v>2949</v>
      </c>
      <c r="J1438" s="208" t="s">
        <v>2950</v>
      </c>
      <c r="K1438" s="208" t="s">
        <v>2951</v>
      </c>
      <c r="L1438" s="208"/>
      <c r="M1438" s="209"/>
      <c r="N1438" s="208"/>
      <c r="O1438" s="208" t="s">
        <v>40</v>
      </c>
      <c r="P1438" s="208" t="s">
        <v>34</v>
      </c>
    </row>
    <row r="1439" spans="1:16" s="187" customFormat="1" ht="18" customHeight="1">
      <c r="A1439" s="187" t="str">
        <f t="shared" si="22"/>
        <v>V20039B</v>
      </c>
      <c r="B1439" s="206" t="s">
        <v>2947</v>
      </c>
      <c r="C1439" s="206"/>
      <c r="D1439" s="206" t="s">
        <v>2952</v>
      </c>
      <c r="E1439" s="206" t="s">
        <v>29</v>
      </c>
      <c r="F1439" s="206" t="s">
        <v>2948</v>
      </c>
      <c r="G1439" s="206"/>
      <c r="H1439" s="206"/>
      <c r="I1439" s="206" t="s">
        <v>2949</v>
      </c>
      <c r="J1439" s="206" t="s">
        <v>2950</v>
      </c>
      <c r="K1439" s="206" t="s">
        <v>2951</v>
      </c>
      <c r="L1439" s="206"/>
      <c r="M1439" s="207"/>
      <c r="N1439" s="206"/>
      <c r="O1439" s="206" t="s">
        <v>40</v>
      </c>
      <c r="P1439" s="206" t="s">
        <v>34</v>
      </c>
    </row>
    <row r="1440" spans="1:16" s="187" customFormat="1" ht="18" customHeight="1">
      <c r="A1440" s="187" t="str">
        <f t="shared" si="22"/>
        <v>V20039C</v>
      </c>
      <c r="B1440" s="208" t="s">
        <v>2947</v>
      </c>
      <c r="C1440" s="208"/>
      <c r="D1440" s="208" t="s">
        <v>2953</v>
      </c>
      <c r="E1440" s="208" t="s">
        <v>29</v>
      </c>
      <c r="F1440" s="208" t="s">
        <v>2948</v>
      </c>
      <c r="G1440" s="208"/>
      <c r="H1440" s="208"/>
      <c r="I1440" s="208" t="s">
        <v>2949</v>
      </c>
      <c r="J1440" s="208" t="s">
        <v>2950</v>
      </c>
      <c r="K1440" s="208" t="s">
        <v>2951</v>
      </c>
      <c r="L1440" s="208"/>
      <c r="M1440" s="209"/>
      <c r="N1440" s="208"/>
      <c r="O1440" s="208" t="s">
        <v>40</v>
      </c>
      <c r="P1440" s="208" t="s">
        <v>34</v>
      </c>
    </row>
    <row r="1441" spans="1:16" s="187" customFormat="1" ht="18" customHeight="1">
      <c r="A1441" s="187" t="str">
        <f t="shared" si="22"/>
        <v>LS-000412</v>
      </c>
      <c r="B1441" s="206" t="s">
        <v>2955</v>
      </c>
      <c r="C1441" s="206"/>
      <c r="D1441" s="206" t="s">
        <v>2954</v>
      </c>
      <c r="E1441" s="206" t="s">
        <v>151</v>
      </c>
      <c r="F1441" s="206" t="s">
        <v>2956</v>
      </c>
      <c r="G1441" s="206" t="s">
        <v>2957</v>
      </c>
      <c r="H1441" s="206"/>
      <c r="I1441" s="206"/>
      <c r="J1441" s="206"/>
      <c r="K1441" s="206"/>
      <c r="L1441" s="206"/>
      <c r="M1441" s="207"/>
      <c r="N1441" s="206"/>
      <c r="O1441" s="206"/>
      <c r="P1441" s="206"/>
    </row>
    <row r="1442" spans="1:16" s="187" customFormat="1" ht="18" customHeight="1">
      <c r="A1442" s="187" t="str">
        <f t="shared" si="22"/>
        <v>V20091A</v>
      </c>
      <c r="B1442" s="208" t="s">
        <v>2959</v>
      </c>
      <c r="C1442" s="208"/>
      <c r="D1442" s="208" t="s">
        <v>2958</v>
      </c>
      <c r="E1442" s="208" t="s">
        <v>29</v>
      </c>
      <c r="F1442" s="208" t="s">
        <v>2960</v>
      </c>
      <c r="G1442" s="208"/>
      <c r="H1442" s="208"/>
      <c r="I1442" s="208" t="s">
        <v>2961</v>
      </c>
      <c r="J1442" s="208" t="s">
        <v>2962</v>
      </c>
      <c r="K1442" s="208" t="s">
        <v>2963</v>
      </c>
      <c r="L1442" s="208"/>
      <c r="M1442" s="209"/>
      <c r="N1442" s="208"/>
      <c r="O1442" s="208" t="s">
        <v>40</v>
      </c>
      <c r="P1442" s="208" t="s">
        <v>34</v>
      </c>
    </row>
    <row r="1443" spans="1:16" s="187" customFormat="1" ht="18" customHeight="1">
      <c r="A1443" s="187" t="str">
        <f t="shared" si="22"/>
        <v>V20091B</v>
      </c>
      <c r="B1443" s="206" t="s">
        <v>2959</v>
      </c>
      <c r="C1443" s="206"/>
      <c r="D1443" s="206" t="s">
        <v>2964</v>
      </c>
      <c r="E1443" s="206" t="s">
        <v>29</v>
      </c>
      <c r="F1443" s="206" t="s">
        <v>2960</v>
      </c>
      <c r="G1443" s="206"/>
      <c r="H1443" s="206"/>
      <c r="I1443" s="206" t="s">
        <v>2961</v>
      </c>
      <c r="J1443" s="206" t="s">
        <v>2962</v>
      </c>
      <c r="K1443" s="206" t="s">
        <v>2963</v>
      </c>
      <c r="L1443" s="206"/>
      <c r="M1443" s="207"/>
      <c r="N1443" s="206"/>
      <c r="O1443" s="206" t="s">
        <v>40</v>
      </c>
      <c r="P1443" s="206" t="s">
        <v>34</v>
      </c>
    </row>
    <row r="1444" spans="1:16" s="187" customFormat="1" ht="18" customHeight="1">
      <c r="A1444" s="187" t="str">
        <f t="shared" si="22"/>
        <v>V20091C</v>
      </c>
      <c r="B1444" s="208" t="s">
        <v>2959</v>
      </c>
      <c r="C1444" s="208"/>
      <c r="D1444" s="208" t="s">
        <v>2965</v>
      </c>
      <c r="E1444" s="208" t="s">
        <v>29</v>
      </c>
      <c r="F1444" s="208" t="s">
        <v>2960</v>
      </c>
      <c r="G1444" s="208"/>
      <c r="H1444" s="208"/>
      <c r="I1444" s="208" t="s">
        <v>2961</v>
      </c>
      <c r="J1444" s="208" t="s">
        <v>2962</v>
      </c>
      <c r="K1444" s="208" t="s">
        <v>2963</v>
      </c>
      <c r="L1444" s="208"/>
      <c r="M1444" s="209"/>
      <c r="N1444" s="208"/>
      <c r="O1444" s="208" t="s">
        <v>40</v>
      </c>
      <c r="P1444" s="208" t="s">
        <v>34</v>
      </c>
    </row>
    <row r="1445" spans="1:16" s="187" customFormat="1" ht="18" customHeight="1">
      <c r="A1445" s="187" t="str">
        <f t="shared" si="22"/>
        <v>V10492C</v>
      </c>
      <c r="B1445" s="206" t="s">
        <v>6225</v>
      </c>
      <c r="C1445" s="206"/>
      <c r="D1445" s="206" t="s">
        <v>6226</v>
      </c>
      <c r="E1445" s="206" t="s">
        <v>29</v>
      </c>
      <c r="F1445" s="206" t="s">
        <v>6227</v>
      </c>
      <c r="G1445" s="206" t="s">
        <v>6228</v>
      </c>
      <c r="H1445" s="206"/>
      <c r="I1445" s="206"/>
      <c r="J1445" s="206" t="s">
        <v>6229</v>
      </c>
      <c r="K1445" s="206" t="s">
        <v>6230</v>
      </c>
      <c r="L1445" s="206"/>
      <c r="M1445" s="207"/>
      <c r="N1445" s="206"/>
      <c r="O1445" s="206" t="s">
        <v>260</v>
      </c>
      <c r="P1445" s="206" t="s">
        <v>91</v>
      </c>
    </row>
    <row r="1446" spans="1:16" s="187" customFormat="1" ht="18" customHeight="1">
      <c r="A1446" s="187" t="str">
        <f t="shared" si="22"/>
        <v>V10465C</v>
      </c>
      <c r="B1446" s="208" t="s">
        <v>5788</v>
      </c>
      <c r="C1446" s="208"/>
      <c r="D1446" s="208" t="s">
        <v>5789</v>
      </c>
      <c r="E1446" s="208" t="s">
        <v>151</v>
      </c>
      <c r="F1446" s="208" t="s">
        <v>5790</v>
      </c>
      <c r="G1446" s="208" t="s">
        <v>5791</v>
      </c>
      <c r="H1446" s="208"/>
      <c r="I1446" s="208"/>
      <c r="J1446" s="208" t="s">
        <v>5792</v>
      </c>
      <c r="K1446" s="208" t="s">
        <v>5793</v>
      </c>
      <c r="L1446" s="208"/>
      <c r="M1446" s="209"/>
      <c r="N1446" s="208"/>
      <c r="O1446" s="208"/>
      <c r="P1446" s="208" t="s">
        <v>91</v>
      </c>
    </row>
    <row r="1447" spans="1:16" s="187" customFormat="1" ht="18" customHeight="1">
      <c r="A1447" s="187" t="str">
        <f t="shared" si="22"/>
        <v>V4032C0</v>
      </c>
      <c r="B1447" s="206" t="s">
        <v>2967</v>
      </c>
      <c r="C1447" s="206"/>
      <c r="D1447" s="206" t="s">
        <v>2966</v>
      </c>
      <c r="E1447" s="206" t="s">
        <v>29</v>
      </c>
      <c r="F1447" s="206" t="s">
        <v>2968</v>
      </c>
      <c r="G1447" s="206"/>
      <c r="H1447" s="206"/>
      <c r="I1447" s="206" t="s">
        <v>2969</v>
      </c>
      <c r="J1447" s="206" t="s">
        <v>2970</v>
      </c>
      <c r="K1447" s="206" t="s">
        <v>2971</v>
      </c>
      <c r="L1447" s="206"/>
      <c r="M1447" s="207"/>
      <c r="N1447" s="206"/>
      <c r="O1447" s="206" t="s">
        <v>131</v>
      </c>
      <c r="P1447" s="206" t="s">
        <v>107</v>
      </c>
    </row>
    <row r="1448" spans="1:16" s="187" customFormat="1" ht="18" customHeight="1">
      <c r="A1448" s="187" t="str">
        <f t="shared" si="22"/>
        <v>V4085C0</v>
      </c>
      <c r="B1448" s="208" t="s">
        <v>2973</v>
      </c>
      <c r="C1448" s="208"/>
      <c r="D1448" s="208" t="s">
        <v>2972</v>
      </c>
      <c r="E1448" s="208" t="s">
        <v>29</v>
      </c>
      <c r="F1448" s="208" t="s">
        <v>2974</v>
      </c>
      <c r="G1448" s="208"/>
      <c r="H1448" s="208"/>
      <c r="I1448" s="208"/>
      <c r="J1448" s="208" t="s">
        <v>2975</v>
      </c>
      <c r="K1448" s="208" t="s">
        <v>2976</v>
      </c>
      <c r="L1448" s="208"/>
      <c r="M1448" s="209"/>
      <c r="N1448" s="208"/>
      <c r="O1448" s="208"/>
      <c r="P1448" s="208" t="s">
        <v>34</v>
      </c>
    </row>
    <row r="1449" spans="1:16" s="187" customFormat="1" ht="18" customHeight="1">
      <c r="A1449" s="187" t="str">
        <f t="shared" si="22"/>
        <v>002501</v>
      </c>
      <c r="B1449" s="206" t="s">
        <v>4482</v>
      </c>
      <c r="C1449" s="206"/>
      <c r="D1449" s="206" t="s">
        <v>4481</v>
      </c>
      <c r="E1449" s="206" t="s">
        <v>29</v>
      </c>
      <c r="F1449" s="206"/>
      <c r="G1449" s="206"/>
      <c r="H1449" s="206"/>
      <c r="I1449" s="206"/>
      <c r="J1449" s="206"/>
      <c r="K1449" s="206"/>
      <c r="L1449" s="206"/>
      <c r="M1449" s="207"/>
      <c r="N1449" s="206"/>
      <c r="O1449" s="206"/>
      <c r="P1449" s="206"/>
    </row>
    <row r="1450" spans="1:16" s="187" customFormat="1" ht="18" customHeight="1">
      <c r="A1450" s="187" t="str">
        <f t="shared" si="22"/>
        <v>002502</v>
      </c>
      <c r="B1450" s="208" t="s">
        <v>4482</v>
      </c>
      <c r="C1450" s="208"/>
      <c r="D1450" s="208" t="s">
        <v>4483</v>
      </c>
      <c r="E1450" s="208" t="s">
        <v>29</v>
      </c>
      <c r="F1450" s="208"/>
      <c r="G1450" s="208"/>
      <c r="H1450" s="208"/>
      <c r="I1450" s="208"/>
      <c r="J1450" s="208"/>
      <c r="K1450" s="208"/>
      <c r="L1450" s="208"/>
      <c r="M1450" s="209"/>
      <c r="N1450" s="208"/>
      <c r="O1450" s="208"/>
      <c r="P1450" s="208"/>
    </row>
    <row r="1451" spans="1:16" s="187" customFormat="1" ht="18" customHeight="1">
      <c r="A1451" s="187" t="str">
        <f t="shared" si="22"/>
        <v>002503</v>
      </c>
      <c r="B1451" s="206" t="s">
        <v>4482</v>
      </c>
      <c r="C1451" s="206"/>
      <c r="D1451" s="206" t="s">
        <v>4484</v>
      </c>
      <c r="E1451" s="206" t="s">
        <v>29</v>
      </c>
      <c r="F1451" s="206"/>
      <c r="G1451" s="206"/>
      <c r="H1451" s="206"/>
      <c r="I1451" s="206"/>
      <c r="J1451" s="206"/>
      <c r="K1451" s="206"/>
      <c r="L1451" s="206"/>
      <c r="M1451" s="207"/>
      <c r="N1451" s="206"/>
      <c r="O1451" s="206"/>
      <c r="P1451" s="206"/>
    </row>
    <row r="1452" spans="1:16" s="187" customFormat="1" ht="18" customHeight="1">
      <c r="A1452" s="187" t="str">
        <f t="shared" si="22"/>
        <v>002504</v>
      </c>
      <c r="B1452" s="208" t="s">
        <v>4482</v>
      </c>
      <c r="C1452" s="208"/>
      <c r="D1452" s="208" t="s">
        <v>4485</v>
      </c>
      <c r="E1452" s="208" t="s">
        <v>29</v>
      </c>
      <c r="F1452" s="208"/>
      <c r="G1452" s="208"/>
      <c r="H1452" s="208"/>
      <c r="I1452" s="208"/>
      <c r="J1452" s="208"/>
      <c r="K1452" s="208"/>
      <c r="L1452" s="208"/>
      <c r="M1452" s="209"/>
      <c r="N1452" s="208"/>
      <c r="O1452" s="208"/>
      <c r="P1452" s="208"/>
    </row>
    <row r="1453" spans="1:16" s="187" customFormat="1" ht="18" customHeight="1">
      <c r="A1453" s="187" t="str">
        <f t="shared" si="22"/>
        <v>002505</v>
      </c>
      <c r="B1453" s="206" t="s">
        <v>4482</v>
      </c>
      <c r="C1453" s="206"/>
      <c r="D1453" s="206" t="s">
        <v>4486</v>
      </c>
      <c r="E1453" s="206" t="s">
        <v>29</v>
      </c>
      <c r="F1453" s="206"/>
      <c r="G1453" s="206"/>
      <c r="H1453" s="206"/>
      <c r="I1453" s="206"/>
      <c r="J1453" s="206"/>
      <c r="K1453" s="206"/>
      <c r="L1453" s="206"/>
      <c r="M1453" s="207"/>
      <c r="N1453" s="206"/>
      <c r="O1453" s="206"/>
      <c r="P1453" s="206"/>
    </row>
    <row r="1454" spans="1:16" s="187" customFormat="1" ht="18" customHeight="1">
      <c r="A1454" s="187" t="str">
        <f t="shared" si="22"/>
        <v>002506</v>
      </c>
      <c r="B1454" s="208" t="s">
        <v>4482</v>
      </c>
      <c r="C1454" s="208"/>
      <c r="D1454" s="208" t="s">
        <v>4487</v>
      </c>
      <c r="E1454" s="208" t="s">
        <v>29</v>
      </c>
      <c r="F1454" s="208"/>
      <c r="G1454" s="208"/>
      <c r="H1454" s="208"/>
      <c r="I1454" s="208"/>
      <c r="J1454" s="208"/>
      <c r="K1454" s="208"/>
      <c r="L1454" s="208"/>
      <c r="M1454" s="209"/>
      <c r="N1454" s="208"/>
      <c r="O1454" s="208"/>
      <c r="P1454" s="208"/>
    </row>
    <row r="1455" spans="1:16" s="187" customFormat="1" ht="18" customHeight="1">
      <c r="A1455" s="187" t="str">
        <f t="shared" si="22"/>
        <v>002507</v>
      </c>
      <c r="B1455" s="206" t="s">
        <v>4482</v>
      </c>
      <c r="C1455" s="206"/>
      <c r="D1455" s="206" t="s">
        <v>4488</v>
      </c>
      <c r="E1455" s="206" t="s">
        <v>29</v>
      </c>
      <c r="F1455" s="206"/>
      <c r="G1455" s="206"/>
      <c r="H1455" s="206"/>
      <c r="I1455" s="206"/>
      <c r="J1455" s="206"/>
      <c r="K1455" s="206"/>
      <c r="L1455" s="206"/>
      <c r="M1455" s="207"/>
      <c r="N1455" s="206"/>
      <c r="O1455" s="206"/>
      <c r="P1455" s="206"/>
    </row>
    <row r="1456" spans="1:16" s="187" customFormat="1" ht="18" customHeight="1">
      <c r="A1456" s="187" t="str">
        <f t="shared" si="22"/>
        <v>002508</v>
      </c>
      <c r="B1456" s="208" t="s">
        <v>4482</v>
      </c>
      <c r="C1456" s="208"/>
      <c r="D1456" s="208" t="s">
        <v>4489</v>
      </c>
      <c r="E1456" s="208" t="s">
        <v>29</v>
      </c>
      <c r="F1456" s="208"/>
      <c r="G1456" s="208"/>
      <c r="H1456" s="208"/>
      <c r="I1456" s="208"/>
      <c r="J1456" s="208"/>
      <c r="K1456" s="208"/>
      <c r="L1456" s="208"/>
      <c r="M1456" s="209"/>
      <c r="N1456" s="208"/>
      <c r="O1456" s="208"/>
      <c r="P1456" s="208"/>
    </row>
    <row r="1457" spans="1:16" s="187" customFormat="1" ht="18" customHeight="1">
      <c r="A1457" s="187" t="str">
        <f t="shared" si="22"/>
        <v>002509</v>
      </c>
      <c r="B1457" s="206" t="s">
        <v>4482</v>
      </c>
      <c r="C1457" s="206"/>
      <c r="D1457" s="206" t="s">
        <v>4490</v>
      </c>
      <c r="E1457" s="206" t="s">
        <v>29</v>
      </c>
      <c r="F1457" s="206"/>
      <c r="G1457" s="206"/>
      <c r="H1457" s="206"/>
      <c r="I1457" s="206"/>
      <c r="J1457" s="206"/>
      <c r="K1457" s="206"/>
      <c r="L1457" s="206"/>
      <c r="M1457" s="207"/>
      <c r="N1457" s="206"/>
      <c r="O1457" s="206"/>
      <c r="P1457" s="206"/>
    </row>
    <row r="1458" spans="1:16" s="187" customFormat="1" ht="18" customHeight="1">
      <c r="A1458" s="187" t="str">
        <f t="shared" si="22"/>
        <v>002510</v>
      </c>
      <c r="B1458" s="208" t="s">
        <v>4482</v>
      </c>
      <c r="C1458" s="208"/>
      <c r="D1458" s="208" t="s">
        <v>4491</v>
      </c>
      <c r="E1458" s="208" t="s">
        <v>29</v>
      </c>
      <c r="F1458" s="208"/>
      <c r="G1458" s="208"/>
      <c r="H1458" s="208"/>
      <c r="I1458" s="208"/>
      <c r="J1458" s="208"/>
      <c r="K1458" s="208"/>
      <c r="L1458" s="208"/>
      <c r="M1458" s="209"/>
      <c r="N1458" s="208"/>
      <c r="O1458" s="208"/>
      <c r="P1458" s="208"/>
    </row>
    <row r="1459" spans="1:16" s="187" customFormat="1" ht="18" customHeight="1">
      <c r="A1459" s="187" t="str">
        <f t="shared" si="22"/>
        <v>002512</v>
      </c>
      <c r="B1459" s="206" t="s">
        <v>4482</v>
      </c>
      <c r="C1459" s="206"/>
      <c r="D1459" s="206" t="s">
        <v>4492</v>
      </c>
      <c r="E1459" s="206" t="s">
        <v>29</v>
      </c>
      <c r="F1459" s="206"/>
      <c r="G1459" s="206"/>
      <c r="H1459" s="206"/>
      <c r="I1459" s="206"/>
      <c r="J1459" s="206"/>
      <c r="K1459" s="206"/>
      <c r="L1459" s="206"/>
      <c r="M1459" s="207"/>
      <c r="N1459" s="206"/>
      <c r="O1459" s="206"/>
      <c r="P1459" s="206"/>
    </row>
    <row r="1460" spans="1:16" s="187" customFormat="1" ht="18" customHeight="1">
      <c r="A1460" s="187" t="str">
        <f t="shared" si="22"/>
        <v>002513</v>
      </c>
      <c r="B1460" s="208" t="s">
        <v>4482</v>
      </c>
      <c r="C1460" s="208"/>
      <c r="D1460" s="208" t="s">
        <v>4493</v>
      </c>
      <c r="E1460" s="208" t="s">
        <v>29</v>
      </c>
      <c r="F1460" s="208"/>
      <c r="G1460" s="208"/>
      <c r="H1460" s="208"/>
      <c r="I1460" s="208"/>
      <c r="J1460" s="208"/>
      <c r="K1460" s="208"/>
      <c r="L1460" s="208"/>
      <c r="M1460" s="209"/>
      <c r="N1460" s="208"/>
      <c r="O1460" s="208"/>
      <c r="P1460" s="208"/>
    </row>
    <row r="1461" spans="1:16" s="187" customFormat="1" ht="18" customHeight="1">
      <c r="A1461" s="187" t="str">
        <f t="shared" si="22"/>
        <v>002511</v>
      </c>
      <c r="B1461" s="206" t="s">
        <v>4495</v>
      </c>
      <c r="C1461" s="206"/>
      <c r="D1461" s="206" t="s">
        <v>4494</v>
      </c>
      <c r="E1461" s="206" t="s">
        <v>29</v>
      </c>
      <c r="F1461" s="206"/>
      <c r="G1461" s="206"/>
      <c r="H1461" s="206"/>
      <c r="I1461" s="206"/>
      <c r="J1461" s="206"/>
      <c r="K1461" s="206"/>
      <c r="L1461" s="206"/>
      <c r="M1461" s="207"/>
      <c r="N1461" s="206"/>
      <c r="O1461" s="206"/>
      <c r="P1461" s="206"/>
    </row>
    <row r="1462" spans="1:16" s="187" customFormat="1" ht="18" customHeight="1">
      <c r="A1462" s="187" t="str">
        <f t="shared" si="22"/>
        <v>CG440028C0</v>
      </c>
      <c r="B1462" s="208" t="s">
        <v>2978</v>
      </c>
      <c r="C1462" s="208"/>
      <c r="D1462" s="208" t="s">
        <v>2986</v>
      </c>
      <c r="E1462" s="208" t="s">
        <v>29</v>
      </c>
      <c r="F1462" s="208" t="s">
        <v>2979</v>
      </c>
      <c r="G1462" s="208"/>
      <c r="H1462" s="208"/>
      <c r="I1462" s="208"/>
      <c r="J1462" s="208"/>
      <c r="K1462" s="208"/>
      <c r="L1462" s="208"/>
      <c r="M1462" s="209"/>
      <c r="N1462" s="208"/>
      <c r="O1462" s="208"/>
      <c r="P1462" s="208" t="s">
        <v>100</v>
      </c>
    </row>
    <row r="1463" spans="1:16" s="187" customFormat="1" ht="18" customHeight="1">
      <c r="A1463" s="187" t="str">
        <f t="shared" si="22"/>
        <v>V10183A</v>
      </c>
      <c r="B1463" s="206" t="s">
        <v>2978</v>
      </c>
      <c r="C1463" s="206"/>
      <c r="D1463" s="206" t="s">
        <v>2977</v>
      </c>
      <c r="E1463" s="206" t="s">
        <v>29</v>
      </c>
      <c r="F1463" s="206" t="s">
        <v>2979</v>
      </c>
      <c r="G1463" s="206" t="s">
        <v>2980</v>
      </c>
      <c r="H1463" s="206"/>
      <c r="I1463" s="206" t="s">
        <v>2981</v>
      </c>
      <c r="J1463" s="206" t="s">
        <v>2982</v>
      </c>
      <c r="K1463" s="206" t="s">
        <v>2983</v>
      </c>
      <c r="L1463" s="206"/>
      <c r="M1463" s="207"/>
      <c r="N1463" s="206"/>
      <c r="O1463" s="206" t="s">
        <v>260</v>
      </c>
      <c r="P1463" s="206" t="s">
        <v>91</v>
      </c>
    </row>
    <row r="1464" spans="1:16" s="187" customFormat="1" ht="18" customHeight="1">
      <c r="A1464" s="187" t="str">
        <f t="shared" si="22"/>
        <v>V10183B</v>
      </c>
      <c r="B1464" s="208" t="s">
        <v>2978</v>
      </c>
      <c r="C1464" s="208"/>
      <c r="D1464" s="208" t="s">
        <v>2984</v>
      </c>
      <c r="E1464" s="208" t="s">
        <v>29</v>
      </c>
      <c r="F1464" s="208" t="s">
        <v>2979</v>
      </c>
      <c r="G1464" s="208" t="s">
        <v>2980</v>
      </c>
      <c r="H1464" s="208"/>
      <c r="I1464" s="208" t="s">
        <v>2981</v>
      </c>
      <c r="J1464" s="208" t="s">
        <v>2982</v>
      </c>
      <c r="K1464" s="208" t="s">
        <v>2983</v>
      </c>
      <c r="L1464" s="208"/>
      <c r="M1464" s="209"/>
      <c r="N1464" s="208"/>
      <c r="O1464" s="208" t="s">
        <v>260</v>
      </c>
      <c r="P1464" s="208" t="s">
        <v>91</v>
      </c>
    </row>
    <row r="1465" spans="1:16" s="187" customFormat="1" ht="18" customHeight="1">
      <c r="A1465" s="187" t="str">
        <f t="shared" si="22"/>
        <v>V10183C</v>
      </c>
      <c r="B1465" s="206" t="s">
        <v>2978</v>
      </c>
      <c r="C1465" s="206"/>
      <c r="D1465" s="206" t="s">
        <v>2985</v>
      </c>
      <c r="E1465" s="206" t="s">
        <v>29</v>
      </c>
      <c r="F1465" s="206" t="s">
        <v>2979</v>
      </c>
      <c r="G1465" s="206" t="s">
        <v>2980</v>
      </c>
      <c r="H1465" s="206"/>
      <c r="I1465" s="206" t="s">
        <v>2981</v>
      </c>
      <c r="J1465" s="206" t="s">
        <v>2982</v>
      </c>
      <c r="K1465" s="206" t="s">
        <v>2983</v>
      </c>
      <c r="L1465" s="206"/>
      <c r="M1465" s="207"/>
      <c r="N1465" s="206"/>
      <c r="O1465" s="206" t="s">
        <v>260</v>
      </c>
      <c r="P1465" s="206" t="s">
        <v>91</v>
      </c>
    </row>
    <row r="1466" spans="1:16" s="187" customFormat="1" ht="18" customHeight="1">
      <c r="A1466" s="187" t="str">
        <f t="shared" si="22"/>
        <v>V20115C</v>
      </c>
      <c r="B1466" s="208" t="s">
        <v>2988</v>
      </c>
      <c r="C1466" s="208"/>
      <c r="D1466" s="208" t="s">
        <v>2987</v>
      </c>
      <c r="E1466" s="208" t="s">
        <v>29</v>
      </c>
      <c r="F1466" s="208" t="s">
        <v>4496</v>
      </c>
      <c r="G1466" s="208"/>
      <c r="H1466" s="208"/>
      <c r="I1466" s="208"/>
      <c r="J1466" s="208" t="s">
        <v>3451</v>
      </c>
      <c r="K1466" s="208" t="s">
        <v>4992</v>
      </c>
      <c r="L1466" s="208"/>
      <c r="M1466" s="209"/>
      <c r="N1466" s="208"/>
      <c r="O1466" s="208"/>
      <c r="P1466" s="208" t="s">
        <v>34</v>
      </c>
    </row>
    <row r="1467" spans="1:16" s="187" customFormat="1" ht="18" customHeight="1">
      <c r="A1467" s="187" t="str">
        <f t="shared" si="22"/>
        <v>V20130C</v>
      </c>
      <c r="B1467" s="206" t="s">
        <v>4993</v>
      </c>
      <c r="C1467" s="206"/>
      <c r="D1467" s="206" t="s">
        <v>4994</v>
      </c>
      <c r="E1467" s="206" t="s">
        <v>29</v>
      </c>
      <c r="F1467" s="206" t="s">
        <v>4995</v>
      </c>
      <c r="G1467" s="206"/>
      <c r="H1467" s="206"/>
      <c r="I1467" s="206"/>
      <c r="J1467" s="206" t="s">
        <v>4996</v>
      </c>
      <c r="K1467" s="206" t="s">
        <v>4997</v>
      </c>
      <c r="L1467" s="206"/>
      <c r="M1467" s="207"/>
      <c r="N1467" s="206"/>
      <c r="O1467" s="206"/>
      <c r="P1467" s="206" t="s">
        <v>34</v>
      </c>
    </row>
    <row r="1468" spans="1:16" s="187" customFormat="1" ht="18" customHeight="1">
      <c r="A1468" s="187" t="str">
        <f t="shared" si="22"/>
        <v>V3100C2</v>
      </c>
      <c r="B1468" s="208" t="s">
        <v>2990</v>
      </c>
      <c r="C1468" s="208"/>
      <c r="D1468" s="208" t="s">
        <v>2989</v>
      </c>
      <c r="E1468" s="208" t="s">
        <v>151</v>
      </c>
      <c r="F1468" s="208"/>
      <c r="G1468" s="208"/>
      <c r="H1468" s="208"/>
      <c r="I1468" s="208"/>
      <c r="J1468" s="208" t="s">
        <v>2991</v>
      </c>
      <c r="K1468" s="208" t="s">
        <v>2992</v>
      </c>
      <c r="L1468" s="208"/>
      <c r="M1468" s="209"/>
      <c r="N1468" s="208"/>
      <c r="O1468" s="208"/>
      <c r="P1468" s="208" t="s">
        <v>269</v>
      </c>
    </row>
    <row r="1469" spans="1:16" s="187" customFormat="1" ht="18" customHeight="1">
      <c r="A1469" s="187" t="str">
        <f t="shared" si="22"/>
        <v>CG450016C0</v>
      </c>
      <c r="B1469" s="206" t="s">
        <v>2994</v>
      </c>
      <c r="C1469" s="206"/>
      <c r="D1469" s="206" t="s">
        <v>5553</v>
      </c>
      <c r="E1469" s="206" t="s">
        <v>29</v>
      </c>
      <c r="F1469" s="206" t="s">
        <v>2995</v>
      </c>
      <c r="G1469" s="206"/>
      <c r="H1469" s="206"/>
      <c r="I1469" s="206"/>
      <c r="J1469" s="206"/>
      <c r="K1469" s="206"/>
      <c r="L1469" s="206"/>
      <c r="M1469" s="207"/>
      <c r="N1469" s="206"/>
      <c r="O1469" s="206"/>
      <c r="P1469" s="206" t="s">
        <v>107</v>
      </c>
    </row>
    <row r="1470" spans="1:16" s="187" customFormat="1" ht="18" customHeight="1">
      <c r="A1470" s="187" t="str">
        <f t="shared" si="22"/>
        <v>V20106A</v>
      </c>
      <c r="B1470" s="208" t="s">
        <v>2994</v>
      </c>
      <c r="C1470" s="208"/>
      <c r="D1470" s="208" t="s">
        <v>2993</v>
      </c>
      <c r="E1470" s="208" t="s">
        <v>29</v>
      </c>
      <c r="F1470" s="208" t="s">
        <v>2995</v>
      </c>
      <c r="G1470" s="208"/>
      <c r="H1470" s="208"/>
      <c r="I1470" s="208"/>
      <c r="J1470" s="208" t="s">
        <v>2996</v>
      </c>
      <c r="K1470" s="208" t="s">
        <v>2997</v>
      </c>
      <c r="L1470" s="208"/>
      <c r="M1470" s="209"/>
      <c r="N1470" s="208"/>
      <c r="O1470" s="208"/>
      <c r="P1470" s="208" t="s">
        <v>34</v>
      </c>
    </row>
    <row r="1471" spans="1:16" s="187" customFormat="1" ht="18" customHeight="1">
      <c r="A1471" s="187" t="str">
        <f t="shared" si="22"/>
        <v>002801</v>
      </c>
      <c r="B1471" s="206" t="s">
        <v>4498</v>
      </c>
      <c r="C1471" s="206"/>
      <c r="D1471" s="206" t="s">
        <v>4497</v>
      </c>
      <c r="E1471" s="206" t="s">
        <v>29</v>
      </c>
      <c r="F1471" s="206"/>
      <c r="G1471" s="206"/>
      <c r="H1471" s="206"/>
      <c r="I1471" s="206"/>
      <c r="J1471" s="206"/>
      <c r="K1471" s="206"/>
      <c r="L1471" s="206"/>
      <c r="M1471" s="207"/>
      <c r="N1471" s="206"/>
      <c r="O1471" s="206"/>
      <c r="P1471" s="206"/>
    </row>
    <row r="1472" spans="1:16" s="187" customFormat="1" ht="18" customHeight="1">
      <c r="A1472" s="187" t="str">
        <f t="shared" si="22"/>
        <v>002802</v>
      </c>
      <c r="B1472" s="208" t="s">
        <v>4498</v>
      </c>
      <c r="C1472" s="208"/>
      <c r="D1472" s="208" t="s">
        <v>4499</v>
      </c>
      <c r="E1472" s="208" t="s">
        <v>29</v>
      </c>
      <c r="F1472" s="208"/>
      <c r="G1472" s="208"/>
      <c r="H1472" s="208"/>
      <c r="I1472" s="208"/>
      <c r="J1472" s="208"/>
      <c r="K1472" s="208"/>
      <c r="L1472" s="208"/>
      <c r="M1472" s="209"/>
      <c r="N1472" s="208"/>
      <c r="O1472" s="208"/>
      <c r="P1472" s="208"/>
    </row>
    <row r="1473" spans="1:16" s="187" customFormat="1" ht="18" customHeight="1">
      <c r="A1473" s="187" t="str">
        <f t="shared" si="22"/>
        <v>002803</v>
      </c>
      <c r="B1473" s="206" t="s">
        <v>4498</v>
      </c>
      <c r="C1473" s="206"/>
      <c r="D1473" s="206" t="s">
        <v>4500</v>
      </c>
      <c r="E1473" s="206" t="s">
        <v>29</v>
      </c>
      <c r="F1473" s="206"/>
      <c r="G1473" s="206"/>
      <c r="H1473" s="206"/>
      <c r="I1473" s="206"/>
      <c r="J1473" s="206"/>
      <c r="K1473" s="206"/>
      <c r="L1473" s="206"/>
      <c r="M1473" s="207"/>
      <c r="N1473" s="206"/>
      <c r="O1473" s="206"/>
      <c r="P1473" s="206"/>
    </row>
    <row r="1474" spans="1:16" s="187" customFormat="1" ht="18" customHeight="1">
      <c r="A1474" s="187" t="str">
        <f t="shared" si="22"/>
        <v>002804</v>
      </c>
      <c r="B1474" s="208" t="s">
        <v>4498</v>
      </c>
      <c r="C1474" s="208"/>
      <c r="D1474" s="208" t="s">
        <v>4501</v>
      </c>
      <c r="E1474" s="208" t="s">
        <v>29</v>
      </c>
      <c r="F1474" s="208"/>
      <c r="G1474" s="208"/>
      <c r="H1474" s="208"/>
      <c r="I1474" s="208"/>
      <c r="J1474" s="208"/>
      <c r="K1474" s="208"/>
      <c r="L1474" s="208"/>
      <c r="M1474" s="209"/>
      <c r="N1474" s="208"/>
      <c r="O1474" s="208"/>
      <c r="P1474" s="208"/>
    </row>
    <row r="1475" spans="1:16" s="187" customFormat="1" ht="18" customHeight="1">
      <c r="A1475" s="187" t="str">
        <f t="shared" si="22"/>
        <v>002805</v>
      </c>
      <c r="B1475" s="206" t="s">
        <v>4498</v>
      </c>
      <c r="C1475" s="206"/>
      <c r="D1475" s="206" t="s">
        <v>4502</v>
      </c>
      <c r="E1475" s="206" t="s">
        <v>29</v>
      </c>
      <c r="F1475" s="206"/>
      <c r="G1475" s="206"/>
      <c r="H1475" s="206"/>
      <c r="I1475" s="206"/>
      <c r="J1475" s="206"/>
      <c r="K1475" s="206"/>
      <c r="L1475" s="206"/>
      <c r="M1475" s="207"/>
      <c r="N1475" s="206"/>
      <c r="O1475" s="206"/>
      <c r="P1475" s="206"/>
    </row>
    <row r="1476" spans="1:16" s="187" customFormat="1" ht="18" customHeight="1">
      <c r="A1476" s="187" t="str">
        <f t="shared" si="22"/>
        <v>002701</v>
      </c>
      <c r="B1476" s="208" t="s">
        <v>4504</v>
      </c>
      <c r="C1476" s="208"/>
      <c r="D1476" s="208" t="s">
        <v>4503</v>
      </c>
      <c r="E1476" s="208" t="s">
        <v>29</v>
      </c>
      <c r="F1476" s="208"/>
      <c r="G1476" s="208"/>
      <c r="H1476" s="208"/>
      <c r="I1476" s="208"/>
      <c r="J1476" s="208"/>
      <c r="K1476" s="208"/>
      <c r="L1476" s="208"/>
      <c r="M1476" s="209"/>
      <c r="N1476" s="208"/>
      <c r="O1476" s="208"/>
      <c r="P1476" s="208"/>
    </row>
    <row r="1477" spans="1:16" s="187" customFormat="1" ht="18" customHeight="1">
      <c r="A1477" s="187" t="str">
        <f t="shared" si="22"/>
        <v>002702</v>
      </c>
      <c r="B1477" s="206" t="s">
        <v>4504</v>
      </c>
      <c r="C1477" s="206"/>
      <c r="D1477" s="206" t="s">
        <v>4505</v>
      </c>
      <c r="E1477" s="206" t="s">
        <v>29</v>
      </c>
      <c r="F1477" s="206"/>
      <c r="G1477" s="206"/>
      <c r="H1477" s="206"/>
      <c r="I1477" s="206"/>
      <c r="J1477" s="206"/>
      <c r="K1477" s="206"/>
      <c r="L1477" s="206"/>
      <c r="M1477" s="207"/>
      <c r="N1477" s="206"/>
      <c r="O1477" s="206"/>
      <c r="P1477" s="206"/>
    </row>
    <row r="1478" spans="1:16" s="187" customFormat="1" ht="18" customHeight="1">
      <c r="A1478" s="187" t="str">
        <f t="shared" ref="A1478:A1541" si="23">D1478</f>
        <v>002703</v>
      </c>
      <c r="B1478" s="208" t="s">
        <v>4504</v>
      </c>
      <c r="C1478" s="208"/>
      <c r="D1478" s="208" t="s">
        <v>4506</v>
      </c>
      <c r="E1478" s="208" t="s">
        <v>29</v>
      </c>
      <c r="F1478" s="208"/>
      <c r="G1478" s="208"/>
      <c r="H1478" s="208"/>
      <c r="I1478" s="208"/>
      <c r="J1478" s="208"/>
      <c r="K1478" s="208"/>
      <c r="L1478" s="208"/>
      <c r="M1478" s="209"/>
      <c r="N1478" s="208"/>
      <c r="O1478" s="208"/>
      <c r="P1478" s="208"/>
    </row>
    <row r="1479" spans="1:16" s="187" customFormat="1" ht="18" customHeight="1">
      <c r="A1479" s="187" t="str">
        <f t="shared" si="23"/>
        <v>002602</v>
      </c>
      <c r="B1479" s="206" t="s">
        <v>4508</v>
      </c>
      <c r="C1479" s="206"/>
      <c r="D1479" s="206" t="s">
        <v>4507</v>
      </c>
      <c r="E1479" s="206" t="s">
        <v>29</v>
      </c>
      <c r="F1479" s="206"/>
      <c r="G1479" s="206"/>
      <c r="H1479" s="206"/>
      <c r="I1479" s="206"/>
      <c r="J1479" s="206"/>
      <c r="K1479" s="206"/>
      <c r="L1479" s="206"/>
      <c r="M1479" s="207"/>
      <c r="N1479" s="206"/>
      <c r="O1479" s="206"/>
      <c r="P1479" s="206"/>
    </row>
    <row r="1480" spans="1:16" s="187" customFormat="1" ht="18" customHeight="1">
      <c r="A1480" s="187" t="str">
        <f t="shared" si="23"/>
        <v>002601</v>
      </c>
      <c r="B1480" s="208" t="s">
        <v>4510</v>
      </c>
      <c r="C1480" s="208"/>
      <c r="D1480" s="208" t="s">
        <v>4509</v>
      </c>
      <c r="E1480" s="208" t="s">
        <v>29</v>
      </c>
      <c r="F1480" s="208"/>
      <c r="G1480" s="208"/>
      <c r="H1480" s="208"/>
      <c r="I1480" s="208"/>
      <c r="J1480" s="208"/>
      <c r="K1480" s="208"/>
      <c r="L1480" s="208"/>
      <c r="M1480" s="209"/>
      <c r="N1480" s="208"/>
      <c r="O1480" s="208"/>
      <c r="P1480" s="208"/>
    </row>
    <row r="1481" spans="1:16" s="187" customFormat="1" ht="18" customHeight="1">
      <c r="A1481" s="187" t="str">
        <f t="shared" si="23"/>
        <v>V20066A</v>
      </c>
      <c r="B1481" s="206" t="s">
        <v>2999</v>
      </c>
      <c r="C1481" s="206"/>
      <c r="D1481" s="206" t="s">
        <v>2998</v>
      </c>
      <c r="E1481" s="206" t="s">
        <v>29</v>
      </c>
      <c r="F1481" s="206" t="s">
        <v>3000</v>
      </c>
      <c r="G1481" s="206"/>
      <c r="H1481" s="206"/>
      <c r="I1481" s="206" t="s">
        <v>3001</v>
      </c>
      <c r="J1481" s="206" t="s">
        <v>3002</v>
      </c>
      <c r="K1481" s="206" t="s">
        <v>3003</v>
      </c>
      <c r="L1481" s="206"/>
      <c r="M1481" s="207"/>
      <c r="N1481" s="206"/>
      <c r="O1481" s="206" t="s">
        <v>40</v>
      </c>
      <c r="P1481" s="206" t="s">
        <v>34</v>
      </c>
    </row>
    <row r="1482" spans="1:16" s="187" customFormat="1" ht="18" customHeight="1">
      <c r="A1482" s="187" t="str">
        <f t="shared" si="23"/>
        <v>V20066B</v>
      </c>
      <c r="B1482" s="208" t="s">
        <v>2999</v>
      </c>
      <c r="C1482" s="208"/>
      <c r="D1482" s="208" t="s">
        <v>3004</v>
      </c>
      <c r="E1482" s="208" t="s">
        <v>29</v>
      </c>
      <c r="F1482" s="208" t="s">
        <v>3000</v>
      </c>
      <c r="G1482" s="208"/>
      <c r="H1482" s="208"/>
      <c r="I1482" s="208" t="s">
        <v>3001</v>
      </c>
      <c r="J1482" s="208" t="s">
        <v>3002</v>
      </c>
      <c r="K1482" s="208" t="s">
        <v>3003</v>
      </c>
      <c r="L1482" s="208"/>
      <c r="M1482" s="209"/>
      <c r="N1482" s="208"/>
      <c r="O1482" s="208" t="s">
        <v>40</v>
      </c>
      <c r="P1482" s="208" t="s">
        <v>34</v>
      </c>
    </row>
    <row r="1483" spans="1:16" s="187" customFormat="1" ht="18" customHeight="1">
      <c r="A1483" s="187" t="str">
        <f t="shared" si="23"/>
        <v>V20066C</v>
      </c>
      <c r="B1483" s="206" t="s">
        <v>2999</v>
      </c>
      <c r="C1483" s="206"/>
      <c r="D1483" s="206" t="s">
        <v>3005</v>
      </c>
      <c r="E1483" s="206" t="s">
        <v>29</v>
      </c>
      <c r="F1483" s="206" t="s">
        <v>3000</v>
      </c>
      <c r="G1483" s="206"/>
      <c r="H1483" s="206"/>
      <c r="I1483" s="206" t="s">
        <v>3001</v>
      </c>
      <c r="J1483" s="206" t="s">
        <v>3002</v>
      </c>
      <c r="K1483" s="206" t="s">
        <v>3003</v>
      </c>
      <c r="L1483" s="206"/>
      <c r="M1483" s="207"/>
      <c r="N1483" s="206"/>
      <c r="O1483" s="206" t="s">
        <v>40</v>
      </c>
      <c r="P1483" s="206" t="s">
        <v>34</v>
      </c>
    </row>
    <row r="1484" spans="1:16" s="187" customFormat="1" ht="18" customHeight="1">
      <c r="A1484" s="187" t="str">
        <f t="shared" si="23"/>
        <v>V20033A</v>
      </c>
      <c r="B1484" s="208" t="s">
        <v>3007</v>
      </c>
      <c r="C1484" s="208"/>
      <c r="D1484" s="208" t="s">
        <v>3006</v>
      </c>
      <c r="E1484" s="208" t="s">
        <v>29</v>
      </c>
      <c r="F1484" s="208" t="s">
        <v>3008</v>
      </c>
      <c r="G1484" s="208"/>
      <c r="H1484" s="208"/>
      <c r="I1484" s="208"/>
      <c r="J1484" s="208" t="s">
        <v>5052</v>
      </c>
      <c r="K1484" s="208" t="s">
        <v>3010</v>
      </c>
      <c r="L1484" s="208"/>
      <c r="M1484" s="209"/>
      <c r="N1484" s="208"/>
      <c r="O1484" s="208" t="s">
        <v>40</v>
      </c>
      <c r="P1484" s="208" t="s">
        <v>34</v>
      </c>
    </row>
    <row r="1485" spans="1:16" s="187" customFormat="1" ht="18" customHeight="1">
      <c r="A1485" s="187" t="str">
        <f t="shared" si="23"/>
        <v>V20033B</v>
      </c>
      <c r="B1485" s="206" t="s">
        <v>3007</v>
      </c>
      <c r="C1485" s="206"/>
      <c r="D1485" s="206" t="s">
        <v>3009</v>
      </c>
      <c r="E1485" s="206" t="s">
        <v>29</v>
      </c>
      <c r="F1485" s="206" t="s">
        <v>3008</v>
      </c>
      <c r="G1485" s="206"/>
      <c r="H1485" s="206"/>
      <c r="I1485" s="206"/>
      <c r="J1485" s="206" t="s">
        <v>5052</v>
      </c>
      <c r="K1485" s="206" t="s">
        <v>3010</v>
      </c>
      <c r="L1485" s="206"/>
      <c r="M1485" s="207"/>
      <c r="N1485" s="206"/>
      <c r="O1485" s="206" t="s">
        <v>40</v>
      </c>
      <c r="P1485" s="206" t="s">
        <v>34</v>
      </c>
    </row>
    <row r="1486" spans="1:16" s="187" customFormat="1" ht="18" customHeight="1">
      <c r="A1486" s="187" t="str">
        <f t="shared" si="23"/>
        <v>V20033C</v>
      </c>
      <c r="B1486" s="208" t="s">
        <v>3007</v>
      </c>
      <c r="C1486" s="208"/>
      <c r="D1486" s="208" t="s">
        <v>3011</v>
      </c>
      <c r="E1486" s="208" t="s">
        <v>29</v>
      </c>
      <c r="F1486" s="208" t="s">
        <v>3008</v>
      </c>
      <c r="G1486" s="208"/>
      <c r="H1486" s="208"/>
      <c r="I1486" s="208"/>
      <c r="J1486" s="208" t="s">
        <v>5052</v>
      </c>
      <c r="K1486" s="208" t="s">
        <v>3010</v>
      </c>
      <c r="L1486" s="208"/>
      <c r="M1486" s="209"/>
      <c r="N1486" s="208"/>
      <c r="O1486" s="208" t="s">
        <v>40</v>
      </c>
      <c r="P1486" s="208" t="s">
        <v>34</v>
      </c>
    </row>
    <row r="1487" spans="1:16" s="187" customFormat="1" ht="18" customHeight="1">
      <c r="A1487" s="187" t="str">
        <f t="shared" si="23"/>
        <v>V20081A</v>
      </c>
      <c r="B1487" s="206" t="s">
        <v>3013</v>
      </c>
      <c r="C1487" s="206"/>
      <c r="D1487" s="206" t="s">
        <v>3012</v>
      </c>
      <c r="E1487" s="206" t="s">
        <v>29</v>
      </c>
      <c r="F1487" s="206" t="s">
        <v>3014</v>
      </c>
      <c r="G1487" s="206"/>
      <c r="H1487" s="206"/>
      <c r="I1487" s="206" t="s">
        <v>3015</v>
      </c>
      <c r="J1487" s="206" t="s">
        <v>3016</v>
      </c>
      <c r="K1487" s="206" t="s">
        <v>3017</v>
      </c>
      <c r="L1487" s="206"/>
      <c r="M1487" s="207"/>
      <c r="N1487" s="206"/>
      <c r="O1487" s="206" t="s">
        <v>40</v>
      </c>
      <c r="P1487" s="206" t="s">
        <v>34</v>
      </c>
    </row>
    <row r="1488" spans="1:16" s="187" customFormat="1" ht="18" customHeight="1">
      <c r="A1488" s="187" t="str">
        <f t="shared" si="23"/>
        <v>V20081B</v>
      </c>
      <c r="B1488" s="208" t="s">
        <v>3013</v>
      </c>
      <c r="C1488" s="208"/>
      <c r="D1488" s="208" t="s">
        <v>3018</v>
      </c>
      <c r="E1488" s="208" t="s">
        <v>29</v>
      </c>
      <c r="F1488" s="208" t="s">
        <v>3014</v>
      </c>
      <c r="G1488" s="208"/>
      <c r="H1488" s="208"/>
      <c r="I1488" s="208" t="s">
        <v>3015</v>
      </c>
      <c r="J1488" s="208" t="s">
        <v>3016</v>
      </c>
      <c r="K1488" s="208" t="s">
        <v>3017</v>
      </c>
      <c r="L1488" s="208"/>
      <c r="M1488" s="209"/>
      <c r="N1488" s="208"/>
      <c r="O1488" s="208" t="s">
        <v>40</v>
      </c>
      <c r="P1488" s="208" t="s">
        <v>34</v>
      </c>
    </row>
    <row r="1489" spans="1:16" s="187" customFormat="1" ht="18" customHeight="1">
      <c r="A1489" s="187" t="str">
        <f t="shared" si="23"/>
        <v>V20081C</v>
      </c>
      <c r="B1489" s="206" t="s">
        <v>3013</v>
      </c>
      <c r="C1489" s="206"/>
      <c r="D1489" s="206" t="s">
        <v>3019</v>
      </c>
      <c r="E1489" s="206" t="s">
        <v>29</v>
      </c>
      <c r="F1489" s="206" t="s">
        <v>3014</v>
      </c>
      <c r="G1489" s="206"/>
      <c r="H1489" s="206"/>
      <c r="I1489" s="206" t="s">
        <v>3015</v>
      </c>
      <c r="J1489" s="206" t="s">
        <v>3016</v>
      </c>
      <c r="K1489" s="206" t="s">
        <v>3017</v>
      </c>
      <c r="L1489" s="206"/>
      <c r="M1489" s="207"/>
      <c r="N1489" s="206"/>
      <c r="O1489" s="206" t="s">
        <v>40</v>
      </c>
      <c r="P1489" s="206" t="s">
        <v>34</v>
      </c>
    </row>
    <row r="1490" spans="1:16" s="187" customFormat="1" ht="18" customHeight="1">
      <c r="A1490" s="187" t="str">
        <f t="shared" si="23"/>
        <v>V20077A</v>
      </c>
      <c r="B1490" s="208" t="s">
        <v>3021</v>
      </c>
      <c r="C1490" s="208"/>
      <c r="D1490" s="208" t="s">
        <v>3020</v>
      </c>
      <c r="E1490" s="208" t="s">
        <v>29</v>
      </c>
      <c r="F1490" s="208" t="s">
        <v>3022</v>
      </c>
      <c r="G1490" s="208"/>
      <c r="H1490" s="208"/>
      <c r="I1490" s="208" t="s">
        <v>3023</v>
      </c>
      <c r="J1490" s="208" t="s">
        <v>5260</v>
      </c>
      <c r="K1490" s="208" t="s">
        <v>3024</v>
      </c>
      <c r="L1490" s="208"/>
      <c r="M1490" s="209"/>
      <c r="N1490" s="208"/>
      <c r="O1490" s="208" t="s">
        <v>40</v>
      </c>
      <c r="P1490" s="208" t="s">
        <v>34</v>
      </c>
    </row>
    <row r="1491" spans="1:16" s="187" customFormat="1" ht="18" customHeight="1">
      <c r="A1491" s="187" t="str">
        <f t="shared" si="23"/>
        <v>V20077B</v>
      </c>
      <c r="B1491" s="206" t="s">
        <v>3021</v>
      </c>
      <c r="C1491" s="206"/>
      <c r="D1491" s="206" t="s">
        <v>3025</v>
      </c>
      <c r="E1491" s="206" t="s">
        <v>29</v>
      </c>
      <c r="F1491" s="206" t="s">
        <v>3022</v>
      </c>
      <c r="G1491" s="206"/>
      <c r="H1491" s="206"/>
      <c r="I1491" s="206" t="s">
        <v>3023</v>
      </c>
      <c r="J1491" s="206" t="s">
        <v>5260</v>
      </c>
      <c r="K1491" s="206" t="s">
        <v>3024</v>
      </c>
      <c r="L1491" s="206"/>
      <c r="M1491" s="207"/>
      <c r="N1491" s="206"/>
      <c r="O1491" s="206" t="s">
        <v>40</v>
      </c>
      <c r="P1491" s="206" t="s">
        <v>34</v>
      </c>
    </row>
    <row r="1492" spans="1:16" s="187" customFormat="1" ht="18" customHeight="1">
      <c r="A1492" s="187" t="str">
        <f t="shared" si="23"/>
        <v>V20077C</v>
      </c>
      <c r="B1492" s="208" t="s">
        <v>3021</v>
      </c>
      <c r="C1492" s="208"/>
      <c r="D1492" s="208" t="s">
        <v>3026</v>
      </c>
      <c r="E1492" s="208" t="s">
        <v>29</v>
      </c>
      <c r="F1492" s="208" t="s">
        <v>3022</v>
      </c>
      <c r="G1492" s="208"/>
      <c r="H1492" s="208"/>
      <c r="I1492" s="208" t="s">
        <v>3023</v>
      </c>
      <c r="J1492" s="208" t="s">
        <v>5260</v>
      </c>
      <c r="K1492" s="208" t="s">
        <v>3024</v>
      </c>
      <c r="L1492" s="208"/>
      <c r="M1492" s="209"/>
      <c r="N1492" s="208"/>
      <c r="O1492" s="208" t="s">
        <v>40</v>
      </c>
      <c r="P1492" s="208" t="s">
        <v>34</v>
      </c>
    </row>
    <row r="1493" spans="1:16" s="187" customFormat="1" ht="18" customHeight="1">
      <c r="A1493" s="187" t="str">
        <f t="shared" si="23"/>
        <v>V20100A</v>
      </c>
      <c r="B1493" s="206" t="s">
        <v>3028</v>
      </c>
      <c r="C1493" s="206"/>
      <c r="D1493" s="206" t="s">
        <v>3027</v>
      </c>
      <c r="E1493" s="206" t="s">
        <v>29</v>
      </c>
      <c r="F1493" s="206" t="s">
        <v>3029</v>
      </c>
      <c r="G1493" s="206"/>
      <c r="H1493" s="206"/>
      <c r="I1493" s="206"/>
      <c r="J1493" s="206" t="s">
        <v>3030</v>
      </c>
      <c r="K1493" s="206" t="s">
        <v>3024</v>
      </c>
      <c r="L1493" s="206"/>
      <c r="M1493" s="207"/>
      <c r="N1493" s="206"/>
      <c r="O1493" s="206" t="s">
        <v>40</v>
      </c>
      <c r="P1493" s="206" t="s">
        <v>34</v>
      </c>
    </row>
    <row r="1494" spans="1:16" s="187" customFormat="1" ht="18" customHeight="1">
      <c r="A1494" s="187" t="str">
        <f t="shared" si="23"/>
        <v>V20100B</v>
      </c>
      <c r="B1494" s="208" t="s">
        <v>3028</v>
      </c>
      <c r="C1494" s="208"/>
      <c r="D1494" s="208" t="s">
        <v>3031</v>
      </c>
      <c r="E1494" s="208" t="s">
        <v>29</v>
      </c>
      <c r="F1494" s="208" t="s">
        <v>3029</v>
      </c>
      <c r="G1494" s="208"/>
      <c r="H1494" s="208"/>
      <c r="I1494" s="208"/>
      <c r="J1494" s="208" t="s">
        <v>3030</v>
      </c>
      <c r="K1494" s="208" t="s">
        <v>3024</v>
      </c>
      <c r="L1494" s="208"/>
      <c r="M1494" s="209"/>
      <c r="N1494" s="208"/>
      <c r="O1494" s="208" t="s">
        <v>40</v>
      </c>
      <c r="P1494" s="208" t="s">
        <v>34</v>
      </c>
    </row>
    <row r="1495" spans="1:16" s="187" customFormat="1" ht="18" customHeight="1">
      <c r="A1495" s="187" t="str">
        <f t="shared" si="23"/>
        <v>V20100C</v>
      </c>
      <c r="B1495" s="206" t="s">
        <v>3028</v>
      </c>
      <c r="C1495" s="206"/>
      <c r="D1495" s="206" t="s">
        <v>3032</v>
      </c>
      <c r="E1495" s="206" t="s">
        <v>29</v>
      </c>
      <c r="F1495" s="206" t="s">
        <v>3029</v>
      </c>
      <c r="G1495" s="206"/>
      <c r="H1495" s="206"/>
      <c r="I1495" s="206"/>
      <c r="J1495" s="206" t="s">
        <v>3030</v>
      </c>
      <c r="K1495" s="206" t="s">
        <v>3024</v>
      </c>
      <c r="L1495" s="206"/>
      <c r="M1495" s="207"/>
      <c r="N1495" s="206"/>
      <c r="O1495" s="206" t="s">
        <v>40</v>
      </c>
      <c r="P1495" s="206" t="s">
        <v>34</v>
      </c>
    </row>
    <row r="1496" spans="1:16" s="187" customFormat="1" ht="18" customHeight="1">
      <c r="A1496" s="187" t="str">
        <f t="shared" si="23"/>
        <v>CG40002030</v>
      </c>
      <c r="B1496" s="208" t="s">
        <v>3028</v>
      </c>
      <c r="C1496" s="208"/>
      <c r="D1496" s="208" t="s">
        <v>5598</v>
      </c>
      <c r="E1496" s="208" t="s">
        <v>29</v>
      </c>
      <c r="F1496" s="208" t="s">
        <v>5599</v>
      </c>
      <c r="G1496" s="208"/>
      <c r="H1496" s="208"/>
      <c r="I1496" s="208"/>
      <c r="J1496" s="208"/>
      <c r="K1496" s="208"/>
      <c r="L1496" s="208"/>
      <c r="M1496" s="209"/>
      <c r="N1496" s="208"/>
      <c r="O1496" s="208"/>
      <c r="P1496" s="208" t="s">
        <v>100</v>
      </c>
    </row>
    <row r="1497" spans="1:16" s="187" customFormat="1" ht="18" customHeight="1">
      <c r="A1497" s="187" t="str">
        <f t="shared" si="23"/>
        <v>V20052A</v>
      </c>
      <c r="B1497" s="206" t="s">
        <v>3034</v>
      </c>
      <c r="C1497" s="206"/>
      <c r="D1497" s="206" t="s">
        <v>3033</v>
      </c>
      <c r="E1497" s="206" t="s">
        <v>29</v>
      </c>
      <c r="F1497" s="206" t="s">
        <v>3035</v>
      </c>
      <c r="G1497" s="206"/>
      <c r="H1497" s="206"/>
      <c r="I1497" s="206" t="s">
        <v>3036</v>
      </c>
      <c r="J1497" s="206" t="s">
        <v>3037</v>
      </c>
      <c r="K1497" s="206"/>
      <c r="L1497" s="206"/>
      <c r="M1497" s="207"/>
      <c r="N1497" s="206"/>
      <c r="O1497" s="206" t="s">
        <v>40</v>
      </c>
      <c r="P1497" s="206" t="s">
        <v>34</v>
      </c>
    </row>
    <row r="1498" spans="1:16" s="187" customFormat="1" ht="18" customHeight="1">
      <c r="A1498" s="187" t="str">
        <f t="shared" si="23"/>
        <v>V20052B</v>
      </c>
      <c r="B1498" s="208" t="s">
        <v>3034</v>
      </c>
      <c r="C1498" s="208"/>
      <c r="D1498" s="208" t="s">
        <v>3038</v>
      </c>
      <c r="E1498" s="208" t="s">
        <v>29</v>
      </c>
      <c r="F1498" s="208" t="s">
        <v>3035</v>
      </c>
      <c r="G1498" s="208"/>
      <c r="H1498" s="208"/>
      <c r="I1498" s="208" t="s">
        <v>3036</v>
      </c>
      <c r="J1498" s="208" t="s">
        <v>3037</v>
      </c>
      <c r="K1498" s="208"/>
      <c r="L1498" s="208"/>
      <c r="M1498" s="209"/>
      <c r="N1498" s="208"/>
      <c r="O1498" s="208" t="s">
        <v>40</v>
      </c>
      <c r="P1498" s="208" t="s">
        <v>34</v>
      </c>
    </row>
    <row r="1499" spans="1:16" s="187" customFormat="1" ht="18" customHeight="1">
      <c r="A1499" s="187" t="str">
        <f t="shared" si="23"/>
        <v>V20052C</v>
      </c>
      <c r="B1499" s="206" t="s">
        <v>3034</v>
      </c>
      <c r="C1499" s="206"/>
      <c r="D1499" s="206" t="s">
        <v>3039</v>
      </c>
      <c r="E1499" s="206" t="s">
        <v>29</v>
      </c>
      <c r="F1499" s="206" t="s">
        <v>3035</v>
      </c>
      <c r="G1499" s="206"/>
      <c r="H1499" s="206"/>
      <c r="I1499" s="206" t="s">
        <v>3036</v>
      </c>
      <c r="J1499" s="206" t="s">
        <v>3037</v>
      </c>
      <c r="K1499" s="206"/>
      <c r="L1499" s="206"/>
      <c r="M1499" s="207"/>
      <c r="N1499" s="206"/>
      <c r="O1499" s="206" t="s">
        <v>40</v>
      </c>
      <c r="P1499" s="206" t="s">
        <v>34</v>
      </c>
    </row>
    <row r="1500" spans="1:16" s="187" customFormat="1" ht="18" customHeight="1">
      <c r="A1500" s="187" t="str">
        <f t="shared" si="23"/>
        <v>CG480002C0</v>
      </c>
      <c r="B1500" s="208" t="s">
        <v>3041</v>
      </c>
      <c r="C1500" s="208"/>
      <c r="D1500" s="208" t="s">
        <v>3040</v>
      </c>
      <c r="E1500" s="208" t="s">
        <v>29</v>
      </c>
      <c r="F1500" s="208" t="s">
        <v>3042</v>
      </c>
      <c r="G1500" s="208"/>
      <c r="H1500" s="208"/>
      <c r="I1500" s="208"/>
      <c r="J1500" s="208"/>
      <c r="K1500" s="208"/>
      <c r="L1500" s="208"/>
      <c r="M1500" s="209"/>
      <c r="N1500" s="208"/>
      <c r="O1500" s="208"/>
      <c r="P1500" s="208" t="s">
        <v>100</v>
      </c>
    </row>
    <row r="1501" spans="1:16" s="187" customFormat="1" ht="18" customHeight="1">
      <c r="A1501" s="187" t="str">
        <f t="shared" si="23"/>
        <v>V20166C</v>
      </c>
      <c r="B1501" s="206" t="s">
        <v>5990</v>
      </c>
      <c r="C1501" s="206"/>
      <c r="D1501" s="206" t="s">
        <v>5991</v>
      </c>
      <c r="E1501" s="206" t="s">
        <v>29</v>
      </c>
      <c r="F1501" s="206" t="s">
        <v>5992</v>
      </c>
      <c r="G1501" s="206"/>
      <c r="H1501" s="206"/>
      <c r="I1501" s="206"/>
      <c r="J1501" s="206" t="s">
        <v>5993</v>
      </c>
      <c r="K1501" s="206" t="s">
        <v>5994</v>
      </c>
      <c r="L1501" s="206"/>
      <c r="M1501" s="207"/>
      <c r="N1501" s="206"/>
      <c r="O1501" s="206" t="s">
        <v>260</v>
      </c>
      <c r="P1501" s="206" t="s">
        <v>34</v>
      </c>
    </row>
    <row r="1502" spans="1:16" s="187" customFormat="1" ht="18" customHeight="1">
      <c r="A1502" s="187" t="str">
        <f t="shared" si="23"/>
        <v>V20118C</v>
      </c>
      <c r="B1502" s="208" t="s">
        <v>4512</v>
      </c>
      <c r="C1502" s="208"/>
      <c r="D1502" s="208" t="s">
        <v>4511</v>
      </c>
      <c r="E1502" s="208" t="s">
        <v>29</v>
      </c>
      <c r="F1502" s="208" t="s">
        <v>4513</v>
      </c>
      <c r="G1502" s="208"/>
      <c r="H1502" s="208"/>
      <c r="I1502" s="208"/>
      <c r="J1502" s="208" t="s">
        <v>5261</v>
      </c>
      <c r="K1502" s="208" t="s">
        <v>5262</v>
      </c>
      <c r="L1502" s="208"/>
      <c r="M1502" s="209"/>
      <c r="N1502" s="208"/>
      <c r="O1502" s="208"/>
      <c r="P1502" s="208" t="s">
        <v>34</v>
      </c>
    </row>
    <row r="1503" spans="1:16" s="187" customFormat="1" ht="18" customHeight="1">
      <c r="A1503" s="187" t="str">
        <f t="shared" si="23"/>
        <v>V20034A</v>
      </c>
      <c r="B1503" s="206" t="s">
        <v>3044</v>
      </c>
      <c r="C1503" s="206"/>
      <c r="D1503" s="206" t="s">
        <v>3043</v>
      </c>
      <c r="E1503" s="206" t="s">
        <v>29</v>
      </c>
      <c r="F1503" s="206" t="s">
        <v>3045</v>
      </c>
      <c r="G1503" s="206"/>
      <c r="H1503" s="206"/>
      <c r="I1503" s="206" t="s">
        <v>3046</v>
      </c>
      <c r="J1503" s="206" t="s">
        <v>3047</v>
      </c>
      <c r="K1503" s="206" t="s">
        <v>3048</v>
      </c>
      <c r="L1503" s="206"/>
      <c r="M1503" s="207"/>
      <c r="N1503" s="206"/>
      <c r="O1503" s="206" t="s">
        <v>40</v>
      </c>
      <c r="P1503" s="206" t="s">
        <v>34</v>
      </c>
    </row>
    <row r="1504" spans="1:16" s="187" customFormat="1" ht="18" customHeight="1">
      <c r="A1504" s="187" t="str">
        <f t="shared" si="23"/>
        <v>V20034B</v>
      </c>
      <c r="B1504" s="208" t="s">
        <v>3044</v>
      </c>
      <c r="C1504" s="208"/>
      <c r="D1504" s="208" t="s">
        <v>3049</v>
      </c>
      <c r="E1504" s="208" t="s">
        <v>29</v>
      </c>
      <c r="F1504" s="208" t="s">
        <v>3045</v>
      </c>
      <c r="G1504" s="208"/>
      <c r="H1504" s="208"/>
      <c r="I1504" s="208" t="s">
        <v>3046</v>
      </c>
      <c r="J1504" s="208" t="s">
        <v>3047</v>
      </c>
      <c r="K1504" s="208" t="s">
        <v>3048</v>
      </c>
      <c r="L1504" s="208"/>
      <c r="M1504" s="209"/>
      <c r="N1504" s="208"/>
      <c r="O1504" s="208" t="s">
        <v>40</v>
      </c>
      <c r="P1504" s="208" t="s">
        <v>34</v>
      </c>
    </row>
    <row r="1505" spans="1:16" s="187" customFormat="1" ht="18" customHeight="1">
      <c r="A1505" s="187" t="str">
        <f t="shared" si="23"/>
        <v>V20034C</v>
      </c>
      <c r="B1505" s="206" t="s">
        <v>3044</v>
      </c>
      <c r="C1505" s="206"/>
      <c r="D1505" s="206" t="s">
        <v>3050</v>
      </c>
      <c r="E1505" s="206" t="s">
        <v>29</v>
      </c>
      <c r="F1505" s="206" t="s">
        <v>3045</v>
      </c>
      <c r="G1505" s="206"/>
      <c r="H1505" s="206"/>
      <c r="I1505" s="206" t="s">
        <v>3046</v>
      </c>
      <c r="J1505" s="206" t="s">
        <v>3047</v>
      </c>
      <c r="K1505" s="206" t="s">
        <v>3048</v>
      </c>
      <c r="L1505" s="206"/>
      <c r="M1505" s="207"/>
      <c r="N1505" s="206"/>
      <c r="O1505" s="206" t="s">
        <v>40</v>
      </c>
      <c r="P1505" s="206" t="s">
        <v>34</v>
      </c>
    </row>
    <row r="1506" spans="1:16" s="187" customFormat="1" ht="18" customHeight="1">
      <c r="A1506" s="187" t="str">
        <f t="shared" si="23"/>
        <v>V20012A</v>
      </c>
      <c r="B1506" s="208" t="s">
        <v>3052</v>
      </c>
      <c r="C1506" s="208"/>
      <c r="D1506" s="208" t="s">
        <v>3051</v>
      </c>
      <c r="E1506" s="208" t="s">
        <v>29</v>
      </c>
      <c r="F1506" s="208" t="s">
        <v>3053</v>
      </c>
      <c r="G1506" s="208"/>
      <c r="H1506" s="208"/>
      <c r="I1506" s="208"/>
      <c r="J1506" s="208" t="s">
        <v>3054</v>
      </c>
      <c r="K1506" s="208" t="s">
        <v>3055</v>
      </c>
      <c r="L1506" s="208"/>
      <c r="M1506" s="209"/>
      <c r="N1506" s="208"/>
      <c r="O1506" s="208" t="s">
        <v>40</v>
      </c>
      <c r="P1506" s="208" t="s">
        <v>34</v>
      </c>
    </row>
    <row r="1507" spans="1:16" s="187" customFormat="1" ht="18" customHeight="1">
      <c r="A1507" s="187" t="str">
        <f t="shared" si="23"/>
        <v>V20012B</v>
      </c>
      <c r="B1507" s="206" t="s">
        <v>3052</v>
      </c>
      <c r="C1507" s="206"/>
      <c r="D1507" s="206" t="s">
        <v>3056</v>
      </c>
      <c r="E1507" s="206" t="s">
        <v>29</v>
      </c>
      <c r="F1507" s="206" t="s">
        <v>3053</v>
      </c>
      <c r="G1507" s="206"/>
      <c r="H1507" s="206"/>
      <c r="I1507" s="206"/>
      <c r="J1507" s="206" t="s">
        <v>3054</v>
      </c>
      <c r="K1507" s="206" t="s">
        <v>3055</v>
      </c>
      <c r="L1507" s="206"/>
      <c r="M1507" s="207"/>
      <c r="N1507" s="206"/>
      <c r="O1507" s="206" t="s">
        <v>40</v>
      </c>
      <c r="P1507" s="206" t="s">
        <v>34</v>
      </c>
    </row>
    <row r="1508" spans="1:16" s="187" customFormat="1" ht="18" customHeight="1">
      <c r="A1508" s="187" t="str">
        <f t="shared" si="23"/>
        <v>V20012C</v>
      </c>
      <c r="B1508" s="208" t="s">
        <v>3052</v>
      </c>
      <c r="C1508" s="208"/>
      <c r="D1508" s="208" t="s">
        <v>3057</v>
      </c>
      <c r="E1508" s="208" t="s">
        <v>29</v>
      </c>
      <c r="F1508" s="208" t="s">
        <v>3053</v>
      </c>
      <c r="G1508" s="208"/>
      <c r="H1508" s="208"/>
      <c r="I1508" s="208"/>
      <c r="J1508" s="208" t="s">
        <v>3054</v>
      </c>
      <c r="K1508" s="208" t="s">
        <v>3055</v>
      </c>
      <c r="L1508" s="208"/>
      <c r="M1508" s="209"/>
      <c r="N1508" s="208"/>
      <c r="O1508" s="208" t="s">
        <v>40</v>
      </c>
      <c r="P1508" s="208" t="s">
        <v>34</v>
      </c>
    </row>
    <row r="1509" spans="1:16" s="187" customFormat="1" ht="18" customHeight="1">
      <c r="A1509" s="187" t="str">
        <f t="shared" si="23"/>
        <v>CG450020C0</v>
      </c>
      <c r="B1509" s="206" t="s">
        <v>5995</v>
      </c>
      <c r="C1509" s="206"/>
      <c r="D1509" s="206" t="s">
        <v>5996</v>
      </c>
      <c r="E1509" s="206" t="s">
        <v>151</v>
      </c>
      <c r="F1509" s="206"/>
      <c r="G1509" s="206"/>
      <c r="H1509" s="206"/>
      <c r="I1509" s="206"/>
      <c r="J1509" s="206"/>
      <c r="K1509" s="206"/>
      <c r="L1509" s="206"/>
      <c r="M1509" s="207"/>
      <c r="N1509" s="206"/>
      <c r="O1509" s="206"/>
      <c r="P1509" s="206" t="s">
        <v>34</v>
      </c>
    </row>
    <row r="1510" spans="1:16" s="187" customFormat="1" ht="18" customHeight="1">
      <c r="A1510" s="187" t="str">
        <f t="shared" si="23"/>
        <v>V20103A</v>
      </c>
      <c r="B1510" s="208" t="s">
        <v>3059</v>
      </c>
      <c r="C1510" s="208" t="s">
        <v>3060</v>
      </c>
      <c r="D1510" s="208" t="s">
        <v>3058</v>
      </c>
      <c r="E1510" s="208" t="s">
        <v>29</v>
      </c>
      <c r="F1510" s="208" t="s">
        <v>5794</v>
      </c>
      <c r="G1510" s="208"/>
      <c r="H1510" s="208"/>
      <c r="I1510" s="208" t="s">
        <v>3062</v>
      </c>
      <c r="J1510" s="208" t="s">
        <v>3063</v>
      </c>
      <c r="K1510" s="208" t="s">
        <v>3064</v>
      </c>
      <c r="L1510" s="208"/>
      <c r="M1510" s="209"/>
      <c r="N1510" s="208"/>
      <c r="O1510" s="208" t="s">
        <v>40</v>
      </c>
      <c r="P1510" s="208" t="s">
        <v>34</v>
      </c>
    </row>
    <row r="1511" spans="1:16" s="187" customFormat="1" ht="18" customHeight="1">
      <c r="A1511" s="187" t="str">
        <f t="shared" si="23"/>
        <v>V20103B</v>
      </c>
      <c r="B1511" s="206" t="s">
        <v>3059</v>
      </c>
      <c r="C1511" s="206" t="s">
        <v>3060</v>
      </c>
      <c r="D1511" s="206" t="s">
        <v>3065</v>
      </c>
      <c r="E1511" s="206" t="s">
        <v>29</v>
      </c>
      <c r="F1511" s="206" t="s">
        <v>3061</v>
      </c>
      <c r="G1511" s="206"/>
      <c r="H1511" s="206"/>
      <c r="I1511" s="206" t="s">
        <v>3062</v>
      </c>
      <c r="J1511" s="206" t="s">
        <v>3063</v>
      </c>
      <c r="K1511" s="206" t="s">
        <v>3064</v>
      </c>
      <c r="L1511" s="206"/>
      <c r="M1511" s="207"/>
      <c r="N1511" s="206"/>
      <c r="O1511" s="206" t="s">
        <v>40</v>
      </c>
      <c r="P1511" s="206" t="s">
        <v>34</v>
      </c>
    </row>
    <row r="1512" spans="1:16" s="187" customFormat="1" ht="18" customHeight="1">
      <c r="A1512" s="187" t="str">
        <f t="shared" si="23"/>
        <v>V20103C</v>
      </c>
      <c r="B1512" s="208" t="s">
        <v>3059</v>
      </c>
      <c r="C1512" s="208" t="s">
        <v>3060</v>
      </c>
      <c r="D1512" s="208" t="s">
        <v>3066</v>
      </c>
      <c r="E1512" s="208" t="s">
        <v>29</v>
      </c>
      <c r="F1512" s="208" t="s">
        <v>3061</v>
      </c>
      <c r="G1512" s="208"/>
      <c r="H1512" s="208"/>
      <c r="I1512" s="208" t="s">
        <v>3062</v>
      </c>
      <c r="J1512" s="208" t="s">
        <v>3063</v>
      </c>
      <c r="K1512" s="208" t="s">
        <v>3064</v>
      </c>
      <c r="L1512" s="208"/>
      <c r="M1512" s="209"/>
      <c r="N1512" s="208"/>
      <c r="O1512" s="208" t="s">
        <v>40</v>
      </c>
      <c r="P1512" s="208" t="s">
        <v>34</v>
      </c>
    </row>
    <row r="1513" spans="1:16" s="187" customFormat="1" ht="18" customHeight="1">
      <c r="A1513" s="187" t="str">
        <f t="shared" si="23"/>
        <v>020001</v>
      </c>
      <c r="B1513" s="206" t="s">
        <v>4515</v>
      </c>
      <c r="C1513" s="206"/>
      <c r="D1513" s="206" t="s">
        <v>4514</v>
      </c>
      <c r="E1513" s="206" t="s">
        <v>29</v>
      </c>
      <c r="F1513" s="206"/>
      <c r="G1513" s="206"/>
      <c r="H1513" s="206"/>
      <c r="I1513" s="206"/>
      <c r="J1513" s="206"/>
      <c r="K1513" s="206"/>
      <c r="L1513" s="206"/>
      <c r="M1513" s="207"/>
      <c r="N1513" s="206"/>
      <c r="O1513" s="206"/>
      <c r="P1513" s="206"/>
    </row>
    <row r="1514" spans="1:16" s="187" customFormat="1" ht="18" customHeight="1">
      <c r="A1514" s="187" t="str">
        <f t="shared" si="23"/>
        <v>002901</v>
      </c>
      <c r="B1514" s="208" t="s">
        <v>4517</v>
      </c>
      <c r="C1514" s="208"/>
      <c r="D1514" s="208" t="s">
        <v>4516</v>
      </c>
      <c r="E1514" s="208" t="s">
        <v>29</v>
      </c>
      <c r="F1514" s="208"/>
      <c r="G1514" s="208"/>
      <c r="H1514" s="208"/>
      <c r="I1514" s="208"/>
      <c r="J1514" s="208"/>
      <c r="K1514" s="208"/>
      <c r="L1514" s="208"/>
      <c r="M1514" s="209"/>
      <c r="N1514" s="208"/>
      <c r="O1514" s="208"/>
      <c r="P1514" s="208"/>
    </row>
    <row r="1515" spans="1:16" s="187" customFormat="1" ht="18" customHeight="1">
      <c r="A1515" s="187" t="str">
        <f t="shared" si="23"/>
        <v>002902</v>
      </c>
      <c r="B1515" s="206" t="s">
        <v>4519</v>
      </c>
      <c r="C1515" s="206"/>
      <c r="D1515" s="206" t="s">
        <v>4518</v>
      </c>
      <c r="E1515" s="206" t="s">
        <v>29</v>
      </c>
      <c r="F1515" s="206"/>
      <c r="G1515" s="206"/>
      <c r="H1515" s="206"/>
      <c r="I1515" s="206"/>
      <c r="J1515" s="206"/>
      <c r="K1515" s="206"/>
      <c r="L1515" s="206"/>
      <c r="M1515" s="207"/>
      <c r="N1515" s="206"/>
      <c r="O1515" s="206"/>
      <c r="P1515" s="206"/>
    </row>
    <row r="1516" spans="1:16" s="187" customFormat="1" ht="18" customHeight="1">
      <c r="A1516" s="187" t="str">
        <f t="shared" si="23"/>
        <v>V20086A</v>
      </c>
      <c r="B1516" s="208" t="s">
        <v>3068</v>
      </c>
      <c r="C1516" s="208"/>
      <c r="D1516" s="208" t="s">
        <v>3067</v>
      </c>
      <c r="E1516" s="208" t="s">
        <v>29</v>
      </c>
      <c r="F1516" s="208" t="s">
        <v>3069</v>
      </c>
      <c r="G1516" s="208"/>
      <c r="H1516" s="208"/>
      <c r="I1516" s="208"/>
      <c r="J1516" s="208" t="s">
        <v>3070</v>
      </c>
      <c r="K1516" s="208" t="s">
        <v>3071</v>
      </c>
      <c r="L1516" s="208"/>
      <c r="M1516" s="209"/>
      <c r="N1516" s="208"/>
      <c r="O1516" s="208" t="s">
        <v>40</v>
      </c>
      <c r="P1516" s="208" t="s">
        <v>34</v>
      </c>
    </row>
    <row r="1517" spans="1:16" s="187" customFormat="1" ht="18" customHeight="1">
      <c r="A1517" s="187" t="str">
        <f t="shared" si="23"/>
        <v>V20086B</v>
      </c>
      <c r="B1517" s="206" t="s">
        <v>3068</v>
      </c>
      <c r="C1517" s="206"/>
      <c r="D1517" s="206" t="s">
        <v>3072</v>
      </c>
      <c r="E1517" s="206" t="s">
        <v>29</v>
      </c>
      <c r="F1517" s="206" t="s">
        <v>3069</v>
      </c>
      <c r="G1517" s="206"/>
      <c r="H1517" s="206"/>
      <c r="I1517" s="206"/>
      <c r="J1517" s="206" t="s">
        <v>3070</v>
      </c>
      <c r="K1517" s="206" t="s">
        <v>3071</v>
      </c>
      <c r="L1517" s="206"/>
      <c r="M1517" s="207"/>
      <c r="N1517" s="206"/>
      <c r="O1517" s="206" t="s">
        <v>40</v>
      </c>
      <c r="P1517" s="206" t="s">
        <v>34</v>
      </c>
    </row>
    <row r="1518" spans="1:16" s="187" customFormat="1" ht="18" customHeight="1">
      <c r="A1518" s="187" t="str">
        <f t="shared" si="23"/>
        <v>V20086C</v>
      </c>
      <c r="B1518" s="208" t="s">
        <v>3068</v>
      </c>
      <c r="C1518" s="208"/>
      <c r="D1518" s="208" t="s">
        <v>3073</v>
      </c>
      <c r="E1518" s="208" t="s">
        <v>29</v>
      </c>
      <c r="F1518" s="208" t="s">
        <v>3069</v>
      </c>
      <c r="G1518" s="208"/>
      <c r="H1518" s="208"/>
      <c r="I1518" s="208"/>
      <c r="J1518" s="208" t="s">
        <v>3070</v>
      </c>
      <c r="K1518" s="208" t="s">
        <v>3071</v>
      </c>
      <c r="L1518" s="208"/>
      <c r="M1518" s="209"/>
      <c r="N1518" s="208"/>
      <c r="O1518" s="208" t="s">
        <v>40</v>
      </c>
      <c r="P1518" s="208" t="s">
        <v>34</v>
      </c>
    </row>
    <row r="1519" spans="1:16" s="187" customFormat="1" ht="18" customHeight="1">
      <c r="A1519" s="187" t="str">
        <f t="shared" si="23"/>
        <v>V20024A</v>
      </c>
      <c r="B1519" s="206" t="s">
        <v>3075</v>
      </c>
      <c r="C1519" s="206"/>
      <c r="D1519" s="206" t="s">
        <v>3074</v>
      </c>
      <c r="E1519" s="206" t="s">
        <v>29</v>
      </c>
      <c r="F1519" s="206" t="s">
        <v>3076</v>
      </c>
      <c r="G1519" s="206"/>
      <c r="H1519" s="206"/>
      <c r="I1519" s="206" t="s">
        <v>3077</v>
      </c>
      <c r="J1519" s="206" t="s">
        <v>3078</v>
      </c>
      <c r="K1519" s="206" t="s">
        <v>3079</v>
      </c>
      <c r="L1519" s="206"/>
      <c r="M1519" s="207"/>
      <c r="N1519" s="206"/>
      <c r="O1519" s="206" t="s">
        <v>40</v>
      </c>
      <c r="P1519" s="206" t="s">
        <v>34</v>
      </c>
    </row>
    <row r="1520" spans="1:16" s="187" customFormat="1" ht="18" customHeight="1">
      <c r="A1520" s="187" t="str">
        <f t="shared" si="23"/>
        <v>V20024B</v>
      </c>
      <c r="B1520" s="208" t="s">
        <v>3075</v>
      </c>
      <c r="C1520" s="208"/>
      <c r="D1520" s="208" t="s">
        <v>3080</v>
      </c>
      <c r="E1520" s="208" t="s">
        <v>29</v>
      </c>
      <c r="F1520" s="208" t="s">
        <v>3076</v>
      </c>
      <c r="G1520" s="208"/>
      <c r="H1520" s="208"/>
      <c r="I1520" s="208" t="s">
        <v>3077</v>
      </c>
      <c r="J1520" s="208" t="s">
        <v>3078</v>
      </c>
      <c r="K1520" s="208" t="s">
        <v>3079</v>
      </c>
      <c r="L1520" s="208"/>
      <c r="M1520" s="209"/>
      <c r="N1520" s="208"/>
      <c r="O1520" s="208" t="s">
        <v>40</v>
      </c>
      <c r="P1520" s="208" t="s">
        <v>34</v>
      </c>
    </row>
    <row r="1521" spans="1:16" s="187" customFormat="1" ht="18" customHeight="1">
      <c r="A1521" s="187" t="str">
        <f t="shared" si="23"/>
        <v>V20024C</v>
      </c>
      <c r="B1521" s="206" t="s">
        <v>3075</v>
      </c>
      <c r="C1521" s="206"/>
      <c r="D1521" s="206" t="s">
        <v>3081</v>
      </c>
      <c r="E1521" s="206" t="s">
        <v>29</v>
      </c>
      <c r="F1521" s="206" t="s">
        <v>3076</v>
      </c>
      <c r="G1521" s="206"/>
      <c r="H1521" s="206"/>
      <c r="I1521" s="206" t="s">
        <v>3077</v>
      </c>
      <c r="J1521" s="206" t="s">
        <v>3078</v>
      </c>
      <c r="K1521" s="206" t="s">
        <v>3079</v>
      </c>
      <c r="L1521" s="206"/>
      <c r="M1521" s="207"/>
      <c r="N1521" s="206"/>
      <c r="O1521" s="206" t="s">
        <v>40</v>
      </c>
      <c r="P1521" s="206" t="s">
        <v>34</v>
      </c>
    </row>
    <row r="1522" spans="1:16" s="187" customFormat="1" ht="18" customHeight="1">
      <c r="A1522" s="187" t="str">
        <f t="shared" si="23"/>
        <v>V4043C0</v>
      </c>
      <c r="B1522" s="208" t="s">
        <v>3083</v>
      </c>
      <c r="C1522" s="208"/>
      <c r="D1522" s="208" t="s">
        <v>3082</v>
      </c>
      <c r="E1522" s="208" t="s">
        <v>29</v>
      </c>
      <c r="F1522" s="208" t="s">
        <v>3084</v>
      </c>
      <c r="G1522" s="208" t="s">
        <v>3085</v>
      </c>
      <c r="H1522" s="208"/>
      <c r="I1522" s="208"/>
      <c r="J1522" s="208" t="s">
        <v>3086</v>
      </c>
      <c r="K1522" s="208" t="s">
        <v>3087</v>
      </c>
      <c r="L1522" s="208"/>
      <c r="M1522" s="209"/>
      <c r="N1522" s="208"/>
      <c r="O1522" s="208" t="s">
        <v>131</v>
      </c>
      <c r="P1522" s="208" t="s">
        <v>107</v>
      </c>
    </row>
    <row r="1523" spans="1:16" s="187" customFormat="1" ht="18" customHeight="1">
      <c r="A1523" s="187" t="str">
        <f t="shared" si="23"/>
        <v>V20173C</v>
      </c>
      <c r="B1523" s="206" t="s">
        <v>6460</v>
      </c>
      <c r="C1523" s="206"/>
      <c r="D1523" s="206" t="s">
        <v>6461</v>
      </c>
      <c r="E1523" s="206" t="s">
        <v>29</v>
      </c>
      <c r="F1523" s="206" t="s">
        <v>6462</v>
      </c>
      <c r="G1523" s="206"/>
      <c r="H1523" s="206"/>
      <c r="I1523" s="206"/>
      <c r="J1523" s="206" t="s">
        <v>6463</v>
      </c>
      <c r="K1523" s="206" t="s">
        <v>6464</v>
      </c>
      <c r="L1523" s="206"/>
      <c r="M1523" s="207"/>
      <c r="N1523" s="206"/>
      <c r="O1523" s="206"/>
      <c r="P1523" s="206" t="s">
        <v>34</v>
      </c>
    </row>
    <row r="1524" spans="1:16" s="187" customFormat="1" ht="18" customHeight="1">
      <c r="A1524" s="187" t="str">
        <f t="shared" si="23"/>
        <v>V20120B</v>
      </c>
      <c r="B1524" s="208" t="s">
        <v>4521</v>
      </c>
      <c r="C1524" s="208"/>
      <c r="D1524" s="208" t="s">
        <v>5473</v>
      </c>
      <c r="E1524" s="208" t="s">
        <v>29</v>
      </c>
      <c r="F1524" s="208"/>
      <c r="G1524" s="208"/>
      <c r="H1524" s="208"/>
      <c r="I1524" s="208"/>
      <c r="J1524" s="208" t="s">
        <v>5474</v>
      </c>
      <c r="K1524" s="208" t="s">
        <v>4525</v>
      </c>
      <c r="L1524" s="208"/>
      <c r="M1524" s="209"/>
      <c r="N1524" s="208"/>
      <c r="O1524" s="208"/>
      <c r="P1524" s="208" t="s">
        <v>34</v>
      </c>
    </row>
    <row r="1525" spans="1:16" s="187" customFormat="1" ht="18" customHeight="1">
      <c r="A1525" s="187" t="str">
        <f t="shared" si="23"/>
        <v>V20120C</v>
      </c>
      <c r="B1525" s="206" t="s">
        <v>4521</v>
      </c>
      <c r="C1525" s="206"/>
      <c r="D1525" s="206" t="s">
        <v>4520</v>
      </c>
      <c r="E1525" s="206" t="s">
        <v>29</v>
      </c>
      <c r="F1525" s="206" t="s">
        <v>4522</v>
      </c>
      <c r="G1525" s="206"/>
      <c r="H1525" s="206"/>
      <c r="I1525" s="206" t="s">
        <v>4523</v>
      </c>
      <c r="J1525" s="206" t="s">
        <v>4524</v>
      </c>
      <c r="K1525" s="206" t="s">
        <v>4525</v>
      </c>
      <c r="L1525" s="206"/>
      <c r="M1525" s="207"/>
      <c r="N1525" s="206"/>
      <c r="O1525" s="206"/>
      <c r="P1525" s="206" t="s">
        <v>34</v>
      </c>
    </row>
    <row r="1526" spans="1:16" s="187" customFormat="1" ht="18" customHeight="1">
      <c r="A1526" s="187" t="str">
        <f t="shared" si="23"/>
        <v>V20049A</v>
      </c>
      <c r="B1526" s="208" t="s">
        <v>3089</v>
      </c>
      <c r="C1526" s="208"/>
      <c r="D1526" s="208" t="s">
        <v>3088</v>
      </c>
      <c r="E1526" s="208" t="s">
        <v>29</v>
      </c>
      <c r="F1526" s="208" t="s">
        <v>3090</v>
      </c>
      <c r="G1526" s="208"/>
      <c r="H1526" s="208"/>
      <c r="I1526" s="208"/>
      <c r="J1526" s="208" t="s">
        <v>3091</v>
      </c>
      <c r="K1526" s="208" t="s">
        <v>3092</v>
      </c>
      <c r="L1526" s="208"/>
      <c r="M1526" s="209"/>
      <c r="N1526" s="208"/>
      <c r="O1526" s="208" t="s">
        <v>40</v>
      </c>
      <c r="P1526" s="208" t="s">
        <v>34</v>
      </c>
    </row>
    <row r="1527" spans="1:16" s="187" customFormat="1" ht="18" customHeight="1">
      <c r="A1527" s="187" t="str">
        <f t="shared" si="23"/>
        <v>V20049B</v>
      </c>
      <c r="B1527" s="206" t="s">
        <v>3089</v>
      </c>
      <c r="C1527" s="206"/>
      <c r="D1527" s="206" t="s">
        <v>3093</v>
      </c>
      <c r="E1527" s="206" t="s">
        <v>29</v>
      </c>
      <c r="F1527" s="206" t="s">
        <v>3090</v>
      </c>
      <c r="G1527" s="206"/>
      <c r="H1527" s="206"/>
      <c r="I1527" s="206"/>
      <c r="J1527" s="206" t="s">
        <v>3091</v>
      </c>
      <c r="K1527" s="206" t="s">
        <v>3092</v>
      </c>
      <c r="L1527" s="206"/>
      <c r="M1527" s="207"/>
      <c r="N1527" s="206"/>
      <c r="O1527" s="206" t="s">
        <v>40</v>
      </c>
      <c r="P1527" s="206" t="s">
        <v>34</v>
      </c>
    </row>
    <row r="1528" spans="1:16" s="187" customFormat="1" ht="18" customHeight="1">
      <c r="A1528" s="187" t="str">
        <f t="shared" si="23"/>
        <v>V20049C</v>
      </c>
      <c r="B1528" s="208" t="s">
        <v>3089</v>
      </c>
      <c r="C1528" s="208"/>
      <c r="D1528" s="208" t="s">
        <v>3094</v>
      </c>
      <c r="E1528" s="208" t="s">
        <v>29</v>
      </c>
      <c r="F1528" s="208" t="s">
        <v>3090</v>
      </c>
      <c r="G1528" s="208"/>
      <c r="H1528" s="208"/>
      <c r="I1528" s="208"/>
      <c r="J1528" s="208" t="s">
        <v>3091</v>
      </c>
      <c r="K1528" s="208" t="s">
        <v>3092</v>
      </c>
      <c r="L1528" s="208"/>
      <c r="M1528" s="209"/>
      <c r="N1528" s="208"/>
      <c r="O1528" s="208" t="s">
        <v>40</v>
      </c>
      <c r="P1528" s="208" t="s">
        <v>34</v>
      </c>
    </row>
    <row r="1529" spans="1:16" s="187" customFormat="1" ht="18" customHeight="1">
      <c r="A1529" s="187" t="str">
        <f t="shared" si="23"/>
        <v>V4082C1</v>
      </c>
      <c r="B1529" s="206" t="s">
        <v>3096</v>
      </c>
      <c r="C1529" s="206"/>
      <c r="D1529" s="206" t="s">
        <v>3100</v>
      </c>
      <c r="E1529" s="206" t="s">
        <v>151</v>
      </c>
      <c r="F1529" s="206"/>
      <c r="G1529" s="206"/>
      <c r="H1529" s="206"/>
      <c r="I1529" s="206"/>
      <c r="J1529" s="206" t="s">
        <v>387</v>
      </c>
      <c r="K1529" s="206" t="s">
        <v>3101</v>
      </c>
      <c r="L1529" s="206"/>
      <c r="M1529" s="207"/>
      <c r="N1529" s="206"/>
      <c r="O1529" s="206"/>
      <c r="P1529" s="206" t="s">
        <v>107</v>
      </c>
    </row>
    <row r="1530" spans="1:16" s="187" customFormat="1" ht="18" customHeight="1">
      <c r="A1530" s="187" t="str">
        <f t="shared" si="23"/>
        <v>V3500C0</v>
      </c>
      <c r="B1530" s="208" t="s">
        <v>3096</v>
      </c>
      <c r="C1530" s="208"/>
      <c r="D1530" s="208" t="s">
        <v>3095</v>
      </c>
      <c r="E1530" s="208" t="s">
        <v>151</v>
      </c>
      <c r="F1530" s="208" t="s">
        <v>3097</v>
      </c>
      <c r="G1530" s="208"/>
      <c r="H1530" s="208"/>
      <c r="I1530" s="208"/>
      <c r="J1530" s="208" t="s">
        <v>3098</v>
      </c>
      <c r="K1530" s="208" t="s">
        <v>3099</v>
      </c>
      <c r="L1530" s="208"/>
      <c r="M1530" s="209"/>
      <c r="N1530" s="208"/>
      <c r="O1530" s="208" t="s">
        <v>268</v>
      </c>
      <c r="P1530" s="208" t="s">
        <v>269</v>
      </c>
    </row>
    <row r="1531" spans="1:16" s="187" customFormat="1" ht="18" customHeight="1">
      <c r="A1531" s="187" t="str">
        <f t="shared" si="23"/>
        <v>003001</v>
      </c>
      <c r="B1531" s="206" t="s">
        <v>4527</v>
      </c>
      <c r="C1531" s="206"/>
      <c r="D1531" s="206" t="s">
        <v>4526</v>
      </c>
      <c r="E1531" s="206" t="s">
        <v>29</v>
      </c>
      <c r="F1531" s="206"/>
      <c r="G1531" s="206"/>
      <c r="H1531" s="206"/>
      <c r="I1531" s="206"/>
      <c r="J1531" s="206"/>
      <c r="K1531" s="206"/>
      <c r="L1531" s="206"/>
      <c r="M1531" s="207"/>
      <c r="N1531" s="206"/>
      <c r="O1531" s="206"/>
      <c r="P1531" s="206"/>
    </row>
    <row r="1532" spans="1:16" s="187" customFormat="1" ht="18" customHeight="1">
      <c r="A1532" s="187" t="str">
        <f t="shared" si="23"/>
        <v>003002</v>
      </c>
      <c r="B1532" s="208" t="s">
        <v>4527</v>
      </c>
      <c r="C1532" s="208"/>
      <c r="D1532" s="208" t="s">
        <v>4528</v>
      </c>
      <c r="E1532" s="208" t="s">
        <v>29</v>
      </c>
      <c r="F1532" s="208"/>
      <c r="G1532" s="208"/>
      <c r="H1532" s="208"/>
      <c r="I1532" s="208"/>
      <c r="J1532" s="208"/>
      <c r="K1532" s="208"/>
      <c r="L1532" s="208"/>
      <c r="M1532" s="209"/>
      <c r="N1532" s="208"/>
      <c r="O1532" s="208"/>
      <c r="P1532" s="208"/>
    </row>
    <row r="1533" spans="1:16" s="187" customFormat="1" ht="18" customHeight="1">
      <c r="A1533" s="187" t="str">
        <f t="shared" si="23"/>
        <v>003003</v>
      </c>
      <c r="B1533" s="206" t="s">
        <v>4527</v>
      </c>
      <c r="C1533" s="206"/>
      <c r="D1533" s="206" t="s">
        <v>4529</v>
      </c>
      <c r="E1533" s="206" t="s">
        <v>29</v>
      </c>
      <c r="F1533" s="206"/>
      <c r="G1533" s="206"/>
      <c r="H1533" s="206"/>
      <c r="I1533" s="206"/>
      <c r="J1533" s="206"/>
      <c r="K1533" s="206"/>
      <c r="L1533" s="206"/>
      <c r="M1533" s="207"/>
      <c r="N1533" s="206"/>
      <c r="O1533" s="206"/>
      <c r="P1533" s="206"/>
    </row>
    <row r="1534" spans="1:16" s="187" customFormat="1" ht="18" customHeight="1">
      <c r="A1534" s="187" t="str">
        <f t="shared" si="23"/>
        <v>003004</v>
      </c>
      <c r="B1534" s="208" t="s">
        <v>4527</v>
      </c>
      <c r="C1534" s="208"/>
      <c r="D1534" s="208" t="s">
        <v>4530</v>
      </c>
      <c r="E1534" s="208" t="s">
        <v>29</v>
      </c>
      <c r="F1534" s="208"/>
      <c r="G1534" s="208"/>
      <c r="H1534" s="208"/>
      <c r="I1534" s="208"/>
      <c r="J1534" s="208"/>
      <c r="K1534" s="208"/>
      <c r="L1534" s="208"/>
      <c r="M1534" s="209"/>
      <c r="N1534" s="208"/>
      <c r="O1534" s="208"/>
      <c r="P1534" s="208"/>
    </row>
    <row r="1535" spans="1:16" s="187" customFormat="1" ht="18" customHeight="1">
      <c r="A1535" s="187" t="str">
        <f t="shared" si="23"/>
        <v>V20045A</v>
      </c>
      <c r="B1535" s="206" t="s">
        <v>3103</v>
      </c>
      <c r="C1535" s="206"/>
      <c r="D1535" s="206" t="s">
        <v>3102</v>
      </c>
      <c r="E1535" s="206" t="s">
        <v>29</v>
      </c>
      <c r="F1535" s="206" t="s">
        <v>3104</v>
      </c>
      <c r="G1535" s="206"/>
      <c r="H1535" s="206"/>
      <c r="I1535" s="206" t="s">
        <v>3105</v>
      </c>
      <c r="J1535" s="206" t="s">
        <v>3106</v>
      </c>
      <c r="K1535" s="206" t="s">
        <v>3107</v>
      </c>
      <c r="L1535" s="206"/>
      <c r="M1535" s="207"/>
      <c r="N1535" s="206"/>
      <c r="O1535" s="206" t="s">
        <v>40</v>
      </c>
      <c r="P1535" s="206" t="s">
        <v>34</v>
      </c>
    </row>
    <row r="1536" spans="1:16" s="187" customFormat="1" ht="18" customHeight="1">
      <c r="A1536" s="187" t="str">
        <f t="shared" si="23"/>
        <v>V20045B</v>
      </c>
      <c r="B1536" s="208" t="s">
        <v>3103</v>
      </c>
      <c r="C1536" s="208"/>
      <c r="D1536" s="208" t="s">
        <v>3108</v>
      </c>
      <c r="E1536" s="208" t="s">
        <v>29</v>
      </c>
      <c r="F1536" s="208" t="s">
        <v>3104</v>
      </c>
      <c r="G1536" s="208"/>
      <c r="H1536" s="208"/>
      <c r="I1536" s="208" t="s">
        <v>3105</v>
      </c>
      <c r="J1536" s="208" t="s">
        <v>3106</v>
      </c>
      <c r="K1536" s="208" t="s">
        <v>3107</v>
      </c>
      <c r="L1536" s="208"/>
      <c r="M1536" s="209"/>
      <c r="N1536" s="208"/>
      <c r="O1536" s="208" t="s">
        <v>40</v>
      </c>
      <c r="P1536" s="208" t="s">
        <v>34</v>
      </c>
    </row>
    <row r="1537" spans="1:16" s="187" customFormat="1" ht="18" customHeight="1">
      <c r="A1537" s="187" t="str">
        <f t="shared" si="23"/>
        <v>V20045C</v>
      </c>
      <c r="B1537" s="206" t="s">
        <v>3103</v>
      </c>
      <c r="C1537" s="206"/>
      <c r="D1537" s="206" t="s">
        <v>3109</v>
      </c>
      <c r="E1537" s="206" t="s">
        <v>29</v>
      </c>
      <c r="F1537" s="206" t="s">
        <v>3104</v>
      </c>
      <c r="G1537" s="206"/>
      <c r="H1537" s="206"/>
      <c r="I1537" s="206" t="s">
        <v>3105</v>
      </c>
      <c r="J1537" s="206" t="s">
        <v>3106</v>
      </c>
      <c r="K1537" s="206" t="s">
        <v>3107</v>
      </c>
      <c r="L1537" s="206"/>
      <c r="M1537" s="207"/>
      <c r="N1537" s="206"/>
      <c r="O1537" s="206" t="s">
        <v>40</v>
      </c>
      <c r="P1537" s="206" t="s">
        <v>34</v>
      </c>
    </row>
    <row r="1538" spans="1:16" s="187" customFormat="1" ht="18" customHeight="1">
      <c r="A1538" s="187" t="str">
        <f t="shared" si="23"/>
        <v>V20170C</v>
      </c>
      <c r="B1538" s="208" t="s">
        <v>6465</v>
      </c>
      <c r="C1538" s="208"/>
      <c r="D1538" s="208" t="s">
        <v>6466</v>
      </c>
      <c r="E1538" s="208" t="s">
        <v>29</v>
      </c>
      <c r="F1538" s="208" t="s">
        <v>6467</v>
      </c>
      <c r="G1538" s="208"/>
      <c r="H1538" s="208"/>
      <c r="I1538" s="208" t="s">
        <v>6468</v>
      </c>
      <c r="J1538" s="208" t="s">
        <v>6469</v>
      </c>
      <c r="K1538" s="208" t="s">
        <v>6470</v>
      </c>
      <c r="L1538" s="208"/>
      <c r="M1538" s="209"/>
      <c r="N1538" s="208"/>
      <c r="O1538" s="208"/>
      <c r="P1538" s="208" t="s">
        <v>34</v>
      </c>
    </row>
    <row r="1539" spans="1:16" s="187" customFormat="1" ht="18" customHeight="1">
      <c r="A1539" s="187" t="str">
        <f t="shared" si="23"/>
        <v>V20087A</v>
      </c>
      <c r="B1539" s="206" t="s">
        <v>3111</v>
      </c>
      <c r="C1539" s="206"/>
      <c r="D1539" s="206" t="s">
        <v>3110</v>
      </c>
      <c r="E1539" s="206" t="s">
        <v>29</v>
      </c>
      <c r="F1539" s="206" t="s">
        <v>3112</v>
      </c>
      <c r="G1539" s="206"/>
      <c r="H1539" s="206"/>
      <c r="I1539" s="206" t="s">
        <v>3113</v>
      </c>
      <c r="J1539" s="206" t="s">
        <v>3114</v>
      </c>
      <c r="K1539" s="206" t="s">
        <v>3115</v>
      </c>
      <c r="L1539" s="206"/>
      <c r="M1539" s="207"/>
      <c r="N1539" s="206"/>
      <c r="O1539" s="206" t="s">
        <v>40</v>
      </c>
      <c r="P1539" s="206" t="s">
        <v>34</v>
      </c>
    </row>
    <row r="1540" spans="1:16" s="187" customFormat="1" ht="18" customHeight="1">
      <c r="A1540" s="187" t="str">
        <f t="shared" si="23"/>
        <v>V20087B</v>
      </c>
      <c r="B1540" s="208" t="s">
        <v>3111</v>
      </c>
      <c r="C1540" s="208"/>
      <c r="D1540" s="208" t="s">
        <v>3116</v>
      </c>
      <c r="E1540" s="208" t="s">
        <v>29</v>
      </c>
      <c r="F1540" s="208" t="s">
        <v>3112</v>
      </c>
      <c r="G1540" s="208"/>
      <c r="H1540" s="208"/>
      <c r="I1540" s="208" t="s">
        <v>3113</v>
      </c>
      <c r="J1540" s="208" t="s">
        <v>3114</v>
      </c>
      <c r="K1540" s="208" t="s">
        <v>3115</v>
      </c>
      <c r="L1540" s="208"/>
      <c r="M1540" s="209"/>
      <c r="N1540" s="208"/>
      <c r="O1540" s="208" t="s">
        <v>40</v>
      </c>
      <c r="P1540" s="208" t="s">
        <v>34</v>
      </c>
    </row>
    <row r="1541" spans="1:16" s="187" customFormat="1" ht="18" customHeight="1">
      <c r="A1541" s="187" t="str">
        <f t="shared" si="23"/>
        <v>V20087C</v>
      </c>
      <c r="B1541" s="206" t="s">
        <v>3111</v>
      </c>
      <c r="C1541" s="206"/>
      <c r="D1541" s="206" t="s">
        <v>3117</v>
      </c>
      <c r="E1541" s="206" t="s">
        <v>29</v>
      </c>
      <c r="F1541" s="206" t="s">
        <v>3112</v>
      </c>
      <c r="G1541" s="206"/>
      <c r="H1541" s="206"/>
      <c r="I1541" s="206" t="s">
        <v>3113</v>
      </c>
      <c r="J1541" s="206" t="s">
        <v>3114</v>
      </c>
      <c r="K1541" s="206" t="s">
        <v>3115</v>
      </c>
      <c r="L1541" s="206"/>
      <c r="M1541" s="207"/>
      <c r="N1541" s="206"/>
      <c r="O1541" s="206" t="s">
        <v>40</v>
      </c>
      <c r="P1541" s="206" t="s">
        <v>34</v>
      </c>
    </row>
    <row r="1542" spans="1:16" s="187" customFormat="1" ht="18" customHeight="1">
      <c r="A1542" s="187" t="str">
        <f t="shared" ref="A1542:A1605" si="24">D1542</f>
        <v>V20092A</v>
      </c>
      <c r="B1542" s="208" t="s">
        <v>3119</v>
      </c>
      <c r="C1542" s="208"/>
      <c r="D1542" s="208" t="s">
        <v>3118</v>
      </c>
      <c r="E1542" s="208" t="s">
        <v>29</v>
      </c>
      <c r="F1542" s="208" t="s">
        <v>3120</v>
      </c>
      <c r="G1542" s="208"/>
      <c r="H1542" s="208"/>
      <c r="I1542" s="208"/>
      <c r="J1542" s="208" t="s">
        <v>3121</v>
      </c>
      <c r="K1542" s="208" t="s">
        <v>3122</v>
      </c>
      <c r="L1542" s="208"/>
      <c r="M1542" s="209"/>
      <c r="N1542" s="208"/>
      <c r="O1542" s="208" t="s">
        <v>40</v>
      </c>
      <c r="P1542" s="208" t="s">
        <v>34</v>
      </c>
    </row>
    <row r="1543" spans="1:16" s="187" customFormat="1" ht="18" customHeight="1">
      <c r="A1543" s="187" t="str">
        <f t="shared" si="24"/>
        <v>V20092B</v>
      </c>
      <c r="B1543" s="206" t="s">
        <v>3119</v>
      </c>
      <c r="C1543" s="206"/>
      <c r="D1543" s="206" t="s">
        <v>3123</v>
      </c>
      <c r="E1543" s="206" t="s">
        <v>29</v>
      </c>
      <c r="F1543" s="206" t="s">
        <v>3120</v>
      </c>
      <c r="G1543" s="206"/>
      <c r="H1543" s="206"/>
      <c r="I1543" s="206"/>
      <c r="J1543" s="206" t="s">
        <v>3121</v>
      </c>
      <c r="K1543" s="206" t="s">
        <v>3122</v>
      </c>
      <c r="L1543" s="206"/>
      <c r="M1543" s="207"/>
      <c r="N1543" s="206"/>
      <c r="O1543" s="206" t="s">
        <v>40</v>
      </c>
      <c r="P1543" s="206" t="s">
        <v>34</v>
      </c>
    </row>
    <row r="1544" spans="1:16" s="187" customFormat="1" ht="18" customHeight="1">
      <c r="A1544" s="187" t="str">
        <f t="shared" si="24"/>
        <v>V20092C</v>
      </c>
      <c r="B1544" s="208" t="s">
        <v>3119</v>
      </c>
      <c r="C1544" s="208"/>
      <c r="D1544" s="208" t="s">
        <v>3124</v>
      </c>
      <c r="E1544" s="208" t="s">
        <v>29</v>
      </c>
      <c r="F1544" s="208" t="s">
        <v>3120</v>
      </c>
      <c r="G1544" s="208"/>
      <c r="H1544" s="208"/>
      <c r="I1544" s="208"/>
      <c r="J1544" s="208" t="s">
        <v>3121</v>
      </c>
      <c r="K1544" s="208" t="s">
        <v>3122</v>
      </c>
      <c r="L1544" s="208"/>
      <c r="M1544" s="209"/>
      <c r="N1544" s="208"/>
      <c r="O1544" s="208" t="s">
        <v>40</v>
      </c>
      <c r="P1544" s="208" t="s">
        <v>34</v>
      </c>
    </row>
    <row r="1545" spans="1:16" s="187" customFormat="1" ht="18" customHeight="1">
      <c r="A1545" s="187" t="str">
        <f t="shared" si="24"/>
        <v>V20018A</v>
      </c>
      <c r="B1545" s="206" t="s">
        <v>3126</v>
      </c>
      <c r="C1545" s="206"/>
      <c r="D1545" s="206" t="s">
        <v>3125</v>
      </c>
      <c r="E1545" s="206" t="s">
        <v>29</v>
      </c>
      <c r="F1545" s="206" t="s">
        <v>3127</v>
      </c>
      <c r="G1545" s="206"/>
      <c r="H1545" s="206"/>
      <c r="I1545" s="206"/>
      <c r="J1545" s="206" t="s">
        <v>3128</v>
      </c>
      <c r="K1545" s="206" t="s">
        <v>3129</v>
      </c>
      <c r="L1545" s="206"/>
      <c r="M1545" s="207"/>
      <c r="N1545" s="206"/>
      <c r="O1545" s="206" t="s">
        <v>40</v>
      </c>
      <c r="P1545" s="206" t="s">
        <v>34</v>
      </c>
    </row>
    <row r="1546" spans="1:16" s="187" customFormat="1" ht="18" customHeight="1">
      <c r="A1546" s="187" t="str">
        <f t="shared" si="24"/>
        <v>V20018B</v>
      </c>
      <c r="B1546" s="208" t="s">
        <v>3126</v>
      </c>
      <c r="C1546" s="208"/>
      <c r="D1546" s="208" t="s">
        <v>3130</v>
      </c>
      <c r="E1546" s="208" t="s">
        <v>29</v>
      </c>
      <c r="F1546" s="208" t="s">
        <v>3127</v>
      </c>
      <c r="G1546" s="208"/>
      <c r="H1546" s="208"/>
      <c r="I1546" s="208"/>
      <c r="J1546" s="208" t="s">
        <v>3128</v>
      </c>
      <c r="K1546" s="208" t="s">
        <v>3129</v>
      </c>
      <c r="L1546" s="208"/>
      <c r="M1546" s="209"/>
      <c r="N1546" s="208"/>
      <c r="O1546" s="208" t="s">
        <v>40</v>
      </c>
      <c r="P1546" s="208" t="s">
        <v>34</v>
      </c>
    </row>
    <row r="1547" spans="1:16" s="187" customFormat="1" ht="18" customHeight="1">
      <c r="A1547" s="187" t="str">
        <f t="shared" si="24"/>
        <v>V20018C</v>
      </c>
      <c r="B1547" s="206" t="s">
        <v>3126</v>
      </c>
      <c r="C1547" s="206"/>
      <c r="D1547" s="206" t="s">
        <v>3131</v>
      </c>
      <c r="E1547" s="206" t="s">
        <v>29</v>
      </c>
      <c r="F1547" s="206" t="s">
        <v>3127</v>
      </c>
      <c r="G1547" s="206"/>
      <c r="H1547" s="206"/>
      <c r="I1547" s="206"/>
      <c r="J1547" s="206" t="s">
        <v>3128</v>
      </c>
      <c r="K1547" s="206" t="s">
        <v>3129</v>
      </c>
      <c r="L1547" s="206"/>
      <c r="M1547" s="207"/>
      <c r="N1547" s="206"/>
      <c r="O1547" s="206" t="s">
        <v>40</v>
      </c>
      <c r="P1547" s="206" t="s">
        <v>34</v>
      </c>
    </row>
    <row r="1548" spans="1:16" s="187" customFormat="1" ht="18" customHeight="1">
      <c r="A1548" s="187" t="str">
        <f t="shared" si="24"/>
        <v>006801</v>
      </c>
      <c r="B1548" s="208" t="s">
        <v>4532</v>
      </c>
      <c r="C1548" s="208"/>
      <c r="D1548" s="208" t="s">
        <v>4531</v>
      </c>
      <c r="E1548" s="208" t="s">
        <v>29</v>
      </c>
      <c r="F1548" s="208"/>
      <c r="G1548" s="208"/>
      <c r="H1548" s="208"/>
      <c r="I1548" s="208"/>
      <c r="J1548" s="208"/>
      <c r="K1548" s="208"/>
      <c r="L1548" s="208"/>
      <c r="M1548" s="209"/>
      <c r="N1548" s="208"/>
      <c r="O1548" s="208"/>
      <c r="P1548" s="208"/>
    </row>
    <row r="1549" spans="1:16" s="187" customFormat="1" ht="18" customHeight="1">
      <c r="A1549" s="187" t="str">
        <f t="shared" si="24"/>
        <v>006401</v>
      </c>
      <c r="B1549" s="206" t="s">
        <v>4534</v>
      </c>
      <c r="C1549" s="206"/>
      <c r="D1549" s="206" t="s">
        <v>4533</v>
      </c>
      <c r="E1549" s="206" t="s">
        <v>29</v>
      </c>
      <c r="F1549" s="206"/>
      <c r="G1549" s="206"/>
      <c r="H1549" s="206"/>
      <c r="I1549" s="206"/>
      <c r="J1549" s="206"/>
      <c r="K1549" s="206"/>
      <c r="L1549" s="206"/>
      <c r="M1549" s="207"/>
      <c r="N1549" s="206"/>
      <c r="O1549" s="206"/>
      <c r="P1549" s="206"/>
    </row>
    <row r="1550" spans="1:16" s="187" customFormat="1" ht="18" customHeight="1">
      <c r="A1550" s="187" t="str">
        <f t="shared" si="24"/>
        <v>V20016A</v>
      </c>
      <c r="B1550" s="208" t="s">
        <v>3133</v>
      </c>
      <c r="C1550" s="208"/>
      <c r="D1550" s="208" t="s">
        <v>3132</v>
      </c>
      <c r="E1550" s="208" t="s">
        <v>29</v>
      </c>
      <c r="F1550" s="208" t="s">
        <v>3134</v>
      </c>
      <c r="G1550" s="208"/>
      <c r="H1550" s="208"/>
      <c r="I1550" s="208" t="s">
        <v>3135</v>
      </c>
      <c r="J1550" s="208" t="s">
        <v>3136</v>
      </c>
      <c r="K1550" s="208" t="s">
        <v>3137</v>
      </c>
      <c r="L1550" s="208"/>
      <c r="M1550" s="209"/>
      <c r="N1550" s="208"/>
      <c r="O1550" s="208" t="s">
        <v>40</v>
      </c>
      <c r="P1550" s="208" t="s">
        <v>34</v>
      </c>
    </row>
    <row r="1551" spans="1:16" s="187" customFormat="1" ht="18" customHeight="1">
      <c r="A1551" s="187" t="str">
        <f t="shared" si="24"/>
        <v>V20016B</v>
      </c>
      <c r="B1551" s="206" t="s">
        <v>3133</v>
      </c>
      <c r="C1551" s="206"/>
      <c r="D1551" s="206" t="s">
        <v>3138</v>
      </c>
      <c r="E1551" s="206" t="s">
        <v>29</v>
      </c>
      <c r="F1551" s="206" t="s">
        <v>3134</v>
      </c>
      <c r="G1551" s="206"/>
      <c r="H1551" s="206"/>
      <c r="I1551" s="206" t="s">
        <v>3135</v>
      </c>
      <c r="J1551" s="206" t="s">
        <v>3136</v>
      </c>
      <c r="K1551" s="206" t="s">
        <v>3137</v>
      </c>
      <c r="L1551" s="206"/>
      <c r="M1551" s="207"/>
      <c r="N1551" s="206"/>
      <c r="O1551" s="206" t="s">
        <v>40</v>
      </c>
      <c r="P1551" s="206" t="s">
        <v>34</v>
      </c>
    </row>
    <row r="1552" spans="1:16" s="187" customFormat="1" ht="18" customHeight="1">
      <c r="A1552" s="187" t="str">
        <f t="shared" si="24"/>
        <v>V20016C</v>
      </c>
      <c r="B1552" s="208" t="s">
        <v>3133</v>
      </c>
      <c r="C1552" s="208"/>
      <c r="D1552" s="208" t="s">
        <v>3139</v>
      </c>
      <c r="E1552" s="208" t="s">
        <v>29</v>
      </c>
      <c r="F1552" s="208" t="s">
        <v>3134</v>
      </c>
      <c r="G1552" s="208"/>
      <c r="H1552" s="208"/>
      <c r="I1552" s="208" t="s">
        <v>3135</v>
      </c>
      <c r="J1552" s="208" t="s">
        <v>3136</v>
      </c>
      <c r="K1552" s="208" t="s">
        <v>3137</v>
      </c>
      <c r="L1552" s="208"/>
      <c r="M1552" s="209"/>
      <c r="N1552" s="208"/>
      <c r="O1552" s="208" t="s">
        <v>40</v>
      </c>
      <c r="P1552" s="208" t="s">
        <v>34</v>
      </c>
    </row>
    <row r="1553" spans="1:16" s="187" customFormat="1" ht="18" customHeight="1">
      <c r="A1553" s="187" t="str">
        <f t="shared" si="24"/>
        <v>CG450014C0</v>
      </c>
      <c r="B1553" s="206" t="s">
        <v>3133</v>
      </c>
      <c r="C1553" s="206"/>
      <c r="D1553" s="206" t="s">
        <v>5475</v>
      </c>
      <c r="E1553" s="206" t="s">
        <v>29</v>
      </c>
      <c r="F1553" s="206"/>
      <c r="G1553" s="206"/>
      <c r="H1553" s="206"/>
      <c r="I1553" s="206"/>
      <c r="J1553" s="206"/>
      <c r="K1553" s="206"/>
      <c r="L1553" s="206"/>
      <c r="M1553" s="207"/>
      <c r="N1553" s="206"/>
      <c r="O1553" s="206"/>
      <c r="P1553" s="206" t="s">
        <v>100</v>
      </c>
    </row>
    <row r="1554" spans="1:16" s="187" customFormat="1" ht="18" customHeight="1">
      <c r="A1554" s="187" t="str">
        <f t="shared" si="24"/>
        <v>006101</v>
      </c>
      <c r="B1554" s="208" t="s">
        <v>4536</v>
      </c>
      <c r="C1554" s="208"/>
      <c r="D1554" s="208" t="s">
        <v>4535</v>
      </c>
      <c r="E1554" s="208" t="s">
        <v>29</v>
      </c>
      <c r="F1554" s="208"/>
      <c r="G1554" s="208"/>
      <c r="H1554" s="208"/>
      <c r="I1554" s="208"/>
      <c r="J1554" s="208"/>
      <c r="K1554" s="208"/>
      <c r="L1554" s="208"/>
      <c r="M1554" s="209"/>
      <c r="N1554" s="208"/>
      <c r="O1554" s="208"/>
      <c r="P1554" s="208"/>
    </row>
    <row r="1555" spans="1:16" s="187" customFormat="1" ht="18" customHeight="1">
      <c r="A1555" s="187" t="str">
        <f t="shared" si="24"/>
        <v>V20114C</v>
      </c>
      <c r="B1555" s="206" t="s">
        <v>3141</v>
      </c>
      <c r="C1555" s="206"/>
      <c r="D1555" s="206" t="s">
        <v>3140</v>
      </c>
      <c r="E1555" s="206" t="s">
        <v>29</v>
      </c>
      <c r="F1555" s="206" t="s">
        <v>4537</v>
      </c>
      <c r="G1555" s="206"/>
      <c r="H1555" s="206"/>
      <c r="I1555" s="206"/>
      <c r="J1555" s="206"/>
      <c r="K1555" s="206"/>
      <c r="L1555" s="206"/>
      <c r="M1555" s="207"/>
      <c r="N1555" s="206"/>
      <c r="O1555" s="206"/>
      <c r="P1555" s="206" t="s">
        <v>34</v>
      </c>
    </row>
    <row r="1556" spans="1:16" s="187" customFormat="1" ht="18" customHeight="1">
      <c r="A1556" s="187" t="str">
        <f t="shared" si="24"/>
        <v>V20175C</v>
      </c>
      <c r="B1556" s="208" t="s">
        <v>6471</v>
      </c>
      <c r="C1556" s="208"/>
      <c r="D1556" s="208" t="s">
        <v>6472</v>
      </c>
      <c r="E1556" s="208" t="s">
        <v>29</v>
      </c>
      <c r="F1556" s="208" t="s">
        <v>6473</v>
      </c>
      <c r="G1556" s="208"/>
      <c r="H1556" s="208"/>
      <c r="I1556" s="208"/>
      <c r="J1556" s="208" t="s">
        <v>6474</v>
      </c>
      <c r="K1556" s="208" t="s">
        <v>6475</v>
      </c>
      <c r="L1556" s="208"/>
      <c r="M1556" s="209"/>
      <c r="N1556" s="208"/>
      <c r="O1556" s="208"/>
      <c r="P1556" s="208" t="s">
        <v>34</v>
      </c>
    </row>
    <row r="1557" spans="1:16" s="187" customFormat="1" ht="18" customHeight="1">
      <c r="A1557" s="187" t="str">
        <f t="shared" si="24"/>
        <v>V20068A</v>
      </c>
      <c r="B1557" s="206" t="s">
        <v>3143</v>
      </c>
      <c r="C1557" s="206"/>
      <c r="D1557" s="206" t="s">
        <v>3142</v>
      </c>
      <c r="E1557" s="206" t="s">
        <v>29</v>
      </c>
      <c r="F1557" s="206" t="s">
        <v>3144</v>
      </c>
      <c r="G1557" s="206"/>
      <c r="H1557" s="206"/>
      <c r="I1557" s="206" t="s">
        <v>3145</v>
      </c>
      <c r="J1557" s="206" t="s">
        <v>3146</v>
      </c>
      <c r="K1557" s="206" t="s">
        <v>3147</v>
      </c>
      <c r="L1557" s="206"/>
      <c r="M1557" s="207"/>
      <c r="N1557" s="206"/>
      <c r="O1557" s="206" t="s">
        <v>40</v>
      </c>
      <c r="P1557" s="206" t="s">
        <v>34</v>
      </c>
    </row>
    <row r="1558" spans="1:16" s="187" customFormat="1" ht="18" customHeight="1">
      <c r="A1558" s="187" t="str">
        <f t="shared" si="24"/>
        <v>V20068B</v>
      </c>
      <c r="B1558" s="208" t="s">
        <v>3143</v>
      </c>
      <c r="C1558" s="208"/>
      <c r="D1558" s="208" t="s">
        <v>3148</v>
      </c>
      <c r="E1558" s="208" t="s">
        <v>29</v>
      </c>
      <c r="F1558" s="208" t="s">
        <v>3144</v>
      </c>
      <c r="G1558" s="208"/>
      <c r="H1558" s="208"/>
      <c r="I1558" s="208" t="s">
        <v>3145</v>
      </c>
      <c r="J1558" s="208" t="s">
        <v>3146</v>
      </c>
      <c r="K1558" s="208" t="s">
        <v>3147</v>
      </c>
      <c r="L1558" s="208"/>
      <c r="M1558" s="209"/>
      <c r="N1558" s="208"/>
      <c r="O1558" s="208" t="s">
        <v>40</v>
      </c>
      <c r="P1558" s="208" t="s">
        <v>34</v>
      </c>
    </row>
    <row r="1559" spans="1:16" s="187" customFormat="1" ht="18" customHeight="1">
      <c r="A1559" s="187" t="str">
        <f t="shared" si="24"/>
        <v>V20068C</v>
      </c>
      <c r="B1559" s="206" t="s">
        <v>3143</v>
      </c>
      <c r="C1559" s="206"/>
      <c r="D1559" s="206" t="s">
        <v>3149</v>
      </c>
      <c r="E1559" s="206" t="s">
        <v>29</v>
      </c>
      <c r="F1559" s="206" t="s">
        <v>3144</v>
      </c>
      <c r="G1559" s="206"/>
      <c r="H1559" s="206"/>
      <c r="I1559" s="206" t="s">
        <v>3145</v>
      </c>
      <c r="J1559" s="206" t="s">
        <v>3146</v>
      </c>
      <c r="K1559" s="206" t="s">
        <v>3147</v>
      </c>
      <c r="L1559" s="206"/>
      <c r="M1559" s="207"/>
      <c r="N1559" s="206"/>
      <c r="O1559" s="206" t="s">
        <v>40</v>
      </c>
      <c r="P1559" s="206" t="s">
        <v>34</v>
      </c>
    </row>
    <row r="1560" spans="1:16" s="187" customFormat="1" ht="18" customHeight="1">
      <c r="A1560" s="187" t="str">
        <f t="shared" si="24"/>
        <v>V20168C</v>
      </c>
      <c r="B1560" s="208" t="s">
        <v>6231</v>
      </c>
      <c r="C1560" s="208"/>
      <c r="D1560" s="208" t="s">
        <v>6232</v>
      </c>
      <c r="E1560" s="208" t="s">
        <v>29</v>
      </c>
      <c r="F1560" s="208" t="s">
        <v>6233</v>
      </c>
      <c r="G1560" s="208"/>
      <c r="H1560" s="208"/>
      <c r="I1560" s="208"/>
      <c r="J1560" s="208" t="s">
        <v>6234</v>
      </c>
      <c r="K1560" s="208" t="s">
        <v>6235</v>
      </c>
      <c r="L1560" s="208"/>
      <c r="M1560" s="209"/>
      <c r="N1560" s="208"/>
      <c r="O1560" s="208" t="s">
        <v>40</v>
      </c>
      <c r="P1560" s="208" t="s">
        <v>34</v>
      </c>
    </row>
    <row r="1561" spans="1:16" s="187" customFormat="1" ht="18" customHeight="1">
      <c r="A1561" s="187" t="str">
        <f t="shared" si="24"/>
        <v>003101</v>
      </c>
      <c r="B1561" s="206" t="s">
        <v>4539</v>
      </c>
      <c r="C1561" s="206"/>
      <c r="D1561" s="206" t="s">
        <v>4538</v>
      </c>
      <c r="E1561" s="206" t="s">
        <v>29</v>
      </c>
      <c r="F1561" s="206"/>
      <c r="G1561" s="206"/>
      <c r="H1561" s="206"/>
      <c r="I1561" s="206"/>
      <c r="J1561" s="206"/>
      <c r="K1561" s="206"/>
      <c r="L1561" s="206"/>
      <c r="M1561" s="207"/>
      <c r="N1561" s="206"/>
      <c r="O1561" s="206"/>
      <c r="P1561" s="206"/>
    </row>
    <row r="1562" spans="1:16" s="187" customFormat="1" ht="18" customHeight="1">
      <c r="A1562" s="187" t="str">
        <f t="shared" si="24"/>
        <v>003102</v>
      </c>
      <c r="B1562" s="208" t="s">
        <v>4539</v>
      </c>
      <c r="C1562" s="208"/>
      <c r="D1562" s="208" t="s">
        <v>4540</v>
      </c>
      <c r="E1562" s="208" t="s">
        <v>29</v>
      </c>
      <c r="F1562" s="208"/>
      <c r="G1562" s="208"/>
      <c r="H1562" s="208"/>
      <c r="I1562" s="208"/>
      <c r="J1562" s="208"/>
      <c r="K1562" s="208"/>
      <c r="L1562" s="208"/>
      <c r="M1562" s="209"/>
      <c r="N1562" s="208"/>
      <c r="O1562" s="208"/>
      <c r="P1562" s="208"/>
    </row>
    <row r="1563" spans="1:16" s="187" customFormat="1" ht="18" customHeight="1">
      <c r="A1563" s="187" t="str">
        <f t="shared" si="24"/>
        <v>003103</v>
      </c>
      <c r="B1563" s="206" t="s">
        <v>4539</v>
      </c>
      <c r="C1563" s="206"/>
      <c r="D1563" s="206" t="s">
        <v>4541</v>
      </c>
      <c r="E1563" s="206" t="s">
        <v>29</v>
      </c>
      <c r="F1563" s="206"/>
      <c r="G1563" s="206"/>
      <c r="H1563" s="206"/>
      <c r="I1563" s="206"/>
      <c r="J1563" s="206"/>
      <c r="K1563" s="206"/>
      <c r="L1563" s="206"/>
      <c r="M1563" s="207"/>
      <c r="N1563" s="206"/>
      <c r="O1563" s="206"/>
      <c r="P1563" s="206"/>
    </row>
    <row r="1564" spans="1:16" s="187" customFormat="1" ht="18" customHeight="1">
      <c r="A1564" s="187" t="str">
        <f t="shared" si="24"/>
        <v>003201</v>
      </c>
      <c r="B1564" s="208" t="s">
        <v>3649</v>
      </c>
      <c r="C1564" s="208"/>
      <c r="D1564" s="208" t="s">
        <v>4542</v>
      </c>
      <c r="E1564" s="208" t="s">
        <v>29</v>
      </c>
      <c r="F1564" s="208"/>
      <c r="G1564" s="208"/>
      <c r="H1564" s="208"/>
      <c r="I1564" s="208"/>
      <c r="J1564" s="208"/>
      <c r="K1564" s="208"/>
      <c r="L1564" s="208"/>
      <c r="M1564" s="209"/>
      <c r="N1564" s="208"/>
      <c r="O1564" s="208"/>
      <c r="P1564" s="208"/>
    </row>
    <row r="1565" spans="1:16" s="187" customFormat="1" ht="18" customHeight="1">
      <c r="A1565" s="187" t="str">
        <f t="shared" si="24"/>
        <v>V20129B</v>
      </c>
      <c r="B1565" s="206" t="s">
        <v>4998</v>
      </c>
      <c r="C1565" s="206"/>
      <c r="D1565" s="206" t="s">
        <v>4999</v>
      </c>
      <c r="E1565" s="206" t="s">
        <v>29</v>
      </c>
      <c r="F1565" s="206" t="s">
        <v>5000</v>
      </c>
      <c r="G1565" s="206"/>
      <c r="H1565" s="206"/>
      <c r="I1565" s="206"/>
      <c r="J1565" s="206" t="s">
        <v>5001</v>
      </c>
      <c r="K1565" s="206" t="s">
        <v>5002</v>
      </c>
      <c r="L1565" s="206"/>
      <c r="M1565" s="207"/>
      <c r="N1565" s="206"/>
      <c r="O1565" s="206"/>
      <c r="P1565" s="206" t="s">
        <v>34</v>
      </c>
    </row>
    <row r="1566" spans="1:16" s="187" customFormat="1" ht="18" customHeight="1">
      <c r="A1566" s="187" t="str">
        <f t="shared" si="24"/>
        <v>V20027A</v>
      </c>
      <c r="B1566" s="208" t="s">
        <v>3151</v>
      </c>
      <c r="C1566" s="208"/>
      <c r="D1566" s="208" t="s">
        <v>3150</v>
      </c>
      <c r="E1566" s="208" t="s">
        <v>29</v>
      </c>
      <c r="F1566" s="208" t="s">
        <v>3152</v>
      </c>
      <c r="G1566" s="208" t="s">
        <v>3153</v>
      </c>
      <c r="H1566" s="208"/>
      <c r="I1566" s="208" t="s">
        <v>3154</v>
      </c>
      <c r="J1566" s="208" t="s">
        <v>3155</v>
      </c>
      <c r="K1566" s="208" t="s">
        <v>3156</v>
      </c>
      <c r="L1566" s="208"/>
      <c r="M1566" s="209"/>
      <c r="N1566" s="208"/>
      <c r="O1566" s="208" t="s">
        <v>40</v>
      </c>
      <c r="P1566" s="208" t="s">
        <v>34</v>
      </c>
    </row>
    <row r="1567" spans="1:16" s="187" customFormat="1" ht="18" customHeight="1">
      <c r="A1567" s="187" t="str">
        <f t="shared" si="24"/>
        <v>V20027B</v>
      </c>
      <c r="B1567" s="206" t="s">
        <v>3151</v>
      </c>
      <c r="C1567" s="206"/>
      <c r="D1567" s="206" t="s">
        <v>3157</v>
      </c>
      <c r="E1567" s="206" t="s">
        <v>29</v>
      </c>
      <c r="F1567" s="206" t="s">
        <v>3152</v>
      </c>
      <c r="G1567" s="206" t="s">
        <v>3158</v>
      </c>
      <c r="H1567" s="206"/>
      <c r="I1567" s="206" t="s">
        <v>3154</v>
      </c>
      <c r="J1567" s="206" t="s">
        <v>3155</v>
      </c>
      <c r="K1567" s="206" t="s">
        <v>3156</v>
      </c>
      <c r="L1567" s="206"/>
      <c r="M1567" s="207"/>
      <c r="N1567" s="206"/>
      <c r="O1567" s="206" t="s">
        <v>40</v>
      </c>
      <c r="P1567" s="206" t="s">
        <v>34</v>
      </c>
    </row>
    <row r="1568" spans="1:16" s="187" customFormat="1" ht="18" customHeight="1">
      <c r="A1568" s="187" t="str">
        <f t="shared" si="24"/>
        <v>V20027C</v>
      </c>
      <c r="B1568" s="208" t="s">
        <v>3151</v>
      </c>
      <c r="C1568" s="208"/>
      <c r="D1568" s="208" t="s">
        <v>3159</v>
      </c>
      <c r="E1568" s="208" t="s">
        <v>29</v>
      </c>
      <c r="F1568" s="208" t="s">
        <v>3152</v>
      </c>
      <c r="G1568" s="208" t="s">
        <v>3158</v>
      </c>
      <c r="H1568" s="208"/>
      <c r="I1568" s="208" t="s">
        <v>3154</v>
      </c>
      <c r="J1568" s="208" t="s">
        <v>3155</v>
      </c>
      <c r="K1568" s="208" t="s">
        <v>3156</v>
      </c>
      <c r="L1568" s="208"/>
      <c r="M1568" s="209"/>
      <c r="N1568" s="208"/>
      <c r="O1568" s="208" t="s">
        <v>40</v>
      </c>
      <c r="P1568" s="208" t="s">
        <v>34</v>
      </c>
    </row>
    <row r="1569" spans="1:16" s="187" customFormat="1" ht="18" customHeight="1">
      <c r="A1569" s="187" t="str">
        <f t="shared" si="24"/>
        <v>OS-000056</v>
      </c>
      <c r="B1569" s="206" t="s">
        <v>3161</v>
      </c>
      <c r="C1569" s="206"/>
      <c r="D1569" s="206" t="s">
        <v>3160</v>
      </c>
      <c r="E1569" s="206" t="s">
        <v>151</v>
      </c>
      <c r="F1569" s="206" t="s">
        <v>3162</v>
      </c>
      <c r="G1569" s="206"/>
      <c r="H1569" s="206"/>
      <c r="I1569" s="206" t="s">
        <v>3163</v>
      </c>
      <c r="J1569" s="206" t="s">
        <v>3164</v>
      </c>
      <c r="K1569" s="206" t="s">
        <v>3165</v>
      </c>
      <c r="L1569" s="206"/>
      <c r="M1569" s="207"/>
      <c r="N1569" s="206"/>
      <c r="O1569" s="206"/>
      <c r="P1569" s="206" t="s">
        <v>34</v>
      </c>
    </row>
    <row r="1570" spans="1:16" s="187" customFormat="1" ht="18" customHeight="1">
      <c r="A1570" s="187" t="str">
        <f t="shared" si="24"/>
        <v>CG440018C0</v>
      </c>
      <c r="B1570" s="208" t="s">
        <v>3167</v>
      </c>
      <c r="C1570" s="208"/>
      <c r="D1570" s="208" t="s">
        <v>3166</v>
      </c>
      <c r="E1570" s="208" t="s">
        <v>29</v>
      </c>
      <c r="F1570" s="208" t="s">
        <v>3168</v>
      </c>
      <c r="G1570" s="208"/>
      <c r="H1570" s="208"/>
      <c r="I1570" s="208"/>
      <c r="J1570" s="208"/>
      <c r="K1570" s="208"/>
      <c r="L1570" s="208"/>
      <c r="M1570" s="209"/>
      <c r="N1570" s="208"/>
      <c r="O1570" s="208"/>
      <c r="P1570" s="208" t="s">
        <v>100</v>
      </c>
    </row>
    <row r="1571" spans="1:16" s="187" customFormat="1" ht="18" customHeight="1">
      <c r="A1571" s="187" t="str">
        <f t="shared" si="24"/>
        <v>V10181A</v>
      </c>
      <c r="B1571" s="206" t="s">
        <v>3167</v>
      </c>
      <c r="C1571" s="206"/>
      <c r="D1571" s="206" t="s">
        <v>3169</v>
      </c>
      <c r="E1571" s="206" t="s">
        <v>29</v>
      </c>
      <c r="F1571" s="206" t="s">
        <v>6236</v>
      </c>
      <c r="G1571" s="206" t="s">
        <v>3170</v>
      </c>
      <c r="H1571" s="206"/>
      <c r="I1571" s="206" t="s">
        <v>3171</v>
      </c>
      <c r="J1571" s="206" t="s">
        <v>3172</v>
      </c>
      <c r="K1571" s="206" t="s">
        <v>3173</v>
      </c>
      <c r="L1571" s="206"/>
      <c r="M1571" s="207"/>
      <c r="N1571" s="206"/>
      <c r="O1571" s="206" t="s">
        <v>260</v>
      </c>
      <c r="P1571" s="206" t="s">
        <v>91</v>
      </c>
    </row>
    <row r="1572" spans="1:16" s="187" customFormat="1" ht="18" customHeight="1">
      <c r="A1572" s="187" t="str">
        <f t="shared" si="24"/>
        <v>V10181B</v>
      </c>
      <c r="B1572" s="208" t="s">
        <v>3167</v>
      </c>
      <c r="C1572" s="208"/>
      <c r="D1572" s="208" t="s">
        <v>3174</v>
      </c>
      <c r="E1572" s="208" t="s">
        <v>29</v>
      </c>
      <c r="F1572" s="208" t="s">
        <v>6236</v>
      </c>
      <c r="G1572" s="208" t="s">
        <v>3170</v>
      </c>
      <c r="H1572" s="208"/>
      <c r="I1572" s="208" t="s">
        <v>3171</v>
      </c>
      <c r="J1572" s="208" t="s">
        <v>3172</v>
      </c>
      <c r="K1572" s="208" t="s">
        <v>3173</v>
      </c>
      <c r="L1572" s="208"/>
      <c r="M1572" s="209"/>
      <c r="N1572" s="208"/>
      <c r="O1572" s="208" t="s">
        <v>260</v>
      </c>
      <c r="P1572" s="208" t="s">
        <v>91</v>
      </c>
    </row>
    <row r="1573" spans="1:16" s="187" customFormat="1" ht="18" customHeight="1">
      <c r="A1573" s="187" t="str">
        <f t="shared" si="24"/>
        <v>V10181C</v>
      </c>
      <c r="B1573" s="206" t="s">
        <v>3167</v>
      </c>
      <c r="C1573" s="206"/>
      <c r="D1573" s="206" t="s">
        <v>3175</v>
      </c>
      <c r="E1573" s="206" t="s">
        <v>29</v>
      </c>
      <c r="F1573" s="206" t="s">
        <v>6236</v>
      </c>
      <c r="G1573" s="206" t="s">
        <v>3170</v>
      </c>
      <c r="H1573" s="206"/>
      <c r="I1573" s="206" t="s">
        <v>3171</v>
      </c>
      <c r="J1573" s="206" t="s">
        <v>3172</v>
      </c>
      <c r="K1573" s="206" t="s">
        <v>3173</v>
      </c>
      <c r="L1573" s="206"/>
      <c r="M1573" s="207"/>
      <c r="N1573" s="206"/>
      <c r="O1573" s="206" t="s">
        <v>260</v>
      </c>
      <c r="P1573" s="206" t="s">
        <v>91</v>
      </c>
    </row>
    <row r="1574" spans="1:16" s="187" customFormat="1" ht="18" customHeight="1">
      <c r="A1574" s="187" t="str">
        <f t="shared" si="24"/>
        <v>V20082A</v>
      </c>
      <c r="B1574" s="208" t="s">
        <v>3177</v>
      </c>
      <c r="C1574" s="208"/>
      <c r="D1574" s="208" t="s">
        <v>3176</v>
      </c>
      <c r="E1574" s="208" t="s">
        <v>29</v>
      </c>
      <c r="F1574" s="208" t="s">
        <v>3178</v>
      </c>
      <c r="G1574" s="208"/>
      <c r="H1574" s="208"/>
      <c r="I1574" s="208"/>
      <c r="J1574" s="208" t="s">
        <v>3179</v>
      </c>
      <c r="K1574" s="208" t="s">
        <v>3180</v>
      </c>
      <c r="L1574" s="208"/>
      <c r="M1574" s="209"/>
      <c r="N1574" s="208"/>
      <c r="O1574" s="208" t="s">
        <v>40</v>
      </c>
      <c r="P1574" s="208" t="s">
        <v>34</v>
      </c>
    </row>
    <row r="1575" spans="1:16" s="187" customFormat="1" ht="18" customHeight="1">
      <c r="A1575" s="187" t="str">
        <f t="shared" si="24"/>
        <v>V20082B</v>
      </c>
      <c r="B1575" s="206" t="s">
        <v>3177</v>
      </c>
      <c r="C1575" s="206"/>
      <c r="D1575" s="206" t="s">
        <v>3181</v>
      </c>
      <c r="E1575" s="206" t="s">
        <v>29</v>
      </c>
      <c r="F1575" s="206" t="s">
        <v>3178</v>
      </c>
      <c r="G1575" s="206"/>
      <c r="H1575" s="206"/>
      <c r="I1575" s="206"/>
      <c r="J1575" s="206" t="s">
        <v>3179</v>
      </c>
      <c r="K1575" s="206" t="s">
        <v>3180</v>
      </c>
      <c r="L1575" s="206"/>
      <c r="M1575" s="207"/>
      <c r="N1575" s="206"/>
      <c r="O1575" s="206" t="s">
        <v>40</v>
      </c>
      <c r="P1575" s="206" t="s">
        <v>34</v>
      </c>
    </row>
    <row r="1576" spans="1:16" s="187" customFormat="1" ht="18" customHeight="1">
      <c r="A1576" s="187" t="str">
        <f t="shared" si="24"/>
        <v>V20082C</v>
      </c>
      <c r="B1576" s="208" t="s">
        <v>3177</v>
      </c>
      <c r="C1576" s="208"/>
      <c r="D1576" s="208" t="s">
        <v>3182</v>
      </c>
      <c r="E1576" s="208" t="s">
        <v>29</v>
      </c>
      <c r="F1576" s="208" t="s">
        <v>3178</v>
      </c>
      <c r="G1576" s="208"/>
      <c r="H1576" s="208"/>
      <c r="I1576" s="208"/>
      <c r="J1576" s="208" t="s">
        <v>3179</v>
      </c>
      <c r="K1576" s="208" t="s">
        <v>3180</v>
      </c>
      <c r="L1576" s="208"/>
      <c r="M1576" s="209"/>
      <c r="N1576" s="208"/>
      <c r="O1576" s="208" t="s">
        <v>40</v>
      </c>
      <c r="P1576" s="208" t="s">
        <v>34</v>
      </c>
    </row>
    <row r="1577" spans="1:16" s="187" customFormat="1" ht="18" customHeight="1">
      <c r="A1577" s="187" t="str">
        <f t="shared" si="24"/>
        <v>V4033C1</v>
      </c>
      <c r="B1577" s="206" t="s">
        <v>3184</v>
      </c>
      <c r="C1577" s="206"/>
      <c r="D1577" s="206" t="s">
        <v>3183</v>
      </c>
      <c r="E1577" s="206" t="s">
        <v>151</v>
      </c>
      <c r="F1577" s="206" t="s">
        <v>3185</v>
      </c>
      <c r="G1577" s="206"/>
      <c r="H1577" s="206"/>
      <c r="I1577" s="206"/>
      <c r="J1577" s="206" t="s">
        <v>387</v>
      </c>
      <c r="K1577" s="206" t="s">
        <v>3186</v>
      </c>
      <c r="L1577" s="206"/>
      <c r="M1577" s="207"/>
      <c r="N1577" s="206"/>
      <c r="O1577" s="206"/>
      <c r="P1577" s="206" t="s">
        <v>107</v>
      </c>
    </row>
    <row r="1578" spans="1:16" s="187" customFormat="1" ht="18" customHeight="1">
      <c r="A1578" s="187" t="str">
        <f t="shared" si="24"/>
        <v>V20083A</v>
      </c>
      <c r="B1578" s="208" t="s">
        <v>3188</v>
      </c>
      <c r="C1578" s="208"/>
      <c r="D1578" s="208" t="s">
        <v>3187</v>
      </c>
      <c r="E1578" s="208" t="s">
        <v>29</v>
      </c>
      <c r="F1578" s="208" t="s">
        <v>3189</v>
      </c>
      <c r="G1578" s="208"/>
      <c r="H1578" s="208"/>
      <c r="I1578" s="208"/>
      <c r="J1578" s="208" t="s">
        <v>3190</v>
      </c>
      <c r="K1578" s="208" t="s">
        <v>3191</v>
      </c>
      <c r="L1578" s="208"/>
      <c r="M1578" s="209"/>
      <c r="N1578" s="208"/>
      <c r="O1578" s="208" t="s">
        <v>40</v>
      </c>
      <c r="P1578" s="208" t="s">
        <v>34</v>
      </c>
    </row>
    <row r="1579" spans="1:16" s="187" customFormat="1" ht="18" customHeight="1">
      <c r="A1579" s="187" t="str">
        <f t="shared" si="24"/>
        <v>V20083B</v>
      </c>
      <c r="B1579" s="206" t="s">
        <v>3188</v>
      </c>
      <c r="C1579" s="206"/>
      <c r="D1579" s="206" t="s">
        <v>3192</v>
      </c>
      <c r="E1579" s="206" t="s">
        <v>29</v>
      </c>
      <c r="F1579" s="206" t="s">
        <v>3189</v>
      </c>
      <c r="G1579" s="206"/>
      <c r="H1579" s="206"/>
      <c r="I1579" s="206"/>
      <c r="J1579" s="206" t="s">
        <v>3190</v>
      </c>
      <c r="K1579" s="206" t="s">
        <v>3191</v>
      </c>
      <c r="L1579" s="206"/>
      <c r="M1579" s="207"/>
      <c r="N1579" s="206"/>
      <c r="O1579" s="206" t="s">
        <v>40</v>
      </c>
      <c r="P1579" s="206" t="s">
        <v>34</v>
      </c>
    </row>
    <row r="1580" spans="1:16" s="187" customFormat="1" ht="18" customHeight="1">
      <c r="A1580" s="187" t="str">
        <f t="shared" si="24"/>
        <v>V20083C</v>
      </c>
      <c r="B1580" s="208" t="s">
        <v>3188</v>
      </c>
      <c r="C1580" s="208"/>
      <c r="D1580" s="208" t="s">
        <v>3193</v>
      </c>
      <c r="E1580" s="208" t="s">
        <v>29</v>
      </c>
      <c r="F1580" s="208" t="s">
        <v>3189</v>
      </c>
      <c r="G1580" s="208"/>
      <c r="H1580" s="208"/>
      <c r="I1580" s="208"/>
      <c r="J1580" s="208" t="s">
        <v>3190</v>
      </c>
      <c r="K1580" s="208" t="s">
        <v>3191</v>
      </c>
      <c r="L1580" s="208"/>
      <c r="M1580" s="209"/>
      <c r="N1580" s="208"/>
      <c r="O1580" s="208" t="s">
        <v>40</v>
      </c>
      <c r="P1580" s="208" t="s">
        <v>34</v>
      </c>
    </row>
    <row r="1581" spans="1:16" s="187" customFormat="1" ht="18" customHeight="1">
      <c r="A1581" s="187" t="str">
        <f t="shared" si="24"/>
        <v>V20036A</v>
      </c>
      <c r="B1581" s="206" t="s">
        <v>3195</v>
      </c>
      <c r="C1581" s="206"/>
      <c r="D1581" s="206" t="s">
        <v>3194</v>
      </c>
      <c r="E1581" s="206" t="s">
        <v>29</v>
      </c>
      <c r="F1581" s="206" t="s">
        <v>3189</v>
      </c>
      <c r="G1581" s="206"/>
      <c r="H1581" s="206"/>
      <c r="I1581" s="206"/>
      <c r="J1581" s="206" t="s">
        <v>3196</v>
      </c>
      <c r="K1581" s="206" t="s">
        <v>4543</v>
      </c>
      <c r="L1581" s="206"/>
      <c r="M1581" s="207"/>
      <c r="N1581" s="206"/>
      <c r="O1581" s="206" t="s">
        <v>40</v>
      </c>
      <c r="P1581" s="206" t="s">
        <v>34</v>
      </c>
    </row>
    <row r="1582" spans="1:16" s="187" customFormat="1" ht="18" customHeight="1">
      <c r="A1582" s="187" t="str">
        <f t="shared" si="24"/>
        <v>V20036B</v>
      </c>
      <c r="B1582" s="208" t="s">
        <v>3195</v>
      </c>
      <c r="C1582" s="208"/>
      <c r="D1582" s="208" t="s">
        <v>3197</v>
      </c>
      <c r="E1582" s="208" t="s">
        <v>29</v>
      </c>
      <c r="F1582" s="208" t="s">
        <v>3189</v>
      </c>
      <c r="G1582" s="208"/>
      <c r="H1582" s="208"/>
      <c r="I1582" s="208"/>
      <c r="J1582" s="208" t="s">
        <v>3196</v>
      </c>
      <c r="K1582" s="208" t="s">
        <v>4543</v>
      </c>
      <c r="L1582" s="208"/>
      <c r="M1582" s="209"/>
      <c r="N1582" s="208"/>
      <c r="O1582" s="208" t="s">
        <v>40</v>
      </c>
      <c r="P1582" s="208" t="s">
        <v>34</v>
      </c>
    </row>
    <row r="1583" spans="1:16" s="187" customFormat="1" ht="18" customHeight="1">
      <c r="A1583" s="187" t="str">
        <f t="shared" si="24"/>
        <v>V20036C</v>
      </c>
      <c r="B1583" s="206" t="s">
        <v>3195</v>
      </c>
      <c r="C1583" s="206"/>
      <c r="D1583" s="206" t="s">
        <v>3198</v>
      </c>
      <c r="E1583" s="206" t="s">
        <v>29</v>
      </c>
      <c r="F1583" s="206" t="s">
        <v>3189</v>
      </c>
      <c r="G1583" s="206"/>
      <c r="H1583" s="206"/>
      <c r="I1583" s="206"/>
      <c r="J1583" s="206" t="s">
        <v>3196</v>
      </c>
      <c r="K1583" s="206" t="s">
        <v>4543</v>
      </c>
      <c r="L1583" s="206"/>
      <c r="M1583" s="207"/>
      <c r="N1583" s="206"/>
      <c r="O1583" s="206" t="s">
        <v>40</v>
      </c>
      <c r="P1583" s="206" t="s">
        <v>34</v>
      </c>
    </row>
    <row r="1584" spans="1:16" s="187" customFormat="1" ht="18" customHeight="1">
      <c r="A1584" s="187" t="str">
        <f t="shared" si="24"/>
        <v>CG450025C0</v>
      </c>
      <c r="B1584" s="208" t="s">
        <v>3195</v>
      </c>
      <c r="C1584" s="208"/>
      <c r="D1584" s="208" t="s">
        <v>6476</v>
      </c>
      <c r="E1584" s="208" t="s">
        <v>29</v>
      </c>
      <c r="F1584" s="208" t="s">
        <v>3189</v>
      </c>
      <c r="G1584" s="208"/>
      <c r="H1584" s="208"/>
      <c r="I1584" s="208"/>
      <c r="J1584" s="208" t="s">
        <v>3196</v>
      </c>
      <c r="K1584" s="208" t="s">
        <v>4543</v>
      </c>
      <c r="L1584" s="208"/>
      <c r="M1584" s="209"/>
      <c r="N1584" s="208"/>
      <c r="O1584" s="208" t="s">
        <v>40</v>
      </c>
      <c r="P1584" s="208" t="s">
        <v>34</v>
      </c>
    </row>
    <row r="1585" spans="1:16" s="187" customFormat="1" ht="18" customHeight="1">
      <c r="A1585" s="187" t="str">
        <f t="shared" si="24"/>
        <v>V4062C1</v>
      </c>
      <c r="B1585" s="206" t="s">
        <v>3200</v>
      </c>
      <c r="C1585" s="206"/>
      <c r="D1585" s="206" t="s">
        <v>3199</v>
      </c>
      <c r="E1585" s="206" t="s">
        <v>151</v>
      </c>
      <c r="F1585" s="206"/>
      <c r="G1585" s="206"/>
      <c r="H1585" s="206"/>
      <c r="I1585" s="206"/>
      <c r="J1585" s="206" t="s">
        <v>387</v>
      </c>
      <c r="K1585" s="206" t="s">
        <v>3201</v>
      </c>
      <c r="L1585" s="206"/>
      <c r="M1585" s="207"/>
      <c r="N1585" s="206"/>
      <c r="O1585" s="206"/>
      <c r="P1585" s="206" t="s">
        <v>107</v>
      </c>
    </row>
    <row r="1586" spans="1:16" s="187" customFormat="1" ht="18" customHeight="1">
      <c r="A1586" s="187" t="str">
        <f t="shared" si="24"/>
        <v>V20056A</v>
      </c>
      <c r="B1586" s="208" t="s">
        <v>3203</v>
      </c>
      <c r="C1586" s="208"/>
      <c r="D1586" s="208" t="s">
        <v>3202</v>
      </c>
      <c r="E1586" s="208" t="s">
        <v>29</v>
      </c>
      <c r="F1586" s="208" t="s">
        <v>3204</v>
      </c>
      <c r="G1586" s="208"/>
      <c r="H1586" s="208"/>
      <c r="I1586" s="208" t="s">
        <v>3205</v>
      </c>
      <c r="J1586" s="208" t="s">
        <v>3206</v>
      </c>
      <c r="K1586" s="208" t="s">
        <v>3207</v>
      </c>
      <c r="L1586" s="208"/>
      <c r="M1586" s="209"/>
      <c r="N1586" s="208"/>
      <c r="O1586" s="208" t="s">
        <v>40</v>
      </c>
      <c r="P1586" s="208" t="s">
        <v>34</v>
      </c>
    </row>
    <row r="1587" spans="1:16" s="187" customFormat="1" ht="18" customHeight="1">
      <c r="A1587" s="187" t="str">
        <f t="shared" si="24"/>
        <v>V20056B</v>
      </c>
      <c r="B1587" s="206" t="s">
        <v>3203</v>
      </c>
      <c r="C1587" s="206"/>
      <c r="D1587" s="206" t="s">
        <v>3208</v>
      </c>
      <c r="E1587" s="206" t="s">
        <v>29</v>
      </c>
      <c r="F1587" s="206" t="s">
        <v>3204</v>
      </c>
      <c r="G1587" s="206"/>
      <c r="H1587" s="206"/>
      <c r="I1587" s="206" t="s">
        <v>3205</v>
      </c>
      <c r="J1587" s="206" t="s">
        <v>3206</v>
      </c>
      <c r="K1587" s="206" t="s">
        <v>3207</v>
      </c>
      <c r="L1587" s="206"/>
      <c r="M1587" s="207"/>
      <c r="N1587" s="206"/>
      <c r="O1587" s="206" t="s">
        <v>40</v>
      </c>
      <c r="P1587" s="206" t="s">
        <v>34</v>
      </c>
    </row>
    <row r="1588" spans="1:16" s="187" customFormat="1" ht="18" customHeight="1">
      <c r="A1588" s="187" t="str">
        <f t="shared" si="24"/>
        <v>V20056C</v>
      </c>
      <c r="B1588" s="208" t="s">
        <v>3203</v>
      </c>
      <c r="C1588" s="208"/>
      <c r="D1588" s="208" t="s">
        <v>3209</v>
      </c>
      <c r="E1588" s="208" t="s">
        <v>29</v>
      </c>
      <c r="F1588" s="208" t="s">
        <v>3204</v>
      </c>
      <c r="G1588" s="208"/>
      <c r="H1588" s="208"/>
      <c r="I1588" s="208" t="s">
        <v>3205</v>
      </c>
      <c r="J1588" s="208" t="s">
        <v>3206</v>
      </c>
      <c r="K1588" s="208" t="s">
        <v>3207</v>
      </c>
      <c r="L1588" s="208"/>
      <c r="M1588" s="209"/>
      <c r="N1588" s="208"/>
      <c r="O1588" s="208" t="s">
        <v>40</v>
      </c>
      <c r="P1588" s="208" t="s">
        <v>34</v>
      </c>
    </row>
    <row r="1589" spans="1:16" s="187" customFormat="1" ht="18" customHeight="1">
      <c r="A1589" s="187" t="str">
        <f t="shared" si="24"/>
        <v>V20007A</v>
      </c>
      <c r="B1589" s="206" t="s">
        <v>3211</v>
      </c>
      <c r="C1589" s="206"/>
      <c r="D1589" s="206" t="s">
        <v>3210</v>
      </c>
      <c r="E1589" s="206" t="s">
        <v>29</v>
      </c>
      <c r="F1589" s="206" t="s">
        <v>6477</v>
      </c>
      <c r="G1589" s="206"/>
      <c r="H1589" s="206"/>
      <c r="I1589" s="206" t="s">
        <v>3212</v>
      </c>
      <c r="J1589" s="206" t="s">
        <v>3213</v>
      </c>
      <c r="K1589" s="206" t="s">
        <v>4544</v>
      </c>
      <c r="L1589" s="206"/>
      <c r="M1589" s="207"/>
      <c r="N1589" s="206"/>
      <c r="O1589" s="206" t="s">
        <v>40</v>
      </c>
      <c r="P1589" s="206" t="s">
        <v>34</v>
      </c>
    </row>
    <row r="1590" spans="1:16" s="187" customFormat="1" ht="18" customHeight="1">
      <c r="A1590" s="187" t="str">
        <f t="shared" si="24"/>
        <v>V20007B</v>
      </c>
      <c r="B1590" s="208" t="s">
        <v>3211</v>
      </c>
      <c r="C1590" s="208"/>
      <c r="D1590" s="208" t="s">
        <v>3214</v>
      </c>
      <c r="E1590" s="208" t="s">
        <v>29</v>
      </c>
      <c r="F1590" s="208" t="s">
        <v>6477</v>
      </c>
      <c r="G1590" s="208"/>
      <c r="H1590" s="208"/>
      <c r="I1590" s="208" t="s">
        <v>3212</v>
      </c>
      <c r="J1590" s="208" t="s">
        <v>3213</v>
      </c>
      <c r="K1590" s="208" t="s">
        <v>4544</v>
      </c>
      <c r="L1590" s="208"/>
      <c r="M1590" s="209"/>
      <c r="N1590" s="208"/>
      <c r="O1590" s="208" t="s">
        <v>40</v>
      </c>
      <c r="P1590" s="208" t="s">
        <v>34</v>
      </c>
    </row>
    <row r="1591" spans="1:16" s="187" customFormat="1" ht="18" customHeight="1">
      <c r="A1591" s="187" t="str">
        <f t="shared" si="24"/>
        <v>V20007C</v>
      </c>
      <c r="B1591" s="206" t="s">
        <v>3211</v>
      </c>
      <c r="C1591" s="206"/>
      <c r="D1591" s="206" t="s">
        <v>3215</v>
      </c>
      <c r="E1591" s="206" t="s">
        <v>29</v>
      </c>
      <c r="F1591" s="206" t="s">
        <v>6477</v>
      </c>
      <c r="G1591" s="206"/>
      <c r="H1591" s="206"/>
      <c r="I1591" s="206" t="s">
        <v>3212</v>
      </c>
      <c r="J1591" s="206" t="s">
        <v>3213</v>
      </c>
      <c r="K1591" s="206" t="s">
        <v>4544</v>
      </c>
      <c r="L1591" s="206"/>
      <c r="M1591" s="207"/>
      <c r="N1591" s="206"/>
      <c r="O1591" s="206" t="s">
        <v>40</v>
      </c>
      <c r="P1591" s="206" t="s">
        <v>34</v>
      </c>
    </row>
    <row r="1592" spans="1:16" s="187" customFormat="1" ht="18" customHeight="1">
      <c r="A1592" s="187" t="str">
        <f t="shared" si="24"/>
        <v>CG450024C0</v>
      </c>
      <c r="B1592" s="208" t="s">
        <v>3211</v>
      </c>
      <c r="C1592" s="208"/>
      <c r="D1592" s="208" t="s">
        <v>6237</v>
      </c>
      <c r="E1592" s="208" t="s">
        <v>29</v>
      </c>
      <c r="F1592" s="208"/>
      <c r="G1592" s="208"/>
      <c r="H1592" s="208"/>
      <c r="I1592" s="208"/>
      <c r="J1592" s="208"/>
      <c r="K1592" s="208"/>
      <c r="L1592" s="208"/>
      <c r="M1592" s="209"/>
      <c r="N1592" s="208"/>
      <c r="O1592" s="208"/>
      <c r="P1592" s="208" t="s">
        <v>100</v>
      </c>
    </row>
    <row r="1593" spans="1:16" s="187" customFormat="1" ht="18" customHeight="1">
      <c r="A1593" s="187" t="str">
        <f t="shared" si="24"/>
        <v>003301</v>
      </c>
      <c r="B1593" s="206" t="s">
        <v>4546</v>
      </c>
      <c r="C1593" s="206"/>
      <c r="D1593" s="206" t="s">
        <v>4545</v>
      </c>
      <c r="E1593" s="206" t="s">
        <v>29</v>
      </c>
      <c r="F1593" s="206"/>
      <c r="G1593" s="206"/>
      <c r="H1593" s="206"/>
      <c r="I1593" s="206"/>
      <c r="J1593" s="206"/>
      <c r="K1593" s="206"/>
      <c r="L1593" s="206"/>
      <c r="M1593" s="207"/>
      <c r="N1593" s="206"/>
      <c r="O1593" s="206"/>
      <c r="P1593" s="206"/>
    </row>
    <row r="1594" spans="1:16" s="187" customFormat="1" ht="18" customHeight="1">
      <c r="A1594" s="187" t="str">
        <f t="shared" si="24"/>
        <v>003302</v>
      </c>
      <c r="B1594" s="208" t="s">
        <v>4546</v>
      </c>
      <c r="C1594" s="208"/>
      <c r="D1594" s="208" t="s">
        <v>4547</v>
      </c>
      <c r="E1594" s="208" t="s">
        <v>29</v>
      </c>
      <c r="F1594" s="208"/>
      <c r="G1594" s="208"/>
      <c r="H1594" s="208"/>
      <c r="I1594" s="208"/>
      <c r="J1594" s="208"/>
      <c r="K1594" s="208"/>
      <c r="L1594" s="208"/>
      <c r="M1594" s="209"/>
      <c r="N1594" s="208"/>
      <c r="O1594" s="208"/>
      <c r="P1594" s="208"/>
    </row>
    <row r="1595" spans="1:16" s="187" customFormat="1" ht="18" customHeight="1">
      <c r="A1595" s="187" t="str">
        <f t="shared" si="24"/>
        <v>003303</v>
      </c>
      <c r="B1595" s="206" t="s">
        <v>4546</v>
      </c>
      <c r="C1595" s="206"/>
      <c r="D1595" s="206" t="s">
        <v>4548</v>
      </c>
      <c r="E1595" s="206" t="s">
        <v>29</v>
      </c>
      <c r="F1595" s="206"/>
      <c r="G1595" s="206"/>
      <c r="H1595" s="206"/>
      <c r="I1595" s="206"/>
      <c r="J1595" s="206"/>
      <c r="K1595" s="206"/>
      <c r="L1595" s="206"/>
      <c r="M1595" s="207"/>
      <c r="N1595" s="206"/>
      <c r="O1595" s="206"/>
      <c r="P1595" s="206"/>
    </row>
    <row r="1596" spans="1:16" s="187" customFormat="1" ht="18" customHeight="1">
      <c r="A1596" s="187" t="str">
        <f t="shared" si="24"/>
        <v>V20131C</v>
      </c>
      <c r="B1596" s="208" t="s">
        <v>5003</v>
      </c>
      <c r="C1596" s="208"/>
      <c r="D1596" s="208" t="s">
        <v>5004</v>
      </c>
      <c r="E1596" s="208" t="s">
        <v>29</v>
      </c>
      <c r="F1596" s="208" t="s">
        <v>5005</v>
      </c>
      <c r="G1596" s="208"/>
      <c r="H1596" s="208"/>
      <c r="I1596" s="208"/>
      <c r="J1596" s="208" t="s">
        <v>5006</v>
      </c>
      <c r="K1596" s="208" t="s">
        <v>5007</v>
      </c>
      <c r="L1596" s="208"/>
      <c r="M1596" s="209"/>
      <c r="N1596" s="208"/>
      <c r="O1596" s="208"/>
      <c r="P1596" s="208" t="s">
        <v>34</v>
      </c>
    </row>
    <row r="1597" spans="1:16" s="187" customFormat="1" ht="18" customHeight="1">
      <c r="A1597" s="187" t="str">
        <f t="shared" si="24"/>
        <v>V20061A</v>
      </c>
      <c r="B1597" s="206" t="s">
        <v>3217</v>
      </c>
      <c r="C1597" s="206"/>
      <c r="D1597" s="206" t="s">
        <v>3216</v>
      </c>
      <c r="E1597" s="206" t="s">
        <v>29</v>
      </c>
      <c r="F1597" s="206" t="s">
        <v>3218</v>
      </c>
      <c r="G1597" s="206"/>
      <c r="H1597" s="206"/>
      <c r="I1597" s="206" t="s">
        <v>3219</v>
      </c>
      <c r="J1597" s="206" t="s">
        <v>3220</v>
      </c>
      <c r="K1597" s="206" t="s">
        <v>3221</v>
      </c>
      <c r="L1597" s="206"/>
      <c r="M1597" s="207"/>
      <c r="N1597" s="206"/>
      <c r="O1597" s="206" t="s">
        <v>40</v>
      </c>
      <c r="P1597" s="206" t="s">
        <v>34</v>
      </c>
    </row>
    <row r="1598" spans="1:16" s="187" customFormat="1" ht="18" customHeight="1">
      <c r="A1598" s="187" t="str">
        <f t="shared" si="24"/>
        <v>V20061B</v>
      </c>
      <c r="B1598" s="208" t="s">
        <v>3217</v>
      </c>
      <c r="C1598" s="208"/>
      <c r="D1598" s="208" t="s">
        <v>3222</v>
      </c>
      <c r="E1598" s="208" t="s">
        <v>29</v>
      </c>
      <c r="F1598" s="208" t="s">
        <v>3218</v>
      </c>
      <c r="G1598" s="208"/>
      <c r="H1598" s="208"/>
      <c r="I1598" s="208" t="s">
        <v>3219</v>
      </c>
      <c r="J1598" s="208" t="s">
        <v>3220</v>
      </c>
      <c r="K1598" s="208" t="s">
        <v>3221</v>
      </c>
      <c r="L1598" s="208"/>
      <c r="M1598" s="209"/>
      <c r="N1598" s="208"/>
      <c r="O1598" s="208" t="s">
        <v>40</v>
      </c>
      <c r="P1598" s="208" t="s">
        <v>34</v>
      </c>
    </row>
    <row r="1599" spans="1:16" s="187" customFormat="1" ht="18" customHeight="1">
      <c r="A1599" s="187" t="str">
        <f t="shared" si="24"/>
        <v>V20061C</v>
      </c>
      <c r="B1599" s="206" t="s">
        <v>3217</v>
      </c>
      <c r="C1599" s="206"/>
      <c r="D1599" s="206" t="s">
        <v>3223</v>
      </c>
      <c r="E1599" s="206" t="s">
        <v>29</v>
      </c>
      <c r="F1599" s="206" t="s">
        <v>3218</v>
      </c>
      <c r="G1599" s="206"/>
      <c r="H1599" s="206"/>
      <c r="I1599" s="206" t="s">
        <v>3219</v>
      </c>
      <c r="J1599" s="206" t="s">
        <v>3220</v>
      </c>
      <c r="K1599" s="206" t="s">
        <v>3221</v>
      </c>
      <c r="L1599" s="206"/>
      <c r="M1599" s="207"/>
      <c r="N1599" s="206"/>
      <c r="O1599" s="206" t="s">
        <v>40</v>
      </c>
      <c r="P1599" s="206" t="s">
        <v>34</v>
      </c>
    </row>
    <row r="1600" spans="1:16" s="187" customFormat="1" ht="18" customHeight="1">
      <c r="A1600" s="187" t="str">
        <f t="shared" si="24"/>
        <v>V20002A</v>
      </c>
      <c r="B1600" s="208" t="s">
        <v>3225</v>
      </c>
      <c r="C1600" s="208"/>
      <c r="D1600" s="208" t="s">
        <v>3224</v>
      </c>
      <c r="E1600" s="208" t="s">
        <v>29</v>
      </c>
      <c r="F1600" s="208" t="s">
        <v>3226</v>
      </c>
      <c r="G1600" s="208"/>
      <c r="H1600" s="208"/>
      <c r="I1600" s="208"/>
      <c r="J1600" s="208" t="s">
        <v>3227</v>
      </c>
      <c r="K1600" s="208" t="s">
        <v>3228</v>
      </c>
      <c r="L1600" s="208"/>
      <c r="M1600" s="209"/>
      <c r="N1600" s="208"/>
      <c r="O1600" s="208" t="s">
        <v>40</v>
      </c>
      <c r="P1600" s="208" t="s">
        <v>34</v>
      </c>
    </row>
    <row r="1601" spans="1:16" s="187" customFormat="1" ht="18" customHeight="1">
      <c r="A1601" s="187" t="str">
        <f t="shared" si="24"/>
        <v>V20002B</v>
      </c>
      <c r="B1601" s="206" t="s">
        <v>3225</v>
      </c>
      <c r="C1601" s="206"/>
      <c r="D1601" s="206" t="s">
        <v>3229</v>
      </c>
      <c r="E1601" s="206" t="s">
        <v>29</v>
      </c>
      <c r="F1601" s="206" t="s">
        <v>3226</v>
      </c>
      <c r="G1601" s="206"/>
      <c r="H1601" s="206"/>
      <c r="I1601" s="206"/>
      <c r="J1601" s="206" t="s">
        <v>3227</v>
      </c>
      <c r="K1601" s="206" t="s">
        <v>3228</v>
      </c>
      <c r="L1601" s="206"/>
      <c r="M1601" s="207"/>
      <c r="N1601" s="206"/>
      <c r="O1601" s="206" t="s">
        <v>40</v>
      </c>
      <c r="P1601" s="206" t="s">
        <v>34</v>
      </c>
    </row>
    <row r="1602" spans="1:16" s="187" customFormat="1" ht="18" customHeight="1">
      <c r="A1602" s="187" t="str">
        <f t="shared" si="24"/>
        <v>V20002C</v>
      </c>
      <c r="B1602" s="208" t="s">
        <v>3225</v>
      </c>
      <c r="C1602" s="208"/>
      <c r="D1602" s="208" t="s">
        <v>3230</v>
      </c>
      <c r="E1602" s="208" t="s">
        <v>29</v>
      </c>
      <c r="F1602" s="208" t="s">
        <v>3226</v>
      </c>
      <c r="G1602" s="208"/>
      <c r="H1602" s="208"/>
      <c r="I1602" s="208"/>
      <c r="J1602" s="208" t="s">
        <v>3227</v>
      </c>
      <c r="K1602" s="208" t="s">
        <v>3228</v>
      </c>
      <c r="L1602" s="208"/>
      <c r="M1602" s="209"/>
      <c r="N1602" s="208"/>
      <c r="O1602" s="208" t="s">
        <v>40</v>
      </c>
      <c r="P1602" s="208" t="s">
        <v>34</v>
      </c>
    </row>
    <row r="1603" spans="1:16" s="187" customFormat="1" ht="18" customHeight="1">
      <c r="A1603" s="187" t="str">
        <f t="shared" si="24"/>
        <v>CG400001C0</v>
      </c>
      <c r="B1603" s="206" t="s">
        <v>3232</v>
      </c>
      <c r="C1603" s="206"/>
      <c r="D1603" s="206" t="s">
        <v>3231</v>
      </c>
      <c r="E1603" s="206" t="s">
        <v>151</v>
      </c>
      <c r="F1603" s="206" t="s">
        <v>265</v>
      </c>
      <c r="G1603" s="206"/>
      <c r="H1603" s="206"/>
      <c r="I1603" s="206"/>
      <c r="J1603" s="206"/>
      <c r="K1603" s="206"/>
      <c r="L1603" s="206"/>
      <c r="M1603" s="207"/>
      <c r="N1603" s="206"/>
      <c r="O1603" s="206"/>
      <c r="P1603" s="206" t="s">
        <v>266</v>
      </c>
    </row>
    <row r="1604" spans="1:16" s="187" customFormat="1" ht="18" customHeight="1">
      <c r="A1604" s="187" t="str">
        <f t="shared" si="24"/>
        <v>V3000C0</v>
      </c>
      <c r="B1604" s="208" t="s">
        <v>3232</v>
      </c>
      <c r="C1604" s="208"/>
      <c r="D1604" s="208" t="s">
        <v>3233</v>
      </c>
      <c r="E1604" s="208" t="s">
        <v>151</v>
      </c>
      <c r="F1604" s="208" t="s">
        <v>265</v>
      </c>
      <c r="G1604" s="208"/>
      <c r="H1604" s="208"/>
      <c r="I1604" s="208"/>
      <c r="J1604" s="208"/>
      <c r="K1604" s="208"/>
      <c r="L1604" s="208"/>
      <c r="M1604" s="209"/>
      <c r="N1604" s="208"/>
      <c r="O1604" s="208" t="s">
        <v>268</v>
      </c>
      <c r="P1604" s="208" t="s">
        <v>269</v>
      </c>
    </row>
    <row r="1605" spans="1:16" s="187" customFormat="1" ht="18" customHeight="1">
      <c r="A1605" s="187" t="str">
        <f t="shared" si="24"/>
        <v>V20085A</v>
      </c>
      <c r="B1605" s="206" t="s">
        <v>3235</v>
      </c>
      <c r="C1605" s="206"/>
      <c r="D1605" s="206" t="s">
        <v>3234</v>
      </c>
      <c r="E1605" s="206" t="s">
        <v>29</v>
      </c>
      <c r="F1605" s="206" t="s">
        <v>3236</v>
      </c>
      <c r="G1605" s="206"/>
      <c r="H1605" s="206"/>
      <c r="I1605" s="206" t="s">
        <v>3237</v>
      </c>
      <c r="J1605" s="206" t="s">
        <v>3238</v>
      </c>
      <c r="K1605" s="206" t="s">
        <v>3239</v>
      </c>
      <c r="L1605" s="206"/>
      <c r="M1605" s="207"/>
      <c r="N1605" s="206"/>
      <c r="O1605" s="206" t="s">
        <v>40</v>
      </c>
      <c r="P1605" s="206" t="s">
        <v>34</v>
      </c>
    </row>
    <row r="1606" spans="1:16" s="187" customFormat="1" ht="18" customHeight="1">
      <c r="A1606" s="187" t="str">
        <f t="shared" ref="A1606:A1669" si="25">D1606</f>
        <v>V20085B</v>
      </c>
      <c r="B1606" s="208" t="s">
        <v>3235</v>
      </c>
      <c r="C1606" s="208"/>
      <c r="D1606" s="208" t="s">
        <v>3240</v>
      </c>
      <c r="E1606" s="208" t="s">
        <v>29</v>
      </c>
      <c r="F1606" s="208" t="s">
        <v>3236</v>
      </c>
      <c r="G1606" s="208"/>
      <c r="H1606" s="208"/>
      <c r="I1606" s="208" t="s">
        <v>3237</v>
      </c>
      <c r="J1606" s="208" t="s">
        <v>3238</v>
      </c>
      <c r="K1606" s="208" t="s">
        <v>3239</v>
      </c>
      <c r="L1606" s="208"/>
      <c r="M1606" s="209"/>
      <c r="N1606" s="208"/>
      <c r="O1606" s="208" t="s">
        <v>40</v>
      </c>
      <c r="P1606" s="208" t="s">
        <v>34</v>
      </c>
    </row>
    <row r="1607" spans="1:16" s="187" customFormat="1" ht="18" customHeight="1">
      <c r="A1607" s="187" t="str">
        <f t="shared" si="25"/>
        <v>V20085C</v>
      </c>
      <c r="B1607" s="206" t="s">
        <v>3235</v>
      </c>
      <c r="C1607" s="206"/>
      <c r="D1607" s="206" t="s">
        <v>3241</v>
      </c>
      <c r="E1607" s="206" t="s">
        <v>29</v>
      </c>
      <c r="F1607" s="206" t="s">
        <v>3236</v>
      </c>
      <c r="G1607" s="206"/>
      <c r="H1607" s="206"/>
      <c r="I1607" s="206" t="s">
        <v>3237</v>
      </c>
      <c r="J1607" s="206" t="s">
        <v>3238</v>
      </c>
      <c r="K1607" s="206" t="s">
        <v>3239</v>
      </c>
      <c r="L1607" s="206"/>
      <c r="M1607" s="207"/>
      <c r="N1607" s="206"/>
      <c r="O1607" s="206" t="s">
        <v>40</v>
      </c>
      <c r="P1607" s="206" t="s">
        <v>34</v>
      </c>
    </row>
    <row r="1608" spans="1:16" s="187" customFormat="1" ht="18" customHeight="1">
      <c r="A1608" s="187" t="str">
        <f t="shared" si="25"/>
        <v>P0000111</v>
      </c>
      <c r="B1608" s="208" t="s">
        <v>4550</v>
      </c>
      <c r="C1608" s="208"/>
      <c r="D1608" s="208" t="s">
        <v>4549</v>
      </c>
      <c r="E1608" s="208" t="s">
        <v>29</v>
      </c>
      <c r="F1608" s="208" t="s">
        <v>4551</v>
      </c>
      <c r="G1608" s="208"/>
      <c r="H1608" s="208"/>
      <c r="I1608" s="208"/>
      <c r="J1608" s="208"/>
      <c r="K1608" s="208"/>
      <c r="L1608" s="208"/>
      <c r="M1608" s="209"/>
      <c r="N1608" s="208"/>
      <c r="O1608" s="208"/>
      <c r="P1608" s="208"/>
    </row>
    <row r="1609" spans="1:16" s="187" customFormat="1" ht="18" customHeight="1">
      <c r="A1609" s="187" t="str">
        <f t="shared" si="25"/>
        <v>V3400C0</v>
      </c>
      <c r="B1609" s="206" t="s">
        <v>3243</v>
      </c>
      <c r="C1609" s="206"/>
      <c r="D1609" s="206" t="s">
        <v>3242</v>
      </c>
      <c r="E1609" s="206" t="s">
        <v>151</v>
      </c>
      <c r="F1609" s="206" t="s">
        <v>3244</v>
      </c>
      <c r="G1609" s="206"/>
      <c r="H1609" s="206"/>
      <c r="I1609" s="206"/>
      <c r="J1609" s="206" t="s">
        <v>3245</v>
      </c>
      <c r="K1609" s="206" t="s">
        <v>3246</v>
      </c>
      <c r="L1609" s="206"/>
      <c r="M1609" s="207"/>
      <c r="N1609" s="206"/>
      <c r="O1609" s="206" t="s">
        <v>268</v>
      </c>
      <c r="P1609" s="206" t="s">
        <v>269</v>
      </c>
    </row>
    <row r="1610" spans="1:16" s="187" customFormat="1" ht="18" customHeight="1">
      <c r="A1610" s="187" t="str">
        <f t="shared" si="25"/>
        <v>V10227A</v>
      </c>
      <c r="B1610" s="208" t="s">
        <v>3248</v>
      </c>
      <c r="C1610" s="208"/>
      <c r="D1610" s="208" t="s">
        <v>3247</v>
      </c>
      <c r="E1610" s="208" t="s">
        <v>29</v>
      </c>
      <c r="F1610" s="208"/>
      <c r="G1610" s="208"/>
      <c r="H1610" s="208"/>
      <c r="I1610" s="208"/>
      <c r="J1610" s="208"/>
      <c r="K1610" s="208"/>
      <c r="L1610" s="208"/>
      <c r="M1610" s="209"/>
      <c r="N1610" s="208"/>
      <c r="O1610" s="208" t="s">
        <v>260</v>
      </c>
      <c r="P1610" s="208" t="s">
        <v>91</v>
      </c>
    </row>
    <row r="1611" spans="1:16" s="187" customFormat="1" ht="18" customHeight="1">
      <c r="A1611" s="187" t="str">
        <f t="shared" si="25"/>
        <v>V10227B</v>
      </c>
      <c r="B1611" s="206" t="s">
        <v>3248</v>
      </c>
      <c r="C1611" s="206"/>
      <c r="D1611" s="206" t="s">
        <v>3249</v>
      </c>
      <c r="E1611" s="206" t="s">
        <v>29</v>
      </c>
      <c r="F1611" s="206"/>
      <c r="G1611" s="206"/>
      <c r="H1611" s="206"/>
      <c r="I1611" s="206"/>
      <c r="J1611" s="206"/>
      <c r="K1611" s="206"/>
      <c r="L1611" s="206"/>
      <c r="M1611" s="207"/>
      <c r="N1611" s="206"/>
      <c r="O1611" s="206" t="s">
        <v>260</v>
      </c>
      <c r="P1611" s="206" t="s">
        <v>91</v>
      </c>
    </row>
    <row r="1612" spans="1:16" s="187" customFormat="1" ht="18" customHeight="1">
      <c r="A1612" s="187" t="str">
        <f t="shared" si="25"/>
        <v>V10227C</v>
      </c>
      <c r="B1612" s="208" t="s">
        <v>3248</v>
      </c>
      <c r="C1612" s="208"/>
      <c r="D1612" s="208" t="s">
        <v>3250</v>
      </c>
      <c r="E1612" s="208" t="s">
        <v>29</v>
      </c>
      <c r="F1612" s="208"/>
      <c r="G1612" s="208"/>
      <c r="H1612" s="208"/>
      <c r="I1612" s="208"/>
      <c r="J1612" s="208"/>
      <c r="K1612" s="208"/>
      <c r="L1612" s="208"/>
      <c r="M1612" s="209"/>
      <c r="N1612" s="208"/>
      <c r="O1612" s="208" t="s">
        <v>260</v>
      </c>
      <c r="P1612" s="208" t="s">
        <v>91</v>
      </c>
    </row>
    <row r="1613" spans="1:16" s="187" customFormat="1" ht="18" customHeight="1">
      <c r="A1613" s="187" t="str">
        <f t="shared" si="25"/>
        <v>V20046A</v>
      </c>
      <c r="B1613" s="206" t="s">
        <v>3252</v>
      </c>
      <c r="C1613" s="206"/>
      <c r="D1613" s="206" t="s">
        <v>3251</v>
      </c>
      <c r="E1613" s="206" t="s">
        <v>29</v>
      </c>
      <c r="F1613" s="206" t="s">
        <v>3253</v>
      </c>
      <c r="G1613" s="206"/>
      <c r="H1613" s="206"/>
      <c r="I1613" s="206" t="s">
        <v>3254</v>
      </c>
      <c r="J1613" s="206" t="s">
        <v>3255</v>
      </c>
      <c r="K1613" s="206" t="s">
        <v>3256</v>
      </c>
      <c r="L1613" s="206"/>
      <c r="M1613" s="207"/>
      <c r="N1613" s="206"/>
      <c r="O1613" s="206" t="s">
        <v>40</v>
      </c>
      <c r="P1613" s="206" t="s">
        <v>34</v>
      </c>
    </row>
    <row r="1614" spans="1:16" s="187" customFormat="1" ht="18" customHeight="1">
      <c r="A1614" s="187" t="str">
        <f t="shared" si="25"/>
        <v>V20046B</v>
      </c>
      <c r="B1614" s="208" t="s">
        <v>3252</v>
      </c>
      <c r="C1614" s="208"/>
      <c r="D1614" s="208" t="s">
        <v>3257</v>
      </c>
      <c r="E1614" s="208" t="s">
        <v>29</v>
      </c>
      <c r="F1614" s="208" t="s">
        <v>3253</v>
      </c>
      <c r="G1614" s="208"/>
      <c r="H1614" s="208"/>
      <c r="I1614" s="208" t="s">
        <v>3254</v>
      </c>
      <c r="J1614" s="208" t="s">
        <v>3255</v>
      </c>
      <c r="K1614" s="208" t="s">
        <v>3256</v>
      </c>
      <c r="L1614" s="208"/>
      <c r="M1614" s="209"/>
      <c r="N1614" s="208"/>
      <c r="O1614" s="208" t="s">
        <v>40</v>
      </c>
      <c r="P1614" s="208" t="s">
        <v>34</v>
      </c>
    </row>
    <row r="1615" spans="1:16" s="187" customFormat="1" ht="18" customHeight="1">
      <c r="A1615" s="187" t="str">
        <f t="shared" si="25"/>
        <v>V20046C</v>
      </c>
      <c r="B1615" s="206" t="s">
        <v>3252</v>
      </c>
      <c r="C1615" s="206"/>
      <c r="D1615" s="206" t="s">
        <v>3258</v>
      </c>
      <c r="E1615" s="206" t="s">
        <v>29</v>
      </c>
      <c r="F1615" s="206" t="s">
        <v>3253</v>
      </c>
      <c r="G1615" s="206"/>
      <c r="H1615" s="206"/>
      <c r="I1615" s="206" t="s">
        <v>3254</v>
      </c>
      <c r="J1615" s="206" t="s">
        <v>3255</v>
      </c>
      <c r="K1615" s="206" t="s">
        <v>3256</v>
      </c>
      <c r="L1615" s="206"/>
      <c r="M1615" s="207"/>
      <c r="N1615" s="206"/>
      <c r="O1615" s="206" t="s">
        <v>40</v>
      </c>
      <c r="P1615" s="206" t="s">
        <v>34</v>
      </c>
    </row>
    <row r="1616" spans="1:16" s="187" customFormat="1" ht="18" customHeight="1">
      <c r="A1616" s="187" t="str">
        <f t="shared" si="25"/>
        <v>V20113C</v>
      </c>
      <c r="B1616" s="208" t="s">
        <v>3260</v>
      </c>
      <c r="C1616" s="208"/>
      <c r="D1616" s="208" t="s">
        <v>3259</v>
      </c>
      <c r="E1616" s="208" t="s">
        <v>29</v>
      </c>
      <c r="F1616" s="208" t="s">
        <v>3261</v>
      </c>
      <c r="G1616" s="208"/>
      <c r="H1616" s="208"/>
      <c r="I1616" s="208"/>
      <c r="J1616" s="208" t="s">
        <v>3262</v>
      </c>
      <c r="K1616" s="208" t="s">
        <v>3263</v>
      </c>
      <c r="L1616" s="208"/>
      <c r="M1616" s="209"/>
      <c r="N1616" s="208"/>
      <c r="O1616" s="208"/>
      <c r="P1616" s="208" t="s">
        <v>34</v>
      </c>
    </row>
    <row r="1617" spans="1:16" s="187" customFormat="1" ht="18" customHeight="1">
      <c r="A1617" s="187" t="str">
        <f t="shared" si="25"/>
        <v>003601</v>
      </c>
      <c r="B1617" s="206" t="s">
        <v>4553</v>
      </c>
      <c r="C1617" s="206"/>
      <c r="D1617" s="206" t="s">
        <v>4552</v>
      </c>
      <c r="E1617" s="206" t="s">
        <v>29</v>
      </c>
      <c r="F1617" s="206"/>
      <c r="G1617" s="206"/>
      <c r="H1617" s="206"/>
      <c r="I1617" s="206"/>
      <c r="J1617" s="206"/>
      <c r="K1617" s="206"/>
      <c r="L1617" s="206"/>
      <c r="M1617" s="207"/>
      <c r="N1617" s="206"/>
      <c r="O1617" s="206"/>
      <c r="P1617" s="206"/>
    </row>
    <row r="1618" spans="1:16" s="187" customFormat="1" ht="18" customHeight="1">
      <c r="A1618" s="187" t="str">
        <f t="shared" si="25"/>
        <v>003701</v>
      </c>
      <c r="B1618" s="208" t="s">
        <v>4555</v>
      </c>
      <c r="C1618" s="208"/>
      <c r="D1618" s="208" t="s">
        <v>4554</v>
      </c>
      <c r="E1618" s="208" t="s">
        <v>29</v>
      </c>
      <c r="F1618" s="208"/>
      <c r="G1618" s="208"/>
      <c r="H1618" s="208"/>
      <c r="I1618" s="208"/>
      <c r="J1618" s="208"/>
      <c r="K1618" s="208"/>
      <c r="L1618" s="208"/>
      <c r="M1618" s="209"/>
      <c r="N1618" s="208"/>
      <c r="O1618" s="208"/>
      <c r="P1618" s="208"/>
    </row>
    <row r="1619" spans="1:16" s="187" customFormat="1" ht="18" customHeight="1">
      <c r="A1619" s="187" t="str">
        <f t="shared" si="25"/>
        <v>V4083C0</v>
      </c>
      <c r="B1619" s="206" t="s">
        <v>3265</v>
      </c>
      <c r="C1619" s="206"/>
      <c r="D1619" s="206" t="s">
        <v>3264</v>
      </c>
      <c r="E1619" s="206" t="s">
        <v>151</v>
      </c>
      <c r="F1619" s="206" t="s">
        <v>3266</v>
      </c>
      <c r="G1619" s="206"/>
      <c r="H1619" s="206"/>
      <c r="I1619" s="206" t="s">
        <v>3267</v>
      </c>
      <c r="J1619" s="206" t="s">
        <v>3268</v>
      </c>
      <c r="K1619" s="206" t="s">
        <v>3269</v>
      </c>
      <c r="L1619" s="206"/>
      <c r="M1619" s="207"/>
      <c r="N1619" s="206"/>
      <c r="O1619" s="206"/>
      <c r="P1619" s="206" t="s">
        <v>34</v>
      </c>
    </row>
    <row r="1620" spans="1:16" s="187" customFormat="1" ht="18" customHeight="1">
      <c r="A1620" s="187" t="str">
        <f t="shared" si="25"/>
        <v>003501</v>
      </c>
      <c r="B1620" s="208" t="s">
        <v>4557</v>
      </c>
      <c r="C1620" s="208"/>
      <c r="D1620" s="208" t="s">
        <v>4556</v>
      </c>
      <c r="E1620" s="208" t="s">
        <v>29</v>
      </c>
      <c r="F1620" s="208"/>
      <c r="G1620" s="208"/>
      <c r="H1620" s="208"/>
      <c r="I1620" s="208"/>
      <c r="J1620" s="208"/>
      <c r="K1620" s="208"/>
      <c r="L1620" s="208"/>
      <c r="M1620" s="209"/>
      <c r="N1620" s="208"/>
      <c r="O1620" s="208"/>
      <c r="P1620" s="208"/>
    </row>
    <row r="1621" spans="1:16" s="187" customFormat="1" ht="18" customHeight="1">
      <c r="A1621" s="187" t="str">
        <f t="shared" si="25"/>
        <v>003502</v>
      </c>
      <c r="B1621" s="206" t="s">
        <v>4557</v>
      </c>
      <c r="C1621" s="206"/>
      <c r="D1621" s="206" t="s">
        <v>4558</v>
      </c>
      <c r="E1621" s="206" t="s">
        <v>29</v>
      </c>
      <c r="F1621" s="206"/>
      <c r="G1621" s="206"/>
      <c r="H1621" s="206"/>
      <c r="I1621" s="206"/>
      <c r="J1621" s="206"/>
      <c r="K1621" s="206"/>
      <c r="L1621" s="206"/>
      <c r="M1621" s="207"/>
      <c r="N1621" s="206"/>
      <c r="O1621" s="206"/>
      <c r="P1621" s="206"/>
    </row>
    <row r="1622" spans="1:16" s="187" customFormat="1" ht="18" customHeight="1">
      <c r="A1622" s="187" t="str">
        <f t="shared" si="25"/>
        <v>003503</v>
      </c>
      <c r="B1622" s="208" t="s">
        <v>4557</v>
      </c>
      <c r="C1622" s="208"/>
      <c r="D1622" s="208" t="s">
        <v>4559</v>
      </c>
      <c r="E1622" s="208" t="s">
        <v>29</v>
      </c>
      <c r="F1622" s="208"/>
      <c r="G1622" s="208"/>
      <c r="H1622" s="208"/>
      <c r="I1622" s="208"/>
      <c r="J1622" s="208"/>
      <c r="K1622" s="208"/>
      <c r="L1622" s="208"/>
      <c r="M1622" s="209"/>
      <c r="N1622" s="208"/>
      <c r="O1622" s="208"/>
      <c r="P1622" s="208"/>
    </row>
    <row r="1623" spans="1:16" s="187" customFormat="1" ht="18" customHeight="1">
      <c r="A1623" s="187" t="str">
        <f t="shared" si="25"/>
        <v>003504</v>
      </c>
      <c r="B1623" s="206" t="s">
        <v>4557</v>
      </c>
      <c r="C1623" s="206"/>
      <c r="D1623" s="206" t="s">
        <v>4560</v>
      </c>
      <c r="E1623" s="206" t="s">
        <v>29</v>
      </c>
      <c r="F1623" s="206"/>
      <c r="G1623" s="206"/>
      <c r="H1623" s="206"/>
      <c r="I1623" s="206"/>
      <c r="J1623" s="206"/>
      <c r="K1623" s="206"/>
      <c r="L1623" s="206"/>
      <c r="M1623" s="207"/>
      <c r="N1623" s="206"/>
      <c r="O1623" s="206"/>
      <c r="P1623" s="206"/>
    </row>
    <row r="1624" spans="1:16" s="187" customFormat="1" ht="18" customHeight="1">
      <c r="A1624" s="187" t="str">
        <f t="shared" si="25"/>
        <v>003505</v>
      </c>
      <c r="B1624" s="208" t="s">
        <v>4557</v>
      </c>
      <c r="C1624" s="208"/>
      <c r="D1624" s="208" t="s">
        <v>4561</v>
      </c>
      <c r="E1624" s="208" t="s">
        <v>29</v>
      </c>
      <c r="F1624" s="208"/>
      <c r="G1624" s="208"/>
      <c r="H1624" s="208"/>
      <c r="I1624" s="208"/>
      <c r="J1624" s="208"/>
      <c r="K1624" s="208"/>
      <c r="L1624" s="208"/>
      <c r="M1624" s="209"/>
      <c r="N1624" s="208"/>
      <c r="O1624" s="208"/>
      <c r="P1624" s="208"/>
    </row>
    <row r="1625" spans="1:16" s="187" customFormat="1" ht="18" customHeight="1">
      <c r="A1625" s="187" t="str">
        <f t="shared" si="25"/>
        <v>003506</v>
      </c>
      <c r="B1625" s="206" t="s">
        <v>4557</v>
      </c>
      <c r="C1625" s="206"/>
      <c r="D1625" s="206" t="s">
        <v>4562</v>
      </c>
      <c r="E1625" s="206" t="s">
        <v>29</v>
      </c>
      <c r="F1625" s="206"/>
      <c r="G1625" s="206"/>
      <c r="H1625" s="206"/>
      <c r="I1625" s="206"/>
      <c r="J1625" s="206"/>
      <c r="K1625" s="206"/>
      <c r="L1625" s="206"/>
      <c r="M1625" s="207"/>
      <c r="N1625" s="206"/>
      <c r="O1625" s="206"/>
      <c r="P1625" s="206"/>
    </row>
    <row r="1626" spans="1:16" s="187" customFormat="1" ht="18" customHeight="1">
      <c r="A1626" s="187" t="str">
        <f t="shared" si="25"/>
        <v>003507</v>
      </c>
      <c r="B1626" s="208" t="s">
        <v>4557</v>
      </c>
      <c r="C1626" s="208"/>
      <c r="D1626" s="208" t="s">
        <v>4563</v>
      </c>
      <c r="E1626" s="208" t="s">
        <v>29</v>
      </c>
      <c r="F1626" s="208"/>
      <c r="G1626" s="208"/>
      <c r="H1626" s="208"/>
      <c r="I1626" s="208"/>
      <c r="J1626" s="208"/>
      <c r="K1626" s="208"/>
      <c r="L1626" s="208"/>
      <c r="M1626" s="209"/>
      <c r="N1626" s="208"/>
      <c r="O1626" s="208"/>
      <c r="P1626" s="208"/>
    </row>
    <row r="1627" spans="1:16" s="187" customFormat="1" ht="18" customHeight="1">
      <c r="A1627" s="187" t="str">
        <f t="shared" si="25"/>
        <v>003508</v>
      </c>
      <c r="B1627" s="206" t="s">
        <v>4557</v>
      </c>
      <c r="C1627" s="206"/>
      <c r="D1627" s="206" t="s">
        <v>4564</v>
      </c>
      <c r="E1627" s="206" t="s">
        <v>29</v>
      </c>
      <c r="F1627" s="206"/>
      <c r="G1627" s="206"/>
      <c r="H1627" s="206"/>
      <c r="I1627" s="206"/>
      <c r="J1627" s="206"/>
      <c r="K1627" s="206"/>
      <c r="L1627" s="206"/>
      <c r="M1627" s="207"/>
      <c r="N1627" s="206"/>
      <c r="O1627" s="206"/>
      <c r="P1627" s="206"/>
    </row>
    <row r="1628" spans="1:16" s="187" customFormat="1" ht="18" customHeight="1">
      <c r="A1628" s="187" t="str">
        <f t="shared" si="25"/>
        <v>003509</v>
      </c>
      <c r="B1628" s="208" t="s">
        <v>4557</v>
      </c>
      <c r="C1628" s="208"/>
      <c r="D1628" s="208" t="s">
        <v>4565</v>
      </c>
      <c r="E1628" s="208" t="s">
        <v>29</v>
      </c>
      <c r="F1628" s="208"/>
      <c r="G1628" s="208"/>
      <c r="H1628" s="208"/>
      <c r="I1628" s="208"/>
      <c r="J1628" s="208"/>
      <c r="K1628" s="241"/>
      <c r="L1628" s="208"/>
      <c r="M1628" s="209"/>
      <c r="N1628" s="208"/>
      <c r="O1628" s="208"/>
      <c r="P1628" s="208"/>
    </row>
    <row r="1629" spans="1:16" s="187" customFormat="1" ht="18" customHeight="1">
      <c r="A1629" s="187" t="str">
        <f t="shared" si="25"/>
        <v>003510</v>
      </c>
      <c r="B1629" s="206" t="s">
        <v>4567</v>
      </c>
      <c r="C1629" s="206"/>
      <c r="D1629" s="206" t="s">
        <v>4566</v>
      </c>
      <c r="E1629" s="206" t="s">
        <v>29</v>
      </c>
      <c r="F1629" s="206"/>
      <c r="G1629" s="206"/>
      <c r="H1629" s="206"/>
      <c r="I1629" s="206"/>
      <c r="J1629" s="206"/>
      <c r="K1629" s="210"/>
      <c r="L1629" s="206"/>
      <c r="M1629" s="207"/>
      <c r="N1629" s="206"/>
      <c r="O1629" s="206"/>
      <c r="P1629" s="206"/>
    </row>
    <row r="1630" spans="1:16" s="187" customFormat="1" ht="18" customHeight="1">
      <c r="A1630" s="187" t="str">
        <f t="shared" si="25"/>
        <v>V20178C</v>
      </c>
      <c r="B1630" s="208" t="s">
        <v>6478</v>
      </c>
      <c r="C1630" s="208"/>
      <c r="D1630" s="208" t="s">
        <v>6479</v>
      </c>
      <c r="E1630" s="208" t="s">
        <v>29</v>
      </c>
      <c r="F1630" s="208" t="s">
        <v>6480</v>
      </c>
      <c r="G1630" s="208"/>
      <c r="H1630" s="208"/>
      <c r="I1630" s="208"/>
      <c r="J1630" s="208" t="s">
        <v>6481</v>
      </c>
      <c r="K1630" s="208" t="s">
        <v>6482</v>
      </c>
      <c r="L1630" s="208"/>
      <c r="M1630" s="209"/>
      <c r="N1630" s="208"/>
      <c r="O1630" s="208"/>
      <c r="P1630" s="208" t="s">
        <v>34</v>
      </c>
    </row>
    <row r="1631" spans="1:16" s="187" customFormat="1" ht="18" customHeight="1">
      <c r="A1631" s="187" t="str">
        <f t="shared" si="25"/>
        <v>V20178B</v>
      </c>
      <c r="B1631" s="206" t="s">
        <v>6478</v>
      </c>
      <c r="C1631" s="206"/>
      <c r="D1631" s="206" t="s">
        <v>6483</v>
      </c>
      <c r="E1631" s="206" t="s">
        <v>151</v>
      </c>
      <c r="F1631" s="206" t="s">
        <v>6480</v>
      </c>
      <c r="G1631" s="206"/>
      <c r="H1631" s="206"/>
      <c r="I1631" s="206"/>
      <c r="J1631" s="206" t="s">
        <v>6481</v>
      </c>
      <c r="K1631" s="206" t="s">
        <v>6482</v>
      </c>
      <c r="L1631" s="206"/>
      <c r="M1631" s="207"/>
      <c r="N1631" s="206"/>
      <c r="O1631" s="206"/>
      <c r="P1631" s="206" t="s">
        <v>34</v>
      </c>
    </row>
    <row r="1632" spans="1:16" s="187" customFormat="1" ht="18" customHeight="1">
      <c r="A1632" s="187" t="str">
        <f t="shared" si="25"/>
        <v>V20133C</v>
      </c>
      <c r="B1632" s="208" t="s">
        <v>4866</v>
      </c>
      <c r="C1632" s="208"/>
      <c r="D1632" s="208" t="s">
        <v>4865</v>
      </c>
      <c r="E1632" s="208" t="s">
        <v>29</v>
      </c>
      <c r="F1632" s="208" t="s">
        <v>5008</v>
      </c>
      <c r="G1632" s="208"/>
      <c r="H1632" s="208"/>
      <c r="I1632" s="208"/>
      <c r="J1632" s="208" t="s">
        <v>5009</v>
      </c>
      <c r="K1632" s="208" t="s">
        <v>5010</v>
      </c>
      <c r="L1632" s="208"/>
      <c r="M1632" s="209"/>
      <c r="N1632" s="208"/>
      <c r="O1632" s="208"/>
      <c r="P1632" s="208" t="s">
        <v>34</v>
      </c>
    </row>
    <row r="1633" spans="1:16" s="187" customFormat="1" ht="18" customHeight="1">
      <c r="A1633" s="187" t="str">
        <f t="shared" si="25"/>
        <v>V20133B</v>
      </c>
      <c r="B1633" s="206" t="s">
        <v>4866</v>
      </c>
      <c r="C1633" s="206"/>
      <c r="D1633" s="206" t="s">
        <v>6484</v>
      </c>
      <c r="E1633" s="206" t="s">
        <v>29</v>
      </c>
      <c r="F1633" s="206" t="s">
        <v>5008</v>
      </c>
      <c r="G1633" s="206"/>
      <c r="H1633" s="206"/>
      <c r="I1633" s="206"/>
      <c r="J1633" s="206" t="s">
        <v>5009</v>
      </c>
      <c r="K1633" s="206" t="s">
        <v>5010</v>
      </c>
      <c r="L1633" s="206"/>
      <c r="M1633" s="207"/>
      <c r="N1633" s="206"/>
      <c r="O1633" s="206"/>
      <c r="P1633" s="206" t="s">
        <v>34</v>
      </c>
    </row>
    <row r="1634" spans="1:16" s="187" customFormat="1" ht="18" customHeight="1">
      <c r="A1634" s="187" t="str">
        <f t="shared" si="25"/>
        <v>V20040A</v>
      </c>
      <c r="B1634" s="208" t="s">
        <v>3271</v>
      </c>
      <c r="C1634" s="208"/>
      <c r="D1634" s="208" t="s">
        <v>3270</v>
      </c>
      <c r="E1634" s="208" t="s">
        <v>29</v>
      </c>
      <c r="F1634" s="208" t="s">
        <v>3272</v>
      </c>
      <c r="G1634" s="208"/>
      <c r="H1634" s="208"/>
      <c r="I1634" s="208" t="s">
        <v>5051</v>
      </c>
      <c r="J1634" s="208" t="s">
        <v>3273</v>
      </c>
      <c r="K1634" s="208" t="s">
        <v>3274</v>
      </c>
      <c r="L1634" s="208"/>
      <c r="M1634" s="209"/>
      <c r="N1634" s="208"/>
      <c r="O1634" s="208" t="s">
        <v>40</v>
      </c>
      <c r="P1634" s="208" t="s">
        <v>34</v>
      </c>
    </row>
    <row r="1635" spans="1:16" s="187" customFormat="1" ht="18" customHeight="1">
      <c r="A1635" s="187" t="str">
        <f t="shared" si="25"/>
        <v>V20040B</v>
      </c>
      <c r="B1635" s="206" t="s">
        <v>3271</v>
      </c>
      <c r="C1635" s="206"/>
      <c r="D1635" s="206" t="s">
        <v>3275</v>
      </c>
      <c r="E1635" s="206" t="s">
        <v>29</v>
      </c>
      <c r="F1635" s="206" t="s">
        <v>3272</v>
      </c>
      <c r="G1635" s="206"/>
      <c r="H1635" s="206"/>
      <c r="I1635" s="206" t="s">
        <v>5051</v>
      </c>
      <c r="J1635" s="206" t="s">
        <v>3273</v>
      </c>
      <c r="K1635" s="206" t="s">
        <v>3274</v>
      </c>
      <c r="L1635" s="206"/>
      <c r="M1635" s="207"/>
      <c r="N1635" s="206"/>
      <c r="O1635" s="206" t="s">
        <v>40</v>
      </c>
      <c r="P1635" s="206" t="s">
        <v>34</v>
      </c>
    </row>
    <row r="1636" spans="1:16" s="187" customFormat="1" ht="18" customHeight="1">
      <c r="A1636" s="187" t="str">
        <f t="shared" si="25"/>
        <v>V20040C</v>
      </c>
      <c r="B1636" s="208" t="s">
        <v>3271</v>
      </c>
      <c r="C1636" s="208"/>
      <c r="D1636" s="208" t="s">
        <v>3276</v>
      </c>
      <c r="E1636" s="208" t="s">
        <v>29</v>
      </c>
      <c r="F1636" s="208" t="s">
        <v>3272</v>
      </c>
      <c r="G1636" s="208"/>
      <c r="H1636" s="208"/>
      <c r="I1636" s="208" t="s">
        <v>5050</v>
      </c>
      <c r="J1636" s="208" t="s">
        <v>3273</v>
      </c>
      <c r="K1636" s="208" t="s">
        <v>3274</v>
      </c>
      <c r="L1636" s="208"/>
      <c r="M1636" s="209"/>
      <c r="N1636" s="208"/>
      <c r="O1636" s="208" t="s">
        <v>40</v>
      </c>
      <c r="P1636" s="208" t="s">
        <v>34</v>
      </c>
    </row>
    <row r="1637" spans="1:16" s="187" customFormat="1" ht="18" customHeight="1">
      <c r="A1637" s="187" t="str">
        <f t="shared" si="25"/>
        <v>V4065C0</v>
      </c>
      <c r="B1637" s="206" t="s">
        <v>3278</v>
      </c>
      <c r="C1637" s="206"/>
      <c r="D1637" s="206" t="s">
        <v>3277</v>
      </c>
      <c r="E1637" s="206" t="s">
        <v>29</v>
      </c>
      <c r="F1637" s="206" t="s">
        <v>3279</v>
      </c>
      <c r="G1637" s="206"/>
      <c r="H1637" s="206"/>
      <c r="I1637" s="206"/>
      <c r="J1637" s="206"/>
      <c r="K1637" s="206"/>
      <c r="L1637" s="206"/>
      <c r="M1637" s="207"/>
      <c r="N1637" s="206"/>
      <c r="O1637" s="206"/>
      <c r="P1637" s="206" t="s">
        <v>107</v>
      </c>
    </row>
    <row r="1638" spans="1:16" s="187" customFormat="1" ht="18" customHeight="1">
      <c r="A1638" s="187" t="str">
        <f t="shared" si="25"/>
        <v>003801</v>
      </c>
      <c r="B1638" s="208" t="s">
        <v>4569</v>
      </c>
      <c r="C1638" s="208"/>
      <c r="D1638" s="208" t="s">
        <v>4574</v>
      </c>
      <c r="E1638" s="208" t="s">
        <v>29</v>
      </c>
      <c r="F1638" s="208" t="s">
        <v>4575</v>
      </c>
      <c r="G1638" s="208"/>
      <c r="H1638" s="208"/>
      <c r="I1638" s="208"/>
      <c r="J1638" s="208"/>
      <c r="K1638" s="208"/>
      <c r="L1638" s="208"/>
      <c r="M1638" s="209"/>
      <c r="N1638" s="208"/>
      <c r="O1638" s="208"/>
      <c r="P1638" s="208"/>
    </row>
    <row r="1639" spans="1:16" s="187" customFormat="1" ht="18" customHeight="1">
      <c r="A1639" s="187" t="str">
        <f t="shared" si="25"/>
        <v>003802</v>
      </c>
      <c r="B1639" s="206" t="s">
        <v>4569</v>
      </c>
      <c r="C1639" s="206"/>
      <c r="D1639" s="206" t="s">
        <v>4576</v>
      </c>
      <c r="E1639" s="206" t="s">
        <v>29</v>
      </c>
      <c r="F1639" s="206"/>
      <c r="G1639" s="206"/>
      <c r="H1639" s="206"/>
      <c r="I1639" s="206"/>
      <c r="J1639" s="206"/>
      <c r="K1639" s="206"/>
      <c r="L1639" s="206"/>
      <c r="M1639" s="207"/>
      <c r="N1639" s="206"/>
      <c r="O1639" s="206"/>
      <c r="P1639" s="206"/>
    </row>
    <row r="1640" spans="1:16" s="187" customFormat="1" ht="18" customHeight="1">
      <c r="A1640" s="187" t="str">
        <f t="shared" si="25"/>
        <v>003803</v>
      </c>
      <c r="B1640" s="208" t="s">
        <v>4569</v>
      </c>
      <c r="C1640" s="208"/>
      <c r="D1640" s="208" t="s">
        <v>4577</v>
      </c>
      <c r="E1640" s="208" t="s">
        <v>29</v>
      </c>
      <c r="F1640" s="208"/>
      <c r="G1640" s="208"/>
      <c r="H1640" s="208"/>
      <c r="I1640" s="208"/>
      <c r="J1640" s="208"/>
      <c r="K1640" s="208"/>
      <c r="L1640" s="208"/>
      <c r="M1640" s="209"/>
      <c r="N1640" s="208"/>
      <c r="O1640" s="208"/>
      <c r="P1640" s="208"/>
    </row>
    <row r="1641" spans="1:16" s="187" customFormat="1" ht="18" customHeight="1">
      <c r="A1641" s="187" t="str">
        <f t="shared" si="25"/>
        <v>003804</v>
      </c>
      <c r="B1641" s="206" t="s">
        <v>4569</v>
      </c>
      <c r="C1641" s="206"/>
      <c r="D1641" s="206" t="s">
        <v>4578</v>
      </c>
      <c r="E1641" s="206" t="s">
        <v>29</v>
      </c>
      <c r="F1641" s="206"/>
      <c r="G1641" s="206"/>
      <c r="H1641" s="206"/>
      <c r="I1641" s="206"/>
      <c r="J1641" s="206"/>
      <c r="K1641" s="206"/>
      <c r="L1641" s="206"/>
      <c r="M1641" s="207"/>
      <c r="N1641" s="206"/>
      <c r="O1641" s="206"/>
      <c r="P1641" s="206"/>
    </row>
    <row r="1642" spans="1:16" s="187" customFormat="1" ht="18" customHeight="1">
      <c r="A1642" s="187" t="str">
        <f t="shared" si="25"/>
        <v>003805</v>
      </c>
      <c r="B1642" s="208" t="s">
        <v>4569</v>
      </c>
      <c r="C1642" s="208"/>
      <c r="D1642" s="208" t="s">
        <v>4579</v>
      </c>
      <c r="E1642" s="208" t="s">
        <v>29</v>
      </c>
      <c r="F1642" s="208"/>
      <c r="G1642" s="208"/>
      <c r="H1642" s="208"/>
      <c r="I1642" s="208"/>
      <c r="J1642" s="208"/>
      <c r="K1642" s="208"/>
      <c r="L1642" s="208"/>
      <c r="M1642" s="209"/>
      <c r="N1642" s="208"/>
      <c r="O1642" s="208"/>
      <c r="P1642" s="208"/>
    </row>
    <row r="1643" spans="1:16" s="187" customFormat="1" ht="18" customHeight="1">
      <c r="A1643" s="187" t="str">
        <f t="shared" si="25"/>
        <v>003806</v>
      </c>
      <c r="B1643" s="206" t="s">
        <v>4569</v>
      </c>
      <c r="C1643" s="206"/>
      <c r="D1643" s="206" t="s">
        <v>4580</v>
      </c>
      <c r="E1643" s="206" t="s">
        <v>29</v>
      </c>
      <c r="F1643" s="206"/>
      <c r="G1643" s="206"/>
      <c r="H1643" s="206"/>
      <c r="I1643" s="206"/>
      <c r="J1643" s="206"/>
      <c r="K1643" s="206"/>
      <c r="L1643" s="206"/>
      <c r="M1643" s="207"/>
      <c r="N1643" s="206"/>
      <c r="O1643" s="206"/>
      <c r="P1643" s="206"/>
    </row>
    <row r="1644" spans="1:16" s="187" customFormat="1" ht="18" customHeight="1">
      <c r="A1644" s="187" t="str">
        <f t="shared" si="25"/>
        <v>003807</v>
      </c>
      <c r="B1644" s="208" t="s">
        <v>4569</v>
      </c>
      <c r="C1644" s="208"/>
      <c r="D1644" s="208" t="s">
        <v>4581</v>
      </c>
      <c r="E1644" s="208" t="s">
        <v>29</v>
      </c>
      <c r="F1644" s="208"/>
      <c r="G1644" s="208"/>
      <c r="H1644" s="208"/>
      <c r="I1644" s="208"/>
      <c r="J1644" s="208"/>
      <c r="K1644" s="208"/>
      <c r="L1644" s="208"/>
      <c r="M1644" s="209"/>
      <c r="N1644" s="208"/>
      <c r="O1644" s="208"/>
      <c r="P1644" s="208"/>
    </row>
    <row r="1645" spans="1:16" s="187" customFormat="1" ht="18" customHeight="1">
      <c r="A1645" s="187" t="str">
        <f t="shared" si="25"/>
        <v>003808</v>
      </c>
      <c r="B1645" s="206" t="s">
        <v>4569</v>
      </c>
      <c r="C1645" s="206"/>
      <c r="D1645" s="206" t="s">
        <v>4582</v>
      </c>
      <c r="E1645" s="206" t="s">
        <v>29</v>
      </c>
      <c r="F1645" s="206"/>
      <c r="G1645" s="206"/>
      <c r="H1645" s="206"/>
      <c r="I1645" s="206"/>
      <c r="J1645" s="206"/>
      <c r="K1645" s="206"/>
      <c r="L1645" s="206"/>
      <c r="M1645" s="207"/>
      <c r="N1645" s="206"/>
      <c r="O1645" s="206"/>
      <c r="P1645" s="206"/>
    </row>
    <row r="1646" spans="1:16" s="187" customFormat="1" ht="18" customHeight="1">
      <c r="A1646" s="187" t="str">
        <f t="shared" si="25"/>
        <v>003809</v>
      </c>
      <c r="B1646" s="208" t="s">
        <v>4569</v>
      </c>
      <c r="C1646" s="208"/>
      <c r="D1646" s="208" t="s">
        <v>4583</v>
      </c>
      <c r="E1646" s="208" t="s">
        <v>29</v>
      </c>
      <c r="F1646" s="208"/>
      <c r="G1646" s="208"/>
      <c r="H1646" s="208"/>
      <c r="I1646" s="208"/>
      <c r="J1646" s="208"/>
      <c r="K1646" s="208"/>
      <c r="L1646" s="208"/>
      <c r="M1646" s="209"/>
      <c r="N1646" s="208"/>
      <c r="O1646" s="208"/>
      <c r="P1646" s="208"/>
    </row>
    <row r="1647" spans="1:16" s="187" customFormat="1" ht="18" customHeight="1">
      <c r="A1647" s="187" t="str">
        <f t="shared" si="25"/>
        <v>003810</v>
      </c>
      <c r="B1647" s="206" t="s">
        <v>4569</v>
      </c>
      <c r="C1647" s="206"/>
      <c r="D1647" s="206" t="s">
        <v>4584</v>
      </c>
      <c r="E1647" s="206" t="s">
        <v>29</v>
      </c>
      <c r="F1647" s="206"/>
      <c r="G1647" s="206"/>
      <c r="H1647" s="206"/>
      <c r="I1647" s="206"/>
      <c r="J1647" s="206"/>
      <c r="K1647" s="206"/>
      <c r="L1647" s="206"/>
      <c r="M1647" s="207"/>
      <c r="N1647" s="206"/>
      <c r="O1647" s="206"/>
      <c r="P1647" s="206"/>
    </row>
    <row r="1648" spans="1:16" s="187" customFormat="1" ht="18" customHeight="1">
      <c r="A1648" s="187" t="str">
        <f t="shared" si="25"/>
        <v>003811</v>
      </c>
      <c r="B1648" s="208" t="s">
        <v>4569</v>
      </c>
      <c r="C1648" s="208"/>
      <c r="D1648" s="208" t="s">
        <v>4585</v>
      </c>
      <c r="E1648" s="208" t="s">
        <v>29</v>
      </c>
      <c r="F1648" s="208"/>
      <c r="G1648" s="208"/>
      <c r="H1648" s="208"/>
      <c r="I1648" s="208"/>
      <c r="J1648" s="208"/>
      <c r="K1648" s="208"/>
      <c r="L1648" s="208"/>
      <c r="M1648" s="209"/>
      <c r="N1648" s="208"/>
      <c r="O1648" s="208"/>
      <c r="P1648" s="208"/>
    </row>
    <row r="1649" spans="1:16" s="187" customFormat="1" ht="18" customHeight="1">
      <c r="A1649" s="187" t="str">
        <f t="shared" si="25"/>
        <v>003812</v>
      </c>
      <c r="B1649" s="206" t="s">
        <v>4569</v>
      </c>
      <c r="C1649" s="206"/>
      <c r="D1649" s="206" t="s">
        <v>4586</v>
      </c>
      <c r="E1649" s="206" t="s">
        <v>29</v>
      </c>
      <c r="F1649" s="206"/>
      <c r="G1649" s="206"/>
      <c r="H1649" s="206"/>
      <c r="I1649" s="206"/>
      <c r="J1649" s="206"/>
      <c r="K1649" s="206"/>
      <c r="L1649" s="206"/>
      <c r="M1649" s="207"/>
      <c r="N1649" s="206"/>
      <c r="O1649" s="206"/>
      <c r="P1649" s="206"/>
    </row>
    <row r="1650" spans="1:16" s="187" customFormat="1" ht="18" customHeight="1">
      <c r="A1650" s="187" t="str">
        <f t="shared" si="25"/>
        <v>003813</v>
      </c>
      <c r="B1650" s="208" t="s">
        <v>4569</v>
      </c>
      <c r="C1650" s="208"/>
      <c r="D1650" s="208" t="s">
        <v>4587</v>
      </c>
      <c r="E1650" s="208" t="s">
        <v>29</v>
      </c>
      <c r="F1650" s="208"/>
      <c r="G1650" s="208"/>
      <c r="H1650" s="208"/>
      <c r="I1650" s="208"/>
      <c r="J1650" s="208"/>
      <c r="K1650" s="208"/>
      <c r="L1650" s="208"/>
      <c r="M1650" s="209"/>
      <c r="N1650" s="208"/>
      <c r="O1650" s="208"/>
      <c r="P1650" s="208"/>
    </row>
    <row r="1651" spans="1:16" s="187" customFormat="1" ht="18" customHeight="1">
      <c r="A1651" s="187" t="str">
        <f t="shared" si="25"/>
        <v>003814</v>
      </c>
      <c r="B1651" s="206" t="s">
        <v>4569</v>
      </c>
      <c r="C1651" s="206"/>
      <c r="D1651" s="206" t="s">
        <v>4588</v>
      </c>
      <c r="E1651" s="206" t="s">
        <v>29</v>
      </c>
      <c r="F1651" s="206"/>
      <c r="G1651" s="206"/>
      <c r="H1651" s="206"/>
      <c r="I1651" s="206"/>
      <c r="J1651" s="206"/>
      <c r="K1651" s="206"/>
      <c r="L1651" s="206"/>
      <c r="M1651" s="207"/>
      <c r="N1651" s="206"/>
      <c r="O1651" s="206"/>
      <c r="P1651" s="206"/>
    </row>
    <row r="1652" spans="1:16" s="187" customFormat="1" ht="18" customHeight="1">
      <c r="A1652" s="187" t="str">
        <f t="shared" si="25"/>
        <v>003815</v>
      </c>
      <c r="B1652" s="208" t="s">
        <v>4569</v>
      </c>
      <c r="C1652" s="208"/>
      <c r="D1652" s="208" t="s">
        <v>4568</v>
      </c>
      <c r="E1652" s="208" t="s">
        <v>29</v>
      </c>
      <c r="F1652" s="208"/>
      <c r="G1652" s="208"/>
      <c r="H1652" s="208"/>
      <c r="I1652" s="208"/>
      <c r="J1652" s="208"/>
      <c r="K1652" s="208"/>
      <c r="L1652" s="208"/>
      <c r="M1652" s="209"/>
      <c r="N1652" s="208"/>
      <c r="O1652" s="208"/>
      <c r="P1652" s="208"/>
    </row>
    <row r="1653" spans="1:16" s="187" customFormat="1" ht="18" customHeight="1">
      <c r="A1653" s="187" t="str">
        <f t="shared" si="25"/>
        <v>003816</v>
      </c>
      <c r="B1653" s="206" t="s">
        <v>4569</v>
      </c>
      <c r="C1653" s="206"/>
      <c r="D1653" s="206" t="s">
        <v>4570</v>
      </c>
      <c r="E1653" s="206" t="s">
        <v>29</v>
      </c>
      <c r="F1653" s="206"/>
      <c r="G1653" s="206"/>
      <c r="H1653" s="206"/>
      <c r="I1653" s="206"/>
      <c r="J1653" s="206"/>
      <c r="K1653" s="206"/>
      <c r="L1653" s="206"/>
      <c r="M1653" s="207"/>
      <c r="N1653" s="206"/>
      <c r="O1653" s="206"/>
      <c r="P1653" s="206"/>
    </row>
    <row r="1654" spans="1:16" s="187" customFormat="1" ht="18" customHeight="1">
      <c r="A1654" s="187" t="str">
        <f t="shared" si="25"/>
        <v>003817</v>
      </c>
      <c r="B1654" s="208" t="s">
        <v>4569</v>
      </c>
      <c r="C1654" s="208"/>
      <c r="D1654" s="208" t="s">
        <v>4571</v>
      </c>
      <c r="E1654" s="208" t="s">
        <v>29</v>
      </c>
      <c r="F1654" s="208"/>
      <c r="G1654" s="208"/>
      <c r="H1654" s="208"/>
      <c r="I1654" s="208"/>
      <c r="J1654" s="208"/>
      <c r="K1654" s="208"/>
      <c r="L1654" s="208"/>
      <c r="M1654" s="209"/>
      <c r="N1654" s="208"/>
      <c r="O1654" s="208"/>
      <c r="P1654" s="208"/>
    </row>
    <row r="1655" spans="1:16" s="187" customFormat="1" ht="18" customHeight="1">
      <c r="A1655" s="187" t="str">
        <f t="shared" si="25"/>
        <v>003818</v>
      </c>
      <c r="B1655" s="206" t="s">
        <v>4569</v>
      </c>
      <c r="C1655" s="206"/>
      <c r="D1655" s="206" t="s">
        <v>4572</v>
      </c>
      <c r="E1655" s="206" t="s">
        <v>29</v>
      </c>
      <c r="F1655" s="206"/>
      <c r="G1655" s="206"/>
      <c r="H1655" s="206"/>
      <c r="I1655" s="206"/>
      <c r="J1655" s="206"/>
      <c r="K1655" s="206"/>
      <c r="L1655" s="206"/>
      <c r="M1655" s="207"/>
      <c r="N1655" s="206"/>
      <c r="O1655" s="206"/>
      <c r="P1655" s="206"/>
    </row>
    <row r="1656" spans="1:16" s="187" customFormat="1" ht="18" customHeight="1">
      <c r="A1656" s="187" t="str">
        <f t="shared" si="25"/>
        <v>003819</v>
      </c>
      <c r="B1656" s="208" t="s">
        <v>4569</v>
      </c>
      <c r="C1656" s="208"/>
      <c r="D1656" s="208" t="s">
        <v>4573</v>
      </c>
      <c r="E1656" s="208" t="s">
        <v>29</v>
      </c>
      <c r="F1656" s="208"/>
      <c r="G1656" s="208"/>
      <c r="H1656" s="208"/>
      <c r="I1656" s="208"/>
      <c r="J1656" s="208"/>
      <c r="K1656" s="208"/>
      <c r="L1656" s="208"/>
      <c r="M1656" s="209"/>
      <c r="N1656" s="208"/>
      <c r="O1656" s="208"/>
      <c r="P1656" s="208"/>
    </row>
    <row r="1657" spans="1:16" s="187" customFormat="1" ht="18" customHeight="1">
      <c r="A1657" s="187" t="str">
        <f t="shared" si="25"/>
        <v>003821</v>
      </c>
      <c r="B1657" s="206" t="s">
        <v>4569</v>
      </c>
      <c r="C1657" s="206"/>
      <c r="D1657" s="206" t="s">
        <v>4589</v>
      </c>
      <c r="E1657" s="206" t="s">
        <v>29</v>
      </c>
      <c r="F1657" s="206"/>
      <c r="G1657" s="206"/>
      <c r="H1657" s="206"/>
      <c r="I1657" s="206"/>
      <c r="J1657" s="206"/>
      <c r="K1657" s="206"/>
      <c r="L1657" s="206"/>
      <c r="M1657" s="207"/>
      <c r="N1657" s="206"/>
      <c r="O1657" s="206"/>
      <c r="P1657" s="206"/>
    </row>
    <row r="1658" spans="1:16" s="187" customFormat="1" ht="18" customHeight="1">
      <c r="A1658" s="187" t="str">
        <f t="shared" si="25"/>
        <v>CG470003C0</v>
      </c>
      <c r="B1658" s="208" t="s">
        <v>3281</v>
      </c>
      <c r="C1658" s="208"/>
      <c r="D1658" s="208" t="s">
        <v>3280</v>
      </c>
      <c r="E1658" s="208" t="s">
        <v>29</v>
      </c>
      <c r="F1658" s="208" t="s">
        <v>3282</v>
      </c>
      <c r="G1658" s="208"/>
      <c r="H1658" s="208"/>
      <c r="I1658" s="208"/>
      <c r="J1658" s="208"/>
      <c r="K1658" s="208"/>
      <c r="L1658" s="208"/>
      <c r="M1658" s="209"/>
      <c r="N1658" s="208"/>
      <c r="O1658" s="208"/>
      <c r="P1658" s="208" t="s">
        <v>100</v>
      </c>
    </row>
    <row r="1659" spans="1:16" s="187" customFormat="1" ht="18" customHeight="1">
      <c r="A1659" s="187" t="str">
        <f t="shared" si="25"/>
        <v>010001</v>
      </c>
      <c r="B1659" s="206" t="s">
        <v>4591</v>
      </c>
      <c r="C1659" s="206"/>
      <c r="D1659" s="206" t="s">
        <v>4590</v>
      </c>
      <c r="E1659" s="206" t="s">
        <v>29</v>
      </c>
      <c r="F1659" s="206"/>
      <c r="G1659" s="206"/>
      <c r="H1659" s="206"/>
      <c r="I1659" s="206"/>
      <c r="J1659" s="206"/>
      <c r="K1659" s="206"/>
      <c r="L1659" s="206"/>
      <c r="M1659" s="207"/>
      <c r="N1659" s="206"/>
      <c r="O1659" s="206"/>
      <c r="P1659" s="206"/>
    </row>
    <row r="1660" spans="1:16" s="187" customFormat="1" ht="18" customHeight="1">
      <c r="A1660" s="187" t="str">
        <f t="shared" si="25"/>
        <v>0390001</v>
      </c>
      <c r="B1660" s="208" t="s">
        <v>4593</v>
      </c>
      <c r="C1660" s="208"/>
      <c r="D1660" s="208" t="s">
        <v>4592</v>
      </c>
      <c r="E1660" s="208" t="s">
        <v>29</v>
      </c>
      <c r="F1660" s="208"/>
      <c r="G1660" s="208"/>
      <c r="H1660" s="208"/>
      <c r="I1660" s="208"/>
      <c r="J1660" s="208"/>
      <c r="K1660" s="208"/>
      <c r="L1660" s="208"/>
      <c r="M1660" s="209"/>
      <c r="N1660" s="208"/>
      <c r="O1660" s="208"/>
      <c r="P1660" s="208"/>
    </row>
    <row r="1661" spans="1:16" s="187" customFormat="1" ht="18" customHeight="1">
      <c r="A1661" s="187" t="str">
        <f t="shared" si="25"/>
        <v>V20124C</v>
      </c>
      <c r="B1661" s="206" t="s">
        <v>4595</v>
      </c>
      <c r="C1661" s="206"/>
      <c r="D1661" s="206" t="s">
        <v>4594</v>
      </c>
      <c r="E1661" s="206" t="s">
        <v>29</v>
      </c>
      <c r="F1661" s="206" t="s">
        <v>4596</v>
      </c>
      <c r="G1661" s="206"/>
      <c r="H1661" s="206"/>
      <c r="I1661" s="206" t="s">
        <v>4597</v>
      </c>
      <c r="J1661" s="206"/>
      <c r="K1661" s="206"/>
      <c r="L1661" s="206"/>
      <c r="M1661" s="207"/>
      <c r="N1661" s="206"/>
      <c r="O1661" s="206"/>
      <c r="P1661" s="206" t="s">
        <v>34</v>
      </c>
    </row>
    <row r="1662" spans="1:16" s="187" customFormat="1" ht="18" customHeight="1">
      <c r="A1662" s="187" t="str">
        <f t="shared" si="25"/>
        <v>V20088A</v>
      </c>
      <c r="B1662" s="208" t="s">
        <v>3284</v>
      </c>
      <c r="C1662" s="208"/>
      <c r="D1662" s="208" t="s">
        <v>3283</v>
      </c>
      <c r="E1662" s="208" t="s">
        <v>29</v>
      </c>
      <c r="F1662" s="208" t="s">
        <v>3285</v>
      </c>
      <c r="G1662" s="208"/>
      <c r="H1662" s="208"/>
      <c r="I1662" s="208"/>
      <c r="J1662" s="208"/>
      <c r="K1662" s="208"/>
      <c r="L1662" s="208"/>
      <c r="M1662" s="209"/>
      <c r="N1662" s="208"/>
      <c r="O1662" s="208" t="s">
        <v>40</v>
      </c>
      <c r="P1662" s="208" t="s">
        <v>34</v>
      </c>
    </row>
    <row r="1663" spans="1:16" s="187" customFormat="1" ht="18" customHeight="1">
      <c r="A1663" s="187" t="str">
        <f t="shared" si="25"/>
        <v>V20088B</v>
      </c>
      <c r="B1663" s="206" t="s">
        <v>3284</v>
      </c>
      <c r="C1663" s="206"/>
      <c r="D1663" s="206" t="s">
        <v>3286</v>
      </c>
      <c r="E1663" s="206" t="s">
        <v>29</v>
      </c>
      <c r="F1663" s="206" t="s">
        <v>3285</v>
      </c>
      <c r="G1663" s="206"/>
      <c r="H1663" s="206"/>
      <c r="I1663" s="206"/>
      <c r="J1663" s="206"/>
      <c r="K1663" s="206"/>
      <c r="L1663" s="206"/>
      <c r="M1663" s="207"/>
      <c r="N1663" s="206"/>
      <c r="O1663" s="206" t="s">
        <v>40</v>
      </c>
      <c r="P1663" s="206" t="s">
        <v>34</v>
      </c>
    </row>
    <row r="1664" spans="1:16" s="187" customFormat="1" ht="18" customHeight="1">
      <c r="A1664" s="187" t="str">
        <f t="shared" si="25"/>
        <v>V20088C</v>
      </c>
      <c r="B1664" s="208" t="s">
        <v>3284</v>
      </c>
      <c r="C1664" s="208"/>
      <c r="D1664" s="208" t="s">
        <v>3287</v>
      </c>
      <c r="E1664" s="208" t="s">
        <v>29</v>
      </c>
      <c r="F1664" s="208" t="s">
        <v>3285</v>
      </c>
      <c r="G1664" s="208"/>
      <c r="H1664" s="208"/>
      <c r="I1664" s="208"/>
      <c r="J1664" s="208"/>
      <c r="K1664" s="208"/>
      <c r="L1664" s="208"/>
      <c r="M1664" s="209"/>
      <c r="N1664" s="208"/>
      <c r="O1664" s="208" t="s">
        <v>40</v>
      </c>
      <c r="P1664" s="208" t="s">
        <v>34</v>
      </c>
    </row>
    <row r="1665" spans="1:16" s="187" customFormat="1" ht="18" customHeight="1">
      <c r="A1665" s="187" t="str">
        <f t="shared" si="25"/>
        <v>V20093A</v>
      </c>
      <c r="B1665" s="206" t="s">
        <v>3289</v>
      </c>
      <c r="C1665" s="206"/>
      <c r="D1665" s="206" t="s">
        <v>3288</v>
      </c>
      <c r="E1665" s="206" t="s">
        <v>29</v>
      </c>
      <c r="F1665" s="206" t="s">
        <v>5049</v>
      </c>
      <c r="G1665" s="206"/>
      <c r="H1665" s="206"/>
      <c r="I1665" s="206" t="s">
        <v>3290</v>
      </c>
      <c r="J1665" s="206" t="s">
        <v>3291</v>
      </c>
      <c r="K1665" s="206" t="s">
        <v>3292</v>
      </c>
      <c r="L1665" s="206"/>
      <c r="M1665" s="207"/>
      <c r="N1665" s="206"/>
      <c r="O1665" s="206" t="s">
        <v>40</v>
      </c>
      <c r="P1665" s="206" t="s">
        <v>34</v>
      </c>
    </row>
    <row r="1666" spans="1:16" s="187" customFormat="1" ht="18" customHeight="1">
      <c r="A1666" s="187" t="str">
        <f t="shared" si="25"/>
        <v>V20093B</v>
      </c>
      <c r="B1666" s="208" t="s">
        <v>3289</v>
      </c>
      <c r="C1666" s="208"/>
      <c r="D1666" s="208" t="s">
        <v>3293</v>
      </c>
      <c r="E1666" s="208" t="s">
        <v>29</v>
      </c>
      <c r="F1666" s="208" t="s">
        <v>5049</v>
      </c>
      <c r="G1666" s="208"/>
      <c r="H1666" s="208"/>
      <c r="I1666" s="208" t="s">
        <v>3290</v>
      </c>
      <c r="J1666" s="208" t="s">
        <v>3291</v>
      </c>
      <c r="K1666" s="208" t="s">
        <v>3292</v>
      </c>
      <c r="L1666" s="208"/>
      <c r="M1666" s="209"/>
      <c r="N1666" s="208"/>
      <c r="O1666" s="208" t="s">
        <v>40</v>
      </c>
      <c r="P1666" s="208" t="s">
        <v>34</v>
      </c>
    </row>
    <row r="1667" spans="1:16" s="187" customFormat="1" ht="18" customHeight="1">
      <c r="A1667" s="187" t="str">
        <f t="shared" si="25"/>
        <v>V20093C</v>
      </c>
      <c r="B1667" s="206" t="s">
        <v>3289</v>
      </c>
      <c r="C1667" s="206"/>
      <c r="D1667" s="206" t="s">
        <v>3294</v>
      </c>
      <c r="E1667" s="206" t="s">
        <v>29</v>
      </c>
      <c r="F1667" s="206" t="s">
        <v>5049</v>
      </c>
      <c r="G1667" s="206"/>
      <c r="H1667" s="206"/>
      <c r="I1667" s="206" t="s">
        <v>3290</v>
      </c>
      <c r="J1667" s="206" t="s">
        <v>3291</v>
      </c>
      <c r="K1667" s="206" t="s">
        <v>3292</v>
      </c>
      <c r="L1667" s="206"/>
      <c r="M1667" s="207"/>
      <c r="N1667" s="206"/>
      <c r="O1667" s="206" t="s">
        <v>40</v>
      </c>
      <c r="P1667" s="206" t="s">
        <v>34</v>
      </c>
    </row>
    <row r="1668" spans="1:16" s="187" customFormat="1" ht="18" customHeight="1">
      <c r="A1668" s="187" t="str">
        <f t="shared" si="25"/>
        <v>V20009A</v>
      </c>
      <c r="B1668" s="208" t="s">
        <v>3296</v>
      </c>
      <c r="C1668" s="208"/>
      <c r="D1668" s="208" t="s">
        <v>3295</v>
      </c>
      <c r="E1668" s="208" t="s">
        <v>29</v>
      </c>
      <c r="F1668" s="208" t="s">
        <v>3297</v>
      </c>
      <c r="G1668" s="208"/>
      <c r="H1668" s="208"/>
      <c r="I1668" s="208"/>
      <c r="J1668" s="208" t="s">
        <v>3298</v>
      </c>
      <c r="K1668" s="208" t="s">
        <v>3299</v>
      </c>
      <c r="L1668" s="208"/>
      <c r="M1668" s="209"/>
      <c r="N1668" s="208"/>
      <c r="O1668" s="208" t="s">
        <v>40</v>
      </c>
      <c r="P1668" s="208" t="s">
        <v>34</v>
      </c>
    </row>
    <row r="1669" spans="1:16" s="187" customFormat="1" ht="18" customHeight="1">
      <c r="A1669" s="187" t="str">
        <f t="shared" si="25"/>
        <v>V20009B</v>
      </c>
      <c r="B1669" s="206" t="s">
        <v>3296</v>
      </c>
      <c r="C1669" s="206"/>
      <c r="D1669" s="206" t="s">
        <v>3300</v>
      </c>
      <c r="E1669" s="206" t="s">
        <v>29</v>
      </c>
      <c r="F1669" s="206" t="s">
        <v>3301</v>
      </c>
      <c r="G1669" s="206"/>
      <c r="H1669" s="206"/>
      <c r="I1669" s="206"/>
      <c r="J1669" s="206" t="s">
        <v>3298</v>
      </c>
      <c r="K1669" s="206" t="s">
        <v>3299</v>
      </c>
      <c r="L1669" s="206"/>
      <c r="M1669" s="207"/>
      <c r="N1669" s="206"/>
      <c r="O1669" s="206" t="s">
        <v>40</v>
      </c>
      <c r="P1669" s="206" t="s">
        <v>34</v>
      </c>
    </row>
    <row r="1670" spans="1:16" s="187" customFormat="1" ht="18" customHeight="1">
      <c r="A1670" s="187" t="str">
        <f t="shared" ref="A1670:A1733" si="26">D1670</f>
        <v>V20009C</v>
      </c>
      <c r="B1670" s="208" t="s">
        <v>3296</v>
      </c>
      <c r="C1670" s="208"/>
      <c r="D1670" s="208" t="s">
        <v>3302</v>
      </c>
      <c r="E1670" s="208" t="s">
        <v>29</v>
      </c>
      <c r="F1670" s="208" t="s">
        <v>3297</v>
      </c>
      <c r="G1670" s="208"/>
      <c r="H1670" s="208"/>
      <c r="I1670" s="208"/>
      <c r="J1670" s="208" t="s">
        <v>3298</v>
      </c>
      <c r="K1670" s="208" t="s">
        <v>3299</v>
      </c>
      <c r="L1670" s="208"/>
      <c r="M1670" s="209"/>
      <c r="N1670" s="208"/>
      <c r="O1670" s="208" t="s">
        <v>40</v>
      </c>
      <c r="P1670" s="208" t="s">
        <v>34</v>
      </c>
    </row>
    <row r="1671" spans="1:16" s="187" customFormat="1" ht="18" customHeight="1">
      <c r="A1671" s="187" t="str">
        <f t="shared" si="26"/>
        <v>009001</v>
      </c>
      <c r="B1671" s="206" t="s">
        <v>4599</v>
      </c>
      <c r="C1671" s="206"/>
      <c r="D1671" s="206" t="s">
        <v>4598</v>
      </c>
      <c r="E1671" s="206" t="s">
        <v>29</v>
      </c>
      <c r="F1671" s="206"/>
      <c r="G1671" s="206"/>
      <c r="H1671" s="206"/>
      <c r="I1671" s="206"/>
      <c r="J1671" s="206"/>
      <c r="K1671" s="206"/>
      <c r="L1671" s="206"/>
      <c r="M1671" s="207"/>
      <c r="N1671" s="206"/>
      <c r="O1671" s="206"/>
      <c r="P1671" s="206"/>
    </row>
    <row r="1672" spans="1:16" s="187" customFormat="1" ht="18" customHeight="1">
      <c r="A1672" s="187" t="str">
        <f t="shared" si="26"/>
        <v>V4075C0</v>
      </c>
      <c r="B1672" s="208" t="s">
        <v>3304</v>
      </c>
      <c r="C1672" s="208"/>
      <c r="D1672" s="208" t="s">
        <v>3303</v>
      </c>
      <c r="E1672" s="208" t="s">
        <v>151</v>
      </c>
      <c r="F1672" s="208"/>
      <c r="G1672" s="208"/>
      <c r="H1672" s="208"/>
      <c r="I1672" s="208"/>
      <c r="J1672" s="208" t="s">
        <v>3305</v>
      </c>
      <c r="K1672" s="208" t="s">
        <v>3306</v>
      </c>
      <c r="L1672" s="208"/>
      <c r="M1672" s="209"/>
      <c r="N1672" s="208"/>
      <c r="O1672" s="208"/>
      <c r="P1672" s="208" t="s">
        <v>107</v>
      </c>
    </row>
    <row r="1673" spans="1:16" s="187" customFormat="1" ht="18" customHeight="1">
      <c r="A1673" s="187" t="str">
        <f t="shared" si="26"/>
        <v>005619</v>
      </c>
      <c r="B1673" s="206" t="s">
        <v>4601</v>
      </c>
      <c r="C1673" s="206"/>
      <c r="D1673" s="206" t="s">
        <v>4600</v>
      </c>
      <c r="E1673" s="206" t="s">
        <v>29</v>
      </c>
      <c r="F1673" s="206"/>
      <c r="G1673" s="206"/>
      <c r="H1673" s="206"/>
      <c r="I1673" s="206"/>
      <c r="J1673" s="206"/>
      <c r="K1673" s="206"/>
      <c r="L1673" s="206"/>
      <c r="M1673" s="207"/>
      <c r="N1673" s="206"/>
      <c r="O1673" s="206"/>
      <c r="P1673" s="206"/>
    </row>
    <row r="1674" spans="1:16" s="187" customFormat="1" ht="18" customHeight="1">
      <c r="A1674" s="187" t="str">
        <f t="shared" si="26"/>
        <v>005716</v>
      </c>
      <c r="B1674" s="208" t="s">
        <v>1067</v>
      </c>
      <c r="C1674" s="208"/>
      <c r="D1674" s="208" t="s">
        <v>4602</v>
      </c>
      <c r="E1674" s="208" t="s">
        <v>29</v>
      </c>
      <c r="F1674" s="208"/>
      <c r="G1674" s="208"/>
      <c r="H1674" s="208"/>
      <c r="I1674" s="208"/>
      <c r="J1674" s="208"/>
      <c r="K1674" s="208"/>
      <c r="L1674" s="208"/>
      <c r="M1674" s="209"/>
      <c r="N1674" s="208"/>
      <c r="O1674" s="208"/>
      <c r="P1674" s="208"/>
    </row>
    <row r="1675" spans="1:16" s="187" customFormat="1" ht="18" customHeight="1">
      <c r="A1675" s="187" t="str">
        <f t="shared" si="26"/>
        <v>005620</v>
      </c>
      <c r="B1675" s="206" t="s">
        <v>4604</v>
      </c>
      <c r="C1675" s="206"/>
      <c r="D1675" s="206" t="s">
        <v>4603</v>
      </c>
      <c r="E1675" s="206" t="s">
        <v>29</v>
      </c>
      <c r="F1675" s="206"/>
      <c r="G1675" s="206"/>
      <c r="H1675" s="206"/>
      <c r="I1675" s="206"/>
      <c r="J1675" s="206"/>
      <c r="K1675" s="206"/>
      <c r="L1675" s="206"/>
      <c r="M1675" s="207"/>
      <c r="N1675" s="206"/>
      <c r="O1675" s="206"/>
      <c r="P1675" s="206"/>
    </row>
    <row r="1676" spans="1:16" s="187" customFormat="1" ht="18" customHeight="1">
      <c r="A1676" s="187" t="str">
        <f t="shared" si="26"/>
        <v>V4033C0</v>
      </c>
      <c r="B1676" s="208" t="s">
        <v>3308</v>
      </c>
      <c r="C1676" s="208"/>
      <c r="D1676" s="208" t="s">
        <v>3307</v>
      </c>
      <c r="E1676" s="208" t="s">
        <v>29</v>
      </c>
      <c r="F1676" s="208" t="s">
        <v>3309</v>
      </c>
      <c r="G1676" s="208" t="s">
        <v>3310</v>
      </c>
      <c r="H1676" s="208"/>
      <c r="I1676" s="208"/>
      <c r="J1676" s="208" t="s">
        <v>1017</v>
      </c>
      <c r="K1676" s="208" t="s">
        <v>3311</v>
      </c>
      <c r="L1676" s="208"/>
      <c r="M1676" s="209"/>
      <c r="N1676" s="208"/>
      <c r="O1676" s="208" t="s">
        <v>131</v>
      </c>
      <c r="P1676" s="208" t="s">
        <v>107</v>
      </c>
    </row>
    <row r="1677" spans="1:16" s="187" customFormat="1" ht="18" customHeight="1">
      <c r="A1677" s="187" t="str">
        <f t="shared" si="26"/>
        <v>V4032C2</v>
      </c>
      <c r="B1677" s="206" t="s">
        <v>3313</v>
      </c>
      <c r="C1677" s="206"/>
      <c r="D1677" s="206" t="s">
        <v>3312</v>
      </c>
      <c r="E1677" s="206" t="s">
        <v>151</v>
      </c>
      <c r="F1677" s="206" t="s">
        <v>3314</v>
      </c>
      <c r="G1677" s="206"/>
      <c r="H1677" s="206"/>
      <c r="I1677" s="206"/>
      <c r="J1677" s="206" t="s">
        <v>3315</v>
      </c>
      <c r="K1677" s="206" t="s">
        <v>3087</v>
      </c>
      <c r="L1677" s="206"/>
      <c r="M1677" s="207"/>
      <c r="N1677" s="206"/>
      <c r="O1677" s="206"/>
      <c r="P1677" s="206" t="s">
        <v>107</v>
      </c>
    </row>
    <row r="1678" spans="1:16" s="187" customFormat="1" ht="18" customHeight="1">
      <c r="A1678" s="187" t="str">
        <f t="shared" si="26"/>
        <v>BMV-0215</v>
      </c>
      <c r="B1678" s="208" t="s">
        <v>3317</v>
      </c>
      <c r="C1678" s="208"/>
      <c r="D1678" s="208" t="s">
        <v>3316</v>
      </c>
      <c r="E1678" s="208" t="s">
        <v>151</v>
      </c>
      <c r="F1678" s="208" t="s">
        <v>3318</v>
      </c>
      <c r="G1678" s="208"/>
      <c r="H1678" s="208"/>
      <c r="I1678" s="208"/>
      <c r="J1678" s="208" t="s">
        <v>387</v>
      </c>
      <c r="K1678" s="208" t="s">
        <v>3319</v>
      </c>
      <c r="L1678" s="208"/>
      <c r="M1678" s="209"/>
      <c r="N1678" s="208"/>
      <c r="O1678" s="208"/>
      <c r="P1678" s="208" t="s">
        <v>91</v>
      </c>
    </row>
    <row r="1679" spans="1:16" s="187" customFormat="1" ht="18" customHeight="1">
      <c r="A1679" s="187" t="str">
        <f t="shared" si="26"/>
        <v>V4103C0</v>
      </c>
      <c r="B1679" s="206" t="s">
        <v>5997</v>
      </c>
      <c r="C1679" s="206"/>
      <c r="D1679" s="206" t="s">
        <v>5998</v>
      </c>
      <c r="E1679" s="206" t="s">
        <v>151</v>
      </c>
      <c r="F1679" s="206"/>
      <c r="G1679" s="206"/>
      <c r="H1679" s="206"/>
      <c r="I1679" s="206"/>
      <c r="J1679" s="206" t="s">
        <v>3322</v>
      </c>
      <c r="K1679" s="206" t="s">
        <v>5999</v>
      </c>
      <c r="L1679" s="206"/>
      <c r="M1679" s="207"/>
      <c r="N1679" s="206"/>
      <c r="O1679" s="206"/>
      <c r="P1679" s="206" t="s">
        <v>107</v>
      </c>
    </row>
    <row r="1680" spans="1:16" s="187" customFormat="1" ht="18" customHeight="1">
      <c r="A1680" s="187" t="str">
        <f t="shared" si="26"/>
        <v>V4073C1</v>
      </c>
      <c r="B1680" s="208" t="s">
        <v>5997</v>
      </c>
      <c r="C1680" s="208"/>
      <c r="D1680" s="208" t="s">
        <v>6000</v>
      </c>
      <c r="E1680" s="208" t="s">
        <v>151</v>
      </c>
      <c r="F1680" s="208"/>
      <c r="G1680" s="208"/>
      <c r="H1680" s="208"/>
      <c r="I1680" s="208"/>
      <c r="J1680" s="208" t="s">
        <v>3322</v>
      </c>
      <c r="K1680" s="208" t="s">
        <v>5999</v>
      </c>
      <c r="L1680" s="208"/>
      <c r="M1680" s="209"/>
      <c r="N1680" s="208"/>
      <c r="O1680" s="208"/>
      <c r="P1680" s="208" t="s">
        <v>107</v>
      </c>
    </row>
    <row r="1681" spans="1:16" s="187" customFormat="1" ht="18" customHeight="1">
      <c r="A1681" s="187" t="str">
        <f t="shared" si="26"/>
        <v>V4073C0</v>
      </c>
      <c r="B1681" s="206" t="s">
        <v>3321</v>
      </c>
      <c r="C1681" s="206"/>
      <c r="D1681" s="206" t="s">
        <v>3320</v>
      </c>
      <c r="E1681" s="206" t="s">
        <v>151</v>
      </c>
      <c r="F1681" s="206"/>
      <c r="G1681" s="206"/>
      <c r="H1681" s="206"/>
      <c r="I1681" s="206"/>
      <c r="J1681" s="206" t="s">
        <v>3322</v>
      </c>
      <c r="K1681" s="206" t="s">
        <v>3323</v>
      </c>
      <c r="L1681" s="206"/>
      <c r="M1681" s="207"/>
      <c r="N1681" s="206"/>
      <c r="O1681" s="206"/>
      <c r="P1681" s="206" t="s">
        <v>107</v>
      </c>
    </row>
    <row r="1682" spans="1:16" s="187" customFormat="1" ht="18" customHeight="1">
      <c r="A1682" s="187" t="str">
        <f t="shared" si="26"/>
        <v>V20065A</v>
      </c>
      <c r="B1682" s="208" t="s">
        <v>3325</v>
      </c>
      <c r="C1682" s="208"/>
      <c r="D1682" s="208" t="s">
        <v>3324</v>
      </c>
      <c r="E1682" s="208" t="s">
        <v>29</v>
      </c>
      <c r="F1682" s="208" t="s">
        <v>3326</v>
      </c>
      <c r="G1682" s="208"/>
      <c r="H1682" s="208"/>
      <c r="I1682" s="208" t="s">
        <v>3327</v>
      </c>
      <c r="J1682" s="208" t="s">
        <v>3328</v>
      </c>
      <c r="K1682" s="208" t="s">
        <v>3329</v>
      </c>
      <c r="L1682" s="208"/>
      <c r="M1682" s="209"/>
      <c r="N1682" s="208"/>
      <c r="O1682" s="208" t="s">
        <v>40</v>
      </c>
      <c r="P1682" s="208" t="s">
        <v>34</v>
      </c>
    </row>
    <row r="1683" spans="1:16" s="187" customFormat="1" ht="18" customHeight="1">
      <c r="A1683" s="187" t="str">
        <f t="shared" si="26"/>
        <v>V20065B</v>
      </c>
      <c r="B1683" s="206" t="s">
        <v>3325</v>
      </c>
      <c r="C1683" s="206"/>
      <c r="D1683" s="206" t="s">
        <v>3330</v>
      </c>
      <c r="E1683" s="206" t="s">
        <v>29</v>
      </c>
      <c r="F1683" s="206" t="s">
        <v>3326</v>
      </c>
      <c r="G1683" s="206"/>
      <c r="H1683" s="206"/>
      <c r="I1683" s="206" t="s">
        <v>3327</v>
      </c>
      <c r="J1683" s="206" t="s">
        <v>3328</v>
      </c>
      <c r="K1683" s="206" t="s">
        <v>3329</v>
      </c>
      <c r="L1683" s="206"/>
      <c r="M1683" s="207"/>
      <c r="N1683" s="206"/>
      <c r="O1683" s="206" t="s">
        <v>40</v>
      </c>
      <c r="P1683" s="206" t="s">
        <v>34</v>
      </c>
    </row>
    <row r="1684" spans="1:16" s="187" customFormat="1" ht="18" customHeight="1">
      <c r="A1684" s="187" t="str">
        <f t="shared" si="26"/>
        <v>V20065C</v>
      </c>
      <c r="B1684" s="208" t="s">
        <v>3325</v>
      </c>
      <c r="C1684" s="208"/>
      <c r="D1684" s="208" t="s">
        <v>3331</v>
      </c>
      <c r="E1684" s="208" t="s">
        <v>29</v>
      </c>
      <c r="F1684" s="208" t="s">
        <v>3326</v>
      </c>
      <c r="G1684" s="208"/>
      <c r="H1684" s="208"/>
      <c r="I1684" s="208" t="s">
        <v>3327</v>
      </c>
      <c r="J1684" s="208" t="s">
        <v>3328</v>
      </c>
      <c r="K1684" s="208" t="s">
        <v>3329</v>
      </c>
      <c r="L1684" s="208"/>
      <c r="M1684" s="209"/>
      <c r="N1684" s="208"/>
      <c r="O1684" s="208" t="s">
        <v>40</v>
      </c>
      <c r="P1684" s="208" t="s">
        <v>34</v>
      </c>
    </row>
    <row r="1685" spans="1:16" s="187" customFormat="1" ht="18" customHeight="1">
      <c r="A1685" s="187" t="str">
        <f t="shared" si="26"/>
        <v>CG450022C0</v>
      </c>
      <c r="B1685" s="206" t="s">
        <v>6001</v>
      </c>
      <c r="C1685" s="206"/>
      <c r="D1685" s="206" t="s">
        <v>6002</v>
      </c>
      <c r="E1685" s="206" t="s">
        <v>29</v>
      </c>
      <c r="F1685" s="206" t="s">
        <v>6003</v>
      </c>
      <c r="G1685" s="206"/>
      <c r="H1685" s="206"/>
      <c r="I1685" s="206"/>
      <c r="J1685" s="206"/>
      <c r="K1685" s="206"/>
      <c r="L1685" s="206"/>
      <c r="M1685" s="207"/>
      <c r="N1685" s="206"/>
      <c r="O1685" s="206"/>
      <c r="P1685" s="206" t="s">
        <v>100</v>
      </c>
    </row>
    <row r="1686" spans="1:16" s="187" customFormat="1" ht="18" customHeight="1">
      <c r="A1686" s="187" t="str">
        <f t="shared" si="26"/>
        <v>V20141C</v>
      </c>
      <c r="B1686" s="208" t="s">
        <v>5263</v>
      </c>
      <c r="C1686" s="208"/>
      <c r="D1686" s="208" t="s">
        <v>5264</v>
      </c>
      <c r="E1686" s="208" t="s">
        <v>29</v>
      </c>
      <c r="F1686" s="208" t="s">
        <v>5265</v>
      </c>
      <c r="G1686" s="208"/>
      <c r="H1686" s="208"/>
      <c r="I1686" s="208"/>
      <c r="J1686" s="208" t="s">
        <v>5266</v>
      </c>
      <c r="K1686" s="208" t="s">
        <v>5267</v>
      </c>
      <c r="L1686" s="208"/>
      <c r="M1686" s="209"/>
      <c r="N1686" s="208"/>
      <c r="O1686" s="208"/>
      <c r="P1686" s="208" t="s">
        <v>34</v>
      </c>
    </row>
    <row r="1687" spans="1:16" s="187" customFormat="1" ht="18" customHeight="1">
      <c r="A1687" s="187" t="str">
        <f t="shared" si="26"/>
        <v>V20141B</v>
      </c>
      <c r="B1687" s="206" t="s">
        <v>5268</v>
      </c>
      <c r="C1687" s="206"/>
      <c r="D1687" s="206" t="s">
        <v>5269</v>
      </c>
      <c r="E1687" s="206" t="s">
        <v>29</v>
      </c>
      <c r="F1687" s="206" t="s">
        <v>5265</v>
      </c>
      <c r="G1687" s="206"/>
      <c r="H1687" s="206"/>
      <c r="I1687" s="206"/>
      <c r="J1687" s="206" t="s">
        <v>5266</v>
      </c>
      <c r="K1687" s="206" t="s">
        <v>5267</v>
      </c>
      <c r="L1687" s="206"/>
      <c r="M1687" s="207"/>
      <c r="N1687" s="206"/>
      <c r="O1687" s="206"/>
      <c r="P1687" s="206" t="s">
        <v>34</v>
      </c>
    </row>
    <row r="1688" spans="1:16" s="187" customFormat="1" ht="18" customHeight="1">
      <c r="A1688" s="187" t="str">
        <f t="shared" si="26"/>
        <v>V20099A</v>
      </c>
      <c r="B1688" s="208" t="s">
        <v>3333</v>
      </c>
      <c r="C1688" s="208"/>
      <c r="D1688" s="208" t="s">
        <v>3332</v>
      </c>
      <c r="E1688" s="208" t="s">
        <v>29</v>
      </c>
      <c r="F1688" s="208" t="s">
        <v>3334</v>
      </c>
      <c r="G1688" s="208"/>
      <c r="H1688" s="208"/>
      <c r="I1688" s="208" t="s">
        <v>3335</v>
      </c>
      <c r="J1688" s="208" t="s">
        <v>3336</v>
      </c>
      <c r="K1688" s="208" t="s">
        <v>3337</v>
      </c>
      <c r="L1688" s="208"/>
      <c r="M1688" s="209"/>
      <c r="N1688" s="208"/>
      <c r="O1688" s="208" t="s">
        <v>40</v>
      </c>
      <c r="P1688" s="208" t="s">
        <v>34</v>
      </c>
    </row>
    <row r="1689" spans="1:16" s="187" customFormat="1" ht="18" customHeight="1">
      <c r="A1689" s="187" t="str">
        <f t="shared" si="26"/>
        <v>V20099B</v>
      </c>
      <c r="B1689" s="206" t="s">
        <v>3333</v>
      </c>
      <c r="C1689" s="206"/>
      <c r="D1689" s="206" t="s">
        <v>3338</v>
      </c>
      <c r="E1689" s="206" t="s">
        <v>29</v>
      </c>
      <c r="F1689" s="206" t="s">
        <v>3334</v>
      </c>
      <c r="G1689" s="206"/>
      <c r="H1689" s="206"/>
      <c r="I1689" s="206" t="s">
        <v>3335</v>
      </c>
      <c r="J1689" s="206" t="s">
        <v>3336</v>
      </c>
      <c r="K1689" s="206" t="s">
        <v>3337</v>
      </c>
      <c r="L1689" s="206"/>
      <c r="M1689" s="207"/>
      <c r="N1689" s="206"/>
      <c r="O1689" s="206" t="s">
        <v>40</v>
      </c>
      <c r="P1689" s="206" t="s">
        <v>34</v>
      </c>
    </row>
    <row r="1690" spans="1:16" s="187" customFormat="1" ht="18" customHeight="1">
      <c r="A1690" s="187" t="str">
        <f t="shared" si="26"/>
        <v>V20099C</v>
      </c>
      <c r="B1690" s="208" t="s">
        <v>3333</v>
      </c>
      <c r="C1690" s="208"/>
      <c r="D1690" s="208" t="s">
        <v>3339</v>
      </c>
      <c r="E1690" s="208" t="s">
        <v>29</v>
      </c>
      <c r="F1690" s="208" t="s">
        <v>3334</v>
      </c>
      <c r="G1690" s="208"/>
      <c r="H1690" s="208"/>
      <c r="I1690" s="208" t="s">
        <v>3335</v>
      </c>
      <c r="J1690" s="208" t="s">
        <v>3336</v>
      </c>
      <c r="K1690" s="208" t="s">
        <v>3337</v>
      </c>
      <c r="L1690" s="208"/>
      <c r="M1690" s="209"/>
      <c r="N1690" s="208"/>
      <c r="O1690" s="208" t="s">
        <v>40</v>
      </c>
      <c r="P1690" s="208" t="s">
        <v>34</v>
      </c>
    </row>
    <row r="1691" spans="1:16" s="187" customFormat="1" ht="18" customHeight="1">
      <c r="A1691" s="187" t="str">
        <f t="shared" si="26"/>
        <v>V20057A</v>
      </c>
      <c r="B1691" s="206" t="s">
        <v>3341</v>
      </c>
      <c r="C1691" s="206"/>
      <c r="D1691" s="206" t="s">
        <v>3340</v>
      </c>
      <c r="E1691" s="206" t="s">
        <v>29</v>
      </c>
      <c r="F1691" s="206" t="s">
        <v>3342</v>
      </c>
      <c r="G1691" s="206"/>
      <c r="H1691" s="206"/>
      <c r="I1691" s="206" t="s">
        <v>3343</v>
      </c>
      <c r="J1691" s="206" t="s">
        <v>3344</v>
      </c>
      <c r="K1691" s="206" t="s">
        <v>3345</v>
      </c>
      <c r="L1691" s="206"/>
      <c r="M1691" s="207"/>
      <c r="N1691" s="206"/>
      <c r="O1691" s="206" t="s">
        <v>40</v>
      </c>
      <c r="P1691" s="206" t="s">
        <v>34</v>
      </c>
    </row>
    <row r="1692" spans="1:16" s="187" customFormat="1" ht="18" customHeight="1">
      <c r="A1692" s="187" t="str">
        <f t="shared" si="26"/>
        <v>V20057B</v>
      </c>
      <c r="B1692" s="208" t="s">
        <v>3341</v>
      </c>
      <c r="C1692" s="208"/>
      <c r="D1692" s="208" t="s">
        <v>3346</v>
      </c>
      <c r="E1692" s="208" t="s">
        <v>29</v>
      </c>
      <c r="F1692" s="208" t="s">
        <v>3342</v>
      </c>
      <c r="G1692" s="208"/>
      <c r="H1692" s="208"/>
      <c r="I1692" s="208" t="s">
        <v>3343</v>
      </c>
      <c r="J1692" s="208" t="s">
        <v>3344</v>
      </c>
      <c r="K1692" s="208" t="s">
        <v>3345</v>
      </c>
      <c r="L1692" s="208"/>
      <c r="M1692" s="209"/>
      <c r="N1692" s="208"/>
      <c r="O1692" s="208" t="s">
        <v>40</v>
      </c>
      <c r="P1692" s="208" t="s">
        <v>34</v>
      </c>
    </row>
    <row r="1693" spans="1:16" s="187" customFormat="1" ht="18" customHeight="1">
      <c r="A1693" s="187" t="str">
        <f t="shared" si="26"/>
        <v>V20057C</v>
      </c>
      <c r="B1693" s="206" t="s">
        <v>3341</v>
      </c>
      <c r="C1693" s="206"/>
      <c r="D1693" s="206" t="s">
        <v>3347</v>
      </c>
      <c r="E1693" s="206" t="s">
        <v>29</v>
      </c>
      <c r="F1693" s="206" t="s">
        <v>3342</v>
      </c>
      <c r="G1693" s="206"/>
      <c r="H1693" s="206"/>
      <c r="I1693" s="206" t="s">
        <v>3343</v>
      </c>
      <c r="J1693" s="206" t="s">
        <v>3344</v>
      </c>
      <c r="K1693" s="206" t="s">
        <v>3345</v>
      </c>
      <c r="L1693" s="206"/>
      <c r="M1693" s="207"/>
      <c r="N1693" s="206"/>
      <c r="O1693" s="206" t="s">
        <v>40</v>
      </c>
      <c r="P1693" s="206" t="s">
        <v>34</v>
      </c>
    </row>
    <row r="1694" spans="1:16" s="187" customFormat="1" ht="18" customHeight="1">
      <c r="A1694" s="187" t="str">
        <f t="shared" si="26"/>
        <v>V20146C</v>
      </c>
      <c r="B1694" s="208" t="s">
        <v>5502</v>
      </c>
      <c r="C1694" s="208"/>
      <c r="D1694" s="208" t="s">
        <v>5503</v>
      </c>
      <c r="E1694" s="208" t="s">
        <v>29</v>
      </c>
      <c r="F1694" s="208" t="s">
        <v>5504</v>
      </c>
      <c r="G1694" s="208"/>
      <c r="H1694" s="208"/>
      <c r="I1694" s="208"/>
      <c r="J1694" s="208" t="s">
        <v>5505</v>
      </c>
      <c r="K1694" s="208" t="s">
        <v>5506</v>
      </c>
      <c r="L1694" s="208"/>
      <c r="M1694" s="209"/>
      <c r="N1694" s="208"/>
      <c r="O1694" s="208" t="s">
        <v>260</v>
      </c>
      <c r="P1694" s="208" t="s">
        <v>34</v>
      </c>
    </row>
    <row r="1695" spans="1:16" s="187" customFormat="1" ht="18" customHeight="1">
      <c r="A1695" s="187" t="str">
        <f t="shared" si="26"/>
        <v>003901</v>
      </c>
      <c r="B1695" s="206" t="s">
        <v>4606</v>
      </c>
      <c r="C1695" s="206"/>
      <c r="D1695" s="206" t="s">
        <v>4605</v>
      </c>
      <c r="E1695" s="206" t="s">
        <v>29</v>
      </c>
      <c r="F1695" s="206"/>
      <c r="G1695" s="206"/>
      <c r="H1695" s="206"/>
      <c r="I1695" s="206"/>
      <c r="J1695" s="206"/>
      <c r="K1695" s="206"/>
      <c r="L1695" s="206"/>
      <c r="M1695" s="207"/>
      <c r="N1695" s="206"/>
      <c r="O1695" s="206"/>
      <c r="P1695" s="206"/>
    </row>
    <row r="1696" spans="1:16" s="187" customFormat="1" ht="18" customHeight="1">
      <c r="A1696" s="187" t="str">
        <f t="shared" si="26"/>
        <v>V20069A</v>
      </c>
      <c r="B1696" s="208" t="s">
        <v>3349</v>
      </c>
      <c r="C1696" s="208"/>
      <c r="D1696" s="208" t="s">
        <v>3348</v>
      </c>
      <c r="E1696" s="208" t="s">
        <v>29</v>
      </c>
      <c r="F1696" s="208" t="s">
        <v>3350</v>
      </c>
      <c r="G1696" s="208"/>
      <c r="H1696" s="208"/>
      <c r="I1696" s="208" t="s">
        <v>3351</v>
      </c>
      <c r="J1696" s="208" t="s">
        <v>3355</v>
      </c>
      <c r="K1696" s="208" t="s">
        <v>3352</v>
      </c>
      <c r="L1696" s="208"/>
      <c r="M1696" s="209"/>
      <c r="N1696" s="208"/>
      <c r="O1696" s="208" t="s">
        <v>40</v>
      </c>
      <c r="P1696" s="208" t="s">
        <v>34</v>
      </c>
    </row>
    <row r="1697" spans="1:16" s="187" customFormat="1" ht="18" customHeight="1">
      <c r="A1697" s="187" t="str">
        <f t="shared" si="26"/>
        <v>V20069B</v>
      </c>
      <c r="B1697" s="206" t="s">
        <v>3349</v>
      </c>
      <c r="C1697" s="206"/>
      <c r="D1697" s="206" t="s">
        <v>3353</v>
      </c>
      <c r="E1697" s="206" t="s">
        <v>29</v>
      </c>
      <c r="F1697" s="206" t="s">
        <v>3354</v>
      </c>
      <c r="G1697" s="206"/>
      <c r="H1697" s="206"/>
      <c r="I1697" s="206" t="s">
        <v>3351</v>
      </c>
      <c r="J1697" s="206" t="s">
        <v>3355</v>
      </c>
      <c r="K1697" s="206" t="s">
        <v>3352</v>
      </c>
      <c r="L1697" s="206"/>
      <c r="M1697" s="207"/>
      <c r="N1697" s="206"/>
      <c r="O1697" s="206" t="s">
        <v>40</v>
      </c>
      <c r="P1697" s="206" t="s">
        <v>34</v>
      </c>
    </row>
    <row r="1698" spans="1:16" s="187" customFormat="1" ht="18" customHeight="1">
      <c r="A1698" s="187" t="str">
        <f t="shared" si="26"/>
        <v>V20069C</v>
      </c>
      <c r="B1698" s="208" t="s">
        <v>3349</v>
      </c>
      <c r="C1698" s="208"/>
      <c r="D1698" s="208" t="s">
        <v>3356</v>
      </c>
      <c r="E1698" s="208" t="s">
        <v>29</v>
      </c>
      <c r="F1698" s="208" t="s">
        <v>3354</v>
      </c>
      <c r="G1698" s="208"/>
      <c r="H1698" s="208"/>
      <c r="I1698" s="208" t="s">
        <v>3351</v>
      </c>
      <c r="J1698" s="208" t="s">
        <v>3355</v>
      </c>
      <c r="K1698" s="208" t="s">
        <v>3352</v>
      </c>
      <c r="L1698" s="208"/>
      <c r="M1698" s="209"/>
      <c r="N1698" s="208"/>
      <c r="O1698" s="208" t="s">
        <v>40</v>
      </c>
      <c r="P1698" s="208" t="s">
        <v>34</v>
      </c>
    </row>
    <row r="1699" spans="1:16" s="187" customFormat="1" ht="18" customHeight="1">
      <c r="A1699" s="187" t="str">
        <f t="shared" si="26"/>
        <v>V20042A</v>
      </c>
      <c r="B1699" s="206" t="s">
        <v>3358</v>
      </c>
      <c r="C1699" s="206"/>
      <c r="D1699" s="206" t="s">
        <v>3357</v>
      </c>
      <c r="E1699" s="206" t="s">
        <v>29</v>
      </c>
      <c r="F1699" s="206" t="s">
        <v>3359</v>
      </c>
      <c r="G1699" s="206"/>
      <c r="H1699" s="206"/>
      <c r="I1699" s="206" t="s">
        <v>3360</v>
      </c>
      <c r="J1699" s="206" t="s">
        <v>3220</v>
      </c>
      <c r="K1699" s="206" t="s">
        <v>3361</v>
      </c>
      <c r="L1699" s="206"/>
      <c r="M1699" s="207"/>
      <c r="N1699" s="206"/>
      <c r="O1699" s="206" t="s">
        <v>40</v>
      </c>
      <c r="P1699" s="206" t="s">
        <v>34</v>
      </c>
    </row>
    <row r="1700" spans="1:16" s="187" customFormat="1" ht="18" customHeight="1">
      <c r="A1700" s="187" t="str">
        <f t="shared" si="26"/>
        <v>V20042B</v>
      </c>
      <c r="B1700" s="208" t="s">
        <v>3358</v>
      </c>
      <c r="C1700" s="208"/>
      <c r="D1700" s="208" t="s">
        <v>3362</v>
      </c>
      <c r="E1700" s="208" t="s">
        <v>29</v>
      </c>
      <c r="F1700" s="208" t="s">
        <v>3359</v>
      </c>
      <c r="G1700" s="208"/>
      <c r="H1700" s="208"/>
      <c r="I1700" s="208" t="s">
        <v>3360</v>
      </c>
      <c r="J1700" s="208" t="s">
        <v>3220</v>
      </c>
      <c r="K1700" s="208" t="s">
        <v>3361</v>
      </c>
      <c r="L1700" s="208"/>
      <c r="M1700" s="209"/>
      <c r="N1700" s="208"/>
      <c r="O1700" s="208" t="s">
        <v>40</v>
      </c>
      <c r="P1700" s="208" t="s">
        <v>34</v>
      </c>
    </row>
    <row r="1701" spans="1:16" s="187" customFormat="1" ht="18" customHeight="1">
      <c r="A1701" s="187" t="str">
        <f t="shared" si="26"/>
        <v>V20042C</v>
      </c>
      <c r="B1701" s="206" t="s">
        <v>3358</v>
      </c>
      <c r="C1701" s="206"/>
      <c r="D1701" s="206" t="s">
        <v>3363</v>
      </c>
      <c r="E1701" s="206" t="s">
        <v>29</v>
      </c>
      <c r="F1701" s="206" t="s">
        <v>3359</v>
      </c>
      <c r="G1701" s="206"/>
      <c r="H1701" s="206"/>
      <c r="I1701" s="206" t="s">
        <v>3360</v>
      </c>
      <c r="J1701" s="206" t="s">
        <v>3220</v>
      </c>
      <c r="K1701" s="206" t="s">
        <v>3361</v>
      </c>
      <c r="L1701" s="206"/>
      <c r="M1701" s="207"/>
      <c r="N1701" s="206"/>
      <c r="O1701" s="206" t="s">
        <v>40</v>
      </c>
      <c r="P1701" s="206" t="s">
        <v>34</v>
      </c>
    </row>
    <row r="1702" spans="1:16" s="187" customFormat="1" ht="18" customHeight="1">
      <c r="A1702" s="187" t="str">
        <f t="shared" si="26"/>
        <v>V20035A</v>
      </c>
      <c r="B1702" s="208" t="s">
        <v>3365</v>
      </c>
      <c r="C1702" s="208"/>
      <c r="D1702" s="208" t="s">
        <v>3364</v>
      </c>
      <c r="E1702" s="208" t="s">
        <v>29</v>
      </c>
      <c r="F1702" s="208" t="s">
        <v>3370</v>
      </c>
      <c r="G1702" s="208"/>
      <c r="H1702" s="208"/>
      <c r="I1702" s="208" t="s">
        <v>3366</v>
      </c>
      <c r="J1702" s="208" t="s">
        <v>3367</v>
      </c>
      <c r="K1702" s="208" t="s">
        <v>3368</v>
      </c>
      <c r="L1702" s="208"/>
      <c r="M1702" s="209"/>
      <c r="N1702" s="208"/>
      <c r="O1702" s="208" t="s">
        <v>40</v>
      </c>
      <c r="P1702" s="208" t="s">
        <v>34</v>
      </c>
    </row>
    <row r="1703" spans="1:16" s="187" customFormat="1" ht="18" customHeight="1">
      <c r="A1703" s="187" t="str">
        <f t="shared" si="26"/>
        <v>V20035B</v>
      </c>
      <c r="B1703" s="206" t="s">
        <v>3365</v>
      </c>
      <c r="C1703" s="206"/>
      <c r="D1703" s="206" t="s">
        <v>3369</v>
      </c>
      <c r="E1703" s="206" t="s">
        <v>29</v>
      </c>
      <c r="F1703" s="206" t="s">
        <v>3370</v>
      </c>
      <c r="G1703" s="206"/>
      <c r="H1703" s="206"/>
      <c r="I1703" s="206" t="s">
        <v>3366</v>
      </c>
      <c r="J1703" s="206" t="s">
        <v>3367</v>
      </c>
      <c r="K1703" s="206" t="s">
        <v>3368</v>
      </c>
      <c r="L1703" s="206"/>
      <c r="M1703" s="207"/>
      <c r="N1703" s="206"/>
      <c r="O1703" s="206" t="s">
        <v>40</v>
      </c>
      <c r="P1703" s="206" t="s">
        <v>34</v>
      </c>
    </row>
    <row r="1704" spans="1:16" s="187" customFormat="1" ht="18" customHeight="1">
      <c r="A1704" s="187" t="str">
        <f t="shared" si="26"/>
        <v>V20035C</v>
      </c>
      <c r="B1704" s="208" t="s">
        <v>3365</v>
      </c>
      <c r="C1704" s="208"/>
      <c r="D1704" s="208" t="s">
        <v>3371</v>
      </c>
      <c r="E1704" s="208" t="s">
        <v>29</v>
      </c>
      <c r="F1704" s="208" t="s">
        <v>3370</v>
      </c>
      <c r="G1704" s="208"/>
      <c r="H1704" s="208"/>
      <c r="I1704" s="208" t="s">
        <v>3366</v>
      </c>
      <c r="J1704" s="208" t="s">
        <v>3367</v>
      </c>
      <c r="K1704" s="208" t="s">
        <v>3368</v>
      </c>
      <c r="L1704" s="208"/>
      <c r="M1704" s="209"/>
      <c r="N1704" s="208"/>
      <c r="O1704" s="208" t="s">
        <v>40</v>
      </c>
      <c r="P1704" s="208" t="s">
        <v>34</v>
      </c>
    </row>
    <row r="1705" spans="1:16" s="187" customFormat="1" ht="18" customHeight="1">
      <c r="A1705" s="187" t="str">
        <f t="shared" si="26"/>
        <v>CG450030C0</v>
      </c>
      <c r="B1705" s="206" t="s">
        <v>3365</v>
      </c>
      <c r="C1705" s="206"/>
      <c r="D1705" s="206" t="s">
        <v>6485</v>
      </c>
      <c r="E1705" s="206" t="s">
        <v>29</v>
      </c>
      <c r="F1705" s="206" t="s">
        <v>3370</v>
      </c>
      <c r="G1705" s="206"/>
      <c r="H1705" s="206"/>
      <c r="I1705" s="206"/>
      <c r="J1705" s="206"/>
      <c r="K1705" s="206"/>
      <c r="L1705" s="206"/>
      <c r="M1705" s="207"/>
      <c r="N1705" s="206"/>
      <c r="O1705" s="206"/>
      <c r="P1705" s="206" t="s">
        <v>164</v>
      </c>
    </row>
    <row r="1706" spans="1:16" s="187" customFormat="1" ht="18" customHeight="1">
      <c r="A1706" s="187" t="str">
        <f t="shared" si="26"/>
        <v>V3300C0</v>
      </c>
      <c r="B1706" s="208" t="s">
        <v>3373</v>
      </c>
      <c r="C1706" s="208"/>
      <c r="D1706" s="208" t="s">
        <v>3374</v>
      </c>
      <c r="E1706" s="208" t="s">
        <v>151</v>
      </c>
      <c r="F1706" s="208" t="s">
        <v>94</v>
      </c>
      <c r="G1706" s="208"/>
      <c r="H1706" s="208"/>
      <c r="I1706" s="208"/>
      <c r="J1706" s="208"/>
      <c r="K1706" s="208"/>
      <c r="L1706" s="208"/>
      <c r="M1706" s="209"/>
      <c r="N1706" s="208"/>
      <c r="O1706" s="208" t="s">
        <v>268</v>
      </c>
      <c r="P1706" s="208" t="s">
        <v>269</v>
      </c>
    </row>
    <row r="1707" spans="1:16" s="187" customFormat="1" ht="18" customHeight="1">
      <c r="A1707" s="187" t="str">
        <f t="shared" si="26"/>
        <v>CG430001C0</v>
      </c>
      <c r="B1707" s="206" t="s">
        <v>3373</v>
      </c>
      <c r="C1707" s="206"/>
      <c r="D1707" s="206" t="s">
        <v>3372</v>
      </c>
      <c r="E1707" s="206" t="s">
        <v>151</v>
      </c>
      <c r="F1707" s="206" t="s">
        <v>265</v>
      </c>
      <c r="G1707" s="206"/>
      <c r="H1707" s="206"/>
      <c r="I1707" s="206"/>
      <c r="J1707" s="206"/>
      <c r="K1707" s="206"/>
      <c r="L1707" s="206"/>
      <c r="M1707" s="207"/>
      <c r="N1707" s="206"/>
      <c r="O1707" s="206"/>
      <c r="P1707" s="206" t="s">
        <v>266</v>
      </c>
    </row>
    <row r="1708" spans="1:16" s="187" customFormat="1" ht="18" customHeight="1">
      <c r="A1708" s="187" t="str">
        <f t="shared" si="26"/>
        <v>V20147C</v>
      </c>
      <c r="B1708" s="208" t="s">
        <v>5390</v>
      </c>
      <c r="C1708" s="208"/>
      <c r="D1708" s="208" t="s">
        <v>5476</v>
      </c>
      <c r="E1708" s="208" t="s">
        <v>29</v>
      </c>
      <c r="F1708" s="208"/>
      <c r="G1708" s="208"/>
      <c r="H1708" s="208"/>
      <c r="I1708" s="208"/>
      <c r="J1708" s="208" t="s">
        <v>5477</v>
      </c>
      <c r="K1708" s="208" t="s">
        <v>5478</v>
      </c>
      <c r="L1708" s="208"/>
      <c r="M1708" s="209"/>
      <c r="N1708" s="208"/>
      <c r="O1708" s="208"/>
      <c r="P1708" s="208" t="s">
        <v>34</v>
      </c>
    </row>
    <row r="1709" spans="1:16" s="187" customFormat="1" ht="18" customHeight="1">
      <c r="A1709" s="187" t="str">
        <f t="shared" si="26"/>
        <v>V20147B</v>
      </c>
      <c r="B1709" s="206" t="s">
        <v>5390</v>
      </c>
      <c r="C1709" s="206"/>
      <c r="D1709" s="206" t="s">
        <v>5391</v>
      </c>
      <c r="E1709" s="206" t="s">
        <v>29</v>
      </c>
      <c r="F1709" s="206" t="s">
        <v>5392</v>
      </c>
      <c r="G1709" s="206"/>
      <c r="H1709" s="206"/>
      <c r="I1709" s="206"/>
      <c r="J1709" s="206" t="s">
        <v>4461</v>
      </c>
      <c r="K1709" s="206" t="s">
        <v>5393</v>
      </c>
      <c r="L1709" s="206"/>
      <c r="M1709" s="207"/>
      <c r="N1709" s="206"/>
      <c r="O1709" s="206" t="s">
        <v>40</v>
      </c>
      <c r="P1709" s="206" t="s">
        <v>34</v>
      </c>
    </row>
    <row r="1710" spans="1:16" s="187" customFormat="1" ht="18" customHeight="1">
      <c r="A1710" s="187" t="str">
        <f t="shared" si="26"/>
        <v>CG450021C0</v>
      </c>
      <c r="B1710" s="208" t="s">
        <v>4608</v>
      </c>
      <c r="C1710" s="208"/>
      <c r="D1710" s="208" t="s">
        <v>6004</v>
      </c>
      <c r="E1710" s="208" t="s">
        <v>151</v>
      </c>
      <c r="F1710" s="208" t="s">
        <v>6005</v>
      </c>
      <c r="G1710" s="208"/>
      <c r="H1710" s="208"/>
      <c r="I1710" s="208"/>
      <c r="J1710" s="208"/>
      <c r="K1710" s="208"/>
      <c r="L1710" s="208"/>
      <c r="M1710" s="209"/>
      <c r="N1710" s="208"/>
      <c r="O1710" s="208"/>
      <c r="P1710" s="208" t="s">
        <v>34</v>
      </c>
    </row>
    <row r="1711" spans="1:16" s="187" customFormat="1" ht="18" customHeight="1">
      <c r="A1711" s="187" t="str">
        <f t="shared" si="26"/>
        <v>V20128A</v>
      </c>
      <c r="B1711" s="206" t="s">
        <v>4608</v>
      </c>
      <c r="C1711" s="206"/>
      <c r="D1711" s="206" t="s">
        <v>4607</v>
      </c>
      <c r="E1711" s="206" t="s">
        <v>29</v>
      </c>
      <c r="F1711" s="206" t="s">
        <v>4609</v>
      </c>
      <c r="G1711" s="206"/>
      <c r="H1711" s="206"/>
      <c r="I1711" s="206" t="s">
        <v>4610</v>
      </c>
      <c r="J1711" s="206" t="s">
        <v>4611</v>
      </c>
      <c r="K1711" s="206" t="s">
        <v>4612</v>
      </c>
      <c r="L1711" s="206"/>
      <c r="M1711" s="207"/>
      <c r="N1711" s="206"/>
      <c r="O1711" s="206"/>
      <c r="P1711" s="206" t="s">
        <v>34</v>
      </c>
    </row>
    <row r="1712" spans="1:16" s="187" customFormat="1" ht="18" customHeight="1">
      <c r="A1712" s="187" t="str">
        <f t="shared" si="26"/>
        <v>V20058A</v>
      </c>
      <c r="B1712" s="208" t="s">
        <v>3376</v>
      </c>
      <c r="C1712" s="208"/>
      <c r="D1712" s="208" t="s">
        <v>3375</v>
      </c>
      <c r="E1712" s="208" t="s">
        <v>29</v>
      </c>
      <c r="F1712" s="208" t="s">
        <v>3377</v>
      </c>
      <c r="G1712" s="208"/>
      <c r="H1712" s="208"/>
      <c r="I1712" s="208"/>
      <c r="J1712" s="208" t="s">
        <v>3378</v>
      </c>
      <c r="K1712" s="208" t="s">
        <v>3379</v>
      </c>
      <c r="L1712" s="208"/>
      <c r="M1712" s="209"/>
      <c r="N1712" s="208"/>
      <c r="O1712" s="208" t="s">
        <v>40</v>
      </c>
      <c r="P1712" s="208" t="s">
        <v>34</v>
      </c>
    </row>
    <row r="1713" spans="1:16" s="187" customFormat="1" ht="18" customHeight="1">
      <c r="A1713" s="187" t="str">
        <f t="shared" si="26"/>
        <v>V20058B</v>
      </c>
      <c r="B1713" s="206" t="s">
        <v>3376</v>
      </c>
      <c r="C1713" s="206"/>
      <c r="D1713" s="206" t="s">
        <v>3380</v>
      </c>
      <c r="E1713" s="206" t="s">
        <v>29</v>
      </c>
      <c r="F1713" s="206" t="s">
        <v>3377</v>
      </c>
      <c r="G1713" s="206"/>
      <c r="H1713" s="206"/>
      <c r="I1713" s="206"/>
      <c r="J1713" s="206" t="s">
        <v>3378</v>
      </c>
      <c r="K1713" s="206" t="s">
        <v>3379</v>
      </c>
      <c r="L1713" s="206"/>
      <c r="M1713" s="207"/>
      <c r="N1713" s="206"/>
      <c r="O1713" s="206" t="s">
        <v>40</v>
      </c>
      <c r="P1713" s="206" t="s">
        <v>34</v>
      </c>
    </row>
    <row r="1714" spans="1:16" s="187" customFormat="1" ht="18" customHeight="1">
      <c r="A1714" s="187" t="str">
        <f t="shared" si="26"/>
        <v>V20058C</v>
      </c>
      <c r="B1714" s="208" t="s">
        <v>3376</v>
      </c>
      <c r="C1714" s="208"/>
      <c r="D1714" s="208" t="s">
        <v>3381</v>
      </c>
      <c r="E1714" s="208" t="s">
        <v>29</v>
      </c>
      <c r="F1714" s="208" t="s">
        <v>3377</v>
      </c>
      <c r="G1714" s="208"/>
      <c r="H1714" s="208"/>
      <c r="I1714" s="208"/>
      <c r="J1714" s="208" t="s">
        <v>3378</v>
      </c>
      <c r="K1714" s="208" t="s">
        <v>3379</v>
      </c>
      <c r="L1714" s="208"/>
      <c r="M1714" s="209"/>
      <c r="N1714" s="208"/>
      <c r="O1714" s="208" t="s">
        <v>40</v>
      </c>
      <c r="P1714" s="208" t="s">
        <v>34</v>
      </c>
    </row>
    <row r="1715" spans="1:16" s="187" customFormat="1" ht="18" customHeight="1">
      <c r="A1715" s="187" t="str">
        <f t="shared" si="26"/>
        <v>V20004A</v>
      </c>
      <c r="B1715" s="206" t="s">
        <v>3383</v>
      </c>
      <c r="C1715" s="206"/>
      <c r="D1715" s="206" t="s">
        <v>3382</v>
      </c>
      <c r="E1715" s="206" t="s">
        <v>29</v>
      </c>
      <c r="F1715" s="206" t="s">
        <v>3384</v>
      </c>
      <c r="G1715" s="206"/>
      <c r="H1715" s="206"/>
      <c r="I1715" s="206" t="s">
        <v>3385</v>
      </c>
      <c r="J1715" s="206" t="s">
        <v>3386</v>
      </c>
      <c r="K1715" s="206" t="s">
        <v>3387</v>
      </c>
      <c r="L1715" s="206"/>
      <c r="M1715" s="207"/>
      <c r="N1715" s="206"/>
      <c r="O1715" s="206" t="s">
        <v>40</v>
      </c>
      <c r="P1715" s="206" t="s">
        <v>34</v>
      </c>
    </row>
    <row r="1716" spans="1:16" s="187" customFormat="1" ht="18" customHeight="1">
      <c r="A1716" s="187" t="str">
        <f t="shared" si="26"/>
        <v>V20004B</v>
      </c>
      <c r="B1716" s="208" t="s">
        <v>3383</v>
      </c>
      <c r="C1716" s="208"/>
      <c r="D1716" s="208" t="s">
        <v>3388</v>
      </c>
      <c r="E1716" s="208" t="s">
        <v>29</v>
      </c>
      <c r="F1716" s="208" t="s">
        <v>3384</v>
      </c>
      <c r="G1716" s="208"/>
      <c r="H1716" s="208"/>
      <c r="I1716" s="208" t="s">
        <v>3385</v>
      </c>
      <c r="J1716" s="208" t="s">
        <v>3386</v>
      </c>
      <c r="K1716" s="208" t="s">
        <v>3387</v>
      </c>
      <c r="L1716" s="208"/>
      <c r="M1716" s="209"/>
      <c r="N1716" s="208"/>
      <c r="O1716" s="208" t="s">
        <v>40</v>
      </c>
      <c r="P1716" s="208" t="s">
        <v>34</v>
      </c>
    </row>
    <row r="1717" spans="1:16" s="187" customFormat="1" ht="18" customHeight="1">
      <c r="A1717" s="187" t="str">
        <f t="shared" si="26"/>
        <v>V20004C</v>
      </c>
      <c r="B1717" s="206" t="s">
        <v>3383</v>
      </c>
      <c r="C1717" s="206"/>
      <c r="D1717" s="206" t="s">
        <v>3389</v>
      </c>
      <c r="E1717" s="206" t="s">
        <v>29</v>
      </c>
      <c r="F1717" s="206" t="s">
        <v>3384</v>
      </c>
      <c r="G1717" s="206"/>
      <c r="H1717" s="206"/>
      <c r="I1717" s="206" t="s">
        <v>3385</v>
      </c>
      <c r="J1717" s="206" t="s">
        <v>3386</v>
      </c>
      <c r="K1717" s="206" t="s">
        <v>3387</v>
      </c>
      <c r="L1717" s="206"/>
      <c r="M1717" s="207"/>
      <c r="N1717" s="206"/>
      <c r="O1717" s="206" t="s">
        <v>40</v>
      </c>
      <c r="P1717" s="206" t="s">
        <v>34</v>
      </c>
    </row>
    <row r="1718" spans="1:16" s="187" customFormat="1" ht="18" customHeight="1">
      <c r="A1718" s="187" t="str">
        <f t="shared" si="26"/>
        <v>006301</v>
      </c>
      <c r="B1718" s="208" t="s">
        <v>4614</v>
      </c>
      <c r="C1718" s="208"/>
      <c r="D1718" s="208" t="s">
        <v>4613</v>
      </c>
      <c r="E1718" s="208" t="s">
        <v>29</v>
      </c>
      <c r="F1718" s="208"/>
      <c r="G1718" s="208"/>
      <c r="H1718" s="208"/>
      <c r="I1718" s="208"/>
      <c r="J1718" s="208"/>
      <c r="K1718" s="208"/>
      <c r="L1718" s="208"/>
      <c r="M1718" s="209"/>
      <c r="N1718" s="208"/>
      <c r="O1718" s="208"/>
      <c r="P1718" s="208"/>
    </row>
    <row r="1719" spans="1:16" s="187" customFormat="1" ht="18" customHeight="1">
      <c r="A1719" s="187" t="str">
        <f t="shared" si="26"/>
        <v>V20139A</v>
      </c>
      <c r="B1719" s="206" t="s">
        <v>5048</v>
      </c>
      <c r="C1719" s="206"/>
      <c r="D1719" s="206" t="s">
        <v>5047</v>
      </c>
      <c r="E1719" s="206" t="s">
        <v>29</v>
      </c>
      <c r="F1719" s="206" t="s">
        <v>5046</v>
      </c>
      <c r="G1719" s="206"/>
      <c r="H1719" s="206"/>
      <c r="I1719" s="206" t="s">
        <v>5045</v>
      </c>
      <c r="J1719" s="206" t="s">
        <v>5044</v>
      </c>
      <c r="K1719" s="206" t="s">
        <v>5043</v>
      </c>
      <c r="L1719" s="206"/>
      <c r="M1719" s="207"/>
      <c r="N1719" s="206"/>
      <c r="O1719" s="206"/>
      <c r="P1719" s="206" t="s">
        <v>34</v>
      </c>
    </row>
    <row r="1720" spans="1:16" s="187" customFormat="1" ht="18" customHeight="1">
      <c r="A1720" s="187" t="str">
        <f t="shared" si="26"/>
        <v>V10104A</v>
      </c>
      <c r="B1720" s="208" t="s">
        <v>3391</v>
      </c>
      <c r="C1720" s="208"/>
      <c r="D1720" s="208" t="s">
        <v>3390</v>
      </c>
      <c r="E1720" s="208" t="s">
        <v>29</v>
      </c>
      <c r="F1720" s="208" t="s">
        <v>3392</v>
      </c>
      <c r="G1720" s="208" t="s">
        <v>3393</v>
      </c>
      <c r="H1720" s="208"/>
      <c r="I1720" s="208" t="s">
        <v>3394</v>
      </c>
      <c r="J1720" s="208" t="s">
        <v>3395</v>
      </c>
      <c r="K1720" s="208" t="s">
        <v>3396</v>
      </c>
      <c r="L1720" s="208"/>
      <c r="M1720" s="209"/>
      <c r="N1720" s="208"/>
      <c r="O1720" s="208" t="s">
        <v>260</v>
      </c>
      <c r="P1720" s="208" t="s">
        <v>91</v>
      </c>
    </row>
    <row r="1721" spans="1:16" s="187" customFormat="1" ht="18" customHeight="1">
      <c r="A1721" s="187" t="str">
        <f t="shared" si="26"/>
        <v>V10104B</v>
      </c>
      <c r="B1721" s="206" t="s">
        <v>3391</v>
      </c>
      <c r="C1721" s="206"/>
      <c r="D1721" s="206" t="s">
        <v>3397</v>
      </c>
      <c r="E1721" s="206" t="s">
        <v>29</v>
      </c>
      <c r="F1721" s="206" t="s">
        <v>3392</v>
      </c>
      <c r="G1721" s="206" t="s">
        <v>3393</v>
      </c>
      <c r="H1721" s="206"/>
      <c r="I1721" s="206" t="s">
        <v>3394</v>
      </c>
      <c r="J1721" s="206" t="s">
        <v>3395</v>
      </c>
      <c r="K1721" s="206" t="s">
        <v>3396</v>
      </c>
      <c r="L1721" s="206"/>
      <c r="M1721" s="207"/>
      <c r="N1721" s="206"/>
      <c r="O1721" s="206" t="s">
        <v>260</v>
      </c>
      <c r="P1721" s="206" t="s">
        <v>91</v>
      </c>
    </row>
    <row r="1722" spans="1:16" s="187" customFormat="1" ht="18" customHeight="1">
      <c r="A1722" s="187" t="str">
        <f t="shared" si="26"/>
        <v>V10104C</v>
      </c>
      <c r="B1722" s="208" t="s">
        <v>3391</v>
      </c>
      <c r="C1722" s="208"/>
      <c r="D1722" s="208" t="s">
        <v>3398</v>
      </c>
      <c r="E1722" s="208" t="s">
        <v>29</v>
      </c>
      <c r="F1722" s="208" t="s">
        <v>3392</v>
      </c>
      <c r="G1722" s="208" t="s">
        <v>3393</v>
      </c>
      <c r="H1722" s="208"/>
      <c r="I1722" s="208" t="s">
        <v>3394</v>
      </c>
      <c r="J1722" s="208" t="s">
        <v>3395</v>
      </c>
      <c r="K1722" s="208" t="s">
        <v>3396</v>
      </c>
      <c r="L1722" s="208"/>
      <c r="M1722" s="209"/>
      <c r="N1722" s="208"/>
      <c r="O1722" s="208" t="s">
        <v>260</v>
      </c>
      <c r="P1722" s="208" t="s">
        <v>91</v>
      </c>
    </row>
    <row r="1723" spans="1:16" s="187" customFormat="1" ht="18" customHeight="1">
      <c r="A1723" s="187" t="str">
        <f t="shared" si="26"/>
        <v>V20149A</v>
      </c>
      <c r="B1723" s="206" t="s">
        <v>6006</v>
      </c>
      <c r="C1723" s="206"/>
      <c r="D1723" s="206" t="s">
        <v>5414</v>
      </c>
      <c r="E1723" s="206" t="s">
        <v>29</v>
      </c>
      <c r="F1723" s="206" t="s">
        <v>5420</v>
      </c>
      <c r="G1723" s="206"/>
      <c r="H1723" s="206"/>
      <c r="I1723" s="206"/>
      <c r="J1723" s="206" t="s">
        <v>5421</v>
      </c>
      <c r="K1723" s="206" t="s">
        <v>5422</v>
      </c>
      <c r="L1723" s="206"/>
      <c r="M1723" s="207"/>
      <c r="N1723" s="206"/>
      <c r="O1723" s="206"/>
      <c r="P1723" s="206" t="s">
        <v>34</v>
      </c>
    </row>
    <row r="1724" spans="1:16" s="187" customFormat="1" ht="18" customHeight="1">
      <c r="A1724" s="187" t="str">
        <f t="shared" si="26"/>
        <v>V20145A</v>
      </c>
      <c r="B1724" s="208" t="s">
        <v>5890</v>
      </c>
      <c r="C1724" s="208"/>
      <c r="D1724" s="208" t="s">
        <v>5394</v>
      </c>
      <c r="E1724" s="208" t="s">
        <v>151</v>
      </c>
      <c r="F1724" s="208" t="s">
        <v>5395</v>
      </c>
      <c r="G1724" s="208"/>
      <c r="H1724" s="208"/>
      <c r="I1724" s="208"/>
      <c r="J1724" s="208" t="s">
        <v>5396</v>
      </c>
      <c r="K1724" s="208" t="s">
        <v>5397</v>
      </c>
      <c r="L1724" s="208"/>
      <c r="M1724" s="209"/>
      <c r="N1724" s="208"/>
      <c r="O1724" s="208"/>
      <c r="P1724" s="208" t="s">
        <v>34</v>
      </c>
    </row>
    <row r="1725" spans="1:16" s="187" customFormat="1" ht="18" customHeight="1">
      <c r="A1725" s="187" t="str">
        <f t="shared" si="26"/>
        <v>V4087C0</v>
      </c>
      <c r="B1725" s="206" t="s">
        <v>3400</v>
      </c>
      <c r="C1725" s="206"/>
      <c r="D1725" s="206" t="s">
        <v>3399</v>
      </c>
      <c r="E1725" s="206" t="s">
        <v>29</v>
      </c>
      <c r="F1725" s="206" t="s">
        <v>3401</v>
      </c>
      <c r="G1725" s="206"/>
      <c r="H1725" s="206"/>
      <c r="I1725" s="206"/>
      <c r="J1725" s="206" t="s">
        <v>3402</v>
      </c>
      <c r="K1725" s="206" t="s">
        <v>3403</v>
      </c>
      <c r="L1725" s="206"/>
      <c r="M1725" s="207"/>
      <c r="N1725" s="206"/>
      <c r="O1725" s="206"/>
      <c r="P1725" s="206" t="s">
        <v>107</v>
      </c>
    </row>
    <row r="1726" spans="1:16" s="187" customFormat="1" ht="18" customHeight="1">
      <c r="A1726" s="187" t="str">
        <f t="shared" si="26"/>
        <v>004001</v>
      </c>
      <c r="B1726" s="208" t="s">
        <v>4616</v>
      </c>
      <c r="C1726" s="208"/>
      <c r="D1726" s="208" t="s">
        <v>4615</v>
      </c>
      <c r="E1726" s="208" t="s">
        <v>29</v>
      </c>
      <c r="F1726" s="208"/>
      <c r="G1726" s="208"/>
      <c r="H1726" s="208"/>
      <c r="I1726" s="208"/>
      <c r="J1726" s="208"/>
      <c r="K1726" s="208"/>
      <c r="L1726" s="208"/>
      <c r="M1726" s="209"/>
      <c r="N1726" s="208"/>
      <c r="O1726" s="208"/>
      <c r="P1726" s="208"/>
    </row>
    <row r="1727" spans="1:16" s="187" customFormat="1" ht="18" customHeight="1">
      <c r="A1727" s="187" t="str">
        <f t="shared" si="26"/>
        <v>004002</v>
      </c>
      <c r="B1727" s="206" t="s">
        <v>4616</v>
      </c>
      <c r="C1727" s="206"/>
      <c r="D1727" s="206" t="s">
        <v>4617</v>
      </c>
      <c r="E1727" s="206" t="s">
        <v>29</v>
      </c>
      <c r="F1727" s="206"/>
      <c r="G1727" s="206"/>
      <c r="H1727" s="206"/>
      <c r="I1727" s="206"/>
      <c r="J1727" s="206"/>
      <c r="K1727" s="206"/>
      <c r="L1727" s="206"/>
      <c r="M1727" s="207"/>
      <c r="N1727" s="206"/>
      <c r="O1727" s="206"/>
      <c r="P1727" s="206"/>
    </row>
    <row r="1728" spans="1:16" s="187" customFormat="1" ht="18" customHeight="1">
      <c r="A1728" s="187" t="str">
        <f t="shared" si="26"/>
        <v>004003</v>
      </c>
      <c r="B1728" s="208" t="s">
        <v>4616</v>
      </c>
      <c r="C1728" s="208"/>
      <c r="D1728" s="208" t="s">
        <v>4618</v>
      </c>
      <c r="E1728" s="208" t="s">
        <v>29</v>
      </c>
      <c r="F1728" s="208"/>
      <c r="G1728" s="208"/>
      <c r="H1728" s="208"/>
      <c r="I1728" s="208"/>
      <c r="J1728" s="208"/>
      <c r="K1728" s="208"/>
      <c r="L1728" s="208"/>
      <c r="M1728" s="209"/>
      <c r="N1728" s="208"/>
      <c r="O1728" s="208"/>
      <c r="P1728" s="208"/>
    </row>
    <row r="1729" spans="1:16" s="187" customFormat="1" ht="18" customHeight="1">
      <c r="A1729" s="187" t="str">
        <f t="shared" si="26"/>
        <v>004004</v>
      </c>
      <c r="B1729" s="206" t="s">
        <v>4616</v>
      </c>
      <c r="C1729" s="206"/>
      <c r="D1729" s="206" t="s">
        <v>4619</v>
      </c>
      <c r="E1729" s="206" t="s">
        <v>29</v>
      </c>
      <c r="F1729" s="206"/>
      <c r="G1729" s="206"/>
      <c r="H1729" s="206"/>
      <c r="I1729" s="206"/>
      <c r="J1729" s="206"/>
      <c r="K1729" s="206"/>
      <c r="L1729" s="206"/>
      <c r="M1729" s="207"/>
      <c r="N1729" s="206"/>
      <c r="O1729" s="206"/>
      <c r="P1729" s="206"/>
    </row>
    <row r="1730" spans="1:16" s="187" customFormat="1" ht="18" customHeight="1">
      <c r="A1730" s="187" t="str">
        <f t="shared" si="26"/>
        <v>V4062C0</v>
      </c>
      <c r="B1730" s="208" t="s">
        <v>3405</v>
      </c>
      <c r="C1730" s="208"/>
      <c r="D1730" s="208" t="s">
        <v>3404</v>
      </c>
      <c r="E1730" s="208" t="s">
        <v>151</v>
      </c>
      <c r="F1730" s="208" t="s">
        <v>3406</v>
      </c>
      <c r="G1730" s="208" t="s">
        <v>3407</v>
      </c>
      <c r="H1730" s="208"/>
      <c r="I1730" s="208"/>
      <c r="J1730" s="208" t="s">
        <v>3408</v>
      </c>
      <c r="K1730" s="208" t="s">
        <v>3409</v>
      </c>
      <c r="L1730" s="208"/>
      <c r="M1730" s="209"/>
      <c r="N1730" s="208"/>
      <c r="O1730" s="208"/>
      <c r="P1730" s="208" t="s">
        <v>107</v>
      </c>
    </row>
    <row r="1731" spans="1:16" s="187" customFormat="1" ht="18" customHeight="1">
      <c r="A1731" s="187" t="str">
        <f t="shared" si="26"/>
        <v>V20014A</v>
      </c>
      <c r="B1731" s="206" t="s">
        <v>3411</v>
      </c>
      <c r="C1731" s="206"/>
      <c r="D1731" s="206" t="s">
        <v>3410</v>
      </c>
      <c r="E1731" s="206" t="s">
        <v>29</v>
      </c>
      <c r="F1731" s="206" t="s">
        <v>3412</v>
      </c>
      <c r="G1731" s="206"/>
      <c r="H1731" s="206"/>
      <c r="I1731" s="206"/>
      <c r="J1731" s="206" t="s">
        <v>3413</v>
      </c>
      <c r="K1731" s="206" t="s">
        <v>3414</v>
      </c>
      <c r="L1731" s="206"/>
      <c r="M1731" s="207"/>
      <c r="N1731" s="206"/>
      <c r="O1731" s="206" t="s">
        <v>40</v>
      </c>
      <c r="P1731" s="206" t="s">
        <v>34</v>
      </c>
    </row>
    <row r="1732" spans="1:16" s="187" customFormat="1" ht="18" customHeight="1">
      <c r="A1732" s="187" t="str">
        <f t="shared" si="26"/>
        <v>V20014B</v>
      </c>
      <c r="B1732" s="208" t="s">
        <v>3411</v>
      </c>
      <c r="C1732" s="208"/>
      <c r="D1732" s="208" t="s">
        <v>3415</v>
      </c>
      <c r="E1732" s="208" t="s">
        <v>29</v>
      </c>
      <c r="F1732" s="208" t="s">
        <v>3412</v>
      </c>
      <c r="G1732" s="208"/>
      <c r="H1732" s="208"/>
      <c r="I1732" s="208"/>
      <c r="J1732" s="208" t="s">
        <v>3413</v>
      </c>
      <c r="K1732" s="208" t="s">
        <v>3414</v>
      </c>
      <c r="L1732" s="208"/>
      <c r="M1732" s="209"/>
      <c r="N1732" s="208"/>
      <c r="O1732" s="208" t="s">
        <v>40</v>
      </c>
      <c r="P1732" s="208" t="s">
        <v>34</v>
      </c>
    </row>
    <row r="1733" spans="1:16" s="187" customFormat="1" ht="18" customHeight="1">
      <c r="A1733" s="187" t="str">
        <f t="shared" si="26"/>
        <v>V20014C</v>
      </c>
      <c r="B1733" s="206" t="s">
        <v>3411</v>
      </c>
      <c r="C1733" s="206"/>
      <c r="D1733" s="206" t="s">
        <v>3416</v>
      </c>
      <c r="E1733" s="206" t="s">
        <v>29</v>
      </c>
      <c r="F1733" s="206" t="s">
        <v>3412</v>
      </c>
      <c r="G1733" s="206"/>
      <c r="H1733" s="206"/>
      <c r="I1733" s="206"/>
      <c r="J1733" s="206" t="s">
        <v>3413</v>
      </c>
      <c r="K1733" s="206" t="s">
        <v>3414</v>
      </c>
      <c r="L1733" s="206"/>
      <c r="M1733" s="207"/>
      <c r="N1733" s="206"/>
      <c r="O1733" s="206" t="s">
        <v>40</v>
      </c>
      <c r="P1733" s="206" t="s">
        <v>34</v>
      </c>
    </row>
    <row r="1734" spans="1:16" s="187" customFormat="1" ht="18" customHeight="1">
      <c r="A1734" s="187" t="str">
        <f t="shared" ref="A1734:A1797" si="27">D1734</f>
        <v>T3011C0</v>
      </c>
      <c r="B1734" s="208" t="s">
        <v>6486</v>
      </c>
      <c r="C1734" s="208"/>
      <c r="D1734" s="208" t="s">
        <v>6487</v>
      </c>
      <c r="E1734" s="208" t="s">
        <v>29</v>
      </c>
      <c r="F1734" s="208" t="s">
        <v>6488</v>
      </c>
      <c r="G1734" s="208"/>
      <c r="H1734" s="208"/>
      <c r="I1734" s="208"/>
      <c r="J1734" s="208" t="s">
        <v>6489</v>
      </c>
      <c r="K1734" s="208" t="s">
        <v>6490</v>
      </c>
      <c r="L1734" s="208"/>
      <c r="M1734" s="209"/>
      <c r="N1734" s="208"/>
      <c r="O1734" s="208" t="s">
        <v>95</v>
      </c>
      <c r="P1734" s="208" t="s">
        <v>96</v>
      </c>
    </row>
    <row r="1735" spans="1:16" s="187" customFormat="1" ht="18" customHeight="1">
      <c r="A1735" s="187" t="str">
        <f t="shared" si="27"/>
        <v>T3003C0</v>
      </c>
      <c r="B1735" s="206" t="s">
        <v>3418</v>
      </c>
      <c r="C1735" s="206"/>
      <c r="D1735" s="206" t="s">
        <v>3417</v>
      </c>
      <c r="E1735" s="206" t="s">
        <v>29</v>
      </c>
      <c r="F1735" s="206" t="s">
        <v>94</v>
      </c>
      <c r="G1735" s="206"/>
      <c r="H1735" s="206"/>
      <c r="I1735" s="206"/>
      <c r="J1735" s="206"/>
      <c r="K1735" s="206"/>
      <c r="L1735" s="206"/>
      <c r="M1735" s="207"/>
      <c r="N1735" s="206"/>
      <c r="O1735" s="206" t="s">
        <v>95</v>
      </c>
      <c r="P1735" s="206" t="s">
        <v>96</v>
      </c>
    </row>
    <row r="1736" spans="1:16" s="187" customFormat="1" ht="18" customHeight="1">
      <c r="A1736" s="187" t="str">
        <f t="shared" si="27"/>
        <v>V20071A</v>
      </c>
      <c r="B1736" s="208" t="s">
        <v>3420</v>
      </c>
      <c r="C1736" s="208"/>
      <c r="D1736" s="208" t="s">
        <v>3419</v>
      </c>
      <c r="E1736" s="208" t="s">
        <v>29</v>
      </c>
      <c r="F1736" s="208" t="s">
        <v>3421</v>
      </c>
      <c r="G1736" s="208"/>
      <c r="H1736" s="208"/>
      <c r="I1736" s="208" t="s">
        <v>3422</v>
      </c>
      <c r="J1736" s="208" t="s">
        <v>3423</v>
      </c>
      <c r="K1736" s="208" t="s">
        <v>3424</v>
      </c>
      <c r="L1736" s="208"/>
      <c r="M1736" s="209"/>
      <c r="N1736" s="208"/>
      <c r="O1736" s="208" t="s">
        <v>40</v>
      </c>
      <c r="P1736" s="208" t="s">
        <v>34</v>
      </c>
    </row>
    <row r="1737" spans="1:16" s="187" customFormat="1" ht="18" customHeight="1">
      <c r="A1737" s="187" t="str">
        <f t="shared" si="27"/>
        <v>V20071B</v>
      </c>
      <c r="B1737" s="206" t="s">
        <v>3420</v>
      </c>
      <c r="C1737" s="206"/>
      <c r="D1737" s="206" t="s">
        <v>3425</v>
      </c>
      <c r="E1737" s="206" t="s">
        <v>29</v>
      </c>
      <c r="F1737" s="206" t="s">
        <v>3421</v>
      </c>
      <c r="G1737" s="206"/>
      <c r="H1737" s="206"/>
      <c r="I1737" s="206" t="s">
        <v>3422</v>
      </c>
      <c r="J1737" s="206" t="s">
        <v>3423</v>
      </c>
      <c r="K1737" s="206" t="s">
        <v>3424</v>
      </c>
      <c r="L1737" s="206"/>
      <c r="M1737" s="207"/>
      <c r="N1737" s="206"/>
      <c r="O1737" s="206" t="s">
        <v>40</v>
      </c>
      <c r="P1737" s="206" t="s">
        <v>34</v>
      </c>
    </row>
    <row r="1738" spans="1:16" s="187" customFormat="1" ht="18" customHeight="1">
      <c r="A1738" s="187" t="str">
        <f t="shared" si="27"/>
        <v>V20071C</v>
      </c>
      <c r="B1738" s="208" t="s">
        <v>3420</v>
      </c>
      <c r="C1738" s="208"/>
      <c r="D1738" s="208" t="s">
        <v>3426</v>
      </c>
      <c r="E1738" s="208" t="s">
        <v>29</v>
      </c>
      <c r="F1738" s="208" t="s">
        <v>3421</v>
      </c>
      <c r="G1738" s="208"/>
      <c r="H1738" s="208"/>
      <c r="I1738" s="208" t="s">
        <v>3422</v>
      </c>
      <c r="J1738" s="208" t="s">
        <v>3423</v>
      </c>
      <c r="K1738" s="208" t="s">
        <v>3424</v>
      </c>
      <c r="L1738" s="208"/>
      <c r="M1738" s="209"/>
      <c r="N1738" s="208"/>
      <c r="O1738" s="208" t="s">
        <v>40</v>
      </c>
      <c r="P1738" s="208" t="s">
        <v>34</v>
      </c>
    </row>
    <row r="1739" spans="1:16" s="187" customFormat="1" ht="18" customHeight="1">
      <c r="A1739" s="187" t="str">
        <f t="shared" si="27"/>
        <v>004101</v>
      </c>
      <c r="B1739" s="206" t="s">
        <v>3624</v>
      </c>
      <c r="C1739" s="206"/>
      <c r="D1739" s="206" t="s">
        <v>4620</v>
      </c>
      <c r="E1739" s="206" t="s">
        <v>29</v>
      </c>
      <c r="F1739" s="206"/>
      <c r="G1739" s="206"/>
      <c r="H1739" s="206"/>
      <c r="I1739" s="206"/>
      <c r="J1739" s="206"/>
      <c r="K1739" s="206"/>
      <c r="L1739" s="206"/>
      <c r="M1739" s="207"/>
      <c r="N1739" s="206"/>
      <c r="O1739" s="206"/>
      <c r="P1739" s="206"/>
    </row>
    <row r="1740" spans="1:16" s="187" customFormat="1" ht="18" customHeight="1">
      <c r="A1740" s="187" t="str">
        <f t="shared" si="27"/>
        <v>V20073A</v>
      </c>
      <c r="B1740" s="208" t="s">
        <v>3428</v>
      </c>
      <c r="C1740" s="208"/>
      <c r="D1740" s="208" t="s">
        <v>3427</v>
      </c>
      <c r="E1740" s="208" t="s">
        <v>29</v>
      </c>
      <c r="F1740" s="208" t="s">
        <v>3429</v>
      </c>
      <c r="G1740" s="208"/>
      <c r="H1740" s="208"/>
      <c r="I1740" s="208"/>
      <c r="J1740" s="208" t="s">
        <v>3430</v>
      </c>
      <c r="K1740" s="208" t="s">
        <v>3431</v>
      </c>
      <c r="L1740" s="208"/>
      <c r="M1740" s="209"/>
      <c r="N1740" s="208"/>
      <c r="O1740" s="208" t="s">
        <v>40</v>
      </c>
      <c r="P1740" s="208" t="s">
        <v>34</v>
      </c>
    </row>
    <row r="1741" spans="1:16" s="187" customFormat="1" ht="18" customHeight="1">
      <c r="A1741" s="187" t="str">
        <f t="shared" si="27"/>
        <v>V20073B</v>
      </c>
      <c r="B1741" s="206" t="s">
        <v>3428</v>
      </c>
      <c r="C1741" s="206"/>
      <c r="D1741" s="206" t="s">
        <v>3432</v>
      </c>
      <c r="E1741" s="206" t="s">
        <v>29</v>
      </c>
      <c r="F1741" s="206" t="s">
        <v>3429</v>
      </c>
      <c r="G1741" s="206"/>
      <c r="H1741" s="206"/>
      <c r="I1741" s="206"/>
      <c r="J1741" s="206" t="s">
        <v>3430</v>
      </c>
      <c r="K1741" s="206" t="s">
        <v>3431</v>
      </c>
      <c r="L1741" s="206"/>
      <c r="M1741" s="207"/>
      <c r="N1741" s="206"/>
      <c r="O1741" s="206" t="s">
        <v>40</v>
      </c>
      <c r="P1741" s="206" t="s">
        <v>34</v>
      </c>
    </row>
    <row r="1742" spans="1:16" s="187" customFormat="1" ht="18" customHeight="1">
      <c r="A1742" s="187" t="str">
        <f t="shared" si="27"/>
        <v>V20073C</v>
      </c>
      <c r="B1742" s="208" t="s">
        <v>3428</v>
      </c>
      <c r="C1742" s="208"/>
      <c r="D1742" s="208" t="s">
        <v>3433</v>
      </c>
      <c r="E1742" s="208" t="s">
        <v>29</v>
      </c>
      <c r="F1742" s="208" t="s">
        <v>3429</v>
      </c>
      <c r="G1742" s="208"/>
      <c r="H1742" s="208"/>
      <c r="I1742" s="208"/>
      <c r="J1742" s="208" t="s">
        <v>3430</v>
      </c>
      <c r="K1742" s="208" t="s">
        <v>3431</v>
      </c>
      <c r="L1742" s="208"/>
      <c r="M1742" s="209"/>
      <c r="N1742" s="208"/>
      <c r="O1742" s="208" t="s">
        <v>40</v>
      </c>
      <c r="P1742" s="208" t="s">
        <v>34</v>
      </c>
    </row>
    <row r="1743" spans="1:16" s="187" customFormat="1" ht="18" customHeight="1">
      <c r="A1743" s="187" t="str">
        <f t="shared" si="27"/>
        <v>CG450012C0</v>
      </c>
      <c r="B1743" s="206" t="s">
        <v>5398</v>
      </c>
      <c r="C1743" s="206"/>
      <c r="D1743" s="206" t="s">
        <v>5399</v>
      </c>
      <c r="E1743" s="206" t="s">
        <v>29</v>
      </c>
      <c r="F1743" s="206" t="s">
        <v>5400</v>
      </c>
      <c r="G1743" s="206"/>
      <c r="H1743" s="206"/>
      <c r="I1743" s="206"/>
      <c r="J1743" s="206"/>
      <c r="K1743" s="206"/>
      <c r="L1743" s="206"/>
      <c r="M1743" s="207"/>
      <c r="N1743" s="206"/>
      <c r="O1743" s="206"/>
      <c r="P1743" s="206" t="s">
        <v>100</v>
      </c>
    </row>
    <row r="1744" spans="1:16" s="187" customFormat="1" ht="18" customHeight="1">
      <c r="A1744" s="187" t="str">
        <f t="shared" si="27"/>
        <v>350200A</v>
      </c>
      <c r="B1744" s="208" t="s">
        <v>3435</v>
      </c>
      <c r="C1744" s="208"/>
      <c r="D1744" s="208" t="s">
        <v>3437</v>
      </c>
      <c r="E1744" s="208" t="s">
        <v>141</v>
      </c>
      <c r="F1744" s="208" t="s">
        <v>3436</v>
      </c>
      <c r="G1744" s="208"/>
      <c r="H1744" s="208"/>
      <c r="I1744" s="208"/>
      <c r="J1744" s="208"/>
      <c r="K1744" s="208"/>
      <c r="L1744" s="208"/>
      <c r="M1744" s="209"/>
      <c r="N1744" s="208"/>
      <c r="O1744" s="208"/>
      <c r="P1744" s="208" t="s">
        <v>147</v>
      </c>
    </row>
    <row r="1745" spans="1:16" s="187" customFormat="1" ht="18" customHeight="1">
      <c r="A1745" s="187" t="str">
        <f t="shared" si="27"/>
        <v>350200B</v>
      </c>
      <c r="B1745" s="206" t="s">
        <v>3435</v>
      </c>
      <c r="C1745" s="206" t="s">
        <v>4622</v>
      </c>
      <c r="D1745" s="206" t="s">
        <v>4621</v>
      </c>
      <c r="E1745" s="206" t="s">
        <v>141</v>
      </c>
      <c r="F1745" s="206" t="s">
        <v>4623</v>
      </c>
      <c r="G1745" s="206"/>
      <c r="H1745" s="206"/>
      <c r="I1745" s="206"/>
      <c r="J1745" s="206" t="s">
        <v>4097</v>
      </c>
      <c r="K1745" s="206" t="s">
        <v>4624</v>
      </c>
      <c r="L1745" s="206"/>
      <c r="M1745" s="207"/>
      <c r="N1745" s="206"/>
      <c r="O1745" s="206"/>
      <c r="P1745" s="206" t="s">
        <v>147</v>
      </c>
    </row>
    <row r="1746" spans="1:16" s="187" customFormat="1" ht="18" customHeight="1">
      <c r="A1746" s="187" t="str">
        <f t="shared" si="27"/>
        <v>350200C</v>
      </c>
      <c r="B1746" s="208" t="s">
        <v>3435</v>
      </c>
      <c r="C1746" s="208"/>
      <c r="D1746" s="208" t="s">
        <v>3438</v>
      </c>
      <c r="E1746" s="208" t="s">
        <v>29</v>
      </c>
      <c r="F1746" s="208" t="s">
        <v>3436</v>
      </c>
      <c r="G1746" s="208"/>
      <c r="H1746" s="208"/>
      <c r="I1746" s="208"/>
      <c r="J1746" s="208" t="s">
        <v>5042</v>
      </c>
      <c r="K1746" s="208" t="s">
        <v>5041</v>
      </c>
      <c r="L1746" s="208"/>
      <c r="M1746" s="209"/>
      <c r="N1746" s="208"/>
      <c r="O1746" s="208"/>
      <c r="P1746" s="208" t="s">
        <v>147</v>
      </c>
    </row>
    <row r="1747" spans="1:16" s="187" customFormat="1" ht="18" customHeight="1">
      <c r="A1747" s="187" t="str">
        <f t="shared" si="27"/>
        <v>CG450007C0</v>
      </c>
      <c r="B1747" s="206" t="s">
        <v>3435</v>
      </c>
      <c r="C1747" s="206"/>
      <c r="D1747" s="206" t="s">
        <v>3434</v>
      </c>
      <c r="E1747" s="206" t="s">
        <v>141</v>
      </c>
      <c r="F1747" s="206" t="s">
        <v>3436</v>
      </c>
      <c r="G1747" s="206"/>
      <c r="H1747" s="206"/>
      <c r="I1747" s="206"/>
      <c r="J1747" s="206"/>
      <c r="K1747" s="206"/>
      <c r="L1747" s="206"/>
      <c r="M1747" s="207"/>
      <c r="N1747" s="206"/>
      <c r="O1747" s="206"/>
      <c r="P1747" s="206" t="s">
        <v>152</v>
      </c>
    </row>
    <row r="1748" spans="1:16" s="187" customFormat="1" ht="18" customHeight="1">
      <c r="A1748" s="187" t="str">
        <f t="shared" si="27"/>
        <v>V20076A</v>
      </c>
      <c r="B1748" s="208" t="s">
        <v>3440</v>
      </c>
      <c r="C1748" s="208"/>
      <c r="D1748" s="208" t="s">
        <v>3439</v>
      </c>
      <c r="E1748" s="208" t="s">
        <v>29</v>
      </c>
      <c r="F1748" s="208" t="s">
        <v>3441</v>
      </c>
      <c r="G1748" s="208"/>
      <c r="H1748" s="208"/>
      <c r="I1748" s="208" t="s">
        <v>3442</v>
      </c>
      <c r="J1748" s="208" t="s">
        <v>3443</v>
      </c>
      <c r="K1748" s="208" t="s">
        <v>3444</v>
      </c>
      <c r="L1748" s="208"/>
      <c r="M1748" s="209"/>
      <c r="N1748" s="208"/>
      <c r="O1748" s="208" t="s">
        <v>40</v>
      </c>
      <c r="P1748" s="208" t="s">
        <v>34</v>
      </c>
    </row>
    <row r="1749" spans="1:16" s="187" customFormat="1" ht="18" customHeight="1">
      <c r="A1749" s="187" t="str">
        <f t="shared" si="27"/>
        <v>V20076B</v>
      </c>
      <c r="B1749" s="206" t="s">
        <v>3440</v>
      </c>
      <c r="C1749" s="206"/>
      <c r="D1749" s="206" t="s">
        <v>3445</v>
      </c>
      <c r="E1749" s="206" t="s">
        <v>29</v>
      </c>
      <c r="F1749" s="206" t="s">
        <v>3441</v>
      </c>
      <c r="G1749" s="206"/>
      <c r="H1749" s="206"/>
      <c r="I1749" s="206" t="s">
        <v>3442</v>
      </c>
      <c r="J1749" s="206" t="s">
        <v>3443</v>
      </c>
      <c r="K1749" s="206" t="s">
        <v>3444</v>
      </c>
      <c r="L1749" s="206"/>
      <c r="M1749" s="207"/>
      <c r="N1749" s="206"/>
      <c r="O1749" s="206" t="s">
        <v>40</v>
      </c>
      <c r="P1749" s="206" t="s">
        <v>34</v>
      </c>
    </row>
    <row r="1750" spans="1:16" s="187" customFormat="1" ht="18" customHeight="1">
      <c r="A1750" s="187" t="str">
        <f t="shared" si="27"/>
        <v>V20076C</v>
      </c>
      <c r="B1750" s="208" t="s">
        <v>3440</v>
      </c>
      <c r="C1750" s="208"/>
      <c r="D1750" s="208" t="s">
        <v>3446</v>
      </c>
      <c r="E1750" s="208" t="s">
        <v>29</v>
      </c>
      <c r="F1750" s="208" t="s">
        <v>3441</v>
      </c>
      <c r="G1750" s="208"/>
      <c r="H1750" s="208"/>
      <c r="I1750" s="208" t="s">
        <v>3442</v>
      </c>
      <c r="J1750" s="208" t="s">
        <v>3443</v>
      </c>
      <c r="K1750" s="208" t="s">
        <v>3444</v>
      </c>
      <c r="L1750" s="208"/>
      <c r="M1750" s="209"/>
      <c r="N1750" s="208"/>
      <c r="O1750" s="208" t="s">
        <v>40</v>
      </c>
      <c r="P1750" s="208" t="s">
        <v>34</v>
      </c>
    </row>
    <row r="1751" spans="1:16" s="187" customFormat="1" ht="18" customHeight="1">
      <c r="A1751" s="187" t="str">
        <f t="shared" si="27"/>
        <v>V20181</v>
      </c>
      <c r="B1751" s="206" t="s">
        <v>6491</v>
      </c>
      <c r="C1751" s="206"/>
      <c r="D1751" s="206" t="s">
        <v>6492</v>
      </c>
      <c r="E1751" s="206" t="s">
        <v>29</v>
      </c>
      <c r="F1751" s="206" t="s">
        <v>6493</v>
      </c>
      <c r="G1751" s="206"/>
      <c r="H1751" s="206"/>
      <c r="I1751" s="206"/>
      <c r="J1751" s="206" t="s">
        <v>6494</v>
      </c>
      <c r="K1751" s="206" t="s">
        <v>6495</v>
      </c>
      <c r="L1751" s="206"/>
      <c r="M1751" s="207"/>
      <c r="N1751" s="206"/>
      <c r="O1751" s="206"/>
      <c r="P1751" s="206" t="s">
        <v>34</v>
      </c>
    </row>
    <row r="1752" spans="1:16" s="187" customFormat="1" ht="18" customHeight="1">
      <c r="A1752" s="187" t="str">
        <f t="shared" si="27"/>
        <v>V20181A</v>
      </c>
      <c r="B1752" s="208" t="s">
        <v>6491</v>
      </c>
      <c r="C1752" s="208"/>
      <c r="D1752" s="208" t="s">
        <v>6496</v>
      </c>
      <c r="E1752" s="208" t="s">
        <v>29</v>
      </c>
      <c r="F1752" s="208" t="s">
        <v>6493</v>
      </c>
      <c r="G1752" s="208"/>
      <c r="H1752" s="208"/>
      <c r="I1752" s="208"/>
      <c r="J1752" s="208" t="s">
        <v>6494</v>
      </c>
      <c r="K1752" s="208" t="s">
        <v>6495</v>
      </c>
      <c r="L1752" s="208"/>
      <c r="M1752" s="209"/>
      <c r="N1752" s="208"/>
      <c r="O1752" s="208"/>
      <c r="P1752" s="208" t="s">
        <v>34</v>
      </c>
    </row>
    <row r="1753" spans="1:16" s="187" customFormat="1" ht="18" customHeight="1">
      <c r="A1753" s="187" t="str">
        <f t="shared" si="27"/>
        <v>005504</v>
      </c>
      <c r="B1753" s="206" t="s">
        <v>4626</v>
      </c>
      <c r="C1753" s="206"/>
      <c r="D1753" s="206" t="s">
        <v>4625</v>
      </c>
      <c r="E1753" s="206" t="s">
        <v>29</v>
      </c>
      <c r="F1753" s="206"/>
      <c r="G1753" s="206"/>
      <c r="H1753" s="206"/>
      <c r="I1753" s="206"/>
      <c r="J1753" s="206"/>
      <c r="K1753" s="206"/>
      <c r="L1753" s="206"/>
      <c r="M1753" s="207"/>
      <c r="N1753" s="206"/>
      <c r="O1753" s="206"/>
      <c r="P1753" s="206"/>
    </row>
    <row r="1754" spans="1:16" s="187" customFormat="1" ht="18" customHeight="1">
      <c r="A1754" s="187" t="str">
        <f t="shared" si="27"/>
        <v>V20047A</v>
      </c>
      <c r="B1754" s="208" t="s">
        <v>3448</v>
      </c>
      <c r="C1754" s="208"/>
      <c r="D1754" s="208" t="s">
        <v>3447</v>
      </c>
      <c r="E1754" s="208" t="s">
        <v>29</v>
      </c>
      <c r="F1754" s="208" t="s">
        <v>3449</v>
      </c>
      <c r="G1754" s="208"/>
      <c r="H1754" s="208"/>
      <c r="I1754" s="208" t="s">
        <v>3450</v>
      </c>
      <c r="J1754" s="208" t="s">
        <v>3451</v>
      </c>
      <c r="K1754" s="208" t="s">
        <v>3452</v>
      </c>
      <c r="L1754" s="208"/>
      <c r="M1754" s="209"/>
      <c r="N1754" s="208"/>
      <c r="O1754" s="208" t="s">
        <v>40</v>
      </c>
      <c r="P1754" s="208" t="s">
        <v>34</v>
      </c>
    </row>
    <row r="1755" spans="1:16" s="187" customFormat="1" ht="18" customHeight="1">
      <c r="A1755" s="187" t="str">
        <f t="shared" si="27"/>
        <v>V20047B</v>
      </c>
      <c r="B1755" s="206" t="s">
        <v>3448</v>
      </c>
      <c r="C1755" s="206"/>
      <c r="D1755" s="206" t="s">
        <v>3453</v>
      </c>
      <c r="E1755" s="206" t="s">
        <v>29</v>
      </c>
      <c r="F1755" s="206" t="s">
        <v>3449</v>
      </c>
      <c r="G1755" s="206"/>
      <c r="H1755" s="206"/>
      <c r="I1755" s="206" t="s">
        <v>3450</v>
      </c>
      <c r="J1755" s="206" t="s">
        <v>3451</v>
      </c>
      <c r="K1755" s="206" t="s">
        <v>3452</v>
      </c>
      <c r="L1755" s="206"/>
      <c r="M1755" s="207"/>
      <c r="N1755" s="206"/>
      <c r="O1755" s="206" t="s">
        <v>40</v>
      </c>
      <c r="P1755" s="206" t="s">
        <v>34</v>
      </c>
    </row>
    <row r="1756" spans="1:16" s="187" customFormat="1" ht="18" customHeight="1">
      <c r="A1756" s="187" t="str">
        <f t="shared" si="27"/>
        <v>V20047C</v>
      </c>
      <c r="B1756" s="208" t="s">
        <v>3448</v>
      </c>
      <c r="C1756" s="208"/>
      <c r="D1756" s="208" t="s">
        <v>3454</v>
      </c>
      <c r="E1756" s="208" t="s">
        <v>29</v>
      </c>
      <c r="F1756" s="208" t="s">
        <v>3449</v>
      </c>
      <c r="G1756" s="208"/>
      <c r="H1756" s="208"/>
      <c r="I1756" s="208" t="s">
        <v>3450</v>
      </c>
      <c r="J1756" s="208" t="s">
        <v>3451</v>
      </c>
      <c r="K1756" s="208" t="s">
        <v>3452</v>
      </c>
      <c r="L1756" s="208"/>
      <c r="M1756" s="209"/>
      <c r="N1756" s="208"/>
      <c r="O1756" s="208" t="s">
        <v>40</v>
      </c>
      <c r="P1756" s="208" t="s">
        <v>34</v>
      </c>
    </row>
    <row r="1757" spans="1:16" s="187" customFormat="1" ht="18" customHeight="1">
      <c r="A1757" s="187" t="str">
        <f t="shared" si="27"/>
        <v>V20137A</v>
      </c>
      <c r="B1757" s="206" t="s">
        <v>4861</v>
      </c>
      <c r="C1757" s="206"/>
      <c r="D1757" s="206" t="s">
        <v>5272</v>
      </c>
      <c r="E1757" s="206" t="s">
        <v>29</v>
      </c>
      <c r="F1757" s="206" t="s">
        <v>5273</v>
      </c>
      <c r="G1757" s="206"/>
      <c r="H1757" s="206"/>
      <c r="I1757" s="206"/>
      <c r="J1757" s="206" t="s">
        <v>5401</v>
      </c>
      <c r="K1757" s="206" t="s">
        <v>5014</v>
      </c>
      <c r="L1757" s="206"/>
      <c r="M1757" s="207"/>
      <c r="N1757" s="206"/>
      <c r="O1757" s="206"/>
      <c r="P1757" s="206" t="s">
        <v>34</v>
      </c>
    </row>
    <row r="1758" spans="1:16" s="187" customFormat="1" ht="18" customHeight="1">
      <c r="A1758" s="187" t="str">
        <f t="shared" si="27"/>
        <v>V20137C</v>
      </c>
      <c r="B1758" s="208" t="s">
        <v>6238</v>
      </c>
      <c r="C1758" s="208"/>
      <c r="D1758" s="208" t="s">
        <v>5011</v>
      </c>
      <c r="E1758" s="208" t="s">
        <v>29</v>
      </c>
      <c r="F1758" s="208" t="s">
        <v>5012</v>
      </c>
      <c r="G1758" s="208"/>
      <c r="H1758" s="208"/>
      <c r="I1758" s="208" t="s">
        <v>5013</v>
      </c>
      <c r="J1758" s="208" t="s">
        <v>5270</v>
      </c>
      <c r="K1758" s="208" t="s">
        <v>5271</v>
      </c>
      <c r="L1758" s="208"/>
      <c r="M1758" s="209"/>
      <c r="N1758" s="208"/>
      <c r="O1758" s="208"/>
      <c r="P1758" s="208" t="s">
        <v>34</v>
      </c>
    </row>
    <row r="1759" spans="1:16" s="187" customFormat="1" ht="18" customHeight="1">
      <c r="A1759" s="187" t="str">
        <f t="shared" si="27"/>
        <v>CG440034C0</v>
      </c>
      <c r="B1759" s="206" t="s">
        <v>3456</v>
      </c>
      <c r="C1759" s="206"/>
      <c r="D1759" s="206" t="s">
        <v>5402</v>
      </c>
      <c r="E1759" s="206" t="s">
        <v>29</v>
      </c>
      <c r="F1759" s="206" t="s">
        <v>3457</v>
      </c>
      <c r="G1759" s="206"/>
      <c r="H1759" s="206"/>
      <c r="I1759" s="206"/>
      <c r="J1759" s="206"/>
      <c r="K1759" s="206"/>
      <c r="L1759" s="206"/>
      <c r="M1759" s="207"/>
      <c r="N1759" s="206"/>
      <c r="O1759" s="206"/>
      <c r="P1759" s="206" t="s">
        <v>100</v>
      </c>
    </row>
    <row r="1760" spans="1:16" s="187" customFormat="1" ht="18" customHeight="1">
      <c r="A1760" s="187" t="str">
        <f t="shared" si="27"/>
        <v>CG440015C1</v>
      </c>
      <c r="B1760" s="208" t="s">
        <v>3456</v>
      </c>
      <c r="C1760" s="208"/>
      <c r="D1760" s="208" t="s">
        <v>5403</v>
      </c>
      <c r="E1760" s="208" t="s">
        <v>29</v>
      </c>
      <c r="F1760" s="208" t="s">
        <v>3457</v>
      </c>
      <c r="G1760" s="208"/>
      <c r="H1760" s="208"/>
      <c r="I1760" s="208"/>
      <c r="J1760" s="208"/>
      <c r="K1760" s="208"/>
      <c r="L1760" s="208"/>
      <c r="M1760" s="209"/>
      <c r="N1760" s="208"/>
      <c r="O1760" s="208"/>
      <c r="P1760" s="208" t="s">
        <v>100</v>
      </c>
    </row>
    <row r="1761" spans="1:16" s="187" customFormat="1" ht="18" customHeight="1">
      <c r="A1761" s="187" t="str">
        <f t="shared" si="27"/>
        <v>V4044C0</v>
      </c>
      <c r="B1761" s="206" t="s">
        <v>3456</v>
      </c>
      <c r="C1761" s="206"/>
      <c r="D1761" s="206" t="s">
        <v>3455</v>
      </c>
      <c r="E1761" s="206" t="s">
        <v>29</v>
      </c>
      <c r="F1761" s="206" t="s">
        <v>3457</v>
      </c>
      <c r="G1761" s="206"/>
      <c r="H1761" s="206"/>
      <c r="I1761" s="206" t="s">
        <v>3458</v>
      </c>
      <c r="J1761" s="206" t="s">
        <v>3459</v>
      </c>
      <c r="K1761" s="206" t="s">
        <v>3460</v>
      </c>
      <c r="L1761" s="206"/>
      <c r="M1761" s="207"/>
      <c r="N1761" s="206"/>
      <c r="O1761" s="206" t="s">
        <v>131</v>
      </c>
      <c r="P1761" s="206" t="s">
        <v>107</v>
      </c>
    </row>
    <row r="1762" spans="1:16" s="187" customFormat="1" ht="18" customHeight="1">
      <c r="A1762" s="187" t="str">
        <f t="shared" si="27"/>
        <v>V20105</v>
      </c>
      <c r="B1762" s="208" t="s">
        <v>4628</v>
      </c>
      <c r="C1762" s="208"/>
      <c r="D1762" s="208" t="s">
        <v>4627</v>
      </c>
      <c r="E1762" s="208" t="s">
        <v>29</v>
      </c>
      <c r="F1762" s="208" t="s">
        <v>4629</v>
      </c>
      <c r="G1762" s="208"/>
      <c r="H1762" s="208"/>
      <c r="I1762" s="208"/>
      <c r="J1762" s="208"/>
      <c r="K1762" s="208"/>
      <c r="L1762" s="208"/>
      <c r="M1762" s="209"/>
      <c r="N1762" s="208"/>
      <c r="O1762" s="208"/>
      <c r="P1762" s="208" t="s">
        <v>34</v>
      </c>
    </row>
    <row r="1763" spans="1:16" s="187" customFormat="1" ht="18" customHeight="1">
      <c r="A1763" s="187" t="str">
        <f t="shared" si="27"/>
        <v>V20105A</v>
      </c>
      <c r="B1763" s="206" t="s">
        <v>3462</v>
      </c>
      <c r="C1763" s="206"/>
      <c r="D1763" s="206" t="s">
        <v>3461</v>
      </c>
      <c r="E1763" s="206" t="s">
        <v>29</v>
      </c>
      <c r="F1763" s="206" t="s">
        <v>5040</v>
      </c>
      <c r="G1763" s="206" t="s">
        <v>3463</v>
      </c>
      <c r="H1763" s="206"/>
      <c r="I1763" s="206" t="s">
        <v>3464</v>
      </c>
      <c r="J1763" s="206" t="s">
        <v>5039</v>
      </c>
      <c r="K1763" s="206" t="s">
        <v>3465</v>
      </c>
      <c r="L1763" s="206"/>
      <c r="M1763" s="207"/>
      <c r="N1763" s="206"/>
      <c r="O1763" s="206"/>
      <c r="P1763" s="206" t="s">
        <v>34</v>
      </c>
    </row>
    <row r="1764" spans="1:16" s="187" customFormat="1" ht="18" customHeight="1">
      <c r="A1764" s="187" t="str">
        <f t="shared" si="27"/>
        <v>CG420001C0</v>
      </c>
      <c r="B1764" s="208" t="s">
        <v>3467</v>
      </c>
      <c r="C1764" s="208"/>
      <c r="D1764" s="208" t="s">
        <v>3466</v>
      </c>
      <c r="E1764" s="208" t="s">
        <v>151</v>
      </c>
      <c r="F1764" s="208" t="s">
        <v>265</v>
      </c>
      <c r="G1764" s="208"/>
      <c r="H1764" s="208"/>
      <c r="I1764" s="208"/>
      <c r="J1764" s="208"/>
      <c r="K1764" s="208"/>
      <c r="L1764" s="208"/>
      <c r="M1764" s="209"/>
      <c r="N1764" s="208"/>
      <c r="O1764" s="208"/>
      <c r="P1764" s="208" t="s">
        <v>266</v>
      </c>
    </row>
    <row r="1765" spans="1:16" s="187" customFormat="1" ht="18" customHeight="1">
      <c r="A1765" s="187" t="str">
        <f t="shared" si="27"/>
        <v>V3200C0</v>
      </c>
      <c r="B1765" s="206" t="s">
        <v>3467</v>
      </c>
      <c r="C1765" s="206"/>
      <c r="D1765" s="206" t="s">
        <v>3468</v>
      </c>
      <c r="E1765" s="206" t="s">
        <v>151</v>
      </c>
      <c r="F1765" s="206" t="s">
        <v>265</v>
      </c>
      <c r="G1765" s="206"/>
      <c r="H1765" s="206"/>
      <c r="I1765" s="206"/>
      <c r="J1765" s="206"/>
      <c r="K1765" s="206"/>
      <c r="L1765" s="206"/>
      <c r="M1765" s="207"/>
      <c r="N1765" s="206"/>
      <c r="O1765" s="206" t="s">
        <v>268</v>
      </c>
      <c r="P1765" s="206" t="s">
        <v>269</v>
      </c>
    </row>
    <row r="1766" spans="1:16" s="187" customFormat="1" ht="18" customHeight="1">
      <c r="A1766" s="187" t="str">
        <f t="shared" si="27"/>
        <v>007101</v>
      </c>
      <c r="B1766" s="208" t="s">
        <v>4631</v>
      </c>
      <c r="C1766" s="208"/>
      <c r="D1766" s="208" t="s">
        <v>4630</v>
      </c>
      <c r="E1766" s="208" t="s">
        <v>29</v>
      </c>
      <c r="F1766" s="208"/>
      <c r="G1766" s="208"/>
      <c r="H1766" s="208"/>
      <c r="I1766" s="208"/>
      <c r="J1766" s="208"/>
      <c r="K1766" s="208"/>
      <c r="L1766" s="208"/>
      <c r="M1766" s="209"/>
      <c r="N1766" s="208"/>
      <c r="O1766" s="208"/>
      <c r="P1766" s="208"/>
    </row>
    <row r="1767" spans="1:16" s="187" customFormat="1" ht="18" customHeight="1">
      <c r="A1767" s="187" t="str">
        <f t="shared" si="27"/>
        <v>004201</v>
      </c>
      <c r="B1767" s="206" t="s">
        <v>3136</v>
      </c>
      <c r="C1767" s="206"/>
      <c r="D1767" s="206" t="s">
        <v>4632</v>
      </c>
      <c r="E1767" s="206" t="s">
        <v>29</v>
      </c>
      <c r="F1767" s="206"/>
      <c r="G1767" s="206"/>
      <c r="H1767" s="206"/>
      <c r="I1767" s="206"/>
      <c r="J1767" s="206"/>
      <c r="K1767" s="206"/>
      <c r="L1767" s="206"/>
      <c r="M1767" s="207"/>
      <c r="N1767" s="206"/>
      <c r="O1767" s="206"/>
      <c r="P1767" s="206"/>
    </row>
    <row r="1768" spans="1:16" s="187" customFormat="1" ht="18" customHeight="1">
      <c r="A1768" s="187" t="str">
        <f t="shared" si="27"/>
        <v>V20134C</v>
      </c>
      <c r="B1768" s="208" t="s">
        <v>5015</v>
      </c>
      <c r="C1768" s="208"/>
      <c r="D1768" s="208" t="s">
        <v>5016</v>
      </c>
      <c r="E1768" s="208" t="s">
        <v>29</v>
      </c>
      <c r="F1768" s="208" t="s">
        <v>5017</v>
      </c>
      <c r="G1768" s="208"/>
      <c r="H1768" s="208"/>
      <c r="I1768" s="208"/>
      <c r="J1768" s="208" t="s">
        <v>5018</v>
      </c>
      <c r="K1768" s="208" t="s">
        <v>5019</v>
      </c>
      <c r="L1768" s="208"/>
      <c r="M1768" s="209"/>
      <c r="N1768" s="208"/>
      <c r="O1768" s="208"/>
      <c r="P1768" s="208" t="s">
        <v>34</v>
      </c>
    </row>
    <row r="1769" spans="1:16" s="187" customFormat="1" ht="18" customHeight="1">
      <c r="A1769" s="187" t="str">
        <f t="shared" si="27"/>
        <v>V20134B</v>
      </c>
      <c r="B1769" s="206" t="s">
        <v>5015</v>
      </c>
      <c r="C1769" s="206"/>
      <c r="D1769" s="206" t="s">
        <v>5274</v>
      </c>
      <c r="E1769" s="206" t="s">
        <v>29</v>
      </c>
      <c r="F1769" s="206" t="s">
        <v>5275</v>
      </c>
      <c r="G1769" s="206"/>
      <c r="H1769" s="206"/>
      <c r="I1769" s="206"/>
      <c r="J1769" s="206" t="s">
        <v>5018</v>
      </c>
      <c r="K1769" s="206" t="s">
        <v>5019</v>
      </c>
      <c r="L1769" s="206"/>
      <c r="M1769" s="207"/>
      <c r="N1769" s="206"/>
      <c r="O1769" s="206"/>
      <c r="P1769" s="206" t="s">
        <v>34</v>
      </c>
    </row>
    <row r="1770" spans="1:16" s="187" customFormat="1" ht="18" customHeight="1">
      <c r="A1770" s="187" t="str">
        <f t="shared" si="27"/>
        <v>V20043A</v>
      </c>
      <c r="B1770" s="208" t="s">
        <v>3470</v>
      </c>
      <c r="C1770" s="208"/>
      <c r="D1770" s="208" t="s">
        <v>3469</v>
      </c>
      <c r="E1770" s="208" t="s">
        <v>29</v>
      </c>
      <c r="F1770" s="208" t="s">
        <v>3471</v>
      </c>
      <c r="G1770" s="208"/>
      <c r="H1770" s="208"/>
      <c r="I1770" s="208" t="s">
        <v>3472</v>
      </c>
      <c r="J1770" s="208" t="s">
        <v>3473</v>
      </c>
      <c r="K1770" s="208" t="s">
        <v>3474</v>
      </c>
      <c r="L1770" s="208"/>
      <c r="M1770" s="209"/>
      <c r="N1770" s="208"/>
      <c r="O1770" s="208" t="s">
        <v>40</v>
      </c>
      <c r="P1770" s="208" t="s">
        <v>34</v>
      </c>
    </row>
    <row r="1771" spans="1:16" s="187" customFormat="1" ht="18" customHeight="1">
      <c r="A1771" s="187" t="str">
        <f t="shared" si="27"/>
        <v>V20043B</v>
      </c>
      <c r="B1771" s="206" t="s">
        <v>3470</v>
      </c>
      <c r="C1771" s="206"/>
      <c r="D1771" s="206" t="s">
        <v>3475</v>
      </c>
      <c r="E1771" s="206" t="s">
        <v>29</v>
      </c>
      <c r="F1771" s="206" t="s">
        <v>3471</v>
      </c>
      <c r="G1771" s="206"/>
      <c r="H1771" s="206"/>
      <c r="I1771" s="206" t="s">
        <v>3472</v>
      </c>
      <c r="J1771" s="206" t="s">
        <v>3473</v>
      </c>
      <c r="K1771" s="206" t="s">
        <v>3474</v>
      </c>
      <c r="L1771" s="206"/>
      <c r="M1771" s="207"/>
      <c r="N1771" s="206"/>
      <c r="O1771" s="206" t="s">
        <v>40</v>
      </c>
      <c r="P1771" s="206" t="s">
        <v>34</v>
      </c>
    </row>
    <row r="1772" spans="1:16" s="187" customFormat="1" ht="18" customHeight="1">
      <c r="A1772" s="187" t="str">
        <f t="shared" si="27"/>
        <v>V20043C</v>
      </c>
      <c r="B1772" s="208" t="s">
        <v>3470</v>
      </c>
      <c r="C1772" s="208"/>
      <c r="D1772" s="208" t="s">
        <v>3476</v>
      </c>
      <c r="E1772" s="208" t="s">
        <v>29</v>
      </c>
      <c r="F1772" s="208" t="s">
        <v>3471</v>
      </c>
      <c r="G1772" s="208"/>
      <c r="H1772" s="208"/>
      <c r="I1772" s="208" t="s">
        <v>3472</v>
      </c>
      <c r="J1772" s="208" t="s">
        <v>3473</v>
      </c>
      <c r="K1772" s="208" t="s">
        <v>3474</v>
      </c>
      <c r="L1772" s="208"/>
      <c r="M1772" s="209"/>
      <c r="N1772" s="208"/>
      <c r="O1772" s="208" t="s">
        <v>40</v>
      </c>
      <c r="P1772" s="208" t="s">
        <v>34</v>
      </c>
    </row>
    <row r="1773" spans="1:16" s="187" customFormat="1" ht="18" customHeight="1">
      <c r="A1773" s="187" t="str">
        <f t="shared" si="27"/>
        <v>CG450019C0</v>
      </c>
      <c r="B1773" s="206" t="s">
        <v>6007</v>
      </c>
      <c r="C1773" s="206"/>
      <c r="D1773" s="206" t="s">
        <v>6008</v>
      </c>
      <c r="E1773" s="206" t="s">
        <v>29</v>
      </c>
      <c r="F1773" s="206" t="s">
        <v>6009</v>
      </c>
      <c r="G1773" s="206"/>
      <c r="H1773" s="206"/>
      <c r="I1773" s="206"/>
      <c r="J1773" s="206"/>
      <c r="K1773" s="206"/>
      <c r="L1773" s="206"/>
      <c r="M1773" s="207"/>
      <c r="N1773" s="206"/>
      <c r="O1773" s="206"/>
      <c r="P1773" s="206" t="s">
        <v>100</v>
      </c>
    </row>
    <row r="1774" spans="1:16" s="187" customFormat="1" ht="18" customHeight="1">
      <c r="A1774" s="187" t="str">
        <f t="shared" si="27"/>
        <v>004401</v>
      </c>
      <c r="B1774" s="208" t="s">
        <v>4634</v>
      </c>
      <c r="C1774" s="208"/>
      <c r="D1774" s="208" t="s">
        <v>4633</v>
      </c>
      <c r="E1774" s="208" t="s">
        <v>29</v>
      </c>
      <c r="F1774" s="208"/>
      <c r="G1774" s="208"/>
      <c r="H1774" s="208"/>
      <c r="I1774" s="208"/>
      <c r="J1774" s="208"/>
      <c r="K1774" s="208"/>
      <c r="L1774" s="208"/>
      <c r="M1774" s="209"/>
      <c r="N1774" s="208"/>
      <c r="O1774" s="208"/>
      <c r="P1774" s="208"/>
    </row>
    <row r="1775" spans="1:16" s="187" customFormat="1" ht="18" customHeight="1">
      <c r="A1775" s="187" t="str">
        <f t="shared" si="27"/>
        <v>004402</v>
      </c>
      <c r="B1775" s="206" t="s">
        <v>4634</v>
      </c>
      <c r="C1775" s="206"/>
      <c r="D1775" s="206" t="s">
        <v>4635</v>
      </c>
      <c r="E1775" s="206" t="s">
        <v>29</v>
      </c>
      <c r="F1775" s="206"/>
      <c r="G1775" s="206"/>
      <c r="H1775" s="206"/>
      <c r="I1775" s="206"/>
      <c r="J1775" s="206"/>
      <c r="K1775" s="206"/>
      <c r="L1775" s="206"/>
      <c r="M1775" s="207"/>
      <c r="N1775" s="206"/>
      <c r="O1775" s="206"/>
      <c r="P1775" s="206"/>
    </row>
    <row r="1776" spans="1:16" s="187" customFormat="1" ht="18" customHeight="1">
      <c r="A1776" s="187" t="str">
        <f t="shared" si="27"/>
        <v>004403</v>
      </c>
      <c r="B1776" s="208" t="s">
        <v>4634</v>
      </c>
      <c r="C1776" s="208"/>
      <c r="D1776" s="208" t="s">
        <v>4636</v>
      </c>
      <c r="E1776" s="208" t="s">
        <v>29</v>
      </c>
      <c r="F1776" s="208"/>
      <c r="G1776" s="208"/>
      <c r="H1776" s="208"/>
      <c r="I1776" s="208"/>
      <c r="J1776" s="208"/>
      <c r="K1776" s="208"/>
      <c r="L1776" s="208"/>
      <c r="M1776" s="209"/>
      <c r="N1776" s="208"/>
      <c r="O1776" s="208"/>
      <c r="P1776" s="208"/>
    </row>
    <row r="1777" spans="1:16" s="187" customFormat="1" ht="18" customHeight="1">
      <c r="A1777" s="187" t="str">
        <f t="shared" si="27"/>
        <v>004404</v>
      </c>
      <c r="B1777" s="206" t="s">
        <v>4634</v>
      </c>
      <c r="C1777" s="206"/>
      <c r="D1777" s="206" t="s">
        <v>4637</v>
      </c>
      <c r="E1777" s="206" t="s">
        <v>29</v>
      </c>
      <c r="F1777" s="206"/>
      <c r="G1777" s="206"/>
      <c r="H1777" s="206"/>
      <c r="I1777" s="206"/>
      <c r="J1777" s="206"/>
      <c r="K1777" s="206"/>
      <c r="L1777" s="206"/>
      <c r="M1777" s="207"/>
      <c r="N1777" s="206"/>
      <c r="O1777" s="206"/>
      <c r="P1777" s="206"/>
    </row>
    <row r="1778" spans="1:16" s="187" customFormat="1" ht="18" customHeight="1">
      <c r="A1778" s="187" t="str">
        <f t="shared" si="27"/>
        <v>004405</v>
      </c>
      <c r="B1778" s="208" t="s">
        <v>4634</v>
      </c>
      <c r="C1778" s="208"/>
      <c r="D1778" s="208" t="s">
        <v>4638</v>
      </c>
      <c r="E1778" s="208" t="s">
        <v>29</v>
      </c>
      <c r="F1778" s="208"/>
      <c r="G1778" s="208"/>
      <c r="H1778" s="208"/>
      <c r="I1778" s="208"/>
      <c r="J1778" s="208"/>
      <c r="K1778" s="208"/>
      <c r="L1778" s="208"/>
      <c r="M1778" s="209"/>
      <c r="N1778" s="208"/>
      <c r="O1778" s="208"/>
      <c r="P1778" s="208"/>
    </row>
    <row r="1779" spans="1:16" s="187" customFormat="1" ht="18" customHeight="1">
      <c r="A1779" s="187" t="str">
        <f t="shared" si="27"/>
        <v>004406</v>
      </c>
      <c r="B1779" s="206" t="s">
        <v>4634</v>
      </c>
      <c r="C1779" s="206"/>
      <c r="D1779" s="206" t="s">
        <v>4639</v>
      </c>
      <c r="E1779" s="206" t="s">
        <v>29</v>
      </c>
      <c r="F1779" s="206"/>
      <c r="G1779" s="206"/>
      <c r="H1779" s="206"/>
      <c r="I1779" s="206"/>
      <c r="J1779" s="206"/>
      <c r="K1779" s="206"/>
      <c r="L1779" s="206"/>
      <c r="M1779" s="207"/>
      <c r="N1779" s="206"/>
      <c r="O1779" s="206"/>
      <c r="P1779" s="206"/>
    </row>
    <row r="1780" spans="1:16" s="187" customFormat="1" ht="18" customHeight="1">
      <c r="A1780" s="187" t="str">
        <f t="shared" si="27"/>
        <v>004601</v>
      </c>
      <c r="B1780" s="208" t="s">
        <v>4641</v>
      </c>
      <c r="C1780" s="208"/>
      <c r="D1780" s="208" t="s">
        <v>4640</v>
      </c>
      <c r="E1780" s="208" t="s">
        <v>29</v>
      </c>
      <c r="F1780" s="208"/>
      <c r="G1780" s="208"/>
      <c r="H1780" s="208"/>
      <c r="I1780" s="208"/>
      <c r="J1780" s="208"/>
      <c r="K1780" s="208"/>
      <c r="L1780" s="208"/>
      <c r="M1780" s="209"/>
      <c r="N1780" s="208"/>
      <c r="O1780" s="208"/>
      <c r="P1780" s="208"/>
    </row>
    <row r="1781" spans="1:16" s="187" customFormat="1" ht="18" customHeight="1">
      <c r="A1781" s="187" t="str">
        <f t="shared" si="27"/>
        <v>004602</v>
      </c>
      <c r="B1781" s="206" t="s">
        <v>4641</v>
      </c>
      <c r="C1781" s="206"/>
      <c r="D1781" s="206" t="s">
        <v>4642</v>
      </c>
      <c r="E1781" s="206" t="s">
        <v>29</v>
      </c>
      <c r="F1781" s="206"/>
      <c r="G1781" s="206"/>
      <c r="H1781" s="206"/>
      <c r="I1781" s="206"/>
      <c r="J1781" s="206"/>
      <c r="K1781" s="206"/>
      <c r="L1781" s="206"/>
      <c r="M1781" s="207"/>
      <c r="N1781" s="206"/>
      <c r="O1781" s="206"/>
      <c r="P1781" s="206"/>
    </row>
    <row r="1782" spans="1:16" s="187" customFormat="1" ht="18" customHeight="1">
      <c r="A1782" s="187" t="str">
        <f t="shared" si="27"/>
        <v>004603</v>
      </c>
      <c r="B1782" s="208" t="s">
        <v>4641</v>
      </c>
      <c r="C1782" s="208"/>
      <c r="D1782" s="208" t="s">
        <v>4643</v>
      </c>
      <c r="E1782" s="208" t="s">
        <v>29</v>
      </c>
      <c r="F1782" s="208"/>
      <c r="G1782" s="208"/>
      <c r="H1782" s="208"/>
      <c r="I1782" s="208"/>
      <c r="J1782" s="208"/>
      <c r="K1782" s="208"/>
      <c r="L1782" s="208"/>
      <c r="M1782" s="209"/>
      <c r="N1782" s="208"/>
      <c r="O1782" s="208"/>
      <c r="P1782" s="208"/>
    </row>
    <row r="1783" spans="1:16" s="187" customFormat="1" ht="18" customHeight="1">
      <c r="A1783" s="187" t="str">
        <f t="shared" si="27"/>
        <v>004604</v>
      </c>
      <c r="B1783" s="206" t="s">
        <v>4641</v>
      </c>
      <c r="C1783" s="206"/>
      <c r="D1783" s="206" t="s">
        <v>4644</v>
      </c>
      <c r="E1783" s="206" t="s">
        <v>29</v>
      </c>
      <c r="F1783" s="206"/>
      <c r="G1783" s="206"/>
      <c r="H1783" s="206"/>
      <c r="I1783" s="206"/>
      <c r="J1783" s="206"/>
      <c r="K1783" s="206"/>
      <c r="L1783" s="206"/>
      <c r="M1783" s="207"/>
      <c r="N1783" s="206"/>
      <c r="O1783" s="206"/>
      <c r="P1783" s="206"/>
    </row>
    <row r="1784" spans="1:16" s="187" customFormat="1" ht="18" customHeight="1">
      <c r="A1784" s="187" t="str">
        <f t="shared" si="27"/>
        <v>004605</v>
      </c>
      <c r="B1784" s="208" t="s">
        <v>4641</v>
      </c>
      <c r="C1784" s="208"/>
      <c r="D1784" s="208" t="s">
        <v>4645</v>
      </c>
      <c r="E1784" s="208" t="s">
        <v>29</v>
      </c>
      <c r="F1784" s="208"/>
      <c r="G1784" s="208"/>
      <c r="H1784" s="208"/>
      <c r="I1784" s="208"/>
      <c r="J1784" s="208"/>
      <c r="K1784" s="208"/>
      <c r="L1784" s="208"/>
      <c r="M1784" s="209"/>
      <c r="N1784" s="208"/>
      <c r="O1784" s="208"/>
      <c r="P1784" s="208"/>
    </row>
    <row r="1785" spans="1:16" s="187" customFormat="1" ht="18" customHeight="1">
      <c r="A1785" s="187" t="str">
        <f t="shared" si="27"/>
        <v>006601</v>
      </c>
      <c r="B1785" s="206" t="s">
        <v>4647</v>
      </c>
      <c r="C1785" s="206"/>
      <c r="D1785" s="206" t="s">
        <v>4646</v>
      </c>
      <c r="E1785" s="206" t="s">
        <v>29</v>
      </c>
      <c r="F1785" s="206"/>
      <c r="G1785" s="206"/>
      <c r="H1785" s="206"/>
      <c r="I1785" s="206"/>
      <c r="J1785" s="206"/>
      <c r="K1785" s="206"/>
      <c r="L1785" s="206"/>
      <c r="M1785" s="207"/>
      <c r="N1785" s="206"/>
      <c r="O1785" s="206"/>
      <c r="P1785" s="206"/>
    </row>
    <row r="1786" spans="1:16" s="187" customFormat="1" ht="18" customHeight="1">
      <c r="A1786" s="187" t="str">
        <f t="shared" si="27"/>
        <v>006602</v>
      </c>
      <c r="B1786" s="208" t="s">
        <v>4647</v>
      </c>
      <c r="C1786" s="208"/>
      <c r="D1786" s="208" t="s">
        <v>4648</v>
      </c>
      <c r="E1786" s="208" t="s">
        <v>29</v>
      </c>
      <c r="F1786" s="208"/>
      <c r="G1786" s="208"/>
      <c r="H1786" s="208"/>
      <c r="I1786" s="208"/>
      <c r="J1786" s="208"/>
      <c r="K1786" s="208"/>
      <c r="L1786" s="208"/>
      <c r="M1786" s="209"/>
      <c r="N1786" s="208"/>
      <c r="O1786" s="208"/>
      <c r="P1786" s="208"/>
    </row>
    <row r="1787" spans="1:16" s="187" customFormat="1" ht="18" customHeight="1">
      <c r="A1787" s="187" t="str">
        <f t="shared" si="27"/>
        <v>V4082C0</v>
      </c>
      <c r="B1787" s="206" t="s">
        <v>3478</v>
      </c>
      <c r="C1787" s="206"/>
      <c r="D1787" s="206" t="s">
        <v>3477</v>
      </c>
      <c r="E1787" s="206" t="s">
        <v>151</v>
      </c>
      <c r="F1787" s="206"/>
      <c r="G1787" s="206"/>
      <c r="H1787" s="206"/>
      <c r="I1787" s="206"/>
      <c r="J1787" s="206" t="s">
        <v>3479</v>
      </c>
      <c r="K1787" s="206" t="s">
        <v>3480</v>
      </c>
      <c r="L1787" s="206"/>
      <c r="M1787" s="207"/>
      <c r="N1787" s="206"/>
      <c r="O1787" s="206"/>
      <c r="P1787" s="206" t="s">
        <v>107</v>
      </c>
    </row>
    <row r="1788" spans="1:16" s="187" customFormat="1" ht="18" customHeight="1">
      <c r="A1788" s="187" t="str">
        <f t="shared" si="27"/>
        <v>V20143A</v>
      </c>
      <c r="B1788" s="208" t="s">
        <v>5276</v>
      </c>
      <c r="C1788" s="208"/>
      <c r="D1788" s="208" t="s">
        <v>5277</v>
      </c>
      <c r="E1788" s="208" t="s">
        <v>29</v>
      </c>
      <c r="F1788" s="208" t="s">
        <v>5278</v>
      </c>
      <c r="G1788" s="208"/>
      <c r="H1788" s="208"/>
      <c r="I1788" s="208"/>
      <c r="J1788" s="208" t="s">
        <v>5279</v>
      </c>
      <c r="K1788" s="208" t="s">
        <v>5280</v>
      </c>
      <c r="L1788" s="208"/>
      <c r="M1788" s="209"/>
      <c r="N1788" s="208"/>
      <c r="O1788" s="208"/>
      <c r="P1788" s="208" t="s">
        <v>34</v>
      </c>
    </row>
    <row r="1789" spans="1:16" s="187" customFormat="1" ht="18" customHeight="1">
      <c r="A1789" s="187" t="str">
        <f t="shared" si="27"/>
        <v>V20051A</v>
      </c>
      <c r="B1789" s="206" t="s">
        <v>3482</v>
      </c>
      <c r="C1789" s="206"/>
      <c r="D1789" s="206" t="s">
        <v>3481</v>
      </c>
      <c r="E1789" s="206" t="s">
        <v>29</v>
      </c>
      <c r="F1789" s="206" t="s">
        <v>3483</v>
      </c>
      <c r="G1789" s="206"/>
      <c r="H1789" s="206"/>
      <c r="I1789" s="206" t="s">
        <v>3484</v>
      </c>
      <c r="J1789" s="206" t="s">
        <v>3485</v>
      </c>
      <c r="K1789" s="206" t="s">
        <v>3486</v>
      </c>
      <c r="L1789" s="206"/>
      <c r="M1789" s="207"/>
      <c r="N1789" s="206"/>
      <c r="O1789" s="206" t="s">
        <v>40</v>
      </c>
      <c r="P1789" s="206" t="s">
        <v>34</v>
      </c>
    </row>
    <row r="1790" spans="1:16" s="187" customFormat="1" ht="18" customHeight="1">
      <c r="A1790" s="187" t="str">
        <f t="shared" si="27"/>
        <v>V20051B</v>
      </c>
      <c r="B1790" s="208" t="s">
        <v>3482</v>
      </c>
      <c r="C1790" s="208"/>
      <c r="D1790" s="208" t="s">
        <v>3487</v>
      </c>
      <c r="E1790" s="208" t="s">
        <v>29</v>
      </c>
      <c r="F1790" s="208" t="s">
        <v>3483</v>
      </c>
      <c r="G1790" s="208"/>
      <c r="H1790" s="208"/>
      <c r="I1790" s="208" t="s">
        <v>3484</v>
      </c>
      <c r="J1790" s="208" t="s">
        <v>3485</v>
      </c>
      <c r="K1790" s="208" t="s">
        <v>3486</v>
      </c>
      <c r="L1790" s="208"/>
      <c r="M1790" s="209"/>
      <c r="N1790" s="208"/>
      <c r="O1790" s="208" t="s">
        <v>40</v>
      </c>
      <c r="P1790" s="208" t="s">
        <v>34</v>
      </c>
    </row>
    <row r="1791" spans="1:16" s="187" customFormat="1" ht="18" customHeight="1">
      <c r="A1791" s="187" t="str">
        <f t="shared" si="27"/>
        <v>V20051C</v>
      </c>
      <c r="B1791" s="206" t="s">
        <v>3482</v>
      </c>
      <c r="C1791" s="206"/>
      <c r="D1791" s="206" t="s">
        <v>3488</v>
      </c>
      <c r="E1791" s="206" t="s">
        <v>29</v>
      </c>
      <c r="F1791" s="206" t="s">
        <v>3483</v>
      </c>
      <c r="G1791" s="206"/>
      <c r="H1791" s="206"/>
      <c r="I1791" s="206" t="s">
        <v>3484</v>
      </c>
      <c r="J1791" s="206" t="s">
        <v>3485</v>
      </c>
      <c r="K1791" s="206" t="s">
        <v>3486</v>
      </c>
      <c r="L1791" s="206"/>
      <c r="M1791" s="207"/>
      <c r="N1791" s="206"/>
      <c r="O1791" s="206" t="s">
        <v>40</v>
      </c>
      <c r="P1791" s="206" t="s">
        <v>34</v>
      </c>
    </row>
    <row r="1792" spans="1:16" s="187" customFormat="1" ht="18" customHeight="1">
      <c r="A1792" s="187" t="str">
        <f t="shared" si="27"/>
        <v>CG450001C0</v>
      </c>
      <c r="B1792" s="208" t="s">
        <v>3482</v>
      </c>
      <c r="C1792" s="208"/>
      <c r="D1792" s="208" t="s">
        <v>3489</v>
      </c>
      <c r="E1792" s="208" t="s">
        <v>29</v>
      </c>
      <c r="F1792" s="208" t="s">
        <v>3483</v>
      </c>
      <c r="G1792" s="208"/>
      <c r="H1792" s="208"/>
      <c r="I1792" s="208"/>
      <c r="J1792" s="208"/>
      <c r="K1792" s="208"/>
      <c r="L1792" s="208"/>
      <c r="M1792" s="209"/>
      <c r="N1792" s="208"/>
      <c r="O1792" s="208"/>
      <c r="P1792" s="208" t="s">
        <v>100</v>
      </c>
    </row>
    <row r="1793" spans="1:16" s="187" customFormat="1" ht="18" customHeight="1">
      <c r="A1793" s="187" t="str">
        <f t="shared" si="27"/>
        <v>V20169C</v>
      </c>
      <c r="B1793" s="206" t="s">
        <v>6239</v>
      </c>
      <c r="C1793" s="206"/>
      <c r="D1793" s="206" t="s">
        <v>6240</v>
      </c>
      <c r="E1793" s="206" t="s">
        <v>29</v>
      </c>
      <c r="F1793" s="206" t="s">
        <v>6241</v>
      </c>
      <c r="G1793" s="206"/>
      <c r="H1793" s="206"/>
      <c r="I1793" s="206"/>
      <c r="J1793" s="206" t="s">
        <v>6242</v>
      </c>
      <c r="K1793" s="206" t="s">
        <v>6243</v>
      </c>
      <c r="L1793" s="206"/>
      <c r="M1793" s="207"/>
      <c r="N1793" s="206"/>
      <c r="O1793" s="206" t="s">
        <v>40</v>
      </c>
      <c r="P1793" s="206" t="s">
        <v>34</v>
      </c>
    </row>
    <row r="1794" spans="1:16" s="187" customFormat="1" ht="18" customHeight="1">
      <c r="A1794" s="187" t="str">
        <f t="shared" si="27"/>
        <v>V20079A</v>
      </c>
      <c r="B1794" s="208" t="s">
        <v>3491</v>
      </c>
      <c r="C1794" s="208"/>
      <c r="D1794" s="208" t="s">
        <v>3490</v>
      </c>
      <c r="E1794" s="208" t="s">
        <v>29</v>
      </c>
      <c r="F1794" s="208" t="s">
        <v>3492</v>
      </c>
      <c r="G1794" s="208"/>
      <c r="H1794" s="208"/>
      <c r="I1794" s="208"/>
      <c r="J1794" s="208" t="s">
        <v>3493</v>
      </c>
      <c r="K1794" s="208" t="s">
        <v>3494</v>
      </c>
      <c r="L1794" s="208"/>
      <c r="M1794" s="209"/>
      <c r="N1794" s="208"/>
      <c r="O1794" s="208" t="s">
        <v>40</v>
      </c>
      <c r="P1794" s="208" t="s">
        <v>34</v>
      </c>
    </row>
    <row r="1795" spans="1:16" s="187" customFormat="1" ht="18" customHeight="1">
      <c r="A1795" s="187" t="str">
        <f t="shared" si="27"/>
        <v>V20079B</v>
      </c>
      <c r="B1795" s="206" t="s">
        <v>3491</v>
      </c>
      <c r="C1795" s="206"/>
      <c r="D1795" s="206" t="s">
        <v>3495</v>
      </c>
      <c r="E1795" s="206" t="s">
        <v>29</v>
      </c>
      <c r="F1795" s="206" t="s">
        <v>3492</v>
      </c>
      <c r="G1795" s="206"/>
      <c r="H1795" s="206"/>
      <c r="I1795" s="206"/>
      <c r="J1795" s="206" t="s">
        <v>3493</v>
      </c>
      <c r="K1795" s="206" t="s">
        <v>3494</v>
      </c>
      <c r="L1795" s="206"/>
      <c r="M1795" s="207"/>
      <c r="N1795" s="206"/>
      <c r="O1795" s="206" t="s">
        <v>40</v>
      </c>
      <c r="P1795" s="206" t="s">
        <v>34</v>
      </c>
    </row>
    <row r="1796" spans="1:16" s="187" customFormat="1" ht="18" customHeight="1">
      <c r="A1796" s="187" t="str">
        <f t="shared" si="27"/>
        <v>V20079C</v>
      </c>
      <c r="B1796" s="208" t="s">
        <v>3491</v>
      </c>
      <c r="C1796" s="208"/>
      <c r="D1796" s="208" t="s">
        <v>3496</v>
      </c>
      <c r="E1796" s="208" t="s">
        <v>29</v>
      </c>
      <c r="F1796" s="208" t="s">
        <v>3492</v>
      </c>
      <c r="G1796" s="208"/>
      <c r="H1796" s="208"/>
      <c r="I1796" s="208"/>
      <c r="J1796" s="208" t="s">
        <v>3493</v>
      </c>
      <c r="K1796" s="208" t="s">
        <v>3494</v>
      </c>
      <c r="L1796" s="208"/>
      <c r="M1796" s="209"/>
      <c r="N1796" s="208"/>
      <c r="O1796" s="208" t="s">
        <v>40</v>
      </c>
      <c r="P1796" s="208" t="s">
        <v>34</v>
      </c>
    </row>
    <row r="1797" spans="1:16" s="187" customFormat="1" ht="18" customHeight="1">
      <c r="A1797" s="187" t="str">
        <f t="shared" si="27"/>
        <v>CG440040C0</v>
      </c>
      <c r="B1797" s="206" t="s">
        <v>5891</v>
      </c>
      <c r="C1797" s="206"/>
      <c r="D1797" s="206" t="s">
        <v>5892</v>
      </c>
      <c r="E1797" s="206" t="s">
        <v>29</v>
      </c>
      <c r="F1797" s="206" t="s">
        <v>5281</v>
      </c>
      <c r="G1797" s="206"/>
      <c r="H1797" s="206"/>
      <c r="I1797" s="206"/>
      <c r="J1797" s="206"/>
      <c r="K1797" s="206"/>
      <c r="L1797" s="206"/>
      <c r="M1797" s="207"/>
      <c r="N1797" s="206"/>
      <c r="O1797" s="206"/>
      <c r="P1797" s="206" t="s">
        <v>100</v>
      </c>
    </row>
    <row r="1798" spans="1:16" s="187" customFormat="1" ht="18" customHeight="1">
      <c r="A1798" s="187" t="str">
        <f t="shared" ref="A1798:A1861" si="28">D1798</f>
        <v>V20064A</v>
      </c>
      <c r="B1798" s="208" t="s">
        <v>3498</v>
      </c>
      <c r="C1798" s="208"/>
      <c r="D1798" s="208" t="s">
        <v>3497</v>
      </c>
      <c r="E1798" s="208" t="s">
        <v>29</v>
      </c>
      <c r="F1798" s="208" t="s">
        <v>5281</v>
      </c>
      <c r="G1798" s="208"/>
      <c r="H1798" s="208"/>
      <c r="I1798" s="208" t="s">
        <v>3500</v>
      </c>
      <c r="J1798" s="208" t="s">
        <v>3501</v>
      </c>
      <c r="K1798" s="208" t="s">
        <v>5282</v>
      </c>
      <c r="L1798" s="208"/>
      <c r="M1798" s="209"/>
      <c r="N1798" s="208"/>
      <c r="O1798" s="208" t="s">
        <v>40</v>
      </c>
      <c r="P1798" s="208" t="s">
        <v>34</v>
      </c>
    </row>
    <row r="1799" spans="1:16" s="187" customFormat="1" ht="18" customHeight="1">
      <c r="A1799" s="187" t="str">
        <f t="shared" si="28"/>
        <v>V20064B</v>
      </c>
      <c r="B1799" s="206" t="s">
        <v>3498</v>
      </c>
      <c r="C1799" s="206"/>
      <c r="D1799" s="206" t="s">
        <v>3499</v>
      </c>
      <c r="E1799" s="206" t="s">
        <v>29</v>
      </c>
      <c r="F1799" s="206" t="s">
        <v>5281</v>
      </c>
      <c r="G1799" s="206"/>
      <c r="H1799" s="206"/>
      <c r="I1799" s="206" t="s">
        <v>3500</v>
      </c>
      <c r="J1799" s="206" t="s">
        <v>3501</v>
      </c>
      <c r="K1799" s="206" t="s">
        <v>5282</v>
      </c>
      <c r="L1799" s="206"/>
      <c r="M1799" s="207"/>
      <c r="N1799" s="206"/>
      <c r="O1799" s="206" t="s">
        <v>40</v>
      </c>
      <c r="P1799" s="206" t="s">
        <v>34</v>
      </c>
    </row>
    <row r="1800" spans="1:16" s="187" customFormat="1" ht="18" customHeight="1">
      <c r="A1800" s="187" t="str">
        <f t="shared" si="28"/>
        <v>V20064C</v>
      </c>
      <c r="B1800" s="208" t="s">
        <v>3498</v>
      </c>
      <c r="C1800" s="208"/>
      <c r="D1800" s="208" t="s">
        <v>3502</v>
      </c>
      <c r="E1800" s="208" t="s">
        <v>29</v>
      </c>
      <c r="F1800" s="208" t="s">
        <v>5281</v>
      </c>
      <c r="G1800" s="208"/>
      <c r="H1800" s="208"/>
      <c r="I1800" s="208" t="s">
        <v>3500</v>
      </c>
      <c r="J1800" s="208" t="s">
        <v>3501</v>
      </c>
      <c r="K1800" s="208" t="s">
        <v>5282</v>
      </c>
      <c r="L1800" s="208"/>
      <c r="M1800" s="209"/>
      <c r="N1800" s="208"/>
      <c r="O1800" s="208" t="s">
        <v>40</v>
      </c>
      <c r="P1800" s="208" t="s">
        <v>34</v>
      </c>
    </row>
    <row r="1801" spans="1:16" s="187" customFormat="1" ht="18" customHeight="1">
      <c r="A1801" s="187" t="str">
        <f t="shared" si="28"/>
        <v>V20144A</v>
      </c>
      <c r="B1801" s="206" t="s">
        <v>5404</v>
      </c>
      <c r="C1801" s="206"/>
      <c r="D1801" s="206" t="s">
        <v>5405</v>
      </c>
      <c r="E1801" s="206" t="s">
        <v>29</v>
      </c>
      <c r="F1801" s="206" t="s">
        <v>5406</v>
      </c>
      <c r="G1801" s="206"/>
      <c r="H1801" s="206"/>
      <c r="I1801" s="206"/>
      <c r="J1801" s="206" t="s">
        <v>5407</v>
      </c>
      <c r="K1801" s="206" t="s">
        <v>5408</v>
      </c>
      <c r="L1801" s="206"/>
      <c r="M1801" s="207"/>
      <c r="N1801" s="206"/>
      <c r="O1801" s="206"/>
      <c r="P1801" s="206" t="s">
        <v>34</v>
      </c>
    </row>
    <row r="1802" spans="1:16" s="187" customFormat="1" ht="18" customHeight="1">
      <c r="A1802" s="187" t="str">
        <f t="shared" si="28"/>
        <v>006701</v>
      </c>
      <c r="B1802" s="208" t="s">
        <v>4650</v>
      </c>
      <c r="C1802" s="208"/>
      <c r="D1802" s="208" t="s">
        <v>4649</v>
      </c>
      <c r="E1802" s="208" t="s">
        <v>29</v>
      </c>
      <c r="F1802" s="208"/>
      <c r="G1802" s="208"/>
      <c r="H1802" s="208"/>
      <c r="I1802" s="208"/>
      <c r="J1802" s="208"/>
      <c r="K1802" s="208"/>
      <c r="L1802" s="208"/>
      <c r="M1802" s="209"/>
      <c r="N1802" s="208"/>
      <c r="O1802" s="208"/>
      <c r="P1802" s="208"/>
    </row>
    <row r="1803" spans="1:16" s="187" customFormat="1" ht="18" customHeight="1">
      <c r="A1803" s="187" t="str">
        <f t="shared" si="28"/>
        <v>CG450031C1</v>
      </c>
      <c r="B1803" s="206" t="s">
        <v>6537</v>
      </c>
      <c r="C1803" s="206"/>
      <c r="D1803" s="206" t="s">
        <v>6538</v>
      </c>
      <c r="E1803" s="206" t="s">
        <v>29</v>
      </c>
      <c r="F1803" s="206" t="s">
        <v>6539</v>
      </c>
      <c r="G1803" s="206"/>
      <c r="H1803" s="206"/>
      <c r="I1803" s="206"/>
      <c r="J1803" s="206"/>
      <c r="K1803" s="206"/>
      <c r="L1803" s="206"/>
      <c r="M1803" s="207"/>
      <c r="N1803" s="206"/>
      <c r="O1803" s="206"/>
      <c r="P1803" s="206"/>
    </row>
    <row r="1804" spans="1:16" s="187" customFormat="1" ht="18" customHeight="1">
      <c r="A1804" s="187" t="str">
        <f t="shared" si="28"/>
        <v>CG450032C0</v>
      </c>
      <c r="B1804" s="208" t="s">
        <v>6537</v>
      </c>
      <c r="C1804" s="208"/>
      <c r="D1804" s="208" t="s">
        <v>6540</v>
      </c>
      <c r="E1804" s="208" t="s">
        <v>29</v>
      </c>
      <c r="F1804" s="208" t="s">
        <v>6539</v>
      </c>
      <c r="G1804" s="208"/>
      <c r="H1804" s="208"/>
      <c r="I1804" s="208"/>
      <c r="J1804" s="208"/>
      <c r="K1804" s="208"/>
      <c r="L1804" s="208"/>
      <c r="M1804" s="209"/>
      <c r="N1804" s="208"/>
      <c r="O1804" s="208"/>
      <c r="P1804" s="208"/>
    </row>
    <row r="1805" spans="1:16" s="187" customFormat="1" ht="18" customHeight="1">
      <c r="A1805" s="187" t="str">
        <f t="shared" si="28"/>
        <v>V20142C</v>
      </c>
      <c r="B1805" s="206" t="s">
        <v>5409</v>
      </c>
      <c r="C1805" s="206"/>
      <c r="D1805" s="206" t="s">
        <v>5410</v>
      </c>
      <c r="E1805" s="206" t="s">
        <v>29</v>
      </c>
      <c r="F1805" s="206" t="s">
        <v>5411</v>
      </c>
      <c r="G1805" s="206"/>
      <c r="H1805" s="206"/>
      <c r="I1805" s="206"/>
      <c r="J1805" s="206" t="s">
        <v>5412</v>
      </c>
      <c r="K1805" s="206" t="s">
        <v>5413</v>
      </c>
      <c r="L1805" s="206"/>
      <c r="M1805" s="207"/>
      <c r="N1805" s="206"/>
      <c r="O1805" s="206"/>
      <c r="P1805" s="206" t="s">
        <v>34</v>
      </c>
    </row>
    <row r="1806" spans="1:16" s="187" customFormat="1" ht="18" customHeight="1">
      <c r="A1806" s="187" t="str">
        <f t="shared" si="28"/>
        <v>CG450028C0</v>
      </c>
      <c r="B1806" s="208" t="s">
        <v>5893</v>
      </c>
      <c r="C1806" s="208"/>
      <c r="D1806" s="208" t="s">
        <v>6497</v>
      </c>
      <c r="E1806" s="208" t="s">
        <v>29</v>
      </c>
      <c r="F1806" s="208" t="s">
        <v>5617</v>
      </c>
      <c r="G1806" s="208"/>
      <c r="H1806" s="208"/>
      <c r="I1806" s="208"/>
      <c r="J1806" s="208"/>
      <c r="K1806" s="208"/>
      <c r="L1806" s="208"/>
      <c r="M1806" s="209"/>
      <c r="N1806" s="208"/>
      <c r="O1806" s="208"/>
      <c r="P1806" s="208" t="s">
        <v>100</v>
      </c>
    </row>
    <row r="1807" spans="1:16" s="187" customFormat="1" ht="18" customHeight="1">
      <c r="A1807" s="187" t="str">
        <f t="shared" si="28"/>
        <v>V20162A</v>
      </c>
      <c r="B1807" s="206" t="s">
        <v>5893</v>
      </c>
      <c r="C1807" s="206"/>
      <c r="D1807" s="206" t="s">
        <v>5616</v>
      </c>
      <c r="E1807" s="206" t="s">
        <v>29</v>
      </c>
      <c r="F1807" s="206" t="s">
        <v>5617</v>
      </c>
      <c r="G1807" s="206"/>
      <c r="H1807" s="206"/>
      <c r="I1807" s="206"/>
      <c r="J1807" s="206"/>
      <c r="K1807" s="206"/>
      <c r="L1807" s="206"/>
      <c r="M1807" s="207"/>
      <c r="N1807" s="206"/>
      <c r="O1807" s="206"/>
      <c r="P1807" s="206" t="s">
        <v>34</v>
      </c>
    </row>
    <row r="1808" spans="1:16" s="187" customFormat="1" ht="18" customHeight="1">
      <c r="A1808" s="187" t="str">
        <f t="shared" si="28"/>
        <v>CG450005C0</v>
      </c>
      <c r="B1808" s="208" t="s">
        <v>3504</v>
      </c>
      <c r="C1808" s="208"/>
      <c r="D1808" s="208" t="s">
        <v>3503</v>
      </c>
      <c r="E1808" s="208" t="s">
        <v>29</v>
      </c>
      <c r="F1808" s="208" t="s">
        <v>3505</v>
      </c>
      <c r="G1808" s="208"/>
      <c r="H1808" s="208"/>
      <c r="I1808" s="208"/>
      <c r="J1808" s="208"/>
      <c r="K1808" s="208"/>
      <c r="L1808" s="208"/>
      <c r="M1808" s="209"/>
      <c r="N1808" s="208"/>
      <c r="O1808" s="208"/>
      <c r="P1808" s="208" t="s">
        <v>100</v>
      </c>
    </row>
    <row r="1809" spans="1:16" s="187" customFormat="1" ht="18" customHeight="1">
      <c r="A1809" s="187" t="str">
        <f t="shared" si="28"/>
        <v>V20101A</v>
      </c>
      <c r="B1809" s="206" t="s">
        <v>3507</v>
      </c>
      <c r="C1809" s="206"/>
      <c r="D1809" s="206" t="s">
        <v>3506</v>
      </c>
      <c r="E1809" s="206" t="s">
        <v>29</v>
      </c>
      <c r="F1809" s="206" t="s">
        <v>3508</v>
      </c>
      <c r="G1809" s="206"/>
      <c r="H1809" s="206"/>
      <c r="I1809" s="206"/>
      <c r="J1809" s="206" t="s">
        <v>3509</v>
      </c>
      <c r="K1809" s="206" t="s">
        <v>3510</v>
      </c>
      <c r="L1809" s="206"/>
      <c r="M1809" s="207"/>
      <c r="N1809" s="206"/>
      <c r="O1809" s="206" t="s">
        <v>40</v>
      </c>
      <c r="P1809" s="206" t="s">
        <v>34</v>
      </c>
    </row>
    <row r="1810" spans="1:16" s="187" customFormat="1" ht="18" customHeight="1">
      <c r="A1810" s="187" t="str">
        <f t="shared" si="28"/>
        <v>V20101B</v>
      </c>
      <c r="B1810" s="208" t="s">
        <v>3507</v>
      </c>
      <c r="C1810" s="208"/>
      <c r="D1810" s="208" t="s">
        <v>3511</v>
      </c>
      <c r="E1810" s="208" t="s">
        <v>29</v>
      </c>
      <c r="F1810" s="208" t="s">
        <v>3508</v>
      </c>
      <c r="G1810" s="208"/>
      <c r="H1810" s="208"/>
      <c r="I1810" s="208"/>
      <c r="J1810" s="208" t="s">
        <v>3509</v>
      </c>
      <c r="K1810" s="208" t="s">
        <v>3510</v>
      </c>
      <c r="L1810" s="208"/>
      <c r="M1810" s="209"/>
      <c r="N1810" s="208"/>
      <c r="O1810" s="208" t="s">
        <v>40</v>
      </c>
      <c r="P1810" s="208" t="s">
        <v>34</v>
      </c>
    </row>
    <row r="1811" spans="1:16" s="187" customFormat="1" ht="18" customHeight="1">
      <c r="A1811" s="187" t="str">
        <f t="shared" si="28"/>
        <v>V20101C</v>
      </c>
      <c r="B1811" s="206" t="s">
        <v>3507</v>
      </c>
      <c r="C1811" s="206"/>
      <c r="D1811" s="206" t="s">
        <v>3512</v>
      </c>
      <c r="E1811" s="206" t="s">
        <v>29</v>
      </c>
      <c r="F1811" s="206" t="s">
        <v>3508</v>
      </c>
      <c r="G1811" s="206"/>
      <c r="H1811" s="206"/>
      <c r="I1811" s="206"/>
      <c r="J1811" s="206" t="s">
        <v>3509</v>
      </c>
      <c r="K1811" s="206" t="s">
        <v>3510</v>
      </c>
      <c r="L1811" s="206"/>
      <c r="M1811" s="207"/>
      <c r="N1811" s="206"/>
      <c r="O1811" s="206" t="s">
        <v>40</v>
      </c>
      <c r="P1811" s="206" t="s">
        <v>34</v>
      </c>
    </row>
    <row r="1812" spans="1:16" s="187" customFormat="1" ht="18" customHeight="1">
      <c r="A1812" s="187" t="str">
        <f t="shared" si="28"/>
        <v>V20038A</v>
      </c>
      <c r="B1812" s="208" t="s">
        <v>3507</v>
      </c>
      <c r="C1812" s="208"/>
      <c r="D1812" s="208" t="s">
        <v>3515</v>
      </c>
      <c r="E1812" s="208" t="s">
        <v>29</v>
      </c>
      <c r="F1812" s="208" t="s">
        <v>3508</v>
      </c>
      <c r="G1812" s="208"/>
      <c r="H1812" s="208"/>
      <c r="I1812" s="208"/>
      <c r="J1812" s="208" t="s">
        <v>3509</v>
      </c>
      <c r="K1812" s="208" t="s">
        <v>3510</v>
      </c>
      <c r="L1812" s="208"/>
      <c r="M1812" s="209"/>
      <c r="N1812" s="208"/>
      <c r="O1812" s="208" t="s">
        <v>40</v>
      </c>
      <c r="P1812" s="208" t="s">
        <v>34</v>
      </c>
    </row>
    <row r="1813" spans="1:16" s="187" customFormat="1" ht="18" customHeight="1">
      <c r="A1813" s="187" t="str">
        <f t="shared" si="28"/>
        <v>V20038B</v>
      </c>
      <c r="B1813" s="206" t="s">
        <v>3507</v>
      </c>
      <c r="C1813" s="206"/>
      <c r="D1813" s="206" t="s">
        <v>3513</v>
      </c>
      <c r="E1813" s="206" t="s">
        <v>29</v>
      </c>
      <c r="F1813" s="206" t="s">
        <v>3508</v>
      </c>
      <c r="G1813" s="206"/>
      <c r="H1813" s="206"/>
      <c r="I1813" s="206"/>
      <c r="J1813" s="206" t="s">
        <v>3509</v>
      </c>
      <c r="K1813" s="206" t="s">
        <v>3510</v>
      </c>
      <c r="L1813" s="206"/>
      <c r="M1813" s="207"/>
      <c r="N1813" s="206"/>
      <c r="O1813" s="206" t="s">
        <v>40</v>
      </c>
      <c r="P1813" s="206" t="s">
        <v>34</v>
      </c>
    </row>
    <row r="1814" spans="1:16" s="187" customFormat="1" ht="18" customHeight="1">
      <c r="A1814" s="187" t="str">
        <f t="shared" si="28"/>
        <v>V20038C</v>
      </c>
      <c r="B1814" s="208" t="s">
        <v>3507</v>
      </c>
      <c r="C1814" s="208"/>
      <c r="D1814" s="208" t="s">
        <v>3514</v>
      </c>
      <c r="E1814" s="208" t="s">
        <v>29</v>
      </c>
      <c r="F1814" s="208" t="s">
        <v>3508</v>
      </c>
      <c r="G1814" s="208"/>
      <c r="H1814" s="208"/>
      <c r="I1814" s="208"/>
      <c r="J1814" s="208" t="s">
        <v>3509</v>
      </c>
      <c r="K1814" s="208" t="s">
        <v>3510</v>
      </c>
      <c r="L1814" s="208"/>
      <c r="M1814" s="209"/>
      <c r="N1814" s="208"/>
      <c r="O1814" s="208" t="s">
        <v>40</v>
      </c>
      <c r="P1814" s="208" t="s">
        <v>34</v>
      </c>
    </row>
    <row r="1815" spans="1:16" s="187" customFormat="1" ht="18" customHeight="1">
      <c r="A1815" s="187" t="str">
        <f t="shared" si="28"/>
        <v>V20030A</v>
      </c>
      <c r="B1815" s="206" t="s">
        <v>3517</v>
      </c>
      <c r="C1815" s="206"/>
      <c r="D1815" s="206" t="s">
        <v>3516</v>
      </c>
      <c r="E1815" s="206" t="s">
        <v>29</v>
      </c>
      <c r="F1815" s="206" t="s">
        <v>3518</v>
      </c>
      <c r="G1815" s="206"/>
      <c r="H1815" s="206"/>
      <c r="I1815" s="206"/>
      <c r="J1815" s="206" t="s">
        <v>3519</v>
      </c>
      <c r="K1815" s="206" t="s">
        <v>3520</v>
      </c>
      <c r="L1815" s="206"/>
      <c r="M1815" s="207"/>
      <c r="N1815" s="206"/>
      <c r="O1815" s="206" t="s">
        <v>40</v>
      </c>
      <c r="P1815" s="206" t="s">
        <v>34</v>
      </c>
    </row>
    <row r="1816" spans="1:16" s="187" customFormat="1" ht="18" customHeight="1">
      <c r="A1816" s="187" t="str">
        <f t="shared" si="28"/>
        <v>V20030B</v>
      </c>
      <c r="B1816" s="208" t="s">
        <v>3517</v>
      </c>
      <c r="C1816" s="208"/>
      <c r="D1816" s="208" t="s">
        <v>3521</v>
      </c>
      <c r="E1816" s="208" t="s">
        <v>29</v>
      </c>
      <c r="F1816" s="208" t="s">
        <v>3518</v>
      </c>
      <c r="G1816" s="208"/>
      <c r="H1816" s="208"/>
      <c r="I1816" s="208"/>
      <c r="J1816" s="208" t="s">
        <v>3519</v>
      </c>
      <c r="K1816" s="208" t="s">
        <v>3520</v>
      </c>
      <c r="L1816" s="208"/>
      <c r="M1816" s="209"/>
      <c r="N1816" s="208"/>
      <c r="O1816" s="208" t="s">
        <v>40</v>
      </c>
      <c r="P1816" s="208" t="s">
        <v>34</v>
      </c>
    </row>
    <row r="1817" spans="1:16" s="187" customFormat="1" ht="18" customHeight="1">
      <c r="A1817" s="187" t="str">
        <f t="shared" si="28"/>
        <v>V20030C</v>
      </c>
      <c r="B1817" s="206" t="s">
        <v>3517</v>
      </c>
      <c r="C1817" s="206"/>
      <c r="D1817" s="206" t="s">
        <v>3522</v>
      </c>
      <c r="E1817" s="206" t="s">
        <v>29</v>
      </c>
      <c r="F1817" s="206" t="s">
        <v>3518</v>
      </c>
      <c r="G1817" s="206"/>
      <c r="H1817" s="206"/>
      <c r="I1817" s="206"/>
      <c r="J1817" s="206" t="s">
        <v>3519</v>
      </c>
      <c r="K1817" s="206" t="s">
        <v>3520</v>
      </c>
      <c r="L1817" s="206"/>
      <c r="M1817" s="207"/>
      <c r="N1817" s="206"/>
      <c r="O1817" s="206" t="s">
        <v>40</v>
      </c>
      <c r="P1817" s="206" t="s">
        <v>34</v>
      </c>
    </row>
    <row r="1818" spans="1:16" s="187" customFormat="1" ht="18" customHeight="1">
      <c r="A1818" s="187" t="str">
        <f t="shared" si="28"/>
        <v>V20172A</v>
      </c>
      <c r="B1818" s="208" t="s">
        <v>6498</v>
      </c>
      <c r="C1818" s="208"/>
      <c r="D1818" s="208" t="s">
        <v>6499</v>
      </c>
      <c r="E1818" s="208" t="s">
        <v>29</v>
      </c>
      <c r="F1818" s="208" t="s">
        <v>6500</v>
      </c>
      <c r="G1818" s="208"/>
      <c r="H1818" s="208"/>
      <c r="I1818" s="208"/>
      <c r="J1818" s="208" t="s">
        <v>6501</v>
      </c>
      <c r="K1818" s="208" t="s">
        <v>6502</v>
      </c>
      <c r="L1818" s="208"/>
      <c r="M1818" s="209"/>
      <c r="N1818" s="208"/>
      <c r="O1818" s="208"/>
      <c r="P1818" s="208" t="s">
        <v>34</v>
      </c>
    </row>
    <row r="1819" spans="1:16" s="187" customFormat="1" ht="18" customHeight="1">
      <c r="A1819" s="187" t="str">
        <f t="shared" si="28"/>
        <v>V20003A</v>
      </c>
      <c r="B1819" s="206" t="s">
        <v>3524</v>
      </c>
      <c r="C1819" s="206"/>
      <c r="D1819" s="206" t="s">
        <v>3523</v>
      </c>
      <c r="E1819" s="206" t="s">
        <v>29</v>
      </c>
      <c r="F1819" s="206" t="s">
        <v>3525</v>
      </c>
      <c r="G1819" s="206"/>
      <c r="H1819" s="206"/>
      <c r="I1819" s="206"/>
      <c r="J1819" s="206" t="s">
        <v>3526</v>
      </c>
      <c r="K1819" s="206" t="s">
        <v>3527</v>
      </c>
      <c r="L1819" s="206"/>
      <c r="M1819" s="207"/>
      <c r="N1819" s="206"/>
      <c r="O1819" s="206" t="s">
        <v>40</v>
      </c>
      <c r="P1819" s="206" t="s">
        <v>34</v>
      </c>
    </row>
    <row r="1820" spans="1:16" s="187" customFormat="1" ht="18" customHeight="1">
      <c r="A1820" s="187" t="str">
        <f t="shared" si="28"/>
        <v>V20003B</v>
      </c>
      <c r="B1820" s="208" t="s">
        <v>3524</v>
      </c>
      <c r="C1820" s="208"/>
      <c r="D1820" s="208" t="s">
        <v>3528</v>
      </c>
      <c r="E1820" s="208" t="s">
        <v>29</v>
      </c>
      <c r="F1820" s="208" t="s">
        <v>3525</v>
      </c>
      <c r="G1820" s="208"/>
      <c r="H1820" s="208"/>
      <c r="I1820" s="208"/>
      <c r="J1820" s="208" t="s">
        <v>3526</v>
      </c>
      <c r="K1820" s="208" t="s">
        <v>3527</v>
      </c>
      <c r="L1820" s="208"/>
      <c r="M1820" s="209"/>
      <c r="N1820" s="208"/>
      <c r="O1820" s="208" t="s">
        <v>40</v>
      </c>
      <c r="P1820" s="208" t="s">
        <v>34</v>
      </c>
    </row>
    <row r="1821" spans="1:16" s="187" customFormat="1" ht="18" customHeight="1">
      <c r="A1821" s="187" t="str">
        <f t="shared" si="28"/>
        <v>V20003C</v>
      </c>
      <c r="B1821" s="206" t="s">
        <v>3524</v>
      </c>
      <c r="C1821" s="206"/>
      <c r="D1821" s="206" t="s">
        <v>3529</v>
      </c>
      <c r="E1821" s="206" t="s">
        <v>29</v>
      </c>
      <c r="F1821" s="206" t="s">
        <v>3525</v>
      </c>
      <c r="G1821" s="206"/>
      <c r="H1821" s="206"/>
      <c r="I1821" s="206"/>
      <c r="J1821" s="206" t="s">
        <v>3526</v>
      </c>
      <c r="K1821" s="206" t="s">
        <v>3527</v>
      </c>
      <c r="L1821" s="206"/>
      <c r="M1821" s="207"/>
      <c r="N1821" s="206"/>
      <c r="O1821" s="206" t="s">
        <v>40</v>
      </c>
      <c r="P1821" s="206" t="s">
        <v>34</v>
      </c>
    </row>
    <row r="1822" spans="1:16" s="187" customFormat="1" ht="18" customHeight="1">
      <c r="A1822" s="187" t="str">
        <f t="shared" si="28"/>
        <v>V20154C</v>
      </c>
      <c r="B1822" s="208" t="s">
        <v>5507</v>
      </c>
      <c r="C1822" s="208"/>
      <c r="D1822" s="208" t="s">
        <v>5508</v>
      </c>
      <c r="E1822" s="208" t="s">
        <v>29</v>
      </c>
      <c r="F1822" s="208" t="s">
        <v>5509</v>
      </c>
      <c r="G1822" s="208"/>
      <c r="H1822" s="208"/>
      <c r="I1822" s="208" t="s">
        <v>5510</v>
      </c>
      <c r="J1822" s="208" t="s">
        <v>5511</v>
      </c>
      <c r="K1822" s="208" t="s">
        <v>5512</v>
      </c>
      <c r="L1822" s="208"/>
      <c r="M1822" s="209"/>
      <c r="N1822" s="208"/>
      <c r="O1822" s="208"/>
      <c r="P1822" s="208" t="s">
        <v>34</v>
      </c>
    </row>
    <row r="1823" spans="1:16" s="187" customFormat="1" ht="18" customHeight="1">
      <c r="A1823" s="187" t="str">
        <f t="shared" si="28"/>
        <v>V20060A</v>
      </c>
      <c r="B1823" s="206" t="s">
        <v>3531</v>
      </c>
      <c r="C1823" s="206"/>
      <c r="D1823" s="206" t="s">
        <v>3530</v>
      </c>
      <c r="E1823" s="206" t="s">
        <v>29</v>
      </c>
      <c r="F1823" s="206" t="s">
        <v>3532</v>
      </c>
      <c r="G1823" s="206"/>
      <c r="H1823" s="206"/>
      <c r="I1823" s="206"/>
      <c r="J1823" s="206" t="s">
        <v>3533</v>
      </c>
      <c r="K1823" s="206" t="s">
        <v>3534</v>
      </c>
      <c r="L1823" s="206"/>
      <c r="M1823" s="207"/>
      <c r="N1823" s="206"/>
      <c r="O1823" s="206" t="s">
        <v>40</v>
      </c>
      <c r="P1823" s="206" t="s">
        <v>34</v>
      </c>
    </row>
    <row r="1824" spans="1:16" s="187" customFormat="1" ht="18" customHeight="1">
      <c r="A1824" s="187" t="str">
        <f t="shared" si="28"/>
        <v>V20060B</v>
      </c>
      <c r="B1824" s="208" t="s">
        <v>3531</v>
      </c>
      <c r="C1824" s="208"/>
      <c r="D1824" s="208" t="s">
        <v>3535</v>
      </c>
      <c r="E1824" s="208" t="s">
        <v>29</v>
      </c>
      <c r="F1824" s="208" t="s">
        <v>3532</v>
      </c>
      <c r="G1824" s="208"/>
      <c r="H1824" s="208"/>
      <c r="I1824" s="208"/>
      <c r="J1824" s="208" t="s">
        <v>3533</v>
      </c>
      <c r="K1824" s="208" t="s">
        <v>3534</v>
      </c>
      <c r="L1824" s="208"/>
      <c r="M1824" s="209"/>
      <c r="N1824" s="208"/>
      <c r="O1824" s="208" t="s">
        <v>40</v>
      </c>
      <c r="P1824" s="208" t="s">
        <v>34</v>
      </c>
    </row>
    <row r="1825" spans="1:16" s="187" customFormat="1" ht="18" customHeight="1">
      <c r="A1825" s="187" t="str">
        <f t="shared" si="28"/>
        <v>V20060C</v>
      </c>
      <c r="B1825" s="206" t="s">
        <v>3531</v>
      </c>
      <c r="C1825" s="206"/>
      <c r="D1825" s="206" t="s">
        <v>3536</v>
      </c>
      <c r="E1825" s="206" t="s">
        <v>29</v>
      </c>
      <c r="F1825" s="206" t="s">
        <v>3532</v>
      </c>
      <c r="G1825" s="206" t="s">
        <v>3537</v>
      </c>
      <c r="H1825" s="206"/>
      <c r="I1825" s="206"/>
      <c r="J1825" s="206" t="s">
        <v>3533</v>
      </c>
      <c r="K1825" s="206" t="s">
        <v>3534</v>
      </c>
      <c r="L1825" s="206"/>
      <c r="M1825" s="207"/>
      <c r="N1825" s="206"/>
      <c r="O1825" s="206" t="s">
        <v>40</v>
      </c>
      <c r="P1825" s="206" t="s">
        <v>34</v>
      </c>
    </row>
    <row r="1826" spans="1:16" s="187" customFormat="1" ht="18" customHeight="1">
      <c r="A1826" s="187" t="str">
        <f t="shared" si="28"/>
        <v>CG450009C0</v>
      </c>
      <c r="B1826" s="208" t="s">
        <v>3531</v>
      </c>
      <c r="C1826" s="208"/>
      <c r="D1826" s="208" t="s">
        <v>3538</v>
      </c>
      <c r="E1826" s="208" t="s">
        <v>29</v>
      </c>
      <c r="F1826" s="208" t="s">
        <v>3532</v>
      </c>
      <c r="G1826" s="208"/>
      <c r="H1826" s="208"/>
      <c r="I1826" s="208"/>
      <c r="J1826" s="208"/>
      <c r="K1826" s="208"/>
      <c r="L1826" s="208"/>
      <c r="M1826" s="209"/>
      <c r="N1826" s="208"/>
      <c r="O1826" s="208"/>
      <c r="P1826" s="208" t="s">
        <v>100</v>
      </c>
    </row>
    <row r="1827" spans="1:16" s="187" customFormat="1" ht="18" customHeight="1">
      <c r="A1827" s="187" t="str">
        <f t="shared" si="28"/>
        <v>V20160C</v>
      </c>
      <c r="B1827" s="206" t="s">
        <v>5894</v>
      </c>
      <c r="C1827" s="206"/>
      <c r="D1827" s="206" t="s">
        <v>5895</v>
      </c>
      <c r="E1827" s="206" t="s">
        <v>29</v>
      </c>
      <c r="F1827" s="206" t="s">
        <v>5896</v>
      </c>
      <c r="G1827" s="206"/>
      <c r="H1827" s="206"/>
      <c r="I1827" s="206"/>
      <c r="J1827" s="206"/>
      <c r="K1827" s="206"/>
      <c r="L1827" s="206"/>
      <c r="M1827" s="207"/>
      <c r="N1827" s="206"/>
      <c r="O1827" s="206" t="s">
        <v>260</v>
      </c>
      <c r="P1827" s="206" t="s">
        <v>34</v>
      </c>
    </row>
    <row r="1828" spans="1:16" s="187" customFormat="1" ht="18" customHeight="1">
      <c r="A1828" s="187" t="str">
        <f t="shared" si="28"/>
        <v>V20176A</v>
      </c>
      <c r="B1828" s="208" t="s">
        <v>6503</v>
      </c>
      <c r="C1828" s="208"/>
      <c r="D1828" s="208" t="s">
        <v>6504</v>
      </c>
      <c r="E1828" s="208" t="s">
        <v>29</v>
      </c>
      <c r="F1828" s="208" t="s">
        <v>6505</v>
      </c>
      <c r="G1828" s="208"/>
      <c r="H1828" s="208"/>
      <c r="I1828" s="208"/>
      <c r="J1828" s="208" t="s">
        <v>6506</v>
      </c>
      <c r="K1828" s="208" t="s">
        <v>6507</v>
      </c>
      <c r="L1828" s="208"/>
      <c r="M1828" s="209"/>
      <c r="N1828" s="208"/>
      <c r="O1828" s="208" t="s">
        <v>40</v>
      </c>
      <c r="P1828" s="208" t="s">
        <v>34</v>
      </c>
    </row>
    <row r="1829" spans="1:16" s="187" customFormat="1" ht="18" customHeight="1">
      <c r="A1829" s="187" t="str">
        <f t="shared" si="28"/>
        <v>V20037A</v>
      </c>
      <c r="B1829" s="206" t="s">
        <v>3540</v>
      </c>
      <c r="C1829" s="206"/>
      <c r="D1829" s="206" t="s">
        <v>3539</v>
      </c>
      <c r="E1829" s="206" t="s">
        <v>29</v>
      </c>
      <c r="F1829" s="206" t="s">
        <v>3541</v>
      </c>
      <c r="G1829" s="206"/>
      <c r="H1829" s="206"/>
      <c r="I1829" s="206"/>
      <c r="J1829" s="206" t="s">
        <v>3542</v>
      </c>
      <c r="K1829" s="206" t="s">
        <v>3543</v>
      </c>
      <c r="L1829" s="206"/>
      <c r="M1829" s="207"/>
      <c r="N1829" s="206"/>
      <c r="O1829" s="206" t="s">
        <v>40</v>
      </c>
      <c r="P1829" s="206" t="s">
        <v>34</v>
      </c>
    </row>
    <row r="1830" spans="1:16" s="187" customFormat="1" ht="18" customHeight="1">
      <c r="A1830" s="187" t="str">
        <f t="shared" si="28"/>
        <v>V20037B</v>
      </c>
      <c r="B1830" s="208" t="s">
        <v>3540</v>
      </c>
      <c r="C1830" s="208"/>
      <c r="D1830" s="208" t="s">
        <v>3544</v>
      </c>
      <c r="E1830" s="208" t="s">
        <v>29</v>
      </c>
      <c r="F1830" s="208" t="s">
        <v>3541</v>
      </c>
      <c r="G1830" s="208"/>
      <c r="H1830" s="208"/>
      <c r="I1830" s="208"/>
      <c r="J1830" s="208" t="s">
        <v>3542</v>
      </c>
      <c r="K1830" s="208" t="s">
        <v>3543</v>
      </c>
      <c r="L1830" s="208"/>
      <c r="M1830" s="209"/>
      <c r="N1830" s="208"/>
      <c r="O1830" s="208" t="s">
        <v>40</v>
      </c>
      <c r="P1830" s="208" t="s">
        <v>34</v>
      </c>
    </row>
    <row r="1831" spans="1:16" s="187" customFormat="1" ht="18" customHeight="1">
      <c r="A1831" s="187" t="str">
        <f t="shared" si="28"/>
        <v>V20037C</v>
      </c>
      <c r="B1831" s="206" t="s">
        <v>3540</v>
      </c>
      <c r="C1831" s="206"/>
      <c r="D1831" s="206" t="s">
        <v>3545</v>
      </c>
      <c r="E1831" s="206" t="s">
        <v>29</v>
      </c>
      <c r="F1831" s="206" t="s">
        <v>3541</v>
      </c>
      <c r="G1831" s="206"/>
      <c r="H1831" s="206"/>
      <c r="I1831" s="206"/>
      <c r="J1831" s="206" t="s">
        <v>3542</v>
      </c>
      <c r="K1831" s="206" t="s">
        <v>3543</v>
      </c>
      <c r="L1831" s="206"/>
      <c r="M1831" s="207"/>
      <c r="N1831" s="206"/>
      <c r="O1831" s="206" t="s">
        <v>40</v>
      </c>
      <c r="P1831" s="206" t="s">
        <v>34</v>
      </c>
    </row>
    <row r="1832" spans="1:16" s="187" customFormat="1" ht="18" customHeight="1">
      <c r="A1832" s="187" t="str">
        <f t="shared" si="28"/>
        <v>V20017A</v>
      </c>
      <c r="B1832" s="208" t="s">
        <v>3547</v>
      </c>
      <c r="C1832" s="208"/>
      <c r="D1832" s="208" t="s">
        <v>3546</v>
      </c>
      <c r="E1832" s="208" t="s">
        <v>29</v>
      </c>
      <c r="F1832" s="208" t="s">
        <v>3548</v>
      </c>
      <c r="G1832" s="208"/>
      <c r="H1832" s="208"/>
      <c r="I1832" s="208" t="s">
        <v>3549</v>
      </c>
      <c r="J1832" s="208" t="s">
        <v>3550</v>
      </c>
      <c r="K1832" s="208" t="s">
        <v>3551</v>
      </c>
      <c r="L1832" s="208"/>
      <c r="M1832" s="209"/>
      <c r="N1832" s="208"/>
      <c r="O1832" s="208" t="s">
        <v>40</v>
      </c>
      <c r="P1832" s="208" t="s">
        <v>34</v>
      </c>
    </row>
    <row r="1833" spans="1:16" s="187" customFormat="1" ht="18" customHeight="1">
      <c r="A1833" s="187" t="str">
        <f t="shared" si="28"/>
        <v>V20017B</v>
      </c>
      <c r="B1833" s="206" t="s">
        <v>3547</v>
      </c>
      <c r="C1833" s="206"/>
      <c r="D1833" s="206" t="s">
        <v>3552</v>
      </c>
      <c r="E1833" s="206" t="s">
        <v>29</v>
      </c>
      <c r="F1833" s="206" t="s">
        <v>3548</v>
      </c>
      <c r="G1833" s="206" t="s">
        <v>3553</v>
      </c>
      <c r="H1833" s="206"/>
      <c r="I1833" s="206" t="s">
        <v>3549</v>
      </c>
      <c r="J1833" s="206" t="s">
        <v>3554</v>
      </c>
      <c r="K1833" s="206" t="s">
        <v>3551</v>
      </c>
      <c r="L1833" s="206"/>
      <c r="M1833" s="207"/>
      <c r="N1833" s="206"/>
      <c r="O1833" s="206" t="s">
        <v>40</v>
      </c>
      <c r="P1833" s="206" t="s">
        <v>34</v>
      </c>
    </row>
    <row r="1834" spans="1:16" s="187" customFormat="1" ht="18" customHeight="1">
      <c r="A1834" s="187" t="str">
        <f t="shared" si="28"/>
        <v>V20017C</v>
      </c>
      <c r="B1834" s="208" t="s">
        <v>3547</v>
      </c>
      <c r="C1834" s="208"/>
      <c r="D1834" s="208" t="s">
        <v>3555</v>
      </c>
      <c r="E1834" s="208" t="s">
        <v>29</v>
      </c>
      <c r="F1834" s="208" t="s">
        <v>3548</v>
      </c>
      <c r="G1834" s="208" t="s">
        <v>3553</v>
      </c>
      <c r="H1834" s="208"/>
      <c r="I1834" s="208" t="s">
        <v>3549</v>
      </c>
      <c r="J1834" s="208" t="s">
        <v>3554</v>
      </c>
      <c r="K1834" s="208" t="s">
        <v>3551</v>
      </c>
      <c r="L1834" s="208"/>
      <c r="M1834" s="209"/>
      <c r="N1834" s="208"/>
      <c r="O1834" s="208" t="s">
        <v>40</v>
      </c>
      <c r="P1834" s="208" t="s">
        <v>34</v>
      </c>
    </row>
    <row r="1835" spans="1:16" s="187" customFormat="1" ht="18" customHeight="1">
      <c r="A1835" s="187" t="str">
        <f t="shared" si="28"/>
        <v>0180001</v>
      </c>
      <c r="B1835" s="206" t="s">
        <v>4652</v>
      </c>
      <c r="C1835" s="206"/>
      <c r="D1835" s="206" t="s">
        <v>4651</v>
      </c>
      <c r="E1835" s="206" t="s">
        <v>29</v>
      </c>
      <c r="F1835" s="206"/>
      <c r="G1835" s="206"/>
      <c r="H1835" s="206"/>
      <c r="I1835" s="206"/>
      <c r="J1835" s="206"/>
      <c r="K1835" s="206"/>
      <c r="L1835" s="206"/>
      <c r="M1835" s="207"/>
      <c r="N1835" s="206"/>
      <c r="O1835" s="206"/>
      <c r="P1835" s="206"/>
    </row>
    <row r="1836" spans="1:16" s="187" customFormat="1" ht="18" customHeight="1">
      <c r="A1836" s="187" t="str">
        <f t="shared" si="28"/>
        <v>004501</v>
      </c>
      <c r="B1836" s="208" t="s">
        <v>4654</v>
      </c>
      <c r="C1836" s="208"/>
      <c r="D1836" s="208" t="s">
        <v>4653</v>
      </c>
      <c r="E1836" s="208" t="s">
        <v>29</v>
      </c>
      <c r="F1836" s="208"/>
      <c r="G1836" s="208"/>
      <c r="H1836" s="208"/>
      <c r="I1836" s="208"/>
      <c r="J1836" s="208"/>
      <c r="K1836" s="208"/>
      <c r="L1836" s="208"/>
      <c r="M1836" s="209"/>
      <c r="N1836" s="208"/>
      <c r="O1836" s="208"/>
      <c r="P1836" s="208"/>
    </row>
    <row r="1837" spans="1:16" s="187" customFormat="1" ht="18" customHeight="1">
      <c r="A1837" s="187" t="str">
        <f t="shared" si="28"/>
        <v>004502</v>
      </c>
      <c r="B1837" s="206" t="s">
        <v>4654</v>
      </c>
      <c r="C1837" s="206"/>
      <c r="D1837" s="206" t="s">
        <v>4655</v>
      </c>
      <c r="E1837" s="206" t="s">
        <v>29</v>
      </c>
      <c r="F1837" s="206"/>
      <c r="G1837" s="206"/>
      <c r="H1837" s="206"/>
      <c r="I1837" s="206"/>
      <c r="J1837" s="206"/>
      <c r="K1837" s="206"/>
      <c r="L1837" s="206"/>
      <c r="M1837" s="207"/>
      <c r="N1837" s="206"/>
      <c r="O1837" s="206"/>
      <c r="P1837" s="206"/>
    </row>
    <row r="1838" spans="1:16" s="187" customFormat="1" ht="18" customHeight="1">
      <c r="A1838" s="187" t="str">
        <f t="shared" si="28"/>
        <v>V20062A</v>
      </c>
      <c r="B1838" s="208" t="s">
        <v>3564</v>
      </c>
      <c r="C1838" s="208"/>
      <c r="D1838" s="208" t="s">
        <v>3563</v>
      </c>
      <c r="E1838" s="208" t="s">
        <v>29</v>
      </c>
      <c r="F1838" s="208" t="s">
        <v>3565</v>
      </c>
      <c r="G1838" s="208"/>
      <c r="H1838" s="208"/>
      <c r="I1838" s="208" t="s">
        <v>3566</v>
      </c>
      <c r="J1838" s="208" t="s">
        <v>3567</v>
      </c>
      <c r="K1838" s="208" t="s">
        <v>3568</v>
      </c>
      <c r="L1838" s="208"/>
      <c r="M1838" s="209"/>
      <c r="N1838" s="208"/>
      <c r="O1838" s="208" t="s">
        <v>40</v>
      </c>
      <c r="P1838" s="208" t="s">
        <v>34</v>
      </c>
    </row>
    <row r="1839" spans="1:16" s="187" customFormat="1" ht="18" customHeight="1">
      <c r="A1839" s="187" t="str">
        <f t="shared" si="28"/>
        <v>V20062B</v>
      </c>
      <c r="B1839" s="206" t="s">
        <v>3564</v>
      </c>
      <c r="C1839" s="206"/>
      <c r="D1839" s="206" t="s">
        <v>3569</v>
      </c>
      <c r="E1839" s="206" t="s">
        <v>29</v>
      </c>
      <c r="F1839" s="206" t="s">
        <v>3565</v>
      </c>
      <c r="G1839" s="206"/>
      <c r="H1839" s="206"/>
      <c r="I1839" s="206" t="s">
        <v>3566</v>
      </c>
      <c r="J1839" s="206" t="s">
        <v>3567</v>
      </c>
      <c r="K1839" s="206" t="s">
        <v>3568</v>
      </c>
      <c r="L1839" s="206"/>
      <c r="M1839" s="207"/>
      <c r="N1839" s="206"/>
      <c r="O1839" s="206" t="s">
        <v>40</v>
      </c>
      <c r="P1839" s="206" t="s">
        <v>34</v>
      </c>
    </row>
    <row r="1840" spans="1:16" s="187" customFormat="1" ht="18" customHeight="1">
      <c r="A1840" s="187" t="str">
        <f t="shared" si="28"/>
        <v>V20062C</v>
      </c>
      <c r="B1840" s="208" t="s">
        <v>3564</v>
      </c>
      <c r="C1840" s="208"/>
      <c r="D1840" s="208" t="s">
        <v>3570</v>
      </c>
      <c r="E1840" s="208" t="s">
        <v>29</v>
      </c>
      <c r="F1840" s="208" t="s">
        <v>3565</v>
      </c>
      <c r="G1840" s="208"/>
      <c r="H1840" s="208"/>
      <c r="I1840" s="208" t="s">
        <v>3566</v>
      </c>
      <c r="J1840" s="208" t="s">
        <v>3567</v>
      </c>
      <c r="K1840" s="208" t="s">
        <v>3568</v>
      </c>
      <c r="L1840" s="208"/>
      <c r="M1840" s="209"/>
      <c r="N1840" s="208"/>
      <c r="O1840" s="208" t="s">
        <v>40</v>
      </c>
      <c r="P1840" s="208" t="s">
        <v>34</v>
      </c>
    </row>
    <row r="1841" spans="1:16" s="187" customFormat="1" ht="18" customHeight="1">
      <c r="A1841" s="187" t="str">
        <f t="shared" si="28"/>
        <v>050001</v>
      </c>
      <c r="B1841" s="206" t="s">
        <v>3430</v>
      </c>
      <c r="C1841" s="206"/>
      <c r="D1841" s="206" t="s">
        <v>4656</v>
      </c>
      <c r="E1841" s="206" t="s">
        <v>29</v>
      </c>
      <c r="F1841" s="206"/>
      <c r="G1841" s="206"/>
      <c r="H1841" s="206"/>
      <c r="I1841" s="206"/>
      <c r="J1841" s="206"/>
      <c r="K1841" s="206"/>
      <c r="L1841" s="206"/>
      <c r="M1841" s="207"/>
      <c r="N1841" s="206"/>
      <c r="O1841" s="206"/>
      <c r="P1841" s="206"/>
    </row>
    <row r="1842" spans="1:16" s="187" customFormat="1" ht="18" customHeight="1">
      <c r="A1842" s="187" t="str">
        <f t="shared" si="28"/>
        <v>004701</v>
      </c>
      <c r="B1842" s="208" t="s">
        <v>4658</v>
      </c>
      <c r="C1842" s="208"/>
      <c r="D1842" s="208" t="s">
        <v>4657</v>
      </c>
      <c r="E1842" s="208" t="s">
        <v>29</v>
      </c>
      <c r="F1842" s="208"/>
      <c r="G1842" s="208"/>
      <c r="H1842" s="208"/>
      <c r="I1842" s="208"/>
      <c r="J1842" s="208"/>
      <c r="K1842" s="208"/>
      <c r="L1842" s="208"/>
      <c r="M1842" s="209"/>
      <c r="N1842" s="208"/>
      <c r="O1842" s="208"/>
      <c r="P1842" s="208"/>
    </row>
    <row r="1843" spans="1:16" s="187" customFormat="1" ht="18" customHeight="1">
      <c r="A1843" s="187" t="str">
        <f t="shared" si="28"/>
        <v>004702</v>
      </c>
      <c r="B1843" s="206" t="s">
        <v>4658</v>
      </c>
      <c r="C1843" s="206"/>
      <c r="D1843" s="206" t="s">
        <v>4659</v>
      </c>
      <c r="E1843" s="206" t="s">
        <v>29</v>
      </c>
      <c r="F1843" s="206"/>
      <c r="G1843" s="206"/>
      <c r="H1843" s="206"/>
      <c r="I1843" s="206"/>
      <c r="J1843" s="206"/>
      <c r="K1843" s="206"/>
      <c r="L1843" s="206"/>
      <c r="M1843" s="207"/>
      <c r="N1843" s="206"/>
      <c r="O1843" s="206"/>
      <c r="P1843" s="206"/>
    </row>
    <row r="1844" spans="1:16" s="187" customFormat="1" ht="18" customHeight="1">
      <c r="A1844" s="187" t="str">
        <f t="shared" si="28"/>
        <v>004703</v>
      </c>
      <c r="B1844" s="208" t="s">
        <v>4661</v>
      </c>
      <c r="C1844" s="208"/>
      <c r="D1844" s="208" t="s">
        <v>4660</v>
      </c>
      <c r="E1844" s="208" t="s">
        <v>29</v>
      </c>
      <c r="F1844" s="208"/>
      <c r="G1844" s="208"/>
      <c r="H1844" s="208"/>
      <c r="I1844" s="208"/>
      <c r="J1844" s="208"/>
      <c r="K1844" s="208"/>
      <c r="L1844" s="208"/>
      <c r="M1844" s="209"/>
      <c r="N1844" s="208"/>
      <c r="O1844" s="208"/>
      <c r="P1844" s="208"/>
    </row>
    <row r="1845" spans="1:16" s="187" customFormat="1" ht="18" customHeight="1">
      <c r="A1845" s="187" t="str">
        <f t="shared" si="28"/>
        <v>004704</v>
      </c>
      <c r="B1845" s="206" t="s">
        <v>4663</v>
      </c>
      <c r="C1845" s="206"/>
      <c r="D1845" s="206" t="s">
        <v>4662</v>
      </c>
      <c r="E1845" s="206" t="s">
        <v>29</v>
      </c>
      <c r="F1845" s="206"/>
      <c r="G1845" s="206"/>
      <c r="H1845" s="206"/>
      <c r="I1845" s="206"/>
      <c r="J1845" s="206"/>
      <c r="K1845" s="206"/>
      <c r="L1845" s="206"/>
      <c r="M1845" s="207"/>
      <c r="N1845" s="206"/>
      <c r="O1845" s="206"/>
      <c r="P1845" s="206"/>
    </row>
    <row r="1846" spans="1:16" s="187" customFormat="1" ht="18" customHeight="1">
      <c r="A1846" s="187" t="str">
        <f t="shared" si="28"/>
        <v>004801</v>
      </c>
      <c r="B1846" s="208" t="s">
        <v>4665</v>
      </c>
      <c r="C1846" s="208"/>
      <c r="D1846" s="208" t="s">
        <v>4664</v>
      </c>
      <c r="E1846" s="208" t="s">
        <v>29</v>
      </c>
      <c r="F1846" s="208"/>
      <c r="G1846" s="208"/>
      <c r="H1846" s="208"/>
      <c r="I1846" s="208"/>
      <c r="J1846" s="208"/>
      <c r="K1846" s="208"/>
      <c r="L1846" s="208"/>
      <c r="M1846" s="209"/>
      <c r="N1846" s="208"/>
      <c r="O1846" s="208"/>
      <c r="P1846" s="208"/>
    </row>
    <row r="1847" spans="1:16" s="187" customFormat="1" ht="18" customHeight="1">
      <c r="A1847" s="187" t="str">
        <f t="shared" si="28"/>
        <v>004802</v>
      </c>
      <c r="B1847" s="206" t="s">
        <v>4665</v>
      </c>
      <c r="C1847" s="206"/>
      <c r="D1847" s="206" t="s">
        <v>4666</v>
      </c>
      <c r="E1847" s="206" t="s">
        <v>29</v>
      </c>
      <c r="F1847" s="206"/>
      <c r="G1847" s="206"/>
      <c r="H1847" s="206"/>
      <c r="I1847" s="206"/>
      <c r="J1847" s="206"/>
      <c r="K1847" s="206"/>
      <c r="L1847" s="206"/>
      <c r="M1847" s="207"/>
      <c r="N1847" s="206"/>
      <c r="O1847" s="206"/>
      <c r="P1847" s="206"/>
    </row>
    <row r="1848" spans="1:16" s="187" customFormat="1" ht="18" customHeight="1">
      <c r="A1848" s="187" t="str">
        <f t="shared" si="28"/>
        <v>004803</v>
      </c>
      <c r="B1848" s="208" t="s">
        <v>4665</v>
      </c>
      <c r="C1848" s="208"/>
      <c r="D1848" s="208" t="s">
        <v>4667</v>
      </c>
      <c r="E1848" s="208" t="s">
        <v>29</v>
      </c>
      <c r="F1848" s="208"/>
      <c r="G1848" s="208"/>
      <c r="H1848" s="208"/>
      <c r="I1848" s="208"/>
      <c r="J1848" s="208"/>
      <c r="K1848" s="208"/>
      <c r="L1848" s="208"/>
      <c r="M1848" s="209"/>
      <c r="N1848" s="208"/>
      <c r="O1848" s="208"/>
      <c r="P1848" s="208"/>
    </row>
    <row r="1849" spans="1:16" s="187" customFormat="1" ht="18" customHeight="1">
      <c r="A1849" s="187" t="str">
        <f t="shared" si="28"/>
        <v>004804</v>
      </c>
      <c r="B1849" s="206" t="s">
        <v>4665</v>
      </c>
      <c r="C1849" s="206"/>
      <c r="D1849" s="206" t="s">
        <v>4668</v>
      </c>
      <c r="E1849" s="206" t="s">
        <v>29</v>
      </c>
      <c r="F1849" s="206"/>
      <c r="G1849" s="206"/>
      <c r="H1849" s="206"/>
      <c r="I1849" s="206"/>
      <c r="J1849" s="206"/>
      <c r="K1849" s="206"/>
      <c r="L1849" s="206"/>
      <c r="M1849" s="207"/>
      <c r="N1849" s="206"/>
      <c r="O1849" s="206"/>
      <c r="P1849" s="206"/>
    </row>
    <row r="1850" spans="1:16" s="187" customFormat="1" ht="18" customHeight="1">
      <c r="A1850" s="187" t="str">
        <f t="shared" si="28"/>
        <v>004805</v>
      </c>
      <c r="B1850" s="208" t="s">
        <v>4665</v>
      </c>
      <c r="C1850" s="208"/>
      <c r="D1850" s="208" t="s">
        <v>4669</v>
      </c>
      <c r="E1850" s="208" t="s">
        <v>29</v>
      </c>
      <c r="F1850" s="208"/>
      <c r="G1850" s="208"/>
      <c r="H1850" s="208"/>
      <c r="I1850" s="208"/>
      <c r="J1850" s="208"/>
      <c r="K1850" s="208"/>
      <c r="L1850" s="208"/>
      <c r="M1850" s="209"/>
      <c r="N1850" s="208"/>
      <c r="O1850" s="208"/>
      <c r="P1850" s="208"/>
    </row>
    <row r="1851" spans="1:16" s="187" customFormat="1" ht="18" customHeight="1">
      <c r="A1851" s="187" t="str">
        <f t="shared" si="28"/>
        <v>004806</v>
      </c>
      <c r="B1851" s="206" t="s">
        <v>4665</v>
      </c>
      <c r="C1851" s="206"/>
      <c r="D1851" s="206" t="s">
        <v>4670</v>
      </c>
      <c r="E1851" s="206" t="s">
        <v>29</v>
      </c>
      <c r="F1851" s="206"/>
      <c r="G1851" s="206"/>
      <c r="H1851" s="206"/>
      <c r="I1851" s="206"/>
      <c r="J1851" s="206"/>
      <c r="K1851" s="206"/>
      <c r="L1851" s="206"/>
      <c r="M1851" s="207"/>
      <c r="N1851" s="206"/>
      <c r="O1851" s="206"/>
      <c r="P1851" s="206"/>
    </row>
    <row r="1852" spans="1:16" s="187" customFormat="1" ht="18" customHeight="1">
      <c r="A1852" s="187" t="str">
        <f t="shared" si="28"/>
        <v>004807</v>
      </c>
      <c r="B1852" s="208" t="s">
        <v>4665</v>
      </c>
      <c r="C1852" s="208"/>
      <c r="D1852" s="208" t="s">
        <v>4671</v>
      </c>
      <c r="E1852" s="208" t="s">
        <v>29</v>
      </c>
      <c r="F1852" s="208"/>
      <c r="G1852" s="208"/>
      <c r="H1852" s="208"/>
      <c r="I1852" s="208"/>
      <c r="J1852" s="208"/>
      <c r="K1852" s="208"/>
      <c r="L1852" s="208"/>
      <c r="M1852" s="209"/>
      <c r="N1852" s="208"/>
      <c r="O1852" s="208"/>
      <c r="P1852" s="208"/>
    </row>
    <row r="1853" spans="1:16" s="187" customFormat="1" ht="18" customHeight="1">
      <c r="A1853" s="187" t="str">
        <f t="shared" si="28"/>
        <v>004808</v>
      </c>
      <c r="B1853" s="206" t="s">
        <v>4665</v>
      </c>
      <c r="C1853" s="206"/>
      <c r="D1853" s="206" t="s">
        <v>4673</v>
      </c>
      <c r="E1853" s="206" t="s">
        <v>29</v>
      </c>
      <c r="F1853" s="206"/>
      <c r="G1853" s="206"/>
      <c r="H1853" s="206"/>
      <c r="I1853" s="206"/>
      <c r="J1853" s="206"/>
      <c r="K1853" s="206"/>
      <c r="L1853" s="206"/>
      <c r="M1853" s="207"/>
      <c r="N1853" s="206"/>
      <c r="O1853" s="206"/>
      <c r="P1853" s="206"/>
    </row>
    <row r="1854" spans="1:16" s="187" customFormat="1" ht="18" customHeight="1">
      <c r="A1854" s="187" t="str">
        <f t="shared" si="28"/>
        <v>004809</v>
      </c>
      <c r="B1854" s="208" t="s">
        <v>4665</v>
      </c>
      <c r="C1854" s="208"/>
      <c r="D1854" s="208" t="s">
        <v>4674</v>
      </c>
      <c r="E1854" s="208" t="s">
        <v>29</v>
      </c>
      <c r="F1854" s="208"/>
      <c r="G1854" s="208"/>
      <c r="H1854" s="208"/>
      <c r="I1854" s="208"/>
      <c r="J1854" s="208"/>
      <c r="K1854" s="208"/>
      <c r="L1854" s="208"/>
      <c r="M1854" s="209"/>
      <c r="N1854" s="208"/>
      <c r="O1854" s="208"/>
      <c r="P1854" s="208"/>
    </row>
    <row r="1855" spans="1:16" s="187" customFormat="1" ht="18" customHeight="1">
      <c r="A1855" s="187" t="str">
        <f t="shared" si="28"/>
        <v>004810</v>
      </c>
      <c r="B1855" s="206" t="s">
        <v>4665</v>
      </c>
      <c r="C1855" s="206"/>
      <c r="D1855" s="206" t="s">
        <v>4675</v>
      </c>
      <c r="E1855" s="206" t="s">
        <v>29</v>
      </c>
      <c r="F1855" s="206"/>
      <c r="G1855" s="206"/>
      <c r="H1855" s="206"/>
      <c r="I1855" s="206"/>
      <c r="J1855" s="206"/>
      <c r="K1855" s="206"/>
      <c r="L1855" s="206"/>
      <c r="M1855" s="207"/>
      <c r="N1855" s="206"/>
      <c r="O1855" s="206"/>
      <c r="P1855" s="206"/>
    </row>
    <row r="1856" spans="1:16" s="187" customFormat="1" ht="18" customHeight="1">
      <c r="A1856" s="187" t="str">
        <f t="shared" si="28"/>
        <v>004811</v>
      </c>
      <c r="B1856" s="208" t="s">
        <v>4665</v>
      </c>
      <c r="C1856" s="208"/>
      <c r="D1856" s="208" t="s">
        <v>4676</v>
      </c>
      <c r="E1856" s="208" t="s">
        <v>29</v>
      </c>
      <c r="F1856" s="208"/>
      <c r="G1856" s="208"/>
      <c r="H1856" s="208"/>
      <c r="I1856" s="208"/>
      <c r="J1856" s="208"/>
      <c r="K1856" s="208"/>
      <c r="L1856" s="208"/>
      <c r="M1856" s="209"/>
      <c r="N1856" s="208"/>
      <c r="O1856" s="208"/>
      <c r="P1856" s="208"/>
    </row>
    <row r="1857" spans="1:16" s="187" customFormat="1" ht="18" customHeight="1">
      <c r="A1857" s="187" t="str">
        <f t="shared" si="28"/>
        <v>004812</v>
      </c>
      <c r="B1857" s="206" t="s">
        <v>4665</v>
      </c>
      <c r="C1857" s="206"/>
      <c r="D1857" s="206" t="s">
        <v>4677</v>
      </c>
      <c r="E1857" s="206" t="s">
        <v>29</v>
      </c>
      <c r="F1857" s="206"/>
      <c r="G1857" s="206"/>
      <c r="H1857" s="206"/>
      <c r="I1857" s="206"/>
      <c r="J1857" s="206"/>
      <c r="K1857" s="206"/>
      <c r="L1857" s="206"/>
      <c r="M1857" s="207"/>
      <c r="N1857" s="206"/>
      <c r="O1857" s="206"/>
      <c r="P1857" s="206"/>
    </row>
    <row r="1858" spans="1:16" s="187" customFormat="1" ht="18" customHeight="1">
      <c r="A1858" s="187" t="str">
        <f t="shared" si="28"/>
        <v>004813</v>
      </c>
      <c r="B1858" s="208" t="s">
        <v>4665</v>
      </c>
      <c r="C1858" s="208"/>
      <c r="D1858" s="208" t="s">
        <v>4678</v>
      </c>
      <c r="E1858" s="208" t="s">
        <v>29</v>
      </c>
      <c r="F1858" s="208"/>
      <c r="G1858" s="208"/>
      <c r="H1858" s="208"/>
      <c r="I1858" s="208"/>
      <c r="J1858" s="208"/>
      <c r="K1858" s="208"/>
      <c r="L1858" s="208"/>
      <c r="M1858" s="209"/>
      <c r="N1858" s="208"/>
      <c r="O1858" s="208"/>
      <c r="P1858" s="208"/>
    </row>
    <row r="1859" spans="1:16" s="187" customFormat="1" ht="18" customHeight="1">
      <c r="A1859" s="187" t="str">
        <f t="shared" si="28"/>
        <v>004814</v>
      </c>
      <c r="B1859" s="206" t="s">
        <v>4665</v>
      </c>
      <c r="C1859" s="206"/>
      <c r="D1859" s="206" t="s">
        <v>4679</v>
      </c>
      <c r="E1859" s="206" t="s">
        <v>29</v>
      </c>
      <c r="F1859" s="206"/>
      <c r="G1859" s="206"/>
      <c r="H1859" s="206"/>
      <c r="I1859" s="206"/>
      <c r="J1859" s="206"/>
      <c r="K1859" s="206"/>
      <c r="L1859" s="206"/>
      <c r="M1859" s="207"/>
      <c r="N1859" s="206"/>
      <c r="O1859" s="206"/>
      <c r="P1859" s="206"/>
    </row>
    <row r="1860" spans="1:16" s="187" customFormat="1" ht="18" customHeight="1">
      <c r="A1860" s="187" t="str">
        <f t="shared" si="28"/>
        <v>004815</v>
      </c>
      <c r="B1860" s="208" t="s">
        <v>4665</v>
      </c>
      <c r="C1860" s="208"/>
      <c r="D1860" s="208" t="s">
        <v>4680</v>
      </c>
      <c r="E1860" s="208" t="s">
        <v>29</v>
      </c>
      <c r="F1860" s="208"/>
      <c r="G1860" s="208"/>
      <c r="H1860" s="208"/>
      <c r="I1860" s="208"/>
      <c r="J1860" s="208"/>
      <c r="K1860" s="208"/>
      <c r="L1860" s="208"/>
      <c r="M1860" s="209"/>
      <c r="N1860" s="208"/>
      <c r="O1860" s="208"/>
      <c r="P1860" s="208"/>
    </row>
    <row r="1861" spans="1:16" s="187" customFormat="1" ht="18" customHeight="1">
      <c r="A1861" s="187" t="str">
        <f t="shared" si="28"/>
        <v>004816</v>
      </c>
      <c r="B1861" s="206" t="s">
        <v>4665</v>
      </c>
      <c r="C1861" s="206"/>
      <c r="D1861" s="206" t="s">
        <v>4681</v>
      </c>
      <c r="E1861" s="206" t="s">
        <v>29</v>
      </c>
      <c r="F1861" s="206"/>
      <c r="G1861" s="206"/>
      <c r="H1861" s="206"/>
      <c r="I1861" s="206"/>
      <c r="J1861" s="206"/>
      <c r="K1861" s="206"/>
      <c r="L1861" s="206"/>
      <c r="M1861" s="207"/>
      <c r="N1861" s="206"/>
      <c r="O1861" s="206"/>
      <c r="P1861" s="206"/>
    </row>
    <row r="1862" spans="1:16" s="187" customFormat="1" ht="18" customHeight="1">
      <c r="A1862" s="187" t="str">
        <f t="shared" ref="A1862:A1925" si="29">D1862</f>
        <v>004817</v>
      </c>
      <c r="B1862" s="208" t="s">
        <v>4665</v>
      </c>
      <c r="C1862" s="208"/>
      <c r="D1862" s="208" t="s">
        <v>4682</v>
      </c>
      <c r="E1862" s="208" t="s">
        <v>29</v>
      </c>
      <c r="F1862" s="208"/>
      <c r="G1862" s="208"/>
      <c r="H1862" s="208"/>
      <c r="I1862" s="208"/>
      <c r="J1862" s="208"/>
      <c r="K1862" s="208"/>
      <c r="L1862" s="208"/>
      <c r="M1862" s="209"/>
      <c r="N1862" s="208"/>
      <c r="O1862" s="208"/>
      <c r="P1862" s="208"/>
    </row>
    <row r="1863" spans="1:16" s="187" customFormat="1" ht="18" customHeight="1">
      <c r="A1863" s="187" t="str">
        <f t="shared" si="29"/>
        <v>004818</v>
      </c>
      <c r="B1863" s="206" t="s">
        <v>4665</v>
      </c>
      <c r="C1863" s="206"/>
      <c r="D1863" s="206" t="s">
        <v>4683</v>
      </c>
      <c r="E1863" s="206" t="s">
        <v>29</v>
      </c>
      <c r="F1863" s="206"/>
      <c r="G1863" s="206"/>
      <c r="H1863" s="206"/>
      <c r="I1863" s="206"/>
      <c r="J1863" s="206"/>
      <c r="K1863" s="206"/>
      <c r="L1863" s="206"/>
      <c r="M1863" s="207"/>
      <c r="N1863" s="206"/>
      <c r="O1863" s="206"/>
      <c r="P1863" s="206"/>
    </row>
    <row r="1864" spans="1:16" s="187" customFormat="1" ht="18" customHeight="1">
      <c r="A1864" s="187" t="str">
        <f t="shared" si="29"/>
        <v>070001</v>
      </c>
      <c r="B1864" s="208" t="s">
        <v>3854</v>
      </c>
      <c r="C1864" s="208"/>
      <c r="D1864" s="208" t="s">
        <v>4672</v>
      </c>
      <c r="E1864" s="208" t="s">
        <v>29</v>
      </c>
      <c r="F1864" s="208"/>
      <c r="G1864" s="208"/>
      <c r="H1864" s="208"/>
      <c r="I1864" s="208"/>
      <c r="J1864" s="208"/>
      <c r="K1864" s="208"/>
      <c r="L1864" s="208"/>
      <c r="M1864" s="209"/>
      <c r="N1864" s="208"/>
      <c r="O1864" s="208"/>
      <c r="P1864" s="208"/>
    </row>
    <row r="1865" spans="1:16" s="187" customFormat="1" ht="18" customHeight="1">
      <c r="A1865" s="187" t="str">
        <f t="shared" si="29"/>
        <v>V20094A</v>
      </c>
      <c r="B1865" s="206" t="s">
        <v>3572</v>
      </c>
      <c r="C1865" s="206"/>
      <c r="D1865" s="206" t="s">
        <v>3571</v>
      </c>
      <c r="E1865" s="206" t="s">
        <v>29</v>
      </c>
      <c r="F1865" s="206" t="s">
        <v>3573</v>
      </c>
      <c r="G1865" s="206"/>
      <c r="H1865" s="206"/>
      <c r="I1865" s="206" t="s">
        <v>3574</v>
      </c>
      <c r="J1865" s="206" t="s">
        <v>3575</v>
      </c>
      <c r="K1865" s="206" t="s">
        <v>3576</v>
      </c>
      <c r="L1865" s="206"/>
      <c r="M1865" s="207"/>
      <c r="N1865" s="206"/>
      <c r="O1865" s="206" t="s">
        <v>40</v>
      </c>
      <c r="P1865" s="206" t="s">
        <v>34</v>
      </c>
    </row>
    <row r="1866" spans="1:16" s="187" customFormat="1" ht="18" customHeight="1">
      <c r="A1866" s="187" t="str">
        <f t="shared" si="29"/>
        <v>V20094B</v>
      </c>
      <c r="B1866" s="208" t="s">
        <v>3572</v>
      </c>
      <c r="C1866" s="208"/>
      <c r="D1866" s="208" t="s">
        <v>3577</v>
      </c>
      <c r="E1866" s="208" t="s">
        <v>29</v>
      </c>
      <c r="F1866" s="208" t="s">
        <v>3573</v>
      </c>
      <c r="G1866" s="208"/>
      <c r="H1866" s="208"/>
      <c r="I1866" s="208" t="s">
        <v>3574</v>
      </c>
      <c r="J1866" s="208" t="s">
        <v>3575</v>
      </c>
      <c r="K1866" s="208" t="s">
        <v>3576</v>
      </c>
      <c r="L1866" s="208"/>
      <c r="M1866" s="209"/>
      <c r="N1866" s="208"/>
      <c r="O1866" s="208" t="s">
        <v>40</v>
      </c>
      <c r="P1866" s="208" t="s">
        <v>34</v>
      </c>
    </row>
    <row r="1867" spans="1:16" s="187" customFormat="1" ht="18" customHeight="1">
      <c r="A1867" s="187" t="str">
        <f t="shared" si="29"/>
        <v>V20094C</v>
      </c>
      <c r="B1867" s="206" t="s">
        <v>3572</v>
      </c>
      <c r="C1867" s="206"/>
      <c r="D1867" s="206" t="s">
        <v>3578</v>
      </c>
      <c r="E1867" s="206" t="s">
        <v>29</v>
      </c>
      <c r="F1867" s="206" t="s">
        <v>3573</v>
      </c>
      <c r="G1867" s="206"/>
      <c r="H1867" s="206"/>
      <c r="I1867" s="206" t="s">
        <v>3574</v>
      </c>
      <c r="J1867" s="206" t="s">
        <v>3575</v>
      </c>
      <c r="K1867" s="206" t="s">
        <v>3576</v>
      </c>
      <c r="L1867" s="206"/>
      <c r="M1867" s="207"/>
      <c r="N1867" s="206"/>
      <c r="O1867" s="206" t="s">
        <v>40</v>
      </c>
      <c r="P1867" s="206" t="s">
        <v>34</v>
      </c>
    </row>
    <row r="1868" spans="1:16" s="187" customFormat="1" ht="18" customHeight="1">
      <c r="A1868" s="187" t="str">
        <f t="shared" si="29"/>
        <v>V20022A</v>
      </c>
      <c r="B1868" s="208" t="s">
        <v>3580</v>
      </c>
      <c r="C1868" s="208"/>
      <c r="D1868" s="208" t="s">
        <v>3579</v>
      </c>
      <c r="E1868" s="208" t="s">
        <v>29</v>
      </c>
      <c r="F1868" s="208" t="s">
        <v>3581</v>
      </c>
      <c r="G1868" s="208"/>
      <c r="H1868" s="208"/>
      <c r="I1868" s="208" t="s">
        <v>3582</v>
      </c>
      <c r="J1868" s="208" t="s">
        <v>3583</v>
      </c>
      <c r="K1868" s="208" t="s">
        <v>3584</v>
      </c>
      <c r="L1868" s="208"/>
      <c r="M1868" s="209"/>
      <c r="N1868" s="208"/>
      <c r="O1868" s="208" t="s">
        <v>40</v>
      </c>
      <c r="P1868" s="208" t="s">
        <v>34</v>
      </c>
    </row>
    <row r="1869" spans="1:16" s="187" customFormat="1" ht="18" customHeight="1">
      <c r="A1869" s="187" t="str">
        <f t="shared" si="29"/>
        <v>V20022B</v>
      </c>
      <c r="B1869" s="206" t="s">
        <v>3580</v>
      </c>
      <c r="C1869" s="206"/>
      <c r="D1869" s="206" t="s">
        <v>3585</v>
      </c>
      <c r="E1869" s="206" t="s">
        <v>29</v>
      </c>
      <c r="F1869" s="206" t="s">
        <v>3581</v>
      </c>
      <c r="G1869" s="206"/>
      <c r="H1869" s="206"/>
      <c r="I1869" s="206" t="s">
        <v>3582</v>
      </c>
      <c r="J1869" s="206" t="s">
        <v>3583</v>
      </c>
      <c r="K1869" s="206" t="s">
        <v>3584</v>
      </c>
      <c r="L1869" s="206"/>
      <c r="M1869" s="207"/>
      <c r="N1869" s="206"/>
      <c r="O1869" s="206" t="s">
        <v>40</v>
      </c>
      <c r="P1869" s="206" t="s">
        <v>34</v>
      </c>
    </row>
    <row r="1870" spans="1:16" s="187" customFormat="1" ht="18" customHeight="1">
      <c r="A1870" s="187" t="str">
        <f t="shared" si="29"/>
        <v>V20022C</v>
      </c>
      <c r="B1870" s="208" t="s">
        <v>3580</v>
      </c>
      <c r="C1870" s="208"/>
      <c r="D1870" s="208" t="s">
        <v>3586</v>
      </c>
      <c r="E1870" s="208" t="s">
        <v>29</v>
      </c>
      <c r="F1870" s="208" t="s">
        <v>3581</v>
      </c>
      <c r="G1870" s="208"/>
      <c r="H1870" s="208"/>
      <c r="I1870" s="208" t="s">
        <v>3582</v>
      </c>
      <c r="J1870" s="208" t="s">
        <v>3583</v>
      </c>
      <c r="K1870" s="208" t="s">
        <v>3584</v>
      </c>
      <c r="L1870" s="208"/>
      <c r="M1870" s="209"/>
      <c r="N1870" s="208"/>
      <c r="O1870" s="208" t="s">
        <v>40</v>
      </c>
      <c r="P1870" s="208" t="s">
        <v>34</v>
      </c>
    </row>
    <row r="1871" spans="1:16" s="187" customFormat="1" ht="18" customHeight="1">
      <c r="A1871" s="187" t="str">
        <f t="shared" si="29"/>
        <v>V20041A</v>
      </c>
      <c r="B1871" s="206" t="s">
        <v>3588</v>
      </c>
      <c r="C1871" s="206"/>
      <c r="D1871" s="206" t="s">
        <v>3587</v>
      </c>
      <c r="E1871" s="206" t="s">
        <v>29</v>
      </c>
      <c r="F1871" s="206" t="s">
        <v>3589</v>
      </c>
      <c r="G1871" s="206"/>
      <c r="H1871" s="206"/>
      <c r="I1871" s="206" t="s">
        <v>3590</v>
      </c>
      <c r="J1871" s="206" t="s">
        <v>5038</v>
      </c>
      <c r="K1871" s="206" t="s">
        <v>5035</v>
      </c>
      <c r="L1871" s="206"/>
      <c r="M1871" s="207"/>
      <c r="N1871" s="206"/>
      <c r="O1871" s="206" t="s">
        <v>40</v>
      </c>
      <c r="P1871" s="206" t="s">
        <v>34</v>
      </c>
    </row>
    <row r="1872" spans="1:16" s="187" customFormat="1" ht="18" customHeight="1">
      <c r="A1872" s="187" t="str">
        <f t="shared" si="29"/>
        <v>V20041B</v>
      </c>
      <c r="B1872" s="208" t="s">
        <v>3588</v>
      </c>
      <c r="C1872" s="208"/>
      <c r="D1872" s="208" t="s">
        <v>3591</v>
      </c>
      <c r="E1872" s="208" t="s">
        <v>29</v>
      </c>
      <c r="F1872" s="208" t="s">
        <v>3589</v>
      </c>
      <c r="G1872" s="208"/>
      <c r="H1872" s="208"/>
      <c r="I1872" s="208" t="s">
        <v>3590</v>
      </c>
      <c r="J1872" s="208" t="s">
        <v>5037</v>
      </c>
      <c r="K1872" s="208" t="s">
        <v>5035</v>
      </c>
      <c r="L1872" s="208"/>
      <c r="M1872" s="209"/>
      <c r="N1872" s="208"/>
      <c r="O1872" s="208" t="s">
        <v>40</v>
      </c>
      <c r="P1872" s="208" t="s">
        <v>34</v>
      </c>
    </row>
    <row r="1873" spans="1:16" s="187" customFormat="1" ht="18" customHeight="1">
      <c r="A1873" s="187" t="str">
        <f t="shared" si="29"/>
        <v>V20041C</v>
      </c>
      <c r="B1873" s="206" t="s">
        <v>3588</v>
      </c>
      <c r="C1873" s="206"/>
      <c r="D1873" s="206" t="s">
        <v>3592</v>
      </c>
      <c r="E1873" s="206" t="s">
        <v>29</v>
      </c>
      <c r="F1873" s="206" t="s">
        <v>3589</v>
      </c>
      <c r="G1873" s="206"/>
      <c r="H1873" s="206"/>
      <c r="I1873" s="206" t="s">
        <v>3590</v>
      </c>
      <c r="J1873" s="206" t="s">
        <v>5036</v>
      </c>
      <c r="K1873" s="206" t="s">
        <v>5035</v>
      </c>
      <c r="L1873" s="206"/>
      <c r="M1873" s="207"/>
      <c r="N1873" s="206"/>
      <c r="O1873" s="206" t="s">
        <v>40</v>
      </c>
      <c r="P1873" s="206" t="s">
        <v>34</v>
      </c>
    </row>
    <row r="1874" spans="1:16" s="187" customFormat="1" ht="18" customHeight="1">
      <c r="A1874" s="187" t="str">
        <f t="shared" si="29"/>
        <v>004901</v>
      </c>
      <c r="B1874" s="208" t="s">
        <v>4685</v>
      </c>
      <c r="C1874" s="208"/>
      <c r="D1874" s="208" t="s">
        <v>4684</v>
      </c>
      <c r="E1874" s="208" t="s">
        <v>29</v>
      </c>
      <c r="F1874" s="208"/>
      <c r="G1874" s="208"/>
      <c r="H1874" s="208"/>
      <c r="I1874" s="208"/>
      <c r="J1874" s="208"/>
      <c r="K1874" s="208"/>
      <c r="L1874" s="208"/>
      <c r="M1874" s="209"/>
      <c r="N1874" s="208"/>
      <c r="O1874" s="208"/>
      <c r="P1874" s="208"/>
    </row>
    <row r="1875" spans="1:16" s="187" customFormat="1" ht="18" customHeight="1">
      <c r="A1875" s="187" t="str">
        <f t="shared" si="29"/>
        <v>CG440020C0</v>
      </c>
      <c r="B1875" s="206" t="s">
        <v>3594</v>
      </c>
      <c r="C1875" s="206"/>
      <c r="D1875" s="206" t="s">
        <v>3593</v>
      </c>
      <c r="E1875" s="206" t="s">
        <v>29</v>
      </c>
      <c r="F1875" s="206" t="s">
        <v>3595</v>
      </c>
      <c r="G1875" s="206"/>
      <c r="H1875" s="206"/>
      <c r="I1875" s="206"/>
      <c r="J1875" s="206"/>
      <c r="K1875" s="206"/>
      <c r="L1875" s="206"/>
      <c r="M1875" s="207"/>
      <c r="N1875" s="206"/>
      <c r="O1875" s="206"/>
      <c r="P1875" s="206" t="s">
        <v>100</v>
      </c>
    </row>
    <row r="1876" spans="1:16" s="187" customFormat="1" ht="18" customHeight="1">
      <c r="A1876" s="187" t="str">
        <f t="shared" si="29"/>
        <v>V10170A</v>
      </c>
      <c r="B1876" s="208" t="s">
        <v>3594</v>
      </c>
      <c r="C1876" s="208"/>
      <c r="D1876" s="208" t="s">
        <v>3596</v>
      </c>
      <c r="E1876" s="208" t="s">
        <v>29</v>
      </c>
      <c r="F1876" s="208" t="s">
        <v>3597</v>
      </c>
      <c r="G1876" s="208" t="s">
        <v>3598</v>
      </c>
      <c r="H1876" s="208"/>
      <c r="I1876" s="208"/>
      <c r="J1876" s="208" t="s">
        <v>376</v>
      </c>
      <c r="K1876" s="208" t="s">
        <v>3599</v>
      </c>
      <c r="L1876" s="208"/>
      <c r="M1876" s="209"/>
      <c r="N1876" s="208"/>
      <c r="O1876" s="208" t="s">
        <v>260</v>
      </c>
      <c r="P1876" s="208" t="s">
        <v>91</v>
      </c>
    </row>
    <row r="1877" spans="1:16" s="187" customFormat="1" ht="18" customHeight="1">
      <c r="A1877" s="187" t="str">
        <f t="shared" si="29"/>
        <v>V10170B</v>
      </c>
      <c r="B1877" s="206" t="s">
        <v>3594</v>
      </c>
      <c r="C1877" s="206"/>
      <c r="D1877" s="206" t="s">
        <v>3600</v>
      </c>
      <c r="E1877" s="206" t="s">
        <v>29</v>
      </c>
      <c r="F1877" s="206" t="s">
        <v>3597</v>
      </c>
      <c r="G1877" s="206" t="s">
        <v>3598</v>
      </c>
      <c r="H1877" s="206"/>
      <c r="I1877" s="206"/>
      <c r="J1877" s="206" t="s">
        <v>376</v>
      </c>
      <c r="K1877" s="206" t="s">
        <v>3599</v>
      </c>
      <c r="L1877" s="206"/>
      <c r="M1877" s="207"/>
      <c r="N1877" s="206"/>
      <c r="O1877" s="206" t="s">
        <v>260</v>
      </c>
      <c r="P1877" s="206" t="s">
        <v>91</v>
      </c>
    </row>
    <row r="1878" spans="1:16" s="187" customFormat="1" ht="18" customHeight="1">
      <c r="A1878" s="187" t="str">
        <f t="shared" si="29"/>
        <v>V10170C</v>
      </c>
      <c r="B1878" s="208" t="s">
        <v>3594</v>
      </c>
      <c r="C1878" s="208"/>
      <c r="D1878" s="208" t="s">
        <v>3601</v>
      </c>
      <c r="E1878" s="208" t="s">
        <v>29</v>
      </c>
      <c r="F1878" s="208" t="s">
        <v>3597</v>
      </c>
      <c r="G1878" s="208" t="s">
        <v>3598</v>
      </c>
      <c r="H1878" s="208"/>
      <c r="I1878" s="208"/>
      <c r="J1878" s="208" t="s">
        <v>376</v>
      </c>
      <c r="K1878" s="208" t="s">
        <v>3599</v>
      </c>
      <c r="L1878" s="208"/>
      <c r="M1878" s="209"/>
      <c r="N1878" s="208"/>
      <c r="O1878" s="208" t="s">
        <v>260</v>
      </c>
      <c r="P1878" s="208" t="s">
        <v>91</v>
      </c>
    </row>
    <row r="1879" spans="1:16" s="187" customFormat="1" ht="18" customHeight="1">
      <c r="A1879" s="187" t="str">
        <f t="shared" si="29"/>
        <v>V20050A</v>
      </c>
      <c r="B1879" s="206" t="s">
        <v>3603</v>
      </c>
      <c r="C1879" s="206"/>
      <c r="D1879" s="206" t="s">
        <v>3602</v>
      </c>
      <c r="E1879" s="206" t="s">
        <v>29</v>
      </c>
      <c r="F1879" s="206" t="s">
        <v>3604</v>
      </c>
      <c r="G1879" s="206"/>
      <c r="H1879" s="206"/>
      <c r="I1879" s="206" t="s">
        <v>3605</v>
      </c>
      <c r="J1879" s="206" t="s">
        <v>3606</v>
      </c>
      <c r="K1879" s="206" t="s">
        <v>3607</v>
      </c>
      <c r="L1879" s="206"/>
      <c r="M1879" s="207"/>
      <c r="N1879" s="206"/>
      <c r="O1879" s="206" t="s">
        <v>40</v>
      </c>
      <c r="P1879" s="206" t="s">
        <v>34</v>
      </c>
    </row>
    <row r="1880" spans="1:16" s="187" customFormat="1" ht="18" customHeight="1">
      <c r="A1880" s="187" t="str">
        <f t="shared" si="29"/>
        <v>V20050B</v>
      </c>
      <c r="B1880" s="208" t="s">
        <v>3603</v>
      </c>
      <c r="C1880" s="208"/>
      <c r="D1880" s="208" t="s">
        <v>3608</v>
      </c>
      <c r="E1880" s="208" t="s">
        <v>29</v>
      </c>
      <c r="F1880" s="208" t="s">
        <v>3604</v>
      </c>
      <c r="G1880" s="208"/>
      <c r="H1880" s="208"/>
      <c r="I1880" s="208" t="s">
        <v>3605</v>
      </c>
      <c r="J1880" s="208" t="s">
        <v>3606</v>
      </c>
      <c r="K1880" s="208" t="s">
        <v>3607</v>
      </c>
      <c r="L1880" s="208"/>
      <c r="M1880" s="209"/>
      <c r="N1880" s="208"/>
      <c r="O1880" s="208" t="s">
        <v>40</v>
      </c>
      <c r="P1880" s="208" t="s">
        <v>34</v>
      </c>
    </row>
    <row r="1881" spans="1:16" s="187" customFormat="1" ht="18" customHeight="1">
      <c r="A1881" s="187" t="str">
        <f t="shared" si="29"/>
        <v>V20050C</v>
      </c>
      <c r="B1881" s="206" t="s">
        <v>3603</v>
      </c>
      <c r="C1881" s="206"/>
      <c r="D1881" s="206" t="s">
        <v>3609</v>
      </c>
      <c r="E1881" s="206" t="s">
        <v>29</v>
      </c>
      <c r="F1881" s="206" t="s">
        <v>3604</v>
      </c>
      <c r="G1881" s="206"/>
      <c r="H1881" s="206"/>
      <c r="I1881" s="206" t="s">
        <v>3605</v>
      </c>
      <c r="J1881" s="206" t="s">
        <v>3606</v>
      </c>
      <c r="K1881" s="206" t="s">
        <v>3607</v>
      </c>
      <c r="L1881" s="206"/>
      <c r="M1881" s="207"/>
      <c r="N1881" s="206"/>
      <c r="O1881" s="206" t="s">
        <v>40</v>
      </c>
      <c r="P1881" s="206" t="s">
        <v>34</v>
      </c>
    </row>
    <row r="1882" spans="1:16" s="187" customFormat="1" ht="18" customHeight="1">
      <c r="A1882" s="187" t="str">
        <f t="shared" si="29"/>
        <v>P0000116</v>
      </c>
      <c r="B1882" s="208" t="s">
        <v>4687</v>
      </c>
      <c r="C1882" s="208"/>
      <c r="D1882" s="208" t="s">
        <v>4686</v>
      </c>
      <c r="E1882" s="208" t="s">
        <v>29</v>
      </c>
      <c r="F1882" s="208" t="s">
        <v>4688</v>
      </c>
      <c r="G1882" s="208"/>
      <c r="H1882" s="208"/>
      <c r="I1882" s="208"/>
      <c r="J1882" s="208"/>
      <c r="K1882" s="208"/>
      <c r="L1882" s="208"/>
      <c r="M1882" s="209"/>
      <c r="N1882" s="208"/>
      <c r="O1882" s="208"/>
      <c r="P1882" s="208"/>
    </row>
    <row r="1883" spans="1:16" s="187" customFormat="1" ht="18" customHeight="1">
      <c r="A1883" s="187" t="str">
        <f t="shared" si="29"/>
        <v>005001</v>
      </c>
      <c r="B1883" s="206" t="s">
        <v>4690</v>
      </c>
      <c r="C1883" s="206"/>
      <c r="D1883" s="206" t="s">
        <v>4689</v>
      </c>
      <c r="E1883" s="206" t="s">
        <v>29</v>
      </c>
      <c r="F1883" s="206"/>
      <c r="G1883" s="206"/>
      <c r="H1883" s="206"/>
      <c r="I1883" s="206"/>
      <c r="J1883" s="206"/>
      <c r="K1883" s="206"/>
      <c r="L1883" s="206"/>
      <c r="M1883" s="207"/>
      <c r="N1883" s="206"/>
      <c r="O1883" s="206"/>
      <c r="P1883" s="206"/>
    </row>
    <row r="1884" spans="1:16" s="187" customFormat="1" ht="18" customHeight="1">
      <c r="A1884" s="187" t="str">
        <f t="shared" si="29"/>
        <v>005002</v>
      </c>
      <c r="B1884" s="208" t="s">
        <v>4690</v>
      </c>
      <c r="C1884" s="208"/>
      <c r="D1884" s="208" t="s">
        <v>4691</v>
      </c>
      <c r="E1884" s="208" t="s">
        <v>29</v>
      </c>
      <c r="F1884" s="208"/>
      <c r="G1884" s="208"/>
      <c r="H1884" s="208"/>
      <c r="I1884" s="208"/>
      <c r="J1884" s="208"/>
      <c r="K1884" s="208"/>
      <c r="L1884" s="208"/>
      <c r="M1884" s="209"/>
      <c r="N1884" s="208"/>
      <c r="O1884" s="208"/>
      <c r="P1884" s="208"/>
    </row>
    <row r="1885" spans="1:16" s="187" customFormat="1" ht="18" customHeight="1">
      <c r="A1885" s="187" t="str">
        <f t="shared" si="29"/>
        <v>005003</v>
      </c>
      <c r="B1885" s="206" t="s">
        <v>4690</v>
      </c>
      <c r="C1885" s="206"/>
      <c r="D1885" s="206" t="s">
        <v>4692</v>
      </c>
      <c r="E1885" s="206" t="s">
        <v>29</v>
      </c>
      <c r="F1885" s="206"/>
      <c r="G1885" s="206"/>
      <c r="H1885" s="206"/>
      <c r="I1885" s="206"/>
      <c r="J1885" s="206"/>
      <c r="K1885" s="206"/>
      <c r="L1885" s="206"/>
      <c r="M1885" s="207"/>
      <c r="N1885" s="206"/>
      <c r="O1885" s="206"/>
      <c r="P1885" s="206"/>
    </row>
    <row r="1886" spans="1:16" s="187" customFormat="1" ht="18" customHeight="1">
      <c r="A1886" s="187" t="str">
        <f t="shared" si="29"/>
        <v>005004</v>
      </c>
      <c r="B1886" s="208" t="s">
        <v>4690</v>
      </c>
      <c r="C1886" s="208"/>
      <c r="D1886" s="208" t="s">
        <v>4693</v>
      </c>
      <c r="E1886" s="208" t="s">
        <v>29</v>
      </c>
      <c r="F1886" s="208"/>
      <c r="G1886" s="208"/>
      <c r="H1886" s="208"/>
      <c r="I1886" s="208"/>
      <c r="J1886" s="208"/>
      <c r="K1886" s="208"/>
      <c r="L1886" s="208"/>
      <c r="M1886" s="209"/>
      <c r="N1886" s="208"/>
      <c r="O1886" s="208"/>
      <c r="P1886" s="208"/>
    </row>
    <row r="1887" spans="1:16" s="187" customFormat="1" ht="18" customHeight="1">
      <c r="A1887" s="187" t="str">
        <f t="shared" si="29"/>
        <v>005005</v>
      </c>
      <c r="B1887" s="206" t="s">
        <v>4690</v>
      </c>
      <c r="C1887" s="206"/>
      <c r="D1887" s="206" t="s">
        <v>4694</v>
      </c>
      <c r="E1887" s="206" t="s">
        <v>29</v>
      </c>
      <c r="F1887" s="206"/>
      <c r="G1887" s="206"/>
      <c r="H1887" s="206"/>
      <c r="I1887" s="206"/>
      <c r="J1887" s="206"/>
      <c r="K1887" s="206"/>
      <c r="L1887" s="206"/>
      <c r="M1887" s="207"/>
      <c r="N1887" s="206"/>
      <c r="O1887" s="206"/>
      <c r="P1887" s="206"/>
    </row>
    <row r="1888" spans="1:16" s="187" customFormat="1" ht="18" customHeight="1">
      <c r="A1888" s="187" t="str">
        <f t="shared" si="29"/>
        <v>005006</v>
      </c>
      <c r="B1888" s="208" t="s">
        <v>4690</v>
      </c>
      <c r="C1888" s="208"/>
      <c r="D1888" s="208" t="s">
        <v>4695</v>
      </c>
      <c r="E1888" s="208" t="s">
        <v>29</v>
      </c>
      <c r="F1888" s="208"/>
      <c r="G1888" s="208"/>
      <c r="H1888" s="208"/>
      <c r="I1888" s="208"/>
      <c r="J1888" s="208"/>
      <c r="K1888" s="208"/>
      <c r="L1888" s="208"/>
      <c r="M1888" s="209"/>
      <c r="N1888" s="208"/>
      <c r="O1888" s="208"/>
      <c r="P1888" s="208"/>
    </row>
    <row r="1889" spans="1:16" s="187" customFormat="1" ht="18" customHeight="1">
      <c r="A1889" s="187" t="str">
        <f t="shared" si="29"/>
        <v>005007</v>
      </c>
      <c r="B1889" s="206" t="s">
        <v>4690</v>
      </c>
      <c r="C1889" s="206"/>
      <c r="D1889" s="206" t="s">
        <v>4696</v>
      </c>
      <c r="E1889" s="206" t="s">
        <v>29</v>
      </c>
      <c r="F1889" s="206"/>
      <c r="G1889" s="206"/>
      <c r="H1889" s="206"/>
      <c r="I1889" s="206"/>
      <c r="J1889" s="206"/>
      <c r="K1889" s="206"/>
      <c r="L1889" s="206"/>
      <c r="M1889" s="207"/>
      <c r="N1889" s="206"/>
      <c r="O1889" s="206"/>
      <c r="P1889" s="206"/>
    </row>
    <row r="1890" spans="1:16" s="187" customFormat="1" ht="18" customHeight="1">
      <c r="A1890" s="187" t="str">
        <f t="shared" si="29"/>
        <v>005008</v>
      </c>
      <c r="B1890" s="208" t="s">
        <v>4690</v>
      </c>
      <c r="C1890" s="208"/>
      <c r="D1890" s="208" t="s">
        <v>4697</v>
      </c>
      <c r="E1890" s="208" t="s">
        <v>29</v>
      </c>
      <c r="F1890" s="208"/>
      <c r="G1890" s="208"/>
      <c r="H1890" s="208"/>
      <c r="I1890" s="208"/>
      <c r="J1890" s="208"/>
      <c r="K1890" s="208"/>
      <c r="L1890" s="208"/>
      <c r="M1890" s="209"/>
      <c r="N1890" s="208"/>
      <c r="O1890" s="208"/>
      <c r="P1890" s="208"/>
    </row>
    <row r="1891" spans="1:16" s="187" customFormat="1" ht="18" customHeight="1">
      <c r="A1891" s="187" t="str">
        <f t="shared" si="29"/>
        <v>005009</v>
      </c>
      <c r="B1891" s="206" t="s">
        <v>4690</v>
      </c>
      <c r="C1891" s="206"/>
      <c r="D1891" s="206" t="s">
        <v>4698</v>
      </c>
      <c r="E1891" s="206" t="s">
        <v>29</v>
      </c>
      <c r="F1891" s="206"/>
      <c r="G1891" s="206"/>
      <c r="H1891" s="206"/>
      <c r="I1891" s="206"/>
      <c r="J1891" s="206"/>
      <c r="K1891" s="206"/>
      <c r="L1891" s="206"/>
      <c r="M1891" s="207"/>
      <c r="N1891" s="206"/>
      <c r="O1891" s="206"/>
      <c r="P1891" s="206"/>
    </row>
    <row r="1892" spans="1:16" s="187" customFormat="1" ht="18" customHeight="1">
      <c r="A1892" s="187" t="str">
        <f t="shared" si="29"/>
        <v>005010</v>
      </c>
      <c r="B1892" s="208" t="s">
        <v>4690</v>
      </c>
      <c r="C1892" s="208"/>
      <c r="D1892" s="208" t="s">
        <v>4699</v>
      </c>
      <c r="E1892" s="208" t="s">
        <v>29</v>
      </c>
      <c r="F1892" s="208"/>
      <c r="G1892" s="208"/>
      <c r="H1892" s="208"/>
      <c r="I1892" s="208"/>
      <c r="J1892" s="208"/>
      <c r="K1892" s="208"/>
      <c r="L1892" s="208"/>
      <c r="M1892" s="209"/>
      <c r="N1892" s="208"/>
      <c r="O1892" s="208"/>
      <c r="P1892" s="208"/>
    </row>
    <row r="1893" spans="1:16" s="187" customFormat="1" ht="18" customHeight="1">
      <c r="A1893" s="187" t="str">
        <f t="shared" si="29"/>
        <v>005011</v>
      </c>
      <c r="B1893" s="206" t="s">
        <v>4690</v>
      </c>
      <c r="C1893" s="206"/>
      <c r="D1893" s="206" t="s">
        <v>4700</v>
      </c>
      <c r="E1893" s="206" t="s">
        <v>29</v>
      </c>
      <c r="F1893" s="206"/>
      <c r="G1893" s="206"/>
      <c r="H1893" s="206"/>
      <c r="I1893" s="206"/>
      <c r="J1893" s="206"/>
      <c r="K1893" s="206"/>
      <c r="L1893" s="206"/>
      <c r="M1893" s="207"/>
      <c r="N1893" s="206"/>
      <c r="O1893" s="206"/>
      <c r="P1893" s="206"/>
    </row>
    <row r="1894" spans="1:16" s="187" customFormat="1" ht="18" customHeight="1">
      <c r="A1894" s="187" t="str">
        <f t="shared" si="29"/>
        <v>005012</v>
      </c>
      <c r="B1894" s="208" t="s">
        <v>4690</v>
      </c>
      <c r="C1894" s="208"/>
      <c r="D1894" s="208" t="s">
        <v>4701</v>
      </c>
      <c r="E1894" s="208" t="s">
        <v>29</v>
      </c>
      <c r="F1894" s="208"/>
      <c r="G1894" s="208"/>
      <c r="H1894" s="208"/>
      <c r="I1894" s="208"/>
      <c r="J1894" s="208"/>
      <c r="K1894" s="208"/>
      <c r="L1894" s="208"/>
      <c r="M1894" s="209"/>
      <c r="N1894" s="208"/>
      <c r="O1894" s="208"/>
      <c r="P1894" s="208"/>
    </row>
    <row r="1895" spans="1:16" s="187" customFormat="1" ht="18" customHeight="1">
      <c r="A1895" s="187" t="str">
        <f t="shared" si="29"/>
        <v>005013</v>
      </c>
      <c r="B1895" s="206" t="s">
        <v>4690</v>
      </c>
      <c r="C1895" s="206"/>
      <c r="D1895" s="206" t="s">
        <v>4702</v>
      </c>
      <c r="E1895" s="206" t="s">
        <v>29</v>
      </c>
      <c r="F1895" s="206"/>
      <c r="G1895" s="206"/>
      <c r="H1895" s="206"/>
      <c r="I1895" s="206"/>
      <c r="J1895" s="206"/>
      <c r="K1895" s="206"/>
      <c r="L1895" s="206"/>
      <c r="M1895" s="207"/>
      <c r="N1895" s="206"/>
      <c r="O1895" s="206"/>
      <c r="P1895" s="206"/>
    </row>
    <row r="1896" spans="1:16" s="187" customFormat="1" ht="18" customHeight="1">
      <c r="A1896" s="187" t="str">
        <f t="shared" si="29"/>
        <v>005014</v>
      </c>
      <c r="B1896" s="208" t="s">
        <v>4690</v>
      </c>
      <c r="C1896" s="208"/>
      <c r="D1896" s="208" t="s">
        <v>4703</v>
      </c>
      <c r="E1896" s="208" t="s">
        <v>29</v>
      </c>
      <c r="F1896" s="208"/>
      <c r="G1896" s="208"/>
      <c r="H1896" s="208"/>
      <c r="I1896" s="208"/>
      <c r="J1896" s="208"/>
      <c r="K1896" s="208"/>
      <c r="L1896" s="208"/>
      <c r="M1896" s="209"/>
      <c r="N1896" s="208"/>
      <c r="O1896" s="208"/>
      <c r="P1896" s="208"/>
    </row>
    <row r="1897" spans="1:16" s="187" customFormat="1" ht="18" customHeight="1">
      <c r="A1897" s="187" t="str">
        <f t="shared" si="29"/>
        <v>005015</v>
      </c>
      <c r="B1897" s="206" t="s">
        <v>4690</v>
      </c>
      <c r="C1897" s="206"/>
      <c r="D1897" s="206" t="s">
        <v>4704</v>
      </c>
      <c r="E1897" s="206" t="s">
        <v>29</v>
      </c>
      <c r="F1897" s="206"/>
      <c r="G1897" s="206"/>
      <c r="H1897" s="206"/>
      <c r="I1897" s="206"/>
      <c r="J1897" s="206"/>
      <c r="K1897" s="206"/>
      <c r="L1897" s="206"/>
      <c r="M1897" s="207"/>
      <c r="N1897" s="206"/>
      <c r="O1897" s="206"/>
      <c r="P1897" s="206"/>
    </row>
    <row r="1898" spans="1:16" s="187" customFormat="1" ht="18" customHeight="1">
      <c r="A1898" s="187" t="str">
        <f t="shared" si="29"/>
        <v>005016</v>
      </c>
      <c r="B1898" s="208" t="s">
        <v>4690</v>
      </c>
      <c r="C1898" s="208"/>
      <c r="D1898" s="208" t="s">
        <v>4705</v>
      </c>
      <c r="E1898" s="208" t="s">
        <v>29</v>
      </c>
      <c r="F1898" s="208"/>
      <c r="G1898" s="208"/>
      <c r="H1898" s="208"/>
      <c r="I1898" s="208"/>
      <c r="J1898" s="208"/>
      <c r="K1898" s="208"/>
      <c r="L1898" s="208"/>
      <c r="M1898" s="209"/>
      <c r="N1898" s="208"/>
      <c r="O1898" s="208"/>
      <c r="P1898" s="208"/>
    </row>
    <row r="1899" spans="1:16" s="187" customFormat="1" ht="18" customHeight="1">
      <c r="A1899" s="187" t="str">
        <f t="shared" si="29"/>
        <v>005017</v>
      </c>
      <c r="B1899" s="206" t="s">
        <v>4690</v>
      </c>
      <c r="C1899" s="206"/>
      <c r="D1899" s="206" t="s">
        <v>4706</v>
      </c>
      <c r="E1899" s="206" t="s">
        <v>29</v>
      </c>
      <c r="F1899" s="206"/>
      <c r="G1899" s="206"/>
      <c r="H1899" s="206"/>
      <c r="I1899" s="206"/>
      <c r="J1899" s="206"/>
      <c r="K1899" s="206"/>
      <c r="L1899" s="206"/>
      <c r="M1899" s="207"/>
      <c r="N1899" s="206"/>
      <c r="O1899" s="206"/>
      <c r="P1899" s="206"/>
    </row>
    <row r="1900" spans="1:16" s="187" customFormat="1" ht="18" customHeight="1">
      <c r="A1900" s="187" t="str">
        <f t="shared" si="29"/>
        <v>005018</v>
      </c>
      <c r="B1900" s="208" t="s">
        <v>4690</v>
      </c>
      <c r="C1900" s="208"/>
      <c r="D1900" s="208" t="s">
        <v>4707</v>
      </c>
      <c r="E1900" s="208" t="s">
        <v>29</v>
      </c>
      <c r="F1900" s="208"/>
      <c r="G1900" s="208"/>
      <c r="H1900" s="208"/>
      <c r="I1900" s="208"/>
      <c r="J1900" s="208"/>
      <c r="K1900" s="208"/>
      <c r="L1900" s="208"/>
      <c r="M1900" s="209"/>
      <c r="N1900" s="208"/>
      <c r="O1900" s="208"/>
      <c r="P1900" s="208"/>
    </row>
    <row r="1901" spans="1:16" s="187" customFormat="1" ht="18" customHeight="1">
      <c r="A1901" s="187" t="str">
        <f t="shared" si="29"/>
        <v>OS-000102</v>
      </c>
      <c r="B1901" s="206" t="s">
        <v>3611</v>
      </c>
      <c r="C1901" s="206"/>
      <c r="D1901" s="206" t="s">
        <v>3610</v>
      </c>
      <c r="E1901" s="206" t="s">
        <v>151</v>
      </c>
      <c r="F1901" s="206"/>
      <c r="G1901" s="206"/>
      <c r="H1901" s="206"/>
      <c r="I1901" s="206"/>
      <c r="J1901" s="206" t="s">
        <v>3612</v>
      </c>
      <c r="K1901" s="206" t="s">
        <v>3613</v>
      </c>
      <c r="L1901" s="206"/>
      <c r="M1901" s="207"/>
      <c r="N1901" s="206"/>
      <c r="O1901" s="206"/>
      <c r="P1901" s="206" t="s">
        <v>34</v>
      </c>
    </row>
    <row r="1902" spans="1:16">
      <c r="A1902" s="187" t="str">
        <f t="shared" si="29"/>
        <v>V20090A</v>
      </c>
      <c r="B1902" s="208" t="s">
        <v>3615</v>
      </c>
      <c r="C1902" s="208"/>
      <c r="D1902" s="208" t="s">
        <v>3614</v>
      </c>
      <c r="E1902" s="208" t="s">
        <v>29</v>
      </c>
      <c r="F1902" s="208" t="s">
        <v>3616</v>
      </c>
      <c r="G1902" s="208"/>
      <c r="H1902" s="208"/>
      <c r="I1902" s="208" t="s">
        <v>3617</v>
      </c>
      <c r="J1902" s="208"/>
      <c r="K1902" s="208"/>
      <c r="L1902" s="208"/>
      <c r="M1902" s="209"/>
      <c r="N1902" s="208"/>
      <c r="O1902" s="208" t="s">
        <v>40</v>
      </c>
      <c r="P1902" s="208" t="s">
        <v>34</v>
      </c>
    </row>
    <row r="1903" spans="1:16">
      <c r="A1903" s="187" t="str">
        <f t="shared" si="29"/>
        <v>V20090B</v>
      </c>
      <c r="B1903" s="206" t="s">
        <v>3615</v>
      </c>
      <c r="C1903" s="206"/>
      <c r="D1903" s="206" t="s">
        <v>3618</v>
      </c>
      <c r="E1903" s="206" t="s">
        <v>29</v>
      </c>
      <c r="F1903" s="206" t="s">
        <v>3616</v>
      </c>
      <c r="G1903" s="206"/>
      <c r="H1903" s="206"/>
      <c r="I1903" s="206" t="s">
        <v>3617</v>
      </c>
      <c r="J1903" s="206"/>
      <c r="K1903" s="206"/>
      <c r="L1903" s="206"/>
      <c r="M1903" s="207"/>
      <c r="N1903" s="206"/>
      <c r="O1903" s="206" t="s">
        <v>40</v>
      </c>
      <c r="P1903" s="206" t="s">
        <v>34</v>
      </c>
    </row>
    <row r="1904" spans="1:16">
      <c r="A1904" s="187" t="str">
        <f t="shared" si="29"/>
        <v>V20090C</v>
      </c>
      <c r="B1904" s="208" t="s">
        <v>3615</v>
      </c>
      <c r="C1904" s="208"/>
      <c r="D1904" s="208" t="s">
        <v>3619</v>
      </c>
      <c r="E1904" s="208" t="s">
        <v>29</v>
      </c>
      <c r="F1904" s="208" t="s">
        <v>3616</v>
      </c>
      <c r="G1904" s="208"/>
      <c r="H1904" s="208"/>
      <c r="I1904" s="208" t="s">
        <v>3617</v>
      </c>
      <c r="J1904" s="208"/>
      <c r="K1904" s="208"/>
      <c r="L1904" s="208"/>
      <c r="M1904" s="209"/>
      <c r="N1904" s="208"/>
      <c r="O1904" s="208" t="s">
        <v>40</v>
      </c>
      <c r="P1904" s="208" t="s">
        <v>34</v>
      </c>
    </row>
    <row r="1905" spans="1:16">
      <c r="A1905" s="187" t="str">
        <f t="shared" si="29"/>
        <v>V20008A</v>
      </c>
      <c r="B1905" s="206" t="s">
        <v>3621</v>
      </c>
      <c r="C1905" s="206"/>
      <c r="D1905" s="206" t="s">
        <v>3620</v>
      </c>
      <c r="E1905" s="206" t="s">
        <v>29</v>
      </c>
      <c r="F1905" s="206" t="s">
        <v>3622</v>
      </c>
      <c r="G1905" s="206"/>
      <c r="H1905" s="206"/>
      <c r="I1905" s="206" t="s">
        <v>3623</v>
      </c>
      <c r="J1905" s="206" t="s">
        <v>3624</v>
      </c>
      <c r="K1905" s="206" t="s">
        <v>3625</v>
      </c>
      <c r="L1905" s="206"/>
      <c r="M1905" s="207"/>
      <c r="N1905" s="206"/>
      <c r="O1905" s="206" t="s">
        <v>40</v>
      </c>
      <c r="P1905" s="206" t="s">
        <v>34</v>
      </c>
    </row>
    <row r="1906" spans="1:16">
      <c r="A1906" s="187" t="str">
        <f t="shared" si="29"/>
        <v>V20008B</v>
      </c>
      <c r="B1906" s="208" t="s">
        <v>3621</v>
      </c>
      <c r="C1906" s="208"/>
      <c r="D1906" s="208" t="s">
        <v>3626</v>
      </c>
      <c r="E1906" s="208" t="s">
        <v>29</v>
      </c>
      <c r="F1906" s="208" t="s">
        <v>3622</v>
      </c>
      <c r="G1906" s="208"/>
      <c r="H1906" s="208"/>
      <c r="I1906" s="208" t="s">
        <v>3623</v>
      </c>
      <c r="J1906" s="208" t="s">
        <v>3624</v>
      </c>
      <c r="K1906" s="208" t="s">
        <v>3625</v>
      </c>
      <c r="L1906" s="208"/>
      <c r="M1906" s="209"/>
      <c r="N1906" s="208"/>
      <c r="O1906" s="208" t="s">
        <v>40</v>
      </c>
      <c r="P1906" s="208" t="s">
        <v>34</v>
      </c>
    </row>
    <row r="1907" spans="1:16">
      <c r="A1907" s="187" t="str">
        <f t="shared" si="29"/>
        <v>V20008C</v>
      </c>
      <c r="B1907" s="206" t="s">
        <v>3621</v>
      </c>
      <c r="C1907" s="206"/>
      <c r="D1907" s="206" t="s">
        <v>3627</v>
      </c>
      <c r="E1907" s="206" t="s">
        <v>29</v>
      </c>
      <c r="F1907" s="206" t="s">
        <v>3622</v>
      </c>
      <c r="G1907" s="206"/>
      <c r="H1907" s="206"/>
      <c r="I1907" s="206" t="s">
        <v>3623</v>
      </c>
      <c r="J1907" s="206" t="s">
        <v>3624</v>
      </c>
      <c r="K1907" s="206" t="s">
        <v>3625</v>
      </c>
      <c r="L1907" s="206"/>
      <c r="M1907" s="207"/>
      <c r="N1907" s="206"/>
      <c r="O1907" s="206" t="s">
        <v>40</v>
      </c>
      <c r="P1907" s="206" t="s">
        <v>34</v>
      </c>
    </row>
    <row r="1908" spans="1:16">
      <c r="A1908" s="187" t="str">
        <f t="shared" si="29"/>
        <v>350100A</v>
      </c>
      <c r="B1908" s="208" t="s">
        <v>3629</v>
      </c>
      <c r="C1908" s="208"/>
      <c r="D1908" s="208" t="s">
        <v>3628</v>
      </c>
      <c r="E1908" s="208" t="s">
        <v>141</v>
      </c>
      <c r="F1908" s="208" t="s">
        <v>3630</v>
      </c>
      <c r="G1908" s="208"/>
      <c r="H1908" s="208"/>
      <c r="I1908" s="208" t="s">
        <v>3631</v>
      </c>
      <c r="J1908" s="208" t="s">
        <v>3632</v>
      </c>
      <c r="K1908" s="208" t="s">
        <v>3633</v>
      </c>
      <c r="L1908" s="208"/>
      <c r="M1908" s="209"/>
      <c r="N1908" s="208"/>
      <c r="O1908" s="208" t="s">
        <v>146</v>
      </c>
      <c r="P1908" s="208" t="s">
        <v>147</v>
      </c>
    </row>
    <row r="1909" spans="1:16">
      <c r="A1909" s="187" t="str">
        <f t="shared" si="29"/>
        <v>350100B</v>
      </c>
      <c r="B1909" s="206" t="s">
        <v>3629</v>
      </c>
      <c r="C1909" s="206"/>
      <c r="D1909" s="206" t="s">
        <v>3634</v>
      </c>
      <c r="E1909" s="206" t="s">
        <v>141</v>
      </c>
      <c r="F1909" s="206" t="s">
        <v>3630</v>
      </c>
      <c r="G1909" s="206"/>
      <c r="H1909" s="206"/>
      <c r="I1909" s="206" t="s">
        <v>3631</v>
      </c>
      <c r="J1909" s="206" t="s">
        <v>3635</v>
      </c>
      <c r="K1909" s="206" t="s">
        <v>3636</v>
      </c>
      <c r="L1909" s="206"/>
      <c r="M1909" s="207"/>
      <c r="N1909" s="206"/>
      <c r="O1909" s="206" t="s">
        <v>146</v>
      </c>
      <c r="P1909" s="206" t="s">
        <v>147</v>
      </c>
    </row>
    <row r="1910" spans="1:16">
      <c r="A1910" s="187" t="str">
        <f t="shared" si="29"/>
        <v>350100C</v>
      </c>
      <c r="B1910" s="208" t="s">
        <v>3629</v>
      </c>
      <c r="C1910" s="208"/>
      <c r="D1910" s="208" t="s">
        <v>3637</v>
      </c>
      <c r="E1910" s="208" t="s">
        <v>141</v>
      </c>
      <c r="F1910" s="208" t="s">
        <v>3630</v>
      </c>
      <c r="G1910" s="208"/>
      <c r="H1910" s="208"/>
      <c r="I1910" s="208" t="s">
        <v>3631</v>
      </c>
      <c r="J1910" s="208" t="s">
        <v>3632</v>
      </c>
      <c r="K1910" s="208" t="s">
        <v>3633</v>
      </c>
      <c r="L1910" s="208"/>
      <c r="M1910" s="209"/>
      <c r="N1910" s="208"/>
      <c r="O1910" s="208" t="s">
        <v>146</v>
      </c>
      <c r="P1910" s="208" t="s">
        <v>147</v>
      </c>
    </row>
    <row r="1911" spans="1:16">
      <c r="A1911" s="187" t="str">
        <f t="shared" si="29"/>
        <v>CG450008C0</v>
      </c>
      <c r="B1911" s="206" t="s">
        <v>3629</v>
      </c>
      <c r="C1911" s="206"/>
      <c r="D1911" s="206" t="s">
        <v>3638</v>
      </c>
      <c r="E1911" s="206" t="s">
        <v>141</v>
      </c>
      <c r="F1911" s="206" t="s">
        <v>3639</v>
      </c>
      <c r="G1911" s="206"/>
      <c r="H1911" s="206"/>
      <c r="I1911" s="206"/>
      <c r="J1911" s="206"/>
      <c r="K1911" s="206"/>
      <c r="L1911" s="206"/>
      <c r="M1911" s="207"/>
      <c r="N1911" s="206"/>
      <c r="O1911" s="206"/>
      <c r="P1911" s="206" t="s">
        <v>152</v>
      </c>
    </row>
    <row r="1912" spans="1:16">
      <c r="A1912" s="187" t="str">
        <f t="shared" si="29"/>
        <v>V20089A</v>
      </c>
      <c r="B1912" s="208" t="s">
        <v>3646</v>
      </c>
      <c r="C1912" s="208"/>
      <c r="D1912" s="208" t="s">
        <v>3645</v>
      </c>
      <c r="E1912" s="208" t="s">
        <v>29</v>
      </c>
      <c r="F1912" s="208" t="s">
        <v>3647</v>
      </c>
      <c r="G1912" s="208"/>
      <c r="H1912" s="208"/>
      <c r="I1912" s="208" t="s">
        <v>3648</v>
      </c>
      <c r="J1912" s="208" t="s">
        <v>3649</v>
      </c>
      <c r="K1912" s="208" t="s">
        <v>3650</v>
      </c>
      <c r="L1912" s="208"/>
      <c r="M1912" s="209"/>
      <c r="N1912" s="208"/>
      <c r="O1912" s="208" t="s">
        <v>40</v>
      </c>
      <c r="P1912" s="208" t="s">
        <v>34</v>
      </c>
    </row>
    <row r="1913" spans="1:16">
      <c r="A1913" s="187" t="str">
        <f t="shared" si="29"/>
        <v>V20089B</v>
      </c>
      <c r="B1913" s="206" t="s">
        <v>3646</v>
      </c>
      <c r="C1913" s="206"/>
      <c r="D1913" s="206" t="s">
        <v>3651</v>
      </c>
      <c r="E1913" s="206" t="s">
        <v>29</v>
      </c>
      <c r="F1913" s="206" t="s">
        <v>3647</v>
      </c>
      <c r="G1913" s="206"/>
      <c r="H1913" s="206"/>
      <c r="I1913" s="206" t="s">
        <v>3648</v>
      </c>
      <c r="J1913" s="206" t="s">
        <v>3649</v>
      </c>
      <c r="K1913" s="206" t="s">
        <v>3650</v>
      </c>
      <c r="L1913" s="206"/>
      <c r="M1913" s="207"/>
      <c r="N1913" s="206"/>
      <c r="O1913" s="206" t="s">
        <v>40</v>
      </c>
      <c r="P1913" s="206" t="s">
        <v>34</v>
      </c>
    </row>
    <row r="1914" spans="1:16">
      <c r="A1914" s="187" t="str">
        <f t="shared" si="29"/>
        <v>V20089C</v>
      </c>
      <c r="B1914" s="208" t="s">
        <v>3646</v>
      </c>
      <c r="C1914" s="208"/>
      <c r="D1914" s="208" t="s">
        <v>3652</v>
      </c>
      <c r="E1914" s="208" t="s">
        <v>29</v>
      </c>
      <c r="F1914" s="208" t="s">
        <v>3647</v>
      </c>
      <c r="G1914" s="208"/>
      <c r="H1914" s="208"/>
      <c r="I1914" s="208" t="s">
        <v>3648</v>
      </c>
      <c r="J1914" s="208" t="s">
        <v>3649</v>
      </c>
      <c r="K1914" s="208" t="s">
        <v>3650</v>
      </c>
      <c r="L1914" s="208"/>
      <c r="M1914" s="209"/>
      <c r="N1914" s="208"/>
      <c r="O1914" s="208" t="s">
        <v>40</v>
      </c>
      <c r="P1914" s="208" t="s">
        <v>34</v>
      </c>
    </row>
    <row r="1915" spans="1:16">
      <c r="A1915" s="187" t="str">
        <f t="shared" si="29"/>
        <v>V20163A</v>
      </c>
      <c r="B1915" s="206" t="s">
        <v>5594</v>
      </c>
      <c r="C1915" s="206"/>
      <c r="D1915" s="206" t="s">
        <v>5595</v>
      </c>
      <c r="E1915" s="206" t="s">
        <v>29</v>
      </c>
      <c r="F1915" s="206" t="s">
        <v>5596</v>
      </c>
      <c r="G1915" s="206"/>
      <c r="H1915" s="206"/>
      <c r="I1915" s="206"/>
      <c r="J1915" s="206"/>
      <c r="K1915" s="206"/>
      <c r="L1915" s="206"/>
      <c r="M1915" s="207"/>
      <c r="N1915" s="206"/>
      <c r="O1915" s="206"/>
      <c r="P1915" s="206" t="s">
        <v>34</v>
      </c>
    </row>
    <row r="1916" spans="1:16">
      <c r="A1916" s="187" t="str">
        <f t="shared" si="29"/>
        <v>V20097A</v>
      </c>
      <c r="B1916" s="208" t="s">
        <v>3654</v>
      </c>
      <c r="C1916" s="208"/>
      <c r="D1916" s="208" t="s">
        <v>3653</v>
      </c>
      <c r="E1916" s="208" t="s">
        <v>29</v>
      </c>
      <c r="F1916" s="208" t="s">
        <v>3655</v>
      </c>
      <c r="G1916" s="208"/>
      <c r="H1916" s="208"/>
      <c r="I1916" s="208"/>
      <c r="J1916" s="208" t="s">
        <v>4708</v>
      </c>
      <c r="K1916" s="208" t="s">
        <v>3656</v>
      </c>
      <c r="L1916" s="208"/>
      <c r="M1916" s="209"/>
      <c r="N1916" s="208"/>
      <c r="O1916" s="208" t="s">
        <v>40</v>
      </c>
      <c r="P1916" s="208" t="s">
        <v>34</v>
      </c>
    </row>
    <row r="1917" spans="1:16">
      <c r="A1917" s="187" t="str">
        <f t="shared" si="29"/>
        <v>V20097B</v>
      </c>
      <c r="B1917" s="206" t="s">
        <v>3654</v>
      </c>
      <c r="C1917" s="206"/>
      <c r="D1917" s="206" t="s">
        <v>3657</v>
      </c>
      <c r="E1917" s="206" t="s">
        <v>29</v>
      </c>
      <c r="F1917" s="206" t="s">
        <v>3655</v>
      </c>
      <c r="G1917" s="206"/>
      <c r="H1917" s="206"/>
      <c r="I1917" s="206"/>
      <c r="J1917" s="206" t="s">
        <v>4708</v>
      </c>
      <c r="K1917" s="206" t="s">
        <v>3656</v>
      </c>
      <c r="L1917" s="206"/>
      <c r="M1917" s="207"/>
      <c r="N1917" s="206"/>
      <c r="O1917" s="206" t="s">
        <v>40</v>
      </c>
      <c r="P1917" s="206" t="s">
        <v>34</v>
      </c>
    </row>
    <row r="1918" spans="1:16">
      <c r="A1918" s="187" t="str">
        <f t="shared" si="29"/>
        <v>V20097C</v>
      </c>
      <c r="B1918" s="208" t="s">
        <v>3654</v>
      </c>
      <c r="C1918" s="208"/>
      <c r="D1918" s="208" t="s">
        <v>3658</v>
      </c>
      <c r="E1918" s="208" t="s">
        <v>29</v>
      </c>
      <c r="F1918" s="208" t="s">
        <v>3655</v>
      </c>
      <c r="G1918" s="208"/>
      <c r="H1918" s="208"/>
      <c r="I1918" s="208"/>
      <c r="J1918" s="208" t="s">
        <v>4708</v>
      </c>
      <c r="K1918" s="208" t="s">
        <v>3656</v>
      </c>
      <c r="L1918" s="208"/>
      <c r="M1918" s="209"/>
      <c r="N1918" s="208"/>
      <c r="O1918" s="208" t="s">
        <v>40</v>
      </c>
      <c r="P1918" s="208" t="s">
        <v>34</v>
      </c>
    </row>
    <row r="1919" spans="1:16">
      <c r="A1919" s="187" t="str">
        <f t="shared" si="29"/>
        <v>006901</v>
      </c>
      <c r="B1919" s="206" t="s">
        <v>4710</v>
      </c>
      <c r="C1919" s="206"/>
      <c r="D1919" s="206" t="s">
        <v>4709</v>
      </c>
      <c r="E1919" s="206" t="s">
        <v>29</v>
      </c>
      <c r="F1919" s="206"/>
      <c r="G1919" s="206"/>
      <c r="H1919" s="206"/>
      <c r="I1919" s="206"/>
      <c r="J1919" s="206"/>
      <c r="K1919" s="206"/>
      <c r="L1919" s="206"/>
      <c r="M1919" s="207"/>
      <c r="N1919" s="206"/>
      <c r="O1919" s="206"/>
      <c r="P1919" s="206"/>
    </row>
    <row r="1920" spans="1:16">
      <c r="A1920" s="187" t="str">
        <f t="shared" si="29"/>
        <v>002101</v>
      </c>
      <c r="B1920" s="208" t="s">
        <v>4712</v>
      </c>
      <c r="C1920" s="208"/>
      <c r="D1920" s="208" t="s">
        <v>4711</v>
      </c>
      <c r="E1920" s="208" t="s">
        <v>29</v>
      </c>
      <c r="F1920" s="208"/>
      <c r="G1920" s="208"/>
      <c r="H1920" s="208"/>
      <c r="I1920" s="208"/>
      <c r="J1920" s="208"/>
      <c r="K1920" s="208"/>
      <c r="L1920" s="208"/>
      <c r="M1920" s="209"/>
      <c r="N1920" s="208"/>
      <c r="O1920" s="208"/>
      <c r="P1920" s="208"/>
    </row>
    <row r="1921" spans="1:16">
      <c r="A1921" s="187" t="str">
        <f t="shared" si="29"/>
        <v>005201</v>
      </c>
      <c r="B1921" s="206" t="s">
        <v>4714</v>
      </c>
      <c r="C1921" s="206"/>
      <c r="D1921" s="206" t="s">
        <v>4713</v>
      </c>
      <c r="E1921" s="206" t="s">
        <v>29</v>
      </c>
      <c r="F1921" s="206"/>
      <c r="G1921" s="206"/>
      <c r="H1921" s="206"/>
      <c r="I1921" s="206"/>
      <c r="J1921" s="206"/>
      <c r="K1921" s="206"/>
      <c r="L1921" s="206"/>
      <c r="M1921" s="207"/>
      <c r="N1921" s="206"/>
      <c r="O1921" s="206"/>
      <c r="P1921" s="206"/>
    </row>
    <row r="1922" spans="1:16">
      <c r="A1922" s="187" t="str">
        <f t="shared" si="29"/>
        <v>005202</v>
      </c>
      <c r="B1922" s="208" t="s">
        <v>4714</v>
      </c>
      <c r="C1922" s="208"/>
      <c r="D1922" s="208" t="s">
        <v>4715</v>
      </c>
      <c r="E1922" s="208" t="s">
        <v>29</v>
      </c>
      <c r="F1922" s="208"/>
      <c r="G1922" s="208"/>
      <c r="H1922" s="208"/>
      <c r="I1922" s="208"/>
      <c r="J1922" s="208"/>
      <c r="K1922" s="208"/>
      <c r="L1922" s="208"/>
      <c r="M1922" s="209"/>
      <c r="N1922" s="208"/>
      <c r="O1922" s="208"/>
      <c r="P1922" s="208"/>
    </row>
    <row r="1923" spans="1:16">
      <c r="A1923" s="187" t="str">
        <f t="shared" si="29"/>
        <v>005203</v>
      </c>
      <c r="B1923" s="206" t="s">
        <v>4714</v>
      </c>
      <c r="C1923" s="206"/>
      <c r="D1923" s="206" t="s">
        <v>4716</v>
      </c>
      <c r="E1923" s="206" t="s">
        <v>29</v>
      </c>
      <c r="F1923" s="206"/>
      <c r="G1923" s="206"/>
      <c r="H1923" s="206"/>
      <c r="I1923" s="206"/>
      <c r="J1923" s="206"/>
      <c r="K1923" s="206"/>
      <c r="L1923" s="206"/>
      <c r="M1923" s="207"/>
      <c r="N1923" s="206"/>
      <c r="O1923" s="206"/>
      <c r="P1923" s="206"/>
    </row>
    <row r="1924" spans="1:16">
      <c r="A1924" s="187" t="str">
        <f t="shared" si="29"/>
        <v>005204</v>
      </c>
      <c r="B1924" s="208" t="s">
        <v>4714</v>
      </c>
      <c r="C1924" s="208"/>
      <c r="D1924" s="208" t="s">
        <v>4717</v>
      </c>
      <c r="E1924" s="208" t="s">
        <v>29</v>
      </c>
      <c r="F1924" s="208"/>
      <c r="G1924" s="208"/>
      <c r="H1924" s="208"/>
      <c r="I1924" s="208"/>
      <c r="J1924" s="208"/>
      <c r="K1924" s="208"/>
      <c r="L1924" s="208"/>
      <c r="M1924" s="209"/>
      <c r="N1924" s="208"/>
      <c r="O1924" s="208"/>
      <c r="P1924" s="208"/>
    </row>
    <row r="1925" spans="1:16">
      <c r="A1925" s="187" t="str">
        <f t="shared" si="29"/>
        <v>005205</v>
      </c>
      <c r="B1925" s="206" t="s">
        <v>4714</v>
      </c>
      <c r="C1925" s="206"/>
      <c r="D1925" s="206" t="s">
        <v>4718</v>
      </c>
      <c r="E1925" s="206" t="s">
        <v>29</v>
      </c>
      <c r="F1925" s="206"/>
      <c r="G1925" s="206"/>
      <c r="H1925" s="206"/>
      <c r="I1925" s="206"/>
      <c r="J1925" s="206"/>
      <c r="K1925" s="206"/>
      <c r="L1925" s="206"/>
      <c r="M1925" s="207"/>
      <c r="N1925" s="206"/>
      <c r="O1925" s="206"/>
      <c r="P1925" s="206"/>
    </row>
    <row r="1926" spans="1:16">
      <c r="A1926" s="187" t="str">
        <f t="shared" ref="A1926:A1989" si="30">D1926</f>
        <v>005206</v>
      </c>
      <c r="B1926" s="208" t="s">
        <v>4714</v>
      </c>
      <c r="C1926" s="208"/>
      <c r="D1926" s="208" t="s">
        <v>4719</v>
      </c>
      <c r="E1926" s="208" t="s">
        <v>29</v>
      </c>
      <c r="F1926" s="208"/>
      <c r="G1926" s="208"/>
      <c r="H1926" s="208"/>
      <c r="I1926" s="208"/>
      <c r="J1926" s="208"/>
      <c r="K1926" s="208"/>
      <c r="L1926" s="208"/>
      <c r="M1926" s="209"/>
      <c r="N1926" s="208"/>
      <c r="O1926" s="208"/>
      <c r="P1926" s="208"/>
    </row>
    <row r="1927" spans="1:16">
      <c r="A1927" s="187" t="str">
        <f t="shared" si="30"/>
        <v>005207</v>
      </c>
      <c r="B1927" s="206" t="s">
        <v>4714</v>
      </c>
      <c r="C1927" s="206"/>
      <c r="D1927" s="206" t="s">
        <v>4720</v>
      </c>
      <c r="E1927" s="206" t="s">
        <v>29</v>
      </c>
      <c r="F1927" s="206"/>
      <c r="G1927" s="206"/>
      <c r="H1927" s="206"/>
      <c r="I1927" s="206"/>
      <c r="J1927" s="206"/>
      <c r="K1927" s="206"/>
      <c r="L1927" s="206"/>
      <c r="M1927" s="207"/>
      <c r="N1927" s="206"/>
      <c r="O1927" s="206"/>
      <c r="P1927" s="206"/>
    </row>
    <row r="1928" spans="1:16">
      <c r="A1928" s="187" t="str">
        <f t="shared" si="30"/>
        <v>005208</v>
      </c>
      <c r="B1928" s="208" t="s">
        <v>4714</v>
      </c>
      <c r="C1928" s="208"/>
      <c r="D1928" s="208" t="s">
        <v>4721</v>
      </c>
      <c r="E1928" s="208" t="s">
        <v>29</v>
      </c>
      <c r="F1928" s="208"/>
      <c r="G1928" s="208"/>
      <c r="H1928" s="208"/>
      <c r="I1928" s="208"/>
      <c r="J1928" s="208"/>
      <c r="K1928" s="208"/>
      <c r="L1928" s="208"/>
      <c r="M1928" s="209"/>
      <c r="N1928" s="208"/>
      <c r="O1928" s="208"/>
      <c r="P1928" s="208"/>
    </row>
    <row r="1929" spans="1:16">
      <c r="A1929" s="187" t="str">
        <f t="shared" si="30"/>
        <v>005209</v>
      </c>
      <c r="B1929" s="206" t="s">
        <v>4714</v>
      </c>
      <c r="C1929" s="206"/>
      <c r="D1929" s="206" t="s">
        <v>4722</v>
      </c>
      <c r="E1929" s="206" t="s">
        <v>29</v>
      </c>
      <c r="F1929" s="206"/>
      <c r="G1929" s="206"/>
      <c r="H1929" s="206"/>
      <c r="I1929" s="206"/>
      <c r="J1929" s="206"/>
      <c r="K1929" s="206"/>
      <c r="L1929" s="206"/>
      <c r="M1929" s="207"/>
      <c r="N1929" s="206"/>
      <c r="O1929" s="206"/>
      <c r="P1929" s="206"/>
    </row>
    <row r="1930" spans="1:16">
      <c r="A1930" s="187" t="str">
        <f t="shared" si="30"/>
        <v>005210</v>
      </c>
      <c r="B1930" s="208" t="s">
        <v>4714</v>
      </c>
      <c r="C1930" s="208"/>
      <c r="D1930" s="208" t="s">
        <v>4723</v>
      </c>
      <c r="E1930" s="208" t="s">
        <v>29</v>
      </c>
      <c r="F1930" s="208"/>
      <c r="G1930" s="208"/>
      <c r="H1930" s="208"/>
      <c r="I1930" s="208"/>
      <c r="J1930" s="208"/>
      <c r="K1930" s="208"/>
      <c r="L1930" s="208"/>
      <c r="M1930" s="209"/>
      <c r="N1930" s="208"/>
      <c r="O1930" s="208"/>
      <c r="P1930" s="208"/>
    </row>
    <row r="1931" spans="1:16">
      <c r="A1931" s="187" t="str">
        <f t="shared" si="30"/>
        <v>005217</v>
      </c>
      <c r="B1931" s="206" t="s">
        <v>4714</v>
      </c>
      <c r="C1931" s="206"/>
      <c r="D1931" s="206" t="s">
        <v>4730</v>
      </c>
      <c r="E1931" s="206" t="s">
        <v>151</v>
      </c>
      <c r="F1931" s="206"/>
      <c r="G1931" s="206"/>
      <c r="H1931" s="206"/>
      <c r="I1931" s="206"/>
      <c r="J1931" s="206"/>
      <c r="K1931" s="206"/>
      <c r="L1931" s="206"/>
      <c r="M1931" s="207"/>
      <c r="N1931" s="206"/>
      <c r="O1931" s="206"/>
      <c r="P1931" s="206"/>
    </row>
    <row r="1932" spans="1:16">
      <c r="A1932" s="187" t="str">
        <f t="shared" si="30"/>
        <v>005211</v>
      </c>
      <c r="B1932" s="208" t="s">
        <v>4714</v>
      </c>
      <c r="C1932" s="208"/>
      <c r="D1932" s="208" t="s">
        <v>4724</v>
      </c>
      <c r="E1932" s="208" t="s">
        <v>29</v>
      </c>
      <c r="F1932" s="208"/>
      <c r="G1932" s="208"/>
      <c r="H1932" s="208"/>
      <c r="I1932" s="208"/>
      <c r="J1932" s="208"/>
      <c r="K1932" s="208"/>
      <c r="L1932" s="208"/>
      <c r="M1932" s="209"/>
      <c r="N1932" s="208"/>
      <c r="O1932" s="208"/>
      <c r="P1932" s="208"/>
    </row>
    <row r="1933" spans="1:16">
      <c r="A1933" s="187" t="str">
        <f t="shared" si="30"/>
        <v>005212</v>
      </c>
      <c r="B1933" s="206" t="s">
        <v>4714</v>
      </c>
      <c r="C1933" s="206"/>
      <c r="D1933" s="206" t="s">
        <v>4725</v>
      </c>
      <c r="E1933" s="206" t="s">
        <v>29</v>
      </c>
      <c r="F1933" s="206"/>
      <c r="G1933" s="206"/>
      <c r="H1933" s="206"/>
      <c r="I1933" s="206"/>
      <c r="J1933" s="206"/>
      <c r="K1933" s="206"/>
      <c r="L1933" s="206"/>
      <c r="M1933" s="207"/>
      <c r="N1933" s="206"/>
      <c r="O1933" s="206"/>
      <c r="P1933" s="206"/>
    </row>
    <row r="1934" spans="1:16">
      <c r="A1934" s="187" t="str">
        <f t="shared" si="30"/>
        <v>005213</v>
      </c>
      <c r="B1934" s="208" t="s">
        <v>4714</v>
      </c>
      <c r="C1934" s="208"/>
      <c r="D1934" s="208" t="s">
        <v>4726</v>
      </c>
      <c r="E1934" s="208" t="s">
        <v>29</v>
      </c>
      <c r="F1934" s="208"/>
      <c r="G1934" s="208"/>
      <c r="H1934" s="208"/>
      <c r="I1934" s="208"/>
      <c r="J1934" s="208"/>
      <c r="K1934" s="208"/>
      <c r="L1934" s="208"/>
      <c r="M1934" s="209"/>
      <c r="N1934" s="208"/>
      <c r="O1934" s="208"/>
      <c r="P1934" s="208"/>
    </row>
    <row r="1935" spans="1:16">
      <c r="A1935" s="187" t="str">
        <f t="shared" si="30"/>
        <v>005214</v>
      </c>
      <c r="B1935" s="206" t="s">
        <v>4714</v>
      </c>
      <c r="C1935" s="206"/>
      <c r="D1935" s="206" t="s">
        <v>4727</v>
      </c>
      <c r="E1935" s="206" t="s">
        <v>29</v>
      </c>
      <c r="F1935" s="206"/>
      <c r="G1935" s="206"/>
      <c r="H1935" s="206"/>
      <c r="I1935" s="206"/>
      <c r="J1935" s="206"/>
      <c r="K1935" s="206"/>
      <c r="L1935" s="206"/>
      <c r="M1935" s="207"/>
      <c r="N1935" s="206"/>
      <c r="O1935" s="206"/>
      <c r="P1935" s="206"/>
    </row>
    <row r="1936" spans="1:16">
      <c r="A1936" s="187" t="str">
        <f t="shared" si="30"/>
        <v>005215</v>
      </c>
      <c r="B1936" s="208" t="s">
        <v>4714</v>
      </c>
      <c r="C1936" s="208"/>
      <c r="D1936" s="208" t="s">
        <v>4728</v>
      </c>
      <c r="E1936" s="208" t="s">
        <v>29</v>
      </c>
      <c r="F1936" s="208"/>
      <c r="G1936" s="208"/>
      <c r="H1936" s="208"/>
      <c r="I1936" s="208"/>
      <c r="J1936" s="208"/>
      <c r="K1936" s="208"/>
      <c r="L1936" s="208"/>
      <c r="M1936" s="209"/>
      <c r="N1936" s="208"/>
      <c r="O1936" s="208"/>
      <c r="P1936" s="208"/>
    </row>
    <row r="1937" spans="1:16">
      <c r="A1937" s="187" t="str">
        <f t="shared" si="30"/>
        <v>005216</v>
      </c>
      <c r="B1937" s="206" t="s">
        <v>4714</v>
      </c>
      <c r="C1937" s="206"/>
      <c r="D1937" s="206" t="s">
        <v>4729</v>
      </c>
      <c r="E1937" s="206" t="s">
        <v>29</v>
      </c>
      <c r="F1937" s="206"/>
      <c r="G1937" s="206"/>
      <c r="H1937" s="206"/>
      <c r="I1937" s="206"/>
      <c r="J1937" s="206"/>
      <c r="K1937" s="206"/>
      <c r="L1937" s="206"/>
      <c r="M1937" s="207"/>
      <c r="N1937" s="206"/>
      <c r="O1937" s="206"/>
      <c r="P1937" s="206"/>
    </row>
    <row r="1938" spans="1:16">
      <c r="A1938" s="187" t="str">
        <f t="shared" si="30"/>
        <v>V4055C0</v>
      </c>
      <c r="B1938" s="208" t="s">
        <v>3660</v>
      </c>
      <c r="C1938" s="208"/>
      <c r="D1938" s="208" t="s">
        <v>3659</v>
      </c>
      <c r="E1938" s="208" t="s">
        <v>29</v>
      </c>
      <c r="F1938" s="208" t="s">
        <v>3661</v>
      </c>
      <c r="G1938" s="208"/>
      <c r="H1938" s="208"/>
      <c r="I1938" s="208"/>
      <c r="J1938" s="208" t="s">
        <v>3662</v>
      </c>
      <c r="K1938" s="208" t="s">
        <v>3663</v>
      </c>
      <c r="L1938" s="208"/>
      <c r="M1938" s="209"/>
      <c r="N1938" s="208"/>
      <c r="O1938" s="208" t="s">
        <v>131</v>
      </c>
      <c r="P1938" s="208" t="s">
        <v>107</v>
      </c>
    </row>
    <row r="1939" spans="1:16">
      <c r="A1939" s="187" t="str">
        <f t="shared" si="30"/>
        <v>V4097C0</v>
      </c>
      <c r="B1939" s="206" t="s">
        <v>5692</v>
      </c>
      <c r="C1939" s="206"/>
      <c r="D1939" s="206" t="s">
        <v>5597</v>
      </c>
      <c r="E1939" s="206" t="s">
        <v>29</v>
      </c>
      <c r="F1939" s="206"/>
      <c r="G1939" s="206"/>
      <c r="H1939" s="206"/>
      <c r="I1939" s="206"/>
      <c r="J1939" s="206" t="s">
        <v>5693</v>
      </c>
      <c r="K1939" s="206" t="s">
        <v>5694</v>
      </c>
      <c r="L1939" s="206"/>
      <c r="M1939" s="207"/>
      <c r="N1939" s="206"/>
      <c r="O1939" s="206"/>
      <c r="P1939" s="206" t="s">
        <v>107</v>
      </c>
    </row>
    <row r="1940" spans="1:16">
      <c r="A1940" s="187" t="str">
        <f t="shared" si="30"/>
        <v>004301</v>
      </c>
      <c r="B1940" s="208" t="s">
        <v>4732</v>
      </c>
      <c r="C1940" s="208"/>
      <c r="D1940" s="208" t="s">
        <v>4731</v>
      </c>
      <c r="E1940" s="208" t="s">
        <v>29</v>
      </c>
      <c r="F1940" s="208"/>
      <c r="G1940" s="208"/>
      <c r="H1940" s="208"/>
      <c r="I1940" s="208"/>
      <c r="J1940" s="208"/>
      <c r="K1940" s="208"/>
      <c r="L1940" s="208"/>
      <c r="M1940" s="209"/>
      <c r="N1940" s="208"/>
      <c r="O1940" s="208"/>
      <c r="P1940" s="208"/>
    </row>
    <row r="1941" spans="1:16">
      <c r="A1941" s="187" t="str">
        <f t="shared" si="30"/>
        <v>V20019A</v>
      </c>
      <c r="B1941" s="206" t="s">
        <v>3665</v>
      </c>
      <c r="C1941" s="206"/>
      <c r="D1941" s="206" t="s">
        <v>3664</v>
      </c>
      <c r="E1941" s="206" t="s">
        <v>29</v>
      </c>
      <c r="F1941" s="206" t="s">
        <v>3666</v>
      </c>
      <c r="G1941" s="206"/>
      <c r="H1941" s="206"/>
      <c r="I1941" s="206" t="s">
        <v>3667</v>
      </c>
      <c r="J1941" s="206" t="s">
        <v>2894</v>
      </c>
      <c r="K1941" s="206" t="s">
        <v>3668</v>
      </c>
      <c r="L1941" s="206"/>
      <c r="M1941" s="207"/>
      <c r="N1941" s="206"/>
      <c r="O1941" s="206" t="s">
        <v>40</v>
      </c>
      <c r="P1941" s="206" t="s">
        <v>34</v>
      </c>
    </row>
    <row r="1942" spans="1:16">
      <c r="A1942" s="187" t="str">
        <f t="shared" si="30"/>
        <v>V20019B</v>
      </c>
      <c r="B1942" s="208" t="s">
        <v>3665</v>
      </c>
      <c r="C1942" s="208"/>
      <c r="D1942" s="208" t="s">
        <v>3669</v>
      </c>
      <c r="E1942" s="208" t="s">
        <v>29</v>
      </c>
      <c r="F1942" s="208" t="s">
        <v>3666</v>
      </c>
      <c r="G1942" s="208"/>
      <c r="H1942" s="208"/>
      <c r="I1942" s="208" t="s">
        <v>3667</v>
      </c>
      <c r="J1942" s="208" t="s">
        <v>2894</v>
      </c>
      <c r="K1942" s="208" t="s">
        <v>3668</v>
      </c>
      <c r="L1942" s="208"/>
      <c r="M1942" s="209"/>
      <c r="N1942" s="208"/>
      <c r="O1942" s="208" t="s">
        <v>40</v>
      </c>
      <c r="P1942" s="208" t="s">
        <v>34</v>
      </c>
    </row>
    <row r="1943" spans="1:16">
      <c r="A1943" s="187" t="str">
        <f t="shared" si="30"/>
        <v>V20019C</v>
      </c>
      <c r="B1943" s="206" t="s">
        <v>3665</v>
      </c>
      <c r="C1943" s="206"/>
      <c r="D1943" s="206" t="s">
        <v>3670</v>
      </c>
      <c r="E1943" s="206" t="s">
        <v>29</v>
      </c>
      <c r="F1943" s="206" t="s">
        <v>3666</v>
      </c>
      <c r="G1943" s="206"/>
      <c r="H1943" s="206"/>
      <c r="I1943" s="206" t="s">
        <v>3667</v>
      </c>
      <c r="J1943" s="206" t="s">
        <v>2894</v>
      </c>
      <c r="K1943" s="206" t="s">
        <v>3668</v>
      </c>
      <c r="L1943" s="206"/>
      <c r="M1943" s="207"/>
      <c r="N1943" s="206"/>
      <c r="O1943" s="206" t="s">
        <v>40</v>
      </c>
      <c r="P1943" s="206" t="s">
        <v>34</v>
      </c>
    </row>
    <row r="1944" spans="1:16">
      <c r="A1944" s="187" t="str">
        <f t="shared" si="30"/>
        <v>V20001A</v>
      </c>
      <c r="B1944" s="208" t="s">
        <v>3672</v>
      </c>
      <c r="C1944" s="208"/>
      <c r="D1944" s="208" t="s">
        <v>3671</v>
      </c>
      <c r="E1944" s="208" t="s">
        <v>29</v>
      </c>
      <c r="F1944" s="208" t="s">
        <v>3673</v>
      </c>
      <c r="G1944" s="208"/>
      <c r="H1944" s="208"/>
      <c r="I1944" s="208"/>
      <c r="J1944" s="208" t="s">
        <v>3674</v>
      </c>
      <c r="K1944" s="208" t="s">
        <v>3675</v>
      </c>
      <c r="L1944" s="208"/>
      <c r="M1944" s="209"/>
      <c r="N1944" s="208"/>
      <c r="O1944" s="208" t="s">
        <v>40</v>
      </c>
      <c r="P1944" s="208" t="s">
        <v>34</v>
      </c>
    </row>
    <row r="1945" spans="1:16">
      <c r="A1945" s="187" t="str">
        <f t="shared" si="30"/>
        <v>V20001B</v>
      </c>
      <c r="B1945" s="206" t="s">
        <v>3672</v>
      </c>
      <c r="C1945" s="206"/>
      <c r="D1945" s="206" t="s">
        <v>3676</v>
      </c>
      <c r="E1945" s="206" t="s">
        <v>29</v>
      </c>
      <c r="F1945" s="206" t="s">
        <v>3673</v>
      </c>
      <c r="G1945" s="206"/>
      <c r="H1945" s="206"/>
      <c r="I1945" s="206"/>
      <c r="J1945" s="206" t="s">
        <v>3674</v>
      </c>
      <c r="K1945" s="206" t="s">
        <v>3675</v>
      </c>
      <c r="L1945" s="206"/>
      <c r="M1945" s="207"/>
      <c r="N1945" s="206"/>
      <c r="O1945" s="206" t="s">
        <v>40</v>
      </c>
      <c r="P1945" s="206" t="s">
        <v>34</v>
      </c>
    </row>
    <row r="1946" spans="1:16">
      <c r="A1946" s="187" t="str">
        <f t="shared" si="30"/>
        <v>V20001C</v>
      </c>
      <c r="B1946" s="208" t="s">
        <v>3672</v>
      </c>
      <c r="C1946" s="208"/>
      <c r="D1946" s="208" t="s">
        <v>3677</v>
      </c>
      <c r="E1946" s="208" t="s">
        <v>29</v>
      </c>
      <c r="F1946" s="208" t="s">
        <v>3673</v>
      </c>
      <c r="G1946" s="208"/>
      <c r="H1946" s="208"/>
      <c r="I1946" s="208"/>
      <c r="J1946" s="208" t="s">
        <v>3674</v>
      </c>
      <c r="K1946" s="208" t="s">
        <v>3675</v>
      </c>
      <c r="L1946" s="208"/>
      <c r="M1946" s="209"/>
      <c r="N1946" s="208"/>
      <c r="O1946" s="208" t="s">
        <v>40</v>
      </c>
      <c r="P1946" s="208" t="s">
        <v>34</v>
      </c>
    </row>
    <row r="1947" spans="1:16">
      <c r="A1947" s="187" t="str">
        <f t="shared" si="30"/>
        <v>CG450003C0</v>
      </c>
      <c r="B1947" s="206" t="s">
        <v>3672</v>
      </c>
      <c r="C1947" s="206"/>
      <c r="D1947" s="206" t="s">
        <v>3678</v>
      </c>
      <c r="E1947" s="206" t="s">
        <v>29</v>
      </c>
      <c r="F1947" s="206" t="s">
        <v>3673</v>
      </c>
      <c r="G1947" s="206"/>
      <c r="H1947" s="206"/>
      <c r="I1947" s="206"/>
      <c r="J1947" s="206"/>
      <c r="K1947" s="206"/>
      <c r="L1947" s="206"/>
      <c r="M1947" s="207"/>
      <c r="N1947" s="206"/>
      <c r="O1947" s="206"/>
      <c r="P1947" s="206" t="s">
        <v>100</v>
      </c>
    </row>
    <row r="1948" spans="1:16">
      <c r="A1948" s="187" t="str">
        <f t="shared" si="30"/>
        <v>CG450004C0</v>
      </c>
      <c r="B1948" s="208" t="s">
        <v>3680</v>
      </c>
      <c r="C1948" s="208"/>
      <c r="D1948" s="208" t="s">
        <v>3679</v>
      </c>
      <c r="E1948" s="208" t="s">
        <v>29</v>
      </c>
      <c r="F1948" s="208" t="s">
        <v>3673</v>
      </c>
      <c r="G1948" s="208"/>
      <c r="H1948" s="208"/>
      <c r="I1948" s="208"/>
      <c r="J1948" s="208"/>
      <c r="K1948" s="208"/>
      <c r="L1948" s="208"/>
      <c r="M1948" s="209"/>
      <c r="N1948" s="208"/>
      <c r="O1948" s="208"/>
      <c r="P1948" s="208" t="s">
        <v>100</v>
      </c>
    </row>
    <row r="1949" spans="1:16">
      <c r="A1949" s="187" t="str">
        <f t="shared" si="30"/>
        <v>V20102A</v>
      </c>
      <c r="B1949" s="206" t="s">
        <v>3680</v>
      </c>
      <c r="C1949" s="206"/>
      <c r="D1949" s="206" t="s">
        <v>3681</v>
      </c>
      <c r="E1949" s="206" t="s">
        <v>29</v>
      </c>
      <c r="F1949" s="206" t="s">
        <v>3673</v>
      </c>
      <c r="G1949" s="206"/>
      <c r="H1949" s="206"/>
      <c r="I1949" s="206"/>
      <c r="J1949" s="206" t="s">
        <v>3682</v>
      </c>
      <c r="K1949" s="206" t="s">
        <v>3683</v>
      </c>
      <c r="L1949" s="206"/>
      <c r="M1949" s="207"/>
      <c r="N1949" s="206"/>
      <c r="O1949" s="206" t="s">
        <v>40</v>
      </c>
      <c r="P1949" s="206" t="s">
        <v>34</v>
      </c>
    </row>
    <row r="1950" spans="1:16">
      <c r="A1950" s="187" t="str">
        <f t="shared" si="30"/>
        <v>V20102B</v>
      </c>
      <c r="B1950" s="208" t="s">
        <v>3680</v>
      </c>
      <c r="C1950" s="208"/>
      <c r="D1950" s="208" t="s">
        <v>3684</v>
      </c>
      <c r="E1950" s="208" t="s">
        <v>29</v>
      </c>
      <c r="F1950" s="208" t="s">
        <v>3673</v>
      </c>
      <c r="G1950" s="208"/>
      <c r="H1950" s="208"/>
      <c r="I1950" s="208"/>
      <c r="J1950" s="208" t="s">
        <v>3682</v>
      </c>
      <c r="K1950" s="208" t="s">
        <v>3683</v>
      </c>
      <c r="L1950" s="208"/>
      <c r="M1950" s="209"/>
      <c r="N1950" s="208"/>
      <c r="O1950" s="208" t="s">
        <v>40</v>
      </c>
      <c r="P1950" s="208" t="s">
        <v>34</v>
      </c>
    </row>
    <row r="1951" spans="1:16">
      <c r="A1951" s="187" t="str">
        <f t="shared" si="30"/>
        <v>V20102C</v>
      </c>
      <c r="B1951" s="206" t="s">
        <v>3680</v>
      </c>
      <c r="C1951" s="206"/>
      <c r="D1951" s="206" t="s">
        <v>3685</v>
      </c>
      <c r="E1951" s="206" t="s">
        <v>29</v>
      </c>
      <c r="F1951" s="206" t="s">
        <v>3673</v>
      </c>
      <c r="G1951" s="206"/>
      <c r="H1951" s="206"/>
      <c r="I1951" s="206"/>
      <c r="J1951" s="206" t="s">
        <v>3682</v>
      </c>
      <c r="K1951" s="206" t="s">
        <v>3683</v>
      </c>
      <c r="L1951" s="206"/>
      <c r="M1951" s="207"/>
      <c r="N1951" s="206"/>
      <c r="O1951" s="206" t="s">
        <v>40</v>
      </c>
      <c r="P1951" s="206" t="s">
        <v>34</v>
      </c>
    </row>
    <row r="1952" spans="1:16">
      <c r="A1952" s="187" t="str">
        <f t="shared" si="30"/>
        <v>V20096A</v>
      </c>
      <c r="B1952" s="208" t="s">
        <v>3687</v>
      </c>
      <c r="C1952" s="208"/>
      <c r="D1952" s="208" t="s">
        <v>3686</v>
      </c>
      <c r="E1952" s="208" t="s">
        <v>29</v>
      </c>
      <c r="F1952" s="208" t="s">
        <v>3688</v>
      </c>
      <c r="G1952" s="208"/>
      <c r="H1952" s="208"/>
      <c r="I1952" s="208" t="s">
        <v>3689</v>
      </c>
      <c r="J1952" s="208" t="s">
        <v>3690</v>
      </c>
      <c r="K1952" s="208" t="s">
        <v>3691</v>
      </c>
      <c r="L1952" s="208"/>
      <c r="M1952" s="209"/>
      <c r="N1952" s="208"/>
      <c r="O1952" s="208" t="s">
        <v>40</v>
      </c>
      <c r="P1952" s="208" t="s">
        <v>34</v>
      </c>
    </row>
    <row r="1953" spans="1:16">
      <c r="A1953" s="187" t="str">
        <f t="shared" si="30"/>
        <v>V20096B</v>
      </c>
      <c r="B1953" s="206" t="s">
        <v>3687</v>
      </c>
      <c r="C1953" s="206"/>
      <c r="D1953" s="206" t="s">
        <v>3692</v>
      </c>
      <c r="E1953" s="206" t="s">
        <v>29</v>
      </c>
      <c r="F1953" s="206" t="s">
        <v>3688</v>
      </c>
      <c r="G1953" s="206"/>
      <c r="H1953" s="206"/>
      <c r="I1953" s="206" t="s">
        <v>3689</v>
      </c>
      <c r="J1953" s="206" t="s">
        <v>3690</v>
      </c>
      <c r="K1953" s="206" t="s">
        <v>3691</v>
      </c>
      <c r="L1953" s="206"/>
      <c r="M1953" s="207"/>
      <c r="N1953" s="206"/>
      <c r="O1953" s="206" t="s">
        <v>40</v>
      </c>
      <c r="P1953" s="206" t="s">
        <v>34</v>
      </c>
    </row>
    <row r="1954" spans="1:16">
      <c r="A1954" s="187" t="str">
        <f t="shared" si="30"/>
        <v>V20096C</v>
      </c>
      <c r="B1954" s="208" t="s">
        <v>3687</v>
      </c>
      <c r="C1954" s="208"/>
      <c r="D1954" s="208" t="s">
        <v>3693</v>
      </c>
      <c r="E1954" s="208" t="s">
        <v>29</v>
      </c>
      <c r="F1954" s="208" t="s">
        <v>3688</v>
      </c>
      <c r="G1954" s="208"/>
      <c r="H1954" s="208"/>
      <c r="I1954" s="208" t="s">
        <v>3689</v>
      </c>
      <c r="J1954" s="208" t="s">
        <v>3690</v>
      </c>
      <c r="K1954" s="208" t="s">
        <v>3691</v>
      </c>
      <c r="L1954" s="208"/>
      <c r="M1954" s="209"/>
      <c r="N1954" s="208"/>
      <c r="O1954" s="208" t="s">
        <v>40</v>
      </c>
      <c r="P1954" s="208" t="s">
        <v>34</v>
      </c>
    </row>
    <row r="1955" spans="1:16">
      <c r="A1955" s="187" t="str">
        <f t="shared" si="30"/>
        <v>005101</v>
      </c>
      <c r="B1955" s="206" t="s">
        <v>4734</v>
      </c>
      <c r="C1955" s="206"/>
      <c r="D1955" s="206" t="s">
        <v>4733</v>
      </c>
      <c r="E1955" s="206" t="s">
        <v>29</v>
      </c>
      <c r="F1955" s="206"/>
      <c r="G1955" s="206"/>
      <c r="H1955" s="206"/>
      <c r="I1955" s="206"/>
      <c r="J1955" s="206"/>
      <c r="K1955" s="206"/>
      <c r="L1955" s="206"/>
      <c r="M1955" s="207"/>
      <c r="N1955" s="206"/>
      <c r="O1955" s="206"/>
      <c r="P1955" s="206"/>
    </row>
    <row r="1956" spans="1:16">
      <c r="A1956" s="187" t="str">
        <f t="shared" si="30"/>
        <v>005102</v>
      </c>
      <c r="B1956" s="208" t="s">
        <v>4734</v>
      </c>
      <c r="C1956" s="208"/>
      <c r="D1956" s="208" t="s">
        <v>4735</v>
      </c>
      <c r="E1956" s="208" t="s">
        <v>29</v>
      </c>
      <c r="F1956" s="208"/>
      <c r="G1956" s="208"/>
      <c r="H1956" s="208"/>
      <c r="I1956" s="208"/>
      <c r="J1956" s="208"/>
      <c r="K1956" s="208"/>
      <c r="L1956" s="208"/>
      <c r="M1956" s="209"/>
      <c r="N1956" s="208"/>
      <c r="O1956" s="208"/>
      <c r="P1956" s="208"/>
    </row>
    <row r="1957" spans="1:16">
      <c r="A1957" s="187" t="str">
        <f t="shared" si="30"/>
        <v>970060C</v>
      </c>
      <c r="B1957" s="206" t="s">
        <v>3695</v>
      </c>
      <c r="C1957" s="206"/>
      <c r="D1957" s="206" t="s">
        <v>3694</v>
      </c>
      <c r="E1957" s="206" t="s">
        <v>141</v>
      </c>
      <c r="F1957" s="206" t="s">
        <v>3696</v>
      </c>
      <c r="G1957" s="206"/>
      <c r="H1957" s="206"/>
      <c r="I1957" s="206"/>
      <c r="J1957" s="206" t="s">
        <v>3697</v>
      </c>
      <c r="K1957" s="206" t="s">
        <v>3698</v>
      </c>
      <c r="L1957" s="206"/>
      <c r="M1957" s="207"/>
      <c r="N1957" s="206"/>
      <c r="O1957" s="206"/>
      <c r="P1957" s="206" t="s">
        <v>164</v>
      </c>
    </row>
    <row r="1958" spans="1:16">
      <c r="A1958" s="187" t="str">
        <f t="shared" si="30"/>
        <v>V20125C</v>
      </c>
      <c r="B1958" s="208" t="s">
        <v>4737</v>
      </c>
      <c r="C1958" s="208"/>
      <c r="D1958" s="208" t="s">
        <v>4736</v>
      </c>
      <c r="E1958" s="208" t="s">
        <v>29</v>
      </c>
      <c r="F1958" s="208" t="s">
        <v>4738</v>
      </c>
      <c r="G1958" s="208"/>
      <c r="H1958" s="208"/>
      <c r="I1958" s="208"/>
      <c r="J1958" s="208" t="s">
        <v>3128</v>
      </c>
      <c r="K1958" s="208" t="s">
        <v>4739</v>
      </c>
      <c r="L1958" s="208"/>
      <c r="M1958" s="209"/>
      <c r="N1958" s="208"/>
      <c r="O1958" s="208"/>
      <c r="P1958" s="208" t="s">
        <v>34</v>
      </c>
    </row>
    <row r="1959" spans="1:16">
      <c r="A1959" s="187" t="str">
        <f t="shared" si="30"/>
        <v>V10028A</v>
      </c>
      <c r="B1959" s="206" t="s">
        <v>3700</v>
      </c>
      <c r="C1959" s="206"/>
      <c r="D1959" s="206" t="s">
        <v>3699</v>
      </c>
      <c r="E1959" s="206" t="s">
        <v>29</v>
      </c>
      <c r="F1959" s="206" t="s">
        <v>3701</v>
      </c>
      <c r="G1959" s="206" t="s">
        <v>3702</v>
      </c>
      <c r="H1959" s="206"/>
      <c r="I1959" s="206" t="s">
        <v>3703</v>
      </c>
      <c r="J1959" s="206" t="s">
        <v>3704</v>
      </c>
      <c r="K1959" s="206" t="s">
        <v>3705</v>
      </c>
      <c r="L1959" s="206"/>
      <c r="M1959" s="207"/>
      <c r="N1959" s="206"/>
      <c r="O1959" s="206" t="s">
        <v>260</v>
      </c>
      <c r="P1959" s="206" t="s">
        <v>91</v>
      </c>
    </row>
    <row r="1960" spans="1:16">
      <c r="A1960" s="187" t="str">
        <f t="shared" si="30"/>
        <v>V10028B</v>
      </c>
      <c r="B1960" s="208" t="s">
        <v>3700</v>
      </c>
      <c r="C1960" s="208"/>
      <c r="D1960" s="208" t="s">
        <v>3706</v>
      </c>
      <c r="E1960" s="208" t="s">
        <v>29</v>
      </c>
      <c r="F1960" s="208" t="s">
        <v>3701</v>
      </c>
      <c r="G1960" s="208" t="s">
        <v>3702</v>
      </c>
      <c r="H1960" s="208"/>
      <c r="I1960" s="208" t="s">
        <v>3703</v>
      </c>
      <c r="J1960" s="208" t="s">
        <v>3704</v>
      </c>
      <c r="K1960" s="208" t="s">
        <v>3705</v>
      </c>
      <c r="L1960" s="208"/>
      <c r="M1960" s="209"/>
      <c r="N1960" s="208"/>
      <c r="O1960" s="208" t="s">
        <v>260</v>
      </c>
      <c r="P1960" s="208" t="s">
        <v>91</v>
      </c>
    </row>
    <row r="1961" spans="1:16">
      <c r="A1961" s="187" t="str">
        <f t="shared" si="30"/>
        <v>V10028C</v>
      </c>
      <c r="B1961" s="206" t="s">
        <v>3700</v>
      </c>
      <c r="C1961" s="206"/>
      <c r="D1961" s="206" t="s">
        <v>3707</v>
      </c>
      <c r="E1961" s="206" t="s">
        <v>29</v>
      </c>
      <c r="F1961" s="206" t="s">
        <v>3701</v>
      </c>
      <c r="G1961" s="206" t="s">
        <v>3702</v>
      </c>
      <c r="H1961" s="206"/>
      <c r="I1961" s="206" t="s">
        <v>3703</v>
      </c>
      <c r="J1961" s="206" t="s">
        <v>3704</v>
      </c>
      <c r="K1961" s="206" t="s">
        <v>3705</v>
      </c>
      <c r="L1961" s="206"/>
      <c r="M1961" s="207"/>
      <c r="N1961" s="206"/>
      <c r="O1961" s="206" t="s">
        <v>260</v>
      </c>
      <c r="P1961" s="206" t="s">
        <v>91</v>
      </c>
    </row>
    <row r="1962" spans="1:16">
      <c r="A1962" s="187" t="str">
        <f t="shared" si="30"/>
        <v>V20013A</v>
      </c>
      <c r="B1962" s="208" t="s">
        <v>3709</v>
      </c>
      <c r="C1962" s="208"/>
      <c r="D1962" s="208" t="s">
        <v>3708</v>
      </c>
      <c r="E1962" s="208" t="s">
        <v>29</v>
      </c>
      <c r="F1962" s="208" t="s">
        <v>3710</v>
      </c>
      <c r="G1962" s="208"/>
      <c r="H1962" s="208"/>
      <c r="I1962" s="208" t="s">
        <v>3711</v>
      </c>
      <c r="J1962" s="208" t="s">
        <v>3712</v>
      </c>
      <c r="K1962" s="208" t="s">
        <v>3713</v>
      </c>
      <c r="L1962" s="208"/>
      <c r="M1962" s="209"/>
      <c r="N1962" s="208"/>
      <c r="O1962" s="208" t="s">
        <v>40</v>
      </c>
      <c r="P1962" s="208" t="s">
        <v>34</v>
      </c>
    </row>
    <row r="1963" spans="1:16">
      <c r="A1963" s="187" t="str">
        <f t="shared" si="30"/>
        <v>V20013B</v>
      </c>
      <c r="B1963" s="206" t="s">
        <v>3709</v>
      </c>
      <c r="C1963" s="206"/>
      <c r="D1963" s="206" t="s">
        <v>3714</v>
      </c>
      <c r="E1963" s="206" t="s">
        <v>29</v>
      </c>
      <c r="F1963" s="206" t="s">
        <v>3710</v>
      </c>
      <c r="G1963" s="206"/>
      <c r="H1963" s="206"/>
      <c r="I1963" s="206" t="s">
        <v>3711</v>
      </c>
      <c r="J1963" s="206" t="s">
        <v>3712</v>
      </c>
      <c r="K1963" s="206" t="s">
        <v>3713</v>
      </c>
      <c r="L1963" s="206"/>
      <c r="M1963" s="207"/>
      <c r="N1963" s="206"/>
      <c r="O1963" s="206" t="s">
        <v>40</v>
      </c>
      <c r="P1963" s="206" t="s">
        <v>34</v>
      </c>
    </row>
    <row r="1964" spans="1:16">
      <c r="A1964" s="187" t="str">
        <f t="shared" si="30"/>
        <v>V20013C</v>
      </c>
      <c r="B1964" s="208" t="s">
        <v>3709</v>
      </c>
      <c r="C1964" s="208"/>
      <c r="D1964" s="208" t="s">
        <v>3715</v>
      </c>
      <c r="E1964" s="208" t="s">
        <v>29</v>
      </c>
      <c r="F1964" s="208" t="s">
        <v>3710</v>
      </c>
      <c r="G1964" s="208"/>
      <c r="H1964" s="208"/>
      <c r="I1964" s="208" t="s">
        <v>3711</v>
      </c>
      <c r="J1964" s="208" t="s">
        <v>3712</v>
      </c>
      <c r="K1964" s="208" t="s">
        <v>3713</v>
      </c>
      <c r="L1964" s="208"/>
      <c r="M1964" s="209"/>
      <c r="N1964" s="208"/>
      <c r="O1964" s="208" t="s">
        <v>40</v>
      </c>
      <c r="P1964" s="208" t="s">
        <v>34</v>
      </c>
    </row>
    <row r="1965" spans="1:16">
      <c r="A1965" s="187" t="str">
        <f t="shared" si="30"/>
        <v>CG40002096</v>
      </c>
      <c r="B1965" s="206" t="s">
        <v>3709</v>
      </c>
      <c r="C1965" s="206"/>
      <c r="D1965" s="206" t="s">
        <v>5479</v>
      </c>
      <c r="E1965" s="206" t="s">
        <v>29</v>
      </c>
      <c r="F1965" s="206" t="s">
        <v>3710</v>
      </c>
      <c r="G1965" s="206"/>
      <c r="H1965" s="206"/>
      <c r="I1965" s="206"/>
      <c r="J1965" s="206"/>
      <c r="K1965" s="206"/>
      <c r="L1965" s="206"/>
      <c r="M1965" s="207"/>
      <c r="N1965" s="206"/>
      <c r="O1965" s="206"/>
      <c r="P1965" s="206" t="s">
        <v>100</v>
      </c>
    </row>
    <row r="1966" spans="1:16">
      <c r="A1966" s="187" t="str">
        <f t="shared" si="30"/>
        <v>CG450015C0</v>
      </c>
      <c r="B1966" s="208" t="s">
        <v>5480</v>
      </c>
      <c r="C1966" s="208"/>
      <c r="D1966" s="208" t="s">
        <v>5481</v>
      </c>
      <c r="E1966" s="208" t="s">
        <v>29</v>
      </c>
      <c r="F1966" s="208"/>
      <c r="G1966" s="208"/>
      <c r="H1966" s="208"/>
      <c r="I1966" s="208"/>
      <c r="J1966" s="208"/>
      <c r="K1966" s="208"/>
      <c r="L1966" s="208"/>
      <c r="M1966" s="209"/>
      <c r="N1966" s="208"/>
      <c r="O1966" s="208"/>
      <c r="P1966" s="208" t="s">
        <v>100</v>
      </c>
    </row>
    <row r="1967" spans="1:16">
      <c r="A1967" s="187" t="str">
        <f t="shared" si="30"/>
        <v>V20109A</v>
      </c>
      <c r="B1967" s="206" t="s">
        <v>3717</v>
      </c>
      <c r="C1967" s="206"/>
      <c r="D1967" s="206" t="s">
        <v>3716</v>
      </c>
      <c r="E1967" s="206" t="s">
        <v>29</v>
      </c>
      <c r="F1967" s="206" t="s">
        <v>3718</v>
      </c>
      <c r="G1967" s="206" t="s">
        <v>3719</v>
      </c>
      <c r="H1967" s="206"/>
      <c r="I1967" s="206" t="s">
        <v>3720</v>
      </c>
      <c r="J1967" s="206" t="s">
        <v>3721</v>
      </c>
      <c r="K1967" s="206" t="s">
        <v>3722</v>
      </c>
      <c r="L1967" s="206"/>
      <c r="M1967" s="207"/>
      <c r="N1967" s="206"/>
      <c r="O1967" s="206"/>
      <c r="P1967" s="206" t="s">
        <v>34</v>
      </c>
    </row>
    <row r="1968" spans="1:16">
      <c r="A1968" s="187" t="str">
        <f t="shared" si="30"/>
        <v>V20126B</v>
      </c>
      <c r="B1968" s="208" t="s">
        <v>5020</v>
      </c>
      <c r="C1968" s="208" t="s">
        <v>5021</v>
      </c>
      <c r="D1968" s="208" t="s">
        <v>5022</v>
      </c>
      <c r="E1968" s="208" t="s">
        <v>29</v>
      </c>
      <c r="F1968" s="208" t="s">
        <v>5023</v>
      </c>
      <c r="G1968" s="208"/>
      <c r="H1968" s="208"/>
      <c r="I1968" s="208" t="s">
        <v>5024</v>
      </c>
      <c r="J1968" s="208" t="s">
        <v>5025</v>
      </c>
      <c r="K1968" s="208" t="s">
        <v>5026</v>
      </c>
      <c r="L1968" s="208"/>
      <c r="M1968" s="209"/>
      <c r="N1968" s="208"/>
      <c r="O1968" s="208"/>
      <c r="P1968" s="208" t="s">
        <v>34</v>
      </c>
    </row>
    <row r="1969" spans="1:16">
      <c r="A1969" s="187" t="str">
        <f t="shared" si="30"/>
        <v>V20080A</v>
      </c>
      <c r="B1969" s="206" t="s">
        <v>3724</v>
      </c>
      <c r="C1969" s="206"/>
      <c r="D1969" s="206" t="s">
        <v>3723</v>
      </c>
      <c r="E1969" s="206" t="s">
        <v>29</v>
      </c>
      <c r="F1969" s="206" t="s">
        <v>3725</v>
      </c>
      <c r="G1969" s="206"/>
      <c r="H1969" s="206"/>
      <c r="I1969" s="206"/>
      <c r="J1969" s="206" t="s">
        <v>3726</v>
      </c>
      <c r="K1969" s="206" t="s">
        <v>3727</v>
      </c>
      <c r="L1969" s="206"/>
      <c r="M1969" s="207"/>
      <c r="N1969" s="206"/>
      <c r="O1969" s="206" t="s">
        <v>40</v>
      </c>
      <c r="P1969" s="206" t="s">
        <v>34</v>
      </c>
    </row>
    <row r="1970" spans="1:16">
      <c r="A1970" s="187" t="str">
        <f t="shared" si="30"/>
        <v>V20080B</v>
      </c>
      <c r="B1970" s="208" t="s">
        <v>3724</v>
      </c>
      <c r="C1970" s="208"/>
      <c r="D1970" s="208" t="s">
        <v>3728</v>
      </c>
      <c r="E1970" s="208" t="s">
        <v>29</v>
      </c>
      <c r="F1970" s="208" t="s">
        <v>3725</v>
      </c>
      <c r="G1970" s="208"/>
      <c r="H1970" s="208"/>
      <c r="I1970" s="208"/>
      <c r="J1970" s="208" t="s">
        <v>3726</v>
      </c>
      <c r="K1970" s="208" t="s">
        <v>3727</v>
      </c>
      <c r="L1970" s="208"/>
      <c r="M1970" s="209"/>
      <c r="N1970" s="208"/>
      <c r="O1970" s="208" t="s">
        <v>40</v>
      </c>
      <c r="P1970" s="208" t="s">
        <v>34</v>
      </c>
    </row>
    <row r="1971" spans="1:16">
      <c r="A1971" s="187" t="str">
        <f t="shared" si="30"/>
        <v>V20080C</v>
      </c>
      <c r="B1971" s="206" t="s">
        <v>3724</v>
      </c>
      <c r="C1971" s="206"/>
      <c r="D1971" s="206" t="s">
        <v>3729</v>
      </c>
      <c r="E1971" s="206" t="s">
        <v>29</v>
      </c>
      <c r="F1971" s="206" t="s">
        <v>3725</v>
      </c>
      <c r="G1971" s="206"/>
      <c r="H1971" s="206"/>
      <c r="I1971" s="206"/>
      <c r="J1971" s="206" t="s">
        <v>3726</v>
      </c>
      <c r="K1971" s="206" t="s">
        <v>3727</v>
      </c>
      <c r="L1971" s="206"/>
      <c r="M1971" s="207"/>
      <c r="N1971" s="206"/>
      <c r="O1971" s="206" t="s">
        <v>40</v>
      </c>
      <c r="P1971" s="206" t="s">
        <v>34</v>
      </c>
    </row>
    <row r="1972" spans="1:16">
      <c r="A1972" s="187" t="str">
        <f t="shared" si="30"/>
        <v>V20157C</v>
      </c>
      <c r="B1972" s="208" t="s">
        <v>5554</v>
      </c>
      <c r="C1972" s="208"/>
      <c r="D1972" s="208" t="s">
        <v>5555</v>
      </c>
      <c r="E1972" s="208" t="s">
        <v>29</v>
      </c>
      <c r="F1972" s="208" t="s">
        <v>5556</v>
      </c>
      <c r="G1972" s="208"/>
      <c r="H1972" s="208"/>
      <c r="I1972" s="208" t="s">
        <v>5557</v>
      </c>
      <c r="J1972" s="208"/>
      <c r="K1972" s="208"/>
      <c r="L1972" s="208"/>
      <c r="M1972" s="209"/>
      <c r="N1972" s="208"/>
      <c r="O1972" s="208" t="s">
        <v>260</v>
      </c>
      <c r="P1972" s="208" t="s">
        <v>34</v>
      </c>
    </row>
    <row r="1973" spans="1:16">
      <c r="A1973" s="187" t="str">
        <f t="shared" si="30"/>
        <v>V20157A</v>
      </c>
      <c r="B1973" s="206" t="s">
        <v>5554</v>
      </c>
      <c r="C1973" s="206"/>
      <c r="D1973" s="206" t="s">
        <v>5600</v>
      </c>
      <c r="E1973" s="206" t="s">
        <v>29</v>
      </c>
      <c r="F1973" s="206" t="s">
        <v>5601</v>
      </c>
      <c r="G1973" s="206"/>
      <c r="H1973" s="206"/>
      <c r="I1973" s="206" t="s">
        <v>5557</v>
      </c>
      <c r="J1973" s="206"/>
      <c r="K1973" s="206"/>
      <c r="L1973" s="206"/>
      <c r="M1973" s="207"/>
      <c r="N1973" s="206"/>
      <c r="O1973" s="206"/>
      <c r="P1973" s="206" t="s">
        <v>34</v>
      </c>
    </row>
    <row r="1974" spans="1:16">
      <c r="A1974" s="187" t="str">
        <f t="shared" si="30"/>
        <v>V20119C</v>
      </c>
      <c r="B1974" s="208" t="s">
        <v>4741</v>
      </c>
      <c r="C1974" s="208"/>
      <c r="D1974" s="208" t="s">
        <v>4740</v>
      </c>
      <c r="E1974" s="208" t="s">
        <v>151</v>
      </c>
      <c r="F1974" s="208" t="s">
        <v>4742</v>
      </c>
      <c r="G1974" s="208"/>
      <c r="H1974" s="208"/>
      <c r="I1974" s="208"/>
      <c r="J1974" s="208" t="s">
        <v>5027</v>
      </c>
      <c r="K1974" s="208" t="s">
        <v>5028</v>
      </c>
      <c r="L1974" s="208"/>
      <c r="M1974" s="209"/>
      <c r="N1974" s="208"/>
      <c r="O1974" s="208"/>
      <c r="P1974" s="208" t="s">
        <v>34</v>
      </c>
    </row>
    <row r="1975" spans="1:16">
      <c r="A1975" s="187" t="str">
        <f t="shared" si="30"/>
        <v>V20006A</v>
      </c>
      <c r="B1975" s="206" t="s">
        <v>3731</v>
      </c>
      <c r="C1975" s="206"/>
      <c r="D1975" s="206" t="s">
        <v>3730</v>
      </c>
      <c r="E1975" s="206" t="s">
        <v>29</v>
      </c>
      <c r="F1975" s="206" t="s">
        <v>3732</v>
      </c>
      <c r="G1975" s="206"/>
      <c r="H1975" s="206"/>
      <c r="I1975" s="206" t="s">
        <v>3733</v>
      </c>
      <c r="J1975" s="206" t="s">
        <v>3734</v>
      </c>
      <c r="K1975" s="206" t="s">
        <v>3735</v>
      </c>
      <c r="L1975" s="206"/>
      <c r="M1975" s="207"/>
      <c r="N1975" s="206"/>
      <c r="O1975" s="206" t="s">
        <v>40</v>
      </c>
      <c r="P1975" s="206" t="s">
        <v>34</v>
      </c>
    </row>
    <row r="1976" spans="1:16">
      <c r="A1976" s="187" t="str">
        <f t="shared" si="30"/>
        <v>V20006B</v>
      </c>
      <c r="B1976" s="208" t="s">
        <v>3731</v>
      </c>
      <c r="C1976" s="208"/>
      <c r="D1976" s="208" t="s">
        <v>3736</v>
      </c>
      <c r="E1976" s="208" t="s">
        <v>29</v>
      </c>
      <c r="F1976" s="208" t="s">
        <v>3732</v>
      </c>
      <c r="G1976" s="208"/>
      <c r="H1976" s="208"/>
      <c r="I1976" s="208" t="s">
        <v>3733</v>
      </c>
      <c r="J1976" s="208" t="s">
        <v>3734</v>
      </c>
      <c r="K1976" s="208" t="s">
        <v>3735</v>
      </c>
      <c r="L1976" s="208"/>
      <c r="M1976" s="209"/>
      <c r="N1976" s="208"/>
      <c r="O1976" s="208" t="s">
        <v>40</v>
      </c>
      <c r="P1976" s="208" t="s">
        <v>34</v>
      </c>
    </row>
    <row r="1977" spans="1:16">
      <c r="A1977" s="187" t="str">
        <f t="shared" si="30"/>
        <v>V20006C</v>
      </c>
      <c r="B1977" s="206" t="s">
        <v>3731</v>
      </c>
      <c r="C1977" s="206"/>
      <c r="D1977" s="206" t="s">
        <v>3737</v>
      </c>
      <c r="E1977" s="206" t="s">
        <v>29</v>
      </c>
      <c r="F1977" s="206" t="s">
        <v>3732</v>
      </c>
      <c r="G1977" s="206"/>
      <c r="H1977" s="206"/>
      <c r="I1977" s="206" t="s">
        <v>3733</v>
      </c>
      <c r="J1977" s="206" t="s">
        <v>3738</v>
      </c>
      <c r="K1977" s="206" t="s">
        <v>3735</v>
      </c>
      <c r="L1977" s="206"/>
      <c r="M1977" s="207"/>
      <c r="N1977" s="206"/>
      <c r="O1977" s="206" t="s">
        <v>40</v>
      </c>
      <c r="P1977" s="206" t="s">
        <v>34</v>
      </c>
    </row>
    <row r="1978" spans="1:16">
      <c r="A1978" s="187" t="str">
        <f t="shared" si="30"/>
        <v>V20072A</v>
      </c>
      <c r="B1978" s="208" t="s">
        <v>3740</v>
      </c>
      <c r="C1978" s="208"/>
      <c r="D1978" s="208" t="s">
        <v>3739</v>
      </c>
      <c r="E1978" s="208" t="s">
        <v>29</v>
      </c>
      <c r="F1978" s="208" t="s">
        <v>3741</v>
      </c>
      <c r="G1978" s="208"/>
      <c r="H1978" s="208"/>
      <c r="I1978" s="208" t="s">
        <v>3742</v>
      </c>
      <c r="J1978" s="208" t="s">
        <v>3743</v>
      </c>
      <c r="K1978" s="208" t="s">
        <v>3744</v>
      </c>
      <c r="L1978" s="208"/>
      <c r="M1978" s="209"/>
      <c r="N1978" s="208"/>
      <c r="O1978" s="208" t="s">
        <v>40</v>
      </c>
      <c r="P1978" s="208" t="s">
        <v>34</v>
      </c>
    </row>
    <row r="1979" spans="1:16">
      <c r="A1979" s="187" t="str">
        <f t="shared" si="30"/>
        <v>V20072B</v>
      </c>
      <c r="B1979" s="206" t="s">
        <v>3740</v>
      </c>
      <c r="C1979" s="206"/>
      <c r="D1979" s="206" t="s">
        <v>3745</v>
      </c>
      <c r="E1979" s="206" t="s">
        <v>29</v>
      </c>
      <c r="F1979" s="206" t="s">
        <v>3741</v>
      </c>
      <c r="G1979" s="206"/>
      <c r="H1979" s="206"/>
      <c r="I1979" s="206" t="s">
        <v>3742</v>
      </c>
      <c r="J1979" s="206" t="s">
        <v>3743</v>
      </c>
      <c r="K1979" s="206" t="s">
        <v>3744</v>
      </c>
      <c r="L1979" s="206"/>
      <c r="M1979" s="207"/>
      <c r="N1979" s="206"/>
      <c r="O1979" s="206" t="s">
        <v>40</v>
      </c>
      <c r="P1979" s="206" t="s">
        <v>34</v>
      </c>
    </row>
    <row r="1980" spans="1:16">
      <c r="A1980" s="187" t="str">
        <f t="shared" si="30"/>
        <v>V20072C</v>
      </c>
      <c r="B1980" s="208" t="s">
        <v>3740</v>
      </c>
      <c r="C1980" s="208"/>
      <c r="D1980" s="208" t="s">
        <v>3746</v>
      </c>
      <c r="E1980" s="208" t="s">
        <v>29</v>
      </c>
      <c r="F1980" s="208" t="s">
        <v>3741</v>
      </c>
      <c r="G1980" s="208"/>
      <c r="H1980" s="208"/>
      <c r="I1980" s="208" t="s">
        <v>3742</v>
      </c>
      <c r="J1980" s="208" t="s">
        <v>3743</v>
      </c>
      <c r="K1980" s="208" t="s">
        <v>3744</v>
      </c>
      <c r="L1980" s="208"/>
      <c r="M1980" s="209"/>
      <c r="N1980" s="208"/>
      <c r="O1980" s="208" t="s">
        <v>40</v>
      </c>
      <c r="P1980" s="208" t="s">
        <v>34</v>
      </c>
    </row>
    <row r="1981" spans="1:16">
      <c r="A1981" s="187" t="str">
        <f t="shared" si="30"/>
        <v>V20048A</v>
      </c>
      <c r="B1981" s="206" t="s">
        <v>3748</v>
      </c>
      <c r="C1981" s="206"/>
      <c r="D1981" s="206" t="s">
        <v>3747</v>
      </c>
      <c r="E1981" s="206" t="s">
        <v>29</v>
      </c>
      <c r="F1981" s="206" t="s">
        <v>3749</v>
      </c>
      <c r="G1981" s="206"/>
      <c r="H1981" s="206"/>
      <c r="I1981" s="206" t="s">
        <v>3750</v>
      </c>
      <c r="J1981" s="206" t="s">
        <v>3751</v>
      </c>
      <c r="K1981" s="206" t="s">
        <v>3752</v>
      </c>
      <c r="L1981" s="206"/>
      <c r="M1981" s="207"/>
      <c r="N1981" s="206"/>
      <c r="O1981" s="206" t="s">
        <v>40</v>
      </c>
      <c r="P1981" s="206" t="s">
        <v>34</v>
      </c>
    </row>
    <row r="1982" spans="1:16">
      <c r="A1982" s="187" t="str">
        <f t="shared" si="30"/>
        <v>V20048B</v>
      </c>
      <c r="B1982" s="208" t="s">
        <v>3748</v>
      </c>
      <c r="C1982" s="208"/>
      <c r="D1982" s="208" t="s">
        <v>3753</v>
      </c>
      <c r="E1982" s="208" t="s">
        <v>29</v>
      </c>
      <c r="F1982" s="208" t="s">
        <v>3749</v>
      </c>
      <c r="G1982" s="208"/>
      <c r="H1982" s="208"/>
      <c r="I1982" s="208" t="s">
        <v>3750</v>
      </c>
      <c r="J1982" s="208" t="s">
        <v>3751</v>
      </c>
      <c r="K1982" s="208" t="s">
        <v>3752</v>
      </c>
      <c r="L1982" s="208"/>
      <c r="M1982" s="209"/>
      <c r="N1982" s="208"/>
      <c r="O1982" s="208" t="s">
        <v>40</v>
      </c>
      <c r="P1982" s="208" t="s">
        <v>34</v>
      </c>
    </row>
    <row r="1983" spans="1:16">
      <c r="A1983" s="187" t="str">
        <f t="shared" si="30"/>
        <v>V20048C</v>
      </c>
      <c r="B1983" s="206" t="s">
        <v>3748</v>
      </c>
      <c r="C1983" s="206"/>
      <c r="D1983" s="206" t="s">
        <v>3754</v>
      </c>
      <c r="E1983" s="206" t="s">
        <v>29</v>
      </c>
      <c r="F1983" s="206" t="s">
        <v>3749</v>
      </c>
      <c r="G1983" s="206"/>
      <c r="H1983" s="206"/>
      <c r="I1983" s="206" t="s">
        <v>3750</v>
      </c>
      <c r="J1983" s="206" t="s">
        <v>3751</v>
      </c>
      <c r="K1983" s="206" t="s">
        <v>3752</v>
      </c>
      <c r="L1983" s="206"/>
      <c r="M1983" s="207"/>
      <c r="N1983" s="206"/>
      <c r="O1983" s="206" t="s">
        <v>40</v>
      </c>
      <c r="P1983" s="206" t="s">
        <v>34</v>
      </c>
    </row>
    <row r="1984" spans="1:16">
      <c r="A1984" s="187" t="str">
        <f t="shared" si="30"/>
        <v>V4034C0</v>
      </c>
      <c r="B1984" s="208" t="s">
        <v>3756</v>
      </c>
      <c r="C1984" s="208"/>
      <c r="D1984" s="208" t="s">
        <v>3755</v>
      </c>
      <c r="E1984" s="208" t="s">
        <v>29</v>
      </c>
      <c r="F1984" s="208" t="s">
        <v>3757</v>
      </c>
      <c r="G1984" s="208"/>
      <c r="H1984" s="208"/>
      <c r="I1984" s="208" t="s">
        <v>3758</v>
      </c>
      <c r="J1984" s="208" t="s">
        <v>3759</v>
      </c>
      <c r="K1984" s="208" t="s">
        <v>3760</v>
      </c>
      <c r="L1984" s="208"/>
      <c r="M1984" s="209"/>
      <c r="N1984" s="208"/>
      <c r="O1984" s="208" t="s">
        <v>131</v>
      </c>
      <c r="P1984" s="208" t="s">
        <v>107</v>
      </c>
    </row>
    <row r="1985" spans="1:16">
      <c r="A1985" s="187" t="str">
        <f t="shared" si="30"/>
        <v>V10425C</v>
      </c>
      <c r="B1985" s="206" t="s">
        <v>5695</v>
      </c>
      <c r="C1985" s="206"/>
      <c r="D1985" s="206" t="s">
        <v>5696</v>
      </c>
      <c r="E1985" s="206" t="s">
        <v>29</v>
      </c>
      <c r="F1985" s="206" t="s">
        <v>5697</v>
      </c>
      <c r="G1985" s="206"/>
      <c r="H1985" s="206"/>
      <c r="I1985" s="206"/>
      <c r="J1985" s="206" t="s">
        <v>5698</v>
      </c>
      <c r="K1985" s="206" t="s">
        <v>5699</v>
      </c>
      <c r="L1985" s="206"/>
      <c r="M1985" s="207"/>
      <c r="N1985" s="206"/>
      <c r="O1985" s="206"/>
      <c r="P1985" s="206" t="s">
        <v>91</v>
      </c>
    </row>
    <row r="1986" spans="1:16">
      <c r="A1986" s="187" t="str">
        <f t="shared" si="30"/>
        <v>V4035C0</v>
      </c>
      <c r="B1986" s="208" t="s">
        <v>3762</v>
      </c>
      <c r="C1986" s="208"/>
      <c r="D1986" s="208" t="s">
        <v>3761</v>
      </c>
      <c r="E1986" s="208" t="s">
        <v>29</v>
      </c>
      <c r="F1986" s="208" t="s">
        <v>3763</v>
      </c>
      <c r="G1986" s="208" t="s">
        <v>3764</v>
      </c>
      <c r="H1986" s="208"/>
      <c r="I1986" s="208"/>
      <c r="J1986" s="208" t="s">
        <v>3765</v>
      </c>
      <c r="K1986" s="208" t="s">
        <v>5283</v>
      </c>
      <c r="L1986" s="208"/>
      <c r="M1986" s="209"/>
      <c r="N1986" s="208"/>
      <c r="O1986" s="208" t="s">
        <v>131</v>
      </c>
      <c r="P1986" s="208" t="s">
        <v>107</v>
      </c>
    </row>
    <row r="1987" spans="1:16">
      <c r="A1987" s="187" t="str">
        <f t="shared" si="30"/>
        <v>V10047A</v>
      </c>
      <c r="B1987" s="206" t="s">
        <v>3767</v>
      </c>
      <c r="C1987" s="206"/>
      <c r="D1987" s="206" t="s">
        <v>3766</v>
      </c>
      <c r="E1987" s="206" t="s">
        <v>29</v>
      </c>
      <c r="F1987" s="206" t="s">
        <v>3768</v>
      </c>
      <c r="G1987" s="206" t="s">
        <v>3769</v>
      </c>
      <c r="H1987" s="206"/>
      <c r="I1987" s="206"/>
      <c r="J1987" s="206" t="s">
        <v>3770</v>
      </c>
      <c r="K1987" s="206" t="s">
        <v>3771</v>
      </c>
      <c r="L1987" s="206"/>
      <c r="M1987" s="207"/>
      <c r="N1987" s="206"/>
      <c r="O1987" s="206" t="s">
        <v>260</v>
      </c>
      <c r="P1987" s="206" t="s">
        <v>91</v>
      </c>
    </row>
    <row r="1988" spans="1:16">
      <c r="A1988" s="187" t="str">
        <f t="shared" si="30"/>
        <v>V10047B</v>
      </c>
      <c r="B1988" s="208" t="s">
        <v>3767</v>
      </c>
      <c r="C1988" s="208"/>
      <c r="D1988" s="208" t="s">
        <v>3772</v>
      </c>
      <c r="E1988" s="208" t="s">
        <v>29</v>
      </c>
      <c r="F1988" s="208" t="s">
        <v>3768</v>
      </c>
      <c r="G1988" s="208" t="s">
        <v>3769</v>
      </c>
      <c r="H1988" s="208"/>
      <c r="I1988" s="208"/>
      <c r="J1988" s="208" t="s">
        <v>3773</v>
      </c>
      <c r="K1988" s="208" t="s">
        <v>3771</v>
      </c>
      <c r="L1988" s="208"/>
      <c r="M1988" s="209"/>
      <c r="N1988" s="208"/>
      <c r="O1988" s="208" t="s">
        <v>260</v>
      </c>
      <c r="P1988" s="208" t="s">
        <v>91</v>
      </c>
    </row>
    <row r="1989" spans="1:16">
      <c r="A1989" s="187" t="str">
        <f t="shared" si="30"/>
        <v>V10047C</v>
      </c>
      <c r="B1989" s="206" t="s">
        <v>3767</v>
      </c>
      <c r="C1989" s="206"/>
      <c r="D1989" s="206" t="s">
        <v>3774</v>
      </c>
      <c r="E1989" s="206" t="s">
        <v>29</v>
      </c>
      <c r="F1989" s="206" t="s">
        <v>6244</v>
      </c>
      <c r="G1989" s="206" t="s">
        <v>3769</v>
      </c>
      <c r="H1989" s="206"/>
      <c r="I1989" s="206"/>
      <c r="J1989" s="206" t="s">
        <v>3773</v>
      </c>
      <c r="K1989" s="206" t="s">
        <v>3771</v>
      </c>
      <c r="L1989" s="206"/>
      <c r="M1989" s="207"/>
      <c r="N1989" s="206"/>
      <c r="O1989" s="206" t="s">
        <v>260</v>
      </c>
      <c r="P1989" s="206" t="s">
        <v>91</v>
      </c>
    </row>
    <row r="1990" spans="1:16">
      <c r="A1990" s="187" t="str">
        <f t="shared" ref="A1990:A2053" si="31">D1990</f>
        <v>V10264C</v>
      </c>
      <c r="B1990" s="208" t="s">
        <v>3776</v>
      </c>
      <c r="C1990" s="208"/>
      <c r="D1990" s="208" t="s">
        <v>3775</v>
      </c>
      <c r="E1990" s="208" t="s">
        <v>29</v>
      </c>
      <c r="F1990" s="208" t="s">
        <v>3777</v>
      </c>
      <c r="G1990" s="208" t="s">
        <v>3778</v>
      </c>
      <c r="H1990" s="208"/>
      <c r="I1990" s="208" t="s">
        <v>3779</v>
      </c>
      <c r="J1990" s="208" t="s">
        <v>3780</v>
      </c>
      <c r="K1990" s="208" t="s">
        <v>3781</v>
      </c>
      <c r="L1990" s="208"/>
      <c r="M1990" s="209"/>
      <c r="N1990" s="208"/>
      <c r="O1990" s="208"/>
      <c r="P1990" s="208" t="s">
        <v>91</v>
      </c>
    </row>
    <row r="1991" spans="1:16">
      <c r="A1991" s="187" t="str">
        <f t="shared" si="31"/>
        <v>V10332C</v>
      </c>
      <c r="B1991" s="206" t="s">
        <v>4744</v>
      </c>
      <c r="C1991" s="206"/>
      <c r="D1991" s="206" t="s">
        <v>4743</v>
      </c>
      <c r="E1991" s="206" t="s">
        <v>29</v>
      </c>
      <c r="F1991" s="206" t="s">
        <v>4745</v>
      </c>
      <c r="G1991" s="206" t="s">
        <v>4746</v>
      </c>
      <c r="H1991" s="206"/>
      <c r="I1991" s="206"/>
      <c r="J1991" s="206" t="s">
        <v>544</v>
      </c>
      <c r="K1991" s="206" t="s">
        <v>4747</v>
      </c>
      <c r="L1991" s="206"/>
      <c r="M1991" s="207"/>
      <c r="N1991" s="206"/>
      <c r="O1991" s="206"/>
      <c r="P1991" s="206" t="s">
        <v>91</v>
      </c>
    </row>
    <row r="1992" spans="1:16">
      <c r="A1992" s="187" t="str">
        <f t="shared" si="31"/>
        <v>V4045C0</v>
      </c>
      <c r="B1992" s="208" t="s">
        <v>3783</v>
      </c>
      <c r="C1992" s="208"/>
      <c r="D1992" s="208" t="s">
        <v>3782</v>
      </c>
      <c r="E1992" s="208" t="s">
        <v>29</v>
      </c>
      <c r="F1992" s="208" t="s">
        <v>3784</v>
      </c>
      <c r="G1992" s="208" t="s">
        <v>3785</v>
      </c>
      <c r="H1992" s="208"/>
      <c r="I1992" s="208" t="s">
        <v>3786</v>
      </c>
      <c r="J1992" s="208" t="s">
        <v>3787</v>
      </c>
      <c r="K1992" s="208" t="s">
        <v>3788</v>
      </c>
      <c r="L1992" s="208"/>
      <c r="M1992" s="209"/>
      <c r="N1992" s="208"/>
      <c r="O1992" s="208" t="s">
        <v>131</v>
      </c>
      <c r="P1992" s="208" t="s">
        <v>107</v>
      </c>
    </row>
    <row r="1993" spans="1:16">
      <c r="A1993" s="187" t="str">
        <f t="shared" si="31"/>
        <v>V10043A</v>
      </c>
      <c r="B1993" s="206" t="s">
        <v>3790</v>
      </c>
      <c r="C1993" s="206"/>
      <c r="D1993" s="206" t="s">
        <v>3789</v>
      </c>
      <c r="E1993" s="206" t="s">
        <v>29</v>
      </c>
      <c r="F1993" s="206" t="s">
        <v>5700</v>
      </c>
      <c r="G1993" s="206" t="s">
        <v>3791</v>
      </c>
      <c r="H1993" s="206"/>
      <c r="I1993" s="206" t="s">
        <v>3792</v>
      </c>
      <c r="J1993" s="206" t="s">
        <v>3793</v>
      </c>
      <c r="K1993" s="206" t="s">
        <v>3794</v>
      </c>
      <c r="L1993" s="206"/>
      <c r="M1993" s="207"/>
      <c r="N1993" s="206"/>
      <c r="O1993" s="206" t="s">
        <v>260</v>
      </c>
      <c r="P1993" s="206" t="s">
        <v>91</v>
      </c>
    </row>
    <row r="1994" spans="1:16">
      <c r="A1994" s="187" t="str">
        <f t="shared" si="31"/>
        <v>V10043B</v>
      </c>
      <c r="B1994" s="208" t="s">
        <v>3790</v>
      </c>
      <c r="C1994" s="208"/>
      <c r="D1994" s="208" t="s">
        <v>3795</v>
      </c>
      <c r="E1994" s="208" t="s">
        <v>29</v>
      </c>
      <c r="F1994" s="208" t="s">
        <v>5700</v>
      </c>
      <c r="G1994" s="208" t="s">
        <v>3791</v>
      </c>
      <c r="H1994" s="208"/>
      <c r="I1994" s="208" t="s">
        <v>3792</v>
      </c>
      <c r="J1994" s="208" t="s">
        <v>3793</v>
      </c>
      <c r="K1994" s="208" t="s">
        <v>3794</v>
      </c>
      <c r="L1994" s="208"/>
      <c r="M1994" s="209"/>
      <c r="N1994" s="208"/>
      <c r="O1994" s="208" t="s">
        <v>260</v>
      </c>
      <c r="P1994" s="208" t="s">
        <v>91</v>
      </c>
    </row>
    <row r="1995" spans="1:16">
      <c r="A1995" s="187" t="str">
        <f t="shared" si="31"/>
        <v>V10043C</v>
      </c>
      <c r="B1995" s="206" t="s">
        <v>3790</v>
      </c>
      <c r="C1995" s="206"/>
      <c r="D1995" s="206" t="s">
        <v>3796</v>
      </c>
      <c r="E1995" s="206" t="s">
        <v>29</v>
      </c>
      <c r="F1995" s="206" t="s">
        <v>5700</v>
      </c>
      <c r="G1995" s="206" t="s">
        <v>3791</v>
      </c>
      <c r="H1995" s="206"/>
      <c r="I1995" s="206" t="s">
        <v>3792</v>
      </c>
      <c r="J1995" s="206" t="s">
        <v>5701</v>
      </c>
      <c r="K1995" s="206" t="s">
        <v>3794</v>
      </c>
      <c r="L1995" s="206"/>
      <c r="M1995" s="207"/>
      <c r="N1995" s="206"/>
      <c r="O1995" s="206" t="s">
        <v>260</v>
      </c>
      <c r="P1995" s="206" t="s">
        <v>91</v>
      </c>
    </row>
    <row r="1996" spans="1:16">
      <c r="A1996" s="187" t="str">
        <f t="shared" si="31"/>
        <v>V10284C</v>
      </c>
      <c r="B1996" s="208" t="s">
        <v>4749</v>
      </c>
      <c r="C1996" s="208"/>
      <c r="D1996" s="208" t="s">
        <v>4748</v>
      </c>
      <c r="E1996" s="208" t="s">
        <v>29</v>
      </c>
      <c r="F1996" s="208" t="s">
        <v>4750</v>
      </c>
      <c r="G1996" s="208"/>
      <c r="H1996" s="208"/>
      <c r="I1996" s="208"/>
      <c r="J1996" s="208" t="s">
        <v>4751</v>
      </c>
      <c r="K1996" s="208" t="s">
        <v>4752</v>
      </c>
      <c r="L1996" s="208"/>
      <c r="M1996" s="209"/>
      <c r="N1996" s="208"/>
      <c r="O1996" s="208"/>
      <c r="P1996" s="208" t="s">
        <v>91</v>
      </c>
    </row>
    <row r="1997" spans="1:16">
      <c r="A1997" s="187" t="str">
        <f t="shared" si="31"/>
        <v>V10049A</v>
      </c>
      <c r="B1997" s="206" t="s">
        <v>3798</v>
      </c>
      <c r="C1997" s="206"/>
      <c r="D1997" s="206" t="s">
        <v>3797</v>
      </c>
      <c r="E1997" s="206" t="s">
        <v>29</v>
      </c>
      <c r="F1997" s="206" t="s">
        <v>3799</v>
      </c>
      <c r="G1997" s="206" t="s">
        <v>3800</v>
      </c>
      <c r="H1997" s="206"/>
      <c r="I1997" s="206"/>
      <c r="J1997" s="206" t="s">
        <v>5284</v>
      </c>
      <c r="K1997" s="206" t="s">
        <v>4753</v>
      </c>
      <c r="L1997" s="206"/>
      <c r="M1997" s="207"/>
      <c r="N1997" s="206"/>
      <c r="O1997" s="206" t="s">
        <v>260</v>
      </c>
      <c r="P1997" s="206" t="s">
        <v>91</v>
      </c>
    </row>
    <row r="1998" spans="1:16">
      <c r="A1998" s="187" t="str">
        <f t="shared" si="31"/>
        <v>V10049B</v>
      </c>
      <c r="B1998" s="208" t="s">
        <v>3798</v>
      </c>
      <c r="C1998" s="208"/>
      <c r="D1998" s="208" t="s">
        <v>3801</v>
      </c>
      <c r="E1998" s="208" t="s">
        <v>29</v>
      </c>
      <c r="F1998" s="208" t="s">
        <v>3799</v>
      </c>
      <c r="G1998" s="208" t="s">
        <v>3800</v>
      </c>
      <c r="H1998" s="208"/>
      <c r="I1998" s="208"/>
      <c r="J1998" s="208" t="s">
        <v>5285</v>
      </c>
      <c r="K1998" s="208" t="s">
        <v>4752</v>
      </c>
      <c r="L1998" s="208"/>
      <c r="M1998" s="209"/>
      <c r="N1998" s="208"/>
      <c r="O1998" s="208" t="s">
        <v>260</v>
      </c>
      <c r="P1998" s="208" t="s">
        <v>91</v>
      </c>
    </row>
    <row r="1999" spans="1:16">
      <c r="A1999" s="187" t="str">
        <f t="shared" si="31"/>
        <v>V10049C</v>
      </c>
      <c r="B1999" s="206" t="s">
        <v>3798</v>
      </c>
      <c r="C1999" s="206"/>
      <c r="D1999" s="206" t="s">
        <v>3802</v>
      </c>
      <c r="E1999" s="206" t="s">
        <v>29</v>
      </c>
      <c r="F1999" s="206" t="s">
        <v>3799</v>
      </c>
      <c r="G1999" s="206" t="s">
        <v>3800</v>
      </c>
      <c r="H1999" s="206"/>
      <c r="I1999" s="206"/>
      <c r="J1999" s="206" t="s">
        <v>4754</v>
      </c>
      <c r="K1999" s="206" t="s">
        <v>4755</v>
      </c>
      <c r="L1999" s="206"/>
      <c r="M1999" s="207"/>
      <c r="N1999" s="206"/>
      <c r="O1999" s="206" t="s">
        <v>260</v>
      </c>
      <c r="P1999" s="206" t="s">
        <v>91</v>
      </c>
    </row>
    <row r="2000" spans="1:16">
      <c r="A2000" s="187" t="str">
        <f t="shared" si="31"/>
        <v>V4069C0</v>
      </c>
      <c r="B2000" s="208" t="s">
        <v>3804</v>
      </c>
      <c r="C2000" s="208"/>
      <c r="D2000" s="208" t="s">
        <v>3803</v>
      </c>
      <c r="E2000" s="208" t="s">
        <v>29</v>
      </c>
      <c r="F2000" s="208" t="s">
        <v>3805</v>
      </c>
      <c r="G2000" s="208" t="s">
        <v>3800</v>
      </c>
      <c r="H2000" s="208"/>
      <c r="I2000" s="208" t="s">
        <v>3806</v>
      </c>
      <c r="J2000" s="208" t="s">
        <v>4754</v>
      </c>
      <c r="K2000" s="208" t="s">
        <v>4756</v>
      </c>
      <c r="L2000" s="208"/>
      <c r="M2000" s="209"/>
      <c r="N2000" s="208"/>
      <c r="O2000" s="208"/>
      <c r="P2000" s="208" t="s">
        <v>107</v>
      </c>
    </row>
    <row r="2001" spans="1:16">
      <c r="A2001" s="187" t="str">
        <f t="shared" si="31"/>
        <v>V10440C</v>
      </c>
      <c r="B2001" s="206" t="s">
        <v>5795</v>
      </c>
      <c r="C2001" s="206"/>
      <c r="D2001" s="206" t="s">
        <v>5796</v>
      </c>
      <c r="E2001" s="206" t="s">
        <v>29</v>
      </c>
      <c r="F2001" s="206" t="s">
        <v>5797</v>
      </c>
      <c r="G2001" s="206"/>
      <c r="H2001" s="206"/>
      <c r="I2001" s="206"/>
      <c r="J2001" s="206" t="s">
        <v>1017</v>
      </c>
      <c r="K2001" s="206" t="s">
        <v>5798</v>
      </c>
      <c r="L2001" s="206"/>
      <c r="M2001" s="207"/>
      <c r="N2001" s="206"/>
      <c r="O2001" s="206" t="s">
        <v>260</v>
      </c>
      <c r="P2001" s="206" t="s">
        <v>91</v>
      </c>
    </row>
    <row r="2002" spans="1:16">
      <c r="A2002" s="187" t="str">
        <f t="shared" si="31"/>
        <v>V10285C</v>
      </c>
      <c r="B2002" s="208" t="s">
        <v>4757</v>
      </c>
      <c r="C2002" s="208"/>
      <c r="D2002" s="208" t="s">
        <v>3807</v>
      </c>
      <c r="E2002" s="208" t="s">
        <v>29</v>
      </c>
      <c r="F2002" s="208" t="s">
        <v>4758</v>
      </c>
      <c r="G2002" s="208"/>
      <c r="H2002" s="208"/>
      <c r="I2002" s="208"/>
      <c r="J2002" s="208" t="s">
        <v>5034</v>
      </c>
      <c r="K2002" s="208" t="s">
        <v>5033</v>
      </c>
      <c r="L2002" s="208"/>
      <c r="M2002" s="209"/>
      <c r="N2002" s="208"/>
      <c r="O2002" s="208"/>
      <c r="P2002" s="208" t="s">
        <v>91</v>
      </c>
    </row>
    <row r="2003" spans="1:16">
      <c r="A2003" s="187" t="str">
        <f t="shared" si="31"/>
        <v>V10320C</v>
      </c>
      <c r="B2003" s="206" t="s">
        <v>4760</v>
      </c>
      <c r="C2003" s="206"/>
      <c r="D2003" s="206" t="s">
        <v>4759</v>
      </c>
      <c r="E2003" s="206" t="s">
        <v>29</v>
      </c>
      <c r="F2003" s="206" t="s">
        <v>4761</v>
      </c>
      <c r="G2003" s="206" t="s">
        <v>4762</v>
      </c>
      <c r="H2003" s="206"/>
      <c r="I2003" s="206"/>
      <c r="J2003" s="206" t="s">
        <v>4763</v>
      </c>
      <c r="K2003" s="206" t="s">
        <v>4764</v>
      </c>
      <c r="L2003" s="206"/>
      <c r="M2003" s="207"/>
      <c r="N2003" s="206"/>
      <c r="O2003" s="206"/>
      <c r="P2003" s="206" t="s">
        <v>91</v>
      </c>
    </row>
    <row r="2004" spans="1:16">
      <c r="A2004" s="187" t="str">
        <f t="shared" si="31"/>
        <v>V10019A</v>
      </c>
      <c r="B2004" s="208" t="s">
        <v>3809</v>
      </c>
      <c r="C2004" s="208"/>
      <c r="D2004" s="208" t="s">
        <v>3808</v>
      </c>
      <c r="E2004" s="208" t="s">
        <v>29</v>
      </c>
      <c r="F2004" s="208" t="s">
        <v>5286</v>
      </c>
      <c r="G2004" s="208" t="s">
        <v>3810</v>
      </c>
      <c r="H2004" s="208"/>
      <c r="I2004" s="208"/>
      <c r="J2004" s="208" t="s">
        <v>3811</v>
      </c>
      <c r="K2004" s="208" t="s">
        <v>3812</v>
      </c>
      <c r="L2004" s="208"/>
      <c r="M2004" s="209"/>
      <c r="N2004" s="208"/>
      <c r="O2004" s="208" t="s">
        <v>260</v>
      </c>
      <c r="P2004" s="208" t="s">
        <v>91</v>
      </c>
    </row>
    <row r="2005" spans="1:16">
      <c r="A2005" s="187" t="str">
        <f t="shared" si="31"/>
        <v>V10019B</v>
      </c>
      <c r="B2005" s="206" t="s">
        <v>3809</v>
      </c>
      <c r="C2005" s="206"/>
      <c r="D2005" s="206" t="s">
        <v>3813</v>
      </c>
      <c r="E2005" s="206" t="s">
        <v>29</v>
      </c>
      <c r="F2005" s="206" t="s">
        <v>5286</v>
      </c>
      <c r="G2005" s="206" t="s">
        <v>3810</v>
      </c>
      <c r="H2005" s="206"/>
      <c r="I2005" s="206"/>
      <c r="J2005" s="206" t="s">
        <v>3811</v>
      </c>
      <c r="K2005" s="206" t="s">
        <v>3812</v>
      </c>
      <c r="L2005" s="206"/>
      <c r="M2005" s="207"/>
      <c r="N2005" s="206"/>
      <c r="O2005" s="206" t="s">
        <v>260</v>
      </c>
      <c r="P2005" s="206" t="s">
        <v>91</v>
      </c>
    </row>
    <row r="2006" spans="1:16">
      <c r="A2006" s="187" t="str">
        <f t="shared" si="31"/>
        <v>V10019C</v>
      </c>
      <c r="B2006" s="208" t="s">
        <v>3809</v>
      </c>
      <c r="C2006" s="208"/>
      <c r="D2006" s="208" t="s">
        <v>3814</v>
      </c>
      <c r="E2006" s="208" t="s">
        <v>29</v>
      </c>
      <c r="F2006" s="208" t="s">
        <v>5286</v>
      </c>
      <c r="G2006" s="208" t="s">
        <v>3810</v>
      </c>
      <c r="H2006" s="208"/>
      <c r="I2006" s="208"/>
      <c r="J2006" s="208" t="s">
        <v>3811</v>
      </c>
      <c r="K2006" s="208" t="s">
        <v>3812</v>
      </c>
      <c r="L2006" s="208"/>
      <c r="M2006" s="209"/>
      <c r="N2006" s="208"/>
      <c r="O2006" s="208" t="s">
        <v>260</v>
      </c>
      <c r="P2006" s="208" t="s">
        <v>91</v>
      </c>
    </row>
    <row r="2007" spans="1:16">
      <c r="A2007" s="187" t="str">
        <f t="shared" si="31"/>
        <v>V10036B</v>
      </c>
      <c r="B2007" s="206" t="s">
        <v>3816</v>
      </c>
      <c r="C2007" s="206"/>
      <c r="D2007" s="206" t="s">
        <v>3815</v>
      </c>
      <c r="E2007" s="206" t="s">
        <v>29</v>
      </c>
      <c r="F2007" s="206" t="s">
        <v>3817</v>
      </c>
      <c r="G2007" s="206"/>
      <c r="H2007" s="206"/>
      <c r="I2007" s="206" t="s">
        <v>3818</v>
      </c>
      <c r="J2007" s="206" t="s">
        <v>3819</v>
      </c>
      <c r="K2007" s="206" t="s">
        <v>3820</v>
      </c>
      <c r="L2007" s="206"/>
      <c r="M2007" s="207"/>
      <c r="N2007" s="206"/>
      <c r="O2007" s="206" t="s">
        <v>260</v>
      </c>
      <c r="P2007" s="206" t="s">
        <v>91</v>
      </c>
    </row>
    <row r="2008" spans="1:16">
      <c r="A2008" s="187" t="str">
        <f t="shared" si="31"/>
        <v>V10036C</v>
      </c>
      <c r="B2008" s="208" t="s">
        <v>3816</v>
      </c>
      <c r="C2008" s="208"/>
      <c r="D2008" s="208" t="s">
        <v>3821</v>
      </c>
      <c r="E2008" s="208" t="s">
        <v>29</v>
      </c>
      <c r="F2008" s="208" t="s">
        <v>3817</v>
      </c>
      <c r="G2008" s="208"/>
      <c r="H2008" s="208"/>
      <c r="I2008" s="208" t="s">
        <v>3818</v>
      </c>
      <c r="J2008" s="208" t="s">
        <v>3819</v>
      </c>
      <c r="K2008" s="208" t="s">
        <v>3820</v>
      </c>
      <c r="L2008" s="208"/>
      <c r="M2008" s="209"/>
      <c r="N2008" s="208"/>
      <c r="O2008" s="208" t="s">
        <v>260</v>
      </c>
      <c r="P2008" s="208" t="s">
        <v>91</v>
      </c>
    </row>
    <row r="2009" spans="1:16">
      <c r="A2009" s="187" t="str">
        <f t="shared" si="31"/>
        <v>V10036A</v>
      </c>
      <c r="B2009" s="206" t="s">
        <v>3816</v>
      </c>
      <c r="C2009" s="206"/>
      <c r="D2009" s="206" t="s">
        <v>3822</v>
      </c>
      <c r="E2009" s="206" t="s">
        <v>29</v>
      </c>
      <c r="F2009" s="206" t="s">
        <v>3817</v>
      </c>
      <c r="G2009" s="206"/>
      <c r="H2009" s="206"/>
      <c r="I2009" s="206" t="s">
        <v>3818</v>
      </c>
      <c r="J2009" s="206" t="s">
        <v>3819</v>
      </c>
      <c r="K2009" s="206" t="s">
        <v>3820</v>
      </c>
      <c r="L2009" s="206"/>
      <c r="M2009" s="207"/>
      <c r="N2009" s="206"/>
      <c r="O2009" s="206" t="s">
        <v>260</v>
      </c>
      <c r="P2009" s="206" t="s">
        <v>91</v>
      </c>
    </row>
    <row r="2010" spans="1:16">
      <c r="A2010" s="187" t="str">
        <f t="shared" si="31"/>
        <v>V10451C</v>
      </c>
      <c r="B2010" s="208" t="s">
        <v>5799</v>
      </c>
      <c r="C2010" s="208"/>
      <c r="D2010" s="208" t="s">
        <v>5800</v>
      </c>
      <c r="E2010" s="208" t="s">
        <v>29</v>
      </c>
      <c r="F2010" s="208" t="s">
        <v>5801</v>
      </c>
      <c r="G2010" s="208" t="s">
        <v>5802</v>
      </c>
      <c r="H2010" s="208"/>
      <c r="I2010" s="208"/>
      <c r="J2010" s="208" t="s">
        <v>1310</v>
      </c>
      <c r="K2010" s="208" t="s">
        <v>5803</v>
      </c>
      <c r="L2010" s="208"/>
      <c r="M2010" s="209"/>
      <c r="N2010" s="208"/>
      <c r="O2010" s="208" t="s">
        <v>260</v>
      </c>
      <c r="P2010" s="208" t="s">
        <v>91</v>
      </c>
    </row>
    <row r="2011" spans="1:16">
      <c r="A2011" s="187" t="str">
        <f t="shared" si="31"/>
        <v>V4088C0</v>
      </c>
      <c r="B2011" s="206" t="s">
        <v>5029</v>
      </c>
      <c r="C2011" s="206"/>
      <c r="D2011" s="206" t="s">
        <v>5030</v>
      </c>
      <c r="E2011" s="206" t="s">
        <v>29</v>
      </c>
      <c r="F2011" s="206" t="s">
        <v>5031</v>
      </c>
      <c r="G2011" s="206"/>
      <c r="H2011" s="206"/>
      <c r="I2011" s="206"/>
      <c r="J2011" s="206"/>
      <c r="K2011" s="206"/>
      <c r="L2011" s="206"/>
      <c r="M2011" s="207"/>
      <c r="N2011" s="206"/>
      <c r="O2011" s="206"/>
      <c r="P2011" s="206" t="s">
        <v>107</v>
      </c>
    </row>
    <row r="2012" spans="1:16">
      <c r="A2012" s="187" t="str">
        <f t="shared" si="31"/>
        <v>V10450C</v>
      </c>
      <c r="B2012" s="208" t="s">
        <v>5804</v>
      </c>
      <c r="C2012" s="208"/>
      <c r="D2012" s="208" t="s">
        <v>5805</v>
      </c>
      <c r="E2012" s="208" t="s">
        <v>29</v>
      </c>
      <c r="F2012" s="208"/>
      <c r="G2012" s="208"/>
      <c r="H2012" s="208"/>
      <c r="I2012" s="208"/>
      <c r="J2012" s="208"/>
      <c r="K2012" s="208"/>
      <c r="L2012" s="208"/>
      <c r="M2012" s="209"/>
      <c r="N2012" s="208"/>
      <c r="O2012" s="208"/>
      <c r="P2012" s="208" t="s">
        <v>91</v>
      </c>
    </row>
    <row r="2013" spans="1:16">
      <c r="A2013" s="187" t="str">
        <f t="shared" si="31"/>
        <v>CG440042C0</v>
      </c>
      <c r="B2013" s="206" t="s">
        <v>6508</v>
      </c>
      <c r="C2013" s="206"/>
      <c r="D2013" s="206" t="s">
        <v>6509</v>
      </c>
      <c r="E2013" s="206" t="s">
        <v>29</v>
      </c>
      <c r="F2013" s="206" t="s">
        <v>6510</v>
      </c>
      <c r="G2013" s="206" t="s">
        <v>6511</v>
      </c>
      <c r="H2013" s="206"/>
      <c r="I2013" s="206"/>
      <c r="J2013" s="206" t="s">
        <v>6512</v>
      </c>
      <c r="K2013" s="206" t="s">
        <v>6513</v>
      </c>
      <c r="L2013" s="206"/>
      <c r="M2013" s="207"/>
      <c r="N2013" s="206"/>
      <c r="O2013" s="206"/>
      <c r="P2013" s="206" t="s">
        <v>100</v>
      </c>
    </row>
    <row r="2014" spans="1:16">
      <c r="A2014" s="187" t="str">
        <f t="shared" si="31"/>
        <v>V4063C0</v>
      </c>
      <c r="B2014" s="208" t="s">
        <v>3824</v>
      </c>
      <c r="C2014" s="208"/>
      <c r="D2014" s="208" t="s">
        <v>3823</v>
      </c>
      <c r="E2014" s="208" t="s">
        <v>29</v>
      </c>
      <c r="F2014" s="208" t="s">
        <v>3825</v>
      </c>
      <c r="G2014" s="208"/>
      <c r="H2014" s="208"/>
      <c r="I2014" s="208"/>
      <c r="J2014" s="208"/>
      <c r="K2014" s="208"/>
      <c r="L2014" s="208"/>
      <c r="M2014" s="209"/>
      <c r="N2014" s="208"/>
      <c r="O2014" s="208"/>
      <c r="P2014" s="208" t="s">
        <v>107</v>
      </c>
    </row>
    <row r="2015" spans="1:16">
      <c r="A2015" s="187" t="str">
        <f t="shared" si="31"/>
        <v>V10130A</v>
      </c>
      <c r="B2015" s="206" t="s">
        <v>3827</v>
      </c>
      <c r="C2015" s="206"/>
      <c r="D2015" s="206" t="s">
        <v>3826</v>
      </c>
      <c r="E2015" s="206" t="s">
        <v>29</v>
      </c>
      <c r="F2015" s="206" t="s">
        <v>3828</v>
      </c>
      <c r="G2015" s="206" t="s">
        <v>3829</v>
      </c>
      <c r="H2015" s="206"/>
      <c r="I2015" s="206" t="s">
        <v>3830</v>
      </c>
      <c r="J2015" s="206" t="s">
        <v>3831</v>
      </c>
      <c r="K2015" s="206" t="s">
        <v>3832</v>
      </c>
      <c r="L2015" s="206"/>
      <c r="M2015" s="207"/>
      <c r="N2015" s="206"/>
      <c r="O2015" s="206" t="s">
        <v>260</v>
      </c>
      <c r="P2015" s="206" t="s">
        <v>91</v>
      </c>
    </row>
    <row r="2016" spans="1:16">
      <c r="A2016" s="187" t="str">
        <f t="shared" si="31"/>
        <v>V10130B</v>
      </c>
      <c r="B2016" s="208" t="s">
        <v>3827</v>
      </c>
      <c r="C2016" s="208"/>
      <c r="D2016" s="208" t="s">
        <v>3833</v>
      </c>
      <c r="E2016" s="208" t="s">
        <v>29</v>
      </c>
      <c r="F2016" s="208" t="s">
        <v>3828</v>
      </c>
      <c r="G2016" s="208" t="s">
        <v>3829</v>
      </c>
      <c r="H2016" s="208"/>
      <c r="I2016" s="208" t="s">
        <v>3830</v>
      </c>
      <c r="J2016" s="208" t="s">
        <v>3831</v>
      </c>
      <c r="K2016" s="208" t="s">
        <v>3832</v>
      </c>
      <c r="L2016" s="208"/>
      <c r="M2016" s="209"/>
      <c r="N2016" s="208"/>
      <c r="O2016" s="208" t="s">
        <v>260</v>
      </c>
      <c r="P2016" s="208" t="s">
        <v>91</v>
      </c>
    </row>
    <row r="2017" spans="1:16">
      <c r="A2017" s="187" t="str">
        <f t="shared" si="31"/>
        <v>V10130C</v>
      </c>
      <c r="B2017" s="206" t="s">
        <v>3827</v>
      </c>
      <c r="C2017" s="206"/>
      <c r="D2017" s="206" t="s">
        <v>3834</v>
      </c>
      <c r="E2017" s="206" t="s">
        <v>29</v>
      </c>
      <c r="F2017" s="206" t="s">
        <v>3828</v>
      </c>
      <c r="G2017" s="206" t="s">
        <v>3829</v>
      </c>
      <c r="H2017" s="206"/>
      <c r="I2017" s="206" t="s">
        <v>3830</v>
      </c>
      <c r="J2017" s="206" t="s">
        <v>3831</v>
      </c>
      <c r="K2017" s="206" t="s">
        <v>3832</v>
      </c>
      <c r="L2017" s="206"/>
      <c r="M2017" s="207"/>
      <c r="N2017" s="206"/>
      <c r="O2017" s="206" t="s">
        <v>260</v>
      </c>
      <c r="P2017" s="206" t="s">
        <v>91</v>
      </c>
    </row>
    <row r="2018" spans="1:16">
      <c r="A2018" s="187" t="str">
        <f t="shared" si="31"/>
        <v>V10165A</v>
      </c>
      <c r="B2018" s="208" t="s">
        <v>3836</v>
      </c>
      <c r="C2018" s="208"/>
      <c r="D2018" s="208" t="s">
        <v>3835</v>
      </c>
      <c r="E2018" s="208" t="s">
        <v>29</v>
      </c>
      <c r="F2018" s="208" t="s">
        <v>3837</v>
      </c>
      <c r="G2018" s="208" t="s">
        <v>3838</v>
      </c>
      <c r="H2018" s="208"/>
      <c r="I2018" s="208"/>
      <c r="J2018" s="208" t="s">
        <v>3839</v>
      </c>
      <c r="K2018" s="208" t="s">
        <v>3840</v>
      </c>
      <c r="L2018" s="208"/>
      <c r="M2018" s="209"/>
      <c r="N2018" s="208"/>
      <c r="O2018" s="208" t="s">
        <v>260</v>
      </c>
      <c r="P2018" s="208" t="s">
        <v>91</v>
      </c>
    </row>
    <row r="2019" spans="1:16">
      <c r="A2019" s="187" t="str">
        <f t="shared" si="31"/>
        <v>V10165B</v>
      </c>
      <c r="B2019" s="206" t="s">
        <v>3836</v>
      </c>
      <c r="C2019" s="206"/>
      <c r="D2019" s="206" t="s">
        <v>3841</v>
      </c>
      <c r="E2019" s="206" t="s">
        <v>29</v>
      </c>
      <c r="F2019" s="206" t="s">
        <v>3837</v>
      </c>
      <c r="G2019" s="206" t="s">
        <v>3838</v>
      </c>
      <c r="H2019" s="206"/>
      <c r="I2019" s="206"/>
      <c r="J2019" s="206" t="s">
        <v>3839</v>
      </c>
      <c r="K2019" s="206" t="s">
        <v>3840</v>
      </c>
      <c r="L2019" s="206"/>
      <c r="M2019" s="207"/>
      <c r="N2019" s="206"/>
      <c r="O2019" s="206" t="s">
        <v>260</v>
      </c>
      <c r="P2019" s="206" t="s">
        <v>91</v>
      </c>
    </row>
    <row r="2020" spans="1:16">
      <c r="A2020" s="187" t="str">
        <f t="shared" si="31"/>
        <v>V10165C</v>
      </c>
      <c r="B2020" s="208" t="s">
        <v>3836</v>
      </c>
      <c r="C2020" s="208"/>
      <c r="D2020" s="208" t="s">
        <v>3842</v>
      </c>
      <c r="E2020" s="208" t="s">
        <v>29</v>
      </c>
      <c r="F2020" s="208" t="s">
        <v>3837</v>
      </c>
      <c r="G2020" s="208" t="s">
        <v>3838</v>
      </c>
      <c r="H2020" s="208"/>
      <c r="I2020" s="208"/>
      <c r="J2020" s="208" t="s">
        <v>3839</v>
      </c>
      <c r="K2020" s="208" t="s">
        <v>3840</v>
      </c>
      <c r="L2020" s="208"/>
      <c r="M2020" s="209"/>
      <c r="N2020" s="208"/>
      <c r="O2020" s="208" t="s">
        <v>260</v>
      </c>
      <c r="P2020" s="208" t="s">
        <v>91</v>
      </c>
    </row>
    <row r="2021" spans="1:16">
      <c r="A2021" s="187" t="str">
        <f t="shared" si="31"/>
        <v>V10337C</v>
      </c>
      <c r="B2021" s="206" t="s">
        <v>5482</v>
      </c>
      <c r="C2021" s="206"/>
      <c r="D2021" s="206" t="s">
        <v>4765</v>
      </c>
      <c r="E2021" s="206" t="s">
        <v>29</v>
      </c>
      <c r="F2021" s="206" t="s">
        <v>4766</v>
      </c>
      <c r="G2021" s="206"/>
      <c r="H2021" s="206"/>
      <c r="I2021" s="206"/>
      <c r="J2021" s="206" t="s">
        <v>4767</v>
      </c>
      <c r="K2021" s="206" t="s">
        <v>5897</v>
      </c>
      <c r="L2021" s="206"/>
      <c r="M2021" s="207"/>
      <c r="N2021" s="206"/>
      <c r="O2021" s="206"/>
      <c r="P2021" s="206" t="s">
        <v>91</v>
      </c>
    </row>
    <row r="2022" spans="1:16">
      <c r="A2022" s="187" t="str">
        <f t="shared" si="31"/>
        <v>V20116C</v>
      </c>
      <c r="B2022" s="208" t="s">
        <v>4769</v>
      </c>
      <c r="C2022" s="208"/>
      <c r="D2022" s="208" t="s">
        <v>4768</v>
      </c>
      <c r="E2022" s="208" t="s">
        <v>151</v>
      </c>
      <c r="F2022" s="208" t="s">
        <v>4770</v>
      </c>
      <c r="G2022" s="208"/>
      <c r="H2022" s="208"/>
      <c r="I2022" s="208"/>
      <c r="J2022" s="208"/>
      <c r="K2022" s="208"/>
      <c r="L2022" s="208"/>
      <c r="M2022" s="209"/>
      <c r="N2022" s="208"/>
      <c r="O2022" s="208"/>
      <c r="P2022" s="208" t="s">
        <v>34</v>
      </c>
    </row>
    <row r="2023" spans="1:16">
      <c r="A2023" s="187" t="str">
        <f t="shared" si="31"/>
        <v>CG450029C0</v>
      </c>
      <c r="B2023" s="206" t="s">
        <v>6514</v>
      </c>
      <c r="C2023" s="206"/>
      <c r="D2023" s="206" t="s">
        <v>6515</v>
      </c>
      <c r="E2023" s="206" t="s">
        <v>29</v>
      </c>
      <c r="F2023" s="206" t="s">
        <v>3845</v>
      </c>
      <c r="G2023" s="206"/>
      <c r="H2023" s="206"/>
      <c r="I2023" s="206"/>
      <c r="J2023" s="206"/>
      <c r="K2023" s="206"/>
      <c r="L2023" s="206"/>
      <c r="M2023" s="207"/>
      <c r="N2023" s="206"/>
      <c r="O2023" s="206"/>
      <c r="P2023" s="206" t="s">
        <v>100</v>
      </c>
    </row>
    <row r="2024" spans="1:16">
      <c r="A2024" s="187" t="str">
        <f t="shared" si="31"/>
        <v>V20029A</v>
      </c>
      <c r="B2024" s="208" t="s">
        <v>3844</v>
      </c>
      <c r="C2024" s="208"/>
      <c r="D2024" s="208" t="s">
        <v>3843</v>
      </c>
      <c r="E2024" s="208" t="s">
        <v>29</v>
      </c>
      <c r="F2024" s="208" t="s">
        <v>3845</v>
      </c>
      <c r="G2024" s="208"/>
      <c r="H2024" s="208"/>
      <c r="I2024" s="208"/>
      <c r="J2024" s="208" t="s">
        <v>3846</v>
      </c>
      <c r="K2024" s="208" t="s">
        <v>3847</v>
      </c>
      <c r="L2024" s="208"/>
      <c r="M2024" s="209"/>
      <c r="N2024" s="208"/>
      <c r="O2024" s="208" t="s">
        <v>40</v>
      </c>
      <c r="P2024" s="208" t="s">
        <v>34</v>
      </c>
    </row>
    <row r="2025" spans="1:16">
      <c r="A2025" s="187" t="str">
        <f t="shared" si="31"/>
        <v>V20029B</v>
      </c>
      <c r="B2025" s="206" t="s">
        <v>3844</v>
      </c>
      <c r="C2025" s="206"/>
      <c r="D2025" s="206" t="s">
        <v>3848</v>
      </c>
      <c r="E2025" s="206" t="s">
        <v>29</v>
      </c>
      <c r="F2025" s="206" t="s">
        <v>3845</v>
      </c>
      <c r="G2025" s="206"/>
      <c r="H2025" s="206"/>
      <c r="I2025" s="206"/>
      <c r="J2025" s="206" t="s">
        <v>3846</v>
      </c>
      <c r="K2025" s="206" t="s">
        <v>3847</v>
      </c>
      <c r="L2025" s="206"/>
      <c r="M2025" s="207"/>
      <c r="N2025" s="206"/>
      <c r="O2025" s="206" t="s">
        <v>40</v>
      </c>
      <c r="P2025" s="206" t="s">
        <v>34</v>
      </c>
    </row>
    <row r="2026" spans="1:16">
      <c r="A2026" s="187" t="str">
        <f t="shared" si="31"/>
        <v>V20029C</v>
      </c>
      <c r="B2026" s="208" t="s">
        <v>3844</v>
      </c>
      <c r="C2026" s="208"/>
      <c r="D2026" s="208" t="s">
        <v>3849</v>
      </c>
      <c r="E2026" s="208" t="s">
        <v>29</v>
      </c>
      <c r="F2026" s="208" t="s">
        <v>3845</v>
      </c>
      <c r="G2026" s="208"/>
      <c r="H2026" s="208"/>
      <c r="I2026" s="208"/>
      <c r="J2026" s="208" t="s">
        <v>3846</v>
      </c>
      <c r="K2026" s="208" t="s">
        <v>3847</v>
      </c>
      <c r="L2026" s="208"/>
      <c r="M2026" s="209"/>
      <c r="N2026" s="208"/>
      <c r="O2026" s="208" t="s">
        <v>40</v>
      </c>
      <c r="P2026" s="208" t="s">
        <v>34</v>
      </c>
    </row>
    <row r="2027" spans="1:16">
      <c r="A2027" s="187" t="str">
        <f t="shared" si="31"/>
        <v>V20107B</v>
      </c>
      <c r="B2027" s="206" t="s">
        <v>5602</v>
      </c>
      <c r="C2027" s="206"/>
      <c r="D2027" s="206" t="s">
        <v>5603</v>
      </c>
      <c r="E2027" s="206" t="s">
        <v>29</v>
      </c>
      <c r="F2027" s="206" t="s">
        <v>5604</v>
      </c>
      <c r="G2027" s="206"/>
      <c r="H2027" s="206"/>
      <c r="I2027" s="206"/>
      <c r="J2027" s="206" t="s">
        <v>5605</v>
      </c>
      <c r="K2027" s="206" t="s">
        <v>3855</v>
      </c>
      <c r="L2027" s="206"/>
      <c r="M2027" s="207"/>
      <c r="N2027" s="206"/>
      <c r="O2027" s="206"/>
      <c r="P2027" s="206" t="s">
        <v>34</v>
      </c>
    </row>
    <row r="2028" spans="1:16">
      <c r="A2028" s="187" t="str">
        <f t="shared" si="31"/>
        <v>V20107C</v>
      </c>
      <c r="B2028" s="208" t="s">
        <v>3851</v>
      </c>
      <c r="C2028" s="208"/>
      <c r="D2028" s="208" t="s">
        <v>3850</v>
      </c>
      <c r="E2028" s="208" t="s">
        <v>29</v>
      </c>
      <c r="F2028" s="208" t="s">
        <v>3852</v>
      </c>
      <c r="G2028" s="208"/>
      <c r="H2028" s="208"/>
      <c r="I2028" s="208" t="s">
        <v>3853</v>
      </c>
      <c r="J2028" s="208" t="s">
        <v>3854</v>
      </c>
      <c r="K2028" s="208" t="s">
        <v>3855</v>
      </c>
      <c r="L2028" s="208"/>
      <c r="M2028" s="209"/>
      <c r="N2028" s="208"/>
      <c r="O2028" s="208"/>
      <c r="P2028" s="208" t="s">
        <v>34</v>
      </c>
    </row>
    <row r="2029" spans="1:16">
      <c r="A2029" s="187" t="str">
        <f t="shared" si="31"/>
        <v>005301</v>
      </c>
      <c r="B2029" s="206" t="s">
        <v>4772</v>
      </c>
      <c r="C2029" s="206"/>
      <c r="D2029" s="206" t="s">
        <v>4771</v>
      </c>
      <c r="E2029" s="206" t="s">
        <v>29</v>
      </c>
      <c r="F2029" s="206"/>
      <c r="G2029" s="206"/>
      <c r="H2029" s="206"/>
      <c r="I2029" s="206"/>
      <c r="J2029" s="206"/>
      <c r="K2029" s="206"/>
      <c r="L2029" s="206"/>
      <c r="M2029" s="207"/>
      <c r="N2029" s="206"/>
      <c r="O2029" s="206"/>
      <c r="P2029" s="206"/>
    </row>
    <row r="2030" spans="1:16">
      <c r="A2030" s="187" t="str">
        <f t="shared" si="31"/>
        <v>V4036C0</v>
      </c>
      <c r="B2030" s="208" t="s">
        <v>3857</v>
      </c>
      <c r="C2030" s="208"/>
      <c r="D2030" s="208" t="s">
        <v>3856</v>
      </c>
      <c r="E2030" s="208" t="s">
        <v>29</v>
      </c>
      <c r="F2030" s="208" t="s">
        <v>3858</v>
      </c>
      <c r="G2030" s="208"/>
      <c r="H2030" s="208"/>
      <c r="I2030" s="208" t="s">
        <v>3859</v>
      </c>
      <c r="J2030" s="208" t="s">
        <v>3860</v>
      </c>
      <c r="K2030" s="208" t="s">
        <v>3861</v>
      </c>
      <c r="L2030" s="208"/>
      <c r="M2030" s="209"/>
      <c r="N2030" s="208"/>
      <c r="O2030" s="208" t="s">
        <v>131</v>
      </c>
      <c r="P2030" s="208" t="s">
        <v>107</v>
      </c>
    </row>
    <row r="2031" spans="1:16">
      <c r="A2031" s="187" t="str">
        <f t="shared" si="31"/>
        <v>V20023A</v>
      </c>
      <c r="B2031" s="206" t="s">
        <v>3863</v>
      </c>
      <c r="C2031" s="206"/>
      <c r="D2031" s="206" t="s">
        <v>3862</v>
      </c>
      <c r="E2031" s="206" t="s">
        <v>29</v>
      </c>
      <c r="F2031" s="206" t="s">
        <v>5032</v>
      </c>
      <c r="G2031" s="206"/>
      <c r="H2031" s="206"/>
      <c r="I2031" s="206" t="s">
        <v>3865</v>
      </c>
      <c r="J2031" s="206" t="s">
        <v>3866</v>
      </c>
      <c r="K2031" s="206" t="s">
        <v>3867</v>
      </c>
      <c r="L2031" s="206"/>
      <c r="M2031" s="207"/>
      <c r="N2031" s="206"/>
      <c r="O2031" s="206" t="s">
        <v>40</v>
      </c>
      <c r="P2031" s="206" t="s">
        <v>34</v>
      </c>
    </row>
    <row r="2032" spans="1:16">
      <c r="A2032" s="187" t="str">
        <f t="shared" si="31"/>
        <v>V20023B</v>
      </c>
      <c r="B2032" s="208" t="s">
        <v>3863</v>
      </c>
      <c r="C2032" s="208"/>
      <c r="D2032" s="208" t="s">
        <v>3868</v>
      </c>
      <c r="E2032" s="208" t="s">
        <v>29</v>
      </c>
      <c r="F2032" s="208" t="s">
        <v>3864</v>
      </c>
      <c r="G2032" s="208"/>
      <c r="H2032" s="208"/>
      <c r="I2032" s="208" t="s">
        <v>3865</v>
      </c>
      <c r="J2032" s="208" t="s">
        <v>3866</v>
      </c>
      <c r="K2032" s="208" t="s">
        <v>3867</v>
      </c>
      <c r="L2032" s="208"/>
      <c r="M2032" s="209"/>
      <c r="N2032" s="208"/>
      <c r="O2032" s="208" t="s">
        <v>40</v>
      </c>
      <c r="P2032" s="208" t="s">
        <v>34</v>
      </c>
    </row>
    <row r="2033" spans="1:16">
      <c r="A2033" s="187" t="str">
        <f t="shared" si="31"/>
        <v>V20023C</v>
      </c>
      <c r="B2033" s="206" t="s">
        <v>3863</v>
      </c>
      <c r="C2033" s="206"/>
      <c r="D2033" s="206" t="s">
        <v>3869</v>
      </c>
      <c r="E2033" s="206" t="s">
        <v>29</v>
      </c>
      <c r="F2033" s="206" t="s">
        <v>5032</v>
      </c>
      <c r="G2033" s="206"/>
      <c r="H2033" s="206"/>
      <c r="I2033" s="206" t="s">
        <v>3865</v>
      </c>
      <c r="J2033" s="206" t="s">
        <v>3866</v>
      </c>
      <c r="K2033" s="206" t="s">
        <v>3867</v>
      </c>
      <c r="L2033" s="206"/>
      <c r="M2033" s="207"/>
      <c r="N2033" s="206"/>
      <c r="O2033" s="206" t="s">
        <v>40</v>
      </c>
      <c r="P2033" s="206" t="s">
        <v>34</v>
      </c>
    </row>
    <row r="2034" spans="1:16">
      <c r="A2034" s="187" t="str">
        <f t="shared" si="31"/>
        <v>005501</v>
      </c>
      <c r="B2034" s="208" t="s">
        <v>4774</v>
      </c>
      <c r="C2034" s="208"/>
      <c r="D2034" s="208" t="s">
        <v>4773</v>
      </c>
      <c r="E2034" s="208" t="s">
        <v>29</v>
      </c>
      <c r="F2034" s="208"/>
      <c r="G2034" s="208"/>
      <c r="H2034" s="208"/>
      <c r="I2034" s="208"/>
      <c r="J2034" s="208"/>
      <c r="K2034" s="208"/>
      <c r="L2034" s="208"/>
      <c r="M2034" s="209"/>
      <c r="N2034" s="208"/>
      <c r="O2034" s="208"/>
      <c r="P2034" s="208"/>
    </row>
    <row r="2035" spans="1:16">
      <c r="A2035" s="187" t="str">
        <f t="shared" si="31"/>
        <v>005502</v>
      </c>
      <c r="B2035" s="206" t="s">
        <v>4774</v>
      </c>
      <c r="C2035" s="206"/>
      <c r="D2035" s="206" t="s">
        <v>4775</v>
      </c>
      <c r="E2035" s="206" t="s">
        <v>29</v>
      </c>
      <c r="F2035" s="206"/>
      <c r="G2035" s="206"/>
      <c r="H2035" s="206"/>
      <c r="I2035" s="206"/>
      <c r="J2035" s="206"/>
      <c r="K2035" s="206"/>
      <c r="L2035" s="206"/>
      <c r="M2035" s="207"/>
      <c r="N2035" s="206"/>
      <c r="O2035" s="206"/>
      <c r="P2035" s="206"/>
    </row>
    <row r="2036" spans="1:16">
      <c r="A2036" s="187" t="str">
        <f t="shared" si="31"/>
        <v>005503</v>
      </c>
      <c r="B2036" s="208" t="s">
        <v>4774</v>
      </c>
      <c r="C2036" s="208"/>
      <c r="D2036" s="208" t="s">
        <v>4776</v>
      </c>
      <c r="E2036" s="208" t="s">
        <v>29</v>
      </c>
      <c r="F2036" s="208"/>
      <c r="G2036" s="208"/>
      <c r="H2036" s="208"/>
      <c r="I2036" s="208"/>
      <c r="J2036" s="208"/>
      <c r="K2036" s="208"/>
      <c r="L2036" s="208"/>
      <c r="M2036" s="209"/>
      <c r="N2036" s="208"/>
      <c r="O2036" s="208"/>
      <c r="P2036" s="208"/>
    </row>
    <row r="2037" spans="1:16">
      <c r="A2037" s="187" t="str">
        <f t="shared" si="31"/>
        <v>V10101A</v>
      </c>
      <c r="B2037" s="206" t="s">
        <v>3871</v>
      </c>
      <c r="C2037" s="206"/>
      <c r="D2037" s="206" t="s">
        <v>3870</v>
      </c>
      <c r="E2037" s="206" t="s">
        <v>29</v>
      </c>
      <c r="F2037" s="206" t="s">
        <v>3872</v>
      </c>
      <c r="G2037" s="206" t="s">
        <v>3873</v>
      </c>
      <c r="H2037" s="206"/>
      <c r="I2037" s="206"/>
      <c r="J2037" s="206" t="s">
        <v>3874</v>
      </c>
      <c r="K2037" s="206" t="s">
        <v>3875</v>
      </c>
      <c r="L2037" s="206"/>
      <c r="M2037" s="207"/>
      <c r="N2037" s="206"/>
      <c r="O2037" s="206" t="s">
        <v>260</v>
      </c>
      <c r="P2037" s="206" t="s">
        <v>91</v>
      </c>
    </row>
    <row r="2038" spans="1:16">
      <c r="A2038" s="187" t="str">
        <f t="shared" si="31"/>
        <v>V10101B</v>
      </c>
      <c r="B2038" s="208" t="s">
        <v>3871</v>
      </c>
      <c r="C2038" s="208"/>
      <c r="D2038" s="208" t="s">
        <v>3876</v>
      </c>
      <c r="E2038" s="208" t="s">
        <v>29</v>
      </c>
      <c r="F2038" s="208" t="s">
        <v>3872</v>
      </c>
      <c r="G2038" s="208" t="s">
        <v>3873</v>
      </c>
      <c r="H2038" s="208"/>
      <c r="I2038" s="208"/>
      <c r="J2038" s="208" t="s">
        <v>3874</v>
      </c>
      <c r="K2038" s="208" t="s">
        <v>3875</v>
      </c>
      <c r="L2038" s="208"/>
      <c r="M2038" s="209"/>
      <c r="N2038" s="208"/>
      <c r="O2038" s="208" t="s">
        <v>260</v>
      </c>
      <c r="P2038" s="208" t="s">
        <v>91</v>
      </c>
    </row>
    <row r="2039" spans="1:16">
      <c r="A2039" s="187" t="str">
        <f t="shared" si="31"/>
        <v>V10101C</v>
      </c>
      <c r="B2039" s="206" t="s">
        <v>3871</v>
      </c>
      <c r="C2039" s="206"/>
      <c r="D2039" s="206" t="s">
        <v>3877</v>
      </c>
      <c r="E2039" s="206" t="s">
        <v>29</v>
      </c>
      <c r="F2039" s="206" t="s">
        <v>3872</v>
      </c>
      <c r="G2039" s="206" t="s">
        <v>3873</v>
      </c>
      <c r="H2039" s="206"/>
      <c r="I2039" s="206"/>
      <c r="J2039" s="206" t="s">
        <v>3874</v>
      </c>
      <c r="K2039" s="206" t="s">
        <v>3875</v>
      </c>
      <c r="L2039" s="206"/>
      <c r="M2039" s="207"/>
      <c r="N2039" s="206"/>
      <c r="O2039" s="206" t="s">
        <v>260</v>
      </c>
      <c r="P2039" s="206" t="s">
        <v>91</v>
      </c>
    </row>
    <row r="2040" spans="1:16">
      <c r="A2040" s="187" t="str">
        <f t="shared" si="31"/>
        <v>V4037C0</v>
      </c>
      <c r="B2040" s="208" t="s">
        <v>3879</v>
      </c>
      <c r="C2040" s="208"/>
      <c r="D2040" s="208" t="s">
        <v>3878</v>
      </c>
      <c r="E2040" s="208" t="s">
        <v>29</v>
      </c>
      <c r="F2040" s="208" t="s">
        <v>3880</v>
      </c>
      <c r="G2040" s="208"/>
      <c r="H2040" s="208"/>
      <c r="I2040" s="208" t="s">
        <v>3881</v>
      </c>
      <c r="J2040" s="208" t="s">
        <v>3882</v>
      </c>
      <c r="K2040" s="208" t="s">
        <v>3883</v>
      </c>
      <c r="L2040" s="208"/>
      <c r="M2040" s="209"/>
      <c r="N2040" s="208"/>
      <c r="O2040" s="208" t="s">
        <v>131</v>
      </c>
      <c r="P2040" s="208" t="s">
        <v>107</v>
      </c>
    </row>
    <row r="2041" spans="1:16">
      <c r="A2041" s="187" t="str">
        <f t="shared" si="31"/>
        <v>LS-000376</v>
      </c>
      <c r="B2041" s="206" t="s">
        <v>3885</v>
      </c>
      <c r="C2041" s="206"/>
      <c r="D2041" s="206" t="s">
        <v>3884</v>
      </c>
      <c r="E2041" s="206" t="s">
        <v>151</v>
      </c>
      <c r="F2041" s="206" t="s">
        <v>3886</v>
      </c>
      <c r="G2041" s="206" t="s">
        <v>3887</v>
      </c>
      <c r="H2041" s="206"/>
      <c r="I2041" s="206" t="s">
        <v>3888</v>
      </c>
      <c r="J2041" s="206" t="s">
        <v>3889</v>
      </c>
      <c r="K2041" s="206" t="s">
        <v>3890</v>
      </c>
      <c r="L2041" s="206"/>
      <c r="M2041" s="207"/>
      <c r="N2041" s="206"/>
      <c r="O2041" s="206"/>
      <c r="P2041" s="206"/>
    </row>
    <row r="2042" spans="1:16">
      <c r="A2042" s="187" t="str">
        <f t="shared" si="31"/>
        <v>CG440002C0</v>
      </c>
      <c r="B2042" s="208" t="s">
        <v>3892</v>
      </c>
      <c r="C2042" s="208"/>
      <c r="D2042" s="208" t="s">
        <v>3891</v>
      </c>
      <c r="E2042" s="208" t="s">
        <v>29</v>
      </c>
      <c r="F2042" s="208" t="s">
        <v>3893</v>
      </c>
      <c r="G2042" s="208"/>
      <c r="H2042" s="208"/>
      <c r="I2042" s="208"/>
      <c r="J2042" s="208"/>
      <c r="K2042" s="208"/>
      <c r="L2042" s="208"/>
      <c r="M2042" s="209"/>
      <c r="N2042" s="208"/>
      <c r="O2042" s="208"/>
      <c r="P2042" s="208" t="s">
        <v>100</v>
      </c>
    </row>
    <row r="2043" spans="1:16">
      <c r="A2043" s="187" t="str">
        <f t="shared" si="31"/>
        <v>V4047C0</v>
      </c>
      <c r="B2043" s="206" t="s">
        <v>3892</v>
      </c>
      <c r="C2043" s="206"/>
      <c r="D2043" s="206" t="s">
        <v>3894</v>
      </c>
      <c r="E2043" s="206" t="s">
        <v>29</v>
      </c>
      <c r="F2043" s="206" t="s">
        <v>3893</v>
      </c>
      <c r="G2043" s="206" t="s">
        <v>3895</v>
      </c>
      <c r="H2043" s="206"/>
      <c r="I2043" s="206"/>
      <c r="J2043" s="206" t="s">
        <v>3896</v>
      </c>
      <c r="K2043" s="206" t="s">
        <v>3897</v>
      </c>
      <c r="L2043" s="206"/>
      <c r="M2043" s="207"/>
      <c r="N2043" s="206"/>
      <c r="O2043" s="206" t="s">
        <v>131</v>
      </c>
      <c r="P2043" s="206" t="s">
        <v>107</v>
      </c>
    </row>
    <row r="2044" spans="1:16">
      <c r="A2044" s="187" t="str">
        <f t="shared" si="31"/>
        <v>V10278C</v>
      </c>
      <c r="B2044" s="208" t="s">
        <v>3899</v>
      </c>
      <c r="C2044" s="208"/>
      <c r="D2044" s="208" t="s">
        <v>3898</v>
      </c>
      <c r="E2044" s="208" t="s">
        <v>29</v>
      </c>
      <c r="F2044" s="208" t="s">
        <v>3900</v>
      </c>
      <c r="G2044" s="208"/>
      <c r="H2044" s="208"/>
      <c r="I2044" s="208"/>
      <c r="J2044" s="208" t="s">
        <v>3901</v>
      </c>
      <c r="K2044" s="208" t="s">
        <v>3902</v>
      </c>
      <c r="L2044" s="208"/>
      <c r="M2044" s="209"/>
      <c r="N2044" s="208"/>
      <c r="O2044" s="208"/>
      <c r="P2044" s="208" t="s">
        <v>91</v>
      </c>
    </row>
    <row r="2045" spans="1:16">
      <c r="A2045" s="187" t="str">
        <f t="shared" si="31"/>
        <v>005401</v>
      </c>
      <c r="B2045" s="206" t="s">
        <v>4778</v>
      </c>
      <c r="C2045" s="206"/>
      <c r="D2045" s="206" t="s">
        <v>4777</v>
      </c>
      <c r="E2045" s="206" t="s">
        <v>29</v>
      </c>
      <c r="F2045" s="206"/>
      <c r="G2045" s="206"/>
      <c r="H2045" s="206"/>
      <c r="I2045" s="206"/>
      <c r="J2045" s="206"/>
      <c r="K2045" s="206"/>
      <c r="L2045" s="206"/>
      <c r="M2045" s="207"/>
      <c r="N2045" s="206"/>
      <c r="O2045" s="206"/>
      <c r="P2045" s="206"/>
    </row>
    <row r="2046" spans="1:16">
      <c r="A2046" s="187" t="str">
        <f t="shared" si="31"/>
        <v>005402</v>
      </c>
      <c r="B2046" s="208" t="s">
        <v>4778</v>
      </c>
      <c r="C2046" s="208"/>
      <c r="D2046" s="208" t="s">
        <v>4779</v>
      </c>
      <c r="E2046" s="208" t="s">
        <v>29</v>
      </c>
      <c r="F2046" s="208"/>
      <c r="G2046" s="208"/>
      <c r="H2046" s="208"/>
      <c r="I2046" s="208"/>
      <c r="J2046" s="208"/>
      <c r="K2046" s="208"/>
      <c r="L2046" s="208"/>
      <c r="M2046" s="209"/>
      <c r="N2046" s="208"/>
      <c r="O2046" s="208"/>
      <c r="P2046" s="208"/>
    </row>
    <row r="2047" spans="1:16">
      <c r="A2047" s="187" t="str">
        <f t="shared" si="31"/>
        <v>005403</v>
      </c>
      <c r="B2047" s="206" t="s">
        <v>4778</v>
      </c>
      <c r="C2047" s="206"/>
      <c r="D2047" s="206" t="s">
        <v>4780</v>
      </c>
      <c r="E2047" s="206" t="s">
        <v>29</v>
      </c>
      <c r="F2047" s="206"/>
      <c r="G2047" s="206"/>
      <c r="H2047" s="206"/>
      <c r="I2047" s="206"/>
      <c r="J2047" s="206"/>
      <c r="K2047" s="206"/>
      <c r="L2047" s="206"/>
      <c r="M2047" s="207"/>
      <c r="N2047" s="206"/>
      <c r="O2047" s="206"/>
      <c r="P2047" s="206"/>
    </row>
    <row r="2048" spans="1:16">
      <c r="A2048" s="187" t="str">
        <f t="shared" si="31"/>
        <v>005404</v>
      </c>
      <c r="B2048" s="208" t="s">
        <v>4778</v>
      </c>
      <c r="C2048" s="208"/>
      <c r="D2048" s="208" t="s">
        <v>4781</v>
      </c>
      <c r="E2048" s="208" t="s">
        <v>29</v>
      </c>
      <c r="F2048" s="208"/>
      <c r="G2048" s="208"/>
      <c r="H2048" s="208"/>
      <c r="I2048" s="208"/>
      <c r="J2048" s="208"/>
      <c r="K2048" s="208"/>
      <c r="L2048" s="208"/>
      <c r="M2048" s="209"/>
      <c r="N2048" s="208"/>
      <c r="O2048" s="208"/>
      <c r="P2048" s="208"/>
    </row>
    <row r="2049" spans="1:16">
      <c r="A2049" s="187" t="str">
        <f t="shared" si="31"/>
        <v>005601</v>
      </c>
      <c r="B2049" s="206" t="s">
        <v>2642</v>
      </c>
      <c r="C2049" s="206"/>
      <c r="D2049" s="206" t="s">
        <v>4784</v>
      </c>
      <c r="E2049" s="206" t="s">
        <v>29</v>
      </c>
      <c r="F2049" s="206" t="s">
        <v>4785</v>
      </c>
      <c r="G2049" s="206"/>
      <c r="H2049" s="206"/>
      <c r="I2049" s="206"/>
      <c r="J2049" s="206"/>
      <c r="K2049" s="206"/>
      <c r="L2049" s="206"/>
      <c r="M2049" s="207"/>
      <c r="N2049" s="206"/>
      <c r="O2049" s="206"/>
      <c r="P2049" s="206"/>
    </row>
    <row r="2050" spans="1:16">
      <c r="A2050" s="187" t="str">
        <f t="shared" si="31"/>
        <v>005602</v>
      </c>
      <c r="B2050" s="208" t="s">
        <v>2642</v>
      </c>
      <c r="C2050" s="208"/>
      <c r="D2050" s="208" t="s">
        <v>4786</v>
      </c>
      <c r="E2050" s="208" t="s">
        <v>29</v>
      </c>
      <c r="F2050" s="208"/>
      <c r="G2050" s="208"/>
      <c r="H2050" s="208"/>
      <c r="I2050" s="208"/>
      <c r="J2050" s="208"/>
      <c r="K2050" s="208"/>
      <c r="L2050" s="208"/>
      <c r="M2050" s="209"/>
      <c r="N2050" s="208"/>
      <c r="O2050" s="208"/>
      <c r="P2050" s="208"/>
    </row>
    <row r="2051" spans="1:16">
      <c r="A2051" s="187" t="str">
        <f t="shared" si="31"/>
        <v>005603</v>
      </c>
      <c r="B2051" s="206" t="s">
        <v>2642</v>
      </c>
      <c r="C2051" s="206"/>
      <c r="D2051" s="206" t="s">
        <v>4787</v>
      </c>
      <c r="E2051" s="206" t="s">
        <v>29</v>
      </c>
      <c r="F2051" s="206"/>
      <c r="G2051" s="206"/>
      <c r="H2051" s="206"/>
      <c r="I2051" s="206"/>
      <c r="J2051" s="206"/>
      <c r="K2051" s="206"/>
      <c r="L2051" s="206"/>
      <c r="M2051" s="207"/>
      <c r="N2051" s="206"/>
      <c r="O2051" s="206"/>
      <c r="P2051" s="206"/>
    </row>
    <row r="2052" spans="1:16">
      <c r="A2052" s="187" t="str">
        <f t="shared" si="31"/>
        <v>005604</v>
      </c>
      <c r="B2052" s="208" t="s">
        <v>2642</v>
      </c>
      <c r="C2052" s="208"/>
      <c r="D2052" s="208" t="s">
        <v>4788</v>
      </c>
      <c r="E2052" s="208" t="s">
        <v>29</v>
      </c>
      <c r="F2052" s="208"/>
      <c r="G2052" s="208"/>
      <c r="H2052" s="208"/>
      <c r="I2052" s="208"/>
      <c r="J2052" s="208"/>
      <c r="K2052" s="208"/>
      <c r="L2052" s="208"/>
      <c r="M2052" s="209"/>
      <c r="N2052" s="208"/>
      <c r="O2052" s="208"/>
      <c r="P2052" s="208"/>
    </row>
    <row r="2053" spans="1:16">
      <c r="A2053" s="187" t="str">
        <f t="shared" si="31"/>
        <v>005605</v>
      </c>
      <c r="B2053" s="206" t="s">
        <v>2642</v>
      </c>
      <c r="C2053" s="206"/>
      <c r="D2053" s="206" t="s">
        <v>4789</v>
      </c>
      <c r="E2053" s="206" t="s">
        <v>29</v>
      </c>
      <c r="F2053" s="206"/>
      <c r="G2053" s="206"/>
      <c r="H2053" s="206"/>
      <c r="I2053" s="206"/>
      <c r="J2053" s="206"/>
      <c r="K2053" s="206"/>
      <c r="L2053" s="206"/>
      <c r="M2053" s="207"/>
      <c r="N2053" s="206"/>
      <c r="O2053" s="206"/>
      <c r="P2053" s="206"/>
    </row>
    <row r="2054" spans="1:16">
      <c r="A2054" s="187" t="str">
        <f t="shared" ref="A2054:A2117" si="32">D2054</f>
        <v>005606</v>
      </c>
      <c r="B2054" s="208" t="s">
        <v>2642</v>
      </c>
      <c r="C2054" s="208"/>
      <c r="D2054" s="208" t="s">
        <v>4790</v>
      </c>
      <c r="E2054" s="208" t="s">
        <v>29</v>
      </c>
      <c r="F2054" s="208"/>
      <c r="G2054" s="208"/>
      <c r="H2054" s="208"/>
      <c r="I2054" s="208"/>
      <c r="J2054" s="208"/>
      <c r="K2054" s="208"/>
      <c r="L2054" s="208"/>
      <c r="M2054" s="209"/>
      <c r="N2054" s="208"/>
      <c r="O2054" s="208"/>
      <c r="P2054" s="208"/>
    </row>
    <row r="2055" spans="1:16">
      <c r="A2055" s="187" t="str">
        <f t="shared" si="32"/>
        <v>005607</v>
      </c>
      <c r="B2055" s="206" t="s">
        <v>2642</v>
      </c>
      <c r="C2055" s="206"/>
      <c r="D2055" s="206" t="s">
        <v>4791</v>
      </c>
      <c r="E2055" s="206" t="s">
        <v>29</v>
      </c>
      <c r="F2055" s="206"/>
      <c r="G2055" s="206"/>
      <c r="H2055" s="206"/>
      <c r="I2055" s="206"/>
      <c r="J2055" s="206"/>
      <c r="K2055" s="206"/>
      <c r="L2055" s="206"/>
      <c r="M2055" s="207"/>
      <c r="N2055" s="206"/>
      <c r="O2055" s="206"/>
      <c r="P2055" s="206"/>
    </row>
    <row r="2056" spans="1:16">
      <c r="A2056" s="187" t="str">
        <f t="shared" si="32"/>
        <v>005608</v>
      </c>
      <c r="B2056" s="187" t="s">
        <v>2642</v>
      </c>
      <c r="D2056" s="187" t="s">
        <v>4792</v>
      </c>
      <c r="E2056" s="187" t="s">
        <v>29</v>
      </c>
    </row>
    <row r="2057" spans="1:16">
      <c r="A2057" s="187" t="str">
        <f t="shared" si="32"/>
        <v>005609</v>
      </c>
      <c r="B2057" s="187" t="s">
        <v>2642</v>
      </c>
      <c r="D2057" s="187" t="s">
        <v>4793</v>
      </c>
      <c r="E2057" s="187" t="s">
        <v>29</v>
      </c>
    </row>
    <row r="2058" spans="1:16">
      <c r="A2058" s="187" t="str">
        <f t="shared" si="32"/>
        <v>005610</v>
      </c>
      <c r="B2058" s="187" t="s">
        <v>2642</v>
      </c>
      <c r="D2058" s="187" t="s">
        <v>4794</v>
      </c>
      <c r="E2058" s="187" t="s">
        <v>29</v>
      </c>
    </row>
    <row r="2059" spans="1:16">
      <c r="A2059" s="187" t="str">
        <f t="shared" si="32"/>
        <v>005611</v>
      </c>
      <c r="B2059" s="187" t="s">
        <v>2642</v>
      </c>
      <c r="D2059" s="187" t="s">
        <v>4795</v>
      </c>
      <c r="E2059" s="187" t="s">
        <v>29</v>
      </c>
    </row>
    <row r="2060" spans="1:16">
      <c r="A2060" s="187" t="str">
        <f t="shared" si="32"/>
        <v>005612</v>
      </c>
      <c r="B2060" s="187" t="s">
        <v>2642</v>
      </c>
      <c r="D2060" s="187" t="s">
        <v>4796</v>
      </c>
      <c r="E2060" s="187" t="s">
        <v>29</v>
      </c>
    </row>
    <row r="2061" spans="1:16">
      <c r="A2061" s="187" t="str">
        <f t="shared" si="32"/>
        <v>005613</v>
      </c>
      <c r="B2061" s="187" t="s">
        <v>2642</v>
      </c>
      <c r="D2061" s="187" t="s">
        <v>4797</v>
      </c>
      <c r="E2061" s="187" t="s">
        <v>29</v>
      </c>
    </row>
    <row r="2062" spans="1:16">
      <c r="A2062" s="187" t="str">
        <f t="shared" si="32"/>
        <v>005614</v>
      </c>
      <c r="B2062" s="187" t="s">
        <v>2642</v>
      </c>
      <c r="D2062" s="187" t="s">
        <v>4798</v>
      </c>
      <c r="E2062" s="187" t="s">
        <v>29</v>
      </c>
    </row>
    <row r="2063" spans="1:16">
      <c r="A2063" s="187" t="str">
        <f t="shared" si="32"/>
        <v>005615</v>
      </c>
      <c r="B2063" s="187" t="s">
        <v>2642</v>
      </c>
      <c r="D2063" s="187" t="s">
        <v>4799</v>
      </c>
      <c r="E2063" s="187" t="s">
        <v>29</v>
      </c>
    </row>
    <row r="2064" spans="1:16">
      <c r="A2064" s="187" t="str">
        <f t="shared" si="32"/>
        <v>005616</v>
      </c>
      <c r="B2064" s="187" t="s">
        <v>2642</v>
      </c>
      <c r="D2064" s="187" t="s">
        <v>4800</v>
      </c>
      <c r="E2064" s="187" t="s">
        <v>29</v>
      </c>
    </row>
    <row r="2065" spans="1:16">
      <c r="A2065" s="187" t="str">
        <f t="shared" si="32"/>
        <v>005617</v>
      </c>
      <c r="B2065" s="187" t="s">
        <v>2642</v>
      </c>
      <c r="D2065" s="187" t="s">
        <v>4801</v>
      </c>
      <c r="E2065" s="187" t="s">
        <v>29</v>
      </c>
    </row>
    <row r="2066" spans="1:16">
      <c r="A2066" s="187" t="str">
        <f t="shared" si="32"/>
        <v>005618</v>
      </c>
      <c r="B2066" s="187" t="s">
        <v>2642</v>
      </c>
      <c r="D2066" s="187" t="s">
        <v>4802</v>
      </c>
      <c r="E2066" s="187" t="s">
        <v>29</v>
      </c>
    </row>
    <row r="2067" spans="1:16">
      <c r="A2067" s="187" t="str">
        <f t="shared" si="32"/>
        <v>005621</v>
      </c>
      <c r="B2067" s="187" t="s">
        <v>2642</v>
      </c>
      <c r="D2067" s="187" t="s">
        <v>4782</v>
      </c>
      <c r="E2067" s="187" t="s">
        <v>29</v>
      </c>
    </row>
    <row r="2068" spans="1:16">
      <c r="A2068" s="187" t="str">
        <f t="shared" si="32"/>
        <v>005622</v>
      </c>
      <c r="B2068" s="187" t="s">
        <v>2642</v>
      </c>
      <c r="D2068" s="187" t="s">
        <v>4783</v>
      </c>
      <c r="E2068" s="187" t="s">
        <v>29</v>
      </c>
    </row>
    <row r="2069" spans="1:16">
      <c r="A2069" s="187" t="str">
        <f t="shared" si="32"/>
        <v>005623</v>
      </c>
      <c r="B2069" s="187" t="s">
        <v>2642</v>
      </c>
      <c r="D2069" s="187" t="s">
        <v>4803</v>
      </c>
      <c r="E2069" s="187" t="s">
        <v>151</v>
      </c>
    </row>
    <row r="2070" spans="1:16">
      <c r="A2070" s="187" t="str">
        <f t="shared" si="32"/>
        <v>CG470004C0</v>
      </c>
      <c r="B2070" s="187" t="s">
        <v>387</v>
      </c>
      <c r="D2070" s="187" t="s">
        <v>3903</v>
      </c>
      <c r="E2070" s="187" t="s">
        <v>29</v>
      </c>
      <c r="F2070" s="187" t="s">
        <v>3904</v>
      </c>
      <c r="P2070" s="187" t="s">
        <v>100</v>
      </c>
    </row>
    <row r="2071" spans="1:16">
      <c r="A2071" s="187" t="str">
        <f t="shared" si="32"/>
        <v>V4072C0</v>
      </c>
      <c r="B2071" s="187" t="s">
        <v>3906</v>
      </c>
      <c r="D2071" s="187" t="s">
        <v>3905</v>
      </c>
      <c r="E2071" s="187" t="s">
        <v>29</v>
      </c>
      <c r="F2071" s="187" t="s">
        <v>3907</v>
      </c>
      <c r="P2071" s="187" t="s">
        <v>107</v>
      </c>
    </row>
    <row r="2072" spans="1:16">
      <c r="A2072" s="187" t="str">
        <f t="shared" si="32"/>
        <v>005709</v>
      </c>
      <c r="B2072" s="187" t="s">
        <v>4805</v>
      </c>
      <c r="D2072" s="187" t="s">
        <v>4813</v>
      </c>
      <c r="E2072" s="187" t="s">
        <v>29</v>
      </c>
    </row>
    <row r="2073" spans="1:16">
      <c r="A2073" s="187" t="str">
        <f t="shared" si="32"/>
        <v>005710</v>
      </c>
      <c r="B2073" s="187" t="s">
        <v>4805</v>
      </c>
      <c r="D2073" s="187" t="s">
        <v>4814</v>
      </c>
      <c r="E2073" s="187" t="s">
        <v>29</v>
      </c>
    </row>
    <row r="2074" spans="1:16">
      <c r="A2074" s="187" t="str">
        <f t="shared" si="32"/>
        <v>005711</v>
      </c>
      <c r="B2074" s="187" t="s">
        <v>4805</v>
      </c>
      <c r="D2074" s="187" t="s">
        <v>4815</v>
      </c>
      <c r="E2074" s="187" t="s">
        <v>29</v>
      </c>
    </row>
    <row r="2075" spans="1:16">
      <c r="A2075" s="187" t="str">
        <f t="shared" si="32"/>
        <v>005712</v>
      </c>
      <c r="B2075" s="187" t="s">
        <v>4805</v>
      </c>
      <c r="D2075" s="187" t="s">
        <v>4816</v>
      </c>
      <c r="E2075" s="187" t="s">
        <v>29</v>
      </c>
    </row>
    <row r="2076" spans="1:16">
      <c r="A2076" s="187" t="str">
        <f t="shared" si="32"/>
        <v>005713</v>
      </c>
      <c r="B2076" s="187" t="s">
        <v>4805</v>
      </c>
      <c r="D2076" s="187" t="s">
        <v>4817</v>
      </c>
      <c r="E2076" s="187" t="s">
        <v>29</v>
      </c>
    </row>
    <row r="2077" spans="1:16">
      <c r="A2077" s="187" t="str">
        <f t="shared" si="32"/>
        <v>005714</v>
      </c>
      <c r="B2077" s="187" t="s">
        <v>4805</v>
      </c>
      <c r="D2077" s="187" t="s">
        <v>4818</v>
      </c>
      <c r="E2077" s="187" t="s">
        <v>29</v>
      </c>
    </row>
    <row r="2078" spans="1:16">
      <c r="A2078" s="187" t="str">
        <f t="shared" si="32"/>
        <v>005715</v>
      </c>
      <c r="B2078" s="187" t="s">
        <v>4805</v>
      </c>
      <c r="D2078" s="187" t="s">
        <v>4819</v>
      </c>
      <c r="E2078" s="187" t="s">
        <v>29</v>
      </c>
    </row>
    <row r="2079" spans="1:16">
      <c r="A2079" s="187" t="str">
        <f t="shared" si="32"/>
        <v>005701</v>
      </c>
      <c r="B2079" s="187" t="s">
        <v>4805</v>
      </c>
      <c r="D2079" s="187" t="s">
        <v>4804</v>
      </c>
      <c r="E2079" s="187" t="s">
        <v>29</v>
      </c>
    </row>
    <row r="2080" spans="1:16">
      <c r="A2080" s="187" t="str">
        <f t="shared" si="32"/>
        <v>005702</v>
      </c>
      <c r="B2080" s="187" t="s">
        <v>4805</v>
      </c>
      <c r="D2080" s="187" t="s">
        <v>4806</v>
      </c>
      <c r="E2080" s="187" t="s">
        <v>29</v>
      </c>
    </row>
    <row r="2081" spans="1:6">
      <c r="A2081" s="187" t="str">
        <f t="shared" si="32"/>
        <v>005703</v>
      </c>
      <c r="B2081" s="187" t="s">
        <v>4805</v>
      </c>
      <c r="D2081" s="187" t="s">
        <v>4807</v>
      </c>
      <c r="E2081" s="187" t="s">
        <v>29</v>
      </c>
    </row>
    <row r="2082" spans="1:6">
      <c r="A2082" s="187" t="str">
        <f t="shared" si="32"/>
        <v>005704</v>
      </c>
      <c r="B2082" s="187" t="s">
        <v>4805</v>
      </c>
      <c r="D2082" s="187" t="s">
        <v>4808</v>
      </c>
      <c r="E2082" s="187" t="s">
        <v>29</v>
      </c>
    </row>
    <row r="2083" spans="1:6">
      <c r="A2083" s="187" t="str">
        <f t="shared" si="32"/>
        <v>005705</v>
      </c>
      <c r="B2083" s="187" t="s">
        <v>4805</v>
      </c>
      <c r="D2083" s="187" t="s">
        <v>4809</v>
      </c>
      <c r="E2083" s="187" t="s">
        <v>29</v>
      </c>
    </row>
    <row r="2084" spans="1:6">
      <c r="A2084" s="187" t="str">
        <f t="shared" si="32"/>
        <v>005706</v>
      </c>
      <c r="B2084" s="187" t="s">
        <v>4805</v>
      </c>
      <c r="D2084" s="187" t="s">
        <v>4810</v>
      </c>
      <c r="E2084" s="187" t="s">
        <v>29</v>
      </c>
    </row>
    <row r="2085" spans="1:6">
      <c r="A2085" s="187" t="str">
        <f t="shared" si="32"/>
        <v>005707</v>
      </c>
      <c r="B2085" s="187" t="s">
        <v>4805</v>
      </c>
      <c r="D2085" s="187" t="s">
        <v>4811</v>
      </c>
      <c r="E2085" s="187" t="s">
        <v>29</v>
      </c>
    </row>
    <row r="2086" spans="1:6">
      <c r="A2086" s="187" t="str">
        <f t="shared" si="32"/>
        <v>005708</v>
      </c>
      <c r="B2086" s="187" t="s">
        <v>4805</v>
      </c>
      <c r="D2086" s="187" t="s">
        <v>4812</v>
      </c>
      <c r="E2086" s="187" t="s">
        <v>29</v>
      </c>
    </row>
    <row r="2087" spans="1:6">
      <c r="A2087" s="187" t="str">
        <f t="shared" si="32"/>
        <v>002001</v>
      </c>
      <c r="B2087" s="187" t="s">
        <v>4821</v>
      </c>
      <c r="D2087" s="187" t="s">
        <v>4820</v>
      </c>
      <c r="E2087" s="187" t="s">
        <v>29</v>
      </c>
      <c r="F2087" s="187" t="s">
        <v>457</v>
      </c>
    </row>
    <row r="2088" spans="1:6">
      <c r="A2088" s="187" t="str">
        <f t="shared" si="32"/>
        <v>002002</v>
      </c>
      <c r="B2088" s="187" t="s">
        <v>4821</v>
      </c>
      <c r="D2088" s="187" t="s">
        <v>4822</v>
      </c>
      <c r="E2088" s="187" t="s">
        <v>29</v>
      </c>
    </row>
    <row r="2089" spans="1:6">
      <c r="A2089" s="187" t="str">
        <f t="shared" si="32"/>
        <v>002003</v>
      </c>
      <c r="B2089" s="187" t="s">
        <v>4821</v>
      </c>
      <c r="D2089" s="187" t="s">
        <v>4823</v>
      </c>
      <c r="E2089" s="187" t="s">
        <v>29</v>
      </c>
    </row>
    <row r="2090" spans="1:6">
      <c r="A2090" s="187" t="str">
        <f t="shared" si="32"/>
        <v>002004</v>
      </c>
      <c r="B2090" s="187" t="s">
        <v>4821</v>
      </c>
      <c r="D2090" s="187" t="s">
        <v>4824</v>
      </c>
      <c r="E2090" s="187" t="s">
        <v>29</v>
      </c>
    </row>
    <row r="2091" spans="1:6">
      <c r="A2091" s="187" t="str">
        <f t="shared" si="32"/>
        <v>002005</v>
      </c>
      <c r="B2091" s="187" t="s">
        <v>4821</v>
      </c>
      <c r="D2091" s="187" t="s">
        <v>4825</v>
      </c>
      <c r="E2091" s="187" t="s">
        <v>29</v>
      </c>
    </row>
    <row r="2092" spans="1:6">
      <c r="A2092" s="187" t="str">
        <f t="shared" si="32"/>
        <v>002006</v>
      </c>
      <c r="B2092" s="187" t="s">
        <v>4821</v>
      </c>
      <c r="D2092" s="187" t="s">
        <v>4826</v>
      </c>
      <c r="E2092" s="187" t="s">
        <v>29</v>
      </c>
    </row>
    <row r="2093" spans="1:6">
      <c r="A2093" s="187" t="str">
        <f t="shared" si="32"/>
        <v>002007</v>
      </c>
      <c r="B2093" s="187" t="s">
        <v>4821</v>
      </c>
      <c r="D2093" s="187" t="s">
        <v>4827</v>
      </c>
      <c r="E2093" s="187" t="s">
        <v>29</v>
      </c>
    </row>
    <row r="2094" spans="1:6">
      <c r="A2094" s="187" t="str">
        <f t="shared" si="32"/>
        <v>002008</v>
      </c>
      <c r="B2094" s="187" t="s">
        <v>4821</v>
      </c>
      <c r="D2094" s="187" t="s">
        <v>4828</v>
      </c>
      <c r="E2094" s="187" t="s">
        <v>29</v>
      </c>
    </row>
    <row r="2095" spans="1:6">
      <c r="A2095" s="187" t="str">
        <f t="shared" si="32"/>
        <v>002009</v>
      </c>
      <c r="B2095" s="187" t="s">
        <v>4821</v>
      </c>
      <c r="D2095" s="187" t="s">
        <v>4829</v>
      </c>
      <c r="E2095" s="187" t="s">
        <v>29</v>
      </c>
    </row>
    <row r="2096" spans="1:6">
      <c r="A2096" s="187" t="str">
        <f t="shared" si="32"/>
        <v>030001</v>
      </c>
      <c r="B2096" s="187" t="s">
        <v>4831</v>
      </c>
      <c r="D2096" s="187" t="s">
        <v>4830</v>
      </c>
      <c r="E2096" s="187" t="s">
        <v>29</v>
      </c>
    </row>
    <row r="2097" spans="1:16">
      <c r="A2097" s="187" t="str">
        <f t="shared" si="32"/>
        <v>003401</v>
      </c>
      <c r="B2097" s="187" t="s">
        <v>4833</v>
      </c>
      <c r="D2097" s="187" t="s">
        <v>4832</v>
      </c>
      <c r="E2097" s="187" t="s">
        <v>29</v>
      </c>
    </row>
    <row r="2098" spans="1:16">
      <c r="A2098" s="187" t="str">
        <f t="shared" si="32"/>
        <v>003402</v>
      </c>
      <c r="B2098" s="187" t="s">
        <v>4833</v>
      </c>
      <c r="D2098" s="187" t="s">
        <v>4834</v>
      </c>
      <c r="E2098" s="187" t="s">
        <v>29</v>
      </c>
    </row>
    <row r="2099" spans="1:16">
      <c r="A2099" s="187" t="str">
        <f t="shared" si="32"/>
        <v>003403</v>
      </c>
      <c r="B2099" s="187" t="s">
        <v>4833</v>
      </c>
      <c r="D2099" s="187" t="s">
        <v>4835</v>
      </c>
      <c r="E2099" s="187" t="s">
        <v>29</v>
      </c>
    </row>
    <row r="2100" spans="1:16">
      <c r="A2100" s="187" t="str">
        <f t="shared" si="32"/>
        <v>006201</v>
      </c>
      <c r="B2100" s="187" t="s">
        <v>4837</v>
      </c>
      <c r="D2100" s="187" t="s">
        <v>4836</v>
      </c>
      <c r="E2100" s="187" t="s">
        <v>29</v>
      </c>
    </row>
    <row r="2101" spans="1:16">
      <c r="A2101" s="187" t="str">
        <f t="shared" si="32"/>
        <v>005801</v>
      </c>
      <c r="B2101" s="187" t="s">
        <v>4839</v>
      </c>
      <c r="D2101" s="187" t="s">
        <v>4838</v>
      </c>
      <c r="E2101" s="187" t="s">
        <v>29</v>
      </c>
    </row>
    <row r="2102" spans="1:16">
      <c r="A2102" s="187" t="str">
        <f t="shared" si="32"/>
        <v>005802</v>
      </c>
      <c r="B2102" s="187" t="s">
        <v>4839</v>
      </c>
      <c r="D2102" s="187" t="s">
        <v>4840</v>
      </c>
      <c r="E2102" s="187" t="s">
        <v>29</v>
      </c>
    </row>
    <row r="2103" spans="1:16">
      <c r="A2103" s="187" t="str">
        <f t="shared" si="32"/>
        <v>005803</v>
      </c>
      <c r="B2103" s="187" t="s">
        <v>4839</v>
      </c>
      <c r="D2103" s="187" t="s">
        <v>4841</v>
      </c>
      <c r="E2103" s="187" t="s">
        <v>29</v>
      </c>
    </row>
    <row r="2104" spans="1:16">
      <c r="A2104" s="187" t="str">
        <f t="shared" si="32"/>
        <v>T3004C0</v>
      </c>
      <c r="B2104" s="187" t="s">
        <v>3909</v>
      </c>
      <c r="D2104" s="187" t="s">
        <v>3908</v>
      </c>
      <c r="E2104" s="187" t="s">
        <v>29</v>
      </c>
      <c r="F2104" s="187" t="s">
        <v>94</v>
      </c>
      <c r="O2104" s="187" t="s">
        <v>95</v>
      </c>
      <c r="P2104" s="187" t="s">
        <v>96</v>
      </c>
    </row>
    <row r="2105" spans="1:16">
      <c r="A2105" s="187" t="str">
        <f t="shared" si="32"/>
        <v>V20177C</v>
      </c>
      <c r="B2105" s="187" t="s">
        <v>6516</v>
      </c>
      <c r="D2105" s="187" t="s">
        <v>6517</v>
      </c>
      <c r="E2105" s="187" t="s">
        <v>29</v>
      </c>
      <c r="F2105" s="187" t="s">
        <v>6518</v>
      </c>
      <c r="P2105" s="187" t="s">
        <v>34</v>
      </c>
    </row>
    <row r="2106" spans="1:16">
      <c r="A2106" s="187" t="str">
        <f t="shared" si="32"/>
        <v>V20074A</v>
      </c>
      <c r="B2106" s="187" t="s">
        <v>3911</v>
      </c>
      <c r="D2106" s="187" t="s">
        <v>3910</v>
      </c>
      <c r="E2106" s="187" t="s">
        <v>29</v>
      </c>
      <c r="F2106" s="187" t="s">
        <v>3912</v>
      </c>
      <c r="I2106" s="187" t="s">
        <v>3913</v>
      </c>
      <c r="J2106" s="187" t="s">
        <v>3914</v>
      </c>
      <c r="K2106" s="187" t="s">
        <v>3915</v>
      </c>
      <c r="O2106" s="187" t="s">
        <v>40</v>
      </c>
      <c r="P2106" s="187" t="s">
        <v>34</v>
      </c>
    </row>
    <row r="2107" spans="1:16">
      <c r="A2107" s="187" t="str">
        <f t="shared" si="32"/>
        <v>V20074B</v>
      </c>
      <c r="B2107" s="187" t="s">
        <v>3911</v>
      </c>
      <c r="D2107" s="187" t="s">
        <v>3916</v>
      </c>
      <c r="E2107" s="187" t="s">
        <v>29</v>
      </c>
      <c r="F2107" s="187" t="s">
        <v>3912</v>
      </c>
      <c r="I2107" s="187" t="s">
        <v>3913</v>
      </c>
      <c r="J2107" s="187" t="s">
        <v>3914</v>
      </c>
      <c r="K2107" s="187" t="s">
        <v>3915</v>
      </c>
      <c r="O2107" s="187" t="s">
        <v>40</v>
      </c>
      <c r="P2107" s="187" t="s">
        <v>34</v>
      </c>
    </row>
    <row r="2108" spans="1:16">
      <c r="A2108" s="187" t="str">
        <f t="shared" si="32"/>
        <v>V20074C</v>
      </c>
      <c r="B2108" s="187" t="s">
        <v>3911</v>
      </c>
      <c r="D2108" s="187" t="s">
        <v>3917</v>
      </c>
      <c r="E2108" s="187" t="s">
        <v>29</v>
      </c>
      <c r="F2108" s="187" t="s">
        <v>3912</v>
      </c>
      <c r="I2108" s="187" t="s">
        <v>3913</v>
      </c>
      <c r="J2108" s="187" t="s">
        <v>3914</v>
      </c>
      <c r="K2108" s="187" t="s">
        <v>3915</v>
      </c>
      <c r="O2108" s="187" t="s">
        <v>40</v>
      </c>
      <c r="P2108" s="187" t="s">
        <v>34</v>
      </c>
    </row>
    <row r="2109" spans="1:16">
      <c r="A2109" s="187" t="str">
        <f t="shared" si="32"/>
        <v>005901</v>
      </c>
      <c r="B2109" s="187" t="s">
        <v>4843</v>
      </c>
      <c r="D2109" s="187" t="s">
        <v>4842</v>
      </c>
      <c r="E2109" s="187" t="s">
        <v>29</v>
      </c>
    </row>
    <row r="2110" spans="1:16">
      <c r="A2110" s="187" t="str">
        <f t="shared" si="32"/>
        <v>005902</v>
      </c>
      <c r="B2110" s="187" t="s">
        <v>4845</v>
      </c>
      <c r="D2110" s="187" t="s">
        <v>4844</v>
      </c>
      <c r="E2110" s="187" t="s">
        <v>29</v>
      </c>
    </row>
    <row r="2111" spans="1:16">
      <c r="A2111" s="187" t="str">
        <f t="shared" si="32"/>
        <v>CG450027C0</v>
      </c>
      <c r="B2111" s="187" t="s">
        <v>6245</v>
      </c>
      <c r="D2111" s="187" t="s">
        <v>6519</v>
      </c>
      <c r="E2111" s="187" t="s">
        <v>29</v>
      </c>
      <c r="F2111" s="187" t="s">
        <v>6520</v>
      </c>
      <c r="P2111" s="187" t="s">
        <v>100</v>
      </c>
    </row>
    <row r="2112" spans="1:16">
      <c r="A2112" s="187" t="str">
        <f t="shared" si="32"/>
        <v>V20171C</v>
      </c>
      <c r="B2112" s="187" t="s">
        <v>6245</v>
      </c>
      <c r="D2112" s="187" t="s">
        <v>6246</v>
      </c>
      <c r="E2112" s="187" t="s">
        <v>29</v>
      </c>
      <c r="F2112" s="187" t="s">
        <v>6247</v>
      </c>
      <c r="I2112" s="187" t="s">
        <v>6248</v>
      </c>
      <c r="J2112" s="187" t="s">
        <v>6249</v>
      </c>
      <c r="K2112" s="187" t="s">
        <v>6250</v>
      </c>
      <c r="O2112" s="187" t="s">
        <v>260</v>
      </c>
      <c r="P2112" s="187" t="s">
        <v>34</v>
      </c>
    </row>
    <row r="2113" spans="1:16">
      <c r="A2113" s="187" t="str">
        <f t="shared" si="32"/>
        <v>V20171B</v>
      </c>
      <c r="B2113" s="187" t="s">
        <v>6245</v>
      </c>
      <c r="D2113" s="187" t="s">
        <v>6521</v>
      </c>
      <c r="E2113" s="187" t="s">
        <v>29</v>
      </c>
      <c r="F2113" s="187" t="s">
        <v>6247</v>
      </c>
      <c r="J2113" s="187" t="s">
        <v>6249</v>
      </c>
      <c r="K2113" s="187" t="s">
        <v>6250</v>
      </c>
      <c r="P2113" s="187" t="s">
        <v>34</v>
      </c>
    </row>
    <row r="2114" spans="1:16">
      <c r="A2114" s="187" t="str">
        <f t="shared" si="32"/>
        <v>006001</v>
      </c>
      <c r="B2114" s="187" t="s">
        <v>4847</v>
      </c>
      <c r="D2114" s="187" t="s">
        <v>4846</v>
      </c>
      <c r="E2114" s="187" t="s">
        <v>29</v>
      </c>
    </row>
    <row r="2115" spans="1:16">
      <c r="A2115" s="187" t="str">
        <f t="shared" si="32"/>
        <v>V20108C</v>
      </c>
      <c r="B2115" s="187" t="s">
        <v>3919</v>
      </c>
      <c r="D2115" s="187" t="s">
        <v>3918</v>
      </c>
      <c r="E2115" s="187" t="s">
        <v>29</v>
      </c>
      <c r="F2115" s="187" t="s">
        <v>3920</v>
      </c>
      <c r="I2115" s="187" t="s">
        <v>3921</v>
      </c>
      <c r="J2115" s="187" t="s">
        <v>3922</v>
      </c>
      <c r="K2115" s="187" t="s">
        <v>3923</v>
      </c>
      <c r="P2115" s="187" t="s">
        <v>34</v>
      </c>
    </row>
    <row r="2116" spans="1:16">
      <c r="A2116" s="187" t="str">
        <f t="shared" si="32"/>
        <v>V20123C</v>
      </c>
      <c r="B2116" s="187" t="s">
        <v>4849</v>
      </c>
      <c r="D2116" s="187" t="s">
        <v>4848</v>
      </c>
      <c r="E2116" s="187" t="s">
        <v>29</v>
      </c>
      <c r="F2116" s="187" t="s">
        <v>4850</v>
      </c>
      <c r="I2116" s="187" t="s">
        <v>4851</v>
      </c>
      <c r="J2116" s="187" t="s">
        <v>4852</v>
      </c>
      <c r="K2116" s="187" t="s">
        <v>4853</v>
      </c>
      <c r="P2116" s="187" t="s">
        <v>34</v>
      </c>
    </row>
    <row r="2117" spans="1:16">
      <c r="A2117" s="187" t="str">
        <f t="shared" si="32"/>
        <v>V20123B</v>
      </c>
      <c r="B2117" s="187" t="s">
        <v>4849</v>
      </c>
      <c r="D2117" s="187" t="s">
        <v>4854</v>
      </c>
      <c r="E2117" s="187" t="s">
        <v>29</v>
      </c>
      <c r="F2117" s="187" t="s">
        <v>4850</v>
      </c>
      <c r="I2117" s="187" t="s">
        <v>4851</v>
      </c>
      <c r="J2117" s="187" t="s">
        <v>4855</v>
      </c>
      <c r="K2117" s="187" t="s">
        <v>4853</v>
      </c>
      <c r="P2117" s="187" t="s">
        <v>34</v>
      </c>
    </row>
    <row r="2118" spans="1:16">
      <c r="A2118" s="187" t="str">
        <f t="shared" ref="A2118:A2120" si="33">D2118</f>
        <v>V20104A</v>
      </c>
      <c r="B2118" s="187" t="s">
        <v>3925</v>
      </c>
      <c r="D2118" s="187" t="s">
        <v>3924</v>
      </c>
      <c r="E2118" s="187" t="s">
        <v>29</v>
      </c>
      <c r="F2118" s="187" t="s">
        <v>3926</v>
      </c>
      <c r="I2118" s="187" t="s">
        <v>3927</v>
      </c>
      <c r="J2118" s="187" t="s">
        <v>3928</v>
      </c>
      <c r="K2118" s="187" t="s">
        <v>3929</v>
      </c>
      <c r="O2118" s="187" t="s">
        <v>40</v>
      </c>
      <c r="P2118" s="187" t="s">
        <v>34</v>
      </c>
    </row>
    <row r="2119" spans="1:16">
      <c r="A2119" s="187" t="str">
        <f t="shared" si="33"/>
        <v>V20104B</v>
      </c>
      <c r="B2119" s="187" t="s">
        <v>3925</v>
      </c>
      <c r="D2119" s="187" t="s">
        <v>3930</v>
      </c>
      <c r="E2119" s="187" t="s">
        <v>29</v>
      </c>
      <c r="F2119" s="187" t="s">
        <v>3926</v>
      </c>
      <c r="I2119" s="187" t="s">
        <v>3927</v>
      </c>
      <c r="J2119" s="187" t="s">
        <v>3928</v>
      </c>
      <c r="K2119" s="187" t="s">
        <v>3929</v>
      </c>
      <c r="O2119" s="187" t="s">
        <v>40</v>
      </c>
      <c r="P2119" s="187" t="s">
        <v>34</v>
      </c>
    </row>
    <row r="2120" spans="1:16">
      <c r="A2120" s="187" t="str">
        <f t="shared" si="33"/>
        <v>V20104C</v>
      </c>
      <c r="B2120" s="187" t="s">
        <v>3925</v>
      </c>
      <c r="D2120" s="187" t="s">
        <v>3931</v>
      </c>
      <c r="E2120" s="187" t="s">
        <v>29</v>
      </c>
      <c r="F2120" s="187" t="s">
        <v>3926</v>
      </c>
      <c r="I2120" s="187" t="s">
        <v>3927</v>
      </c>
      <c r="J2120" s="187" t="s">
        <v>3928</v>
      </c>
      <c r="K2120" s="187" t="s">
        <v>3929</v>
      </c>
      <c r="O2120" s="187" t="s">
        <v>40</v>
      </c>
      <c r="P2120" s="187" t="s">
        <v>34</v>
      </c>
    </row>
  </sheetData>
  <autoFilter ref="A4:P2055" xr:uid="{00000000-0009-0000-0000-000000000000}"/>
  <customSheetViews>
    <customSheetView guid="{F06BFD04-CCD2-461C-AC42-65887227FFD3}" showPageBreaks="1" showGridLines="0" filter="1" showAutoFilter="1">
      <selection activeCell="D1177" sqref="D1177"/>
      <pageMargins left="0" right="0" top="0.59" bottom="0.59" header="0.5" footer="0.5"/>
      <printOptions horizontalCentered="1"/>
      <pageSetup paperSize="9" orientation="portrait" r:id="rId1"/>
      <headerFooter alignWithMargins="0"/>
      <autoFilter ref="B4:P1910" xr:uid="{00000000-0000-0000-0000-000000000000}">
        <filterColumn colId="0">
          <filters>
            <filter val="Cửa hàng Long Anh"/>
          </filters>
        </filterColumn>
      </autoFilter>
    </customSheetView>
    <customSheetView guid="{24934804-84B0-4982-9BF2-E46F6DDD5DD8}" showGridLines="0">
      <selection activeCell="A6" sqref="A6"/>
      <pageMargins left="0" right="0" top="0.59" bottom="0.59" header="0.5" footer="0.5"/>
      <printOptions horizontalCentered="1"/>
      <pageSetup paperSize="9" orientation="portrait"/>
      <headerFooter alignWithMargins="0"/>
    </customSheetView>
    <customSheetView guid="{3DE895B0-7958-42DA-95C8-453D6A82D678}" showGridLines="0" filter="1" showAutoFilter="1">
      <selection activeCell="C935" sqref="C935"/>
      <pageMargins left="0" right="0" top="0.59" bottom="0.59" header="0.5" footer="0.5"/>
      <printOptions horizontalCentered="1"/>
      <pageSetup paperSize="9" orientation="portrait"/>
      <headerFooter alignWithMargins="0"/>
      <autoFilter ref="B4:P1910" xr:uid="{00000000-0000-0000-0000-000000000000}">
        <filterColumn colId="0">
          <filters>
            <filter val="Công ty TNHH Sức Bật"/>
          </filters>
        </filterColumn>
      </autoFilter>
    </customSheetView>
    <customSheetView guid="{F4AB2122-655E-40F6-8B53-54B747E7ED61}" showGridLines="0" topLeftCell="A1799">
      <selection activeCell="E1807" sqref="E1807"/>
      <pageMargins left="0" right="0" top="0.59" bottom="0.59" header="0.5" footer="0.5"/>
      <printOptions horizontalCentered="1"/>
      <pageSetup paperSize="9" orientation="portrait"/>
      <headerFooter alignWithMargins="0"/>
    </customSheetView>
    <customSheetView guid="{2416856D-96F2-4FCD-9E1E-89AD408E8F07}" showGridLines="0" filter="1" showAutoFilter="1">
      <selection activeCell="C425" sqref="C425"/>
      <pageMargins left="0" right="0" top="0.59" bottom="0.59" header="0.5" footer="0.5"/>
      <printOptions horizontalCentered="1"/>
      <pageSetup paperSize="9" orientation="portrait"/>
      <headerFooter alignWithMargins="0"/>
      <autoFilter ref="B4:P1910" xr:uid="{00000000-0000-0000-0000-000000000000}">
        <filterColumn colId="0">
          <filters>
            <filter val="Công ty cổ phần thương mại dầu khí Hoàng Gia"/>
          </filters>
        </filterColumn>
      </autoFilter>
    </customSheetView>
    <customSheetView guid="{781BC751-F315-497E-B1B4-A2D752209BD7}" showGridLines="0" topLeftCell="A919">
      <selection activeCell="C927" sqref="C927"/>
      <pageMargins left="0" right="0" top="0.59" bottom="0.59" header="0.5" footer="0.5"/>
      <printOptions horizontalCentered="1"/>
      <pageSetup paperSize="9" orientation="portrait"/>
      <headerFooter alignWithMargins="0"/>
    </customSheetView>
    <customSheetView guid="{DF37B372-7B5A-4253-9EE3-FD3ABD7DF4B8}" showGridLines="0" filter="1" showAutoFilter="1" topLeftCell="A2">
      <selection activeCell="A124" sqref="A124"/>
      <pageMargins left="0" right="0" top="0.59" bottom="0.59" header="0.5" footer="0.5"/>
      <printOptions horizontalCentered="1"/>
      <pageSetup paperSize="9" orientation="portrait"/>
      <headerFooter alignWithMargins="0"/>
      <autoFilter ref="A4:O1896" xr:uid="{00000000-0000-0000-0000-000000000000}">
        <filterColumn colId="0">
          <filters>
            <filter val="BRIDGESTONE ASIA PACIFIC PTE LTD"/>
            <filter val="BRIDGESTONE ASIA PACIFIC TECHNICAL CENTE"/>
            <filter val="Bridgestone Asia Pacific Technical Center Co., Ltd."/>
            <filter val="Bridgestone Asia Pacific Technical Center Co.,Ltd"/>
          </filters>
        </filterColumn>
      </autoFilter>
    </customSheetView>
    <customSheetView guid="{89423216-97BC-488F-92AF-85198E8FDC07}" showGridLines="0" state="hidden" topLeftCell="A1799">
      <selection activeCell="A5" sqref="A5"/>
      <pageMargins left="0" right="0" top="0.59" bottom="0.59" header="0.5" footer="0.5"/>
      <printOptions horizontalCentered="1"/>
      <pageSetup paperSize="9" orientation="portrait"/>
      <headerFooter alignWithMargins="0"/>
    </customSheetView>
    <customSheetView guid="{145EFE0A-DDB4-4E3B-8A20-749E6B137AEA}" showGridLines="0" state="hidden" topLeftCell="A1799">
      <selection activeCell="A5" sqref="A5"/>
      <pageMargins left="0" right="0" top="0.59" bottom="0.59" header="0.5" footer="0.5"/>
      <printOptions horizontalCentered="1"/>
      <pageSetup paperSize="9" orientation="portrait"/>
      <headerFooter alignWithMargins="0"/>
    </customSheetView>
    <customSheetView guid="{75F545D8-957D-412C-B66B-DD1178A45800}" showGridLines="0" topLeftCell="A1799">
      <selection activeCell="A5" sqref="A5"/>
      <pageMargins left="0" right="0" top="0.59" bottom="0.59" header="0.5" footer="0.5"/>
      <printOptions horizontalCentered="1"/>
      <pageSetup paperSize="9" orientation="portrait"/>
      <headerFooter alignWithMargins="0"/>
    </customSheetView>
    <customSheetView guid="{894FF5A1-5E16-48B2-97B7-77905E52730D}" showGridLines="0" state="hidden" topLeftCell="A1799">
      <selection activeCell="A1819" sqref="A1819:XFD1819"/>
      <pageMargins left="0" right="0" top="0.59" bottom="0.59" header="0.5" footer="0.5"/>
      <printOptions horizontalCentered="1"/>
      <pageSetup paperSize="9" orientation="portrait"/>
      <headerFooter alignWithMargins="0"/>
    </customSheetView>
    <customSheetView guid="{845AB85B-320D-4261-8D20-E6D9D5D4C38C}" showGridLines="0" state="hidden" topLeftCell="A1799">
      <selection activeCell="A5" sqref="A5"/>
      <pageMargins left="0" right="0" top="0.59" bottom="0.59" header="0.5" footer="0.5"/>
      <printOptions horizontalCentered="1"/>
      <pageSetup paperSize="9" orientation="portrait"/>
      <headerFooter alignWithMargins="0"/>
    </customSheetView>
    <customSheetView guid="{CE348A5C-D9D4-4899-A40F-894070A117B6}" showGridLines="0" topLeftCell="A1799">
      <selection activeCell="A5" sqref="A5"/>
      <pageMargins left="0" right="0" top="0.59" bottom="0.59" header="0.5" footer="0.5"/>
      <printOptions horizontalCentered="1"/>
      <pageSetup paperSize="9" orientation="portrait"/>
      <headerFooter alignWithMargins="0"/>
    </customSheetView>
    <customSheetView guid="{8D0556F1-DDE6-43F4-BF14-0889B98E8F1B}" showGridLines="0" state="hidden" topLeftCell="A1799">
      <selection activeCell="A5" sqref="A5"/>
      <pageMargins left="0" right="0" top="0.59" bottom="0.59" header="0.5" footer="0.5"/>
      <printOptions horizontalCentered="1"/>
      <pageSetup paperSize="9" orientation="portrait"/>
      <headerFooter alignWithMargins="0"/>
    </customSheetView>
    <customSheetView guid="{A0F6C4E6-E641-4152-9AB1-BDDEFE79F262}" showGridLines="0" state="hidden" topLeftCell="A1799">
      <selection activeCell="A5" sqref="A5"/>
      <pageMargins left="0" right="0" top="0.59" bottom="0.59" header="0.5" footer="0.5"/>
      <printOptions horizontalCentered="1"/>
      <pageSetup paperSize="9" orientation="portrait"/>
      <headerFooter alignWithMargins="0"/>
    </customSheetView>
    <customSheetView guid="{D40E5C28-53DE-4B28-952C-1D2FB2D5F0F0}" showGridLines="0" filter="1" showAutoFilter="1" topLeftCell="A3">
      <selection activeCell="C1761" sqref="C1761"/>
      <pageMargins left="0" right="0" top="0.59" bottom="0.59" header="0.5" footer="0.5"/>
      <printOptions horizontalCentered="1"/>
      <pageSetup paperSize="9" orientation="portrait" r:id="rId2"/>
      <headerFooter alignWithMargins="0"/>
      <autoFilter ref="A4:O1896" xr:uid="{00000000-0000-0000-0000-000000000000}">
        <filterColumn colId="0">
          <filters>
            <filter val="Công ty TNHH Chuyển Phát Nhanh DHL-VNPT"/>
            <filter val="Trung tâm Kinh doanh VNPT- Hải Phòng Chi nhánh Tổng công ty Dịch vụ viễn thông"/>
            <filter val="Trung tâm kinh doanh VNPT-Hải Phòng Chi nhánh tổng công ty dịch vụ viễn thông"/>
            <filter val="Trung tâm kinh doanh VNPT-Hải Phòng, Chi nhánh Tổng công ty dịch vụ viễn thông"/>
          </filters>
        </filterColumn>
      </autoFilter>
    </customSheetView>
    <customSheetView guid="{26B41735-39E2-4BE9-9EA5-D1F67A43DC0E}" showGridLines="0">
      <selection sqref="A1:XFD1048576"/>
      <pageMargins left="0" right="0" top="0.59" bottom="0.59" header="0.5" footer="0.5"/>
      <printOptions horizontalCentered="1"/>
      <pageSetup paperSize="9" orientation="portrait"/>
      <headerFooter alignWithMargins="0"/>
    </customSheetView>
    <customSheetView guid="{284277B3-AC3C-4136-A308-367D96D447E4}" showGridLines="0" topLeftCell="A1799">
      <selection activeCell="A1819" sqref="A1819:XFD1819"/>
      <pageMargins left="0" right="0" top="0.59" bottom="0.59" header="0.5" footer="0.5"/>
      <printOptions horizontalCentered="1"/>
      <pageSetup paperSize="9" orientation="portrait"/>
      <headerFooter alignWithMargins="0"/>
    </customSheetView>
    <customSheetView guid="{92A1CAD1-2CFB-4DA3-AD67-71210BA7D4E5}" showGridLines="0" topLeftCell="A1799">
      <selection activeCell="A5" sqref="A5"/>
      <pageMargins left="0" right="0" top="0.59" bottom="0.59" header="0.5" footer="0.5"/>
      <printOptions horizontalCentered="1"/>
      <pageSetup paperSize="9" orientation="portrait"/>
      <headerFooter alignWithMargins="0"/>
    </customSheetView>
    <customSheetView guid="{A4ED5A10-FDD2-4550-ABD5-0B6EF13A24C4}" showGridLines="0">
      <selection activeCell="D13" sqref="D13"/>
      <pageMargins left="0" right="0" top="0.59" bottom="0.59" header="0.5" footer="0.5"/>
      <printOptions horizontalCentered="1"/>
      <pageSetup paperSize="9" orientation="portrait"/>
      <headerFooter alignWithMargins="0"/>
    </customSheetView>
  </customSheetViews>
  <printOptions horizontalCentered="1"/>
  <pageMargins left="0" right="0" top="0.59" bottom="0.59" header="0.5" footer="0.5"/>
  <pageSetup paperSize="9" orientation="portrait"/>
  <headerFooter alignWithMargins="0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 tint="-0.249977111117893"/>
  </sheetPr>
  <dimension ref="A1:J32"/>
  <sheetViews>
    <sheetView workbookViewId="0">
      <selection activeCell="H9" sqref="H9"/>
    </sheetView>
  </sheetViews>
  <sheetFormatPr defaultRowHeight="12"/>
  <cols>
    <col min="1" max="1" width="22.83203125" customWidth="1"/>
    <col min="2" max="2" width="14.83203125" customWidth="1"/>
    <col min="3" max="3" width="17.83203125" customWidth="1"/>
    <col min="4" max="4" width="12.5" style="211" customWidth="1"/>
    <col min="5" max="5" width="21.1640625" customWidth="1"/>
    <col min="6" max="6" width="15.1640625" customWidth="1"/>
    <col min="7" max="7" width="21.1640625" customWidth="1"/>
    <col min="8" max="8" width="12.33203125" customWidth="1"/>
    <col min="9" max="9" width="12.1640625" customWidth="1"/>
    <col min="10" max="10" width="26" customWidth="1"/>
  </cols>
  <sheetData>
    <row r="1" spans="1:10" ht="19.5" customHeight="1">
      <c r="A1" s="312" t="s">
        <v>6567</v>
      </c>
      <c r="D1" s="319" t="s">
        <v>5564</v>
      </c>
      <c r="E1" s="320"/>
      <c r="F1" s="320"/>
      <c r="G1" s="320"/>
      <c r="H1" s="317" t="s">
        <v>5620</v>
      </c>
      <c r="I1" s="317"/>
      <c r="J1" s="318"/>
    </row>
    <row r="2" spans="1:10">
      <c r="A2" s="315" t="str">
        <f>"Period "&amp;MONTH('Entries Register (AP) '!$E$4)&amp;"/"&amp;YEAR('Entries Register (AP) '!$E$4)</f>
        <v>Period 1/1900</v>
      </c>
      <c r="B2" s="315" t="s">
        <v>6568</v>
      </c>
      <c r="D2" s="223"/>
      <c r="E2" s="224"/>
      <c r="F2" s="224"/>
      <c r="G2" s="224"/>
      <c r="H2" s="226"/>
      <c r="I2" s="227"/>
      <c r="J2" s="228"/>
    </row>
    <row r="3" spans="1:10">
      <c r="A3" s="313" t="s">
        <v>6569</v>
      </c>
      <c r="B3" s="313">
        <f>COUNTIFS('Entries Register (AP) '!$T$4:$T$800,"3311-",'Entries Register (AP) '!$X$4:$X$800,"1")</f>
        <v>0</v>
      </c>
      <c r="D3" s="223"/>
      <c r="E3" s="224"/>
      <c r="F3" s="224"/>
      <c r="G3" s="224"/>
      <c r="H3" s="226"/>
      <c r="I3" s="227"/>
      <c r="J3" s="228"/>
    </row>
    <row r="4" spans="1:10">
      <c r="A4" s="313" t="s">
        <v>6571</v>
      </c>
      <c r="B4" s="313">
        <f>COUNTIFS('Entries Register (AP) '!$T$4:$T$800,"3311-",'Entries Register (AP) '!$X$4:$X$800,"2")</f>
        <v>0</v>
      </c>
      <c r="D4" s="223"/>
      <c r="E4" s="224"/>
      <c r="F4" s="224"/>
      <c r="G4" s="224"/>
      <c r="H4" s="226"/>
      <c r="I4" s="227"/>
      <c r="J4" s="228"/>
    </row>
    <row r="5" spans="1:10" ht="16.5" thickBot="1">
      <c r="A5" s="313" t="s">
        <v>6570</v>
      </c>
      <c r="B5" s="313">
        <f>COUNTIFS('Entries Register (AP) '!$T$4:$T$800,"3311-",'Entries Register (AP) '!$X$4:$X$800,"0")</f>
        <v>0</v>
      </c>
      <c r="D5" s="232"/>
      <c r="E5" s="233"/>
      <c r="F5" s="233"/>
      <c r="G5" s="233"/>
      <c r="H5" s="229"/>
      <c r="I5" s="230"/>
      <c r="J5" s="231"/>
    </row>
    <row r="6" spans="1:10" ht="15.75">
      <c r="A6" s="314" t="s">
        <v>5561</v>
      </c>
      <c r="B6" s="314">
        <f>SUM(B3:B5)</f>
        <v>0</v>
      </c>
      <c r="D6" s="245" t="s">
        <v>6254</v>
      </c>
      <c r="E6" s="246" t="s">
        <v>6251</v>
      </c>
      <c r="F6" s="246" t="s">
        <v>6252</v>
      </c>
      <c r="G6" s="247" t="s">
        <v>3942</v>
      </c>
      <c r="H6" s="238" t="s">
        <v>5559</v>
      </c>
      <c r="I6" s="234" t="s">
        <v>5560</v>
      </c>
      <c r="J6" s="235" t="s">
        <v>5563</v>
      </c>
    </row>
    <row r="7" spans="1:10" ht="15.75">
      <c r="A7" s="316" t="s">
        <v>6572</v>
      </c>
      <c r="D7" s="222" t="s">
        <v>6255</v>
      </c>
      <c r="E7" s="244">
        <f t="shared" ref="E7:E17" si="0">H7+I7</f>
        <v>0</v>
      </c>
      <c r="F7" s="244"/>
      <c r="G7" s="248">
        <f>E7+F7</f>
        <v>0</v>
      </c>
      <c r="H7" s="239">
        <f>COUNTIF('Entries Register (AP) '!$M$4:$M$1000, "3311-Hiền")</f>
        <v>0</v>
      </c>
      <c r="I7" s="236"/>
      <c r="J7" s="237"/>
    </row>
    <row r="8" spans="1:10" ht="15.75">
      <c r="D8" s="222" t="s">
        <v>6253</v>
      </c>
      <c r="E8" s="244">
        <f t="shared" si="0"/>
        <v>0</v>
      </c>
      <c r="F8" s="244"/>
      <c r="G8" s="248">
        <f>E8+F8</f>
        <v>0</v>
      </c>
      <c r="H8" s="252">
        <f>COUNTIF('Entries Register (AP) '!$M$4:$M$1000, "3311-H.Trang")</f>
        <v>0</v>
      </c>
      <c r="I8" s="236"/>
      <c r="J8" s="237"/>
    </row>
    <row r="9" spans="1:10" ht="15.75">
      <c r="D9" s="222" t="s">
        <v>6574</v>
      </c>
      <c r="E9" s="244">
        <f t="shared" si="0"/>
        <v>0</v>
      </c>
      <c r="F9" s="244"/>
      <c r="G9" s="248">
        <f t="shared" ref="G9:G17" si="1">E9+F9</f>
        <v>0</v>
      </c>
      <c r="H9" s="242">
        <f>COUNTIF('Entries Register (AP) '!$M$4:$M$1000, "3311-Yến")</f>
        <v>0</v>
      </c>
      <c r="I9" s="236"/>
      <c r="J9" s="237"/>
    </row>
    <row r="10" spans="1:10" ht="15.75">
      <c r="D10" s="222" t="s">
        <v>5619</v>
      </c>
      <c r="E10" s="244">
        <f t="shared" si="0"/>
        <v>0</v>
      </c>
      <c r="F10" s="244"/>
      <c r="G10" s="248">
        <f t="shared" si="1"/>
        <v>0</v>
      </c>
      <c r="H10" s="239">
        <f>COUNTIF('Entries Register (AP) '!$M$4:$M$1000, "3311-N.Thơ")</f>
        <v>0</v>
      </c>
      <c r="I10" s="236"/>
      <c r="J10" s="237"/>
    </row>
    <row r="11" spans="1:10" ht="15.75">
      <c r="D11" s="222" t="s">
        <v>5618</v>
      </c>
      <c r="E11" s="244">
        <f t="shared" si="0"/>
        <v>0</v>
      </c>
      <c r="F11" s="244"/>
      <c r="G11" s="248">
        <f t="shared" si="1"/>
        <v>0</v>
      </c>
      <c r="H11" s="239">
        <f>COUNTIF('Entries Register (AP) '!$M$4:$M$1000, "3311-N.Dung")</f>
        <v>0</v>
      </c>
      <c r="I11" s="236"/>
      <c r="J11" s="237"/>
    </row>
    <row r="12" spans="1:10" ht="15.75">
      <c r="D12" s="222" t="s">
        <v>6256</v>
      </c>
      <c r="E12" s="244">
        <f t="shared" si="0"/>
        <v>0</v>
      </c>
      <c r="F12" s="244"/>
      <c r="G12" s="248">
        <f t="shared" si="1"/>
        <v>0</v>
      </c>
      <c r="H12" s="239">
        <f>COUNTIF('Entries Register (AP) '!$M$4:$M$1000, "3311-P.Thảo")</f>
        <v>0</v>
      </c>
      <c r="I12" s="236"/>
      <c r="J12" s="237"/>
    </row>
    <row r="13" spans="1:10" ht="15.75">
      <c r="D13" s="222" t="s">
        <v>6575</v>
      </c>
      <c r="E13" s="244">
        <f t="shared" si="0"/>
        <v>0</v>
      </c>
      <c r="F13" s="244"/>
      <c r="G13" s="248">
        <f t="shared" si="1"/>
        <v>0</v>
      </c>
      <c r="H13" s="239">
        <f>COUNTIF('Entries Register (AP) '!$M$4:$M$1000, "3311-L.Hạnh")</f>
        <v>0</v>
      </c>
      <c r="I13" s="236"/>
      <c r="J13" s="237"/>
    </row>
    <row r="14" spans="1:10" ht="15.75">
      <c r="D14" s="222" t="s">
        <v>5562</v>
      </c>
      <c r="E14" s="244">
        <f t="shared" si="0"/>
        <v>0</v>
      </c>
      <c r="F14" s="244"/>
      <c r="G14" s="248">
        <f t="shared" si="1"/>
        <v>0</v>
      </c>
      <c r="H14" s="239">
        <f>COUNTIF('Entries Register (AP) '!$M$4:$M$1000, "3311-Vương")</f>
        <v>0</v>
      </c>
      <c r="I14" s="236"/>
      <c r="J14" s="237"/>
    </row>
    <row r="15" spans="1:10" ht="15.75">
      <c r="D15" s="222" t="s">
        <v>6522</v>
      </c>
      <c r="E15" s="244">
        <f t="shared" si="0"/>
        <v>0</v>
      </c>
      <c r="F15" s="244"/>
      <c r="G15" s="248">
        <f t="shared" si="1"/>
        <v>0</v>
      </c>
      <c r="H15" s="240">
        <f>COUNTIF('Entries Register (AP) '!$M$4:$M$1000, "3311-Bích")</f>
        <v>0</v>
      </c>
      <c r="I15" s="236"/>
      <c r="J15" s="237"/>
    </row>
    <row r="16" spans="1:10" ht="15.75">
      <c r="D16" s="222" t="s">
        <v>6566</v>
      </c>
      <c r="E16" s="244">
        <f t="shared" si="0"/>
        <v>0</v>
      </c>
      <c r="F16" s="244"/>
      <c r="G16" s="248">
        <f t="shared" si="1"/>
        <v>0</v>
      </c>
      <c r="H16" s="309">
        <f>COUNTIF('Entries Register (AP) '!$M$4:$M$1000, "3311-Trang")</f>
        <v>0</v>
      </c>
      <c r="I16" s="236"/>
      <c r="J16" s="237"/>
    </row>
    <row r="17" spans="4:10" ht="15.75">
      <c r="D17" s="222" t="s">
        <v>5558</v>
      </c>
      <c r="E17" s="244">
        <f t="shared" si="0"/>
        <v>0</v>
      </c>
      <c r="F17" s="244"/>
      <c r="G17" s="248">
        <f t="shared" si="1"/>
        <v>0</v>
      </c>
      <c r="H17" s="239">
        <f>COUNTIF('Entries Register (AP) '!$M$4:$M$1000, "3311-Thoa")</f>
        <v>0</v>
      </c>
      <c r="I17" s="236"/>
      <c r="J17" s="237"/>
    </row>
    <row r="18" spans="4:10" ht="16.5" thickBot="1">
      <c r="D18" s="249" t="s">
        <v>5561</v>
      </c>
      <c r="E18" s="250">
        <f>SUM(E7:E17)</f>
        <v>0</v>
      </c>
      <c r="F18" s="250">
        <f>SUM(F7:F17)</f>
        <v>0</v>
      </c>
      <c r="G18" s="251">
        <f>SUM(G7:G17)</f>
        <v>0</v>
      </c>
      <c r="H18" s="239">
        <f>SUM(H7:H17)</f>
        <v>0</v>
      </c>
      <c r="I18" s="236">
        <f t="shared" ref="I18" si="2">SUM(I7:I17)</f>
        <v>0</v>
      </c>
      <c r="J18" s="237"/>
    </row>
    <row r="19" spans="4:10" ht="12.75" thickBot="1"/>
    <row r="20" spans="4:10" ht="13.5" thickTop="1">
      <c r="D20" s="261" t="s">
        <v>6555</v>
      </c>
      <c r="E20" s="262"/>
      <c r="F20" s="263"/>
      <c r="G20" s="264">
        <f>+G21+G27</f>
        <v>0</v>
      </c>
    </row>
    <row r="21" spans="4:10" ht="12.75">
      <c r="D21" s="265" t="s">
        <v>6543</v>
      </c>
      <c r="E21" s="266"/>
      <c r="F21" s="267"/>
      <c r="G21" s="268">
        <f>+SUM(G22:G26)</f>
        <v>0</v>
      </c>
    </row>
    <row r="22" spans="4:10" ht="12.75">
      <c r="D22" s="254"/>
      <c r="E22" s="255" t="s">
        <v>6544</v>
      </c>
      <c r="F22" s="256"/>
      <c r="G22" s="276">
        <f>+COUNTIFS('Entries Register (AP) '!C:C,"&lt;=3",'Entries Register (AP) '!T:T,"3311-")</f>
        <v>0</v>
      </c>
    </row>
    <row r="23" spans="4:10" ht="12.75">
      <c r="D23" s="254"/>
      <c r="E23" s="255" t="s">
        <v>6545</v>
      </c>
      <c r="F23" s="256"/>
      <c r="G23" s="277">
        <f>+COUNTIFS('Entries Register (AP) '!C:C,"&lt;=10",'Entries Register (AP) '!C:C,"&gt;3",'Entries Register (AP) '!T:T,"3311-")</f>
        <v>0</v>
      </c>
    </row>
    <row r="24" spans="4:10" ht="12.75">
      <c r="D24" s="254"/>
      <c r="E24" s="255" t="s">
        <v>6546</v>
      </c>
      <c r="F24" s="256"/>
      <c r="G24" s="276">
        <f>+COUNTIFS('Entries Register (AP) '!C:C,"&lt;=15",'Entries Register (AP) '!C:C,"&gt;10",'Entries Register (AP) '!T:T,"3311-")</f>
        <v>0</v>
      </c>
    </row>
    <row r="25" spans="4:10" ht="12.75">
      <c r="D25" s="254"/>
      <c r="E25" s="255" t="s">
        <v>6547</v>
      </c>
      <c r="F25" s="256"/>
      <c r="G25" s="276">
        <f>+COUNTIFS('Entries Register (AP) '!C:C,"&lt;=20",'Entries Register (AP) '!C:C,"&gt;15",'Entries Register (AP) '!T:T,"3311-")</f>
        <v>0</v>
      </c>
    </row>
    <row r="26" spans="4:10" ht="12.75">
      <c r="D26" s="254"/>
      <c r="E26" s="255" t="s">
        <v>6548</v>
      </c>
      <c r="F26" s="256"/>
      <c r="G26" s="276">
        <f>+COUNTIFS('Entries Register (AP) '!C:C,"&gt;20",'Entries Register (AP) '!T:T,"3311-")</f>
        <v>0</v>
      </c>
    </row>
    <row r="27" spans="4:10" ht="12.75">
      <c r="D27" s="265" t="s">
        <v>6549</v>
      </c>
      <c r="E27" s="266"/>
      <c r="F27" s="267"/>
      <c r="G27" s="268">
        <f>+G28+G29+I18</f>
        <v>0</v>
      </c>
    </row>
    <row r="28" spans="4:10" ht="12.75">
      <c r="D28" s="254"/>
      <c r="E28" s="255" t="s">
        <v>6550</v>
      </c>
      <c r="F28" s="256"/>
      <c r="G28" s="276">
        <f>+COUNTIFS('Entries Register (AP) '!C:C,"GIT",'Entries Register (AP) '!T:T,"3311-")</f>
        <v>0</v>
      </c>
    </row>
    <row r="29" spans="4:10" ht="12.75">
      <c r="D29" s="257"/>
      <c r="E29" s="258" t="s">
        <v>6551</v>
      </c>
      <c r="F29" s="259"/>
      <c r="G29" s="278">
        <f>+COUNTIFS('Entries Register (AP) '!F:F,"&lt;&gt;""",'Entries Register (AP) '!C:C,"non-GR",'Entries Register (AP) '!T:T,"3311-")</f>
        <v>0</v>
      </c>
    </row>
    <row r="30" spans="4:10" ht="12.75">
      <c r="D30" s="269" t="s">
        <v>6552</v>
      </c>
      <c r="E30" s="270"/>
      <c r="F30" s="270"/>
      <c r="G30" s="275">
        <f>+COUNTIFS('Entries Register (AP) '!F:F,"&lt;&gt;""",'Entries Register (AP) '!C:C,"non-GR")-COUNTIFS('Entries Register (AP) '!F:F,"&lt;&gt;""",'Entries Register (AP) '!C:C,"non-GR",'Entries Register (AP) '!T:T,"3311-")</f>
        <v>1</v>
      </c>
    </row>
    <row r="31" spans="4:10" ht="13.5" thickBot="1">
      <c r="D31" s="271" t="s">
        <v>6553</v>
      </c>
      <c r="E31" s="272"/>
      <c r="F31" s="273"/>
      <c r="G31" s="274">
        <f>G30+G20</f>
        <v>1</v>
      </c>
      <c r="H31" s="260" t="s">
        <v>6554</v>
      </c>
    </row>
    <row r="32" spans="4:10" ht="12.75" thickTop="1"/>
  </sheetData>
  <customSheetViews>
    <customSheetView guid="{F06BFD04-CCD2-461C-AC42-65887227FFD3}" showPageBreaks="1">
      <selection activeCell="E4" sqref="E4"/>
      <pageMargins left="0.7" right="0.7" top="0.75" bottom="0.75" header="0.3" footer="0.3"/>
      <pageSetup paperSize="9" orientation="portrait" horizontalDpi="300" verticalDpi="300" r:id="rId1"/>
    </customSheetView>
    <customSheetView guid="{24934804-84B0-4982-9BF2-E46F6DDD5DD8}">
      <selection activeCell="G9" sqref="G9"/>
      <pageMargins left="0.7" right="0.7" top="0.75" bottom="0.75" header="0.3" footer="0.3"/>
      <pageSetup paperSize="9" orientation="portrait" horizontalDpi="300" verticalDpi="300" r:id="rId2"/>
    </customSheetView>
    <customSheetView guid="{3DE895B0-7958-42DA-95C8-453D6A82D678}">
      <selection activeCell="B10" sqref="B10"/>
      <pageMargins left="0.7" right="0.7" top="0.75" bottom="0.75" header="0.3" footer="0.3"/>
      <pageSetup paperSize="9" orientation="portrait" horizontalDpi="300" verticalDpi="300" r:id="rId3"/>
    </customSheetView>
    <customSheetView guid="{F4AB2122-655E-40F6-8B53-54B747E7ED61}">
      <selection activeCell="B26" sqref="B26"/>
      <pageMargins left="0.7" right="0.7" top="0.75" bottom="0.75" header="0.3" footer="0.3"/>
      <pageSetup paperSize="9" orientation="portrait" horizontalDpi="300" verticalDpi="300" r:id="rId4"/>
    </customSheetView>
    <customSheetView guid="{2416856D-96F2-4FCD-9E1E-89AD408E8F07}">
      <selection activeCell="G10" sqref="G10"/>
      <pageMargins left="0.7" right="0.7" top="0.75" bottom="0.75" header="0.3" footer="0.3"/>
      <pageSetup paperSize="9" orientation="portrait" horizontalDpi="300" verticalDpi="300" r:id="rId5"/>
    </customSheetView>
    <customSheetView guid="{781BC751-F315-497E-B1B4-A2D752209BD7}">
      <selection activeCell="G10" sqref="G10"/>
      <pageMargins left="0.7" right="0.7" top="0.75" bottom="0.75" header="0.3" footer="0.3"/>
      <pageSetup paperSize="9" orientation="portrait" horizontalDpi="300" verticalDpi="300" r:id="rId6"/>
    </customSheetView>
    <customSheetView guid="{92A1CAD1-2CFB-4DA3-AD67-71210BA7D4E5}">
      <selection activeCell="E4" sqref="E4"/>
      <pageMargins left="0.7" right="0.7" top="0.75" bottom="0.75" header="0.3" footer="0.3"/>
      <pageSetup paperSize="9" orientation="portrait" horizontalDpi="300" verticalDpi="300" r:id="rId7"/>
    </customSheetView>
    <customSheetView guid="{A4ED5A10-FDD2-4550-ABD5-0B6EF13A24C4}">
      <selection activeCell="B26" sqref="B26"/>
      <pageMargins left="0.7" right="0.7" top="0.75" bottom="0.75" header="0.3" footer="0.3"/>
      <pageSetup paperSize="9" orientation="portrait" horizontalDpi="300" verticalDpi="300" r:id="rId8"/>
    </customSheetView>
  </customSheetViews>
  <mergeCells count="2">
    <mergeCell ref="H1:J1"/>
    <mergeCell ref="D1:G1"/>
  </mergeCells>
  <pageMargins left="0.7" right="0.7" top="0.75" bottom="0.75" header="0.3" footer="0.3"/>
  <pageSetup paperSize="9" orientation="portrait" horizontalDpi="300" verticalDpi="300" r:id="rId9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4"/>
    <pageSetUpPr autoPageBreaks="0" fitToPage="1"/>
  </sheetPr>
  <dimension ref="A1:AC813"/>
  <sheetViews>
    <sheetView showGridLines="0" tabSelected="1" zoomScaleNormal="100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E4" sqref="E4"/>
    </sheetView>
  </sheetViews>
  <sheetFormatPr defaultColWidth="15.83203125" defaultRowHeight="17.25" customHeight="1"/>
  <cols>
    <col min="1" max="1" width="8.83203125" style="137" customWidth="1"/>
    <col min="2" max="2" width="12" style="123" customWidth="1"/>
    <col min="3" max="3" width="12.5" style="123" customWidth="1"/>
    <col min="4" max="4" width="17.1640625" style="123" customWidth="1"/>
    <col min="5" max="5" width="15.83203125" style="123"/>
    <col min="6" max="6" width="14.83203125" style="172" customWidth="1"/>
    <col min="7" max="7" width="15.83203125" style="124"/>
    <col min="8" max="8" width="41.33203125" style="128" customWidth="1"/>
    <col min="9" max="9" width="21.6640625" style="125" customWidth="1"/>
    <col min="10" max="10" width="21" style="126" customWidth="1"/>
    <col min="11" max="11" width="13.5" style="123" customWidth="1"/>
    <col min="12" max="12" width="15.83203125" style="123"/>
    <col min="13" max="13" width="24.83203125" style="123" customWidth="1"/>
    <col min="14" max="14" width="24.83203125" style="218" customWidth="1"/>
    <col min="15" max="15" width="29" style="218" customWidth="1"/>
    <col min="16" max="16" width="29" style="123" customWidth="1"/>
    <col min="17" max="18" width="21.83203125" style="123" customWidth="1"/>
    <col min="19" max="20" width="15.83203125" style="123"/>
    <col min="21" max="21" width="15.83203125" style="158"/>
    <col min="22" max="22" width="6.6640625" style="158" customWidth="1"/>
    <col min="23" max="23" width="7.6640625" style="158" customWidth="1"/>
    <col min="24" max="24" width="6.1640625" style="158" customWidth="1"/>
    <col min="25" max="16384" width="15.83203125" style="158"/>
  </cols>
  <sheetData>
    <row r="1" spans="1:29" ht="17.25" customHeight="1">
      <c r="B1" s="158"/>
      <c r="C1" s="158"/>
      <c r="D1" s="225" t="s">
        <v>5621</v>
      </c>
      <c r="E1" s="225">
        <f>Report!G18</f>
        <v>0</v>
      </c>
      <c r="F1" s="311">
        <f>MONTH(E4)</f>
        <v>1</v>
      </c>
      <c r="G1" s="160"/>
      <c r="H1" s="161"/>
      <c r="I1" s="161"/>
      <c r="J1" s="159"/>
      <c r="K1" s="158"/>
      <c r="L1" s="158"/>
      <c r="M1" s="158"/>
      <c r="N1" s="214"/>
      <c r="O1" s="214"/>
      <c r="P1" s="158"/>
      <c r="Q1" s="158"/>
      <c r="R1" s="158"/>
      <c r="S1" s="158"/>
      <c r="T1" s="158"/>
    </row>
    <row r="2" spans="1:29" ht="17.25" customHeight="1">
      <c r="B2" s="323" t="s">
        <v>6</v>
      </c>
      <c r="C2" s="324"/>
      <c r="D2" s="324"/>
      <c r="E2" s="325"/>
      <c r="F2" s="162"/>
      <c r="G2" s="321" t="s">
        <v>7</v>
      </c>
      <c r="H2" s="322"/>
      <c r="I2" s="163"/>
      <c r="J2" s="163"/>
      <c r="K2" s="163"/>
      <c r="L2" s="163"/>
      <c r="M2" s="163"/>
      <c r="N2" s="215"/>
      <c r="O2" s="215"/>
      <c r="P2" s="163"/>
      <c r="Q2" s="158"/>
      <c r="R2" s="158"/>
      <c r="S2" s="158"/>
      <c r="T2" s="158"/>
    </row>
    <row r="3" spans="1:29" ht="17.25" customHeight="1">
      <c r="B3" s="164" t="s">
        <v>6541</v>
      </c>
      <c r="C3" s="164" t="s">
        <v>6542</v>
      </c>
      <c r="D3" s="243" t="s">
        <v>5900</v>
      </c>
      <c r="E3" s="166" t="s">
        <v>5</v>
      </c>
      <c r="F3" s="167" t="s">
        <v>0</v>
      </c>
      <c r="G3" s="164" t="s">
        <v>6010</v>
      </c>
      <c r="H3" s="168" t="s">
        <v>6011</v>
      </c>
      <c r="I3" s="169" t="s">
        <v>8</v>
      </c>
      <c r="J3" s="170" t="s">
        <v>9</v>
      </c>
      <c r="K3" s="169" t="s">
        <v>11</v>
      </c>
      <c r="L3" s="171" t="s">
        <v>6012</v>
      </c>
      <c r="M3" s="171" t="s">
        <v>4022</v>
      </c>
      <c r="N3" s="216" t="s">
        <v>4020</v>
      </c>
      <c r="O3" s="216" t="s">
        <v>4858</v>
      </c>
      <c r="P3" s="171" t="s">
        <v>3938</v>
      </c>
      <c r="Q3" s="165" t="s">
        <v>5129</v>
      </c>
      <c r="R3" s="165" t="s">
        <v>5292</v>
      </c>
      <c r="S3" s="158"/>
      <c r="T3" s="158"/>
      <c r="U3" s="158" t="s">
        <v>6565</v>
      </c>
    </row>
    <row r="4" spans="1:29" ht="17.25" customHeight="1">
      <c r="A4" s="137" t="str">
        <f t="shared" ref="A4:A67" ca="1" si="0">IF(F4="","-",IF(COUNTIFS(OFFSET($H$3,,,ROW()-3),H4,OFFSET($J$3,,,ROW()-3),J4,OFFSET($N$3,,,ROW()-3),N4)=0,"-","FALSE"))</f>
        <v>-</v>
      </c>
      <c r="B4" s="173"/>
      <c r="C4" s="253" t="str">
        <f>IF(F4="","",IF(LEFT(M4,5)&lt;&gt;"3311-","Non-GR",IF(AND(B4&lt;D4,B4&lt;&gt;""),NETWORKDAYS(B4,D4),IF(OR(L4="Mai",L4="Đức Anh",L4="C.Thảo"),"GIT","Non-GR"))))</f>
        <v>Non-GR</v>
      </c>
      <c r="D4" s="173"/>
      <c r="E4" s="173"/>
      <c r="F4" s="329">
        <v>1</v>
      </c>
      <c r="G4" s="176"/>
      <c r="H4" s="130" t="str">
        <f>IFERROR(INDEX(DMDT!B:B,MATCH($G4,DMDT!D:D,0),),"")</f>
        <v/>
      </c>
      <c r="I4" s="131"/>
      <c r="J4" s="132"/>
      <c r="K4" s="133"/>
      <c r="L4" s="134"/>
      <c r="M4" s="134"/>
      <c r="N4" s="135"/>
      <c r="O4" s="219"/>
      <c r="P4" s="143"/>
      <c r="Q4" s="144"/>
      <c r="R4" s="150"/>
      <c r="S4" s="127" t="str">
        <f>$N4&amp;LEFT($G4,6)</f>
        <v/>
      </c>
      <c r="T4" s="175" t="str">
        <f>+LEFT($M4,5)</f>
        <v/>
      </c>
      <c r="U4" s="158" t="e">
        <f>VLOOKUP(L4,$AB$10:$AC$26,2,0)</f>
        <v>#N/A</v>
      </c>
      <c r="V4" s="310" t="str">
        <f>IF(T4="3311-",D4,"")</f>
        <v/>
      </c>
      <c r="W4" s="137" t="str">
        <f>IFERROR(IF(MONTH(V4)=$F$1,DAY(V4),"NEXT"),"X")</f>
        <v>X</v>
      </c>
      <c r="X4" s="137">
        <f>IFERROR(IF(31-W4&gt;5,1,2),0)</f>
        <v>0</v>
      </c>
    </row>
    <row r="5" spans="1:29" ht="17.25" customHeight="1">
      <c r="A5" s="137" t="str">
        <f t="shared" ca="1" si="0"/>
        <v>-</v>
      </c>
      <c r="B5" s="173"/>
      <c r="C5" s="253" t="str">
        <f t="shared" ref="C5:C68" si="1">IF(F5="","",IF(LEFT(M5,5)&lt;&gt;"3311-","Non-GR",IF(AND(B5&lt;D5,B5&lt;&gt;""),NETWORKDAYS(B5,D5),IF(OR(L5="Mai",L5="Đức Anh",L5="C.Thảo"),"GIT","Non-GR"))))</f>
        <v/>
      </c>
      <c r="D5" s="173"/>
      <c r="E5" s="173"/>
      <c r="F5" s="329" t="str">
        <f t="shared" ref="F5:F69" si="2">IF(E5&lt;&gt;"",F4+1,"")</f>
        <v/>
      </c>
      <c r="G5" s="186"/>
      <c r="H5" s="130" t="str">
        <f>IFERROR(INDEX(DMDT!B:B,MATCH($G5,DMDT!D:D,0),),"")</f>
        <v/>
      </c>
      <c r="I5" s="131"/>
      <c r="J5" s="132"/>
      <c r="K5" s="133"/>
      <c r="L5" s="134"/>
      <c r="M5" s="134"/>
      <c r="N5" s="135"/>
      <c r="O5" s="219"/>
      <c r="P5" s="143"/>
      <c r="Q5" s="144"/>
      <c r="R5" s="150"/>
      <c r="S5" s="127" t="str">
        <f t="shared" ref="S5:S68" si="3">$N5&amp;LEFT($G5,6)</f>
        <v/>
      </c>
      <c r="T5" s="175" t="str">
        <f t="shared" ref="T5:T68" si="4">+LEFT($M5,5)</f>
        <v/>
      </c>
      <c r="U5" s="158" t="e">
        <f t="shared" ref="U5:U68" si="5">VLOOKUP(L5,$AB$10:$AC$26,2,0)</f>
        <v>#N/A</v>
      </c>
      <c r="V5" s="310" t="str">
        <f t="shared" ref="V5:V68" si="6">IF(T5="3311-",D5,"")</f>
        <v/>
      </c>
      <c r="W5" s="137" t="str">
        <f t="shared" ref="W5:W68" si="7">IFERROR(IF(MONTH(V5)=$F$1,DAY(V5),"NEXT"),"X")</f>
        <v>X</v>
      </c>
      <c r="X5" s="137">
        <f t="shared" ref="X5:X68" si="8">IFERROR(IF(31-W5&gt;5,1,2),0)</f>
        <v>0</v>
      </c>
    </row>
    <row r="6" spans="1:29" ht="17.25" customHeight="1">
      <c r="A6" s="137" t="str">
        <f t="shared" ca="1" si="0"/>
        <v>-</v>
      </c>
      <c r="B6" s="173"/>
      <c r="C6" s="253" t="str">
        <f t="shared" si="1"/>
        <v/>
      </c>
      <c r="D6" s="173"/>
      <c r="E6" s="173"/>
      <c r="F6" s="329" t="str">
        <f t="shared" si="2"/>
        <v/>
      </c>
      <c r="G6" s="186"/>
      <c r="H6" s="130" t="str">
        <f>IFERROR(INDEX(DMDT!B:B,MATCH($G6,DMDT!D:D,0),),"")</f>
        <v/>
      </c>
      <c r="I6" s="131"/>
      <c r="J6" s="132"/>
      <c r="K6" s="133"/>
      <c r="L6" s="134"/>
      <c r="M6" s="134"/>
      <c r="N6" s="135"/>
      <c r="O6" s="219"/>
      <c r="P6" s="143"/>
      <c r="Q6" s="144"/>
      <c r="R6" s="150"/>
      <c r="S6" s="127" t="str">
        <f t="shared" si="3"/>
        <v/>
      </c>
      <c r="T6" s="175" t="str">
        <f t="shared" si="4"/>
        <v/>
      </c>
      <c r="U6" s="158" t="e">
        <f t="shared" si="5"/>
        <v>#N/A</v>
      </c>
      <c r="V6" s="310" t="str">
        <f t="shared" si="6"/>
        <v/>
      </c>
      <c r="W6" s="137" t="str">
        <f t="shared" si="7"/>
        <v>X</v>
      </c>
      <c r="X6" s="137">
        <f t="shared" si="8"/>
        <v>0</v>
      </c>
    </row>
    <row r="7" spans="1:29" ht="17.25" customHeight="1">
      <c r="A7" s="137" t="str">
        <f t="shared" ca="1" si="0"/>
        <v>-</v>
      </c>
      <c r="B7" s="173"/>
      <c r="C7" s="253" t="str">
        <f t="shared" si="1"/>
        <v/>
      </c>
      <c r="D7" s="173"/>
      <c r="E7" s="173"/>
      <c r="F7" s="329" t="str">
        <f t="shared" si="2"/>
        <v/>
      </c>
      <c r="G7" s="186"/>
      <c r="H7" s="130" t="str">
        <f>IFERROR(INDEX(DMDT!B:B,MATCH($G7,DMDT!D:D,0),),"")</f>
        <v/>
      </c>
      <c r="I7" s="131"/>
      <c r="J7" s="132"/>
      <c r="K7" s="133"/>
      <c r="L7" s="134"/>
      <c r="M7" s="134"/>
      <c r="N7" s="135"/>
      <c r="O7" s="219"/>
      <c r="P7" s="143"/>
      <c r="Q7" s="144"/>
      <c r="R7" s="150"/>
      <c r="S7" s="127" t="str">
        <f t="shared" si="3"/>
        <v/>
      </c>
      <c r="T7" s="175" t="str">
        <f t="shared" si="4"/>
        <v/>
      </c>
      <c r="U7" s="158" t="e">
        <f t="shared" si="5"/>
        <v>#N/A</v>
      </c>
      <c r="V7" s="310" t="str">
        <f t="shared" si="6"/>
        <v/>
      </c>
      <c r="W7" s="137" t="str">
        <f t="shared" si="7"/>
        <v>X</v>
      </c>
      <c r="X7" s="137">
        <f t="shared" si="8"/>
        <v>0</v>
      </c>
    </row>
    <row r="8" spans="1:29" ht="17.25" customHeight="1">
      <c r="A8" s="137" t="str">
        <f t="shared" ca="1" si="0"/>
        <v>-</v>
      </c>
      <c r="B8" s="173"/>
      <c r="C8" s="253" t="str">
        <f t="shared" si="1"/>
        <v/>
      </c>
      <c r="D8" s="173"/>
      <c r="E8" s="173"/>
      <c r="F8" s="329" t="str">
        <f t="shared" si="2"/>
        <v/>
      </c>
      <c r="G8" s="186"/>
      <c r="H8" s="130" t="str">
        <f>IFERROR(INDEX(DMDT!B:B,MATCH($G8,DMDT!D:D,0),),"")</f>
        <v/>
      </c>
      <c r="I8" s="131"/>
      <c r="J8" s="132"/>
      <c r="K8" s="133"/>
      <c r="L8" s="134"/>
      <c r="M8" s="134"/>
      <c r="N8" s="135"/>
      <c r="O8" s="219"/>
      <c r="P8" s="143"/>
      <c r="Q8" s="144"/>
      <c r="R8" s="150"/>
      <c r="S8" s="127" t="str">
        <f t="shared" si="3"/>
        <v/>
      </c>
      <c r="T8" s="175" t="str">
        <f t="shared" si="4"/>
        <v/>
      </c>
      <c r="U8" s="158" t="e">
        <f t="shared" si="5"/>
        <v>#N/A</v>
      </c>
      <c r="V8" s="310" t="str">
        <f t="shared" si="6"/>
        <v/>
      </c>
      <c r="W8" s="137" t="str">
        <f t="shared" si="7"/>
        <v>X</v>
      </c>
      <c r="X8" s="137">
        <f t="shared" si="8"/>
        <v>0</v>
      </c>
      <c r="AB8" s="153" t="s">
        <v>5901</v>
      </c>
    </row>
    <row r="9" spans="1:29" ht="17.25" customHeight="1">
      <c r="A9" s="137" t="str">
        <f t="shared" ca="1" si="0"/>
        <v>-</v>
      </c>
      <c r="B9" s="173"/>
      <c r="C9" s="253" t="str">
        <f t="shared" si="1"/>
        <v/>
      </c>
      <c r="D9" s="173"/>
      <c r="E9" s="173"/>
      <c r="F9" s="329" t="str">
        <f t="shared" si="2"/>
        <v/>
      </c>
      <c r="G9" s="186"/>
      <c r="H9" s="130" t="str">
        <f>IFERROR(INDEX(DMDT!B:B,MATCH($G9,DMDT!D:D,0),),"")</f>
        <v/>
      </c>
      <c r="I9" s="131"/>
      <c r="J9" s="132"/>
      <c r="K9" s="133"/>
      <c r="L9" s="134"/>
      <c r="M9" s="134"/>
      <c r="N9" s="135"/>
      <c r="O9" s="219"/>
      <c r="P9" s="143"/>
      <c r="Q9" s="144"/>
      <c r="R9" s="150"/>
      <c r="S9" s="127" t="str">
        <f t="shared" si="3"/>
        <v/>
      </c>
      <c r="T9" s="175" t="str">
        <f t="shared" si="4"/>
        <v/>
      </c>
      <c r="U9" s="158" t="e">
        <f t="shared" si="5"/>
        <v>#N/A</v>
      </c>
      <c r="V9" s="310" t="str">
        <f t="shared" si="6"/>
        <v/>
      </c>
      <c r="W9" s="137" t="str">
        <f t="shared" si="7"/>
        <v>X</v>
      </c>
      <c r="X9" s="137">
        <f t="shared" si="8"/>
        <v>0</v>
      </c>
      <c r="AB9" s="154" t="s">
        <v>3935</v>
      </c>
    </row>
    <row r="10" spans="1:29" ht="17.25" customHeight="1">
      <c r="A10" s="137" t="str">
        <f t="shared" ca="1" si="0"/>
        <v>-</v>
      </c>
      <c r="B10" s="173"/>
      <c r="C10" s="253" t="str">
        <f t="shared" si="1"/>
        <v/>
      </c>
      <c r="D10" s="173"/>
      <c r="E10" s="173"/>
      <c r="F10" s="329" t="str">
        <f t="shared" si="2"/>
        <v/>
      </c>
      <c r="G10" s="186"/>
      <c r="H10" s="130" t="str">
        <f>IFERROR(INDEX(DMDT!B:B,MATCH($G10,DMDT!D:D,0),),"")</f>
        <v/>
      </c>
      <c r="I10" s="131"/>
      <c r="J10" s="132"/>
      <c r="K10" s="133"/>
      <c r="L10" s="134"/>
      <c r="M10" s="134"/>
      <c r="N10" s="135"/>
      <c r="O10" s="219"/>
      <c r="P10" s="143"/>
      <c r="Q10" s="144"/>
      <c r="R10" s="150"/>
      <c r="S10" s="127" t="str">
        <f t="shared" si="3"/>
        <v/>
      </c>
      <c r="T10" s="175" t="str">
        <f t="shared" si="4"/>
        <v/>
      </c>
      <c r="U10" s="158" t="e">
        <f t="shared" si="5"/>
        <v>#N/A</v>
      </c>
      <c r="V10" s="310" t="str">
        <f t="shared" si="6"/>
        <v/>
      </c>
      <c r="W10" s="137" t="str">
        <f t="shared" si="7"/>
        <v>X</v>
      </c>
      <c r="X10" s="137">
        <f t="shared" si="8"/>
        <v>0</v>
      </c>
      <c r="AB10" s="154" t="s">
        <v>5513</v>
      </c>
      <c r="AC10" s="158" t="s">
        <v>3934</v>
      </c>
    </row>
    <row r="11" spans="1:29" ht="17.25" customHeight="1">
      <c r="A11" s="137" t="str">
        <f t="shared" ca="1" si="0"/>
        <v>-</v>
      </c>
      <c r="B11" s="173"/>
      <c r="C11" s="253" t="str">
        <f t="shared" si="1"/>
        <v/>
      </c>
      <c r="D11" s="173"/>
      <c r="E11" s="173"/>
      <c r="F11" s="329" t="str">
        <f t="shared" si="2"/>
        <v/>
      </c>
      <c r="G11" s="186"/>
      <c r="H11" s="130" t="str">
        <f>IFERROR(INDEX(DMDT!B:B,MATCH($G11,DMDT!D:D,0),),"")</f>
        <v/>
      </c>
      <c r="I11" s="131"/>
      <c r="J11" s="132"/>
      <c r="K11" s="133"/>
      <c r="L11" s="134"/>
      <c r="M11" s="134"/>
      <c r="N11" s="135"/>
      <c r="O11" s="219"/>
      <c r="P11" s="143"/>
      <c r="Q11" s="144"/>
      <c r="R11" s="150"/>
      <c r="S11" s="127" t="str">
        <f t="shared" si="3"/>
        <v/>
      </c>
      <c r="T11" s="175" t="str">
        <f t="shared" si="4"/>
        <v/>
      </c>
      <c r="U11" s="158" t="e">
        <f t="shared" si="5"/>
        <v>#N/A</v>
      </c>
      <c r="V11" s="310" t="str">
        <f t="shared" si="6"/>
        <v/>
      </c>
      <c r="W11" s="137" t="str">
        <f t="shared" si="7"/>
        <v>X</v>
      </c>
      <c r="X11" s="137">
        <f t="shared" si="8"/>
        <v>0</v>
      </c>
      <c r="AB11" s="154" t="s">
        <v>5291</v>
      </c>
      <c r="AC11" s="158" t="s">
        <v>3934</v>
      </c>
    </row>
    <row r="12" spans="1:29" ht="17.25" customHeight="1">
      <c r="A12" s="137" t="str">
        <f t="shared" ca="1" si="0"/>
        <v>-</v>
      </c>
      <c r="B12" s="173"/>
      <c r="C12" s="253" t="str">
        <f t="shared" si="1"/>
        <v/>
      </c>
      <c r="D12" s="173"/>
      <c r="E12" s="173"/>
      <c r="F12" s="329" t="str">
        <f t="shared" si="2"/>
        <v/>
      </c>
      <c r="G12" s="186"/>
      <c r="H12" s="130" t="str">
        <f>IFERROR(INDEX(DMDT!B:B,MATCH($G12,DMDT!D:D,0),),"")</f>
        <v/>
      </c>
      <c r="I12" s="131"/>
      <c r="J12" s="132"/>
      <c r="K12" s="133"/>
      <c r="L12" s="134"/>
      <c r="M12" s="134"/>
      <c r="N12" s="135"/>
      <c r="O12" s="219"/>
      <c r="P12" s="143"/>
      <c r="Q12" s="144"/>
      <c r="R12" s="150"/>
      <c r="S12" s="127" t="str">
        <f t="shared" si="3"/>
        <v/>
      </c>
      <c r="T12" s="175" t="str">
        <f t="shared" si="4"/>
        <v/>
      </c>
      <c r="U12" s="158" t="e">
        <f t="shared" si="5"/>
        <v>#N/A</v>
      </c>
      <c r="V12" s="310" t="str">
        <f t="shared" si="6"/>
        <v/>
      </c>
      <c r="W12" s="137" t="str">
        <f t="shared" si="7"/>
        <v>X</v>
      </c>
      <c r="X12" s="137">
        <f t="shared" si="8"/>
        <v>0</v>
      </c>
      <c r="AB12" s="154" t="s">
        <v>6013</v>
      </c>
      <c r="AC12" s="158" t="s">
        <v>3934</v>
      </c>
    </row>
    <row r="13" spans="1:29" ht="17.25" customHeight="1">
      <c r="A13" s="137" t="str">
        <f t="shared" ca="1" si="0"/>
        <v>-</v>
      </c>
      <c r="B13" s="173"/>
      <c r="C13" s="253" t="str">
        <f t="shared" si="1"/>
        <v/>
      </c>
      <c r="D13" s="173"/>
      <c r="E13" s="173"/>
      <c r="F13" s="329" t="str">
        <f t="shared" si="2"/>
        <v/>
      </c>
      <c r="G13" s="186"/>
      <c r="H13" s="130" t="str">
        <f>IFERROR(INDEX(DMDT!B:B,MATCH($G13,DMDT!D:D,0),),"")</f>
        <v/>
      </c>
      <c r="I13" s="131"/>
      <c r="J13" s="132"/>
      <c r="K13" s="133"/>
      <c r="L13" s="134"/>
      <c r="M13" s="134"/>
      <c r="N13" s="135"/>
      <c r="O13" s="219"/>
      <c r="P13" s="143"/>
      <c r="Q13" s="144"/>
      <c r="R13" s="150"/>
      <c r="S13" s="127" t="str">
        <f t="shared" si="3"/>
        <v/>
      </c>
      <c r="T13" s="175" t="str">
        <f t="shared" si="4"/>
        <v/>
      </c>
      <c r="U13" s="158" t="e">
        <f t="shared" si="5"/>
        <v>#N/A</v>
      </c>
      <c r="V13" s="310" t="str">
        <f t="shared" si="6"/>
        <v/>
      </c>
      <c r="W13" s="137" t="str">
        <f t="shared" si="7"/>
        <v>X</v>
      </c>
      <c r="X13" s="137">
        <f t="shared" si="8"/>
        <v>0</v>
      </c>
      <c r="AB13" s="154" t="s">
        <v>4</v>
      </c>
      <c r="AC13" s="158" t="s">
        <v>4</v>
      </c>
    </row>
    <row r="14" spans="1:29" ht="17.25" customHeight="1">
      <c r="A14" s="137" t="str">
        <f t="shared" ca="1" si="0"/>
        <v>-</v>
      </c>
      <c r="B14" s="173"/>
      <c r="C14" s="253" t="str">
        <f t="shared" si="1"/>
        <v/>
      </c>
      <c r="D14" s="173"/>
      <c r="E14" s="173"/>
      <c r="F14" s="329" t="str">
        <f t="shared" si="2"/>
        <v/>
      </c>
      <c r="G14" s="186"/>
      <c r="H14" s="130" t="str">
        <f>IFERROR(INDEX(DMDT!B:B,MATCH($G14,DMDT!D:D,0),),"")</f>
        <v/>
      </c>
      <c r="I14" s="131"/>
      <c r="J14" s="132"/>
      <c r="K14" s="133"/>
      <c r="L14" s="134"/>
      <c r="M14" s="134"/>
      <c r="N14" s="135"/>
      <c r="O14" s="219"/>
      <c r="P14" s="143"/>
      <c r="Q14" s="144"/>
      <c r="R14" s="150"/>
      <c r="S14" s="127" t="str">
        <f t="shared" si="3"/>
        <v/>
      </c>
      <c r="T14" s="175" t="str">
        <f t="shared" si="4"/>
        <v/>
      </c>
      <c r="U14" s="158" t="e">
        <f t="shared" si="5"/>
        <v>#N/A</v>
      </c>
      <c r="V14" s="310" t="str">
        <f t="shared" si="6"/>
        <v/>
      </c>
      <c r="W14" s="137" t="str">
        <f t="shared" si="7"/>
        <v>X</v>
      </c>
      <c r="X14" s="137">
        <f t="shared" si="8"/>
        <v>0</v>
      </c>
      <c r="AB14" s="154" t="s">
        <v>3</v>
      </c>
      <c r="AC14" s="158" t="s">
        <v>4</v>
      </c>
    </row>
    <row r="15" spans="1:29" ht="17.25" customHeight="1">
      <c r="A15" s="137" t="str">
        <f t="shared" ca="1" si="0"/>
        <v>-</v>
      </c>
      <c r="B15" s="173"/>
      <c r="C15" s="253" t="str">
        <f t="shared" si="1"/>
        <v/>
      </c>
      <c r="D15" s="173"/>
      <c r="E15" s="173"/>
      <c r="F15" s="329" t="str">
        <f t="shared" si="2"/>
        <v/>
      </c>
      <c r="G15" s="186"/>
      <c r="H15" s="130" t="str">
        <f>IFERROR(INDEX(DMDT!B:B,MATCH($G15,DMDT!D:D,0),),"")</f>
        <v/>
      </c>
      <c r="I15" s="131"/>
      <c r="J15" s="132"/>
      <c r="K15" s="133"/>
      <c r="L15" s="134"/>
      <c r="M15" s="134"/>
      <c r="N15" s="135"/>
      <c r="O15" s="219"/>
      <c r="P15" s="143"/>
      <c r="Q15" s="144"/>
      <c r="R15" s="150"/>
      <c r="S15" s="127" t="str">
        <f t="shared" si="3"/>
        <v/>
      </c>
      <c r="T15" s="175" t="str">
        <f t="shared" si="4"/>
        <v/>
      </c>
      <c r="U15" s="158" t="e">
        <f t="shared" si="5"/>
        <v>#N/A</v>
      </c>
      <c r="V15" s="310" t="str">
        <f t="shared" si="6"/>
        <v/>
      </c>
      <c r="W15" s="137" t="str">
        <f t="shared" si="7"/>
        <v>X</v>
      </c>
      <c r="X15" s="137">
        <f t="shared" si="8"/>
        <v>0</v>
      </c>
      <c r="AB15" s="154" t="s">
        <v>5806</v>
      </c>
      <c r="AC15" s="158" t="s">
        <v>4</v>
      </c>
    </row>
    <row r="16" spans="1:29" ht="17.25" customHeight="1">
      <c r="A16" s="137" t="str">
        <f t="shared" ca="1" si="0"/>
        <v>-</v>
      </c>
      <c r="B16" s="173"/>
      <c r="C16" s="253" t="str">
        <f t="shared" si="1"/>
        <v/>
      </c>
      <c r="D16" s="173"/>
      <c r="E16" s="173"/>
      <c r="F16" s="329" t="str">
        <f t="shared" si="2"/>
        <v/>
      </c>
      <c r="G16" s="186"/>
      <c r="H16" s="130" t="str">
        <f>IFERROR(INDEX(DMDT!B:B,MATCH($G16,DMDT!D:D,0),),"")</f>
        <v/>
      </c>
      <c r="I16" s="131"/>
      <c r="J16" s="132"/>
      <c r="K16" s="133"/>
      <c r="L16" s="134"/>
      <c r="M16" s="134"/>
      <c r="N16" s="135"/>
      <c r="O16" s="219"/>
      <c r="P16" s="143"/>
      <c r="Q16" s="144"/>
      <c r="R16" s="150"/>
      <c r="S16" s="127" t="str">
        <f t="shared" si="3"/>
        <v/>
      </c>
      <c r="T16" s="175" t="str">
        <f t="shared" si="4"/>
        <v/>
      </c>
      <c r="U16" s="158" t="e">
        <f t="shared" si="5"/>
        <v>#N/A</v>
      </c>
      <c r="V16" s="310" t="str">
        <f t="shared" si="6"/>
        <v/>
      </c>
      <c r="W16" s="137" t="str">
        <f t="shared" si="7"/>
        <v>X</v>
      </c>
      <c r="X16" s="137">
        <f t="shared" si="8"/>
        <v>0</v>
      </c>
      <c r="AB16" s="154" t="s">
        <v>5898</v>
      </c>
      <c r="AC16" s="158" t="s">
        <v>4</v>
      </c>
    </row>
    <row r="17" spans="1:29" ht="17.25" customHeight="1">
      <c r="A17" s="137" t="str">
        <f t="shared" ca="1" si="0"/>
        <v>-</v>
      </c>
      <c r="B17" s="173"/>
      <c r="C17" s="253" t="str">
        <f t="shared" si="1"/>
        <v/>
      </c>
      <c r="D17" s="173"/>
      <c r="E17" s="173"/>
      <c r="F17" s="329" t="str">
        <f t="shared" si="2"/>
        <v/>
      </c>
      <c r="G17" s="174"/>
      <c r="H17" s="130" t="str">
        <f>IFERROR(INDEX(DMDT!B:B,MATCH($G17,DMDT!D:D,0),),"")</f>
        <v/>
      </c>
      <c r="I17" s="131"/>
      <c r="J17" s="132"/>
      <c r="K17" s="133"/>
      <c r="L17" s="134"/>
      <c r="M17" s="134"/>
      <c r="N17" s="135"/>
      <c r="O17" s="219"/>
      <c r="P17" s="143"/>
      <c r="Q17" s="144"/>
      <c r="R17" s="150"/>
      <c r="S17" s="127" t="str">
        <f t="shared" si="3"/>
        <v/>
      </c>
      <c r="T17" s="175" t="str">
        <f t="shared" si="4"/>
        <v/>
      </c>
      <c r="U17" s="158" t="e">
        <f t="shared" si="5"/>
        <v>#N/A</v>
      </c>
      <c r="V17" s="310" t="str">
        <f t="shared" si="6"/>
        <v/>
      </c>
      <c r="W17" s="137" t="str">
        <f t="shared" si="7"/>
        <v>X</v>
      </c>
      <c r="X17" s="137">
        <f t="shared" si="8"/>
        <v>0</v>
      </c>
      <c r="AB17" s="154" t="s">
        <v>5899</v>
      </c>
    </row>
    <row r="18" spans="1:29" ht="17.25" customHeight="1">
      <c r="A18" s="137" t="str">
        <f t="shared" ca="1" si="0"/>
        <v>-</v>
      </c>
      <c r="B18" s="173"/>
      <c r="C18" s="253" t="str">
        <f t="shared" si="1"/>
        <v/>
      </c>
      <c r="D18" s="173"/>
      <c r="E18" s="173"/>
      <c r="F18" s="329" t="str">
        <f t="shared" si="2"/>
        <v/>
      </c>
      <c r="G18" s="174"/>
      <c r="H18" s="130" t="str">
        <f>IFERROR(INDEX(DMDT!B:B,MATCH($G18,DMDT!D:D,0),),"")</f>
        <v/>
      </c>
      <c r="I18" s="131"/>
      <c r="J18" s="132"/>
      <c r="K18" s="133"/>
      <c r="L18" s="134"/>
      <c r="M18" s="134"/>
      <c r="N18" s="135"/>
      <c r="O18" s="219"/>
      <c r="P18" s="143"/>
      <c r="Q18" s="144"/>
      <c r="R18" s="150"/>
      <c r="S18" s="127" t="str">
        <f t="shared" si="3"/>
        <v/>
      </c>
      <c r="T18" s="175" t="str">
        <f t="shared" si="4"/>
        <v/>
      </c>
      <c r="U18" s="158" t="e">
        <f t="shared" si="5"/>
        <v>#N/A</v>
      </c>
      <c r="V18" s="310" t="str">
        <f t="shared" si="6"/>
        <v/>
      </c>
      <c r="W18" s="137" t="str">
        <f t="shared" si="7"/>
        <v>X</v>
      </c>
      <c r="X18" s="137">
        <f t="shared" si="8"/>
        <v>0</v>
      </c>
      <c r="AB18" s="154" t="s">
        <v>3932</v>
      </c>
      <c r="AC18" s="158" t="s">
        <v>3933</v>
      </c>
    </row>
    <row r="19" spans="1:29" ht="17.25" customHeight="1">
      <c r="A19" s="137" t="str">
        <f t="shared" ca="1" si="0"/>
        <v>-</v>
      </c>
      <c r="B19" s="173"/>
      <c r="C19" s="253" t="str">
        <f t="shared" si="1"/>
        <v/>
      </c>
      <c r="D19" s="173"/>
      <c r="E19" s="173"/>
      <c r="F19" s="329" t="str">
        <f t="shared" si="2"/>
        <v/>
      </c>
      <c r="G19" s="174"/>
      <c r="H19" s="130" t="str">
        <f>IFERROR(INDEX(DMDT!B:B,MATCH($G19,DMDT!D:D,0),),"")</f>
        <v/>
      </c>
      <c r="I19" s="131"/>
      <c r="J19" s="132"/>
      <c r="K19" s="133"/>
      <c r="L19" s="134"/>
      <c r="M19" s="134"/>
      <c r="N19" s="135"/>
      <c r="O19" s="219"/>
      <c r="P19" s="143"/>
      <c r="Q19" s="144"/>
      <c r="R19" s="150"/>
      <c r="S19" s="127" t="str">
        <f t="shared" si="3"/>
        <v/>
      </c>
      <c r="T19" s="175" t="str">
        <f t="shared" si="4"/>
        <v/>
      </c>
      <c r="U19" s="158" t="e">
        <f t="shared" si="5"/>
        <v>#N/A</v>
      </c>
      <c r="V19" s="310" t="str">
        <f t="shared" si="6"/>
        <v/>
      </c>
      <c r="W19" s="137" t="str">
        <f t="shared" si="7"/>
        <v>X</v>
      </c>
      <c r="X19" s="137">
        <f t="shared" si="8"/>
        <v>0</v>
      </c>
      <c r="AB19" s="154" t="s">
        <v>6573</v>
      </c>
      <c r="AC19" s="158" t="s">
        <v>3933</v>
      </c>
    </row>
    <row r="20" spans="1:29" ht="17.25" customHeight="1">
      <c r="A20" s="137" t="str">
        <f t="shared" ca="1" si="0"/>
        <v>-</v>
      </c>
      <c r="B20" s="173"/>
      <c r="C20" s="253" t="str">
        <f t="shared" si="1"/>
        <v/>
      </c>
      <c r="D20" s="173"/>
      <c r="E20" s="173"/>
      <c r="F20" s="329" t="str">
        <f t="shared" si="2"/>
        <v/>
      </c>
      <c r="G20" s="176"/>
      <c r="H20" s="130" t="str">
        <f>IFERROR(INDEX(DMDT!B:B,MATCH($G20,DMDT!D:D,0),),"")</f>
        <v/>
      </c>
      <c r="I20" s="131"/>
      <c r="J20" s="132"/>
      <c r="K20" s="133"/>
      <c r="L20" s="134"/>
      <c r="M20" s="134"/>
      <c r="N20" s="135"/>
      <c r="O20" s="219"/>
      <c r="P20" s="143"/>
      <c r="Q20" s="144"/>
      <c r="R20" s="150"/>
      <c r="S20" s="127" t="str">
        <f t="shared" si="3"/>
        <v/>
      </c>
      <c r="T20" s="175" t="str">
        <f t="shared" si="4"/>
        <v/>
      </c>
      <c r="U20" s="158" t="e">
        <f t="shared" si="5"/>
        <v>#N/A</v>
      </c>
      <c r="V20" s="310" t="str">
        <f t="shared" si="6"/>
        <v/>
      </c>
      <c r="W20" s="137" t="str">
        <f t="shared" si="7"/>
        <v>X</v>
      </c>
      <c r="X20" s="137">
        <f t="shared" si="8"/>
        <v>0</v>
      </c>
      <c r="AB20" s="154" t="s">
        <v>3933</v>
      </c>
      <c r="AC20" s="158" t="s">
        <v>3933</v>
      </c>
    </row>
    <row r="21" spans="1:29" ht="17.25" customHeight="1">
      <c r="A21" s="137" t="str">
        <f t="shared" ca="1" si="0"/>
        <v>-</v>
      </c>
      <c r="B21" s="173"/>
      <c r="C21" s="253" t="str">
        <f t="shared" si="1"/>
        <v/>
      </c>
      <c r="D21" s="173"/>
      <c r="E21" s="173"/>
      <c r="F21" s="329" t="str">
        <f t="shared" si="2"/>
        <v/>
      </c>
      <c r="G21" s="176"/>
      <c r="H21" s="130" t="str">
        <f>IFERROR(INDEX(DMDT!B:B,MATCH($G21,DMDT!D:D,0),),"")</f>
        <v/>
      </c>
      <c r="I21" s="131"/>
      <c r="J21" s="132"/>
      <c r="K21" s="133"/>
      <c r="L21" s="134"/>
      <c r="M21" s="134"/>
      <c r="N21" s="135"/>
      <c r="O21" s="219"/>
      <c r="P21" s="143"/>
      <c r="Q21" s="144"/>
      <c r="R21" s="150"/>
      <c r="S21" s="127" t="str">
        <f t="shared" si="3"/>
        <v/>
      </c>
      <c r="T21" s="175" t="str">
        <f t="shared" si="4"/>
        <v/>
      </c>
      <c r="U21" s="158" t="e">
        <f t="shared" si="5"/>
        <v>#N/A</v>
      </c>
      <c r="V21" s="310" t="str">
        <f t="shared" si="6"/>
        <v/>
      </c>
      <c r="W21" s="137" t="str">
        <f t="shared" si="7"/>
        <v>X</v>
      </c>
      <c r="X21" s="137">
        <f t="shared" si="8"/>
        <v>0</v>
      </c>
      <c r="AB21" s="154" t="s">
        <v>4856</v>
      </c>
      <c r="AC21" s="158" t="s">
        <v>3933</v>
      </c>
    </row>
    <row r="22" spans="1:29" ht="17.25" customHeight="1">
      <c r="A22" s="137" t="str">
        <f t="shared" ca="1" si="0"/>
        <v>-</v>
      </c>
      <c r="B22" s="173"/>
      <c r="C22" s="253" t="str">
        <f t="shared" si="1"/>
        <v/>
      </c>
      <c r="D22" s="173"/>
      <c r="E22" s="173"/>
      <c r="F22" s="329" t="str">
        <f t="shared" si="2"/>
        <v/>
      </c>
      <c r="G22" s="176"/>
      <c r="H22" s="130" t="str">
        <f>IFERROR(INDEX(DMDT!B:B,MATCH($G22,DMDT!D:D,0),),"")</f>
        <v/>
      </c>
      <c r="I22" s="131"/>
      <c r="J22" s="132"/>
      <c r="K22" s="133"/>
      <c r="L22" s="134"/>
      <c r="M22" s="134"/>
      <c r="N22" s="135"/>
      <c r="O22" s="219"/>
      <c r="P22" s="143"/>
      <c r="Q22" s="144"/>
      <c r="R22" s="150"/>
      <c r="S22" s="127" t="str">
        <f t="shared" si="3"/>
        <v/>
      </c>
      <c r="T22" s="175" t="str">
        <f t="shared" si="4"/>
        <v/>
      </c>
      <c r="U22" s="158" t="e">
        <f t="shared" si="5"/>
        <v>#N/A</v>
      </c>
      <c r="V22" s="310" t="str">
        <f t="shared" si="6"/>
        <v/>
      </c>
      <c r="W22" s="137" t="str">
        <f t="shared" si="7"/>
        <v>X</v>
      </c>
      <c r="X22" s="137">
        <f t="shared" si="8"/>
        <v>0</v>
      </c>
      <c r="AB22" s="154" t="s">
        <v>5703</v>
      </c>
      <c r="AC22" s="158" t="s">
        <v>3933</v>
      </c>
    </row>
    <row r="23" spans="1:29" ht="17.25" customHeight="1">
      <c r="A23" s="137" t="str">
        <f t="shared" ca="1" si="0"/>
        <v>-</v>
      </c>
      <c r="B23" s="173"/>
      <c r="C23" s="253" t="str">
        <f t="shared" si="1"/>
        <v/>
      </c>
      <c r="D23" s="173"/>
      <c r="E23" s="173"/>
      <c r="F23" s="329" t="str">
        <f t="shared" si="2"/>
        <v/>
      </c>
      <c r="G23" s="176"/>
      <c r="H23" s="130" t="str">
        <f>IFERROR(INDEX(DMDT!B:B,MATCH($G23,DMDT!D:D,0),),"")</f>
        <v/>
      </c>
      <c r="I23" s="131"/>
      <c r="J23" s="132"/>
      <c r="K23" s="133"/>
      <c r="L23" s="134"/>
      <c r="M23" s="134"/>
      <c r="N23" s="135"/>
      <c r="O23" s="219"/>
      <c r="P23" s="143"/>
      <c r="Q23" s="144"/>
      <c r="R23" s="150"/>
      <c r="S23" s="127" t="str">
        <f t="shared" si="3"/>
        <v/>
      </c>
      <c r="T23" s="175" t="str">
        <f t="shared" si="4"/>
        <v/>
      </c>
      <c r="U23" s="158" t="e">
        <f t="shared" si="5"/>
        <v>#N/A</v>
      </c>
      <c r="V23" s="310" t="str">
        <f t="shared" si="6"/>
        <v/>
      </c>
      <c r="W23" s="137" t="str">
        <f t="shared" si="7"/>
        <v>X</v>
      </c>
      <c r="X23" s="137">
        <f t="shared" si="8"/>
        <v>0</v>
      </c>
      <c r="AB23" s="154" t="s">
        <v>5807</v>
      </c>
      <c r="AC23" s="158" t="s">
        <v>3933</v>
      </c>
    </row>
    <row r="24" spans="1:29" ht="17.25" customHeight="1">
      <c r="A24" s="137" t="str">
        <f t="shared" ca="1" si="0"/>
        <v>-</v>
      </c>
      <c r="B24" s="173"/>
      <c r="C24" s="253" t="str">
        <f t="shared" si="1"/>
        <v/>
      </c>
      <c r="D24" s="173"/>
      <c r="E24" s="173"/>
      <c r="F24" s="329" t="str">
        <f t="shared" si="2"/>
        <v/>
      </c>
      <c r="G24" s="186"/>
      <c r="H24" s="130" t="str">
        <f>IFERROR(INDEX(DMDT!B:B,MATCH($G24,DMDT!D:D,0),),"")</f>
        <v/>
      </c>
      <c r="I24" s="131"/>
      <c r="J24" s="132"/>
      <c r="K24" s="133"/>
      <c r="L24" s="134"/>
      <c r="M24" s="134"/>
      <c r="N24" s="135"/>
      <c r="O24" s="219"/>
      <c r="P24" s="143"/>
      <c r="Q24" s="144"/>
      <c r="R24" s="150"/>
      <c r="S24" s="127" t="str">
        <f t="shared" si="3"/>
        <v/>
      </c>
      <c r="T24" s="175" t="str">
        <f t="shared" si="4"/>
        <v/>
      </c>
      <c r="U24" s="158" t="e">
        <f t="shared" si="5"/>
        <v>#N/A</v>
      </c>
      <c r="V24" s="310" t="str">
        <f t="shared" si="6"/>
        <v/>
      </c>
      <c r="W24" s="137" t="str">
        <f t="shared" si="7"/>
        <v>X</v>
      </c>
      <c r="X24" s="137">
        <f t="shared" si="8"/>
        <v>0</v>
      </c>
      <c r="AB24" s="154" t="s">
        <v>5290</v>
      </c>
      <c r="AC24" s="158" t="s">
        <v>3933</v>
      </c>
    </row>
    <row r="25" spans="1:29" ht="17.25" customHeight="1">
      <c r="A25" s="137" t="str">
        <f t="shared" ca="1" si="0"/>
        <v>-</v>
      </c>
      <c r="B25" s="173"/>
      <c r="C25" s="253" t="str">
        <f t="shared" si="1"/>
        <v/>
      </c>
      <c r="D25" s="173"/>
      <c r="E25" s="173"/>
      <c r="F25" s="329" t="str">
        <f t="shared" si="2"/>
        <v/>
      </c>
      <c r="G25" s="176"/>
      <c r="H25" s="130" t="str">
        <f>IFERROR(INDEX(DMDT!B:B,MATCH($G25,DMDT!D:D,0),),"")</f>
        <v/>
      </c>
      <c r="I25" s="131"/>
      <c r="J25" s="132"/>
      <c r="K25" s="133"/>
      <c r="L25" s="134"/>
      <c r="M25" s="134"/>
      <c r="N25" s="135"/>
      <c r="O25" s="219"/>
      <c r="P25" s="143"/>
      <c r="Q25" s="144"/>
      <c r="R25" s="150"/>
      <c r="S25" s="127" t="str">
        <f t="shared" si="3"/>
        <v/>
      </c>
      <c r="T25" s="175" t="str">
        <f t="shared" si="4"/>
        <v/>
      </c>
      <c r="U25" s="158" t="e">
        <f t="shared" si="5"/>
        <v>#N/A</v>
      </c>
      <c r="V25" s="310" t="str">
        <f t="shared" si="6"/>
        <v/>
      </c>
      <c r="W25" s="137" t="str">
        <f t="shared" si="7"/>
        <v>X</v>
      </c>
      <c r="X25" s="137">
        <f t="shared" si="8"/>
        <v>0</v>
      </c>
      <c r="AB25" s="154" t="s">
        <v>2</v>
      </c>
      <c r="AC25" s="158" t="s">
        <v>3934</v>
      </c>
    </row>
    <row r="26" spans="1:29" ht="17.25" customHeight="1">
      <c r="A26" s="137" t="str">
        <f t="shared" ca="1" si="0"/>
        <v>-</v>
      </c>
      <c r="B26" s="173"/>
      <c r="C26" s="253" t="str">
        <f t="shared" si="1"/>
        <v/>
      </c>
      <c r="D26" s="173"/>
      <c r="E26" s="173"/>
      <c r="F26" s="329" t="str">
        <f t="shared" si="2"/>
        <v/>
      </c>
      <c r="G26" s="176"/>
      <c r="H26" s="130" t="str">
        <f>IFERROR(INDEX(DMDT!B:B,MATCH($G26,DMDT!D:D,0),),"")</f>
        <v/>
      </c>
      <c r="I26" s="131"/>
      <c r="J26" s="132"/>
      <c r="K26" s="133"/>
      <c r="L26" s="134"/>
      <c r="M26" s="134"/>
      <c r="N26" s="135"/>
      <c r="O26" s="219"/>
      <c r="P26" s="143"/>
      <c r="Q26" s="144"/>
      <c r="R26" s="150"/>
      <c r="S26" s="127" t="str">
        <f t="shared" si="3"/>
        <v/>
      </c>
      <c r="T26" s="175" t="str">
        <f t="shared" si="4"/>
        <v/>
      </c>
      <c r="U26" s="158" t="e">
        <f t="shared" si="5"/>
        <v>#N/A</v>
      </c>
      <c r="V26" s="310" t="str">
        <f t="shared" si="6"/>
        <v/>
      </c>
      <c r="W26" s="137" t="str">
        <f t="shared" si="7"/>
        <v>X</v>
      </c>
      <c r="X26" s="137">
        <f t="shared" si="8"/>
        <v>0</v>
      </c>
      <c r="AB26" s="154" t="s">
        <v>6257</v>
      </c>
      <c r="AC26" s="158" t="s">
        <v>3933</v>
      </c>
    </row>
    <row r="27" spans="1:29" ht="17.25" customHeight="1">
      <c r="A27" s="137" t="str">
        <f t="shared" ca="1" si="0"/>
        <v>-</v>
      </c>
      <c r="B27" s="173"/>
      <c r="C27" s="253" t="str">
        <f t="shared" si="1"/>
        <v/>
      </c>
      <c r="D27" s="173"/>
      <c r="E27" s="173"/>
      <c r="F27" s="329" t="str">
        <f t="shared" si="2"/>
        <v/>
      </c>
      <c r="G27" s="176"/>
      <c r="H27" s="130" t="str">
        <f>IFERROR(INDEX(DMDT!B:B,MATCH($G27,DMDT!D:D,0),),"")</f>
        <v/>
      </c>
      <c r="I27" s="131"/>
      <c r="J27" s="132"/>
      <c r="K27" s="133"/>
      <c r="L27" s="134"/>
      <c r="M27" s="134"/>
      <c r="N27" s="135"/>
      <c r="O27" s="219"/>
      <c r="P27" s="143"/>
      <c r="Q27" s="144"/>
      <c r="R27" s="150"/>
      <c r="S27" s="127" t="str">
        <f t="shared" si="3"/>
        <v/>
      </c>
      <c r="T27" s="175" t="str">
        <f t="shared" si="4"/>
        <v/>
      </c>
      <c r="U27" s="158" t="e">
        <f t="shared" si="5"/>
        <v>#N/A</v>
      </c>
      <c r="V27" s="310" t="str">
        <f t="shared" si="6"/>
        <v/>
      </c>
      <c r="W27" s="137" t="str">
        <f t="shared" si="7"/>
        <v>X</v>
      </c>
      <c r="X27" s="137">
        <f t="shared" si="8"/>
        <v>0</v>
      </c>
      <c r="AB27" s="154" t="s">
        <v>6576</v>
      </c>
      <c r="AC27" s="158" t="s">
        <v>4</v>
      </c>
    </row>
    <row r="28" spans="1:29" ht="17.25" customHeight="1">
      <c r="A28" s="137" t="str">
        <f t="shared" ca="1" si="0"/>
        <v>-</v>
      </c>
      <c r="B28" s="173"/>
      <c r="C28" s="253" t="str">
        <f t="shared" si="1"/>
        <v/>
      </c>
      <c r="D28" s="173"/>
      <c r="E28" s="173"/>
      <c r="F28" s="329" t="str">
        <f t="shared" si="2"/>
        <v/>
      </c>
      <c r="G28" s="176"/>
      <c r="H28" s="130" t="str">
        <f>IFERROR(INDEX(DMDT!B:B,MATCH($G28,DMDT!D:D,0),),"")</f>
        <v/>
      </c>
      <c r="I28" s="131"/>
      <c r="J28" s="132"/>
      <c r="K28" s="133"/>
      <c r="L28" s="134"/>
      <c r="M28" s="134"/>
      <c r="N28" s="135"/>
      <c r="O28" s="219"/>
      <c r="P28" s="143"/>
      <c r="Q28" s="144"/>
      <c r="R28" s="150"/>
      <c r="S28" s="127" t="str">
        <f t="shared" si="3"/>
        <v/>
      </c>
      <c r="T28" s="175" t="str">
        <f t="shared" si="4"/>
        <v/>
      </c>
      <c r="U28" s="158" t="e">
        <f t="shared" si="5"/>
        <v>#N/A</v>
      </c>
      <c r="V28" s="310" t="str">
        <f t="shared" si="6"/>
        <v/>
      </c>
      <c r="W28" s="137" t="str">
        <f t="shared" si="7"/>
        <v>X</v>
      </c>
      <c r="X28" s="137">
        <f t="shared" si="8"/>
        <v>0</v>
      </c>
      <c r="AB28" s="154"/>
    </row>
    <row r="29" spans="1:29" ht="17.25" customHeight="1">
      <c r="A29" s="137" t="str">
        <f t="shared" ca="1" si="0"/>
        <v>-</v>
      </c>
      <c r="B29" s="173"/>
      <c r="C29" s="253" t="str">
        <f t="shared" si="1"/>
        <v/>
      </c>
      <c r="D29" s="173"/>
      <c r="E29" s="173"/>
      <c r="F29" s="329" t="str">
        <f t="shared" si="2"/>
        <v/>
      </c>
      <c r="G29" s="176"/>
      <c r="H29" s="130" t="str">
        <f>IFERROR(INDEX(DMDT!B:B,MATCH($G29,DMDT!D:D,0),),"")</f>
        <v/>
      </c>
      <c r="I29" s="131"/>
      <c r="J29" s="132"/>
      <c r="K29" s="133"/>
      <c r="L29" s="134"/>
      <c r="M29" s="134"/>
      <c r="N29" s="135"/>
      <c r="O29" s="219"/>
      <c r="P29" s="143"/>
      <c r="Q29" s="144"/>
      <c r="R29" s="150"/>
      <c r="S29" s="127" t="str">
        <f t="shared" si="3"/>
        <v/>
      </c>
      <c r="T29" s="175" t="str">
        <f t="shared" si="4"/>
        <v/>
      </c>
      <c r="U29" s="158" t="e">
        <f t="shared" si="5"/>
        <v>#N/A</v>
      </c>
      <c r="V29" s="310" t="str">
        <f t="shared" si="6"/>
        <v/>
      </c>
      <c r="W29" s="137" t="str">
        <f t="shared" si="7"/>
        <v>X</v>
      </c>
      <c r="X29" s="137">
        <f t="shared" si="8"/>
        <v>0</v>
      </c>
      <c r="AB29" s="155"/>
    </row>
    <row r="30" spans="1:29" ht="17.25" customHeight="1">
      <c r="A30" s="137" t="str">
        <f t="shared" ca="1" si="0"/>
        <v>-</v>
      </c>
      <c r="B30" s="173"/>
      <c r="C30" s="253" t="str">
        <f t="shared" si="1"/>
        <v/>
      </c>
      <c r="D30" s="173"/>
      <c r="E30" s="173"/>
      <c r="F30" s="329" t="str">
        <f t="shared" si="2"/>
        <v/>
      </c>
      <c r="G30" s="176"/>
      <c r="H30" s="130" t="str">
        <f>IFERROR(INDEX(DMDT!B:B,MATCH($G30,DMDT!D:D,0),),"")</f>
        <v/>
      </c>
      <c r="I30" s="131"/>
      <c r="J30" s="132"/>
      <c r="K30" s="133"/>
      <c r="L30" s="134"/>
      <c r="M30" s="134"/>
      <c r="N30" s="135"/>
      <c r="O30" s="219"/>
      <c r="P30" s="143"/>
      <c r="Q30" s="144"/>
      <c r="R30" s="150"/>
      <c r="S30" s="127" t="str">
        <f t="shared" si="3"/>
        <v/>
      </c>
      <c r="T30" s="175" t="str">
        <f t="shared" si="4"/>
        <v/>
      </c>
      <c r="U30" s="158" t="e">
        <f t="shared" si="5"/>
        <v>#N/A</v>
      </c>
      <c r="V30" s="310" t="str">
        <f t="shared" si="6"/>
        <v/>
      </c>
      <c r="W30" s="137" t="str">
        <f t="shared" si="7"/>
        <v>X</v>
      </c>
      <c r="X30" s="137">
        <f t="shared" si="8"/>
        <v>0</v>
      </c>
    </row>
    <row r="31" spans="1:29" ht="17.25" customHeight="1">
      <c r="A31" s="137" t="str">
        <f t="shared" ca="1" si="0"/>
        <v>-</v>
      </c>
      <c r="B31" s="173"/>
      <c r="C31" s="253" t="str">
        <f t="shared" si="1"/>
        <v/>
      </c>
      <c r="D31" s="173"/>
      <c r="E31" s="173"/>
      <c r="F31" s="329" t="str">
        <f t="shared" si="2"/>
        <v/>
      </c>
      <c r="G31" s="176"/>
      <c r="H31" s="130" t="str">
        <f>IFERROR(INDEX(DMDT!B:B,MATCH($G31,DMDT!D:D,0),),"")</f>
        <v/>
      </c>
      <c r="I31" s="131"/>
      <c r="J31" s="132"/>
      <c r="K31" s="133"/>
      <c r="L31" s="134"/>
      <c r="M31" s="134"/>
      <c r="N31" s="135"/>
      <c r="O31" s="219"/>
      <c r="P31" s="143"/>
      <c r="Q31" s="144"/>
      <c r="R31" s="150"/>
      <c r="S31" s="127" t="str">
        <f t="shared" si="3"/>
        <v/>
      </c>
      <c r="T31" s="175" t="str">
        <f t="shared" si="4"/>
        <v/>
      </c>
      <c r="U31" s="158" t="e">
        <f t="shared" si="5"/>
        <v>#N/A</v>
      </c>
      <c r="V31" s="310" t="str">
        <f t="shared" si="6"/>
        <v/>
      </c>
      <c r="W31" s="137" t="str">
        <f t="shared" si="7"/>
        <v>X</v>
      </c>
      <c r="X31" s="137">
        <f t="shared" si="8"/>
        <v>0</v>
      </c>
    </row>
    <row r="32" spans="1:29" ht="17.25" customHeight="1">
      <c r="A32" s="137" t="str">
        <f t="shared" ca="1" si="0"/>
        <v>-</v>
      </c>
      <c r="B32" s="173"/>
      <c r="C32" s="253" t="str">
        <f t="shared" si="1"/>
        <v/>
      </c>
      <c r="D32" s="173"/>
      <c r="E32" s="173"/>
      <c r="F32" s="329" t="str">
        <f t="shared" si="2"/>
        <v/>
      </c>
      <c r="G32" s="176"/>
      <c r="H32" s="130" t="str">
        <f>IFERROR(INDEX(DMDT!B:B,MATCH($G32,DMDT!D:D,0),),"")</f>
        <v/>
      </c>
      <c r="I32" s="131"/>
      <c r="J32" s="132"/>
      <c r="K32" s="133"/>
      <c r="L32" s="134"/>
      <c r="M32" s="134"/>
      <c r="N32" s="135"/>
      <c r="O32" s="219"/>
      <c r="P32" s="143"/>
      <c r="Q32" s="144"/>
      <c r="R32" s="150"/>
      <c r="S32" s="127" t="str">
        <f t="shared" si="3"/>
        <v/>
      </c>
      <c r="T32" s="175" t="str">
        <f t="shared" si="4"/>
        <v/>
      </c>
      <c r="U32" s="158" t="e">
        <f t="shared" si="5"/>
        <v>#N/A</v>
      </c>
      <c r="V32" s="310" t="str">
        <f t="shared" si="6"/>
        <v/>
      </c>
      <c r="W32" s="137" t="str">
        <f t="shared" si="7"/>
        <v>X</v>
      </c>
      <c r="X32" s="137">
        <f t="shared" si="8"/>
        <v>0</v>
      </c>
    </row>
    <row r="33" spans="1:24" ht="17.25" customHeight="1">
      <c r="A33" s="137" t="str">
        <f t="shared" ca="1" si="0"/>
        <v>-</v>
      </c>
      <c r="B33" s="173"/>
      <c r="C33" s="253" t="str">
        <f t="shared" si="1"/>
        <v/>
      </c>
      <c r="D33" s="173"/>
      <c r="E33" s="173"/>
      <c r="F33" s="329" t="str">
        <f t="shared" si="2"/>
        <v/>
      </c>
      <c r="G33" s="176"/>
      <c r="H33" s="130" t="str">
        <f>IFERROR(INDEX(DMDT!B:B,MATCH($G33,DMDT!D:D,0),),"")</f>
        <v/>
      </c>
      <c r="I33" s="131"/>
      <c r="J33" s="132"/>
      <c r="K33" s="133"/>
      <c r="L33" s="134"/>
      <c r="M33" s="134"/>
      <c r="N33" s="135"/>
      <c r="O33" s="219"/>
      <c r="P33" s="143"/>
      <c r="Q33" s="144"/>
      <c r="R33" s="150"/>
      <c r="S33" s="127" t="str">
        <f t="shared" si="3"/>
        <v/>
      </c>
      <c r="T33" s="175" t="str">
        <f t="shared" si="4"/>
        <v/>
      </c>
      <c r="U33" s="158" t="e">
        <f t="shared" si="5"/>
        <v>#N/A</v>
      </c>
      <c r="V33" s="310" t="str">
        <f t="shared" si="6"/>
        <v/>
      </c>
      <c r="W33" s="137" t="str">
        <f t="shared" si="7"/>
        <v>X</v>
      </c>
      <c r="X33" s="137">
        <f t="shared" si="8"/>
        <v>0</v>
      </c>
    </row>
    <row r="34" spans="1:24" ht="17.25" customHeight="1">
      <c r="A34" s="137" t="str">
        <f t="shared" ca="1" si="0"/>
        <v>-</v>
      </c>
      <c r="B34" s="173"/>
      <c r="C34" s="253" t="str">
        <f t="shared" si="1"/>
        <v/>
      </c>
      <c r="D34" s="173"/>
      <c r="E34" s="173"/>
      <c r="F34" s="329" t="str">
        <f t="shared" si="2"/>
        <v/>
      </c>
      <c r="G34" s="174"/>
      <c r="H34" s="130" t="str">
        <f>IFERROR(INDEX(DMDT!B:B,MATCH($G34,DMDT!D:D,0),),"")</f>
        <v/>
      </c>
      <c r="I34" s="131"/>
      <c r="J34" s="132"/>
      <c r="K34" s="133"/>
      <c r="L34" s="134"/>
      <c r="M34" s="134"/>
      <c r="N34" s="135"/>
      <c r="O34" s="219"/>
      <c r="P34" s="143"/>
      <c r="Q34" s="144"/>
      <c r="R34" s="150"/>
      <c r="S34" s="127" t="str">
        <f t="shared" si="3"/>
        <v/>
      </c>
      <c r="T34" s="175" t="str">
        <f t="shared" si="4"/>
        <v/>
      </c>
      <c r="U34" s="158" t="e">
        <f t="shared" si="5"/>
        <v>#N/A</v>
      </c>
      <c r="V34" s="310" t="str">
        <f t="shared" si="6"/>
        <v/>
      </c>
      <c r="W34" s="137" t="str">
        <f t="shared" si="7"/>
        <v>X</v>
      </c>
      <c r="X34" s="137">
        <f t="shared" si="8"/>
        <v>0</v>
      </c>
    </row>
    <row r="35" spans="1:24" ht="17.25" customHeight="1">
      <c r="A35" s="137" t="str">
        <f t="shared" ca="1" si="0"/>
        <v>-</v>
      </c>
      <c r="B35" s="173"/>
      <c r="C35" s="253" t="str">
        <f t="shared" si="1"/>
        <v/>
      </c>
      <c r="D35" s="173"/>
      <c r="E35" s="173"/>
      <c r="F35" s="329" t="str">
        <f t="shared" si="2"/>
        <v/>
      </c>
      <c r="G35" s="174"/>
      <c r="H35" s="130" t="str">
        <f>IFERROR(INDEX(DMDT!B:B,MATCH($G35,DMDT!D:D,0),),"")</f>
        <v/>
      </c>
      <c r="I35" s="131"/>
      <c r="J35" s="132"/>
      <c r="K35" s="133"/>
      <c r="L35" s="134"/>
      <c r="M35" s="134"/>
      <c r="N35" s="135"/>
      <c r="O35" s="219"/>
      <c r="P35" s="143"/>
      <c r="Q35" s="144"/>
      <c r="R35" s="150"/>
      <c r="S35" s="127" t="str">
        <f t="shared" si="3"/>
        <v/>
      </c>
      <c r="T35" s="175" t="str">
        <f t="shared" si="4"/>
        <v/>
      </c>
      <c r="U35" s="158" t="e">
        <f t="shared" si="5"/>
        <v>#N/A</v>
      </c>
      <c r="V35" s="310" t="str">
        <f t="shared" si="6"/>
        <v/>
      </c>
      <c r="W35" s="137" t="str">
        <f t="shared" si="7"/>
        <v>X</v>
      </c>
      <c r="X35" s="137">
        <f t="shared" si="8"/>
        <v>0</v>
      </c>
    </row>
    <row r="36" spans="1:24" ht="17.25" customHeight="1">
      <c r="A36" s="137" t="str">
        <f t="shared" ca="1" si="0"/>
        <v>-</v>
      </c>
      <c r="B36" s="173"/>
      <c r="C36" s="253" t="str">
        <f t="shared" si="1"/>
        <v/>
      </c>
      <c r="D36" s="173"/>
      <c r="E36" s="173"/>
      <c r="F36" s="329" t="str">
        <f t="shared" si="2"/>
        <v/>
      </c>
      <c r="G36" s="174"/>
      <c r="H36" s="130" t="str">
        <f>IFERROR(INDEX(DMDT!B:B,MATCH($G36,DMDT!D:D,0),),"")</f>
        <v/>
      </c>
      <c r="I36" s="131"/>
      <c r="J36" s="132"/>
      <c r="K36" s="133"/>
      <c r="L36" s="134"/>
      <c r="M36" s="134"/>
      <c r="N36" s="135"/>
      <c r="O36" s="219"/>
      <c r="P36" s="143"/>
      <c r="Q36" s="144"/>
      <c r="R36" s="150"/>
      <c r="S36" s="127" t="str">
        <f t="shared" si="3"/>
        <v/>
      </c>
      <c r="T36" s="175" t="str">
        <f t="shared" si="4"/>
        <v/>
      </c>
      <c r="U36" s="158" t="e">
        <f t="shared" si="5"/>
        <v>#N/A</v>
      </c>
      <c r="V36" s="310" t="str">
        <f t="shared" si="6"/>
        <v/>
      </c>
      <c r="W36" s="137" t="str">
        <f t="shared" si="7"/>
        <v>X</v>
      </c>
      <c r="X36" s="137">
        <f t="shared" si="8"/>
        <v>0</v>
      </c>
    </row>
    <row r="37" spans="1:24" ht="17.25" customHeight="1">
      <c r="A37" s="137" t="str">
        <f t="shared" ca="1" si="0"/>
        <v>-</v>
      </c>
      <c r="B37" s="173"/>
      <c r="C37" s="253" t="str">
        <f t="shared" si="1"/>
        <v/>
      </c>
      <c r="D37" s="173"/>
      <c r="E37" s="173"/>
      <c r="F37" s="329" t="str">
        <f t="shared" si="2"/>
        <v/>
      </c>
      <c r="G37" s="176"/>
      <c r="H37" s="130" t="str">
        <f>IFERROR(INDEX(DMDT!B:B,MATCH($G37,DMDT!D:D,0),),"")</f>
        <v/>
      </c>
      <c r="I37" s="131"/>
      <c r="J37" s="132"/>
      <c r="K37" s="133"/>
      <c r="L37" s="134"/>
      <c r="M37" s="134"/>
      <c r="N37" s="135"/>
      <c r="O37" s="219"/>
      <c r="P37" s="143"/>
      <c r="Q37" s="144"/>
      <c r="R37" s="150"/>
      <c r="S37" s="127" t="str">
        <f t="shared" si="3"/>
        <v/>
      </c>
      <c r="T37" s="175" t="str">
        <f t="shared" si="4"/>
        <v/>
      </c>
      <c r="U37" s="158" t="e">
        <f t="shared" si="5"/>
        <v>#N/A</v>
      </c>
      <c r="V37" s="310" t="str">
        <f t="shared" si="6"/>
        <v/>
      </c>
      <c r="W37" s="137" t="str">
        <f t="shared" si="7"/>
        <v>X</v>
      </c>
      <c r="X37" s="137">
        <f t="shared" si="8"/>
        <v>0</v>
      </c>
    </row>
    <row r="38" spans="1:24" ht="17.25" customHeight="1">
      <c r="A38" s="137" t="str">
        <f t="shared" ca="1" si="0"/>
        <v>-</v>
      </c>
      <c r="B38" s="173"/>
      <c r="C38" s="253" t="str">
        <f t="shared" si="1"/>
        <v/>
      </c>
      <c r="D38" s="173"/>
      <c r="E38" s="173"/>
      <c r="F38" s="329" t="str">
        <f t="shared" si="2"/>
        <v/>
      </c>
      <c r="G38" s="176"/>
      <c r="H38" s="130" t="str">
        <f>IFERROR(INDEX(DMDT!B:B,MATCH($G38,DMDT!D:D,0),),"")</f>
        <v/>
      </c>
      <c r="I38" s="131"/>
      <c r="J38" s="132"/>
      <c r="K38" s="133"/>
      <c r="L38" s="134"/>
      <c r="M38" s="134"/>
      <c r="N38" s="135"/>
      <c r="O38" s="219"/>
      <c r="P38" s="143"/>
      <c r="Q38" s="144"/>
      <c r="R38" s="150"/>
      <c r="S38" s="127" t="str">
        <f t="shared" si="3"/>
        <v/>
      </c>
      <c r="T38" s="175" t="str">
        <f t="shared" si="4"/>
        <v/>
      </c>
      <c r="U38" s="158" t="e">
        <f t="shared" si="5"/>
        <v>#N/A</v>
      </c>
      <c r="V38" s="310" t="str">
        <f t="shared" si="6"/>
        <v/>
      </c>
      <c r="W38" s="137" t="str">
        <f t="shared" si="7"/>
        <v>X</v>
      </c>
      <c r="X38" s="137">
        <f t="shared" si="8"/>
        <v>0</v>
      </c>
    </row>
    <row r="39" spans="1:24" ht="17.25" customHeight="1">
      <c r="A39" s="137" t="str">
        <f t="shared" ca="1" si="0"/>
        <v>-</v>
      </c>
      <c r="B39" s="173"/>
      <c r="C39" s="253" t="str">
        <f t="shared" si="1"/>
        <v/>
      </c>
      <c r="D39" s="173"/>
      <c r="E39" s="173"/>
      <c r="F39" s="329" t="str">
        <f t="shared" si="2"/>
        <v/>
      </c>
      <c r="G39" s="176"/>
      <c r="H39" s="130" t="str">
        <f>IFERROR(INDEX(DMDT!B:B,MATCH($G39,DMDT!D:D,0),),"")</f>
        <v/>
      </c>
      <c r="I39" s="131"/>
      <c r="J39" s="132"/>
      <c r="K39" s="133"/>
      <c r="L39" s="134"/>
      <c r="M39" s="134"/>
      <c r="N39" s="135"/>
      <c r="O39" s="219"/>
      <c r="P39" s="143"/>
      <c r="Q39" s="144"/>
      <c r="R39" s="150"/>
      <c r="S39" s="127" t="str">
        <f t="shared" si="3"/>
        <v/>
      </c>
      <c r="T39" s="175" t="str">
        <f t="shared" si="4"/>
        <v/>
      </c>
      <c r="U39" s="158" t="e">
        <f t="shared" si="5"/>
        <v>#N/A</v>
      </c>
      <c r="V39" s="310" t="str">
        <f t="shared" si="6"/>
        <v/>
      </c>
      <c r="W39" s="137" t="str">
        <f t="shared" si="7"/>
        <v>X</v>
      </c>
      <c r="X39" s="137">
        <f t="shared" si="8"/>
        <v>0</v>
      </c>
    </row>
    <row r="40" spans="1:24" ht="17.25" customHeight="1">
      <c r="A40" s="137" t="str">
        <f t="shared" ca="1" si="0"/>
        <v>-</v>
      </c>
      <c r="B40" s="173"/>
      <c r="C40" s="253" t="str">
        <f t="shared" si="1"/>
        <v/>
      </c>
      <c r="D40" s="173"/>
      <c r="E40" s="173"/>
      <c r="F40" s="329" t="str">
        <f t="shared" si="2"/>
        <v/>
      </c>
      <c r="G40" s="186"/>
      <c r="H40" s="130" t="str">
        <f>IFERROR(INDEX(DMDT!B:B,MATCH($G40,DMDT!D:D,0),),"")</f>
        <v/>
      </c>
      <c r="I40" s="131"/>
      <c r="J40" s="132"/>
      <c r="K40" s="133"/>
      <c r="L40" s="134"/>
      <c r="M40" s="134"/>
      <c r="N40" s="135"/>
      <c r="O40" s="219"/>
      <c r="P40" s="143"/>
      <c r="Q40" s="144"/>
      <c r="R40" s="150"/>
      <c r="S40" s="127" t="str">
        <f t="shared" si="3"/>
        <v/>
      </c>
      <c r="T40" s="175" t="str">
        <f t="shared" si="4"/>
        <v/>
      </c>
      <c r="U40" s="158" t="e">
        <f t="shared" si="5"/>
        <v>#N/A</v>
      </c>
      <c r="V40" s="310" t="str">
        <f t="shared" si="6"/>
        <v/>
      </c>
      <c r="W40" s="137" t="str">
        <f t="shared" si="7"/>
        <v>X</v>
      </c>
      <c r="X40" s="137">
        <f t="shared" si="8"/>
        <v>0</v>
      </c>
    </row>
    <row r="41" spans="1:24" ht="17.25" customHeight="1">
      <c r="A41" s="137" t="str">
        <f t="shared" ca="1" si="0"/>
        <v>-</v>
      </c>
      <c r="B41" s="173"/>
      <c r="C41" s="253" t="str">
        <f t="shared" si="1"/>
        <v/>
      </c>
      <c r="D41" s="173"/>
      <c r="E41" s="173"/>
      <c r="F41" s="329" t="str">
        <f t="shared" si="2"/>
        <v/>
      </c>
      <c r="G41" s="176"/>
      <c r="H41" s="130" t="str">
        <f>IFERROR(INDEX(DMDT!B:B,MATCH($G41,DMDT!D:D,0),),"")</f>
        <v/>
      </c>
      <c r="I41" s="131"/>
      <c r="J41" s="132"/>
      <c r="K41" s="133"/>
      <c r="L41" s="134"/>
      <c r="M41" s="134"/>
      <c r="N41" s="135"/>
      <c r="O41" s="219"/>
      <c r="P41" s="143"/>
      <c r="Q41" s="144"/>
      <c r="R41" s="150"/>
      <c r="S41" s="127" t="str">
        <f t="shared" si="3"/>
        <v/>
      </c>
      <c r="T41" s="175" t="str">
        <f t="shared" si="4"/>
        <v/>
      </c>
      <c r="U41" s="158" t="e">
        <f t="shared" si="5"/>
        <v>#N/A</v>
      </c>
      <c r="V41" s="310" t="str">
        <f t="shared" si="6"/>
        <v/>
      </c>
      <c r="W41" s="137" t="str">
        <f t="shared" si="7"/>
        <v>X</v>
      </c>
      <c r="X41" s="137">
        <f t="shared" si="8"/>
        <v>0</v>
      </c>
    </row>
    <row r="42" spans="1:24" ht="17.25" customHeight="1">
      <c r="A42" s="137" t="str">
        <f t="shared" ca="1" si="0"/>
        <v>-</v>
      </c>
      <c r="B42" s="173"/>
      <c r="C42" s="253" t="str">
        <f t="shared" si="1"/>
        <v/>
      </c>
      <c r="D42" s="173"/>
      <c r="E42" s="173"/>
      <c r="F42" s="329" t="str">
        <f t="shared" si="2"/>
        <v/>
      </c>
      <c r="G42" s="176"/>
      <c r="H42" s="130" t="str">
        <f>IFERROR(INDEX(DMDT!B:B,MATCH($G42,DMDT!D:D,0),),"")</f>
        <v/>
      </c>
      <c r="I42" s="131"/>
      <c r="J42" s="132"/>
      <c r="K42" s="133"/>
      <c r="L42" s="134"/>
      <c r="M42" s="134"/>
      <c r="N42" s="135"/>
      <c r="O42" s="219"/>
      <c r="P42" s="143"/>
      <c r="Q42" s="144"/>
      <c r="R42" s="150"/>
      <c r="S42" s="127" t="str">
        <f t="shared" si="3"/>
        <v/>
      </c>
      <c r="T42" s="175" t="str">
        <f t="shared" si="4"/>
        <v/>
      </c>
      <c r="U42" s="158" t="e">
        <f t="shared" si="5"/>
        <v>#N/A</v>
      </c>
      <c r="V42" s="310" t="str">
        <f t="shared" si="6"/>
        <v/>
      </c>
      <c r="W42" s="137" t="str">
        <f t="shared" si="7"/>
        <v>X</v>
      </c>
      <c r="X42" s="137">
        <f t="shared" si="8"/>
        <v>0</v>
      </c>
    </row>
    <row r="43" spans="1:24" ht="17.25" customHeight="1">
      <c r="A43" s="137" t="str">
        <f t="shared" ca="1" si="0"/>
        <v>-</v>
      </c>
      <c r="B43" s="173"/>
      <c r="C43" s="253" t="str">
        <f t="shared" si="1"/>
        <v/>
      </c>
      <c r="D43" s="173"/>
      <c r="E43" s="173"/>
      <c r="F43" s="329" t="str">
        <f t="shared" si="2"/>
        <v/>
      </c>
      <c r="G43" s="176"/>
      <c r="H43" s="130" t="str">
        <f>IFERROR(INDEX(DMDT!B:B,MATCH($G43,DMDT!D:D,0),),"")</f>
        <v/>
      </c>
      <c r="I43" s="131"/>
      <c r="J43" s="132"/>
      <c r="K43" s="133"/>
      <c r="L43" s="134"/>
      <c r="M43" s="134"/>
      <c r="N43" s="135"/>
      <c r="O43" s="219"/>
      <c r="P43" s="143"/>
      <c r="Q43" s="144"/>
      <c r="R43" s="150"/>
      <c r="S43" s="127" t="str">
        <f t="shared" si="3"/>
        <v/>
      </c>
      <c r="T43" s="175" t="str">
        <f t="shared" si="4"/>
        <v/>
      </c>
      <c r="U43" s="158" t="e">
        <f t="shared" si="5"/>
        <v>#N/A</v>
      </c>
      <c r="V43" s="310" t="str">
        <f t="shared" si="6"/>
        <v/>
      </c>
      <c r="W43" s="137" t="str">
        <f t="shared" si="7"/>
        <v>X</v>
      </c>
      <c r="X43" s="137">
        <f t="shared" si="8"/>
        <v>0</v>
      </c>
    </row>
    <row r="44" spans="1:24" ht="17.25" customHeight="1">
      <c r="A44" s="137" t="str">
        <f t="shared" ca="1" si="0"/>
        <v>-</v>
      </c>
      <c r="B44" s="173"/>
      <c r="C44" s="253" t="str">
        <f t="shared" si="1"/>
        <v/>
      </c>
      <c r="D44" s="173"/>
      <c r="E44" s="173"/>
      <c r="F44" s="329" t="str">
        <f t="shared" si="2"/>
        <v/>
      </c>
      <c r="G44" s="176"/>
      <c r="H44" s="130" t="str">
        <f>IFERROR(INDEX(DMDT!B:B,MATCH($G44,DMDT!D:D,0),),"")</f>
        <v/>
      </c>
      <c r="I44" s="131"/>
      <c r="J44" s="132"/>
      <c r="K44" s="133"/>
      <c r="L44" s="134"/>
      <c r="M44" s="134"/>
      <c r="N44" s="135"/>
      <c r="O44" s="219"/>
      <c r="P44" s="143"/>
      <c r="Q44" s="144"/>
      <c r="R44" s="150"/>
      <c r="S44" s="127" t="str">
        <f t="shared" si="3"/>
        <v/>
      </c>
      <c r="T44" s="175" t="str">
        <f t="shared" si="4"/>
        <v/>
      </c>
      <c r="U44" s="158" t="e">
        <f t="shared" si="5"/>
        <v>#N/A</v>
      </c>
      <c r="V44" s="310" t="str">
        <f t="shared" si="6"/>
        <v/>
      </c>
      <c r="W44" s="137" t="str">
        <f t="shared" si="7"/>
        <v>X</v>
      </c>
      <c r="X44" s="137">
        <f t="shared" si="8"/>
        <v>0</v>
      </c>
    </row>
    <row r="45" spans="1:24" ht="17.25" customHeight="1">
      <c r="A45" s="137" t="str">
        <f t="shared" ca="1" si="0"/>
        <v>-</v>
      </c>
      <c r="B45" s="173"/>
      <c r="C45" s="253" t="str">
        <f t="shared" si="1"/>
        <v/>
      </c>
      <c r="D45" s="173"/>
      <c r="E45" s="173"/>
      <c r="F45" s="329" t="str">
        <f t="shared" si="2"/>
        <v/>
      </c>
      <c r="G45" s="176"/>
      <c r="H45" s="130" t="str">
        <f>IFERROR(INDEX(DMDT!B:B,MATCH($G45,DMDT!D:D,0),),"")</f>
        <v/>
      </c>
      <c r="I45" s="131"/>
      <c r="J45" s="132"/>
      <c r="K45" s="133"/>
      <c r="L45" s="134"/>
      <c r="M45" s="134"/>
      <c r="N45" s="135"/>
      <c r="O45" s="219"/>
      <c r="P45" s="143"/>
      <c r="Q45" s="144"/>
      <c r="R45" s="150"/>
      <c r="S45" s="127" t="str">
        <f t="shared" si="3"/>
        <v/>
      </c>
      <c r="T45" s="175" t="str">
        <f t="shared" si="4"/>
        <v/>
      </c>
      <c r="U45" s="158" t="e">
        <f t="shared" si="5"/>
        <v>#N/A</v>
      </c>
      <c r="V45" s="310" t="str">
        <f t="shared" si="6"/>
        <v/>
      </c>
      <c r="W45" s="137" t="str">
        <f t="shared" si="7"/>
        <v>X</v>
      </c>
      <c r="X45" s="137">
        <f t="shared" si="8"/>
        <v>0</v>
      </c>
    </row>
    <row r="46" spans="1:24" ht="17.25" customHeight="1">
      <c r="A46" s="137" t="str">
        <f t="shared" ca="1" si="0"/>
        <v>-</v>
      </c>
      <c r="B46" s="173"/>
      <c r="C46" s="253" t="str">
        <f t="shared" si="1"/>
        <v/>
      </c>
      <c r="D46" s="173"/>
      <c r="E46" s="173"/>
      <c r="F46" s="329" t="str">
        <f t="shared" si="2"/>
        <v/>
      </c>
      <c r="G46" s="176"/>
      <c r="H46" s="130" t="str">
        <f>IFERROR(INDEX(DMDT!B:B,MATCH($G46,DMDT!D:D,0),),"")</f>
        <v/>
      </c>
      <c r="I46" s="131"/>
      <c r="J46" s="132"/>
      <c r="K46" s="133"/>
      <c r="L46" s="134"/>
      <c r="M46" s="134"/>
      <c r="N46" s="135"/>
      <c r="O46" s="219"/>
      <c r="P46" s="143"/>
      <c r="Q46" s="144"/>
      <c r="R46" s="150"/>
      <c r="S46" s="127" t="str">
        <f t="shared" si="3"/>
        <v/>
      </c>
      <c r="T46" s="175" t="str">
        <f t="shared" si="4"/>
        <v/>
      </c>
      <c r="U46" s="158" t="e">
        <f t="shared" si="5"/>
        <v>#N/A</v>
      </c>
      <c r="V46" s="310" t="str">
        <f t="shared" si="6"/>
        <v/>
      </c>
      <c r="W46" s="137" t="str">
        <f t="shared" si="7"/>
        <v>X</v>
      </c>
      <c r="X46" s="137">
        <f t="shared" si="8"/>
        <v>0</v>
      </c>
    </row>
    <row r="47" spans="1:24" ht="17.25" customHeight="1">
      <c r="A47" s="137" t="str">
        <f t="shared" ca="1" si="0"/>
        <v>-</v>
      </c>
      <c r="B47" s="173"/>
      <c r="C47" s="253" t="str">
        <f t="shared" si="1"/>
        <v/>
      </c>
      <c r="D47" s="173"/>
      <c r="E47" s="173"/>
      <c r="F47" s="329" t="str">
        <f t="shared" si="2"/>
        <v/>
      </c>
      <c r="G47" s="176"/>
      <c r="H47" s="130" t="str">
        <f>IFERROR(INDEX(DMDT!B:B,MATCH($G47,DMDT!D:D,0),),"")</f>
        <v/>
      </c>
      <c r="I47" s="131"/>
      <c r="J47" s="132"/>
      <c r="K47" s="133"/>
      <c r="L47" s="134"/>
      <c r="M47" s="134"/>
      <c r="N47" s="135"/>
      <c r="O47" s="219"/>
      <c r="P47" s="143"/>
      <c r="Q47" s="144"/>
      <c r="R47" s="150"/>
      <c r="S47" s="127" t="str">
        <f t="shared" si="3"/>
        <v/>
      </c>
      <c r="T47" s="175" t="str">
        <f t="shared" si="4"/>
        <v/>
      </c>
      <c r="U47" s="158" t="e">
        <f t="shared" si="5"/>
        <v>#N/A</v>
      </c>
      <c r="V47" s="310" t="str">
        <f t="shared" si="6"/>
        <v/>
      </c>
      <c r="W47" s="137" t="str">
        <f t="shared" si="7"/>
        <v>X</v>
      </c>
      <c r="X47" s="137">
        <f t="shared" si="8"/>
        <v>0</v>
      </c>
    </row>
    <row r="48" spans="1:24" ht="17.25" customHeight="1">
      <c r="A48" s="137" t="str">
        <f t="shared" ca="1" si="0"/>
        <v>-</v>
      </c>
      <c r="B48" s="173"/>
      <c r="C48" s="253" t="str">
        <f t="shared" si="1"/>
        <v/>
      </c>
      <c r="D48" s="173"/>
      <c r="E48" s="173"/>
      <c r="F48" s="329" t="str">
        <f t="shared" si="2"/>
        <v/>
      </c>
      <c r="G48" s="176"/>
      <c r="H48" s="130" t="str">
        <f>IFERROR(INDEX(DMDT!B:B,MATCH($G48,DMDT!D:D,0),),"")</f>
        <v/>
      </c>
      <c r="I48" s="131"/>
      <c r="J48" s="132"/>
      <c r="K48" s="133"/>
      <c r="L48" s="134"/>
      <c r="M48" s="134"/>
      <c r="N48" s="135"/>
      <c r="O48" s="219"/>
      <c r="P48" s="143"/>
      <c r="Q48" s="144"/>
      <c r="R48" s="150"/>
      <c r="S48" s="127" t="str">
        <f t="shared" si="3"/>
        <v/>
      </c>
      <c r="T48" s="175" t="str">
        <f t="shared" si="4"/>
        <v/>
      </c>
      <c r="U48" s="158" t="e">
        <f t="shared" si="5"/>
        <v>#N/A</v>
      </c>
      <c r="V48" s="310" t="str">
        <f t="shared" si="6"/>
        <v/>
      </c>
      <c r="W48" s="137" t="str">
        <f t="shared" si="7"/>
        <v>X</v>
      </c>
      <c r="X48" s="137">
        <f t="shared" si="8"/>
        <v>0</v>
      </c>
    </row>
    <row r="49" spans="1:24" ht="17.25" customHeight="1">
      <c r="A49" s="137" t="str">
        <f t="shared" ca="1" si="0"/>
        <v>-</v>
      </c>
      <c r="B49" s="173"/>
      <c r="C49" s="253" t="str">
        <f t="shared" si="1"/>
        <v/>
      </c>
      <c r="D49" s="173"/>
      <c r="E49" s="173"/>
      <c r="F49" s="329" t="str">
        <f t="shared" si="2"/>
        <v/>
      </c>
      <c r="G49" s="176"/>
      <c r="H49" s="130" t="str">
        <f>IFERROR(INDEX(DMDT!B:B,MATCH($G49,DMDT!D:D,0),),"")</f>
        <v/>
      </c>
      <c r="I49" s="131"/>
      <c r="J49" s="132"/>
      <c r="K49" s="133"/>
      <c r="L49" s="134"/>
      <c r="M49" s="134"/>
      <c r="N49" s="135"/>
      <c r="O49" s="219"/>
      <c r="P49" s="143"/>
      <c r="Q49" s="144"/>
      <c r="R49" s="150"/>
      <c r="S49" s="127" t="str">
        <f t="shared" si="3"/>
        <v/>
      </c>
      <c r="T49" s="175" t="str">
        <f t="shared" si="4"/>
        <v/>
      </c>
      <c r="U49" s="158" t="e">
        <f t="shared" si="5"/>
        <v>#N/A</v>
      </c>
      <c r="V49" s="310" t="str">
        <f t="shared" si="6"/>
        <v/>
      </c>
      <c r="W49" s="137" t="str">
        <f t="shared" si="7"/>
        <v>X</v>
      </c>
      <c r="X49" s="137">
        <f t="shared" si="8"/>
        <v>0</v>
      </c>
    </row>
    <row r="50" spans="1:24" ht="17.25" customHeight="1">
      <c r="A50" s="137" t="str">
        <f t="shared" ca="1" si="0"/>
        <v>-</v>
      </c>
      <c r="B50" s="173"/>
      <c r="C50" s="253" t="str">
        <f t="shared" si="1"/>
        <v/>
      </c>
      <c r="D50" s="173"/>
      <c r="E50" s="173"/>
      <c r="F50" s="329" t="str">
        <f t="shared" si="2"/>
        <v/>
      </c>
      <c r="G50" s="176"/>
      <c r="H50" s="130" t="str">
        <f>IFERROR(INDEX(DMDT!B:B,MATCH($G50,DMDT!D:D,0),),"")</f>
        <v/>
      </c>
      <c r="I50" s="131"/>
      <c r="J50" s="132"/>
      <c r="K50" s="133"/>
      <c r="L50" s="134"/>
      <c r="M50" s="134"/>
      <c r="N50" s="135"/>
      <c r="O50" s="219"/>
      <c r="P50" s="143"/>
      <c r="Q50" s="144"/>
      <c r="R50" s="150"/>
      <c r="S50" s="127" t="str">
        <f t="shared" si="3"/>
        <v/>
      </c>
      <c r="T50" s="175" t="str">
        <f t="shared" si="4"/>
        <v/>
      </c>
      <c r="U50" s="158" t="e">
        <f t="shared" si="5"/>
        <v>#N/A</v>
      </c>
      <c r="V50" s="310" t="str">
        <f t="shared" si="6"/>
        <v/>
      </c>
      <c r="W50" s="137" t="str">
        <f t="shared" si="7"/>
        <v>X</v>
      </c>
      <c r="X50" s="137">
        <f t="shared" si="8"/>
        <v>0</v>
      </c>
    </row>
    <row r="51" spans="1:24" ht="17.25" customHeight="1">
      <c r="A51" s="137" t="str">
        <f t="shared" ca="1" si="0"/>
        <v>-</v>
      </c>
      <c r="B51" s="173"/>
      <c r="C51" s="253" t="str">
        <f t="shared" si="1"/>
        <v/>
      </c>
      <c r="D51" s="173"/>
      <c r="E51" s="173"/>
      <c r="F51" s="329" t="str">
        <f t="shared" si="2"/>
        <v/>
      </c>
      <c r="G51" s="176"/>
      <c r="H51" s="130" t="str">
        <f>IFERROR(INDEX(DMDT!B:B,MATCH($G51,DMDT!D:D,0),),"")</f>
        <v/>
      </c>
      <c r="I51" s="131"/>
      <c r="J51" s="132"/>
      <c r="K51" s="133"/>
      <c r="L51" s="134"/>
      <c r="M51" s="134"/>
      <c r="N51" s="135"/>
      <c r="O51" s="219"/>
      <c r="P51" s="143"/>
      <c r="Q51" s="144"/>
      <c r="R51" s="150"/>
      <c r="S51" s="127" t="str">
        <f t="shared" si="3"/>
        <v/>
      </c>
      <c r="T51" s="175" t="str">
        <f t="shared" si="4"/>
        <v/>
      </c>
      <c r="U51" s="158" t="e">
        <f t="shared" si="5"/>
        <v>#N/A</v>
      </c>
      <c r="V51" s="310" t="str">
        <f t="shared" si="6"/>
        <v/>
      </c>
      <c r="W51" s="137" t="str">
        <f t="shared" si="7"/>
        <v>X</v>
      </c>
      <c r="X51" s="137">
        <f t="shared" si="8"/>
        <v>0</v>
      </c>
    </row>
    <row r="52" spans="1:24" ht="17.25" customHeight="1">
      <c r="A52" s="137" t="str">
        <f t="shared" ca="1" si="0"/>
        <v>-</v>
      </c>
      <c r="B52" s="173"/>
      <c r="C52" s="253" t="str">
        <f t="shared" si="1"/>
        <v/>
      </c>
      <c r="D52" s="173"/>
      <c r="E52" s="173"/>
      <c r="F52" s="329" t="str">
        <f t="shared" si="2"/>
        <v/>
      </c>
      <c r="G52" s="176"/>
      <c r="H52" s="130" t="str">
        <f>IFERROR(INDEX(DMDT!B:B,MATCH($G52,DMDT!D:D,0),),"")</f>
        <v/>
      </c>
      <c r="I52" s="131"/>
      <c r="J52" s="132"/>
      <c r="K52" s="133"/>
      <c r="L52" s="134"/>
      <c r="M52" s="134"/>
      <c r="N52" s="135"/>
      <c r="O52" s="219"/>
      <c r="P52" s="143"/>
      <c r="Q52" s="144"/>
      <c r="R52" s="150"/>
      <c r="S52" s="127" t="str">
        <f t="shared" si="3"/>
        <v/>
      </c>
      <c r="T52" s="175" t="str">
        <f t="shared" si="4"/>
        <v/>
      </c>
      <c r="U52" s="158" t="e">
        <f t="shared" si="5"/>
        <v>#N/A</v>
      </c>
      <c r="V52" s="310" t="str">
        <f t="shared" si="6"/>
        <v/>
      </c>
      <c r="W52" s="137" t="str">
        <f t="shared" si="7"/>
        <v>X</v>
      </c>
      <c r="X52" s="137">
        <f t="shared" si="8"/>
        <v>0</v>
      </c>
    </row>
    <row r="53" spans="1:24" ht="17.25" customHeight="1">
      <c r="A53" s="137" t="str">
        <f t="shared" ca="1" si="0"/>
        <v>-</v>
      </c>
      <c r="B53" s="173"/>
      <c r="C53" s="253" t="str">
        <f t="shared" si="1"/>
        <v/>
      </c>
      <c r="D53" s="173"/>
      <c r="E53" s="173"/>
      <c r="F53" s="329" t="str">
        <f t="shared" si="2"/>
        <v/>
      </c>
      <c r="G53" s="176"/>
      <c r="H53" s="130" t="str">
        <f>IFERROR(INDEX(DMDT!B:B,MATCH($G53,DMDT!D:D,0),),"")</f>
        <v/>
      </c>
      <c r="I53" s="131"/>
      <c r="J53" s="132"/>
      <c r="K53" s="133"/>
      <c r="L53" s="134"/>
      <c r="M53" s="134"/>
      <c r="N53" s="135"/>
      <c r="O53" s="219"/>
      <c r="P53" s="143"/>
      <c r="Q53" s="144"/>
      <c r="R53" s="150"/>
      <c r="S53" s="127" t="str">
        <f t="shared" si="3"/>
        <v/>
      </c>
      <c r="T53" s="175" t="str">
        <f t="shared" si="4"/>
        <v/>
      </c>
      <c r="U53" s="158" t="e">
        <f t="shared" si="5"/>
        <v>#N/A</v>
      </c>
      <c r="V53" s="310" t="str">
        <f t="shared" si="6"/>
        <v/>
      </c>
      <c r="W53" s="137" t="str">
        <f t="shared" si="7"/>
        <v>X</v>
      </c>
      <c r="X53" s="137">
        <f t="shared" si="8"/>
        <v>0</v>
      </c>
    </row>
    <row r="54" spans="1:24" ht="17.25" customHeight="1">
      <c r="A54" s="137" t="str">
        <f t="shared" ca="1" si="0"/>
        <v>-</v>
      </c>
      <c r="B54" s="173"/>
      <c r="C54" s="253" t="str">
        <f t="shared" si="1"/>
        <v/>
      </c>
      <c r="D54" s="173"/>
      <c r="E54" s="173"/>
      <c r="F54" s="329" t="str">
        <f t="shared" si="2"/>
        <v/>
      </c>
      <c r="G54" s="176"/>
      <c r="H54" s="130" t="str">
        <f>IFERROR(INDEX(DMDT!B:B,MATCH($G54,DMDT!D:D,0),),"")</f>
        <v/>
      </c>
      <c r="I54" s="131"/>
      <c r="J54" s="132"/>
      <c r="K54" s="133"/>
      <c r="L54" s="134"/>
      <c r="M54" s="134"/>
      <c r="N54" s="135"/>
      <c r="O54" s="219"/>
      <c r="P54" s="143"/>
      <c r="Q54" s="144"/>
      <c r="R54" s="150"/>
      <c r="S54" s="127" t="str">
        <f t="shared" si="3"/>
        <v/>
      </c>
      <c r="T54" s="175" t="str">
        <f t="shared" si="4"/>
        <v/>
      </c>
      <c r="U54" s="158" t="e">
        <f t="shared" si="5"/>
        <v>#N/A</v>
      </c>
      <c r="V54" s="310" t="str">
        <f t="shared" si="6"/>
        <v/>
      </c>
      <c r="W54" s="137" t="str">
        <f t="shared" si="7"/>
        <v>X</v>
      </c>
      <c r="X54" s="137">
        <f t="shared" si="8"/>
        <v>0</v>
      </c>
    </row>
    <row r="55" spans="1:24" ht="17.25" customHeight="1">
      <c r="A55" s="137" t="str">
        <f t="shared" ca="1" si="0"/>
        <v>-</v>
      </c>
      <c r="B55" s="173"/>
      <c r="C55" s="253" t="str">
        <f t="shared" si="1"/>
        <v/>
      </c>
      <c r="D55" s="173"/>
      <c r="E55" s="173"/>
      <c r="F55" s="329" t="str">
        <f t="shared" si="2"/>
        <v/>
      </c>
      <c r="G55" s="176"/>
      <c r="H55" s="130" t="str">
        <f>IFERROR(INDEX(DMDT!B:B,MATCH($G55,DMDT!D:D,0),),"")</f>
        <v/>
      </c>
      <c r="I55" s="131"/>
      <c r="J55" s="132"/>
      <c r="K55" s="133"/>
      <c r="L55" s="134"/>
      <c r="M55" s="134"/>
      <c r="N55" s="135"/>
      <c r="O55" s="219"/>
      <c r="P55" s="143"/>
      <c r="Q55" s="144"/>
      <c r="R55" s="150"/>
      <c r="S55" s="127" t="str">
        <f t="shared" si="3"/>
        <v/>
      </c>
      <c r="T55" s="175" t="str">
        <f t="shared" si="4"/>
        <v/>
      </c>
      <c r="U55" s="158" t="e">
        <f t="shared" si="5"/>
        <v>#N/A</v>
      </c>
      <c r="V55" s="310" t="str">
        <f t="shared" si="6"/>
        <v/>
      </c>
      <c r="W55" s="137" t="str">
        <f t="shared" si="7"/>
        <v>X</v>
      </c>
      <c r="X55" s="137">
        <f t="shared" si="8"/>
        <v>0</v>
      </c>
    </row>
    <row r="56" spans="1:24" ht="17.25" customHeight="1">
      <c r="A56" s="137" t="str">
        <f t="shared" ca="1" si="0"/>
        <v>-</v>
      </c>
      <c r="B56" s="173"/>
      <c r="C56" s="253" t="str">
        <f t="shared" si="1"/>
        <v/>
      </c>
      <c r="D56" s="173"/>
      <c r="E56" s="173"/>
      <c r="F56" s="329" t="str">
        <f t="shared" si="2"/>
        <v/>
      </c>
      <c r="G56" s="176"/>
      <c r="H56" s="130" t="str">
        <f>IFERROR(INDEX(DMDT!B:B,MATCH($G56,DMDT!D:D,0),),"")</f>
        <v/>
      </c>
      <c r="I56" s="131"/>
      <c r="J56" s="132"/>
      <c r="K56" s="133"/>
      <c r="L56" s="134"/>
      <c r="M56" s="134"/>
      <c r="N56" s="135"/>
      <c r="O56" s="219"/>
      <c r="P56" s="143"/>
      <c r="Q56" s="144"/>
      <c r="R56" s="150"/>
      <c r="S56" s="127" t="str">
        <f t="shared" si="3"/>
        <v/>
      </c>
      <c r="T56" s="175" t="str">
        <f t="shared" si="4"/>
        <v/>
      </c>
      <c r="U56" s="158" t="e">
        <f t="shared" si="5"/>
        <v>#N/A</v>
      </c>
      <c r="V56" s="310" t="str">
        <f t="shared" si="6"/>
        <v/>
      </c>
      <c r="W56" s="137" t="str">
        <f t="shared" si="7"/>
        <v>X</v>
      </c>
      <c r="X56" s="137">
        <f t="shared" si="8"/>
        <v>0</v>
      </c>
    </row>
    <row r="57" spans="1:24" ht="17.25" customHeight="1">
      <c r="A57" s="137" t="str">
        <f t="shared" ca="1" si="0"/>
        <v>-</v>
      </c>
      <c r="B57" s="173"/>
      <c r="C57" s="253" t="str">
        <f t="shared" si="1"/>
        <v/>
      </c>
      <c r="D57" s="173"/>
      <c r="E57" s="173"/>
      <c r="F57" s="329" t="str">
        <f t="shared" si="2"/>
        <v/>
      </c>
      <c r="G57" s="174"/>
      <c r="H57" s="130" t="str">
        <f>IFERROR(INDEX(DMDT!B:B,MATCH($G57,DMDT!D:D,0),),"")</f>
        <v/>
      </c>
      <c r="I57" s="131"/>
      <c r="J57" s="132"/>
      <c r="K57" s="133"/>
      <c r="L57" s="134"/>
      <c r="M57" s="134"/>
      <c r="N57" s="135"/>
      <c r="O57" s="219"/>
      <c r="P57" s="143"/>
      <c r="Q57" s="144"/>
      <c r="R57" s="150"/>
      <c r="S57" s="127" t="str">
        <f t="shared" si="3"/>
        <v/>
      </c>
      <c r="T57" s="175" t="str">
        <f t="shared" si="4"/>
        <v/>
      </c>
      <c r="U57" s="158" t="e">
        <f t="shared" si="5"/>
        <v>#N/A</v>
      </c>
      <c r="V57" s="310" t="str">
        <f t="shared" si="6"/>
        <v/>
      </c>
      <c r="W57" s="137" t="str">
        <f t="shared" si="7"/>
        <v>X</v>
      </c>
      <c r="X57" s="137">
        <f t="shared" si="8"/>
        <v>0</v>
      </c>
    </row>
    <row r="58" spans="1:24" ht="17.25" customHeight="1">
      <c r="A58" s="137" t="str">
        <f t="shared" ca="1" si="0"/>
        <v>-</v>
      </c>
      <c r="B58" s="173"/>
      <c r="C58" s="253" t="str">
        <f t="shared" si="1"/>
        <v/>
      </c>
      <c r="D58" s="173"/>
      <c r="E58" s="173"/>
      <c r="F58" s="329" t="str">
        <f t="shared" si="2"/>
        <v/>
      </c>
      <c r="G58" s="176"/>
      <c r="H58" s="130" t="str">
        <f>IFERROR(INDEX(DMDT!B:B,MATCH($G58,DMDT!D:D,0),),"")</f>
        <v/>
      </c>
      <c r="I58" s="131"/>
      <c r="J58" s="132"/>
      <c r="K58" s="133"/>
      <c r="L58" s="134"/>
      <c r="M58" s="134"/>
      <c r="N58" s="135"/>
      <c r="O58" s="219"/>
      <c r="P58" s="143"/>
      <c r="Q58" s="144"/>
      <c r="R58" s="150"/>
      <c r="S58" s="127" t="str">
        <f t="shared" si="3"/>
        <v/>
      </c>
      <c r="T58" s="175" t="str">
        <f t="shared" si="4"/>
        <v/>
      </c>
      <c r="U58" s="158" t="e">
        <f t="shared" si="5"/>
        <v>#N/A</v>
      </c>
      <c r="V58" s="310" t="str">
        <f t="shared" si="6"/>
        <v/>
      </c>
      <c r="W58" s="137" t="str">
        <f t="shared" si="7"/>
        <v>X</v>
      </c>
      <c r="X58" s="137">
        <f t="shared" si="8"/>
        <v>0</v>
      </c>
    </row>
    <row r="59" spans="1:24" ht="17.25" customHeight="1">
      <c r="A59" s="137" t="str">
        <f t="shared" ca="1" si="0"/>
        <v>-</v>
      </c>
      <c r="B59" s="173"/>
      <c r="C59" s="253" t="str">
        <f t="shared" si="1"/>
        <v/>
      </c>
      <c r="D59" s="173"/>
      <c r="E59" s="173"/>
      <c r="F59" s="329" t="str">
        <f t="shared" si="2"/>
        <v/>
      </c>
      <c r="G59" s="186"/>
      <c r="H59" s="130" t="str">
        <f>IFERROR(INDEX(DMDT!B:B,MATCH($G59,DMDT!D:D,0),),"")</f>
        <v/>
      </c>
      <c r="I59" s="131"/>
      <c r="J59" s="132"/>
      <c r="K59" s="133"/>
      <c r="L59" s="134"/>
      <c r="M59" s="134"/>
      <c r="N59" s="135"/>
      <c r="O59" s="219"/>
      <c r="P59" s="143"/>
      <c r="Q59" s="144"/>
      <c r="R59" s="150"/>
      <c r="S59" s="127" t="str">
        <f t="shared" si="3"/>
        <v/>
      </c>
      <c r="T59" s="175" t="str">
        <f t="shared" si="4"/>
        <v/>
      </c>
      <c r="U59" s="158" t="e">
        <f t="shared" si="5"/>
        <v>#N/A</v>
      </c>
      <c r="V59" s="310" t="str">
        <f t="shared" si="6"/>
        <v/>
      </c>
      <c r="W59" s="137" t="str">
        <f t="shared" si="7"/>
        <v>X</v>
      </c>
      <c r="X59" s="137">
        <f t="shared" si="8"/>
        <v>0</v>
      </c>
    </row>
    <row r="60" spans="1:24" ht="17.25" customHeight="1">
      <c r="A60" s="137" t="str">
        <f t="shared" ca="1" si="0"/>
        <v>-</v>
      </c>
      <c r="B60" s="173"/>
      <c r="C60" s="253" t="str">
        <f t="shared" si="1"/>
        <v/>
      </c>
      <c r="D60" s="173"/>
      <c r="E60" s="173"/>
      <c r="F60" s="329" t="str">
        <f t="shared" si="2"/>
        <v/>
      </c>
      <c r="G60" s="186"/>
      <c r="H60" s="130" t="str">
        <f>IFERROR(INDEX(DMDT!B:B,MATCH($G60,DMDT!D:D,0),),"")</f>
        <v/>
      </c>
      <c r="I60" s="131"/>
      <c r="J60" s="132"/>
      <c r="K60" s="133"/>
      <c r="L60" s="134"/>
      <c r="M60" s="134"/>
      <c r="N60" s="135"/>
      <c r="O60" s="219"/>
      <c r="P60" s="143"/>
      <c r="Q60" s="144"/>
      <c r="R60" s="150"/>
      <c r="S60" s="127" t="str">
        <f t="shared" si="3"/>
        <v/>
      </c>
      <c r="T60" s="175" t="str">
        <f t="shared" si="4"/>
        <v/>
      </c>
      <c r="U60" s="158" t="e">
        <f t="shared" si="5"/>
        <v>#N/A</v>
      </c>
      <c r="V60" s="310" t="str">
        <f t="shared" si="6"/>
        <v/>
      </c>
      <c r="W60" s="137" t="str">
        <f t="shared" si="7"/>
        <v>X</v>
      </c>
      <c r="X60" s="137">
        <f t="shared" si="8"/>
        <v>0</v>
      </c>
    </row>
    <row r="61" spans="1:24" ht="17.25" customHeight="1">
      <c r="A61" s="137" t="str">
        <f t="shared" ca="1" si="0"/>
        <v>-</v>
      </c>
      <c r="B61" s="173"/>
      <c r="C61" s="253" t="str">
        <f t="shared" si="1"/>
        <v/>
      </c>
      <c r="D61" s="173"/>
      <c r="E61" s="173"/>
      <c r="F61" s="329" t="str">
        <f t="shared" si="2"/>
        <v/>
      </c>
      <c r="G61" s="176"/>
      <c r="H61" s="130" t="str">
        <f>IFERROR(INDEX(DMDT!B:B,MATCH($G61,DMDT!D:D,0),),"")</f>
        <v/>
      </c>
      <c r="I61" s="131"/>
      <c r="J61" s="132"/>
      <c r="K61" s="133"/>
      <c r="L61" s="134"/>
      <c r="M61" s="134"/>
      <c r="N61" s="135"/>
      <c r="O61" s="219"/>
      <c r="P61" s="143"/>
      <c r="Q61" s="144"/>
      <c r="R61" s="150"/>
      <c r="S61" s="127" t="str">
        <f t="shared" si="3"/>
        <v/>
      </c>
      <c r="T61" s="175" t="str">
        <f t="shared" si="4"/>
        <v/>
      </c>
      <c r="U61" s="158" t="e">
        <f t="shared" si="5"/>
        <v>#N/A</v>
      </c>
      <c r="V61" s="310" t="str">
        <f t="shared" si="6"/>
        <v/>
      </c>
      <c r="W61" s="137" t="str">
        <f t="shared" si="7"/>
        <v>X</v>
      </c>
      <c r="X61" s="137">
        <f t="shared" si="8"/>
        <v>0</v>
      </c>
    </row>
    <row r="62" spans="1:24" ht="17.25" customHeight="1">
      <c r="A62" s="137" t="str">
        <f t="shared" ca="1" si="0"/>
        <v>-</v>
      </c>
      <c r="B62" s="173"/>
      <c r="C62" s="253" t="str">
        <f t="shared" si="1"/>
        <v/>
      </c>
      <c r="D62" s="173"/>
      <c r="E62" s="173"/>
      <c r="F62" s="329" t="str">
        <f t="shared" si="2"/>
        <v/>
      </c>
      <c r="G62" s="176"/>
      <c r="H62" s="130" t="str">
        <f>IFERROR(INDEX(DMDT!B:B,MATCH($G62,DMDT!D:D,0),),"")</f>
        <v/>
      </c>
      <c r="I62" s="131"/>
      <c r="J62" s="132"/>
      <c r="K62" s="133"/>
      <c r="L62" s="134"/>
      <c r="M62" s="134"/>
      <c r="N62" s="135"/>
      <c r="O62" s="219"/>
      <c r="P62" s="143"/>
      <c r="Q62" s="144"/>
      <c r="R62" s="150"/>
      <c r="S62" s="127" t="str">
        <f t="shared" si="3"/>
        <v/>
      </c>
      <c r="T62" s="175" t="str">
        <f t="shared" si="4"/>
        <v/>
      </c>
      <c r="U62" s="158" t="e">
        <f t="shared" si="5"/>
        <v>#N/A</v>
      </c>
      <c r="V62" s="310" t="str">
        <f t="shared" si="6"/>
        <v/>
      </c>
      <c r="W62" s="137" t="str">
        <f t="shared" si="7"/>
        <v>X</v>
      </c>
      <c r="X62" s="137">
        <f t="shared" si="8"/>
        <v>0</v>
      </c>
    </row>
    <row r="63" spans="1:24" ht="17.25" customHeight="1">
      <c r="A63" s="137" t="str">
        <f t="shared" ca="1" si="0"/>
        <v>-</v>
      </c>
      <c r="B63" s="173"/>
      <c r="C63" s="253" t="str">
        <f t="shared" si="1"/>
        <v/>
      </c>
      <c r="D63" s="173"/>
      <c r="E63" s="173"/>
      <c r="F63" s="329" t="str">
        <f t="shared" si="2"/>
        <v/>
      </c>
      <c r="G63" s="176"/>
      <c r="H63" s="130" t="str">
        <f>IFERROR(INDEX(DMDT!B:B,MATCH($G63,DMDT!D:D,0),),"")</f>
        <v/>
      </c>
      <c r="I63" s="131"/>
      <c r="J63" s="132"/>
      <c r="K63" s="133"/>
      <c r="L63" s="134"/>
      <c r="M63" s="134"/>
      <c r="N63" s="135"/>
      <c r="O63" s="219"/>
      <c r="P63" s="143"/>
      <c r="Q63" s="144"/>
      <c r="R63" s="150"/>
      <c r="S63" s="127" t="str">
        <f t="shared" si="3"/>
        <v/>
      </c>
      <c r="T63" s="175" t="str">
        <f t="shared" si="4"/>
        <v/>
      </c>
      <c r="U63" s="158" t="e">
        <f t="shared" si="5"/>
        <v>#N/A</v>
      </c>
      <c r="V63" s="310" t="str">
        <f t="shared" si="6"/>
        <v/>
      </c>
      <c r="W63" s="137" t="str">
        <f t="shared" si="7"/>
        <v>X</v>
      </c>
      <c r="X63" s="137">
        <f t="shared" si="8"/>
        <v>0</v>
      </c>
    </row>
    <row r="64" spans="1:24" ht="17.25" customHeight="1">
      <c r="A64" s="137" t="str">
        <f t="shared" ca="1" si="0"/>
        <v>-</v>
      </c>
      <c r="B64" s="173"/>
      <c r="C64" s="253" t="str">
        <f t="shared" si="1"/>
        <v/>
      </c>
      <c r="D64" s="173"/>
      <c r="E64" s="173"/>
      <c r="F64" s="329" t="str">
        <f t="shared" si="2"/>
        <v/>
      </c>
      <c r="G64" s="176"/>
      <c r="H64" s="130" t="str">
        <f>IFERROR(INDEX(DMDT!B:B,MATCH($G64,DMDT!D:D,0),),"")</f>
        <v/>
      </c>
      <c r="I64" s="131"/>
      <c r="J64" s="132"/>
      <c r="K64" s="133"/>
      <c r="L64" s="134"/>
      <c r="M64" s="134"/>
      <c r="N64" s="135"/>
      <c r="O64" s="219"/>
      <c r="P64" s="143"/>
      <c r="Q64" s="144"/>
      <c r="R64" s="150"/>
      <c r="S64" s="127" t="str">
        <f t="shared" si="3"/>
        <v/>
      </c>
      <c r="T64" s="175" t="str">
        <f t="shared" si="4"/>
        <v/>
      </c>
      <c r="U64" s="158" t="e">
        <f t="shared" si="5"/>
        <v>#N/A</v>
      </c>
      <c r="V64" s="310" t="str">
        <f t="shared" si="6"/>
        <v/>
      </c>
      <c r="W64" s="137" t="str">
        <f t="shared" si="7"/>
        <v>X</v>
      </c>
      <c r="X64" s="137">
        <f t="shared" si="8"/>
        <v>0</v>
      </c>
    </row>
    <row r="65" spans="1:24" ht="17.25" customHeight="1">
      <c r="A65" s="137" t="str">
        <f t="shared" ca="1" si="0"/>
        <v>-</v>
      </c>
      <c r="B65" s="173"/>
      <c r="C65" s="253" t="str">
        <f t="shared" si="1"/>
        <v/>
      </c>
      <c r="D65" s="173"/>
      <c r="E65" s="173"/>
      <c r="F65" s="329" t="str">
        <f t="shared" si="2"/>
        <v/>
      </c>
      <c r="G65" s="176"/>
      <c r="H65" s="130" t="str">
        <f>IFERROR(INDEX(DMDT!B:B,MATCH($G65,DMDT!D:D,0),),"")</f>
        <v/>
      </c>
      <c r="I65" s="131"/>
      <c r="J65" s="132"/>
      <c r="K65" s="133"/>
      <c r="L65" s="134"/>
      <c r="M65" s="134"/>
      <c r="N65" s="135"/>
      <c r="O65" s="219"/>
      <c r="P65" s="143"/>
      <c r="Q65" s="144"/>
      <c r="R65" s="150"/>
      <c r="S65" s="127" t="str">
        <f t="shared" si="3"/>
        <v/>
      </c>
      <c r="T65" s="175" t="str">
        <f t="shared" si="4"/>
        <v/>
      </c>
      <c r="U65" s="158" t="e">
        <f t="shared" si="5"/>
        <v>#N/A</v>
      </c>
      <c r="V65" s="310" t="str">
        <f t="shared" si="6"/>
        <v/>
      </c>
      <c r="W65" s="137" t="str">
        <f t="shared" si="7"/>
        <v>X</v>
      </c>
      <c r="X65" s="137">
        <f t="shared" si="8"/>
        <v>0</v>
      </c>
    </row>
    <row r="66" spans="1:24" ht="17.25" customHeight="1">
      <c r="A66" s="137" t="str">
        <f t="shared" ca="1" si="0"/>
        <v>-</v>
      </c>
      <c r="B66" s="173"/>
      <c r="C66" s="253" t="str">
        <f t="shared" si="1"/>
        <v/>
      </c>
      <c r="D66" s="173"/>
      <c r="E66" s="173"/>
      <c r="F66" s="329" t="str">
        <f t="shared" si="2"/>
        <v/>
      </c>
      <c r="G66" s="174"/>
      <c r="H66" s="130" t="str">
        <f>IFERROR(INDEX(DMDT!B:B,MATCH($G66,DMDT!D:D,0),),"")</f>
        <v/>
      </c>
      <c r="I66" s="131"/>
      <c r="J66" s="132"/>
      <c r="K66" s="133"/>
      <c r="L66" s="134"/>
      <c r="M66" s="134"/>
      <c r="N66" s="135"/>
      <c r="O66" s="219"/>
      <c r="P66" s="143"/>
      <c r="Q66" s="144"/>
      <c r="R66" s="150"/>
      <c r="S66" s="127" t="str">
        <f t="shared" si="3"/>
        <v/>
      </c>
      <c r="T66" s="175" t="str">
        <f t="shared" si="4"/>
        <v/>
      </c>
      <c r="U66" s="158" t="e">
        <f t="shared" si="5"/>
        <v>#N/A</v>
      </c>
      <c r="V66" s="310" t="str">
        <f t="shared" si="6"/>
        <v/>
      </c>
      <c r="W66" s="137" t="str">
        <f t="shared" si="7"/>
        <v>X</v>
      </c>
      <c r="X66" s="137">
        <f t="shared" si="8"/>
        <v>0</v>
      </c>
    </row>
    <row r="67" spans="1:24" ht="17.25" customHeight="1">
      <c r="A67" s="137" t="str">
        <f t="shared" ca="1" si="0"/>
        <v>-</v>
      </c>
      <c r="B67" s="173"/>
      <c r="C67" s="253" t="str">
        <f t="shared" si="1"/>
        <v/>
      </c>
      <c r="D67" s="173"/>
      <c r="E67" s="173"/>
      <c r="F67" s="329" t="str">
        <f t="shared" si="2"/>
        <v/>
      </c>
      <c r="G67" s="174"/>
      <c r="H67" s="130" t="str">
        <f>IFERROR(INDEX(DMDT!B:B,MATCH($G67,DMDT!D:D,0),),"")</f>
        <v/>
      </c>
      <c r="I67" s="131"/>
      <c r="J67" s="132"/>
      <c r="K67" s="133"/>
      <c r="L67" s="134"/>
      <c r="M67" s="134"/>
      <c r="N67" s="135"/>
      <c r="O67" s="219"/>
      <c r="P67" s="143"/>
      <c r="Q67" s="144"/>
      <c r="R67" s="150"/>
      <c r="S67" s="127" t="str">
        <f t="shared" si="3"/>
        <v/>
      </c>
      <c r="T67" s="175" t="str">
        <f t="shared" si="4"/>
        <v/>
      </c>
      <c r="U67" s="158" t="e">
        <f t="shared" si="5"/>
        <v>#N/A</v>
      </c>
      <c r="V67" s="310" t="str">
        <f t="shared" si="6"/>
        <v/>
      </c>
      <c r="W67" s="137" t="str">
        <f t="shared" si="7"/>
        <v>X</v>
      </c>
      <c r="X67" s="137">
        <f t="shared" si="8"/>
        <v>0</v>
      </c>
    </row>
    <row r="68" spans="1:24" ht="17.25" customHeight="1">
      <c r="A68" s="137" t="str">
        <f t="shared" ref="A68:A131" ca="1" si="9">IF(F68="","-",IF(COUNTIFS(OFFSET($H$3,,,ROW()-3),H68,OFFSET($J$3,,,ROW()-3),J68,OFFSET($N$3,,,ROW()-3),N68)=0,"-","FALSE"))</f>
        <v>-</v>
      </c>
      <c r="B68" s="173"/>
      <c r="C68" s="253" t="str">
        <f t="shared" si="1"/>
        <v/>
      </c>
      <c r="D68" s="173"/>
      <c r="E68" s="173"/>
      <c r="F68" s="329" t="str">
        <f t="shared" si="2"/>
        <v/>
      </c>
      <c r="G68" s="174"/>
      <c r="H68" s="130" t="str">
        <f>IFERROR(INDEX(DMDT!B:B,MATCH($G68,DMDT!D:D,0),),"")</f>
        <v/>
      </c>
      <c r="I68" s="131"/>
      <c r="J68" s="132"/>
      <c r="K68" s="133"/>
      <c r="L68" s="134"/>
      <c r="M68" s="134"/>
      <c r="N68" s="135"/>
      <c r="O68" s="219"/>
      <c r="P68" s="143"/>
      <c r="Q68" s="144"/>
      <c r="R68" s="150"/>
      <c r="S68" s="127" t="str">
        <f t="shared" si="3"/>
        <v/>
      </c>
      <c r="T68" s="175" t="str">
        <f t="shared" si="4"/>
        <v/>
      </c>
      <c r="U68" s="158" t="e">
        <f t="shared" si="5"/>
        <v>#N/A</v>
      </c>
      <c r="V68" s="310" t="str">
        <f t="shared" si="6"/>
        <v/>
      </c>
      <c r="W68" s="137" t="str">
        <f t="shared" si="7"/>
        <v>X</v>
      </c>
      <c r="X68" s="137">
        <f t="shared" si="8"/>
        <v>0</v>
      </c>
    </row>
    <row r="69" spans="1:24" ht="17.25" customHeight="1">
      <c r="A69" s="137" t="str">
        <f t="shared" ca="1" si="9"/>
        <v>-</v>
      </c>
      <c r="B69" s="173"/>
      <c r="C69" s="253" t="str">
        <f t="shared" ref="C69:C132" si="10">IF(F69="","",IF(LEFT(M69,5)&lt;&gt;"3311-","Non-GR",IF(AND(B69&lt;D69,B69&lt;&gt;""),NETWORKDAYS(B69,D69),IF(OR(L69="Mai",L69="Đức Anh",L69="C.Thảo"),"GIT","Non-GR"))))</f>
        <v/>
      </c>
      <c r="D69" s="173"/>
      <c r="E69" s="173"/>
      <c r="F69" s="329" t="str">
        <f t="shared" si="2"/>
        <v/>
      </c>
      <c r="G69" s="176"/>
      <c r="H69" s="130" t="str">
        <f>IFERROR(INDEX(DMDT!B:B,MATCH($G69,DMDT!D:D,0),),"")</f>
        <v/>
      </c>
      <c r="I69" s="131"/>
      <c r="J69" s="132"/>
      <c r="K69" s="133"/>
      <c r="L69" s="134"/>
      <c r="M69" s="134"/>
      <c r="N69" s="135"/>
      <c r="O69" s="219"/>
      <c r="P69" s="143"/>
      <c r="Q69" s="144"/>
      <c r="R69" s="150"/>
      <c r="S69" s="127" t="str">
        <f t="shared" ref="S69:S132" si="11">$N69&amp;LEFT($G69,6)</f>
        <v/>
      </c>
      <c r="T69" s="175" t="str">
        <f t="shared" ref="T69:T132" si="12">+LEFT($M69,5)</f>
        <v/>
      </c>
      <c r="U69" s="158" t="e">
        <f t="shared" ref="U69:U132" si="13">VLOOKUP(L69,$AB$10:$AC$26,2,0)</f>
        <v>#N/A</v>
      </c>
      <c r="V69" s="310" t="str">
        <f t="shared" ref="V69:V132" si="14">IF(T69="3311-",D69,"")</f>
        <v/>
      </c>
      <c r="W69" s="137" t="str">
        <f t="shared" ref="W69:W132" si="15">IFERROR(IF(MONTH(V69)=$F$1,DAY(V69),"NEXT"),"X")</f>
        <v>X</v>
      </c>
      <c r="X69" s="137">
        <f t="shared" ref="X69:X132" si="16">IFERROR(IF(31-W69&gt;5,1,2),0)</f>
        <v>0</v>
      </c>
    </row>
    <row r="70" spans="1:24" ht="17.25" customHeight="1">
      <c r="A70" s="137" t="str">
        <f t="shared" ca="1" si="9"/>
        <v>-</v>
      </c>
      <c r="B70" s="173"/>
      <c r="C70" s="253" t="str">
        <f t="shared" si="10"/>
        <v/>
      </c>
      <c r="D70" s="173"/>
      <c r="E70" s="173"/>
      <c r="F70" s="329" t="str">
        <f t="shared" ref="F70:F133" si="17">IF(E70&lt;&gt;"",F69+1,"")</f>
        <v/>
      </c>
      <c r="G70" s="176"/>
      <c r="H70" s="130" t="str">
        <f>IFERROR(INDEX(DMDT!B:B,MATCH($G70,DMDT!D:D,0),),"")</f>
        <v/>
      </c>
      <c r="I70" s="131"/>
      <c r="J70" s="132"/>
      <c r="K70" s="133"/>
      <c r="L70" s="134"/>
      <c r="M70" s="134"/>
      <c r="N70" s="135"/>
      <c r="O70" s="219"/>
      <c r="P70" s="143"/>
      <c r="Q70" s="144"/>
      <c r="R70" s="150"/>
      <c r="S70" s="127" t="str">
        <f t="shared" si="11"/>
        <v/>
      </c>
      <c r="T70" s="175" t="str">
        <f t="shared" si="12"/>
        <v/>
      </c>
      <c r="U70" s="158" t="e">
        <f t="shared" si="13"/>
        <v>#N/A</v>
      </c>
      <c r="V70" s="310" t="str">
        <f t="shared" si="14"/>
        <v/>
      </c>
      <c r="W70" s="137" t="str">
        <f t="shared" si="15"/>
        <v>X</v>
      </c>
      <c r="X70" s="137">
        <f t="shared" si="16"/>
        <v>0</v>
      </c>
    </row>
    <row r="71" spans="1:24" ht="17.25" customHeight="1">
      <c r="A71" s="137" t="str">
        <f t="shared" ca="1" si="9"/>
        <v>-</v>
      </c>
      <c r="B71" s="173"/>
      <c r="C71" s="253" t="str">
        <f t="shared" si="10"/>
        <v/>
      </c>
      <c r="D71" s="173"/>
      <c r="E71" s="173"/>
      <c r="F71" s="329" t="str">
        <f t="shared" si="17"/>
        <v/>
      </c>
      <c r="G71" s="176"/>
      <c r="H71" s="130" t="str">
        <f>IFERROR(INDEX(DMDT!B:B,MATCH($G71,DMDT!D:D,0),),"")</f>
        <v/>
      </c>
      <c r="I71" s="131"/>
      <c r="J71" s="132"/>
      <c r="K71" s="133"/>
      <c r="L71" s="134"/>
      <c r="M71" s="134"/>
      <c r="N71" s="135"/>
      <c r="O71" s="219"/>
      <c r="P71" s="143"/>
      <c r="Q71" s="144"/>
      <c r="R71" s="150"/>
      <c r="S71" s="127" t="str">
        <f t="shared" si="11"/>
        <v/>
      </c>
      <c r="T71" s="175" t="str">
        <f t="shared" si="12"/>
        <v/>
      </c>
      <c r="U71" s="158" t="e">
        <f t="shared" si="13"/>
        <v>#N/A</v>
      </c>
      <c r="V71" s="310" t="str">
        <f t="shared" si="14"/>
        <v/>
      </c>
      <c r="W71" s="137" t="str">
        <f t="shared" si="15"/>
        <v>X</v>
      </c>
      <c r="X71" s="137">
        <f t="shared" si="16"/>
        <v>0</v>
      </c>
    </row>
    <row r="72" spans="1:24" ht="17.25" customHeight="1">
      <c r="A72" s="137" t="str">
        <f t="shared" ca="1" si="9"/>
        <v>-</v>
      </c>
      <c r="B72" s="173"/>
      <c r="C72" s="253" t="str">
        <f t="shared" si="10"/>
        <v/>
      </c>
      <c r="D72" s="173"/>
      <c r="E72" s="173"/>
      <c r="F72" s="329" t="str">
        <f t="shared" si="17"/>
        <v/>
      </c>
      <c r="G72" s="176"/>
      <c r="H72" s="130" t="str">
        <f>IFERROR(INDEX(DMDT!B:B,MATCH($G72,DMDT!D:D,0),),"")</f>
        <v/>
      </c>
      <c r="I72" s="131"/>
      <c r="J72" s="132"/>
      <c r="K72" s="133"/>
      <c r="L72" s="134"/>
      <c r="M72" s="134"/>
      <c r="N72" s="135"/>
      <c r="O72" s="219"/>
      <c r="P72" s="143"/>
      <c r="Q72" s="144"/>
      <c r="R72" s="150"/>
      <c r="S72" s="127" t="str">
        <f t="shared" si="11"/>
        <v/>
      </c>
      <c r="T72" s="175" t="str">
        <f t="shared" si="12"/>
        <v/>
      </c>
      <c r="U72" s="158" t="e">
        <f t="shared" si="13"/>
        <v>#N/A</v>
      </c>
      <c r="V72" s="310" t="str">
        <f t="shared" si="14"/>
        <v/>
      </c>
      <c r="W72" s="137" t="str">
        <f t="shared" si="15"/>
        <v>X</v>
      </c>
      <c r="X72" s="137">
        <f t="shared" si="16"/>
        <v>0</v>
      </c>
    </row>
    <row r="73" spans="1:24" ht="17.25" customHeight="1">
      <c r="A73" s="137" t="str">
        <f t="shared" ca="1" si="9"/>
        <v>-</v>
      </c>
      <c r="B73" s="173"/>
      <c r="C73" s="253" t="str">
        <f t="shared" si="10"/>
        <v/>
      </c>
      <c r="D73" s="173"/>
      <c r="E73" s="173"/>
      <c r="F73" s="329" t="str">
        <f t="shared" si="17"/>
        <v/>
      </c>
      <c r="G73" s="176"/>
      <c r="H73" s="130" t="str">
        <f>IFERROR(INDEX(DMDT!B:B,MATCH($G73,DMDT!D:D,0),),"")</f>
        <v/>
      </c>
      <c r="I73" s="131"/>
      <c r="J73" s="132"/>
      <c r="K73" s="133"/>
      <c r="L73" s="134"/>
      <c r="M73" s="134"/>
      <c r="N73" s="135"/>
      <c r="O73" s="219"/>
      <c r="P73" s="143"/>
      <c r="Q73" s="144"/>
      <c r="R73" s="150"/>
      <c r="S73" s="127" t="str">
        <f t="shared" si="11"/>
        <v/>
      </c>
      <c r="T73" s="175" t="str">
        <f t="shared" si="12"/>
        <v/>
      </c>
      <c r="U73" s="158" t="e">
        <f t="shared" si="13"/>
        <v>#N/A</v>
      </c>
      <c r="V73" s="310" t="str">
        <f t="shared" si="14"/>
        <v/>
      </c>
      <c r="W73" s="137" t="str">
        <f t="shared" si="15"/>
        <v>X</v>
      </c>
      <c r="X73" s="137">
        <f t="shared" si="16"/>
        <v>0</v>
      </c>
    </row>
    <row r="74" spans="1:24" ht="17.25" customHeight="1">
      <c r="A74" s="137" t="str">
        <f t="shared" ca="1" si="9"/>
        <v>-</v>
      </c>
      <c r="B74" s="173"/>
      <c r="C74" s="253" t="str">
        <f t="shared" si="10"/>
        <v/>
      </c>
      <c r="D74" s="173"/>
      <c r="E74" s="173"/>
      <c r="F74" s="329" t="str">
        <f t="shared" si="17"/>
        <v/>
      </c>
      <c r="G74" s="176"/>
      <c r="H74" s="130" t="str">
        <f>IFERROR(INDEX(DMDT!B:B,MATCH($G74,DMDT!D:D,0),),"")</f>
        <v/>
      </c>
      <c r="I74" s="131"/>
      <c r="J74" s="132"/>
      <c r="K74" s="133"/>
      <c r="L74" s="134"/>
      <c r="M74" s="134"/>
      <c r="N74" s="135"/>
      <c r="O74" s="219"/>
      <c r="P74" s="143"/>
      <c r="Q74" s="144"/>
      <c r="R74" s="150"/>
      <c r="S74" s="127" t="str">
        <f t="shared" si="11"/>
        <v/>
      </c>
      <c r="T74" s="175" t="str">
        <f t="shared" si="12"/>
        <v/>
      </c>
      <c r="U74" s="158" t="e">
        <f t="shared" si="13"/>
        <v>#N/A</v>
      </c>
      <c r="V74" s="310" t="str">
        <f t="shared" si="14"/>
        <v/>
      </c>
      <c r="W74" s="137" t="str">
        <f t="shared" si="15"/>
        <v>X</v>
      </c>
      <c r="X74" s="137">
        <f t="shared" si="16"/>
        <v>0</v>
      </c>
    </row>
    <row r="75" spans="1:24" ht="17.25" customHeight="1">
      <c r="A75" s="137" t="str">
        <f t="shared" ca="1" si="9"/>
        <v>-</v>
      </c>
      <c r="B75" s="173"/>
      <c r="C75" s="253" t="str">
        <f t="shared" si="10"/>
        <v/>
      </c>
      <c r="D75" s="173"/>
      <c r="E75" s="173"/>
      <c r="F75" s="329" t="str">
        <f t="shared" si="17"/>
        <v/>
      </c>
      <c r="G75" s="176"/>
      <c r="H75" s="130" t="str">
        <f>IFERROR(INDEX(DMDT!B:B,MATCH($G75,DMDT!D:D,0),),"")</f>
        <v/>
      </c>
      <c r="I75" s="131"/>
      <c r="J75" s="132"/>
      <c r="K75" s="133"/>
      <c r="L75" s="134"/>
      <c r="M75" s="134"/>
      <c r="N75" s="135"/>
      <c r="O75" s="219"/>
      <c r="P75" s="143"/>
      <c r="Q75" s="144"/>
      <c r="R75" s="150"/>
      <c r="S75" s="127" t="str">
        <f t="shared" si="11"/>
        <v/>
      </c>
      <c r="T75" s="175" t="str">
        <f t="shared" si="12"/>
        <v/>
      </c>
      <c r="U75" s="158" t="e">
        <f t="shared" si="13"/>
        <v>#N/A</v>
      </c>
      <c r="V75" s="310" t="str">
        <f t="shared" si="14"/>
        <v/>
      </c>
      <c r="W75" s="137" t="str">
        <f t="shared" si="15"/>
        <v>X</v>
      </c>
      <c r="X75" s="137">
        <f t="shared" si="16"/>
        <v>0</v>
      </c>
    </row>
    <row r="76" spans="1:24" ht="17.25" customHeight="1">
      <c r="A76" s="137" t="str">
        <f t="shared" ca="1" si="9"/>
        <v>-</v>
      </c>
      <c r="B76" s="173"/>
      <c r="C76" s="253" t="str">
        <f t="shared" si="10"/>
        <v/>
      </c>
      <c r="D76" s="173"/>
      <c r="E76" s="173"/>
      <c r="F76" s="329" t="str">
        <f t="shared" si="17"/>
        <v/>
      </c>
      <c r="G76" s="176"/>
      <c r="H76" s="130" t="str">
        <f>IFERROR(INDEX(DMDT!B:B,MATCH($G76,DMDT!D:D,0),),"")</f>
        <v/>
      </c>
      <c r="I76" s="131"/>
      <c r="J76" s="132"/>
      <c r="K76" s="133"/>
      <c r="L76" s="134"/>
      <c r="M76" s="134"/>
      <c r="N76" s="135"/>
      <c r="O76" s="219"/>
      <c r="P76" s="143"/>
      <c r="Q76" s="144"/>
      <c r="R76" s="150"/>
      <c r="S76" s="127" t="str">
        <f t="shared" si="11"/>
        <v/>
      </c>
      <c r="T76" s="175" t="str">
        <f t="shared" si="12"/>
        <v/>
      </c>
      <c r="U76" s="158" t="e">
        <f t="shared" si="13"/>
        <v>#N/A</v>
      </c>
      <c r="V76" s="310" t="str">
        <f t="shared" si="14"/>
        <v/>
      </c>
      <c r="W76" s="137" t="str">
        <f t="shared" si="15"/>
        <v>X</v>
      </c>
      <c r="X76" s="137">
        <f t="shared" si="16"/>
        <v>0</v>
      </c>
    </row>
    <row r="77" spans="1:24" ht="17.25" customHeight="1">
      <c r="A77" s="137" t="str">
        <f t="shared" ca="1" si="9"/>
        <v>-</v>
      </c>
      <c r="B77" s="173"/>
      <c r="C77" s="253" t="str">
        <f t="shared" si="10"/>
        <v/>
      </c>
      <c r="D77" s="173"/>
      <c r="E77" s="173"/>
      <c r="F77" s="329" t="str">
        <f t="shared" si="17"/>
        <v/>
      </c>
      <c r="G77" s="176"/>
      <c r="H77" s="130" t="str">
        <f>IFERROR(INDEX(DMDT!B:B,MATCH($G77,DMDT!D:D,0),),"")</f>
        <v/>
      </c>
      <c r="I77" s="131"/>
      <c r="J77" s="132"/>
      <c r="K77" s="133"/>
      <c r="L77" s="134"/>
      <c r="M77" s="134"/>
      <c r="N77" s="135"/>
      <c r="O77" s="219"/>
      <c r="P77" s="143"/>
      <c r="Q77" s="144"/>
      <c r="R77" s="150"/>
      <c r="S77" s="127" t="str">
        <f t="shared" si="11"/>
        <v/>
      </c>
      <c r="T77" s="175" t="str">
        <f t="shared" si="12"/>
        <v/>
      </c>
      <c r="U77" s="158" t="e">
        <f t="shared" si="13"/>
        <v>#N/A</v>
      </c>
      <c r="V77" s="310" t="str">
        <f t="shared" si="14"/>
        <v/>
      </c>
      <c r="W77" s="137" t="str">
        <f t="shared" si="15"/>
        <v>X</v>
      </c>
      <c r="X77" s="137">
        <f t="shared" si="16"/>
        <v>0</v>
      </c>
    </row>
    <row r="78" spans="1:24" ht="17.25" customHeight="1">
      <c r="A78" s="137" t="str">
        <f t="shared" ca="1" si="9"/>
        <v>-</v>
      </c>
      <c r="B78" s="173"/>
      <c r="C78" s="253" t="str">
        <f t="shared" si="10"/>
        <v/>
      </c>
      <c r="D78" s="173"/>
      <c r="E78" s="173"/>
      <c r="F78" s="329" t="str">
        <f t="shared" si="17"/>
        <v/>
      </c>
      <c r="G78" s="176"/>
      <c r="H78" s="130" t="str">
        <f>IFERROR(INDEX(DMDT!B:B,MATCH($G78,DMDT!D:D,0),),"")</f>
        <v/>
      </c>
      <c r="I78" s="131"/>
      <c r="J78" s="132"/>
      <c r="K78" s="133"/>
      <c r="L78" s="134"/>
      <c r="M78" s="134"/>
      <c r="N78" s="135"/>
      <c r="O78" s="219"/>
      <c r="P78" s="143"/>
      <c r="Q78" s="144"/>
      <c r="R78" s="150"/>
      <c r="S78" s="127" t="str">
        <f t="shared" si="11"/>
        <v/>
      </c>
      <c r="T78" s="175" t="str">
        <f t="shared" si="12"/>
        <v/>
      </c>
      <c r="U78" s="158" t="e">
        <f t="shared" si="13"/>
        <v>#N/A</v>
      </c>
      <c r="V78" s="310" t="str">
        <f t="shared" si="14"/>
        <v/>
      </c>
      <c r="W78" s="137" t="str">
        <f t="shared" si="15"/>
        <v>X</v>
      </c>
      <c r="X78" s="137">
        <f t="shared" si="16"/>
        <v>0</v>
      </c>
    </row>
    <row r="79" spans="1:24" ht="17.25" customHeight="1">
      <c r="A79" s="137" t="str">
        <f t="shared" ca="1" si="9"/>
        <v>-</v>
      </c>
      <c r="B79" s="173"/>
      <c r="C79" s="253" t="str">
        <f t="shared" si="10"/>
        <v/>
      </c>
      <c r="D79" s="173"/>
      <c r="E79" s="173"/>
      <c r="F79" s="329" t="str">
        <f t="shared" si="17"/>
        <v/>
      </c>
      <c r="G79" s="176"/>
      <c r="H79" s="130" t="str">
        <f>IFERROR(INDEX(DMDT!B:B,MATCH($G79,DMDT!D:D,0),),"")</f>
        <v/>
      </c>
      <c r="I79" s="131"/>
      <c r="J79" s="132"/>
      <c r="K79" s="133"/>
      <c r="L79" s="134"/>
      <c r="M79" s="134"/>
      <c r="N79" s="135"/>
      <c r="O79" s="219"/>
      <c r="P79" s="143"/>
      <c r="Q79" s="144"/>
      <c r="R79" s="150"/>
      <c r="S79" s="127" t="str">
        <f t="shared" si="11"/>
        <v/>
      </c>
      <c r="T79" s="175" t="str">
        <f t="shared" si="12"/>
        <v/>
      </c>
      <c r="U79" s="158" t="e">
        <f t="shared" si="13"/>
        <v>#N/A</v>
      </c>
      <c r="V79" s="310" t="str">
        <f t="shared" si="14"/>
        <v/>
      </c>
      <c r="W79" s="137" t="str">
        <f t="shared" si="15"/>
        <v>X</v>
      </c>
      <c r="X79" s="137">
        <f t="shared" si="16"/>
        <v>0</v>
      </c>
    </row>
    <row r="80" spans="1:24" ht="17.25" customHeight="1">
      <c r="A80" s="137" t="str">
        <f t="shared" ca="1" si="9"/>
        <v>-</v>
      </c>
      <c r="B80" s="173"/>
      <c r="C80" s="253" t="str">
        <f t="shared" si="10"/>
        <v/>
      </c>
      <c r="D80" s="173"/>
      <c r="E80" s="173"/>
      <c r="F80" s="329" t="str">
        <f t="shared" si="17"/>
        <v/>
      </c>
      <c r="G80" s="176"/>
      <c r="H80" s="130" t="str">
        <f>IFERROR(INDEX(DMDT!B:B,MATCH($G80,DMDT!D:D,0),),"")</f>
        <v/>
      </c>
      <c r="I80" s="131"/>
      <c r="J80" s="132"/>
      <c r="K80" s="133"/>
      <c r="L80" s="134"/>
      <c r="M80" s="134"/>
      <c r="N80" s="135"/>
      <c r="O80" s="219"/>
      <c r="P80" s="143"/>
      <c r="Q80" s="144"/>
      <c r="R80" s="150"/>
      <c r="S80" s="127" t="str">
        <f t="shared" si="11"/>
        <v/>
      </c>
      <c r="T80" s="175" t="str">
        <f t="shared" si="12"/>
        <v/>
      </c>
      <c r="U80" s="158" t="e">
        <f t="shared" si="13"/>
        <v>#N/A</v>
      </c>
      <c r="V80" s="310" t="str">
        <f t="shared" si="14"/>
        <v/>
      </c>
      <c r="W80" s="137" t="str">
        <f t="shared" si="15"/>
        <v>X</v>
      </c>
      <c r="X80" s="137">
        <f t="shared" si="16"/>
        <v>0</v>
      </c>
    </row>
    <row r="81" spans="1:24" ht="17.25" customHeight="1">
      <c r="A81" s="137" t="str">
        <f t="shared" ca="1" si="9"/>
        <v>-</v>
      </c>
      <c r="B81" s="173"/>
      <c r="C81" s="253" t="str">
        <f t="shared" si="10"/>
        <v/>
      </c>
      <c r="D81" s="173"/>
      <c r="E81" s="173"/>
      <c r="F81" s="329" t="str">
        <f t="shared" si="17"/>
        <v/>
      </c>
      <c r="G81" s="176"/>
      <c r="H81" s="130" t="str">
        <f>IFERROR(INDEX(DMDT!B:B,MATCH($G81,DMDT!D:D,0),),"")</f>
        <v/>
      </c>
      <c r="I81" s="131"/>
      <c r="J81" s="132"/>
      <c r="K81" s="133"/>
      <c r="L81" s="134"/>
      <c r="M81" s="134"/>
      <c r="N81" s="135"/>
      <c r="O81" s="219"/>
      <c r="P81" s="143"/>
      <c r="Q81" s="144"/>
      <c r="R81" s="150"/>
      <c r="S81" s="127" t="str">
        <f t="shared" si="11"/>
        <v/>
      </c>
      <c r="T81" s="175" t="str">
        <f t="shared" si="12"/>
        <v/>
      </c>
      <c r="U81" s="158" t="e">
        <f t="shared" si="13"/>
        <v>#N/A</v>
      </c>
      <c r="V81" s="310" t="str">
        <f t="shared" si="14"/>
        <v/>
      </c>
      <c r="W81" s="137" t="str">
        <f t="shared" si="15"/>
        <v>X</v>
      </c>
      <c r="X81" s="137">
        <f t="shared" si="16"/>
        <v>0</v>
      </c>
    </row>
    <row r="82" spans="1:24" ht="17.25" customHeight="1">
      <c r="A82" s="137" t="str">
        <f t="shared" ca="1" si="9"/>
        <v>-</v>
      </c>
      <c r="B82" s="173"/>
      <c r="C82" s="253" t="str">
        <f t="shared" si="10"/>
        <v/>
      </c>
      <c r="D82" s="173"/>
      <c r="E82" s="173"/>
      <c r="F82" s="329" t="str">
        <f t="shared" si="17"/>
        <v/>
      </c>
      <c r="G82" s="176"/>
      <c r="H82" s="130" t="str">
        <f>IFERROR(INDEX(DMDT!B:B,MATCH($G82,DMDT!D:D,0),),"")</f>
        <v/>
      </c>
      <c r="I82" s="131"/>
      <c r="J82" s="132"/>
      <c r="K82" s="133"/>
      <c r="L82" s="134"/>
      <c r="M82" s="134"/>
      <c r="N82" s="135"/>
      <c r="O82" s="219"/>
      <c r="P82" s="143"/>
      <c r="Q82" s="144"/>
      <c r="R82" s="150"/>
      <c r="S82" s="127" t="str">
        <f t="shared" si="11"/>
        <v/>
      </c>
      <c r="T82" s="175" t="str">
        <f t="shared" si="12"/>
        <v/>
      </c>
      <c r="U82" s="158" t="e">
        <f t="shared" si="13"/>
        <v>#N/A</v>
      </c>
      <c r="V82" s="310" t="str">
        <f t="shared" si="14"/>
        <v/>
      </c>
      <c r="W82" s="137" t="str">
        <f t="shared" si="15"/>
        <v>X</v>
      </c>
      <c r="X82" s="137">
        <f t="shared" si="16"/>
        <v>0</v>
      </c>
    </row>
    <row r="83" spans="1:24" ht="17.25" customHeight="1">
      <c r="A83" s="137" t="str">
        <f t="shared" ca="1" si="9"/>
        <v>-</v>
      </c>
      <c r="B83" s="173"/>
      <c r="C83" s="253" t="str">
        <f t="shared" si="10"/>
        <v/>
      </c>
      <c r="D83" s="173"/>
      <c r="E83" s="173"/>
      <c r="F83" s="329" t="str">
        <f t="shared" si="17"/>
        <v/>
      </c>
      <c r="G83" s="176"/>
      <c r="H83" s="130" t="str">
        <f>IFERROR(INDEX(DMDT!B:B,MATCH($G83,DMDT!D:D,0),),"")</f>
        <v/>
      </c>
      <c r="I83" s="131"/>
      <c r="J83" s="132"/>
      <c r="K83" s="133"/>
      <c r="L83" s="134"/>
      <c r="M83" s="134"/>
      <c r="N83" s="135"/>
      <c r="O83" s="219"/>
      <c r="P83" s="143"/>
      <c r="Q83" s="144"/>
      <c r="R83" s="150"/>
      <c r="S83" s="127" t="str">
        <f t="shared" si="11"/>
        <v/>
      </c>
      <c r="T83" s="175" t="str">
        <f t="shared" si="12"/>
        <v/>
      </c>
      <c r="U83" s="158" t="e">
        <f t="shared" si="13"/>
        <v>#N/A</v>
      </c>
      <c r="V83" s="310" t="str">
        <f t="shared" si="14"/>
        <v/>
      </c>
      <c r="W83" s="137" t="str">
        <f t="shared" si="15"/>
        <v>X</v>
      </c>
      <c r="X83" s="137">
        <f t="shared" si="16"/>
        <v>0</v>
      </c>
    </row>
    <row r="84" spans="1:24" ht="17.25" customHeight="1">
      <c r="A84" s="137" t="str">
        <f t="shared" ca="1" si="9"/>
        <v>-</v>
      </c>
      <c r="B84" s="173"/>
      <c r="C84" s="253" t="str">
        <f t="shared" si="10"/>
        <v/>
      </c>
      <c r="D84" s="173"/>
      <c r="E84" s="173"/>
      <c r="F84" s="329" t="str">
        <f t="shared" si="17"/>
        <v/>
      </c>
      <c r="G84" s="176"/>
      <c r="H84" s="130" t="str">
        <f>IFERROR(INDEX(DMDT!B:B,MATCH($G84,DMDT!D:D,0),),"")</f>
        <v/>
      </c>
      <c r="I84" s="131"/>
      <c r="J84" s="132"/>
      <c r="K84" s="133"/>
      <c r="L84" s="134"/>
      <c r="M84" s="134"/>
      <c r="N84" s="135"/>
      <c r="O84" s="219"/>
      <c r="P84" s="143"/>
      <c r="Q84" s="144"/>
      <c r="R84" s="150"/>
      <c r="S84" s="127" t="str">
        <f t="shared" si="11"/>
        <v/>
      </c>
      <c r="T84" s="175" t="str">
        <f t="shared" si="12"/>
        <v/>
      </c>
      <c r="U84" s="158" t="e">
        <f t="shared" si="13"/>
        <v>#N/A</v>
      </c>
      <c r="V84" s="310" t="str">
        <f t="shared" si="14"/>
        <v/>
      </c>
      <c r="W84" s="137" t="str">
        <f t="shared" si="15"/>
        <v>X</v>
      </c>
      <c r="X84" s="137">
        <f t="shared" si="16"/>
        <v>0</v>
      </c>
    </row>
    <row r="85" spans="1:24" ht="17.25" customHeight="1">
      <c r="A85" s="137" t="str">
        <f t="shared" ca="1" si="9"/>
        <v>-</v>
      </c>
      <c r="B85" s="173"/>
      <c r="C85" s="253" t="str">
        <f t="shared" si="10"/>
        <v/>
      </c>
      <c r="D85" s="173"/>
      <c r="E85" s="173"/>
      <c r="F85" s="329" t="str">
        <f t="shared" si="17"/>
        <v/>
      </c>
      <c r="G85" s="176"/>
      <c r="H85" s="130" t="str">
        <f>IFERROR(INDEX(DMDT!B:B,MATCH($G85,DMDT!D:D,0),),"")</f>
        <v/>
      </c>
      <c r="I85" s="131"/>
      <c r="J85" s="132"/>
      <c r="K85" s="133"/>
      <c r="L85" s="134"/>
      <c r="M85" s="134"/>
      <c r="N85" s="135"/>
      <c r="O85" s="219"/>
      <c r="P85" s="143"/>
      <c r="Q85" s="144"/>
      <c r="R85" s="150"/>
      <c r="S85" s="127" t="str">
        <f t="shared" si="11"/>
        <v/>
      </c>
      <c r="T85" s="175" t="str">
        <f t="shared" si="12"/>
        <v/>
      </c>
      <c r="U85" s="158" t="e">
        <f t="shared" si="13"/>
        <v>#N/A</v>
      </c>
      <c r="V85" s="310" t="str">
        <f t="shared" si="14"/>
        <v/>
      </c>
      <c r="W85" s="137" t="str">
        <f t="shared" si="15"/>
        <v>X</v>
      </c>
      <c r="X85" s="137">
        <f t="shared" si="16"/>
        <v>0</v>
      </c>
    </row>
    <row r="86" spans="1:24" ht="17.25" customHeight="1">
      <c r="A86" s="137" t="str">
        <f t="shared" ca="1" si="9"/>
        <v>-</v>
      </c>
      <c r="B86" s="173"/>
      <c r="C86" s="253" t="str">
        <f t="shared" si="10"/>
        <v/>
      </c>
      <c r="D86" s="173"/>
      <c r="E86" s="173"/>
      <c r="F86" s="329" t="str">
        <f t="shared" si="17"/>
        <v/>
      </c>
      <c r="G86" s="176"/>
      <c r="H86" s="130" t="str">
        <f>IFERROR(INDEX(DMDT!B:B,MATCH($G86,DMDT!D:D,0),),"")</f>
        <v/>
      </c>
      <c r="I86" s="131"/>
      <c r="J86" s="132"/>
      <c r="K86" s="133"/>
      <c r="L86" s="134"/>
      <c r="M86" s="134"/>
      <c r="N86" s="135"/>
      <c r="O86" s="219"/>
      <c r="P86" s="143"/>
      <c r="Q86" s="144"/>
      <c r="R86" s="150"/>
      <c r="S86" s="127" t="str">
        <f t="shared" si="11"/>
        <v/>
      </c>
      <c r="T86" s="175" t="str">
        <f t="shared" si="12"/>
        <v/>
      </c>
      <c r="U86" s="158" t="e">
        <f t="shared" si="13"/>
        <v>#N/A</v>
      </c>
      <c r="V86" s="310" t="str">
        <f t="shared" si="14"/>
        <v/>
      </c>
      <c r="W86" s="137" t="str">
        <f t="shared" si="15"/>
        <v>X</v>
      </c>
      <c r="X86" s="137">
        <f t="shared" si="16"/>
        <v>0</v>
      </c>
    </row>
    <row r="87" spans="1:24" ht="17.25" customHeight="1">
      <c r="A87" s="137" t="str">
        <f t="shared" ca="1" si="9"/>
        <v>-</v>
      </c>
      <c r="B87" s="173"/>
      <c r="C87" s="253" t="str">
        <f t="shared" si="10"/>
        <v/>
      </c>
      <c r="D87" s="173"/>
      <c r="E87" s="173"/>
      <c r="F87" s="329" t="str">
        <f t="shared" si="17"/>
        <v/>
      </c>
      <c r="G87" s="176"/>
      <c r="H87" s="130" t="str">
        <f>IFERROR(INDEX(DMDT!B:B,MATCH($G87,DMDT!D:D,0),),"")</f>
        <v/>
      </c>
      <c r="I87" s="131"/>
      <c r="J87" s="132"/>
      <c r="K87" s="133"/>
      <c r="L87" s="134"/>
      <c r="M87" s="134"/>
      <c r="N87" s="135"/>
      <c r="O87" s="219"/>
      <c r="P87" s="143"/>
      <c r="Q87" s="144"/>
      <c r="R87" s="150"/>
      <c r="S87" s="127" t="str">
        <f t="shared" si="11"/>
        <v/>
      </c>
      <c r="T87" s="175" t="str">
        <f t="shared" si="12"/>
        <v/>
      </c>
      <c r="U87" s="158" t="e">
        <f t="shared" si="13"/>
        <v>#N/A</v>
      </c>
      <c r="V87" s="310" t="str">
        <f t="shared" si="14"/>
        <v/>
      </c>
      <c r="W87" s="137" t="str">
        <f t="shared" si="15"/>
        <v>X</v>
      </c>
      <c r="X87" s="137">
        <f t="shared" si="16"/>
        <v>0</v>
      </c>
    </row>
    <row r="88" spans="1:24" ht="17.25" customHeight="1">
      <c r="A88" s="137" t="str">
        <f t="shared" ca="1" si="9"/>
        <v>-</v>
      </c>
      <c r="B88" s="173"/>
      <c r="C88" s="253" t="str">
        <f t="shared" si="10"/>
        <v/>
      </c>
      <c r="D88" s="173"/>
      <c r="E88" s="173"/>
      <c r="F88" s="329" t="str">
        <f t="shared" si="17"/>
        <v/>
      </c>
      <c r="G88" s="176"/>
      <c r="H88" s="130" t="str">
        <f>IFERROR(INDEX(DMDT!B:B,MATCH($G88,DMDT!D:D,0),),"")</f>
        <v/>
      </c>
      <c r="I88" s="131"/>
      <c r="J88" s="132"/>
      <c r="K88" s="133"/>
      <c r="L88" s="134"/>
      <c r="M88" s="134"/>
      <c r="N88" s="135"/>
      <c r="O88" s="219"/>
      <c r="P88" s="143"/>
      <c r="Q88" s="144"/>
      <c r="R88" s="150"/>
      <c r="S88" s="127" t="str">
        <f t="shared" si="11"/>
        <v/>
      </c>
      <c r="T88" s="175" t="str">
        <f t="shared" si="12"/>
        <v/>
      </c>
      <c r="U88" s="158" t="e">
        <f t="shared" si="13"/>
        <v>#N/A</v>
      </c>
      <c r="V88" s="310" t="str">
        <f t="shared" si="14"/>
        <v/>
      </c>
      <c r="W88" s="137" t="str">
        <f t="shared" si="15"/>
        <v>X</v>
      </c>
      <c r="X88" s="137">
        <f t="shared" si="16"/>
        <v>0</v>
      </c>
    </row>
    <row r="89" spans="1:24" ht="17.25" customHeight="1">
      <c r="A89" s="137" t="str">
        <f t="shared" ca="1" si="9"/>
        <v>-</v>
      </c>
      <c r="B89" s="173"/>
      <c r="C89" s="253" t="str">
        <f t="shared" si="10"/>
        <v/>
      </c>
      <c r="D89" s="173"/>
      <c r="E89" s="173"/>
      <c r="F89" s="329" t="str">
        <f t="shared" si="17"/>
        <v/>
      </c>
      <c r="G89" s="176"/>
      <c r="H89" s="130" t="str">
        <f>IFERROR(INDEX(DMDT!B:B,MATCH($G89,DMDT!D:D,0),),"")</f>
        <v/>
      </c>
      <c r="I89" s="131"/>
      <c r="J89" s="132"/>
      <c r="K89" s="133"/>
      <c r="L89" s="134"/>
      <c r="M89" s="134"/>
      <c r="N89" s="135"/>
      <c r="O89" s="219"/>
      <c r="P89" s="143"/>
      <c r="Q89" s="144"/>
      <c r="R89" s="150"/>
      <c r="S89" s="127" t="str">
        <f t="shared" si="11"/>
        <v/>
      </c>
      <c r="T89" s="175" t="str">
        <f t="shared" si="12"/>
        <v/>
      </c>
      <c r="U89" s="158" t="e">
        <f t="shared" si="13"/>
        <v>#N/A</v>
      </c>
      <c r="V89" s="310" t="str">
        <f t="shared" si="14"/>
        <v/>
      </c>
      <c r="W89" s="137" t="str">
        <f t="shared" si="15"/>
        <v>X</v>
      </c>
      <c r="X89" s="137">
        <f t="shared" si="16"/>
        <v>0</v>
      </c>
    </row>
    <row r="90" spans="1:24" ht="17.25" customHeight="1">
      <c r="A90" s="137" t="str">
        <f t="shared" ca="1" si="9"/>
        <v>-</v>
      </c>
      <c r="B90" s="173"/>
      <c r="C90" s="253" t="str">
        <f t="shared" si="10"/>
        <v/>
      </c>
      <c r="D90" s="173"/>
      <c r="E90" s="173"/>
      <c r="F90" s="329" t="str">
        <f t="shared" si="17"/>
        <v/>
      </c>
      <c r="G90" s="176"/>
      <c r="H90" s="130" t="str">
        <f>IFERROR(INDEX(DMDT!B:B,MATCH($G90,DMDT!D:D,0),),"")</f>
        <v/>
      </c>
      <c r="I90" s="131"/>
      <c r="J90" s="132"/>
      <c r="K90" s="133"/>
      <c r="L90" s="134"/>
      <c r="M90" s="134"/>
      <c r="N90" s="135"/>
      <c r="O90" s="219"/>
      <c r="P90" s="143"/>
      <c r="Q90" s="144"/>
      <c r="R90" s="150"/>
      <c r="S90" s="127" t="str">
        <f t="shared" si="11"/>
        <v/>
      </c>
      <c r="T90" s="175" t="str">
        <f t="shared" si="12"/>
        <v/>
      </c>
      <c r="U90" s="158" t="e">
        <f t="shared" si="13"/>
        <v>#N/A</v>
      </c>
      <c r="V90" s="310" t="str">
        <f t="shared" si="14"/>
        <v/>
      </c>
      <c r="W90" s="137" t="str">
        <f t="shared" si="15"/>
        <v>X</v>
      </c>
      <c r="X90" s="137">
        <f t="shared" si="16"/>
        <v>0</v>
      </c>
    </row>
    <row r="91" spans="1:24" ht="17.25" customHeight="1">
      <c r="A91" s="137" t="str">
        <f t="shared" ca="1" si="9"/>
        <v>-</v>
      </c>
      <c r="B91" s="173"/>
      <c r="C91" s="253" t="str">
        <f t="shared" si="10"/>
        <v/>
      </c>
      <c r="D91" s="173"/>
      <c r="E91" s="173"/>
      <c r="F91" s="329" t="str">
        <f t="shared" si="17"/>
        <v/>
      </c>
      <c r="G91" s="176"/>
      <c r="H91" s="130" t="str">
        <f>IFERROR(INDEX(DMDT!B:B,MATCH($G91,DMDT!D:D,0),),"")</f>
        <v/>
      </c>
      <c r="I91" s="131"/>
      <c r="J91" s="132"/>
      <c r="K91" s="133"/>
      <c r="L91" s="134"/>
      <c r="M91" s="134"/>
      <c r="N91" s="135"/>
      <c r="O91" s="219"/>
      <c r="P91" s="143"/>
      <c r="Q91" s="144"/>
      <c r="R91" s="150"/>
      <c r="S91" s="127" t="str">
        <f t="shared" si="11"/>
        <v/>
      </c>
      <c r="T91" s="175" t="str">
        <f t="shared" si="12"/>
        <v/>
      </c>
      <c r="U91" s="158" t="e">
        <f t="shared" si="13"/>
        <v>#N/A</v>
      </c>
      <c r="V91" s="310" t="str">
        <f t="shared" si="14"/>
        <v/>
      </c>
      <c r="W91" s="137" t="str">
        <f t="shared" si="15"/>
        <v>X</v>
      </c>
      <c r="X91" s="137">
        <f t="shared" si="16"/>
        <v>0</v>
      </c>
    </row>
    <row r="92" spans="1:24" ht="17.25" customHeight="1">
      <c r="A92" s="137" t="str">
        <f t="shared" ca="1" si="9"/>
        <v>-</v>
      </c>
      <c r="B92" s="173"/>
      <c r="C92" s="253" t="str">
        <f t="shared" si="10"/>
        <v/>
      </c>
      <c r="D92" s="173"/>
      <c r="E92" s="173"/>
      <c r="F92" s="329" t="str">
        <f t="shared" si="17"/>
        <v/>
      </c>
      <c r="G92" s="176"/>
      <c r="H92" s="130" t="str">
        <f>IFERROR(INDEX(DMDT!B:B,MATCH($G92,DMDT!D:D,0),),"")</f>
        <v/>
      </c>
      <c r="I92" s="131"/>
      <c r="J92" s="132"/>
      <c r="K92" s="133"/>
      <c r="L92" s="134"/>
      <c r="M92" s="134"/>
      <c r="N92" s="135"/>
      <c r="O92" s="219"/>
      <c r="P92" s="143"/>
      <c r="Q92" s="144"/>
      <c r="R92" s="150"/>
      <c r="S92" s="127" t="str">
        <f t="shared" si="11"/>
        <v/>
      </c>
      <c r="T92" s="175" t="str">
        <f t="shared" si="12"/>
        <v/>
      </c>
      <c r="U92" s="158" t="e">
        <f t="shared" si="13"/>
        <v>#N/A</v>
      </c>
      <c r="V92" s="310" t="str">
        <f t="shared" si="14"/>
        <v/>
      </c>
      <c r="W92" s="137" t="str">
        <f t="shared" si="15"/>
        <v>X</v>
      </c>
      <c r="X92" s="137">
        <f t="shared" si="16"/>
        <v>0</v>
      </c>
    </row>
    <row r="93" spans="1:24" ht="17.25" customHeight="1">
      <c r="A93" s="137" t="str">
        <f t="shared" ca="1" si="9"/>
        <v>-</v>
      </c>
      <c r="B93" s="173"/>
      <c r="C93" s="253" t="str">
        <f t="shared" si="10"/>
        <v/>
      </c>
      <c r="D93" s="173"/>
      <c r="E93" s="173"/>
      <c r="F93" s="329" t="str">
        <f t="shared" si="17"/>
        <v/>
      </c>
      <c r="G93" s="176"/>
      <c r="H93" s="130" t="str">
        <f>IFERROR(INDEX(DMDT!B:B,MATCH($G93,DMDT!D:D,0),),"")</f>
        <v/>
      </c>
      <c r="I93" s="131"/>
      <c r="J93" s="132"/>
      <c r="K93" s="133"/>
      <c r="L93" s="134"/>
      <c r="M93" s="134"/>
      <c r="N93" s="135"/>
      <c r="O93" s="219"/>
      <c r="P93" s="143"/>
      <c r="Q93" s="144"/>
      <c r="R93" s="150"/>
      <c r="S93" s="127" t="str">
        <f t="shared" si="11"/>
        <v/>
      </c>
      <c r="T93" s="175" t="str">
        <f t="shared" si="12"/>
        <v/>
      </c>
      <c r="U93" s="158" t="e">
        <f t="shared" si="13"/>
        <v>#N/A</v>
      </c>
      <c r="V93" s="310" t="str">
        <f t="shared" si="14"/>
        <v/>
      </c>
      <c r="W93" s="137" t="str">
        <f t="shared" si="15"/>
        <v>X</v>
      </c>
      <c r="X93" s="137">
        <f t="shared" si="16"/>
        <v>0</v>
      </c>
    </row>
    <row r="94" spans="1:24" ht="17.25" customHeight="1">
      <c r="A94" s="137" t="str">
        <f t="shared" ca="1" si="9"/>
        <v>-</v>
      </c>
      <c r="B94" s="173"/>
      <c r="C94" s="253" t="str">
        <f t="shared" si="10"/>
        <v/>
      </c>
      <c r="D94" s="173"/>
      <c r="E94" s="173"/>
      <c r="F94" s="329" t="str">
        <f t="shared" si="17"/>
        <v/>
      </c>
      <c r="G94" s="176"/>
      <c r="H94" s="130" t="str">
        <f>IFERROR(INDEX(DMDT!B:B,MATCH($G94,DMDT!D:D,0),),"")</f>
        <v/>
      </c>
      <c r="I94" s="131"/>
      <c r="J94" s="132"/>
      <c r="K94" s="133"/>
      <c r="L94" s="134"/>
      <c r="M94" s="134"/>
      <c r="N94" s="135"/>
      <c r="O94" s="219"/>
      <c r="P94" s="143"/>
      <c r="Q94" s="144"/>
      <c r="R94" s="150"/>
      <c r="S94" s="127" t="str">
        <f t="shared" si="11"/>
        <v/>
      </c>
      <c r="T94" s="175" t="str">
        <f t="shared" si="12"/>
        <v/>
      </c>
      <c r="U94" s="158" t="e">
        <f t="shared" si="13"/>
        <v>#N/A</v>
      </c>
      <c r="V94" s="310" t="str">
        <f t="shared" si="14"/>
        <v/>
      </c>
      <c r="W94" s="137" t="str">
        <f t="shared" si="15"/>
        <v>X</v>
      </c>
      <c r="X94" s="137">
        <f t="shared" si="16"/>
        <v>0</v>
      </c>
    </row>
    <row r="95" spans="1:24" ht="17.25" customHeight="1">
      <c r="A95" s="137" t="str">
        <f t="shared" ca="1" si="9"/>
        <v>-</v>
      </c>
      <c r="B95" s="173"/>
      <c r="C95" s="253" t="str">
        <f t="shared" si="10"/>
        <v/>
      </c>
      <c r="D95" s="173"/>
      <c r="E95" s="173"/>
      <c r="F95" s="329" t="str">
        <f t="shared" si="17"/>
        <v/>
      </c>
      <c r="G95" s="176"/>
      <c r="H95" s="130" t="str">
        <f>IFERROR(INDEX(DMDT!B:B,MATCH($G95,DMDT!D:D,0),),"")</f>
        <v/>
      </c>
      <c r="I95" s="131"/>
      <c r="J95" s="132"/>
      <c r="K95" s="133"/>
      <c r="L95" s="134"/>
      <c r="M95" s="134"/>
      <c r="N95" s="135"/>
      <c r="O95" s="219"/>
      <c r="P95" s="143"/>
      <c r="Q95" s="144"/>
      <c r="R95" s="150"/>
      <c r="S95" s="127" t="str">
        <f t="shared" si="11"/>
        <v/>
      </c>
      <c r="T95" s="175" t="str">
        <f t="shared" si="12"/>
        <v/>
      </c>
      <c r="U95" s="158" t="e">
        <f t="shared" si="13"/>
        <v>#N/A</v>
      </c>
      <c r="V95" s="310" t="str">
        <f t="shared" si="14"/>
        <v/>
      </c>
      <c r="W95" s="137" t="str">
        <f t="shared" si="15"/>
        <v>X</v>
      </c>
      <c r="X95" s="137">
        <f t="shared" si="16"/>
        <v>0</v>
      </c>
    </row>
    <row r="96" spans="1:24" ht="17.25" customHeight="1">
      <c r="A96" s="137" t="str">
        <f t="shared" ca="1" si="9"/>
        <v>-</v>
      </c>
      <c r="B96" s="173"/>
      <c r="C96" s="253" t="str">
        <f t="shared" si="10"/>
        <v/>
      </c>
      <c r="D96" s="173"/>
      <c r="E96" s="173"/>
      <c r="F96" s="329" t="str">
        <f t="shared" si="17"/>
        <v/>
      </c>
      <c r="G96" s="176"/>
      <c r="H96" s="130" t="str">
        <f>IFERROR(INDEX(DMDT!B:B,MATCH($G96,DMDT!D:D,0),),"")</f>
        <v/>
      </c>
      <c r="I96" s="131"/>
      <c r="J96" s="132"/>
      <c r="K96" s="133"/>
      <c r="L96" s="134"/>
      <c r="M96" s="134"/>
      <c r="N96" s="135"/>
      <c r="O96" s="219"/>
      <c r="P96" s="143"/>
      <c r="Q96" s="144"/>
      <c r="R96" s="150"/>
      <c r="S96" s="127" t="str">
        <f t="shared" si="11"/>
        <v/>
      </c>
      <c r="T96" s="175" t="str">
        <f t="shared" si="12"/>
        <v/>
      </c>
      <c r="U96" s="158" t="e">
        <f t="shared" si="13"/>
        <v>#N/A</v>
      </c>
      <c r="V96" s="310" t="str">
        <f t="shared" si="14"/>
        <v/>
      </c>
      <c r="W96" s="137" t="str">
        <f t="shared" si="15"/>
        <v>X</v>
      </c>
      <c r="X96" s="137">
        <f t="shared" si="16"/>
        <v>0</v>
      </c>
    </row>
    <row r="97" spans="1:24" ht="17.25" customHeight="1">
      <c r="A97" s="137" t="str">
        <f t="shared" ca="1" si="9"/>
        <v>-</v>
      </c>
      <c r="B97" s="173"/>
      <c r="C97" s="253" t="str">
        <f t="shared" si="10"/>
        <v/>
      </c>
      <c r="D97" s="173"/>
      <c r="E97" s="173"/>
      <c r="F97" s="329" t="str">
        <f t="shared" si="17"/>
        <v/>
      </c>
      <c r="G97" s="176"/>
      <c r="H97" s="130" t="str">
        <f>IFERROR(INDEX(DMDT!B:B,MATCH($G97,DMDT!D:D,0),),"")</f>
        <v/>
      </c>
      <c r="I97" s="131"/>
      <c r="J97" s="132"/>
      <c r="K97" s="133"/>
      <c r="L97" s="134"/>
      <c r="M97" s="134"/>
      <c r="N97" s="135"/>
      <c r="O97" s="219"/>
      <c r="P97" s="143"/>
      <c r="Q97" s="144"/>
      <c r="R97" s="150"/>
      <c r="S97" s="127" t="str">
        <f t="shared" si="11"/>
        <v/>
      </c>
      <c r="T97" s="175" t="str">
        <f t="shared" si="12"/>
        <v/>
      </c>
      <c r="U97" s="158" t="e">
        <f t="shared" si="13"/>
        <v>#N/A</v>
      </c>
      <c r="V97" s="310" t="str">
        <f t="shared" si="14"/>
        <v/>
      </c>
      <c r="W97" s="137" t="str">
        <f t="shared" si="15"/>
        <v>X</v>
      </c>
      <c r="X97" s="137">
        <f t="shared" si="16"/>
        <v>0</v>
      </c>
    </row>
    <row r="98" spans="1:24" ht="17.25" customHeight="1">
      <c r="A98" s="137" t="str">
        <f t="shared" ca="1" si="9"/>
        <v>-</v>
      </c>
      <c r="B98" s="173"/>
      <c r="C98" s="253" t="str">
        <f t="shared" si="10"/>
        <v/>
      </c>
      <c r="D98" s="173"/>
      <c r="E98" s="173"/>
      <c r="F98" s="329" t="str">
        <f t="shared" si="17"/>
        <v/>
      </c>
      <c r="G98" s="176"/>
      <c r="H98" s="130" t="str">
        <f>IFERROR(INDEX(DMDT!B:B,MATCH($G98,DMDT!D:D,0),),"")</f>
        <v/>
      </c>
      <c r="I98" s="131"/>
      <c r="J98" s="132"/>
      <c r="K98" s="133"/>
      <c r="L98" s="134"/>
      <c r="M98" s="134"/>
      <c r="N98" s="135"/>
      <c r="O98" s="219"/>
      <c r="P98" s="143"/>
      <c r="Q98" s="144"/>
      <c r="R98" s="150"/>
      <c r="S98" s="127" t="str">
        <f t="shared" si="11"/>
        <v/>
      </c>
      <c r="T98" s="175" t="str">
        <f t="shared" si="12"/>
        <v/>
      </c>
      <c r="U98" s="158" t="e">
        <f t="shared" si="13"/>
        <v>#N/A</v>
      </c>
      <c r="V98" s="310" t="str">
        <f t="shared" si="14"/>
        <v/>
      </c>
      <c r="W98" s="137" t="str">
        <f t="shared" si="15"/>
        <v>X</v>
      </c>
      <c r="X98" s="137">
        <f t="shared" si="16"/>
        <v>0</v>
      </c>
    </row>
    <row r="99" spans="1:24" ht="17.25" customHeight="1">
      <c r="A99" s="137" t="str">
        <f t="shared" ca="1" si="9"/>
        <v>-</v>
      </c>
      <c r="B99" s="173"/>
      <c r="C99" s="253" t="str">
        <f t="shared" si="10"/>
        <v/>
      </c>
      <c r="D99" s="173"/>
      <c r="E99" s="173"/>
      <c r="F99" s="329" t="str">
        <f t="shared" si="17"/>
        <v/>
      </c>
      <c r="G99" s="176"/>
      <c r="H99" s="130" t="str">
        <f>IFERROR(INDEX(DMDT!B:B,MATCH($G99,DMDT!D:D,0),),"")</f>
        <v/>
      </c>
      <c r="I99" s="131"/>
      <c r="J99" s="132"/>
      <c r="K99" s="133"/>
      <c r="L99" s="134"/>
      <c r="M99" s="134"/>
      <c r="N99" s="135"/>
      <c r="O99" s="219"/>
      <c r="P99" s="143"/>
      <c r="Q99" s="144"/>
      <c r="R99" s="150"/>
      <c r="S99" s="127" t="str">
        <f t="shared" si="11"/>
        <v/>
      </c>
      <c r="T99" s="175" t="str">
        <f t="shared" si="12"/>
        <v/>
      </c>
      <c r="U99" s="158" t="e">
        <f t="shared" si="13"/>
        <v>#N/A</v>
      </c>
      <c r="V99" s="310" t="str">
        <f t="shared" si="14"/>
        <v/>
      </c>
      <c r="W99" s="137" t="str">
        <f t="shared" si="15"/>
        <v>X</v>
      </c>
      <c r="X99" s="137">
        <f t="shared" si="16"/>
        <v>0</v>
      </c>
    </row>
    <row r="100" spans="1:24" ht="17.25" customHeight="1">
      <c r="A100" s="137" t="str">
        <f t="shared" ca="1" si="9"/>
        <v>-</v>
      </c>
      <c r="B100" s="173"/>
      <c r="C100" s="253" t="str">
        <f t="shared" si="10"/>
        <v/>
      </c>
      <c r="D100" s="173"/>
      <c r="E100" s="173"/>
      <c r="F100" s="329" t="str">
        <f t="shared" si="17"/>
        <v/>
      </c>
      <c r="G100" s="174"/>
      <c r="H100" s="130" t="str">
        <f>IFERROR(INDEX(DMDT!B:B,MATCH($G100,DMDT!D:D,0),),"")</f>
        <v/>
      </c>
      <c r="I100" s="131"/>
      <c r="J100" s="132"/>
      <c r="K100" s="133"/>
      <c r="L100" s="134"/>
      <c r="M100" s="134"/>
      <c r="N100" s="135"/>
      <c r="O100" s="219"/>
      <c r="P100" s="143"/>
      <c r="Q100" s="144"/>
      <c r="R100" s="150"/>
      <c r="S100" s="127" t="str">
        <f t="shared" si="11"/>
        <v/>
      </c>
      <c r="T100" s="175" t="str">
        <f t="shared" si="12"/>
        <v/>
      </c>
      <c r="U100" s="158" t="e">
        <f t="shared" si="13"/>
        <v>#N/A</v>
      </c>
      <c r="V100" s="310" t="str">
        <f t="shared" si="14"/>
        <v/>
      </c>
      <c r="W100" s="137" t="str">
        <f t="shared" si="15"/>
        <v>X</v>
      </c>
      <c r="X100" s="137">
        <f t="shared" si="16"/>
        <v>0</v>
      </c>
    </row>
    <row r="101" spans="1:24" ht="17.25" customHeight="1">
      <c r="A101" s="137" t="str">
        <f t="shared" ca="1" si="9"/>
        <v>-</v>
      </c>
      <c r="B101" s="173"/>
      <c r="C101" s="253" t="str">
        <f t="shared" si="10"/>
        <v/>
      </c>
      <c r="D101" s="173"/>
      <c r="E101" s="173"/>
      <c r="F101" s="329" t="str">
        <f t="shared" si="17"/>
        <v/>
      </c>
      <c r="G101" s="174"/>
      <c r="H101" s="130" t="str">
        <f>IFERROR(INDEX(DMDT!B:B,MATCH($G101,DMDT!D:D,0),),"")</f>
        <v/>
      </c>
      <c r="I101" s="131"/>
      <c r="J101" s="132"/>
      <c r="K101" s="133"/>
      <c r="L101" s="134"/>
      <c r="M101" s="134"/>
      <c r="N101" s="135"/>
      <c r="O101" s="219"/>
      <c r="P101" s="143"/>
      <c r="Q101" s="144"/>
      <c r="R101" s="150"/>
      <c r="S101" s="127" t="str">
        <f t="shared" si="11"/>
        <v/>
      </c>
      <c r="T101" s="175" t="str">
        <f t="shared" si="12"/>
        <v/>
      </c>
      <c r="U101" s="158" t="e">
        <f t="shared" si="13"/>
        <v>#N/A</v>
      </c>
      <c r="V101" s="310" t="str">
        <f t="shared" si="14"/>
        <v/>
      </c>
      <c r="W101" s="137" t="str">
        <f t="shared" si="15"/>
        <v>X</v>
      </c>
      <c r="X101" s="137">
        <f t="shared" si="16"/>
        <v>0</v>
      </c>
    </row>
    <row r="102" spans="1:24" ht="17.25" customHeight="1">
      <c r="A102" s="137" t="str">
        <f t="shared" ca="1" si="9"/>
        <v>-</v>
      </c>
      <c r="B102" s="173"/>
      <c r="C102" s="253" t="str">
        <f t="shared" si="10"/>
        <v/>
      </c>
      <c r="D102" s="173"/>
      <c r="E102" s="173"/>
      <c r="F102" s="329" t="str">
        <f t="shared" si="17"/>
        <v/>
      </c>
      <c r="G102" s="174"/>
      <c r="H102" s="130" t="str">
        <f>IFERROR(INDEX(DMDT!B:B,MATCH($G102,DMDT!D:D,0),),"")</f>
        <v/>
      </c>
      <c r="I102" s="131"/>
      <c r="J102" s="132"/>
      <c r="K102" s="133"/>
      <c r="L102" s="134"/>
      <c r="M102" s="134"/>
      <c r="N102" s="135"/>
      <c r="O102" s="219"/>
      <c r="P102" s="143"/>
      <c r="Q102" s="144"/>
      <c r="R102" s="150"/>
      <c r="S102" s="127" t="str">
        <f t="shared" si="11"/>
        <v/>
      </c>
      <c r="T102" s="175" t="str">
        <f t="shared" si="12"/>
        <v/>
      </c>
      <c r="U102" s="158" t="e">
        <f t="shared" si="13"/>
        <v>#N/A</v>
      </c>
      <c r="V102" s="310" t="str">
        <f t="shared" si="14"/>
        <v/>
      </c>
      <c r="W102" s="137" t="str">
        <f t="shared" si="15"/>
        <v>X</v>
      </c>
      <c r="X102" s="137">
        <f t="shared" si="16"/>
        <v>0</v>
      </c>
    </row>
    <row r="103" spans="1:24" ht="17.25" customHeight="1">
      <c r="A103" s="137" t="str">
        <f t="shared" ca="1" si="9"/>
        <v>-</v>
      </c>
      <c r="B103" s="173"/>
      <c r="C103" s="253" t="str">
        <f t="shared" si="10"/>
        <v/>
      </c>
      <c r="D103" s="173"/>
      <c r="E103" s="173"/>
      <c r="F103" s="329" t="str">
        <f t="shared" si="17"/>
        <v/>
      </c>
      <c r="G103" s="174"/>
      <c r="H103" s="130" t="str">
        <f>IFERROR(INDEX(DMDT!B:B,MATCH($G103,DMDT!D:D,0),),"")</f>
        <v/>
      </c>
      <c r="I103" s="131"/>
      <c r="J103" s="132"/>
      <c r="K103" s="133"/>
      <c r="L103" s="134"/>
      <c r="M103" s="134"/>
      <c r="N103" s="135"/>
      <c r="O103" s="219"/>
      <c r="P103" s="143"/>
      <c r="Q103" s="144"/>
      <c r="R103" s="150"/>
      <c r="S103" s="127" t="str">
        <f t="shared" si="11"/>
        <v/>
      </c>
      <c r="T103" s="175" t="str">
        <f t="shared" si="12"/>
        <v/>
      </c>
      <c r="U103" s="158" t="e">
        <f t="shared" si="13"/>
        <v>#N/A</v>
      </c>
      <c r="V103" s="310" t="str">
        <f t="shared" si="14"/>
        <v/>
      </c>
      <c r="W103" s="137" t="str">
        <f t="shared" si="15"/>
        <v>X</v>
      </c>
      <c r="X103" s="137">
        <f t="shared" si="16"/>
        <v>0</v>
      </c>
    </row>
    <row r="104" spans="1:24" ht="17.25" customHeight="1">
      <c r="A104" s="137" t="str">
        <f t="shared" ca="1" si="9"/>
        <v>-</v>
      </c>
      <c r="B104" s="173"/>
      <c r="C104" s="253" t="str">
        <f t="shared" si="10"/>
        <v/>
      </c>
      <c r="D104" s="173"/>
      <c r="E104" s="173"/>
      <c r="F104" s="329" t="str">
        <f t="shared" si="17"/>
        <v/>
      </c>
      <c r="G104" s="174"/>
      <c r="H104" s="130" t="str">
        <f>IFERROR(INDEX(DMDT!B:B,MATCH($G104,DMDT!D:D,0),),"")</f>
        <v/>
      </c>
      <c r="I104" s="131"/>
      <c r="J104" s="132"/>
      <c r="K104" s="133"/>
      <c r="L104" s="134"/>
      <c r="M104" s="134"/>
      <c r="N104" s="135"/>
      <c r="O104" s="219"/>
      <c r="P104" s="143"/>
      <c r="Q104" s="144"/>
      <c r="R104" s="150"/>
      <c r="S104" s="127" t="str">
        <f t="shared" si="11"/>
        <v/>
      </c>
      <c r="T104" s="175" t="str">
        <f t="shared" si="12"/>
        <v/>
      </c>
      <c r="U104" s="158" t="e">
        <f t="shared" si="13"/>
        <v>#N/A</v>
      </c>
      <c r="V104" s="310" t="str">
        <f t="shared" si="14"/>
        <v/>
      </c>
      <c r="W104" s="137" t="str">
        <f t="shared" si="15"/>
        <v>X</v>
      </c>
      <c r="X104" s="137">
        <f t="shared" si="16"/>
        <v>0</v>
      </c>
    </row>
    <row r="105" spans="1:24" ht="17.25" customHeight="1">
      <c r="A105" s="137" t="str">
        <f t="shared" ca="1" si="9"/>
        <v>-</v>
      </c>
      <c r="B105" s="173"/>
      <c r="C105" s="253" t="str">
        <f t="shared" si="10"/>
        <v/>
      </c>
      <c r="D105" s="173"/>
      <c r="E105" s="173"/>
      <c r="F105" s="329" t="str">
        <f t="shared" si="17"/>
        <v/>
      </c>
      <c r="G105" s="176"/>
      <c r="H105" s="130" t="str">
        <f>IFERROR(INDEX(DMDT!B:B,MATCH($G105,DMDT!D:D,0),),"")</f>
        <v/>
      </c>
      <c r="I105" s="131"/>
      <c r="J105" s="132"/>
      <c r="K105" s="133"/>
      <c r="L105" s="134"/>
      <c r="M105" s="134"/>
      <c r="N105" s="135"/>
      <c r="O105" s="219"/>
      <c r="P105" s="143"/>
      <c r="Q105" s="144"/>
      <c r="R105" s="150"/>
      <c r="S105" s="127" t="str">
        <f t="shared" si="11"/>
        <v/>
      </c>
      <c r="T105" s="175" t="str">
        <f t="shared" si="12"/>
        <v/>
      </c>
      <c r="U105" s="158" t="e">
        <f t="shared" si="13"/>
        <v>#N/A</v>
      </c>
      <c r="V105" s="310" t="str">
        <f t="shared" si="14"/>
        <v/>
      </c>
      <c r="W105" s="137" t="str">
        <f t="shared" si="15"/>
        <v>X</v>
      </c>
      <c r="X105" s="137">
        <f t="shared" si="16"/>
        <v>0</v>
      </c>
    </row>
    <row r="106" spans="1:24" ht="17.25" customHeight="1">
      <c r="A106" s="137" t="str">
        <f t="shared" ca="1" si="9"/>
        <v>-</v>
      </c>
      <c r="B106" s="173"/>
      <c r="C106" s="253" t="str">
        <f t="shared" si="10"/>
        <v/>
      </c>
      <c r="D106" s="173"/>
      <c r="E106" s="173"/>
      <c r="F106" s="329" t="str">
        <f t="shared" si="17"/>
        <v/>
      </c>
      <c r="G106" s="176"/>
      <c r="H106" s="130" t="str">
        <f>IFERROR(INDEX(DMDT!B:B,MATCH($G106,DMDT!D:D,0),),"")</f>
        <v/>
      </c>
      <c r="I106" s="131"/>
      <c r="J106" s="132"/>
      <c r="K106" s="133"/>
      <c r="L106" s="134"/>
      <c r="M106" s="134"/>
      <c r="N106" s="135"/>
      <c r="O106" s="219"/>
      <c r="P106" s="143"/>
      <c r="Q106" s="144"/>
      <c r="R106" s="150"/>
      <c r="S106" s="127" t="str">
        <f t="shared" si="11"/>
        <v/>
      </c>
      <c r="T106" s="175" t="str">
        <f t="shared" si="12"/>
        <v/>
      </c>
      <c r="U106" s="158" t="e">
        <f t="shared" si="13"/>
        <v>#N/A</v>
      </c>
      <c r="V106" s="310" t="str">
        <f t="shared" si="14"/>
        <v/>
      </c>
      <c r="W106" s="137" t="str">
        <f t="shared" si="15"/>
        <v>X</v>
      </c>
      <c r="X106" s="137">
        <f t="shared" si="16"/>
        <v>0</v>
      </c>
    </row>
    <row r="107" spans="1:24" ht="17.25" customHeight="1">
      <c r="A107" s="137" t="str">
        <f t="shared" ca="1" si="9"/>
        <v>-</v>
      </c>
      <c r="B107" s="173"/>
      <c r="C107" s="253" t="str">
        <f t="shared" si="10"/>
        <v/>
      </c>
      <c r="D107" s="173"/>
      <c r="E107" s="173"/>
      <c r="F107" s="329" t="str">
        <f t="shared" si="17"/>
        <v/>
      </c>
      <c r="G107" s="176"/>
      <c r="H107" s="130" t="str">
        <f>IFERROR(INDEX(DMDT!B:B,MATCH($G107,DMDT!D:D,0),),"")</f>
        <v/>
      </c>
      <c r="I107" s="131"/>
      <c r="J107" s="132"/>
      <c r="K107" s="133"/>
      <c r="L107" s="134"/>
      <c r="M107" s="134"/>
      <c r="N107" s="135"/>
      <c r="O107" s="219"/>
      <c r="P107" s="143"/>
      <c r="Q107" s="144"/>
      <c r="R107" s="150"/>
      <c r="S107" s="127" t="str">
        <f t="shared" si="11"/>
        <v/>
      </c>
      <c r="T107" s="175" t="str">
        <f t="shared" si="12"/>
        <v/>
      </c>
      <c r="U107" s="158" t="e">
        <f t="shared" si="13"/>
        <v>#N/A</v>
      </c>
      <c r="V107" s="310" t="str">
        <f t="shared" si="14"/>
        <v/>
      </c>
      <c r="W107" s="137" t="str">
        <f t="shared" si="15"/>
        <v>X</v>
      </c>
      <c r="X107" s="137">
        <f t="shared" si="16"/>
        <v>0</v>
      </c>
    </row>
    <row r="108" spans="1:24" ht="17.25" customHeight="1">
      <c r="A108" s="137" t="str">
        <f ca="1">IF(F108="","-",IF(COUNTIFS(OFFSET($H$3,,,ROW()-3),H108,OFFSET($J$3,,,ROW()-3),J108,OFFSET($N$3,,,ROW()-3),N108)=0,"-","FALSE"))</f>
        <v>-</v>
      </c>
      <c r="B108" s="173"/>
      <c r="C108" s="253" t="str">
        <f t="shared" si="10"/>
        <v/>
      </c>
      <c r="D108" s="173"/>
      <c r="E108" s="173"/>
      <c r="F108" s="329" t="str">
        <f t="shared" si="17"/>
        <v/>
      </c>
      <c r="G108" s="176"/>
      <c r="H108" s="130" t="str">
        <f>IFERROR(INDEX(DMDT!B:B,MATCH($G108,DMDT!D:D,0),),"")</f>
        <v/>
      </c>
      <c r="I108" s="131"/>
      <c r="J108" s="132"/>
      <c r="K108" s="133"/>
      <c r="L108" s="134"/>
      <c r="M108" s="134"/>
      <c r="N108" s="217"/>
      <c r="O108" s="219"/>
      <c r="P108" s="143"/>
      <c r="Q108" s="144"/>
      <c r="R108" s="150"/>
      <c r="S108" s="127" t="str">
        <f t="shared" si="11"/>
        <v/>
      </c>
      <c r="T108" s="175" t="str">
        <f t="shared" si="12"/>
        <v/>
      </c>
      <c r="U108" s="158" t="e">
        <f t="shared" si="13"/>
        <v>#N/A</v>
      </c>
      <c r="V108" s="310" t="str">
        <f t="shared" si="14"/>
        <v/>
      </c>
      <c r="W108" s="137" t="str">
        <f t="shared" si="15"/>
        <v>X</v>
      </c>
      <c r="X108" s="137">
        <f t="shared" si="16"/>
        <v>0</v>
      </c>
    </row>
    <row r="109" spans="1:24" ht="17.25" customHeight="1">
      <c r="A109" s="137" t="str">
        <f t="shared" ca="1" si="9"/>
        <v>-</v>
      </c>
      <c r="B109" s="173"/>
      <c r="C109" s="253" t="str">
        <f t="shared" si="10"/>
        <v/>
      </c>
      <c r="D109" s="173"/>
      <c r="E109" s="173"/>
      <c r="F109" s="329" t="str">
        <f t="shared" si="17"/>
        <v/>
      </c>
      <c r="G109" s="176"/>
      <c r="H109" s="130" t="str">
        <f>IFERROR(INDEX(DMDT!B:B,MATCH($G109,DMDT!D:D,0),),"")</f>
        <v/>
      </c>
      <c r="I109" s="131"/>
      <c r="J109" s="132"/>
      <c r="K109" s="133"/>
      <c r="L109" s="134"/>
      <c r="M109" s="134"/>
      <c r="N109" s="135"/>
      <c r="O109" s="219"/>
      <c r="P109" s="143"/>
      <c r="Q109" s="144"/>
      <c r="R109" s="150"/>
      <c r="S109" s="127" t="str">
        <f t="shared" si="11"/>
        <v/>
      </c>
      <c r="T109" s="175" t="str">
        <f t="shared" si="12"/>
        <v/>
      </c>
      <c r="U109" s="158" t="e">
        <f t="shared" si="13"/>
        <v>#N/A</v>
      </c>
      <c r="V109" s="310" t="str">
        <f t="shared" si="14"/>
        <v/>
      </c>
      <c r="W109" s="137" t="str">
        <f t="shared" si="15"/>
        <v>X</v>
      </c>
      <c r="X109" s="137">
        <f t="shared" si="16"/>
        <v>0</v>
      </c>
    </row>
    <row r="110" spans="1:24" ht="17.25" customHeight="1">
      <c r="A110" s="137" t="str">
        <f t="shared" ca="1" si="9"/>
        <v>-</v>
      </c>
      <c r="B110" s="173"/>
      <c r="C110" s="253" t="str">
        <f t="shared" si="10"/>
        <v/>
      </c>
      <c r="D110" s="173"/>
      <c r="E110" s="173"/>
      <c r="F110" s="329" t="str">
        <f t="shared" si="17"/>
        <v/>
      </c>
      <c r="G110" s="174"/>
      <c r="H110" s="130" t="str">
        <f>IFERROR(INDEX(DMDT!B:B,MATCH($G110,DMDT!D:D,0),),"")</f>
        <v/>
      </c>
      <c r="I110" s="131"/>
      <c r="J110" s="132"/>
      <c r="K110" s="133"/>
      <c r="L110" s="134"/>
      <c r="M110" s="134"/>
      <c r="N110" s="135"/>
      <c r="O110" s="219"/>
      <c r="P110" s="143"/>
      <c r="Q110" s="144"/>
      <c r="R110" s="150"/>
      <c r="S110" s="127" t="str">
        <f t="shared" si="11"/>
        <v/>
      </c>
      <c r="T110" s="175" t="str">
        <f t="shared" si="12"/>
        <v/>
      </c>
      <c r="U110" s="158" t="e">
        <f t="shared" si="13"/>
        <v>#N/A</v>
      </c>
      <c r="V110" s="310" t="str">
        <f t="shared" si="14"/>
        <v/>
      </c>
      <c r="W110" s="137" t="str">
        <f t="shared" si="15"/>
        <v>X</v>
      </c>
      <c r="X110" s="137">
        <f t="shared" si="16"/>
        <v>0</v>
      </c>
    </row>
    <row r="111" spans="1:24" ht="17.25" customHeight="1">
      <c r="A111" s="137" t="str">
        <f t="shared" ca="1" si="9"/>
        <v>-</v>
      </c>
      <c r="B111" s="173"/>
      <c r="C111" s="253" t="str">
        <f t="shared" si="10"/>
        <v/>
      </c>
      <c r="D111" s="173"/>
      <c r="E111" s="173"/>
      <c r="F111" s="329" t="str">
        <f t="shared" si="17"/>
        <v/>
      </c>
      <c r="G111" s="174"/>
      <c r="H111" s="130" t="str">
        <f>IFERROR(INDEX(DMDT!B:B,MATCH($G111,DMDT!D:D,0),),"")</f>
        <v/>
      </c>
      <c r="I111" s="131"/>
      <c r="J111" s="132"/>
      <c r="K111" s="133"/>
      <c r="L111" s="134"/>
      <c r="M111" s="134"/>
      <c r="N111" s="135"/>
      <c r="O111" s="135"/>
      <c r="P111" s="143"/>
      <c r="Q111" s="144"/>
      <c r="R111" s="150"/>
      <c r="S111" s="127" t="str">
        <f t="shared" si="11"/>
        <v/>
      </c>
      <c r="T111" s="175" t="str">
        <f t="shared" si="12"/>
        <v/>
      </c>
      <c r="U111" s="158" t="e">
        <f t="shared" si="13"/>
        <v>#N/A</v>
      </c>
      <c r="V111" s="310" t="str">
        <f t="shared" si="14"/>
        <v/>
      </c>
      <c r="W111" s="137" t="str">
        <f t="shared" si="15"/>
        <v>X</v>
      </c>
      <c r="X111" s="137">
        <f t="shared" si="16"/>
        <v>0</v>
      </c>
    </row>
    <row r="112" spans="1:24" ht="17.25" customHeight="1">
      <c r="A112" s="137" t="str">
        <f t="shared" ca="1" si="9"/>
        <v>-</v>
      </c>
      <c r="B112" s="173"/>
      <c r="C112" s="253" t="str">
        <f t="shared" si="10"/>
        <v/>
      </c>
      <c r="D112" s="173"/>
      <c r="E112" s="173"/>
      <c r="F112" s="329" t="str">
        <f t="shared" si="17"/>
        <v/>
      </c>
      <c r="G112" s="176"/>
      <c r="H112" s="130" t="str">
        <f>IFERROR(INDEX(DMDT!B:B,MATCH($G112,DMDT!D:D,0),),"")</f>
        <v/>
      </c>
      <c r="I112" s="131"/>
      <c r="J112" s="132"/>
      <c r="K112" s="133"/>
      <c r="L112" s="134"/>
      <c r="M112" s="134"/>
      <c r="N112" s="135"/>
      <c r="O112" s="219"/>
      <c r="P112" s="143"/>
      <c r="Q112" s="144"/>
      <c r="R112" s="150"/>
      <c r="S112" s="127" t="str">
        <f t="shared" si="11"/>
        <v/>
      </c>
      <c r="T112" s="175" t="str">
        <f t="shared" si="12"/>
        <v/>
      </c>
      <c r="U112" s="158" t="e">
        <f t="shared" si="13"/>
        <v>#N/A</v>
      </c>
      <c r="V112" s="310" t="str">
        <f t="shared" si="14"/>
        <v/>
      </c>
      <c r="W112" s="137" t="str">
        <f t="shared" si="15"/>
        <v>X</v>
      </c>
      <c r="X112" s="137">
        <f t="shared" si="16"/>
        <v>0</v>
      </c>
    </row>
    <row r="113" spans="1:24" ht="17.25" customHeight="1">
      <c r="A113" s="137" t="str">
        <f t="shared" ca="1" si="9"/>
        <v>-</v>
      </c>
      <c r="B113" s="173"/>
      <c r="C113" s="253" t="str">
        <f t="shared" si="10"/>
        <v/>
      </c>
      <c r="D113" s="173"/>
      <c r="E113" s="173"/>
      <c r="F113" s="329" t="str">
        <f t="shared" si="17"/>
        <v/>
      </c>
      <c r="G113" s="176"/>
      <c r="H113" s="130" t="str">
        <f>IFERROR(INDEX(DMDT!B:B,MATCH($G113,DMDT!D:D,0),),"")</f>
        <v/>
      </c>
      <c r="I113" s="131"/>
      <c r="J113" s="132"/>
      <c r="K113" s="133"/>
      <c r="L113" s="134"/>
      <c r="M113" s="134"/>
      <c r="N113" s="135"/>
      <c r="O113" s="219"/>
      <c r="P113" s="143"/>
      <c r="Q113" s="144"/>
      <c r="R113" s="150"/>
      <c r="S113" s="127" t="str">
        <f t="shared" si="11"/>
        <v/>
      </c>
      <c r="T113" s="175" t="str">
        <f t="shared" si="12"/>
        <v/>
      </c>
      <c r="U113" s="158" t="e">
        <f t="shared" si="13"/>
        <v>#N/A</v>
      </c>
      <c r="V113" s="310" t="str">
        <f t="shared" si="14"/>
        <v/>
      </c>
      <c r="W113" s="137" t="str">
        <f t="shared" si="15"/>
        <v>X</v>
      </c>
      <c r="X113" s="137">
        <f t="shared" si="16"/>
        <v>0</v>
      </c>
    </row>
    <row r="114" spans="1:24" ht="17.25" customHeight="1">
      <c r="A114" s="137" t="str">
        <f t="shared" ca="1" si="9"/>
        <v>-</v>
      </c>
      <c r="B114" s="173"/>
      <c r="C114" s="253" t="str">
        <f t="shared" si="10"/>
        <v/>
      </c>
      <c r="D114" s="173"/>
      <c r="E114" s="173"/>
      <c r="F114" s="329" t="str">
        <f t="shared" si="17"/>
        <v/>
      </c>
      <c r="G114" s="176"/>
      <c r="H114" s="130" t="str">
        <f>IFERROR(INDEX(DMDT!B:B,MATCH($G114,DMDT!D:D,0),),"")</f>
        <v/>
      </c>
      <c r="I114" s="131"/>
      <c r="J114" s="132"/>
      <c r="K114" s="133"/>
      <c r="L114" s="134"/>
      <c r="M114" s="134"/>
      <c r="N114" s="135"/>
      <c r="O114" s="219"/>
      <c r="P114" s="143"/>
      <c r="Q114" s="144"/>
      <c r="R114" s="150"/>
      <c r="S114" s="127" t="str">
        <f t="shared" si="11"/>
        <v/>
      </c>
      <c r="T114" s="175" t="str">
        <f t="shared" si="12"/>
        <v/>
      </c>
      <c r="U114" s="158" t="e">
        <f t="shared" si="13"/>
        <v>#N/A</v>
      </c>
      <c r="V114" s="310" t="str">
        <f t="shared" si="14"/>
        <v/>
      </c>
      <c r="W114" s="137" t="str">
        <f t="shared" si="15"/>
        <v>X</v>
      </c>
      <c r="X114" s="137">
        <f t="shared" si="16"/>
        <v>0</v>
      </c>
    </row>
    <row r="115" spans="1:24" ht="17.25" customHeight="1">
      <c r="A115" s="137" t="str">
        <f t="shared" ca="1" si="9"/>
        <v>-</v>
      </c>
      <c r="B115" s="173"/>
      <c r="C115" s="253" t="str">
        <f t="shared" si="10"/>
        <v/>
      </c>
      <c r="D115" s="173"/>
      <c r="E115" s="173"/>
      <c r="F115" s="329" t="str">
        <f t="shared" si="17"/>
        <v/>
      </c>
      <c r="G115" s="176"/>
      <c r="H115" s="130" t="str">
        <f>IFERROR(INDEX(DMDT!B:B,MATCH($G115,DMDT!D:D,0),),"")</f>
        <v/>
      </c>
      <c r="I115" s="131"/>
      <c r="J115" s="132"/>
      <c r="K115" s="133"/>
      <c r="L115" s="134"/>
      <c r="M115" s="134"/>
      <c r="N115" s="135"/>
      <c r="O115" s="219"/>
      <c r="P115" s="143"/>
      <c r="Q115" s="144"/>
      <c r="R115" s="150"/>
      <c r="S115" s="127" t="str">
        <f t="shared" si="11"/>
        <v/>
      </c>
      <c r="T115" s="175" t="str">
        <f t="shared" si="12"/>
        <v/>
      </c>
      <c r="U115" s="158" t="e">
        <f t="shared" si="13"/>
        <v>#N/A</v>
      </c>
      <c r="V115" s="310" t="str">
        <f t="shared" si="14"/>
        <v/>
      </c>
      <c r="W115" s="137" t="str">
        <f t="shared" si="15"/>
        <v>X</v>
      </c>
      <c r="X115" s="137">
        <f t="shared" si="16"/>
        <v>0</v>
      </c>
    </row>
    <row r="116" spans="1:24" ht="17.25" customHeight="1">
      <c r="A116" s="137" t="str">
        <f t="shared" ca="1" si="9"/>
        <v>-</v>
      </c>
      <c r="B116" s="173"/>
      <c r="C116" s="253" t="str">
        <f t="shared" si="10"/>
        <v/>
      </c>
      <c r="D116" s="173"/>
      <c r="E116" s="173"/>
      <c r="F116" s="329" t="str">
        <f t="shared" si="17"/>
        <v/>
      </c>
      <c r="G116" s="174"/>
      <c r="H116" s="130" t="str">
        <f>IFERROR(INDEX(DMDT!B:B,MATCH($G116,DMDT!D:D,0),),"")</f>
        <v/>
      </c>
      <c r="I116" s="131"/>
      <c r="J116" s="132"/>
      <c r="K116" s="133"/>
      <c r="L116" s="134"/>
      <c r="M116" s="134"/>
      <c r="N116" s="135"/>
      <c r="O116" s="219"/>
      <c r="P116" s="143"/>
      <c r="Q116" s="144"/>
      <c r="R116" s="150"/>
      <c r="S116" s="127" t="str">
        <f t="shared" si="11"/>
        <v/>
      </c>
      <c r="T116" s="175" t="str">
        <f t="shared" si="12"/>
        <v/>
      </c>
      <c r="U116" s="158" t="e">
        <f t="shared" si="13"/>
        <v>#N/A</v>
      </c>
      <c r="V116" s="310" t="str">
        <f t="shared" si="14"/>
        <v/>
      </c>
      <c r="W116" s="137" t="str">
        <f t="shared" si="15"/>
        <v>X</v>
      </c>
      <c r="X116" s="137">
        <f t="shared" si="16"/>
        <v>0</v>
      </c>
    </row>
    <row r="117" spans="1:24" ht="17.25" customHeight="1">
      <c r="A117" s="137" t="str">
        <f t="shared" ca="1" si="9"/>
        <v>-</v>
      </c>
      <c r="B117" s="173"/>
      <c r="C117" s="253" t="str">
        <f t="shared" si="10"/>
        <v/>
      </c>
      <c r="D117" s="173"/>
      <c r="E117" s="173"/>
      <c r="F117" s="329" t="str">
        <f t="shared" si="17"/>
        <v/>
      </c>
      <c r="G117" s="176"/>
      <c r="H117" s="130" t="str">
        <f>IFERROR(INDEX(DMDT!B:B,MATCH($G117,DMDT!D:D,0),),"")</f>
        <v/>
      </c>
      <c r="I117" s="131"/>
      <c r="J117" s="132"/>
      <c r="K117" s="133"/>
      <c r="L117" s="134"/>
      <c r="M117" s="134"/>
      <c r="N117" s="135"/>
      <c r="O117" s="219"/>
      <c r="P117" s="143"/>
      <c r="Q117" s="144"/>
      <c r="R117" s="150"/>
      <c r="S117" s="127" t="str">
        <f t="shared" si="11"/>
        <v/>
      </c>
      <c r="T117" s="175" t="str">
        <f t="shared" si="12"/>
        <v/>
      </c>
      <c r="U117" s="158" t="e">
        <f t="shared" si="13"/>
        <v>#N/A</v>
      </c>
      <c r="V117" s="310" t="str">
        <f t="shared" si="14"/>
        <v/>
      </c>
      <c r="W117" s="137" t="str">
        <f t="shared" si="15"/>
        <v>X</v>
      </c>
      <c r="X117" s="137">
        <f t="shared" si="16"/>
        <v>0</v>
      </c>
    </row>
    <row r="118" spans="1:24" ht="17.25" customHeight="1">
      <c r="A118" s="137" t="str">
        <f t="shared" ca="1" si="9"/>
        <v>-</v>
      </c>
      <c r="B118" s="173"/>
      <c r="C118" s="253" t="str">
        <f t="shared" si="10"/>
        <v/>
      </c>
      <c r="D118" s="173"/>
      <c r="E118" s="173"/>
      <c r="F118" s="329" t="str">
        <f t="shared" si="17"/>
        <v/>
      </c>
      <c r="G118" s="176"/>
      <c r="H118" s="130" t="str">
        <f>IFERROR(INDEX(DMDT!B:B,MATCH($G118,DMDT!D:D,0),),"")</f>
        <v/>
      </c>
      <c r="I118" s="131"/>
      <c r="J118" s="132"/>
      <c r="K118" s="133"/>
      <c r="L118" s="134"/>
      <c r="M118" s="134"/>
      <c r="N118" s="135"/>
      <c r="O118" s="219"/>
      <c r="P118" s="143"/>
      <c r="Q118" s="144"/>
      <c r="R118" s="150"/>
      <c r="S118" s="127" t="str">
        <f t="shared" si="11"/>
        <v/>
      </c>
      <c r="T118" s="175" t="str">
        <f t="shared" si="12"/>
        <v/>
      </c>
      <c r="U118" s="158" t="e">
        <f t="shared" si="13"/>
        <v>#N/A</v>
      </c>
      <c r="V118" s="310" t="str">
        <f t="shared" si="14"/>
        <v/>
      </c>
      <c r="W118" s="137" t="str">
        <f t="shared" si="15"/>
        <v>X</v>
      </c>
      <c r="X118" s="137">
        <f t="shared" si="16"/>
        <v>0</v>
      </c>
    </row>
    <row r="119" spans="1:24" ht="17.25" customHeight="1">
      <c r="A119" s="137" t="str">
        <f t="shared" ca="1" si="9"/>
        <v>-</v>
      </c>
      <c r="B119" s="173"/>
      <c r="C119" s="253" t="str">
        <f t="shared" si="10"/>
        <v/>
      </c>
      <c r="D119" s="173"/>
      <c r="E119" s="173"/>
      <c r="F119" s="329" t="str">
        <f t="shared" si="17"/>
        <v/>
      </c>
      <c r="G119" s="176"/>
      <c r="H119" s="130" t="str">
        <f>IFERROR(INDEX(DMDT!B:B,MATCH($G119,DMDT!D:D,0),),"")</f>
        <v/>
      </c>
      <c r="I119" s="131"/>
      <c r="J119" s="132"/>
      <c r="K119" s="133"/>
      <c r="L119" s="134"/>
      <c r="M119" s="134"/>
      <c r="N119" s="135"/>
      <c r="O119" s="219"/>
      <c r="P119" s="143"/>
      <c r="Q119" s="144"/>
      <c r="R119" s="150"/>
      <c r="S119" s="127" t="str">
        <f t="shared" si="11"/>
        <v/>
      </c>
      <c r="T119" s="175" t="str">
        <f t="shared" si="12"/>
        <v/>
      </c>
      <c r="U119" s="158" t="e">
        <f t="shared" si="13"/>
        <v>#N/A</v>
      </c>
      <c r="V119" s="310" t="str">
        <f t="shared" si="14"/>
        <v/>
      </c>
      <c r="W119" s="137" t="str">
        <f t="shared" si="15"/>
        <v>X</v>
      </c>
      <c r="X119" s="137">
        <f t="shared" si="16"/>
        <v>0</v>
      </c>
    </row>
    <row r="120" spans="1:24" ht="17.25" customHeight="1">
      <c r="A120" s="137" t="str">
        <f t="shared" ca="1" si="9"/>
        <v>-</v>
      </c>
      <c r="B120" s="173"/>
      <c r="C120" s="253" t="str">
        <f t="shared" si="10"/>
        <v/>
      </c>
      <c r="D120" s="173"/>
      <c r="E120" s="173"/>
      <c r="F120" s="329" t="str">
        <f t="shared" si="17"/>
        <v/>
      </c>
      <c r="G120" s="176"/>
      <c r="H120" s="130" t="str">
        <f>IFERROR(INDEX(DMDT!B:B,MATCH($G120,DMDT!D:D,0),),"")</f>
        <v/>
      </c>
      <c r="I120" s="131"/>
      <c r="J120" s="132"/>
      <c r="K120" s="133"/>
      <c r="L120" s="134"/>
      <c r="M120" s="134"/>
      <c r="N120" s="135"/>
      <c r="O120" s="219"/>
      <c r="P120" s="143"/>
      <c r="Q120" s="144"/>
      <c r="R120" s="150"/>
      <c r="S120" s="127" t="str">
        <f t="shared" si="11"/>
        <v/>
      </c>
      <c r="T120" s="175" t="str">
        <f t="shared" si="12"/>
        <v/>
      </c>
      <c r="U120" s="158" t="e">
        <f t="shared" si="13"/>
        <v>#N/A</v>
      </c>
      <c r="V120" s="310" t="str">
        <f t="shared" si="14"/>
        <v/>
      </c>
      <c r="W120" s="137" t="str">
        <f t="shared" si="15"/>
        <v>X</v>
      </c>
      <c r="X120" s="137">
        <f t="shared" si="16"/>
        <v>0</v>
      </c>
    </row>
    <row r="121" spans="1:24" ht="17.25" customHeight="1">
      <c r="A121" s="137" t="str">
        <f t="shared" ca="1" si="9"/>
        <v>-</v>
      </c>
      <c r="B121" s="173"/>
      <c r="C121" s="253" t="str">
        <f t="shared" si="10"/>
        <v/>
      </c>
      <c r="D121" s="173"/>
      <c r="E121" s="173"/>
      <c r="F121" s="329" t="str">
        <f t="shared" si="17"/>
        <v/>
      </c>
      <c r="G121" s="186"/>
      <c r="H121" s="130" t="str">
        <f>IFERROR(INDEX(DMDT!B:B,MATCH($G121,DMDT!D:D,0),),"")</f>
        <v/>
      </c>
      <c r="I121" s="131"/>
      <c r="J121" s="132"/>
      <c r="K121" s="133"/>
      <c r="L121" s="134"/>
      <c r="M121" s="134"/>
      <c r="N121" s="135"/>
      <c r="O121" s="219"/>
      <c r="P121" s="143"/>
      <c r="Q121" s="144"/>
      <c r="R121" s="150"/>
      <c r="S121" s="127" t="str">
        <f t="shared" si="11"/>
        <v/>
      </c>
      <c r="T121" s="175" t="str">
        <f t="shared" si="12"/>
        <v/>
      </c>
      <c r="U121" s="158" t="e">
        <f t="shared" si="13"/>
        <v>#N/A</v>
      </c>
      <c r="V121" s="310" t="str">
        <f t="shared" si="14"/>
        <v/>
      </c>
      <c r="W121" s="137" t="str">
        <f t="shared" si="15"/>
        <v>X</v>
      </c>
      <c r="X121" s="137">
        <f t="shared" si="16"/>
        <v>0</v>
      </c>
    </row>
    <row r="122" spans="1:24" ht="17.25" customHeight="1">
      <c r="A122" s="137" t="str">
        <f t="shared" ca="1" si="9"/>
        <v>-</v>
      </c>
      <c r="B122" s="173"/>
      <c r="C122" s="253" t="str">
        <f t="shared" si="10"/>
        <v/>
      </c>
      <c r="D122" s="173"/>
      <c r="E122" s="173"/>
      <c r="F122" s="329" t="str">
        <f t="shared" si="17"/>
        <v/>
      </c>
      <c r="G122" s="186"/>
      <c r="H122" s="130" t="str">
        <f>IFERROR(INDEX(DMDT!B:B,MATCH($G122,DMDT!D:D,0),),"")</f>
        <v/>
      </c>
      <c r="I122" s="131"/>
      <c r="J122" s="132"/>
      <c r="K122" s="133"/>
      <c r="L122" s="134"/>
      <c r="M122" s="134"/>
      <c r="N122" s="135"/>
      <c r="O122" s="219"/>
      <c r="P122" s="143"/>
      <c r="Q122" s="144"/>
      <c r="R122" s="150"/>
      <c r="S122" s="127" t="str">
        <f t="shared" si="11"/>
        <v/>
      </c>
      <c r="T122" s="175" t="str">
        <f t="shared" si="12"/>
        <v/>
      </c>
      <c r="U122" s="158" t="e">
        <f t="shared" si="13"/>
        <v>#N/A</v>
      </c>
      <c r="V122" s="310" t="str">
        <f t="shared" si="14"/>
        <v/>
      </c>
      <c r="W122" s="137" t="str">
        <f t="shared" si="15"/>
        <v>X</v>
      </c>
      <c r="X122" s="137">
        <f t="shared" si="16"/>
        <v>0</v>
      </c>
    </row>
    <row r="123" spans="1:24" ht="17.25" customHeight="1">
      <c r="A123" s="137" t="str">
        <f t="shared" ca="1" si="9"/>
        <v>-</v>
      </c>
      <c r="B123" s="173"/>
      <c r="C123" s="253" t="str">
        <f t="shared" si="10"/>
        <v/>
      </c>
      <c r="D123" s="173"/>
      <c r="E123" s="173"/>
      <c r="F123" s="329" t="str">
        <f t="shared" si="17"/>
        <v/>
      </c>
      <c r="G123" s="186"/>
      <c r="H123" s="130" t="str">
        <f>IFERROR(INDEX(DMDT!B:B,MATCH($G123,DMDT!D:D,0),),"")</f>
        <v/>
      </c>
      <c r="I123" s="131"/>
      <c r="J123" s="132"/>
      <c r="K123" s="133"/>
      <c r="L123" s="134"/>
      <c r="M123" s="134"/>
      <c r="N123" s="135"/>
      <c r="O123" s="219"/>
      <c r="P123" s="143"/>
      <c r="Q123" s="144"/>
      <c r="R123" s="150"/>
      <c r="S123" s="127" t="str">
        <f t="shared" si="11"/>
        <v/>
      </c>
      <c r="T123" s="175" t="str">
        <f t="shared" si="12"/>
        <v/>
      </c>
      <c r="U123" s="158" t="e">
        <f t="shared" si="13"/>
        <v>#N/A</v>
      </c>
      <c r="V123" s="310" t="str">
        <f t="shared" si="14"/>
        <v/>
      </c>
      <c r="W123" s="137" t="str">
        <f t="shared" si="15"/>
        <v>X</v>
      </c>
      <c r="X123" s="137">
        <f t="shared" si="16"/>
        <v>0</v>
      </c>
    </row>
    <row r="124" spans="1:24" ht="17.25" customHeight="1">
      <c r="A124" s="137" t="str">
        <f t="shared" ca="1" si="9"/>
        <v>-</v>
      </c>
      <c r="B124" s="173"/>
      <c r="C124" s="253" t="str">
        <f t="shared" si="10"/>
        <v/>
      </c>
      <c r="D124" s="173"/>
      <c r="E124" s="173"/>
      <c r="F124" s="329" t="str">
        <f t="shared" si="17"/>
        <v/>
      </c>
      <c r="G124" s="186"/>
      <c r="H124" s="130" t="str">
        <f>IFERROR(INDEX(DMDT!B:B,MATCH($G124,DMDT!D:D,0),),"")</f>
        <v/>
      </c>
      <c r="I124" s="131"/>
      <c r="J124" s="132"/>
      <c r="K124" s="133"/>
      <c r="L124" s="134"/>
      <c r="M124" s="134"/>
      <c r="N124" s="135"/>
      <c r="O124" s="219"/>
      <c r="P124" s="143"/>
      <c r="Q124" s="144"/>
      <c r="R124" s="150"/>
      <c r="S124" s="127" t="str">
        <f t="shared" si="11"/>
        <v/>
      </c>
      <c r="T124" s="175" t="str">
        <f t="shared" si="12"/>
        <v/>
      </c>
      <c r="U124" s="158" t="e">
        <f t="shared" si="13"/>
        <v>#N/A</v>
      </c>
      <c r="V124" s="310" t="str">
        <f t="shared" si="14"/>
        <v/>
      </c>
      <c r="W124" s="137" t="str">
        <f t="shared" si="15"/>
        <v>X</v>
      </c>
      <c r="X124" s="137">
        <f t="shared" si="16"/>
        <v>0</v>
      </c>
    </row>
    <row r="125" spans="1:24" ht="17.25" customHeight="1">
      <c r="A125" s="137" t="str">
        <f t="shared" ca="1" si="9"/>
        <v>-</v>
      </c>
      <c r="B125" s="173"/>
      <c r="C125" s="253" t="str">
        <f t="shared" si="10"/>
        <v/>
      </c>
      <c r="D125" s="173"/>
      <c r="E125" s="173"/>
      <c r="F125" s="329" t="str">
        <f t="shared" si="17"/>
        <v/>
      </c>
      <c r="G125" s="174"/>
      <c r="H125" s="130" t="str">
        <f>IFERROR(INDEX(DMDT!B:B,MATCH($G125,DMDT!D:D,0),),"")</f>
        <v/>
      </c>
      <c r="I125" s="131"/>
      <c r="J125" s="132"/>
      <c r="K125" s="133"/>
      <c r="L125" s="134"/>
      <c r="M125" s="134"/>
      <c r="N125" s="135"/>
      <c r="O125" s="219"/>
      <c r="P125" s="143"/>
      <c r="Q125" s="144"/>
      <c r="R125" s="150"/>
      <c r="S125" s="127" t="str">
        <f t="shared" si="11"/>
        <v/>
      </c>
      <c r="T125" s="175" t="str">
        <f t="shared" si="12"/>
        <v/>
      </c>
      <c r="U125" s="158" t="e">
        <f t="shared" si="13"/>
        <v>#N/A</v>
      </c>
      <c r="V125" s="310" t="str">
        <f t="shared" si="14"/>
        <v/>
      </c>
      <c r="W125" s="137" t="str">
        <f t="shared" si="15"/>
        <v>X</v>
      </c>
      <c r="X125" s="137">
        <f t="shared" si="16"/>
        <v>0</v>
      </c>
    </row>
    <row r="126" spans="1:24" ht="17.25" customHeight="1">
      <c r="A126" s="137" t="str">
        <f t="shared" ca="1" si="9"/>
        <v>-</v>
      </c>
      <c r="B126" s="173"/>
      <c r="C126" s="253" t="str">
        <f t="shared" si="10"/>
        <v/>
      </c>
      <c r="D126" s="173"/>
      <c r="E126" s="173"/>
      <c r="F126" s="329" t="str">
        <f t="shared" si="17"/>
        <v/>
      </c>
      <c r="G126" s="174"/>
      <c r="H126" s="130" t="str">
        <f>IFERROR(INDEX(DMDT!B:B,MATCH($G126,DMDT!D:D,0),),"")</f>
        <v/>
      </c>
      <c r="I126" s="131"/>
      <c r="J126" s="132"/>
      <c r="K126" s="133"/>
      <c r="L126" s="134"/>
      <c r="M126" s="134"/>
      <c r="N126" s="135"/>
      <c r="O126" s="219"/>
      <c r="P126" s="143"/>
      <c r="Q126" s="144"/>
      <c r="R126" s="150"/>
      <c r="S126" s="127" t="str">
        <f t="shared" si="11"/>
        <v/>
      </c>
      <c r="T126" s="175" t="str">
        <f t="shared" si="12"/>
        <v/>
      </c>
      <c r="U126" s="158" t="e">
        <f t="shared" si="13"/>
        <v>#N/A</v>
      </c>
      <c r="V126" s="310" t="str">
        <f t="shared" si="14"/>
        <v/>
      </c>
      <c r="W126" s="137" t="str">
        <f t="shared" si="15"/>
        <v>X</v>
      </c>
      <c r="X126" s="137">
        <f t="shared" si="16"/>
        <v>0</v>
      </c>
    </row>
    <row r="127" spans="1:24" ht="17.25" customHeight="1">
      <c r="A127" s="137" t="str">
        <f t="shared" ca="1" si="9"/>
        <v>-</v>
      </c>
      <c r="B127" s="173"/>
      <c r="C127" s="253" t="str">
        <f t="shared" si="10"/>
        <v/>
      </c>
      <c r="D127" s="173"/>
      <c r="E127" s="173"/>
      <c r="F127" s="329" t="str">
        <f t="shared" si="17"/>
        <v/>
      </c>
      <c r="G127" s="176"/>
      <c r="H127" s="130" t="str">
        <f>IFERROR(INDEX(DMDT!B:B,MATCH($G127,DMDT!D:D,0),),"")</f>
        <v/>
      </c>
      <c r="I127" s="131"/>
      <c r="J127" s="132"/>
      <c r="K127" s="133"/>
      <c r="L127" s="134"/>
      <c r="M127" s="134"/>
      <c r="N127" s="135"/>
      <c r="O127" s="219"/>
      <c r="P127" s="143"/>
      <c r="Q127" s="144"/>
      <c r="R127" s="150"/>
      <c r="S127" s="127" t="str">
        <f t="shared" si="11"/>
        <v/>
      </c>
      <c r="T127" s="175" t="str">
        <f t="shared" si="12"/>
        <v/>
      </c>
      <c r="U127" s="158" t="e">
        <f t="shared" si="13"/>
        <v>#N/A</v>
      </c>
      <c r="V127" s="310" t="str">
        <f t="shared" si="14"/>
        <v/>
      </c>
      <c r="W127" s="137" t="str">
        <f t="shared" si="15"/>
        <v>X</v>
      </c>
      <c r="X127" s="137">
        <f t="shared" si="16"/>
        <v>0</v>
      </c>
    </row>
    <row r="128" spans="1:24" ht="17.25" customHeight="1">
      <c r="A128" s="137" t="str">
        <f t="shared" ca="1" si="9"/>
        <v>-</v>
      </c>
      <c r="B128" s="173"/>
      <c r="C128" s="253" t="str">
        <f t="shared" si="10"/>
        <v/>
      </c>
      <c r="D128" s="173"/>
      <c r="E128" s="173"/>
      <c r="F128" s="329" t="str">
        <f t="shared" si="17"/>
        <v/>
      </c>
      <c r="G128" s="176"/>
      <c r="H128" s="130" t="str">
        <f>IFERROR(INDEX(DMDT!B:B,MATCH($G128,DMDT!D:D,0),),"")</f>
        <v/>
      </c>
      <c r="I128" s="131"/>
      <c r="J128" s="132"/>
      <c r="K128" s="133"/>
      <c r="L128" s="134"/>
      <c r="M128" s="134"/>
      <c r="N128" s="135"/>
      <c r="O128" s="135"/>
      <c r="P128" s="143"/>
      <c r="Q128" s="144"/>
      <c r="R128" s="150"/>
      <c r="S128" s="127" t="str">
        <f t="shared" si="11"/>
        <v/>
      </c>
      <c r="T128" s="175" t="str">
        <f t="shared" si="12"/>
        <v/>
      </c>
      <c r="U128" s="158" t="e">
        <f t="shared" si="13"/>
        <v>#N/A</v>
      </c>
      <c r="V128" s="310" t="str">
        <f t="shared" si="14"/>
        <v/>
      </c>
      <c r="W128" s="137" t="str">
        <f t="shared" si="15"/>
        <v>X</v>
      </c>
      <c r="X128" s="137">
        <f t="shared" si="16"/>
        <v>0</v>
      </c>
    </row>
    <row r="129" spans="1:24" ht="17.25" customHeight="1">
      <c r="A129" s="137" t="str">
        <f t="shared" ca="1" si="9"/>
        <v>-</v>
      </c>
      <c r="B129" s="173"/>
      <c r="C129" s="253" t="str">
        <f t="shared" si="10"/>
        <v/>
      </c>
      <c r="D129" s="173"/>
      <c r="E129" s="173"/>
      <c r="F129" s="329" t="str">
        <f t="shared" si="17"/>
        <v/>
      </c>
      <c r="G129" s="176"/>
      <c r="H129" s="130" t="str">
        <f>IFERROR(INDEX(DMDT!B:B,MATCH($G129,DMDT!D:D,0),),"")</f>
        <v/>
      </c>
      <c r="I129" s="131"/>
      <c r="J129" s="132"/>
      <c r="K129" s="133"/>
      <c r="L129" s="134"/>
      <c r="M129" s="134"/>
      <c r="N129" s="135"/>
      <c r="O129" s="219"/>
      <c r="P129" s="143"/>
      <c r="Q129" s="144"/>
      <c r="R129" s="150"/>
      <c r="S129" s="127" t="str">
        <f t="shared" si="11"/>
        <v/>
      </c>
      <c r="T129" s="175" t="str">
        <f t="shared" si="12"/>
        <v/>
      </c>
      <c r="U129" s="158" t="e">
        <f t="shared" si="13"/>
        <v>#N/A</v>
      </c>
      <c r="V129" s="310" t="str">
        <f t="shared" si="14"/>
        <v/>
      </c>
      <c r="W129" s="137" t="str">
        <f t="shared" si="15"/>
        <v>X</v>
      </c>
      <c r="X129" s="137">
        <f t="shared" si="16"/>
        <v>0</v>
      </c>
    </row>
    <row r="130" spans="1:24" ht="17.25" customHeight="1">
      <c r="A130" s="137" t="str">
        <f t="shared" ca="1" si="9"/>
        <v>-</v>
      </c>
      <c r="B130" s="173"/>
      <c r="C130" s="253" t="str">
        <f t="shared" si="10"/>
        <v/>
      </c>
      <c r="D130" s="173"/>
      <c r="E130" s="173"/>
      <c r="F130" s="329" t="str">
        <f t="shared" si="17"/>
        <v/>
      </c>
      <c r="G130" s="186"/>
      <c r="H130" s="130" t="str">
        <f>IFERROR(INDEX(DMDT!B:B,MATCH($G130,DMDT!D:D,0),),"")</f>
        <v/>
      </c>
      <c r="I130" s="131"/>
      <c r="J130" s="132"/>
      <c r="K130" s="133"/>
      <c r="L130" s="134"/>
      <c r="M130" s="134"/>
      <c r="N130" s="135"/>
      <c r="O130" s="219"/>
      <c r="P130" s="143"/>
      <c r="Q130" s="144"/>
      <c r="R130" s="150"/>
      <c r="S130" s="127" t="str">
        <f t="shared" si="11"/>
        <v/>
      </c>
      <c r="T130" s="175" t="str">
        <f t="shared" si="12"/>
        <v/>
      </c>
      <c r="U130" s="158" t="e">
        <f t="shared" si="13"/>
        <v>#N/A</v>
      </c>
      <c r="V130" s="310" t="str">
        <f t="shared" si="14"/>
        <v/>
      </c>
      <c r="W130" s="137" t="str">
        <f t="shared" si="15"/>
        <v>X</v>
      </c>
      <c r="X130" s="137">
        <f t="shared" si="16"/>
        <v>0</v>
      </c>
    </row>
    <row r="131" spans="1:24" ht="17.25" customHeight="1">
      <c r="A131" s="137" t="str">
        <f t="shared" ca="1" si="9"/>
        <v>-</v>
      </c>
      <c r="B131" s="173"/>
      <c r="C131" s="253" t="str">
        <f t="shared" si="10"/>
        <v/>
      </c>
      <c r="D131" s="173"/>
      <c r="E131" s="173"/>
      <c r="F131" s="329" t="str">
        <f t="shared" si="17"/>
        <v/>
      </c>
      <c r="G131" s="176"/>
      <c r="H131" s="130" t="str">
        <f>IFERROR(INDEX(DMDT!B:B,MATCH($G131,DMDT!D:D,0),),"")</f>
        <v/>
      </c>
      <c r="I131" s="131"/>
      <c r="J131" s="132"/>
      <c r="K131" s="133"/>
      <c r="L131" s="134"/>
      <c r="M131" s="134"/>
      <c r="N131" s="135"/>
      <c r="O131" s="219"/>
      <c r="P131" s="143"/>
      <c r="Q131" s="144"/>
      <c r="R131" s="150"/>
      <c r="S131" s="127" t="str">
        <f t="shared" si="11"/>
        <v/>
      </c>
      <c r="T131" s="175" t="str">
        <f t="shared" si="12"/>
        <v/>
      </c>
      <c r="U131" s="158" t="e">
        <f t="shared" si="13"/>
        <v>#N/A</v>
      </c>
      <c r="V131" s="310" t="str">
        <f t="shared" si="14"/>
        <v/>
      </c>
      <c r="W131" s="137" t="str">
        <f t="shared" si="15"/>
        <v>X</v>
      </c>
      <c r="X131" s="137">
        <f t="shared" si="16"/>
        <v>0</v>
      </c>
    </row>
    <row r="132" spans="1:24" ht="17.25" customHeight="1">
      <c r="A132" s="137" t="str">
        <f t="shared" ref="A132:A195" ca="1" si="18">IF(F132="","-",IF(COUNTIFS(OFFSET($H$3,,,ROW()-3),H132,OFFSET($J$3,,,ROW()-3),J132,OFFSET($N$3,,,ROW()-3),N132)=0,"-","FALSE"))</f>
        <v>-</v>
      </c>
      <c r="B132" s="173"/>
      <c r="C132" s="253" t="str">
        <f t="shared" si="10"/>
        <v/>
      </c>
      <c r="D132" s="173"/>
      <c r="E132" s="173"/>
      <c r="F132" s="329" t="str">
        <f t="shared" si="17"/>
        <v/>
      </c>
      <c r="G132" s="174"/>
      <c r="H132" s="130" t="str">
        <f>IFERROR(INDEX(DMDT!B:B,MATCH($G132,DMDT!D:D,0),),"")</f>
        <v/>
      </c>
      <c r="I132" s="131"/>
      <c r="J132" s="132"/>
      <c r="K132" s="133"/>
      <c r="L132" s="134"/>
      <c r="M132" s="134"/>
      <c r="N132" s="135"/>
      <c r="O132" s="219"/>
      <c r="P132" s="143"/>
      <c r="Q132" s="144"/>
      <c r="R132" s="150"/>
      <c r="S132" s="127" t="str">
        <f t="shared" si="11"/>
        <v/>
      </c>
      <c r="T132" s="175" t="str">
        <f t="shared" si="12"/>
        <v/>
      </c>
      <c r="U132" s="158" t="e">
        <f t="shared" si="13"/>
        <v>#N/A</v>
      </c>
      <c r="V132" s="310" t="str">
        <f t="shared" si="14"/>
        <v/>
      </c>
      <c r="W132" s="137" t="str">
        <f t="shared" si="15"/>
        <v>X</v>
      </c>
      <c r="X132" s="137">
        <f t="shared" si="16"/>
        <v>0</v>
      </c>
    </row>
    <row r="133" spans="1:24" ht="17.25" customHeight="1">
      <c r="A133" s="137" t="str">
        <f t="shared" ca="1" si="18"/>
        <v>-</v>
      </c>
      <c r="B133" s="173"/>
      <c r="C133" s="253" t="str">
        <f t="shared" ref="C133:C196" si="19">IF(F133="","",IF(LEFT(M133,5)&lt;&gt;"3311-","Non-GR",IF(AND(B133&lt;D133,B133&lt;&gt;""),NETWORKDAYS(B133,D133),IF(OR(L133="Mai",L133="Đức Anh",L133="C.Thảo"),"GIT","Non-GR"))))</f>
        <v/>
      </c>
      <c r="D133" s="173"/>
      <c r="E133" s="173"/>
      <c r="F133" s="329" t="str">
        <f t="shared" si="17"/>
        <v/>
      </c>
      <c r="G133" s="174"/>
      <c r="H133" s="130" t="str">
        <f>IFERROR(INDEX(DMDT!B:B,MATCH($G133,DMDT!D:D,0),),"")</f>
        <v/>
      </c>
      <c r="I133" s="131"/>
      <c r="J133" s="132"/>
      <c r="K133" s="133"/>
      <c r="L133" s="134"/>
      <c r="M133" s="134"/>
      <c r="N133" s="135"/>
      <c r="O133" s="219"/>
      <c r="P133" s="143"/>
      <c r="Q133" s="144"/>
      <c r="R133" s="150"/>
      <c r="S133" s="127" t="str">
        <f t="shared" ref="S133:S196" si="20">$N133&amp;LEFT($G133,6)</f>
        <v/>
      </c>
      <c r="T133" s="175" t="str">
        <f t="shared" ref="T133:T196" si="21">+LEFT($M133,5)</f>
        <v/>
      </c>
      <c r="U133" s="158" t="e">
        <f t="shared" ref="U133:U196" si="22">VLOOKUP(L133,$AB$10:$AC$26,2,0)</f>
        <v>#N/A</v>
      </c>
      <c r="V133" s="310" t="str">
        <f t="shared" ref="V133:V196" si="23">IF(T133="3311-",D133,"")</f>
        <v/>
      </c>
      <c r="W133" s="137" t="str">
        <f t="shared" ref="W133:W196" si="24">IFERROR(IF(MONTH(V133)=$F$1,DAY(V133),"NEXT"),"X")</f>
        <v>X</v>
      </c>
      <c r="X133" s="137">
        <f t="shared" ref="X133:X196" si="25">IFERROR(IF(31-W133&gt;5,1,2),0)</f>
        <v>0</v>
      </c>
    </row>
    <row r="134" spans="1:24" ht="17.25" customHeight="1">
      <c r="A134" s="137" t="str">
        <f t="shared" ca="1" si="18"/>
        <v>-</v>
      </c>
      <c r="B134" s="173"/>
      <c r="C134" s="253" t="str">
        <f t="shared" si="19"/>
        <v/>
      </c>
      <c r="D134" s="173"/>
      <c r="E134" s="173"/>
      <c r="F134" s="329" t="str">
        <f t="shared" ref="F134:F197" si="26">IF(E134&lt;&gt;"",F133+1,"")</f>
        <v/>
      </c>
      <c r="G134" s="174"/>
      <c r="H134" s="130" t="str">
        <f>IFERROR(INDEX(DMDT!B:B,MATCH($G134,DMDT!D:D,0),),"")</f>
        <v/>
      </c>
      <c r="I134" s="131"/>
      <c r="J134" s="132"/>
      <c r="K134" s="133"/>
      <c r="L134" s="134"/>
      <c r="M134" s="134"/>
      <c r="N134" s="135"/>
      <c r="O134" s="219"/>
      <c r="P134" s="143"/>
      <c r="Q134" s="144"/>
      <c r="R134" s="150"/>
      <c r="S134" s="127" t="str">
        <f t="shared" si="20"/>
        <v/>
      </c>
      <c r="T134" s="175" t="str">
        <f t="shared" si="21"/>
        <v/>
      </c>
      <c r="U134" s="158" t="e">
        <f t="shared" si="22"/>
        <v>#N/A</v>
      </c>
      <c r="V134" s="310" t="str">
        <f t="shared" si="23"/>
        <v/>
      </c>
      <c r="W134" s="137" t="str">
        <f t="shared" si="24"/>
        <v>X</v>
      </c>
      <c r="X134" s="137">
        <f t="shared" si="25"/>
        <v>0</v>
      </c>
    </row>
    <row r="135" spans="1:24" ht="17.25" customHeight="1">
      <c r="A135" s="137" t="str">
        <f t="shared" ca="1" si="18"/>
        <v>-</v>
      </c>
      <c r="B135" s="173"/>
      <c r="C135" s="253" t="str">
        <f t="shared" si="19"/>
        <v/>
      </c>
      <c r="D135" s="173"/>
      <c r="E135" s="173"/>
      <c r="F135" s="329" t="str">
        <f t="shared" si="26"/>
        <v/>
      </c>
      <c r="G135" s="176"/>
      <c r="H135" s="130" t="str">
        <f>IFERROR(INDEX(DMDT!B:B,MATCH($G135,DMDT!D:D,0),),"")</f>
        <v/>
      </c>
      <c r="I135" s="131"/>
      <c r="J135" s="132"/>
      <c r="K135" s="133"/>
      <c r="L135" s="134"/>
      <c r="M135" s="134"/>
      <c r="N135" s="135"/>
      <c r="O135" s="219"/>
      <c r="P135" s="143"/>
      <c r="Q135" s="144"/>
      <c r="R135" s="150"/>
      <c r="S135" s="127" t="str">
        <f t="shared" si="20"/>
        <v/>
      </c>
      <c r="T135" s="175" t="str">
        <f t="shared" si="21"/>
        <v/>
      </c>
      <c r="U135" s="158" t="e">
        <f t="shared" si="22"/>
        <v>#N/A</v>
      </c>
      <c r="V135" s="310" t="str">
        <f t="shared" si="23"/>
        <v/>
      </c>
      <c r="W135" s="137" t="str">
        <f t="shared" si="24"/>
        <v>X</v>
      </c>
      <c r="X135" s="137">
        <f t="shared" si="25"/>
        <v>0</v>
      </c>
    </row>
    <row r="136" spans="1:24" ht="17.25" customHeight="1">
      <c r="A136" s="137" t="str">
        <f t="shared" ca="1" si="18"/>
        <v>-</v>
      </c>
      <c r="B136" s="173"/>
      <c r="C136" s="253" t="str">
        <f t="shared" si="19"/>
        <v/>
      </c>
      <c r="D136" s="173"/>
      <c r="E136" s="173"/>
      <c r="F136" s="329" t="str">
        <f t="shared" si="26"/>
        <v/>
      </c>
      <c r="G136" s="176"/>
      <c r="H136" s="130" t="str">
        <f>IFERROR(INDEX(DMDT!B:B,MATCH($G136,DMDT!D:D,0),),"")</f>
        <v/>
      </c>
      <c r="I136" s="131"/>
      <c r="J136" s="132"/>
      <c r="K136" s="133"/>
      <c r="L136" s="134"/>
      <c r="M136" s="134"/>
      <c r="N136" s="135"/>
      <c r="O136" s="219"/>
      <c r="P136" s="143"/>
      <c r="Q136" s="144"/>
      <c r="R136" s="150"/>
      <c r="S136" s="127" t="str">
        <f t="shared" si="20"/>
        <v/>
      </c>
      <c r="T136" s="175" t="str">
        <f t="shared" si="21"/>
        <v/>
      </c>
      <c r="U136" s="158" t="e">
        <f t="shared" si="22"/>
        <v>#N/A</v>
      </c>
      <c r="V136" s="310" t="str">
        <f t="shared" si="23"/>
        <v/>
      </c>
      <c r="W136" s="137" t="str">
        <f t="shared" si="24"/>
        <v>X</v>
      </c>
      <c r="X136" s="137">
        <f t="shared" si="25"/>
        <v>0</v>
      </c>
    </row>
    <row r="137" spans="1:24" ht="17.25" customHeight="1">
      <c r="A137" s="137" t="str">
        <f t="shared" ca="1" si="18"/>
        <v>-</v>
      </c>
      <c r="B137" s="173"/>
      <c r="C137" s="253" t="str">
        <f t="shared" si="19"/>
        <v/>
      </c>
      <c r="D137" s="173"/>
      <c r="E137" s="173"/>
      <c r="F137" s="329" t="str">
        <f t="shared" si="26"/>
        <v/>
      </c>
      <c r="G137" s="176"/>
      <c r="H137" s="130" t="str">
        <f>IFERROR(INDEX(DMDT!B:B,MATCH($G137,DMDT!D:D,0),),"")</f>
        <v/>
      </c>
      <c r="I137" s="131"/>
      <c r="J137" s="132"/>
      <c r="K137" s="133"/>
      <c r="L137" s="134"/>
      <c r="M137" s="134"/>
      <c r="N137" s="135"/>
      <c r="O137" s="219"/>
      <c r="P137" s="143"/>
      <c r="Q137" s="144"/>
      <c r="R137" s="150"/>
      <c r="S137" s="127" t="str">
        <f t="shared" si="20"/>
        <v/>
      </c>
      <c r="T137" s="175" t="str">
        <f t="shared" si="21"/>
        <v/>
      </c>
      <c r="U137" s="158" t="e">
        <f t="shared" si="22"/>
        <v>#N/A</v>
      </c>
      <c r="V137" s="310" t="str">
        <f t="shared" si="23"/>
        <v/>
      </c>
      <c r="W137" s="137" t="str">
        <f t="shared" si="24"/>
        <v>X</v>
      </c>
      <c r="X137" s="137">
        <f t="shared" si="25"/>
        <v>0</v>
      </c>
    </row>
    <row r="138" spans="1:24" ht="17.25" customHeight="1">
      <c r="A138" s="137" t="str">
        <f t="shared" ca="1" si="18"/>
        <v>-</v>
      </c>
      <c r="B138" s="173"/>
      <c r="C138" s="253" t="str">
        <f t="shared" si="19"/>
        <v/>
      </c>
      <c r="D138" s="173"/>
      <c r="E138" s="173"/>
      <c r="F138" s="329" t="str">
        <f t="shared" si="26"/>
        <v/>
      </c>
      <c r="G138" s="176"/>
      <c r="H138" s="130" t="str">
        <f>IFERROR(INDEX(DMDT!B:B,MATCH($G138,DMDT!D:D,0),),"")</f>
        <v/>
      </c>
      <c r="I138" s="131"/>
      <c r="J138" s="132"/>
      <c r="K138" s="133"/>
      <c r="L138" s="134"/>
      <c r="M138" s="134"/>
      <c r="N138" s="135"/>
      <c r="O138" s="219"/>
      <c r="P138" s="143"/>
      <c r="Q138" s="144"/>
      <c r="R138" s="150"/>
      <c r="S138" s="127" t="str">
        <f t="shared" si="20"/>
        <v/>
      </c>
      <c r="T138" s="175" t="str">
        <f t="shared" si="21"/>
        <v/>
      </c>
      <c r="U138" s="158" t="e">
        <f t="shared" si="22"/>
        <v>#N/A</v>
      </c>
      <c r="V138" s="310" t="str">
        <f t="shared" si="23"/>
        <v/>
      </c>
      <c r="W138" s="137" t="str">
        <f t="shared" si="24"/>
        <v>X</v>
      </c>
      <c r="X138" s="137">
        <f t="shared" si="25"/>
        <v>0</v>
      </c>
    </row>
    <row r="139" spans="1:24" ht="17.25" customHeight="1">
      <c r="A139" s="137" t="str">
        <f t="shared" ca="1" si="18"/>
        <v>-</v>
      </c>
      <c r="B139" s="173"/>
      <c r="C139" s="253" t="str">
        <f t="shared" si="19"/>
        <v/>
      </c>
      <c r="D139" s="173"/>
      <c r="E139" s="173"/>
      <c r="F139" s="329" t="str">
        <f t="shared" si="26"/>
        <v/>
      </c>
      <c r="G139" s="176"/>
      <c r="H139" s="130" t="str">
        <f>IFERROR(INDEX(DMDT!B:B,MATCH($G139,DMDT!D:D,0),),"")</f>
        <v/>
      </c>
      <c r="I139" s="131"/>
      <c r="J139" s="132"/>
      <c r="K139" s="133"/>
      <c r="L139" s="134"/>
      <c r="M139" s="134"/>
      <c r="N139" s="135"/>
      <c r="O139" s="219"/>
      <c r="P139" s="143"/>
      <c r="Q139" s="144"/>
      <c r="R139" s="150"/>
      <c r="S139" s="127" t="str">
        <f t="shared" si="20"/>
        <v/>
      </c>
      <c r="T139" s="175" t="str">
        <f t="shared" si="21"/>
        <v/>
      </c>
      <c r="U139" s="158" t="e">
        <f t="shared" si="22"/>
        <v>#N/A</v>
      </c>
      <c r="V139" s="310" t="str">
        <f t="shared" si="23"/>
        <v/>
      </c>
      <c r="W139" s="137" t="str">
        <f t="shared" si="24"/>
        <v>X</v>
      </c>
      <c r="X139" s="137">
        <f t="shared" si="25"/>
        <v>0</v>
      </c>
    </row>
    <row r="140" spans="1:24" ht="17.25" customHeight="1">
      <c r="A140" s="137" t="str">
        <f t="shared" ca="1" si="18"/>
        <v>-</v>
      </c>
      <c r="B140" s="173"/>
      <c r="C140" s="253" t="str">
        <f t="shared" si="19"/>
        <v/>
      </c>
      <c r="D140" s="173"/>
      <c r="E140" s="173"/>
      <c r="F140" s="329" t="str">
        <f t="shared" si="26"/>
        <v/>
      </c>
      <c r="G140" s="174"/>
      <c r="H140" s="130" t="str">
        <f>IFERROR(INDEX(DMDT!B:B,MATCH($G140,DMDT!D:D,0),),"")</f>
        <v/>
      </c>
      <c r="I140" s="131"/>
      <c r="J140" s="132"/>
      <c r="K140" s="133"/>
      <c r="L140" s="134"/>
      <c r="M140" s="134"/>
      <c r="N140" s="135"/>
      <c r="O140" s="219"/>
      <c r="P140" s="143"/>
      <c r="Q140" s="144"/>
      <c r="R140" s="150"/>
      <c r="S140" s="127" t="str">
        <f t="shared" si="20"/>
        <v/>
      </c>
      <c r="T140" s="175" t="str">
        <f t="shared" si="21"/>
        <v/>
      </c>
      <c r="U140" s="158" t="e">
        <f t="shared" si="22"/>
        <v>#N/A</v>
      </c>
      <c r="V140" s="310" t="str">
        <f t="shared" si="23"/>
        <v/>
      </c>
      <c r="W140" s="137" t="str">
        <f t="shared" si="24"/>
        <v>X</v>
      </c>
      <c r="X140" s="137">
        <f t="shared" si="25"/>
        <v>0</v>
      </c>
    </row>
    <row r="141" spans="1:24" ht="17.25" customHeight="1">
      <c r="A141" s="137" t="str">
        <f t="shared" ca="1" si="18"/>
        <v>-</v>
      </c>
      <c r="B141" s="173"/>
      <c r="C141" s="253" t="str">
        <f t="shared" si="19"/>
        <v/>
      </c>
      <c r="D141" s="173"/>
      <c r="E141" s="173"/>
      <c r="F141" s="329" t="str">
        <f t="shared" si="26"/>
        <v/>
      </c>
      <c r="G141" s="176"/>
      <c r="H141" s="130" t="str">
        <f>IFERROR(INDEX(DMDT!B:B,MATCH($G141,DMDT!D:D,0),),"")</f>
        <v/>
      </c>
      <c r="I141" s="131"/>
      <c r="J141" s="132"/>
      <c r="K141" s="133"/>
      <c r="L141" s="134"/>
      <c r="M141" s="134"/>
      <c r="N141" s="135"/>
      <c r="O141" s="219"/>
      <c r="P141" s="143"/>
      <c r="Q141" s="144"/>
      <c r="R141" s="150"/>
      <c r="S141" s="127" t="str">
        <f t="shared" si="20"/>
        <v/>
      </c>
      <c r="T141" s="175" t="str">
        <f t="shared" si="21"/>
        <v/>
      </c>
      <c r="U141" s="158" t="e">
        <f t="shared" si="22"/>
        <v>#N/A</v>
      </c>
      <c r="V141" s="310" t="str">
        <f t="shared" si="23"/>
        <v/>
      </c>
      <c r="W141" s="137" t="str">
        <f t="shared" si="24"/>
        <v>X</v>
      </c>
      <c r="X141" s="137">
        <f t="shared" si="25"/>
        <v>0</v>
      </c>
    </row>
    <row r="142" spans="1:24" ht="17.25" customHeight="1">
      <c r="A142" s="137" t="str">
        <f t="shared" ca="1" si="18"/>
        <v>-</v>
      </c>
      <c r="B142" s="173"/>
      <c r="C142" s="253" t="str">
        <f t="shared" si="19"/>
        <v/>
      </c>
      <c r="D142" s="173"/>
      <c r="E142" s="173"/>
      <c r="F142" s="329" t="str">
        <f t="shared" si="26"/>
        <v/>
      </c>
      <c r="G142" s="176"/>
      <c r="H142" s="130" t="str">
        <f>IFERROR(INDEX(DMDT!B:B,MATCH($G142,DMDT!D:D,0),),"")</f>
        <v/>
      </c>
      <c r="I142" s="131"/>
      <c r="J142" s="132"/>
      <c r="K142" s="133"/>
      <c r="L142" s="134"/>
      <c r="M142" s="134"/>
      <c r="N142" s="135"/>
      <c r="O142" s="219"/>
      <c r="P142" s="143"/>
      <c r="Q142" s="144"/>
      <c r="R142" s="150"/>
      <c r="S142" s="127" t="str">
        <f t="shared" si="20"/>
        <v/>
      </c>
      <c r="T142" s="175" t="str">
        <f t="shared" si="21"/>
        <v/>
      </c>
      <c r="U142" s="158" t="e">
        <f t="shared" si="22"/>
        <v>#N/A</v>
      </c>
      <c r="V142" s="310" t="str">
        <f t="shared" si="23"/>
        <v/>
      </c>
      <c r="W142" s="137" t="str">
        <f t="shared" si="24"/>
        <v>X</v>
      </c>
      <c r="X142" s="137">
        <f t="shared" si="25"/>
        <v>0</v>
      </c>
    </row>
    <row r="143" spans="1:24" ht="17.25" customHeight="1">
      <c r="A143" s="137" t="str">
        <f t="shared" ca="1" si="18"/>
        <v>-</v>
      </c>
      <c r="B143" s="173"/>
      <c r="C143" s="253" t="str">
        <f t="shared" si="19"/>
        <v/>
      </c>
      <c r="D143" s="173"/>
      <c r="E143" s="173"/>
      <c r="F143" s="329" t="str">
        <f t="shared" si="26"/>
        <v/>
      </c>
      <c r="G143" s="176"/>
      <c r="H143" s="130" t="str">
        <f>IFERROR(INDEX(DMDT!B:B,MATCH($G143,DMDT!D:D,0),),"")</f>
        <v/>
      </c>
      <c r="I143" s="131"/>
      <c r="J143" s="132"/>
      <c r="K143" s="133"/>
      <c r="L143" s="134"/>
      <c r="M143" s="134"/>
      <c r="N143" s="135"/>
      <c r="O143" s="219"/>
      <c r="P143" s="143"/>
      <c r="Q143" s="144"/>
      <c r="R143" s="150"/>
      <c r="S143" s="127" t="str">
        <f t="shared" si="20"/>
        <v/>
      </c>
      <c r="T143" s="175" t="str">
        <f t="shared" si="21"/>
        <v/>
      </c>
      <c r="U143" s="158" t="e">
        <f t="shared" si="22"/>
        <v>#N/A</v>
      </c>
      <c r="V143" s="310" t="str">
        <f t="shared" si="23"/>
        <v/>
      </c>
      <c r="W143" s="137" t="str">
        <f t="shared" si="24"/>
        <v>X</v>
      </c>
      <c r="X143" s="137">
        <f t="shared" si="25"/>
        <v>0</v>
      </c>
    </row>
    <row r="144" spans="1:24" ht="17.25" customHeight="1">
      <c r="A144" s="137" t="str">
        <f t="shared" ca="1" si="18"/>
        <v>-</v>
      </c>
      <c r="B144" s="173"/>
      <c r="C144" s="253" t="str">
        <f t="shared" si="19"/>
        <v/>
      </c>
      <c r="D144" s="173"/>
      <c r="E144" s="173"/>
      <c r="F144" s="329" t="str">
        <f t="shared" si="26"/>
        <v/>
      </c>
      <c r="G144" s="176"/>
      <c r="H144" s="130" t="str">
        <f>IFERROR(INDEX(DMDT!B:B,MATCH($G144,DMDT!D:D,0),),"")</f>
        <v/>
      </c>
      <c r="I144" s="131"/>
      <c r="J144" s="132"/>
      <c r="K144" s="133"/>
      <c r="L144" s="134"/>
      <c r="M144" s="134"/>
      <c r="N144" s="135"/>
      <c r="O144" s="219"/>
      <c r="P144" s="143"/>
      <c r="Q144" s="144"/>
      <c r="R144" s="150"/>
      <c r="S144" s="127" t="str">
        <f t="shared" si="20"/>
        <v/>
      </c>
      <c r="T144" s="175" t="str">
        <f t="shared" si="21"/>
        <v/>
      </c>
      <c r="U144" s="158" t="e">
        <f t="shared" si="22"/>
        <v>#N/A</v>
      </c>
      <c r="V144" s="310" t="str">
        <f t="shared" si="23"/>
        <v/>
      </c>
      <c r="W144" s="137" t="str">
        <f t="shared" si="24"/>
        <v>X</v>
      </c>
      <c r="X144" s="137">
        <f t="shared" si="25"/>
        <v>0</v>
      </c>
    </row>
    <row r="145" spans="1:24" ht="17.25" customHeight="1">
      <c r="A145" s="137" t="str">
        <f t="shared" ca="1" si="18"/>
        <v>-</v>
      </c>
      <c r="B145" s="173"/>
      <c r="C145" s="253" t="str">
        <f t="shared" si="19"/>
        <v/>
      </c>
      <c r="D145" s="173"/>
      <c r="E145" s="173"/>
      <c r="F145" s="329" t="str">
        <f t="shared" si="26"/>
        <v/>
      </c>
      <c r="G145" s="176"/>
      <c r="H145" s="130" t="str">
        <f>IFERROR(INDEX(DMDT!B:B,MATCH($G145,DMDT!D:D,0),),"")</f>
        <v/>
      </c>
      <c r="I145" s="131"/>
      <c r="J145" s="132"/>
      <c r="K145" s="133"/>
      <c r="L145" s="134"/>
      <c r="M145" s="134"/>
      <c r="N145" s="135"/>
      <c r="O145" s="219"/>
      <c r="P145" s="143"/>
      <c r="Q145" s="144"/>
      <c r="R145" s="150"/>
      <c r="S145" s="127" t="str">
        <f t="shared" si="20"/>
        <v/>
      </c>
      <c r="T145" s="175" t="str">
        <f t="shared" si="21"/>
        <v/>
      </c>
      <c r="U145" s="158" t="e">
        <f t="shared" si="22"/>
        <v>#N/A</v>
      </c>
      <c r="V145" s="310" t="str">
        <f t="shared" si="23"/>
        <v/>
      </c>
      <c r="W145" s="137" t="str">
        <f t="shared" si="24"/>
        <v>X</v>
      </c>
      <c r="X145" s="137">
        <f t="shared" si="25"/>
        <v>0</v>
      </c>
    </row>
    <row r="146" spans="1:24" ht="17.25" customHeight="1">
      <c r="A146" s="137" t="str">
        <f t="shared" ca="1" si="18"/>
        <v>-</v>
      </c>
      <c r="B146" s="173"/>
      <c r="C146" s="253" t="str">
        <f t="shared" si="19"/>
        <v/>
      </c>
      <c r="D146" s="173"/>
      <c r="E146" s="173"/>
      <c r="F146" s="329" t="str">
        <f t="shared" si="26"/>
        <v/>
      </c>
      <c r="G146" s="176"/>
      <c r="H146" s="130" t="str">
        <f>IFERROR(INDEX(DMDT!B:B,MATCH($G146,DMDT!D:D,0),),"")</f>
        <v/>
      </c>
      <c r="I146" s="131"/>
      <c r="J146" s="132"/>
      <c r="K146" s="133"/>
      <c r="L146" s="134"/>
      <c r="M146" s="134"/>
      <c r="N146" s="135"/>
      <c r="O146" s="135"/>
      <c r="P146" s="143"/>
      <c r="Q146" s="144"/>
      <c r="R146" s="150"/>
      <c r="S146" s="127" t="str">
        <f t="shared" si="20"/>
        <v/>
      </c>
      <c r="T146" s="175" t="str">
        <f t="shared" si="21"/>
        <v/>
      </c>
      <c r="U146" s="158" t="e">
        <f t="shared" si="22"/>
        <v>#N/A</v>
      </c>
      <c r="V146" s="310" t="str">
        <f t="shared" si="23"/>
        <v/>
      </c>
      <c r="W146" s="137" t="str">
        <f t="shared" si="24"/>
        <v>X</v>
      </c>
      <c r="X146" s="137">
        <f t="shared" si="25"/>
        <v>0</v>
      </c>
    </row>
    <row r="147" spans="1:24" ht="17.25" customHeight="1">
      <c r="A147" s="137" t="str">
        <f t="shared" ca="1" si="18"/>
        <v>-</v>
      </c>
      <c r="B147" s="173"/>
      <c r="C147" s="253" t="str">
        <f t="shared" si="19"/>
        <v/>
      </c>
      <c r="D147" s="173"/>
      <c r="E147" s="173"/>
      <c r="F147" s="329" t="str">
        <f t="shared" si="26"/>
        <v/>
      </c>
      <c r="G147" s="176"/>
      <c r="H147" s="130" t="str">
        <f>IFERROR(INDEX(DMDT!B:B,MATCH($G147,DMDT!D:D,0),),"")</f>
        <v/>
      </c>
      <c r="I147" s="131"/>
      <c r="J147" s="132"/>
      <c r="K147" s="133"/>
      <c r="L147" s="134"/>
      <c r="M147" s="134"/>
      <c r="N147" s="135"/>
      <c r="O147" s="219"/>
      <c r="P147" s="143"/>
      <c r="Q147" s="144"/>
      <c r="R147" s="150"/>
      <c r="S147" s="127" t="str">
        <f t="shared" si="20"/>
        <v/>
      </c>
      <c r="T147" s="175" t="str">
        <f t="shared" si="21"/>
        <v/>
      </c>
      <c r="U147" s="158" t="e">
        <f t="shared" si="22"/>
        <v>#N/A</v>
      </c>
      <c r="V147" s="310" t="str">
        <f t="shared" si="23"/>
        <v/>
      </c>
      <c r="W147" s="137" t="str">
        <f t="shared" si="24"/>
        <v>X</v>
      </c>
      <c r="X147" s="137">
        <f t="shared" si="25"/>
        <v>0</v>
      </c>
    </row>
    <row r="148" spans="1:24" ht="17.25" customHeight="1">
      <c r="A148" s="137" t="str">
        <f t="shared" ca="1" si="18"/>
        <v>-</v>
      </c>
      <c r="B148" s="173"/>
      <c r="C148" s="253" t="str">
        <f t="shared" si="19"/>
        <v/>
      </c>
      <c r="D148" s="173"/>
      <c r="E148" s="173"/>
      <c r="F148" s="329" t="str">
        <f t="shared" si="26"/>
        <v/>
      </c>
      <c r="G148" s="174"/>
      <c r="H148" s="130" t="str">
        <f>IFERROR(INDEX(DMDT!B:B,MATCH($G148,DMDT!D:D,0),),"")</f>
        <v/>
      </c>
      <c r="I148" s="131"/>
      <c r="J148" s="132"/>
      <c r="K148" s="133"/>
      <c r="L148" s="134"/>
      <c r="M148" s="134"/>
      <c r="N148" s="135"/>
      <c r="O148" s="219"/>
      <c r="P148" s="143"/>
      <c r="Q148" s="144"/>
      <c r="R148" s="150"/>
      <c r="S148" s="127" t="str">
        <f t="shared" si="20"/>
        <v/>
      </c>
      <c r="T148" s="175" t="str">
        <f t="shared" si="21"/>
        <v/>
      </c>
      <c r="U148" s="158" t="e">
        <f t="shared" si="22"/>
        <v>#N/A</v>
      </c>
      <c r="V148" s="310" t="str">
        <f t="shared" si="23"/>
        <v/>
      </c>
      <c r="W148" s="137" t="str">
        <f t="shared" si="24"/>
        <v>X</v>
      </c>
      <c r="X148" s="137">
        <f t="shared" si="25"/>
        <v>0</v>
      </c>
    </row>
    <row r="149" spans="1:24" ht="17.25" customHeight="1">
      <c r="A149" s="137" t="str">
        <f t="shared" ca="1" si="18"/>
        <v>-</v>
      </c>
      <c r="B149" s="173"/>
      <c r="C149" s="253" t="str">
        <f t="shared" si="19"/>
        <v/>
      </c>
      <c r="D149" s="173"/>
      <c r="E149" s="173"/>
      <c r="F149" s="329" t="str">
        <f t="shared" si="26"/>
        <v/>
      </c>
      <c r="G149" s="186"/>
      <c r="H149" s="130" t="str">
        <f>IFERROR(INDEX(DMDT!B:B,MATCH($G149,DMDT!D:D,0),),"")</f>
        <v/>
      </c>
      <c r="I149" s="131"/>
      <c r="J149" s="132"/>
      <c r="K149" s="133"/>
      <c r="L149" s="134"/>
      <c r="M149" s="134"/>
      <c r="N149" s="135"/>
      <c r="O149" s="219"/>
      <c r="P149" s="143"/>
      <c r="Q149" s="144"/>
      <c r="R149" s="150"/>
      <c r="S149" s="127" t="str">
        <f t="shared" si="20"/>
        <v/>
      </c>
      <c r="T149" s="175" t="str">
        <f t="shared" si="21"/>
        <v/>
      </c>
      <c r="U149" s="158" t="e">
        <f t="shared" si="22"/>
        <v>#N/A</v>
      </c>
      <c r="V149" s="310" t="str">
        <f t="shared" si="23"/>
        <v/>
      </c>
      <c r="W149" s="137" t="str">
        <f t="shared" si="24"/>
        <v>X</v>
      </c>
      <c r="X149" s="137">
        <f t="shared" si="25"/>
        <v>0</v>
      </c>
    </row>
    <row r="150" spans="1:24" ht="17.25" customHeight="1">
      <c r="A150" s="137" t="str">
        <f t="shared" ca="1" si="18"/>
        <v>-</v>
      </c>
      <c r="B150" s="173"/>
      <c r="C150" s="253" t="str">
        <f t="shared" si="19"/>
        <v/>
      </c>
      <c r="D150" s="173"/>
      <c r="E150" s="173"/>
      <c r="F150" s="329" t="str">
        <f t="shared" si="26"/>
        <v/>
      </c>
      <c r="G150" s="176"/>
      <c r="H150" s="130" t="str">
        <f>IFERROR(INDEX(DMDT!B:B,MATCH($G150,DMDT!D:D,0),),"")</f>
        <v/>
      </c>
      <c r="I150" s="131"/>
      <c r="J150" s="132"/>
      <c r="K150" s="133"/>
      <c r="L150" s="134"/>
      <c r="M150" s="134"/>
      <c r="N150" s="135"/>
      <c r="O150" s="219"/>
      <c r="P150" s="143"/>
      <c r="Q150" s="144"/>
      <c r="R150" s="150"/>
      <c r="S150" s="127" t="str">
        <f t="shared" si="20"/>
        <v/>
      </c>
      <c r="T150" s="175" t="str">
        <f t="shared" si="21"/>
        <v/>
      </c>
      <c r="U150" s="158" t="e">
        <f t="shared" si="22"/>
        <v>#N/A</v>
      </c>
      <c r="V150" s="310" t="str">
        <f t="shared" si="23"/>
        <v/>
      </c>
      <c r="W150" s="137" t="str">
        <f t="shared" si="24"/>
        <v>X</v>
      </c>
      <c r="X150" s="137">
        <f t="shared" si="25"/>
        <v>0</v>
      </c>
    </row>
    <row r="151" spans="1:24" ht="17.25" customHeight="1">
      <c r="A151" s="137" t="str">
        <f t="shared" ca="1" si="18"/>
        <v>-</v>
      </c>
      <c r="B151" s="173"/>
      <c r="C151" s="253" t="str">
        <f t="shared" si="19"/>
        <v/>
      </c>
      <c r="D151" s="173"/>
      <c r="E151" s="173"/>
      <c r="F151" s="329" t="str">
        <f t="shared" si="26"/>
        <v/>
      </c>
      <c r="G151" s="176"/>
      <c r="H151" s="130" t="str">
        <f>IFERROR(INDEX(DMDT!B:B,MATCH($G151,DMDT!D:D,0),),"")</f>
        <v/>
      </c>
      <c r="I151" s="131"/>
      <c r="J151" s="132"/>
      <c r="K151" s="133"/>
      <c r="L151" s="134"/>
      <c r="M151" s="134"/>
      <c r="N151" s="135"/>
      <c r="O151" s="219"/>
      <c r="P151" s="143"/>
      <c r="Q151" s="144"/>
      <c r="R151" s="150"/>
      <c r="S151" s="127" t="str">
        <f t="shared" si="20"/>
        <v/>
      </c>
      <c r="T151" s="175" t="str">
        <f t="shared" si="21"/>
        <v/>
      </c>
      <c r="U151" s="158" t="e">
        <f t="shared" si="22"/>
        <v>#N/A</v>
      </c>
      <c r="V151" s="310" t="str">
        <f t="shared" si="23"/>
        <v/>
      </c>
      <c r="W151" s="137" t="str">
        <f t="shared" si="24"/>
        <v>X</v>
      </c>
      <c r="X151" s="137">
        <f t="shared" si="25"/>
        <v>0</v>
      </c>
    </row>
    <row r="152" spans="1:24" ht="17.25" customHeight="1">
      <c r="A152" s="137" t="str">
        <f t="shared" ca="1" si="18"/>
        <v>-</v>
      </c>
      <c r="B152" s="173"/>
      <c r="C152" s="253" t="str">
        <f t="shared" si="19"/>
        <v/>
      </c>
      <c r="D152" s="173"/>
      <c r="E152" s="173"/>
      <c r="F152" s="329" t="str">
        <f t="shared" si="26"/>
        <v/>
      </c>
      <c r="G152" s="186"/>
      <c r="H152" s="130" t="str">
        <f>IFERROR(INDEX(DMDT!B:B,MATCH($G152,DMDT!D:D,0),),"")</f>
        <v/>
      </c>
      <c r="I152" s="131"/>
      <c r="J152" s="132"/>
      <c r="K152" s="133"/>
      <c r="L152" s="134"/>
      <c r="M152" s="134"/>
      <c r="N152" s="135"/>
      <c r="O152" s="219"/>
      <c r="P152" s="143"/>
      <c r="Q152" s="144"/>
      <c r="R152" s="150"/>
      <c r="S152" s="127" t="str">
        <f t="shared" si="20"/>
        <v/>
      </c>
      <c r="T152" s="175" t="str">
        <f t="shared" si="21"/>
        <v/>
      </c>
      <c r="U152" s="158" t="e">
        <f t="shared" si="22"/>
        <v>#N/A</v>
      </c>
      <c r="V152" s="310" t="str">
        <f t="shared" si="23"/>
        <v/>
      </c>
      <c r="W152" s="137" t="str">
        <f t="shared" si="24"/>
        <v>X</v>
      </c>
      <c r="X152" s="137">
        <f t="shared" si="25"/>
        <v>0</v>
      </c>
    </row>
    <row r="153" spans="1:24" ht="17.25" customHeight="1">
      <c r="A153" s="137" t="str">
        <f t="shared" ca="1" si="18"/>
        <v>-</v>
      </c>
      <c r="B153" s="173"/>
      <c r="C153" s="253" t="str">
        <f t="shared" si="19"/>
        <v/>
      </c>
      <c r="D153" s="173"/>
      <c r="E153" s="173"/>
      <c r="F153" s="329" t="str">
        <f t="shared" si="26"/>
        <v/>
      </c>
      <c r="G153" s="176"/>
      <c r="H153" s="130" t="str">
        <f>IFERROR(INDEX(DMDT!B:B,MATCH($G153,DMDT!D:D,0),),"")</f>
        <v/>
      </c>
      <c r="I153" s="131"/>
      <c r="J153" s="132"/>
      <c r="K153" s="133"/>
      <c r="L153" s="134"/>
      <c r="M153" s="134"/>
      <c r="N153" s="135"/>
      <c r="O153" s="219"/>
      <c r="P153" s="143"/>
      <c r="Q153" s="144"/>
      <c r="R153" s="150"/>
      <c r="S153" s="127" t="str">
        <f t="shared" si="20"/>
        <v/>
      </c>
      <c r="T153" s="175" t="str">
        <f t="shared" si="21"/>
        <v/>
      </c>
      <c r="U153" s="158" t="e">
        <f t="shared" si="22"/>
        <v>#N/A</v>
      </c>
      <c r="V153" s="310" t="str">
        <f t="shared" si="23"/>
        <v/>
      </c>
      <c r="W153" s="137" t="str">
        <f t="shared" si="24"/>
        <v>X</v>
      </c>
      <c r="X153" s="137">
        <f t="shared" si="25"/>
        <v>0</v>
      </c>
    </row>
    <row r="154" spans="1:24" ht="17.25" customHeight="1">
      <c r="A154" s="137" t="str">
        <f t="shared" ca="1" si="18"/>
        <v>-</v>
      </c>
      <c r="B154" s="173"/>
      <c r="C154" s="253" t="str">
        <f t="shared" si="19"/>
        <v/>
      </c>
      <c r="D154" s="173"/>
      <c r="E154" s="173"/>
      <c r="F154" s="329" t="str">
        <f t="shared" si="26"/>
        <v/>
      </c>
      <c r="G154" s="176"/>
      <c r="H154" s="130" t="str">
        <f>IFERROR(INDEX(DMDT!B:B,MATCH($G154,DMDT!D:D,0),),"")</f>
        <v/>
      </c>
      <c r="I154" s="131"/>
      <c r="J154" s="132"/>
      <c r="K154" s="133"/>
      <c r="L154" s="134"/>
      <c r="M154" s="134"/>
      <c r="N154" s="135"/>
      <c r="O154" s="219"/>
      <c r="P154" s="143"/>
      <c r="Q154" s="144"/>
      <c r="R154" s="150"/>
      <c r="S154" s="127" t="str">
        <f t="shared" si="20"/>
        <v/>
      </c>
      <c r="T154" s="175" t="str">
        <f t="shared" si="21"/>
        <v/>
      </c>
      <c r="U154" s="158" t="e">
        <f t="shared" si="22"/>
        <v>#N/A</v>
      </c>
      <c r="V154" s="310" t="str">
        <f t="shared" si="23"/>
        <v/>
      </c>
      <c r="W154" s="137" t="str">
        <f t="shared" si="24"/>
        <v>X</v>
      </c>
      <c r="X154" s="137">
        <f t="shared" si="25"/>
        <v>0</v>
      </c>
    </row>
    <row r="155" spans="1:24" ht="17.25" customHeight="1">
      <c r="A155" s="137" t="str">
        <f t="shared" ca="1" si="18"/>
        <v>-</v>
      </c>
      <c r="B155" s="173"/>
      <c r="C155" s="253" t="str">
        <f t="shared" si="19"/>
        <v/>
      </c>
      <c r="D155" s="173"/>
      <c r="E155" s="173"/>
      <c r="F155" s="329" t="str">
        <f t="shared" si="26"/>
        <v/>
      </c>
      <c r="G155" s="176"/>
      <c r="H155" s="130" t="str">
        <f>IFERROR(INDEX(DMDT!B:B,MATCH($G155,DMDT!D:D,0),),"")</f>
        <v/>
      </c>
      <c r="I155" s="131"/>
      <c r="J155" s="132"/>
      <c r="K155" s="133"/>
      <c r="L155" s="134"/>
      <c r="M155" s="134"/>
      <c r="N155" s="135"/>
      <c r="O155" s="219"/>
      <c r="P155" s="143"/>
      <c r="Q155" s="144"/>
      <c r="R155" s="150"/>
      <c r="S155" s="127" t="str">
        <f t="shared" si="20"/>
        <v/>
      </c>
      <c r="T155" s="175" t="str">
        <f t="shared" si="21"/>
        <v/>
      </c>
      <c r="U155" s="158" t="e">
        <f t="shared" si="22"/>
        <v>#N/A</v>
      </c>
      <c r="V155" s="310" t="str">
        <f t="shared" si="23"/>
        <v/>
      </c>
      <c r="W155" s="137" t="str">
        <f t="shared" si="24"/>
        <v>X</v>
      </c>
      <c r="X155" s="137">
        <f t="shared" si="25"/>
        <v>0</v>
      </c>
    </row>
    <row r="156" spans="1:24" ht="17.25" customHeight="1">
      <c r="A156" s="137" t="str">
        <f t="shared" ca="1" si="18"/>
        <v>-</v>
      </c>
      <c r="B156" s="173"/>
      <c r="C156" s="253" t="str">
        <f t="shared" si="19"/>
        <v/>
      </c>
      <c r="D156" s="173"/>
      <c r="E156" s="173"/>
      <c r="F156" s="329" t="str">
        <f t="shared" si="26"/>
        <v/>
      </c>
      <c r="G156" s="176"/>
      <c r="H156" s="130" t="str">
        <f>IFERROR(INDEX(DMDT!B:B,MATCH($G156,DMDT!D:D,0),),"")</f>
        <v/>
      </c>
      <c r="I156" s="131"/>
      <c r="J156" s="132"/>
      <c r="K156" s="133"/>
      <c r="L156" s="134"/>
      <c r="M156" s="134"/>
      <c r="N156" s="135"/>
      <c r="O156" s="219"/>
      <c r="P156" s="143"/>
      <c r="Q156" s="144"/>
      <c r="R156" s="150"/>
      <c r="S156" s="127" t="str">
        <f t="shared" si="20"/>
        <v/>
      </c>
      <c r="T156" s="175" t="str">
        <f t="shared" si="21"/>
        <v/>
      </c>
      <c r="U156" s="158" t="e">
        <f t="shared" si="22"/>
        <v>#N/A</v>
      </c>
      <c r="V156" s="310" t="str">
        <f t="shared" si="23"/>
        <v/>
      </c>
      <c r="W156" s="137" t="str">
        <f t="shared" si="24"/>
        <v>X</v>
      </c>
      <c r="X156" s="137">
        <f t="shared" si="25"/>
        <v>0</v>
      </c>
    </row>
    <row r="157" spans="1:24" ht="17.25" customHeight="1">
      <c r="A157" s="137" t="str">
        <f t="shared" ca="1" si="18"/>
        <v>-</v>
      </c>
      <c r="B157" s="173"/>
      <c r="C157" s="253" t="str">
        <f t="shared" si="19"/>
        <v/>
      </c>
      <c r="D157" s="173"/>
      <c r="E157" s="173"/>
      <c r="F157" s="329" t="str">
        <f t="shared" si="26"/>
        <v/>
      </c>
      <c r="G157" s="176"/>
      <c r="H157" s="130" t="str">
        <f>IFERROR(INDEX(DMDT!B:B,MATCH($G157,DMDT!D:D,0),),"")</f>
        <v/>
      </c>
      <c r="I157" s="131"/>
      <c r="J157" s="132"/>
      <c r="K157" s="133"/>
      <c r="L157" s="134"/>
      <c r="M157" s="134"/>
      <c r="N157" s="135"/>
      <c r="O157" s="219"/>
      <c r="P157" s="143"/>
      <c r="Q157" s="144"/>
      <c r="R157" s="150"/>
      <c r="S157" s="127" t="str">
        <f t="shared" si="20"/>
        <v/>
      </c>
      <c r="T157" s="175" t="str">
        <f t="shared" si="21"/>
        <v/>
      </c>
      <c r="U157" s="158" t="e">
        <f t="shared" si="22"/>
        <v>#N/A</v>
      </c>
      <c r="V157" s="310" t="str">
        <f t="shared" si="23"/>
        <v/>
      </c>
      <c r="W157" s="137" t="str">
        <f t="shared" si="24"/>
        <v>X</v>
      </c>
      <c r="X157" s="137">
        <f t="shared" si="25"/>
        <v>0</v>
      </c>
    </row>
    <row r="158" spans="1:24" ht="17.25" customHeight="1">
      <c r="A158" s="137" t="str">
        <f t="shared" ca="1" si="18"/>
        <v>-</v>
      </c>
      <c r="B158" s="173"/>
      <c r="C158" s="253" t="str">
        <f t="shared" si="19"/>
        <v/>
      </c>
      <c r="D158" s="173"/>
      <c r="E158" s="173"/>
      <c r="F158" s="329" t="str">
        <f t="shared" si="26"/>
        <v/>
      </c>
      <c r="G158" s="176"/>
      <c r="H158" s="130" t="str">
        <f>IFERROR(INDEX(DMDT!B:B,MATCH($G158,DMDT!D:D,0),),"")</f>
        <v/>
      </c>
      <c r="I158" s="131"/>
      <c r="J158" s="132"/>
      <c r="K158" s="133"/>
      <c r="L158" s="134"/>
      <c r="M158" s="134"/>
      <c r="N158" s="135"/>
      <c r="O158" s="219"/>
      <c r="P158" s="143"/>
      <c r="Q158" s="144"/>
      <c r="R158" s="150"/>
      <c r="S158" s="127" t="str">
        <f t="shared" si="20"/>
        <v/>
      </c>
      <c r="T158" s="175" t="str">
        <f t="shared" si="21"/>
        <v/>
      </c>
      <c r="U158" s="158" t="e">
        <f t="shared" si="22"/>
        <v>#N/A</v>
      </c>
      <c r="V158" s="310" t="str">
        <f t="shared" si="23"/>
        <v/>
      </c>
      <c r="W158" s="137" t="str">
        <f t="shared" si="24"/>
        <v>X</v>
      </c>
      <c r="X158" s="137">
        <f t="shared" si="25"/>
        <v>0</v>
      </c>
    </row>
    <row r="159" spans="1:24" ht="17.25" customHeight="1">
      <c r="A159" s="137" t="str">
        <f t="shared" ca="1" si="18"/>
        <v>-</v>
      </c>
      <c r="B159" s="173"/>
      <c r="C159" s="253" t="str">
        <f t="shared" si="19"/>
        <v/>
      </c>
      <c r="D159" s="173"/>
      <c r="E159" s="173"/>
      <c r="F159" s="329" t="str">
        <f t="shared" si="26"/>
        <v/>
      </c>
      <c r="G159" s="176"/>
      <c r="H159" s="130" t="str">
        <f>IFERROR(INDEX(DMDT!B:B,MATCH($G159,DMDT!D:D,0),),"")</f>
        <v/>
      </c>
      <c r="I159" s="131"/>
      <c r="J159" s="132"/>
      <c r="K159" s="133"/>
      <c r="L159" s="134"/>
      <c r="M159" s="134"/>
      <c r="N159" s="135"/>
      <c r="O159" s="219"/>
      <c r="P159" s="143"/>
      <c r="Q159" s="144"/>
      <c r="R159" s="150"/>
      <c r="S159" s="127" t="str">
        <f t="shared" si="20"/>
        <v/>
      </c>
      <c r="T159" s="175" t="str">
        <f t="shared" si="21"/>
        <v/>
      </c>
      <c r="U159" s="158" t="e">
        <f t="shared" si="22"/>
        <v>#N/A</v>
      </c>
      <c r="V159" s="310" t="str">
        <f t="shared" si="23"/>
        <v/>
      </c>
      <c r="W159" s="137" t="str">
        <f t="shared" si="24"/>
        <v>X</v>
      </c>
      <c r="X159" s="137">
        <f t="shared" si="25"/>
        <v>0</v>
      </c>
    </row>
    <row r="160" spans="1:24" ht="17.25" customHeight="1">
      <c r="A160" s="137" t="str">
        <f t="shared" ca="1" si="18"/>
        <v>-</v>
      </c>
      <c r="B160" s="173"/>
      <c r="C160" s="253" t="str">
        <f t="shared" si="19"/>
        <v/>
      </c>
      <c r="D160" s="173"/>
      <c r="E160" s="173"/>
      <c r="F160" s="329" t="str">
        <f t="shared" si="26"/>
        <v/>
      </c>
      <c r="G160" s="186"/>
      <c r="H160" s="130" t="str">
        <f>IFERROR(INDEX(DMDT!B:B,MATCH($G160,DMDT!D:D,0),),"")</f>
        <v/>
      </c>
      <c r="I160" s="131"/>
      <c r="J160" s="132"/>
      <c r="K160" s="133"/>
      <c r="L160" s="134"/>
      <c r="M160" s="134"/>
      <c r="N160" s="135"/>
      <c r="O160" s="219"/>
      <c r="P160" s="143"/>
      <c r="Q160" s="144"/>
      <c r="R160" s="150"/>
      <c r="S160" s="127" t="str">
        <f t="shared" si="20"/>
        <v/>
      </c>
      <c r="T160" s="175" t="str">
        <f t="shared" si="21"/>
        <v/>
      </c>
      <c r="U160" s="158" t="e">
        <f t="shared" si="22"/>
        <v>#N/A</v>
      </c>
      <c r="V160" s="310" t="str">
        <f t="shared" si="23"/>
        <v/>
      </c>
      <c r="W160" s="137" t="str">
        <f t="shared" si="24"/>
        <v>X</v>
      </c>
      <c r="X160" s="137">
        <f t="shared" si="25"/>
        <v>0</v>
      </c>
    </row>
    <row r="161" spans="1:24" ht="17.25" customHeight="1">
      <c r="A161" s="137" t="str">
        <f t="shared" ca="1" si="18"/>
        <v>-</v>
      </c>
      <c r="B161" s="173"/>
      <c r="C161" s="253" t="str">
        <f t="shared" si="19"/>
        <v/>
      </c>
      <c r="D161" s="173"/>
      <c r="E161" s="173"/>
      <c r="F161" s="329" t="str">
        <f t="shared" si="26"/>
        <v/>
      </c>
      <c r="G161" s="176"/>
      <c r="H161" s="130" t="str">
        <f>IFERROR(INDEX(DMDT!B:B,MATCH($G161,DMDT!D:D,0),),"")</f>
        <v/>
      </c>
      <c r="I161" s="131"/>
      <c r="J161" s="132"/>
      <c r="K161" s="133"/>
      <c r="L161" s="134"/>
      <c r="M161" s="134"/>
      <c r="N161" s="135"/>
      <c r="O161" s="219"/>
      <c r="P161" s="143"/>
      <c r="Q161" s="144"/>
      <c r="R161" s="150"/>
      <c r="S161" s="127" t="str">
        <f t="shared" si="20"/>
        <v/>
      </c>
      <c r="T161" s="175" t="str">
        <f t="shared" si="21"/>
        <v/>
      </c>
      <c r="U161" s="158" t="e">
        <f t="shared" si="22"/>
        <v>#N/A</v>
      </c>
      <c r="V161" s="310" t="str">
        <f t="shared" si="23"/>
        <v/>
      </c>
      <c r="W161" s="137" t="str">
        <f t="shared" si="24"/>
        <v>X</v>
      </c>
      <c r="X161" s="137">
        <f t="shared" si="25"/>
        <v>0</v>
      </c>
    </row>
    <row r="162" spans="1:24" ht="17.25" customHeight="1">
      <c r="A162" s="137" t="str">
        <f t="shared" ca="1" si="18"/>
        <v>-</v>
      </c>
      <c r="B162" s="173"/>
      <c r="C162" s="253" t="str">
        <f t="shared" si="19"/>
        <v/>
      </c>
      <c r="D162" s="173"/>
      <c r="E162" s="173"/>
      <c r="F162" s="329" t="str">
        <f t="shared" si="26"/>
        <v/>
      </c>
      <c r="G162" s="176"/>
      <c r="H162" s="130" t="str">
        <f>IFERROR(INDEX(DMDT!B:B,MATCH($G162,DMDT!D:D,0),),"")</f>
        <v/>
      </c>
      <c r="I162" s="131"/>
      <c r="J162" s="132"/>
      <c r="K162" s="133"/>
      <c r="L162" s="134"/>
      <c r="M162" s="134"/>
      <c r="N162" s="135"/>
      <c r="O162" s="219"/>
      <c r="P162" s="143"/>
      <c r="Q162" s="144"/>
      <c r="R162" s="150"/>
      <c r="S162" s="127" t="str">
        <f t="shared" si="20"/>
        <v/>
      </c>
      <c r="T162" s="175" t="str">
        <f t="shared" si="21"/>
        <v/>
      </c>
      <c r="U162" s="158" t="e">
        <f t="shared" si="22"/>
        <v>#N/A</v>
      </c>
      <c r="V162" s="310" t="str">
        <f t="shared" si="23"/>
        <v/>
      </c>
      <c r="W162" s="137" t="str">
        <f t="shared" si="24"/>
        <v>X</v>
      </c>
      <c r="X162" s="137">
        <f t="shared" si="25"/>
        <v>0</v>
      </c>
    </row>
    <row r="163" spans="1:24" ht="17.25" customHeight="1">
      <c r="A163" s="137" t="str">
        <f t="shared" ca="1" si="18"/>
        <v>-</v>
      </c>
      <c r="B163" s="173"/>
      <c r="C163" s="253" t="str">
        <f t="shared" si="19"/>
        <v/>
      </c>
      <c r="D163" s="173"/>
      <c r="E163" s="173"/>
      <c r="F163" s="329" t="str">
        <f t="shared" si="26"/>
        <v/>
      </c>
      <c r="G163" s="176"/>
      <c r="H163" s="130" t="str">
        <f>IFERROR(INDEX(DMDT!B:B,MATCH($G163,DMDT!D:D,0),),"")</f>
        <v/>
      </c>
      <c r="I163" s="131"/>
      <c r="J163" s="132"/>
      <c r="K163" s="133"/>
      <c r="L163" s="134"/>
      <c r="M163" s="134"/>
      <c r="N163" s="135"/>
      <c r="O163" s="219"/>
      <c r="P163" s="143"/>
      <c r="Q163" s="144"/>
      <c r="R163" s="150"/>
      <c r="S163" s="127" t="str">
        <f t="shared" si="20"/>
        <v/>
      </c>
      <c r="T163" s="175" t="str">
        <f t="shared" si="21"/>
        <v/>
      </c>
      <c r="U163" s="158" t="e">
        <f t="shared" si="22"/>
        <v>#N/A</v>
      </c>
      <c r="V163" s="310" t="str">
        <f t="shared" si="23"/>
        <v/>
      </c>
      <c r="W163" s="137" t="str">
        <f t="shared" si="24"/>
        <v>X</v>
      </c>
      <c r="X163" s="137">
        <f t="shared" si="25"/>
        <v>0</v>
      </c>
    </row>
    <row r="164" spans="1:24" ht="17.25" customHeight="1">
      <c r="A164" s="137" t="str">
        <f t="shared" ca="1" si="18"/>
        <v>-</v>
      </c>
      <c r="B164" s="173"/>
      <c r="C164" s="253" t="str">
        <f t="shared" si="19"/>
        <v/>
      </c>
      <c r="D164" s="173"/>
      <c r="E164" s="173"/>
      <c r="F164" s="329" t="str">
        <f t="shared" si="26"/>
        <v/>
      </c>
      <c r="G164" s="176"/>
      <c r="H164" s="130" t="str">
        <f>IFERROR(INDEX(DMDT!B:B,MATCH($G164,DMDT!D:D,0),),"")</f>
        <v/>
      </c>
      <c r="I164" s="131"/>
      <c r="J164" s="132"/>
      <c r="K164" s="133"/>
      <c r="L164" s="134"/>
      <c r="M164" s="134"/>
      <c r="N164" s="135"/>
      <c r="O164" s="219"/>
      <c r="P164" s="143"/>
      <c r="Q164" s="144"/>
      <c r="R164" s="150"/>
      <c r="S164" s="127" t="str">
        <f t="shared" si="20"/>
        <v/>
      </c>
      <c r="T164" s="175" t="str">
        <f t="shared" si="21"/>
        <v/>
      </c>
      <c r="U164" s="158" t="e">
        <f t="shared" si="22"/>
        <v>#N/A</v>
      </c>
      <c r="V164" s="310" t="str">
        <f t="shared" si="23"/>
        <v/>
      </c>
      <c r="W164" s="137" t="str">
        <f t="shared" si="24"/>
        <v>X</v>
      </c>
      <c r="X164" s="137">
        <f t="shared" si="25"/>
        <v>0</v>
      </c>
    </row>
    <row r="165" spans="1:24" ht="17.25" customHeight="1">
      <c r="A165" s="137" t="str">
        <f t="shared" ca="1" si="18"/>
        <v>-</v>
      </c>
      <c r="B165" s="173"/>
      <c r="C165" s="253" t="str">
        <f t="shared" si="19"/>
        <v/>
      </c>
      <c r="D165" s="173"/>
      <c r="E165" s="173"/>
      <c r="F165" s="329" t="str">
        <f t="shared" si="26"/>
        <v/>
      </c>
      <c r="G165" s="176"/>
      <c r="H165" s="130" t="str">
        <f>IFERROR(INDEX(DMDT!B:B,MATCH($G165,DMDT!D:D,0),),"")</f>
        <v/>
      </c>
      <c r="I165" s="131"/>
      <c r="J165" s="132"/>
      <c r="K165" s="133"/>
      <c r="L165" s="134"/>
      <c r="M165" s="134"/>
      <c r="N165" s="135"/>
      <c r="O165" s="219"/>
      <c r="P165" s="143"/>
      <c r="Q165" s="144"/>
      <c r="R165" s="150"/>
      <c r="S165" s="127" t="str">
        <f t="shared" si="20"/>
        <v/>
      </c>
      <c r="T165" s="175" t="str">
        <f t="shared" si="21"/>
        <v/>
      </c>
      <c r="U165" s="158" t="e">
        <f t="shared" si="22"/>
        <v>#N/A</v>
      </c>
      <c r="V165" s="310" t="str">
        <f t="shared" si="23"/>
        <v/>
      </c>
      <c r="W165" s="137" t="str">
        <f t="shared" si="24"/>
        <v>X</v>
      </c>
      <c r="X165" s="137">
        <f t="shared" si="25"/>
        <v>0</v>
      </c>
    </row>
    <row r="166" spans="1:24" ht="17.25" customHeight="1">
      <c r="A166" s="137" t="str">
        <f t="shared" ca="1" si="18"/>
        <v>-</v>
      </c>
      <c r="B166" s="173"/>
      <c r="C166" s="253" t="str">
        <f t="shared" si="19"/>
        <v/>
      </c>
      <c r="D166" s="173"/>
      <c r="E166" s="173"/>
      <c r="F166" s="329" t="str">
        <f t="shared" si="26"/>
        <v/>
      </c>
      <c r="G166" s="176"/>
      <c r="H166" s="130" t="str">
        <f>IFERROR(INDEX(DMDT!B:B,MATCH($G166,DMDT!D:D,0),),"")</f>
        <v/>
      </c>
      <c r="I166" s="131"/>
      <c r="J166" s="132"/>
      <c r="K166" s="133"/>
      <c r="L166" s="134"/>
      <c r="M166" s="134"/>
      <c r="N166" s="135"/>
      <c r="O166" s="219"/>
      <c r="P166" s="143"/>
      <c r="Q166" s="144"/>
      <c r="R166" s="150"/>
      <c r="S166" s="127" t="str">
        <f t="shared" si="20"/>
        <v/>
      </c>
      <c r="T166" s="175" t="str">
        <f t="shared" si="21"/>
        <v/>
      </c>
      <c r="U166" s="158" t="e">
        <f t="shared" si="22"/>
        <v>#N/A</v>
      </c>
      <c r="V166" s="310" t="str">
        <f t="shared" si="23"/>
        <v/>
      </c>
      <c r="W166" s="137" t="str">
        <f t="shared" si="24"/>
        <v>X</v>
      </c>
      <c r="X166" s="137">
        <f t="shared" si="25"/>
        <v>0</v>
      </c>
    </row>
    <row r="167" spans="1:24" ht="17.25" customHeight="1">
      <c r="A167" s="137" t="str">
        <f t="shared" ca="1" si="18"/>
        <v>-</v>
      </c>
      <c r="B167" s="173"/>
      <c r="C167" s="253" t="str">
        <f t="shared" si="19"/>
        <v/>
      </c>
      <c r="D167" s="173"/>
      <c r="E167" s="173"/>
      <c r="F167" s="329" t="str">
        <f t="shared" si="26"/>
        <v/>
      </c>
      <c r="G167" s="176"/>
      <c r="H167" s="130" t="str">
        <f>IFERROR(INDEX(DMDT!B:B,MATCH($G167,DMDT!D:D,0),),"")</f>
        <v/>
      </c>
      <c r="I167" s="131"/>
      <c r="J167" s="132"/>
      <c r="K167" s="133"/>
      <c r="L167" s="134"/>
      <c r="M167" s="134"/>
      <c r="N167" s="135"/>
      <c r="O167" s="219"/>
      <c r="P167" s="143"/>
      <c r="Q167" s="144"/>
      <c r="R167" s="150"/>
      <c r="S167" s="127" t="str">
        <f t="shared" si="20"/>
        <v/>
      </c>
      <c r="T167" s="175" t="str">
        <f t="shared" si="21"/>
        <v/>
      </c>
      <c r="U167" s="158" t="e">
        <f t="shared" si="22"/>
        <v>#N/A</v>
      </c>
      <c r="V167" s="310" t="str">
        <f t="shared" si="23"/>
        <v/>
      </c>
      <c r="W167" s="137" t="str">
        <f t="shared" si="24"/>
        <v>X</v>
      </c>
      <c r="X167" s="137">
        <f t="shared" si="25"/>
        <v>0</v>
      </c>
    </row>
    <row r="168" spans="1:24" ht="17.25" customHeight="1">
      <c r="A168" s="137" t="str">
        <f t="shared" ca="1" si="18"/>
        <v>-</v>
      </c>
      <c r="B168" s="173"/>
      <c r="C168" s="253" t="str">
        <f t="shared" si="19"/>
        <v/>
      </c>
      <c r="D168" s="173"/>
      <c r="E168" s="173"/>
      <c r="F168" s="329" t="str">
        <f t="shared" si="26"/>
        <v/>
      </c>
      <c r="G168" s="176"/>
      <c r="H168" s="130" t="str">
        <f>IFERROR(INDEX(DMDT!B:B,MATCH($G168,DMDT!D:D,0),),"")</f>
        <v/>
      </c>
      <c r="I168" s="131"/>
      <c r="J168" s="132"/>
      <c r="K168" s="133"/>
      <c r="L168" s="134"/>
      <c r="M168" s="134"/>
      <c r="N168" s="135"/>
      <c r="O168" s="219"/>
      <c r="P168" s="143"/>
      <c r="Q168" s="144"/>
      <c r="R168" s="150"/>
      <c r="S168" s="127" t="str">
        <f t="shared" si="20"/>
        <v/>
      </c>
      <c r="T168" s="175" t="str">
        <f t="shared" si="21"/>
        <v/>
      </c>
      <c r="U168" s="158" t="e">
        <f t="shared" si="22"/>
        <v>#N/A</v>
      </c>
      <c r="V168" s="310" t="str">
        <f t="shared" si="23"/>
        <v/>
      </c>
      <c r="W168" s="137" t="str">
        <f t="shared" si="24"/>
        <v>X</v>
      </c>
      <c r="X168" s="137">
        <f t="shared" si="25"/>
        <v>0</v>
      </c>
    </row>
    <row r="169" spans="1:24" ht="17.25" customHeight="1">
      <c r="A169" s="137" t="str">
        <f t="shared" ca="1" si="18"/>
        <v>-</v>
      </c>
      <c r="B169" s="173"/>
      <c r="C169" s="253" t="str">
        <f t="shared" si="19"/>
        <v/>
      </c>
      <c r="D169" s="173"/>
      <c r="E169" s="173"/>
      <c r="F169" s="329" t="str">
        <f t="shared" si="26"/>
        <v/>
      </c>
      <c r="G169" s="176"/>
      <c r="H169" s="130" t="str">
        <f>IFERROR(INDEX(DMDT!B:B,MATCH($G169,DMDT!D:D,0),),"")</f>
        <v/>
      </c>
      <c r="I169" s="131"/>
      <c r="J169" s="132"/>
      <c r="K169" s="133"/>
      <c r="L169" s="134"/>
      <c r="M169" s="134"/>
      <c r="N169" s="135"/>
      <c r="O169" s="219"/>
      <c r="P169" s="143"/>
      <c r="Q169" s="144"/>
      <c r="R169" s="150"/>
      <c r="S169" s="127" t="str">
        <f t="shared" si="20"/>
        <v/>
      </c>
      <c r="T169" s="175" t="str">
        <f t="shared" si="21"/>
        <v/>
      </c>
      <c r="U169" s="158" t="e">
        <f t="shared" si="22"/>
        <v>#N/A</v>
      </c>
      <c r="V169" s="310" t="str">
        <f t="shared" si="23"/>
        <v/>
      </c>
      <c r="W169" s="137" t="str">
        <f t="shared" si="24"/>
        <v>X</v>
      </c>
      <c r="X169" s="137">
        <f t="shared" si="25"/>
        <v>0</v>
      </c>
    </row>
    <row r="170" spans="1:24" ht="17.25" customHeight="1">
      <c r="A170" s="137" t="str">
        <f t="shared" ca="1" si="18"/>
        <v>-</v>
      </c>
      <c r="B170" s="173"/>
      <c r="C170" s="253" t="str">
        <f t="shared" si="19"/>
        <v/>
      </c>
      <c r="D170" s="173"/>
      <c r="E170" s="173"/>
      <c r="F170" s="329" t="str">
        <f t="shared" si="26"/>
        <v/>
      </c>
      <c r="G170" s="176"/>
      <c r="H170" s="130" t="str">
        <f>IFERROR(INDEX(DMDT!B:B,MATCH($G170,DMDT!D:D,0),),"")</f>
        <v/>
      </c>
      <c r="I170" s="131"/>
      <c r="J170" s="132"/>
      <c r="K170" s="133"/>
      <c r="L170" s="134"/>
      <c r="M170" s="134"/>
      <c r="N170" s="135"/>
      <c r="O170" s="219"/>
      <c r="P170" s="143"/>
      <c r="Q170" s="144"/>
      <c r="R170" s="150"/>
      <c r="S170" s="127" t="str">
        <f t="shared" si="20"/>
        <v/>
      </c>
      <c r="T170" s="175" t="str">
        <f t="shared" si="21"/>
        <v/>
      </c>
      <c r="U170" s="158" t="e">
        <f t="shared" si="22"/>
        <v>#N/A</v>
      </c>
      <c r="V170" s="310" t="str">
        <f t="shared" si="23"/>
        <v/>
      </c>
      <c r="W170" s="137" t="str">
        <f t="shared" si="24"/>
        <v>X</v>
      </c>
      <c r="X170" s="137">
        <f t="shared" si="25"/>
        <v>0</v>
      </c>
    </row>
    <row r="171" spans="1:24" ht="17.25" customHeight="1">
      <c r="A171" s="137" t="str">
        <f t="shared" ca="1" si="18"/>
        <v>-</v>
      </c>
      <c r="B171" s="173"/>
      <c r="C171" s="253" t="str">
        <f t="shared" si="19"/>
        <v/>
      </c>
      <c r="D171" s="173"/>
      <c r="E171" s="173"/>
      <c r="F171" s="329" t="str">
        <f t="shared" si="26"/>
        <v/>
      </c>
      <c r="G171" s="176"/>
      <c r="H171" s="130" t="str">
        <f>IFERROR(INDEX(DMDT!B:B,MATCH($G171,DMDT!D:D,0),),"")</f>
        <v/>
      </c>
      <c r="I171" s="131"/>
      <c r="J171" s="132"/>
      <c r="K171" s="133"/>
      <c r="L171" s="134"/>
      <c r="M171" s="134"/>
      <c r="N171" s="135"/>
      <c r="O171" s="219"/>
      <c r="P171" s="143"/>
      <c r="Q171" s="144"/>
      <c r="R171" s="150"/>
      <c r="S171" s="127" t="str">
        <f t="shared" si="20"/>
        <v/>
      </c>
      <c r="T171" s="175" t="str">
        <f t="shared" si="21"/>
        <v/>
      </c>
      <c r="U171" s="158" t="e">
        <f t="shared" si="22"/>
        <v>#N/A</v>
      </c>
      <c r="V171" s="310" t="str">
        <f t="shared" si="23"/>
        <v/>
      </c>
      <c r="W171" s="137" t="str">
        <f t="shared" si="24"/>
        <v>X</v>
      </c>
      <c r="X171" s="137">
        <f t="shared" si="25"/>
        <v>0</v>
      </c>
    </row>
    <row r="172" spans="1:24" ht="17.25" customHeight="1">
      <c r="A172" s="137" t="str">
        <f t="shared" ca="1" si="18"/>
        <v>-</v>
      </c>
      <c r="B172" s="173"/>
      <c r="C172" s="253" t="str">
        <f t="shared" si="19"/>
        <v/>
      </c>
      <c r="D172" s="173"/>
      <c r="E172" s="173"/>
      <c r="F172" s="329" t="str">
        <f t="shared" si="26"/>
        <v/>
      </c>
      <c r="G172" s="176"/>
      <c r="H172" s="130" t="str">
        <f>IFERROR(INDEX(DMDT!B:B,MATCH($G172,DMDT!D:D,0),),"")</f>
        <v/>
      </c>
      <c r="I172" s="131"/>
      <c r="J172" s="132"/>
      <c r="K172" s="133"/>
      <c r="L172" s="134"/>
      <c r="M172" s="134"/>
      <c r="N172" s="135"/>
      <c r="O172" s="219"/>
      <c r="P172" s="143"/>
      <c r="Q172" s="144"/>
      <c r="R172" s="150"/>
      <c r="S172" s="127" t="str">
        <f t="shared" si="20"/>
        <v/>
      </c>
      <c r="T172" s="175" t="str">
        <f t="shared" si="21"/>
        <v/>
      </c>
      <c r="U172" s="158" t="e">
        <f t="shared" si="22"/>
        <v>#N/A</v>
      </c>
      <c r="V172" s="310" t="str">
        <f t="shared" si="23"/>
        <v/>
      </c>
      <c r="W172" s="137" t="str">
        <f t="shared" si="24"/>
        <v>X</v>
      </c>
      <c r="X172" s="137">
        <f t="shared" si="25"/>
        <v>0</v>
      </c>
    </row>
    <row r="173" spans="1:24" ht="17.25" customHeight="1">
      <c r="A173" s="137" t="str">
        <f t="shared" ca="1" si="18"/>
        <v>-</v>
      </c>
      <c r="B173" s="173"/>
      <c r="C173" s="253" t="str">
        <f t="shared" si="19"/>
        <v/>
      </c>
      <c r="D173" s="173"/>
      <c r="E173" s="173"/>
      <c r="F173" s="329" t="str">
        <f t="shared" si="26"/>
        <v/>
      </c>
      <c r="G173" s="176"/>
      <c r="H173" s="130" t="str">
        <f>IFERROR(INDEX(DMDT!B:B,MATCH($G173,DMDT!D:D,0),),"")</f>
        <v/>
      </c>
      <c r="I173" s="131"/>
      <c r="J173" s="132"/>
      <c r="K173" s="133"/>
      <c r="L173" s="134"/>
      <c r="M173" s="134"/>
      <c r="N173" s="135"/>
      <c r="O173" s="135"/>
      <c r="P173" s="143"/>
      <c r="Q173" s="144"/>
      <c r="R173" s="150"/>
      <c r="S173" s="127" t="str">
        <f t="shared" si="20"/>
        <v/>
      </c>
      <c r="T173" s="175" t="str">
        <f t="shared" si="21"/>
        <v/>
      </c>
      <c r="U173" s="158" t="e">
        <f t="shared" si="22"/>
        <v>#N/A</v>
      </c>
      <c r="V173" s="310" t="str">
        <f t="shared" si="23"/>
        <v/>
      </c>
      <c r="W173" s="137" t="str">
        <f t="shared" si="24"/>
        <v>X</v>
      </c>
      <c r="X173" s="137">
        <f t="shared" si="25"/>
        <v>0</v>
      </c>
    </row>
    <row r="174" spans="1:24" ht="17.25" customHeight="1">
      <c r="A174" s="137" t="str">
        <f t="shared" ca="1" si="18"/>
        <v>-</v>
      </c>
      <c r="B174" s="173"/>
      <c r="C174" s="253" t="str">
        <f t="shared" si="19"/>
        <v/>
      </c>
      <c r="D174" s="173"/>
      <c r="E174" s="173"/>
      <c r="F174" s="329" t="str">
        <f t="shared" si="26"/>
        <v/>
      </c>
      <c r="G174" s="176"/>
      <c r="H174" s="130" t="str">
        <f>IFERROR(INDEX(DMDT!B:B,MATCH($G174,DMDT!D:D,0),),"")</f>
        <v/>
      </c>
      <c r="I174" s="131"/>
      <c r="J174" s="132"/>
      <c r="K174" s="133"/>
      <c r="L174" s="134"/>
      <c r="M174" s="134"/>
      <c r="N174" s="135"/>
      <c r="O174" s="219"/>
      <c r="P174" s="143"/>
      <c r="Q174" s="144"/>
      <c r="R174" s="150"/>
      <c r="S174" s="127" t="str">
        <f t="shared" si="20"/>
        <v/>
      </c>
      <c r="T174" s="175" t="str">
        <f t="shared" si="21"/>
        <v/>
      </c>
      <c r="U174" s="158" t="e">
        <f t="shared" si="22"/>
        <v>#N/A</v>
      </c>
      <c r="V174" s="310" t="str">
        <f t="shared" si="23"/>
        <v/>
      </c>
      <c r="W174" s="137" t="str">
        <f t="shared" si="24"/>
        <v>X</v>
      </c>
      <c r="X174" s="137">
        <f t="shared" si="25"/>
        <v>0</v>
      </c>
    </row>
    <row r="175" spans="1:24" ht="17.25" customHeight="1">
      <c r="A175" s="137" t="str">
        <f t="shared" ca="1" si="18"/>
        <v>-</v>
      </c>
      <c r="B175" s="173"/>
      <c r="C175" s="253" t="str">
        <f t="shared" si="19"/>
        <v/>
      </c>
      <c r="D175" s="173"/>
      <c r="E175" s="173"/>
      <c r="F175" s="329" t="str">
        <f t="shared" si="26"/>
        <v/>
      </c>
      <c r="G175" s="176"/>
      <c r="H175" s="130" t="str">
        <f>IFERROR(INDEX(DMDT!B:B,MATCH($G175,DMDT!D:D,0),),"")</f>
        <v/>
      </c>
      <c r="I175" s="131"/>
      <c r="J175" s="132"/>
      <c r="K175" s="133"/>
      <c r="L175" s="134"/>
      <c r="M175" s="134"/>
      <c r="N175" s="135"/>
      <c r="O175" s="219"/>
      <c r="P175" s="143"/>
      <c r="Q175" s="144"/>
      <c r="R175" s="150"/>
      <c r="S175" s="127" t="str">
        <f t="shared" si="20"/>
        <v/>
      </c>
      <c r="T175" s="175" t="str">
        <f t="shared" si="21"/>
        <v/>
      </c>
      <c r="U175" s="158" t="e">
        <f t="shared" si="22"/>
        <v>#N/A</v>
      </c>
      <c r="V175" s="310" t="str">
        <f t="shared" si="23"/>
        <v/>
      </c>
      <c r="W175" s="137" t="str">
        <f t="shared" si="24"/>
        <v>X</v>
      </c>
      <c r="X175" s="137">
        <f t="shared" si="25"/>
        <v>0</v>
      </c>
    </row>
    <row r="176" spans="1:24" ht="17.25" customHeight="1">
      <c r="A176" s="137" t="str">
        <f t="shared" ca="1" si="18"/>
        <v>-</v>
      </c>
      <c r="B176" s="173"/>
      <c r="C176" s="253" t="str">
        <f t="shared" si="19"/>
        <v/>
      </c>
      <c r="D176" s="173"/>
      <c r="E176" s="173"/>
      <c r="F176" s="329" t="str">
        <f t="shared" si="26"/>
        <v/>
      </c>
      <c r="G176" s="176"/>
      <c r="H176" s="130" t="str">
        <f>IFERROR(INDEX(DMDT!B:B,MATCH($G176,DMDT!D:D,0),),"")</f>
        <v/>
      </c>
      <c r="I176" s="131"/>
      <c r="J176" s="132"/>
      <c r="K176" s="133"/>
      <c r="L176" s="134"/>
      <c r="M176" s="134"/>
      <c r="N176" s="135"/>
      <c r="O176" s="219"/>
      <c r="P176" s="143"/>
      <c r="Q176" s="144"/>
      <c r="R176" s="150"/>
      <c r="S176" s="127" t="str">
        <f t="shared" si="20"/>
        <v/>
      </c>
      <c r="T176" s="175" t="str">
        <f t="shared" si="21"/>
        <v/>
      </c>
      <c r="U176" s="158" t="e">
        <f t="shared" si="22"/>
        <v>#N/A</v>
      </c>
      <c r="V176" s="310" t="str">
        <f t="shared" si="23"/>
        <v/>
      </c>
      <c r="W176" s="137" t="str">
        <f t="shared" si="24"/>
        <v>X</v>
      </c>
      <c r="X176" s="137">
        <f t="shared" si="25"/>
        <v>0</v>
      </c>
    </row>
    <row r="177" spans="1:24" ht="17.25" customHeight="1">
      <c r="A177" s="137" t="str">
        <f t="shared" ca="1" si="18"/>
        <v>-</v>
      </c>
      <c r="B177" s="173"/>
      <c r="C177" s="253" t="str">
        <f t="shared" si="19"/>
        <v/>
      </c>
      <c r="D177" s="173"/>
      <c r="E177" s="173"/>
      <c r="F177" s="329" t="str">
        <f t="shared" si="26"/>
        <v/>
      </c>
      <c r="G177" s="176"/>
      <c r="H177" s="130" t="str">
        <f>IFERROR(INDEX(DMDT!B:B,MATCH($G177,DMDT!D:D,0),),"")</f>
        <v/>
      </c>
      <c r="I177" s="131"/>
      <c r="J177" s="132"/>
      <c r="K177" s="133"/>
      <c r="L177" s="134"/>
      <c r="M177" s="134"/>
      <c r="N177" s="135"/>
      <c r="O177" s="219"/>
      <c r="P177" s="143"/>
      <c r="Q177" s="144"/>
      <c r="R177" s="150"/>
      <c r="S177" s="127" t="str">
        <f t="shared" si="20"/>
        <v/>
      </c>
      <c r="T177" s="175" t="str">
        <f t="shared" si="21"/>
        <v/>
      </c>
      <c r="U177" s="158" t="e">
        <f t="shared" si="22"/>
        <v>#N/A</v>
      </c>
      <c r="V177" s="310" t="str">
        <f t="shared" si="23"/>
        <v/>
      </c>
      <c r="W177" s="137" t="str">
        <f t="shared" si="24"/>
        <v>X</v>
      </c>
      <c r="X177" s="137">
        <f t="shared" si="25"/>
        <v>0</v>
      </c>
    </row>
    <row r="178" spans="1:24" ht="17.25" customHeight="1">
      <c r="A178" s="137" t="str">
        <f t="shared" ca="1" si="18"/>
        <v>-</v>
      </c>
      <c r="B178" s="173"/>
      <c r="C178" s="253" t="str">
        <f t="shared" si="19"/>
        <v/>
      </c>
      <c r="D178" s="173"/>
      <c r="E178" s="173"/>
      <c r="F178" s="329" t="str">
        <f t="shared" si="26"/>
        <v/>
      </c>
      <c r="G178" s="176"/>
      <c r="H178" s="130" t="str">
        <f>IFERROR(INDEX(DMDT!B:B,MATCH($G178,DMDT!D:D,0),),"")</f>
        <v/>
      </c>
      <c r="I178" s="131"/>
      <c r="J178" s="132"/>
      <c r="K178" s="133"/>
      <c r="L178" s="134"/>
      <c r="M178" s="134"/>
      <c r="N178" s="135"/>
      <c r="O178" s="219"/>
      <c r="P178" s="143"/>
      <c r="Q178" s="144"/>
      <c r="R178" s="150"/>
      <c r="S178" s="127" t="str">
        <f t="shared" si="20"/>
        <v/>
      </c>
      <c r="T178" s="175" t="str">
        <f t="shared" si="21"/>
        <v/>
      </c>
      <c r="U178" s="158" t="e">
        <f t="shared" si="22"/>
        <v>#N/A</v>
      </c>
      <c r="V178" s="310" t="str">
        <f t="shared" si="23"/>
        <v/>
      </c>
      <c r="W178" s="137" t="str">
        <f t="shared" si="24"/>
        <v>X</v>
      </c>
      <c r="X178" s="137">
        <f t="shared" si="25"/>
        <v>0</v>
      </c>
    </row>
    <row r="179" spans="1:24" ht="17.25" customHeight="1">
      <c r="A179" s="137" t="str">
        <f t="shared" ca="1" si="18"/>
        <v>-</v>
      </c>
      <c r="B179" s="173"/>
      <c r="C179" s="253" t="str">
        <f t="shared" si="19"/>
        <v/>
      </c>
      <c r="D179" s="173"/>
      <c r="E179" s="173"/>
      <c r="F179" s="329" t="str">
        <f t="shared" si="26"/>
        <v/>
      </c>
      <c r="G179" s="176"/>
      <c r="H179" s="130" t="str">
        <f>IFERROR(INDEX(DMDT!B:B,MATCH($G179,DMDT!D:D,0),),"")</f>
        <v/>
      </c>
      <c r="I179" s="131"/>
      <c r="J179" s="132"/>
      <c r="K179" s="133"/>
      <c r="L179" s="134"/>
      <c r="M179" s="134"/>
      <c r="N179" s="135"/>
      <c r="O179" s="219"/>
      <c r="P179" s="143"/>
      <c r="Q179" s="144"/>
      <c r="R179" s="150"/>
      <c r="S179" s="127" t="str">
        <f t="shared" si="20"/>
        <v/>
      </c>
      <c r="T179" s="175" t="str">
        <f t="shared" si="21"/>
        <v/>
      </c>
      <c r="U179" s="158" t="e">
        <f t="shared" si="22"/>
        <v>#N/A</v>
      </c>
      <c r="V179" s="310" t="str">
        <f t="shared" si="23"/>
        <v/>
      </c>
      <c r="W179" s="137" t="str">
        <f t="shared" si="24"/>
        <v>X</v>
      </c>
      <c r="X179" s="137">
        <f t="shared" si="25"/>
        <v>0</v>
      </c>
    </row>
    <row r="180" spans="1:24" ht="17.25" customHeight="1">
      <c r="A180" s="137" t="str">
        <f t="shared" ca="1" si="18"/>
        <v>-</v>
      </c>
      <c r="B180" s="173"/>
      <c r="C180" s="253" t="str">
        <f t="shared" si="19"/>
        <v/>
      </c>
      <c r="D180" s="173"/>
      <c r="E180" s="173"/>
      <c r="F180" s="329" t="str">
        <f t="shared" si="26"/>
        <v/>
      </c>
      <c r="G180" s="186"/>
      <c r="H180" s="130" t="str">
        <f>IFERROR(INDEX(DMDT!B:B,MATCH($G180,DMDT!D:D,0),),"")</f>
        <v/>
      </c>
      <c r="I180" s="131"/>
      <c r="J180" s="132"/>
      <c r="K180" s="133"/>
      <c r="L180" s="134"/>
      <c r="M180" s="134"/>
      <c r="N180" s="135"/>
      <c r="O180" s="219"/>
      <c r="P180" s="143"/>
      <c r="Q180" s="144"/>
      <c r="R180" s="150"/>
      <c r="S180" s="127" t="str">
        <f t="shared" si="20"/>
        <v/>
      </c>
      <c r="T180" s="175" t="str">
        <f t="shared" si="21"/>
        <v/>
      </c>
      <c r="U180" s="158" t="e">
        <f t="shared" si="22"/>
        <v>#N/A</v>
      </c>
      <c r="V180" s="310" t="str">
        <f t="shared" si="23"/>
        <v/>
      </c>
      <c r="W180" s="137" t="str">
        <f t="shared" si="24"/>
        <v>X</v>
      </c>
      <c r="X180" s="137">
        <f t="shared" si="25"/>
        <v>0</v>
      </c>
    </row>
    <row r="181" spans="1:24" ht="17.25" customHeight="1">
      <c r="A181" s="137" t="str">
        <f t="shared" ca="1" si="18"/>
        <v>-</v>
      </c>
      <c r="B181" s="173"/>
      <c r="C181" s="253" t="str">
        <f t="shared" si="19"/>
        <v/>
      </c>
      <c r="D181" s="173"/>
      <c r="E181" s="173"/>
      <c r="F181" s="329" t="str">
        <f t="shared" si="26"/>
        <v/>
      </c>
      <c r="G181" s="176"/>
      <c r="H181" s="130" t="str">
        <f>IFERROR(INDEX(DMDT!B:B,MATCH($G181,DMDT!D:D,0),),"")</f>
        <v/>
      </c>
      <c r="I181" s="131"/>
      <c r="J181" s="132"/>
      <c r="K181" s="133"/>
      <c r="L181" s="134"/>
      <c r="M181" s="134"/>
      <c r="N181" s="135"/>
      <c r="O181" s="219"/>
      <c r="P181" s="143"/>
      <c r="Q181" s="144"/>
      <c r="R181" s="150"/>
      <c r="S181" s="127" t="str">
        <f t="shared" si="20"/>
        <v/>
      </c>
      <c r="T181" s="175" t="str">
        <f t="shared" si="21"/>
        <v/>
      </c>
      <c r="U181" s="158" t="e">
        <f t="shared" si="22"/>
        <v>#N/A</v>
      </c>
      <c r="V181" s="310" t="str">
        <f t="shared" si="23"/>
        <v/>
      </c>
      <c r="W181" s="137" t="str">
        <f t="shared" si="24"/>
        <v>X</v>
      </c>
      <c r="X181" s="137">
        <f t="shared" si="25"/>
        <v>0</v>
      </c>
    </row>
    <row r="182" spans="1:24" ht="17.25" customHeight="1">
      <c r="A182" s="137" t="str">
        <f t="shared" ca="1" si="18"/>
        <v>-</v>
      </c>
      <c r="B182" s="173"/>
      <c r="C182" s="253" t="str">
        <f t="shared" si="19"/>
        <v/>
      </c>
      <c r="D182" s="173"/>
      <c r="E182" s="173"/>
      <c r="F182" s="329" t="str">
        <f t="shared" si="26"/>
        <v/>
      </c>
      <c r="G182" s="174"/>
      <c r="H182" s="130" t="str">
        <f>IFERROR(INDEX(DMDT!B:B,MATCH($G182,DMDT!D:D,0),),"")</f>
        <v/>
      </c>
      <c r="I182" s="131"/>
      <c r="J182" s="132"/>
      <c r="K182" s="133"/>
      <c r="L182" s="134"/>
      <c r="M182" s="134"/>
      <c r="N182" s="135"/>
      <c r="O182" s="219"/>
      <c r="P182" s="143"/>
      <c r="Q182" s="144"/>
      <c r="R182" s="150"/>
      <c r="S182" s="127" t="str">
        <f t="shared" si="20"/>
        <v/>
      </c>
      <c r="T182" s="175" t="str">
        <f t="shared" si="21"/>
        <v/>
      </c>
      <c r="U182" s="158" t="e">
        <f t="shared" si="22"/>
        <v>#N/A</v>
      </c>
      <c r="V182" s="310" t="str">
        <f t="shared" si="23"/>
        <v/>
      </c>
      <c r="W182" s="137" t="str">
        <f t="shared" si="24"/>
        <v>X</v>
      </c>
      <c r="X182" s="137">
        <f t="shared" si="25"/>
        <v>0</v>
      </c>
    </row>
    <row r="183" spans="1:24" ht="17.25" customHeight="1">
      <c r="A183" s="137" t="str">
        <f t="shared" ca="1" si="18"/>
        <v>-</v>
      </c>
      <c r="B183" s="173"/>
      <c r="C183" s="253" t="str">
        <f t="shared" si="19"/>
        <v/>
      </c>
      <c r="D183" s="173"/>
      <c r="E183" s="173"/>
      <c r="F183" s="329" t="str">
        <f t="shared" si="26"/>
        <v/>
      </c>
      <c r="G183" s="174"/>
      <c r="H183" s="130" t="str">
        <f>IFERROR(INDEX(DMDT!B:B,MATCH($G183,DMDT!D:D,0),),"")</f>
        <v/>
      </c>
      <c r="I183" s="131"/>
      <c r="J183" s="132"/>
      <c r="K183" s="133"/>
      <c r="L183" s="134"/>
      <c r="M183" s="134"/>
      <c r="N183" s="135"/>
      <c r="O183" s="219"/>
      <c r="P183" s="143"/>
      <c r="Q183" s="144"/>
      <c r="R183" s="150"/>
      <c r="S183" s="127" t="str">
        <f t="shared" si="20"/>
        <v/>
      </c>
      <c r="T183" s="175" t="str">
        <f t="shared" si="21"/>
        <v/>
      </c>
      <c r="U183" s="158" t="e">
        <f t="shared" si="22"/>
        <v>#N/A</v>
      </c>
      <c r="V183" s="310" t="str">
        <f t="shared" si="23"/>
        <v/>
      </c>
      <c r="W183" s="137" t="str">
        <f t="shared" si="24"/>
        <v>X</v>
      </c>
      <c r="X183" s="137">
        <f t="shared" si="25"/>
        <v>0</v>
      </c>
    </row>
    <row r="184" spans="1:24" ht="17.25" customHeight="1">
      <c r="A184" s="137" t="str">
        <f t="shared" ca="1" si="18"/>
        <v>-</v>
      </c>
      <c r="B184" s="173"/>
      <c r="C184" s="253" t="str">
        <f t="shared" si="19"/>
        <v/>
      </c>
      <c r="D184" s="173"/>
      <c r="E184" s="173"/>
      <c r="F184" s="329" t="str">
        <f t="shared" si="26"/>
        <v/>
      </c>
      <c r="G184" s="176"/>
      <c r="H184" s="130" t="str">
        <f>IFERROR(INDEX(DMDT!B:B,MATCH($G184,DMDT!D:D,0),),"")</f>
        <v/>
      </c>
      <c r="I184" s="131"/>
      <c r="J184" s="132"/>
      <c r="K184" s="133"/>
      <c r="L184" s="134"/>
      <c r="M184" s="134"/>
      <c r="N184" s="135"/>
      <c r="O184" s="219"/>
      <c r="P184" s="143"/>
      <c r="Q184" s="144"/>
      <c r="R184" s="150"/>
      <c r="S184" s="127" t="str">
        <f t="shared" si="20"/>
        <v/>
      </c>
      <c r="T184" s="175" t="str">
        <f t="shared" si="21"/>
        <v/>
      </c>
      <c r="U184" s="158" t="e">
        <f t="shared" si="22"/>
        <v>#N/A</v>
      </c>
      <c r="V184" s="310" t="str">
        <f t="shared" si="23"/>
        <v/>
      </c>
      <c r="W184" s="137" t="str">
        <f t="shared" si="24"/>
        <v>X</v>
      </c>
      <c r="X184" s="137">
        <f t="shared" si="25"/>
        <v>0</v>
      </c>
    </row>
    <row r="185" spans="1:24" ht="17.25" customHeight="1">
      <c r="A185" s="137" t="str">
        <f t="shared" ca="1" si="18"/>
        <v>-</v>
      </c>
      <c r="B185" s="173"/>
      <c r="C185" s="253" t="str">
        <f t="shared" si="19"/>
        <v/>
      </c>
      <c r="D185" s="173"/>
      <c r="E185" s="173"/>
      <c r="F185" s="329" t="str">
        <f t="shared" si="26"/>
        <v/>
      </c>
      <c r="G185" s="176"/>
      <c r="H185" s="130" t="str">
        <f>IFERROR(INDEX(DMDT!B:B,MATCH($G185,DMDT!D:D,0),),"")</f>
        <v/>
      </c>
      <c r="I185" s="131"/>
      <c r="J185" s="132"/>
      <c r="K185" s="133"/>
      <c r="L185" s="134"/>
      <c r="M185" s="134"/>
      <c r="N185" s="135"/>
      <c r="O185" s="219"/>
      <c r="P185" s="143"/>
      <c r="Q185" s="144"/>
      <c r="R185" s="150"/>
      <c r="S185" s="127" t="str">
        <f t="shared" si="20"/>
        <v/>
      </c>
      <c r="T185" s="175" t="str">
        <f t="shared" si="21"/>
        <v/>
      </c>
      <c r="U185" s="158" t="e">
        <f t="shared" si="22"/>
        <v>#N/A</v>
      </c>
      <c r="V185" s="310" t="str">
        <f t="shared" si="23"/>
        <v/>
      </c>
      <c r="W185" s="137" t="str">
        <f t="shared" si="24"/>
        <v>X</v>
      </c>
      <c r="X185" s="137">
        <f t="shared" si="25"/>
        <v>0</v>
      </c>
    </row>
    <row r="186" spans="1:24" ht="17.25" customHeight="1">
      <c r="A186" s="137" t="str">
        <f t="shared" ca="1" si="18"/>
        <v>-</v>
      </c>
      <c r="B186" s="173"/>
      <c r="C186" s="253" t="str">
        <f t="shared" si="19"/>
        <v/>
      </c>
      <c r="D186" s="173"/>
      <c r="E186" s="173"/>
      <c r="F186" s="329" t="str">
        <f t="shared" si="26"/>
        <v/>
      </c>
      <c r="G186" s="176"/>
      <c r="H186" s="130" t="str">
        <f>IFERROR(INDEX(DMDT!B:B,MATCH($G186,DMDT!D:D,0),),"")</f>
        <v/>
      </c>
      <c r="I186" s="131"/>
      <c r="J186" s="132"/>
      <c r="K186" s="133"/>
      <c r="L186" s="134"/>
      <c r="M186" s="134"/>
      <c r="N186" s="135"/>
      <c r="O186" s="219"/>
      <c r="P186" s="143"/>
      <c r="Q186" s="144"/>
      <c r="R186" s="150"/>
      <c r="S186" s="127" t="str">
        <f t="shared" si="20"/>
        <v/>
      </c>
      <c r="T186" s="175" t="str">
        <f t="shared" si="21"/>
        <v/>
      </c>
      <c r="U186" s="158" t="e">
        <f t="shared" si="22"/>
        <v>#N/A</v>
      </c>
      <c r="V186" s="310" t="str">
        <f t="shared" si="23"/>
        <v/>
      </c>
      <c r="W186" s="137" t="str">
        <f t="shared" si="24"/>
        <v>X</v>
      </c>
      <c r="X186" s="137">
        <f t="shared" si="25"/>
        <v>0</v>
      </c>
    </row>
    <row r="187" spans="1:24" ht="17.25" customHeight="1">
      <c r="A187" s="137" t="str">
        <f t="shared" ca="1" si="18"/>
        <v>-</v>
      </c>
      <c r="B187" s="173"/>
      <c r="C187" s="253" t="str">
        <f t="shared" si="19"/>
        <v/>
      </c>
      <c r="D187" s="173"/>
      <c r="E187" s="173"/>
      <c r="F187" s="329" t="str">
        <f t="shared" si="26"/>
        <v/>
      </c>
      <c r="G187" s="176"/>
      <c r="H187" s="130" t="str">
        <f>IFERROR(INDEX(DMDT!B:B,MATCH($G187,DMDT!D:D,0),),"")</f>
        <v/>
      </c>
      <c r="I187" s="131"/>
      <c r="J187" s="132"/>
      <c r="K187" s="133"/>
      <c r="L187" s="134"/>
      <c r="M187" s="134"/>
      <c r="N187" s="135"/>
      <c r="O187" s="219"/>
      <c r="P187" s="143"/>
      <c r="Q187" s="144"/>
      <c r="R187" s="150"/>
      <c r="S187" s="127" t="str">
        <f t="shared" si="20"/>
        <v/>
      </c>
      <c r="T187" s="175" t="str">
        <f t="shared" si="21"/>
        <v/>
      </c>
      <c r="U187" s="158" t="e">
        <f t="shared" si="22"/>
        <v>#N/A</v>
      </c>
      <c r="V187" s="310" t="str">
        <f t="shared" si="23"/>
        <v/>
      </c>
      <c r="W187" s="137" t="str">
        <f t="shared" si="24"/>
        <v>X</v>
      </c>
      <c r="X187" s="137">
        <f t="shared" si="25"/>
        <v>0</v>
      </c>
    </row>
    <row r="188" spans="1:24" ht="17.25" customHeight="1">
      <c r="A188" s="137" t="str">
        <f t="shared" ca="1" si="18"/>
        <v>-</v>
      </c>
      <c r="B188" s="173"/>
      <c r="C188" s="253" t="str">
        <f t="shared" si="19"/>
        <v/>
      </c>
      <c r="D188" s="173"/>
      <c r="E188" s="173"/>
      <c r="F188" s="329" t="str">
        <f t="shared" si="26"/>
        <v/>
      </c>
      <c r="G188" s="176"/>
      <c r="H188" s="130" t="str">
        <f>IFERROR(INDEX(DMDT!B:B,MATCH($G188,DMDT!D:D,0),),"")</f>
        <v/>
      </c>
      <c r="I188" s="131"/>
      <c r="J188" s="132"/>
      <c r="K188" s="133"/>
      <c r="L188" s="134"/>
      <c r="M188" s="134"/>
      <c r="N188" s="135"/>
      <c r="O188" s="219"/>
      <c r="P188" s="143"/>
      <c r="Q188" s="144"/>
      <c r="R188" s="150"/>
      <c r="S188" s="127" t="str">
        <f t="shared" si="20"/>
        <v/>
      </c>
      <c r="T188" s="175" t="str">
        <f t="shared" si="21"/>
        <v/>
      </c>
      <c r="U188" s="158" t="e">
        <f t="shared" si="22"/>
        <v>#N/A</v>
      </c>
      <c r="V188" s="310" t="str">
        <f t="shared" si="23"/>
        <v/>
      </c>
      <c r="W188" s="137" t="str">
        <f t="shared" si="24"/>
        <v>X</v>
      </c>
      <c r="X188" s="137">
        <f t="shared" si="25"/>
        <v>0</v>
      </c>
    </row>
    <row r="189" spans="1:24" ht="17.25" customHeight="1">
      <c r="A189" s="137" t="str">
        <f t="shared" ca="1" si="18"/>
        <v>-</v>
      </c>
      <c r="B189" s="173"/>
      <c r="C189" s="253" t="str">
        <f t="shared" si="19"/>
        <v/>
      </c>
      <c r="D189" s="173"/>
      <c r="E189" s="173"/>
      <c r="F189" s="329" t="str">
        <f t="shared" si="26"/>
        <v/>
      </c>
      <c r="G189" s="176"/>
      <c r="H189" s="130" t="str">
        <f>IFERROR(INDEX(DMDT!B:B,MATCH($G189,DMDT!D:D,0),),"")</f>
        <v/>
      </c>
      <c r="I189" s="131"/>
      <c r="J189" s="132"/>
      <c r="K189" s="133"/>
      <c r="L189" s="134"/>
      <c r="M189" s="134"/>
      <c r="N189" s="135"/>
      <c r="O189" s="219"/>
      <c r="P189" s="143"/>
      <c r="Q189" s="144"/>
      <c r="R189" s="150"/>
      <c r="S189" s="127" t="str">
        <f t="shared" si="20"/>
        <v/>
      </c>
      <c r="T189" s="175" t="str">
        <f t="shared" si="21"/>
        <v/>
      </c>
      <c r="U189" s="158" t="e">
        <f t="shared" si="22"/>
        <v>#N/A</v>
      </c>
      <c r="V189" s="310" t="str">
        <f t="shared" si="23"/>
        <v/>
      </c>
      <c r="W189" s="137" t="str">
        <f t="shared" si="24"/>
        <v>X</v>
      </c>
      <c r="X189" s="137">
        <f t="shared" si="25"/>
        <v>0</v>
      </c>
    </row>
    <row r="190" spans="1:24" ht="17.25" customHeight="1">
      <c r="A190" s="137" t="str">
        <f t="shared" ca="1" si="18"/>
        <v>-</v>
      </c>
      <c r="B190" s="173"/>
      <c r="C190" s="253" t="str">
        <f t="shared" si="19"/>
        <v/>
      </c>
      <c r="D190" s="173"/>
      <c r="E190" s="173"/>
      <c r="F190" s="329" t="str">
        <f t="shared" si="26"/>
        <v/>
      </c>
      <c r="G190" s="176"/>
      <c r="H190" s="130" t="str">
        <f>IFERROR(INDEX(DMDT!B:B,MATCH($G190,DMDT!D:D,0),),"")</f>
        <v/>
      </c>
      <c r="I190" s="131"/>
      <c r="J190" s="132"/>
      <c r="K190" s="133"/>
      <c r="L190" s="134"/>
      <c r="M190" s="134"/>
      <c r="N190" s="135"/>
      <c r="O190" s="135"/>
      <c r="P190" s="143"/>
      <c r="Q190" s="144"/>
      <c r="R190" s="150"/>
      <c r="S190" s="127" t="str">
        <f t="shared" si="20"/>
        <v/>
      </c>
      <c r="T190" s="175" t="str">
        <f t="shared" si="21"/>
        <v/>
      </c>
      <c r="U190" s="158" t="e">
        <f t="shared" si="22"/>
        <v>#N/A</v>
      </c>
      <c r="V190" s="310" t="str">
        <f t="shared" si="23"/>
        <v/>
      </c>
      <c r="W190" s="137" t="str">
        <f t="shared" si="24"/>
        <v>X</v>
      </c>
      <c r="X190" s="137">
        <f t="shared" si="25"/>
        <v>0</v>
      </c>
    </row>
    <row r="191" spans="1:24" ht="17.25" customHeight="1">
      <c r="A191" s="137" t="str">
        <f t="shared" ca="1" si="18"/>
        <v>-</v>
      </c>
      <c r="B191" s="173"/>
      <c r="C191" s="253" t="str">
        <f t="shared" si="19"/>
        <v/>
      </c>
      <c r="D191" s="173"/>
      <c r="E191" s="173"/>
      <c r="F191" s="329" t="str">
        <f t="shared" si="26"/>
        <v/>
      </c>
      <c r="G191" s="176"/>
      <c r="H191" s="130" t="str">
        <f>IFERROR(INDEX(DMDT!B:B,MATCH($G191,DMDT!D:D,0),),"")</f>
        <v/>
      </c>
      <c r="I191" s="131"/>
      <c r="J191" s="132"/>
      <c r="K191" s="133"/>
      <c r="L191" s="134"/>
      <c r="M191" s="134"/>
      <c r="N191" s="135"/>
      <c r="O191" s="219"/>
      <c r="P191" s="143"/>
      <c r="Q191" s="144"/>
      <c r="R191" s="150"/>
      <c r="S191" s="127" t="str">
        <f t="shared" si="20"/>
        <v/>
      </c>
      <c r="T191" s="175" t="str">
        <f t="shared" si="21"/>
        <v/>
      </c>
      <c r="U191" s="158" t="e">
        <f t="shared" si="22"/>
        <v>#N/A</v>
      </c>
      <c r="V191" s="310" t="str">
        <f t="shared" si="23"/>
        <v/>
      </c>
      <c r="W191" s="137" t="str">
        <f t="shared" si="24"/>
        <v>X</v>
      </c>
      <c r="X191" s="137">
        <f t="shared" si="25"/>
        <v>0</v>
      </c>
    </row>
    <row r="192" spans="1:24" ht="17.25" customHeight="1">
      <c r="A192" s="137" t="str">
        <f t="shared" ca="1" si="18"/>
        <v>-</v>
      </c>
      <c r="B192" s="173"/>
      <c r="C192" s="253" t="str">
        <f t="shared" si="19"/>
        <v/>
      </c>
      <c r="D192" s="173"/>
      <c r="E192" s="173"/>
      <c r="F192" s="329" t="str">
        <f t="shared" si="26"/>
        <v/>
      </c>
      <c r="G192" s="176"/>
      <c r="H192" s="130" t="str">
        <f>IFERROR(INDEX(DMDT!B:B,MATCH($G192,DMDT!D:D,0),),"")</f>
        <v/>
      </c>
      <c r="I192" s="131"/>
      <c r="J192" s="132"/>
      <c r="K192" s="133"/>
      <c r="L192" s="134"/>
      <c r="M192" s="134"/>
      <c r="N192" s="135"/>
      <c r="O192" s="219"/>
      <c r="P192" s="143"/>
      <c r="Q192" s="144"/>
      <c r="R192" s="150"/>
      <c r="S192" s="127" t="str">
        <f t="shared" si="20"/>
        <v/>
      </c>
      <c r="T192" s="175" t="str">
        <f t="shared" si="21"/>
        <v/>
      </c>
      <c r="U192" s="158" t="e">
        <f t="shared" si="22"/>
        <v>#N/A</v>
      </c>
      <c r="V192" s="310" t="str">
        <f t="shared" si="23"/>
        <v/>
      </c>
      <c r="W192" s="137" t="str">
        <f t="shared" si="24"/>
        <v>X</v>
      </c>
      <c r="X192" s="137">
        <f t="shared" si="25"/>
        <v>0</v>
      </c>
    </row>
    <row r="193" spans="1:24" ht="17.25" customHeight="1">
      <c r="A193" s="137" t="str">
        <f t="shared" ca="1" si="18"/>
        <v>-</v>
      </c>
      <c r="B193" s="173"/>
      <c r="C193" s="253" t="str">
        <f t="shared" si="19"/>
        <v/>
      </c>
      <c r="D193" s="173"/>
      <c r="E193" s="173"/>
      <c r="F193" s="329" t="str">
        <f t="shared" si="26"/>
        <v/>
      </c>
      <c r="G193" s="176"/>
      <c r="H193" s="130" t="str">
        <f>IFERROR(INDEX(DMDT!B:B,MATCH($G193,DMDT!D:D,0),),"")</f>
        <v/>
      </c>
      <c r="I193" s="131"/>
      <c r="J193" s="132"/>
      <c r="K193" s="133"/>
      <c r="L193" s="134"/>
      <c r="M193" s="134"/>
      <c r="N193" s="135"/>
      <c r="O193" s="219"/>
      <c r="P193" s="143"/>
      <c r="Q193" s="144"/>
      <c r="R193" s="150"/>
      <c r="S193" s="127" t="str">
        <f t="shared" si="20"/>
        <v/>
      </c>
      <c r="T193" s="175" t="str">
        <f t="shared" si="21"/>
        <v/>
      </c>
      <c r="U193" s="158" t="e">
        <f t="shared" si="22"/>
        <v>#N/A</v>
      </c>
      <c r="V193" s="310" t="str">
        <f t="shared" si="23"/>
        <v/>
      </c>
      <c r="W193" s="137" t="str">
        <f t="shared" si="24"/>
        <v>X</v>
      </c>
      <c r="X193" s="137">
        <f t="shared" si="25"/>
        <v>0</v>
      </c>
    </row>
    <row r="194" spans="1:24" ht="17.25" customHeight="1">
      <c r="A194" s="137" t="str">
        <f t="shared" ca="1" si="18"/>
        <v>-</v>
      </c>
      <c r="B194" s="173"/>
      <c r="C194" s="253" t="str">
        <f t="shared" si="19"/>
        <v/>
      </c>
      <c r="D194" s="173"/>
      <c r="E194" s="173"/>
      <c r="F194" s="329" t="str">
        <f t="shared" si="26"/>
        <v/>
      </c>
      <c r="G194" s="176"/>
      <c r="H194" s="130" t="str">
        <f>IFERROR(INDEX(DMDT!B:B,MATCH($G194,DMDT!D:D,0),),"")</f>
        <v/>
      </c>
      <c r="I194" s="131"/>
      <c r="J194" s="132"/>
      <c r="K194" s="133"/>
      <c r="L194" s="134"/>
      <c r="M194" s="134"/>
      <c r="N194" s="135"/>
      <c r="O194" s="219"/>
      <c r="P194" s="143"/>
      <c r="Q194" s="179"/>
      <c r="R194" s="150"/>
      <c r="S194" s="127" t="str">
        <f t="shared" si="20"/>
        <v/>
      </c>
      <c r="T194" s="175" t="str">
        <f t="shared" si="21"/>
        <v/>
      </c>
      <c r="U194" s="158" t="e">
        <f t="shared" si="22"/>
        <v>#N/A</v>
      </c>
      <c r="V194" s="310" t="str">
        <f t="shared" si="23"/>
        <v/>
      </c>
      <c r="W194" s="137" t="str">
        <f t="shared" si="24"/>
        <v>X</v>
      </c>
      <c r="X194" s="137">
        <f t="shared" si="25"/>
        <v>0</v>
      </c>
    </row>
    <row r="195" spans="1:24" ht="17.25" customHeight="1">
      <c r="A195" s="137" t="str">
        <f t="shared" ca="1" si="18"/>
        <v>-</v>
      </c>
      <c r="B195" s="173"/>
      <c r="C195" s="253" t="str">
        <f t="shared" si="19"/>
        <v/>
      </c>
      <c r="D195" s="173"/>
      <c r="E195" s="173"/>
      <c r="F195" s="329" t="str">
        <f t="shared" si="26"/>
        <v/>
      </c>
      <c r="G195" s="176"/>
      <c r="H195" s="130" t="str">
        <f>IFERROR(INDEX(DMDT!B:B,MATCH($G195,DMDT!D:D,0),),"")</f>
        <v/>
      </c>
      <c r="I195" s="131"/>
      <c r="J195" s="132"/>
      <c r="K195" s="133"/>
      <c r="L195" s="134"/>
      <c r="M195" s="134"/>
      <c r="N195" s="135"/>
      <c r="O195" s="219"/>
      <c r="P195" s="143"/>
      <c r="Q195" s="144"/>
      <c r="R195" s="150"/>
      <c r="S195" s="127" t="str">
        <f t="shared" si="20"/>
        <v/>
      </c>
      <c r="T195" s="175" t="str">
        <f t="shared" si="21"/>
        <v/>
      </c>
      <c r="U195" s="158" t="e">
        <f t="shared" si="22"/>
        <v>#N/A</v>
      </c>
      <c r="V195" s="310" t="str">
        <f t="shared" si="23"/>
        <v/>
      </c>
      <c r="W195" s="137" t="str">
        <f t="shared" si="24"/>
        <v>X</v>
      </c>
      <c r="X195" s="137">
        <f t="shared" si="25"/>
        <v>0</v>
      </c>
    </row>
    <row r="196" spans="1:24" ht="17.25" customHeight="1">
      <c r="A196" s="137" t="str">
        <f t="shared" ref="A196:A259" ca="1" si="27">IF(F196="","-",IF(COUNTIFS(OFFSET($H$3,,,ROW()-3),H196,OFFSET($J$3,,,ROW()-3),J196,OFFSET($N$3,,,ROW()-3),N196)=0,"-","FALSE"))</f>
        <v>-</v>
      </c>
      <c r="B196" s="173"/>
      <c r="C196" s="253" t="str">
        <f t="shared" si="19"/>
        <v/>
      </c>
      <c r="D196" s="173"/>
      <c r="E196" s="173"/>
      <c r="F196" s="329" t="str">
        <f t="shared" si="26"/>
        <v/>
      </c>
      <c r="G196" s="176"/>
      <c r="H196" s="130" t="str">
        <f>IFERROR(INDEX(DMDT!B:B,MATCH($G196,DMDT!D:D,0),),"")</f>
        <v/>
      </c>
      <c r="I196" s="131"/>
      <c r="J196" s="132"/>
      <c r="K196" s="133"/>
      <c r="L196" s="134"/>
      <c r="M196" s="134"/>
      <c r="N196" s="135"/>
      <c r="O196" s="219"/>
      <c r="P196" s="143"/>
      <c r="Q196" s="144"/>
      <c r="R196" s="150"/>
      <c r="S196" s="127" t="str">
        <f t="shared" si="20"/>
        <v/>
      </c>
      <c r="T196" s="175" t="str">
        <f t="shared" si="21"/>
        <v/>
      </c>
      <c r="U196" s="158" t="e">
        <f t="shared" si="22"/>
        <v>#N/A</v>
      </c>
      <c r="V196" s="310" t="str">
        <f t="shared" si="23"/>
        <v/>
      </c>
      <c r="W196" s="137" t="str">
        <f t="shared" si="24"/>
        <v>X</v>
      </c>
      <c r="X196" s="137">
        <f t="shared" si="25"/>
        <v>0</v>
      </c>
    </row>
    <row r="197" spans="1:24" ht="17.25" customHeight="1">
      <c r="A197" s="137" t="str">
        <f t="shared" ca="1" si="27"/>
        <v>-</v>
      </c>
      <c r="B197" s="173"/>
      <c r="C197" s="253" t="str">
        <f t="shared" ref="C197:C260" si="28">IF(F197="","",IF(LEFT(M197,5)&lt;&gt;"3311-","Non-GR",IF(AND(B197&lt;D197,B197&lt;&gt;""),NETWORKDAYS(B197,D197),IF(OR(L197="Mai",L197="Đức Anh",L197="C.Thảo"),"GIT","Non-GR"))))</f>
        <v/>
      </c>
      <c r="D197" s="173"/>
      <c r="E197" s="173"/>
      <c r="F197" s="329" t="str">
        <f t="shared" si="26"/>
        <v/>
      </c>
      <c r="G197" s="176"/>
      <c r="H197" s="130" t="str">
        <f>IFERROR(INDEX(DMDT!B:B,MATCH($G197,DMDT!D:D,0),),"")</f>
        <v/>
      </c>
      <c r="I197" s="131"/>
      <c r="J197" s="132"/>
      <c r="K197" s="133"/>
      <c r="L197" s="134"/>
      <c r="M197" s="134"/>
      <c r="N197" s="135"/>
      <c r="O197" s="219"/>
      <c r="P197" s="143"/>
      <c r="Q197" s="144"/>
      <c r="R197" s="150"/>
      <c r="S197" s="127" t="str">
        <f t="shared" ref="S197:S260" si="29">$N197&amp;LEFT($G197,6)</f>
        <v/>
      </c>
      <c r="T197" s="175" t="str">
        <f t="shared" ref="T197:T260" si="30">+LEFT($M197,5)</f>
        <v/>
      </c>
      <c r="U197" s="158" t="e">
        <f t="shared" ref="U197:U260" si="31">VLOOKUP(L197,$AB$10:$AC$26,2,0)</f>
        <v>#N/A</v>
      </c>
      <c r="V197" s="310" t="str">
        <f t="shared" ref="V197:V260" si="32">IF(T197="3311-",D197,"")</f>
        <v/>
      </c>
      <c r="W197" s="137" t="str">
        <f t="shared" ref="W197:W260" si="33">IFERROR(IF(MONTH(V197)=$F$1,DAY(V197),"NEXT"),"X")</f>
        <v>X</v>
      </c>
      <c r="X197" s="137">
        <f t="shared" ref="X197:X260" si="34">IFERROR(IF(31-W197&gt;5,1,2),0)</f>
        <v>0</v>
      </c>
    </row>
    <row r="198" spans="1:24" ht="17.25" customHeight="1">
      <c r="A198" s="137" t="str">
        <f t="shared" ca="1" si="27"/>
        <v>-</v>
      </c>
      <c r="B198" s="173"/>
      <c r="C198" s="253" t="str">
        <f t="shared" si="28"/>
        <v/>
      </c>
      <c r="D198" s="173"/>
      <c r="E198" s="173"/>
      <c r="F198" s="329" t="str">
        <f t="shared" ref="F198:F261" si="35">IF(E198&lt;&gt;"",F197+1,"")</f>
        <v/>
      </c>
      <c r="G198" s="176"/>
      <c r="H198" s="130" t="str">
        <f>IFERROR(INDEX(DMDT!B:B,MATCH($G198,DMDT!D:D,0),),"")</f>
        <v/>
      </c>
      <c r="I198" s="131"/>
      <c r="J198" s="132"/>
      <c r="K198" s="133"/>
      <c r="L198" s="134"/>
      <c r="M198" s="134"/>
      <c r="N198" s="135"/>
      <c r="O198" s="219"/>
      <c r="P198" s="143"/>
      <c r="Q198" s="144"/>
      <c r="R198" s="150"/>
      <c r="S198" s="127" t="str">
        <f t="shared" si="29"/>
        <v/>
      </c>
      <c r="T198" s="175" t="str">
        <f t="shared" si="30"/>
        <v/>
      </c>
      <c r="U198" s="158" t="e">
        <f t="shared" si="31"/>
        <v>#N/A</v>
      </c>
      <c r="V198" s="310" t="str">
        <f t="shared" si="32"/>
        <v/>
      </c>
      <c r="W198" s="137" t="str">
        <f t="shared" si="33"/>
        <v>X</v>
      </c>
      <c r="X198" s="137">
        <f t="shared" si="34"/>
        <v>0</v>
      </c>
    </row>
    <row r="199" spans="1:24" ht="17.25" customHeight="1">
      <c r="A199" s="137" t="str">
        <f t="shared" ca="1" si="27"/>
        <v>-</v>
      </c>
      <c r="B199" s="173"/>
      <c r="C199" s="253" t="str">
        <f t="shared" si="28"/>
        <v/>
      </c>
      <c r="D199" s="173"/>
      <c r="E199" s="173"/>
      <c r="F199" s="329" t="str">
        <f t="shared" si="35"/>
        <v/>
      </c>
      <c r="G199" s="176"/>
      <c r="H199" s="130" t="str">
        <f>IFERROR(INDEX(DMDT!B:B,MATCH($G199,DMDT!D:D,0),),"")</f>
        <v/>
      </c>
      <c r="I199" s="131"/>
      <c r="J199" s="132"/>
      <c r="K199" s="133"/>
      <c r="L199" s="134"/>
      <c r="M199" s="134"/>
      <c r="N199" s="135"/>
      <c r="O199" s="219"/>
      <c r="P199" s="143"/>
      <c r="Q199" s="144"/>
      <c r="R199" s="150"/>
      <c r="S199" s="127" t="str">
        <f t="shared" si="29"/>
        <v/>
      </c>
      <c r="T199" s="175" t="str">
        <f t="shared" si="30"/>
        <v/>
      </c>
      <c r="U199" s="158" t="e">
        <f t="shared" si="31"/>
        <v>#N/A</v>
      </c>
      <c r="V199" s="310" t="str">
        <f t="shared" si="32"/>
        <v/>
      </c>
      <c r="W199" s="137" t="str">
        <f t="shared" si="33"/>
        <v>X</v>
      </c>
      <c r="X199" s="137">
        <f t="shared" si="34"/>
        <v>0</v>
      </c>
    </row>
    <row r="200" spans="1:24" ht="17.25" customHeight="1">
      <c r="A200" s="137" t="str">
        <f t="shared" ca="1" si="27"/>
        <v>-</v>
      </c>
      <c r="B200" s="173"/>
      <c r="C200" s="253" t="str">
        <f t="shared" si="28"/>
        <v/>
      </c>
      <c r="D200" s="173"/>
      <c r="E200" s="173"/>
      <c r="F200" s="329" t="str">
        <f t="shared" si="35"/>
        <v/>
      </c>
      <c r="G200" s="176"/>
      <c r="H200" s="130" t="str">
        <f>IFERROR(INDEX(DMDT!B:B,MATCH($G200,DMDT!D:D,0),),"")</f>
        <v/>
      </c>
      <c r="I200" s="131"/>
      <c r="J200" s="132"/>
      <c r="K200" s="133"/>
      <c r="L200" s="134"/>
      <c r="M200" s="134"/>
      <c r="N200" s="135"/>
      <c r="O200" s="219"/>
      <c r="P200" s="143"/>
      <c r="Q200" s="144"/>
      <c r="R200" s="150"/>
      <c r="S200" s="127" t="str">
        <f t="shared" si="29"/>
        <v/>
      </c>
      <c r="T200" s="175" t="str">
        <f t="shared" si="30"/>
        <v/>
      </c>
      <c r="U200" s="158" t="e">
        <f t="shared" si="31"/>
        <v>#N/A</v>
      </c>
      <c r="V200" s="310" t="str">
        <f t="shared" si="32"/>
        <v/>
      </c>
      <c r="W200" s="137" t="str">
        <f t="shared" si="33"/>
        <v>X</v>
      </c>
      <c r="X200" s="137">
        <f t="shared" si="34"/>
        <v>0</v>
      </c>
    </row>
    <row r="201" spans="1:24" ht="17.25" customHeight="1">
      <c r="A201" s="137" t="str">
        <f t="shared" ca="1" si="27"/>
        <v>-</v>
      </c>
      <c r="B201" s="173"/>
      <c r="C201" s="253" t="str">
        <f t="shared" si="28"/>
        <v/>
      </c>
      <c r="D201" s="173"/>
      <c r="E201" s="173"/>
      <c r="F201" s="329" t="str">
        <f t="shared" si="35"/>
        <v/>
      </c>
      <c r="G201" s="176"/>
      <c r="H201" s="130" t="str">
        <f>IFERROR(INDEX(DMDT!B:B,MATCH($G201,DMDT!D:D,0),),"")</f>
        <v/>
      </c>
      <c r="I201" s="131"/>
      <c r="J201" s="132"/>
      <c r="K201" s="133"/>
      <c r="L201" s="134"/>
      <c r="M201" s="134"/>
      <c r="N201" s="135"/>
      <c r="O201" s="219"/>
      <c r="P201" s="143"/>
      <c r="Q201" s="144"/>
      <c r="R201" s="150"/>
      <c r="S201" s="127" t="str">
        <f t="shared" si="29"/>
        <v/>
      </c>
      <c r="T201" s="175" t="str">
        <f t="shared" si="30"/>
        <v/>
      </c>
      <c r="U201" s="158" t="e">
        <f t="shared" si="31"/>
        <v>#N/A</v>
      </c>
      <c r="V201" s="310" t="str">
        <f t="shared" si="32"/>
        <v/>
      </c>
      <c r="W201" s="137" t="str">
        <f t="shared" si="33"/>
        <v>X</v>
      </c>
      <c r="X201" s="137">
        <f t="shared" si="34"/>
        <v>0</v>
      </c>
    </row>
    <row r="202" spans="1:24" ht="17.25" customHeight="1">
      <c r="A202" s="137" t="str">
        <f t="shared" ca="1" si="27"/>
        <v>-</v>
      </c>
      <c r="B202" s="173"/>
      <c r="C202" s="253" t="str">
        <f t="shared" si="28"/>
        <v/>
      </c>
      <c r="D202" s="173"/>
      <c r="E202" s="173"/>
      <c r="F202" s="329" t="str">
        <f t="shared" si="35"/>
        <v/>
      </c>
      <c r="G202" s="176"/>
      <c r="H202" s="130" t="str">
        <f>IFERROR(INDEX(DMDT!B:B,MATCH($G202,DMDT!D:D,0),),"")</f>
        <v/>
      </c>
      <c r="I202" s="131"/>
      <c r="J202" s="132"/>
      <c r="K202" s="133"/>
      <c r="L202" s="134"/>
      <c r="M202" s="134"/>
      <c r="N202" s="135"/>
      <c r="O202" s="219"/>
      <c r="P202" s="143"/>
      <c r="Q202" s="143"/>
      <c r="R202" s="150"/>
      <c r="S202" s="127" t="str">
        <f t="shared" si="29"/>
        <v/>
      </c>
      <c r="T202" s="175" t="str">
        <f t="shared" si="30"/>
        <v/>
      </c>
      <c r="U202" s="158" t="e">
        <f t="shared" si="31"/>
        <v>#N/A</v>
      </c>
      <c r="V202" s="310" t="str">
        <f t="shared" si="32"/>
        <v/>
      </c>
      <c r="W202" s="137" t="str">
        <f t="shared" si="33"/>
        <v>X</v>
      </c>
      <c r="X202" s="137">
        <f t="shared" si="34"/>
        <v>0</v>
      </c>
    </row>
    <row r="203" spans="1:24" ht="17.25" customHeight="1">
      <c r="A203" s="137" t="str">
        <f t="shared" ca="1" si="27"/>
        <v>-</v>
      </c>
      <c r="B203" s="173"/>
      <c r="C203" s="253" t="str">
        <f t="shared" si="28"/>
        <v/>
      </c>
      <c r="D203" s="173"/>
      <c r="E203" s="173"/>
      <c r="F203" s="329" t="str">
        <f t="shared" si="35"/>
        <v/>
      </c>
      <c r="G203" s="176"/>
      <c r="H203" s="130" t="str">
        <f>IFERROR(INDEX(DMDT!B:B,MATCH($G203,DMDT!D:D,0),),"")</f>
        <v/>
      </c>
      <c r="I203" s="131"/>
      <c r="J203" s="132"/>
      <c r="K203" s="133"/>
      <c r="L203" s="134"/>
      <c r="M203" s="134"/>
      <c r="N203" s="135"/>
      <c r="O203" s="219"/>
      <c r="P203" s="143"/>
      <c r="Q203" s="144"/>
      <c r="R203" s="150"/>
      <c r="S203" s="127" t="str">
        <f t="shared" si="29"/>
        <v/>
      </c>
      <c r="T203" s="175" t="str">
        <f t="shared" si="30"/>
        <v/>
      </c>
      <c r="U203" s="158" t="e">
        <f t="shared" si="31"/>
        <v>#N/A</v>
      </c>
      <c r="V203" s="310" t="str">
        <f t="shared" si="32"/>
        <v/>
      </c>
      <c r="W203" s="137" t="str">
        <f t="shared" si="33"/>
        <v>X</v>
      </c>
      <c r="X203" s="137">
        <f t="shared" si="34"/>
        <v>0</v>
      </c>
    </row>
    <row r="204" spans="1:24" ht="17.25" customHeight="1">
      <c r="A204" s="137" t="str">
        <f t="shared" ca="1" si="27"/>
        <v>-</v>
      </c>
      <c r="B204" s="173"/>
      <c r="C204" s="253" t="str">
        <f t="shared" si="28"/>
        <v/>
      </c>
      <c r="D204" s="173"/>
      <c r="E204" s="173"/>
      <c r="F204" s="329" t="str">
        <f t="shared" si="35"/>
        <v/>
      </c>
      <c r="G204" s="176"/>
      <c r="H204" s="130" t="str">
        <f>IFERROR(INDEX(DMDT!B:B,MATCH($G204,DMDT!D:D,0),),"")</f>
        <v/>
      </c>
      <c r="I204" s="131"/>
      <c r="J204" s="132"/>
      <c r="K204" s="133"/>
      <c r="L204" s="134"/>
      <c r="M204" s="134"/>
      <c r="N204" s="135"/>
      <c r="O204" s="220"/>
      <c r="P204" s="143"/>
      <c r="Q204" s="144"/>
      <c r="R204" s="150"/>
      <c r="S204" s="127" t="str">
        <f t="shared" si="29"/>
        <v/>
      </c>
      <c r="T204" s="175" t="str">
        <f t="shared" si="30"/>
        <v/>
      </c>
      <c r="U204" s="158" t="e">
        <f t="shared" si="31"/>
        <v>#N/A</v>
      </c>
      <c r="V204" s="310" t="str">
        <f t="shared" si="32"/>
        <v/>
      </c>
      <c r="W204" s="137" t="str">
        <f t="shared" si="33"/>
        <v>X</v>
      </c>
      <c r="X204" s="137">
        <f t="shared" si="34"/>
        <v>0</v>
      </c>
    </row>
    <row r="205" spans="1:24" ht="17.25" customHeight="1">
      <c r="A205" s="137" t="str">
        <f t="shared" ca="1" si="27"/>
        <v>-</v>
      </c>
      <c r="B205" s="173"/>
      <c r="C205" s="253" t="str">
        <f t="shared" si="28"/>
        <v/>
      </c>
      <c r="D205" s="173"/>
      <c r="E205" s="173"/>
      <c r="F205" s="329" t="str">
        <f t="shared" si="35"/>
        <v/>
      </c>
      <c r="G205" s="176"/>
      <c r="H205" s="130" t="str">
        <f>IFERROR(INDEX(DMDT!B:B,MATCH($G205,DMDT!D:D,0),),"")</f>
        <v/>
      </c>
      <c r="I205" s="131"/>
      <c r="J205" s="132"/>
      <c r="K205" s="133"/>
      <c r="L205" s="134"/>
      <c r="M205" s="134"/>
      <c r="N205" s="135"/>
      <c r="O205" s="219"/>
      <c r="P205" s="143"/>
      <c r="Q205" s="144"/>
      <c r="R205" s="150"/>
      <c r="S205" s="127" t="str">
        <f t="shared" si="29"/>
        <v/>
      </c>
      <c r="T205" s="175" t="str">
        <f t="shared" si="30"/>
        <v/>
      </c>
      <c r="U205" s="158" t="e">
        <f t="shared" si="31"/>
        <v>#N/A</v>
      </c>
      <c r="V205" s="310" t="str">
        <f t="shared" si="32"/>
        <v/>
      </c>
      <c r="W205" s="137" t="str">
        <f t="shared" si="33"/>
        <v>X</v>
      </c>
      <c r="X205" s="137">
        <f t="shared" si="34"/>
        <v>0</v>
      </c>
    </row>
    <row r="206" spans="1:24" ht="17.25" customHeight="1">
      <c r="A206" s="137" t="str">
        <f t="shared" ca="1" si="27"/>
        <v>-</v>
      </c>
      <c r="B206" s="173"/>
      <c r="C206" s="253" t="str">
        <f t="shared" si="28"/>
        <v/>
      </c>
      <c r="D206" s="173"/>
      <c r="E206" s="173"/>
      <c r="F206" s="329" t="str">
        <f t="shared" si="35"/>
        <v/>
      </c>
      <c r="G206" s="176"/>
      <c r="H206" s="130" t="str">
        <f>IFERROR(INDEX(DMDT!B:B,MATCH($G206,DMDT!D:D,0),),"")</f>
        <v/>
      </c>
      <c r="I206" s="131"/>
      <c r="J206" s="132"/>
      <c r="K206" s="133"/>
      <c r="L206" s="134"/>
      <c r="M206" s="134"/>
      <c r="N206" s="135"/>
      <c r="O206" s="219"/>
      <c r="P206" s="143"/>
      <c r="Q206" s="144"/>
      <c r="R206" s="150"/>
      <c r="S206" s="127" t="str">
        <f t="shared" si="29"/>
        <v/>
      </c>
      <c r="T206" s="175" t="str">
        <f t="shared" si="30"/>
        <v/>
      </c>
      <c r="U206" s="158" t="e">
        <f t="shared" si="31"/>
        <v>#N/A</v>
      </c>
      <c r="V206" s="310" t="str">
        <f t="shared" si="32"/>
        <v/>
      </c>
      <c r="W206" s="137" t="str">
        <f t="shared" si="33"/>
        <v>X</v>
      </c>
      <c r="X206" s="137">
        <f t="shared" si="34"/>
        <v>0</v>
      </c>
    </row>
    <row r="207" spans="1:24" ht="17.25" customHeight="1">
      <c r="A207" s="137" t="str">
        <f t="shared" ca="1" si="27"/>
        <v>-</v>
      </c>
      <c r="B207" s="173"/>
      <c r="C207" s="253" t="str">
        <f t="shared" si="28"/>
        <v/>
      </c>
      <c r="D207" s="173"/>
      <c r="E207" s="173"/>
      <c r="F207" s="329" t="str">
        <f t="shared" si="35"/>
        <v/>
      </c>
      <c r="G207" s="176"/>
      <c r="H207" s="130" t="str">
        <f>IFERROR(INDEX(DMDT!B:B,MATCH($G207,DMDT!D:D,0),),"")</f>
        <v/>
      </c>
      <c r="I207" s="131"/>
      <c r="J207" s="132"/>
      <c r="K207" s="133"/>
      <c r="L207" s="134"/>
      <c r="M207" s="134"/>
      <c r="N207" s="135"/>
      <c r="O207" s="219"/>
      <c r="P207" s="143"/>
      <c r="Q207" s="144"/>
      <c r="R207" s="150"/>
      <c r="S207" s="127" t="str">
        <f t="shared" si="29"/>
        <v/>
      </c>
      <c r="T207" s="175" t="str">
        <f t="shared" si="30"/>
        <v/>
      </c>
      <c r="U207" s="158" t="e">
        <f t="shared" si="31"/>
        <v>#N/A</v>
      </c>
      <c r="V207" s="310" t="str">
        <f t="shared" si="32"/>
        <v/>
      </c>
      <c r="W207" s="137" t="str">
        <f t="shared" si="33"/>
        <v>X</v>
      </c>
      <c r="X207" s="137">
        <f t="shared" si="34"/>
        <v>0</v>
      </c>
    </row>
    <row r="208" spans="1:24" ht="17.25" customHeight="1">
      <c r="A208" s="137" t="str">
        <f t="shared" ca="1" si="27"/>
        <v>-</v>
      </c>
      <c r="B208" s="173"/>
      <c r="C208" s="253" t="str">
        <f t="shared" si="28"/>
        <v/>
      </c>
      <c r="D208" s="173"/>
      <c r="E208" s="173"/>
      <c r="F208" s="329" t="str">
        <f t="shared" si="35"/>
        <v/>
      </c>
      <c r="G208" s="176"/>
      <c r="H208" s="130" t="str">
        <f>IFERROR(INDEX(DMDT!B:B,MATCH($G208,DMDT!D:D,0),),"")</f>
        <v/>
      </c>
      <c r="I208" s="131"/>
      <c r="J208" s="132"/>
      <c r="K208" s="133"/>
      <c r="L208" s="134"/>
      <c r="M208" s="134"/>
      <c r="N208" s="135"/>
      <c r="O208" s="219"/>
      <c r="P208" s="143"/>
      <c r="Q208" s="144"/>
      <c r="R208" s="150"/>
      <c r="S208" s="127" t="str">
        <f t="shared" si="29"/>
        <v/>
      </c>
      <c r="T208" s="175" t="str">
        <f t="shared" si="30"/>
        <v/>
      </c>
      <c r="U208" s="158" t="e">
        <f t="shared" si="31"/>
        <v>#N/A</v>
      </c>
      <c r="V208" s="310" t="str">
        <f t="shared" si="32"/>
        <v/>
      </c>
      <c r="W208" s="137" t="str">
        <f t="shared" si="33"/>
        <v>X</v>
      </c>
      <c r="X208" s="137">
        <f t="shared" si="34"/>
        <v>0</v>
      </c>
    </row>
    <row r="209" spans="1:24" ht="17.25" customHeight="1">
      <c r="A209" s="137" t="str">
        <f t="shared" ca="1" si="27"/>
        <v>-</v>
      </c>
      <c r="B209" s="173"/>
      <c r="C209" s="253" t="str">
        <f t="shared" si="28"/>
        <v/>
      </c>
      <c r="D209" s="173"/>
      <c r="E209" s="173"/>
      <c r="F209" s="329" t="str">
        <f t="shared" si="35"/>
        <v/>
      </c>
      <c r="G209" s="176"/>
      <c r="H209" s="130" t="str">
        <f>IFERROR(INDEX(DMDT!B:B,MATCH($G209,DMDT!D:D,0),),"")</f>
        <v/>
      </c>
      <c r="I209" s="131"/>
      <c r="J209" s="132"/>
      <c r="K209" s="133"/>
      <c r="L209" s="134"/>
      <c r="M209" s="134"/>
      <c r="N209" s="135"/>
      <c r="O209" s="219"/>
      <c r="P209" s="143"/>
      <c r="Q209" s="144"/>
      <c r="R209" s="150"/>
      <c r="S209" s="127" t="str">
        <f t="shared" si="29"/>
        <v/>
      </c>
      <c r="T209" s="175" t="str">
        <f t="shared" si="30"/>
        <v/>
      </c>
      <c r="U209" s="158" t="e">
        <f t="shared" si="31"/>
        <v>#N/A</v>
      </c>
      <c r="V209" s="310" t="str">
        <f t="shared" si="32"/>
        <v/>
      </c>
      <c r="W209" s="137" t="str">
        <f t="shared" si="33"/>
        <v>X</v>
      </c>
      <c r="X209" s="137">
        <f t="shared" si="34"/>
        <v>0</v>
      </c>
    </row>
    <row r="210" spans="1:24" ht="17.25" customHeight="1">
      <c r="A210" s="137" t="str">
        <f t="shared" ca="1" si="27"/>
        <v>-</v>
      </c>
      <c r="B210" s="173"/>
      <c r="C210" s="253" t="str">
        <f t="shared" si="28"/>
        <v/>
      </c>
      <c r="D210" s="173"/>
      <c r="E210" s="173"/>
      <c r="F210" s="329" t="str">
        <f t="shared" si="35"/>
        <v/>
      </c>
      <c r="G210" s="176"/>
      <c r="H210" s="130" t="str">
        <f>IFERROR(INDEX(DMDT!B:B,MATCH($G210,DMDT!D:D,0),),"")</f>
        <v/>
      </c>
      <c r="I210" s="131"/>
      <c r="J210" s="132"/>
      <c r="K210" s="133"/>
      <c r="L210" s="134"/>
      <c r="M210" s="134"/>
      <c r="N210" s="135"/>
      <c r="O210" s="219"/>
      <c r="P210" s="143"/>
      <c r="Q210" s="144"/>
      <c r="R210" s="150"/>
      <c r="S210" s="127" t="str">
        <f t="shared" si="29"/>
        <v/>
      </c>
      <c r="T210" s="175" t="str">
        <f t="shared" si="30"/>
        <v/>
      </c>
      <c r="U210" s="158" t="e">
        <f t="shared" si="31"/>
        <v>#N/A</v>
      </c>
      <c r="V210" s="310" t="str">
        <f t="shared" si="32"/>
        <v/>
      </c>
      <c r="W210" s="137" t="str">
        <f t="shared" si="33"/>
        <v>X</v>
      </c>
      <c r="X210" s="137">
        <f t="shared" si="34"/>
        <v>0</v>
      </c>
    </row>
    <row r="211" spans="1:24" ht="17.25" customHeight="1">
      <c r="A211" s="137" t="str">
        <f t="shared" ca="1" si="27"/>
        <v>-</v>
      </c>
      <c r="B211" s="173"/>
      <c r="C211" s="253" t="str">
        <f t="shared" si="28"/>
        <v/>
      </c>
      <c r="D211" s="173"/>
      <c r="E211" s="173"/>
      <c r="F211" s="329" t="str">
        <f t="shared" si="35"/>
        <v/>
      </c>
      <c r="G211" s="176"/>
      <c r="H211" s="130" t="str">
        <f>IFERROR(INDEX(DMDT!B:B,MATCH($G211,DMDT!D:D,0),),"")</f>
        <v/>
      </c>
      <c r="I211" s="131"/>
      <c r="J211" s="132"/>
      <c r="K211" s="133"/>
      <c r="L211" s="134"/>
      <c r="M211" s="134"/>
      <c r="N211" s="135"/>
      <c r="O211" s="219"/>
      <c r="P211" s="143"/>
      <c r="Q211" s="144"/>
      <c r="R211" s="150"/>
      <c r="S211" s="127" t="str">
        <f t="shared" si="29"/>
        <v/>
      </c>
      <c r="T211" s="175" t="str">
        <f t="shared" si="30"/>
        <v/>
      </c>
      <c r="U211" s="158" t="e">
        <f t="shared" si="31"/>
        <v>#N/A</v>
      </c>
      <c r="V211" s="310" t="str">
        <f t="shared" si="32"/>
        <v/>
      </c>
      <c r="W211" s="137" t="str">
        <f t="shared" si="33"/>
        <v>X</v>
      </c>
      <c r="X211" s="137">
        <f t="shared" si="34"/>
        <v>0</v>
      </c>
    </row>
    <row r="212" spans="1:24" ht="17.25" customHeight="1">
      <c r="A212" s="137" t="str">
        <f t="shared" ca="1" si="27"/>
        <v>-</v>
      </c>
      <c r="B212" s="173"/>
      <c r="C212" s="253" t="str">
        <f t="shared" si="28"/>
        <v/>
      </c>
      <c r="D212" s="173"/>
      <c r="E212" s="173"/>
      <c r="F212" s="329" t="str">
        <f t="shared" si="35"/>
        <v/>
      </c>
      <c r="G212" s="176"/>
      <c r="H212" s="130" t="str">
        <f>IFERROR(INDEX(DMDT!B:B,MATCH($G212,DMDT!D:D,0),),"")</f>
        <v/>
      </c>
      <c r="I212" s="131"/>
      <c r="J212" s="132"/>
      <c r="K212" s="133"/>
      <c r="L212" s="134"/>
      <c r="M212" s="134"/>
      <c r="N212" s="135"/>
      <c r="O212" s="219"/>
      <c r="P212" s="143"/>
      <c r="Q212" s="144"/>
      <c r="R212" s="150"/>
      <c r="S212" s="127" t="str">
        <f t="shared" si="29"/>
        <v/>
      </c>
      <c r="T212" s="175" t="str">
        <f t="shared" si="30"/>
        <v/>
      </c>
      <c r="U212" s="158" t="e">
        <f t="shared" si="31"/>
        <v>#N/A</v>
      </c>
      <c r="V212" s="310" t="str">
        <f t="shared" si="32"/>
        <v/>
      </c>
      <c r="W212" s="137" t="str">
        <f t="shared" si="33"/>
        <v>X</v>
      </c>
      <c r="X212" s="137">
        <f t="shared" si="34"/>
        <v>0</v>
      </c>
    </row>
    <row r="213" spans="1:24" ht="17.25" customHeight="1">
      <c r="A213" s="137" t="str">
        <f t="shared" ca="1" si="27"/>
        <v>-</v>
      </c>
      <c r="B213" s="173"/>
      <c r="C213" s="253" t="str">
        <f t="shared" si="28"/>
        <v/>
      </c>
      <c r="D213" s="173"/>
      <c r="E213" s="173"/>
      <c r="F213" s="329" t="str">
        <f t="shared" si="35"/>
        <v/>
      </c>
      <c r="G213" s="176"/>
      <c r="H213" s="130" t="str">
        <f>IFERROR(INDEX(DMDT!B:B,MATCH($G213,DMDT!D:D,0),),"")</f>
        <v/>
      </c>
      <c r="I213" s="131"/>
      <c r="J213" s="132"/>
      <c r="K213" s="133"/>
      <c r="L213" s="134"/>
      <c r="M213" s="134"/>
      <c r="N213" s="135"/>
      <c r="O213" s="219"/>
      <c r="P213" s="143"/>
      <c r="Q213" s="144"/>
      <c r="R213" s="150"/>
      <c r="S213" s="127" t="str">
        <f t="shared" si="29"/>
        <v/>
      </c>
      <c r="T213" s="175" t="str">
        <f t="shared" si="30"/>
        <v/>
      </c>
      <c r="U213" s="158" t="e">
        <f t="shared" si="31"/>
        <v>#N/A</v>
      </c>
      <c r="V213" s="310" t="str">
        <f t="shared" si="32"/>
        <v/>
      </c>
      <c r="W213" s="137" t="str">
        <f t="shared" si="33"/>
        <v>X</v>
      </c>
      <c r="X213" s="137">
        <f t="shared" si="34"/>
        <v>0</v>
      </c>
    </row>
    <row r="214" spans="1:24" ht="17.25" customHeight="1">
      <c r="A214" s="137" t="str">
        <f t="shared" ca="1" si="27"/>
        <v>-</v>
      </c>
      <c r="B214" s="173"/>
      <c r="C214" s="253" t="str">
        <f t="shared" si="28"/>
        <v/>
      </c>
      <c r="D214" s="173"/>
      <c r="E214" s="173"/>
      <c r="F214" s="329" t="str">
        <f t="shared" si="35"/>
        <v/>
      </c>
      <c r="G214" s="176"/>
      <c r="H214" s="130" t="str">
        <f>IFERROR(INDEX(DMDT!B:B,MATCH($G214,DMDT!D:D,0),),"")</f>
        <v/>
      </c>
      <c r="I214" s="131"/>
      <c r="J214" s="132"/>
      <c r="K214" s="133"/>
      <c r="L214" s="134"/>
      <c r="M214" s="134"/>
      <c r="N214" s="135"/>
      <c r="O214" s="219"/>
      <c r="P214" s="143"/>
      <c r="Q214" s="144"/>
      <c r="R214" s="150"/>
      <c r="S214" s="127" t="str">
        <f t="shared" si="29"/>
        <v/>
      </c>
      <c r="T214" s="175" t="str">
        <f t="shared" si="30"/>
        <v/>
      </c>
      <c r="U214" s="158" t="e">
        <f t="shared" si="31"/>
        <v>#N/A</v>
      </c>
      <c r="V214" s="310" t="str">
        <f t="shared" si="32"/>
        <v/>
      </c>
      <c r="W214" s="137" t="str">
        <f t="shared" si="33"/>
        <v>X</v>
      </c>
      <c r="X214" s="137">
        <f t="shared" si="34"/>
        <v>0</v>
      </c>
    </row>
    <row r="215" spans="1:24" ht="17.25" customHeight="1">
      <c r="A215" s="137" t="str">
        <f t="shared" ca="1" si="27"/>
        <v>-</v>
      </c>
      <c r="B215" s="173"/>
      <c r="C215" s="253" t="str">
        <f t="shared" si="28"/>
        <v/>
      </c>
      <c r="D215" s="173"/>
      <c r="E215" s="173"/>
      <c r="F215" s="329" t="str">
        <f t="shared" si="35"/>
        <v/>
      </c>
      <c r="G215" s="176"/>
      <c r="H215" s="130" t="str">
        <f>IFERROR(INDEX(DMDT!B:B,MATCH($G215,DMDT!D:D,0),),"")</f>
        <v/>
      </c>
      <c r="I215" s="131"/>
      <c r="J215" s="132"/>
      <c r="K215" s="133"/>
      <c r="L215" s="134"/>
      <c r="M215" s="134"/>
      <c r="N215" s="135"/>
      <c r="O215" s="219"/>
      <c r="P215" s="143"/>
      <c r="Q215" s="144"/>
      <c r="R215" s="150"/>
      <c r="S215" s="127" t="str">
        <f t="shared" si="29"/>
        <v/>
      </c>
      <c r="T215" s="175" t="str">
        <f t="shared" si="30"/>
        <v/>
      </c>
      <c r="U215" s="158" t="e">
        <f t="shared" si="31"/>
        <v>#N/A</v>
      </c>
      <c r="V215" s="310" t="str">
        <f t="shared" si="32"/>
        <v/>
      </c>
      <c r="W215" s="137" t="str">
        <f t="shared" si="33"/>
        <v>X</v>
      </c>
      <c r="X215" s="137">
        <f t="shared" si="34"/>
        <v>0</v>
      </c>
    </row>
    <row r="216" spans="1:24" ht="17.25" customHeight="1">
      <c r="A216" s="137" t="str">
        <f t="shared" ca="1" si="27"/>
        <v>-</v>
      </c>
      <c r="B216" s="173"/>
      <c r="C216" s="253" t="str">
        <f t="shared" si="28"/>
        <v/>
      </c>
      <c r="D216" s="173"/>
      <c r="E216" s="173"/>
      <c r="F216" s="329" t="str">
        <f t="shared" si="35"/>
        <v/>
      </c>
      <c r="G216" s="176"/>
      <c r="H216" s="130" t="str">
        <f>IFERROR(INDEX(DMDT!B:B,MATCH($G216,DMDT!D:D,0),),"")</f>
        <v/>
      </c>
      <c r="I216" s="131"/>
      <c r="J216" s="132"/>
      <c r="K216" s="133"/>
      <c r="L216" s="134"/>
      <c r="M216" s="134"/>
      <c r="N216" s="135"/>
      <c r="O216" s="219"/>
      <c r="P216" s="143"/>
      <c r="Q216" s="144"/>
      <c r="R216" s="150"/>
      <c r="S216" s="127" t="str">
        <f t="shared" si="29"/>
        <v/>
      </c>
      <c r="T216" s="175" t="str">
        <f t="shared" si="30"/>
        <v/>
      </c>
      <c r="U216" s="158" t="e">
        <f t="shared" si="31"/>
        <v>#N/A</v>
      </c>
      <c r="V216" s="310" t="str">
        <f t="shared" si="32"/>
        <v/>
      </c>
      <c r="W216" s="137" t="str">
        <f t="shared" si="33"/>
        <v>X</v>
      </c>
      <c r="X216" s="137">
        <f t="shared" si="34"/>
        <v>0</v>
      </c>
    </row>
    <row r="217" spans="1:24" ht="17.25" customHeight="1">
      <c r="A217" s="137" t="str">
        <f t="shared" ca="1" si="27"/>
        <v>-</v>
      </c>
      <c r="B217" s="173"/>
      <c r="C217" s="253" t="str">
        <f t="shared" si="28"/>
        <v/>
      </c>
      <c r="D217" s="173"/>
      <c r="E217" s="173"/>
      <c r="F217" s="329" t="str">
        <f t="shared" si="35"/>
        <v/>
      </c>
      <c r="G217" s="176"/>
      <c r="H217" s="130" t="str">
        <f>IFERROR(INDEX(DMDT!B:B,MATCH($G217,DMDT!D:D,0),),"")</f>
        <v/>
      </c>
      <c r="I217" s="131"/>
      <c r="J217" s="132"/>
      <c r="K217" s="133"/>
      <c r="L217" s="134"/>
      <c r="M217" s="134"/>
      <c r="N217" s="135"/>
      <c r="O217" s="219"/>
      <c r="P217" s="143"/>
      <c r="Q217" s="144"/>
      <c r="R217" s="150"/>
      <c r="S217" s="127" t="str">
        <f t="shared" si="29"/>
        <v/>
      </c>
      <c r="T217" s="175" t="str">
        <f t="shared" si="30"/>
        <v/>
      </c>
      <c r="U217" s="158" t="e">
        <f t="shared" si="31"/>
        <v>#N/A</v>
      </c>
      <c r="V217" s="310" t="str">
        <f t="shared" si="32"/>
        <v/>
      </c>
      <c r="W217" s="137" t="str">
        <f t="shared" si="33"/>
        <v>X</v>
      </c>
      <c r="X217" s="137">
        <f t="shared" si="34"/>
        <v>0</v>
      </c>
    </row>
    <row r="218" spans="1:24" ht="17.25" customHeight="1">
      <c r="A218" s="137" t="str">
        <f t="shared" ca="1" si="27"/>
        <v>-</v>
      </c>
      <c r="B218" s="173"/>
      <c r="C218" s="253" t="str">
        <f t="shared" si="28"/>
        <v/>
      </c>
      <c r="D218" s="173"/>
      <c r="E218" s="173"/>
      <c r="F218" s="329" t="str">
        <f t="shared" si="35"/>
        <v/>
      </c>
      <c r="G218" s="176"/>
      <c r="H218" s="130" t="str">
        <f>IFERROR(INDEX(DMDT!B:B,MATCH($G218,DMDT!D:D,0),),"")</f>
        <v/>
      </c>
      <c r="I218" s="131"/>
      <c r="J218" s="132"/>
      <c r="K218" s="133"/>
      <c r="L218" s="134"/>
      <c r="M218" s="134"/>
      <c r="N218" s="135"/>
      <c r="O218" s="219"/>
      <c r="P218" s="143"/>
      <c r="Q218" s="144"/>
      <c r="R218" s="150"/>
      <c r="S218" s="127" t="str">
        <f t="shared" si="29"/>
        <v/>
      </c>
      <c r="T218" s="175" t="str">
        <f t="shared" si="30"/>
        <v/>
      </c>
      <c r="U218" s="158" t="e">
        <f t="shared" si="31"/>
        <v>#N/A</v>
      </c>
      <c r="V218" s="310" t="str">
        <f t="shared" si="32"/>
        <v/>
      </c>
      <c r="W218" s="137" t="str">
        <f t="shared" si="33"/>
        <v>X</v>
      </c>
      <c r="X218" s="137">
        <f t="shared" si="34"/>
        <v>0</v>
      </c>
    </row>
    <row r="219" spans="1:24" ht="17.25" customHeight="1">
      <c r="A219" s="137" t="str">
        <f t="shared" ca="1" si="27"/>
        <v>-</v>
      </c>
      <c r="B219" s="173"/>
      <c r="C219" s="253" t="str">
        <f t="shared" si="28"/>
        <v/>
      </c>
      <c r="D219" s="173"/>
      <c r="E219" s="173"/>
      <c r="F219" s="329" t="str">
        <f t="shared" si="35"/>
        <v/>
      </c>
      <c r="G219" s="176"/>
      <c r="H219" s="130" t="str">
        <f>IFERROR(INDEX(DMDT!B:B,MATCH($G219,DMDT!D:D,0),),"")</f>
        <v/>
      </c>
      <c r="I219" s="131"/>
      <c r="J219" s="132"/>
      <c r="K219" s="133"/>
      <c r="L219" s="134"/>
      <c r="M219" s="134"/>
      <c r="N219" s="135"/>
      <c r="O219" s="219"/>
      <c r="P219" s="143"/>
      <c r="Q219" s="144"/>
      <c r="R219" s="150"/>
      <c r="S219" s="127" t="str">
        <f t="shared" si="29"/>
        <v/>
      </c>
      <c r="T219" s="175" t="str">
        <f t="shared" si="30"/>
        <v/>
      </c>
      <c r="U219" s="158" t="e">
        <f t="shared" si="31"/>
        <v>#N/A</v>
      </c>
      <c r="V219" s="310" t="str">
        <f t="shared" si="32"/>
        <v/>
      </c>
      <c r="W219" s="137" t="str">
        <f t="shared" si="33"/>
        <v>X</v>
      </c>
      <c r="X219" s="137">
        <f t="shared" si="34"/>
        <v>0</v>
      </c>
    </row>
    <row r="220" spans="1:24" ht="17.25" customHeight="1">
      <c r="A220" s="137" t="str">
        <f t="shared" ca="1" si="27"/>
        <v>-</v>
      </c>
      <c r="B220" s="173"/>
      <c r="C220" s="253" t="str">
        <f t="shared" si="28"/>
        <v/>
      </c>
      <c r="D220" s="173"/>
      <c r="E220" s="173"/>
      <c r="F220" s="329" t="str">
        <f t="shared" si="35"/>
        <v/>
      </c>
      <c r="G220" s="176"/>
      <c r="H220" s="130" t="str">
        <f>IFERROR(INDEX(DMDT!B:B,MATCH($G220,DMDT!D:D,0),),"")</f>
        <v/>
      </c>
      <c r="I220" s="131"/>
      <c r="J220" s="132"/>
      <c r="K220" s="133"/>
      <c r="L220" s="134"/>
      <c r="M220" s="134"/>
      <c r="N220" s="135"/>
      <c r="O220" s="219"/>
      <c r="P220" s="143"/>
      <c r="Q220" s="144"/>
      <c r="R220" s="150"/>
      <c r="S220" s="127" t="str">
        <f t="shared" si="29"/>
        <v/>
      </c>
      <c r="T220" s="175" t="str">
        <f t="shared" si="30"/>
        <v/>
      </c>
      <c r="U220" s="158" t="e">
        <f t="shared" si="31"/>
        <v>#N/A</v>
      </c>
      <c r="V220" s="310" t="str">
        <f t="shared" si="32"/>
        <v/>
      </c>
      <c r="W220" s="137" t="str">
        <f t="shared" si="33"/>
        <v>X</v>
      </c>
      <c r="X220" s="137">
        <f t="shared" si="34"/>
        <v>0</v>
      </c>
    </row>
    <row r="221" spans="1:24" ht="17.25" customHeight="1">
      <c r="A221" s="137" t="str">
        <f t="shared" ca="1" si="27"/>
        <v>-</v>
      </c>
      <c r="B221" s="173"/>
      <c r="C221" s="253" t="str">
        <f t="shared" si="28"/>
        <v/>
      </c>
      <c r="D221" s="173"/>
      <c r="E221" s="173"/>
      <c r="F221" s="329" t="str">
        <f t="shared" si="35"/>
        <v/>
      </c>
      <c r="G221" s="176"/>
      <c r="H221" s="130" t="str">
        <f>IFERROR(INDEX(DMDT!B:B,MATCH($G221,DMDT!D:D,0),),"")</f>
        <v/>
      </c>
      <c r="I221" s="131"/>
      <c r="J221" s="132"/>
      <c r="K221" s="133"/>
      <c r="L221" s="134"/>
      <c r="M221" s="134"/>
      <c r="N221" s="135"/>
      <c r="O221" s="219"/>
      <c r="P221" s="143"/>
      <c r="Q221" s="144"/>
      <c r="R221" s="150"/>
      <c r="S221" s="127" t="str">
        <f t="shared" si="29"/>
        <v/>
      </c>
      <c r="T221" s="175" t="str">
        <f t="shared" si="30"/>
        <v/>
      </c>
      <c r="U221" s="158" t="e">
        <f t="shared" si="31"/>
        <v>#N/A</v>
      </c>
      <c r="V221" s="310" t="str">
        <f t="shared" si="32"/>
        <v/>
      </c>
      <c r="W221" s="137" t="str">
        <f t="shared" si="33"/>
        <v>X</v>
      </c>
      <c r="X221" s="137">
        <f t="shared" si="34"/>
        <v>0</v>
      </c>
    </row>
    <row r="222" spans="1:24" ht="17.25" customHeight="1">
      <c r="A222" s="137" t="str">
        <f t="shared" ca="1" si="27"/>
        <v>-</v>
      </c>
      <c r="B222" s="173"/>
      <c r="C222" s="253" t="str">
        <f t="shared" si="28"/>
        <v/>
      </c>
      <c r="D222" s="173"/>
      <c r="E222" s="173"/>
      <c r="F222" s="329" t="str">
        <f t="shared" si="35"/>
        <v/>
      </c>
      <c r="G222" s="176"/>
      <c r="H222" s="130" t="str">
        <f>IFERROR(INDEX(DMDT!B:B,MATCH($G222,DMDT!D:D,0),),"")</f>
        <v/>
      </c>
      <c r="I222" s="131"/>
      <c r="J222" s="132"/>
      <c r="K222" s="133"/>
      <c r="L222" s="134"/>
      <c r="M222" s="134"/>
      <c r="N222" s="135"/>
      <c r="O222" s="219"/>
      <c r="P222" s="143"/>
      <c r="Q222" s="144"/>
      <c r="R222" s="150"/>
      <c r="S222" s="127" t="str">
        <f t="shared" si="29"/>
        <v/>
      </c>
      <c r="T222" s="175" t="str">
        <f t="shared" si="30"/>
        <v/>
      </c>
      <c r="U222" s="158" t="e">
        <f t="shared" si="31"/>
        <v>#N/A</v>
      </c>
      <c r="V222" s="310" t="str">
        <f t="shared" si="32"/>
        <v/>
      </c>
      <c r="W222" s="137" t="str">
        <f t="shared" si="33"/>
        <v>X</v>
      </c>
      <c r="X222" s="137">
        <f t="shared" si="34"/>
        <v>0</v>
      </c>
    </row>
    <row r="223" spans="1:24" ht="17.25" customHeight="1">
      <c r="A223" s="137" t="str">
        <f t="shared" ca="1" si="27"/>
        <v>-</v>
      </c>
      <c r="B223" s="173"/>
      <c r="C223" s="253" t="str">
        <f t="shared" si="28"/>
        <v/>
      </c>
      <c r="D223" s="173"/>
      <c r="E223" s="173"/>
      <c r="F223" s="329" t="str">
        <f t="shared" si="35"/>
        <v/>
      </c>
      <c r="G223" s="176"/>
      <c r="H223" s="130" t="str">
        <f>IFERROR(INDEX(DMDT!B:B,MATCH($G223,DMDT!D:D,0),),"")</f>
        <v/>
      </c>
      <c r="I223" s="131"/>
      <c r="J223" s="132"/>
      <c r="K223" s="133"/>
      <c r="L223" s="134"/>
      <c r="M223" s="134"/>
      <c r="N223" s="135"/>
      <c r="O223" s="219"/>
      <c r="P223" s="143"/>
      <c r="Q223" s="144"/>
      <c r="R223" s="150"/>
      <c r="S223" s="127" t="str">
        <f t="shared" si="29"/>
        <v/>
      </c>
      <c r="T223" s="175" t="str">
        <f t="shared" si="30"/>
        <v/>
      </c>
      <c r="U223" s="158" t="e">
        <f t="shared" si="31"/>
        <v>#N/A</v>
      </c>
      <c r="V223" s="310" t="str">
        <f t="shared" si="32"/>
        <v/>
      </c>
      <c r="W223" s="137" t="str">
        <f t="shared" si="33"/>
        <v>X</v>
      </c>
      <c r="X223" s="137">
        <f t="shared" si="34"/>
        <v>0</v>
      </c>
    </row>
    <row r="224" spans="1:24" ht="17.25" customHeight="1">
      <c r="A224" s="137" t="str">
        <f t="shared" ca="1" si="27"/>
        <v>-</v>
      </c>
      <c r="B224" s="173"/>
      <c r="C224" s="253" t="str">
        <f t="shared" si="28"/>
        <v/>
      </c>
      <c r="D224" s="173"/>
      <c r="E224" s="173"/>
      <c r="F224" s="329" t="str">
        <f t="shared" si="35"/>
        <v/>
      </c>
      <c r="G224" s="176"/>
      <c r="H224" s="130" t="str">
        <f>IFERROR(INDEX(DMDT!B:B,MATCH($G224,DMDT!D:D,0),),"")</f>
        <v/>
      </c>
      <c r="I224" s="131"/>
      <c r="J224" s="132"/>
      <c r="K224" s="133"/>
      <c r="L224" s="134"/>
      <c r="M224" s="134"/>
      <c r="N224" s="135"/>
      <c r="O224" s="219"/>
      <c r="P224" s="143"/>
      <c r="Q224" s="144"/>
      <c r="R224" s="150"/>
      <c r="S224" s="127" t="str">
        <f t="shared" si="29"/>
        <v/>
      </c>
      <c r="T224" s="175" t="str">
        <f t="shared" si="30"/>
        <v/>
      </c>
      <c r="U224" s="158" t="e">
        <f t="shared" si="31"/>
        <v>#N/A</v>
      </c>
      <c r="V224" s="310" t="str">
        <f t="shared" si="32"/>
        <v/>
      </c>
      <c r="W224" s="137" t="str">
        <f t="shared" si="33"/>
        <v>X</v>
      </c>
      <c r="X224" s="137">
        <f t="shared" si="34"/>
        <v>0</v>
      </c>
    </row>
    <row r="225" spans="1:24" ht="17.25" customHeight="1">
      <c r="A225" s="137" t="str">
        <f t="shared" ca="1" si="27"/>
        <v>-</v>
      </c>
      <c r="B225" s="173"/>
      <c r="C225" s="253" t="str">
        <f t="shared" si="28"/>
        <v/>
      </c>
      <c r="D225" s="173"/>
      <c r="E225" s="173"/>
      <c r="F225" s="329" t="str">
        <f t="shared" si="35"/>
        <v/>
      </c>
      <c r="G225" s="176"/>
      <c r="H225" s="130" t="str">
        <f>IFERROR(INDEX(DMDT!B:B,MATCH($G225,DMDT!D:D,0),),"")</f>
        <v/>
      </c>
      <c r="I225" s="131"/>
      <c r="J225" s="132"/>
      <c r="K225" s="133"/>
      <c r="L225" s="134"/>
      <c r="M225" s="134"/>
      <c r="N225" s="135"/>
      <c r="O225" s="219"/>
      <c r="P225" s="143"/>
      <c r="Q225" s="144"/>
      <c r="R225" s="150"/>
      <c r="S225" s="127" t="str">
        <f t="shared" si="29"/>
        <v/>
      </c>
      <c r="T225" s="175" t="str">
        <f t="shared" si="30"/>
        <v/>
      </c>
      <c r="U225" s="158" t="e">
        <f t="shared" si="31"/>
        <v>#N/A</v>
      </c>
      <c r="V225" s="310" t="str">
        <f t="shared" si="32"/>
        <v/>
      </c>
      <c r="W225" s="137" t="str">
        <f t="shared" si="33"/>
        <v>X</v>
      </c>
      <c r="X225" s="137">
        <f t="shared" si="34"/>
        <v>0</v>
      </c>
    </row>
    <row r="226" spans="1:24" ht="17.25" customHeight="1">
      <c r="A226" s="137" t="str">
        <f t="shared" ca="1" si="27"/>
        <v>-</v>
      </c>
      <c r="B226" s="173"/>
      <c r="C226" s="253" t="str">
        <f t="shared" si="28"/>
        <v/>
      </c>
      <c r="D226" s="173"/>
      <c r="E226" s="173"/>
      <c r="F226" s="329" t="str">
        <f t="shared" si="35"/>
        <v/>
      </c>
      <c r="G226" s="176"/>
      <c r="H226" s="130" t="str">
        <f>IFERROR(INDEX(DMDT!B:B,MATCH($G226,DMDT!D:D,0),),"")</f>
        <v/>
      </c>
      <c r="I226" s="131"/>
      <c r="J226" s="132"/>
      <c r="K226" s="133"/>
      <c r="L226" s="134"/>
      <c r="M226" s="134"/>
      <c r="N226" s="135"/>
      <c r="O226" s="219"/>
      <c r="P226" s="143"/>
      <c r="Q226" s="144"/>
      <c r="R226" s="150"/>
      <c r="S226" s="127" t="str">
        <f t="shared" si="29"/>
        <v/>
      </c>
      <c r="T226" s="175" t="str">
        <f t="shared" si="30"/>
        <v/>
      </c>
      <c r="U226" s="158" t="e">
        <f t="shared" si="31"/>
        <v>#N/A</v>
      </c>
      <c r="V226" s="310" t="str">
        <f t="shared" si="32"/>
        <v/>
      </c>
      <c r="W226" s="137" t="str">
        <f t="shared" si="33"/>
        <v>X</v>
      </c>
      <c r="X226" s="137">
        <f t="shared" si="34"/>
        <v>0</v>
      </c>
    </row>
    <row r="227" spans="1:24" ht="17.25" customHeight="1">
      <c r="A227" s="137" t="str">
        <f t="shared" ca="1" si="27"/>
        <v>-</v>
      </c>
      <c r="B227" s="173"/>
      <c r="C227" s="253" t="str">
        <f t="shared" si="28"/>
        <v/>
      </c>
      <c r="D227" s="173"/>
      <c r="E227" s="173"/>
      <c r="F227" s="329" t="str">
        <f t="shared" si="35"/>
        <v/>
      </c>
      <c r="G227" s="176"/>
      <c r="H227" s="130" t="str">
        <f>IFERROR(INDEX(DMDT!B:B,MATCH($G227,DMDT!D:D,0),),"")</f>
        <v/>
      </c>
      <c r="I227" s="131"/>
      <c r="J227" s="132"/>
      <c r="K227" s="133"/>
      <c r="L227" s="134"/>
      <c r="M227" s="134"/>
      <c r="N227" s="135"/>
      <c r="O227" s="219"/>
      <c r="P227" s="143"/>
      <c r="Q227" s="144"/>
      <c r="R227" s="150"/>
      <c r="S227" s="127" t="str">
        <f t="shared" si="29"/>
        <v/>
      </c>
      <c r="T227" s="175" t="str">
        <f t="shared" si="30"/>
        <v/>
      </c>
      <c r="U227" s="158" t="e">
        <f t="shared" si="31"/>
        <v>#N/A</v>
      </c>
      <c r="V227" s="310" t="str">
        <f t="shared" si="32"/>
        <v/>
      </c>
      <c r="W227" s="137" t="str">
        <f t="shared" si="33"/>
        <v>X</v>
      </c>
      <c r="X227" s="137">
        <f t="shared" si="34"/>
        <v>0</v>
      </c>
    </row>
    <row r="228" spans="1:24" ht="17.25" customHeight="1">
      <c r="A228" s="137" t="str">
        <f t="shared" ca="1" si="27"/>
        <v>-</v>
      </c>
      <c r="B228" s="173"/>
      <c r="C228" s="253" t="str">
        <f t="shared" si="28"/>
        <v/>
      </c>
      <c r="D228" s="173"/>
      <c r="E228" s="173"/>
      <c r="F228" s="329" t="str">
        <f t="shared" si="35"/>
        <v/>
      </c>
      <c r="G228" s="176"/>
      <c r="H228" s="130" t="str">
        <f>IFERROR(INDEX(DMDT!B:B,MATCH($G228,DMDT!D:D,0),),"")</f>
        <v/>
      </c>
      <c r="I228" s="131"/>
      <c r="J228" s="132"/>
      <c r="K228" s="133"/>
      <c r="L228" s="134"/>
      <c r="M228" s="134"/>
      <c r="N228" s="135"/>
      <c r="O228" s="219"/>
      <c r="P228" s="143"/>
      <c r="Q228" s="144"/>
      <c r="R228" s="150"/>
      <c r="S228" s="127" t="str">
        <f t="shared" si="29"/>
        <v/>
      </c>
      <c r="T228" s="175" t="str">
        <f t="shared" si="30"/>
        <v/>
      </c>
      <c r="U228" s="158" t="e">
        <f t="shared" si="31"/>
        <v>#N/A</v>
      </c>
      <c r="V228" s="310" t="str">
        <f t="shared" si="32"/>
        <v/>
      </c>
      <c r="W228" s="137" t="str">
        <f t="shared" si="33"/>
        <v>X</v>
      </c>
      <c r="X228" s="137">
        <f t="shared" si="34"/>
        <v>0</v>
      </c>
    </row>
    <row r="229" spans="1:24" ht="17.25" customHeight="1">
      <c r="A229" s="137" t="str">
        <f t="shared" ca="1" si="27"/>
        <v>-</v>
      </c>
      <c r="B229" s="173"/>
      <c r="C229" s="253" t="str">
        <f t="shared" si="28"/>
        <v/>
      </c>
      <c r="D229" s="173"/>
      <c r="E229" s="173"/>
      <c r="F229" s="329" t="str">
        <f t="shared" si="35"/>
        <v/>
      </c>
      <c r="G229" s="176"/>
      <c r="H229" s="130" t="str">
        <f>IFERROR(INDEX(DMDT!B:B,MATCH($G229,DMDT!D:D,0),),"")</f>
        <v/>
      </c>
      <c r="I229" s="131"/>
      <c r="J229" s="132"/>
      <c r="K229" s="133"/>
      <c r="L229" s="134"/>
      <c r="M229" s="134"/>
      <c r="N229" s="135"/>
      <c r="O229" s="219"/>
      <c r="P229" s="143"/>
      <c r="Q229" s="144"/>
      <c r="R229" s="150"/>
      <c r="S229" s="127" t="str">
        <f t="shared" si="29"/>
        <v/>
      </c>
      <c r="T229" s="175" t="str">
        <f t="shared" si="30"/>
        <v/>
      </c>
      <c r="U229" s="158" t="e">
        <f t="shared" si="31"/>
        <v>#N/A</v>
      </c>
      <c r="V229" s="310" t="str">
        <f t="shared" si="32"/>
        <v/>
      </c>
      <c r="W229" s="137" t="str">
        <f t="shared" si="33"/>
        <v>X</v>
      </c>
      <c r="X229" s="137">
        <f t="shared" si="34"/>
        <v>0</v>
      </c>
    </row>
    <row r="230" spans="1:24" ht="17.25" customHeight="1">
      <c r="A230" s="137" t="str">
        <f t="shared" ca="1" si="27"/>
        <v>-</v>
      </c>
      <c r="B230" s="173"/>
      <c r="C230" s="253" t="str">
        <f t="shared" si="28"/>
        <v/>
      </c>
      <c r="D230" s="173"/>
      <c r="E230" s="173"/>
      <c r="F230" s="329" t="str">
        <f t="shared" si="35"/>
        <v/>
      </c>
      <c r="G230" s="176"/>
      <c r="H230" s="130" t="str">
        <f>IFERROR(INDEX(DMDT!B:B,MATCH($G230,DMDT!D:D,0),),"")</f>
        <v/>
      </c>
      <c r="I230" s="131"/>
      <c r="J230" s="132"/>
      <c r="K230" s="133"/>
      <c r="L230" s="134"/>
      <c r="M230" s="134"/>
      <c r="N230" s="135"/>
      <c r="O230" s="219"/>
      <c r="P230" s="143"/>
      <c r="Q230" s="144"/>
      <c r="R230" s="150"/>
      <c r="S230" s="127" t="str">
        <f t="shared" si="29"/>
        <v/>
      </c>
      <c r="T230" s="175" t="str">
        <f t="shared" si="30"/>
        <v/>
      </c>
      <c r="U230" s="158" t="e">
        <f t="shared" si="31"/>
        <v>#N/A</v>
      </c>
      <c r="V230" s="310" t="str">
        <f t="shared" si="32"/>
        <v/>
      </c>
      <c r="W230" s="137" t="str">
        <f t="shared" si="33"/>
        <v>X</v>
      </c>
      <c r="X230" s="137">
        <f t="shared" si="34"/>
        <v>0</v>
      </c>
    </row>
    <row r="231" spans="1:24" ht="17.25" customHeight="1">
      <c r="A231" s="137" t="str">
        <f t="shared" ca="1" si="27"/>
        <v>-</v>
      </c>
      <c r="B231" s="173"/>
      <c r="C231" s="253" t="str">
        <f t="shared" si="28"/>
        <v/>
      </c>
      <c r="D231" s="173"/>
      <c r="E231" s="173"/>
      <c r="F231" s="329" t="str">
        <f t="shared" si="35"/>
        <v/>
      </c>
      <c r="G231" s="176"/>
      <c r="H231" s="130" t="str">
        <f>IFERROR(INDEX(DMDT!B:B,MATCH($G231,DMDT!D:D,0),),"")</f>
        <v/>
      </c>
      <c r="I231" s="131"/>
      <c r="J231" s="132"/>
      <c r="K231" s="133"/>
      <c r="L231" s="134"/>
      <c r="M231" s="134"/>
      <c r="N231" s="135"/>
      <c r="O231" s="219"/>
      <c r="P231" s="143"/>
      <c r="Q231" s="144"/>
      <c r="R231" s="150"/>
      <c r="S231" s="127" t="str">
        <f t="shared" si="29"/>
        <v/>
      </c>
      <c r="T231" s="175" t="str">
        <f t="shared" si="30"/>
        <v/>
      </c>
      <c r="U231" s="158" t="e">
        <f t="shared" si="31"/>
        <v>#N/A</v>
      </c>
      <c r="V231" s="310" t="str">
        <f t="shared" si="32"/>
        <v/>
      </c>
      <c r="W231" s="137" t="str">
        <f t="shared" si="33"/>
        <v>X</v>
      </c>
      <c r="X231" s="137">
        <f t="shared" si="34"/>
        <v>0</v>
      </c>
    </row>
    <row r="232" spans="1:24" ht="17.25" customHeight="1">
      <c r="A232" s="137" t="str">
        <f t="shared" ca="1" si="27"/>
        <v>-</v>
      </c>
      <c r="B232" s="173"/>
      <c r="C232" s="253" t="str">
        <f t="shared" si="28"/>
        <v/>
      </c>
      <c r="D232" s="173"/>
      <c r="E232" s="173"/>
      <c r="F232" s="329" t="str">
        <f t="shared" si="35"/>
        <v/>
      </c>
      <c r="G232" s="176"/>
      <c r="H232" s="130" t="str">
        <f>IFERROR(INDEX(DMDT!B:B,MATCH($G232,DMDT!D:D,0),),"")</f>
        <v/>
      </c>
      <c r="I232" s="131"/>
      <c r="J232" s="132"/>
      <c r="K232" s="133"/>
      <c r="L232" s="134"/>
      <c r="M232" s="134"/>
      <c r="N232" s="135"/>
      <c r="O232" s="219"/>
      <c r="P232" s="143"/>
      <c r="Q232" s="144"/>
      <c r="R232" s="150"/>
      <c r="S232" s="127" t="str">
        <f t="shared" si="29"/>
        <v/>
      </c>
      <c r="T232" s="175" t="str">
        <f t="shared" si="30"/>
        <v/>
      </c>
      <c r="U232" s="158" t="e">
        <f t="shared" si="31"/>
        <v>#N/A</v>
      </c>
      <c r="V232" s="310" t="str">
        <f t="shared" si="32"/>
        <v/>
      </c>
      <c r="W232" s="137" t="str">
        <f t="shared" si="33"/>
        <v>X</v>
      </c>
      <c r="X232" s="137">
        <f t="shared" si="34"/>
        <v>0</v>
      </c>
    </row>
    <row r="233" spans="1:24" ht="17.25" customHeight="1">
      <c r="A233" s="137" t="str">
        <f t="shared" ca="1" si="27"/>
        <v>-</v>
      </c>
      <c r="B233" s="173"/>
      <c r="C233" s="253" t="str">
        <f t="shared" si="28"/>
        <v/>
      </c>
      <c r="D233" s="173"/>
      <c r="E233" s="173"/>
      <c r="F233" s="329" t="str">
        <f t="shared" si="35"/>
        <v/>
      </c>
      <c r="G233" s="176"/>
      <c r="H233" s="130" t="str">
        <f>IFERROR(INDEX(DMDT!B:B,MATCH($G233,DMDT!D:D,0),),"")</f>
        <v/>
      </c>
      <c r="I233" s="131"/>
      <c r="J233" s="132"/>
      <c r="K233" s="133"/>
      <c r="L233" s="134"/>
      <c r="M233" s="134"/>
      <c r="N233" s="135"/>
      <c r="O233" s="219"/>
      <c r="P233" s="143"/>
      <c r="Q233" s="144"/>
      <c r="R233" s="150"/>
      <c r="S233" s="127" t="str">
        <f t="shared" si="29"/>
        <v/>
      </c>
      <c r="T233" s="175" t="str">
        <f t="shared" si="30"/>
        <v/>
      </c>
      <c r="U233" s="158" t="e">
        <f t="shared" si="31"/>
        <v>#N/A</v>
      </c>
      <c r="V233" s="310" t="str">
        <f t="shared" si="32"/>
        <v/>
      </c>
      <c r="W233" s="137" t="str">
        <f t="shared" si="33"/>
        <v>X</v>
      </c>
      <c r="X233" s="137">
        <f t="shared" si="34"/>
        <v>0</v>
      </c>
    </row>
    <row r="234" spans="1:24" ht="17.25" customHeight="1">
      <c r="A234" s="137" t="str">
        <f t="shared" ca="1" si="27"/>
        <v>-</v>
      </c>
      <c r="B234" s="173"/>
      <c r="C234" s="253" t="str">
        <f t="shared" si="28"/>
        <v/>
      </c>
      <c r="D234" s="173"/>
      <c r="E234" s="173"/>
      <c r="F234" s="329" t="str">
        <f t="shared" si="35"/>
        <v/>
      </c>
      <c r="G234" s="176"/>
      <c r="H234" s="130" t="str">
        <f>IFERROR(INDEX(DMDT!B:B,MATCH($G234,DMDT!D:D,0),),"")</f>
        <v/>
      </c>
      <c r="I234" s="131"/>
      <c r="J234" s="132"/>
      <c r="K234" s="133"/>
      <c r="L234" s="134"/>
      <c r="M234" s="134"/>
      <c r="N234" s="135"/>
      <c r="O234" s="219"/>
      <c r="P234" s="143"/>
      <c r="Q234" s="144"/>
      <c r="R234" s="150"/>
      <c r="S234" s="127" t="str">
        <f t="shared" si="29"/>
        <v/>
      </c>
      <c r="T234" s="175" t="str">
        <f t="shared" si="30"/>
        <v/>
      </c>
      <c r="U234" s="158" t="e">
        <f t="shared" si="31"/>
        <v>#N/A</v>
      </c>
      <c r="V234" s="310" t="str">
        <f t="shared" si="32"/>
        <v/>
      </c>
      <c r="W234" s="137" t="str">
        <f t="shared" si="33"/>
        <v>X</v>
      </c>
      <c r="X234" s="137">
        <f t="shared" si="34"/>
        <v>0</v>
      </c>
    </row>
    <row r="235" spans="1:24" ht="17.25" customHeight="1">
      <c r="A235" s="137" t="str">
        <f t="shared" ca="1" si="27"/>
        <v>-</v>
      </c>
      <c r="B235" s="173"/>
      <c r="C235" s="253" t="str">
        <f t="shared" si="28"/>
        <v/>
      </c>
      <c r="D235" s="173"/>
      <c r="E235" s="173"/>
      <c r="F235" s="329" t="str">
        <f t="shared" si="35"/>
        <v/>
      </c>
      <c r="G235" s="176"/>
      <c r="H235" s="130" t="str">
        <f>IFERROR(INDEX(DMDT!B:B,MATCH($G235,DMDT!D:D,0),),"")</f>
        <v/>
      </c>
      <c r="I235" s="131"/>
      <c r="J235" s="132"/>
      <c r="K235" s="133"/>
      <c r="L235" s="134"/>
      <c r="M235" s="134"/>
      <c r="N235" s="135"/>
      <c r="O235" s="219"/>
      <c r="P235" s="143"/>
      <c r="Q235" s="144"/>
      <c r="R235" s="150"/>
      <c r="S235" s="127" t="str">
        <f t="shared" si="29"/>
        <v/>
      </c>
      <c r="T235" s="175" t="str">
        <f t="shared" si="30"/>
        <v/>
      </c>
      <c r="U235" s="158" t="e">
        <f t="shared" si="31"/>
        <v>#N/A</v>
      </c>
      <c r="V235" s="310" t="str">
        <f t="shared" si="32"/>
        <v/>
      </c>
      <c r="W235" s="137" t="str">
        <f t="shared" si="33"/>
        <v>X</v>
      </c>
      <c r="X235" s="137">
        <f t="shared" si="34"/>
        <v>0</v>
      </c>
    </row>
    <row r="236" spans="1:24" ht="17.25" customHeight="1">
      <c r="A236" s="137" t="str">
        <f t="shared" ca="1" si="27"/>
        <v>-</v>
      </c>
      <c r="B236" s="173"/>
      <c r="C236" s="253" t="str">
        <f t="shared" si="28"/>
        <v/>
      </c>
      <c r="D236" s="173"/>
      <c r="E236" s="173"/>
      <c r="F236" s="329" t="str">
        <f t="shared" si="35"/>
        <v/>
      </c>
      <c r="G236" s="176"/>
      <c r="H236" s="130" t="str">
        <f>IFERROR(INDEX(DMDT!B:B,MATCH($G236,DMDT!D:D,0),),"")</f>
        <v/>
      </c>
      <c r="I236" s="131"/>
      <c r="J236" s="132"/>
      <c r="K236" s="133"/>
      <c r="L236" s="134"/>
      <c r="M236" s="134"/>
      <c r="N236" s="135"/>
      <c r="O236" s="219"/>
      <c r="P236" s="143"/>
      <c r="Q236" s="144"/>
      <c r="R236" s="150"/>
      <c r="S236" s="127" t="str">
        <f t="shared" si="29"/>
        <v/>
      </c>
      <c r="T236" s="175" t="str">
        <f t="shared" si="30"/>
        <v/>
      </c>
      <c r="U236" s="158" t="e">
        <f t="shared" si="31"/>
        <v>#N/A</v>
      </c>
      <c r="V236" s="310" t="str">
        <f t="shared" si="32"/>
        <v/>
      </c>
      <c r="W236" s="137" t="str">
        <f t="shared" si="33"/>
        <v>X</v>
      </c>
      <c r="X236" s="137">
        <f t="shared" si="34"/>
        <v>0</v>
      </c>
    </row>
    <row r="237" spans="1:24" ht="17.25" customHeight="1">
      <c r="A237" s="137" t="str">
        <f t="shared" ca="1" si="27"/>
        <v>-</v>
      </c>
      <c r="B237" s="173"/>
      <c r="C237" s="253" t="str">
        <f t="shared" si="28"/>
        <v/>
      </c>
      <c r="D237" s="173"/>
      <c r="E237" s="173"/>
      <c r="F237" s="329" t="str">
        <f t="shared" si="35"/>
        <v/>
      </c>
      <c r="G237" s="176"/>
      <c r="H237" s="130" t="str">
        <f>IFERROR(INDEX(DMDT!B:B,MATCH($G237,DMDT!D:D,0),),"")</f>
        <v/>
      </c>
      <c r="I237" s="131"/>
      <c r="J237" s="132"/>
      <c r="K237" s="133"/>
      <c r="L237" s="134"/>
      <c r="M237" s="134"/>
      <c r="N237" s="135"/>
      <c r="O237" s="219"/>
      <c r="P237" s="143"/>
      <c r="Q237" s="144"/>
      <c r="R237" s="150"/>
      <c r="S237" s="127" t="str">
        <f t="shared" si="29"/>
        <v/>
      </c>
      <c r="T237" s="175" t="str">
        <f t="shared" si="30"/>
        <v/>
      </c>
      <c r="U237" s="158" t="e">
        <f t="shared" si="31"/>
        <v>#N/A</v>
      </c>
      <c r="V237" s="310" t="str">
        <f t="shared" si="32"/>
        <v/>
      </c>
      <c r="W237" s="137" t="str">
        <f t="shared" si="33"/>
        <v>X</v>
      </c>
      <c r="X237" s="137">
        <f t="shared" si="34"/>
        <v>0</v>
      </c>
    </row>
    <row r="238" spans="1:24" ht="17.25" customHeight="1">
      <c r="A238" s="137" t="str">
        <f t="shared" ca="1" si="27"/>
        <v>-</v>
      </c>
      <c r="B238" s="173"/>
      <c r="C238" s="253" t="str">
        <f t="shared" si="28"/>
        <v/>
      </c>
      <c r="D238" s="173"/>
      <c r="E238" s="173"/>
      <c r="F238" s="329" t="str">
        <f t="shared" si="35"/>
        <v/>
      </c>
      <c r="G238" s="176"/>
      <c r="H238" s="130" t="str">
        <f>IFERROR(INDEX(DMDT!B:B,MATCH($G238,DMDT!D:D,0),),"")</f>
        <v/>
      </c>
      <c r="I238" s="131"/>
      <c r="J238" s="132"/>
      <c r="K238" s="133"/>
      <c r="L238" s="134"/>
      <c r="M238" s="134"/>
      <c r="N238" s="135"/>
      <c r="O238" s="219"/>
      <c r="P238" s="143"/>
      <c r="Q238" s="144"/>
      <c r="R238" s="150"/>
      <c r="S238" s="127" t="str">
        <f t="shared" si="29"/>
        <v/>
      </c>
      <c r="T238" s="175" t="str">
        <f t="shared" si="30"/>
        <v/>
      </c>
      <c r="U238" s="158" t="e">
        <f t="shared" si="31"/>
        <v>#N/A</v>
      </c>
      <c r="V238" s="310" t="str">
        <f t="shared" si="32"/>
        <v/>
      </c>
      <c r="W238" s="137" t="str">
        <f t="shared" si="33"/>
        <v>X</v>
      </c>
      <c r="X238" s="137">
        <f t="shared" si="34"/>
        <v>0</v>
      </c>
    </row>
    <row r="239" spans="1:24" ht="17.25" customHeight="1">
      <c r="A239" s="137" t="str">
        <f t="shared" ca="1" si="27"/>
        <v>-</v>
      </c>
      <c r="B239" s="173"/>
      <c r="C239" s="253" t="str">
        <f t="shared" si="28"/>
        <v/>
      </c>
      <c r="D239" s="173"/>
      <c r="E239" s="173"/>
      <c r="F239" s="329" t="str">
        <f t="shared" si="35"/>
        <v/>
      </c>
      <c r="G239" s="176"/>
      <c r="H239" s="130" t="str">
        <f>IFERROR(INDEX(DMDT!B:B,MATCH($G239,DMDT!D:D,0),),"")</f>
        <v/>
      </c>
      <c r="I239" s="131"/>
      <c r="J239" s="132"/>
      <c r="K239" s="133"/>
      <c r="L239" s="134"/>
      <c r="M239" s="134"/>
      <c r="N239" s="135"/>
      <c r="O239" s="219"/>
      <c r="P239" s="143"/>
      <c r="Q239" s="144"/>
      <c r="R239" s="150"/>
      <c r="S239" s="127" t="str">
        <f t="shared" si="29"/>
        <v/>
      </c>
      <c r="T239" s="175" t="str">
        <f t="shared" si="30"/>
        <v/>
      </c>
      <c r="U239" s="158" t="e">
        <f t="shared" si="31"/>
        <v>#N/A</v>
      </c>
      <c r="V239" s="310" t="str">
        <f t="shared" si="32"/>
        <v/>
      </c>
      <c r="W239" s="137" t="str">
        <f t="shared" si="33"/>
        <v>X</v>
      </c>
      <c r="X239" s="137">
        <f t="shared" si="34"/>
        <v>0</v>
      </c>
    </row>
    <row r="240" spans="1:24" ht="17.25" customHeight="1">
      <c r="A240" s="137" t="str">
        <f t="shared" ca="1" si="27"/>
        <v>-</v>
      </c>
      <c r="B240" s="173"/>
      <c r="C240" s="253" t="str">
        <f t="shared" si="28"/>
        <v/>
      </c>
      <c r="D240" s="173"/>
      <c r="E240" s="173"/>
      <c r="F240" s="329" t="str">
        <f t="shared" si="35"/>
        <v/>
      </c>
      <c r="G240" s="176"/>
      <c r="H240" s="130" t="str">
        <f>IFERROR(INDEX(DMDT!B:B,MATCH($G240,DMDT!D:D,0),),"")</f>
        <v/>
      </c>
      <c r="I240" s="131"/>
      <c r="J240" s="132"/>
      <c r="K240" s="133"/>
      <c r="L240" s="134"/>
      <c r="M240" s="134"/>
      <c r="N240" s="135"/>
      <c r="O240" s="219"/>
      <c r="P240" s="143"/>
      <c r="Q240" s="144"/>
      <c r="R240" s="150"/>
      <c r="S240" s="127" t="str">
        <f t="shared" si="29"/>
        <v/>
      </c>
      <c r="T240" s="175" t="str">
        <f t="shared" si="30"/>
        <v/>
      </c>
      <c r="U240" s="158" t="e">
        <f t="shared" si="31"/>
        <v>#N/A</v>
      </c>
      <c r="V240" s="310" t="str">
        <f t="shared" si="32"/>
        <v/>
      </c>
      <c r="W240" s="137" t="str">
        <f t="shared" si="33"/>
        <v>X</v>
      </c>
      <c r="X240" s="137">
        <f t="shared" si="34"/>
        <v>0</v>
      </c>
    </row>
    <row r="241" spans="1:24" ht="17.25" customHeight="1">
      <c r="A241" s="137" t="str">
        <f t="shared" ca="1" si="27"/>
        <v>-</v>
      </c>
      <c r="B241" s="173"/>
      <c r="C241" s="253" t="str">
        <f t="shared" si="28"/>
        <v/>
      </c>
      <c r="D241" s="173"/>
      <c r="E241" s="173"/>
      <c r="F241" s="329" t="str">
        <f t="shared" si="35"/>
        <v/>
      </c>
      <c r="G241" s="176"/>
      <c r="H241" s="130" t="str">
        <f>IFERROR(INDEX(DMDT!B:B,MATCH($G241,DMDT!D:D,0),),"")</f>
        <v/>
      </c>
      <c r="I241" s="131"/>
      <c r="J241" s="132"/>
      <c r="K241" s="133"/>
      <c r="L241" s="134"/>
      <c r="M241" s="134"/>
      <c r="N241" s="135"/>
      <c r="O241" s="219"/>
      <c r="P241" s="143"/>
      <c r="Q241" s="144"/>
      <c r="R241" s="150"/>
      <c r="S241" s="127" t="str">
        <f t="shared" si="29"/>
        <v/>
      </c>
      <c r="T241" s="175" t="str">
        <f t="shared" si="30"/>
        <v/>
      </c>
      <c r="U241" s="158" t="e">
        <f t="shared" si="31"/>
        <v>#N/A</v>
      </c>
      <c r="V241" s="310" t="str">
        <f t="shared" si="32"/>
        <v/>
      </c>
      <c r="W241" s="137" t="str">
        <f t="shared" si="33"/>
        <v>X</v>
      </c>
      <c r="X241" s="137">
        <f t="shared" si="34"/>
        <v>0</v>
      </c>
    </row>
    <row r="242" spans="1:24" ht="17.25" customHeight="1">
      <c r="A242" s="137" t="str">
        <f t="shared" ca="1" si="27"/>
        <v>-</v>
      </c>
      <c r="B242" s="173"/>
      <c r="C242" s="253" t="str">
        <f t="shared" si="28"/>
        <v/>
      </c>
      <c r="D242" s="173"/>
      <c r="E242" s="173"/>
      <c r="F242" s="329" t="str">
        <f t="shared" si="35"/>
        <v/>
      </c>
      <c r="G242" s="176"/>
      <c r="H242" s="130" t="str">
        <f>IFERROR(INDEX(DMDT!B:B,MATCH($G242,DMDT!D:D,0),),"")</f>
        <v/>
      </c>
      <c r="I242" s="131"/>
      <c r="J242" s="132"/>
      <c r="K242" s="133"/>
      <c r="L242" s="134"/>
      <c r="M242" s="134"/>
      <c r="N242" s="135"/>
      <c r="O242" s="219"/>
      <c r="P242" s="143"/>
      <c r="Q242" s="144"/>
      <c r="R242" s="150"/>
      <c r="S242" s="127" t="str">
        <f t="shared" si="29"/>
        <v/>
      </c>
      <c r="T242" s="175" t="str">
        <f t="shared" si="30"/>
        <v/>
      </c>
      <c r="U242" s="158" t="e">
        <f t="shared" si="31"/>
        <v>#N/A</v>
      </c>
      <c r="V242" s="310" t="str">
        <f t="shared" si="32"/>
        <v/>
      </c>
      <c r="W242" s="137" t="str">
        <f t="shared" si="33"/>
        <v>X</v>
      </c>
      <c r="X242" s="137">
        <f t="shared" si="34"/>
        <v>0</v>
      </c>
    </row>
    <row r="243" spans="1:24" ht="17.25" customHeight="1">
      <c r="A243" s="137" t="str">
        <f t="shared" ca="1" si="27"/>
        <v>-</v>
      </c>
      <c r="B243" s="173"/>
      <c r="C243" s="253" t="str">
        <f t="shared" si="28"/>
        <v/>
      </c>
      <c r="D243" s="173"/>
      <c r="E243" s="173"/>
      <c r="F243" s="329" t="str">
        <f t="shared" si="35"/>
        <v/>
      </c>
      <c r="G243" s="176"/>
      <c r="H243" s="130" t="str">
        <f>IFERROR(INDEX(DMDT!B:B,MATCH($G243,DMDT!D:D,0),),"")</f>
        <v/>
      </c>
      <c r="I243" s="131"/>
      <c r="J243" s="132"/>
      <c r="K243" s="133"/>
      <c r="L243" s="134"/>
      <c r="M243" s="134"/>
      <c r="N243" s="135"/>
      <c r="O243" s="219"/>
      <c r="P243" s="143"/>
      <c r="Q243" s="144"/>
      <c r="R243" s="150"/>
      <c r="S243" s="127" t="str">
        <f t="shared" si="29"/>
        <v/>
      </c>
      <c r="T243" s="175" t="str">
        <f t="shared" si="30"/>
        <v/>
      </c>
      <c r="U243" s="158" t="e">
        <f t="shared" si="31"/>
        <v>#N/A</v>
      </c>
      <c r="V243" s="310" t="str">
        <f t="shared" si="32"/>
        <v/>
      </c>
      <c r="W243" s="137" t="str">
        <f t="shared" si="33"/>
        <v>X</v>
      </c>
      <c r="X243" s="137">
        <f t="shared" si="34"/>
        <v>0</v>
      </c>
    </row>
    <row r="244" spans="1:24" ht="17.25" customHeight="1">
      <c r="A244" s="137" t="str">
        <f t="shared" ca="1" si="27"/>
        <v>-</v>
      </c>
      <c r="B244" s="173"/>
      <c r="C244" s="253" t="str">
        <f t="shared" si="28"/>
        <v/>
      </c>
      <c r="D244" s="173"/>
      <c r="E244" s="173"/>
      <c r="F244" s="329" t="str">
        <f t="shared" si="35"/>
        <v/>
      </c>
      <c r="G244" s="176"/>
      <c r="H244" s="130" t="str">
        <f>IFERROR(INDEX(DMDT!B:B,MATCH($G244,DMDT!D:D,0),),"")</f>
        <v/>
      </c>
      <c r="I244" s="131"/>
      <c r="J244" s="132"/>
      <c r="K244" s="133"/>
      <c r="L244" s="134"/>
      <c r="M244" s="134"/>
      <c r="N244" s="135"/>
      <c r="O244" s="219"/>
      <c r="P244" s="143"/>
      <c r="Q244" s="144"/>
      <c r="R244" s="150"/>
      <c r="S244" s="127" t="str">
        <f t="shared" si="29"/>
        <v/>
      </c>
      <c r="T244" s="175" t="str">
        <f t="shared" si="30"/>
        <v/>
      </c>
      <c r="U244" s="158" t="e">
        <f t="shared" si="31"/>
        <v>#N/A</v>
      </c>
      <c r="V244" s="310" t="str">
        <f t="shared" si="32"/>
        <v/>
      </c>
      <c r="W244" s="137" t="str">
        <f t="shared" si="33"/>
        <v>X</v>
      </c>
      <c r="X244" s="137">
        <f t="shared" si="34"/>
        <v>0</v>
      </c>
    </row>
    <row r="245" spans="1:24" ht="17.25" customHeight="1">
      <c r="A245" s="137" t="str">
        <f t="shared" ca="1" si="27"/>
        <v>-</v>
      </c>
      <c r="B245" s="173"/>
      <c r="C245" s="253" t="str">
        <f t="shared" si="28"/>
        <v/>
      </c>
      <c r="D245" s="173"/>
      <c r="E245" s="173"/>
      <c r="F245" s="329" t="str">
        <f t="shared" si="35"/>
        <v/>
      </c>
      <c r="G245" s="176"/>
      <c r="H245" s="130" t="str">
        <f>IFERROR(INDEX(DMDT!B:B,MATCH($G245,DMDT!D:D,0),),"")</f>
        <v/>
      </c>
      <c r="I245" s="131"/>
      <c r="J245" s="132"/>
      <c r="K245" s="133"/>
      <c r="L245" s="134"/>
      <c r="M245" s="134"/>
      <c r="N245" s="135"/>
      <c r="O245" s="219"/>
      <c r="P245" s="143"/>
      <c r="Q245" s="143"/>
      <c r="R245" s="150"/>
      <c r="S245" s="127" t="str">
        <f t="shared" si="29"/>
        <v/>
      </c>
      <c r="T245" s="175" t="str">
        <f t="shared" si="30"/>
        <v/>
      </c>
      <c r="U245" s="158" t="e">
        <f t="shared" si="31"/>
        <v>#N/A</v>
      </c>
      <c r="V245" s="310" t="str">
        <f t="shared" si="32"/>
        <v/>
      </c>
      <c r="W245" s="137" t="str">
        <f t="shared" si="33"/>
        <v>X</v>
      </c>
      <c r="X245" s="137">
        <f t="shared" si="34"/>
        <v>0</v>
      </c>
    </row>
    <row r="246" spans="1:24" ht="17.25" customHeight="1">
      <c r="A246" s="137" t="str">
        <f t="shared" ca="1" si="27"/>
        <v>-</v>
      </c>
      <c r="B246" s="173"/>
      <c r="C246" s="253" t="str">
        <f t="shared" si="28"/>
        <v/>
      </c>
      <c r="D246" s="173"/>
      <c r="E246" s="173"/>
      <c r="F246" s="329" t="str">
        <f t="shared" si="35"/>
        <v/>
      </c>
      <c r="G246" s="176"/>
      <c r="H246" s="130" t="str">
        <f>IFERROR(INDEX(DMDT!B:B,MATCH($G246,DMDT!D:D,0),),"")</f>
        <v/>
      </c>
      <c r="I246" s="131"/>
      <c r="J246" s="132"/>
      <c r="K246" s="133"/>
      <c r="L246" s="134"/>
      <c r="M246" s="134"/>
      <c r="N246" s="135"/>
      <c r="O246" s="219"/>
      <c r="P246" s="143"/>
      <c r="Q246" s="144"/>
      <c r="R246" s="150"/>
      <c r="S246" s="127" t="str">
        <f t="shared" si="29"/>
        <v/>
      </c>
      <c r="T246" s="175" t="str">
        <f t="shared" si="30"/>
        <v/>
      </c>
      <c r="U246" s="158" t="e">
        <f t="shared" si="31"/>
        <v>#N/A</v>
      </c>
      <c r="V246" s="310" t="str">
        <f t="shared" si="32"/>
        <v/>
      </c>
      <c r="W246" s="137" t="str">
        <f t="shared" si="33"/>
        <v>X</v>
      </c>
      <c r="X246" s="137">
        <f t="shared" si="34"/>
        <v>0</v>
      </c>
    </row>
    <row r="247" spans="1:24" ht="17.25" customHeight="1">
      <c r="A247" s="137" t="str">
        <f t="shared" ca="1" si="27"/>
        <v>-</v>
      </c>
      <c r="B247" s="173"/>
      <c r="C247" s="253" t="str">
        <f t="shared" si="28"/>
        <v/>
      </c>
      <c r="D247" s="173"/>
      <c r="E247" s="173"/>
      <c r="F247" s="329" t="str">
        <f t="shared" si="35"/>
        <v/>
      </c>
      <c r="G247" s="176"/>
      <c r="H247" s="130" t="str">
        <f>IFERROR(INDEX(DMDT!B:B,MATCH($G247,DMDT!D:D,0),),"")</f>
        <v/>
      </c>
      <c r="I247" s="131"/>
      <c r="J247" s="132"/>
      <c r="K247" s="133"/>
      <c r="L247" s="134"/>
      <c r="M247" s="134"/>
      <c r="N247" s="135"/>
      <c r="O247" s="219"/>
      <c r="P247" s="143"/>
      <c r="Q247" s="144"/>
      <c r="R247" s="150"/>
      <c r="S247" s="127" t="str">
        <f t="shared" si="29"/>
        <v/>
      </c>
      <c r="T247" s="175" t="str">
        <f t="shared" si="30"/>
        <v/>
      </c>
      <c r="U247" s="158" t="e">
        <f t="shared" si="31"/>
        <v>#N/A</v>
      </c>
      <c r="V247" s="310" t="str">
        <f t="shared" si="32"/>
        <v/>
      </c>
      <c r="W247" s="137" t="str">
        <f t="shared" si="33"/>
        <v>X</v>
      </c>
      <c r="X247" s="137">
        <f t="shared" si="34"/>
        <v>0</v>
      </c>
    </row>
    <row r="248" spans="1:24" ht="17.25" customHeight="1">
      <c r="A248" s="137" t="str">
        <f t="shared" ca="1" si="27"/>
        <v>-</v>
      </c>
      <c r="B248" s="173"/>
      <c r="C248" s="253" t="str">
        <f t="shared" si="28"/>
        <v/>
      </c>
      <c r="D248" s="173"/>
      <c r="E248" s="173"/>
      <c r="F248" s="329" t="str">
        <f t="shared" si="35"/>
        <v/>
      </c>
      <c r="G248" s="176"/>
      <c r="H248" s="130" t="str">
        <f>IFERROR(INDEX(DMDT!B:B,MATCH($G248,DMDT!D:D,0),),"")</f>
        <v/>
      </c>
      <c r="I248" s="130"/>
      <c r="J248" s="132"/>
      <c r="K248" s="133"/>
      <c r="L248" s="134"/>
      <c r="M248" s="134"/>
      <c r="N248" s="135"/>
      <c r="O248" s="219"/>
      <c r="P248" s="143"/>
      <c r="Q248" s="144"/>
      <c r="R248" s="150"/>
      <c r="S248" s="127" t="str">
        <f t="shared" si="29"/>
        <v/>
      </c>
      <c r="T248" s="175" t="str">
        <f t="shared" si="30"/>
        <v/>
      </c>
      <c r="U248" s="158" t="e">
        <f t="shared" si="31"/>
        <v>#N/A</v>
      </c>
      <c r="V248" s="310" t="str">
        <f t="shared" si="32"/>
        <v/>
      </c>
      <c r="W248" s="137" t="str">
        <f t="shared" si="33"/>
        <v>X</v>
      </c>
      <c r="X248" s="137">
        <f t="shared" si="34"/>
        <v>0</v>
      </c>
    </row>
    <row r="249" spans="1:24" ht="17.25" customHeight="1">
      <c r="A249" s="137" t="str">
        <f t="shared" ca="1" si="27"/>
        <v>-</v>
      </c>
      <c r="B249" s="173"/>
      <c r="C249" s="253" t="str">
        <f t="shared" si="28"/>
        <v/>
      </c>
      <c r="D249" s="173"/>
      <c r="E249" s="173"/>
      <c r="F249" s="329" t="str">
        <f t="shared" si="35"/>
        <v/>
      </c>
      <c r="G249" s="176"/>
      <c r="H249" s="130" t="str">
        <f>IFERROR(INDEX(DMDT!B:B,MATCH($G249,DMDT!D:D,0),),"")</f>
        <v/>
      </c>
      <c r="I249" s="131"/>
      <c r="J249" s="132"/>
      <c r="K249" s="133"/>
      <c r="L249" s="134"/>
      <c r="M249" s="134"/>
      <c r="N249" s="135"/>
      <c r="O249" s="219"/>
      <c r="P249" s="143"/>
      <c r="Q249" s="144"/>
      <c r="R249" s="150"/>
      <c r="S249" s="127" t="str">
        <f t="shared" si="29"/>
        <v/>
      </c>
      <c r="T249" s="175" t="str">
        <f t="shared" si="30"/>
        <v/>
      </c>
      <c r="U249" s="158" t="e">
        <f t="shared" si="31"/>
        <v>#N/A</v>
      </c>
      <c r="V249" s="310" t="str">
        <f t="shared" si="32"/>
        <v/>
      </c>
      <c r="W249" s="137" t="str">
        <f t="shared" si="33"/>
        <v>X</v>
      </c>
      <c r="X249" s="137">
        <f t="shared" si="34"/>
        <v>0</v>
      </c>
    </row>
    <row r="250" spans="1:24" ht="17.25" customHeight="1">
      <c r="A250" s="137" t="str">
        <f t="shared" ca="1" si="27"/>
        <v>-</v>
      </c>
      <c r="B250" s="173"/>
      <c r="C250" s="253" t="str">
        <f t="shared" si="28"/>
        <v/>
      </c>
      <c r="D250" s="173"/>
      <c r="E250" s="173"/>
      <c r="F250" s="329" t="str">
        <f t="shared" si="35"/>
        <v/>
      </c>
      <c r="G250" s="176"/>
      <c r="H250" s="130" t="str">
        <f>IFERROR(INDEX(DMDT!B:B,MATCH($G250,DMDT!D:D,0),),"")</f>
        <v/>
      </c>
      <c r="I250" s="131"/>
      <c r="J250" s="132"/>
      <c r="K250" s="133"/>
      <c r="L250" s="134"/>
      <c r="M250" s="134"/>
      <c r="N250" s="135"/>
      <c r="O250" s="219"/>
      <c r="P250" s="143"/>
      <c r="Q250" s="144"/>
      <c r="R250" s="150"/>
      <c r="S250" s="127" t="str">
        <f t="shared" si="29"/>
        <v/>
      </c>
      <c r="T250" s="175" t="str">
        <f t="shared" si="30"/>
        <v/>
      </c>
      <c r="U250" s="158" t="e">
        <f t="shared" si="31"/>
        <v>#N/A</v>
      </c>
      <c r="V250" s="310" t="str">
        <f t="shared" si="32"/>
        <v/>
      </c>
      <c r="W250" s="137" t="str">
        <f t="shared" si="33"/>
        <v>X</v>
      </c>
      <c r="X250" s="137">
        <f t="shared" si="34"/>
        <v>0</v>
      </c>
    </row>
    <row r="251" spans="1:24" ht="17.25" customHeight="1">
      <c r="A251" s="137" t="str">
        <f t="shared" ca="1" si="27"/>
        <v>-</v>
      </c>
      <c r="B251" s="173"/>
      <c r="C251" s="253" t="str">
        <f t="shared" si="28"/>
        <v/>
      </c>
      <c r="D251" s="173"/>
      <c r="E251" s="173"/>
      <c r="F251" s="329" t="str">
        <f t="shared" si="35"/>
        <v/>
      </c>
      <c r="G251" s="176"/>
      <c r="H251" s="130" t="str">
        <f>IFERROR(INDEX(DMDT!B:B,MATCH($G251,DMDT!D:D,0),),"")</f>
        <v/>
      </c>
      <c r="I251" s="131"/>
      <c r="J251" s="132"/>
      <c r="K251" s="133"/>
      <c r="L251" s="134"/>
      <c r="M251" s="134"/>
      <c r="N251" s="135"/>
      <c r="O251" s="219"/>
      <c r="P251" s="143"/>
      <c r="Q251" s="144"/>
      <c r="R251" s="150"/>
      <c r="S251" s="127" t="str">
        <f t="shared" si="29"/>
        <v/>
      </c>
      <c r="T251" s="175" t="str">
        <f t="shared" si="30"/>
        <v/>
      </c>
      <c r="U251" s="158" t="e">
        <f t="shared" si="31"/>
        <v>#N/A</v>
      </c>
      <c r="V251" s="310" t="str">
        <f t="shared" si="32"/>
        <v/>
      </c>
      <c r="W251" s="137" t="str">
        <f t="shared" si="33"/>
        <v>X</v>
      </c>
      <c r="X251" s="137">
        <f t="shared" si="34"/>
        <v>0</v>
      </c>
    </row>
    <row r="252" spans="1:24" ht="17.25" customHeight="1">
      <c r="A252" s="137" t="str">
        <f t="shared" ca="1" si="27"/>
        <v>-</v>
      </c>
      <c r="B252" s="173"/>
      <c r="C252" s="253" t="str">
        <f t="shared" si="28"/>
        <v/>
      </c>
      <c r="D252" s="173"/>
      <c r="E252" s="173"/>
      <c r="F252" s="329" t="str">
        <f t="shared" si="35"/>
        <v/>
      </c>
      <c r="G252" s="176"/>
      <c r="H252" s="130" t="str">
        <f>IFERROR(INDEX(DMDT!B:B,MATCH($G252,DMDT!D:D,0),),"")</f>
        <v/>
      </c>
      <c r="I252" s="131"/>
      <c r="J252" s="132"/>
      <c r="K252" s="133"/>
      <c r="L252" s="134"/>
      <c r="M252" s="134"/>
      <c r="N252" s="135"/>
      <c r="O252" s="219"/>
      <c r="P252" s="143"/>
      <c r="Q252" s="144"/>
      <c r="R252" s="150"/>
      <c r="S252" s="127" t="str">
        <f t="shared" si="29"/>
        <v/>
      </c>
      <c r="T252" s="175" t="str">
        <f t="shared" si="30"/>
        <v/>
      </c>
      <c r="U252" s="158" t="e">
        <f t="shared" si="31"/>
        <v>#N/A</v>
      </c>
      <c r="V252" s="310" t="str">
        <f t="shared" si="32"/>
        <v/>
      </c>
      <c r="W252" s="137" t="str">
        <f t="shared" si="33"/>
        <v>X</v>
      </c>
      <c r="X252" s="137">
        <f t="shared" si="34"/>
        <v>0</v>
      </c>
    </row>
    <row r="253" spans="1:24" ht="17.25" customHeight="1">
      <c r="A253" s="137" t="str">
        <f t="shared" ca="1" si="27"/>
        <v>-</v>
      </c>
      <c r="B253" s="173"/>
      <c r="C253" s="253" t="str">
        <f t="shared" si="28"/>
        <v/>
      </c>
      <c r="D253" s="173"/>
      <c r="E253" s="173"/>
      <c r="F253" s="329" t="str">
        <f t="shared" si="35"/>
        <v/>
      </c>
      <c r="G253" s="176"/>
      <c r="H253" s="130" t="str">
        <f>IFERROR(INDEX(DMDT!B:B,MATCH($G253,DMDT!D:D,0),),"")</f>
        <v/>
      </c>
      <c r="I253" s="131"/>
      <c r="J253" s="132"/>
      <c r="K253" s="177"/>
      <c r="L253" s="134"/>
      <c r="M253" s="134"/>
      <c r="N253" s="135"/>
      <c r="O253" s="219"/>
      <c r="P253" s="143"/>
      <c r="Q253" s="144"/>
      <c r="R253" s="150"/>
      <c r="S253" s="127" t="str">
        <f t="shared" si="29"/>
        <v/>
      </c>
      <c r="T253" s="175" t="str">
        <f t="shared" si="30"/>
        <v/>
      </c>
      <c r="U253" s="158" t="e">
        <f t="shared" si="31"/>
        <v>#N/A</v>
      </c>
      <c r="V253" s="310" t="str">
        <f t="shared" si="32"/>
        <v/>
      </c>
      <c r="W253" s="137" t="str">
        <f t="shared" si="33"/>
        <v>X</v>
      </c>
      <c r="X253" s="137">
        <f t="shared" si="34"/>
        <v>0</v>
      </c>
    </row>
    <row r="254" spans="1:24" ht="17.25" customHeight="1">
      <c r="A254" s="137" t="str">
        <f t="shared" ca="1" si="27"/>
        <v>-</v>
      </c>
      <c r="B254" s="173"/>
      <c r="C254" s="253" t="str">
        <f t="shared" si="28"/>
        <v/>
      </c>
      <c r="D254" s="173"/>
      <c r="E254" s="173"/>
      <c r="F254" s="329" t="str">
        <f t="shared" si="35"/>
        <v/>
      </c>
      <c r="G254" s="176"/>
      <c r="H254" s="130" t="str">
        <f>IFERROR(INDEX(DMDT!B:B,MATCH($G254,DMDT!D:D,0),),"")</f>
        <v/>
      </c>
      <c r="I254" s="131"/>
      <c r="J254" s="132"/>
      <c r="K254" s="177"/>
      <c r="L254" s="134"/>
      <c r="M254" s="134"/>
      <c r="N254" s="135"/>
      <c r="O254" s="219"/>
      <c r="P254" s="143"/>
      <c r="Q254" s="144"/>
      <c r="R254" s="150"/>
      <c r="S254" s="127" t="str">
        <f t="shared" si="29"/>
        <v/>
      </c>
      <c r="T254" s="175" t="str">
        <f t="shared" si="30"/>
        <v/>
      </c>
      <c r="U254" s="158" t="e">
        <f t="shared" si="31"/>
        <v>#N/A</v>
      </c>
      <c r="V254" s="310" t="str">
        <f t="shared" si="32"/>
        <v/>
      </c>
      <c r="W254" s="137" t="str">
        <f t="shared" si="33"/>
        <v>X</v>
      </c>
      <c r="X254" s="137">
        <f t="shared" si="34"/>
        <v>0</v>
      </c>
    </row>
    <row r="255" spans="1:24" ht="17.25" customHeight="1">
      <c r="A255" s="137" t="str">
        <f t="shared" ca="1" si="27"/>
        <v>-</v>
      </c>
      <c r="B255" s="173"/>
      <c r="C255" s="253" t="str">
        <f t="shared" si="28"/>
        <v/>
      </c>
      <c r="D255" s="173"/>
      <c r="E255" s="173"/>
      <c r="F255" s="329" t="str">
        <f t="shared" si="35"/>
        <v/>
      </c>
      <c r="G255" s="176"/>
      <c r="H255" s="130" t="str">
        <f>IFERROR(INDEX(DMDT!B:B,MATCH($G255,DMDT!D:D,0),),"")</f>
        <v/>
      </c>
      <c r="I255" s="131"/>
      <c r="J255" s="132"/>
      <c r="K255" s="177"/>
      <c r="L255" s="134"/>
      <c r="M255" s="134"/>
      <c r="N255" s="135"/>
      <c r="O255" s="219"/>
      <c r="P255" s="143"/>
      <c r="Q255" s="144"/>
      <c r="R255" s="150"/>
      <c r="S255" s="127" t="str">
        <f t="shared" si="29"/>
        <v/>
      </c>
      <c r="T255" s="175" t="str">
        <f t="shared" si="30"/>
        <v/>
      </c>
      <c r="U255" s="158" t="e">
        <f t="shared" si="31"/>
        <v>#N/A</v>
      </c>
      <c r="V255" s="310" t="str">
        <f t="shared" si="32"/>
        <v/>
      </c>
      <c r="W255" s="137" t="str">
        <f t="shared" si="33"/>
        <v>X</v>
      </c>
      <c r="X255" s="137">
        <f t="shared" si="34"/>
        <v>0</v>
      </c>
    </row>
    <row r="256" spans="1:24" ht="17.25" customHeight="1">
      <c r="A256" s="137" t="str">
        <f t="shared" ca="1" si="27"/>
        <v>-</v>
      </c>
      <c r="B256" s="173"/>
      <c r="C256" s="253" t="str">
        <f t="shared" si="28"/>
        <v/>
      </c>
      <c r="D256" s="173"/>
      <c r="E256" s="173"/>
      <c r="F256" s="329" t="str">
        <f t="shared" si="35"/>
        <v/>
      </c>
      <c r="G256" s="176"/>
      <c r="H256" s="130" t="str">
        <f>IFERROR(INDEX(DMDT!B:B,MATCH($G256,DMDT!D:D,0),),"")</f>
        <v/>
      </c>
      <c r="I256" s="131"/>
      <c r="J256" s="132"/>
      <c r="K256" s="133"/>
      <c r="L256" s="134"/>
      <c r="M256" s="134"/>
      <c r="N256" s="135"/>
      <c r="O256" s="219"/>
      <c r="P256" s="143"/>
      <c r="Q256" s="144"/>
      <c r="R256" s="150"/>
      <c r="S256" s="127" t="str">
        <f t="shared" si="29"/>
        <v/>
      </c>
      <c r="T256" s="175" t="str">
        <f t="shared" si="30"/>
        <v/>
      </c>
      <c r="U256" s="158" t="e">
        <f t="shared" si="31"/>
        <v>#N/A</v>
      </c>
      <c r="V256" s="310" t="str">
        <f t="shared" si="32"/>
        <v/>
      </c>
      <c r="W256" s="137" t="str">
        <f t="shared" si="33"/>
        <v>X</v>
      </c>
      <c r="X256" s="137">
        <f t="shared" si="34"/>
        <v>0</v>
      </c>
    </row>
    <row r="257" spans="1:24" ht="17.25" customHeight="1">
      <c r="A257" s="137" t="str">
        <f t="shared" ca="1" si="27"/>
        <v>-</v>
      </c>
      <c r="B257" s="173"/>
      <c r="C257" s="253" t="str">
        <f t="shared" si="28"/>
        <v/>
      </c>
      <c r="D257" s="173"/>
      <c r="E257" s="173"/>
      <c r="F257" s="329" t="str">
        <f t="shared" si="35"/>
        <v/>
      </c>
      <c r="G257" s="176"/>
      <c r="H257" s="130" t="str">
        <f>IFERROR(INDEX(DMDT!B:B,MATCH($G257,DMDT!D:D,0),),"")</f>
        <v/>
      </c>
      <c r="I257" s="131"/>
      <c r="J257" s="132"/>
      <c r="K257" s="133"/>
      <c r="L257" s="134"/>
      <c r="M257" s="134"/>
      <c r="N257" s="135"/>
      <c r="O257" s="219"/>
      <c r="P257" s="143"/>
      <c r="Q257" s="144"/>
      <c r="R257" s="150"/>
      <c r="S257" s="127" t="str">
        <f t="shared" si="29"/>
        <v/>
      </c>
      <c r="T257" s="175" t="str">
        <f t="shared" si="30"/>
        <v/>
      </c>
      <c r="U257" s="158" t="e">
        <f t="shared" si="31"/>
        <v>#N/A</v>
      </c>
      <c r="V257" s="310" t="str">
        <f t="shared" si="32"/>
        <v/>
      </c>
      <c r="W257" s="137" t="str">
        <f t="shared" si="33"/>
        <v>X</v>
      </c>
      <c r="X257" s="137">
        <f t="shared" si="34"/>
        <v>0</v>
      </c>
    </row>
    <row r="258" spans="1:24" ht="17.25" customHeight="1">
      <c r="A258" s="137" t="str">
        <f t="shared" ca="1" si="27"/>
        <v>-</v>
      </c>
      <c r="B258" s="173"/>
      <c r="C258" s="253" t="str">
        <f t="shared" si="28"/>
        <v/>
      </c>
      <c r="D258" s="173"/>
      <c r="E258" s="173"/>
      <c r="F258" s="329" t="str">
        <f t="shared" si="35"/>
        <v/>
      </c>
      <c r="G258" s="176"/>
      <c r="H258" s="130" t="str">
        <f>IFERROR(INDEX(DMDT!B:B,MATCH($G258,DMDT!D:D,0),),"")</f>
        <v/>
      </c>
      <c r="I258" s="131"/>
      <c r="J258" s="132"/>
      <c r="K258" s="133"/>
      <c r="L258" s="134"/>
      <c r="M258" s="134"/>
      <c r="N258" s="135"/>
      <c r="O258" s="219"/>
      <c r="P258" s="143"/>
      <c r="Q258" s="144"/>
      <c r="R258" s="150"/>
      <c r="S258" s="127" t="str">
        <f t="shared" si="29"/>
        <v/>
      </c>
      <c r="T258" s="175" t="str">
        <f t="shared" si="30"/>
        <v/>
      </c>
      <c r="U258" s="158" t="e">
        <f t="shared" si="31"/>
        <v>#N/A</v>
      </c>
      <c r="V258" s="310" t="str">
        <f t="shared" si="32"/>
        <v/>
      </c>
      <c r="W258" s="137" t="str">
        <f t="shared" si="33"/>
        <v>X</v>
      </c>
      <c r="X258" s="137">
        <f t="shared" si="34"/>
        <v>0</v>
      </c>
    </row>
    <row r="259" spans="1:24" ht="17.25" customHeight="1">
      <c r="A259" s="137" t="str">
        <f t="shared" ca="1" si="27"/>
        <v>-</v>
      </c>
      <c r="B259" s="173"/>
      <c r="C259" s="253" t="str">
        <f t="shared" si="28"/>
        <v/>
      </c>
      <c r="D259" s="173"/>
      <c r="E259" s="173"/>
      <c r="F259" s="329" t="str">
        <f t="shared" si="35"/>
        <v/>
      </c>
      <c r="G259" s="176"/>
      <c r="H259" s="130" t="str">
        <f>IFERROR(INDEX(DMDT!B:B,MATCH($G259,DMDT!D:D,0),),"")</f>
        <v/>
      </c>
      <c r="I259" s="131"/>
      <c r="J259" s="132"/>
      <c r="K259" s="133"/>
      <c r="L259" s="134"/>
      <c r="M259" s="134"/>
      <c r="N259" s="135"/>
      <c r="O259" s="219"/>
      <c r="P259" s="143"/>
      <c r="Q259" s="144"/>
      <c r="R259" s="150"/>
      <c r="S259" s="127" t="str">
        <f t="shared" si="29"/>
        <v/>
      </c>
      <c r="T259" s="175" t="str">
        <f t="shared" si="30"/>
        <v/>
      </c>
      <c r="U259" s="158" t="e">
        <f t="shared" si="31"/>
        <v>#N/A</v>
      </c>
      <c r="V259" s="310" t="str">
        <f t="shared" si="32"/>
        <v/>
      </c>
      <c r="W259" s="137" t="str">
        <f t="shared" si="33"/>
        <v>X</v>
      </c>
      <c r="X259" s="137">
        <f t="shared" si="34"/>
        <v>0</v>
      </c>
    </row>
    <row r="260" spans="1:24" ht="17.25" customHeight="1">
      <c r="A260" s="137" t="str">
        <f t="shared" ref="A260:A323" ca="1" si="36">IF(F260="","-",IF(COUNTIFS(OFFSET($H$3,,,ROW()-3),H260,OFFSET($J$3,,,ROW()-3),J260,OFFSET($N$3,,,ROW()-3),N260)=0,"-","FALSE"))</f>
        <v>-</v>
      </c>
      <c r="B260" s="173"/>
      <c r="C260" s="253" t="str">
        <f t="shared" si="28"/>
        <v/>
      </c>
      <c r="D260" s="173"/>
      <c r="E260" s="173"/>
      <c r="F260" s="329" t="str">
        <f t="shared" si="35"/>
        <v/>
      </c>
      <c r="G260" s="176"/>
      <c r="H260" s="130" t="str">
        <f>IFERROR(INDEX(DMDT!B:B,MATCH($G260,DMDT!D:D,0),),"")</f>
        <v/>
      </c>
      <c r="I260" s="131"/>
      <c r="J260" s="132"/>
      <c r="K260" s="133"/>
      <c r="L260" s="134"/>
      <c r="M260" s="134"/>
      <c r="N260" s="135"/>
      <c r="O260" s="219"/>
      <c r="P260" s="143"/>
      <c r="Q260" s="144"/>
      <c r="R260" s="150"/>
      <c r="S260" s="127" t="str">
        <f t="shared" si="29"/>
        <v/>
      </c>
      <c r="T260" s="175" t="str">
        <f t="shared" si="30"/>
        <v/>
      </c>
      <c r="U260" s="158" t="e">
        <f t="shared" si="31"/>
        <v>#N/A</v>
      </c>
      <c r="V260" s="310" t="str">
        <f t="shared" si="32"/>
        <v/>
      </c>
      <c r="W260" s="137" t="str">
        <f t="shared" si="33"/>
        <v>X</v>
      </c>
      <c r="X260" s="137">
        <f t="shared" si="34"/>
        <v>0</v>
      </c>
    </row>
    <row r="261" spans="1:24" ht="17.25" customHeight="1">
      <c r="A261" s="137" t="str">
        <f t="shared" ca="1" si="36"/>
        <v>-</v>
      </c>
      <c r="B261" s="173"/>
      <c r="C261" s="253" t="str">
        <f t="shared" ref="C261:C324" si="37">IF(F261="","",IF(LEFT(M261,5)&lt;&gt;"3311-","Non-GR",IF(AND(B261&lt;D261,B261&lt;&gt;""),NETWORKDAYS(B261,D261),IF(OR(L261="Mai",L261="Đức Anh",L261="C.Thảo"),"GIT","Non-GR"))))</f>
        <v/>
      </c>
      <c r="D261" s="173"/>
      <c r="E261" s="173"/>
      <c r="F261" s="329" t="str">
        <f t="shared" si="35"/>
        <v/>
      </c>
      <c r="G261" s="186"/>
      <c r="H261" s="130" t="str">
        <f>IFERROR(INDEX(DMDT!B:B,MATCH($G261,DMDT!D:D,0),),"")</f>
        <v/>
      </c>
      <c r="I261" s="131"/>
      <c r="J261" s="132"/>
      <c r="K261" s="133"/>
      <c r="L261" s="134"/>
      <c r="M261" s="134"/>
      <c r="N261" s="135"/>
      <c r="O261" s="219"/>
      <c r="P261" s="143"/>
      <c r="Q261" s="144"/>
      <c r="R261" s="150"/>
      <c r="S261" s="127" t="str">
        <f t="shared" ref="S261:S324" si="38">$N261&amp;LEFT($G261,6)</f>
        <v/>
      </c>
      <c r="T261" s="175" t="str">
        <f t="shared" ref="T261:T324" si="39">+LEFT($M261,5)</f>
        <v/>
      </c>
      <c r="U261" s="158" t="e">
        <f t="shared" ref="U261:U324" si="40">VLOOKUP(L261,$AB$10:$AC$26,2,0)</f>
        <v>#N/A</v>
      </c>
      <c r="V261" s="310" t="str">
        <f t="shared" ref="V261:V324" si="41">IF(T261="3311-",D261,"")</f>
        <v/>
      </c>
      <c r="W261" s="137" t="str">
        <f t="shared" ref="W261:W324" si="42">IFERROR(IF(MONTH(V261)=$F$1,DAY(V261),"NEXT"),"X")</f>
        <v>X</v>
      </c>
      <c r="X261" s="137">
        <f t="shared" ref="X261:X324" si="43">IFERROR(IF(31-W261&gt;5,1,2),0)</f>
        <v>0</v>
      </c>
    </row>
    <row r="262" spans="1:24" ht="17.25" customHeight="1">
      <c r="A262" s="137" t="str">
        <f t="shared" ca="1" si="36"/>
        <v>-</v>
      </c>
      <c r="B262" s="173"/>
      <c r="C262" s="253" t="str">
        <f t="shared" si="37"/>
        <v/>
      </c>
      <c r="D262" s="173"/>
      <c r="E262" s="173"/>
      <c r="F262" s="329" t="str">
        <f t="shared" ref="F262:F325" si="44">IF(E262&lt;&gt;"",F261+1,"")</f>
        <v/>
      </c>
      <c r="G262" s="176"/>
      <c r="H262" s="130" t="str">
        <f>IFERROR(INDEX(DMDT!B:B,MATCH($G262,DMDT!D:D,0),),"")</f>
        <v/>
      </c>
      <c r="I262" s="131"/>
      <c r="J262" s="132"/>
      <c r="K262" s="133"/>
      <c r="L262" s="134"/>
      <c r="M262" s="134"/>
      <c r="N262" s="135"/>
      <c r="O262" s="219"/>
      <c r="P262" s="143"/>
      <c r="Q262" s="144"/>
      <c r="R262" s="150"/>
      <c r="S262" s="127" t="str">
        <f t="shared" si="38"/>
        <v/>
      </c>
      <c r="T262" s="175" t="str">
        <f t="shared" si="39"/>
        <v/>
      </c>
      <c r="U262" s="158" t="e">
        <f t="shared" si="40"/>
        <v>#N/A</v>
      </c>
      <c r="V262" s="310" t="str">
        <f t="shared" si="41"/>
        <v/>
      </c>
      <c r="W262" s="137" t="str">
        <f t="shared" si="42"/>
        <v>X</v>
      </c>
      <c r="X262" s="137">
        <f t="shared" si="43"/>
        <v>0</v>
      </c>
    </row>
    <row r="263" spans="1:24" ht="17.25" customHeight="1">
      <c r="A263" s="137" t="str">
        <f t="shared" ca="1" si="36"/>
        <v>-</v>
      </c>
      <c r="B263" s="173"/>
      <c r="C263" s="253" t="str">
        <f t="shared" si="37"/>
        <v/>
      </c>
      <c r="D263" s="173"/>
      <c r="E263" s="173"/>
      <c r="F263" s="329" t="str">
        <f t="shared" si="44"/>
        <v/>
      </c>
      <c r="G263" s="176"/>
      <c r="H263" s="130" t="str">
        <f>IFERROR(INDEX(DMDT!B:B,MATCH($G263,DMDT!D:D,0),),"")</f>
        <v/>
      </c>
      <c r="I263" s="131"/>
      <c r="J263" s="132"/>
      <c r="K263" s="133"/>
      <c r="L263" s="134"/>
      <c r="M263" s="134"/>
      <c r="N263" s="135"/>
      <c r="O263" s="219"/>
      <c r="P263" s="143"/>
      <c r="Q263" s="144"/>
      <c r="R263" s="150"/>
      <c r="S263" s="127" t="str">
        <f t="shared" si="38"/>
        <v/>
      </c>
      <c r="T263" s="175" t="str">
        <f t="shared" si="39"/>
        <v/>
      </c>
      <c r="U263" s="158" t="e">
        <f t="shared" si="40"/>
        <v>#N/A</v>
      </c>
      <c r="V263" s="310" t="str">
        <f t="shared" si="41"/>
        <v/>
      </c>
      <c r="W263" s="137" t="str">
        <f t="shared" si="42"/>
        <v>X</v>
      </c>
      <c r="X263" s="137">
        <f t="shared" si="43"/>
        <v>0</v>
      </c>
    </row>
    <row r="264" spans="1:24" ht="17.25" customHeight="1">
      <c r="A264" s="137" t="str">
        <f t="shared" ca="1" si="36"/>
        <v>-</v>
      </c>
      <c r="B264" s="173"/>
      <c r="C264" s="253" t="str">
        <f t="shared" si="37"/>
        <v/>
      </c>
      <c r="D264" s="173"/>
      <c r="E264" s="173"/>
      <c r="F264" s="329" t="str">
        <f t="shared" si="44"/>
        <v/>
      </c>
      <c r="G264" s="176"/>
      <c r="H264" s="130" t="str">
        <f>IFERROR(INDEX(DMDT!B:B,MATCH($G264,DMDT!D:D,0),),"")</f>
        <v/>
      </c>
      <c r="I264" s="131"/>
      <c r="J264" s="132"/>
      <c r="K264" s="133"/>
      <c r="L264" s="134"/>
      <c r="M264" s="134"/>
      <c r="N264" s="135"/>
      <c r="O264" s="219"/>
      <c r="P264" s="143"/>
      <c r="Q264" s="144"/>
      <c r="R264" s="150"/>
      <c r="S264" s="127" t="str">
        <f t="shared" si="38"/>
        <v/>
      </c>
      <c r="T264" s="175" t="str">
        <f t="shared" si="39"/>
        <v/>
      </c>
      <c r="U264" s="158" t="e">
        <f t="shared" si="40"/>
        <v>#N/A</v>
      </c>
      <c r="V264" s="310" t="str">
        <f t="shared" si="41"/>
        <v/>
      </c>
      <c r="W264" s="137" t="str">
        <f t="shared" si="42"/>
        <v>X</v>
      </c>
      <c r="X264" s="137">
        <f t="shared" si="43"/>
        <v>0</v>
      </c>
    </row>
    <row r="265" spans="1:24" ht="17.25" customHeight="1">
      <c r="A265" s="137" t="str">
        <f t="shared" ca="1" si="36"/>
        <v>-</v>
      </c>
      <c r="B265" s="173"/>
      <c r="C265" s="253" t="str">
        <f t="shared" si="37"/>
        <v/>
      </c>
      <c r="D265" s="173"/>
      <c r="E265" s="173"/>
      <c r="F265" s="329" t="str">
        <f t="shared" si="44"/>
        <v/>
      </c>
      <c r="G265" s="176"/>
      <c r="H265" s="130" t="str">
        <f>IFERROR(INDEX(DMDT!B:B,MATCH($G265,DMDT!D:D,0),),"")</f>
        <v/>
      </c>
      <c r="I265" s="131"/>
      <c r="J265" s="132"/>
      <c r="K265" s="133"/>
      <c r="L265" s="134"/>
      <c r="M265" s="134"/>
      <c r="N265" s="135"/>
      <c r="O265" s="219"/>
      <c r="P265" s="143"/>
      <c r="Q265" s="144"/>
      <c r="R265" s="150"/>
      <c r="S265" s="127" t="str">
        <f t="shared" si="38"/>
        <v/>
      </c>
      <c r="T265" s="175" t="str">
        <f t="shared" si="39"/>
        <v/>
      </c>
      <c r="U265" s="158" t="e">
        <f t="shared" si="40"/>
        <v>#N/A</v>
      </c>
      <c r="V265" s="310" t="str">
        <f t="shared" si="41"/>
        <v/>
      </c>
      <c r="W265" s="137" t="str">
        <f t="shared" si="42"/>
        <v>X</v>
      </c>
      <c r="X265" s="137">
        <f t="shared" si="43"/>
        <v>0</v>
      </c>
    </row>
    <row r="266" spans="1:24" ht="17.25" customHeight="1">
      <c r="A266" s="137" t="str">
        <f t="shared" ca="1" si="36"/>
        <v>-</v>
      </c>
      <c r="B266" s="173"/>
      <c r="C266" s="253" t="str">
        <f t="shared" si="37"/>
        <v/>
      </c>
      <c r="D266" s="173"/>
      <c r="E266" s="173"/>
      <c r="F266" s="329" t="str">
        <f t="shared" si="44"/>
        <v/>
      </c>
      <c r="G266" s="176"/>
      <c r="H266" s="130" t="str">
        <f>IFERROR(INDEX(DMDT!B:B,MATCH($G266,DMDT!D:D,0),),"")</f>
        <v/>
      </c>
      <c r="I266" s="131"/>
      <c r="J266" s="132"/>
      <c r="K266" s="133"/>
      <c r="L266" s="134"/>
      <c r="M266" s="134"/>
      <c r="N266" s="135"/>
      <c r="O266" s="219"/>
      <c r="P266" s="143"/>
      <c r="Q266" s="144"/>
      <c r="R266" s="150"/>
      <c r="S266" s="127" t="str">
        <f t="shared" si="38"/>
        <v/>
      </c>
      <c r="T266" s="175" t="str">
        <f t="shared" si="39"/>
        <v/>
      </c>
      <c r="U266" s="158" t="e">
        <f t="shared" si="40"/>
        <v>#N/A</v>
      </c>
      <c r="V266" s="310" t="str">
        <f t="shared" si="41"/>
        <v/>
      </c>
      <c r="W266" s="137" t="str">
        <f t="shared" si="42"/>
        <v>X</v>
      </c>
      <c r="X266" s="137">
        <f t="shared" si="43"/>
        <v>0</v>
      </c>
    </row>
    <row r="267" spans="1:24" ht="17.25" customHeight="1">
      <c r="A267" s="137" t="str">
        <f t="shared" ca="1" si="36"/>
        <v>-</v>
      </c>
      <c r="B267" s="173"/>
      <c r="C267" s="253" t="str">
        <f t="shared" si="37"/>
        <v/>
      </c>
      <c r="D267" s="173"/>
      <c r="E267" s="173"/>
      <c r="F267" s="329" t="str">
        <f t="shared" si="44"/>
        <v/>
      </c>
      <c r="G267" s="176"/>
      <c r="H267" s="130" t="str">
        <f>IFERROR(INDEX(DMDT!B:B,MATCH($G267,DMDT!D:D,0),),"")</f>
        <v/>
      </c>
      <c r="I267" s="131"/>
      <c r="J267" s="132"/>
      <c r="K267" s="133"/>
      <c r="L267" s="134"/>
      <c r="M267" s="134"/>
      <c r="N267" s="135"/>
      <c r="O267" s="219"/>
      <c r="P267" s="143"/>
      <c r="Q267" s="144"/>
      <c r="R267" s="150"/>
      <c r="S267" s="127" t="str">
        <f t="shared" si="38"/>
        <v/>
      </c>
      <c r="T267" s="175" t="str">
        <f t="shared" si="39"/>
        <v/>
      </c>
      <c r="U267" s="158" t="e">
        <f t="shared" si="40"/>
        <v>#N/A</v>
      </c>
      <c r="V267" s="310" t="str">
        <f t="shared" si="41"/>
        <v/>
      </c>
      <c r="W267" s="137" t="str">
        <f t="shared" si="42"/>
        <v>X</v>
      </c>
      <c r="X267" s="137">
        <f t="shared" si="43"/>
        <v>0</v>
      </c>
    </row>
    <row r="268" spans="1:24" ht="17.25" customHeight="1">
      <c r="A268" s="137" t="str">
        <f t="shared" ca="1" si="36"/>
        <v>-</v>
      </c>
      <c r="B268" s="173"/>
      <c r="C268" s="253" t="str">
        <f t="shared" si="37"/>
        <v/>
      </c>
      <c r="D268" s="173"/>
      <c r="E268" s="173"/>
      <c r="F268" s="329" t="str">
        <f t="shared" si="44"/>
        <v/>
      </c>
      <c r="G268" s="176"/>
      <c r="H268" s="130" t="str">
        <f>IFERROR(INDEX(DMDT!B:B,MATCH($G268,DMDT!D:D,0),),"")</f>
        <v/>
      </c>
      <c r="I268" s="131"/>
      <c r="J268" s="132"/>
      <c r="K268" s="133"/>
      <c r="L268" s="134"/>
      <c r="M268" s="134"/>
      <c r="N268" s="135"/>
      <c r="O268" s="219"/>
      <c r="P268" s="143"/>
      <c r="Q268" s="144"/>
      <c r="R268" s="150"/>
      <c r="S268" s="127" t="str">
        <f t="shared" si="38"/>
        <v/>
      </c>
      <c r="T268" s="175" t="str">
        <f t="shared" si="39"/>
        <v/>
      </c>
      <c r="U268" s="158" t="e">
        <f t="shared" si="40"/>
        <v>#N/A</v>
      </c>
      <c r="V268" s="310" t="str">
        <f t="shared" si="41"/>
        <v/>
      </c>
      <c r="W268" s="137" t="str">
        <f t="shared" si="42"/>
        <v>X</v>
      </c>
      <c r="X268" s="137">
        <f t="shared" si="43"/>
        <v>0</v>
      </c>
    </row>
    <row r="269" spans="1:24" ht="17.25" customHeight="1">
      <c r="A269" s="137" t="str">
        <f t="shared" ca="1" si="36"/>
        <v>-</v>
      </c>
      <c r="B269" s="173"/>
      <c r="C269" s="253" t="str">
        <f t="shared" si="37"/>
        <v/>
      </c>
      <c r="D269" s="173"/>
      <c r="E269" s="173"/>
      <c r="F269" s="329" t="str">
        <f t="shared" si="44"/>
        <v/>
      </c>
      <c r="G269" s="176"/>
      <c r="H269" s="130" t="str">
        <f>IFERROR(INDEX(DMDT!B:B,MATCH($G269,DMDT!D:D,0),),"")</f>
        <v/>
      </c>
      <c r="I269" s="131"/>
      <c r="J269" s="132"/>
      <c r="K269" s="133"/>
      <c r="L269" s="134"/>
      <c r="M269" s="134"/>
      <c r="N269" s="135"/>
      <c r="O269" s="219"/>
      <c r="P269" s="143"/>
      <c r="Q269" s="144"/>
      <c r="R269" s="150"/>
      <c r="S269" s="127" t="str">
        <f t="shared" si="38"/>
        <v/>
      </c>
      <c r="T269" s="175" t="str">
        <f t="shared" si="39"/>
        <v/>
      </c>
      <c r="U269" s="158" t="e">
        <f t="shared" si="40"/>
        <v>#N/A</v>
      </c>
      <c r="V269" s="310" t="str">
        <f t="shared" si="41"/>
        <v/>
      </c>
      <c r="W269" s="137" t="str">
        <f t="shared" si="42"/>
        <v>X</v>
      </c>
      <c r="X269" s="137">
        <f t="shared" si="43"/>
        <v>0</v>
      </c>
    </row>
    <row r="270" spans="1:24" ht="17.25" customHeight="1">
      <c r="A270" s="137" t="str">
        <f t="shared" ca="1" si="36"/>
        <v>-</v>
      </c>
      <c r="B270" s="173"/>
      <c r="C270" s="253" t="str">
        <f t="shared" si="37"/>
        <v/>
      </c>
      <c r="D270" s="173"/>
      <c r="E270" s="173"/>
      <c r="F270" s="329" t="str">
        <f t="shared" si="44"/>
        <v/>
      </c>
      <c r="G270" s="176"/>
      <c r="H270" s="130" t="str">
        <f>IFERROR(INDEX(DMDT!B:B,MATCH($G270,DMDT!D:D,0),),"")</f>
        <v/>
      </c>
      <c r="I270" s="131"/>
      <c r="J270" s="132"/>
      <c r="K270" s="133"/>
      <c r="L270" s="134"/>
      <c r="M270" s="134"/>
      <c r="N270" s="135"/>
      <c r="O270" s="219"/>
      <c r="P270" s="143"/>
      <c r="Q270" s="144"/>
      <c r="R270" s="150"/>
      <c r="S270" s="127" t="str">
        <f t="shared" si="38"/>
        <v/>
      </c>
      <c r="T270" s="175" t="str">
        <f t="shared" si="39"/>
        <v/>
      </c>
      <c r="U270" s="158" t="e">
        <f t="shared" si="40"/>
        <v>#N/A</v>
      </c>
      <c r="V270" s="310" t="str">
        <f t="shared" si="41"/>
        <v/>
      </c>
      <c r="W270" s="137" t="str">
        <f t="shared" si="42"/>
        <v>X</v>
      </c>
      <c r="X270" s="137">
        <f t="shared" si="43"/>
        <v>0</v>
      </c>
    </row>
    <row r="271" spans="1:24" ht="17.25" customHeight="1">
      <c r="A271" s="137" t="str">
        <f t="shared" ca="1" si="36"/>
        <v>-</v>
      </c>
      <c r="B271" s="173"/>
      <c r="C271" s="253" t="str">
        <f t="shared" si="37"/>
        <v/>
      </c>
      <c r="D271" s="173"/>
      <c r="E271" s="173"/>
      <c r="F271" s="329" t="str">
        <f t="shared" si="44"/>
        <v/>
      </c>
      <c r="G271" s="176"/>
      <c r="H271" s="130" t="str">
        <f>IFERROR(INDEX(DMDT!B:B,MATCH($G271,DMDT!D:D,0),),"")</f>
        <v/>
      </c>
      <c r="I271" s="131"/>
      <c r="J271" s="132"/>
      <c r="K271" s="133"/>
      <c r="L271" s="134"/>
      <c r="M271" s="134"/>
      <c r="N271" s="135"/>
      <c r="O271" s="219"/>
      <c r="P271" s="143"/>
      <c r="Q271" s="144"/>
      <c r="R271" s="150"/>
      <c r="S271" s="127" t="str">
        <f t="shared" si="38"/>
        <v/>
      </c>
      <c r="T271" s="175" t="str">
        <f t="shared" si="39"/>
        <v/>
      </c>
      <c r="U271" s="158" t="e">
        <f t="shared" si="40"/>
        <v>#N/A</v>
      </c>
      <c r="V271" s="310" t="str">
        <f t="shared" si="41"/>
        <v/>
      </c>
      <c r="W271" s="137" t="str">
        <f t="shared" si="42"/>
        <v>X</v>
      </c>
      <c r="X271" s="137">
        <f t="shared" si="43"/>
        <v>0</v>
      </c>
    </row>
    <row r="272" spans="1:24" ht="17.25" customHeight="1">
      <c r="A272" s="137" t="str">
        <f t="shared" ca="1" si="36"/>
        <v>-</v>
      </c>
      <c r="B272" s="173"/>
      <c r="C272" s="253" t="str">
        <f t="shared" si="37"/>
        <v/>
      </c>
      <c r="D272" s="173"/>
      <c r="E272" s="173"/>
      <c r="F272" s="329" t="str">
        <f t="shared" si="44"/>
        <v/>
      </c>
      <c r="G272" s="176"/>
      <c r="H272" s="130" t="str">
        <f>IFERROR(INDEX(DMDT!B:B,MATCH($G272,DMDT!D:D,0),),"")</f>
        <v/>
      </c>
      <c r="I272" s="131"/>
      <c r="J272" s="132"/>
      <c r="K272" s="133"/>
      <c r="L272" s="134"/>
      <c r="M272" s="134"/>
      <c r="N272" s="135"/>
      <c r="O272" s="219"/>
      <c r="P272" s="143"/>
      <c r="Q272" s="144"/>
      <c r="R272" s="150"/>
      <c r="S272" s="127" t="str">
        <f t="shared" si="38"/>
        <v/>
      </c>
      <c r="T272" s="175" t="str">
        <f t="shared" si="39"/>
        <v/>
      </c>
      <c r="U272" s="158" t="e">
        <f t="shared" si="40"/>
        <v>#N/A</v>
      </c>
      <c r="V272" s="310" t="str">
        <f t="shared" si="41"/>
        <v/>
      </c>
      <c r="W272" s="137" t="str">
        <f t="shared" si="42"/>
        <v>X</v>
      </c>
      <c r="X272" s="137">
        <f t="shared" si="43"/>
        <v>0</v>
      </c>
    </row>
    <row r="273" spans="1:24" ht="17.25" customHeight="1">
      <c r="A273" s="137" t="str">
        <f t="shared" ca="1" si="36"/>
        <v>-</v>
      </c>
      <c r="B273" s="173"/>
      <c r="C273" s="253" t="str">
        <f t="shared" si="37"/>
        <v/>
      </c>
      <c r="D273" s="173"/>
      <c r="E273" s="173"/>
      <c r="F273" s="329" t="str">
        <f t="shared" si="44"/>
        <v/>
      </c>
      <c r="G273" s="176"/>
      <c r="H273" s="130" t="str">
        <f>IFERROR(INDEX(DMDT!B:B,MATCH($G273,DMDT!D:D,0),),"")</f>
        <v/>
      </c>
      <c r="I273" s="131"/>
      <c r="J273" s="132"/>
      <c r="K273" s="133"/>
      <c r="L273" s="134"/>
      <c r="M273" s="134"/>
      <c r="N273" s="135"/>
      <c r="O273" s="219"/>
      <c r="P273" s="143"/>
      <c r="Q273" s="144"/>
      <c r="R273" s="150"/>
      <c r="S273" s="127" t="str">
        <f t="shared" si="38"/>
        <v/>
      </c>
      <c r="T273" s="175" t="str">
        <f t="shared" si="39"/>
        <v/>
      </c>
      <c r="U273" s="158" t="e">
        <f t="shared" si="40"/>
        <v>#N/A</v>
      </c>
      <c r="V273" s="310" t="str">
        <f t="shared" si="41"/>
        <v/>
      </c>
      <c r="W273" s="137" t="str">
        <f t="shared" si="42"/>
        <v>X</v>
      </c>
      <c r="X273" s="137">
        <f t="shared" si="43"/>
        <v>0</v>
      </c>
    </row>
    <row r="274" spans="1:24" ht="17.25" customHeight="1">
      <c r="A274" s="137" t="str">
        <f t="shared" ca="1" si="36"/>
        <v>-</v>
      </c>
      <c r="B274" s="173"/>
      <c r="C274" s="253" t="str">
        <f t="shared" si="37"/>
        <v/>
      </c>
      <c r="D274" s="173"/>
      <c r="E274" s="173"/>
      <c r="F274" s="329" t="str">
        <f t="shared" si="44"/>
        <v/>
      </c>
      <c r="G274" s="176"/>
      <c r="H274" s="130" t="str">
        <f>IFERROR(INDEX(DMDT!B:B,MATCH($G274,DMDT!D:D,0),),"")</f>
        <v/>
      </c>
      <c r="I274" s="131"/>
      <c r="J274" s="132"/>
      <c r="K274" s="133"/>
      <c r="L274" s="134"/>
      <c r="M274" s="134"/>
      <c r="N274" s="135"/>
      <c r="O274" s="219"/>
      <c r="P274" s="143"/>
      <c r="Q274" s="144"/>
      <c r="R274" s="150"/>
      <c r="S274" s="127" t="str">
        <f t="shared" si="38"/>
        <v/>
      </c>
      <c r="T274" s="175" t="str">
        <f t="shared" si="39"/>
        <v/>
      </c>
      <c r="U274" s="158" t="e">
        <f t="shared" si="40"/>
        <v>#N/A</v>
      </c>
      <c r="V274" s="310" t="str">
        <f t="shared" si="41"/>
        <v/>
      </c>
      <c r="W274" s="137" t="str">
        <f t="shared" si="42"/>
        <v>X</v>
      </c>
      <c r="X274" s="137">
        <f t="shared" si="43"/>
        <v>0</v>
      </c>
    </row>
    <row r="275" spans="1:24" ht="17.25" customHeight="1">
      <c r="A275" s="137" t="str">
        <f t="shared" ca="1" si="36"/>
        <v>-</v>
      </c>
      <c r="B275" s="173"/>
      <c r="C275" s="253" t="str">
        <f t="shared" si="37"/>
        <v/>
      </c>
      <c r="D275" s="173"/>
      <c r="E275" s="173"/>
      <c r="F275" s="329" t="str">
        <f t="shared" si="44"/>
        <v/>
      </c>
      <c r="G275" s="176"/>
      <c r="H275" s="130" t="str">
        <f>IFERROR(INDEX(DMDT!B:B,MATCH($G275,DMDT!D:D,0),),"")</f>
        <v/>
      </c>
      <c r="I275" s="131"/>
      <c r="J275" s="132"/>
      <c r="K275" s="133"/>
      <c r="L275" s="134"/>
      <c r="M275" s="134"/>
      <c r="N275" s="135"/>
      <c r="O275" s="219"/>
      <c r="P275" s="143"/>
      <c r="Q275" s="144"/>
      <c r="R275" s="150"/>
      <c r="S275" s="127" t="str">
        <f t="shared" si="38"/>
        <v/>
      </c>
      <c r="T275" s="175" t="str">
        <f t="shared" si="39"/>
        <v/>
      </c>
      <c r="U275" s="158" t="e">
        <f t="shared" si="40"/>
        <v>#N/A</v>
      </c>
      <c r="V275" s="310" t="str">
        <f t="shared" si="41"/>
        <v/>
      </c>
      <c r="W275" s="137" t="str">
        <f t="shared" si="42"/>
        <v>X</v>
      </c>
      <c r="X275" s="137">
        <f t="shared" si="43"/>
        <v>0</v>
      </c>
    </row>
    <row r="276" spans="1:24" ht="17.25" customHeight="1">
      <c r="A276" s="137" t="str">
        <f t="shared" ca="1" si="36"/>
        <v>-</v>
      </c>
      <c r="B276" s="173"/>
      <c r="C276" s="253" t="str">
        <f t="shared" si="37"/>
        <v/>
      </c>
      <c r="D276" s="173"/>
      <c r="E276" s="173"/>
      <c r="F276" s="329" t="str">
        <f t="shared" si="44"/>
        <v/>
      </c>
      <c r="G276" s="176"/>
      <c r="H276" s="130" t="str">
        <f>IFERROR(INDEX(DMDT!B:B,MATCH($G276,DMDT!D:D,0),),"")</f>
        <v/>
      </c>
      <c r="I276" s="131"/>
      <c r="J276" s="132"/>
      <c r="K276" s="133"/>
      <c r="L276" s="134"/>
      <c r="M276" s="134"/>
      <c r="N276" s="135"/>
      <c r="O276" s="219"/>
      <c r="P276" s="143"/>
      <c r="Q276" s="144"/>
      <c r="R276" s="150"/>
      <c r="S276" s="127" t="str">
        <f t="shared" si="38"/>
        <v/>
      </c>
      <c r="T276" s="175" t="str">
        <f t="shared" si="39"/>
        <v/>
      </c>
      <c r="U276" s="158" t="e">
        <f t="shared" si="40"/>
        <v>#N/A</v>
      </c>
      <c r="V276" s="310" t="str">
        <f t="shared" si="41"/>
        <v/>
      </c>
      <c r="W276" s="137" t="str">
        <f t="shared" si="42"/>
        <v>X</v>
      </c>
      <c r="X276" s="137">
        <f t="shared" si="43"/>
        <v>0</v>
      </c>
    </row>
    <row r="277" spans="1:24" ht="17.25" customHeight="1">
      <c r="A277" s="137" t="str">
        <f t="shared" ca="1" si="36"/>
        <v>-</v>
      </c>
      <c r="B277" s="173"/>
      <c r="C277" s="253" t="str">
        <f t="shared" si="37"/>
        <v/>
      </c>
      <c r="D277" s="173"/>
      <c r="E277" s="173"/>
      <c r="F277" s="329" t="str">
        <f t="shared" si="44"/>
        <v/>
      </c>
      <c r="G277" s="176"/>
      <c r="H277" s="130" t="str">
        <f>IFERROR(INDEX(DMDT!B:B,MATCH($G277,DMDT!D:D,0),),"")</f>
        <v/>
      </c>
      <c r="I277" s="131"/>
      <c r="J277" s="132"/>
      <c r="K277" s="133"/>
      <c r="L277" s="134"/>
      <c r="M277" s="134"/>
      <c r="N277" s="135"/>
      <c r="O277" s="219"/>
      <c r="P277" s="143"/>
      <c r="Q277" s="144"/>
      <c r="R277" s="150"/>
      <c r="S277" s="127" t="str">
        <f t="shared" si="38"/>
        <v/>
      </c>
      <c r="T277" s="175" t="str">
        <f t="shared" si="39"/>
        <v/>
      </c>
      <c r="U277" s="158" t="e">
        <f t="shared" si="40"/>
        <v>#N/A</v>
      </c>
      <c r="V277" s="310" t="str">
        <f t="shared" si="41"/>
        <v/>
      </c>
      <c r="W277" s="137" t="str">
        <f t="shared" si="42"/>
        <v>X</v>
      </c>
      <c r="X277" s="137">
        <f t="shared" si="43"/>
        <v>0</v>
      </c>
    </row>
    <row r="278" spans="1:24" ht="17.25" customHeight="1">
      <c r="A278" s="137" t="str">
        <f t="shared" ca="1" si="36"/>
        <v>-</v>
      </c>
      <c r="B278" s="173"/>
      <c r="C278" s="253" t="str">
        <f t="shared" si="37"/>
        <v/>
      </c>
      <c r="D278" s="173"/>
      <c r="E278" s="173"/>
      <c r="F278" s="329" t="str">
        <f t="shared" si="44"/>
        <v/>
      </c>
      <c r="G278" s="176"/>
      <c r="H278" s="130" t="str">
        <f>IFERROR(INDEX(DMDT!B:B,MATCH($G278,DMDT!D:D,0),),"")</f>
        <v/>
      </c>
      <c r="I278" s="131"/>
      <c r="J278" s="132"/>
      <c r="K278" s="133"/>
      <c r="L278" s="134"/>
      <c r="M278" s="134"/>
      <c r="N278" s="135"/>
      <c r="O278" s="219"/>
      <c r="P278" s="143"/>
      <c r="Q278" s="144"/>
      <c r="R278" s="150"/>
      <c r="S278" s="127" t="str">
        <f t="shared" si="38"/>
        <v/>
      </c>
      <c r="T278" s="175" t="str">
        <f t="shared" si="39"/>
        <v/>
      </c>
      <c r="U278" s="158" t="e">
        <f t="shared" si="40"/>
        <v>#N/A</v>
      </c>
      <c r="V278" s="310" t="str">
        <f t="shared" si="41"/>
        <v/>
      </c>
      <c r="W278" s="137" t="str">
        <f t="shared" si="42"/>
        <v>X</v>
      </c>
      <c r="X278" s="137">
        <f t="shared" si="43"/>
        <v>0</v>
      </c>
    </row>
    <row r="279" spans="1:24" ht="17.25" customHeight="1">
      <c r="A279" s="137" t="str">
        <f t="shared" ca="1" si="36"/>
        <v>-</v>
      </c>
      <c r="B279" s="173"/>
      <c r="C279" s="253" t="str">
        <f t="shared" si="37"/>
        <v/>
      </c>
      <c r="D279" s="173"/>
      <c r="E279" s="173"/>
      <c r="F279" s="329" t="str">
        <f t="shared" si="44"/>
        <v/>
      </c>
      <c r="G279" s="176"/>
      <c r="H279" s="130" t="str">
        <f>IFERROR(INDEX(DMDT!B:B,MATCH($G279,DMDT!D:D,0),),"")</f>
        <v/>
      </c>
      <c r="I279" s="131"/>
      <c r="J279" s="132"/>
      <c r="K279" s="133"/>
      <c r="L279" s="134"/>
      <c r="M279" s="134"/>
      <c r="N279" s="135"/>
      <c r="O279" s="219"/>
      <c r="P279" s="143"/>
      <c r="Q279" s="144"/>
      <c r="R279" s="150"/>
      <c r="S279" s="127" t="str">
        <f t="shared" si="38"/>
        <v/>
      </c>
      <c r="T279" s="175" t="str">
        <f t="shared" si="39"/>
        <v/>
      </c>
      <c r="U279" s="158" t="e">
        <f t="shared" si="40"/>
        <v>#N/A</v>
      </c>
      <c r="V279" s="310" t="str">
        <f t="shared" si="41"/>
        <v/>
      </c>
      <c r="W279" s="137" t="str">
        <f t="shared" si="42"/>
        <v>X</v>
      </c>
      <c r="X279" s="137">
        <f t="shared" si="43"/>
        <v>0</v>
      </c>
    </row>
    <row r="280" spans="1:24" ht="17.25" customHeight="1">
      <c r="A280" s="137" t="str">
        <f t="shared" ca="1" si="36"/>
        <v>-</v>
      </c>
      <c r="B280" s="173"/>
      <c r="C280" s="253" t="str">
        <f t="shared" si="37"/>
        <v/>
      </c>
      <c r="D280" s="173"/>
      <c r="E280" s="173"/>
      <c r="F280" s="329" t="str">
        <f t="shared" si="44"/>
        <v/>
      </c>
      <c r="G280" s="176"/>
      <c r="H280" s="130" t="str">
        <f>IFERROR(INDEX(DMDT!B:B,MATCH($G280,DMDT!D:D,0),),"")</f>
        <v/>
      </c>
      <c r="I280" s="131"/>
      <c r="J280" s="132"/>
      <c r="K280" s="133"/>
      <c r="L280" s="134"/>
      <c r="M280" s="134"/>
      <c r="N280" s="135"/>
      <c r="O280" s="219"/>
      <c r="P280" s="143"/>
      <c r="Q280" s="144"/>
      <c r="R280" s="150"/>
      <c r="S280" s="127" t="str">
        <f t="shared" si="38"/>
        <v/>
      </c>
      <c r="T280" s="175" t="str">
        <f t="shared" si="39"/>
        <v/>
      </c>
      <c r="U280" s="158" t="e">
        <f t="shared" si="40"/>
        <v>#N/A</v>
      </c>
      <c r="V280" s="310" t="str">
        <f t="shared" si="41"/>
        <v/>
      </c>
      <c r="W280" s="137" t="str">
        <f t="shared" si="42"/>
        <v>X</v>
      </c>
      <c r="X280" s="137">
        <f t="shared" si="43"/>
        <v>0</v>
      </c>
    </row>
    <row r="281" spans="1:24" ht="17.25" customHeight="1">
      <c r="A281" s="137" t="str">
        <f t="shared" ca="1" si="36"/>
        <v>-</v>
      </c>
      <c r="B281" s="173"/>
      <c r="C281" s="253" t="str">
        <f t="shared" si="37"/>
        <v/>
      </c>
      <c r="D281" s="173"/>
      <c r="E281" s="173"/>
      <c r="F281" s="329" t="str">
        <f t="shared" si="44"/>
        <v/>
      </c>
      <c r="G281" s="176"/>
      <c r="H281" s="130" t="str">
        <f>IFERROR(INDEX(DMDT!B:B,MATCH($G281,DMDT!D:D,0),),"")</f>
        <v/>
      </c>
      <c r="I281" s="131"/>
      <c r="J281" s="132"/>
      <c r="K281" s="133"/>
      <c r="L281" s="134"/>
      <c r="M281" s="134"/>
      <c r="N281" s="135"/>
      <c r="O281" s="219"/>
      <c r="P281" s="143"/>
      <c r="Q281" s="144"/>
      <c r="R281" s="150"/>
      <c r="S281" s="127" t="str">
        <f t="shared" si="38"/>
        <v/>
      </c>
      <c r="T281" s="175" t="str">
        <f t="shared" si="39"/>
        <v/>
      </c>
      <c r="U281" s="158" t="e">
        <f t="shared" si="40"/>
        <v>#N/A</v>
      </c>
      <c r="V281" s="310" t="str">
        <f t="shared" si="41"/>
        <v/>
      </c>
      <c r="W281" s="137" t="str">
        <f t="shared" si="42"/>
        <v>X</v>
      </c>
      <c r="X281" s="137">
        <f t="shared" si="43"/>
        <v>0</v>
      </c>
    </row>
    <row r="282" spans="1:24" ht="17.25" customHeight="1">
      <c r="A282" s="137" t="str">
        <f t="shared" ca="1" si="36"/>
        <v>-</v>
      </c>
      <c r="B282" s="173"/>
      <c r="C282" s="253" t="str">
        <f t="shared" si="37"/>
        <v/>
      </c>
      <c r="D282" s="173"/>
      <c r="E282" s="173"/>
      <c r="F282" s="329" t="str">
        <f t="shared" si="44"/>
        <v/>
      </c>
      <c r="G282" s="176"/>
      <c r="H282" s="130" t="str">
        <f>IFERROR(INDEX(DMDT!B:B,MATCH($G282,DMDT!D:D,0),),"")</f>
        <v/>
      </c>
      <c r="I282" s="131"/>
      <c r="J282" s="132"/>
      <c r="K282" s="177"/>
      <c r="L282" s="134"/>
      <c r="M282" s="134"/>
      <c r="N282" s="135"/>
      <c r="O282" s="219"/>
      <c r="P282" s="143"/>
      <c r="Q282" s="144"/>
      <c r="R282" s="150"/>
      <c r="S282" s="127" t="str">
        <f t="shared" si="38"/>
        <v/>
      </c>
      <c r="T282" s="175" t="str">
        <f t="shared" si="39"/>
        <v/>
      </c>
      <c r="U282" s="158" t="e">
        <f t="shared" si="40"/>
        <v>#N/A</v>
      </c>
      <c r="V282" s="310" t="str">
        <f t="shared" si="41"/>
        <v/>
      </c>
      <c r="W282" s="137" t="str">
        <f t="shared" si="42"/>
        <v>X</v>
      </c>
      <c r="X282" s="137">
        <f t="shared" si="43"/>
        <v>0</v>
      </c>
    </row>
    <row r="283" spans="1:24" ht="17.25" customHeight="1">
      <c r="A283" s="137" t="str">
        <f t="shared" ca="1" si="36"/>
        <v>-</v>
      </c>
      <c r="B283" s="173"/>
      <c r="C283" s="253" t="str">
        <f t="shared" si="37"/>
        <v/>
      </c>
      <c r="D283" s="173"/>
      <c r="E283" s="173"/>
      <c r="F283" s="329" t="str">
        <f t="shared" si="44"/>
        <v/>
      </c>
      <c r="G283" s="176"/>
      <c r="H283" s="130" t="str">
        <f>IFERROR(INDEX(DMDT!B:B,MATCH($G283,DMDT!D:D,0),),"")</f>
        <v/>
      </c>
      <c r="I283" s="131"/>
      <c r="J283" s="132"/>
      <c r="K283" s="133"/>
      <c r="L283" s="134"/>
      <c r="M283" s="134"/>
      <c r="N283" s="135"/>
      <c r="O283" s="219"/>
      <c r="P283" s="143"/>
      <c r="Q283" s="144"/>
      <c r="R283" s="150"/>
      <c r="S283" s="127" t="str">
        <f t="shared" si="38"/>
        <v/>
      </c>
      <c r="T283" s="175" t="str">
        <f t="shared" si="39"/>
        <v/>
      </c>
      <c r="U283" s="158" t="e">
        <f t="shared" si="40"/>
        <v>#N/A</v>
      </c>
      <c r="V283" s="310" t="str">
        <f t="shared" si="41"/>
        <v/>
      </c>
      <c r="W283" s="137" t="str">
        <f t="shared" si="42"/>
        <v>X</v>
      </c>
      <c r="X283" s="137">
        <f t="shared" si="43"/>
        <v>0</v>
      </c>
    </row>
    <row r="284" spans="1:24" ht="17.25" customHeight="1">
      <c r="A284" s="137" t="str">
        <f t="shared" ca="1" si="36"/>
        <v>-</v>
      </c>
      <c r="B284" s="173"/>
      <c r="C284" s="253" t="str">
        <f t="shared" si="37"/>
        <v/>
      </c>
      <c r="D284" s="173"/>
      <c r="E284" s="173"/>
      <c r="F284" s="329" t="str">
        <f t="shared" si="44"/>
        <v/>
      </c>
      <c r="G284" s="176"/>
      <c r="H284" s="130" t="str">
        <f>IFERROR(INDEX(DMDT!B:B,MATCH($G284,DMDT!D:D,0),),"")</f>
        <v/>
      </c>
      <c r="I284" s="131"/>
      <c r="J284" s="132"/>
      <c r="K284" s="133"/>
      <c r="L284" s="134"/>
      <c r="M284" s="134"/>
      <c r="N284" s="135"/>
      <c r="O284" s="219"/>
      <c r="P284" s="143"/>
      <c r="Q284" s="144"/>
      <c r="R284" s="150"/>
      <c r="S284" s="127" t="str">
        <f t="shared" si="38"/>
        <v/>
      </c>
      <c r="T284" s="175" t="str">
        <f t="shared" si="39"/>
        <v/>
      </c>
      <c r="U284" s="158" t="e">
        <f t="shared" si="40"/>
        <v>#N/A</v>
      </c>
      <c r="V284" s="310" t="str">
        <f t="shared" si="41"/>
        <v/>
      </c>
      <c r="W284" s="137" t="str">
        <f t="shared" si="42"/>
        <v>X</v>
      </c>
      <c r="X284" s="137">
        <f t="shared" si="43"/>
        <v>0</v>
      </c>
    </row>
    <row r="285" spans="1:24" ht="17.25" customHeight="1">
      <c r="A285" s="137" t="str">
        <f t="shared" ca="1" si="36"/>
        <v>-</v>
      </c>
      <c r="B285" s="173"/>
      <c r="C285" s="253" t="str">
        <f t="shared" si="37"/>
        <v/>
      </c>
      <c r="D285" s="173"/>
      <c r="E285" s="173"/>
      <c r="F285" s="329" t="str">
        <f t="shared" si="44"/>
        <v/>
      </c>
      <c r="G285" s="176"/>
      <c r="H285" s="130" t="str">
        <f>IFERROR(INDEX(DMDT!B:B,MATCH($G285,DMDT!D:D,0),),"")</f>
        <v/>
      </c>
      <c r="I285" s="131"/>
      <c r="J285" s="132"/>
      <c r="K285" s="133"/>
      <c r="L285" s="134"/>
      <c r="M285" s="134"/>
      <c r="N285" s="135"/>
      <c r="O285" s="219"/>
      <c r="P285" s="143"/>
      <c r="Q285" s="144"/>
      <c r="R285" s="150"/>
      <c r="S285" s="127" t="str">
        <f t="shared" si="38"/>
        <v/>
      </c>
      <c r="T285" s="175" t="str">
        <f t="shared" si="39"/>
        <v/>
      </c>
      <c r="U285" s="158" t="e">
        <f t="shared" si="40"/>
        <v>#N/A</v>
      </c>
      <c r="V285" s="310" t="str">
        <f t="shared" si="41"/>
        <v/>
      </c>
      <c r="W285" s="137" t="str">
        <f t="shared" si="42"/>
        <v>X</v>
      </c>
      <c r="X285" s="137">
        <f t="shared" si="43"/>
        <v>0</v>
      </c>
    </row>
    <row r="286" spans="1:24" ht="17.25" customHeight="1">
      <c r="A286" s="137" t="str">
        <f t="shared" ca="1" si="36"/>
        <v>-</v>
      </c>
      <c r="B286" s="173"/>
      <c r="C286" s="253" t="str">
        <f t="shared" si="37"/>
        <v/>
      </c>
      <c r="D286" s="173"/>
      <c r="E286" s="173"/>
      <c r="F286" s="329" t="str">
        <f t="shared" si="44"/>
        <v/>
      </c>
      <c r="G286" s="176"/>
      <c r="H286" s="130" t="str">
        <f>IFERROR(INDEX(DMDT!B:B,MATCH($G286,DMDT!D:D,0),),"")</f>
        <v/>
      </c>
      <c r="I286" s="131"/>
      <c r="J286" s="132"/>
      <c r="K286" s="133"/>
      <c r="L286" s="134"/>
      <c r="M286" s="134"/>
      <c r="N286" s="135"/>
      <c r="O286" s="219"/>
      <c r="P286" s="143"/>
      <c r="Q286" s="144"/>
      <c r="R286" s="150"/>
      <c r="S286" s="127" t="str">
        <f t="shared" si="38"/>
        <v/>
      </c>
      <c r="T286" s="175" t="str">
        <f t="shared" si="39"/>
        <v/>
      </c>
      <c r="U286" s="158" t="e">
        <f t="shared" si="40"/>
        <v>#N/A</v>
      </c>
      <c r="V286" s="310" t="str">
        <f t="shared" si="41"/>
        <v/>
      </c>
      <c r="W286" s="137" t="str">
        <f t="shared" si="42"/>
        <v>X</v>
      </c>
      <c r="X286" s="137">
        <f t="shared" si="43"/>
        <v>0</v>
      </c>
    </row>
    <row r="287" spans="1:24" ht="17.25" customHeight="1">
      <c r="A287" s="137" t="str">
        <f t="shared" ca="1" si="36"/>
        <v>-</v>
      </c>
      <c r="B287" s="173"/>
      <c r="C287" s="253" t="str">
        <f t="shared" si="37"/>
        <v/>
      </c>
      <c r="D287" s="173"/>
      <c r="E287" s="173"/>
      <c r="F287" s="329" t="str">
        <f t="shared" si="44"/>
        <v/>
      </c>
      <c r="G287" s="176"/>
      <c r="H287" s="130" t="str">
        <f>IFERROR(INDEX(DMDT!B:B,MATCH($G287,DMDT!D:D,0),),"")</f>
        <v/>
      </c>
      <c r="I287" s="131"/>
      <c r="J287" s="132"/>
      <c r="K287" s="133"/>
      <c r="L287" s="134"/>
      <c r="M287" s="134"/>
      <c r="N287" s="135"/>
      <c r="O287" s="219"/>
      <c r="P287" s="143"/>
      <c r="Q287" s="144"/>
      <c r="R287" s="150"/>
      <c r="S287" s="127" t="str">
        <f t="shared" si="38"/>
        <v/>
      </c>
      <c r="T287" s="175" t="str">
        <f t="shared" si="39"/>
        <v/>
      </c>
      <c r="U287" s="158" t="e">
        <f t="shared" si="40"/>
        <v>#N/A</v>
      </c>
      <c r="V287" s="310" t="str">
        <f t="shared" si="41"/>
        <v/>
      </c>
      <c r="W287" s="137" t="str">
        <f t="shared" si="42"/>
        <v>X</v>
      </c>
      <c r="X287" s="137">
        <f t="shared" si="43"/>
        <v>0</v>
      </c>
    </row>
    <row r="288" spans="1:24" ht="17.25" customHeight="1">
      <c r="A288" s="137" t="str">
        <f t="shared" ca="1" si="36"/>
        <v>-</v>
      </c>
      <c r="B288" s="173"/>
      <c r="C288" s="253" t="str">
        <f t="shared" si="37"/>
        <v/>
      </c>
      <c r="D288" s="173"/>
      <c r="E288" s="173"/>
      <c r="F288" s="329" t="str">
        <f t="shared" si="44"/>
        <v/>
      </c>
      <c r="G288" s="176"/>
      <c r="H288" s="130" t="str">
        <f>IFERROR(INDEX(DMDT!B:B,MATCH($G288,DMDT!D:D,0),),"")</f>
        <v/>
      </c>
      <c r="I288" s="131"/>
      <c r="J288" s="132"/>
      <c r="K288" s="133"/>
      <c r="L288" s="134"/>
      <c r="M288" s="134"/>
      <c r="N288" s="135"/>
      <c r="O288" s="219"/>
      <c r="P288" s="143"/>
      <c r="Q288" s="144"/>
      <c r="R288" s="150"/>
      <c r="S288" s="127" t="str">
        <f t="shared" si="38"/>
        <v/>
      </c>
      <c r="T288" s="175" t="str">
        <f t="shared" si="39"/>
        <v/>
      </c>
      <c r="U288" s="158" t="e">
        <f t="shared" si="40"/>
        <v>#N/A</v>
      </c>
      <c r="V288" s="310" t="str">
        <f t="shared" si="41"/>
        <v/>
      </c>
      <c r="W288" s="137" t="str">
        <f t="shared" si="42"/>
        <v>X</v>
      </c>
      <c r="X288" s="137">
        <f t="shared" si="43"/>
        <v>0</v>
      </c>
    </row>
    <row r="289" spans="1:24" ht="17.25" customHeight="1">
      <c r="A289" s="137" t="str">
        <f t="shared" ca="1" si="36"/>
        <v>-</v>
      </c>
      <c r="B289" s="173"/>
      <c r="C289" s="253" t="str">
        <f t="shared" si="37"/>
        <v/>
      </c>
      <c r="D289" s="173"/>
      <c r="E289" s="173"/>
      <c r="F289" s="329" t="str">
        <f t="shared" si="44"/>
        <v/>
      </c>
      <c r="G289" s="176"/>
      <c r="H289" s="130" t="str">
        <f>IFERROR(INDEX(DMDT!B:B,MATCH($G289,DMDT!D:D,0),),"")</f>
        <v/>
      </c>
      <c r="I289" s="131"/>
      <c r="J289" s="132"/>
      <c r="K289" s="133"/>
      <c r="L289" s="134"/>
      <c r="M289" s="134"/>
      <c r="N289" s="135"/>
      <c r="O289" s="219"/>
      <c r="P289" s="143"/>
      <c r="Q289" s="144"/>
      <c r="R289" s="150"/>
      <c r="S289" s="127" t="str">
        <f t="shared" si="38"/>
        <v/>
      </c>
      <c r="T289" s="175" t="str">
        <f t="shared" si="39"/>
        <v/>
      </c>
      <c r="U289" s="158" t="e">
        <f t="shared" si="40"/>
        <v>#N/A</v>
      </c>
      <c r="V289" s="310" t="str">
        <f t="shared" si="41"/>
        <v/>
      </c>
      <c r="W289" s="137" t="str">
        <f t="shared" si="42"/>
        <v>X</v>
      </c>
      <c r="X289" s="137">
        <f t="shared" si="43"/>
        <v>0</v>
      </c>
    </row>
    <row r="290" spans="1:24" ht="17.25" customHeight="1">
      <c r="A290" s="137" t="str">
        <f t="shared" ca="1" si="36"/>
        <v>-</v>
      </c>
      <c r="B290" s="173"/>
      <c r="C290" s="253" t="str">
        <f t="shared" si="37"/>
        <v/>
      </c>
      <c r="D290" s="173"/>
      <c r="E290" s="173"/>
      <c r="F290" s="329" t="str">
        <f t="shared" si="44"/>
        <v/>
      </c>
      <c r="G290" s="176"/>
      <c r="H290" s="130" t="str">
        <f>IFERROR(INDEX(DMDT!B:B,MATCH($G290,DMDT!D:D,0),),"")</f>
        <v/>
      </c>
      <c r="I290" s="131"/>
      <c r="J290" s="132"/>
      <c r="K290" s="133"/>
      <c r="L290" s="134"/>
      <c r="M290" s="134"/>
      <c r="N290" s="135"/>
      <c r="O290" s="219"/>
      <c r="P290" s="143"/>
      <c r="Q290" s="144"/>
      <c r="R290" s="150"/>
      <c r="S290" s="127" t="str">
        <f t="shared" si="38"/>
        <v/>
      </c>
      <c r="T290" s="175" t="str">
        <f t="shared" si="39"/>
        <v/>
      </c>
      <c r="U290" s="158" t="e">
        <f t="shared" si="40"/>
        <v>#N/A</v>
      </c>
      <c r="V290" s="310" t="str">
        <f t="shared" si="41"/>
        <v/>
      </c>
      <c r="W290" s="137" t="str">
        <f t="shared" si="42"/>
        <v>X</v>
      </c>
      <c r="X290" s="137">
        <f t="shared" si="43"/>
        <v>0</v>
      </c>
    </row>
    <row r="291" spans="1:24" ht="17.25" customHeight="1">
      <c r="A291" s="137" t="str">
        <f t="shared" ca="1" si="36"/>
        <v>-</v>
      </c>
      <c r="B291" s="173"/>
      <c r="C291" s="253" t="str">
        <f t="shared" si="37"/>
        <v/>
      </c>
      <c r="D291" s="173"/>
      <c r="E291" s="173"/>
      <c r="F291" s="329" t="str">
        <f t="shared" si="44"/>
        <v/>
      </c>
      <c r="G291" s="176"/>
      <c r="H291" s="130" t="str">
        <f>IFERROR(INDEX(DMDT!B:B,MATCH($G291,DMDT!D:D,0),),"")</f>
        <v/>
      </c>
      <c r="I291" s="131"/>
      <c r="J291" s="132"/>
      <c r="K291" s="133"/>
      <c r="L291" s="134"/>
      <c r="M291" s="134"/>
      <c r="N291" s="135"/>
      <c r="O291" s="219"/>
      <c r="P291" s="143"/>
      <c r="Q291" s="144"/>
      <c r="R291" s="150"/>
      <c r="S291" s="127" t="str">
        <f t="shared" si="38"/>
        <v/>
      </c>
      <c r="T291" s="175" t="str">
        <f t="shared" si="39"/>
        <v/>
      </c>
      <c r="U291" s="158" t="e">
        <f t="shared" si="40"/>
        <v>#N/A</v>
      </c>
      <c r="V291" s="310" t="str">
        <f t="shared" si="41"/>
        <v/>
      </c>
      <c r="W291" s="137" t="str">
        <f t="shared" si="42"/>
        <v>X</v>
      </c>
      <c r="X291" s="137">
        <f t="shared" si="43"/>
        <v>0</v>
      </c>
    </row>
    <row r="292" spans="1:24" ht="17.25" customHeight="1">
      <c r="A292" s="137" t="str">
        <f t="shared" ca="1" si="36"/>
        <v>-</v>
      </c>
      <c r="B292" s="173"/>
      <c r="C292" s="253" t="str">
        <f t="shared" si="37"/>
        <v/>
      </c>
      <c r="D292" s="173"/>
      <c r="E292" s="173"/>
      <c r="F292" s="329" t="str">
        <f t="shared" si="44"/>
        <v/>
      </c>
      <c r="G292" s="176"/>
      <c r="H292" s="130" t="str">
        <f>IFERROR(INDEX(DMDT!B:B,MATCH($G292,DMDT!D:D,0),),"")</f>
        <v/>
      </c>
      <c r="I292" s="131"/>
      <c r="J292" s="132"/>
      <c r="K292" s="133"/>
      <c r="L292" s="134"/>
      <c r="M292" s="134"/>
      <c r="N292" s="135"/>
      <c r="O292" s="219"/>
      <c r="P292" s="143"/>
      <c r="Q292" s="144"/>
      <c r="R292" s="150"/>
      <c r="S292" s="127" t="str">
        <f t="shared" si="38"/>
        <v/>
      </c>
      <c r="T292" s="175" t="str">
        <f t="shared" si="39"/>
        <v/>
      </c>
      <c r="U292" s="158" t="e">
        <f t="shared" si="40"/>
        <v>#N/A</v>
      </c>
      <c r="V292" s="310" t="str">
        <f t="shared" si="41"/>
        <v/>
      </c>
      <c r="W292" s="137" t="str">
        <f t="shared" si="42"/>
        <v>X</v>
      </c>
      <c r="X292" s="137">
        <f t="shared" si="43"/>
        <v>0</v>
      </c>
    </row>
    <row r="293" spans="1:24" ht="17.25" customHeight="1">
      <c r="A293" s="137" t="str">
        <f t="shared" ca="1" si="36"/>
        <v>-</v>
      </c>
      <c r="B293" s="173"/>
      <c r="C293" s="253" t="str">
        <f t="shared" si="37"/>
        <v/>
      </c>
      <c r="D293" s="173"/>
      <c r="E293" s="173"/>
      <c r="F293" s="329" t="str">
        <f t="shared" si="44"/>
        <v/>
      </c>
      <c r="G293" s="176"/>
      <c r="H293" s="130" t="str">
        <f>IFERROR(INDEX(DMDT!B:B,MATCH($G293,DMDT!D:D,0),),"")</f>
        <v/>
      </c>
      <c r="I293" s="131"/>
      <c r="J293" s="132"/>
      <c r="K293" s="133"/>
      <c r="L293" s="134"/>
      <c r="M293" s="134"/>
      <c r="N293" s="135"/>
      <c r="O293" s="219"/>
      <c r="P293" s="143"/>
      <c r="Q293" s="144"/>
      <c r="R293" s="150"/>
      <c r="S293" s="127" t="str">
        <f t="shared" si="38"/>
        <v/>
      </c>
      <c r="T293" s="175" t="str">
        <f t="shared" si="39"/>
        <v/>
      </c>
      <c r="U293" s="158" t="e">
        <f t="shared" si="40"/>
        <v>#N/A</v>
      </c>
      <c r="V293" s="310" t="str">
        <f t="shared" si="41"/>
        <v/>
      </c>
      <c r="W293" s="137" t="str">
        <f t="shared" si="42"/>
        <v>X</v>
      </c>
      <c r="X293" s="137">
        <f t="shared" si="43"/>
        <v>0</v>
      </c>
    </row>
    <row r="294" spans="1:24" ht="17.25" customHeight="1">
      <c r="A294" s="137" t="str">
        <f t="shared" ca="1" si="36"/>
        <v>-</v>
      </c>
      <c r="B294" s="173"/>
      <c r="C294" s="253" t="str">
        <f t="shared" si="37"/>
        <v/>
      </c>
      <c r="D294" s="173"/>
      <c r="E294" s="173"/>
      <c r="F294" s="329" t="str">
        <f t="shared" si="44"/>
        <v/>
      </c>
      <c r="G294" s="176"/>
      <c r="H294" s="130" t="str">
        <f>IFERROR(INDEX(DMDT!B:B,MATCH($G294,DMDT!D:D,0),),"")</f>
        <v/>
      </c>
      <c r="I294" s="131"/>
      <c r="J294" s="132"/>
      <c r="K294" s="133"/>
      <c r="L294" s="134"/>
      <c r="M294" s="134"/>
      <c r="N294" s="135"/>
      <c r="O294" s="135"/>
      <c r="P294" s="143"/>
      <c r="Q294" s="144"/>
      <c r="R294" s="150"/>
      <c r="S294" s="127" t="str">
        <f t="shared" si="38"/>
        <v/>
      </c>
      <c r="T294" s="175" t="str">
        <f t="shared" si="39"/>
        <v/>
      </c>
      <c r="U294" s="158" t="e">
        <f t="shared" si="40"/>
        <v>#N/A</v>
      </c>
      <c r="V294" s="310" t="str">
        <f t="shared" si="41"/>
        <v/>
      </c>
      <c r="W294" s="137" t="str">
        <f t="shared" si="42"/>
        <v>X</v>
      </c>
      <c r="X294" s="137">
        <f t="shared" si="43"/>
        <v>0</v>
      </c>
    </row>
    <row r="295" spans="1:24" ht="17.25" customHeight="1">
      <c r="A295" s="137" t="str">
        <f t="shared" ca="1" si="36"/>
        <v>-</v>
      </c>
      <c r="B295" s="173"/>
      <c r="C295" s="253" t="str">
        <f t="shared" si="37"/>
        <v/>
      </c>
      <c r="D295" s="173"/>
      <c r="E295" s="173"/>
      <c r="F295" s="329" t="str">
        <f t="shared" si="44"/>
        <v/>
      </c>
      <c r="G295" s="176"/>
      <c r="H295" s="130" t="str">
        <f>IFERROR(INDEX(DMDT!B:B,MATCH($G295,DMDT!D:D,0),),"")</f>
        <v/>
      </c>
      <c r="I295" s="131"/>
      <c r="J295" s="132"/>
      <c r="K295" s="133"/>
      <c r="L295" s="134"/>
      <c r="M295" s="134"/>
      <c r="N295" s="135"/>
      <c r="O295" s="219"/>
      <c r="P295" s="143"/>
      <c r="Q295" s="144"/>
      <c r="R295" s="150"/>
      <c r="S295" s="127" t="str">
        <f t="shared" si="38"/>
        <v/>
      </c>
      <c r="T295" s="175" t="str">
        <f t="shared" si="39"/>
        <v/>
      </c>
      <c r="U295" s="158" t="e">
        <f t="shared" si="40"/>
        <v>#N/A</v>
      </c>
      <c r="V295" s="310" t="str">
        <f t="shared" si="41"/>
        <v/>
      </c>
      <c r="W295" s="137" t="str">
        <f t="shared" si="42"/>
        <v>X</v>
      </c>
      <c r="X295" s="137">
        <f t="shared" si="43"/>
        <v>0</v>
      </c>
    </row>
    <row r="296" spans="1:24" ht="17.25" customHeight="1">
      <c r="A296" s="137" t="str">
        <f t="shared" ca="1" si="36"/>
        <v>-</v>
      </c>
      <c r="B296" s="173"/>
      <c r="C296" s="253" t="str">
        <f t="shared" si="37"/>
        <v/>
      </c>
      <c r="D296" s="173"/>
      <c r="E296" s="173"/>
      <c r="F296" s="329" t="str">
        <f t="shared" si="44"/>
        <v/>
      </c>
      <c r="G296" s="176"/>
      <c r="H296" s="130" t="str">
        <f>IFERROR(INDEX(DMDT!B:B,MATCH($G296,DMDT!D:D,0),),"")</f>
        <v/>
      </c>
      <c r="I296" s="131"/>
      <c r="J296" s="132"/>
      <c r="K296" s="133"/>
      <c r="L296" s="134"/>
      <c r="M296" s="134"/>
      <c r="N296" s="135"/>
      <c r="O296" s="219"/>
      <c r="P296" s="143"/>
      <c r="Q296" s="144"/>
      <c r="R296" s="150"/>
      <c r="S296" s="127" t="str">
        <f t="shared" si="38"/>
        <v/>
      </c>
      <c r="T296" s="175" t="str">
        <f t="shared" si="39"/>
        <v/>
      </c>
      <c r="U296" s="158" t="e">
        <f t="shared" si="40"/>
        <v>#N/A</v>
      </c>
      <c r="V296" s="310" t="str">
        <f t="shared" si="41"/>
        <v/>
      </c>
      <c r="W296" s="137" t="str">
        <f t="shared" si="42"/>
        <v>X</v>
      </c>
      <c r="X296" s="137">
        <f t="shared" si="43"/>
        <v>0</v>
      </c>
    </row>
    <row r="297" spans="1:24" ht="17.25" customHeight="1">
      <c r="A297" s="137" t="str">
        <f t="shared" ca="1" si="36"/>
        <v>-</v>
      </c>
      <c r="B297" s="173"/>
      <c r="C297" s="253" t="str">
        <f t="shared" si="37"/>
        <v/>
      </c>
      <c r="D297" s="173"/>
      <c r="E297" s="173"/>
      <c r="F297" s="329" t="str">
        <f t="shared" si="44"/>
        <v/>
      </c>
      <c r="G297" s="176"/>
      <c r="H297" s="130" t="str">
        <f>IFERROR(INDEX(DMDT!B:B,MATCH($G297,DMDT!D:D,0),),"")</f>
        <v/>
      </c>
      <c r="I297" s="131"/>
      <c r="J297" s="132"/>
      <c r="K297" s="133"/>
      <c r="L297" s="134"/>
      <c r="M297" s="134"/>
      <c r="N297" s="135"/>
      <c r="O297" s="219"/>
      <c r="P297" s="143"/>
      <c r="Q297" s="144"/>
      <c r="R297" s="150"/>
      <c r="S297" s="127" t="str">
        <f t="shared" si="38"/>
        <v/>
      </c>
      <c r="T297" s="175" t="str">
        <f t="shared" si="39"/>
        <v/>
      </c>
      <c r="U297" s="158" t="e">
        <f t="shared" si="40"/>
        <v>#N/A</v>
      </c>
      <c r="V297" s="310" t="str">
        <f t="shared" si="41"/>
        <v/>
      </c>
      <c r="W297" s="137" t="str">
        <f t="shared" si="42"/>
        <v>X</v>
      </c>
      <c r="X297" s="137">
        <f t="shared" si="43"/>
        <v>0</v>
      </c>
    </row>
    <row r="298" spans="1:24" ht="17.25" customHeight="1">
      <c r="A298" s="137" t="str">
        <f t="shared" ca="1" si="36"/>
        <v>-</v>
      </c>
      <c r="B298" s="173"/>
      <c r="C298" s="253" t="str">
        <f t="shared" si="37"/>
        <v/>
      </c>
      <c r="D298" s="173"/>
      <c r="E298" s="173"/>
      <c r="F298" s="329" t="str">
        <f t="shared" si="44"/>
        <v/>
      </c>
      <c r="G298" s="176"/>
      <c r="H298" s="130" t="str">
        <f>IFERROR(INDEX(DMDT!B:B,MATCH($G298,DMDT!D:D,0),),"")</f>
        <v/>
      </c>
      <c r="I298" s="131"/>
      <c r="J298" s="132"/>
      <c r="K298" s="133"/>
      <c r="L298" s="134"/>
      <c r="M298" s="134"/>
      <c r="N298" s="135"/>
      <c r="O298" s="219"/>
      <c r="P298" s="143"/>
      <c r="Q298" s="144"/>
      <c r="R298" s="150"/>
      <c r="S298" s="127" t="str">
        <f t="shared" si="38"/>
        <v/>
      </c>
      <c r="T298" s="175" t="str">
        <f t="shared" si="39"/>
        <v/>
      </c>
      <c r="U298" s="158" t="e">
        <f t="shared" si="40"/>
        <v>#N/A</v>
      </c>
      <c r="V298" s="310" t="str">
        <f t="shared" si="41"/>
        <v/>
      </c>
      <c r="W298" s="137" t="str">
        <f t="shared" si="42"/>
        <v>X</v>
      </c>
      <c r="X298" s="137">
        <f t="shared" si="43"/>
        <v>0</v>
      </c>
    </row>
    <row r="299" spans="1:24" ht="17.25" customHeight="1">
      <c r="A299" s="137" t="str">
        <f t="shared" ca="1" si="36"/>
        <v>-</v>
      </c>
      <c r="B299" s="173"/>
      <c r="C299" s="253" t="str">
        <f t="shared" si="37"/>
        <v/>
      </c>
      <c r="D299" s="173"/>
      <c r="E299" s="173"/>
      <c r="F299" s="329" t="str">
        <f t="shared" si="44"/>
        <v/>
      </c>
      <c r="G299" s="176"/>
      <c r="H299" s="130" t="str">
        <f>IFERROR(INDEX(DMDT!B:B,MATCH($G299,DMDT!D:D,0),),"")</f>
        <v/>
      </c>
      <c r="I299" s="131"/>
      <c r="J299" s="132"/>
      <c r="K299" s="133"/>
      <c r="L299" s="134"/>
      <c r="M299" s="134"/>
      <c r="N299" s="135"/>
      <c r="O299" s="219"/>
      <c r="P299" s="143"/>
      <c r="Q299" s="144"/>
      <c r="R299" s="150"/>
      <c r="S299" s="127" t="str">
        <f t="shared" si="38"/>
        <v/>
      </c>
      <c r="T299" s="175" t="str">
        <f t="shared" si="39"/>
        <v/>
      </c>
      <c r="U299" s="158" t="e">
        <f t="shared" si="40"/>
        <v>#N/A</v>
      </c>
      <c r="V299" s="310" t="str">
        <f t="shared" si="41"/>
        <v/>
      </c>
      <c r="W299" s="137" t="str">
        <f t="shared" si="42"/>
        <v>X</v>
      </c>
      <c r="X299" s="137">
        <f t="shared" si="43"/>
        <v>0</v>
      </c>
    </row>
    <row r="300" spans="1:24" ht="17.25" customHeight="1">
      <c r="A300" s="137" t="str">
        <f t="shared" ca="1" si="36"/>
        <v>-</v>
      </c>
      <c r="B300" s="173"/>
      <c r="C300" s="253" t="str">
        <f t="shared" si="37"/>
        <v/>
      </c>
      <c r="D300" s="173"/>
      <c r="E300" s="173"/>
      <c r="F300" s="329" t="str">
        <f t="shared" si="44"/>
        <v/>
      </c>
      <c r="G300" s="176"/>
      <c r="H300" s="130" t="str">
        <f>IFERROR(INDEX(DMDT!B:B,MATCH($G300,DMDT!D:D,0),),"")</f>
        <v/>
      </c>
      <c r="I300" s="131"/>
      <c r="J300" s="132"/>
      <c r="K300" s="133"/>
      <c r="L300" s="134"/>
      <c r="M300" s="134"/>
      <c r="N300" s="135"/>
      <c r="O300" s="219"/>
      <c r="P300" s="143"/>
      <c r="Q300" s="144"/>
      <c r="R300" s="150"/>
      <c r="S300" s="127" t="str">
        <f t="shared" si="38"/>
        <v/>
      </c>
      <c r="T300" s="175" t="str">
        <f t="shared" si="39"/>
        <v/>
      </c>
      <c r="U300" s="158" t="e">
        <f t="shared" si="40"/>
        <v>#N/A</v>
      </c>
      <c r="V300" s="310" t="str">
        <f t="shared" si="41"/>
        <v/>
      </c>
      <c r="W300" s="137" t="str">
        <f t="shared" si="42"/>
        <v>X</v>
      </c>
      <c r="X300" s="137">
        <f t="shared" si="43"/>
        <v>0</v>
      </c>
    </row>
    <row r="301" spans="1:24" ht="17.25" customHeight="1">
      <c r="A301" s="137" t="str">
        <f t="shared" ca="1" si="36"/>
        <v>-</v>
      </c>
      <c r="B301" s="173"/>
      <c r="C301" s="253" t="str">
        <f t="shared" si="37"/>
        <v/>
      </c>
      <c r="D301" s="173"/>
      <c r="E301" s="173"/>
      <c r="F301" s="329" t="str">
        <f t="shared" si="44"/>
        <v/>
      </c>
      <c r="G301" s="176"/>
      <c r="H301" s="130" t="str">
        <f>IFERROR(INDEX(DMDT!B:B,MATCH($G301,DMDT!D:D,0),),"")</f>
        <v/>
      </c>
      <c r="I301" s="131"/>
      <c r="J301" s="132"/>
      <c r="K301" s="133"/>
      <c r="L301" s="134"/>
      <c r="M301" s="134"/>
      <c r="N301" s="135"/>
      <c r="O301" s="219"/>
      <c r="P301" s="143"/>
      <c r="Q301" s="144"/>
      <c r="R301" s="150"/>
      <c r="S301" s="127" t="str">
        <f t="shared" si="38"/>
        <v/>
      </c>
      <c r="T301" s="175" t="str">
        <f t="shared" si="39"/>
        <v/>
      </c>
      <c r="U301" s="158" t="e">
        <f t="shared" si="40"/>
        <v>#N/A</v>
      </c>
      <c r="V301" s="310" t="str">
        <f t="shared" si="41"/>
        <v/>
      </c>
      <c r="W301" s="137" t="str">
        <f t="shared" si="42"/>
        <v>X</v>
      </c>
      <c r="X301" s="137">
        <f t="shared" si="43"/>
        <v>0</v>
      </c>
    </row>
    <row r="302" spans="1:24" ht="17.25" customHeight="1">
      <c r="A302" s="137" t="str">
        <f t="shared" ca="1" si="36"/>
        <v>-</v>
      </c>
      <c r="B302" s="173"/>
      <c r="C302" s="253" t="str">
        <f t="shared" si="37"/>
        <v/>
      </c>
      <c r="D302" s="173"/>
      <c r="E302" s="173"/>
      <c r="F302" s="329" t="str">
        <f t="shared" si="44"/>
        <v/>
      </c>
      <c r="G302" s="176"/>
      <c r="H302" s="130" t="str">
        <f>IFERROR(INDEX(DMDT!B:B,MATCH($G302,DMDT!D:D,0),),"")</f>
        <v/>
      </c>
      <c r="I302" s="131"/>
      <c r="J302" s="132"/>
      <c r="K302" s="133"/>
      <c r="L302" s="134"/>
      <c r="M302" s="134"/>
      <c r="N302" s="135"/>
      <c r="O302" s="219"/>
      <c r="P302" s="143"/>
      <c r="Q302" s="144"/>
      <c r="R302" s="150"/>
      <c r="S302" s="127" t="str">
        <f t="shared" si="38"/>
        <v/>
      </c>
      <c r="T302" s="175" t="str">
        <f t="shared" si="39"/>
        <v/>
      </c>
      <c r="U302" s="158" t="e">
        <f t="shared" si="40"/>
        <v>#N/A</v>
      </c>
      <c r="V302" s="310" t="str">
        <f t="shared" si="41"/>
        <v/>
      </c>
      <c r="W302" s="137" t="str">
        <f t="shared" si="42"/>
        <v>X</v>
      </c>
      <c r="X302" s="137">
        <f t="shared" si="43"/>
        <v>0</v>
      </c>
    </row>
    <row r="303" spans="1:24" ht="17.25" customHeight="1">
      <c r="A303" s="137" t="str">
        <f t="shared" ca="1" si="36"/>
        <v>-</v>
      </c>
      <c r="B303" s="173"/>
      <c r="C303" s="253" t="str">
        <f t="shared" si="37"/>
        <v/>
      </c>
      <c r="D303" s="173"/>
      <c r="E303" s="173"/>
      <c r="F303" s="329" t="str">
        <f t="shared" si="44"/>
        <v/>
      </c>
      <c r="G303" s="176"/>
      <c r="H303" s="130" t="str">
        <f>IFERROR(INDEX(DMDT!B:B,MATCH($G303,DMDT!D:D,0),),"")</f>
        <v/>
      </c>
      <c r="I303" s="131"/>
      <c r="J303" s="132"/>
      <c r="K303" s="133"/>
      <c r="L303" s="134"/>
      <c r="M303" s="134"/>
      <c r="N303" s="135"/>
      <c r="O303" s="219"/>
      <c r="P303" s="143"/>
      <c r="Q303" s="144"/>
      <c r="R303" s="150"/>
      <c r="S303" s="127" t="str">
        <f t="shared" si="38"/>
        <v/>
      </c>
      <c r="T303" s="175" t="str">
        <f t="shared" si="39"/>
        <v/>
      </c>
      <c r="U303" s="158" t="e">
        <f t="shared" si="40"/>
        <v>#N/A</v>
      </c>
      <c r="V303" s="310" t="str">
        <f t="shared" si="41"/>
        <v/>
      </c>
      <c r="W303" s="137" t="str">
        <f t="shared" si="42"/>
        <v>X</v>
      </c>
      <c r="X303" s="137">
        <f t="shared" si="43"/>
        <v>0</v>
      </c>
    </row>
    <row r="304" spans="1:24" ht="17.25" customHeight="1">
      <c r="A304" s="137" t="str">
        <f t="shared" ca="1" si="36"/>
        <v>-</v>
      </c>
      <c r="B304" s="173"/>
      <c r="C304" s="253" t="str">
        <f t="shared" si="37"/>
        <v/>
      </c>
      <c r="D304" s="173"/>
      <c r="E304" s="173"/>
      <c r="F304" s="329" t="str">
        <f t="shared" si="44"/>
        <v/>
      </c>
      <c r="G304" s="176"/>
      <c r="H304" s="130" t="str">
        <f>IFERROR(INDEX(DMDT!B:B,MATCH($G304,DMDT!D:D,0),),"")</f>
        <v/>
      </c>
      <c r="I304" s="131"/>
      <c r="J304" s="132"/>
      <c r="K304" s="133"/>
      <c r="L304" s="134"/>
      <c r="M304" s="134"/>
      <c r="N304" s="135"/>
      <c r="O304" s="219"/>
      <c r="P304" s="143"/>
      <c r="Q304" s="144"/>
      <c r="R304" s="150"/>
      <c r="S304" s="127" t="str">
        <f t="shared" si="38"/>
        <v/>
      </c>
      <c r="T304" s="175" t="str">
        <f t="shared" si="39"/>
        <v/>
      </c>
      <c r="U304" s="158" t="e">
        <f t="shared" si="40"/>
        <v>#N/A</v>
      </c>
      <c r="V304" s="310" t="str">
        <f t="shared" si="41"/>
        <v/>
      </c>
      <c r="W304" s="137" t="str">
        <f t="shared" si="42"/>
        <v>X</v>
      </c>
      <c r="X304" s="137">
        <f t="shared" si="43"/>
        <v>0</v>
      </c>
    </row>
    <row r="305" spans="1:24" ht="17.25" customHeight="1">
      <c r="A305" s="137" t="str">
        <f t="shared" ca="1" si="36"/>
        <v>-</v>
      </c>
      <c r="B305" s="173"/>
      <c r="C305" s="253" t="str">
        <f t="shared" si="37"/>
        <v/>
      </c>
      <c r="D305" s="173"/>
      <c r="E305" s="173"/>
      <c r="F305" s="329" t="str">
        <f t="shared" si="44"/>
        <v/>
      </c>
      <c r="G305" s="176"/>
      <c r="H305" s="130" t="str">
        <f>IFERROR(INDEX(DMDT!B:B,MATCH($G305,DMDT!D:D,0),),"")</f>
        <v/>
      </c>
      <c r="I305" s="131"/>
      <c r="J305" s="132"/>
      <c r="K305" s="133"/>
      <c r="L305" s="134"/>
      <c r="M305" s="134"/>
      <c r="N305" s="135"/>
      <c r="O305" s="219"/>
      <c r="P305" s="143"/>
      <c r="Q305" s="144"/>
      <c r="R305" s="150"/>
      <c r="S305" s="127" t="str">
        <f t="shared" si="38"/>
        <v/>
      </c>
      <c r="T305" s="175" t="str">
        <f t="shared" si="39"/>
        <v/>
      </c>
      <c r="U305" s="158" t="e">
        <f t="shared" si="40"/>
        <v>#N/A</v>
      </c>
      <c r="V305" s="310" t="str">
        <f t="shared" si="41"/>
        <v/>
      </c>
      <c r="W305" s="137" t="str">
        <f t="shared" si="42"/>
        <v>X</v>
      </c>
      <c r="X305" s="137">
        <f t="shared" si="43"/>
        <v>0</v>
      </c>
    </row>
    <row r="306" spans="1:24" ht="17.25" customHeight="1">
      <c r="A306" s="137" t="str">
        <f t="shared" ca="1" si="36"/>
        <v>-</v>
      </c>
      <c r="B306" s="173"/>
      <c r="C306" s="253" t="str">
        <f t="shared" si="37"/>
        <v/>
      </c>
      <c r="D306" s="173"/>
      <c r="E306" s="173"/>
      <c r="F306" s="329" t="str">
        <f t="shared" si="44"/>
        <v/>
      </c>
      <c r="G306" s="176"/>
      <c r="H306" s="130" t="str">
        <f>IFERROR(INDEX(DMDT!B:B,MATCH($G306,DMDT!D:D,0),),"")</f>
        <v/>
      </c>
      <c r="I306" s="131"/>
      <c r="J306" s="132"/>
      <c r="K306" s="133"/>
      <c r="L306" s="134"/>
      <c r="M306" s="134"/>
      <c r="N306" s="135"/>
      <c r="O306" s="219"/>
      <c r="P306" s="143"/>
      <c r="Q306" s="144"/>
      <c r="R306" s="150"/>
      <c r="S306" s="127" t="str">
        <f t="shared" si="38"/>
        <v/>
      </c>
      <c r="T306" s="175" t="str">
        <f t="shared" si="39"/>
        <v/>
      </c>
      <c r="U306" s="158" t="e">
        <f t="shared" si="40"/>
        <v>#N/A</v>
      </c>
      <c r="V306" s="310" t="str">
        <f t="shared" si="41"/>
        <v/>
      </c>
      <c r="W306" s="137" t="str">
        <f t="shared" si="42"/>
        <v>X</v>
      </c>
      <c r="X306" s="137">
        <f t="shared" si="43"/>
        <v>0</v>
      </c>
    </row>
    <row r="307" spans="1:24" ht="17.25" customHeight="1">
      <c r="A307" s="137" t="str">
        <f t="shared" ca="1" si="36"/>
        <v>-</v>
      </c>
      <c r="B307" s="173"/>
      <c r="C307" s="253" t="str">
        <f t="shared" si="37"/>
        <v/>
      </c>
      <c r="D307" s="173"/>
      <c r="E307" s="173"/>
      <c r="F307" s="329" t="str">
        <f t="shared" si="44"/>
        <v/>
      </c>
      <c r="G307" s="174"/>
      <c r="H307" s="130" t="str">
        <f>IFERROR(INDEX(DMDT!B:B,MATCH($G307,DMDT!D:D,0),),"")</f>
        <v/>
      </c>
      <c r="I307" s="131"/>
      <c r="J307" s="132"/>
      <c r="K307" s="133"/>
      <c r="L307" s="134"/>
      <c r="M307" s="134"/>
      <c r="N307" s="135"/>
      <c r="O307" s="219"/>
      <c r="P307" s="143"/>
      <c r="Q307" s="144"/>
      <c r="R307" s="150"/>
      <c r="S307" s="127" t="str">
        <f t="shared" si="38"/>
        <v/>
      </c>
      <c r="T307" s="175" t="str">
        <f t="shared" si="39"/>
        <v/>
      </c>
      <c r="U307" s="158" t="e">
        <f t="shared" si="40"/>
        <v>#N/A</v>
      </c>
      <c r="V307" s="310" t="str">
        <f t="shared" si="41"/>
        <v/>
      </c>
      <c r="W307" s="137" t="str">
        <f t="shared" si="42"/>
        <v>X</v>
      </c>
      <c r="X307" s="137">
        <f t="shared" si="43"/>
        <v>0</v>
      </c>
    </row>
    <row r="308" spans="1:24" ht="17.25" customHeight="1">
      <c r="A308" s="137" t="str">
        <f t="shared" ca="1" si="36"/>
        <v>-</v>
      </c>
      <c r="B308" s="173"/>
      <c r="C308" s="253" t="str">
        <f t="shared" si="37"/>
        <v/>
      </c>
      <c r="D308" s="173"/>
      <c r="E308" s="173"/>
      <c r="F308" s="329" t="str">
        <f t="shared" si="44"/>
        <v/>
      </c>
      <c r="G308" s="176"/>
      <c r="H308" s="130" t="str">
        <f>IFERROR(INDEX(DMDT!B:B,MATCH($G308,DMDT!D:D,0),),"")</f>
        <v/>
      </c>
      <c r="I308" s="131"/>
      <c r="J308" s="132"/>
      <c r="K308" s="133"/>
      <c r="L308" s="134"/>
      <c r="M308" s="134"/>
      <c r="N308" s="135"/>
      <c r="O308" s="219"/>
      <c r="P308" s="143"/>
      <c r="Q308" s="144"/>
      <c r="R308" s="150"/>
      <c r="S308" s="127" t="str">
        <f t="shared" si="38"/>
        <v/>
      </c>
      <c r="T308" s="175" t="str">
        <f t="shared" si="39"/>
        <v/>
      </c>
      <c r="U308" s="158" t="e">
        <f t="shared" si="40"/>
        <v>#N/A</v>
      </c>
      <c r="V308" s="310" t="str">
        <f t="shared" si="41"/>
        <v/>
      </c>
      <c r="W308" s="137" t="str">
        <f t="shared" si="42"/>
        <v>X</v>
      </c>
      <c r="X308" s="137">
        <f t="shared" si="43"/>
        <v>0</v>
      </c>
    </row>
    <row r="309" spans="1:24" ht="17.25" customHeight="1">
      <c r="A309" s="137" t="str">
        <f t="shared" ca="1" si="36"/>
        <v>-</v>
      </c>
      <c r="B309" s="173"/>
      <c r="C309" s="253" t="str">
        <f t="shared" si="37"/>
        <v/>
      </c>
      <c r="D309" s="173"/>
      <c r="E309" s="173"/>
      <c r="F309" s="329" t="str">
        <f t="shared" si="44"/>
        <v/>
      </c>
      <c r="G309" s="186"/>
      <c r="H309" s="130" t="str">
        <f>IFERROR(INDEX(DMDT!B:B,MATCH($G309,DMDT!D:D,0),),"")</f>
        <v/>
      </c>
      <c r="I309" s="131"/>
      <c r="J309" s="132"/>
      <c r="K309" s="133"/>
      <c r="L309" s="134"/>
      <c r="M309" s="134"/>
      <c r="N309" s="135"/>
      <c r="O309" s="219"/>
      <c r="P309" s="143"/>
      <c r="Q309" s="144"/>
      <c r="R309" s="150"/>
      <c r="S309" s="127" t="str">
        <f t="shared" si="38"/>
        <v/>
      </c>
      <c r="T309" s="175" t="str">
        <f t="shared" si="39"/>
        <v/>
      </c>
      <c r="U309" s="158" t="e">
        <f t="shared" si="40"/>
        <v>#N/A</v>
      </c>
      <c r="V309" s="310" t="str">
        <f t="shared" si="41"/>
        <v/>
      </c>
      <c r="W309" s="137" t="str">
        <f t="shared" si="42"/>
        <v>X</v>
      </c>
      <c r="X309" s="137">
        <f t="shared" si="43"/>
        <v>0</v>
      </c>
    </row>
    <row r="310" spans="1:24" ht="17.25" customHeight="1">
      <c r="A310" s="137" t="str">
        <f t="shared" ca="1" si="36"/>
        <v>-</v>
      </c>
      <c r="B310" s="173"/>
      <c r="C310" s="253" t="str">
        <f t="shared" si="37"/>
        <v/>
      </c>
      <c r="D310" s="173"/>
      <c r="E310" s="173"/>
      <c r="F310" s="329" t="str">
        <f t="shared" si="44"/>
        <v/>
      </c>
      <c r="G310" s="174"/>
      <c r="H310" s="130" t="str">
        <f>IFERROR(INDEX(DMDT!B:B,MATCH($G310,DMDT!D:D,0),),"")</f>
        <v/>
      </c>
      <c r="I310" s="131"/>
      <c r="J310" s="132"/>
      <c r="K310" s="133"/>
      <c r="L310" s="134"/>
      <c r="M310" s="134"/>
      <c r="N310" s="135"/>
      <c r="O310" s="219"/>
      <c r="P310" s="143"/>
      <c r="Q310" s="144"/>
      <c r="R310" s="150"/>
      <c r="S310" s="127" t="str">
        <f t="shared" si="38"/>
        <v/>
      </c>
      <c r="T310" s="175" t="str">
        <f t="shared" si="39"/>
        <v/>
      </c>
      <c r="U310" s="158" t="e">
        <f t="shared" si="40"/>
        <v>#N/A</v>
      </c>
      <c r="V310" s="310" t="str">
        <f t="shared" si="41"/>
        <v/>
      </c>
      <c r="W310" s="137" t="str">
        <f t="shared" si="42"/>
        <v>X</v>
      </c>
      <c r="X310" s="137">
        <f t="shared" si="43"/>
        <v>0</v>
      </c>
    </row>
    <row r="311" spans="1:24" ht="17.25" customHeight="1">
      <c r="A311" s="137" t="str">
        <f t="shared" ca="1" si="36"/>
        <v>-</v>
      </c>
      <c r="B311" s="173"/>
      <c r="C311" s="253" t="str">
        <f t="shared" si="37"/>
        <v/>
      </c>
      <c r="D311" s="173"/>
      <c r="E311" s="173"/>
      <c r="F311" s="329" t="str">
        <f t="shared" si="44"/>
        <v/>
      </c>
      <c r="G311" s="186"/>
      <c r="H311" s="130" t="str">
        <f>IFERROR(INDEX(DMDT!B:B,MATCH($G311,DMDT!D:D,0),),"")</f>
        <v/>
      </c>
      <c r="I311" s="131"/>
      <c r="J311" s="132"/>
      <c r="K311" s="133"/>
      <c r="L311" s="134"/>
      <c r="M311" s="134"/>
      <c r="N311" s="135"/>
      <c r="O311" s="221"/>
      <c r="P311" s="143"/>
      <c r="Q311" s="144"/>
      <c r="R311" s="150"/>
      <c r="S311" s="127" t="str">
        <f t="shared" si="38"/>
        <v/>
      </c>
      <c r="T311" s="175" t="str">
        <f t="shared" si="39"/>
        <v/>
      </c>
      <c r="U311" s="158" t="e">
        <f t="shared" si="40"/>
        <v>#N/A</v>
      </c>
      <c r="V311" s="310" t="str">
        <f t="shared" si="41"/>
        <v/>
      </c>
      <c r="W311" s="137" t="str">
        <f t="shared" si="42"/>
        <v>X</v>
      </c>
      <c r="X311" s="137">
        <f t="shared" si="43"/>
        <v>0</v>
      </c>
    </row>
    <row r="312" spans="1:24" ht="17.25" customHeight="1">
      <c r="A312" s="137" t="str">
        <f t="shared" ca="1" si="36"/>
        <v>-</v>
      </c>
      <c r="B312" s="173"/>
      <c r="C312" s="253" t="str">
        <f t="shared" si="37"/>
        <v/>
      </c>
      <c r="D312" s="173"/>
      <c r="E312" s="173"/>
      <c r="F312" s="329" t="str">
        <f t="shared" si="44"/>
        <v/>
      </c>
      <c r="G312" s="176"/>
      <c r="H312" s="130" t="str">
        <f>IFERROR(INDEX(DMDT!B:B,MATCH($G312,DMDT!D:D,0),),"")</f>
        <v/>
      </c>
      <c r="I312" s="131"/>
      <c r="J312" s="132"/>
      <c r="K312" s="133"/>
      <c r="L312" s="134"/>
      <c r="M312" s="134"/>
      <c r="N312" s="135"/>
      <c r="O312" s="219"/>
      <c r="P312" s="143"/>
      <c r="Q312" s="144"/>
      <c r="R312" s="150"/>
      <c r="S312" s="127" t="str">
        <f t="shared" si="38"/>
        <v/>
      </c>
      <c r="T312" s="175" t="str">
        <f t="shared" si="39"/>
        <v/>
      </c>
      <c r="U312" s="158" t="e">
        <f t="shared" si="40"/>
        <v>#N/A</v>
      </c>
      <c r="V312" s="310" t="str">
        <f t="shared" si="41"/>
        <v/>
      </c>
      <c r="W312" s="137" t="str">
        <f t="shared" si="42"/>
        <v>X</v>
      </c>
      <c r="X312" s="137">
        <f t="shared" si="43"/>
        <v>0</v>
      </c>
    </row>
    <row r="313" spans="1:24" ht="17.25" customHeight="1">
      <c r="A313" s="137" t="str">
        <f t="shared" ca="1" si="36"/>
        <v>-</v>
      </c>
      <c r="B313" s="173"/>
      <c r="C313" s="253" t="str">
        <f t="shared" si="37"/>
        <v/>
      </c>
      <c r="D313" s="173"/>
      <c r="E313" s="173"/>
      <c r="F313" s="329" t="str">
        <f t="shared" si="44"/>
        <v/>
      </c>
      <c r="G313" s="176"/>
      <c r="H313" s="130" t="str">
        <f>IFERROR(INDEX(DMDT!B:B,MATCH($G313,DMDT!D:D,0),),"")</f>
        <v/>
      </c>
      <c r="I313" s="131"/>
      <c r="J313" s="132"/>
      <c r="K313" s="133"/>
      <c r="L313" s="134"/>
      <c r="M313" s="134"/>
      <c r="N313" s="135"/>
      <c r="O313" s="219"/>
      <c r="P313" s="143"/>
      <c r="Q313" s="144"/>
      <c r="R313" s="150"/>
      <c r="S313" s="127" t="str">
        <f t="shared" si="38"/>
        <v/>
      </c>
      <c r="T313" s="175" t="str">
        <f t="shared" si="39"/>
        <v/>
      </c>
      <c r="U313" s="158" t="e">
        <f t="shared" si="40"/>
        <v>#N/A</v>
      </c>
      <c r="V313" s="310" t="str">
        <f t="shared" si="41"/>
        <v/>
      </c>
      <c r="W313" s="137" t="str">
        <f t="shared" si="42"/>
        <v>X</v>
      </c>
      <c r="X313" s="137">
        <f t="shared" si="43"/>
        <v>0</v>
      </c>
    </row>
    <row r="314" spans="1:24" ht="17.25" customHeight="1">
      <c r="A314" s="137" t="str">
        <f t="shared" ca="1" si="36"/>
        <v>-</v>
      </c>
      <c r="B314" s="173"/>
      <c r="C314" s="253" t="str">
        <f t="shared" si="37"/>
        <v/>
      </c>
      <c r="D314" s="173"/>
      <c r="E314" s="173"/>
      <c r="F314" s="329" t="str">
        <f t="shared" si="44"/>
        <v/>
      </c>
      <c r="G314" s="176"/>
      <c r="H314" s="130" t="str">
        <f>IFERROR(INDEX(DMDT!B:B,MATCH($G314,DMDT!D:D,0),),"")</f>
        <v/>
      </c>
      <c r="I314" s="131"/>
      <c r="J314" s="132"/>
      <c r="K314" s="133"/>
      <c r="L314" s="134"/>
      <c r="M314" s="134"/>
      <c r="N314" s="135"/>
      <c r="O314" s="219"/>
      <c r="P314" s="143"/>
      <c r="Q314" s="144"/>
      <c r="R314" s="150"/>
      <c r="S314" s="127" t="str">
        <f t="shared" si="38"/>
        <v/>
      </c>
      <c r="T314" s="175" t="str">
        <f t="shared" si="39"/>
        <v/>
      </c>
      <c r="U314" s="158" t="e">
        <f t="shared" si="40"/>
        <v>#N/A</v>
      </c>
      <c r="V314" s="310" t="str">
        <f t="shared" si="41"/>
        <v/>
      </c>
      <c r="W314" s="137" t="str">
        <f t="shared" si="42"/>
        <v>X</v>
      </c>
      <c r="X314" s="137">
        <f t="shared" si="43"/>
        <v>0</v>
      </c>
    </row>
    <row r="315" spans="1:24" ht="17.25" customHeight="1">
      <c r="A315" s="137" t="str">
        <f t="shared" ca="1" si="36"/>
        <v>-</v>
      </c>
      <c r="B315" s="173"/>
      <c r="C315" s="253" t="str">
        <f t="shared" si="37"/>
        <v/>
      </c>
      <c r="D315" s="173"/>
      <c r="E315" s="173"/>
      <c r="F315" s="329" t="str">
        <f t="shared" si="44"/>
        <v/>
      </c>
      <c r="G315" s="176"/>
      <c r="H315" s="130" t="str">
        <f>IFERROR(INDEX(DMDT!B:B,MATCH($G315,DMDT!D:D,0),),"")</f>
        <v/>
      </c>
      <c r="I315" s="131"/>
      <c r="J315" s="132"/>
      <c r="K315" s="133"/>
      <c r="L315" s="134"/>
      <c r="M315" s="134"/>
      <c r="N315" s="135"/>
      <c r="O315" s="219"/>
      <c r="P315" s="143"/>
      <c r="Q315" s="144"/>
      <c r="R315" s="150"/>
      <c r="S315" s="127" t="str">
        <f t="shared" si="38"/>
        <v/>
      </c>
      <c r="T315" s="175" t="str">
        <f t="shared" si="39"/>
        <v/>
      </c>
      <c r="U315" s="158" t="e">
        <f t="shared" si="40"/>
        <v>#N/A</v>
      </c>
      <c r="V315" s="310" t="str">
        <f t="shared" si="41"/>
        <v/>
      </c>
      <c r="W315" s="137" t="str">
        <f t="shared" si="42"/>
        <v>X</v>
      </c>
      <c r="X315" s="137">
        <f t="shared" si="43"/>
        <v>0</v>
      </c>
    </row>
    <row r="316" spans="1:24" ht="17.25" customHeight="1">
      <c r="A316" s="137" t="str">
        <f t="shared" ca="1" si="36"/>
        <v>-</v>
      </c>
      <c r="B316" s="173"/>
      <c r="C316" s="253" t="str">
        <f t="shared" si="37"/>
        <v/>
      </c>
      <c r="D316" s="173"/>
      <c r="E316" s="173"/>
      <c r="F316" s="329" t="str">
        <f t="shared" si="44"/>
        <v/>
      </c>
      <c r="G316" s="176"/>
      <c r="H316" s="130" t="str">
        <f>IFERROR(INDEX(DMDT!B:B,MATCH($G316,DMDT!D:D,0),),"")</f>
        <v/>
      </c>
      <c r="I316" s="131"/>
      <c r="J316" s="132"/>
      <c r="K316" s="133"/>
      <c r="L316" s="134"/>
      <c r="M316" s="134"/>
      <c r="N316" s="135"/>
      <c r="O316" s="219"/>
      <c r="P316" s="143"/>
      <c r="Q316" s="144"/>
      <c r="R316" s="150"/>
      <c r="S316" s="127" t="str">
        <f t="shared" si="38"/>
        <v/>
      </c>
      <c r="T316" s="175" t="str">
        <f t="shared" si="39"/>
        <v/>
      </c>
      <c r="U316" s="158" t="e">
        <f t="shared" si="40"/>
        <v>#N/A</v>
      </c>
      <c r="V316" s="310" t="str">
        <f t="shared" si="41"/>
        <v/>
      </c>
      <c r="W316" s="137" t="str">
        <f t="shared" si="42"/>
        <v>X</v>
      </c>
      <c r="X316" s="137">
        <f t="shared" si="43"/>
        <v>0</v>
      </c>
    </row>
    <row r="317" spans="1:24" ht="17.25" customHeight="1">
      <c r="A317" s="137" t="str">
        <f t="shared" ca="1" si="36"/>
        <v>-</v>
      </c>
      <c r="B317" s="173"/>
      <c r="C317" s="253" t="str">
        <f t="shared" si="37"/>
        <v/>
      </c>
      <c r="D317" s="173"/>
      <c r="E317" s="173"/>
      <c r="F317" s="329" t="str">
        <f t="shared" si="44"/>
        <v/>
      </c>
      <c r="G317" s="176"/>
      <c r="H317" s="130" t="str">
        <f>IFERROR(INDEX(DMDT!B:B,MATCH($G317,DMDT!D:D,0),),"")</f>
        <v/>
      </c>
      <c r="I317" s="131"/>
      <c r="J317" s="132"/>
      <c r="K317" s="133"/>
      <c r="L317" s="134"/>
      <c r="M317" s="134"/>
      <c r="N317" s="135"/>
      <c r="O317" s="219"/>
      <c r="P317" s="143"/>
      <c r="Q317" s="144"/>
      <c r="R317" s="150"/>
      <c r="S317" s="127" t="str">
        <f t="shared" si="38"/>
        <v/>
      </c>
      <c r="T317" s="175" t="str">
        <f t="shared" si="39"/>
        <v/>
      </c>
      <c r="U317" s="158" t="e">
        <f t="shared" si="40"/>
        <v>#N/A</v>
      </c>
      <c r="V317" s="310" t="str">
        <f t="shared" si="41"/>
        <v/>
      </c>
      <c r="W317" s="137" t="str">
        <f t="shared" si="42"/>
        <v>X</v>
      </c>
      <c r="X317" s="137">
        <f t="shared" si="43"/>
        <v>0</v>
      </c>
    </row>
    <row r="318" spans="1:24" ht="17.25" customHeight="1">
      <c r="A318" s="137" t="str">
        <f t="shared" ca="1" si="36"/>
        <v>-</v>
      </c>
      <c r="B318" s="173"/>
      <c r="C318" s="253" t="str">
        <f t="shared" si="37"/>
        <v/>
      </c>
      <c r="D318" s="173"/>
      <c r="E318" s="173"/>
      <c r="F318" s="329" t="str">
        <f t="shared" si="44"/>
        <v/>
      </c>
      <c r="G318" s="176"/>
      <c r="H318" s="130" t="str">
        <f>IFERROR(INDEX(DMDT!B:B,MATCH($G318,DMDT!D:D,0),),"")</f>
        <v/>
      </c>
      <c r="I318" s="131"/>
      <c r="J318" s="132"/>
      <c r="K318" s="133"/>
      <c r="L318" s="134"/>
      <c r="M318" s="134"/>
      <c r="N318" s="135"/>
      <c r="O318" s="219"/>
      <c r="P318" s="143"/>
      <c r="Q318" s="144"/>
      <c r="R318" s="150"/>
      <c r="S318" s="127" t="str">
        <f t="shared" si="38"/>
        <v/>
      </c>
      <c r="T318" s="175" t="str">
        <f t="shared" si="39"/>
        <v/>
      </c>
      <c r="U318" s="158" t="e">
        <f t="shared" si="40"/>
        <v>#N/A</v>
      </c>
      <c r="V318" s="310" t="str">
        <f t="shared" si="41"/>
        <v/>
      </c>
      <c r="W318" s="137" t="str">
        <f t="shared" si="42"/>
        <v>X</v>
      </c>
      <c r="X318" s="137">
        <f t="shared" si="43"/>
        <v>0</v>
      </c>
    </row>
    <row r="319" spans="1:24" ht="17.25" customHeight="1">
      <c r="A319" s="137" t="str">
        <f t="shared" ca="1" si="36"/>
        <v>-</v>
      </c>
      <c r="B319" s="173"/>
      <c r="C319" s="253" t="str">
        <f t="shared" si="37"/>
        <v/>
      </c>
      <c r="D319" s="173"/>
      <c r="E319" s="173"/>
      <c r="F319" s="329" t="str">
        <f t="shared" si="44"/>
        <v/>
      </c>
      <c r="G319" s="176"/>
      <c r="H319" s="130" t="str">
        <f>IFERROR(INDEX(DMDT!B:B,MATCH($G319,DMDT!D:D,0),),"")</f>
        <v/>
      </c>
      <c r="I319" s="131"/>
      <c r="J319" s="132"/>
      <c r="K319" s="133"/>
      <c r="L319" s="134"/>
      <c r="M319" s="134"/>
      <c r="N319" s="135"/>
      <c r="O319" s="219"/>
      <c r="P319" s="143"/>
      <c r="Q319" s="144"/>
      <c r="R319" s="150"/>
      <c r="S319" s="127" t="str">
        <f t="shared" si="38"/>
        <v/>
      </c>
      <c r="T319" s="175" t="str">
        <f t="shared" si="39"/>
        <v/>
      </c>
      <c r="U319" s="158" t="e">
        <f t="shared" si="40"/>
        <v>#N/A</v>
      </c>
      <c r="V319" s="310" t="str">
        <f t="shared" si="41"/>
        <v/>
      </c>
      <c r="W319" s="137" t="str">
        <f t="shared" si="42"/>
        <v>X</v>
      </c>
      <c r="X319" s="137">
        <f t="shared" si="43"/>
        <v>0</v>
      </c>
    </row>
    <row r="320" spans="1:24" ht="17.25" customHeight="1">
      <c r="A320" s="137" t="str">
        <f t="shared" ca="1" si="36"/>
        <v>-</v>
      </c>
      <c r="B320" s="173"/>
      <c r="C320" s="253" t="str">
        <f t="shared" si="37"/>
        <v/>
      </c>
      <c r="D320" s="173"/>
      <c r="E320" s="173"/>
      <c r="F320" s="329" t="str">
        <f t="shared" si="44"/>
        <v/>
      </c>
      <c r="G320" s="176"/>
      <c r="H320" s="130" t="str">
        <f>IFERROR(INDEX(DMDT!B:B,MATCH($G320,DMDT!D:D,0),),"")</f>
        <v/>
      </c>
      <c r="I320" s="131"/>
      <c r="J320" s="132"/>
      <c r="K320" s="133"/>
      <c r="L320" s="134"/>
      <c r="M320" s="134"/>
      <c r="N320" s="135"/>
      <c r="O320" s="219"/>
      <c r="P320" s="143"/>
      <c r="Q320" s="144"/>
      <c r="R320" s="150"/>
      <c r="S320" s="127" t="str">
        <f t="shared" si="38"/>
        <v/>
      </c>
      <c r="T320" s="175" t="str">
        <f t="shared" si="39"/>
        <v/>
      </c>
      <c r="U320" s="158" t="e">
        <f t="shared" si="40"/>
        <v>#N/A</v>
      </c>
      <c r="V320" s="310" t="str">
        <f t="shared" si="41"/>
        <v/>
      </c>
      <c r="W320" s="137" t="str">
        <f t="shared" si="42"/>
        <v>X</v>
      </c>
      <c r="X320" s="137">
        <f t="shared" si="43"/>
        <v>0</v>
      </c>
    </row>
    <row r="321" spans="1:24" ht="17.25" customHeight="1">
      <c r="A321" s="137" t="str">
        <f t="shared" ca="1" si="36"/>
        <v>-</v>
      </c>
      <c r="B321" s="173"/>
      <c r="C321" s="253" t="str">
        <f t="shared" si="37"/>
        <v/>
      </c>
      <c r="D321" s="173"/>
      <c r="E321" s="173"/>
      <c r="F321" s="329" t="str">
        <f t="shared" si="44"/>
        <v/>
      </c>
      <c r="G321" s="176"/>
      <c r="H321" s="130" t="str">
        <f>IFERROR(INDEX(DMDT!B:B,MATCH($G321,DMDT!D:D,0),),"")</f>
        <v/>
      </c>
      <c r="I321" s="131"/>
      <c r="J321" s="132"/>
      <c r="K321" s="133"/>
      <c r="L321" s="134"/>
      <c r="M321" s="134"/>
      <c r="N321" s="135"/>
      <c r="O321" s="219"/>
      <c r="P321" s="143"/>
      <c r="Q321" s="144"/>
      <c r="R321" s="150"/>
      <c r="S321" s="127" t="str">
        <f t="shared" si="38"/>
        <v/>
      </c>
      <c r="T321" s="175" t="str">
        <f t="shared" si="39"/>
        <v/>
      </c>
      <c r="U321" s="158" t="e">
        <f t="shared" si="40"/>
        <v>#N/A</v>
      </c>
      <c r="V321" s="310" t="str">
        <f t="shared" si="41"/>
        <v/>
      </c>
      <c r="W321" s="137" t="str">
        <f t="shared" si="42"/>
        <v>X</v>
      </c>
      <c r="X321" s="137">
        <f t="shared" si="43"/>
        <v>0</v>
      </c>
    </row>
    <row r="322" spans="1:24" ht="17.25" customHeight="1">
      <c r="A322" s="137" t="str">
        <f t="shared" ca="1" si="36"/>
        <v>-</v>
      </c>
      <c r="B322" s="173"/>
      <c r="C322" s="253" t="str">
        <f t="shared" si="37"/>
        <v/>
      </c>
      <c r="D322" s="173"/>
      <c r="E322" s="178"/>
      <c r="F322" s="329" t="str">
        <f t="shared" si="44"/>
        <v/>
      </c>
      <c r="G322" s="176"/>
      <c r="H322" s="130" t="str">
        <f>IFERROR(INDEX(DMDT!B:B,MATCH($G322,DMDT!D:D,0),),"")</f>
        <v/>
      </c>
      <c r="I322" s="131"/>
      <c r="J322" s="132"/>
      <c r="K322" s="133"/>
      <c r="L322" s="134"/>
      <c r="M322" s="134"/>
      <c r="N322" s="135"/>
      <c r="O322" s="219"/>
      <c r="P322" s="143"/>
      <c r="Q322" s="144"/>
      <c r="R322" s="150"/>
      <c r="S322" s="127" t="str">
        <f t="shared" si="38"/>
        <v/>
      </c>
      <c r="T322" s="175" t="str">
        <f t="shared" si="39"/>
        <v/>
      </c>
      <c r="U322" s="158" t="e">
        <f t="shared" si="40"/>
        <v>#N/A</v>
      </c>
      <c r="V322" s="310" t="str">
        <f t="shared" si="41"/>
        <v/>
      </c>
      <c r="W322" s="137" t="str">
        <f t="shared" si="42"/>
        <v>X</v>
      </c>
      <c r="X322" s="137">
        <f t="shared" si="43"/>
        <v>0</v>
      </c>
    </row>
    <row r="323" spans="1:24" ht="17.25" customHeight="1">
      <c r="A323" s="137" t="str">
        <f t="shared" ca="1" si="36"/>
        <v>-</v>
      </c>
      <c r="B323" s="173"/>
      <c r="C323" s="253" t="str">
        <f t="shared" si="37"/>
        <v/>
      </c>
      <c r="D323" s="173"/>
      <c r="E323" s="173"/>
      <c r="F323" s="329" t="str">
        <f t="shared" si="44"/>
        <v/>
      </c>
      <c r="G323" s="176"/>
      <c r="H323" s="130" t="str">
        <f>IFERROR(INDEX(DMDT!B:B,MATCH($G323,DMDT!D:D,0),),"")</f>
        <v/>
      </c>
      <c r="I323" s="201"/>
      <c r="J323" s="132"/>
      <c r="K323" s="133"/>
      <c r="L323" s="134"/>
      <c r="M323" s="134"/>
      <c r="N323" s="135"/>
      <c r="O323" s="219"/>
      <c r="P323" s="143"/>
      <c r="Q323" s="144"/>
      <c r="R323" s="150"/>
      <c r="S323" s="127" t="str">
        <f t="shared" si="38"/>
        <v/>
      </c>
      <c r="T323" s="175" t="str">
        <f t="shared" si="39"/>
        <v/>
      </c>
      <c r="U323" s="158" t="e">
        <f t="shared" si="40"/>
        <v>#N/A</v>
      </c>
      <c r="V323" s="310" t="str">
        <f t="shared" si="41"/>
        <v/>
      </c>
      <c r="W323" s="137" t="str">
        <f t="shared" si="42"/>
        <v>X</v>
      </c>
      <c r="X323" s="137">
        <f t="shared" si="43"/>
        <v>0</v>
      </c>
    </row>
    <row r="324" spans="1:24" ht="17.25" customHeight="1">
      <c r="A324" s="137" t="str">
        <f t="shared" ref="A324:A387" ca="1" si="45">IF(F324="","-",IF(COUNTIFS(OFFSET($H$3,,,ROW()-3),H324,OFFSET($J$3,,,ROW()-3),J324,OFFSET($N$3,,,ROW()-3),N324)=0,"-","FALSE"))</f>
        <v>-</v>
      </c>
      <c r="B324" s="173"/>
      <c r="C324" s="253" t="str">
        <f t="shared" si="37"/>
        <v/>
      </c>
      <c r="D324" s="173"/>
      <c r="E324" s="173"/>
      <c r="F324" s="329" t="str">
        <f t="shared" si="44"/>
        <v/>
      </c>
      <c r="G324" s="176"/>
      <c r="H324" s="130" t="str">
        <f>IFERROR(INDEX(DMDT!B:B,MATCH($G324,DMDT!D:D,0),),"")</f>
        <v/>
      </c>
      <c r="I324" s="131"/>
      <c r="J324" s="132"/>
      <c r="K324" s="133"/>
      <c r="L324" s="134"/>
      <c r="M324" s="134"/>
      <c r="N324" s="135"/>
      <c r="O324" s="219"/>
      <c r="P324" s="143"/>
      <c r="Q324" s="144"/>
      <c r="R324" s="150"/>
      <c r="S324" s="127" t="str">
        <f t="shared" si="38"/>
        <v/>
      </c>
      <c r="T324" s="175" t="str">
        <f t="shared" si="39"/>
        <v/>
      </c>
      <c r="U324" s="158" t="e">
        <f t="shared" si="40"/>
        <v>#N/A</v>
      </c>
      <c r="V324" s="310" t="str">
        <f t="shared" si="41"/>
        <v/>
      </c>
      <c r="W324" s="137" t="str">
        <f t="shared" si="42"/>
        <v>X</v>
      </c>
      <c r="X324" s="137">
        <f t="shared" si="43"/>
        <v>0</v>
      </c>
    </row>
    <row r="325" spans="1:24" ht="17.25" customHeight="1">
      <c r="A325" s="137" t="str">
        <f t="shared" ca="1" si="45"/>
        <v>-</v>
      </c>
      <c r="B325" s="173"/>
      <c r="C325" s="253" t="str">
        <f t="shared" ref="C325:C388" si="46">IF(F325="","",IF(LEFT(M325,5)&lt;&gt;"3311-","Non-GR",IF(AND(B325&lt;D325,B325&lt;&gt;""),NETWORKDAYS(B325,D325),IF(OR(L325="Mai",L325="Đức Anh",L325="C.Thảo"),"GIT","Non-GR"))))</f>
        <v/>
      </c>
      <c r="D325" s="173"/>
      <c r="E325" s="178"/>
      <c r="F325" s="329" t="str">
        <f t="shared" si="44"/>
        <v/>
      </c>
      <c r="G325" s="176"/>
      <c r="H325" s="130" t="str">
        <f>IFERROR(INDEX(DMDT!B:B,MATCH($G325,DMDT!D:D,0),),"")</f>
        <v/>
      </c>
      <c r="I325" s="201"/>
      <c r="J325" s="132"/>
      <c r="K325" s="133"/>
      <c r="L325" s="134"/>
      <c r="M325" s="134"/>
      <c r="N325" s="135"/>
      <c r="O325" s="219"/>
      <c r="P325" s="143"/>
      <c r="Q325" s="144"/>
      <c r="R325" s="150"/>
      <c r="S325" s="127" t="str">
        <f t="shared" ref="S325:S388" si="47">$N325&amp;LEFT($G325,6)</f>
        <v/>
      </c>
      <c r="T325" s="175" t="str">
        <f t="shared" ref="T325:T388" si="48">+LEFT($M325,5)</f>
        <v/>
      </c>
      <c r="U325" s="158" t="e">
        <f t="shared" ref="U325:U388" si="49">VLOOKUP(L325,$AB$10:$AC$26,2,0)</f>
        <v>#N/A</v>
      </c>
      <c r="V325" s="310" t="str">
        <f t="shared" ref="V325:V388" si="50">IF(T325="3311-",D325,"")</f>
        <v/>
      </c>
      <c r="W325" s="137" t="str">
        <f t="shared" ref="W325:W388" si="51">IFERROR(IF(MONTH(V325)=$F$1,DAY(V325),"NEXT"),"X")</f>
        <v>X</v>
      </c>
      <c r="X325" s="137">
        <f t="shared" ref="X325:X388" si="52">IFERROR(IF(31-W325&gt;5,1,2),0)</f>
        <v>0</v>
      </c>
    </row>
    <row r="326" spans="1:24" ht="17.25" customHeight="1">
      <c r="A326" s="137" t="str">
        <f t="shared" ca="1" si="45"/>
        <v>-</v>
      </c>
      <c r="B326" s="173"/>
      <c r="C326" s="253" t="str">
        <f t="shared" si="46"/>
        <v/>
      </c>
      <c r="D326" s="173"/>
      <c r="E326" s="173"/>
      <c r="F326" s="329" t="str">
        <f t="shared" ref="F326:F389" si="53">IF(E326&lt;&gt;"",F325+1,"")</f>
        <v/>
      </c>
      <c r="G326" s="176"/>
      <c r="H326" s="130" t="str">
        <f>IFERROR(INDEX(DMDT!B:B,MATCH($G326,DMDT!D:D,0),),"")</f>
        <v/>
      </c>
      <c r="I326" s="201"/>
      <c r="J326" s="132"/>
      <c r="K326" s="133"/>
      <c r="L326" s="134"/>
      <c r="M326" s="134"/>
      <c r="N326" s="135"/>
      <c r="O326" s="219"/>
      <c r="P326" s="143"/>
      <c r="Q326" s="144"/>
      <c r="R326" s="150"/>
      <c r="S326" s="127" t="str">
        <f t="shared" si="47"/>
        <v/>
      </c>
      <c r="T326" s="175" t="str">
        <f t="shared" si="48"/>
        <v/>
      </c>
      <c r="U326" s="158" t="e">
        <f t="shared" si="49"/>
        <v>#N/A</v>
      </c>
      <c r="V326" s="310" t="str">
        <f t="shared" si="50"/>
        <v/>
      </c>
      <c r="W326" s="137" t="str">
        <f t="shared" si="51"/>
        <v>X</v>
      </c>
      <c r="X326" s="137">
        <f t="shared" si="52"/>
        <v>0</v>
      </c>
    </row>
    <row r="327" spans="1:24" ht="17.25" customHeight="1">
      <c r="A327" s="137" t="str">
        <f t="shared" ca="1" si="45"/>
        <v>-</v>
      </c>
      <c r="B327" s="173"/>
      <c r="C327" s="253" t="str">
        <f t="shared" si="46"/>
        <v/>
      </c>
      <c r="D327" s="173"/>
      <c r="E327" s="173"/>
      <c r="F327" s="329" t="str">
        <f t="shared" si="53"/>
        <v/>
      </c>
      <c r="G327" s="176"/>
      <c r="H327" s="130" t="str">
        <f>IFERROR(INDEX(DMDT!B:B,MATCH($G327,DMDT!D:D,0),),"")</f>
        <v/>
      </c>
      <c r="I327" s="131"/>
      <c r="J327" s="132"/>
      <c r="K327" s="133"/>
      <c r="L327" s="134"/>
      <c r="M327" s="134"/>
      <c r="N327" s="135"/>
      <c r="O327" s="219"/>
      <c r="P327" s="143"/>
      <c r="Q327" s="144"/>
      <c r="R327" s="150"/>
      <c r="S327" s="127" t="str">
        <f t="shared" si="47"/>
        <v/>
      </c>
      <c r="T327" s="175" t="str">
        <f t="shared" si="48"/>
        <v/>
      </c>
      <c r="U327" s="158" t="e">
        <f t="shared" si="49"/>
        <v>#N/A</v>
      </c>
      <c r="V327" s="310" t="str">
        <f t="shared" si="50"/>
        <v/>
      </c>
      <c r="W327" s="137" t="str">
        <f t="shared" si="51"/>
        <v>X</v>
      </c>
      <c r="X327" s="137">
        <f t="shared" si="52"/>
        <v>0</v>
      </c>
    </row>
    <row r="328" spans="1:24" ht="17.25" customHeight="1">
      <c r="A328" s="137" t="str">
        <f t="shared" ca="1" si="45"/>
        <v>-</v>
      </c>
      <c r="B328" s="173"/>
      <c r="C328" s="253" t="str">
        <f t="shared" si="46"/>
        <v/>
      </c>
      <c r="D328" s="173"/>
      <c r="E328" s="173"/>
      <c r="F328" s="329" t="str">
        <f t="shared" si="53"/>
        <v/>
      </c>
      <c r="G328" s="176"/>
      <c r="H328" s="130" t="str">
        <f>IFERROR(INDEX(DMDT!B:B,MATCH($G328,DMDT!D:D,0),),"")</f>
        <v/>
      </c>
      <c r="I328" s="131"/>
      <c r="J328" s="132"/>
      <c r="K328" s="133"/>
      <c r="L328" s="134"/>
      <c r="M328" s="134"/>
      <c r="N328" s="135"/>
      <c r="O328" s="219"/>
      <c r="P328" s="143"/>
      <c r="Q328" s="144"/>
      <c r="R328" s="150"/>
      <c r="S328" s="127" t="str">
        <f t="shared" si="47"/>
        <v/>
      </c>
      <c r="T328" s="175" t="str">
        <f t="shared" si="48"/>
        <v/>
      </c>
      <c r="U328" s="158" t="e">
        <f t="shared" si="49"/>
        <v>#N/A</v>
      </c>
      <c r="V328" s="310" t="str">
        <f t="shared" si="50"/>
        <v/>
      </c>
      <c r="W328" s="137" t="str">
        <f t="shared" si="51"/>
        <v>X</v>
      </c>
      <c r="X328" s="137">
        <f t="shared" si="52"/>
        <v>0</v>
      </c>
    </row>
    <row r="329" spans="1:24" ht="17.25" customHeight="1">
      <c r="A329" s="137" t="str">
        <f t="shared" ca="1" si="45"/>
        <v>-</v>
      </c>
      <c r="B329" s="173"/>
      <c r="C329" s="253" t="str">
        <f t="shared" si="46"/>
        <v/>
      </c>
      <c r="D329" s="173"/>
      <c r="E329" s="173"/>
      <c r="F329" s="329" t="str">
        <f t="shared" si="53"/>
        <v/>
      </c>
      <c r="G329" s="176"/>
      <c r="H329" s="130" t="str">
        <f>IFERROR(INDEX(DMDT!B:B,MATCH($G329,DMDT!D:D,0),),"")</f>
        <v/>
      </c>
      <c r="I329" s="131"/>
      <c r="J329" s="132"/>
      <c r="K329" s="133"/>
      <c r="L329" s="134"/>
      <c r="M329" s="134"/>
      <c r="N329" s="135"/>
      <c r="O329" s="219"/>
      <c r="P329" s="143"/>
      <c r="Q329" s="144"/>
      <c r="R329" s="150"/>
      <c r="S329" s="127" t="str">
        <f t="shared" si="47"/>
        <v/>
      </c>
      <c r="T329" s="175" t="str">
        <f t="shared" si="48"/>
        <v/>
      </c>
      <c r="U329" s="158" t="e">
        <f t="shared" si="49"/>
        <v>#N/A</v>
      </c>
      <c r="V329" s="310" t="str">
        <f t="shared" si="50"/>
        <v/>
      </c>
      <c r="W329" s="137" t="str">
        <f t="shared" si="51"/>
        <v>X</v>
      </c>
      <c r="X329" s="137">
        <f t="shared" si="52"/>
        <v>0</v>
      </c>
    </row>
    <row r="330" spans="1:24" ht="17.25" customHeight="1">
      <c r="A330" s="137" t="str">
        <f t="shared" ca="1" si="45"/>
        <v>-</v>
      </c>
      <c r="B330" s="173"/>
      <c r="C330" s="253" t="str">
        <f t="shared" si="46"/>
        <v/>
      </c>
      <c r="D330" s="173"/>
      <c r="E330" s="173"/>
      <c r="F330" s="329" t="str">
        <f t="shared" si="53"/>
        <v/>
      </c>
      <c r="G330" s="176"/>
      <c r="H330" s="130" t="str">
        <f>IFERROR(INDEX(DMDT!B:B,MATCH($G330,DMDT!D:D,0),),"")</f>
        <v/>
      </c>
      <c r="I330" s="131"/>
      <c r="J330" s="132"/>
      <c r="K330" s="133"/>
      <c r="L330" s="134"/>
      <c r="M330" s="134"/>
      <c r="N330" s="135"/>
      <c r="O330" s="219"/>
      <c r="P330" s="143"/>
      <c r="Q330" s="144"/>
      <c r="R330" s="150"/>
      <c r="S330" s="127" t="str">
        <f t="shared" si="47"/>
        <v/>
      </c>
      <c r="T330" s="175" t="str">
        <f t="shared" si="48"/>
        <v/>
      </c>
      <c r="U330" s="158" t="e">
        <f t="shared" si="49"/>
        <v>#N/A</v>
      </c>
      <c r="V330" s="310" t="str">
        <f t="shared" si="50"/>
        <v/>
      </c>
      <c r="W330" s="137" t="str">
        <f t="shared" si="51"/>
        <v>X</v>
      </c>
      <c r="X330" s="137">
        <f t="shared" si="52"/>
        <v>0</v>
      </c>
    </row>
    <row r="331" spans="1:24" ht="17.25" customHeight="1">
      <c r="A331" s="137" t="str">
        <f t="shared" ca="1" si="45"/>
        <v>-</v>
      </c>
      <c r="B331" s="173"/>
      <c r="C331" s="253" t="str">
        <f t="shared" si="46"/>
        <v/>
      </c>
      <c r="D331" s="173"/>
      <c r="E331" s="173"/>
      <c r="F331" s="329" t="str">
        <f t="shared" si="53"/>
        <v/>
      </c>
      <c r="G331" s="176"/>
      <c r="H331" s="130" t="str">
        <f>IFERROR(INDEX(DMDT!B:B,MATCH($G331,DMDT!D:D,0),),"")</f>
        <v/>
      </c>
      <c r="I331" s="131"/>
      <c r="J331" s="132"/>
      <c r="K331" s="133"/>
      <c r="L331" s="134"/>
      <c r="M331" s="134"/>
      <c r="N331" s="135"/>
      <c r="O331" s="219"/>
      <c r="P331" s="143"/>
      <c r="Q331" s="144"/>
      <c r="R331" s="150"/>
      <c r="S331" s="127" t="str">
        <f t="shared" si="47"/>
        <v/>
      </c>
      <c r="T331" s="175" t="str">
        <f t="shared" si="48"/>
        <v/>
      </c>
      <c r="U331" s="158" t="e">
        <f t="shared" si="49"/>
        <v>#N/A</v>
      </c>
      <c r="V331" s="310" t="str">
        <f t="shared" si="50"/>
        <v/>
      </c>
      <c r="W331" s="137" t="str">
        <f t="shared" si="51"/>
        <v>X</v>
      </c>
      <c r="X331" s="137">
        <f t="shared" si="52"/>
        <v>0</v>
      </c>
    </row>
    <row r="332" spans="1:24" ht="17.25" customHeight="1">
      <c r="A332" s="137" t="str">
        <f t="shared" ca="1" si="45"/>
        <v>-</v>
      </c>
      <c r="B332" s="173"/>
      <c r="C332" s="253" t="str">
        <f t="shared" si="46"/>
        <v/>
      </c>
      <c r="D332" s="173"/>
      <c r="E332" s="173"/>
      <c r="F332" s="329" t="str">
        <f t="shared" si="53"/>
        <v/>
      </c>
      <c r="G332" s="176"/>
      <c r="H332" s="130" t="str">
        <f>IFERROR(INDEX(DMDT!B:B,MATCH($G332,DMDT!D:D,0),),"")</f>
        <v/>
      </c>
      <c r="I332" s="131"/>
      <c r="J332" s="132"/>
      <c r="K332" s="133"/>
      <c r="L332" s="134"/>
      <c r="M332" s="134"/>
      <c r="N332" s="135"/>
      <c r="O332" s="219"/>
      <c r="P332" s="143"/>
      <c r="Q332" s="144"/>
      <c r="R332" s="150"/>
      <c r="S332" s="127" t="str">
        <f t="shared" si="47"/>
        <v/>
      </c>
      <c r="T332" s="175" t="str">
        <f t="shared" si="48"/>
        <v/>
      </c>
      <c r="U332" s="158" t="e">
        <f t="shared" si="49"/>
        <v>#N/A</v>
      </c>
      <c r="V332" s="310" t="str">
        <f t="shared" si="50"/>
        <v/>
      </c>
      <c r="W332" s="137" t="str">
        <f t="shared" si="51"/>
        <v>X</v>
      </c>
      <c r="X332" s="137">
        <f t="shared" si="52"/>
        <v>0</v>
      </c>
    </row>
    <row r="333" spans="1:24" ht="17.25" customHeight="1">
      <c r="A333" s="137" t="str">
        <f t="shared" ca="1" si="45"/>
        <v>-</v>
      </c>
      <c r="B333" s="173"/>
      <c r="C333" s="253" t="str">
        <f t="shared" si="46"/>
        <v/>
      </c>
      <c r="D333" s="173"/>
      <c r="E333" s="173"/>
      <c r="F333" s="329" t="str">
        <f t="shared" si="53"/>
        <v/>
      </c>
      <c r="G333" s="176"/>
      <c r="H333" s="130" t="str">
        <f>IFERROR(INDEX(DMDT!B:B,MATCH($G333,DMDT!D:D,0),),"")</f>
        <v/>
      </c>
      <c r="I333" s="131"/>
      <c r="J333" s="132"/>
      <c r="K333" s="133"/>
      <c r="L333" s="134"/>
      <c r="M333" s="134"/>
      <c r="N333" s="135"/>
      <c r="O333" s="219"/>
      <c r="P333" s="143"/>
      <c r="Q333" s="144"/>
      <c r="R333" s="150"/>
      <c r="S333" s="127" t="str">
        <f t="shared" si="47"/>
        <v/>
      </c>
      <c r="T333" s="175" t="str">
        <f t="shared" si="48"/>
        <v/>
      </c>
      <c r="U333" s="158" t="e">
        <f t="shared" si="49"/>
        <v>#N/A</v>
      </c>
      <c r="V333" s="310" t="str">
        <f t="shared" si="50"/>
        <v/>
      </c>
      <c r="W333" s="137" t="str">
        <f t="shared" si="51"/>
        <v>X</v>
      </c>
      <c r="X333" s="137">
        <f t="shared" si="52"/>
        <v>0</v>
      </c>
    </row>
    <row r="334" spans="1:24" ht="17.25" customHeight="1">
      <c r="A334" s="137" t="str">
        <f t="shared" ca="1" si="45"/>
        <v>-</v>
      </c>
      <c r="B334" s="173"/>
      <c r="C334" s="253" t="str">
        <f t="shared" si="46"/>
        <v/>
      </c>
      <c r="D334" s="173"/>
      <c r="E334" s="173"/>
      <c r="F334" s="329" t="str">
        <f t="shared" si="53"/>
        <v/>
      </c>
      <c r="G334" s="176"/>
      <c r="H334" s="130" t="str">
        <f>IFERROR(INDEX(DMDT!B:B,MATCH($G334,DMDT!D:D,0),),"")</f>
        <v/>
      </c>
      <c r="I334" s="131"/>
      <c r="J334" s="132"/>
      <c r="K334" s="133"/>
      <c r="L334" s="134"/>
      <c r="M334" s="134"/>
      <c r="N334" s="135"/>
      <c r="O334" s="219"/>
      <c r="P334" s="143"/>
      <c r="Q334" s="144"/>
      <c r="R334" s="150"/>
      <c r="S334" s="127" t="str">
        <f t="shared" si="47"/>
        <v/>
      </c>
      <c r="T334" s="175" t="str">
        <f t="shared" si="48"/>
        <v/>
      </c>
      <c r="U334" s="158" t="e">
        <f t="shared" si="49"/>
        <v>#N/A</v>
      </c>
      <c r="V334" s="310" t="str">
        <f t="shared" si="50"/>
        <v/>
      </c>
      <c r="W334" s="137" t="str">
        <f t="shared" si="51"/>
        <v>X</v>
      </c>
      <c r="X334" s="137">
        <f t="shared" si="52"/>
        <v>0</v>
      </c>
    </row>
    <row r="335" spans="1:24" ht="17.25" customHeight="1">
      <c r="A335" s="137" t="str">
        <f t="shared" ca="1" si="45"/>
        <v>-</v>
      </c>
      <c r="B335" s="173"/>
      <c r="C335" s="253" t="str">
        <f t="shared" si="46"/>
        <v/>
      </c>
      <c r="D335" s="173"/>
      <c r="E335" s="173"/>
      <c r="F335" s="329" t="str">
        <f t="shared" si="53"/>
        <v/>
      </c>
      <c r="G335" s="176"/>
      <c r="H335" s="130" t="str">
        <f>IFERROR(INDEX(DMDT!B:B,MATCH($G335,DMDT!D:D,0),),"")</f>
        <v/>
      </c>
      <c r="I335" s="131"/>
      <c r="J335" s="132"/>
      <c r="K335" s="133"/>
      <c r="L335" s="134"/>
      <c r="M335" s="134"/>
      <c r="N335" s="135"/>
      <c r="O335" s="219"/>
      <c r="P335" s="143"/>
      <c r="Q335" s="144"/>
      <c r="R335" s="150"/>
      <c r="S335" s="127" t="str">
        <f t="shared" si="47"/>
        <v/>
      </c>
      <c r="T335" s="175" t="str">
        <f t="shared" si="48"/>
        <v/>
      </c>
      <c r="U335" s="158" t="e">
        <f t="shared" si="49"/>
        <v>#N/A</v>
      </c>
      <c r="V335" s="310" t="str">
        <f t="shared" si="50"/>
        <v/>
      </c>
      <c r="W335" s="137" t="str">
        <f t="shared" si="51"/>
        <v>X</v>
      </c>
      <c r="X335" s="137">
        <f t="shared" si="52"/>
        <v>0</v>
      </c>
    </row>
    <row r="336" spans="1:24" ht="17.25" customHeight="1">
      <c r="A336" s="137" t="str">
        <f t="shared" ca="1" si="45"/>
        <v>-</v>
      </c>
      <c r="B336" s="173"/>
      <c r="C336" s="253" t="str">
        <f t="shared" si="46"/>
        <v/>
      </c>
      <c r="D336" s="173"/>
      <c r="E336" s="173"/>
      <c r="F336" s="329" t="str">
        <f t="shared" si="53"/>
        <v/>
      </c>
      <c r="G336" s="176"/>
      <c r="H336" s="130" t="str">
        <f>IFERROR(INDEX(DMDT!B:B,MATCH($G336,DMDT!D:D,0),),"")</f>
        <v/>
      </c>
      <c r="I336" s="131"/>
      <c r="J336" s="132"/>
      <c r="K336" s="133"/>
      <c r="L336" s="134"/>
      <c r="M336" s="134"/>
      <c r="N336" s="135"/>
      <c r="O336" s="219"/>
      <c r="P336" s="143"/>
      <c r="Q336" s="144"/>
      <c r="R336" s="150"/>
      <c r="S336" s="127" t="str">
        <f t="shared" si="47"/>
        <v/>
      </c>
      <c r="T336" s="175" t="str">
        <f t="shared" si="48"/>
        <v/>
      </c>
      <c r="U336" s="158" t="e">
        <f t="shared" si="49"/>
        <v>#N/A</v>
      </c>
      <c r="V336" s="310" t="str">
        <f t="shared" si="50"/>
        <v/>
      </c>
      <c r="W336" s="137" t="str">
        <f t="shared" si="51"/>
        <v>X</v>
      </c>
      <c r="X336" s="137">
        <f t="shared" si="52"/>
        <v>0</v>
      </c>
    </row>
    <row r="337" spans="1:24" ht="17.25" customHeight="1">
      <c r="A337" s="137" t="str">
        <f t="shared" ca="1" si="45"/>
        <v>-</v>
      </c>
      <c r="B337" s="173"/>
      <c r="C337" s="253" t="str">
        <f t="shared" si="46"/>
        <v/>
      </c>
      <c r="D337" s="173"/>
      <c r="E337" s="173"/>
      <c r="F337" s="329" t="str">
        <f t="shared" si="53"/>
        <v/>
      </c>
      <c r="G337" s="176"/>
      <c r="H337" s="130" t="str">
        <f>IFERROR(INDEX(DMDT!B:B,MATCH($G337,DMDT!D:D,0),),"")</f>
        <v/>
      </c>
      <c r="I337" s="131"/>
      <c r="J337" s="132"/>
      <c r="K337" s="133"/>
      <c r="L337" s="134"/>
      <c r="M337" s="134"/>
      <c r="N337" s="135"/>
      <c r="O337" s="219"/>
      <c r="P337" s="143"/>
      <c r="Q337" s="144"/>
      <c r="R337" s="150"/>
      <c r="S337" s="127" t="str">
        <f t="shared" si="47"/>
        <v/>
      </c>
      <c r="T337" s="175" t="str">
        <f t="shared" si="48"/>
        <v/>
      </c>
      <c r="U337" s="158" t="e">
        <f t="shared" si="49"/>
        <v>#N/A</v>
      </c>
      <c r="V337" s="310" t="str">
        <f t="shared" si="50"/>
        <v/>
      </c>
      <c r="W337" s="137" t="str">
        <f t="shared" si="51"/>
        <v>X</v>
      </c>
      <c r="X337" s="137">
        <f t="shared" si="52"/>
        <v>0</v>
      </c>
    </row>
    <row r="338" spans="1:24" ht="17.25" customHeight="1">
      <c r="A338" s="137" t="str">
        <f t="shared" ca="1" si="45"/>
        <v>-</v>
      </c>
      <c r="B338" s="173"/>
      <c r="C338" s="253" t="str">
        <f t="shared" si="46"/>
        <v/>
      </c>
      <c r="D338" s="173"/>
      <c r="E338" s="173"/>
      <c r="F338" s="329" t="str">
        <f t="shared" si="53"/>
        <v/>
      </c>
      <c r="G338" s="176"/>
      <c r="H338" s="130" t="str">
        <f>IFERROR(INDEX(DMDT!B:B,MATCH($G338,DMDT!D:D,0),),"")</f>
        <v/>
      </c>
      <c r="I338" s="131"/>
      <c r="J338" s="132"/>
      <c r="K338" s="133"/>
      <c r="L338" s="134"/>
      <c r="M338" s="134"/>
      <c r="N338" s="135"/>
      <c r="O338" s="219"/>
      <c r="P338" s="143"/>
      <c r="Q338" s="144"/>
      <c r="R338" s="150"/>
      <c r="S338" s="127" t="str">
        <f t="shared" si="47"/>
        <v/>
      </c>
      <c r="T338" s="175" t="str">
        <f t="shared" si="48"/>
        <v/>
      </c>
      <c r="U338" s="158" t="e">
        <f t="shared" si="49"/>
        <v>#N/A</v>
      </c>
      <c r="V338" s="310" t="str">
        <f t="shared" si="50"/>
        <v/>
      </c>
      <c r="W338" s="137" t="str">
        <f t="shared" si="51"/>
        <v>X</v>
      </c>
      <c r="X338" s="137">
        <f t="shared" si="52"/>
        <v>0</v>
      </c>
    </row>
    <row r="339" spans="1:24" ht="17.25" customHeight="1">
      <c r="A339" s="137" t="str">
        <f t="shared" ca="1" si="45"/>
        <v>-</v>
      </c>
      <c r="B339" s="173"/>
      <c r="C339" s="253" t="str">
        <f t="shared" si="46"/>
        <v/>
      </c>
      <c r="D339" s="173"/>
      <c r="E339" s="173"/>
      <c r="F339" s="329" t="str">
        <f t="shared" si="53"/>
        <v/>
      </c>
      <c r="G339" s="176"/>
      <c r="H339" s="130" t="str">
        <f>IFERROR(INDEX(DMDT!B:B,MATCH($G339,DMDT!D:D,0),),"")</f>
        <v/>
      </c>
      <c r="I339" s="131"/>
      <c r="J339" s="132"/>
      <c r="K339" s="133"/>
      <c r="L339" s="134"/>
      <c r="M339" s="134"/>
      <c r="N339" s="135"/>
      <c r="O339" s="219"/>
      <c r="P339" s="143"/>
      <c r="Q339" s="144"/>
      <c r="R339" s="150"/>
      <c r="S339" s="127" t="str">
        <f t="shared" si="47"/>
        <v/>
      </c>
      <c r="T339" s="175" t="str">
        <f t="shared" si="48"/>
        <v/>
      </c>
      <c r="U339" s="158" t="e">
        <f t="shared" si="49"/>
        <v>#N/A</v>
      </c>
      <c r="V339" s="310" t="str">
        <f t="shared" si="50"/>
        <v/>
      </c>
      <c r="W339" s="137" t="str">
        <f t="shared" si="51"/>
        <v>X</v>
      </c>
      <c r="X339" s="137">
        <f t="shared" si="52"/>
        <v>0</v>
      </c>
    </row>
    <row r="340" spans="1:24" ht="17.25" customHeight="1">
      <c r="A340" s="137" t="str">
        <f t="shared" ca="1" si="45"/>
        <v>-</v>
      </c>
      <c r="B340" s="173"/>
      <c r="C340" s="253" t="str">
        <f t="shared" si="46"/>
        <v/>
      </c>
      <c r="D340" s="173"/>
      <c r="E340" s="173"/>
      <c r="F340" s="329" t="str">
        <f t="shared" si="53"/>
        <v/>
      </c>
      <c r="G340" s="176"/>
      <c r="H340" s="130" t="str">
        <f>IFERROR(INDEX(DMDT!B:B,MATCH($G340,DMDT!D:D,0),),"")</f>
        <v/>
      </c>
      <c r="I340" s="131"/>
      <c r="J340" s="132"/>
      <c r="K340" s="133"/>
      <c r="L340" s="134"/>
      <c r="M340" s="134"/>
      <c r="N340" s="135"/>
      <c r="O340" s="219"/>
      <c r="P340" s="143"/>
      <c r="Q340" s="144"/>
      <c r="R340" s="150"/>
      <c r="S340" s="127" t="str">
        <f t="shared" si="47"/>
        <v/>
      </c>
      <c r="T340" s="175" t="str">
        <f t="shared" si="48"/>
        <v/>
      </c>
      <c r="U340" s="158" t="e">
        <f t="shared" si="49"/>
        <v>#N/A</v>
      </c>
      <c r="V340" s="310" t="str">
        <f t="shared" si="50"/>
        <v/>
      </c>
      <c r="W340" s="137" t="str">
        <f t="shared" si="51"/>
        <v>X</v>
      </c>
      <c r="X340" s="137">
        <f t="shared" si="52"/>
        <v>0</v>
      </c>
    </row>
    <row r="341" spans="1:24" ht="17.25" customHeight="1">
      <c r="A341" s="137" t="str">
        <f t="shared" ca="1" si="45"/>
        <v>-</v>
      </c>
      <c r="B341" s="173"/>
      <c r="C341" s="253" t="str">
        <f t="shared" si="46"/>
        <v/>
      </c>
      <c r="D341" s="173"/>
      <c r="E341" s="173"/>
      <c r="F341" s="329" t="str">
        <f t="shared" si="53"/>
        <v/>
      </c>
      <c r="G341" s="176"/>
      <c r="H341" s="130" t="str">
        <f>IFERROR(INDEX(DMDT!B:B,MATCH($G341,DMDT!D:D,0),),"")</f>
        <v/>
      </c>
      <c r="I341" s="131"/>
      <c r="J341" s="132"/>
      <c r="K341" s="133"/>
      <c r="L341" s="134"/>
      <c r="M341" s="134"/>
      <c r="N341" s="135"/>
      <c r="O341" s="219"/>
      <c r="P341" s="143"/>
      <c r="Q341" s="144"/>
      <c r="R341" s="150"/>
      <c r="S341" s="127" t="str">
        <f t="shared" si="47"/>
        <v/>
      </c>
      <c r="T341" s="175" t="str">
        <f t="shared" si="48"/>
        <v/>
      </c>
      <c r="U341" s="158" t="e">
        <f t="shared" si="49"/>
        <v>#N/A</v>
      </c>
      <c r="V341" s="310" t="str">
        <f t="shared" si="50"/>
        <v/>
      </c>
      <c r="W341" s="137" t="str">
        <f t="shared" si="51"/>
        <v>X</v>
      </c>
      <c r="X341" s="137">
        <f t="shared" si="52"/>
        <v>0</v>
      </c>
    </row>
    <row r="342" spans="1:24" ht="17.25" customHeight="1">
      <c r="A342" s="137" t="str">
        <f t="shared" ca="1" si="45"/>
        <v>-</v>
      </c>
      <c r="B342" s="173"/>
      <c r="C342" s="253" t="str">
        <f t="shared" si="46"/>
        <v/>
      </c>
      <c r="D342" s="173"/>
      <c r="E342" s="173"/>
      <c r="F342" s="329" t="str">
        <f t="shared" si="53"/>
        <v/>
      </c>
      <c r="G342" s="176"/>
      <c r="H342" s="130" t="str">
        <f>IFERROR(INDEX(DMDT!B:B,MATCH($G342,DMDT!D:D,0),),"")</f>
        <v/>
      </c>
      <c r="I342" s="131"/>
      <c r="J342" s="132"/>
      <c r="K342" s="133"/>
      <c r="L342" s="134"/>
      <c r="M342" s="134"/>
      <c r="N342" s="135"/>
      <c r="O342" s="219"/>
      <c r="P342" s="143"/>
      <c r="Q342" s="144"/>
      <c r="R342" s="150"/>
      <c r="S342" s="127" t="str">
        <f t="shared" si="47"/>
        <v/>
      </c>
      <c r="T342" s="175" t="str">
        <f t="shared" si="48"/>
        <v/>
      </c>
      <c r="U342" s="158" t="e">
        <f t="shared" si="49"/>
        <v>#N/A</v>
      </c>
      <c r="V342" s="310" t="str">
        <f t="shared" si="50"/>
        <v/>
      </c>
      <c r="W342" s="137" t="str">
        <f t="shared" si="51"/>
        <v>X</v>
      </c>
      <c r="X342" s="137">
        <f t="shared" si="52"/>
        <v>0</v>
      </c>
    </row>
    <row r="343" spans="1:24" ht="17.25" customHeight="1">
      <c r="A343" s="137" t="str">
        <f t="shared" ca="1" si="45"/>
        <v>-</v>
      </c>
      <c r="B343" s="173"/>
      <c r="C343" s="253" t="str">
        <f t="shared" si="46"/>
        <v/>
      </c>
      <c r="D343" s="173"/>
      <c r="E343" s="173"/>
      <c r="F343" s="329" t="str">
        <f t="shared" si="53"/>
        <v/>
      </c>
      <c r="G343" s="176"/>
      <c r="H343" s="130" t="str">
        <f>IFERROR(INDEX(DMDT!B:B,MATCH($G343,DMDT!D:D,0),),"")</f>
        <v/>
      </c>
      <c r="I343" s="131"/>
      <c r="J343" s="132"/>
      <c r="K343" s="133"/>
      <c r="L343" s="134"/>
      <c r="M343" s="134"/>
      <c r="N343" s="135"/>
      <c r="O343" s="219"/>
      <c r="P343" s="143"/>
      <c r="Q343" s="144"/>
      <c r="R343" s="150"/>
      <c r="S343" s="127" t="str">
        <f t="shared" si="47"/>
        <v/>
      </c>
      <c r="T343" s="175" t="str">
        <f t="shared" si="48"/>
        <v/>
      </c>
      <c r="U343" s="158" t="e">
        <f t="shared" si="49"/>
        <v>#N/A</v>
      </c>
      <c r="V343" s="310" t="str">
        <f t="shared" si="50"/>
        <v/>
      </c>
      <c r="W343" s="137" t="str">
        <f t="shared" si="51"/>
        <v>X</v>
      </c>
      <c r="X343" s="137">
        <f t="shared" si="52"/>
        <v>0</v>
      </c>
    </row>
    <row r="344" spans="1:24" ht="17.25" customHeight="1">
      <c r="A344" s="137" t="str">
        <f t="shared" ca="1" si="45"/>
        <v>-</v>
      </c>
      <c r="B344" s="173"/>
      <c r="C344" s="253" t="str">
        <f t="shared" si="46"/>
        <v/>
      </c>
      <c r="D344" s="173"/>
      <c r="E344" s="173"/>
      <c r="F344" s="329" t="str">
        <f t="shared" si="53"/>
        <v/>
      </c>
      <c r="G344" s="176"/>
      <c r="H344" s="130" t="str">
        <f>IFERROR(INDEX(DMDT!B:B,MATCH($G344,DMDT!D:D,0),),"")</f>
        <v/>
      </c>
      <c r="I344" s="131"/>
      <c r="J344" s="132"/>
      <c r="K344" s="133"/>
      <c r="L344" s="134"/>
      <c r="M344" s="134"/>
      <c r="N344" s="135"/>
      <c r="O344" s="219"/>
      <c r="P344" s="143"/>
      <c r="Q344" s="144"/>
      <c r="R344" s="150"/>
      <c r="S344" s="127" t="str">
        <f t="shared" si="47"/>
        <v/>
      </c>
      <c r="T344" s="175" t="str">
        <f t="shared" si="48"/>
        <v/>
      </c>
      <c r="U344" s="158" t="e">
        <f t="shared" si="49"/>
        <v>#N/A</v>
      </c>
      <c r="V344" s="310" t="str">
        <f t="shared" si="50"/>
        <v/>
      </c>
      <c r="W344" s="137" t="str">
        <f t="shared" si="51"/>
        <v>X</v>
      </c>
      <c r="X344" s="137">
        <f t="shared" si="52"/>
        <v>0</v>
      </c>
    </row>
    <row r="345" spans="1:24" ht="17.25" customHeight="1">
      <c r="A345" s="137" t="str">
        <f t="shared" ca="1" si="45"/>
        <v>-</v>
      </c>
      <c r="B345" s="173"/>
      <c r="C345" s="253" t="str">
        <f t="shared" si="46"/>
        <v/>
      </c>
      <c r="D345" s="173"/>
      <c r="E345" s="173"/>
      <c r="F345" s="329" t="str">
        <f t="shared" si="53"/>
        <v/>
      </c>
      <c r="G345" s="176"/>
      <c r="H345" s="130" t="str">
        <f>IFERROR(INDEX(DMDT!B:B,MATCH($G345,DMDT!D:D,0),),"")</f>
        <v/>
      </c>
      <c r="I345" s="131"/>
      <c r="J345" s="132"/>
      <c r="K345" s="133"/>
      <c r="L345" s="134"/>
      <c r="M345" s="134"/>
      <c r="N345" s="135"/>
      <c r="O345" s="219"/>
      <c r="P345" s="143"/>
      <c r="Q345" s="144"/>
      <c r="R345" s="150"/>
      <c r="S345" s="127" t="str">
        <f t="shared" si="47"/>
        <v/>
      </c>
      <c r="T345" s="175" t="str">
        <f t="shared" si="48"/>
        <v/>
      </c>
      <c r="U345" s="158" t="e">
        <f t="shared" si="49"/>
        <v>#N/A</v>
      </c>
      <c r="V345" s="310" t="str">
        <f t="shared" si="50"/>
        <v/>
      </c>
      <c r="W345" s="137" t="str">
        <f t="shared" si="51"/>
        <v>X</v>
      </c>
      <c r="X345" s="137">
        <f t="shared" si="52"/>
        <v>0</v>
      </c>
    </row>
    <row r="346" spans="1:24" ht="17.25" customHeight="1">
      <c r="A346" s="137" t="str">
        <f t="shared" ca="1" si="45"/>
        <v>-</v>
      </c>
      <c r="B346" s="173"/>
      <c r="C346" s="253" t="str">
        <f t="shared" si="46"/>
        <v/>
      </c>
      <c r="D346" s="173"/>
      <c r="E346" s="173"/>
      <c r="F346" s="329" t="str">
        <f t="shared" si="53"/>
        <v/>
      </c>
      <c r="G346" s="176"/>
      <c r="H346" s="130" t="str">
        <f>IFERROR(INDEX(DMDT!B:B,MATCH($G346,DMDT!D:D,0),),"")</f>
        <v/>
      </c>
      <c r="I346" s="131"/>
      <c r="J346" s="132"/>
      <c r="K346" s="133"/>
      <c r="L346" s="134"/>
      <c r="M346" s="134"/>
      <c r="N346" s="135"/>
      <c r="O346" s="219"/>
      <c r="P346" s="143"/>
      <c r="Q346" s="144"/>
      <c r="R346" s="150"/>
      <c r="S346" s="127" t="str">
        <f t="shared" si="47"/>
        <v/>
      </c>
      <c r="T346" s="175" t="str">
        <f t="shared" si="48"/>
        <v/>
      </c>
      <c r="U346" s="158" t="e">
        <f t="shared" si="49"/>
        <v>#N/A</v>
      </c>
      <c r="V346" s="310" t="str">
        <f t="shared" si="50"/>
        <v/>
      </c>
      <c r="W346" s="137" t="str">
        <f t="shared" si="51"/>
        <v>X</v>
      </c>
      <c r="X346" s="137">
        <f t="shared" si="52"/>
        <v>0</v>
      </c>
    </row>
    <row r="347" spans="1:24" ht="17.25" customHeight="1">
      <c r="A347" s="137" t="str">
        <f t="shared" ca="1" si="45"/>
        <v>-</v>
      </c>
      <c r="B347" s="173"/>
      <c r="C347" s="253" t="str">
        <f t="shared" si="46"/>
        <v/>
      </c>
      <c r="D347" s="173"/>
      <c r="E347" s="173"/>
      <c r="F347" s="329" t="str">
        <f t="shared" si="53"/>
        <v/>
      </c>
      <c r="G347" s="176"/>
      <c r="H347" s="130" t="str">
        <f>IFERROR(INDEX(DMDT!B:B,MATCH($G347,DMDT!D:D,0),),"")</f>
        <v/>
      </c>
      <c r="I347" s="131"/>
      <c r="J347" s="132"/>
      <c r="K347" s="133"/>
      <c r="L347" s="134"/>
      <c r="M347" s="134"/>
      <c r="N347" s="135"/>
      <c r="O347" s="219"/>
      <c r="P347" s="143"/>
      <c r="Q347" s="144"/>
      <c r="R347" s="150"/>
      <c r="S347" s="127" t="str">
        <f t="shared" si="47"/>
        <v/>
      </c>
      <c r="T347" s="175" t="str">
        <f t="shared" si="48"/>
        <v/>
      </c>
      <c r="U347" s="158" t="e">
        <f t="shared" si="49"/>
        <v>#N/A</v>
      </c>
      <c r="V347" s="310" t="str">
        <f t="shared" si="50"/>
        <v/>
      </c>
      <c r="W347" s="137" t="str">
        <f t="shared" si="51"/>
        <v>X</v>
      </c>
      <c r="X347" s="137">
        <f t="shared" si="52"/>
        <v>0</v>
      </c>
    </row>
    <row r="348" spans="1:24" ht="17.25" customHeight="1">
      <c r="A348" s="137" t="str">
        <f t="shared" ca="1" si="45"/>
        <v>-</v>
      </c>
      <c r="B348" s="173"/>
      <c r="C348" s="253" t="str">
        <f t="shared" si="46"/>
        <v/>
      </c>
      <c r="D348" s="173"/>
      <c r="E348" s="173"/>
      <c r="F348" s="329" t="str">
        <f t="shared" si="53"/>
        <v/>
      </c>
      <c r="G348" s="176"/>
      <c r="H348" s="130" t="str">
        <f>IFERROR(INDEX(DMDT!B:B,MATCH($G348,DMDT!D:D,0),),"")</f>
        <v/>
      </c>
      <c r="I348" s="131"/>
      <c r="J348" s="132"/>
      <c r="K348" s="133"/>
      <c r="L348" s="134"/>
      <c r="M348" s="134"/>
      <c r="N348" s="135"/>
      <c r="O348" s="219"/>
      <c r="P348" s="143"/>
      <c r="Q348" s="144"/>
      <c r="R348" s="150"/>
      <c r="S348" s="127" t="str">
        <f t="shared" si="47"/>
        <v/>
      </c>
      <c r="T348" s="175" t="str">
        <f t="shared" si="48"/>
        <v/>
      </c>
      <c r="U348" s="158" t="e">
        <f t="shared" si="49"/>
        <v>#N/A</v>
      </c>
      <c r="V348" s="310" t="str">
        <f t="shared" si="50"/>
        <v/>
      </c>
      <c r="W348" s="137" t="str">
        <f t="shared" si="51"/>
        <v>X</v>
      </c>
      <c r="X348" s="137">
        <f t="shared" si="52"/>
        <v>0</v>
      </c>
    </row>
    <row r="349" spans="1:24" ht="17.25" customHeight="1">
      <c r="A349" s="137" t="str">
        <f t="shared" ca="1" si="45"/>
        <v>-</v>
      </c>
      <c r="B349" s="173"/>
      <c r="C349" s="253" t="str">
        <f t="shared" si="46"/>
        <v/>
      </c>
      <c r="D349" s="173"/>
      <c r="E349" s="173"/>
      <c r="F349" s="329" t="str">
        <f t="shared" si="53"/>
        <v/>
      </c>
      <c r="G349" s="176"/>
      <c r="H349" s="130" t="str">
        <f>IFERROR(INDEX(DMDT!B:B,MATCH($G349,DMDT!D:D,0),),"")</f>
        <v/>
      </c>
      <c r="I349" s="131"/>
      <c r="J349" s="132"/>
      <c r="K349" s="133"/>
      <c r="L349" s="134"/>
      <c r="M349" s="134"/>
      <c r="N349" s="135"/>
      <c r="O349" s="219"/>
      <c r="P349" s="143"/>
      <c r="Q349" s="144"/>
      <c r="R349" s="150"/>
      <c r="S349" s="127" t="str">
        <f t="shared" si="47"/>
        <v/>
      </c>
      <c r="T349" s="175" t="str">
        <f t="shared" si="48"/>
        <v/>
      </c>
      <c r="U349" s="158" t="e">
        <f t="shared" si="49"/>
        <v>#N/A</v>
      </c>
      <c r="V349" s="310" t="str">
        <f t="shared" si="50"/>
        <v/>
      </c>
      <c r="W349" s="137" t="str">
        <f t="shared" si="51"/>
        <v>X</v>
      </c>
      <c r="X349" s="137">
        <f t="shared" si="52"/>
        <v>0</v>
      </c>
    </row>
    <row r="350" spans="1:24" ht="17.25" customHeight="1">
      <c r="A350" s="137" t="str">
        <f t="shared" ca="1" si="45"/>
        <v>-</v>
      </c>
      <c r="B350" s="173"/>
      <c r="C350" s="253" t="str">
        <f t="shared" si="46"/>
        <v/>
      </c>
      <c r="D350" s="173"/>
      <c r="E350" s="173"/>
      <c r="F350" s="329" t="str">
        <f t="shared" si="53"/>
        <v/>
      </c>
      <c r="G350" s="176"/>
      <c r="H350" s="130" t="str">
        <f>IFERROR(INDEX(DMDT!B:B,MATCH($G350,DMDT!D:D,0),),"")</f>
        <v/>
      </c>
      <c r="I350" s="131"/>
      <c r="J350" s="132"/>
      <c r="K350" s="133"/>
      <c r="L350" s="134"/>
      <c r="M350" s="134"/>
      <c r="N350" s="135"/>
      <c r="O350" s="219"/>
      <c r="P350" s="143"/>
      <c r="Q350" s="144"/>
      <c r="R350" s="150"/>
      <c r="S350" s="127" t="str">
        <f t="shared" si="47"/>
        <v/>
      </c>
      <c r="T350" s="175" t="str">
        <f t="shared" si="48"/>
        <v/>
      </c>
      <c r="U350" s="158" t="e">
        <f t="shared" si="49"/>
        <v>#N/A</v>
      </c>
      <c r="V350" s="310" t="str">
        <f t="shared" si="50"/>
        <v/>
      </c>
      <c r="W350" s="137" t="str">
        <f t="shared" si="51"/>
        <v>X</v>
      </c>
      <c r="X350" s="137">
        <f t="shared" si="52"/>
        <v>0</v>
      </c>
    </row>
    <row r="351" spans="1:24" ht="17.25" customHeight="1">
      <c r="A351" s="137" t="str">
        <f t="shared" ca="1" si="45"/>
        <v>-</v>
      </c>
      <c r="B351" s="173"/>
      <c r="C351" s="253" t="str">
        <f t="shared" si="46"/>
        <v/>
      </c>
      <c r="D351" s="173"/>
      <c r="E351" s="173"/>
      <c r="F351" s="329" t="str">
        <f t="shared" si="53"/>
        <v/>
      </c>
      <c r="G351" s="176"/>
      <c r="H351" s="130" t="str">
        <f>IFERROR(INDEX(DMDT!B:B,MATCH($G351,DMDT!D:D,0),),"")</f>
        <v/>
      </c>
      <c r="I351" s="131"/>
      <c r="J351" s="132"/>
      <c r="K351" s="133"/>
      <c r="L351" s="134"/>
      <c r="M351" s="134"/>
      <c r="N351" s="135"/>
      <c r="O351" s="219"/>
      <c r="P351" s="143"/>
      <c r="Q351" s="144"/>
      <c r="R351" s="150"/>
      <c r="S351" s="127" t="str">
        <f t="shared" si="47"/>
        <v/>
      </c>
      <c r="T351" s="175" t="str">
        <f t="shared" si="48"/>
        <v/>
      </c>
      <c r="U351" s="158" t="e">
        <f t="shared" si="49"/>
        <v>#N/A</v>
      </c>
      <c r="V351" s="310" t="str">
        <f t="shared" si="50"/>
        <v/>
      </c>
      <c r="W351" s="137" t="str">
        <f t="shared" si="51"/>
        <v>X</v>
      </c>
      <c r="X351" s="137">
        <f t="shared" si="52"/>
        <v>0</v>
      </c>
    </row>
    <row r="352" spans="1:24" ht="17.25" customHeight="1">
      <c r="A352" s="137" t="str">
        <f t="shared" ca="1" si="45"/>
        <v>-</v>
      </c>
      <c r="B352" s="173"/>
      <c r="C352" s="253" t="str">
        <f t="shared" si="46"/>
        <v/>
      </c>
      <c r="D352" s="173"/>
      <c r="E352" s="173"/>
      <c r="F352" s="329" t="str">
        <f t="shared" si="53"/>
        <v/>
      </c>
      <c r="G352" s="176"/>
      <c r="H352" s="130" t="str">
        <f>IFERROR(INDEX(DMDT!B:B,MATCH($G352,DMDT!D:D,0),),"")</f>
        <v/>
      </c>
      <c r="I352" s="131"/>
      <c r="J352" s="132"/>
      <c r="K352" s="133"/>
      <c r="L352" s="134"/>
      <c r="M352" s="134"/>
      <c r="N352" s="135"/>
      <c r="O352" s="219"/>
      <c r="P352" s="143"/>
      <c r="Q352" s="144"/>
      <c r="R352" s="150"/>
      <c r="S352" s="127" t="str">
        <f t="shared" si="47"/>
        <v/>
      </c>
      <c r="T352" s="175" t="str">
        <f t="shared" si="48"/>
        <v/>
      </c>
      <c r="U352" s="158" t="e">
        <f t="shared" si="49"/>
        <v>#N/A</v>
      </c>
      <c r="V352" s="310" t="str">
        <f t="shared" si="50"/>
        <v/>
      </c>
      <c r="W352" s="137" t="str">
        <f t="shared" si="51"/>
        <v>X</v>
      </c>
      <c r="X352" s="137">
        <f t="shared" si="52"/>
        <v>0</v>
      </c>
    </row>
    <row r="353" spans="1:24" ht="17.25" customHeight="1">
      <c r="A353" s="137" t="str">
        <f t="shared" ca="1" si="45"/>
        <v>-</v>
      </c>
      <c r="B353" s="173"/>
      <c r="C353" s="253" t="str">
        <f t="shared" si="46"/>
        <v/>
      </c>
      <c r="D353" s="173"/>
      <c r="E353" s="173"/>
      <c r="F353" s="329" t="str">
        <f t="shared" si="53"/>
        <v/>
      </c>
      <c r="G353" s="176"/>
      <c r="H353" s="130" t="str">
        <f>IFERROR(INDEX(DMDT!B:B,MATCH($G353,DMDT!D:D,0),),"")</f>
        <v/>
      </c>
      <c r="I353" s="131"/>
      <c r="J353" s="132"/>
      <c r="K353" s="133"/>
      <c r="L353" s="134"/>
      <c r="M353" s="134"/>
      <c r="N353" s="135"/>
      <c r="O353" s="219"/>
      <c r="P353" s="143"/>
      <c r="Q353" s="144"/>
      <c r="R353" s="150"/>
      <c r="S353" s="127" t="str">
        <f t="shared" si="47"/>
        <v/>
      </c>
      <c r="T353" s="175" t="str">
        <f t="shared" si="48"/>
        <v/>
      </c>
      <c r="U353" s="158" t="e">
        <f t="shared" si="49"/>
        <v>#N/A</v>
      </c>
      <c r="V353" s="310" t="str">
        <f t="shared" si="50"/>
        <v/>
      </c>
      <c r="W353" s="137" t="str">
        <f t="shared" si="51"/>
        <v>X</v>
      </c>
      <c r="X353" s="137">
        <f t="shared" si="52"/>
        <v>0</v>
      </c>
    </row>
    <row r="354" spans="1:24" ht="17.25" customHeight="1">
      <c r="A354" s="137" t="str">
        <f t="shared" ca="1" si="45"/>
        <v>-</v>
      </c>
      <c r="B354" s="173"/>
      <c r="C354" s="253" t="str">
        <f t="shared" si="46"/>
        <v/>
      </c>
      <c r="D354" s="173"/>
      <c r="E354" s="173"/>
      <c r="F354" s="329" t="str">
        <f t="shared" si="53"/>
        <v/>
      </c>
      <c r="G354" s="176"/>
      <c r="H354" s="130" t="str">
        <f>IFERROR(INDEX(DMDT!B:B,MATCH($G354,DMDT!D:D,0),),"")</f>
        <v/>
      </c>
      <c r="I354" s="131"/>
      <c r="J354" s="132"/>
      <c r="K354" s="133"/>
      <c r="L354" s="134"/>
      <c r="M354" s="134"/>
      <c r="N354" s="135"/>
      <c r="O354" s="219"/>
      <c r="P354" s="143"/>
      <c r="Q354" s="144"/>
      <c r="R354" s="150"/>
      <c r="S354" s="127" t="str">
        <f t="shared" si="47"/>
        <v/>
      </c>
      <c r="T354" s="175" t="str">
        <f t="shared" si="48"/>
        <v/>
      </c>
      <c r="U354" s="158" t="e">
        <f t="shared" si="49"/>
        <v>#N/A</v>
      </c>
      <c r="V354" s="310" t="str">
        <f t="shared" si="50"/>
        <v/>
      </c>
      <c r="W354" s="137" t="str">
        <f t="shared" si="51"/>
        <v>X</v>
      </c>
      <c r="X354" s="137">
        <f t="shared" si="52"/>
        <v>0</v>
      </c>
    </row>
    <row r="355" spans="1:24" ht="17.25" customHeight="1">
      <c r="A355" s="137" t="str">
        <f t="shared" ca="1" si="45"/>
        <v>-</v>
      </c>
      <c r="B355" s="173"/>
      <c r="C355" s="253" t="str">
        <f t="shared" si="46"/>
        <v/>
      </c>
      <c r="D355" s="173"/>
      <c r="E355" s="173"/>
      <c r="F355" s="329" t="str">
        <f t="shared" si="53"/>
        <v/>
      </c>
      <c r="G355" s="176"/>
      <c r="H355" s="130" t="str">
        <f>IFERROR(INDEX(DMDT!B:B,MATCH($G355,DMDT!D:D,0),),"")</f>
        <v/>
      </c>
      <c r="I355" s="131"/>
      <c r="J355" s="132"/>
      <c r="K355" s="133"/>
      <c r="L355" s="134"/>
      <c r="M355" s="134"/>
      <c r="N355" s="135"/>
      <c r="O355" s="219"/>
      <c r="P355" s="143"/>
      <c r="Q355" s="144"/>
      <c r="R355" s="150"/>
      <c r="S355" s="127" t="str">
        <f t="shared" si="47"/>
        <v/>
      </c>
      <c r="T355" s="175" t="str">
        <f t="shared" si="48"/>
        <v/>
      </c>
      <c r="U355" s="158" t="e">
        <f t="shared" si="49"/>
        <v>#N/A</v>
      </c>
      <c r="V355" s="310" t="str">
        <f t="shared" si="50"/>
        <v/>
      </c>
      <c r="W355" s="137" t="str">
        <f t="shared" si="51"/>
        <v>X</v>
      </c>
      <c r="X355" s="137">
        <f t="shared" si="52"/>
        <v>0</v>
      </c>
    </row>
    <row r="356" spans="1:24" ht="17.25" customHeight="1">
      <c r="A356" s="137" t="str">
        <f t="shared" ca="1" si="45"/>
        <v>-</v>
      </c>
      <c r="B356" s="173"/>
      <c r="C356" s="253" t="str">
        <f t="shared" si="46"/>
        <v/>
      </c>
      <c r="D356" s="173"/>
      <c r="E356" s="173"/>
      <c r="F356" s="329" t="str">
        <f t="shared" si="53"/>
        <v/>
      </c>
      <c r="G356" s="176"/>
      <c r="H356" s="130" t="str">
        <f>IFERROR(INDEX(DMDT!B:B,MATCH($G356,DMDT!D:D,0),),"")</f>
        <v/>
      </c>
      <c r="I356" s="131"/>
      <c r="J356" s="132"/>
      <c r="K356" s="133"/>
      <c r="L356" s="134"/>
      <c r="M356" s="134"/>
      <c r="N356" s="135"/>
      <c r="O356" s="219"/>
      <c r="P356" s="143"/>
      <c r="Q356" s="144"/>
      <c r="R356" s="150"/>
      <c r="S356" s="127" t="str">
        <f t="shared" si="47"/>
        <v/>
      </c>
      <c r="T356" s="175" t="str">
        <f t="shared" si="48"/>
        <v/>
      </c>
      <c r="U356" s="158" t="e">
        <f t="shared" si="49"/>
        <v>#N/A</v>
      </c>
      <c r="V356" s="310" t="str">
        <f t="shared" si="50"/>
        <v/>
      </c>
      <c r="W356" s="137" t="str">
        <f t="shared" si="51"/>
        <v>X</v>
      </c>
      <c r="X356" s="137">
        <f t="shared" si="52"/>
        <v>0</v>
      </c>
    </row>
    <row r="357" spans="1:24" ht="17.25" customHeight="1">
      <c r="A357" s="137" t="str">
        <f t="shared" ca="1" si="45"/>
        <v>-</v>
      </c>
      <c r="B357" s="173"/>
      <c r="C357" s="253" t="str">
        <f t="shared" si="46"/>
        <v/>
      </c>
      <c r="D357" s="173"/>
      <c r="E357" s="173"/>
      <c r="F357" s="329" t="str">
        <f t="shared" si="53"/>
        <v/>
      </c>
      <c r="G357" s="176"/>
      <c r="H357" s="130" t="str">
        <f>IFERROR(INDEX(DMDT!B:B,MATCH($G357,DMDT!D:D,0),),"")</f>
        <v/>
      </c>
      <c r="I357" s="131"/>
      <c r="J357" s="132"/>
      <c r="K357" s="133"/>
      <c r="L357" s="134"/>
      <c r="M357" s="134"/>
      <c r="N357" s="135"/>
      <c r="O357" s="219"/>
      <c r="P357" s="143"/>
      <c r="Q357" s="144"/>
      <c r="R357" s="150"/>
      <c r="S357" s="127" t="str">
        <f t="shared" si="47"/>
        <v/>
      </c>
      <c r="T357" s="175" t="str">
        <f t="shared" si="48"/>
        <v/>
      </c>
      <c r="U357" s="158" t="e">
        <f t="shared" si="49"/>
        <v>#N/A</v>
      </c>
      <c r="V357" s="310" t="str">
        <f t="shared" si="50"/>
        <v/>
      </c>
      <c r="W357" s="137" t="str">
        <f t="shared" si="51"/>
        <v>X</v>
      </c>
      <c r="X357" s="137">
        <f t="shared" si="52"/>
        <v>0</v>
      </c>
    </row>
    <row r="358" spans="1:24" ht="17.25" customHeight="1">
      <c r="A358" s="137" t="str">
        <f t="shared" ca="1" si="45"/>
        <v>-</v>
      </c>
      <c r="B358" s="173"/>
      <c r="C358" s="253" t="str">
        <f t="shared" si="46"/>
        <v/>
      </c>
      <c r="D358" s="173"/>
      <c r="E358" s="173"/>
      <c r="F358" s="329" t="str">
        <f t="shared" si="53"/>
        <v/>
      </c>
      <c r="G358" s="176"/>
      <c r="H358" s="130" t="str">
        <f>IFERROR(INDEX(DMDT!B:B,MATCH($G358,DMDT!D:D,0),),"")</f>
        <v/>
      </c>
      <c r="I358" s="131"/>
      <c r="J358" s="132"/>
      <c r="K358" s="133"/>
      <c r="L358" s="134"/>
      <c r="M358" s="134"/>
      <c r="N358" s="135"/>
      <c r="O358" s="219"/>
      <c r="P358" s="143"/>
      <c r="Q358" s="144"/>
      <c r="R358" s="150"/>
      <c r="S358" s="127" t="str">
        <f t="shared" si="47"/>
        <v/>
      </c>
      <c r="T358" s="175" t="str">
        <f t="shared" si="48"/>
        <v/>
      </c>
      <c r="U358" s="158" t="e">
        <f t="shared" si="49"/>
        <v>#N/A</v>
      </c>
      <c r="V358" s="310" t="str">
        <f t="shared" si="50"/>
        <v/>
      </c>
      <c r="W358" s="137" t="str">
        <f t="shared" si="51"/>
        <v>X</v>
      </c>
      <c r="X358" s="137">
        <f t="shared" si="52"/>
        <v>0</v>
      </c>
    </row>
    <row r="359" spans="1:24" ht="17.25" customHeight="1">
      <c r="A359" s="137" t="str">
        <f t="shared" ca="1" si="45"/>
        <v>-</v>
      </c>
      <c r="B359" s="173"/>
      <c r="C359" s="253" t="str">
        <f t="shared" si="46"/>
        <v/>
      </c>
      <c r="D359" s="173"/>
      <c r="E359" s="173"/>
      <c r="F359" s="329" t="str">
        <f t="shared" si="53"/>
        <v/>
      </c>
      <c r="G359" s="176"/>
      <c r="H359" s="130" t="str">
        <f>IFERROR(INDEX(DMDT!B:B,MATCH($G359,DMDT!D:D,0),),"")</f>
        <v/>
      </c>
      <c r="I359" s="131"/>
      <c r="J359" s="132"/>
      <c r="K359" s="133"/>
      <c r="L359" s="134"/>
      <c r="M359" s="134"/>
      <c r="N359" s="135"/>
      <c r="O359" s="219"/>
      <c r="P359" s="143"/>
      <c r="Q359" s="144"/>
      <c r="R359" s="150"/>
      <c r="S359" s="127" t="str">
        <f t="shared" si="47"/>
        <v/>
      </c>
      <c r="T359" s="175" t="str">
        <f t="shared" si="48"/>
        <v/>
      </c>
      <c r="U359" s="158" t="e">
        <f t="shared" si="49"/>
        <v>#N/A</v>
      </c>
      <c r="V359" s="310" t="str">
        <f t="shared" si="50"/>
        <v/>
      </c>
      <c r="W359" s="137" t="str">
        <f t="shared" si="51"/>
        <v>X</v>
      </c>
      <c r="X359" s="137">
        <f t="shared" si="52"/>
        <v>0</v>
      </c>
    </row>
    <row r="360" spans="1:24" ht="17.25" customHeight="1">
      <c r="A360" s="137" t="str">
        <f t="shared" ca="1" si="45"/>
        <v>-</v>
      </c>
      <c r="B360" s="173"/>
      <c r="C360" s="253" t="str">
        <f t="shared" si="46"/>
        <v/>
      </c>
      <c r="D360" s="173"/>
      <c r="E360" s="173"/>
      <c r="F360" s="329" t="str">
        <f t="shared" si="53"/>
        <v/>
      </c>
      <c r="G360" s="176"/>
      <c r="H360" s="130" t="str">
        <f>IFERROR(INDEX(DMDT!B:B,MATCH($G360,DMDT!D:D,0),),"")</f>
        <v/>
      </c>
      <c r="I360" s="131"/>
      <c r="J360" s="132"/>
      <c r="K360" s="133"/>
      <c r="L360" s="134"/>
      <c r="M360" s="134"/>
      <c r="N360" s="135"/>
      <c r="O360" s="219"/>
      <c r="P360" s="143"/>
      <c r="Q360" s="144"/>
      <c r="R360" s="150"/>
      <c r="S360" s="127" t="str">
        <f t="shared" si="47"/>
        <v/>
      </c>
      <c r="T360" s="175" t="str">
        <f t="shared" si="48"/>
        <v/>
      </c>
      <c r="U360" s="158" t="e">
        <f t="shared" si="49"/>
        <v>#N/A</v>
      </c>
      <c r="V360" s="310" t="str">
        <f t="shared" si="50"/>
        <v/>
      </c>
      <c r="W360" s="137" t="str">
        <f t="shared" si="51"/>
        <v>X</v>
      </c>
      <c r="X360" s="137">
        <f t="shared" si="52"/>
        <v>0</v>
      </c>
    </row>
    <row r="361" spans="1:24" ht="17.25" customHeight="1">
      <c r="A361" s="137" t="str">
        <f t="shared" ca="1" si="45"/>
        <v>-</v>
      </c>
      <c r="B361" s="173"/>
      <c r="C361" s="253" t="str">
        <f t="shared" si="46"/>
        <v/>
      </c>
      <c r="D361" s="173"/>
      <c r="E361" s="173"/>
      <c r="F361" s="329" t="str">
        <f t="shared" si="53"/>
        <v/>
      </c>
      <c r="G361" s="176"/>
      <c r="H361" s="130" t="str">
        <f>IFERROR(INDEX(DMDT!B:B,MATCH($G361,DMDT!D:D,0),),"")</f>
        <v/>
      </c>
      <c r="I361" s="131"/>
      <c r="J361" s="132"/>
      <c r="K361" s="133"/>
      <c r="L361" s="134"/>
      <c r="M361" s="134"/>
      <c r="N361" s="135"/>
      <c r="O361" s="219"/>
      <c r="P361" s="143"/>
      <c r="Q361" s="144"/>
      <c r="R361" s="150"/>
      <c r="S361" s="127" t="str">
        <f t="shared" si="47"/>
        <v/>
      </c>
      <c r="T361" s="175" t="str">
        <f t="shared" si="48"/>
        <v/>
      </c>
      <c r="U361" s="158" t="e">
        <f t="shared" si="49"/>
        <v>#N/A</v>
      </c>
      <c r="V361" s="310" t="str">
        <f t="shared" si="50"/>
        <v/>
      </c>
      <c r="W361" s="137" t="str">
        <f t="shared" si="51"/>
        <v>X</v>
      </c>
      <c r="X361" s="137">
        <f t="shared" si="52"/>
        <v>0</v>
      </c>
    </row>
    <row r="362" spans="1:24" ht="17.25" customHeight="1">
      <c r="A362" s="137" t="str">
        <f t="shared" ca="1" si="45"/>
        <v>-</v>
      </c>
      <c r="B362" s="173"/>
      <c r="C362" s="253" t="str">
        <f t="shared" si="46"/>
        <v/>
      </c>
      <c r="D362" s="173"/>
      <c r="E362" s="173"/>
      <c r="F362" s="329" t="str">
        <f t="shared" si="53"/>
        <v/>
      </c>
      <c r="G362" s="176"/>
      <c r="H362" s="130" t="str">
        <f>IFERROR(INDEX(DMDT!B:B,MATCH($G362,DMDT!D:D,0),),"")</f>
        <v/>
      </c>
      <c r="I362" s="131"/>
      <c r="J362" s="132"/>
      <c r="K362" s="133"/>
      <c r="L362" s="134"/>
      <c r="M362" s="134"/>
      <c r="N362" s="135"/>
      <c r="O362" s="219"/>
      <c r="P362" s="143"/>
      <c r="Q362" s="144"/>
      <c r="R362" s="150"/>
      <c r="S362" s="127" t="str">
        <f t="shared" si="47"/>
        <v/>
      </c>
      <c r="T362" s="175" t="str">
        <f t="shared" si="48"/>
        <v/>
      </c>
      <c r="U362" s="158" t="e">
        <f t="shared" si="49"/>
        <v>#N/A</v>
      </c>
      <c r="V362" s="310" t="str">
        <f t="shared" si="50"/>
        <v/>
      </c>
      <c r="W362" s="137" t="str">
        <f t="shared" si="51"/>
        <v>X</v>
      </c>
      <c r="X362" s="137">
        <f t="shared" si="52"/>
        <v>0</v>
      </c>
    </row>
    <row r="363" spans="1:24" ht="17.25" customHeight="1">
      <c r="A363" s="137" t="str">
        <f t="shared" ca="1" si="45"/>
        <v>-</v>
      </c>
      <c r="B363" s="173"/>
      <c r="C363" s="253" t="str">
        <f t="shared" si="46"/>
        <v/>
      </c>
      <c r="D363" s="173"/>
      <c r="E363" s="173"/>
      <c r="F363" s="329" t="str">
        <f t="shared" si="53"/>
        <v/>
      </c>
      <c r="G363" s="176"/>
      <c r="H363" s="130" t="str">
        <f>IFERROR(INDEX(DMDT!B:B,MATCH($G363,DMDT!D:D,0),),"")</f>
        <v/>
      </c>
      <c r="I363" s="131"/>
      <c r="J363" s="132"/>
      <c r="K363" s="133"/>
      <c r="L363" s="134"/>
      <c r="M363" s="134"/>
      <c r="N363" s="135"/>
      <c r="O363" s="219"/>
      <c r="P363" s="143"/>
      <c r="Q363" s="144"/>
      <c r="R363" s="150"/>
      <c r="S363" s="127" t="str">
        <f t="shared" si="47"/>
        <v/>
      </c>
      <c r="T363" s="175" t="str">
        <f t="shared" si="48"/>
        <v/>
      </c>
      <c r="U363" s="158" t="e">
        <f t="shared" si="49"/>
        <v>#N/A</v>
      </c>
      <c r="V363" s="310" t="str">
        <f t="shared" si="50"/>
        <v/>
      </c>
      <c r="W363" s="137" t="str">
        <f t="shared" si="51"/>
        <v>X</v>
      </c>
      <c r="X363" s="137">
        <f t="shared" si="52"/>
        <v>0</v>
      </c>
    </row>
    <row r="364" spans="1:24" ht="17.25" customHeight="1">
      <c r="A364" s="137" t="str">
        <f t="shared" ca="1" si="45"/>
        <v>-</v>
      </c>
      <c r="B364" s="173"/>
      <c r="C364" s="253" t="str">
        <f t="shared" si="46"/>
        <v/>
      </c>
      <c r="D364" s="173"/>
      <c r="E364" s="173"/>
      <c r="F364" s="329" t="str">
        <f t="shared" si="53"/>
        <v/>
      </c>
      <c r="G364" s="176"/>
      <c r="H364" s="130" t="str">
        <f>IFERROR(INDEX(DMDT!B:B,MATCH($G364,DMDT!D:D,0),),"")</f>
        <v/>
      </c>
      <c r="I364" s="131"/>
      <c r="J364" s="132"/>
      <c r="K364" s="133"/>
      <c r="L364" s="134"/>
      <c r="M364" s="134"/>
      <c r="N364" s="135"/>
      <c r="O364" s="219"/>
      <c r="P364" s="143"/>
      <c r="Q364" s="144"/>
      <c r="R364" s="150"/>
      <c r="S364" s="127" t="str">
        <f t="shared" si="47"/>
        <v/>
      </c>
      <c r="T364" s="175" t="str">
        <f t="shared" si="48"/>
        <v/>
      </c>
      <c r="U364" s="158" t="e">
        <f t="shared" si="49"/>
        <v>#N/A</v>
      </c>
      <c r="V364" s="310" t="str">
        <f t="shared" si="50"/>
        <v/>
      </c>
      <c r="W364" s="137" t="str">
        <f t="shared" si="51"/>
        <v>X</v>
      </c>
      <c r="X364" s="137">
        <f t="shared" si="52"/>
        <v>0</v>
      </c>
    </row>
    <row r="365" spans="1:24" ht="17.25" customHeight="1">
      <c r="A365" s="137" t="str">
        <f t="shared" ca="1" si="45"/>
        <v>-</v>
      </c>
      <c r="B365" s="173"/>
      <c r="C365" s="253" t="str">
        <f t="shared" si="46"/>
        <v/>
      </c>
      <c r="D365" s="173"/>
      <c r="E365" s="173"/>
      <c r="F365" s="329" t="str">
        <f t="shared" si="53"/>
        <v/>
      </c>
      <c r="G365" s="176"/>
      <c r="H365" s="130" t="str">
        <f>IFERROR(INDEX(DMDT!B:B,MATCH($G365,DMDT!D:D,0),),"")</f>
        <v/>
      </c>
      <c r="I365" s="131"/>
      <c r="J365" s="132"/>
      <c r="K365" s="133"/>
      <c r="L365" s="134"/>
      <c r="M365" s="134"/>
      <c r="N365" s="135"/>
      <c r="O365" s="219"/>
      <c r="P365" s="143"/>
      <c r="Q365" s="144"/>
      <c r="R365" s="150"/>
      <c r="S365" s="127" t="str">
        <f t="shared" si="47"/>
        <v/>
      </c>
      <c r="T365" s="175" t="str">
        <f t="shared" si="48"/>
        <v/>
      </c>
      <c r="U365" s="158" t="e">
        <f t="shared" si="49"/>
        <v>#N/A</v>
      </c>
      <c r="V365" s="310" t="str">
        <f t="shared" si="50"/>
        <v/>
      </c>
      <c r="W365" s="137" t="str">
        <f t="shared" si="51"/>
        <v>X</v>
      </c>
      <c r="X365" s="137">
        <f t="shared" si="52"/>
        <v>0</v>
      </c>
    </row>
    <row r="366" spans="1:24" ht="17.25" customHeight="1">
      <c r="A366" s="137" t="str">
        <f t="shared" ca="1" si="45"/>
        <v>-</v>
      </c>
      <c r="B366" s="173"/>
      <c r="C366" s="253" t="str">
        <f t="shared" si="46"/>
        <v/>
      </c>
      <c r="D366" s="173"/>
      <c r="E366" s="173"/>
      <c r="F366" s="329" t="str">
        <f t="shared" si="53"/>
        <v/>
      </c>
      <c r="G366" s="176"/>
      <c r="H366" s="130" t="str">
        <f>IFERROR(INDEX(DMDT!B:B,MATCH($G366,DMDT!D:D,0),),"")</f>
        <v/>
      </c>
      <c r="I366" s="131"/>
      <c r="J366" s="132"/>
      <c r="K366" s="133"/>
      <c r="L366" s="134"/>
      <c r="M366" s="134"/>
      <c r="N366" s="135"/>
      <c r="O366" s="219"/>
      <c r="P366" s="143"/>
      <c r="Q366" s="144"/>
      <c r="R366" s="150"/>
      <c r="S366" s="127" t="str">
        <f t="shared" si="47"/>
        <v/>
      </c>
      <c r="T366" s="175" t="str">
        <f t="shared" si="48"/>
        <v/>
      </c>
      <c r="U366" s="158" t="e">
        <f t="shared" si="49"/>
        <v>#N/A</v>
      </c>
      <c r="V366" s="310" t="str">
        <f t="shared" si="50"/>
        <v/>
      </c>
      <c r="W366" s="137" t="str">
        <f t="shared" si="51"/>
        <v>X</v>
      </c>
      <c r="X366" s="137">
        <f t="shared" si="52"/>
        <v>0</v>
      </c>
    </row>
    <row r="367" spans="1:24" ht="17.25" customHeight="1">
      <c r="A367" s="137" t="str">
        <f t="shared" ca="1" si="45"/>
        <v>-</v>
      </c>
      <c r="B367" s="173"/>
      <c r="C367" s="253" t="str">
        <f t="shared" si="46"/>
        <v/>
      </c>
      <c r="D367" s="173"/>
      <c r="E367" s="173"/>
      <c r="F367" s="329" t="str">
        <f t="shared" si="53"/>
        <v/>
      </c>
      <c r="G367" s="176"/>
      <c r="H367" s="130" t="str">
        <f>IFERROR(INDEX(DMDT!B:B,MATCH($G367,DMDT!D:D,0),),"")</f>
        <v/>
      </c>
      <c r="I367" s="131"/>
      <c r="J367" s="132"/>
      <c r="K367" s="133"/>
      <c r="L367" s="134"/>
      <c r="M367" s="134"/>
      <c r="N367" s="135"/>
      <c r="O367" s="219"/>
      <c r="P367" s="143"/>
      <c r="Q367" s="144"/>
      <c r="R367" s="150"/>
      <c r="S367" s="127" t="str">
        <f t="shared" si="47"/>
        <v/>
      </c>
      <c r="T367" s="175" t="str">
        <f t="shared" si="48"/>
        <v/>
      </c>
      <c r="U367" s="158" t="e">
        <f t="shared" si="49"/>
        <v>#N/A</v>
      </c>
      <c r="V367" s="310" t="str">
        <f t="shared" si="50"/>
        <v/>
      </c>
      <c r="W367" s="137" t="str">
        <f t="shared" si="51"/>
        <v>X</v>
      </c>
      <c r="X367" s="137">
        <f t="shared" si="52"/>
        <v>0</v>
      </c>
    </row>
    <row r="368" spans="1:24" ht="17.25" customHeight="1">
      <c r="A368" s="137" t="str">
        <f t="shared" ca="1" si="45"/>
        <v>-</v>
      </c>
      <c r="B368" s="173"/>
      <c r="C368" s="253" t="str">
        <f t="shared" si="46"/>
        <v/>
      </c>
      <c r="D368" s="173"/>
      <c r="E368" s="173"/>
      <c r="F368" s="329" t="str">
        <f t="shared" si="53"/>
        <v/>
      </c>
      <c r="G368" s="176"/>
      <c r="H368" s="130" t="str">
        <f>IFERROR(INDEX(DMDT!B:B,MATCH($G368,DMDT!D:D,0),),"")</f>
        <v/>
      </c>
      <c r="I368" s="131"/>
      <c r="J368" s="132"/>
      <c r="K368" s="133"/>
      <c r="L368" s="134"/>
      <c r="M368" s="134"/>
      <c r="N368" s="135"/>
      <c r="O368" s="219"/>
      <c r="P368" s="143"/>
      <c r="Q368" s="144"/>
      <c r="R368" s="150"/>
      <c r="S368" s="127" t="str">
        <f t="shared" si="47"/>
        <v/>
      </c>
      <c r="T368" s="175" t="str">
        <f t="shared" si="48"/>
        <v/>
      </c>
      <c r="U368" s="158" t="e">
        <f t="shared" si="49"/>
        <v>#N/A</v>
      </c>
      <c r="V368" s="310" t="str">
        <f t="shared" si="50"/>
        <v/>
      </c>
      <c r="W368" s="137" t="str">
        <f t="shared" si="51"/>
        <v>X</v>
      </c>
      <c r="X368" s="137">
        <f t="shared" si="52"/>
        <v>0</v>
      </c>
    </row>
    <row r="369" spans="1:24" ht="17.25" customHeight="1">
      <c r="A369" s="137" t="str">
        <f ca="1">IF(F369="","-",IF(COUNTIFS(OFFSET($H$3,,,ROW()-3),H369,OFFSET($J$3,,,ROW()-3),J369,OFFSET($N$3,,,ROW()-3),N369)=0,"-","FALSE"))</f>
        <v>-</v>
      </c>
      <c r="B369" s="173"/>
      <c r="C369" s="253" t="str">
        <f t="shared" si="46"/>
        <v/>
      </c>
      <c r="D369" s="173"/>
      <c r="E369" s="173"/>
      <c r="F369" s="329" t="str">
        <f t="shared" si="53"/>
        <v/>
      </c>
      <c r="G369" s="176"/>
      <c r="H369" s="130" t="str">
        <f>IFERROR(INDEX(DMDT!B:B,MATCH($G369,DMDT!D:D,0),),"")</f>
        <v/>
      </c>
      <c r="I369" s="131"/>
      <c r="J369" s="132"/>
      <c r="K369" s="133"/>
      <c r="L369" s="134"/>
      <c r="M369" s="134"/>
      <c r="N369" s="135"/>
      <c r="O369" s="219"/>
      <c r="P369" s="143"/>
      <c r="Q369" s="144"/>
      <c r="R369" s="150"/>
      <c r="S369" s="127" t="str">
        <f t="shared" si="47"/>
        <v/>
      </c>
      <c r="T369" s="175" t="str">
        <f t="shared" si="48"/>
        <v/>
      </c>
      <c r="U369" s="158" t="e">
        <f t="shared" si="49"/>
        <v>#N/A</v>
      </c>
      <c r="V369" s="310" t="str">
        <f t="shared" si="50"/>
        <v/>
      </c>
      <c r="W369" s="137" t="str">
        <f t="shared" si="51"/>
        <v>X</v>
      </c>
      <c r="X369" s="137">
        <f t="shared" si="52"/>
        <v>0</v>
      </c>
    </row>
    <row r="370" spans="1:24" ht="17.25" customHeight="1">
      <c r="A370" s="137" t="str">
        <f t="shared" ca="1" si="45"/>
        <v>-</v>
      </c>
      <c r="B370" s="173"/>
      <c r="C370" s="253" t="str">
        <f t="shared" si="46"/>
        <v/>
      </c>
      <c r="D370" s="173"/>
      <c r="E370" s="173"/>
      <c r="F370" s="329" t="str">
        <f t="shared" si="53"/>
        <v/>
      </c>
      <c r="G370" s="176"/>
      <c r="H370" s="130" t="str">
        <f>IFERROR(INDEX(DMDT!B:B,MATCH($G370,DMDT!D:D,0),),"")</f>
        <v/>
      </c>
      <c r="I370" s="131"/>
      <c r="J370" s="132"/>
      <c r="K370" s="133"/>
      <c r="L370" s="134"/>
      <c r="M370" s="134"/>
      <c r="N370" s="135"/>
      <c r="O370" s="219"/>
      <c r="P370" s="143"/>
      <c r="Q370" s="144"/>
      <c r="R370" s="150"/>
      <c r="S370" s="127" t="str">
        <f t="shared" si="47"/>
        <v/>
      </c>
      <c r="T370" s="175" t="str">
        <f t="shared" si="48"/>
        <v/>
      </c>
      <c r="U370" s="158" t="e">
        <f t="shared" si="49"/>
        <v>#N/A</v>
      </c>
      <c r="V370" s="310" t="str">
        <f t="shared" si="50"/>
        <v/>
      </c>
      <c r="W370" s="137" t="str">
        <f t="shared" si="51"/>
        <v>X</v>
      </c>
      <c r="X370" s="137">
        <f t="shared" si="52"/>
        <v>0</v>
      </c>
    </row>
    <row r="371" spans="1:24" ht="17.25" customHeight="1">
      <c r="A371" s="137" t="str">
        <f t="shared" ca="1" si="45"/>
        <v>-</v>
      </c>
      <c r="B371" s="173"/>
      <c r="C371" s="253" t="str">
        <f t="shared" si="46"/>
        <v/>
      </c>
      <c r="D371" s="173"/>
      <c r="E371" s="173"/>
      <c r="F371" s="329" t="str">
        <f t="shared" si="53"/>
        <v/>
      </c>
      <c r="G371" s="176"/>
      <c r="H371" s="130" t="str">
        <f>IFERROR(INDEX(DMDT!B:B,MATCH($G371,DMDT!D:D,0),),"")</f>
        <v/>
      </c>
      <c r="I371" s="131"/>
      <c r="J371" s="132"/>
      <c r="K371" s="133"/>
      <c r="L371" s="134"/>
      <c r="M371" s="134"/>
      <c r="N371" s="135"/>
      <c r="O371" s="219"/>
      <c r="P371" s="143"/>
      <c r="Q371" s="144"/>
      <c r="R371" s="150"/>
      <c r="S371" s="127" t="str">
        <f t="shared" si="47"/>
        <v/>
      </c>
      <c r="T371" s="175" t="str">
        <f t="shared" si="48"/>
        <v/>
      </c>
      <c r="U371" s="158" t="e">
        <f t="shared" si="49"/>
        <v>#N/A</v>
      </c>
      <c r="V371" s="310" t="str">
        <f t="shared" si="50"/>
        <v/>
      </c>
      <c r="W371" s="137" t="str">
        <f t="shared" si="51"/>
        <v>X</v>
      </c>
      <c r="X371" s="137">
        <f t="shared" si="52"/>
        <v>0</v>
      </c>
    </row>
    <row r="372" spans="1:24" ht="17.25" customHeight="1">
      <c r="A372" s="137" t="str">
        <f t="shared" ca="1" si="45"/>
        <v>-</v>
      </c>
      <c r="B372" s="173"/>
      <c r="C372" s="253" t="str">
        <f t="shared" si="46"/>
        <v/>
      </c>
      <c r="D372" s="173"/>
      <c r="E372" s="173"/>
      <c r="F372" s="329" t="str">
        <f t="shared" si="53"/>
        <v/>
      </c>
      <c r="G372" s="176"/>
      <c r="H372" s="130" t="str">
        <f>IFERROR(INDEX(DMDT!B:B,MATCH($G372,DMDT!D:D,0),),"")</f>
        <v/>
      </c>
      <c r="I372" s="131"/>
      <c r="J372" s="132"/>
      <c r="K372" s="133"/>
      <c r="L372" s="134"/>
      <c r="M372" s="134"/>
      <c r="N372" s="135"/>
      <c r="O372" s="219"/>
      <c r="P372" s="143"/>
      <c r="Q372" s="144"/>
      <c r="R372" s="150"/>
      <c r="S372" s="127" t="str">
        <f t="shared" si="47"/>
        <v/>
      </c>
      <c r="T372" s="175" t="str">
        <f t="shared" si="48"/>
        <v/>
      </c>
      <c r="U372" s="158" t="e">
        <f t="shared" si="49"/>
        <v>#N/A</v>
      </c>
      <c r="V372" s="310" t="str">
        <f t="shared" si="50"/>
        <v/>
      </c>
      <c r="W372" s="137" t="str">
        <f t="shared" si="51"/>
        <v>X</v>
      </c>
      <c r="X372" s="137">
        <f t="shared" si="52"/>
        <v>0</v>
      </c>
    </row>
    <row r="373" spans="1:24" ht="17.25" customHeight="1">
      <c r="A373" s="137" t="str">
        <f t="shared" ca="1" si="45"/>
        <v>-</v>
      </c>
      <c r="B373" s="173"/>
      <c r="C373" s="253" t="str">
        <f t="shared" si="46"/>
        <v/>
      </c>
      <c r="D373" s="173"/>
      <c r="E373" s="173"/>
      <c r="F373" s="329" t="str">
        <f t="shared" si="53"/>
        <v/>
      </c>
      <c r="G373" s="176"/>
      <c r="H373" s="130" t="str">
        <f>IFERROR(INDEX(DMDT!B:B,MATCH($G373,DMDT!D:D,0),),"")</f>
        <v/>
      </c>
      <c r="I373" s="131"/>
      <c r="J373" s="132"/>
      <c r="K373" s="133"/>
      <c r="L373" s="134"/>
      <c r="M373" s="134"/>
      <c r="N373" s="135"/>
      <c r="O373" s="219"/>
      <c r="P373" s="143"/>
      <c r="Q373" s="144"/>
      <c r="R373" s="150"/>
      <c r="S373" s="127" t="str">
        <f t="shared" si="47"/>
        <v/>
      </c>
      <c r="T373" s="175" t="str">
        <f t="shared" si="48"/>
        <v/>
      </c>
      <c r="U373" s="158" t="e">
        <f t="shared" si="49"/>
        <v>#N/A</v>
      </c>
      <c r="V373" s="310" t="str">
        <f t="shared" si="50"/>
        <v/>
      </c>
      <c r="W373" s="137" t="str">
        <f t="shared" si="51"/>
        <v>X</v>
      </c>
      <c r="X373" s="137">
        <f t="shared" si="52"/>
        <v>0</v>
      </c>
    </row>
    <row r="374" spans="1:24" ht="17.25" customHeight="1">
      <c r="A374" s="137" t="str">
        <f t="shared" ca="1" si="45"/>
        <v>-</v>
      </c>
      <c r="B374" s="173"/>
      <c r="C374" s="253" t="str">
        <f t="shared" si="46"/>
        <v/>
      </c>
      <c r="D374" s="173"/>
      <c r="E374" s="173"/>
      <c r="F374" s="329" t="str">
        <f t="shared" si="53"/>
        <v/>
      </c>
      <c r="G374" s="176"/>
      <c r="H374" s="130" t="str">
        <f>IFERROR(INDEX(DMDT!B:B,MATCH($G374,DMDT!D:D,0),),"")</f>
        <v/>
      </c>
      <c r="I374" s="131"/>
      <c r="J374" s="132"/>
      <c r="K374" s="133"/>
      <c r="L374" s="134"/>
      <c r="M374" s="134"/>
      <c r="N374" s="135"/>
      <c r="O374" s="219"/>
      <c r="P374" s="143"/>
      <c r="Q374" s="144"/>
      <c r="R374" s="150"/>
      <c r="S374" s="127" t="str">
        <f t="shared" si="47"/>
        <v/>
      </c>
      <c r="T374" s="175" t="str">
        <f t="shared" si="48"/>
        <v/>
      </c>
      <c r="U374" s="158" t="e">
        <f t="shared" si="49"/>
        <v>#N/A</v>
      </c>
      <c r="V374" s="310" t="str">
        <f t="shared" si="50"/>
        <v/>
      </c>
      <c r="W374" s="137" t="str">
        <f t="shared" si="51"/>
        <v>X</v>
      </c>
      <c r="X374" s="137">
        <f t="shared" si="52"/>
        <v>0</v>
      </c>
    </row>
    <row r="375" spans="1:24" ht="17.25" customHeight="1">
      <c r="A375" s="137" t="str">
        <f t="shared" ca="1" si="45"/>
        <v>-</v>
      </c>
      <c r="B375" s="173"/>
      <c r="C375" s="253" t="str">
        <f t="shared" si="46"/>
        <v/>
      </c>
      <c r="D375" s="173"/>
      <c r="E375" s="173"/>
      <c r="F375" s="329" t="str">
        <f t="shared" si="53"/>
        <v/>
      </c>
      <c r="G375" s="176"/>
      <c r="H375" s="130" t="str">
        <f>IFERROR(INDEX(DMDT!B:B,MATCH($G375,DMDT!D:D,0),),"")</f>
        <v/>
      </c>
      <c r="I375" s="131"/>
      <c r="J375" s="132"/>
      <c r="K375" s="133"/>
      <c r="L375" s="134"/>
      <c r="M375" s="134"/>
      <c r="N375" s="135"/>
      <c r="O375" s="219"/>
      <c r="P375" s="143"/>
      <c r="Q375" s="144"/>
      <c r="R375" s="150"/>
      <c r="S375" s="127" t="str">
        <f t="shared" si="47"/>
        <v/>
      </c>
      <c r="T375" s="175" t="str">
        <f t="shared" si="48"/>
        <v/>
      </c>
      <c r="U375" s="158" t="e">
        <f t="shared" si="49"/>
        <v>#N/A</v>
      </c>
      <c r="V375" s="310" t="str">
        <f t="shared" si="50"/>
        <v/>
      </c>
      <c r="W375" s="137" t="str">
        <f t="shared" si="51"/>
        <v>X</v>
      </c>
      <c r="X375" s="137">
        <f t="shared" si="52"/>
        <v>0</v>
      </c>
    </row>
    <row r="376" spans="1:24" ht="17.25" customHeight="1">
      <c r="A376" s="137" t="str">
        <f t="shared" ca="1" si="45"/>
        <v>-</v>
      </c>
      <c r="B376" s="173"/>
      <c r="C376" s="253" t="str">
        <f t="shared" si="46"/>
        <v/>
      </c>
      <c r="D376" s="173"/>
      <c r="E376" s="173"/>
      <c r="F376" s="329" t="str">
        <f t="shared" si="53"/>
        <v/>
      </c>
      <c r="G376" s="176"/>
      <c r="H376" s="130" t="str">
        <f>IFERROR(INDEX(DMDT!B:B,MATCH($G376,DMDT!D:D,0),),"")</f>
        <v/>
      </c>
      <c r="I376" s="131"/>
      <c r="J376" s="132"/>
      <c r="K376" s="133"/>
      <c r="L376" s="134"/>
      <c r="M376" s="134"/>
      <c r="N376" s="135"/>
      <c r="O376" s="219"/>
      <c r="P376" s="143"/>
      <c r="Q376" s="144"/>
      <c r="R376" s="150"/>
      <c r="S376" s="127" t="str">
        <f t="shared" si="47"/>
        <v/>
      </c>
      <c r="T376" s="175" t="str">
        <f t="shared" si="48"/>
        <v/>
      </c>
      <c r="U376" s="158" t="e">
        <f t="shared" si="49"/>
        <v>#N/A</v>
      </c>
      <c r="V376" s="310" t="str">
        <f t="shared" si="50"/>
        <v/>
      </c>
      <c r="W376" s="137" t="str">
        <f t="shared" si="51"/>
        <v>X</v>
      </c>
      <c r="X376" s="137">
        <f t="shared" si="52"/>
        <v>0</v>
      </c>
    </row>
    <row r="377" spans="1:24" ht="17.25" customHeight="1">
      <c r="A377" s="137" t="str">
        <f t="shared" ca="1" si="45"/>
        <v>-</v>
      </c>
      <c r="B377" s="173"/>
      <c r="C377" s="253" t="str">
        <f t="shared" si="46"/>
        <v/>
      </c>
      <c r="D377" s="173"/>
      <c r="E377" s="173"/>
      <c r="F377" s="329" t="str">
        <f t="shared" si="53"/>
        <v/>
      </c>
      <c r="G377" s="176"/>
      <c r="H377" s="130" t="str">
        <f>IFERROR(INDEX(DMDT!B:B,MATCH($G377,DMDT!D:D,0),),"")</f>
        <v/>
      </c>
      <c r="I377" s="131"/>
      <c r="J377" s="132"/>
      <c r="K377" s="133"/>
      <c r="L377" s="134"/>
      <c r="M377" s="134"/>
      <c r="N377" s="135"/>
      <c r="O377" s="219"/>
      <c r="P377" s="143"/>
      <c r="Q377" s="144"/>
      <c r="R377" s="150"/>
      <c r="S377" s="127" t="str">
        <f t="shared" si="47"/>
        <v/>
      </c>
      <c r="T377" s="175" t="str">
        <f t="shared" si="48"/>
        <v/>
      </c>
      <c r="U377" s="158" t="e">
        <f t="shared" si="49"/>
        <v>#N/A</v>
      </c>
      <c r="V377" s="310" t="str">
        <f t="shared" si="50"/>
        <v/>
      </c>
      <c r="W377" s="137" t="str">
        <f t="shared" si="51"/>
        <v>X</v>
      </c>
      <c r="X377" s="137">
        <f t="shared" si="52"/>
        <v>0</v>
      </c>
    </row>
    <row r="378" spans="1:24" ht="17.25" customHeight="1">
      <c r="A378" s="137" t="str">
        <f t="shared" ca="1" si="45"/>
        <v>-</v>
      </c>
      <c r="B378" s="173"/>
      <c r="C378" s="253" t="str">
        <f t="shared" si="46"/>
        <v/>
      </c>
      <c r="D378" s="173"/>
      <c r="E378" s="173"/>
      <c r="F378" s="329" t="str">
        <f t="shared" si="53"/>
        <v/>
      </c>
      <c r="G378" s="176"/>
      <c r="H378" s="130" t="str">
        <f>IFERROR(INDEX(DMDT!B:B,MATCH($G378,DMDT!D:D,0),),"")</f>
        <v/>
      </c>
      <c r="I378" s="131"/>
      <c r="J378" s="132"/>
      <c r="K378" s="133"/>
      <c r="L378" s="134"/>
      <c r="M378" s="134"/>
      <c r="N378" s="135"/>
      <c r="O378" s="219"/>
      <c r="P378" s="143"/>
      <c r="Q378" s="144"/>
      <c r="R378" s="150"/>
      <c r="S378" s="127" t="str">
        <f t="shared" si="47"/>
        <v/>
      </c>
      <c r="T378" s="175" t="str">
        <f t="shared" si="48"/>
        <v/>
      </c>
      <c r="U378" s="158" t="e">
        <f t="shared" si="49"/>
        <v>#N/A</v>
      </c>
      <c r="V378" s="310" t="str">
        <f t="shared" si="50"/>
        <v/>
      </c>
      <c r="W378" s="137" t="str">
        <f t="shared" si="51"/>
        <v>X</v>
      </c>
      <c r="X378" s="137">
        <f t="shared" si="52"/>
        <v>0</v>
      </c>
    </row>
    <row r="379" spans="1:24" ht="17.25" customHeight="1">
      <c r="A379" s="137" t="str">
        <f t="shared" ca="1" si="45"/>
        <v>-</v>
      </c>
      <c r="B379" s="173"/>
      <c r="C379" s="253" t="str">
        <f t="shared" si="46"/>
        <v/>
      </c>
      <c r="D379" s="173"/>
      <c r="E379" s="173"/>
      <c r="F379" s="329" t="str">
        <f t="shared" si="53"/>
        <v/>
      </c>
      <c r="G379" s="176"/>
      <c r="H379" s="130" t="str">
        <f>IFERROR(INDEX(DMDT!B:B,MATCH($G379,DMDT!D:D,0),),"")</f>
        <v/>
      </c>
      <c r="I379" s="131"/>
      <c r="J379" s="132"/>
      <c r="K379" s="133"/>
      <c r="L379" s="134"/>
      <c r="M379" s="134"/>
      <c r="N379" s="135"/>
      <c r="O379" s="219"/>
      <c r="P379" s="143"/>
      <c r="Q379" s="144"/>
      <c r="R379" s="150"/>
      <c r="S379" s="127" t="str">
        <f t="shared" si="47"/>
        <v/>
      </c>
      <c r="T379" s="175" t="str">
        <f t="shared" si="48"/>
        <v/>
      </c>
      <c r="U379" s="158" t="e">
        <f t="shared" si="49"/>
        <v>#N/A</v>
      </c>
      <c r="V379" s="310" t="str">
        <f t="shared" si="50"/>
        <v/>
      </c>
      <c r="W379" s="137" t="str">
        <f t="shared" si="51"/>
        <v>X</v>
      </c>
      <c r="X379" s="137">
        <f t="shared" si="52"/>
        <v>0</v>
      </c>
    </row>
    <row r="380" spans="1:24" ht="17.25" customHeight="1">
      <c r="A380" s="137" t="str">
        <f t="shared" ca="1" si="45"/>
        <v>-</v>
      </c>
      <c r="B380" s="173"/>
      <c r="C380" s="253" t="str">
        <f t="shared" si="46"/>
        <v/>
      </c>
      <c r="D380" s="173"/>
      <c r="E380" s="173"/>
      <c r="F380" s="329" t="str">
        <f t="shared" si="53"/>
        <v/>
      </c>
      <c r="G380" s="186"/>
      <c r="H380" s="130" t="str">
        <f>IFERROR(INDEX(DMDT!B:B,MATCH($G380,DMDT!D:D,0),),"")</f>
        <v/>
      </c>
      <c r="I380" s="131"/>
      <c r="J380" s="132"/>
      <c r="K380" s="133"/>
      <c r="L380" s="134"/>
      <c r="M380" s="134"/>
      <c r="N380" s="135"/>
      <c r="O380" s="219"/>
      <c r="P380" s="143"/>
      <c r="Q380" s="144"/>
      <c r="R380" s="150"/>
      <c r="S380" s="127" t="str">
        <f t="shared" si="47"/>
        <v/>
      </c>
      <c r="T380" s="175" t="str">
        <f t="shared" si="48"/>
        <v/>
      </c>
      <c r="U380" s="158" t="e">
        <f t="shared" si="49"/>
        <v>#N/A</v>
      </c>
      <c r="V380" s="310" t="str">
        <f t="shared" si="50"/>
        <v/>
      </c>
      <c r="W380" s="137" t="str">
        <f t="shared" si="51"/>
        <v>X</v>
      </c>
      <c r="X380" s="137">
        <f t="shared" si="52"/>
        <v>0</v>
      </c>
    </row>
    <row r="381" spans="1:24" ht="17.25" customHeight="1">
      <c r="A381" s="137" t="str">
        <f ca="1">IF(F381="","-",IF(COUNTIFS(OFFSET($H$3,,,ROW()-3),H381,OFFSET($J$3,,,ROW()-3),J381,OFFSET($N$3,,,ROW()-3),N381)=0,"-","FALSE"))</f>
        <v>-</v>
      </c>
      <c r="B381" s="173"/>
      <c r="C381" s="253" t="str">
        <f t="shared" si="46"/>
        <v/>
      </c>
      <c r="D381" s="173"/>
      <c r="E381" s="173"/>
      <c r="F381" s="329" t="str">
        <f t="shared" si="53"/>
        <v/>
      </c>
      <c r="G381" s="176"/>
      <c r="H381" s="130" t="str">
        <f>IFERROR(INDEX(DMDT!B:B,MATCH($G381,DMDT!D:D,0),),"")</f>
        <v/>
      </c>
      <c r="I381" s="131"/>
      <c r="J381" s="132"/>
      <c r="K381" s="133"/>
      <c r="L381" s="134"/>
      <c r="M381" s="134"/>
      <c r="N381" s="135"/>
      <c r="O381" s="219"/>
      <c r="P381" s="143"/>
      <c r="Q381" s="144"/>
      <c r="R381" s="150"/>
      <c r="S381" s="127" t="str">
        <f t="shared" si="47"/>
        <v/>
      </c>
      <c r="T381" s="175" t="str">
        <f t="shared" si="48"/>
        <v/>
      </c>
      <c r="U381" s="158" t="e">
        <f t="shared" si="49"/>
        <v>#N/A</v>
      </c>
      <c r="V381" s="310" t="str">
        <f t="shared" si="50"/>
        <v/>
      </c>
      <c r="W381" s="137" t="str">
        <f t="shared" si="51"/>
        <v>X</v>
      </c>
      <c r="X381" s="137">
        <f t="shared" si="52"/>
        <v>0</v>
      </c>
    </row>
    <row r="382" spans="1:24" ht="17.25" customHeight="1">
      <c r="A382" s="137" t="str">
        <f t="shared" ca="1" si="45"/>
        <v>-</v>
      </c>
      <c r="B382" s="173"/>
      <c r="C382" s="253" t="str">
        <f t="shared" si="46"/>
        <v/>
      </c>
      <c r="D382" s="173"/>
      <c r="E382" s="173"/>
      <c r="F382" s="329" t="str">
        <f t="shared" si="53"/>
        <v/>
      </c>
      <c r="G382" s="176"/>
      <c r="H382" s="130" t="str">
        <f>IFERROR(INDEX(DMDT!B:B,MATCH($G382,DMDT!D:D,0),),"")</f>
        <v/>
      </c>
      <c r="I382" s="131"/>
      <c r="J382" s="132"/>
      <c r="K382" s="133"/>
      <c r="L382" s="134"/>
      <c r="M382" s="134"/>
      <c r="N382" s="135"/>
      <c r="O382" s="219"/>
      <c r="P382" s="143"/>
      <c r="Q382" s="144"/>
      <c r="R382" s="150"/>
      <c r="S382" s="127" t="str">
        <f t="shared" si="47"/>
        <v/>
      </c>
      <c r="T382" s="175" t="str">
        <f t="shared" si="48"/>
        <v/>
      </c>
      <c r="U382" s="158" t="e">
        <f t="shared" si="49"/>
        <v>#N/A</v>
      </c>
      <c r="V382" s="310" t="str">
        <f t="shared" si="50"/>
        <v/>
      </c>
      <c r="W382" s="137" t="str">
        <f t="shared" si="51"/>
        <v>X</v>
      </c>
      <c r="X382" s="137">
        <f t="shared" si="52"/>
        <v>0</v>
      </c>
    </row>
    <row r="383" spans="1:24" ht="17.25" customHeight="1">
      <c r="A383" s="137" t="str">
        <f t="shared" ca="1" si="45"/>
        <v>-</v>
      </c>
      <c r="B383" s="173"/>
      <c r="C383" s="253" t="str">
        <f t="shared" si="46"/>
        <v/>
      </c>
      <c r="D383" s="173"/>
      <c r="E383" s="173"/>
      <c r="F383" s="329" t="str">
        <f t="shared" si="53"/>
        <v/>
      </c>
      <c r="G383" s="176"/>
      <c r="H383" s="130" t="str">
        <f>IFERROR(INDEX(DMDT!B:B,MATCH($G383,DMDT!D:D,0),),"")</f>
        <v/>
      </c>
      <c r="I383" s="131"/>
      <c r="J383" s="132"/>
      <c r="K383" s="133"/>
      <c r="L383" s="134"/>
      <c r="M383" s="134"/>
      <c r="N383" s="135"/>
      <c r="O383" s="219"/>
      <c r="P383" s="143"/>
      <c r="Q383" s="144"/>
      <c r="R383" s="150"/>
      <c r="S383" s="127" t="str">
        <f t="shared" si="47"/>
        <v/>
      </c>
      <c r="T383" s="175" t="str">
        <f t="shared" si="48"/>
        <v/>
      </c>
      <c r="U383" s="158" t="e">
        <f t="shared" si="49"/>
        <v>#N/A</v>
      </c>
      <c r="V383" s="310" t="str">
        <f t="shared" si="50"/>
        <v/>
      </c>
      <c r="W383" s="137" t="str">
        <f t="shared" si="51"/>
        <v>X</v>
      </c>
      <c r="X383" s="137">
        <f t="shared" si="52"/>
        <v>0</v>
      </c>
    </row>
    <row r="384" spans="1:24" ht="17.25" customHeight="1">
      <c r="A384" s="137" t="str">
        <f t="shared" ca="1" si="45"/>
        <v>-</v>
      </c>
      <c r="B384" s="173"/>
      <c r="C384" s="253" t="str">
        <f t="shared" si="46"/>
        <v/>
      </c>
      <c r="D384" s="173"/>
      <c r="E384" s="173"/>
      <c r="F384" s="329" t="str">
        <f t="shared" si="53"/>
        <v/>
      </c>
      <c r="G384" s="176"/>
      <c r="H384" s="130" t="str">
        <f>IFERROR(INDEX(DMDT!B:B,MATCH($G384,DMDT!D:D,0),),"")</f>
        <v/>
      </c>
      <c r="I384" s="131"/>
      <c r="J384" s="132"/>
      <c r="K384" s="133"/>
      <c r="L384" s="134"/>
      <c r="M384" s="134"/>
      <c r="N384" s="135"/>
      <c r="O384" s="219"/>
      <c r="P384" s="143"/>
      <c r="Q384" s="144"/>
      <c r="R384" s="150"/>
      <c r="S384" s="127" t="str">
        <f t="shared" si="47"/>
        <v/>
      </c>
      <c r="T384" s="175" t="str">
        <f t="shared" si="48"/>
        <v/>
      </c>
      <c r="U384" s="158" t="e">
        <f t="shared" si="49"/>
        <v>#N/A</v>
      </c>
      <c r="V384" s="310" t="str">
        <f t="shared" si="50"/>
        <v/>
      </c>
      <c r="W384" s="137" t="str">
        <f t="shared" si="51"/>
        <v>X</v>
      </c>
      <c r="X384" s="137">
        <f t="shared" si="52"/>
        <v>0</v>
      </c>
    </row>
    <row r="385" spans="1:24" ht="17.25" customHeight="1">
      <c r="A385" s="137" t="str">
        <f t="shared" ca="1" si="45"/>
        <v>-</v>
      </c>
      <c r="B385" s="173"/>
      <c r="C385" s="253" t="str">
        <f t="shared" si="46"/>
        <v/>
      </c>
      <c r="D385" s="173"/>
      <c r="E385" s="173"/>
      <c r="F385" s="329" t="str">
        <f t="shared" si="53"/>
        <v/>
      </c>
      <c r="G385" s="176"/>
      <c r="H385" s="130" t="str">
        <f>IFERROR(INDEX(DMDT!B:B,MATCH($G385,DMDT!D:D,0),),"")</f>
        <v/>
      </c>
      <c r="I385" s="131"/>
      <c r="J385" s="132"/>
      <c r="K385" s="133"/>
      <c r="L385" s="134"/>
      <c r="M385" s="134"/>
      <c r="N385" s="135"/>
      <c r="O385" s="219"/>
      <c r="P385" s="143"/>
      <c r="Q385" s="144"/>
      <c r="R385" s="150"/>
      <c r="S385" s="127" t="str">
        <f t="shared" si="47"/>
        <v/>
      </c>
      <c r="T385" s="175" t="str">
        <f t="shared" si="48"/>
        <v/>
      </c>
      <c r="U385" s="158" t="e">
        <f t="shared" si="49"/>
        <v>#N/A</v>
      </c>
      <c r="V385" s="310" t="str">
        <f t="shared" si="50"/>
        <v/>
      </c>
      <c r="W385" s="137" t="str">
        <f t="shared" si="51"/>
        <v>X</v>
      </c>
      <c r="X385" s="137">
        <f t="shared" si="52"/>
        <v>0</v>
      </c>
    </row>
    <row r="386" spans="1:24" ht="17.25" customHeight="1">
      <c r="A386" s="137" t="str">
        <f t="shared" ca="1" si="45"/>
        <v>-</v>
      </c>
      <c r="B386" s="173"/>
      <c r="C386" s="253" t="str">
        <f t="shared" si="46"/>
        <v/>
      </c>
      <c r="D386" s="173"/>
      <c r="E386" s="173"/>
      <c r="F386" s="329" t="str">
        <f t="shared" si="53"/>
        <v/>
      </c>
      <c r="G386" s="176"/>
      <c r="H386" s="130" t="str">
        <f>IFERROR(INDEX(DMDT!B:B,MATCH($G386,DMDT!D:D,0),),"")</f>
        <v/>
      </c>
      <c r="I386" s="131"/>
      <c r="J386" s="132"/>
      <c r="K386" s="133"/>
      <c r="L386" s="134"/>
      <c r="M386" s="134"/>
      <c r="N386" s="135"/>
      <c r="O386" s="219"/>
      <c r="P386" s="143"/>
      <c r="Q386" s="144"/>
      <c r="R386" s="150"/>
      <c r="S386" s="127" t="str">
        <f t="shared" si="47"/>
        <v/>
      </c>
      <c r="T386" s="175" t="str">
        <f t="shared" si="48"/>
        <v/>
      </c>
      <c r="U386" s="158" t="e">
        <f t="shared" si="49"/>
        <v>#N/A</v>
      </c>
      <c r="V386" s="310" t="str">
        <f t="shared" si="50"/>
        <v/>
      </c>
      <c r="W386" s="137" t="str">
        <f t="shared" si="51"/>
        <v>X</v>
      </c>
      <c r="X386" s="137">
        <f t="shared" si="52"/>
        <v>0</v>
      </c>
    </row>
    <row r="387" spans="1:24" ht="17.25" customHeight="1">
      <c r="A387" s="137" t="str">
        <f t="shared" ca="1" si="45"/>
        <v>-</v>
      </c>
      <c r="B387" s="173"/>
      <c r="C387" s="253" t="str">
        <f t="shared" si="46"/>
        <v/>
      </c>
      <c r="D387" s="173"/>
      <c r="E387" s="173"/>
      <c r="F387" s="329" t="str">
        <f t="shared" si="53"/>
        <v/>
      </c>
      <c r="G387" s="176"/>
      <c r="H387" s="130" t="str">
        <f>IFERROR(INDEX(DMDT!B:B,MATCH($G387,DMDT!D:D,0),),"")</f>
        <v/>
      </c>
      <c r="I387" s="131"/>
      <c r="J387" s="132"/>
      <c r="K387" s="133"/>
      <c r="L387" s="134"/>
      <c r="M387" s="134"/>
      <c r="N387" s="135"/>
      <c r="O387" s="219"/>
      <c r="P387" s="143"/>
      <c r="Q387" s="144"/>
      <c r="R387" s="150"/>
      <c r="S387" s="127" t="str">
        <f t="shared" si="47"/>
        <v/>
      </c>
      <c r="T387" s="175" t="str">
        <f t="shared" si="48"/>
        <v/>
      </c>
      <c r="U387" s="158" t="e">
        <f t="shared" si="49"/>
        <v>#N/A</v>
      </c>
      <c r="V387" s="310" t="str">
        <f t="shared" si="50"/>
        <v/>
      </c>
      <c r="W387" s="137" t="str">
        <f t="shared" si="51"/>
        <v>X</v>
      </c>
      <c r="X387" s="137">
        <f t="shared" si="52"/>
        <v>0</v>
      </c>
    </row>
    <row r="388" spans="1:24" ht="17.25" customHeight="1">
      <c r="A388" s="137" t="str">
        <f t="shared" ref="A388:A451" ca="1" si="54">IF(F388="","-",IF(COUNTIFS(OFFSET($H$3,,,ROW()-3),H388,OFFSET($J$3,,,ROW()-3),J388,OFFSET($N$3,,,ROW()-3),N388)=0,"-","FALSE"))</f>
        <v>-</v>
      </c>
      <c r="B388" s="173"/>
      <c r="C388" s="253" t="str">
        <f t="shared" si="46"/>
        <v/>
      </c>
      <c r="D388" s="173"/>
      <c r="E388" s="173"/>
      <c r="F388" s="329" t="str">
        <f t="shared" si="53"/>
        <v/>
      </c>
      <c r="G388" s="176"/>
      <c r="H388" s="130" t="str">
        <f>IFERROR(INDEX(DMDT!B:B,MATCH($G388,DMDT!D:D,0),),"")</f>
        <v/>
      </c>
      <c r="I388" s="131"/>
      <c r="J388" s="132"/>
      <c r="K388" s="133"/>
      <c r="L388" s="134"/>
      <c r="M388" s="134"/>
      <c r="N388" s="135"/>
      <c r="O388" s="219"/>
      <c r="P388" s="143"/>
      <c r="Q388" s="144"/>
      <c r="R388" s="150"/>
      <c r="S388" s="127" t="str">
        <f t="shared" si="47"/>
        <v/>
      </c>
      <c r="T388" s="175" t="str">
        <f t="shared" si="48"/>
        <v/>
      </c>
      <c r="U388" s="158" t="e">
        <f t="shared" si="49"/>
        <v>#N/A</v>
      </c>
      <c r="V388" s="310" t="str">
        <f t="shared" si="50"/>
        <v/>
      </c>
      <c r="W388" s="137" t="str">
        <f t="shared" si="51"/>
        <v>X</v>
      </c>
      <c r="X388" s="137">
        <f t="shared" si="52"/>
        <v>0</v>
      </c>
    </row>
    <row r="389" spans="1:24" ht="17.25" customHeight="1">
      <c r="A389" s="137" t="str">
        <f t="shared" ca="1" si="54"/>
        <v>-</v>
      </c>
      <c r="B389" s="173"/>
      <c r="C389" s="253" t="str">
        <f t="shared" ref="C389:C452" si="55">IF(F389="","",IF(LEFT(M389,5)&lt;&gt;"3311-","Non-GR",IF(AND(B389&lt;D389,B389&lt;&gt;""),NETWORKDAYS(B389,D389),IF(OR(L389="Mai",L389="Đức Anh",L389="C.Thảo"),"GIT","Non-GR"))))</f>
        <v/>
      </c>
      <c r="D389" s="173"/>
      <c r="E389" s="173"/>
      <c r="F389" s="329" t="str">
        <f t="shared" si="53"/>
        <v/>
      </c>
      <c r="G389" s="176"/>
      <c r="H389" s="130" t="str">
        <f>IFERROR(INDEX(DMDT!B:B,MATCH($G389,DMDT!D:D,0),),"")</f>
        <v/>
      </c>
      <c r="I389" s="131"/>
      <c r="J389" s="132"/>
      <c r="K389" s="133"/>
      <c r="L389" s="134"/>
      <c r="M389" s="134"/>
      <c r="N389" s="135"/>
      <c r="O389" s="219"/>
      <c r="P389" s="143"/>
      <c r="Q389" s="144"/>
      <c r="R389" s="150"/>
      <c r="S389" s="127" t="str">
        <f t="shared" ref="S389:S452" si="56">$N389&amp;LEFT($G389,6)</f>
        <v/>
      </c>
      <c r="T389" s="175" t="str">
        <f t="shared" ref="T389:T452" si="57">+LEFT($M389,5)</f>
        <v/>
      </c>
      <c r="U389" s="158" t="e">
        <f t="shared" ref="U389:U452" si="58">VLOOKUP(L389,$AB$10:$AC$26,2,0)</f>
        <v>#N/A</v>
      </c>
      <c r="V389" s="310" t="str">
        <f t="shared" ref="V389:V452" si="59">IF(T389="3311-",D389,"")</f>
        <v/>
      </c>
      <c r="W389" s="137" t="str">
        <f t="shared" ref="W389:W452" si="60">IFERROR(IF(MONTH(V389)=$F$1,DAY(V389),"NEXT"),"X")</f>
        <v>X</v>
      </c>
      <c r="X389" s="137">
        <f t="shared" ref="X389:X452" si="61">IFERROR(IF(31-W389&gt;5,1,2),0)</f>
        <v>0</v>
      </c>
    </row>
    <row r="390" spans="1:24" ht="17.25" customHeight="1">
      <c r="A390" s="137" t="str">
        <f t="shared" ca="1" si="54"/>
        <v>-</v>
      </c>
      <c r="B390" s="173"/>
      <c r="C390" s="253" t="str">
        <f t="shared" si="55"/>
        <v/>
      </c>
      <c r="D390" s="173"/>
      <c r="E390" s="173"/>
      <c r="F390" s="329" t="str">
        <f t="shared" ref="F390:F453" si="62">IF(E390&lt;&gt;"",F389+1,"")</f>
        <v/>
      </c>
      <c r="G390" s="176"/>
      <c r="H390" s="130" t="str">
        <f>IFERROR(INDEX(DMDT!B:B,MATCH($G390,DMDT!D:D,0),),"")</f>
        <v/>
      </c>
      <c r="I390" s="131"/>
      <c r="J390" s="132"/>
      <c r="K390" s="133"/>
      <c r="L390" s="134"/>
      <c r="M390" s="134"/>
      <c r="N390" s="135"/>
      <c r="O390" s="219"/>
      <c r="P390" s="143"/>
      <c r="Q390" s="144"/>
      <c r="R390" s="150"/>
      <c r="S390" s="127" t="str">
        <f t="shared" si="56"/>
        <v/>
      </c>
      <c r="T390" s="175" t="str">
        <f t="shared" si="57"/>
        <v/>
      </c>
      <c r="U390" s="158" t="e">
        <f t="shared" si="58"/>
        <v>#N/A</v>
      </c>
      <c r="V390" s="310" t="str">
        <f t="shared" si="59"/>
        <v/>
      </c>
      <c r="W390" s="137" t="str">
        <f t="shared" si="60"/>
        <v>X</v>
      </c>
      <c r="X390" s="137">
        <f t="shared" si="61"/>
        <v>0</v>
      </c>
    </row>
    <row r="391" spans="1:24" ht="17.25" customHeight="1">
      <c r="A391" s="137" t="str">
        <f t="shared" ca="1" si="54"/>
        <v>-</v>
      </c>
      <c r="B391" s="173"/>
      <c r="C391" s="253" t="str">
        <f t="shared" si="55"/>
        <v/>
      </c>
      <c r="D391" s="173"/>
      <c r="E391" s="173"/>
      <c r="F391" s="329" t="str">
        <f t="shared" si="62"/>
        <v/>
      </c>
      <c r="G391" s="176"/>
      <c r="H391" s="130" t="str">
        <f>IFERROR(INDEX(DMDT!B:B,MATCH($G391,DMDT!D:D,0),),"")</f>
        <v/>
      </c>
      <c r="I391" s="131"/>
      <c r="J391" s="132"/>
      <c r="K391" s="133"/>
      <c r="L391" s="134"/>
      <c r="M391" s="134"/>
      <c r="N391" s="135"/>
      <c r="O391" s="219"/>
      <c r="P391" s="143"/>
      <c r="Q391" s="144"/>
      <c r="R391" s="150"/>
      <c r="S391" s="127" t="str">
        <f t="shared" si="56"/>
        <v/>
      </c>
      <c r="T391" s="175" t="str">
        <f t="shared" si="57"/>
        <v/>
      </c>
      <c r="U391" s="158" t="e">
        <f t="shared" si="58"/>
        <v>#N/A</v>
      </c>
      <c r="V391" s="310" t="str">
        <f t="shared" si="59"/>
        <v/>
      </c>
      <c r="W391" s="137" t="str">
        <f t="shared" si="60"/>
        <v>X</v>
      </c>
      <c r="X391" s="137">
        <f t="shared" si="61"/>
        <v>0</v>
      </c>
    </row>
    <row r="392" spans="1:24" ht="17.25" customHeight="1">
      <c r="A392" s="137" t="str">
        <f t="shared" ca="1" si="54"/>
        <v>-</v>
      </c>
      <c r="B392" s="173"/>
      <c r="C392" s="253" t="str">
        <f t="shared" si="55"/>
        <v/>
      </c>
      <c r="D392" s="173"/>
      <c r="E392" s="173"/>
      <c r="F392" s="329" t="str">
        <f t="shared" si="62"/>
        <v/>
      </c>
      <c r="G392" s="176"/>
      <c r="H392" s="130" t="str">
        <f>IFERROR(INDEX(DMDT!B:B,MATCH($G392,DMDT!D:D,0),),"")</f>
        <v/>
      </c>
      <c r="I392" s="131"/>
      <c r="J392" s="132"/>
      <c r="K392" s="133"/>
      <c r="L392" s="134"/>
      <c r="M392" s="134"/>
      <c r="N392" s="135"/>
      <c r="O392" s="219"/>
      <c r="P392" s="143"/>
      <c r="Q392" s="144"/>
      <c r="R392" s="150"/>
      <c r="S392" s="127" t="str">
        <f t="shared" si="56"/>
        <v/>
      </c>
      <c r="T392" s="175" t="str">
        <f t="shared" si="57"/>
        <v/>
      </c>
      <c r="U392" s="158" t="e">
        <f t="shared" si="58"/>
        <v>#N/A</v>
      </c>
      <c r="V392" s="310" t="str">
        <f t="shared" si="59"/>
        <v/>
      </c>
      <c r="W392" s="137" t="str">
        <f t="shared" si="60"/>
        <v>X</v>
      </c>
      <c r="X392" s="137">
        <f t="shared" si="61"/>
        <v>0</v>
      </c>
    </row>
    <row r="393" spans="1:24" ht="17.25" customHeight="1">
      <c r="A393" s="137" t="str">
        <f t="shared" ca="1" si="54"/>
        <v>-</v>
      </c>
      <c r="B393" s="173"/>
      <c r="C393" s="253" t="str">
        <f t="shared" si="55"/>
        <v/>
      </c>
      <c r="D393" s="173"/>
      <c r="E393" s="173"/>
      <c r="F393" s="329" t="str">
        <f t="shared" si="62"/>
        <v/>
      </c>
      <c r="G393" s="176"/>
      <c r="H393" s="130" t="str">
        <f>IFERROR(INDEX(DMDT!B:B,MATCH($G393,DMDT!D:D,0),),"")</f>
        <v/>
      </c>
      <c r="I393" s="131"/>
      <c r="J393" s="132"/>
      <c r="K393" s="133"/>
      <c r="L393" s="134"/>
      <c r="M393" s="134"/>
      <c r="N393" s="135"/>
      <c r="O393" s="219"/>
      <c r="P393" s="143"/>
      <c r="Q393" s="144"/>
      <c r="R393" s="150"/>
      <c r="S393" s="127" t="str">
        <f t="shared" si="56"/>
        <v/>
      </c>
      <c r="T393" s="175" t="str">
        <f t="shared" si="57"/>
        <v/>
      </c>
      <c r="U393" s="158" t="e">
        <f t="shared" si="58"/>
        <v>#N/A</v>
      </c>
      <c r="V393" s="310" t="str">
        <f t="shared" si="59"/>
        <v/>
      </c>
      <c r="W393" s="137" t="str">
        <f t="shared" si="60"/>
        <v>X</v>
      </c>
      <c r="X393" s="137">
        <f t="shared" si="61"/>
        <v>0</v>
      </c>
    </row>
    <row r="394" spans="1:24" ht="17.25" customHeight="1">
      <c r="A394" s="137" t="str">
        <f t="shared" ca="1" si="54"/>
        <v>-</v>
      </c>
      <c r="B394" s="173"/>
      <c r="C394" s="253" t="str">
        <f t="shared" si="55"/>
        <v/>
      </c>
      <c r="D394" s="173"/>
      <c r="E394" s="173"/>
      <c r="F394" s="329" t="str">
        <f t="shared" si="62"/>
        <v/>
      </c>
      <c r="G394" s="176"/>
      <c r="H394" s="130" t="str">
        <f>IFERROR(INDEX(DMDT!B:B,MATCH($G394,DMDT!D:D,0),),"")</f>
        <v/>
      </c>
      <c r="I394" s="131"/>
      <c r="J394" s="132"/>
      <c r="K394" s="133"/>
      <c r="L394" s="134"/>
      <c r="M394" s="134"/>
      <c r="N394" s="135"/>
      <c r="O394" s="219"/>
      <c r="P394" s="143"/>
      <c r="Q394" s="144"/>
      <c r="R394" s="150"/>
      <c r="S394" s="127" t="str">
        <f t="shared" si="56"/>
        <v/>
      </c>
      <c r="T394" s="175" t="str">
        <f t="shared" si="57"/>
        <v/>
      </c>
      <c r="U394" s="158" t="e">
        <f t="shared" si="58"/>
        <v>#N/A</v>
      </c>
      <c r="V394" s="310" t="str">
        <f t="shared" si="59"/>
        <v/>
      </c>
      <c r="W394" s="137" t="str">
        <f t="shared" si="60"/>
        <v>X</v>
      </c>
      <c r="X394" s="137">
        <f t="shared" si="61"/>
        <v>0</v>
      </c>
    </row>
    <row r="395" spans="1:24" ht="17.25" customHeight="1">
      <c r="A395" s="137" t="str">
        <f t="shared" ca="1" si="54"/>
        <v>-</v>
      </c>
      <c r="B395" s="173"/>
      <c r="C395" s="253" t="str">
        <f t="shared" si="55"/>
        <v/>
      </c>
      <c r="D395" s="173"/>
      <c r="E395" s="173"/>
      <c r="F395" s="329" t="str">
        <f t="shared" si="62"/>
        <v/>
      </c>
      <c r="G395" s="176"/>
      <c r="H395" s="130" t="str">
        <f>IFERROR(INDEX(DMDT!B:B,MATCH($G395,DMDT!D:D,0),),"")</f>
        <v/>
      </c>
      <c r="I395" s="131"/>
      <c r="J395" s="132"/>
      <c r="K395" s="133"/>
      <c r="L395" s="134"/>
      <c r="M395" s="134"/>
      <c r="N395" s="135"/>
      <c r="O395" s="219"/>
      <c r="P395" s="143"/>
      <c r="Q395" s="144"/>
      <c r="R395" s="150"/>
      <c r="S395" s="127" t="str">
        <f t="shared" si="56"/>
        <v/>
      </c>
      <c r="T395" s="175" t="str">
        <f t="shared" si="57"/>
        <v/>
      </c>
      <c r="U395" s="158" t="e">
        <f t="shared" si="58"/>
        <v>#N/A</v>
      </c>
      <c r="V395" s="310" t="str">
        <f t="shared" si="59"/>
        <v/>
      </c>
      <c r="W395" s="137" t="str">
        <f t="shared" si="60"/>
        <v>X</v>
      </c>
      <c r="X395" s="137">
        <f t="shared" si="61"/>
        <v>0</v>
      </c>
    </row>
    <row r="396" spans="1:24" ht="17.25" customHeight="1">
      <c r="A396" s="137" t="str">
        <f t="shared" ca="1" si="54"/>
        <v>-</v>
      </c>
      <c r="B396" s="173"/>
      <c r="C396" s="253" t="str">
        <f t="shared" si="55"/>
        <v/>
      </c>
      <c r="D396" s="173"/>
      <c r="E396" s="173"/>
      <c r="F396" s="329" t="str">
        <f t="shared" si="62"/>
        <v/>
      </c>
      <c r="G396" s="176"/>
      <c r="H396" s="130" t="str">
        <f>IFERROR(INDEX(DMDT!B:B,MATCH($G396,DMDT!D:D,0),),"")</f>
        <v/>
      </c>
      <c r="I396" s="131"/>
      <c r="J396" s="132"/>
      <c r="K396" s="133"/>
      <c r="L396" s="134"/>
      <c r="M396" s="134"/>
      <c r="N396" s="135"/>
      <c r="O396" s="219"/>
      <c r="P396" s="143"/>
      <c r="Q396" s="144"/>
      <c r="R396" s="150"/>
      <c r="S396" s="127" t="str">
        <f t="shared" si="56"/>
        <v/>
      </c>
      <c r="T396" s="175" t="str">
        <f t="shared" si="57"/>
        <v/>
      </c>
      <c r="U396" s="158" t="e">
        <f t="shared" si="58"/>
        <v>#N/A</v>
      </c>
      <c r="V396" s="310" t="str">
        <f t="shared" si="59"/>
        <v/>
      </c>
      <c r="W396" s="137" t="str">
        <f t="shared" si="60"/>
        <v>X</v>
      </c>
      <c r="X396" s="137">
        <f t="shared" si="61"/>
        <v>0</v>
      </c>
    </row>
    <row r="397" spans="1:24" ht="17.25" customHeight="1">
      <c r="A397" s="137" t="str">
        <f t="shared" ca="1" si="54"/>
        <v>-</v>
      </c>
      <c r="B397" s="173"/>
      <c r="C397" s="253" t="str">
        <f t="shared" si="55"/>
        <v/>
      </c>
      <c r="D397" s="173"/>
      <c r="E397" s="173"/>
      <c r="F397" s="329" t="str">
        <f t="shared" si="62"/>
        <v/>
      </c>
      <c r="G397" s="176"/>
      <c r="H397" s="130" t="str">
        <f>IFERROR(INDEX(DMDT!B:B,MATCH($G397,DMDT!D:D,0),),"")</f>
        <v/>
      </c>
      <c r="I397" s="131"/>
      <c r="J397" s="132"/>
      <c r="K397" s="133"/>
      <c r="L397" s="134"/>
      <c r="M397" s="134"/>
      <c r="N397" s="135"/>
      <c r="O397" s="219"/>
      <c r="P397" s="143"/>
      <c r="Q397" s="144"/>
      <c r="R397" s="150"/>
      <c r="S397" s="127" t="str">
        <f t="shared" si="56"/>
        <v/>
      </c>
      <c r="T397" s="175" t="str">
        <f t="shared" si="57"/>
        <v/>
      </c>
      <c r="U397" s="158" t="e">
        <f t="shared" si="58"/>
        <v>#N/A</v>
      </c>
      <c r="V397" s="310" t="str">
        <f t="shared" si="59"/>
        <v/>
      </c>
      <c r="W397" s="137" t="str">
        <f t="shared" si="60"/>
        <v>X</v>
      </c>
      <c r="X397" s="137">
        <f t="shared" si="61"/>
        <v>0</v>
      </c>
    </row>
    <row r="398" spans="1:24" ht="17.25" customHeight="1">
      <c r="A398" s="137" t="str">
        <f t="shared" ca="1" si="54"/>
        <v>-</v>
      </c>
      <c r="B398" s="173"/>
      <c r="C398" s="253" t="str">
        <f t="shared" si="55"/>
        <v/>
      </c>
      <c r="D398" s="173"/>
      <c r="E398" s="173"/>
      <c r="F398" s="329" t="str">
        <f t="shared" si="62"/>
        <v/>
      </c>
      <c r="G398" s="176"/>
      <c r="H398" s="130" t="str">
        <f>IFERROR(INDEX(DMDT!B:B,MATCH($G398,DMDT!D:D,0),),"")</f>
        <v/>
      </c>
      <c r="I398" s="131"/>
      <c r="J398" s="132"/>
      <c r="K398" s="133"/>
      <c r="L398" s="134"/>
      <c r="M398" s="134"/>
      <c r="N398" s="135"/>
      <c r="O398" s="219"/>
      <c r="P398" s="143"/>
      <c r="Q398" s="144"/>
      <c r="R398" s="150"/>
      <c r="S398" s="127" t="str">
        <f t="shared" si="56"/>
        <v/>
      </c>
      <c r="T398" s="175" t="str">
        <f t="shared" si="57"/>
        <v/>
      </c>
      <c r="U398" s="158" t="e">
        <f t="shared" si="58"/>
        <v>#N/A</v>
      </c>
      <c r="V398" s="310" t="str">
        <f t="shared" si="59"/>
        <v/>
      </c>
      <c r="W398" s="137" t="str">
        <f t="shared" si="60"/>
        <v>X</v>
      </c>
      <c r="X398" s="137">
        <f t="shared" si="61"/>
        <v>0</v>
      </c>
    </row>
    <row r="399" spans="1:24" ht="17.25" customHeight="1">
      <c r="A399" s="137" t="str">
        <f t="shared" ca="1" si="54"/>
        <v>-</v>
      </c>
      <c r="B399" s="173"/>
      <c r="C399" s="253" t="str">
        <f t="shared" si="55"/>
        <v/>
      </c>
      <c r="D399" s="173"/>
      <c r="E399" s="173"/>
      <c r="F399" s="329" t="str">
        <f t="shared" si="62"/>
        <v/>
      </c>
      <c r="G399" s="176"/>
      <c r="H399" s="130" t="str">
        <f>IFERROR(INDEX(DMDT!B:B,MATCH($G399,DMDT!D:D,0),),"")</f>
        <v/>
      </c>
      <c r="I399" s="131"/>
      <c r="J399" s="132"/>
      <c r="K399" s="133"/>
      <c r="L399" s="134"/>
      <c r="M399" s="134"/>
      <c r="N399" s="135"/>
      <c r="O399" s="219"/>
      <c r="P399" s="143"/>
      <c r="Q399" s="144"/>
      <c r="R399" s="150"/>
      <c r="S399" s="127" t="str">
        <f t="shared" si="56"/>
        <v/>
      </c>
      <c r="T399" s="175" t="str">
        <f t="shared" si="57"/>
        <v/>
      </c>
      <c r="U399" s="158" t="e">
        <f t="shared" si="58"/>
        <v>#N/A</v>
      </c>
      <c r="V399" s="310" t="str">
        <f t="shared" si="59"/>
        <v/>
      </c>
      <c r="W399" s="137" t="str">
        <f t="shared" si="60"/>
        <v>X</v>
      </c>
      <c r="X399" s="137">
        <f t="shared" si="61"/>
        <v>0</v>
      </c>
    </row>
    <row r="400" spans="1:24" ht="17.25" customHeight="1">
      <c r="A400" s="137" t="str">
        <f t="shared" ca="1" si="54"/>
        <v>-</v>
      </c>
      <c r="B400" s="173"/>
      <c r="C400" s="253" t="str">
        <f t="shared" si="55"/>
        <v/>
      </c>
      <c r="D400" s="173"/>
      <c r="E400" s="173"/>
      <c r="F400" s="329" t="str">
        <f t="shared" si="62"/>
        <v/>
      </c>
      <c r="G400" s="176"/>
      <c r="H400" s="130" t="str">
        <f>IFERROR(INDEX(DMDT!B:B,MATCH($G400,DMDT!D:D,0),),"")</f>
        <v/>
      </c>
      <c r="I400" s="131"/>
      <c r="J400" s="132"/>
      <c r="K400" s="133"/>
      <c r="L400" s="134"/>
      <c r="M400" s="134"/>
      <c r="N400" s="135"/>
      <c r="O400" s="219"/>
      <c r="P400" s="143"/>
      <c r="Q400" s="144"/>
      <c r="R400" s="150"/>
      <c r="S400" s="127" t="str">
        <f t="shared" si="56"/>
        <v/>
      </c>
      <c r="T400" s="175" t="str">
        <f t="shared" si="57"/>
        <v/>
      </c>
      <c r="U400" s="158" t="e">
        <f t="shared" si="58"/>
        <v>#N/A</v>
      </c>
      <c r="V400" s="310" t="str">
        <f t="shared" si="59"/>
        <v/>
      </c>
      <c r="W400" s="137" t="str">
        <f t="shared" si="60"/>
        <v>X</v>
      </c>
      <c r="X400" s="137">
        <f t="shared" si="61"/>
        <v>0</v>
      </c>
    </row>
    <row r="401" spans="1:24" ht="17.25" customHeight="1">
      <c r="A401" s="137" t="str">
        <f t="shared" ca="1" si="54"/>
        <v>-</v>
      </c>
      <c r="B401" s="173"/>
      <c r="C401" s="253" t="str">
        <f t="shared" si="55"/>
        <v/>
      </c>
      <c r="D401" s="173"/>
      <c r="E401" s="173"/>
      <c r="F401" s="329" t="str">
        <f t="shared" si="62"/>
        <v/>
      </c>
      <c r="G401" s="176"/>
      <c r="H401" s="130" t="str">
        <f>IFERROR(INDEX(DMDT!B:B,MATCH($G401,DMDT!D:D,0),),"")</f>
        <v/>
      </c>
      <c r="I401" s="131"/>
      <c r="J401" s="132"/>
      <c r="K401" s="133"/>
      <c r="L401" s="134"/>
      <c r="M401" s="134"/>
      <c r="N401" s="135"/>
      <c r="O401" s="219"/>
      <c r="P401" s="143"/>
      <c r="Q401" s="144"/>
      <c r="R401" s="150"/>
      <c r="S401" s="127" t="str">
        <f t="shared" si="56"/>
        <v/>
      </c>
      <c r="T401" s="175" t="str">
        <f t="shared" si="57"/>
        <v/>
      </c>
      <c r="U401" s="158" t="e">
        <f t="shared" si="58"/>
        <v>#N/A</v>
      </c>
      <c r="V401" s="310" t="str">
        <f t="shared" si="59"/>
        <v/>
      </c>
      <c r="W401" s="137" t="str">
        <f t="shared" si="60"/>
        <v>X</v>
      </c>
      <c r="X401" s="137">
        <f t="shared" si="61"/>
        <v>0</v>
      </c>
    </row>
    <row r="402" spans="1:24" ht="17.25" customHeight="1">
      <c r="A402" s="137" t="str">
        <f t="shared" ca="1" si="54"/>
        <v>-</v>
      </c>
      <c r="B402" s="173"/>
      <c r="C402" s="253" t="str">
        <f t="shared" si="55"/>
        <v/>
      </c>
      <c r="D402" s="173"/>
      <c r="E402" s="173"/>
      <c r="F402" s="329" t="str">
        <f t="shared" si="62"/>
        <v/>
      </c>
      <c r="G402" s="176"/>
      <c r="H402" s="130" t="str">
        <f>IFERROR(INDEX(DMDT!B:B,MATCH($G402,DMDT!D:D,0),),"")</f>
        <v/>
      </c>
      <c r="I402" s="131"/>
      <c r="J402" s="132"/>
      <c r="K402" s="133"/>
      <c r="L402" s="134"/>
      <c r="M402" s="134"/>
      <c r="N402" s="135"/>
      <c r="O402" s="219"/>
      <c r="P402" s="143"/>
      <c r="Q402" s="144"/>
      <c r="R402" s="150"/>
      <c r="S402" s="127" t="str">
        <f t="shared" si="56"/>
        <v/>
      </c>
      <c r="T402" s="175" t="str">
        <f t="shared" si="57"/>
        <v/>
      </c>
      <c r="U402" s="158" t="e">
        <f t="shared" si="58"/>
        <v>#N/A</v>
      </c>
      <c r="V402" s="310" t="str">
        <f t="shared" si="59"/>
        <v/>
      </c>
      <c r="W402" s="137" t="str">
        <f t="shared" si="60"/>
        <v>X</v>
      </c>
      <c r="X402" s="137">
        <f t="shared" si="61"/>
        <v>0</v>
      </c>
    </row>
    <row r="403" spans="1:24" ht="17.25" customHeight="1">
      <c r="A403" s="137" t="str">
        <f t="shared" ca="1" si="54"/>
        <v>-</v>
      </c>
      <c r="B403" s="173"/>
      <c r="C403" s="253" t="str">
        <f t="shared" si="55"/>
        <v/>
      </c>
      <c r="D403" s="173"/>
      <c r="E403" s="173"/>
      <c r="F403" s="329" t="str">
        <f t="shared" si="62"/>
        <v/>
      </c>
      <c r="G403" s="176"/>
      <c r="H403" s="130" t="str">
        <f>IFERROR(INDEX(DMDT!B:B,MATCH($G403,DMDT!D:D,0),),"")</f>
        <v/>
      </c>
      <c r="I403" s="131"/>
      <c r="J403" s="132"/>
      <c r="K403" s="133"/>
      <c r="L403" s="134"/>
      <c r="M403" s="134"/>
      <c r="N403" s="135"/>
      <c r="O403" s="219"/>
      <c r="P403" s="143"/>
      <c r="Q403" s="144"/>
      <c r="R403" s="150"/>
      <c r="S403" s="127" t="str">
        <f t="shared" si="56"/>
        <v/>
      </c>
      <c r="T403" s="175" t="str">
        <f t="shared" si="57"/>
        <v/>
      </c>
      <c r="U403" s="158" t="e">
        <f t="shared" si="58"/>
        <v>#N/A</v>
      </c>
      <c r="V403" s="310" t="str">
        <f t="shared" si="59"/>
        <v/>
      </c>
      <c r="W403" s="137" t="str">
        <f t="shared" si="60"/>
        <v>X</v>
      </c>
      <c r="X403" s="137">
        <f t="shared" si="61"/>
        <v>0</v>
      </c>
    </row>
    <row r="404" spans="1:24" ht="17.25" customHeight="1">
      <c r="A404" s="137" t="str">
        <f t="shared" ca="1" si="54"/>
        <v>-</v>
      </c>
      <c r="B404" s="173"/>
      <c r="C404" s="253" t="str">
        <f t="shared" si="55"/>
        <v/>
      </c>
      <c r="D404" s="173"/>
      <c r="E404" s="173"/>
      <c r="F404" s="329" t="str">
        <f t="shared" si="62"/>
        <v/>
      </c>
      <c r="G404" s="176"/>
      <c r="H404" s="130" t="str">
        <f>IFERROR(INDEX(DMDT!B:B,MATCH($G404,DMDT!D:D,0),),"")</f>
        <v/>
      </c>
      <c r="I404" s="131"/>
      <c r="J404" s="132"/>
      <c r="K404" s="133"/>
      <c r="L404" s="134"/>
      <c r="M404" s="134"/>
      <c r="N404" s="135"/>
      <c r="O404" s="219"/>
      <c r="P404" s="143"/>
      <c r="Q404" s="144"/>
      <c r="R404" s="150"/>
      <c r="S404" s="127" t="str">
        <f t="shared" si="56"/>
        <v/>
      </c>
      <c r="T404" s="175" t="str">
        <f t="shared" si="57"/>
        <v/>
      </c>
      <c r="U404" s="158" t="e">
        <f t="shared" si="58"/>
        <v>#N/A</v>
      </c>
      <c r="V404" s="310" t="str">
        <f t="shared" si="59"/>
        <v/>
      </c>
      <c r="W404" s="137" t="str">
        <f t="shared" si="60"/>
        <v>X</v>
      </c>
      <c r="X404" s="137">
        <f t="shared" si="61"/>
        <v>0</v>
      </c>
    </row>
    <row r="405" spans="1:24" ht="17.25" customHeight="1">
      <c r="A405" s="137" t="str">
        <f t="shared" ca="1" si="54"/>
        <v>-</v>
      </c>
      <c r="B405" s="173"/>
      <c r="C405" s="253" t="str">
        <f t="shared" si="55"/>
        <v/>
      </c>
      <c r="D405" s="173"/>
      <c r="E405" s="173"/>
      <c r="F405" s="329" t="str">
        <f t="shared" si="62"/>
        <v/>
      </c>
      <c r="G405" s="174"/>
      <c r="H405" s="130" t="str">
        <f>IFERROR(INDEX(DMDT!B:B,MATCH($G405,DMDT!D:D,0),),"")</f>
        <v/>
      </c>
      <c r="I405" s="131"/>
      <c r="J405" s="132"/>
      <c r="K405" s="133"/>
      <c r="L405" s="134"/>
      <c r="M405" s="134"/>
      <c r="N405" s="135"/>
      <c r="O405" s="219"/>
      <c r="P405" s="143"/>
      <c r="Q405" s="144"/>
      <c r="R405" s="150"/>
      <c r="S405" s="127" t="str">
        <f t="shared" si="56"/>
        <v/>
      </c>
      <c r="T405" s="175" t="str">
        <f t="shared" si="57"/>
        <v/>
      </c>
      <c r="U405" s="158" t="e">
        <f t="shared" si="58"/>
        <v>#N/A</v>
      </c>
      <c r="V405" s="310" t="str">
        <f t="shared" si="59"/>
        <v/>
      </c>
      <c r="W405" s="137" t="str">
        <f t="shared" si="60"/>
        <v>X</v>
      </c>
      <c r="X405" s="137">
        <f t="shared" si="61"/>
        <v>0</v>
      </c>
    </row>
    <row r="406" spans="1:24" ht="17.25" customHeight="1">
      <c r="A406" s="137" t="str">
        <f t="shared" ca="1" si="54"/>
        <v>-</v>
      </c>
      <c r="B406" s="173"/>
      <c r="C406" s="253" t="str">
        <f t="shared" si="55"/>
        <v/>
      </c>
      <c r="D406" s="173"/>
      <c r="E406" s="173"/>
      <c r="F406" s="329" t="str">
        <f t="shared" si="62"/>
        <v/>
      </c>
      <c r="G406" s="212"/>
      <c r="H406" s="130" t="str">
        <f>IFERROR(INDEX(DMDT!B:B,MATCH($G406,DMDT!D:D,0),),"")</f>
        <v/>
      </c>
      <c r="I406" s="131"/>
      <c r="J406" s="132"/>
      <c r="K406" s="133"/>
      <c r="L406" s="134"/>
      <c r="M406" s="134"/>
      <c r="N406" s="135"/>
      <c r="O406" s="219"/>
      <c r="P406" s="143"/>
      <c r="Q406" s="144"/>
      <c r="R406" s="150"/>
      <c r="S406" s="127" t="str">
        <f t="shared" si="56"/>
        <v/>
      </c>
      <c r="T406" s="175" t="str">
        <f t="shared" si="57"/>
        <v/>
      </c>
      <c r="U406" s="158" t="e">
        <f t="shared" si="58"/>
        <v>#N/A</v>
      </c>
      <c r="V406" s="310" t="str">
        <f t="shared" si="59"/>
        <v/>
      </c>
      <c r="W406" s="137" t="str">
        <f t="shared" si="60"/>
        <v>X</v>
      </c>
      <c r="X406" s="137">
        <f t="shared" si="61"/>
        <v>0</v>
      </c>
    </row>
    <row r="407" spans="1:24" ht="17.25" customHeight="1">
      <c r="A407" s="137" t="str">
        <f t="shared" ca="1" si="54"/>
        <v>-</v>
      </c>
      <c r="B407" s="173"/>
      <c r="C407" s="253" t="str">
        <f t="shared" si="55"/>
        <v/>
      </c>
      <c r="D407" s="173"/>
      <c r="E407" s="173"/>
      <c r="F407" s="329" t="str">
        <f t="shared" si="62"/>
        <v/>
      </c>
      <c r="G407" s="212"/>
      <c r="H407" s="130" t="str">
        <f>IFERROR(INDEX(DMDT!B:B,MATCH($G407,DMDT!D:D,0),),"")</f>
        <v/>
      </c>
      <c r="I407" s="131"/>
      <c r="J407" s="132"/>
      <c r="K407" s="133"/>
      <c r="L407" s="134"/>
      <c r="M407" s="134"/>
      <c r="N407" s="135"/>
      <c r="O407" s="219"/>
      <c r="P407" s="143"/>
      <c r="Q407" s="144"/>
      <c r="R407" s="150"/>
      <c r="S407" s="127" t="str">
        <f t="shared" si="56"/>
        <v/>
      </c>
      <c r="T407" s="175" t="str">
        <f t="shared" si="57"/>
        <v/>
      </c>
      <c r="U407" s="158" t="e">
        <f t="shared" si="58"/>
        <v>#N/A</v>
      </c>
      <c r="V407" s="310" t="str">
        <f t="shared" si="59"/>
        <v/>
      </c>
      <c r="W407" s="137" t="str">
        <f t="shared" si="60"/>
        <v>X</v>
      </c>
      <c r="X407" s="137">
        <f t="shared" si="61"/>
        <v>0</v>
      </c>
    </row>
    <row r="408" spans="1:24" ht="17.25" customHeight="1">
      <c r="A408" s="137" t="str">
        <f t="shared" ca="1" si="54"/>
        <v>-</v>
      </c>
      <c r="B408" s="173"/>
      <c r="C408" s="253" t="str">
        <f t="shared" si="55"/>
        <v/>
      </c>
      <c r="D408" s="173"/>
      <c r="E408" s="173"/>
      <c r="F408" s="329" t="str">
        <f t="shared" si="62"/>
        <v/>
      </c>
      <c r="G408" s="176"/>
      <c r="H408" s="130" t="str">
        <f>IFERROR(INDEX(DMDT!B:B,MATCH($G408,DMDT!D:D,0),),"")</f>
        <v/>
      </c>
      <c r="I408" s="131"/>
      <c r="J408" s="132"/>
      <c r="K408" s="133"/>
      <c r="L408" s="134"/>
      <c r="M408" s="134"/>
      <c r="N408" s="135"/>
      <c r="O408" s="219"/>
      <c r="P408" s="143"/>
      <c r="Q408" s="144"/>
      <c r="R408" s="150"/>
      <c r="S408" s="127" t="str">
        <f t="shared" si="56"/>
        <v/>
      </c>
      <c r="T408" s="175" t="str">
        <f t="shared" si="57"/>
        <v/>
      </c>
      <c r="U408" s="158" t="e">
        <f t="shared" si="58"/>
        <v>#N/A</v>
      </c>
      <c r="V408" s="310" t="str">
        <f t="shared" si="59"/>
        <v/>
      </c>
      <c r="W408" s="137" t="str">
        <f t="shared" si="60"/>
        <v>X</v>
      </c>
      <c r="X408" s="137">
        <f t="shared" si="61"/>
        <v>0</v>
      </c>
    </row>
    <row r="409" spans="1:24" ht="17.25" customHeight="1">
      <c r="A409" s="137" t="str">
        <f t="shared" ca="1" si="54"/>
        <v>-</v>
      </c>
      <c r="B409" s="173"/>
      <c r="C409" s="253" t="str">
        <f t="shared" si="55"/>
        <v/>
      </c>
      <c r="D409" s="173"/>
      <c r="E409" s="173"/>
      <c r="F409" s="329" t="str">
        <f t="shared" si="62"/>
        <v/>
      </c>
      <c r="G409" s="176"/>
      <c r="H409" s="130" t="str">
        <f>IFERROR(INDEX(DMDT!B:B,MATCH($G409,DMDT!D:D,0),),"")</f>
        <v/>
      </c>
      <c r="I409" s="131"/>
      <c r="J409" s="132"/>
      <c r="K409" s="133"/>
      <c r="L409" s="134"/>
      <c r="M409" s="134"/>
      <c r="N409" s="135"/>
      <c r="O409" s="219"/>
      <c r="P409" s="143"/>
      <c r="Q409" s="144"/>
      <c r="R409" s="150"/>
      <c r="S409" s="127" t="str">
        <f t="shared" si="56"/>
        <v/>
      </c>
      <c r="T409" s="175" t="str">
        <f t="shared" si="57"/>
        <v/>
      </c>
      <c r="U409" s="158" t="e">
        <f t="shared" si="58"/>
        <v>#N/A</v>
      </c>
      <c r="V409" s="310" t="str">
        <f t="shared" si="59"/>
        <v/>
      </c>
      <c r="W409" s="137" t="str">
        <f t="shared" si="60"/>
        <v>X</v>
      </c>
      <c r="X409" s="137">
        <f t="shared" si="61"/>
        <v>0</v>
      </c>
    </row>
    <row r="410" spans="1:24" ht="17.25" customHeight="1">
      <c r="A410" s="137" t="str">
        <f t="shared" ca="1" si="54"/>
        <v>-</v>
      </c>
      <c r="B410" s="173"/>
      <c r="C410" s="253" t="str">
        <f t="shared" si="55"/>
        <v/>
      </c>
      <c r="D410" s="173"/>
      <c r="E410" s="173"/>
      <c r="F410" s="329" t="str">
        <f t="shared" si="62"/>
        <v/>
      </c>
      <c r="G410" s="176"/>
      <c r="H410" s="130" t="str">
        <f>IFERROR(INDEX(DMDT!B:B,MATCH($G410,DMDT!D:D,0),),"")</f>
        <v/>
      </c>
      <c r="I410" s="131"/>
      <c r="J410" s="132"/>
      <c r="K410" s="133"/>
      <c r="L410" s="134"/>
      <c r="M410" s="134"/>
      <c r="N410" s="135"/>
      <c r="O410" s="219"/>
      <c r="P410" s="143"/>
      <c r="Q410" s="144"/>
      <c r="R410" s="150"/>
      <c r="S410" s="127" t="str">
        <f t="shared" si="56"/>
        <v/>
      </c>
      <c r="T410" s="175" t="str">
        <f t="shared" si="57"/>
        <v/>
      </c>
      <c r="U410" s="158" t="e">
        <f t="shared" si="58"/>
        <v>#N/A</v>
      </c>
      <c r="V410" s="310" t="str">
        <f t="shared" si="59"/>
        <v/>
      </c>
      <c r="W410" s="137" t="str">
        <f t="shared" si="60"/>
        <v>X</v>
      </c>
      <c r="X410" s="137">
        <f t="shared" si="61"/>
        <v>0</v>
      </c>
    </row>
    <row r="411" spans="1:24" ht="17.25" customHeight="1">
      <c r="A411" s="137" t="str">
        <f t="shared" ca="1" si="54"/>
        <v>-</v>
      </c>
      <c r="B411" s="173"/>
      <c r="C411" s="253" t="str">
        <f t="shared" si="55"/>
        <v/>
      </c>
      <c r="D411" s="173"/>
      <c r="E411" s="173"/>
      <c r="F411" s="329" t="str">
        <f t="shared" si="62"/>
        <v/>
      </c>
      <c r="G411" s="176"/>
      <c r="H411" s="130" t="str">
        <f>IFERROR(INDEX(DMDT!B:B,MATCH($G411,DMDT!D:D,0),),"")</f>
        <v/>
      </c>
      <c r="I411" s="131"/>
      <c r="J411" s="132"/>
      <c r="K411" s="133"/>
      <c r="L411" s="134"/>
      <c r="M411" s="134"/>
      <c r="N411" s="135"/>
      <c r="O411" s="219"/>
      <c r="P411" s="143"/>
      <c r="Q411" s="144"/>
      <c r="R411" s="150"/>
      <c r="S411" s="127" t="str">
        <f t="shared" si="56"/>
        <v/>
      </c>
      <c r="T411" s="175" t="str">
        <f t="shared" si="57"/>
        <v/>
      </c>
      <c r="U411" s="158" t="e">
        <f t="shared" si="58"/>
        <v>#N/A</v>
      </c>
      <c r="V411" s="310" t="str">
        <f t="shared" si="59"/>
        <v/>
      </c>
      <c r="W411" s="137" t="str">
        <f t="shared" si="60"/>
        <v>X</v>
      </c>
      <c r="X411" s="137">
        <f t="shared" si="61"/>
        <v>0</v>
      </c>
    </row>
    <row r="412" spans="1:24" ht="17.25" customHeight="1">
      <c r="A412" s="137" t="str">
        <f t="shared" ca="1" si="54"/>
        <v>-</v>
      </c>
      <c r="B412" s="173"/>
      <c r="C412" s="253" t="str">
        <f t="shared" si="55"/>
        <v/>
      </c>
      <c r="D412" s="173"/>
      <c r="E412" s="173"/>
      <c r="F412" s="329" t="str">
        <f t="shared" si="62"/>
        <v/>
      </c>
      <c r="G412" s="176"/>
      <c r="H412" s="130" t="str">
        <f>IFERROR(INDEX(DMDT!B:B,MATCH($G412,DMDT!D:D,0),),"")</f>
        <v/>
      </c>
      <c r="I412" s="131"/>
      <c r="J412" s="132"/>
      <c r="K412" s="133"/>
      <c r="L412" s="134"/>
      <c r="M412" s="134"/>
      <c r="N412" s="135"/>
      <c r="O412" s="219"/>
      <c r="P412" s="143"/>
      <c r="Q412" s="144"/>
      <c r="R412" s="150"/>
      <c r="S412" s="127" t="str">
        <f t="shared" si="56"/>
        <v/>
      </c>
      <c r="T412" s="175" t="str">
        <f t="shared" si="57"/>
        <v/>
      </c>
      <c r="U412" s="158" t="e">
        <f t="shared" si="58"/>
        <v>#N/A</v>
      </c>
      <c r="V412" s="310" t="str">
        <f t="shared" si="59"/>
        <v/>
      </c>
      <c r="W412" s="137" t="str">
        <f t="shared" si="60"/>
        <v>X</v>
      </c>
      <c r="X412" s="137">
        <f t="shared" si="61"/>
        <v>0</v>
      </c>
    </row>
    <row r="413" spans="1:24" ht="17.25" customHeight="1">
      <c r="A413" s="137" t="str">
        <f t="shared" ca="1" si="54"/>
        <v>-</v>
      </c>
      <c r="B413" s="173"/>
      <c r="C413" s="253" t="str">
        <f t="shared" si="55"/>
        <v/>
      </c>
      <c r="D413" s="173"/>
      <c r="E413" s="173"/>
      <c r="F413" s="329" t="str">
        <f t="shared" si="62"/>
        <v/>
      </c>
      <c r="G413" s="176"/>
      <c r="H413" s="130" t="str">
        <f>IFERROR(INDEX(DMDT!B:B,MATCH($G413,DMDT!D:D,0),),"")</f>
        <v/>
      </c>
      <c r="I413" s="131"/>
      <c r="J413" s="132"/>
      <c r="K413" s="133"/>
      <c r="L413" s="134"/>
      <c r="M413" s="134"/>
      <c r="N413" s="135"/>
      <c r="O413" s="219"/>
      <c r="P413" s="143"/>
      <c r="Q413" s="144"/>
      <c r="R413" s="150"/>
      <c r="S413" s="127" t="str">
        <f t="shared" si="56"/>
        <v/>
      </c>
      <c r="T413" s="175" t="str">
        <f t="shared" si="57"/>
        <v/>
      </c>
      <c r="U413" s="158" t="e">
        <f t="shared" si="58"/>
        <v>#N/A</v>
      </c>
      <c r="V413" s="310" t="str">
        <f t="shared" si="59"/>
        <v/>
      </c>
      <c r="W413" s="137" t="str">
        <f t="shared" si="60"/>
        <v>X</v>
      </c>
      <c r="X413" s="137">
        <f t="shared" si="61"/>
        <v>0</v>
      </c>
    </row>
    <row r="414" spans="1:24" ht="17.25" customHeight="1">
      <c r="A414" s="137" t="str">
        <f t="shared" ca="1" si="54"/>
        <v>-</v>
      </c>
      <c r="B414" s="173"/>
      <c r="C414" s="253" t="str">
        <f t="shared" si="55"/>
        <v/>
      </c>
      <c r="D414" s="173"/>
      <c r="E414" s="173"/>
      <c r="F414" s="329" t="str">
        <f t="shared" si="62"/>
        <v/>
      </c>
      <c r="G414" s="176"/>
      <c r="H414" s="130" t="str">
        <f>IFERROR(INDEX(DMDT!B:B,MATCH($G414,DMDT!D:D,0),),"")</f>
        <v/>
      </c>
      <c r="I414" s="131"/>
      <c r="J414" s="132"/>
      <c r="K414" s="133"/>
      <c r="L414" s="134"/>
      <c r="M414" s="134"/>
      <c r="N414" s="135"/>
      <c r="O414" s="219"/>
      <c r="P414" s="143"/>
      <c r="Q414" s="144"/>
      <c r="R414" s="150"/>
      <c r="S414" s="127" t="str">
        <f t="shared" si="56"/>
        <v/>
      </c>
      <c r="T414" s="175" t="str">
        <f t="shared" si="57"/>
        <v/>
      </c>
      <c r="U414" s="158" t="e">
        <f t="shared" si="58"/>
        <v>#N/A</v>
      </c>
      <c r="V414" s="310" t="str">
        <f t="shared" si="59"/>
        <v/>
      </c>
      <c r="W414" s="137" t="str">
        <f t="shared" si="60"/>
        <v>X</v>
      </c>
      <c r="X414" s="137">
        <f t="shared" si="61"/>
        <v>0</v>
      </c>
    </row>
    <row r="415" spans="1:24" ht="17.25" customHeight="1">
      <c r="A415" s="137" t="str">
        <f t="shared" ca="1" si="54"/>
        <v>-</v>
      </c>
      <c r="B415" s="173"/>
      <c r="C415" s="253" t="str">
        <f t="shared" si="55"/>
        <v/>
      </c>
      <c r="D415" s="173"/>
      <c r="E415" s="173"/>
      <c r="F415" s="329" t="str">
        <f t="shared" si="62"/>
        <v/>
      </c>
      <c r="G415" s="176"/>
      <c r="H415" s="130" t="str">
        <f>IFERROR(INDEX(DMDT!B:B,MATCH($G415,DMDT!D:D,0),),"")</f>
        <v/>
      </c>
      <c r="I415" s="131"/>
      <c r="J415" s="132"/>
      <c r="K415" s="133"/>
      <c r="L415" s="134"/>
      <c r="M415" s="134"/>
      <c r="N415" s="135"/>
      <c r="O415" s="219"/>
      <c r="P415" s="143"/>
      <c r="Q415" s="144"/>
      <c r="R415" s="150"/>
      <c r="S415" s="127" t="str">
        <f t="shared" si="56"/>
        <v/>
      </c>
      <c r="T415" s="175" t="str">
        <f t="shared" si="57"/>
        <v/>
      </c>
      <c r="U415" s="158" t="e">
        <f t="shared" si="58"/>
        <v>#N/A</v>
      </c>
      <c r="V415" s="310" t="str">
        <f t="shared" si="59"/>
        <v/>
      </c>
      <c r="W415" s="137" t="str">
        <f t="shared" si="60"/>
        <v>X</v>
      </c>
      <c r="X415" s="137">
        <f t="shared" si="61"/>
        <v>0</v>
      </c>
    </row>
    <row r="416" spans="1:24" ht="17.25" customHeight="1">
      <c r="A416" s="137" t="str">
        <f t="shared" ca="1" si="54"/>
        <v>-</v>
      </c>
      <c r="B416" s="173"/>
      <c r="C416" s="253" t="str">
        <f t="shared" si="55"/>
        <v/>
      </c>
      <c r="D416" s="173"/>
      <c r="E416" s="173"/>
      <c r="F416" s="329" t="str">
        <f t="shared" si="62"/>
        <v/>
      </c>
      <c r="G416" s="174"/>
      <c r="H416" s="130" t="str">
        <f>IFERROR(INDEX(DMDT!B:B,MATCH($G416,DMDT!D:D,0),),"")</f>
        <v/>
      </c>
      <c r="I416" s="131"/>
      <c r="J416" s="132"/>
      <c r="K416" s="133"/>
      <c r="L416" s="134"/>
      <c r="M416" s="134"/>
      <c r="N416" s="135"/>
      <c r="O416" s="219"/>
      <c r="P416" s="143"/>
      <c r="Q416" s="144"/>
      <c r="R416" s="150"/>
      <c r="S416" s="127" t="str">
        <f t="shared" si="56"/>
        <v/>
      </c>
      <c r="T416" s="175" t="str">
        <f t="shared" si="57"/>
        <v/>
      </c>
      <c r="U416" s="158" t="e">
        <f t="shared" si="58"/>
        <v>#N/A</v>
      </c>
      <c r="V416" s="310" t="str">
        <f t="shared" si="59"/>
        <v/>
      </c>
      <c r="W416" s="137" t="str">
        <f t="shared" si="60"/>
        <v>X</v>
      </c>
      <c r="X416" s="137">
        <f t="shared" si="61"/>
        <v>0</v>
      </c>
    </row>
    <row r="417" spans="1:24" ht="17.25" customHeight="1">
      <c r="A417" s="137" t="str">
        <f t="shared" ca="1" si="54"/>
        <v>-</v>
      </c>
      <c r="B417" s="173"/>
      <c r="C417" s="253" t="str">
        <f t="shared" si="55"/>
        <v/>
      </c>
      <c r="D417" s="173"/>
      <c r="E417" s="173"/>
      <c r="F417" s="329" t="str">
        <f t="shared" si="62"/>
        <v/>
      </c>
      <c r="G417" s="176"/>
      <c r="H417" s="130" t="str">
        <f>IFERROR(INDEX(DMDT!B:B,MATCH($G417,DMDT!D:D,0),),"")</f>
        <v/>
      </c>
      <c r="I417" s="131"/>
      <c r="J417" s="132"/>
      <c r="K417" s="133"/>
      <c r="L417" s="134"/>
      <c r="M417" s="134"/>
      <c r="N417" s="135"/>
      <c r="O417" s="219"/>
      <c r="P417" s="143"/>
      <c r="Q417" s="144"/>
      <c r="R417" s="150"/>
      <c r="S417" s="127" t="str">
        <f t="shared" si="56"/>
        <v/>
      </c>
      <c r="T417" s="175" t="str">
        <f t="shared" si="57"/>
        <v/>
      </c>
      <c r="U417" s="158" t="e">
        <f t="shared" si="58"/>
        <v>#N/A</v>
      </c>
      <c r="V417" s="310" t="str">
        <f t="shared" si="59"/>
        <v/>
      </c>
      <c r="W417" s="137" t="str">
        <f t="shared" si="60"/>
        <v>X</v>
      </c>
      <c r="X417" s="137">
        <f t="shared" si="61"/>
        <v>0</v>
      </c>
    </row>
    <row r="418" spans="1:24" ht="17.25" customHeight="1">
      <c r="A418" s="137" t="str">
        <f t="shared" ca="1" si="54"/>
        <v>-</v>
      </c>
      <c r="B418" s="173"/>
      <c r="C418" s="253" t="str">
        <f t="shared" si="55"/>
        <v/>
      </c>
      <c r="D418" s="173"/>
      <c r="E418" s="173"/>
      <c r="F418" s="329" t="str">
        <f t="shared" si="62"/>
        <v/>
      </c>
      <c r="G418" s="176"/>
      <c r="H418" s="130" t="str">
        <f>IFERROR(INDEX(DMDT!B:B,MATCH($G418,DMDT!D:D,0),),"")</f>
        <v/>
      </c>
      <c r="I418" s="131"/>
      <c r="J418" s="132"/>
      <c r="K418" s="133"/>
      <c r="L418" s="134"/>
      <c r="M418" s="134"/>
      <c r="N418" s="135"/>
      <c r="O418" s="219"/>
      <c r="P418" s="143"/>
      <c r="Q418" s="144"/>
      <c r="R418" s="150"/>
      <c r="S418" s="127" t="str">
        <f t="shared" si="56"/>
        <v/>
      </c>
      <c r="T418" s="175" t="str">
        <f t="shared" si="57"/>
        <v/>
      </c>
      <c r="U418" s="158" t="e">
        <f t="shared" si="58"/>
        <v>#N/A</v>
      </c>
      <c r="V418" s="310" t="str">
        <f t="shared" si="59"/>
        <v/>
      </c>
      <c r="W418" s="137" t="str">
        <f t="shared" si="60"/>
        <v>X</v>
      </c>
      <c r="X418" s="137">
        <f t="shared" si="61"/>
        <v>0</v>
      </c>
    </row>
    <row r="419" spans="1:24" ht="17.25" customHeight="1">
      <c r="A419" s="137" t="str">
        <f t="shared" ca="1" si="54"/>
        <v>-</v>
      </c>
      <c r="B419" s="173"/>
      <c r="C419" s="253" t="str">
        <f t="shared" si="55"/>
        <v/>
      </c>
      <c r="D419" s="173"/>
      <c r="E419" s="173"/>
      <c r="F419" s="329" t="str">
        <f t="shared" si="62"/>
        <v/>
      </c>
      <c r="G419" s="174"/>
      <c r="H419" s="130" t="str">
        <f>IFERROR(INDEX(DMDT!B:B,MATCH($G419,DMDT!D:D,0),),"")</f>
        <v/>
      </c>
      <c r="I419" s="131"/>
      <c r="J419" s="132"/>
      <c r="K419" s="133"/>
      <c r="L419" s="134"/>
      <c r="M419" s="134"/>
      <c r="N419" s="135"/>
      <c r="O419" s="219"/>
      <c r="P419" s="143"/>
      <c r="Q419" s="144"/>
      <c r="R419" s="150"/>
      <c r="S419" s="127" t="str">
        <f t="shared" si="56"/>
        <v/>
      </c>
      <c r="T419" s="175" t="str">
        <f t="shared" si="57"/>
        <v/>
      </c>
      <c r="U419" s="158" t="e">
        <f t="shared" si="58"/>
        <v>#N/A</v>
      </c>
      <c r="V419" s="310" t="str">
        <f t="shared" si="59"/>
        <v/>
      </c>
      <c r="W419" s="137" t="str">
        <f t="shared" si="60"/>
        <v>X</v>
      </c>
      <c r="X419" s="137">
        <f t="shared" si="61"/>
        <v>0</v>
      </c>
    </row>
    <row r="420" spans="1:24" ht="17.25" customHeight="1">
      <c r="A420" s="137" t="str">
        <f t="shared" ca="1" si="54"/>
        <v>-</v>
      </c>
      <c r="B420" s="173"/>
      <c r="C420" s="253" t="str">
        <f t="shared" si="55"/>
        <v/>
      </c>
      <c r="D420" s="173"/>
      <c r="E420" s="173"/>
      <c r="F420" s="329" t="str">
        <f t="shared" si="62"/>
        <v/>
      </c>
      <c r="G420" s="174"/>
      <c r="H420" s="130" t="str">
        <f>IFERROR(INDEX(DMDT!B:B,MATCH($G420,DMDT!D:D,0),),"")</f>
        <v/>
      </c>
      <c r="I420" s="131"/>
      <c r="J420" s="132"/>
      <c r="K420" s="133"/>
      <c r="L420" s="134"/>
      <c r="M420" s="134"/>
      <c r="N420" s="135"/>
      <c r="O420" s="219"/>
      <c r="P420" s="143"/>
      <c r="Q420" s="144"/>
      <c r="R420" s="150"/>
      <c r="S420" s="127" t="str">
        <f t="shared" si="56"/>
        <v/>
      </c>
      <c r="T420" s="175" t="str">
        <f t="shared" si="57"/>
        <v/>
      </c>
      <c r="U420" s="158" t="e">
        <f t="shared" si="58"/>
        <v>#N/A</v>
      </c>
      <c r="V420" s="310" t="str">
        <f t="shared" si="59"/>
        <v/>
      </c>
      <c r="W420" s="137" t="str">
        <f t="shared" si="60"/>
        <v>X</v>
      </c>
      <c r="X420" s="137">
        <f t="shared" si="61"/>
        <v>0</v>
      </c>
    </row>
    <row r="421" spans="1:24" ht="17.25" customHeight="1">
      <c r="A421" s="137" t="str">
        <f t="shared" ca="1" si="54"/>
        <v>-</v>
      </c>
      <c r="B421" s="173"/>
      <c r="C421" s="253" t="str">
        <f t="shared" si="55"/>
        <v/>
      </c>
      <c r="D421" s="173"/>
      <c r="E421" s="173"/>
      <c r="F421" s="329" t="str">
        <f t="shared" si="62"/>
        <v/>
      </c>
      <c r="G421" s="176"/>
      <c r="H421" s="130" t="str">
        <f>IFERROR(INDEX(DMDT!B:B,MATCH($G421,DMDT!D:D,0),),"")</f>
        <v/>
      </c>
      <c r="I421" s="131"/>
      <c r="J421" s="132"/>
      <c r="K421" s="133"/>
      <c r="L421" s="134"/>
      <c r="M421" s="134"/>
      <c r="N421" s="135"/>
      <c r="O421" s="219"/>
      <c r="P421" s="143"/>
      <c r="Q421" s="144"/>
      <c r="R421" s="150"/>
      <c r="S421" s="127" t="str">
        <f t="shared" si="56"/>
        <v/>
      </c>
      <c r="T421" s="175" t="str">
        <f t="shared" si="57"/>
        <v/>
      </c>
      <c r="U421" s="158" t="e">
        <f t="shared" si="58"/>
        <v>#N/A</v>
      </c>
      <c r="V421" s="310" t="str">
        <f t="shared" si="59"/>
        <v/>
      </c>
      <c r="W421" s="137" t="str">
        <f t="shared" si="60"/>
        <v>X</v>
      </c>
      <c r="X421" s="137">
        <f t="shared" si="61"/>
        <v>0</v>
      </c>
    </row>
    <row r="422" spans="1:24" ht="17.25" customHeight="1">
      <c r="A422" s="137" t="str">
        <f t="shared" ca="1" si="54"/>
        <v>-</v>
      </c>
      <c r="B422" s="173"/>
      <c r="C422" s="253" t="str">
        <f t="shared" si="55"/>
        <v/>
      </c>
      <c r="D422" s="173"/>
      <c r="E422" s="173"/>
      <c r="F422" s="329" t="str">
        <f t="shared" si="62"/>
        <v/>
      </c>
      <c r="G422" s="176"/>
      <c r="H422" s="130" t="str">
        <f>IFERROR(INDEX(DMDT!B:B,MATCH($G422,DMDT!D:D,0),),"")</f>
        <v/>
      </c>
      <c r="I422" s="131"/>
      <c r="J422" s="132"/>
      <c r="K422" s="133"/>
      <c r="L422" s="134"/>
      <c r="M422" s="134"/>
      <c r="N422" s="135"/>
      <c r="O422" s="219"/>
      <c r="P422" s="143"/>
      <c r="Q422" s="144"/>
      <c r="R422" s="150"/>
      <c r="S422" s="127" t="str">
        <f t="shared" si="56"/>
        <v/>
      </c>
      <c r="T422" s="175" t="str">
        <f t="shared" si="57"/>
        <v/>
      </c>
      <c r="U422" s="158" t="e">
        <f t="shared" si="58"/>
        <v>#N/A</v>
      </c>
      <c r="V422" s="310" t="str">
        <f t="shared" si="59"/>
        <v/>
      </c>
      <c r="W422" s="137" t="str">
        <f t="shared" si="60"/>
        <v>X</v>
      </c>
      <c r="X422" s="137">
        <f t="shared" si="61"/>
        <v>0</v>
      </c>
    </row>
    <row r="423" spans="1:24" ht="17.25" customHeight="1">
      <c r="A423" s="137" t="str">
        <f t="shared" ca="1" si="54"/>
        <v>-</v>
      </c>
      <c r="B423" s="173"/>
      <c r="C423" s="253" t="str">
        <f t="shared" si="55"/>
        <v/>
      </c>
      <c r="D423" s="173"/>
      <c r="E423" s="173"/>
      <c r="F423" s="329" t="str">
        <f t="shared" si="62"/>
        <v/>
      </c>
      <c r="G423" s="176"/>
      <c r="H423" s="130" t="str">
        <f>IFERROR(INDEX(DMDT!B:B,MATCH($G423,DMDT!D:D,0),),"")</f>
        <v/>
      </c>
      <c r="I423" s="131"/>
      <c r="J423" s="132"/>
      <c r="K423" s="133"/>
      <c r="L423" s="134"/>
      <c r="M423" s="134"/>
      <c r="N423" s="135"/>
      <c r="O423" s="219"/>
      <c r="P423" s="143"/>
      <c r="Q423" s="144"/>
      <c r="R423" s="150"/>
      <c r="S423" s="127" t="str">
        <f t="shared" si="56"/>
        <v/>
      </c>
      <c r="T423" s="175" t="str">
        <f t="shared" si="57"/>
        <v/>
      </c>
      <c r="U423" s="158" t="e">
        <f t="shared" si="58"/>
        <v>#N/A</v>
      </c>
      <c r="V423" s="310" t="str">
        <f t="shared" si="59"/>
        <v/>
      </c>
      <c r="W423" s="137" t="str">
        <f t="shared" si="60"/>
        <v>X</v>
      </c>
      <c r="X423" s="137">
        <f t="shared" si="61"/>
        <v>0</v>
      </c>
    </row>
    <row r="424" spans="1:24" ht="17.25" customHeight="1">
      <c r="A424" s="137" t="str">
        <f t="shared" ca="1" si="54"/>
        <v>-</v>
      </c>
      <c r="B424" s="173"/>
      <c r="C424" s="253" t="str">
        <f t="shared" si="55"/>
        <v/>
      </c>
      <c r="D424" s="173"/>
      <c r="E424" s="173"/>
      <c r="F424" s="329" t="str">
        <f t="shared" si="62"/>
        <v/>
      </c>
      <c r="G424" s="176"/>
      <c r="H424" s="130" t="str">
        <f>IFERROR(INDEX(DMDT!B:B,MATCH($G424,DMDT!D:D,0),),"")</f>
        <v/>
      </c>
      <c r="I424" s="131"/>
      <c r="J424" s="132"/>
      <c r="K424" s="133"/>
      <c r="L424" s="134"/>
      <c r="M424" s="134"/>
      <c r="N424" s="135"/>
      <c r="O424" s="219"/>
      <c r="P424" s="143"/>
      <c r="Q424" s="144"/>
      <c r="R424" s="150"/>
      <c r="S424" s="127" t="str">
        <f t="shared" si="56"/>
        <v/>
      </c>
      <c r="T424" s="175" t="str">
        <f t="shared" si="57"/>
        <v/>
      </c>
      <c r="U424" s="158" t="e">
        <f t="shared" si="58"/>
        <v>#N/A</v>
      </c>
      <c r="V424" s="310" t="str">
        <f t="shared" si="59"/>
        <v/>
      </c>
      <c r="W424" s="137" t="str">
        <f t="shared" si="60"/>
        <v>X</v>
      </c>
      <c r="X424" s="137">
        <f t="shared" si="61"/>
        <v>0</v>
      </c>
    </row>
    <row r="425" spans="1:24" ht="17.25" customHeight="1">
      <c r="A425" s="137" t="str">
        <f t="shared" ca="1" si="54"/>
        <v>-</v>
      </c>
      <c r="B425" s="173"/>
      <c r="C425" s="253" t="str">
        <f t="shared" si="55"/>
        <v/>
      </c>
      <c r="D425" s="173"/>
      <c r="E425" s="173"/>
      <c r="F425" s="329" t="str">
        <f t="shared" si="62"/>
        <v/>
      </c>
      <c r="G425" s="176"/>
      <c r="H425" s="130" t="str">
        <f>IFERROR(INDEX(DMDT!B:B,MATCH($G425,DMDT!D:D,0),),"")</f>
        <v/>
      </c>
      <c r="I425" s="131"/>
      <c r="J425" s="132"/>
      <c r="K425" s="133"/>
      <c r="L425" s="134"/>
      <c r="M425" s="134"/>
      <c r="N425" s="135"/>
      <c r="O425" s="219"/>
      <c r="P425" s="143"/>
      <c r="Q425" s="144"/>
      <c r="R425" s="150"/>
      <c r="S425" s="127" t="str">
        <f t="shared" si="56"/>
        <v/>
      </c>
      <c r="T425" s="175" t="str">
        <f t="shared" si="57"/>
        <v/>
      </c>
      <c r="U425" s="158" t="e">
        <f t="shared" si="58"/>
        <v>#N/A</v>
      </c>
      <c r="V425" s="310" t="str">
        <f t="shared" si="59"/>
        <v/>
      </c>
      <c r="W425" s="137" t="str">
        <f t="shared" si="60"/>
        <v>X</v>
      </c>
      <c r="X425" s="137">
        <f t="shared" si="61"/>
        <v>0</v>
      </c>
    </row>
    <row r="426" spans="1:24" ht="17.25" customHeight="1">
      <c r="A426" s="137" t="str">
        <f t="shared" ca="1" si="54"/>
        <v>-</v>
      </c>
      <c r="B426" s="173"/>
      <c r="C426" s="253" t="str">
        <f t="shared" si="55"/>
        <v/>
      </c>
      <c r="D426" s="173"/>
      <c r="E426" s="173"/>
      <c r="F426" s="329" t="str">
        <f t="shared" si="62"/>
        <v/>
      </c>
      <c r="G426" s="176"/>
      <c r="H426" s="130" t="str">
        <f>IFERROR(INDEX(DMDT!B:B,MATCH($G426,DMDT!D:D,0),),"")</f>
        <v/>
      </c>
      <c r="I426" s="131"/>
      <c r="J426" s="132"/>
      <c r="K426" s="133"/>
      <c r="L426" s="134"/>
      <c r="M426" s="134"/>
      <c r="N426" s="135"/>
      <c r="O426" s="219"/>
      <c r="P426" s="143"/>
      <c r="Q426" s="144"/>
      <c r="R426" s="150"/>
      <c r="S426" s="127" t="str">
        <f t="shared" si="56"/>
        <v/>
      </c>
      <c r="T426" s="175" t="str">
        <f t="shared" si="57"/>
        <v/>
      </c>
      <c r="U426" s="158" t="e">
        <f t="shared" si="58"/>
        <v>#N/A</v>
      </c>
      <c r="V426" s="310" t="str">
        <f t="shared" si="59"/>
        <v/>
      </c>
      <c r="W426" s="137" t="str">
        <f t="shared" si="60"/>
        <v>X</v>
      </c>
      <c r="X426" s="137">
        <f t="shared" si="61"/>
        <v>0</v>
      </c>
    </row>
    <row r="427" spans="1:24" ht="17.25" customHeight="1">
      <c r="A427" s="137" t="str">
        <f t="shared" ca="1" si="54"/>
        <v>-</v>
      </c>
      <c r="B427" s="173"/>
      <c r="C427" s="253" t="str">
        <f t="shared" si="55"/>
        <v/>
      </c>
      <c r="D427" s="173"/>
      <c r="E427" s="173"/>
      <c r="F427" s="329" t="str">
        <f t="shared" si="62"/>
        <v/>
      </c>
      <c r="G427" s="176"/>
      <c r="H427" s="130" t="str">
        <f>IFERROR(INDEX(DMDT!B:B,MATCH($G427,DMDT!D:D,0),),"")</f>
        <v/>
      </c>
      <c r="I427" s="131"/>
      <c r="J427" s="132"/>
      <c r="K427" s="133"/>
      <c r="L427" s="134"/>
      <c r="M427" s="134"/>
      <c r="N427" s="135"/>
      <c r="O427" s="219"/>
      <c r="P427" s="143"/>
      <c r="Q427" s="144"/>
      <c r="R427" s="150"/>
      <c r="S427" s="127" t="str">
        <f t="shared" si="56"/>
        <v/>
      </c>
      <c r="T427" s="175" t="str">
        <f t="shared" si="57"/>
        <v/>
      </c>
      <c r="U427" s="158" t="e">
        <f t="shared" si="58"/>
        <v>#N/A</v>
      </c>
      <c r="V427" s="310" t="str">
        <f t="shared" si="59"/>
        <v/>
      </c>
      <c r="W427" s="137" t="str">
        <f t="shared" si="60"/>
        <v>X</v>
      </c>
      <c r="X427" s="137">
        <f t="shared" si="61"/>
        <v>0</v>
      </c>
    </row>
    <row r="428" spans="1:24" ht="17.25" customHeight="1">
      <c r="A428" s="137" t="str">
        <f t="shared" ca="1" si="54"/>
        <v>-</v>
      </c>
      <c r="B428" s="173"/>
      <c r="C428" s="253" t="str">
        <f t="shared" si="55"/>
        <v/>
      </c>
      <c r="D428" s="173"/>
      <c r="E428" s="173"/>
      <c r="F428" s="329" t="str">
        <f t="shared" si="62"/>
        <v/>
      </c>
      <c r="G428" s="176"/>
      <c r="H428" s="130" t="str">
        <f>IFERROR(INDEX(DMDT!B:B,MATCH($G428,DMDT!D:D,0),),"")</f>
        <v/>
      </c>
      <c r="I428" s="131"/>
      <c r="J428" s="132"/>
      <c r="K428" s="133"/>
      <c r="L428" s="134"/>
      <c r="M428" s="134"/>
      <c r="N428" s="135"/>
      <c r="O428" s="219"/>
      <c r="P428" s="143"/>
      <c r="Q428" s="144"/>
      <c r="R428" s="150"/>
      <c r="S428" s="127" t="str">
        <f t="shared" si="56"/>
        <v/>
      </c>
      <c r="T428" s="175" t="str">
        <f t="shared" si="57"/>
        <v/>
      </c>
      <c r="U428" s="158" t="e">
        <f t="shared" si="58"/>
        <v>#N/A</v>
      </c>
      <c r="V428" s="310" t="str">
        <f t="shared" si="59"/>
        <v/>
      </c>
      <c r="W428" s="137" t="str">
        <f t="shared" si="60"/>
        <v>X</v>
      </c>
      <c r="X428" s="137">
        <f t="shared" si="61"/>
        <v>0</v>
      </c>
    </row>
    <row r="429" spans="1:24" ht="17.25" customHeight="1">
      <c r="A429" s="137" t="str">
        <f t="shared" ca="1" si="54"/>
        <v>-</v>
      </c>
      <c r="B429" s="173"/>
      <c r="C429" s="253" t="str">
        <f t="shared" si="55"/>
        <v/>
      </c>
      <c r="D429" s="173"/>
      <c r="E429" s="173"/>
      <c r="F429" s="329" t="str">
        <f t="shared" si="62"/>
        <v/>
      </c>
      <c r="G429" s="174"/>
      <c r="H429" s="130" t="str">
        <f>IFERROR(INDEX(DMDT!B:B,MATCH($G429,DMDT!D:D,0),),"")</f>
        <v/>
      </c>
      <c r="I429" s="131"/>
      <c r="J429" s="132"/>
      <c r="K429" s="133"/>
      <c r="L429" s="134"/>
      <c r="M429" s="134"/>
      <c r="N429" s="135"/>
      <c r="O429" s="219"/>
      <c r="P429" s="143"/>
      <c r="Q429" s="144"/>
      <c r="R429" s="150"/>
      <c r="S429" s="127" t="str">
        <f t="shared" si="56"/>
        <v/>
      </c>
      <c r="T429" s="175" t="str">
        <f t="shared" si="57"/>
        <v/>
      </c>
      <c r="U429" s="158" t="e">
        <f t="shared" si="58"/>
        <v>#N/A</v>
      </c>
      <c r="V429" s="310" t="str">
        <f t="shared" si="59"/>
        <v/>
      </c>
      <c r="W429" s="137" t="str">
        <f t="shared" si="60"/>
        <v>X</v>
      </c>
      <c r="X429" s="137">
        <f t="shared" si="61"/>
        <v>0</v>
      </c>
    </row>
    <row r="430" spans="1:24" ht="17.25" customHeight="1">
      <c r="A430" s="137" t="str">
        <f t="shared" ca="1" si="54"/>
        <v>-</v>
      </c>
      <c r="B430" s="173"/>
      <c r="C430" s="253" t="str">
        <f t="shared" si="55"/>
        <v/>
      </c>
      <c r="D430" s="173"/>
      <c r="E430" s="173"/>
      <c r="F430" s="329" t="str">
        <f t="shared" si="62"/>
        <v/>
      </c>
      <c r="G430" s="176"/>
      <c r="H430" s="130" t="str">
        <f>IFERROR(INDEX(DMDT!B:B,MATCH($G430,DMDT!D:D,0),),"")</f>
        <v/>
      </c>
      <c r="I430" s="131"/>
      <c r="J430" s="132"/>
      <c r="K430" s="133"/>
      <c r="L430" s="134"/>
      <c r="M430" s="134"/>
      <c r="N430" s="135"/>
      <c r="O430" s="219"/>
      <c r="P430" s="143"/>
      <c r="Q430" s="144"/>
      <c r="R430" s="150"/>
      <c r="S430" s="127" t="str">
        <f t="shared" si="56"/>
        <v/>
      </c>
      <c r="T430" s="175" t="str">
        <f t="shared" si="57"/>
        <v/>
      </c>
      <c r="U430" s="158" t="e">
        <f t="shared" si="58"/>
        <v>#N/A</v>
      </c>
      <c r="V430" s="310" t="str">
        <f t="shared" si="59"/>
        <v/>
      </c>
      <c r="W430" s="137" t="str">
        <f t="shared" si="60"/>
        <v>X</v>
      </c>
      <c r="X430" s="137">
        <f t="shared" si="61"/>
        <v>0</v>
      </c>
    </row>
    <row r="431" spans="1:24" ht="17.25" customHeight="1">
      <c r="A431" s="137" t="str">
        <f t="shared" ca="1" si="54"/>
        <v>-</v>
      </c>
      <c r="B431" s="173"/>
      <c r="C431" s="253" t="str">
        <f t="shared" si="55"/>
        <v/>
      </c>
      <c r="D431" s="173"/>
      <c r="E431" s="173"/>
      <c r="F431" s="329" t="str">
        <f t="shared" si="62"/>
        <v/>
      </c>
      <c r="G431" s="174"/>
      <c r="H431" s="130" t="str">
        <f>IFERROR(INDEX(DMDT!B:B,MATCH($G431,DMDT!D:D,0),),"")</f>
        <v/>
      </c>
      <c r="I431" s="131"/>
      <c r="J431" s="132"/>
      <c r="K431" s="133"/>
      <c r="L431" s="134"/>
      <c r="M431" s="134"/>
      <c r="N431" s="135"/>
      <c r="O431" s="219"/>
      <c r="P431" s="143"/>
      <c r="Q431" s="144"/>
      <c r="R431" s="150"/>
      <c r="S431" s="127" t="str">
        <f t="shared" si="56"/>
        <v/>
      </c>
      <c r="T431" s="175" t="str">
        <f t="shared" si="57"/>
        <v/>
      </c>
      <c r="U431" s="158" t="e">
        <f t="shared" si="58"/>
        <v>#N/A</v>
      </c>
      <c r="V431" s="310" t="str">
        <f t="shared" si="59"/>
        <v/>
      </c>
      <c r="W431" s="137" t="str">
        <f t="shared" si="60"/>
        <v>X</v>
      </c>
      <c r="X431" s="137">
        <f t="shared" si="61"/>
        <v>0</v>
      </c>
    </row>
    <row r="432" spans="1:24" ht="17.25" customHeight="1">
      <c r="A432" s="137" t="str">
        <f t="shared" ca="1" si="54"/>
        <v>-</v>
      </c>
      <c r="B432" s="173"/>
      <c r="C432" s="253" t="str">
        <f t="shared" si="55"/>
        <v/>
      </c>
      <c r="D432" s="173"/>
      <c r="E432" s="173"/>
      <c r="F432" s="329" t="str">
        <f t="shared" si="62"/>
        <v/>
      </c>
      <c r="G432" s="176"/>
      <c r="H432" s="130" t="str">
        <f>IFERROR(INDEX(DMDT!B:B,MATCH($G432,DMDT!D:D,0),),"")</f>
        <v/>
      </c>
      <c r="I432" s="131"/>
      <c r="J432" s="132"/>
      <c r="K432" s="133"/>
      <c r="L432" s="134"/>
      <c r="M432" s="134"/>
      <c r="N432" s="135"/>
      <c r="O432" s="219"/>
      <c r="P432" s="143"/>
      <c r="Q432" s="144"/>
      <c r="R432" s="150"/>
      <c r="S432" s="127" t="str">
        <f t="shared" si="56"/>
        <v/>
      </c>
      <c r="T432" s="175" t="str">
        <f t="shared" si="57"/>
        <v/>
      </c>
      <c r="U432" s="158" t="e">
        <f t="shared" si="58"/>
        <v>#N/A</v>
      </c>
      <c r="V432" s="310" t="str">
        <f t="shared" si="59"/>
        <v/>
      </c>
      <c r="W432" s="137" t="str">
        <f t="shared" si="60"/>
        <v>X</v>
      </c>
      <c r="X432" s="137">
        <f t="shared" si="61"/>
        <v>0</v>
      </c>
    </row>
    <row r="433" spans="1:24" ht="17.25" customHeight="1">
      <c r="A433" s="137" t="str">
        <f t="shared" ca="1" si="54"/>
        <v>-</v>
      </c>
      <c r="B433" s="173"/>
      <c r="C433" s="253" t="str">
        <f t="shared" si="55"/>
        <v/>
      </c>
      <c r="D433" s="173"/>
      <c r="E433" s="173"/>
      <c r="F433" s="329" t="str">
        <f t="shared" si="62"/>
        <v/>
      </c>
      <c r="G433" s="174"/>
      <c r="H433" s="130" t="str">
        <f>IFERROR(INDEX(DMDT!B:B,MATCH($G433,DMDT!D:D,0),),"")</f>
        <v/>
      </c>
      <c r="I433" s="131"/>
      <c r="J433" s="132"/>
      <c r="K433" s="133"/>
      <c r="L433" s="134"/>
      <c r="M433" s="134"/>
      <c r="N433" s="135"/>
      <c r="O433" s="219"/>
      <c r="P433" s="143"/>
      <c r="Q433" s="144"/>
      <c r="R433" s="150"/>
      <c r="S433" s="127" t="str">
        <f t="shared" si="56"/>
        <v/>
      </c>
      <c r="T433" s="175" t="str">
        <f t="shared" si="57"/>
        <v/>
      </c>
      <c r="U433" s="158" t="e">
        <f t="shared" si="58"/>
        <v>#N/A</v>
      </c>
      <c r="V433" s="310" t="str">
        <f t="shared" si="59"/>
        <v/>
      </c>
      <c r="W433" s="137" t="str">
        <f t="shared" si="60"/>
        <v>X</v>
      </c>
      <c r="X433" s="137">
        <f t="shared" si="61"/>
        <v>0</v>
      </c>
    </row>
    <row r="434" spans="1:24" ht="17.25" customHeight="1">
      <c r="A434" s="137" t="str">
        <f t="shared" ca="1" si="54"/>
        <v>-</v>
      </c>
      <c r="B434" s="173"/>
      <c r="C434" s="253" t="str">
        <f t="shared" si="55"/>
        <v/>
      </c>
      <c r="D434" s="173"/>
      <c r="E434" s="173"/>
      <c r="F434" s="329" t="str">
        <f t="shared" si="62"/>
        <v/>
      </c>
      <c r="G434" s="174"/>
      <c r="H434" s="130" t="str">
        <f>IFERROR(INDEX(DMDT!B:B,MATCH($G434,DMDT!D:D,0),),"")</f>
        <v/>
      </c>
      <c r="I434" s="131"/>
      <c r="J434" s="132"/>
      <c r="K434" s="133"/>
      <c r="L434" s="134"/>
      <c r="M434" s="134"/>
      <c r="N434" s="135"/>
      <c r="O434" s="219"/>
      <c r="P434" s="143"/>
      <c r="Q434" s="144"/>
      <c r="R434" s="150"/>
      <c r="S434" s="127" t="str">
        <f t="shared" si="56"/>
        <v/>
      </c>
      <c r="T434" s="175" t="str">
        <f t="shared" si="57"/>
        <v/>
      </c>
      <c r="U434" s="158" t="e">
        <f t="shared" si="58"/>
        <v>#N/A</v>
      </c>
      <c r="V434" s="310" t="str">
        <f t="shared" si="59"/>
        <v/>
      </c>
      <c r="W434" s="137" t="str">
        <f t="shared" si="60"/>
        <v>X</v>
      </c>
      <c r="X434" s="137">
        <f t="shared" si="61"/>
        <v>0</v>
      </c>
    </row>
    <row r="435" spans="1:24" ht="17.25" customHeight="1">
      <c r="A435" s="137" t="str">
        <f t="shared" ca="1" si="54"/>
        <v>-</v>
      </c>
      <c r="B435" s="173"/>
      <c r="C435" s="253" t="str">
        <f t="shared" si="55"/>
        <v/>
      </c>
      <c r="D435" s="173"/>
      <c r="E435" s="173"/>
      <c r="F435" s="329" t="str">
        <f t="shared" si="62"/>
        <v/>
      </c>
      <c r="G435" s="174"/>
      <c r="H435" s="130" t="str">
        <f>IFERROR(INDEX(DMDT!B:B,MATCH($G435,DMDT!D:D,0),),"")</f>
        <v/>
      </c>
      <c r="I435" s="131"/>
      <c r="J435" s="132"/>
      <c r="K435" s="133"/>
      <c r="L435" s="134"/>
      <c r="M435" s="134"/>
      <c r="N435" s="135"/>
      <c r="O435" s="219"/>
      <c r="P435" s="143"/>
      <c r="Q435" s="144"/>
      <c r="R435" s="150"/>
      <c r="S435" s="127" t="str">
        <f t="shared" si="56"/>
        <v/>
      </c>
      <c r="T435" s="175" t="str">
        <f t="shared" si="57"/>
        <v/>
      </c>
      <c r="U435" s="158" t="e">
        <f t="shared" si="58"/>
        <v>#N/A</v>
      </c>
      <c r="V435" s="310" t="str">
        <f t="shared" si="59"/>
        <v/>
      </c>
      <c r="W435" s="137" t="str">
        <f t="shared" si="60"/>
        <v>X</v>
      </c>
      <c r="X435" s="137">
        <f t="shared" si="61"/>
        <v>0</v>
      </c>
    </row>
    <row r="436" spans="1:24" ht="17.25" customHeight="1">
      <c r="A436" s="137" t="str">
        <f t="shared" ca="1" si="54"/>
        <v>-</v>
      </c>
      <c r="B436" s="173"/>
      <c r="C436" s="253" t="str">
        <f t="shared" si="55"/>
        <v/>
      </c>
      <c r="D436" s="173"/>
      <c r="E436" s="173"/>
      <c r="F436" s="329" t="str">
        <f t="shared" si="62"/>
        <v/>
      </c>
      <c r="G436" s="174"/>
      <c r="H436" s="130" t="str">
        <f>IFERROR(INDEX(DMDT!B:B,MATCH($G436,DMDT!D:D,0),),"")</f>
        <v/>
      </c>
      <c r="I436" s="131"/>
      <c r="J436" s="132"/>
      <c r="K436" s="133"/>
      <c r="L436" s="134"/>
      <c r="M436" s="134"/>
      <c r="N436" s="135"/>
      <c r="O436" s="219"/>
      <c r="P436" s="143"/>
      <c r="Q436" s="144"/>
      <c r="R436" s="150"/>
      <c r="S436" s="127" t="str">
        <f t="shared" si="56"/>
        <v/>
      </c>
      <c r="T436" s="175" t="str">
        <f t="shared" si="57"/>
        <v/>
      </c>
      <c r="U436" s="158" t="e">
        <f t="shared" si="58"/>
        <v>#N/A</v>
      </c>
      <c r="V436" s="310" t="str">
        <f t="shared" si="59"/>
        <v/>
      </c>
      <c r="W436" s="137" t="str">
        <f t="shared" si="60"/>
        <v>X</v>
      </c>
      <c r="X436" s="137">
        <f t="shared" si="61"/>
        <v>0</v>
      </c>
    </row>
    <row r="437" spans="1:24" ht="17.25" customHeight="1">
      <c r="A437" s="137" t="str">
        <f t="shared" ca="1" si="54"/>
        <v>-</v>
      </c>
      <c r="B437" s="173"/>
      <c r="C437" s="253" t="str">
        <f t="shared" si="55"/>
        <v/>
      </c>
      <c r="D437" s="173"/>
      <c r="E437" s="173"/>
      <c r="F437" s="329" t="str">
        <f t="shared" si="62"/>
        <v/>
      </c>
      <c r="G437" s="174"/>
      <c r="H437" s="130" t="str">
        <f>IFERROR(INDEX(DMDT!B:B,MATCH($G437,DMDT!D:D,0),),"")</f>
        <v/>
      </c>
      <c r="I437" s="131"/>
      <c r="J437" s="132"/>
      <c r="K437" s="133"/>
      <c r="L437" s="134"/>
      <c r="M437" s="134"/>
      <c r="N437" s="135"/>
      <c r="O437" s="219"/>
      <c r="P437" s="143"/>
      <c r="Q437" s="144"/>
      <c r="R437" s="150"/>
      <c r="S437" s="127" t="str">
        <f t="shared" si="56"/>
        <v/>
      </c>
      <c r="T437" s="175" t="str">
        <f t="shared" si="57"/>
        <v/>
      </c>
      <c r="U437" s="158" t="e">
        <f t="shared" si="58"/>
        <v>#N/A</v>
      </c>
      <c r="V437" s="310" t="str">
        <f t="shared" si="59"/>
        <v/>
      </c>
      <c r="W437" s="137" t="str">
        <f t="shared" si="60"/>
        <v>X</v>
      </c>
      <c r="X437" s="137">
        <f t="shared" si="61"/>
        <v>0</v>
      </c>
    </row>
    <row r="438" spans="1:24" ht="17.25" customHeight="1">
      <c r="A438" s="137" t="str">
        <f t="shared" ca="1" si="54"/>
        <v>-</v>
      </c>
      <c r="B438" s="173"/>
      <c r="C438" s="253" t="str">
        <f t="shared" si="55"/>
        <v/>
      </c>
      <c r="D438" s="173"/>
      <c r="E438" s="173"/>
      <c r="F438" s="329" t="str">
        <f t="shared" si="62"/>
        <v/>
      </c>
      <c r="G438" s="174"/>
      <c r="H438" s="130" t="str">
        <f>IFERROR(INDEX(DMDT!B:B,MATCH($G438,DMDT!D:D,0),),"")</f>
        <v/>
      </c>
      <c r="I438" s="131"/>
      <c r="J438" s="132"/>
      <c r="K438" s="133"/>
      <c r="L438" s="134"/>
      <c r="M438" s="134"/>
      <c r="N438" s="135"/>
      <c r="O438" s="219"/>
      <c r="P438" s="143"/>
      <c r="Q438" s="144"/>
      <c r="R438" s="150"/>
      <c r="S438" s="127" t="str">
        <f t="shared" si="56"/>
        <v/>
      </c>
      <c r="T438" s="175" t="str">
        <f t="shared" si="57"/>
        <v/>
      </c>
      <c r="U438" s="158" t="e">
        <f t="shared" si="58"/>
        <v>#N/A</v>
      </c>
      <c r="V438" s="310" t="str">
        <f t="shared" si="59"/>
        <v/>
      </c>
      <c r="W438" s="137" t="str">
        <f t="shared" si="60"/>
        <v>X</v>
      </c>
      <c r="X438" s="137">
        <f t="shared" si="61"/>
        <v>0</v>
      </c>
    </row>
    <row r="439" spans="1:24" ht="17.25" customHeight="1">
      <c r="A439" s="137" t="str">
        <f t="shared" ca="1" si="54"/>
        <v>-</v>
      </c>
      <c r="B439" s="173"/>
      <c r="C439" s="253" t="str">
        <f t="shared" si="55"/>
        <v/>
      </c>
      <c r="D439" s="173"/>
      <c r="E439" s="173"/>
      <c r="F439" s="329" t="str">
        <f t="shared" si="62"/>
        <v/>
      </c>
      <c r="G439" s="174"/>
      <c r="H439" s="130" t="str">
        <f>IFERROR(INDEX(DMDT!B:B,MATCH($G439,DMDT!D:D,0),),"")</f>
        <v/>
      </c>
      <c r="I439" s="131"/>
      <c r="J439" s="132"/>
      <c r="K439" s="133"/>
      <c r="L439" s="134"/>
      <c r="M439" s="134"/>
      <c r="N439" s="135"/>
      <c r="O439" s="219"/>
      <c r="P439" s="143"/>
      <c r="Q439" s="144"/>
      <c r="R439" s="150"/>
      <c r="S439" s="127" t="str">
        <f t="shared" si="56"/>
        <v/>
      </c>
      <c r="T439" s="175" t="str">
        <f t="shared" si="57"/>
        <v/>
      </c>
      <c r="U439" s="158" t="e">
        <f t="shared" si="58"/>
        <v>#N/A</v>
      </c>
      <c r="V439" s="310" t="str">
        <f t="shared" si="59"/>
        <v/>
      </c>
      <c r="W439" s="137" t="str">
        <f t="shared" si="60"/>
        <v>X</v>
      </c>
      <c r="X439" s="137">
        <f t="shared" si="61"/>
        <v>0</v>
      </c>
    </row>
    <row r="440" spans="1:24" ht="17.25" customHeight="1">
      <c r="A440" s="137" t="str">
        <f t="shared" ca="1" si="54"/>
        <v>-</v>
      </c>
      <c r="B440" s="173"/>
      <c r="C440" s="253" t="str">
        <f t="shared" si="55"/>
        <v/>
      </c>
      <c r="D440" s="173"/>
      <c r="E440" s="173"/>
      <c r="F440" s="329" t="str">
        <f t="shared" si="62"/>
        <v/>
      </c>
      <c r="G440" s="176"/>
      <c r="H440" s="130" t="str">
        <f>IFERROR(INDEX(DMDT!B:B,MATCH($G440,DMDT!D:D,0),),"")</f>
        <v/>
      </c>
      <c r="I440" s="131"/>
      <c r="J440" s="132"/>
      <c r="K440" s="133"/>
      <c r="L440" s="134"/>
      <c r="M440" s="134"/>
      <c r="N440" s="135"/>
      <c r="O440" s="219"/>
      <c r="P440" s="143"/>
      <c r="Q440" s="144"/>
      <c r="R440" s="150"/>
      <c r="S440" s="127" t="str">
        <f t="shared" si="56"/>
        <v/>
      </c>
      <c r="T440" s="175" t="str">
        <f t="shared" si="57"/>
        <v/>
      </c>
      <c r="U440" s="158" t="e">
        <f t="shared" si="58"/>
        <v>#N/A</v>
      </c>
      <c r="V440" s="310" t="str">
        <f t="shared" si="59"/>
        <v/>
      </c>
      <c r="W440" s="137" t="str">
        <f t="shared" si="60"/>
        <v>X</v>
      </c>
      <c r="X440" s="137">
        <f t="shared" si="61"/>
        <v>0</v>
      </c>
    </row>
    <row r="441" spans="1:24" ht="17.25" customHeight="1">
      <c r="A441" s="137" t="str">
        <f t="shared" ca="1" si="54"/>
        <v>-</v>
      </c>
      <c r="B441" s="173"/>
      <c r="C441" s="253" t="str">
        <f t="shared" si="55"/>
        <v/>
      </c>
      <c r="D441" s="173"/>
      <c r="E441" s="173"/>
      <c r="F441" s="329" t="str">
        <f t="shared" si="62"/>
        <v/>
      </c>
      <c r="G441" s="176"/>
      <c r="H441" s="130" t="str">
        <f>IFERROR(INDEX(DMDT!B:B,MATCH($G441,DMDT!D:D,0),),"")</f>
        <v/>
      </c>
      <c r="I441" s="131"/>
      <c r="J441" s="132"/>
      <c r="K441" s="133"/>
      <c r="L441" s="134"/>
      <c r="M441" s="134"/>
      <c r="N441" s="135"/>
      <c r="O441" s="219"/>
      <c r="P441" s="143"/>
      <c r="Q441" s="144"/>
      <c r="R441" s="150"/>
      <c r="S441" s="127" t="str">
        <f t="shared" si="56"/>
        <v/>
      </c>
      <c r="T441" s="175" t="str">
        <f t="shared" si="57"/>
        <v/>
      </c>
      <c r="U441" s="158" t="e">
        <f t="shared" si="58"/>
        <v>#N/A</v>
      </c>
      <c r="V441" s="310" t="str">
        <f t="shared" si="59"/>
        <v/>
      </c>
      <c r="W441" s="137" t="str">
        <f t="shared" si="60"/>
        <v>X</v>
      </c>
      <c r="X441" s="137">
        <f t="shared" si="61"/>
        <v>0</v>
      </c>
    </row>
    <row r="442" spans="1:24" ht="17.25" customHeight="1">
      <c r="A442" s="137" t="str">
        <f t="shared" ca="1" si="54"/>
        <v>-</v>
      </c>
      <c r="B442" s="173"/>
      <c r="C442" s="253" t="str">
        <f t="shared" si="55"/>
        <v/>
      </c>
      <c r="D442" s="173"/>
      <c r="E442" s="173"/>
      <c r="F442" s="329" t="str">
        <f t="shared" si="62"/>
        <v/>
      </c>
      <c r="G442" s="176"/>
      <c r="H442" s="130" t="str">
        <f>IFERROR(INDEX(DMDT!B:B,MATCH($G442,DMDT!D:D,0),),"")</f>
        <v/>
      </c>
      <c r="I442" s="131"/>
      <c r="J442" s="132"/>
      <c r="K442" s="133"/>
      <c r="L442" s="134"/>
      <c r="M442" s="134"/>
      <c r="N442" s="135"/>
      <c r="O442" s="219"/>
      <c r="P442" s="143"/>
      <c r="Q442" s="144"/>
      <c r="R442" s="150"/>
      <c r="S442" s="127" t="str">
        <f t="shared" si="56"/>
        <v/>
      </c>
      <c r="T442" s="175" t="str">
        <f t="shared" si="57"/>
        <v/>
      </c>
      <c r="U442" s="158" t="e">
        <f t="shared" si="58"/>
        <v>#N/A</v>
      </c>
      <c r="V442" s="310" t="str">
        <f t="shared" si="59"/>
        <v/>
      </c>
      <c r="W442" s="137" t="str">
        <f t="shared" si="60"/>
        <v>X</v>
      </c>
      <c r="X442" s="137">
        <f t="shared" si="61"/>
        <v>0</v>
      </c>
    </row>
    <row r="443" spans="1:24" ht="17.25" customHeight="1">
      <c r="A443" s="137" t="str">
        <f t="shared" ca="1" si="54"/>
        <v>-</v>
      </c>
      <c r="B443" s="173"/>
      <c r="C443" s="253" t="str">
        <f t="shared" si="55"/>
        <v/>
      </c>
      <c r="D443" s="173"/>
      <c r="E443" s="173"/>
      <c r="F443" s="329" t="str">
        <f t="shared" si="62"/>
        <v/>
      </c>
      <c r="G443" s="176"/>
      <c r="H443" s="130" t="str">
        <f>IFERROR(INDEX(DMDT!B:B,MATCH($G443,DMDT!D:D,0),),"")</f>
        <v/>
      </c>
      <c r="I443" s="131"/>
      <c r="J443" s="132"/>
      <c r="K443" s="133"/>
      <c r="L443" s="134"/>
      <c r="M443" s="134"/>
      <c r="N443" s="135"/>
      <c r="O443" s="219"/>
      <c r="P443" s="143"/>
      <c r="Q443" s="144"/>
      <c r="R443" s="150"/>
      <c r="S443" s="127" t="str">
        <f t="shared" si="56"/>
        <v/>
      </c>
      <c r="T443" s="175" t="str">
        <f t="shared" si="57"/>
        <v/>
      </c>
      <c r="U443" s="158" t="e">
        <f t="shared" si="58"/>
        <v>#N/A</v>
      </c>
      <c r="V443" s="310" t="str">
        <f t="shared" si="59"/>
        <v/>
      </c>
      <c r="W443" s="137" t="str">
        <f t="shared" si="60"/>
        <v>X</v>
      </c>
      <c r="X443" s="137">
        <f t="shared" si="61"/>
        <v>0</v>
      </c>
    </row>
    <row r="444" spans="1:24" ht="17.25" customHeight="1">
      <c r="A444" s="137" t="str">
        <f t="shared" ca="1" si="54"/>
        <v>-</v>
      </c>
      <c r="B444" s="173"/>
      <c r="C444" s="253" t="str">
        <f t="shared" si="55"/>
        <v/>
      </c>
      <c r="D444" s="173"/>
      <c r="E444" s="173"/>
      <c r="F444" s="329" t="str">
        <f t="shared" si="62"/>
        <v/>
      </c>
      <c r="G444" s="176"/>
      <c r="H444" s="130" t="str">
        <f>IFERROR(INDEX(DMDT!B:B,MATCH($G444,DMDT!D:D,0),),"")</f>
        <v/>
      </c>
      <c r="I444" s="131"/>
      <c r="J444" s="132"/>
      <c r="K444" s="133"/>
      <c r="L444" s="134"/>
      <c r="M444" s="134"/>
      <c r="N444" s="135"/>
      <c r="O444" s="219"/>
      <c r="P444" s="143"/>
      <c r="Q444" s="144"/>
      <c r="R444" s="150"/>
      <c r="S444" s="127" t="str">
        <f t="shared" si="56"/>
        <v/>
      </c>
      <c r="T444" s="175" t="str">
        <f t="shared" si="57"/>
        <v/>
      </c>
      <c r="U444" s="158" t="e">
        <f t="shared" si="58"/>
        <v>#N/A</v>
      </c>
      <c r="V444" s="310" t="str">
        <f t="shared" si="59"/>
        <v/>
      </c>
      <c r="W444" s="137" t="str">
        <f t="shared" si="60"/>
        <v>X</v>
      </c>
      <c r="X444" s="137">
        <f t="shared" si="61"/>
        <v>0</v>
      </c>
    </row>
    <row r="445" spans="1:24" ht="17.25" customHeight="1">
      <c r="A445" s="137" t="str">
        <f t="shared" ca="1" si="54"/>
        <v>-</v>
      </c>
      <c r="B445" s="173"/>
      <c r="C445" s="253" t="str">
        <f t="shared" si="55"/>
        <v/>
      </c>
      <c r="D445" s="173"/>
      <c r="E445" s="173"/>
      <c r="F445" s="329" t="str">
        <f t="shared" si="62"/>
        <v/>
      </c>
      <c r="G445" s="176"/>
      <c r="H445" s="130" t="str">
        <f>IFERROR(INDEX(DMDT!B:B,MATCH($G445,DMDT!D:D,0),),"")</f>
        <v/>
      </c>
      <c r="I445" s="131"/>
      <c r="J445" s="132"/>
      <c r="K445" s="133"/>
      <c r="L445" s="134"/>
      <c r="M445" s="134"/>
      <c r="N445" s="135"/>
      <c r="O445" s="219"/>
      <c r="P445" s="143"/>
      <c r="Q445" s="144"/>
      <c r="R445" s="150"/>
      <c r="S445" s="127" t="str">
        <f t="shared" si="56"/>
        <v/>
      </c>
      <c r="T445" s="175" t="str">
        <f t="shared" si="57"/>
        <v/>
      </c>
      <c r="U445" s="158" t="e">
        <f t="shared" si="58"/>
        <v>#N/A</v>
      </c>
      <c r="V445" s="310" t="str">
        <f t="shared" si="59"/>
        <v/>
      </c>
      <c r="W445" s="137" t="str">
        <f t="shared" si="60"/>
        <v>X</v>
      </c>
      <c r="X445" s="137">
        <f t="shared" si="61"/>
        <v>0</v>
      </c>
    </row>
    <row r="446" spans="1:24" ht="17.25" customHeight="1">
      <c r="A446" s="137" t="str">
        <f t="shared" ca="1" si="54"/>
        <v>-</v>
      </c>
      <c r="B446" s="173"/>
      <c r="C446" s="253" t="str">
        <f t="shared" si="55"/>
        <v/>
      </c>
      <c r="D446" s="173"/>
      <c r="E446" s="173"/>
      <c r="F446" s="329" t="str">
        <f t="shared" si="62"/>
        <v/>
      </c>
      <c r="G446" s="176"/>
      <c r="H446" s="130" t="str">
        <f>IFERROR(INDEX(DMDT!B:B,MATCH($G446,DMDT!D:D,0),),"")</f>
        <v/>
      </c>
      <c r="I446" s="131"/>
      <c r="J446" s="132"/>
      <c r="K446" s="133"/>
      <c r="L446" s="134"/>
      <c r="M446" s="134"/>
      <c r="N446" s="135"/>
      <c r="O446" s="219"/>
      <c r="P446" s="143"/>
      <c r="Q446" s="144"/>
      <c r="R446" s="150"/>
      <c r="S446" s="127" t="str">
        <f t="shared" si="56"/>
        <v/>
      </c>
      <c r="T446" s="175" t="str">
        <f t="shared" si="57"/>
        <v/>
      </c>
      <c r="U446" s="158" t="e">
        <f t="shared" si="58"/>
        <v>#N/A</v>
      </c>
      <c r="V446" s="310" t="str">
        <f t="shared" si="59"/>
        <v/>
      </c>
      <c r="W446" s="137" t="str">
        <f t="shared" si="60"/>
        <v>X</v>
      </c>
      <c r="X446" s="137">
        <f t="shared" si="61"/>
        <v>0</v>
      </c>
    </row>
    <row r="447" spans="1:24" ht="17.25" customHeight="1">
      <c r="A447" s="137" t="str">
        <f t="shared" ca="1" si="54"/>
        <v>-</v>
      </c>
      <c r="B447" s="173"/>
      <c r="C447" s="253" t="str">
        <f t="shared" si="55"/>
        <v/>
      </c>
      <c r="D447" s="173"/>
      <c r="E447" s="173"/>
      <c r="F447" s="329" t="str">
        <f t="shared" si="62"/>
        <v/>
      </c>
      <c r="G447" s="176"/>
      <c r="H447" s="130" t="str">
        <f>IFERROR(INDEX(DMDT!B:B,MATCH($G447,DMDT!D:D,0),),"")</f>
        <v/>
      </c>
      <c r="I447" s="131"/>
      <c r="J447" s="132"/>
      <c r="K447" s="133"/>
      <c r="L447" s="134"/>
      <c r="M447" s="134"/>
      <c r="N447" s="135"/>
      <c r="O447" s="219"/>
      <c r="P447" s="143"/>
      <c r="Q447" s="144"/>
      <c r="R447" s="150"/>
      <c r="S447" s="127" t="str">
        <f t="shared" si="56"/>
        <v/>
      </c>
      <c r="T447" s="175" t="str">
        <f t="shared" si="57"/>
        <v/>
      </c>
      <c r="U447" s="158" t="e">
        <f t="shared" si="58"/>
        <v>#N/A</v>
      </c>
      <c r="V447" s="310" t="str">
        <f t="shared" si="59"/>
        <v/>
      </c>
      <c r="W447" s="137" t="str">
        <f t="shared" si="60"/>
        <v>X</v>
      </c>
      <c r="X447" s="137">
        <f t="shared" si="61"/>
        <v>0</v>
      </c>
    </row>
    <row r="448" spans="1:24" ht="17.25" customHeight="1">
      <c r="A448" s="137" t="str">
        <f t="shared" ca="1" si="54"/>
        <v>-</v>
      </c>
      <c r="B448" s="173"/>
      <c r="C448" s="253" t="str">
        <f t="shared" si="55"/>
        <v/>
      </c>
      <c r="D448" s="173"/>
      <c r="E448" s="173"/>
      <c r="F448" s="329" t="str">
        <f t="shared" si="62"/>
        <v/>
      </c>
      <c r="G448" s="174"/>
      <c r="H448" s="130" t="str">
        <f>IFERROR(INDEX(DMDT!B:B,MATCH($G448,DMDT!D:D,0),),"")</f>
        <v/>
      </c>
      <c r="I448" s="131"/>
      <c r="J448" s="132"/>
      <c r="K448" s="133"/>
      <c r="L448" s="134"/>
      <c r="M448" s="134"/>
      <c r="N448" s="135"/>
      <c r="O448" s="219"/>
      <c r="P448" s="143"/>
      <c r="Q448" s="144"/>
      <c r="R448" s="150"/>
      <c r="S448" s="127" t="str">
        <f t="shared" si="56"/>
        <v/>
      </c>
      <c r="T448" s="175" t="str">
        <f t="shared" si="57"/>
        <v/>
      </c>
      <c r="U448" s="158" t="e">
        <f t="shared" si="58"/>
        <v>#N/A</v>
      </c>
      <c r="V448" s="310" t="str">
        <f t="shared" si="59"/>
        <v/>
      </c>
      <c r="W448" s="137" t="str">
        <f t="shared" si="60"/>
        <v>X</v>
      </c>
      <c r="X448" s="137">
        <f t="shared" si="61"/>
        <v>0</v>
      </c>
    </row>
    <row r="449" spans="1:24" ht="17.25" customHeight="1">
      <c r="A449" s="137" t="str">
        <f t="shared" ca="1" si="54"/>
        <v>-</v>
      </c>
      <c r="B449" s="173"/>
      <c r="C449" s="253" t="str">
        <f t="shared" si="55"/>
        <v/>
      </c>
      <c r="D449" s="173"/>
      <c r="E449" s="173"/>
      <c r="F449" s="329" t="str">
        <f t="shared" si="62"/>
        <v/>
      </c>
      <c r="G449" s="176"/>
      <c r="H449" s="130" t="str">
        <f>IFERROR(INDEX(DMDT!B:B,MATCH($G449,DMDT!D:D,0),),"")</f>
        <v/>
      </c>
      <c r="I449" s="131"/>
      <c r="J449" s="132"/>
      <c r="K449" s="133"/>
      <c r="L449" s="134"/>
      <c r="M449" s="134"/>
      <c r="N449" s="135"/>
      <c r="O449" s="219"/>
      <c r="P449" s="143"/>
      <c r="Q449" s="144"/>
      <c r="R449" s="150"/>
      <c r="S449" s="127" t="str">
        <f t="shared" si="56"/>
        <v/>
      </c>
      <c r="T449" s="175" t="str">
        <f t="shared" si="57"/>
        <v/>
      </c>
      <c r="U449" s="158" t="e">
        <f t="shared" si="58"/>
        <v>#N/A</v>
      </c>
      <c r="V449" s="310" t="str">
        <f t="shared" si="59"/>
        <v/>
      </c>
      <c r="W449" s="137" t="str">
        <f t="shared" si="60"/>
        <v>X</v>
      </c>
      <c r="X449" s="137">
        <f t="shared" si="61"/>
        <v>0</v>
      </c>
    </row>
    <row r="450" spans="1:24" ht="17.25" customHeight="1">
      <c r="A450" s="137" t="str">
        <f t="shared" ca="1" si="54"/>
        <v>-</v>
      </c>
      <c r="B450" s="173"/>
      <c r="C450" s="253" t="str">
        <f t="shared" si="55"/>
        <v/>
      </c>
      <c r="D450" s="173"/>
      <c r="E450" s="173"/>
      <c r="F450" s="329" t="str">
        <f t="shared" si="62"/>
        <v/>
      </c>
      <c r="G450" s="176"/>
      <c r="H450" s="130" t="str">
        <f>IFERROR(INDEX(DMDT!B:B,MATCH($G450,DMDT!D:D,0),),"")</f>
        <v/>
      </c>
      <c r="I450" s="131"/>
      <c r="J450" s="132"/>
      <c r="K450" s="133"/>
      <c r="L450" s="134"/>
      <c r="M450" s="134"/>
      <c r="N450" s="135"/>
      <c r="O450" s="219"/>
      <c r="P450" s="143"/>
      <c r="Q450" s="144"/>
      <c r="R450" s="150"/>
      <c r="S450" s="127" t="str">
        <f t="shared" si="56"/>
        <v/>
      </c>
      <c r="T450" s="175" t="str">
        <f t="shared" si="57"/>
        <v/>
      </c>
      <c r="U450" s="158" t="e">
        <f t="shared" si="58"/>
        <v>#N/A</v>
      </c>
      <c r="V450" s="310" t="str">
        <f t="shared" si="59"/>
        <v/>
      </c>
      <c r="W450" s="137" t="str">
        <f t="shared" si="60"/>
        <v>X</v>
      </c>
      <c r="X450" s="137">
        <f t="shared" si="61"/>
        <v>0</v>
      </c>
    </row>
    <row r="451" spans="1:24" ht="17.25" customHeight="1">
      <c r="A451" s="137" t="str">
        <f t="shared" ca="1" si="54"/>
        <v>-</v>
      </c>
      <c r="B451" s="173"/>
      <c r="C451" s="253" t="str">
        <f t="shared" si="55"/>
        <v/>
      </c>
      <c r="D451" s="173"/>
      <c r="E451" s="173"/>
      <c r="F451" s="329" t="str">
        <f t="shared" si="62"/>
        <v/>
      </c>
      <c r="G451" s="176"/>
      <c r="H451" s="130" t="str">
        <f>IFERROR(INDEX(DMDT!B:B,MATCH($G451,DMDT!D:D,0),),"")</f>
        <v/>
      </c>
      <c r="I451" s="131"/>
      <c r="J451" s="132"/>
      <c r="K451" s="133"/>
      <c r="L451" s="134"/>
      <c r="M451" s="134"/>
      <c r="N451" s="135"/>
      <c r="O451" s="219"/>
      <c r="P451" s="143"/>
      <c r="Q451" s="144"/>
      <c r="R451" s="150"/>
      <c r="S451" s="127" t="str">
        <f t="shared" si="56"/>
        <v/>
      </c>
      <c r="T451" s="175" t="str">
        <f t="shared" si="57"/>
        <v/>
      </c>
      <c r="U451" s="158" t="e">
        <f t="shared" si="58"/>
        <v>#N/A</v>
      </c>
      <c r="V451" s="310" t="str">
        <f t="shared" si="59"/>
        <v/>
      </c>
      <c r="W451" s="137" t="str">
        <f t="shared" si="60"/>
        <v>X</v>
      </c>
      <c r="X451" s="137">
        <f t="shared" si="61"/>
        <v>0</v>
      </c>
    </row>
    <row r="452" spans="1:24" ht="17.25" customHeight="1">
      <c r="A452" s="137" t="str">
        <f t="shared" ref="A452:A515" ca="1" si="63">IF(F452="","-",IF(COUNTIFS(OFFSET($H$3,,,ROW()-3),H452,OFFSET($J$3,,,ROW()-3),J452,OFFSET($N$3,,,ROW()-3),N452)=0,"-","FALSE"))</f>
        <v>-</v>
      </c>
      <c r="B452" s="173"/>
      <c r="C452" s="253" t="str">
        <f t="shared" si="55"/>
        <v/>
      </c>
      <c r="D452" s="173"/>
      <c r="E452" s="173"/>
      <c r="F452" s="329" t="str">
        <f t="shared" si="62"/>
        <v/>
      </c>
      <c r="G452" s="176"/>
      <c r="H452" s="130" t="str">
        <f>IFERROR(INDEX(DMDT!B:B,MATCH($G452,DMDT!D:D,0),),"")</f>
        <v/>
      </c>
      <c r="I452" s="131"/>
      <c r="J452" s="132"/>
      <c r="K452" s="133"/>
      <c r="L452" s="134"/>
      <c r="M452" s="134"/>
      <c r="N452" s="135"/>
      <c r="O452" s="219"/>
      <c r="P452" s="143"/>
      <c r="Q452" s="144"/>
      <c r="R452" s="150"/>
      <c r="S452" s="127" t="str">
        <f t="shared" si="56"/>
        <v/>
      </c>
      <c r="T452" s="175" t="str">
        <f t="shared" si="57"/>
        <v/>
      </c>
      <c r="U452" s="158" t="e">
        <f t="shared" si="58"/>
        <v>#N/A</v>
      </c>
      <c r="V452" s="310" t="str">
        <f t="shared" si="59"/>
        <v/>
      </c>
      <c r="W452" s="137" t="str">
        <f t="shared" si="60"/>
        <v>X</v>
      </c>
      <c r="X452" s="137">
        <f t="shared" si="61"/>
        <v>0</v>
      </c>
    </row>
    <row r="453" spans="1:24" ht="17.25" customHeight="1">
      <c r="A453" s="137" t="str">
        <f t="shared" ca="1" si="63"/>
        <v>-</v>
      </c>
      <c r="B453" s="173"/>
      <c r="C453" s="253" t="str">
        <f t="shared" ref="C453:C516" si="64">IF(F453="","",IF(LEFT(M453,5)&lt;&gt;"3311-","Non-GR",IF(AND(B453&lt;D453,B453&lt;&gt;""),NETWORKDAYS(B453,D453),IF(OR(L453="Mai",L453="Đức Anh",L453="C.Thảo"),"GIT","Non-GR"))))</f>
        <v/>
      </c>
      <c r="D453" s="173"/>
      <c r="E453" s="173"/>
      <c r="F453" s="329" t="str">
        <f t="shared" si="62"/>
        <v/>
      </c>
      <c r="G453" s="176"/>
      <c r="H453" s="130" t="str">
        <f>IFERROR(INDEX(DMDT!B:B,MATCH($G453,DMDT!D:D,0),),"")</f>
        <v/>
      </c>
      <c r="I453" s="131"/>
      <c r="J453" s="132"/>
      <c r="K453" s="133"/>
      <c r="L453" s="134"/>
      <c r="M453" s="134"/>
      <c r="N453" s="135"/>
      <c r="O453" s="219"/>
      <c r="P453" s="143"/>
      <c r="Q453" s="144"/>
      <c r="R453" s="150"/>
      <c r="S453" s="127" t="str">
        <f t="shared" ref="S453:S516" si="65">$N453&amp;LEFT($G453,6)</f>
        <v/>
      </c>
      <c r="T453" s="175" t="str">
        <f t="shared" ref="T453:T516" si="66">+LEFT($M453,5)</f>
        <v/>
      </c>
      <c r="U453" s="158" t="e">
        <f t="shared" ref="U453:U516" si="67">VLOOKUP(L453,$AB$10:$AC$26,2,0)</f>
        <v>#N/A</v>
      </c>
      <c r="V453" s="310" t="str">
        <f t="shared" ref="V453:V516" si="68">IF(T453="3311-",D453,"")</f>
        <v/>
      </c>
      <c r="W453" s="137" t="str">
        <f t="shared" ref="W453:W516" si="69">IFERROR(IF(MONTH(V453)=$F$1,DAY(V453),"NEXT"),"X")</f>
        <v>X</v>
      </c>
      <c r="X453" s="137">
        <f t="shared" ref="X453:X516" si="70">IFERROR(IF(31-W453&gt;5,1,2),0)</f>
        <v>0</v>
      </c>
    </row>
    <row r="454" spans="1:24" ht="17.25" customHeight="1">
      <c r="A454" s="137" t="str">
        <f t="shared" ca="1" si="63"/>
        <v>-</v>
      </c>
      <c r="B454" s="173"/>
      <c r="C454" s="253" t="str">
        <f t="shared" si="64"/>
        <v/>
      </c>
      <c r="D454" s="173"/>
      <c r="E454" s="173"/>
      <c r="F454" s="329" t="str">
        <f t="shared" ref="F454:F517" si="71">IF(E454&lt;&gt;"",F453+1,"")</f>
        <v/>
      </c>
      <c r="G454" s="176"/>
      <c r="H454" s="130" t="str">
        <f>IFERROR(INDEX(DMDT!B:B,MATCH($G454,DMDT!D:D,0),),"")</f>
        <v/>
      </c>
      <c r="I454" s="131"/>
      <c r="J454" s="132"/>
      <c r="K454" s="133"/>
      <c r="L454" s="134"/>
      <c r="M454" s="134"/>
      <c r="N454" s="135"/>
      <c r="O454" s="219"/>
      <c r="P454" s="143"/>
      <c r="Q454" s="144"/>
      <c r="R454" s="150"/>
      <c r="S454" s="127" t="str">
        <f t="shared" si="65"/>
        <v/>
      </c>
      <c r="T454" s="175" t="str">
        <f t="shared" si="66"/>
        <v/>
      </c>
      <c r="U454" s="158" t="e">
        <f t="shared" si="67"/>
        <v>#N/A</v>
      </c>
      <c r="V454" s="310" t="str">
        <f t="shared" si="68"/>
        <v/>
      </c>
      <c r="W454" s="137" t="str">
        <f t="shared" si="69"/>
        <v>X</v>
      </c>
      <c r="X454" s="137">
        <f t="shared" si="70"/>
        <v>0</v>
      </c>
    </row>
    <row r="455" spans="1:24" ht="17.25" customHeight="1">
      <c r="A455" s="137" t="str">
        <f t="shared" ca="1" si="63"/>
        <v>-</v>
      </c>
      <c r="B455" s="173"/>
      <c r="C455" s="253" t="str">
        <f t="shared" si="64"/>
        <v/>
      </c>
      <c r="D455" s="173"/>
      <c r="E455" s="173"/>
      <c r="F455" s="329" t="str">
        <f t="shared" si="71"/>
        <v/>
      </c>
      <c r="G455" s="176"/>
      <c r="H455" s="130" t="str">
        <f>IFERROR(INDEX(DMDT!B:B,MATCH($G455,DMDT!D:D,0),),"")</f>
        <v/>
      </c>
      <c r="I455" s="131"/>
      <c r="J455" s="132"/>
      <c r="K455" s="133"/>
      <c r="L455" s="134"/>
      <c r="M455" s="134"/>
      <c r="N455" s="135"/>
      <c r="O455" s="219"/>
      <c r="P455" s="143"/>
      <c r="Q455" s="144"/>
      <c r="R455" s="150"/>
      <c r="S455" s="127" t="str">
        <f t="shared" si="65"/>
        <v/>
      </c>
      <c r="T455" s="175" t="str">
        <f t="shared" si="66"/>
        <v/>
      </c>
      <c r="U455" s="158" t="e">
        <f t="shared" si="67"/>
        <v>#N/A</v>
      </c>
      <c r="V455" s="310" t="str">
        <f t="shared" si="68"/>
        <v/>
      </c>
      <c r="W455" s="137" t="str">
        <f t="shared" si="69"/>
        <v>X</v>
      </c>
      <c r="X455" s="137">
        <f t="shared" si="70"/>
        <v>0</v>
      </c>
    </row>
    <row r="456" spans="1:24" ht="17.25" customHeight="1">
      <c r="A456" s="137" t="str">
        <f t="shared" ca="1" si="63"/>
        <v>-</v>
      </c>
      <c r="B456" s="173"/>
      <c r="C456" s="253" t="str">
        <f t="shared" si="64"/>
        <v/>
      </c>
      <c r="D456" s="173"/>
      <c r="E456" s="173"/>
      <c r="F456" s="329" t="str">
        <f t="shared" si="71"/>
        <v/>
      </c>
      <c r="G456" s="176"/>
      <c r="H456" s="130" t="str">
        <f>IFERROR(INDEX(DMDT!B:B,MATCH($G456,DMDT!D:D,0),),"")</f>
        <v/>
      </c>
      <c r="I456" s="131"/>
      <c r="J456" s="132"/>
      <c r="K456" s="133"/>
      <c r="L456" s="134"/>
      <c r="M456" s="134"/>
      <c r="N456" s="135"/>
      <c r="O456" s="219"/>
      <c r="P456" s="143"/>
      <c r="Q456" s="144"/>
      <c r="R456" s="150"/>
      <c r="S456" s="127" t="str">
        <f t="shared" si="65"/>
        <v/>
      </c>
      <c r="T456" s="175" t="str">
        <f t="shared" si="66"/>
        <v/>
      </c>
      <c r="U456" s="158" t="e">
        <f t="shared" si="67"/>
        <v>#N/A</v>
      </c>
      <c r="V456" s="310" t="str">
        <f t="shared" si="68"/>
        <v/>
      </c>
      <c r="W456" s="137" t="str">
        <f t="shared" si="69"/>
        <v>X</v>
      </c>
      <c r="X456" s="137">
        <f t="shared" si="70"/>
        <v>0</v>
      </c>
    </row>
    <row r="457" spans="1:24" ht="17.25" customHeight="1">
      <c r="A457" s="137" t="str">
        <f t="shared" ca="1" si="63"/>
        <v>-</v>
      </c>
      <c r="B457" s="173"/>
      <c r="C457" s="253" t="str">
        <f t="shared" si="64"/>
        <v/>
      </c>
      <c r="D457" s="173"/>
      <c r="E457" s="173"/>
      <c r="F457" s="329" t="str">
        <f t="shared" si="71"/>
        <v/>
      </c>
      <c r="G457" s="174"/>
      <c r="H457" s="130" t="str">
        <f>IFERROR(INDEX(DMDT!B:B,MATCH($G457,DMDT!D:D,0),),"")</f>
        <v/>
      </c>
      <c r="I457" s="131"/>
      <c r="J457" s="132"/>
      <c r="K457" s="133"/>
      <c r="L457" s="134"/>
      <c r="M457" s="134"/>
      <c r="N457" s="135"/>
      <c r="O457" s="219"/>
      <c r="P457" s="143"/>
      <c r="Q457" s="144"/>
      <c r="R457" s="150"/>
      <c r="S457" s="127" t="str">
        <f t="shared" si="65"/>
        <v/>
      </c>
      <c r="T457" s="175" t="str">
        <f t="shared" si="66"/>
        <v/>
      </c>
      <c r="U457" s="158" t="e">
        <f t="shared" si="67"/>
        <v>#N/A</v>
      </c>
      <c r="V457" s="310" t="str">
        <f t="shared" si="68"/>
        <v/>
      </c>
      <c r="W457" s="137" t="str">
        <f t="shared" si="69"/>
        <v>X</v>
      </c>
      <c r="X457" s="137">
        <f t="shared" si="70"/>
        <v>0</v>
      </c>
    </row>
    <row r="458" spans="1:24" ht="17.25" customHeight="1">
      <c r="A458" s="137" t="str">
        <f t="shared" ca="1" si="63"/>
        <v>-</v>
      </c>
      <c r="B458" s="173"/>
      <c r="C458" s="253" t="str">
        <f t="shared" si="64"/>
        <v/>
      </c>
      <c r="D458" s="173"/>
      <c r="E458" s="173"/>
      <c r="F458" s="329" t="str">
        <f t="shared" si="71"/>
        <v/>
      </c>
      <c r="G458" s="174"/>
      <c r="H458" s="130" t="str">
        <f>IFERROR(INDEX(DMDT!B:B,MATCH($G458,DMDT!D:D,0),),"")</f>
        <v/>
      </c>
      <c r="I458" s="131"/>
      <c r="J458" s="132"/>
      <c r="K458" s="133"/>
      <c r="L458" s="134"/>
      <c r="M458" s="134"/>
      <c r="N458" s="135"/>
      <c r="O458" s="219"/>
      <c r="P458" s="143"/>
      <c r="Q458" s="144"/>
      <c r="R458" s="150"/>
      <c r="S458" s="127" t="str">
        <f t="shared" si="65"/>
        <v/>
      </c>
      <c r="T458" s="175" t="str">
        <f t="shared" si="66"/>
        <v/>
      </c>
      <c r="U458" s="158" t="e">
        <f t="shared" si="67"/>
        <v>#N/A</v>
      </c>
      <c r="V458" s="310" t="str">
        <f t="shared" si="68"/>
        <v/>
      </c>
      <c r="W458" s="137" t="str">
        <f t="shared" si="69"/>
        <v>X</v>
      </c>
      <c r="X458" s="137">
        <f t="shared" si="70"/>
        <v>0</v>
      </c>
    </row>
    <row r="459" spans="1:24" ht="17.25" customHeight="1">
      <c r="A459" s="137" t="str">
        <f t="shared" ca="1" si="63"/>
        <v>-</v>
      </c>
      <c r="B459" s="173"/>
      <c r="C459" s="253" t="str">
        <f t="shared" si="64"/>
        <v/>
      </c>
      <c r="D459" s="173"/>
      <c r="E459" s="173"/>
      <c r="F459" s="329" t="str">
        <f t="shared" si="71"/>
        <v/>
      </c>
      <c r="G459" s="174"/>
      <c r="H459" s="130" t="str">
        <f>IFERROR(INDEX(DMDT!B:B,MATCH($G459,DMDT!D:D,0),),"")</f>
        <v/>
      </c>
      <c r="I459" s="131"/>
      <c r="J459" s="132"/>
      <c r="K459" s="133"/>
      <c r="L459" s="134"/>
      <c r="M459" s="134"/>
      <c r="N459" s="135"/>
      <c r="O459" s="219"/>
      <c r="P459" s="143"/>
      <c r="Q459" s="144"/>
      <c r="R459" s="150"/>
      <c r="S459" s="127" t="str">
        <f t="shared" si="65"/>
        <v/>
      </c>
      <c r="T459" s="175" t="str">
        <f t="shared" si="66"/>
        <v/>
      </c>
      <c r="U459" s="158" t="e">
        <f t="shared" si="67"/>
        <v>#N/A</v>
      </c>
      <c r="V459" s="310" t="str">
        <f t="shared" si="68"/>
        <v/>
      </c>
      <c r="W459" s="137" t="str">
        <f t="shared" si="69"/>
        <v>X</v>
      </c>
      <c r="X459" s="137">
        <f t="shared" si="70"/>
        <v>0</v>
      </c>
    </row>
    <row r="460" spans="1:24" ht="17.25" customHeight="1">
      <c r="A460" s="137" t="str">
        <f t="shared" ca="1" si="63"/>
        <v>-</v>
      </c>
      <c r="B460" s="173"/>
      <c r="C460" s="253" t="str">
        <f t="shared" si="64"/>
        <v/>
      </c>
      <c r="D460" s="173"/>
      <c r="E460" s="173"/>
      <c r="F460" s="329" t="str">
        <f t="shared" si="71"/>
        <v/>
      </c>
      <c r="G460" s="174"/>
      <c r="H460" s="130" t="str">
        <f>IFERROR(INDEX(DMDT!B:B,MATCH($G460,DMDT!D:D,0),),"")</f>
        <v/>
      </c>
      <c r="I460" s="131"/>
      <c r="J460" s="132"/>
      <c r="K460" s="133"/>
      <c r="L460" s="134"/>
      <c r="M460" s="134"/>
      <c r="N460" s="135"/>
      <c r="O460" s="219"/>
      <c r="P460" s="143"/>
      <c r="Q460" s="144"/>
      <c r="R460" s="150"/>
      <c r="S460" s="127" t="str">
        <f t="shared" si="65"/>
        <v/>
      </c>
      <c r="T460" s="175" t="str">
        <f t="shared" si="66"/>
        <v/>
      </c>
      <c r="U460" s="158" t="e">
        <f t="shared" si="67"/>
        <v>#N/A</v>
      </c>
      <c r="V460" s="310" t="str">
        <f t="shared" si="68"/>
        <v/>
      </c>
      <c r="W460" s="137" t="str">
        <f t="shared" si="69"/>
        <v>X</v>
      </c>
      <c r="X460" s="137">
        <f t="shared" si="70"/>
        <v>0</v>
      </c>
    </row>
    <row r="461" spans="1:24" ht="17.25" customHeight="1">
      <c r="A461" s="137" t="str">
        <f t="shared" ca="1" si="63"/>
        <v>-</v>
      </c>
      <c r="B461" s="173"/>
      <c r="C461" s="253" t="str">
        <f t="shared" si="64"/>
        <v/>
      </c>
      <c r="D461" s="173"/>
      <c r="E461" s="173"/>
      <c r="F461" s="329" t="str">
        <f t="shared" si="71"/>
        <v/>
      </c>
      <c r="G461" s="174"/>
      <c r="H461" s="130" t="str">
        <f>IFERROR(INDEX(DMDT!B:B,MATCH($G461,DMDT!D:D,0),),"")</f>
        <v/>
      </c>
      <c r="I461" s="131"/>
      <c r="J461" s="132"/>
      <c r="K461" s="133"/>
      <c r="L461" s="134"/>
      <c r="M461" s="134"/>
      <c r="N461" s="135"/>
      <c r="O461" s="219"/>
      <c r="P461" s="143"/>
      <c r="Q461" s="144"/>
      <c r="R461" s="150"/>
      <c r="S461" s="127" t="str">
        <f t="shared" si="65"/>
        <v/>
      </c>
      <c r="T461" s="175" t="str">
        <f t="shared" si="66"/>
        <v/>
      </c>
      <c r="U461" s="158" t="e">
        <f t="shared" si="67"/>
        <v>#N/A</v>
      </c>
      <c r="V461" s="310" t="str">
        <f t="shared" si="68"/>
        <v/>
      </c>
      <c r="W461" s="137" t="str">
        <f t="shared" si="69"/>
        <v>X</v>
      </c>
      <c r="X461" s="137">
        <f t="shared" si="70"/>
        <v>0</v>
      </c>
    </row>
    <row r="462" spans="1:24" ht="17.25" customHeight="1">
      <c r="A462" s="137" t="str">
        <f t="shared" ca="1" si="63"/>
        <v>-</v>
      </c>
      <c r="B462" s="173"/>
      <c r="C462" s="253" t="str">
        <f t="shared" si="64"/>
        <v/>
      </c>
      <c r="D462" s="173"/>
      <c r="E462" s="173"/>
      <c r="F462" s="329" t="str">
        <f t="shared" si="71"/>
        <v/>
      </c>
      <c r="G462" s="174"/>
      <c r="H462" s="130" t="str">
        <f>IFERROR(INDEX(DMDT!B:B,MATCH($G462,DMDT!D:D,0),),"")</f>
        <v/>
      </c>
      <c r="I462" s="131"/>
      <c r="J462" s="132"/>
      <c r="K462" s="133"/>
      <c r="L462" s="134"/>
      <c r="M462" s="134"/>
      <c r="N462" s="135"/>
      <c r="O462" s="219"/>
      <c r="P462" s="143"/>
      <c r="Q462" s="144"/>
      <c r="R462" s="150"/>
      <c r="S462" s="127" t="str">
        <f t="shared" si="65"/>
        <v/>
      </c>
      <c r="T462" s="175" t="str">
        <f t="shared" si="66"/>
        <v/>
      </c>
      <c r="U462" s="158" t="e">
        <f t="shared" si="67"/>
        <v>#N/A</v>
      </c>
      <c r="V462" s="310" t="str">
        <f t="shared" si="68"/>
        <v/>
      </c>
      <c r="W462" s="137" t="str">
        <f t="shared" si="69"/>
        <v>X</v>
      </c>
      <c r="X462" s="137">
        <f t="shared" si="70"/>
        <v>0</v>
      </c>
    </row>
    <row r="463" spans="1:24" ht="17.25" customHeight="1">
      <c r="A463" s="137" t="str">
        <f t="shared" ca="1" si="63"/>
        <v>-</v>
      </c>
      <c r="B463" s="173"/>
      <c r="C463" s="253" t="str">
        <f t="shared" si="64"/>
        <v/>
      </c>
      <c r="D463" s="173"/>
      <c r="E463" s="173"/>
      <c r="F463" s="329" t="str">
        <f t="shared" si="71"/>
        <v/>
      </c>
      <c r="G463" s="174"/>
      <c r="H463" s="130" t="str">
        <f>IFERROR(INDEX(DMDT!B:B,MATCH($G463,DMDT!D:D,0),),"")</f>
        <v/>
      </c>
      <c r="I463" s="131"/>
      <c r="J463" s="132"/>
      <c r="K463" s="133"/>
      <c r="L463" s="134"/>
      <c r="M463" s="134"/>
      <c r="N463" s="135"/>
      <c r="O463" s="219"/>
      <c r="P463" s="143"/>
      <c r="Q463" s="144"/>
      <c r="R463" s="150"/>
      <c r="S463" s="127" t="str">
        <f t="shared" si="65"/>
        <v/>
      </c>
      <c r="T463" s="175" t="str">
        <f t="shared" si="66"/>
        <v/>
      </c>
      <c r="U463" s="158" t="e">
        <f t="shared" si="67"/>
        <v>#N/A</v>
      </c>
      <c r="V463" s="310" t="str">
        <f t="shared" si="68"/>
        <v/>
      </c>
      <c r="W463" s="137" t="str">
        <f t="shared" si="69"/>
        <v>X</v>
      </c>
      <c r="X463" s="137">
        <f t="shared" si="70"/>
        <v>0</v>
      </c>
    </row>
    <row r="464" spans="1:24" ht="17.25" customHeight="1">
      <c r="A464" s="137" t="str">
        <f t="shared" ca="1" si="63"/>
        <v>-</v>
      </c>
      <c r="B464" s="173"/>
      <c r="C464" s="253" t="str">
        <f t="shared" si="64"/>
        <v/>
      </c>
      <c r="D464" s="173"/>
      <c r="E464" s="173"/>
      <c r="F464" s="329" t="str">
        <f t="shared" si="71"/>
        <v/>
      </c>
      <c r="G464" s="174"/>
      <c r="H464" s="130" t="str">
        <f>IFERROR(INDEX(DMDT!B:B,MATCH($G464,DMDT!D:D,0),),"")</f>
        <v/>
      </c>
      <c r="I464" s="131"/>
      <c r="J464" s="132"/>
      <c r="K464" s="133"/>
      <c r="L464" s="134"/>
      <c r="M464" s="134"/>
      <c r="N464" s="135"/>
      <c r="O464" s="219"/>
      <c r="P464" s="143"/>
      <c r="Q464" s="144"/>
      <c r="R464" s="150"/>
      <c r="S464" s="127" t="str">
        <f t="shared" si="65"/>
        <v/>
      </c>
      <c r="T464" s="175" t="str">
        <f t="shared" si="66"/>
        <v/>
      </c>
      <c r="U464" s="158" t="e">
        <f t="shared" si="67"/>
        <v>#N/A</v>
      </c>
      <c r="V464" s="310" t="str">
        <f t="shared" si="68"/>
        <v/>
      </c>
      <c r="W464" s="137" t="str">
        <f t="shared" si="69"/>
        <v>X</v>
      </c>
      <c r="X464" s="137">
        <f t="shared" si="70"/>
        <v>0</v>
      </c>
    </row>
    <row r="465" spans="1:24" ht="17.25" customHeight="1">
      <c r="A465" s="137" t="str">
        <f t="shared" ca="1" si="63"/>
        <v>-</v>
      </c>
      <c r="B465" s="173"/>
      <c r="C465" s="253" t="str">
        <f t="shared" si="64"/>
        <v/>
      </c>
      <c r="D465" s="173"/>
      <c r="E465" s="173"/>
      <c r="F465" s="329" t="str">
        <f t="shared" si="71"/>
        <v/>
      </c>
      <c r="G465" s="186"/>
      <c r="H465" s="130" t="str">
        <f>IFERROR(INDEX(DMDT!B:B,MATCH($G465,DMDT!D:D,0),),"")</f>
        <v/>
      </c>
      <c r="I465" s="131"/>
      <c r="J465" s="132"/>
      <c r="K465" s="133"/>
      <c r="L465" s="134"/>
      <c r="M465" s="134"/>
      <c r="N465" s="135"/>
      <c r="O465" s="219"/>
      <c r="P465" s="143"/>
      <c r="Q465" s="144"/>
      <c r="R465" s="150"/>
      <c r="S465" s="127" t="str">
        <f t="shared" si="65"/>
        <v/>
      </c>
      <c r="T465" s="175" t="str">
        <f t="shared" si="66"/>
        <v/>
      </c>
      <c r="U465" s="158" t="e">
        <f t="shared" si="67"/>
        <v>#N/A</v>
      </c>
      <c r="V465" s="310" t="str">
        <f t="shared" si="68"/>
        <v/>
      </c>
      <c r="W465" s="137" t="str">
        <f t="shared" si="69"/>
        <v>X</v>
      </c>
      <c r="X465" s="137">
        <f t="shared" si="70"/>
        <v>0</v>
      </c>
    </row>
    <row r="466" spans="1:24" ht="17.25" customHeight="1">
      <c r="A466" s="137" t="str">
        <f t="shared" ca="1" si="63"/>
        <v>-</v>
      </c>
      <c r="B466" s="173"/>
      <c r="C466" s="253" t="str">
        <f t="shared" si="64"/>
        <v/>
      </c>
      <c r="D466" s="173"/>
      <c r="E466" s="173"/>
      <c r="F466" s="329" t="str">
        <f t="shared" si="71"/>
        <v/>
      </c>
      <c r="G466" s="186"/>
      <c r="H466" s="130" t="str">
        <f>IFERROR(INDEX(DMDT!B:B,MATCH($G466,DMDT!D:D,0),),"")</f>
        <v/>
      </c>
      <c r="I466" s="131"/>
      <c r="J466" s="132"/>
      <c r="K466" s="133"/>
      <c r="L466" s="134"/>
      <c r="M466" s="134"/>
      <c r="N466" s="135"/>
      <c r="O466" s="219"/>
      <c r="P466" s="143"/>
      <c r="Q466" s="144"/>
      <c r="R466" s="150"/>
      <c r="S466" s="127" t="str">
        <f t="shared" si="65"/>
        <v/>
      </c>
      <c r="T466" s="175" t="str">
        <f t="shared" si="66"/>
        <v/>
      </c>
      <c r="U466" s="158" t="e">
        <f t="shared" si="67"/>
        <v>#N/A</v>
      </c>
      <c r="V466" s="310" t="str">
        <f t="shared" si="68"/>
        <v/>
      </c>
      <c r="W466" s="137" t="str">
        <f t="shared" si="69"/>
        <v>X</v>
      </c>
      <c r="X466" s="137">
        <f t="shared" si="70"/>
        <v>0</v>
      </c>
    </row>
    <row r="467" spans="1:24" ht="17.25" customHeight="1">
      <c r="A467" s="137" t="str">
        <f t="shared" ca="1" si="63"/>
        <v>-</v>
      </c>
      <c r="B467" s="173"/>
      <c r="C467" s="253" t="str">
        <f t="shared" si="64"/>
        <v/>
      </c>
      <c r="D467" s="173"/>
      <c r="E467" s="173"/>
      <c r="F467" s="329" t="str">
        <f t="shared" si="71"/>
        <v/>
      </c>
      <c r="G467" s="186"/>
      <c r="H467" s="130" t="str">
        <f>IFERROR(INDEX(DMDT!B:B,MATCH($G467,DMDT!D:D,0),),"")</f>
        <v/>
      </c>
      <c r="I467" s="131"/>
      <c r="J467" s="132"/>
      <c r="K467" s="133"/>
      <c r="L467" s="134"/>
      <c r="M467" s="134"/>
      <c r="N467" s="135"/>
      <c r="O467" s="219"/>
      <c r="P467" s="143"/>
      <c r="Q467" s="144"/>
      <c r="R467" s="150"/>
      <c r="S467" s="127" t="str">
        <f t="shared" si="65"/>
        <v/>
      </c>
      <c r="T467" s="175" t="str">
        <f t="shared" si="66"/>
        <v/>
      </c>
      <c r="U467" s="158" t="e">
        <f t="shared" si="67"/>
        <v>#N/A</v>
      </c>
      <c r="V467" s="310" t="str">
        <f t="shared" si="68"/>
        <v/>
      </c>
      <c r="W467" s="137" t="str">
        <f t="shared" si="69"/>
        <v>X</v>
      </c>
      <c r="X467" s="137">
        <f t="shared" si="70"/>
        <v>0</v>
      </c>
    </row>
    <row r="468" spans="1:24" ht="17.25" customHeight="1">
      <c r="A468" s="137" t="str">
        <f t="shared" ca="1" si="63"/>
        <v>-</v>
      </c>
      <c r="B468" s="173"/>
      <c r="C468" s="253" t="str">
        <f t="shared" si="64"/>
        <v/>
      </c>
      <c r="D468" s="173"/>
      <c r="E468" s="173"/>
      <c r="F468" s="329" t="str">
        <f t="shared" si="71"/>
        <v/>
      </c>
      <c r="G468" s="174"/>
      <c r="H468" s="130" t="str">
        <f>IFERROR(INDEX(DMDT!B:B,MATCH($G468,DMDT!D:D,0),),"")</f>
        <v/>
      </c>
      <c r="I468" s="131"/>
      <c r="J468" s="132"/>
      <c r="K468" s="133"/>
      <c r="L468" s="134"/>
      <c r="M468" s="134"/>
      <c r="N468" s="135"/>
      <c r="O468" s="219"/>
      <c r="P468" s="143"/>
      <c r="Q468" s="144"/>
      <c r="R468" s="150"/>
      <c r="S468" s="127" t="str">
        <f t="shared" si="65"/>
        <v/>
      </c>
      <c r="T468" s="175" t="str">
        <f t="shared" si="66"/>
        <v/>
      </c>
      <c r="U468" s="158" t="e">
        <f t="shared" si="67"/>
        <v>#N/A</v>
      </c>
      <c r="V468" s="310" t="str">
        <f t="shared" si="68"/>
        <v/>
      </c>
      <c r="W468" s="137" t="str">
        <f t="shared" si="69"/>
        <v>X</v>
      </c>
      <c r="X468" s="137">
        <f t="shared" si="70"/>
        <v>0</v>
      </c>
    </row>
    <row r="469" spans="1:24" ht="17.25" customHeight="1">
      <c r="A469" s="137" t="str">
        <f t="shared" ca="1" si="63"/>
        <v>-</v>
      </c>
      <c r="B469" s="173"/>
      <c r="C469" s="253" t="str">
        <f t="shared" si="64"/>
        <v/>
      </c>
      <c r="D469" s="173"/>
      <c r="E469" s="173"/>
      <c r="F469" s="329" t="str">
        <f t="shared" si="71"/>
        <v/>
      </c>
      <c r="G469" s="189"/>
      <c r="H469" s="130" t="str">
        <f>IFERROR(INDEX(DMDT!B:B,MATCH($G469,DMDT!D:D,0),),"")</f>
        <v/>
      </c>
      <c r="I469" s="131"/>
      <c r="J469" s="132"/>
      <c r="K469" s="133"/>
      <c r="L469" s="134"/>
      <c r="M469" s="134"/>
      <c r="N469" s="135"/>
      <c r="O469" s="219"/>
      <c r="P469" s="143"/>
      <c r="Q469" s="144"/>
      <c r="R469" s="150"/>
      <c r="S469" s="127" t="str">
        <f t="shared" si="65"/>
        <v/>
      </c>
      <c r="T469" s="175" t="str">
        <f t="shared" si="66"/>
        <v/>
      </c>
      <c r="U469" s="158" t="e">
        <f t="shared" si="67"/>
        <v>#N/A</v>
      </c>
      <c r="V469" s="310" t="str">
        <f t="shared" si="68"/>
        <v/>
      </c>
      <c r="W469" s="137" t="str">
        <f t="shared" si="69"/>
        <v>X</v>
      </c>
      <c r="X469" s="137">
        <f t="shared" si="70"/>
        <v>0</v>
      </c>
    </row>
    <row r="470" spans="1:24" ht="17.25" customHeight="1">
      <c r="A470" s="137" t="str">
        <f t="shared" ca="1" si="63"/>
        <v>-</v>
      </c>
      <c r="B470" s="173"/>
      <c r="C470" s="253" t="str">
        <f t="shared" si="64"/>
        <v/>
      </c>
      <c r="D470" s="173"/>
      <c r="E470" s="173"/>
      <c r="F470" s="329" t="str">
        <f t="shared" si="71"/>
        <v/>
      </c>
      <c r="G470" s="174"/>
      <c r="H470" s="130" t="str">
        <f>IFERROR(INDEX(DMDT!B:B,MATCH($G470,DMDT!D:D,0),),"")</f>
        <v/>
      </c>
      <c r="I470" s="131"/>
      <c r="J470" s="132"/>
      <c r="K470" s="133"/>
      <c r="L470" s="134"/>
      <c r="M470" s="134"/>
      <c r="N470" s="135"/>
      <c r="O470" s="219"/>
      <c r="P470" s="143"/>
      <c r="Q470" s="144"/>
      <c r="R470" s="150"/>
      <c r="S470" s="127" t="str">
        <f t="shared" si="65"/>
        <v/>
      </c>
      <c r="T470" s="175" t="str">
        <f t="shared" si="66"/>
        <v/>
      </c>
      <c r="U470" s="158" t="e">
        <f t="shared" si="67"/>
        <v>#N/A</v>
      </c>
      <c r="V470" s="310" t="str">
        <f t="shared" si="68"/>
        <v/>
      </c>
      <c r="W470" s="137" t="str">
        <f t="shared" si="69"/>
        <v>X</v>
      </c>
      <c r="X470" s="137">
        <f t="shared" si="70"/>
        <v>0</v>
      </c>
    </row>
    <row r="471" spans="1:24" ht="17.25" customHeight="1">
      <c r="A471" s="137" t="str">
        <f t="shared" ca="1" si="63"/>
        <v>-</v>
      </c>
      <c r="B471" s="173"/>
      <c r="C471" s="253" t="str">
        <f t="shared" si="64"/>
        <v/>
      </c>
      <c r="D471" s="173"/>
      <c r="E471" s="173"/>
      <c r="F471" s="329" t="str">
        <f t="shared" si="71"/>
        <v/>
      </c>
      <c r="G471" s="186"/>
      <c r="H471" s="130" t="str">
        <f>IFERROR(INDEX(DMDT!B:B,MATCH($G471,DMDT!D:D,0),),"")</f>
        <v/>
      </c>
      <c r="I471" s="131"/>
      <c r="J471" s="132"/>
      <c r="K471" s="133"/>
      <c r="L471" s="134"/>
      <c r="M471" s="134"/>
      <c r="N471" s="135"/>
      <c r="O471" s="219"/>
      <c r="P471" s="143"/>
      <c r="Q471" s="144"/>
      <c r="R471" s="150"/>
      <c r="S471" s="127" t="str">
        <f t="shared" si="65"/>
        <v/>
      </c>
      <c r="T471" s="175" t="str">
        <f t="shared" si="66"/>
        <v/>
      </c>
      <c r="U471" s="158" t="e">
        <f t="shared" si="67"/>
        <v>#N/A</v>
      </c>
      <c r="V471" s="310" t="str">
        <f t="shared" si="68"/>
        <v/>
      </c>
      <c r="W471" s="137" t="str">
        <f t="shared" si="69"/>
        <v>X</v>
      </c>
      <c r="X471" s="137">
        <f t="shared" si="70"/>
        <v>0</v>
      </c>
    </row>
    <row r="472" spans="1:24" ht="17.25" customHeight="1">
      <c r="A472" s="137" t="str">
        <f t="shared" ca="1" si="63"/>
        <v>-</v>
      </c>
      <c r="B472" s="173"/>
      <c r="C472" s="253" t="str">
        <f t="shared" si="64"/>
        <v/>
      </c>
      <c r="D472" s="173"/>
      <c r="E472" s="173"/>
      <c r="F472" s="329" t="str">
        <f t="shared" si="71"/>
        <v/>
      </c>
      <c r="G472" s="174"/>
      <c r="H472" s="130" t="str">
        <f>IFERROR(INDEX(DMDT!B:B,MATCH($G472,DMDT!D:D,0),),"")</f>
        <v/>
      </c>
      <c r="I472" s="131"/>
      <c r="J472" s="132"/>
      <c r="K472" s="133"/>
      <c r="L472" s="134"/>
      <c r="M472" s="134"/>
      <c r="N472" s="135"/>
      <c r="O472" s="219"/>
      <c r="P472" s="143"/>
      <c r="Q472" s="144"/>
      <c r="R472" s="150"/>
      <c r="S472" s="127" t="str">
        <f t="shared" si="65"/>
        <v/>
      </c>
      <c r="T472" s="175" t="str">
        <f t="shared" si="66"/>
        <v/>
      </c>
      <c r="U472" s="158" t="e">
        <f t="shared" si="67"/>
        <v>#N/A</v>
      </c>
      <c r="V472" s="310" t="str">
        <f t="shared" si="68"/>
        <v/>
      </c>
      <c r="W472" s="137" t="str">
        <f t="shared" si="69"/>
        <v>X</v>
      </c>
      <c r="X472" s="137">
        <f t="shared" si="70"/>
        <v>0</v>
      </c>
    </row>
    <row r="473" spans="1:24" ht="17.25" customHeight="1">
      <c r="A473" s="137" t="str">
        <f t="shared" ca="1" si="63"/>
        <v>-</v>
      </c>
      <c r="B473" s="173"/>
      <c r="C473" s="253" t="str">
        <f t="shared" si="64"/>
        <v/>
      </c>
      <c r="D473" s="173"/>
      <c r="E473" s="173"/>
      <c r="F473" s="329" t="str">
        <f t="shared" si="71"/>
        <v/>
      </c>
      <c r="G473" s="174"/>
      <c r="H473" s="130" t="str">
        <f>IFERROR(INDEX(DMDT!B:B,MATCH($G473,DMDT!D:D,0),),"")</f>
        <v/>
      </c>
      <c r="I473" s="131"/>
      <c r="J473" s="132"/>
      <c r="K473" s="133"/>
      <c r="L473" s="134"/>
      <c r="M473" s="134"/>
      <c r="N473" s="135"/>
      <c r="O473" s="219"/>
      <c r="P473" s="143"/>
      <c r="Q473" s="144"/>
      <c r="R473" s="150"/>
      <c r="S473" s="127" t="str">
        <f t="shared" si="65"/>
        <v/>
      </c>
      <c r="T473" s="175" t="str">
        <f t="shared" si="66"/>
        <v/>
      </c>
      <c r="U473" s="158" t="e">
        <f t="shared" si="67"/>
        <v>#N/A</v>
      </c>
      <c r="V473" s="310" t="str">
        <f t="shared" si="68"/>
        <v/>
      </c>
      <c r="W473" s="137" t="str">
        <f t="shared" si="69"/>
        <v>X</v>
      </c>
      <c r="X473" s="137">
        <f t="shared" si="70"/>
        <v>0</v>
      </c>
    </row>
    <row r="474" spans="1:24" ht="17.25" customHeight="1">
      <c r="A474" s="137" t="str">
        <f t="shared" ca="1" si="63"/>
        <v>-</v>
      </c>
      <c r="B474" s="173"/>
      <c r="C474" s="253" t="str">
        <f t="shared" si="64"/>
        <v/>
      </c>
      <c r="D474" s="173"/>
      <c r="E474" s="173"/>
      <c r="F474" s="329" t="str">
        <f t="shared" si="71"/>
        <v/>
      </c>
      <c r="G474" s="174"/>
      <c r="H474" s="130" t="str">
        <f>IFERROR(INDEX(DMDT!B:B,MATCH($G474,DMDT!D:D,0),),"")</f>
        <v/>
      </c>
      <c r="I474" s="131"/>
      <c r="J474" s="132"/>
      <c r="K474" s="133"/>
      <c r="L474" s="134"/>
      <c r="M474" s="134"/>
      <c r="N474" s="135"/>
      <c r="O474" s="219"/>
      <c r="P474" s="143"/>
      <c r="Q474" s="144"/>
      <c r="R474" s="150"/>
      <c r="S474" s="127" t="str">
        <f t="shared" si="65"/>
        <v/>
      </c>
      <c r="T474" s="175" t="str">
        <f t="shared" si="66"/>
        <v/>
      </c>
      <c r="U474" s="158" t="e">
        <f t="shared" si="67"/>
        <v>#N/A</v>
      </c>
      <c r="V474" s="310" t="str">
        <f t="shared" si="68"/>
        <v/>
      </c>
      <c r="W474" s="137" t="str">
        <f t="shared" si="69"/>
        <v>X</v>
      </c>
      <c r="X474" s="137">
        <f t="shared" si="70"/>
        <v>0</v>
      </c>
    </row>
    <row r="475" spans="1:24" ht="17.25" customHeight="1">
      <c r="A475" s="137" t="str">
        <f t="shared" ca="1" si="63"/>
        <v>-</v>
      </c>
      <c r="B475" s="173"/>
      <c r="C475" s="253" t="str">
        <f t="shared" si="64"/>
        <v/>
      </c>
      <c r="D475" s="173"/>
      <c r="E475" s="173"/>
      <c r="F475" s="329" t="str">
        <f t="shared" si="71"/>
        <v/>
      </c>
      <c r="G475" s="174"/>
      <c r="H475" s="130" t="str">
        <f>IFERROR(INDEX(DMDT!B:B,MATCH($G475,DMDT!D:D,0),),"")</f>
        <v/>
      </c>
      <c r="I475" s="131"/>
      <c r="J475" s="132"/>
      <c r="K475" s="133"/>
      <c r="L475" s="134"/>
      <c r="M475" s="134"/>
      <c r="N475" s="135"/>
      <c r="O475" s="219"/>
      <c r="P475" s="143"/>
      <c r="Q475" s="144"/>
      <c r="R475" s="150"/>
      <c r="S475" s="127" t="str">
        <f t="shared" si="65"/>
        <v/>
      </c>
      <c r="T475" s="175" t="str">
        <f t="shared" si="66"/>
        <v/>
      </c>
      <c r="U475" s="158" t="e">
        <f t="shared" si="67"/>
        <v>#N/A</v>
      </c>
      <c r="V475" s="310" t="str">
        <f t="shared" si="68"/>
        <v/>
      </c>
      <c r="W475" s="137" t="str">
        <f t="shared" si="69"/>
        <v>X</v>
      </c>
      <c r="X475" s="137">
        <f t="shared" si="70"/>
        <v>0</v>
      </c>
    </row>
    <row r="476" spans="1:24" ht="17.25" customHeight="1">
      <c r="A476" s="137" t="str">
        <f t="shared" ca="1" si="63"/>
        <v>-</v>
      </c>
      <c r="B476" s="173"/>
      <c r="C476" s="253" t="str">
        <f t="shared" si="64"/>
        <v/>
      </c>
      <c r="D476" s="173"/>
      <c r="E476" s="173"/>
      <c r="F476" s="329" t="str">
        <f t="shared" si="71"/>
        <v/>
      </c>
      <c r="G476" s="174"/>
      <c r="H476" s="130" t="str">
        <f>IFERROR(INDEX(DMDT!B:B,MATCH($G476,DMDT!D:D,0),),"")</f>
        <v/>
      </c>
      <c r="I476" s="131"/>
      <c r="J476" s="132"/>
      <c r="K476" s="133"/>
      <c r="L476" s="134"/>
      <c r="M476" s="134"/>
      <c r="N476" s="135"/>
      <c r="O476" s="219"/>
      <c r="P476" s="143"/>
      <c r="Q476" s="144"/>
      <c r="R476" s="150"/>
      <c r="S476" s="127" t="str">
        <f t="shared" si="65"/>
        <v/>
      </c>
      <c r="T476" s="175" t="str">
        <f t="shared" si="66"/>
        <v/>
      </c>
      <c r="U476" s="158" t="e">
        <f t="shared" si="67"/>
        <v>#N/A</v>
      </c>
      <c r="V476" s="310" t="str">
        <f t="shared" si="68"/>
        <v/>
      </c>
      <c r="W476" s="137" t="str">
        <f t="shared" si="69"/>
        <v>X</v>
      </c>
      <c r="X476" s="137">
        <f t="shared" si="70"/>
        <v>0</v>
      </c>
    </row>
    <row r="477" spans="1:24" ht="17.25" customHeight="1">
      <c r="A477" s="137" t="str">
        <f t="shared" ca="1" si="63"/>
        <v>-</v>
      </c>
      <c r="B477" s="173"/>
      <c r="C477" s="253" t="str">
        <f t="shared" si="64"/>
        <v/>
      </c>
      <c r="D477" s="173"/>
      <c r="E477" s="173"/>
      <c r="F477" s="329" t="str">
        <f t="shared" si="71"/>
        <v/>
      </c>
      <c r="G477" s="174"/>
      <c r="H477" s="130" t="str">
        <f>IFERROR(INDEX(DMDT!B:B,MATCH($G477,DMDT!D:D,0),),"")</f>
        <v/>
      </c>
      <c r="I477" s="131"/>
      <c r="J477" s="132"/>
      <c r="K477" s="133"/>
      <c r="L477" s="134"/>
      <c r="M477" s="134"/>
      <c r="N477" s="135"/>
      <c r="O477" s="219"/>
      <c r="P477" s="143"/>
      <c r="Q477" s="144"/>
      <c r="R477" s="150"/>
      <c r="S477" s="127" t="str">
        <f t="shared" si="65"/>
        <v/>
      </c>
      <c r="T477" s="175" t="str">
        <f t="shared" si="66"/>
        <v/>
      </c>
      <c r="U477" s="158" t="e">
        <f t="shared" si="67"/>
        <v>#N/A</v>
      </c>
      <c r="V477" s="310" t="str">
        <f t="shared" si="68"/>
        <v/>
      </c>
      <c r="W477" s="137" t="str">
        <f t="shared" si="69"/>
        <v>X</v>
      </c>
      <c r="X477" s="137">
        <f t="shared" si="70"/>
        <v>0</v>
      </c>
    </row>
    <row r="478" spans="1:24" ht="17.25" customHeight="1">
      <c r="A478" s="137" t="str">
        <f t="shared" ca="1" si="63"/>
        <v>-</v>
      </c>
      <c r="B478" s="173"/>
      <c r="C478" s="253" t="str">
        <f t="shared" si="64"/>
        <v/>
      </c>
      <c r="D478" s="173"/>
      <c r="E478" s="173"/>
      <c r="F478" s="329" t="str">
        <f t="shared" si="71"/>
        <v/>
      </c>
      <c r="G478" s="174"/>
      <c r="H478" s="130" t="str">
        <f>IFERROR(INDEX(DMDT!B:B,MATCH($G478,DMDT!D:D,0),),"")</f>
        <v/>
      </c>
      <c r="I478" s="131"/>
      <c r="J478" s="132"/>
      <c r="K478" s="133"/>
      <c r="L478" s="134"/>
      <c r="M478" s="134"/>
      <c r="N478" s="135"/>
      <c r="O478" s="219"/>
      <c r="P478" s="143"/>
      <c r="Q478" s="144"/>
      <c r="R478" s="150"/>
      <c r="S478" s="127" t="str">
        <f t="shared" si="65"/>
        <v/>
      </c>
      <c r="T478" s="175" t="str">
        <f t="shared" si="66"/>
        <v/>
      </c>
      <c r="U478" s="158" t="e">
        <f t="shared" si="67"/>
        <v>#N/A</v>
      </c>
      <c r="V478" s="310" t="str">
        <f t="shared" si="68"/>
        <v/>
      </c>
      <c r="W478" s="137" t="str">
        <f t="shared" si="69"/>
        <v>X</v>
      </c>
      <c r="X478" s="137">
        <f t="shared" si="70"/>
        <v>0</v>
      </c>
    </row>
    <row r="479" spans="1:24" ht="17.25" customHeight="1">
      <c r="A479" s="137" t="str">
        <f t="shared" ca="1" si="63"/>
        <v>-</v>
      </c>
      <c r="B479" s="173"/>
      <c r="C479" s="253" t="str">
        <f t="shared" si="64"/>
        <v/>
      </c>
      <c r="D479" s="173"/>
      <c r="E479" s="173"/>
      <c r="F479" s="329" t="str">
        <f t="shared" si="71"/>
        <v/>
      </c>
      <c r="G479" s="174"/>
      <c r="H479" s="130" t="str">
        <f>IFERROR(INDEX(DMDT!B:B,MATCH($G479,DMDT!D:D,0),),"")</f>
        <v/>
      </c>
      <c r="I479" s="131"/>
      <c r="J479" s="132"/>
      <c r="K479" s="133"/>
      <c r="L479" s="134"/>
      <c r="M479" s="134"/>
      <c r="N479" s="135"/>
      <c r="O479" s="219"/>
      <c r="P479" s="143"/>
      <c r="Q479" s="144"/>
      <c r="R479" s="150"/>
      <c r="S479" s="127" t="str">
        <f t="shared" si="65"/>
        <v/>
      </c>
      <c r="T479" s="175" t="str">
        <f t="shared" si="66"/>
        <v/>
      </c>
      <c r="U479" s="158" t="e">
        <f t="shared" si="67"/>
        <v>#N/A</v>
      </c>
      <c r="V479" s="310" t="str">
        <f t="shared" si="68"/>
        <v/>
      </c>
      <c r="W479" s="137" t="str">
        <f t="shared" si="69"/>
        <v>X</v>
      </c>
      <c r="X479" s="137">
        <f t="shared" si="70"/>
        <v>0</v>
      </c>
    </row>
    <row r="480" spans="1:24" ht="17.25" customHeight="1">
      <c r="A480" s="137" t="str">
        <f t="shared" ca="1" si="63"/>
        <v>-</v>
      </c>
      <c r="B480" s="173"/>
      <c r="C480" s="253" t="str">
        <f t="shared" si="64"/>
        <v/>
      </c>
      <c r="D480" s="173"/>
      <c r="E480" s="173"/>
      <c r="F480" s="329" t="str">
        <f t="shared" si="71"/>
        <v/>
      </c>
      <c r="G480" s="174"/>
      <c r="H480" s="130" t="str">
        <f>IFERROR(INDEX(DMDT!B:B,MATCH($G480,DMDT!D:D,0),),"")</f>
        <v/>
      </c>
      <c r="I480" s="131"/>
      <c r="J480" s="132"/>
      <c r="K480" s="133"/>
      <c r="L480" s="134"/>
      <c r="M480" s="134"/>
      <c r="N480" s="135"/>
      <c r="O480" s="219"/>
      <c r="P480" s="143"/>
      <c r="Q480" s="144"/>
      <c r="R480" s="150"/>
      <c r="S480" s="127" t="str">
        <f t="shared" si="65"/>
        <v/>
      </c>
      <c r="T480" s="175" t="str">
        <f t="shared" si="66"/>
        <v/>
      </c>
      <c r="U480" s="158" t="e">
        <f t="shared" si="67"/>
        <v>#N/A</v>
      </c>
      <c r="V480" s="310" t="str">
        <f t="shared" si="68"/>
        <v/>
      </c>
      <c r="W480" s="137" t="str">
        <f t="shared" si="69"/>
        <v>X</v>
      </c>
      <c r="X480" s="137">
        <f t="shared" si="70"/>
        <v>0</v>
      </c>
    </row>
    <row r="481" spans="1:24" ht="17.25" customHeight="1">
      <c r="A481" s="137" t="str">
        <f t="shared" ca="1" si="63"/>
        <v>-</v>
      </c>
      <c r="B481" s="173"/>
      <c r="C481" s="253" t="str">
        <f t="shared" si="64"/>
        <v/>
      </c>
      <c r="D481" s="173"/>
      <c r="E481" s="173"/>
      <c r="F481" s="329" t="str">
        <f t="shared" si="71"/>
        <v/>
      </c>
      <c r="G481" s="174"/>
      <c r="H481" s="130" t="str">
        <f>IFERROR(INDEX(DMDT!B:B,MATCH($G481,DMDT!D:D,0),),"")</f>
        <v/>
      </c>
      <c r="I481" s="131"/>
      <c r="J481" s="132"/>
      <c r="K481" s="133"/>
      <c r="L481" s="134"/>
      <c r="M481" s="134"/>
      <c r="N481" s="135"/>
      <c r="O481" s="219"/>
      <c r="P481" s="143"/>
      <c r="Q481" s="144"/>
      <c r="R481" s="150"/>
      <c r="S481" s="127" t="str">
        <f t="shared" si="65"/>
        <v/>
      </c>
      <c r="T481" s="175" t="str">
        <f t="shared" si="66"/>
        <v/>
      </c>
      <c r="U481" s="158" t="e">
        <f t="shared" si="67"/>
        <v>#N/A</v>
      </c>
      <c r="V481" s="310" t="str">
        <f t="shared" si="68"/>
        <v/>
      </c>
      <c r="W481" s="137" t="str">
        <f t="shared" si="69"/>
        <v>X</v>
      </c>
      <c r="X481" s="137">
        <f t="shared" si="70"/>
        <v>0</v>
      </c>
    </row>
    <row r="482" spans="1:24" ht="17.25" customHeight="1">
      <c r="A482" s="137" t="str">
        <f t="shared" ca="1" si="63"/>
        <v>-</v>
      </c>
      <c r="B482" s="173"/>
      <c r="C482" s="253" t="str">
        <f t="shared" si="64"/>
        <v/>
      </c>
      <c r="D482" s="173"/>
      <c r="E482" s="173"/>
      <c r="F482" s="329" t="str">
        <f t="shared" si="71"/>
        <v/>
      </c>
      <c r="G482" s="174"/>
      <c r="H482" s="130" t="str">
        <f>IFERROR(INDEX(DMDT!B:B,MATCH($G482,DMDT!D:D,0),),"")</f>
        <v/>
      </c>
      <c r="I482" s="131"/>
      <c r="J482" s="132"/>
      <c r="K482" s="133"/>
      <c r="L482" s="134"/>
      <c r="M482" s="134"/>
      <c r="N482" s="135"/>
      <c r="O482" s="219"/>
      <c r="P482" s="143"/>
      <c r="Q482" s="144"/>
      <c r="R482" s="150"/>
      <c r="S482" s="127" t="str">
        <f t="shared" si="65"/>
        <v/>
      </c>
      <c r="T482" s="175" t="str">
        <f t="shared" si="66"/>
        <v/>
      </c>
      <c r="U482" s="158" t="e">
        <f t="shared" si="67"/>
        <v>#N/A</v>
      </c>
      <c r="V482" s="310" t="str">
        <f t="shared" si="68"/>
        <v/>
      </c>
      <c r="W482" s="137" t="str">
        <f t="shared" si="69"/>
        <v>X</v>
      </c>
      <c r="X482" s="137">
        <f t="shared" si="70"/>
        <v>0</v>
      </c>
    </row>
    <row r="483" spans="1:24" ht="17.25" customHeight="1">
      <c r="A483" s="137" t="str">
        <f t="shared" ca="1" si="63"/>
        <v>-</v>
      </c>
      <c r="B483" s="173"/>
      <c r="C483" s="253" t="str">
        <f t="shared" si="64"/>
        <v/>
      </c>
      <c r="D483" s="173"/>
      <c r="E483" s="173"/>
      <c r="F483" s="329" t="str">
        <f t="shared" si="71"/>
        <v/>
      </c>
      <c r="G483" s="174"/>
      <c r="H483" s="130" t="str">
        <f>IFERROR(INDEX(DMDT!B:B,MATCH($G483,DMDT!D:D,0),),"")</f>
        <v/>
      </c>
      <c r="I483" s="131"/>
      <c r="J483" s="132"/>
      <c r="K483" s="133"/>
      <c r="L483" s="134"/>
      <c r="M483" s="134"/>
      <c r="N483" s="135"/>
      <c r="O483" s="219"/>
      <c r="P483" s="143"/>
      <c r="Q483" s="144"/>
      <c r="R483" s="150"/>
      <c r="S483" s="127" t="str">
        <f t="shared" si="65"/>
        <v/>
      </c>
      <c r="T483" s="175" t="str">
        <f t="shared" si="66"/>
        <v/>
      </c>
      <c r="U483" s="158" t="e">
        <f t="shared" si="67"/>
        <v>#N/A</v>
      </c>
      <c r="V483" s="310" t="str">
        <f t="shared" si="68"/>
        <v/>
      </c>
      <c r="W483" s="137" t="str">
        <f t="shared" si="69"/>
        <v>X</v>
      </c>
      <c r="X483" s="137">
        <f t="shared" si="70"/>
        <v>0</v>
      </c>
    </row>
    <row r="484" spans="1:24" ht="17.25" customHeight="1">
      <c r="A484" s="137" t="str">
        <f t="shared" ca="1" si="63"/>
        <v>-</v>
      </c>
      <c r="B484" s="173"/>
      <c r="C484" s="253" t="str">
        <f t="shared" si="64"/>
        <v/>
      </c>
      <c r="D484" s="173"/>
      <c r="E484" s="173"/>
      <c r="F484" s="329" t="str">
        <f t="shared" si="71"/>
        <v/>
      </c>
      <c r="G484" s="174"/>
      <c r="H484" s="130" t="str">
        <f>IFERROR(INDEX(DMDT!B:B,MATCH($G484,DMDT!D:D,0),),"")</f>
        <v/>
      </c>
      <c r="I484" s="131"/>
      <c r="J484" s="132"/>
      <c r="K484" s="133"/>
      <c r="L484" s="134"/>
      <c r="M484" s="134"/>
      <c r="N484" s="135"/>
      <c r="O484" s="219"/>
      <c r="P484" s="143"/>
      <c r="Q484" s="144"/>
      <c r="R484" s="150"/>
      <c r="S484" s="127" t="str">
        <f t="shared" si="65"/>
        <v/>
      </c>
      <c r="T484" s="175" t="str">
        <f t="shared" si="66"/>
        <v/>
      </c>
      <c r="U484" s="158" t="e">
        <f t="shared" si="67"/>
        <v>#N/A</v>
      </c>
      <c r="V484" s="310" t="str">
        <f t="shared" si="68"/>
        <v/>
      </c>
      <c r="W484" s="137" t="str">
        <f t="shared" si="69"/>
        <v>X</v>
      </c>
      <c r="X484" s="137">
        <f t="shared" si="70"/>
        <v>0</v>
      </c>
    </row>
    <row r="485" spans="1:24" ht="17.25" customHeight="1">
      <c r="A485" s="137" t="str">
        <f t="shared" ca="1" si="63"/>
        <v>-</v>
      </c>
      <c r="B485" s="173"/>
      <c r="C485" s="253" t="str">
        <f t="shared" si="64"/>
        <v/>
      </c>
      <c r="D485" s="173"/>
      <c r="E485" s="173"/>
      <c r="F485" s="329" t="str">
        <f t="shared" si="71"/>
        <v/>
      </c>
      <c r="G485" s="174"/>
      <c r="H485" s="130" t="str">
        <f>IFERROR(INDEX(DMDT!B:B,MATCH($G485,DMDT!D:D,0),),"")</f>
        <v/>
      </c>
      <c r="I485" s="131"/>
      <c r="J485" s="132"/>
      <c r="K485" s="133"/>
      <c r="L485" s="134"/>
      <c r="M485" s="134"/>
      <c r="N485" s="135"/>
      <c r="O485" s="219"/>
      <c r="P485" s="143"/>
      <c r="Q485" s="144"/>
      <c r="R485" s="150"/>
      <c r="S485" s="127" t="str">
        <f t="shared" si="65"/>
        <v/>
      </c>
      <c r="T485" s="175" t="str">
        <f t="shared" si="66"/>
        <v/>
      </c>
      <c r="U485" s="158" t="e">
        <f t="shared" si="67"/>
        <v>#N/A</v>
      </c>
      <c r="V485" s="310" t="str">
        <f t="shared" si="68"/>
        <v/>
      </c>
      <c r="W485" s="137" t="str">
        <f t="shared" si="69"/>
        <v>X</v>
      </c>
      <c r="X485" s="137">
        <f t="shared" si="70"/>
        <v>0</v>
      </c>
    </row>
    <row r="486" spans="1:24" ht="17.25" customHeight="1">
      <c r="A486" s="137" t="str">
        <f t="shared" ca="1" si="63"/>
        <v>-</v>
      </c>
      <c r="B486" s="173"/>
      <c r="C486" s="253" t="str">
        <f t="shared" si="64"/>
        <v/>
      </c>
      <c r="D486" s="173"/>
      <c r="E486" s="173"/>
      <c r="F486" s="329" t="str">
        <f t="shared" si="71"/>
        <v/>
      </c>
      <c r="G486" s="174"/>
      <c r="H486" s="130" t="str">
        <f>IFERROR(INDEX(DMDT!B:B,MATCH($G486,DMDT!D:D,0),),"")</f>
        <v/>
      </c>
      <c r="I486" s="131"/>
      <c r="J486" s="132"/>
      <c r="K486" s="133"/>
      <c r="L486" s="134"/>
      <c r="M486" s="134"/>
      <c r="N486" s="135"/>
      <c r="O486" s="219"/>
      <c r="P486" s="143"/>
      <c r="Q486" s="144"/>
      <c r="R486" s="150"/>
      <c r="S486" s="127" t="str">
        <f t="shared" si="65"/>
        <v/>
      </c>
      <c r="T486" s="175" t="str">
        <f t="shared" si="66"/>
        <v/>
      </c>
      <c r="U486" s="158" t="e">
        <f t="shared" si="67"/>
        <v>#N/A</v>
      </c>
      <c r="V486" s="310" t="str">
        <f t="shared" si="68"/>
        <v/>
      </c>
      <c r="W486" s="137" t="str">
        <f t="shared" si="69"/>
        <v>X</v>
      </c>
      <c r="X486" s="137">
        <f t="shared" si="70"/>
        <v>0</v>
      </c>
    </row>
    <row r="487" spans="1:24" ht="17.25" customHeight="1">
      <c r="A487" s="137" t="str">
        <f t="shared" ca="1" si="63"/>
        <v>-</v>
      </c>
      <c r="B487" s="173"/>
      <c r="C487" s="253" t="str">
        <f t="shared" si="64"/>
        <v/>
      </c>
      <c r="D487" s="173"/>
      <c r="E487" s="173"/>
      <c r="F487" s="329" t="str">
        <f t="shared" si="71"/>
        <v/>
      </c>
      <c r="G487" s="174"/>
      <c r="H487" s="130" t="str">
        <f>IFERROR(INDEX(DMDT!B:B,MATCH($G487,DMDT!D:D,0),),"")</f>
        <v/>
      </c>
      <c r="I487" s="131"/>
      <c r="J487" s="132"/>
      <c r="K487" s="133"/>
      <c r="L487" s="134"/>
      <c r="M487" s="134"/>
      <c r="N487" s="135"/>
      <c r="O487" s="219"/>
      <c r="P487" s="143"/>
      <c r="Q487" s="144"/>
      <c r="R487" s="150"/>
      <c r="S487" s="127" t="str">
        <f t="shared" si="65"/>
        <v/>
      </c>
      <c r="T487" s="175" t="str">
        <f t="shared" si="66"/>
        <v/>
      </c>
      <c r="U487" s="158" t="e">
        <f t="shared" si="67"/>
        <v>#N/A</v>
      </c>
      <c r="V487" s="310" t="str">
        <f t="shared" si="68"/>
        <v/>
      </c>
      <c r="W487" s="137" t="str">
        <f t="shared" si="69"/>
        <v>X</v>
      </c>
      <c r="X487" s="137">
        <f t="shared" si="70"/>
        <v>0</v>
      </c>
    </row>
    <row r="488" spans="1:24" ht="17.25" customHeight="1">
      <c r="A488" s="137" t="str">
        <f t="shared" ca="1" si="63"/>
        <v>-</v>
      </c>
      <c r="B488" s="173"/>
      <c r="C488" s="253" t="str">
        <f t="shared" si="64"/>
        <v/>
      </c>
      <c r="D488" s="173"/>
      <c r="E488" s="173"/>
      <c r="F488" s="329" t="str">
        <f t="shared" si="71"/>
        <v/>
      </c>
      <c r="G488" s="174"/>
      <c r="H488" s="130" t="str">
        <f>IFERROR(INDEX(DMDT!B:B,MATCH($G488,DMDT!D:D,0),),"")</f>
        <v/>
      </c>
      <c r="I488" s="131"/>
      <c r="J488" s="132"/>
      <c r="K488" s="133"/>
      <c r="L488" s="134"/>
      <c r="M488" s="134"/>
      <c r="N488" s="135"/>
      <c r="O488" s="219"/>
      <c r="P488" s="143"/>
      <c r="Q488" s="144"/>
      <c r="R488" s="150"/>
      <c r="S488" s="127" t="str">
        <f t="shared" si="65"/>
        <v/>
      </c>
      <c r="T488" s="175" t="str">
        <f t="shared" si="66"/>
        <v/>
      </c>
      <c r="U488" s="158" t="e">
        <f t="shared" si="67"/>
        <v>#N/A</v>
      </c>
      <c r="V488" s="310" t="str">
        <f t="shared" si="68"/>
        <v/>
      </c>
      <c r="W488" s="137" t="str">
        <f t="shared" si="69"/>
        <v>X</v>
      </c>
      <c r="X488" s="137">
        <f t="shared" si="70"/>
        <v>0</v>
      </c>
    </row>
    <row r="489" spans="1:24" ht="17.25" customHeight="1">
      <c r="A489" s="137" t="str">
        <f t="shared" ca="1" si="63"/>
        <v>-</v>
      </c>
      <c r="B489" s="173"/>
      <c r="C489" s="253" t="str">
        <f t="shared" si="64"/>
        <v/>
      </c>
      <c r="D489" s="173"/>
      <c r="E489" s="173"/>
      <c r="F489" s="329" t="str">
        <f t="shared" si="71"/>
        <v/>
      </c>
      <c r="G489" s="174"/>
      <c r="H489" s="130" t="str">
        <f>IFERROR(INDEX(DMDT!B:B,MATCH($G489,DMDT!D:D,0),),"")</f>
        <v/>
      </c>
      <c r="I489" s="131"/>
      <c r="J489" s="132"/>
      <c r="K489" s="133"/>
      <c r="L489" s="134"/>
      <c r="M489" s="134"/>
      <c r="N489" s="135"/>
      <c r="O489" s="219"/>
      <c r="P489" s="143"/>
      <c r="Q489" s="144"/>
      <c r="R489" s="150"/>
      <c r="S489" s="127" t="str">
        <f t="shared" si="65"/>
        <v/>
      </c>
      <c r="T489" s="175" t="str">
        <f t="shared" si="66"/>
        <v/>
      </c>
      <c r="U489" s="158" t="e">
        <f t="shared" si="67"/>
        <v>#N/A</v>
      </c>
      <c r="V489" s="310" t="str">
        <f t="shared" si="68"/>
        <v/>
      </c>
      <c r="W489" s="137" t="str">
        <f t="shared" si="69"/>
        <v>X</v>
      </c>
      <c r="X489" s="137">
        <f t="shared" si="70"/>
        <v>0</v>
      </c>
    </row>
    <row r="490" spans="1:24" ht="17.25" customHeight="1">
      <c r="A490" s="137" t="str">
        <f t="shared" ca="1" si="63"/>
        <v>-</v>
      </c>
      <c r="B490" s="173"/>
      <c r="C490" s="253" t="str">
        <f t="shared" si="64"/>
        <v/>
      </c>
      <c r="D490" s="173"/>
      <c r="E490" s="173"/>
      <c r="F490" s="329" t="str">
        <f t="shared" si="71"/>
        <v/>
      </c>
      <c r="G490" s="174"/>
      <c r="H490" s="130" t="str">
        <f>IFERROR(INDEX(DMDT!B:B,MATCH($G490,DMDT!D:D,0),),"")</f>
        <v/>
      </c>
      <c r="I490" s="131"/>
      <c r="J490" s="132"/>
      <c r="K490" s="133"/>
      <c r="L490" s="134"/>
      <c r="M490" s="134"/>
      <c r="N490" s="135"/>
      <c r="O490" s="219"/>
      <c r="P490" s="143"/>
      <c r="Q490" s="144"/>
      <c r="R490" s="150"/>
      <c r="S490" s="127" t="str">
        <f t="shared" si="65"/>
        <v/>
      </c>
      <c r="T490" s="175" t="str">
        <f t="shared" si="66"/>
        <v/>
      </c>
      <c r="U490" s="158" t="e">
        <f t="shared" si="67"/>
        <v>#N/A</v>
      </c>
      <c r="V490" s="310" t="str">
        <f t="shared" si="68"/>
        <v/>
      </c>
      <c r="W490" s="137" t="str">
        <f t="shared" si="69"/>
        <v>X</v>
      </c>
      <c r="X490" s="137">
        <f t="shared" si="70"/>
        <v>0</v>
      </c>
    </row>
    <row r="491" spans="1:24" ht="17.25" customHeight="1">
      <c r="A491" s="137" t="str">
        <f t="shared" ca="1" si="63"/>
        <v>-</v>
      </c>
      <c r="B491" s="173"/>
      <c r="C491" s="253" t="str">
        <f t="shared" si="64"/>
        <v/>
      </c>
      <c r="D491" s="173"/>
      <c r="E491" s="173"/>
      <c r="F491" s="329" t="str">
        <f t="shared" si="71"/>
        <v/>
      </c>
      <c r="G491" s="176"/>
      <c r="H491" s="130" t="str">
        <f>IFERROR(INDEX(DMDT!B:B,MATCH($G491,DMDT!D:D,0),),"")</f>
        <v/>
      </c>
      <c r="I491" s="131"/>
      <c r="J491" s="132"/>
      <c r="K491" s="133"/>
      <c r="L491" s="134"/>
      <c r="M491" s="134"/>
      <c r="N491" s="135"/>
      <c r="O491" s="219"/>
      <c r="P491" s="143"/>
      <c r="Q491" s="144"/>
      <c r="R491" s="150"/>
      <c r="S491" s="127" t="str">
        <f t="shared" si="65"/>
        <v/>
      </c>
      <c r="T491" s="175" t="str">
        <f t="shared" si="66"/>
        <v/>
      </c>
      <c r="U491" s="158" t="e">
        <f t="shared" si="67"/>
        <v>#N/A</v>
      </c>
      <c r="V491" s="310" t="str">
        <f t="shared" si="68"/>
        <v/>
      </c>
      <c r="W491" s="137" t="str">
        <f t="shared" si="69"/>
        <v>X</v>
      </c>
      <c r="X491" s="137">
        <f t="shared" si="70"/>
        <v>0</v>
      </c>
    </row>
    <row r="492" spans="1:24" ht="17.25" customHeight="1">
      <c r="A492" s="137" t="str">
        <f t="shared" ca="1" si="63"/>
        <v>-</v>
      </c>
      <c r="B492" s="173"/>
      <c r="C492" s="253" t="str">
        <f t="shared" si="64"/>
        <v/>
      </c>
      <c r="D492" s="173"/>
      <c r="E492" s="173"/>
      <c r="F492" s="329" t="str">
        <f t="shared" si="71"/>
        <v/>
      </c>
      <c r="G492" s="174"/>
      <c r="H492" s="130" t="str">
        <f>IFERROR(INDEX(DMDT!B:B,MATCH($G492,DMDT!D:D,0),),"")</f>
        <v/>
      </c>
      <c r="I492" s="131"/>
      <c r="J492" s="132"/>
      <c r="K492" s="133"/>
      <c r="L492" s="134"/>
      <c r="M492" s="134"/>
      <c r="N492" s="135"/>
      <c r="O492" s="219"/>
      <c r="P492" s="143"/>
      <c r="Q492" s="144"/>
      <c r="R492" s="150"/>
      <c r="S492" s="127" t="str">
        <f t="shared" si="65"/>
        <v/>
      </c>
      <c r="T492" s="175" t="str">
        <f t="shared" si="66"/>
        <v/>
      </c>
      <c r="U492" s="158" t="e">
        <f t="shared" si="67"/>
        <v>#N/A</v>
      </c>
      <c r="V492" s="310" t="str">
        <f t="shared" si="68"/>
        <v/>
      </c>
      <c r="W492" s="137" t="str">
        <f t="shared" si="69"/>
        <v>X</v>
      </c>
      <c r="X492" s="137">
        <f t="shared" si="70"/>
        <v>0</v>
      </c>
    </row>
    <row r="493" spans="1:24" ht="17.25" customHeight="1">
      <c r="A493" s="137" t="str">
        <f t="shared" ca="1" si="63"/>
        <v>-</v>
      </c>
      <c r="B493" s="173"/>
      <c r="C493" s="253" t="str">
        <f t="shared" si="64"/>
        <v/>
      </c>
      <c r="D493" s="173"/>
      <c r="E493" s="173"/>
      <c r="F493" s="329" t="str">
        <f t="shared" si="71"/>
        <v/>
      </c>
      <c r="G493" s="174"/>
      <c r="H493" s="130" t="str">
        <f>IFERROR(INDEX(DMDT!B:B,MATCH($G493,DMDT!D:D,0),),"")</f>
        <v/>
      </c>
      <c r="I493" s="131"/>
      <c r="J493" s="132"/>
      <c r="K493" s="133"/>
      <c r="L493" s="134"/>
      <c r="M493" s="134"/>
      <c r="N493" s="135"/>
      <c r="O493" s="219"/>
      <c r="P493" s="143"/>
      <c r="Q493" s="144"/>
      <c r="R493" s="150"/>
      <c r="S493" s="127" t="str">
        <f t="shared" si="65"/>
        <v/>
      </c>
      <c r="T493" s="175" t="str">
        <f t="shared" si="66"/>
        <v/>
      </c>
      <c r="U493" s="158" t="e">
        <f t="shared" si="67"/>
        <v>#N/A</v>
      </c>
      <c r="V493" s="310" t="str">
        <f t="shared" si="68"/>
        <v/>
      </c>
      <c r="W493" s="137" t="str">
        <f t="shared" si="69"/>
        <v>X</v>
      </c>
      <c r="X493" s="137">
        <f t="shared" si="70"/>
        <v>0</v>
      </c>
    </row>
    <row r="494" spans="1:24" ht="17.25" customHeight="1">
      <c r="A494" s="137" t="str">
        <f t="shared" ca="1" si="63"/>
        <v>-</v>
      </c>
      <c r="B494" s="173"/>
      <c r="C494" s="253" t="str">
        <f t="shared" si="64"/>
        <v/>
      </c>
      <c r="D494" s="173"/>
      <c r="E494" s="173"/>
      <c r="F494" s="329" t="str">
        <f t="shared" si="71"/>
        <v/>
      </c>
      <c r="G494" s="174"/>
      <c r="H494" s="130" t="str">
        <f>IFERROR(INDEX(DMDT!B:B,MATCH($G494,DMDT!D:D,0),),"")</f>
        <v/>
      </c>
      <c r="I494" s="131"/>
      <c r="J494" s="132"/>
      <c r="K494" s="133"/>
      <c r="L494" s="134"/>
      <c r="M494" s="134"/>
      <c r="N494" s="135"/>
      <c r="O494" s="219"/>
      <c r="P494" s="143"/>
      <c r="Q494" s="144"/>
      <c r="R494" s="150"/>
      <c r="S494" s="127" t="str">
        <f t="shared" si="65"/>
        <v/>
      </c>
      <c r="T494" s="175" t="str">
        <f t="shared" si="66"/>
        <v/>
      </c>
      <c r="U494" s="158" t="e">
        <f t="shared" si="67"/>
        <v>#N/A</v>
      </c>
      <c r="V494" s="310" t="str">
        <f t="shared" si="68"/>
        <v/>
      </c>
      <c r="W494" s="137" t="str">
        <f t="shared" si="69"/>
        <v>X</v>
      </c>
      <c r="X494" s="137">
        <f t="shared" si="70"/>
        <v>0</v>
      </c>
    </row>
    <row r="495" spans="1:24" ht="17.25" customHeight="1">
      <c r="A495" s="137" t="str">
        <f t="shared" ca="1" si="63"/>
        <v>-</v>
      </c>
      <c r="B495" s="173"/>
      <c r="C495" s="253" t="str">
        <f t="shared" si="64"/>
        <v/>
      </c>
      <c r="D495" s="173"/>
      <c r="E495" s="173"/>
      <c r="F495" s="329" t="str">
        <f t="shared" si="71"/>
        <v/>
      </c>
      <c r="G495" s="176"/>
      <c r="H495" s="130" t="str">
        <f>IFERROR(INDEX(DMDT!B:B,MATCH($G495,DMDT!D:D,0),),"")</f>
        <v/>
      </c>
      <c r="I495" s="131"/>
      <c r="J495" s="132"/>
      <c r="K495" s="133"/>
      <c r="L495" s="134"/>
      <c r="M495" s="134"/>
      <c r="N495" s="135"/>
      <c r="O495" s="219"/>
      <c r="P495" s="143"/>
      <c r="Q495" s="144"/>
      <c r="R495" s="150"/>
      <c r="S495" s="127" t="str">
        <f t="shared" si="65"/>
        <v/>
      </c>
      <c r="T495" s="175" t="str">
        <f t="shared" si="66"/>
        <v/>
      </c>
      <c r="U495" s="158" t="e">
        <f t="shared" si="67"/>
        <v>#N/A</v>
      </c>
      <c r="V495" s="310" t="str">
        <f t="shared" si="68"/>
        <v/>
      </c>
      <c r="W495" s="137" t="str">
        <f t="shared" si="69"/>
        <v>X</v>
      </c>
      <c r="X495" s="137">
        <f t="shared" si="70"/>
        <v>0</v>
      </c>
    </row>
    <row r="496" spans="1:24" ht="17.25" customHeight="1">
      <c r="A496" s="137" t="str">
        <f t="shared" ca="1" si="63"/>
        <v>-</v>
      </c>
      <c r="B496" s="173"/>
      <c r="C496" s="253" t="str">
        <f t="shared" si="64"/>
        <v/>
      </c>
      <c r="D496" s="173"/>
      <c r="E496" s="173"/>
      <c r="F496" s="329" t="str">
        <f t="shared" si="71"/>
        <v/>
      </c>
      <c r="G496" s="174"/>
      <c r="H496" s="130" t="str">
        <f>IFERROR(INDEX(DMDT!B:B,MATCH($G496,DMDT!D:D,0),),"")</f>
        <v/>
      </c>
      <c r="I496" s="131"/>
      <c r="J496" s="132"/>
      <c r="K496" s="133"/>
      <c r="L496" s="134"/>
      <c r="M496" s="134"/>
      <c r="N496" s="135"/>
      <c r="O496" s="219"/>
      <c r="P496" s="143"/>
      <c r="Q496" s="144"/>
      <c r="R496" s="150"/>
      <c r="S496" s="127" t="str">
        <f t="shared" si="65"/>
        <v/>
      </c>
      <c r="T496" s="175" t="str">
        <f t="shared" si="66"/>
        <v/>
      </c>
      <c r="U496" s="158" t="e">
        <f t="shared" si="67"/>
        <v>#N/A</v>
      </c>
      <c r="V496" s="310" t="str">
        <f t="shared" si="68"/>
        <v/>
      </c>
      <c r="W496" s="137" t="str">
        <f t="shared" si="69"/>
        <v>X</v>
      </c>
      <c r="X496" s="137">
        <f t="shared" si="70"/>
        <v>0</v>
      </c>
    </row>
    <row r="497" spans="1:24" ht="17.25" customHeight="1">
      <c r="A497" s="137" t="str">
        <f t="shared" ca="1" si="63"/>
        <v>-</v>
      </c>
      <c r="B497" s="173"/>
      <c r="C497" s="253" t="str">
        <f t="shared" si="64"/>
        <v/>
      </c>
      <c r="D497" s="173"/>
      <c r="E497" s="173"/>
      <c r="F497" s="329" t="str">
        <f t="shared" si="71"/>
        <v/>
      </c>
      <c r="G497" s="174"/>
      <c r="H497" s="130" t="str">
        <f>IFERROR(INDEX(DMDT!B:B,MATCH($G497,DMDT!D:D,0),),"")</f>
        <v/>
      </c>
      <c r="I497" s="131"/>
      <c r="J497" s="132"/>
      <c r="K497" s="133"/>
      <c r="L497" s="134"/>
      <c r="M497" s="134"/>
      <c r="N497" s="135"/>
      <c r="O497" s="219"/>
      <c r="P497" s="143"/>
      <c r="Q497" s="144"/>
      <c r="R497" s="150"/>
      <c r="S497" s="127" t="str">
        <f t="shared" si="65"/>
        <v/>
      </c>
      <c r="T497" s="175" t="str">
        <f t="shared" si="66"/>
        <v/>
      </c>
      <c r="U497" s="158" t="e">
        <f t="shared" si="67"/>
        <v>#N/A</v>
      </c>
      <c r="V497" s="310" t="str">
        <f t="shared" si="68"/>
        <v/>
      </c>
      <c r="W497" s="137" t="str">
        <f t="shared" si="69"/>
        <v>X</v>
      </c>
      <c r="X497" s="137">
        <f t="shared" si="70"/>
        <v>0</v>
      </c>
    </row>
    <row r="498" spans="1:24" ht="17.25" customHeight="1">
      <c r="A498" s="137" t="str">
        <f t="shared" ca="1" si="63"/>
        <v>-</v>
      </c>
      <c r="B498" s="173"/>
      <c r="C498" s="253" t="str">
        <f t="shared" si="64"/>
        <v/>
      </c>
      <c r="D498" s="173"/>
      <c r="E498" s="173"/>
      <c r="F498" s="329" t="str">
        <f t="shared" si="71"/>
        <v/>
      </c>
      <c r="G498" s="174"/>
      <c r="H498" s="130" t="str">
        <f>IFERROR(INDEX(DMDT!B:B,MATCH($G498,DMDT!D:D,0),),"")</f>
        <v/>
      </c>
      <c r="I498" s="200"/>
      <c r="J498" s="132"/>
      <c r="K498" s="133"/>
      <c r="L498" s="134"/>
      <c r="M498" s="134"/>
      <c r="N498" s="135"/>
      <c r="O498" s="219"/>
      <c r="P498" s="143"/>
      <c r="Q498" s="144"/>
      <c r="R498" s="150"/>
      <c r="S498" s="127" t="str">
        <f t="shared" si="65"/>
        <v/>
      </c>
      <c r="T498" s="175" t="str">
        <f t="shared" si="66"/>
        <v/>
      </c>
      <c r="U498" s="158" t="e">
        <f t="shared" si="67"/>
        <v>#N/A</v>
      </c>
      <c r="V498" s="310" t="str">
        <f t="shared" si="68"/>
        <v/>
      </c>
      <c r="W498" s="137" t="str">
        <f t="shared" si="69"/>
        <v>X</v>
      </c>
      <c r="X498" s="137">
        <f t="shared" si="70"/>
        <v>0</v>
      </c>
    </row>
    <row r="499" spans="1:24" ht="17.25" customHeight="1">
      <c r="A499" s="137" t="str">
        <f t="shared" ca="1" si="63"/>
        <v>-</v>
      </c>
      <c r="B499" s="173"/>
      <c r="C499" s="253" t="str">
        <f t="shared" si="64"/>
        <v/>
      </c>
      <c r="D499" s="173"/>
      <c r="E499" s="173"/>
      <c r="F499" s="329" t="str">
        <f t="shared" si="71"/>
        <v/>
      </c>
      <c r="G499" s="174"/>
      <c r="H499" s="130" t="str">
        <f>IFERROR(INDEX(DMDT!B:B,MATCH($G499,DMDT!D:D,0),),"")</f>
        <v/>
      </c>
      <c r="I499" s="201"/>
      <c r="J499" s="132"/>
      <c r="K499" s="133"/>
      <c r="L499" s="134"/>
      <c r="M499" s="134"/>
      <c r="N499" s="135"/>
      <c r="O499" s="219"/>
      <c r="P499" s="143"/>
      <c r="Q499" s="144"/>
      <c r="R499" s="150"/>
      <c r="S499" s="127" t="str">
        <f t="shared" si="65"/>
        <v/>
      </c>
      <c r="T499" s="175" t="str">
        <f t="shared" si="66"/>
        <v/>
      </c>
      <c r="U499" s="158" t="e">
        <f t="shared" si="67"/>
        <v>#N/A</v>
      </c>
      <c r="V499" s="310" t="str">
        <f t="shared" si="68"/>
        <v/>
      </c>
      <c r="W499" s="137" t="str">
        <f t="shared" si="69"/>
        <v>X</v>
      </c>
      <c r="X499" s="137">
        <f t="shared" si="70"/>
        <v>0</v>
      </c>
    </row>
    <row r="500" spans="1:24" ht="17.25" customHeight="1">
      <c r="A500" s="137" t="str">
        <f t="shared" ca="1" si="63"/>
        <v>-</v>
      </c>
      <c r="B500" s="173"/>
      <c r="C500" s="253" t="str">
        <f t="shared" si="64"/>
        <v/>
      </c>
      <c r="D500" s="173"/>
      <c r="E500" s="173"/>
      <c r="F500" s="329" t="str">
        <f t="shared" si="71"/>
        <v/>
      </c>
      <c r="G500" s="174"/>
      <c r="H500" s="130" t="str">
        <f>IFERROR(INDEX(DMDT!B:B,MATCH($G500,DMDT!D:D,0),),"")</f>
        <v/>
      </c>
      <c r="I500" s="202"/>
      <c r="J500" s="132"/>
      <c r="K500" s="133"/>
      <c r="L500" s="134"/>
      <c r="M500" s="134"/>
      <c r="N500" s="135"/>
      <c r="O500" s="219"/>
      <c r="P500" s="143"/>
      <c r="Q500" s="144"/>
      <c r="R500" s="150"/>
      <c r="S500" s="127" t="str">
        <f t="shared" si="65"/>
        <v/>
      </c>
      <c r="T500" s="175" t="str">
        <f t="shared" si="66"/>
        <v/>
      </c>
      <c r="U500" s="158" t="e">
        <f t="shared" si="67"/>
        <v>#N/A</v>
      </c>
      <c r="V500" s="310" t="str">
        <f t="shared" si="68"/>
        <v/>
      </c>
      <c r="W500" s="137" t="str">
        <f t="shared" si="69"/>
        <v>X</v>
      </c>
      <c r="X500" s="137">
        <f t="shared" si="70"/>
        <v>0</v>
      </c>
    </row>
    <row r="501" spans="1:24" ht="17.25" customHeight="1">
      <c r="A501" s="137" t="str">
        <f t="shared" ca="1" si="63"/>
        <v>-</v>
      </c>
      <c r="B501" s="173"/>
      <c r="C501" s="253" t="str">
        <f t="shared" si="64"/>
        <v/>
      </c>
      <c r="D501" s="173"/>
      <c r="E501" s="173"/>
      <c r="F501" s="329" t="str">
        <f t="shared" si="71"/>
        <v/>
      </c>
      <c r="G501" s="174"/>
      <c r="H501" s="130" t="str">
        <f>IFERROR(INDEX(DMDT!B:B,MATCH($G501,DMDT!D:D,0),),"")</f>
        <v/>
      </c>
      <c r="I501" s="202"/>
      <c r="J501" s="132"/>
      <c r="K501" s="133"/>
      <c r="L501" s="134"/>
      <c r="M501" s="134"/>
      <c r="N501" s="135"/>
      <c r="O501" s="219"/>
      <c r="P501" s="143"/>
      <c r="Q501" s="144"/>
      <c r="R501" s="150"/>
      <c r="S501" s="127" t="str">
        <f t="shared" si="65"/>
        <v/>
      </c>
      <c r="T501" s="175" t="str">
        <f t="shared" si="66"/>
        <v/>
      </c>
      <c r="U501" s="158" t="e">
        <f t="shared" si="67"/>
        <v>#N/A</v>
      </c>
      <c r="V501" s="310" t="str">
        <f t="shared" si="68"/>
        <v/>
      </c>
      <c r="W501" s="137" t="str">
        <f t="shared" si="69"/>
        <v>X</v>
      </c>
      <c r="X501" s="137">
        <f t="shared" si="70"/>
        <v>0</v>
      </c>
    </row>
    <row r="502" spans="1:24" ht="17.25" customHeight="1">
      <c r="A502" s="137" t="str">
        <f t="shared" ca="1" si="63"/>
        <v>-</v>
      </c>
      <c r="B502" s="173"/>
      <c r="C502" s="253" t="str">
        <f t="shared" si="64"/>
        <v/>
      </c>
      <c r="D502" s="173"/>
      <c r="E502" s="173"/>
      <c r="F502" s="329" t="str">
        <f t="shared" si="71"/>
        <v/>
      </c>
      <c r="G502" s="174"/>
      <c r="H502" s="130" t="str">
        <f>IFERROR(INDEX(DMDT!B:B,MATCH($G502,DMDT!D:D,0),),"")</f>
        <v/>
      </c>
      <c r="I502" s="131"/>
      <c r="J502" s="132"/>
      <c r="K502" s="133"/>
      <c r="L502" s="134"/>
      <c r="M502" s="134"/>
      <c r="N502" s="135"/>
      <c r="O502" s="219"/>
      <c r="P502" s="143"/>
      <c r="Q502" s="144"/>
      <c r="R502" s="150"/>
      <c r="S502" s="127" t="str">
        <f t="shared" si="65"/>
        <v/>
      </c>
      <c r="T502" s="175" t="str">
        <f t="shared" si="66"/>
        <v/>
      </c>
      <c r="U502" s="158" t="e">
        <f t="shared" si="67"/>
        <v>#N/A</v>
      </c>
      <c r="V502" s="310" t="str">
        <f t="shared" si="68"/>
        <v/>
      </c>
      <c r="W502" s="137" t="str">
        <f t="shared" si="69"/>
        <v>X</v>
      </c>
      <c r="X502" s="137">
        <f t="shared" si="70"/>
        <v>0</v>
      </c>
    </row>
    <row r="503" spans="1:24" ht="17.25" customHeight="1">
      <c r="A503" s="137" t="str">
        <f t="shared" ca="1" si="63"/>
        <v>-</v>
      </c>
      <c r="B503" s="173"/>
      <c r="C503" s="253" t="str">
        <f t="shared" si="64"/>
        <v/>
      </c>
      <c r="D503" s="173"/>
      <c r="E503" s="173"/>
      <c r="F503" s="329" t="str">
        <f t="shared" si="71"/>
        <v/>
      </c>
      <c r="G503" s="174"/>
      <c r="H503" s="130" t="str">
        <f>IFERROR(INDEX(DMDT!B:B,MATCH($G503,DMDT!D:D,0),),"")</f>
        <v/>
      </c>
      <c r="I503" s="131"/>
      <c r="J503" s="132"/>
      <c r="K503" s="133"/>
      <c r="L503" s="134"/>
      <c r="M503" s="134"/>
      <c r="N503" s="135"/>
      <c r="O503" s="219"/>
      <c r="P503" s="143"/>
      <c r="Q503" s="144"/>
      <c r="R503" s="150"/>
      <c r="S503" s="127" t="str">
        <f t="shared" si="65"/>
        <v/>
      </c>
      <c r="T503" s="175" t="str">
        <f t="shared" si="66"/>
        <v/>
      </c>
      <c r="U503" s="158" t="e">
        <f t="shared" si="67"/>
        <v>#N/A</v>
      </c>
      <c r="V503" s="310" t="str">
        <f t="shared" si="68"/>
        <v/>
      </c>
      <c r="W503" s="137" t="str">
        <f t="shared" si="69"/>
        <v>X</v>
      </c>
      <c r="X503" s="137">
        <f t="shared" si="70"/>
        <v>0</v>
      </c>
    </row>
    <row r="504" spans="1:24" ht="17.25" customHeight="1">
      <c r="A504" s="137" t="str">
        <f t="shared" ca="1" si="63"/>
        <v>-</v>
      </c>
      <c r="B504" s="173"/>
      <c r="C504" s="253" t="str">
        <f t="shared" si="64"/>
        <v/>
      </c>
      <c r="D504" s="173"/>
      <c r="E504" s="173"/>
      <c r="F504" s="329" t="str">
        <f t="shared" si="71"/>
        <v/>
      </c>
      <c r="G504" s="174"/>
      <c r="H504" s="130" t="str">
        <f>IFERROR(INDEX(DMDT!B:B,MATCH($G504,DMDT!D:D,0),),"")</f>
        <v/>
      </c>
      <c r="I504" s="131"/>
      <c r="J504" s="132"/>
      <c r="K504" s="133"/>
      <c r="L504" s="134"/>
      <c r="M504" s="134"/>
      <c r="N504" s="135"/>
      <c r="O504" s="219"/>
      <c r="P504" s="143"/>
      <c r="Q504" s="144"/>
      <c r="R504" s="150"/>
      <c r="S504" s="127" t="str">
        <f t="shared" si="65"/>
        <v/>
      </c>
      <c r="T504" s="175" t="str">
        <f t="shared" si="66"/>
        <v/>
      </c>
      <c r="U504" s="158" t="e">
        <f t="shared" si="67"/>
        <v>#N/A</v>
      </c>
      <c r="V504" s="310" t="str">
        <f t="shared" si="68"/>
        <v/>
      </c>
      <c r="W504" s="137" t="str">
        <f t="shared" si="69"/>
        <v>X</v>
      </c>
      <c r="X504" s="137">
        <f t="shared" si="70"/>
        <v>0</v>
      </c>
    </row>
    <row r="505" spans="1:24" ht="17.25" customHeight="1">
      <c r="A505" s="137" t="str">
        <f t="shared" ca="1" si="63"/>
        <v>-</v>
      </c>
      <c r="B505" s="173"/>
      <c r="C505" s="253" t="str">
        <f t="shared" si="64"/>
        <v/>
      </c>
      <c r="D505" s="173"/>
      <c r="E505" s="173"/>
      <c r="F505" s="329" t="str">
        <f t="shared" si="71"/>
        <v/>
      </c>
      <c r="G505" s="174"/>
      <c r="H505" s="130" t="str">
        <f>IFERROR(INDEX(DMDT!B:B,MATCH($G505,DMDT!D:D,0),),"")</f>
        <v/>
      </c>
      <c r="I505" s="131"/>
      <c r="J505" s="132"/>
      <c r="K505" s="133"/>
      <c r="L505" s="134"/>
      <c r="M505" s="134"/>
      <c r="N505" s="135"/>
      <c r="O505" s="219"/>
      <c r="P505" s="143"/>
      <c r="Q505" s="144"/>
      <c r="R505" s="150"/>
      <c r="S505" s="127" t="str">
        <f t="shared" si="65"/>
        <v/>
      </c>
      <c r="T505" s="175" t="str">
        <f t="shared" si="66"/>
        <v/>
      </c>
      <c r="U505" s="158" t="e">
        <f t="shared" si="67"/>
        <v>#N/A</v>
      </c>
      <c r="V505" s="310" t="str">
        <f t="shared" si="68"/>
        <v/>
      </c>
      <c r="W505" s="137" t="str">
        <f t="shared" si="69"/>
        <v>X</v>
      </c>
      <c r="X505" s="137">
        <f t="shared" si="70"/>
        <v>0</v>
      </c>
    </row>
    <row r="506" spans="1:24" ht="17.25" customHeight="1">
      <c r="A506" s="137" t="str">
        <f t="shared" ca="1" si="63"/>
        <v>-</v>
      </c>
      <c r="B506" s="173"/>
      <c r="C506" s="253" t="str">
        <f t="shared" si="64"/>
        <v/>
      </c>
      <c r="D506" s="173"/>
      <c r="E506" s="173"/>
      <c r="F506" s="329" t="str">
        <f t="shared" si="71"/>
        <v/>
      </c>
      <c r="G506" s="174"/>
      <c r="H506" s="130" t="str">
        <f>IFERROR(INDEX(DMDT!B:B,MATCH($G506,DMDT!D:D,0),),"")</f>
        <v/>
      </c>
      <c r="I506" s="131"/>
      <c r="J506" s="132"/>
      <c r="K506" s="133"/>
      <c r="L506" s="134"/>
      <c r="M506" s="134"/>
      <c r="N506" s="135"/>
      <c r="O506" s="219"/>
      <c r="P506" s="143"/>
      <c r="Q506" s="144"/>
      <c r="R506" s="150"/>
      <c r="S506" s="127" t="str">
        <f t="shared" si="65"/>
        <v/>
      </c>
      <c r="T506" s="175" t="str">
        <f t="shared" si="66"/>
        <v/>
      </c>
      <c r="U506" s="158" t="e">
        <f t="shared" si="67"/>
        <v>#N/A</v>
      </c>
      <c r="V506" s="310" t="str">
        <f t="shared" si="68"/>
        <v/>
      </c>
      <c r="W506" s="137" t="str">
        <f t="shared" si="69"/>
        <v>X</v>
      </c>
      <c r="X506" s="137">
        <f t="shared" si="70"/>
        <v>0</v>
      </c>
    </row>
    <row r="507" spans="1:24" ht="17.25" customHeight="1">
      <c r="A507" s="137" t="str">
        <f t="shared" ca="1" si="63"/>
        <v>-</v>
      </c>
      <c r="B507" s="173"/>
      <c r="C507" s="253" t="str">
        <f t="shared" si="64"/>
        <v/>
      </c>
      <c r="D507" s="173"/>
      <c r="E507" s="173"/>
      <c r="F507" s="329" t="str">
        <f t="shared" si="71"/>
        <v/>
      </c>
      <c r="G507" s="174"/>
      <c r="H507" s="130" t="str">
        <f>IFERROR(INDEX(DMDT!B:B,MATCH($G507,DMDT!D:D,0),),"")</f>
        <v/>
      </c>
      <c r="I507" s="131"/>
      <c r="J507" s="132"/>
      <c r="K507" s="133"/>
      <c r="L507" s="134"/>
      <c r="M507" s="134"/>
      <c r="N507" s="135"/>
      <c r="O507" s="219"/>
      <c r="P507" s="143"/>
      <c r="Q507" s="144"/>
      <c r="R507" s="150"/>
      <c r="S507" s="127" t="str">
        <f t="shared" si="65"/>
        <v/>
      </c>
      <c r="T507" s="175" t="str">
        <f t="shared" si="66"/>
        <v/>
      </c>
      <c r="U507" s="158" t="e">
        <f t="shared" si="67"/>
        <v>#N/A</v>
      </c>
      <c r="V507" s="310" t="str">
        <f t="shared" si="68"/>
        <v/>
      </c>
      <c r="W507" s="137" t="str">
        <f t="shared" si="69"/>
        <v>X</v>
      </c>
      <c r="X507" s="137">
        <f t="shared" si="70"/>
        <v>0</v>
      </c>
    </row>
    <row r="508" spans="1:24" ht="17.25" customHeight="1">
      <c r="A508" s="137" t="str">
        <f t="shared" ca="1" si="63"/>
        <v>-</v>
      </c>
      <c r="B508" s="173"/>
      <c r="C508" s="253" t="str">
        <f t="shared" si="64"/>
        <v/>
      </c>
      <c r="D508" s="173"/>
      <c r="E508" s="173"/>
      <c r="F508" s="329" t="str">
        <f t="shared" si="71"/>
        <v/>
      </c>
      <c r="G508" s="174"/>
      <c r="H508" s="130" t="str">
        <f>IFERROR(INDEX(DMDT!B:B,MATCH($G508,DMDT!D:D,0),),"")</f>
        <v/>
      </c>
      <c r="I508" s="131"/>
      <c r="J508" s="132"/>
      <c r="K508" s="133"/>
      <c r="L508" s="134"/>
      <c r="M508" s="134"/>
      <c r="N508" s="135"/>
      <c r="O508" s="219"/>
      <c r="P508" s="143"/>
      <c r="Q508" s="144"/>
      <c r="R508" s="150"/>
      <c r="S508" s="127" t="str">
        <f t="shared" si="65"/>
        <v/>
      </c>
      <c r="T508" s="175" t="str">
        <f t="shared" si="66"/>
        <v/>
      </c>
      <c r="U508" s="158" t="e">
        <f t="shared" si="67"/>
        <v>#N/A</v>
      </c>
      <c r="V508" s="310" t="str">
        <f t="shared" si="68"/>
        <v/>
      </c>
      <c r="W508" s="137" t="str">
        <f t="shared" si="69"/>
        <v>X</v>
      </c>
      <c r="X508" s="137">
        <f t="shared" si="70"/>
        <v>0</v>
      </c>
    </row>
    <row r="509" spans="1:24" ht="17.25" customHeight="1">
      <c r="A509" s="137" t="str">
        <f t="shared" ca="1" si="63"/>
        <v>-</v>
      </c>
      <c r="B509" s="173"/>
      <c r="C509" s="253" t="str">
        <f t="shared" si="64"/>
        <v/>
      </c>
      <c r="D509" s="173"/>
      <c r="E509" s="173"/>
      <c r="F509" s="329" t="str">
        <f t="shared" si="71"/>
        <v/>
      </c>
      <c r="G509" s="174"/>
      <c r="H509" s="130" t="str">
        <f>IFERROR(INDEX(DMDT!B:B,MATCH($G509,DMDT!D:D,0),),"")</f>
        <v/>
      </c>
      <c r="I509" s="131"/>
      <c r="J509" s="132"/>
      <c r="K509" s="133"/>
      <c r="L509" s="134"/>
      <c r="M509" s="134"/>
      <c r="N509" s="135"/>
      <c r="O509" s="219"/>
      <c r="P509" s="143"/>
      <c r="Q509" s="144"/>
      <c r="R509" s="150"/>
      <c r="S509" s="127" t="str">
        <f t="shared" si="65"/>
        <v/>
      </c>
      <c r="T509" s="175" t="str">
        <f t="shared" si="66"/>
        <v/>
      </c>
      <c r="U509" s="158" t="e">
        <f t="shared" si="67"/>
        <v>#N/A</v>
      </c>
      <c r="V509" s="310" t="str">
        <f t="shared" si="68"/>
        <v/>
      </c>
      <c r="W509" s="137" t="str">
        <f t="shared" si="69"/>
        <v>X</v>
      </c>
      <c r="X509" s="137">
        <f t="shared" si="70"/>
        <v>0</v>
      </c>
    </row>
    <row r="510" spans="1:24" ht="17.25" customHeight="1">
      <c r="A510" s="137" t="str">
        <f t="shared" ca="1" si="63"/>
        <v>-</v>
      </c>
      <c r="B510" s="173"/>
      <c r="C510" s="253" t="str">
        <f t="shared" si="64"/>
        <v/>
      </c>
      <c r="D510" s="173"/>
      <c r="E510" s="173"/>
      <c r="F510" s="329" t="str">
        <f t="shared" si="71"/>
        <v/>
      </c>
      <c r="G510" s="174"/>
      <c r="H510" s="130" t="str">
        <f>IFERROR(INDEX(DMDT!B:B,MATCH($G510,DMDT!D:D,0),),"")</f>
        <v/>
      </c>
      <c r="I510" s="131"/>
      <c r="J510" s="132"/>
      <c r="K510" s="133"/>
      <c r="L510" s="134"/>
      <c r="M510" s="134"/>
      <c r="N510" s="135"/>
      <c r="O510" s="219"/>
      <c r="P510" s="143"/>
      <c r="Q510" s="144"/>
      <c r="R510" s="150"/>
      <c r="S510" s="127" t="str">
        <f t="shared" si="65"/>
        <v/>
      </c>
      <c r="T510" s="175" t="str">
        <f t="shared" si="66"/>
        <v/>
      </c>
      <c r="U510" s="158" t="e">
        <f t="shared" si="67"/>
        <v>#N/A</v>
      </c>
      <c r="V510" s="310" t="str">
        <f t="shared" si="68"/>
        <v/>
      </c>
      <c r="W510" s="137" t="str">
        <f t="shared" si="69"/>
        <v>X</v>
      </c>
      <c r="X510" s="137">
        <f t="shared" si="70"/>
        <v>0</v>
      </c>
    </row>
    <row r="511" spans="1:24" ht="17.25" customHeight="1">
      <c r="A511" s="137" t="str">
        <f t="shared" ca="1" si="63"/>
        <v>-</v>
      </c>
      <c r="B511" s="173"/>
      <c r="C511" s="253" t="str">
        <f t="shared" si="64"/>
        <v/>
      </c>
      <c r="D511" s="173"/>
      <c r="E511" s="173"/>
      <c r="F511" s="329" t="str">
        <f t="shared" si="71"/>
        <v/>
      </c>
      <c r="G511" s="174"/>
      <c r="H511" s="130" t="str">
        <f>IFERROR(INDEX(DMDT!B:B,MATCH($G511,DMDT!D:D,0),),"")</f>
        <v/>
      </c>
      <c r="I511" s="131"/>
      <c r="J511" s="132"/>
      <c r="K511" s="133"/>
      <c r="L511" s="134"/>
      <c r="M511" s="134"/>
      <c r="N511" s="135"/>
      <c r="O511" s="219"/>
      <c r="P511" s="143"/>
      <c r="Q511" s="144"/>
      <c r="R511" s="150"/>
      <c r="S511" s="127" t="str">
        <f t="shared" si="65"/>
        <v/>
      </c>
      <c r="T511" s="175" t="str">
        <f t="shared" si="66"/>
        <v/>
      </c>
      <c r="U511" s="158" t="e">
        <f t="shared" si="67"/>
        <v>#N/A</v>
      </c>
      <c r="V511" s="310" t="str">
        <f t="shared" si="68"/>
        <v/>
      </c>
      <c r="W511" s="137" t="str">
        <f t="shared" si="69"/>
        <v>X</v>
      </c>
      <c r="X511" s="137">
        <f t="shared" si="70"/>
        <v>0</v>
      </c>
    </row>
    <row r="512" spans="1:24" ht="17.25" customHeight="1">
      <c r="A512" s="137" t="str">
        <f t="shared" ca="1" si="63"/>
        <v>-</v>
      </c>
      <c r="B512" s="173"/>
      <c r="C512" s="253" t="str">
        <f t="shared" si="64"/>
        <v/>
      </c>
      <c r="D512" s="173"/>
      <c r="E512" s="173"/>
      <c r="F512" s="329" t="str">
        <f t="shared" si="71"/>
        <v/>
      </c>
      <c r="G512" s="174"/>
      <c r="H512" s="130" t="str">
        <f>IFERROR(INDEX(DMDT!B:B,MATCH($G512,DMDT!D:D,0),),"")</f>
        <v/>
      </c>
      <c r="I512" s="131"/>
      <c r="J512" s="132"/>
      <c r="K512" s="133"/>
      <c r="L512" s="134"/>
      <c r="M512" s="134"/>
      <c r="N512" s="135"/>
      <c r="O512" s="219"/>
      <c r="P512" s="143"/>
      <c r="Q512" s="144"/>
      <c r="R512" s="150"/>
      <c r="S512" s="127" t="str">
        <f t="shared" si="65"/>
        <v/>
      </c>
      <c r="T512" s="175" t="str">
        <f t="shared" si="66"/>
        <v/>
      </c>
      <c r="U512" s="158" t="e">
        <f t="shared" si="67"/>
        <v>#N/A</v>
      </c>
      <c r="V512" s="310" t="str">
        <f t="shared" si="68"/>
        <v/>
      </c>
      <c r="W512" s="137" t="str">
        <f t="shared" si="69"/>
        <v>X</v>
      </c>
      <c r="X512" s="137">
        <f t="shared" si="70"/>
        <v>0</v>
      </c>
    </row>
    <row r="513" spans="1:24" ht="17.25" customHeight="1">
      <c r="A513" s="137" t="str">
        <f t="shared" ca="1" si="63"/>
        <v>-</v>
      </c>
      <c r="B513" s="173"/>
      <c r="C513" s="253" t="str">
        <f t="shared" si="64"/>
        <v/>
      </c>
      <c r="D513" s="173"/>
      <c r="E513" s="173"/>
      <c r="F513" s="329" t="str">
        <f t="shared" si="71"/>
        <v/>
      </c>
      <c r="G513" s="174"/>
      <c r="H513" s="130" t="str">
        <f>IFERROR(INDEX(DMDT!B:B,MATCH($G513,DMDT!D:D,0),),"")</f>
        <v/>
      </c>
      <c r="I513" s="131"/>
      <c r="J513" s="132"/>
      <c r="K513" s="133"/>
      <c r="L513" s="134"/>
      <c r="M513" s="134"/>
      <c r="N513" s="135"/>
      <c r="O513" s="219"/>
      <c r="P513" s="143"/>
      <c r="Q513" s="144"/>
      <c r="R513" s="150"/>
      <c r="S513" s="127" t="str">
        <f t="shared" si="65"/>
        <v/>
      </c>
      <c r="T513" s="175" t="str">
        <f t="shared" si="66"/>
        <v/>
      </c>
      <c r="U513" s="158" t="e">
        <f t="shared" si="67"/>
        <v>#N/A</v>
      </c>
      <c r="V513" s="310" t="str">
        <f t="shared" si="68"/>
        <v/>
      </c>
      <c r="W513" s="137" t="str">
        <f t="shared" si="69"/>
        <v>X</v>
      </c>
      <c r="X513" s="137">
        <f t="shared" si="70"/>
        <v>0</v>
      </c>
    </row>
    <row r="514" spans="1:24" ht="17.25" customHeight="1">
      <c r="A514" s="137" t="str">
        <f t="shared" ca="1" si="63"/>
        <v>-</v>
      </c>
      <c r="B514" s="173"/>
      <c r="C514" s="253" t="str">
        <f t="shared" si="64"/>
        <v/>
      </c>
      <c r="D514" s="173"/>
      <c r="E514" s="173"/>
      <c r="F514" s="329" t="str">
        <f t="shared" si="71"/>
        <v/>
      </c>
      <c r="G514" s="174"/>
      <c r="H514" s="130" t="str">
        <f>IFERROR(INDEX(DMDT!B:B,MATCH($G514,DMDT!D:D,0),),"")</f>
        <v/>
      </c>
      <c r="I514" s="131"/>
      <c r="J514" s="132"/>
      <c r="K514" s="133"/>
      <c r="L514" s="134"/>
      <c r="M514" s="134"/>
      <c r="N514" s="135"/>
      <c r="O514" s="219"/>
      <c r="P514" s="143"/>
      <c r="Q514" s="144"/>
      <c r="R514" s="150"/>
      <c r="S514" s="127" t="str">
        <f t="shared" si="65"/>
        <v/>
      </c>
      <c r="T514" s="175" t="str">
        <f t="shared" si="66"/>
        <v/>
      </c>
      <c r="U514" s="158" t="e">
        <f t="shared" si="67"/>
        <v>#N/A</v>
      </c>
      <c r="V514" s="310" t="str">
        <f t="shared" si="68"/>
        <v/>
      </c>
      <c r="W514" s="137" t="str">
        <f t="shared" si="69"/>
        <v>X</v>
      </c>
      <c r="X514" s="137">
        <f t="shared" si="70"/>
        <v>0</v>
      </c>
    </row>
    <row r="515" spans="1:24" ht="17.25" customHeight="1">
      <c r="A515" s="137" t="str">
        <f t="shared" ca="1" si="63"/>
        <v>-</v>
      </c>
      <c r="B515" s="173"/>
      <c r="C515" s="253" t="str">
        <f t="shared" si="64"/>
        <v/>
      </c>
      <c r="D515" s="173"/>
      <c r="E515" s="173"/>
      <c r="F515" s="329" t="str">
        <f t="shared" si="71"/>
        <v/>
      </c>
      <c r="G515" s="174"/>
      <c r="H515" s="130" t="str">
        <f>IFERROR(INDEX(DMDT!B:B,MATCH($G515,DMDT!D:D,0),),"")</f>
        <v/>
      </c>
      <c r="I515" s="131"/>
      <c r="J515" s="132"/>
      <c r="K515" s="133"/>
      <c r="L515" s="134"/>
      <c r="M515" s="134"/>
      <c r="N515" s="135"/>
      <c r="O515" s="219"/>
      <c r="P515" s="143"/>
      <c r="Q515" s="144"/>
      <c r="R515" s="150"/>
      <c r="S515" s="127" t="str">
        <f t="shared" si="65"/>
        <v/>
      </c>
      <c r="T515" s="175" t="str">
        <f t="shared" si="66"/>
        <v/>
      </c>
      <c r="U515" s="158" t="e">
        <f t="shared" si="67"/>
        <v>#N/A</v>
      </c>
      <c r="V515" s="310" t="str">
        <f t="shared" si="68"/>
        <v/>
      </c>
      <c r="W515" s="137" t="str">
        <f t="shared" si="69"/>
        <v>X</v>
      </c>
      <c r="X515" s="137">
        <f t="shared" si="70"/>
        <v>0</v>
      </c>
    </row>
    <row r="516" spans="1:24" ht="17.25" customHeight="1">
      <c r="A516" s="137" t="str">
        <f t="shared" ref="A516:A579" ca="1" si="72">IF(F516="","-",IF(COUNTIFS(OFFSET($H$3,,,ROW()-3),H516,OFFSET($J$3,,,ROW()-3),J516,OFFSET($N$3,,,ROW()-3),N516)=0,"-","FALSE"))</f>
        <v>-</v>
      </c>
      <c r="B516" s="173"/>
      <c r="C516" s="253" t="str">
        <f t="shared" si="64"/>
        <v/>
      </c>
      <c r="D516" s="173"/>
      <c r="E516" s="173"/>
      <c r="F516" s="329" t="str">
        <f t="shared" si="71"/>
        <v/>
      </c>
      <c r="G516" s="174"/>
      <c r="H516" s="130" t="str">
        <f>IFERROR(INDEX(DMDT!B:B,MATCH($G516,DMDT!D:D,0),),"")</f>
        <v/>
      </c>
      <c r="I516" s="131"/>
      <c r="J516" s="132"/>
      <c r="K516" s="133"/>
      <c r="L516" s="134"/>
      <c r="M516" s="134"/>
      <c r="N516" s="135"/>
      <c r="O516" s="219"/>
      <c r="P516" s="143"/>
      <c r="Q516" s="144"/>
      <c r="R516" s="150"/>
      <c r="S516" s="127" t="str">
        <f t="shared" si="65"/>
        <v/>
      </c>
      <c r="T516" s="175" t="str">
        <f t="shared" si="66"/>
        <v/>
      </c>
      <c r="U516" s="158" t="e">
        <f t="shared" si="67"/>
        <v>#N/A</v>
      </c>
      <c r="V516" s="310" t="str">
        <f t="shared" si="68"/>
        <v/>
      </c>
      <c r="W516" s="137" t="str">
        <f t="shared" si="69"/>
        <v>X</v>
      </c>
      <c r="X516" s="137">
        <f t="shared" si="70"/>
        <v>0</v>
      </c>
    </row>
    <row r="517" spans="1:24" ht="17.25" customHeight="1">
      <c r="A517" s="137" t="str">
        <f t="shared" ca="1" si="72"/>
        <v>-</v>
      </c>
      <c r="B517" s="173"/>
      <c r="C517" s="253" t="str">
        <f t="shared" ref="C517:C580" si="73">IF(F517="","",IF(LEFT(M517,5)&lt;&gt;"3311-","Non-GR",IF(AND(B517&lt;D517,B517&lt;&gt;""),NETWORKDAYS(B517,D517),IF(OR(L517="Mai",L517="Đức Anh",L517="C.Thảo"),"GIT","Non-GR"))))</f>
        <v/>
      </c>
      <c r="D517" s="173"/>
      <c r="E517" s="173"/>
      <c r="F517" s="329" t="str">
        <f t="shared" si="71"/>
        <v/>
      </c>
      <c r="G517" s="174"/>
      <c r="H517" s="130" t="str">
        <f>IFERROR(INDEX(DMDT!B:B,MATCH($G517,DMDT!D:D,0),),"")</f>
        <v/>
      </c>
      <c r="I517" s="131"/>
      <c r="J517" s="132"/>
      <c r="K517" s="133"/>
      <c r="L517" s="134"/>
      <c r="M517" s="134"/>
      <c r="N517" s="135"/>
      <c r="O517" s="219"/>
      <c r="P517" s="143"/>
      <c r="Q517" s="144"/>
      <c r="R517" s="150"/>
      <c r="S517" s="127" t="str">
        <f t="shared" ref="S517:S580" si="74">$N517&amp;LEFT($G517,6)</f>
        <v/>
      </c>
      <c r="T517" s="175" t="str">
        <f t="shared" ref="T517:T580" si="75">+LEFT($M517,5)</f>
        <v/>
      </c>
      <c r="U517" s="158" t="e">
        <f t="shared" ref="U517:U580" si="76">VLOOKUP(L517,$AB$10:$AC$26,2,0)</f>
        <v>#N/A</v>
      </c>
      <c r="V517" s="310" t="str">
        <f t="shared" ref="V517:V580" si="77">IF(T517="3311-",D517,"")</f>
        <v/>
      </c>
      <c r="W517" s="137" t="str">
        <f t="shared" ref="W517:W580" si="78">IFERROR(IF(MONTH(V517)=$F$1,DAY(V517),"NEXT"),"X")</f>
        <v>X</v>
      </c>
      <c r="X517" s="137">
        <f t="shared" ref="X517:X580" si="79">IFERROR(IF(31-W517&gt;5,1,2),0)</f>
        <v>0</v>
      </c>
    </row>
    <row r="518" spans="1:24" ht="17.25" customHeight="1">
      <c r="A518" s="137" t="str">
        <f t="shared" ca="1" si="72"/>
        <v>-</v>
      </c>
      <c r="B518" s="173"/>
      <c r="C518" s="253" t="str">
        <f t="shared" si="73"/>
        <v/>
      </c>
      <c r="D518" s="173"/>
      <c r="E518" s="173"/>
      <c r="F518" s="329" t="str">
        <f t="shared" ref="F518:F581" si="80">IF(E518&lt;&gt;"",F517+1,"")</f>
        <v/>
      </c>
      <c r="G518" s="174"/>
      <c r="H518" s="130" t="str">
        <f>IFERROR(INDEX(DMDT!B:B,MATCH($G518,DMDT!D:D,0),),"")</f>
        <v/>
      </c>
      <c r="I518" s="131"/>
      <c r="J518" s="132"/>
      <c r="K518" s="133"/>
      <c r="L518" s="134"/>
      <c r="M518" s="134"/>
      <c r="N518" s="135"/>
      <c r="O518" s="219"/>
      <c r="P518" s="143"/>
      <c r="Q518" s="144"/>
      <c r="R518" s="150"/>
      <c r="S518" s="127" t="str">
        <f t="shared" si="74"/>
        <v/>
      </c>
      <c r="T518" s="175" t="str">
        <f t="shared" si="75"/>
        <v/>
      </c>
      <c r="U518" s="158" t="e">
        <f t="shared" si="76"/>
        <v>#N/A</v>
      </c>
      <c r="V518" s="310" t="str">
        <f t="shared" si="77"/>
        <v/>
      </c>
      <c r="W518" s="137" t="str">
        <f t="shared" si="78"/>
        <v>X</v>
      </c>
      <c r="X518" s="137">
        <f t="shared" si="79"/>
        <v>0</v>
      </c>
    </row>
    <row r="519" spans="1:24" ht="17.25" customHeight="1">
      <c r="A519" s="137" t="str">
        <f t="shared" ca="1" si="72"/>
        <v>-</v>
      </c>
      <c r="B519" s="173"/>
      <c r="C519" s="253" t="str">
        <f t="shared" si="73"/>
        <v/>
      </c>
      <c r="D519" s="173"/>
      <c r="E519" s="173"/>
      <c r="F519" s="329" t="str">
        <f t="shared" si="80"/>
        <v/>
      </c>
      <c r="G519" s="174"/>
      <c r="H519" s="130" t="str">
        <f>IFERROR(INDEX(DMDT!B:B,MATCH($G519,DMDT!D:D,0),),"")</f>
        <v/>
      </c>
      <c r="I519" s="131"/>
      <c r="J519" s="132"/>
      <c r="K519" s="133"/>
      <c r="L519" s="134"/>
      <c r="M519" s="134"/>
      <c r="N519" s="135"/>
      <c r="O519" s="219"/>
      <c r="P519" s="143"/>
      <c r="Q519" s="144"/>
      <c r="R519" s="150"/>
      <c r="S519" s="127" t="str">
        <f t="shared" si="74"/>
        <v/>
      </c>
      <c r="T519" s="175" t="str">
        <f t="shared" si="75"/>
        <v/>
      </c>
      <c r="U519" s="158" t="e">
        <f t="shared" si="76"/>
        <v>#N/A</v>
      </c>
      <c r="V519" s="310" t="str">
        <f t="shared" si="77"/>
        <v/>
      </c>
      <c r="W519" s="137" t="str">
        <f t="shared" si="78"/>
        <v>X</v>
      </c>
      <c r="X519" s="137">
        <f t="shared" si="79"/>
        <v>0</v>
      </c>
    </row>
    <row r="520" spans="1:24" ht="17.25" customHeight="1">
      <c r="A520" s="137" t="str">
        <f t="shared" ca="1" si="72"/>
        <v>-</v>
      </c>
      <c r="B520" s="173"/>
      <c r="C520" s="253" t="str">
        <f t="shared" si="73"/>
        <v/>
      </c>
      <c r="D520" s="173"/>
      <c r="E520" s="173"/>
      <c r="F520" s="329" t="str">
        <f t="shared" si="80"/>
        <v/>
      </c>
      <c r="G520" s="174"/>
      <c r="H520" s="130" t="str">
        <f>IFERROR(INDEX(DMDT!B:B,MATCH($G520,DMDT!D:D,0),),"")</f>
        <v/>
      </c>
      <c r="I520" s="131"/>
      <c r="J520" s="132"/>
      <c r="K520" s="133"/>
      <c r="L520" s="134"/>
      <c r="M520" s="134"/>
      <c r="N520" s="135"/>
      <c r="O520" s="219"/>
      <c r="P520" s="143"/>
      <c r="Q520" s="144"/>
      <c r="R520" s="150"/>
      <c r="S520" s="127" t="str">
        <f t="shared" si="74"/>
        <v/>
      </c>
      <c r="T520" s="175" t="str">
        <f t="shared" si="75"/>
        <v/>
      </c>
      <c r="U520" s="158" t="e">
        <f t="shared" si="76"/>
        <v>#N/A</v>
      </c>
      <c r="V520" s="310" t="str">
        <f t="shared" si="77"/>
        <v/>
      </c>
      <c r="W520" s="137" t="str">
        <f t="shared" si="78"/>
        <v>X</v>
      </c>
      <c r="X520" s="137">
        <f t="shared" si="79"/>
        <v>0</v>
      </c>
    </row>
    <row r="521" spans="1:24" ht="17.25" customHeight="1">
      <c r="A521" s="137" t="str">
        <f t="shared" ca="1" si="72"/>
        <v>-</v>
      </c>
      <c r="B521" s="173"/>
      <c r="C521" s="253" t="str">
        <f t="shared" si="73"/>
        <v/>
      </c>
      <c r="D521" s="173"/>
      <c r="E521" s="173"/>
      <c r="F521" s="329" t="str">
        <f t="shared" si="80"/>
        <v/>
      </c>
      <c r="G521" s="174"/>
      <c r="H521" s="130" t="str">
        <f>IFERROR(INDEX(DMDT!B:B,MATCH($G521,DMDT!D:D,0),),"")</f>
        <v/>
      </c>
      <c r="I521" s="131"/>
      <c r="J521" s="132"/>
      <c r="K521" s="133"/>
      <c r="L521" s="134"/>
      <c r="M521" s="134"/>
      <c r="N521" s="135"/>
      <c r="O521" s="219"/>
      <c r="P521" s="143"/>
      <c r="Q521" s="144"/>
      <c r="R521" s="150"/>
      <c r="S521" s="127" t="str">
        <f t="shared" si="74"/>
        <v/>
      </c>
      <c r="T521" s="175" t="str">
        <f t="shared" si="75"/>
        <v/>
      </c>
      <c r="U521" s="158" t="e">
        <f t="shared" si="76"/>
        <v>#N/A</v>
      </c>
      <c r="V521" s="310" t="str">
        <f t="shared" si="77"/>
        <v/>
      </c>
      <c r="W521" s="137" t="str">
        <f t="shared" si="78"/>
        <v>X</v>
      </c>
      <c r="X521" s="137">
        <f t="shared" si="79"/>
        <v>0</v>
      </c>
    </row>
    <row r="522" spans="1:24" ht="17.25" customHeight="1">
      <c r="A522" s="137" t="str">
        <f t="shared" ca="1" si="72"/>
        <v>-</v>
      </c>
      <c r="B522" s="173"/>
      <c r="C522" s="253" t="str">
        <f t="shared" si="73"/>
        <v/>
      </c>
      <c r="D522" s="173"/>
      <c r="E522" s="173"/>
      <c r="F522" s="329" t="str">
        <f t="shared" si="80"/>
        <v/>
      </c>
      <c r="G522" s="174"/>
      <c r="H522" s="130" t="str">
        <f>IFERROR(INDEX(DMDT!B:B,MATCH($G522,DMDT!D:D,0),),"")</f>
        <v/>
      </c>
      <c r="I522" s="131"/>
      <c r="J522" s="132"/>
      <c r="K522" s="133"/>
      <c r="L522" s="134"/>
      <c r="M522" s="134"/>
      <c r="N522" s="135"/>
      <c r="O522" s="219"/>
      <c r="P522" s="143"/>
      <c r="Q522" s="144"/>
      <c r="R522" s="150"/>
      <c r="S522" s="127" t="str">
        <f t="shared" si="74"/>
        <v/>
      </c>
      <c r="T522" s="175" t="str">
        <f t="shared" si="75"/>
        <v/>
      </c>
      <c r="U522" s="158" t="e">
        <f t="shared" si="76"/>
        <v>#N/A</v>
      </c>
      <c r="V522" s="310" t="str">
        <f t="shared" si="77"/>
        <v/>
      </c>
      <c r="W522" s="137" t="str">
        <f t="shared" si="78"/>
        <v>X</v>
      </c>
      <c r="X522" s="137">
        <f t="shared" si="79"/>
        <v>0</v>
      </c>
    </row>
    <row r="523" spans="1:24" ht="17.25" customHeight="1">
      <c r="A523" s="137" t="str">
        <f t="shared" ca="1" si="72"/>
        <v>-</v>
      </c>
      <c r="B523" s="173"/>
      <c r="C523" s="253" t="str">
        <f t="shared" si="73"/>
        <v/>
      </c>
      <c r="D523" s="173"/>
      <c r="E523" s="173"/>
      <c r="F523" s="329" t="str">
        <f t="shared" si="80"/>
        <v/>
      </c>
      <c r="G523" s="174"/>
      <c r="H523" s="130" t="str">
        <f>IFERROR(INDEX(DMDT!B:B,MATCH($G523,DMDT!D:D,0),),"")</f>
        <v/>
      </c>
      <c r="I523" s="131"/>
      <c r="J523" s="132"/>
      <c r="K523" s="133"/>
      <c r="L523" s="134"/>
      <c r="M523" s="134"/>
      <c r="N523" s="135"/>
      <c r="O523" s="219"/>
      <c r="P523" s="143"/>
      <c r="Q523" s="144"/>
      <c r="R523" s="150"/>
      <c r="S523" s="127" t="str">
        <f t="shared" si="74"/>
        <v/>
      </c>
      <c r="T523" s="175" t="str">
        <f t="shared" si="75"/>
        <v/>
      </c>
      <c r="U523" s="158" t="e">
        <f t="shared" si="76"/>
        <v>#N/A</v>
      </c>
      <c r="V523" s="310" t="str">
        <f t="shared" si="77"/>
        <v/>
      </c>
      <c r="W523" s="137" t="str">
        <f t="shared" si="78"/>
        <v>X</v>
      </c>
      <c r="X523" s="137">
        <f t="shared" si="79"/>
        <v>0</v>
      </c>
    </row>
    <row r="524" spans="1:24" ht="17.25" customHeight="1">
      <c r="A524" s="137" t="str">
        <f t="shared" ca="1" si="72"/>
        <v>-</v>
      </c>
      <c r="B524" s="173"/>
      <c r="C524" s="253" t="str">
        <f t="shared" si="73"/>
        <v/>
      </c>
      <c r="D524" s="173"/>
      <c r="E524" s="173"/>
      <c r="F524" s="329" t="str">
        <f t="shared" si="80"/>
        <v/>
      </c>
      <c r="G524" s="174"/>
      <c r="H524" s="130" t="str">
        <f>IFERROR(INDEX(DMDT!B:B,MATCH($G524,DMDT!D:D,0),),"")</f>
        <v/>
      </c>
      <c r="I524" s="131"/>
      <c r="J524" s="132"/>
      <c r="K524" s="133"/>
      <c r="L524" s="134"/>
      <c r="M524" s="134"/>
      <c r="N524" s="135"/>
      <c r="O524" s="219"/>
      <c r="P524" s="143"/>
      <c r="Q524" s="144"/>
      <c r="R524" s="150"/>
      <c r="S524" s="127" t="str">
        <f t="shared" si="74"/>
        <v/>
      </c>
      <c r="T524" s="175" t="str">
        <f t="shared" si="75"/>
        <v/>
      </c>
      <c r="U524" s="158" t="e">
        <f t="shared" si="76"/>
        <v>#N/A</v>
      </c>
      <c r="V524" s="310" t="str">
        <f t="shared" si="77"/>
        <v/>
      </c>
      <c r="W524" s="137" t="str">
        <f t="shared" si="78"/>
        <v>X</v>
      </c>
      <c r="X524" s="137">
        <f t="shared" si="79"/>
        <v>0</v>
      </c>
    </row>
    <row r="525" spans="1:24" ht="17.25" customHeight="1">
      <c r="A525" s="137" t="str">
        <f t="shared" ca="1" si="72"/>
        <v>-</v>
      </c>
      <c r="B525" s="173"/>
      <c r="C525" s="253" t="str">
        <f t="shared" si="73"/>
        <v/>
      </c>
      <c r="D525" s="173"/>
      <c r="E525" s="173"/>
      <c r="F525" s="329" t="str">
        <f t="shared" si="80"/>
        <v/>
      </c>
      <c r="G525" s="174"/>
      <c r="H525" s="130" t="str">
        <f>IFERROR(INDEX(DMDT!B:B,MATCH($G525,DMDT!D:D,0),),"")</f>
        <v/>
      </c>
      <c r="I525" s="131"/>
      <c r="J525" s="132"/>
      <c r="K525" s="133"/>
      <c r="L525" s="134"/>
      <c r="M525" s="134"/>
      <c r="N525" s="135"/>
      <c r="O525" s="219"/>
      <c r="P525" s="143"/>
      <c r="Q525" s="144"/>
      <c r="R525" s="150"/>
      <c r="S525" s="127" t="str">
        <f t="shared" si="74"/>
        <v/>
      </c>
      <c r="T525" s="175" t="str">
        <f t="shared" si="75"/>
        <v/>
      </c>
      <c r="U525" s="158" t="e">
        <f t="shared" si="76"/>
        <v>#N/A</v>
      </c>
      <c r="V525" s="310" t="str">
        <f t="shared" si="77"/>
        <v/>
      </c>
      <c r="W525" s="137" t="str">
        <f t="shared" si="78"/>
        <v>X</v>
      </c>
      <c r="X525" s="137">
        <f t="shared" si="79"/>
        <v>0</v>
      </c>
    </row>
    <row r="526" spans="1:24" ht="17.25" customHeight="1">
      <c r="A526" s="137" t="str">
        <f t="shared" ca="1" si="72"/>
        <v>-</v>
      </c>
      <c r="B526" s="173"/>
      <c r="C526" s="253" t="str">
        <f t="shared" si="73"/>
        <v/>
      </c>
      <c r="D526" s="173"/>
      <c r="E526" s="173"/>
      <c r="F526" s="329" t="str">
        <f t="shared" si="80"/>
        <v/>
      </c>
      <c r="G526" s="174"/>
      <c r="H526" s="130" t="str">
        <f>IFERROR(INDEX(DMDT!B:B,MATCH($G526,DMDT!D:D,0),),"")</f>
        <v/>
      </c>
      <c r="I526" s="131"/>
      <c r="J526" s="132"/>
      <c r="K526" s="133"/>
      <c r="L526" s="134"/>
      <c r="M526" s="134"/>
      <c r="N526" s="135"/>
      <c r="O526" s="219"/>
      <c r="P526" s="143"/>
      <c r="Q526" s="144"/>
      <c r="R526" s="150"/>
      <c r="S526" s="127" t="str">
        <f t="shared" si="74"/>
        <v/>
      </c>
      <c r="T526" s="175" t="str">
        <f t="shared" si="75"/>
        <v/>
      </c>
      <c r="U526" s="158" t="e">
        <f t="shared" si="76"/>
        <v>#N/A</v>
      </c>
      <c r="V526" s="310" t="str">
        <f t="shared" si="77"/>
        <v/>
      </c>
      <c r="W526" s="137" t="str">
        <f t="shared" si="78"/>
        <v>X</v>
      </c>
      <c r="X526" s="137">
        <f t="shared" si="79"/>
        <v>0</v>
      </c>
    </row>
    <row r="527" spans="1:24" ht="17.25" customHeight="1">
      <c r="A527" s="137" t="str">
        <f t="shared" ca="1" si="72"/>
        <v>-</v>
      </c>
      <c r="B527" s="173"/>
      <c r="C527" s="253" t="str">
        <f t="shared" si="73"/>
        <v/>
      </c>
      <c r="D527" s="173"/>
      <c r="E527" s="173"/>
      <c r="F527" s="329" t="str">
        <f t="shared" si="80"/>
        <v/>
      </c>
      <c r="G527" s="174"/>
      <c r="H527" s="130" t="str">
        <f>IFERROR(INDEX(DMDT!B:B,MATCH($G527,DMDT!D:D,0),),"")</f>
        <v/>
      </c>
      <c r="I527" s="131"/>
      <c r="J527" s="132"/>
      <c r="K527" s="133"/>
      <c r="L527" s="134"/>
      <c r="M527" s="134"/>
      <c r="N527" s="135"/>
      <c r="O527" s="219"/>
      <c r="P527" s="143"/>
      <c r="Q527" s="144"/>
      <c r="R527" s="150"/>
      <c r="S527" s="127" t="str">
        <f t="shared" si="74"/>
        <v/>
      </c>
      <c r="T527" s="175" t="str">
        <f t="shared" si="75"/>
        <v/>
      </c>
      <c r="U527" s="158" t="e">
        <f t="shared" si="76"/>
        <v>#N/A</v>
      </c>
      <c r="V527" s="310" t="str">
        <f t="shared" si="77"/>
        <v/>
      </c>
      <c r="W527" s="137" t="str">
        <f t="shared" si="78"/>
        <v>X</v>
      </c>
      <c r="X527" s="137">
        <f t="shared" si="79"/>
        <v>0</v>
      </c>
    </row>
    <row r="528" spans="1:24" ht="17.25" customHeight="1">
      <c r="A528" s="137" t="str">
        <f t="shared" ca="1" si="72"/>
        <v>-</v>
      </c>
      <c r="B528" s="173"/>
      <c r="C528" s="253" t="str">
        <f t="shared" si="73"/>
        <v/>
      </c>
      <c r="D528" s="173"/>
      <c r="E528" s="173"/>
      <c r="F528" s="329" t="str">
        <f t="shared" si="80"/>
        <v/>
      </c>
      <c r="G528" s="174"/>
      <c r="H528" s="130" t="str">
        <f>IFERROR(INDEX(DMDT!B:B,MATCH($G528,DMDT!D:D,0),),"")</f>
        <v/>
      </c>
      <c r="I528" s="131"/>
      <c r="J528" s="132"/>
      <c r="K528" s="133"/>
      <c r="L528" s="134"/>
      <c r="M528" s="134"/>
      <c r="N528" s="135"/>
      <c r="O528" s="219"/>
      <c r="P528" s="143"/>
      <c r="Q528" s="144"/>
      <c r="R528" s="150"/>
      <c r="S528" s="127" t="str">
        <f t="shared" si="74"/>
        <v/>
      </c>
      <c r="T528" s="175" t="str">
        <f t="shared" si="75"/>
        <v/>
      </c>
      <c r="U528" s="158" t="e">
        <f t="shared" si="76"/>
        <v>#N/A</v>
      </c>
      <c r="V528" s="310" t="str">
        <f t="shared" si="77"/>
        <v/>
      </c>
      <c r="W528" s="137" t="str">
        <f t="shared" si="78"/>
        <v>X</v>
      </c>
      <c r="X528" s="137">
        <f t="shared" si="79"/>
        <v>0</v>
      </c>
    </row>
    <row r="529" spans="1:24" ht="17.25" customHeight="1">
      <c r="A529" s="137" t="str">
        <f t="shared" ca="1" si="72"/>
        <v>-</v>
      </c>
      <c r="B529" s="173"/>
      <c r="C529" s="253" t="str">
        <f t="shared" si="73"/>
        <v/>
      </c>
      <c r="D529" s="173"/>
      <c r="E529" s="173"/>
      <c r="F529" s="329" t="str">
        <f t="shared" si="80"/>
        <v/>
      </c>
      <c r="G529" s="174"/>
      <c r="H529" s="130" t="str">
        <f>IFERROR(INDEX(DMDT!B:B,MATCH($G529,DMDT!D:D,0),),"")</f>
        <v/>
      </c>
      <c r="I529" s="131"/>
      <c r="J529" s="132"/>
      <c r="K529" s="133"/>
      <c r="L529" s="134"/>
      <c r="M529" s="134"/>
      <c r="N529" s="135"/>
      <c r="O529" s="219"/>
      <c r="P529" s="143"/>
      <c r="Q529" s="144"/>
      <c r="R529" s="150"/>
      <c r="S529" s="127" t="str">
        <f t="shared" si="74"/>
        <v/>
      </c>
      <c r="T529" s="175" t="str">
        <f t="shared" si="75"/>
        <v/>
      </c>
      <c r="U529" s="158" t="e">
        <f t="shared" si="76"/>
        <v>#N/A</v>
      </c>
      <c r="V529" s="310" t="str">
        <f t="shared" si="77"/>
        <v/>
      </c>
      <c r="W529" s="137" t="str">
        <f t="shared" si="78"/>
        <v>X</v>
      </c>
      <c r="X529" s="137">
        <f t="shared" si="79"/>
        <v>0</v>
      </c>
    </row>
    <row r="530" spans="1:24" ht="17.25" customHeight="1">
      <c r="A530" s="137" t="str">
        <f t="shared" ca="1" si="72"/>
        <v>-</v>
      </c>
      <c r="B530" s="173"/>
      <c r="C530" s="253" t="str">
        <f t="shared" si="73"/>
        <v/>
      </c>
      <c r="D530" s="173"/>
      <c r="E530" s="173"/>
      <c r="F530" s="329" t="str">
        <f t="shared" si="80"/>
        <v/>
      </c>
      <c r="G530" s="174"/>
      <c r="H530" s="130" t="str">
        <f>IFERROR(INDEX(DMDT!B:B,MATCH($G530,DMDT!D:D,0),),"")</f>
        <v/>
      </c>
      <c r="I530" s="131"/>
      <c r="J530" s="132"/>
      <c r="K530" s="133"/>
      <c r="L530" s="134"/>
      <c r="M530" s="134"/>
      <c r="N530" s="135"/>
      <c r="O530" s="219"/>
      <c r="P530" s="143"/>
      <c r="Q530" s="144"/>
      <c r="R530" s="150"/>
      <c r="S530" s="127" t="str">
        <f t="shared" si="74"/>
        <v/>
      </c>
      <c r="T530" s="175" t="str">
        <f t="shared" si="75"/>
        <v/>
      </c>
      <c r="U530" s="158" t="e">
        <f t="shared" si="76"/>
        <v>#N/A</v>
      </c>
      <c r="V530" s="310" t="str">
        <f t="shared" si="77"/>
        <v/>
      </c>
      <c r="W530" s="137" t="str">
        <f t="shared" si="78"/>
        <v>X</v>
      </c>
      <c r="X530" s="137">
        <f t="shared" si="79"/>
        <v>0</v>
      </c>
    </row>
    <row r="531" spans="1:24" ht="17.25" customHeight="1">
      <c r="A531" s="137" t="str">
        <f t="shared" ca="1" si="72"/>
        <v>-</v>
      </c>
      <c r="B531" s="173"/>
      <c r="C531" s="253" t="str">
        <f t="shared" si="73"/>
        <v/>
      </c>
      <c r="D531" s="173"/>
      <c r="E531" s="173"/>
      <c r="F531" s="329" t="str">
        <f t="shared" si="80"/>
        <v/>
      </c>
      <c r="G531" s="174"/>
      <c r="H531" s="130" t="str">
        <f>IFERROR(INDEX(DMDT!B:B,MATCH($G531,DMDT!D:D,0),),"")</f>
        <v/>
      </c>
      <c r="I531" s="131"/>
      <c r="J531" s="132"/>
      <c r="K531" s="133"/>
      <c r="L531" s="134"/>
      <c r="M531" s="134"/>
      <c r="N531" s="135"/>
      <c r="O531" s="219"/>
      <c r="P531" s="143"/>
      <c r="Q531" s="144"/>
      <c r="R531" s="150"/>
      <c r="S531" s="127" t="str">
        <f t="shared" si="74"/>
        <v/>
      </c>
      <c r="T531" s="175" t="str">
        <f t="shared" si="75"/>
        <v/>
      </c>
      <c r="U531" s="158" t="e">
        <f t="shared" si="76"/>
        <v>#N/A</v>
      </c>
      <c r="V531" s="310" t="str">
        <f t="shared" si="77"/>
        <v/>
      </c>
      <c r="W531" s="137" t="str">
        <f t="shared" si="78"/>
        <v>X</v>
      </c>
      <c r="X531" s="137">
        <f t="shared" si="79"/>
        <v>0</v>
      </c>
    </row>
    <row r="532" spans="1:24" ht="17.25" customHeight="1">
      <c r="A532" s="137" t="str">
        <f t="shared" ca="1" si="72"/>
        <v>-</v>
      </c>
      <c r="B532" s="173"/>
      <c r="C532" s="253" t="str">
        <f t="shared" si="73"/>
        <v/>
      </c>
      <c r="D532" s="173"/>
      <c r="E532" s="173"/>
      <c r="F532" s="329" t="str">
        <f t="shared" si="80"/>
        <v/>
      </c>
      <c r="G532" s="174"/>
      <c r="H532" s="130" t="str">
        <f>IFERROR(INDEX(DMDT!B:B,MATCH($G532,DMDT!D:D,0),),"")</f>
        <v/>
      </c>
      <c r="I532" s="131"/>
      <c r="J532" s="132"/>
      <c r="K532" s="133"/>
      <c r="L532" s="134"/>
      <c r="M532" s="134"/>
      <c r="N532" s="135"/>
      <c r="O532" s="219"/>
      <c r="P532" s="143"/>
      <c r="Q532" s="144"/>
      <c r="R532" s="150"/>
      <c r="S532" s="127" t="str">
        <f t="shared" si="74"/>
        <v/>
      </c>
      <c r="T532" s="175" t="str">
        <f t="shared" si="75"/>
        <v/>
      </c>
      <c r="U532" s="158" t="e">
        <f t="shared" si="76"/>
        <v>#N/A</v>
      </c>
      <c r="V532" s="310" t="str">
        <f t="shared" si="77"/>
        <v/>
      </c>
      <c r="W532" s="137" t="str">
        <f t="shared" si="78"/>
        <v>X</v>
      </c>
      <c r="X532" s="137">
        <f t="shared" si="79"/>
        <v>0</v>
      </c>
    </row>
    <row r="533" spans="1:24" ht="17.25" customHeight="1">
      <c r="A533" s="137" t="str">
        <f t="shared" ca="1" si="72"/>
        <v>-</v>
      </c>
      <c r="B533" s="173"/>
      <c r="C533" s="253" t="str">
        <f t="shared" si="73"/>
        <v/>
      </c>
      <c r="D533" s="173"/>
      <c r="E533" s="173"/>
      <c r="F533" s="329" t="str">
        <f t="shared" si="80"/>
        <v/>
      </c>
      <c r="G533" s="174"/>
      <c r="H533" s="130" t="str">
        <f>IFERROR(INDEX(DMDT!B:B,MATCH($G533,DMDT!D:D,0),),"")</f>
        <v/>
      </c>
      <c r="I533" s="131"/>
      <c r="J533" s="132"/>
      <c r="K533" s="133"/>
      <c r="L533" s="134"/>
      <c r="M533" s="134"/>
      <c r="N533" s="135"/>
      <c r="O533" s="219"/>
      <c r="P533" s="143"/>
      <c r="Q533" s="144"/>
      <c r="R533" s="150"/>
      <c r="S533" s="127" t="str">
        <f t="shared" si="74"/>
        <v/>
      </c>
      <c r="T533" s="175" t="str">
        <f t="shared" si="75"/>
        <v/>
      </c>
      <c r="U533" s="158" t="e">
        <f t="shared" si="76"/>
        <v>#N/A</v>
      </c>
      <c r="V533" s="310" t="str">
        <f t="shared" si="77"/>
        <v/>
      </c>
      <c r="W533" s="137" t="str">
        <f t="shared" si="78"/>
        <v>X</v>
      </c>
      <c r="X533" s="137">
        <f t="shared" si="79"/>
        <v>0</v>
      </c>
    </row>
    <row r="534" spans="1:24" ht="17.25" customHeight="1">
      <c r="A534" s="137" t="str">
        <f t="shared" ca="1" si="72"/>
        <v>-</v>
      </c>
      <c r="B534" s="173"/>
      <c r="C534" s="253" t="str">
        <f t="shared" si="73"/>
        <v/>
      </c>
      <c r="D534" s="173"/>
      <c r="E534" s="173"/>
      <c r="F534" s="329" t="str">
        <f t="shared" si="80"/>
        <v/>
      </c>
      <c r="G534" s="174"/>
      <c r="H534" s="130" t="str">
        <f>IFERROR(INDEX(DMDT!B:B,MATCH($G534,DMDT!D:D,0),),"")</f>
        <v/>
      </c>
      <c r="I534" s="131"/>
      <c r="J534" s="132"/>
      <c r="K534" s="133"/>
      <c r="L534" s="134"/>
      <c r="M534" s="134"/>
      <c r="N534" s="135"/>
      <c r="O534" s="219"/>
      <c r="P534" s="143"/>
      <c r="Q534" s="144"/>
      <c r="R534" s="150"/>
      <c r="S534" s="127" t="str">
        <f t="shared" si="74"/>
        <v/>
      </c>
      <c r="T534" s="175" t="str">
        <f t="shared" si="75"/>
        <v/>
      </c>
      <c r="U534" s="158" t="e">
        <f t="shared" si="76"/>
        <v>#N/A</v>
      </c>
      <c r="V534" s="310" t="str">
        <f t="shared" si="77"/>
        <v/>
      </c>
      <c r="W534" s="137" t="str">
        <f t="shared" si="78"/>
        <v>X</v>
      </c>
      <c r="X534" s="137">
        <f t="shared" si="79"/>
        <v>0</v>
      </c>
    </row>
    <row r="535" spans="1:24" ht="17.25" customHeight="1">
      <c r="A535" s="137" t="str">
        <f t="shared" ca="1" si="72"/>
        <v>-</v>
      </c>
      <c r="B535" s="173"/>
      <c r="C535" s="253" t="str">
        <f t="shared" si="73"/>
        <v/>
      </c>
      <c r="D535" s="173"/>
      <c r="E535" s="173"/>
      <c r="F535" s="329" t="str">
        <f t="shared" si="80"/>
        <v/>
      </c>
      <c r="G535" s="174"/>
      <c r="H535" s="130" t="str">
        <f>IFERROR(INDEX(DMDT!B:B,MATCH($G535,DMDT!D:D,0),),"")</f>
        <v/>
      </c>
      <c r="I535" s="131"/>
      <c r="J535" s="132"/>
      <c r="K535" s="133"/>
      <c r="L535" s="134"/>
      <c r="M535" s="134"/>
      <c r="N535" s="135"/>
      <c r="O535" s="219"/>
      <c r="P535" s="143"/>
      <c r="Q535" s="144"/>
      <c r="R535" s="150"/>
      <c r="S535" s="127" t="str">
        <f t="shared" si="74"/>
        <v/>
      </c>
      <c r="T535" s="175" t="str">
        <f t="shared" si="75"/>
        <v/>
      </c>
      <c r="U535" s="158" t="e">
        <f t="shared" si="76"/>
        <v>#N/A</v>
      </c>
      <c r="V535" s="310" t="str">
        <f t="shared" si="77"/>
        <v/>
      </c>
      <c r="W535" s="137" t="str">
        <f t="shared" si="78"/>
        <v>X</v>
      </c>
      <c r="X535" s="137">
        <f t="shared" si="79"/>
        <v>0</v>
      </c>
    </row>
    <row r="536" spans="1:24" ht="17.25" customHeight="1">
      <c r="A536" s="137" t="str">
        <f t="shared" ca="1" si="72"/>
        <v>-</v>
      </c>
      <c r="B536" s="173"/>
      <c r="C536" s="253" t="str">
        <f t="shared" si="73"/>
        <v/>
      </c>
      <c r="D536" s="173"/>
      <c r="E536" s="173"/>
      <c r="F536" s="329" t="str">
        <f t="shared" si="80"/>
        <v/>
      </c>
      <c r="G536" s="174"/>
      <c r="H536" s="130" t="str">
        <f>IFERROR(INDEX(DMDT!B:B,MATCH($G536,DMDT!D:D,0),),"")</f>
        <v/>
      </c>
      <c r="I536" s="131"/>
      <c r="J536" s="132"/>
      <c r="K536" s="133"/>
      <c r="L536" s="134"/>
      <c r="M536" s="134"/>
      <c r="N536" s="135"/>
      <c r="O536" s="219"/>
      <c r="P536" s="143"/>
      <c r="Q536" s="144"/>
      <c r="R536" s="150"/>
      <c r="S536" s="127" t="str">
        <f t="shared" si="74"/>
        <v/>
      </c>
      <c r="T536" s="175" t="str">
        <f t="shared" si="75"/>
        <v/>
      </c>
      <c r="U536" s="158" t="e">
        <f t="shared" si="76"/>
        <v>#N/A</v>
      </c>
      <c r="V536" s="310" t="str">
        <f t="shared" si="77"/>
        <v/>
      </c>
      <c r="W536" s="137" t="str">
        <f t="shared" si="78"/>
        <v>X</v>
      </c>
      <c r="X536" s="137">
        <f t="shared" si="79"/>
        <v>0</v>
      </c>
    </row>
    <row r="537" spans="1:24" ht="17.25" customHeight="1">
      <c r="A537" s="137" t="str">
        <f t="shared" ca="1" si="72"/>
        <v>-</v>
      </c>
      <c r="B537" s="173"/>
      <c r="C537" s="253" t="str">
        <f t="shared" si="73"/>
        <v/>
      </c>
      <c r="D537" s="173"/>
      <c r="E537" s="173"/>
      <c r="F537" s="329" t="str">
        <f t="shared" si="80"/>
        <v/>
      </c>
      <c r="G537" s="174"/>
      <c r="H537" s="130" t="str">
        <f>IFERROR(INDEX(DMDT!B:B,MATCH($G537,DMDT!D:D,0),),"")</f>
        <v/>
      </c>
      <c r="I537" s="131"/>
      <c r="J537" s="132"/>
      <c r="K537" s="133"/>
      <c r="L537" s="134"/>
      <c r="M537" s="134"/>
      <c r="N537" s="135"/>
      <c r="O537" s="219"/>
      <c r="P537" s="143"/>
      <c r="Q537" s="144"/>
      <c r="R537" s="150"/>
      <c r="S537" s="127" t="str">
        <f t="shared" si="74"/>
        <v/>
      </c>
      <c r="T537" s="175" t="str">
        <f t="shared" si="75"/>
        <v/>
      </c>
      <c r="U537" s="158" t="e">
        <f t="shared" si="76"/>
        <v>#N/A</v>
      </c>
      <c r="V537" s="310" t="str">
        <f t="shared" si="77"/>
        <v/>
      </c>
      <c r="W537" s="137" t="str">
        <f t="shared" si="78"/>
        <v>X</v>
      </c>
      <c r="X537" s="137">
        <f t="shared" si="79"/>
        <v>0</v>
      </c>
    </row>
    <row r="538" spans="1:24" ht="17.25" customHeight="1">
      <c r="A538" s="137" t="str">
        <f t="shared" ca="1" si="72"/>
        <v>-</v>
      </c>
      <c r="B538" s="173"/>
      <c r="C538" s="253" t="str">
        <f t="shared" si="73"/>
        <v/>
      </c>
      <c r="D538" s="173"/>
      <c r="E538" s="173"/>
      <c r="F538" s="329" t="str">
        <f t="shared" si="80"/>
        <v/>
      </c>
      <c r="G538" s="174"/>
      <c r="H538" s="130" t="str">
        <f>IFERROR(INDEX(DMDT!B:B,MATCH($G538,DMDT!D:D,0),),"")</f>
        <v/>
      </c>
      <c r="I538" s="131"/>
      <c r="J538" s="132"/>
      <c r="K538" s="133"/>
      <c r="L538" s="134"/>
      <c r="M538" s="134"/>
      <c r="N538" s="135"/>
      <c r="O538" s="219"/>
      <c r="P538" s="143"/>
      <c r="Q538" s="144"/>
      <c r="R538" s="150"/>
      <c r="S538" s="127" t="str">
        <f t="shared" si="74"/>
        <v/>
      </c>
      <c r="T538" s="175" t="str">
        <f t="shared" si="75"/>
        <v/>
      </c>
      <c r="U538" s="158" t="e">
        <f t="shared" si="76"/>
        <v>#N/A</v>
      </c>
      <c r="V538" s="310" t="str">
        <f t="shared" si="77"/>
        <v/>
      </c>
      <c r="W538" s="137" t="str">
        <f t="shared" si="78"/>
        <v>X</v>
      </c>
      <c r="X538" s="137">
        <f t="shared" si="79"/>
        <v>0</v>
      </c>
    </row>
    <row r="539" spans="1:24" ht="17.25" customHeight="1">
      <c r="A539" s="137" t="str">
        <f t="shared" ca="1" si="72"/>
        <v>-</v>
      </c>
      <c r="B539" s="173"/>
      <c r="C539" s="253" t="str">
        <f t="shared" si="73"/>
        <v/>
      </c>
      <c r="D539" s="173"/>
      <c r="E539" s="173"/>
      <c r="F539" s="329" t="str">
        <f t="shared" si="80"/>
        <v/>
      </c>
      <c r="G539" s="174"/>
      <c r="H539" s="130" t="str">
        <f>IFERROR(INDEX(DMDT!B:B,MATCH($G539,DMDT!D:D,0),),"")</f>
        <v/>
      </c>
      <c r="I539" s="131"/>
      <c r="J539" s="132"/>
      <c r="K539" s="133"/>
      <c r="L539" s="134"/>
      <c r="M539" s="134"/>
      <c r="N539" s="135"/>
      <c r="O539" s="219"/>
      <c r="P539" s="143"/>
      <c r="Q539" s="144"/>
      <c r="R539" s="150"/>
      <c r="S539" s="127" t="str">
        <f t="shared" si="74"/>
        <v/>
      </c>
      <c r="T539" s="175" t="str">
        <f t="shared" si="75"/>
        <v/>
      </c>
      <c r="U539" s="158" t="e">
        <f t="shared" si="76"/>
        <v>#N/A</v>
      </c>
      <c r="V539" s="310" t="str">
        <f t="shared" si="77"/>
        <v/>
      </c>
      <c r="W539" s="137" t="str">
        <f t="shared" si="78"/>
        <v>X</v>
      </c>
      <c r="X539" s="137">
        <f t="shared" si="79"/>
        <v>0</v>
      </c>
    </row>
    <row r="540" spans="1:24" ht="17.25" customHeight="1">
      <c r="A540" s="137" t="str">
        <f t="shared" ca="1" si="72"/>
        <v>-</v>
      </c>
      <c r="B540" s="173"/>
      <c r="C540" s="253" t="str">
        <f t="shared" si="73"/>
        <v/>
      </c>
      <c r="D540" s="173"/>
      <c r="E540" s="173"/>
      <c r="F540" s="329" t="str">
        <f t="shared" si="80"/>
        <v/>
      </c>
      <c r="G540" s="174"/>
      <c r="H540" s="130" t="str">
        <f>IFERROR(INDEX(DMDT!B:B,MATCH($G540,DMDT!D:D,0),),"")</f>
        <v/>
      </c>
      <c r="I540" s="131"/>
      <c r="J540" s="132"/>
      <c r="K540" s="133"/>
      <c r="L540" s="134"/>
      <c r="M540" s="134"/>
      <c r="N540" s="135"/>
      <c r="O540" s="219"/>
      <c r="P540" s="143"/>
      <c r="Q540" s="144"/>
      <c r="R540" s="150"/>
      <c r="S540" s="127" t="str">
        <f t="shared" si="74"/>
        <v/>
      </c>
      <c r="T540" s="175" t="str">
        <f t="shared" si="75"/>
        <v/>
      </c>
      <c r="U540" s="158" t="e">
        <f t="shared" si="76"/>
        <v>#N/A</v>
      </c>
      <c r="V540" s="310" t="str">
        <f t="shared" si="77"/>
        <v/>
      </c>
      <c r="W540" s="137" t="str">
        <f t="shared" si="78"/>
        <v>X</v>
      </c>
      <c r="X540" s="137">
        <f t="shared" si="79"/>
        <v>0</v>
      </c>
    </row>
    <row r="541" spans="1:24" ht="17.25" customHeight="1">
      <c r="A541" s="137" t="str">
        <f t="shared" ca="1" si="72"/>
        <v>-</v>
      </c>
      <c r="B541" s="173"/>
      <c r="C541" s="253" t="str">
        <f t="shared" si="73"/>
        <v/>
      </c>
      <c r="D541" s="173"/>
      <c r="E541" s="173"/>
      <c r="F541" s="329" t="str">
        <f t="shared" si="80"/>
        <v/>
      </c>
      <c r="G541" s="174"/>
      <c r="H541" s="130" t="str">
        <f>IFERROR(INDEX(DMDT!B:B,MATCH($G541,DMDT!D:D,0),),"")</f>
        <v/>
      </c>
      <c r="I541" s="131"/>
      <c r="J541" s="132"/>
      <c r="K541" s="133"/>
      <c r="L541" s="134"/>
      <c r="M541" s="134"/>
      <c r="N541" s="135"/>
      <c r="O541" s="219"/>
      <c r="P541" s="143"/>
      <c r="Q541" s="144"/>
      <c r="R541" s="150"/>
      <c r="S541" s="127" t="str">
        <f t="shared" si="74"/>
        <v/>
      </c>
      <c r="T541" s="175" t="str">
        <f t="shared" si="75"/>
        <v/>
      </c>
      <c r="U541" s="158" t="e">
        <f t="shared" si="76"/>
        <v>#N/A</v>
      </c>
      <c r="V541" s="310" t="str">
        <f t="shared" si="77"/>
        <v/>
      </c>
      <c r="W541" s="137" t="str">
        <f t="shared" si="78"/>
        <v>X</v>
      </c>
      <c r="X541" s="137">
        <f t="shared" si="79"/>
        <v>0</v>
      </c>
    </row>
    <row r="542" spans="1:24" ht="17.25" customHeight="1">
      <c r="A542" s="137" t="str">
        <f t="shared" ca="1" si="72"/>
        <v>-</v>
      </c>
      <c r="B542" s="173"/>
      <c r="C542" s="253" t="str">
        <f t="shared" si="73"/>
        <v/>
      </c>
      <c r="D542" s="173"/>
      <c r="E542" s="173"/>
      <c r="F542" s="329" t="str">
        <f t="shared" si="80"/>
        <v/>
      </c>
      <c r="G542" s="174"/>
      <c r="H542" s="130" t="str">
        <f>IFERROR(INDEX(DMDT!B:B,MATCH($G542,DMDT!D:D,0),),"")</f>
        <v/>
      </c>
      <c r="I542" s="131"/>
      <c r="J542" s="132"/>
      <c r="K542" s="133"/>
      <c r="L542" s="134"/>
      <c r="M542" s="134"/>
      <c r="N542" s="135"/>
      <c r="O542" s="219"/>
      <c r="P542" s="143"/>
      <c r="Q542" s="144"/>
      <c r="R542" s="150"/>
      <c r="S542" s="127" t="str">
        <f t="shared" si="74"/>
        <v/>
      </c>
      <c r="T542" s="175" t="str">
        <f t="shared" si="75"/>
        <v/>
      </c>
      <c r="U542" s="158" t="e">
        <f t="shared" si="76"/>
        <v>#N/A</v>
      </c>
      <c r="V542" s="310" t="str">
        <f t="shared" si="77"/>
        <v/>
      </c>
      <c r="W542" s="137" t="str">
        <f t="shared" si="78"/>
        <v>X</v>
      </c>
      <c r="X542" s="137">
        <f t="shared" si="79"/>
        <v>0</v>
      </c>
    </row>
    <row r="543" spans="1:24" ht="17.25" customHeight="1">
      <c r="A543" s="137" t="str">
        <f t="shared" ca="1" si="72"/>
        <v>-</v>
      </c>
      <c r="B543" s="173"/>
      <c r="C543" s="253" t="str">
        <f t="shared" si="73"/>
        <v/>
      </c>
      <c r="D543" s="173"/>
      <c r="E543" s="173"/>
      <c r="F543" s="329" t="str">
        <f t="shared" si="80"/>
        <v/>
      </c>
      <c r="G543" s="174"/>
      <c r="H543" s="130" t="str">
        <f>IFERROR(INDEX(DMDT!B:B,MATCH($G543,DMDT!D:D,0),),"")</f>
        <v/>
      </c>
      <c r="I543" s="131"/>
      <c r="J543" s="132"/>
      <c r="K543" s="133"/>
      <c r="L543" s="134"/>
      <c r="M543" s="134"/>
      <c r="N543" s="135"/>
      <c r="O543" s="219"/>
      <c r="P543" s="143"/>
      <c r="Q543" s="144"/>
      <c r="R543" s="150"/>
      <c r="S543" s="127" t="str">
        <f t="shared" si="74"/>
        <v/>
      </c>
      <c r="T543" s="175" t="str">
        <f t="shared" si="75"/>
        <v/>
      </c>
      <c r="U543" s="158" t="e">
        <f t="shared" si="76"/>
        <v>#N/A</v>
      </c>
      <c r="V543" s="310" t="str">
        <f t="shared" si="77"/>
        <v/>
      </c>
      <c r="W543" s="137" t="str">
        <f t="shared" si="78"/>
        <v>X</v>
      </c>
      <c r="X543" s="137">
        <f t="shared" si="79"/>
        <v>0</v>
      </c>
    </row>
    <row r="544" spans="1:24" ht="17.25" customHeight="1">
      <c r="A544" s="137" t="str">
        <f t="shared" ca="1" si="72"/>
        <v>-</v>
      </c>
      <c r="B544" s="173"/>
      <c r="C544" s="253" t="str">
        <f t="shared" si="73"/>
        <v/>
      </c>
      <c r="D544" s="173"/>
      <c r="E544" s="173"/>
      <c r="F544" s="329" t="str">
        <f t="shared" si="80"/>
        <v/>
      </c>
      <c r="G544" s="174"/>
      <c r="H544" s="130" t="str">
        <f>IFERROR(INDEX(DMDT!B:B,MATCH($G544,DMDT!D:D,0),),"")</f>
        <v/>
      </c>
      <c r="I544" s="131"/>
      <c r="J544" s="132"/>
      <c r="K544" s="133"/>
      <c r="L544" s="134"/>
      <c r="M544" s="134"/>
      <c r="N544" s="135"/>
      <c r="O544" s="219"/>
      <c r="P544" s="143"/>
      <c r="Q544" s="144"/>
      <c r="R544" s="150"/>
      <c r="S544" s="127" t="str">
        <f t="shared" si="74"/>
        <v/>
      </c>
      <c r="T544" s="175" t="str">
        <f t="shared" si="75"/>
        <v/>
      </c>
      <c r="U544" s="158" t="e">
        <f t="shared" si="76"/>
        <v>#N/A</v>
      </c>
      <c r="V544" s="310" t="str">
        <f t="shared" si="77"/>
        <v/>
      </c>
      <c r="W544" s="137" t="str">
        <f t="shared" si="78"/>
        <v>X</v>
      </c>
      <c r="X544" s="137">
        <f t="shared" si="79"/>
        <v>0</v>
      </c>
    </row>
    <row r="545" spans="1:24" ht="17.25" customHeight="1">
      <c r="A545" s="137" t="str">
        <f t="shared" ca="1" si="72"/>
        <v>-</v>
      </c>
      <c r="B545" s="173"/>
      <c r="C545" s="253" t="str">
        <f t="shared" si="73"/>
        <v/>
      </c>
      <c r="D545" s="173"/>
      <c r="E545" s="173"/>
      <c r="F545" s="329" t="str">
        <f t="shared" si="80"/>
        <v/>
      </c>
      <c r="G545" s="174"/>
      <c r="H545" s="130" t="str">
        <f>IFERROR(INDEX(DMDT!B:B,MATCH($G545,DMDT!D:D,0),),"")</f>
        <v/>
      </c>
      <c r="I545" s="131"/>
      <c r="J545" s="132"/>
      <c r="K545" s="133"/>
      <c r="L545" s="134"/>
      <c r="M545" s="134"/>
      <c r="N545" s="135"/>
      <c r="O545" s="219"/>
      <c r="P545" s="143"/>
      <c r="Q545" s="144"/>
      <c r="R545" s="150"/>
      <c r="S545" s="127" t="str">
        <f t="shared" si="74"/>
        <v/>
      </c>
      <c r="T545" s="175" t="str">
        <f t="shared" si="75"/>
        <v/>
      </c>
      <c r="U545" s="158" t="e">
        <f t="shared" si="76"/>
        <v>#N/A</v>
      </c>
      <c r="V545" s="310" t="str">
        <f t="shared" si="77"/>
        <v/>
      </c>
      <c r="W545" s="137" t="str">
        <f t="shared" si="78"/>
        <v>X</v>
      </c>
      <c r="X545" s="137">
        <f t="shared" si="79"/>
        <v>0</v>
      </c>
    </row>
    <row r="546" spans="1:24" ht="17.25" customHeight="1">
      <c r="A546" s="137" t="str">
        <f t="shared" ca="1" si="72"/>
        <v>-</v>
      </c>
      <c r="B546" s="173"/>
      <c r="C546" s="253" t="str">
        <f t="shared" si="73"/>
        <v/>
      </c>
      <c r="D546" s="173"/>
      <c r="E546" s="173"/>
      <c r="F546" s="329" t="str">
        <f t="shared" si="80"/>
        <v/>
      </c>
      <c r="G546" s="174"/>
      <c r="H546" s="130" t="str">
        <f>IFERROR(INDEX(DMDT!B:B,MATCH($G546,DMDT!D:D,0),),"")</f>
        <v/>
      </c>
      <c r="I546" s="131"/>
      <c r="J546" s="132"/>
      <c r="K546" s="133"/>
      <c r="L546" s="134"/>
      <c r="M546" s="134"/>
      <c r="N546" s="135"/>
      <c r="O546" s="219"/>
      <c r="P546" s="143"/>
      <c r="Q546" s="144"/>
      <c r="R546" s="150"/>
      <c r="S546" s="127" t="str">
        <f t="shared" si="74"/>
        <v/>
      </c>
      <c r="T546" s="175" t="str">
        <f t="shared" si="75"/>
        <v/>
      </c>
      <c r="U546" s="158" t="e">
        <f t="shared" si="76"/>
        <v>#N/A</v>
      </c>
      <c r="V546" s="310" t="str">
        <f t="shared" si="77"/>
        <v/>
      </c>
      <c r="W546" s="137" t="str">
        <f t="shared" si="78"/>
        <v>X</v>
      </c>
      <c r="X546" s="137">
        <f t="shared" si="79"/>
        <v>0</v>
      </c>
    </row>
    <row r="547" spans="1:24" ht="17.25" customHeight="1">
      <c r="A547" s="137" t="str">
        <f t="shared" ca="1" si="72"/>
        <v>-</v>
      </c>
      <c r="B547" s="173"/>
      <c r="C547" s="253" t="str">
        <f t="shared" si="73"/>
        <v/>
      </c>
      <c r="D547" s="173"/>
      <c r="E547" s="173"/>
      <c r="F547" s="329" t="str">
        <f t="shared" si="80"/>
        <v/>
      </c>
      <c r="G547" s="174"/>
      <c r="H547" s="130" t="str">
        <f>IFERROR(INDEX(DMDT!B:B,MATCH($G547,DMDT!D:D,0),),"")</f>
        <v/>
      </c>
      <c r="I547" s="131"/>
      <c r="J547" s="132"/>
      <c r="K547" s="133"/>
      <c r="L547" s="134"/>
      <c r="M547" s="134"/>
      <c r="N547" s="135"/>
      <c r="O547" s="219"/>
      <c r="P547" s="143"/>
      <c r="Q547" s="144"/>
      <c r="R547" s="150"/>
      <c r="S547" s="127" t="str">
        <f t="shared" si="74"/>
        <v/>
      </c>
      <c r="T547" s="175" t="str">
        <f t="shared" si="75"/>
        <v/>
      </c>
      <c r="U547" s="158" t="e">
        <f t="shared" si="76"/>
        <v>#N/A</v>
      </c>
      <c r="V547" s="310" t="str">
        <f t="shared" si="77"/>
        <v/>
      </c>
      <c r="W547" s="137" t="str">
        <f t="shared" si="78"/>
        <v>X</v>
      </c>
      <c r="X547" s="137">
        <f t="shared" si="79"/>
        <v>0</v>
      </c>
    </row>
    <row r="548" spans="1:24" ht="17.25" customHeight="1">
      <c r="A548" s="137" t="str">
        <f t="shared" ca="1" si="72"/>
        <v>-</v>
      </c>
      <c r="B548" s="173"/>
      <c r="C548" s="253" t="str">
        <f t="shared" si="73"/>
        <v/>
      </c>
      <c r="D548" s="173"/>
      <c r="E548" s="173"/>
      <c r="F548" s="329" t="str">
        <f t="shared" si="80"/>
        <v/>
      </c>
      <c r="G548" s="174"/>
      <c r="H548" s="130" t="str">
        <f>IFERROR(INDEX(DMDT!B:B,MATCH($G548,DMDT!D:D,0),),"")</f>
        <v/>
      </c>
      <c r="I548" s="131"/>
      <c r="J548" s="132"/>
      <c r="K548" s="133"/>
      <c r="L548" s="134"/>
      <c r="M548" s="134"/>
      <c r="N548" s="135"/>
      <c r="O548" s="219"/>
      <c r="P548" s="143"/>
      <c r="Q548" s="144"/>
      <c r="R548" s="150"/>
      <c r="S548" s="127" t="str">
        <f t="shared" si="74"/>
        <v/>
      </c>
      <c r="T548" s="175" t="str">
        <f t="shared" si="75"/>
        <v/>
      </c>
      <c r="U548" s="158" t="e">
        <f t="shared" si="76"/>
        <v>#N/A</v>
      </c>
      <c r="V548" s="310" t="str">
        <f t="shared" si="77"/>
        <v/>
      </c>
      <c r="W548" s="137" t="str">
        <f t="shared" si="78"/>
        <v>X</v>
      </c>
      <c r="X548" s="137">
        <f t="shared" si="79"/>
        <v>0</v>
      </c>
    </row>
    <row r="549" spans="1:24" ht="17.25" customHeight="1">
      <c r="A549" s="137" t="str">
        <f t="shared" ca="1" si="72"/>
        <v>-</v>
      </c>
      <c r="B549" s="173"/>
      <c r="C549" s="253" t="str">
        <f t="shared" si="73"/>
        <v/>
      </c>
      <c r="D549" s="173"/>
      <c r="E549" s="173"/>
      <c r="F549" s="329" t="str">
        <f t="shared" si="80"/>
        <v/>
      </c>
      <c r="G549" s="174"/>
      <c r="H549" s="130" t="str">
        <f>IFERROR(INDEX(DMDT!B:B,MATCH($G549,DMDT!D:D,0),),"")</f>
        <v/>
      </c>
      <c r="I549" s="131"/>
      <c r="J549" s="132"/>
      <c r="K549" s="133"/>
      <c r="L549" s="134"/>
      <c r="M549" s="134"/>
      <c r="N549" s="135"/>
      <c r="O549" s="219"/>
      <c r="P549" s="143"/>
      <c r="Q549" s="144"/>
      <c r="R549" s="150"/>
      <c r="S549" s="127" t="str">
        <f t="shared" si="74"/>
        <v/>
      </c>
      <c r="T549" s="175" t="str">
        <f t="shared" si="75"/>
        <v/>
      </c>
      <c r="U549" s="158" t="e">
        <f t="shared" si="76"/>
        <v>#N/A</v>
      </c>
      <c r="V549" s="310" t="str">
        <f t="shared" si="77"/>
        <v/>
      </c>
      <c r="W549" s="137" t="str">
        <f t="shared" si="78"/>
        <v>X</v>
      </c>
      <c r="X549" s="137">
        <f t="shared" si="79"/>
        <v>0</v>
      </c>
    </row>
    <row r="550" spans="1:24" ht="17.25" customHeight="1">
      <c r="A550" s="137" t="str">
        <f t="shared" ca="1" si="72"/>
        <v>-</v>
      </c>
      <c r="B550" s="173"/>
      <c r="C550" s="253" t="str">
        <f t="shared" si="73"/>
        <v/>
      </c>
      <c r="D550" s="173"/>
      <c r="E550" s="173"/>
      <c r="F550" s="329" t="str">
        <f t="shared" si="80"/>
        <v/>
      </c>
      <c r="G550" s="174"/>
      <c r="H550" s="130" t="str">
        <f>IFERROR(INDEX(DMDT!B:B,MATCH($G550,DMDT!D:D,0),),"")</f>
        <v/>
      </c>
      <c r="I550" s="131"/>
      <c r="J550" s="132"/>
      <c r="K550" s="133"/>
      <c r="L550" s="134"/>
      <c r="M550" s="134"/>
      <c r="N550" s="135"/>
      <c r="O550" s="219"/>
      <c r="P550" s="143"/>
      <c r="Q550" s="144"/>
      <c r="R550" s="150"/>
      <c r="S550" s="127" t="str">
        <f t="shared" si="74"/>
        <v/>
      </c>
      <c r="T550" s="175" t="str">
        <f t="shared" si="75"/>
        <v/>
      </c>
      <c r="U550" s="158" t="e">
        <f t="shared" si="76"/>
        <v>#N/A</v>
      </c>
      <c r="V550" s="310" t="str">
        <f t="shared" si="77"/>
        <v/>
      </c>
      <c r="W550" s="137" t="str">
        <f t="shared" si="78"/>
        <v>X</v>
      </c>
      <c r="X550" s="137">
        <f t="shared" si="79"/>
        <v>0</v>
      </c>
    </row>
    <row r="551" spans="1:24" ht="17.25" customHeight="1">
      <c r="A551" s="137" t="str">
        <f t="shared" ca="1" si="72"/>
        <v>-</v>
      </c>
      <c r="B551" s="173"/>
      <c r="C551" s="253" t="str">
        <f t="shared" si="73"/>
        <v/>
      </c>
      <c r="D551" s="173"/>
      <c r="E551" s="173"/>
      <c r="F551" s="329" t="str">
        <f t="shared" si="80"/>
        <v/>
      </c>
      <c r="G551" s="174"/>
      <c r="H551" s="130" t="str">
        <f>IFERROR(INDEX(DMDT!B:B,MATCH($G551,DMDT!D:D,0),),"")</f>
        <v/>
      </c>
      <c r="I551" s="131"/>
      <c r="J551" s="132"/>
      <c r="K551" s="133"/>
      <c r="L551" s="134"/>
      <c r="M551" s="134"/>
      <c r="N551" s="135"/>
      <c r="O551" s="219"/>
      <c r="P551" s="143"/>
      <c r="Q551" s="144"/>
      <c r="R551" s="150"/>
      <c r="S551" s="127" t="str">
        <f t="shared" si="74"/>
        <v/>
      </c>
      <c r="T551" s="175" t="str">
        <f t="shared" si="75"/>
        <v/>
      </c>
      <c r="U551" s="158" t="e">
        <f t="shared" si="76"/>
        <v>#N/A</v>
      </c>
      <c r="V551" s="310" t="str">
        <f t="shared" si="77"/>
        <v/>
      </c>
      <c r="W551" s="137" t="str">
        <f t="shared" si="78"/>
        <v>X</v>
      </c>
      <c r="X551" s="137">
        <f t="shared" si="79"/>
        <v>0</v>
      </c>
    </row>
    <row r="552" spans="1:24" ht="17.25" customHeight="1">
      <c r="A552" s="137" t="str">
        <f t="shared" ca="1" si="72"/>
        <v>-</v>
      </c>
      <c r="B552" s="173"/>
      <c r="C552" s="253" t="str">
        <f t="shared" si="73"/>
        <v/>
      </c>
      <c r="D552" s="173"/>
      <c r="E552" s="173"/>
      <c r="F552" s="329" t="str">
        <f t="shared" si="80"/>
        <v/>
      </c>
      <c r="G552" s="174"/>
      <c r="H552" s="130" t="str">
        <f>IFERROR(INDEX(DMDT!B:B,MATCH($G552,DMDT!D:D,0),),"")</f>
        <v/>
      </c>
      <c r="I552" s="131"/>
      <c r="J552" s="132"/>
      <c r="K552" s="133"/>
      <c r="L552" s="134"/>
      <c r="M552" s="134"/>
      <c r="N552" s="135"/>
      <c r="O552" s="219"/>
      <c r="P552" s="143"/>
      <c r="Q552" s="144"/>
      <c r="R552" s="150"/>
      <c r="S552" s="127" t="str">
        <f t="shared" si="74"/>
        <v/>
      </c>
      <c r="T552" s="175" t="str">
        <f t="shared" si="75"/>
        <v/>
      </c>
      <c r="U552" s="158" t="e">
        <f t="shared" si="76"/>
        <v>#N/A</v>
      </c>
      <c r="V552" s="310" t="str">
        <f t="shared" si="77"/>
        <v/>
      </c>
      <c r="W552" s="137" t="str">
        <f t="shared" si="78"/>
        <v>X</v>
      </c>
      <c r="X552" s="137">
        <f t="shared" si="79"/>
        <v>0</v>
      </c>
    </row>
    <row r="553" spans="1:24" ht="17.25" customHeight="1">
      <c r="A553" s="137" t="str">
        <f t="shared" ca="1" si="72"/>
        <v>-</v>
      </c>
      <c r="B553" s="173"/>
      <c r="C553" s="253" t="str">
        <f t="shared" si="73"/>
        <v/>
      </c>
      <c r="D553" s="173"/>
      <c r="E553" s="173"/>
      <c r="F553" s="329" t="str">
        <f t="shared" si="80"/>
        <v/>
      </c>
      <c r="G553" s="174"/>
      <c r="H553" s="130" t="str">
        <f>IFERROR(INDEX(DMDT!B:B,MATCH($G553,DMDT!D:D,0),),"")</f>
        <v/>
      </c>
      <c r="I553" s="131"/>
      <c r="J553" s="132"/>
      <c r="K553" s="133"/>
      <c r="L553" s="134"/>
      <c r="M553" s="134"/>
      <c r="N553" s="135"/>
      <c r="O553" s="219"/>
      <c r="P553" s="143"/>
      <c r="Q553" s="144"/>
      <c r="R553" s="150"/>
      <c r="S553" s="127" t="str">
        <f t="shared" si="74"/>
        <v/>
      </c>
      <c r="T553" s="175" t="str">
        <f t="shared" si="75"/>
        <v/>
      </c>
      <c r="U553" s="158" t="e">
        <f t="shared" si="76"/>
        <v>#N/A</v>
      </c>
      <c r="V553" s="310" t="str">
        <f t="shared" si="77"/>
        <v/>
      </c>
      <c r="W553" s="137" t="str">
        <f t="shared" si="78"/>
        <v>X</v>
      </c>
      <c r="X553" s="137">
        <f t="shared" si="79"/>
        <v>0</v>
      </c>
    </row>
    <row r="554" spans="1:24" ht="17.25" customHeight="1">
      <c r="A554" s="137" t="str">
        <f t="shared" ca="1" si="72"/>
        <v>-</v>
      </c>
      <c r="B554" s="173"/>
      <c r="C554" s="253" t="str">
        <f t="shared" si="73"/>
        <v/>
      </c>
      <c r="D554" s="173"/>
      <c r="E554" s="173"/>
      <c r="F554" s="329" t="str">
        <f t="shared" si="80"/>
        <v/>
      </c>
      <c r="G554" s="174"/>
      <c r="H554" s="130" t="str">
        <f>IFERROR(INDEX(DMDT!B:B,MATCH($G554,DMDT!D:D,0),),"")</f>
        <v/>
      </c>
      <c r="I554" s="131"/>
      <c r="J554" s="132"/>
      <c r="K554" s="133"/>
      <c r="L554" s="134"/>
      <c r="M554" s="134"/>
      <c r="N554" s="135"/>
      <c r="O554" s="219"/>
      <c r="P554" s="143"/>
      <c r="Q554" s="144"/>
      <c r="R554" s="150"/>
      <c r="S554" s="127" t="str">
        <f t="shared" si="74"/>
        <v/>
      </c>
      <c r="T554" s="175" t="str">
        <f t="shared" si="75"/>
        <v/>
      </c>
      <c r="U554" s="158" t="e">
        <f t="shared" si="76"/>
        <v>#N/A</v>
      </c>
      <c r="V554" s="310" t="str">
        <f t="shared" si="77"/>
        <v/>
      </c>
      <c r="W554" s="137" t="str">
        <f t="shared" si="78"/>
        <v>X</v>
      </c>
      <c r="X554" s="137">
        <f t="shared" si="79"/>
        <v>0</v>
      </c>
    </row>
    <row r="555" spans="1:24" ht="17.25" customHeight="1">
      <c r="A555" s="137" t="str">
        <f t="shared" ca="1" si="72"/>
        <v>-</v>
      </c>
      <c r="B555" s="173"/>
      <c r="C555" s="253" t="str">
        <f t="shared" si="73"/>
        <v/>
      </c>
      <c r="D555" s="173"/>
      <c r="E555" s="173"/>
      <c r="F555" s="329" t="str">
        <f t="shared" si="80"/>
        <v/>
      </c>
      <c r="G555" s="174"/>
      <c r="H555" s="130" t="str">
        <f>IFERROR(INDEX(DMDT!B:B,MATCH($G555,DMDT!D:D,0),),"")</f>
        <v/>
      </c>
      <c r="I555" s="131"/>
      <c r="J555" s="132"/>
      <c r="K555" s="133"/>
      <c r="L555" s="134"/>
      <c r="M555" s="134"/>
      <c r="N555" s="135"/>
      <c r="O555" s="219"/>
      <c r="P555" s="143"/>
      <c r="Q555" s="144"/>
      <c r="R555" s="150"/>
      <c r="S555" s="127" t="str">
        <f t="shared" si="74"/>
        <v/>
      </c>
      <c r="T555" s="175" t="str">
        <f t="shared" si="75"/>
        <v/>
      </c>
      <c r="U555" s="158" t="e">
        <f t="shared" si="76"/>
        <v>#N/A</v>
      </c>
      <c r="V555" s="310" t="str">
        <f t="shared" si="77"/>
        <v/>
      </c>
      <c r="W555" s="137" t="str">
        <f t="shared" si="78"/>
        <v>X</v>
      </c>
      <c r="X555" s="137">
        <f t="shared" si="79"/>
        <v>0</v>
      </c>
    </row>
    <row r="556" spans="1:24" ht="17.25" customHeight="1">
      <c r="A556" s="137" t="str">
        <f t="shared" ca="1" si="72"/>
        <v>-</v>
      </c>
      <c r="B556" s="173"/>
      <c r="C556" s="253" t="str">
        <f t="shared" si="73"/>
        <v/>
      </c>
      <c r="D556" s="173"/>
      <c r="E556" s="173"/>
      <c r="F556" s="329" t="str">
        <f t="shared" si="80"/>
        <v/>
      </c>
      <c r="G556" s="174"/>
      <c r="H556" s="130" t="str">
        <f>IFERROR(INDEX(DMDT!B:B,MATCH($G556,DMDT!D:D,0),),"")</f>
        <v/>
      </c>
      <c r="I556" s="131"/>
      <c r="J556" s="132"/>
      <c r="K556" s="133"/>
      <c r="L556" s="134"/>
      <c r="M556" s="134"/>
      <c r="N556" s="135"/>
      <c r="O556" s="219"/>
      <c r="P556" s="143"/>
      <c r="Q556" s="144"/>
      <c r="R556" s="150"/>
      <c r="S556" s="127" t="str">
        <f t="shared" si="74"/>
        <v/>
      </c>
      <c r="T556" s="175" t="str">
        <f t="shared" si="75"/>
        <v/>
      </c>
      <c r="U556" s="158" t="e">
        <f t="shared" si="76"/>
        <v>#N/A</v>
      </c>
      <c r="V556" s="310" t="str">
        <f t="shared" si="77"/>
        <v/>
      </c>
      <c r="W556" s="137" t="str">
        <f t="shared" si="78"/>
        <v>X</v>
      </c>
      <c r="X556" s="137">
        <f t="shared" si="79"/>
        <v>0</v>
      </c>
    </row>
    <row r="557" spans="1:24" ht="17.25" customHeight="1">
      <c r="A557" s="137" t="str">
        <f t="shared" ca="1" si="72"/>
        <v>-</v>
      </c>
      <c r="B557" s="173"/>
      <c r="C557" s="253" t="str">
        <f t="shared" si="73"/>
        <v/>
      </c>
      <c r="D557" s="173"/>
      <c r="E557" s="173"/>
      <c r="F557" s="329" t="str">
        <f t="shared" si="80"/>
        <v/>
      </c>
      <c r="G557" s="174"/>
      <c r="H557" s="130" t="str">
        <f>IFERROR(INDEX(DMDT!B:B,MATCH($G557,DMDT!D:D,0),),"")</f>
        <v/>
      </c>
      <c r="I557" s="131"/>
      <c r="J557" s="132"/>
      <c r="K557" s="133"/>
      <c r="L557" s="134"/>
      <c r="M557" s="134"/>
      <c r="N557" s="135"/>
      <c r="O557" s="219"/>
      <c r="P557" s="143"/>
      <c r="Q557" s="144"/>
      <c r="R557" s="150"/>
      <c r="S557" s="127" t="str">
        <f t="shared" si="74"/>
        <v/>
      </c>
      <c r="T557" s="175" t="str">
        <f t="shared" si="75"/>
        <v/>
      </c>
      <c r="U557" s="158" t="e">
        <f t="shared" si="76"/>
        <v>#N/A</v>
      </c>
      <c r="V557" s="310" t="str">
        <f t="shared" si="77"/>
        <v/>
      </c>
      <c r="W557" s="137" t="str">
        <f t="shared" si="78"/>
        <v>X</v>
      </c>
      <c r="X557" s="137">
        <f t="shared" si="79"/>
        <v>0</v>
      </c>
    </row>
    <row r="558" spans="1:24" ht="17.25" customHeight="1">
      <c r="A558" s="137" t="str">
        <f t="shared" ca="1" si="72"/>
        <v>-</v>
      </c>
      <c r="B558" s="173"/>
      <c r="C558" s="253" t="str">
        <f t="shared" si="73"/>
        <v/>
      </c>
      <c r="D558" s="173"/>
      <c r="E558" s="173"/>
      <c r="F558" s="329" t="str">
        <f t="shared" si="80"/>
        <v/>
      </c>
      <c r="G558" s="174"/>
      <c r="H558" s="130" t="str">
        <f>IFERROR(INDEX(DMDT!B:B,MATCH($G558,DMDT!D:D,0),),"")</f>
        <v/>
      </c>
      <c r="I558" s="131"/>
      <c r="J558" s="132"/>
      <c r="K558" s="133"/>
      <c r="L558" s="134"/>
      <c r="M558" s="134"/>
      <c r="N558" s="135"/>
      <c r="O558" s="219"/>
      <c r="P558" s="143"/>
      <c r="Q558" s="144"/>
      <c r="R558" s="150"/>
      <c r="S558" s="127" t="str">
        <f t="shared" si="74"/>
        <v/>
      </c>
      <c r="T558" s="175" t="str">
        <f t="shared" si="75"/>
        <v/>
      </c>
      <c r="U558" s="158" t="e">
        <f t="shared" si="76"/>
        <v>#N/A</v>
      </c>
      <c r="V558" s="310" t="str">
        <f t="shared" si="77"/>
        <v/>
      </c>
      <c r="W558" s="137" t="str">
        <f t="shared" si="78"/>
        <v>X</v>
      </c>
      <c r="X558" s="137">
        <f t="shared" si="79"/>
        <v>0</v>
      </c>
    </row>
    <row r="559" spans="1:24" ht="17.25" customHeight="1">
      <c r="A559" s="137" t="str">
        <f t="shared" ca="1" si="72"/>
        <v>-</v>
      </c>
      <c r="B559" s="173"/>
      <c r="C559" s="253" t="str">
        <f t="shared" si="73"/>
        <v/>
      </c>
      <c r="D559" s="173"/>
      <c r="E559" s="173"/>
      <c r="F559" s="329" t="str">
        <f t="shared" si="80"/>
        <v/>
      </c>
      <c r="G559" s="174"/>
      <c r="H559" s="130" t="str">
        <f>IFERROR(INDEX(DMDT!B:B,MATCH($G559,DMDT!D:D,0),),"")</f>
        <v/>
      </c>
      <c r="I559" s="131"/>
      <c r="J559" s="132"/>
      <c r="K559" s="133"/>
      <c r="L559" s="134"/>
      <c r="M559" s="134"/>
      <c r="N559" s="135"/>
      <c r="O559" s="219"/>
      <c r="P559" s="143"/>
      <c r="Q559" s="144"/>
      <c r="R559" s="150"/>
      <c r="S559" s="127" t="str">
        <f t="shared" si="74"/>
        <v/>
      </c>
      <c r="T559" s="175" t="str">
        <f t="shared" si="75"/>
        <v/>
      </c>
      <c r="U559" s="158" t="e">
        <f t="shared" si="76"/>
        <v>#N/A</v>
      </c>
      <c r="V559" s="310" t="str">
        <f t="shared" si="77"/>
        <v/>
      </c>
      <c r="W559" s="137" t="str">
        <f t="shared" si="78"/>
        <v>X</v>
      </c>
      <c r="X559" s="137">
        <f t="shared" si="79"/>
        <v>0</v>
      </c>
    </row>
    <row r="560" spans="1:24" ht="17.25" customHeight="1">
      <c r="A560" s="137" t="str">
        <f t="shared" ca="1" si="72"/>
        <v>-</v>
      </c>
      <c r="B560" s="173"/>
      <c r="C560" s="253" t="str">
        <f t="shared" si="73"/>
        <v/>
      </c>
      <c r="D560" s="173"/>
      <c r="E560" s="173"/>
      <c r="F560" s="329" t="str">
        <f t="shared" si="80"/>
        <v/>
      </c>
      <c r="G560" s="174"/>
      <c r="H560" s="130" t="str">
        <f>IFERROR(INDEX(DMDT!B:B,MATCH($G560,DMDT!D:D,0),),"")</f>
        <v/>
      </c>
      <c r="I560" s="131"/>
      <c r="J560" s="132"/>
      <c r="K560" s="133"/>
      <c r="L560" s="134"/>
      <c r="M560" s="134"/>
      <c r="N560" s="135"/>
      <c r="O560" s="219"/>
      <c r="P560" s="143"/>
      <c r="Q560" s="144"/>
      <c r="R560" s="150"/>
      <c r="S560" s="127" t="str">
        <f t="shared" si="74"/>
        <v/>
      </c>
      <c r="T560" s="175" t="str">
        <f t="shared" si="75"/>
        <v/>
      </c>
      <c r="U560" s="158" t="e">
        <f t="shared" si="76"/>
        <v>#N/A</v>
      </c>
      <c r="V560" s="310" t="str">
        <f t="shared" si="77"/>
        <v/>
      </c>
      <c r="W560" s="137" t="str">
        <f t="shared" si="78"/>
        <v>X</v>
      </c>
      <c r="X560" s="137">
        <f t="shared" si="79"/>
        <v>0</v>
      </c>
    </row>
    <row r="561" spans="1:24" ht="17.25" customHeight="1">
      <c r="A561" s="137" t="str">
        <f t="shared" ca="1" si="72"/>
        <v>-</v>
      </c>
      <c r="B561" s="173"/>
      <c r="C561" s="253" t="str">
        <f t="shared" si="73"/>
        <v/>
      </c>
      <c r="D561" s="173"/>
      <c r="E561" s="173"/>
      <c r="F561" s="329" t="str">
        <f t="shared" si="80"/>
        <v/>
      </c>
      <c r="G561" s="174"/>
      <c r="H561" s="130" t="str">
        <f>IFERROR(INDEX(DMDT!B:B,MATCH($G561,DMDT!D:D,0),),"")</f>
        <v/>
      </c>
      <c r="I561" s="131"/>
      <c r="J561" s="132"/>
      <c r="K561" s="133"/>
      <c r="L561" s="134"/>
      <c r="M561" s="134"/>
      <c r="N561" s="135"/>
      <c r="O561" s="219"/>
      <c r="P561" s="143"/>
      <c r="Q561" s="144"/>
      <c r="R561" s="150"/>
      <c r="S561" s="127" t="str">
        <f t="shared" si="74"/>
        <v/>
      </c>
      <c r="T561" s="175" t="str">
        <f t="shared" si="75"/>
        <v/>
      </c>
      <c r="U561" s="158" t="e">
        <f t="shared" si="76"/>
        <v>#N/A</v>
      </c>
      <c r="V561" s="310" t="str">
        <f t="shared" si="77"/>
        <v/>
      </c>
      <c r="W561" s="137" t="str">
        <f t="shared" si="78"/>
        <v>X</v>
      </c>
      <c r="X561" s="137">
        <f t="shared" si="79"/>
        <v>0</v>
      </c>
    </row>
    <row r="562" spans="1:24" ht="17.25" customHeight="1">
      <c r="A562" s="137" t="str">
        <f t="shared" ca="1" si="72"/>
        <v>-</v>
      </c>
      <c r="B562" s="173"/>
      <c r="C562" s="253" t="str">
        <f t="shared" si="73"/>
        <v/>
      </c>
      <c r="D562" s="173"/>
      <c r="E562" s="173"/>
      <c r="F562" s="329" t="str">
        <f t="shared" si="80"/>
        <v/>
      </c>
      <c r="G562" s="174"/>
      <c r="H562" s="130" t="str">
        <f>IFERROR(INDEX(DMDT!B:B,MATCH($G562,DMDT!D:D,0),),"")</f>
        <v/>
      </c>
      <c r="I562" s="131"/>
      <c r="J562" s="132"/>
      <c r="K562" s="133"/>
      <c r="L562" s="134"/>
      <c r="M562" s="134"/>
      <c r="N562" s="135"/>
      <c r="O562" s="219"/>
      <c r="P562" s="143"/>
      <c r="Q562" s="144"/>
      <c r="R562" s="150"/>
      <c r="S562" s="127" t="str">
        <f t="shared" si="74"/>
        <v/>
      </c>
      <c r="T562" s="175" t="str">
        <f t="shared" si="75"/>
        <v/>
      </c>
      <c r="U562" s="158" t="e">
        <f t="shared" si="76"/>
        <v>#N/A</v>
      </c>
      <c r="V562" s="310" t="str">
        <f t="shared" si="77"/>
        <v/>
      </c>
      <c r="W562" s="137" t="str">
        <f t="shared" si="78"/>
        <v>X</v>
      </c>
      <c r="X562" s="137">
        <f t="shared" si="79"/>
        <v>0</v>
      </c>
    </row>
    <row r="563" spans="1:24" ht="17.25" customHeight="1">
      <c r="A563" s="137" t="str">
        <f t="shared" ca="1" si="72"/>
        <v>-</v>
      </c>
      <c r="B563" s="173"/>
      <c r="C563" s="253" t="str">
        <f t="shared" si="73"/>
        <v/>
      </c>
      <c r="D563" s="173"/>
      <c r="E563" s="173"/>
      <c r="F563" s="329" t="str">
        <f t="shared" si="80"/>
        <v/>
      </c>
      <c r="G563" s="174"/>
      <c r="H563" s="130" t="str">
        <f>IFERROR(INDEX(DMDT!B:B,MATCH($G563,DMDT!D:D,0),),"")</f>
        <v/>
      </c>
      <c r="I563" s="131"/>
      <c r="J563" s="132"/>
      <c r="K563" s="133"/>
      <c r="L563" s="134"/>
      <c r="M563" s="134"/>
      <c r="N563" s="135"/>
      <c r="O563" s="219"/>
      <c r="P563" s="143"/>
      <c r="Q563" s="144"/>
      <c r="R563" s="150"/>
      <c r="S563" s="127" t="str">
        <f t="shared" si="74"/>
        <v/>
      </c>
      <c r="T563" s="175" t="str">
        <f t="shared" si="75"/>
        <v/>
      </c>
      <c r="U563" s="158" t="e">
        <f t="shared" si="76"/>
        <v>#N/A</v>
      </c>
      <c r="V563" s="310" t="str">
        <f t="shared" si="77"/>
        <v/>
      </c>
      <c r="W563" s="137" t="str">
        <f t="shared" si="78"/>
        <v>X</v>
      </c>
      <c r="X563" s="137">
        <f t="shared" si="79"/>
        <v>0</v>
      </c>
    </row>
    <row r="564" spans="1:24" ht="17.25" customHeight="1">
      <c r="A564" s="137" t="str">
        <f t="shared" ca="1" si="72"/>
        <v>-</v>
      </c>
      <c r="B564" s="173"/>
      <c r="C564" s="253" t="str">
        <f t="shared" si="73"/>
        <v/>
      </c>
      <c r="D564" s="173"/>
      <c r="E564" s="173"/>
      <c r="F564" s="329" t="str">
        <f t="shared" si="80"/>
        <v/>
      </c>
      <c r="G564" s="174"/>
      <c r="H564" s="130" t="str">
        <f>IFERROR(INDEX(DMDT!B:B,MATCH($G564,DMDT!D:D,0),),"")</f>
        <v/>
      </c>
      <c r="I564" s="131"/>
      <c r="J564" s="132"/>
      <c r="K564" s="133"/>
      <c r="L564" s="134"/>
      <c r="M564" s="134"/>
      <c r="N564" s="135"/>
      <c r="O564" s="219"/>
      <c r="P564" s="143"/>
      <c r="Q564" s="144"/>
      <c r="R564" s="150"/>
      <c r="S564" s="127" t="str">
        <f t="shared" si="74"/>
        <v/>
      </c>
      <c r="T564" s="175" t="str">
        <f t="shared" si="75"/>
        <v/>
      </c>
      <c r="U564" s="158" t="e">
        <f t="shared" si="76"/>
        <v>#N/A</v>
      </c>
      <c r="V564" s="310" t="str">
        <f t="shared" si="77"/>
        <v/>
      </c>
      <c r="W564" s="137" t="str">
        <f t="shared" si="78"/>
        <v>X</v>
      </c>
      <c r="X564" s="137">
        <f t="shared" si="79"/>
        <v>0</v>
      </c>
    </row>
    <row r="565" spans="1:24" ht="17.25" customHeight="1">
      <c r="A565" s="137" t="str">
        <f t="shared" ca="1" si="72"/>
        <v>-</v>
      </c>
      <c r="B565" s="173"/>
      <c r="C565" s="253" t="str">
        <f t="shared" si="73"/>
        <v/>
      </c>
      <c r="D565" s="173"/>
      <c r="E565" s="173"/>
      <c r="F565" s="329" t="str">
        <f t="shared" si="80"/>
        <v/>
      </c>
      <c r="G565" s="174"/>
      <c r="H565" s="130" t="str">
        <f>IFERROR(INDEX(DMDT!B:B,MATCH($G565,DMDT!D:D,0),),"")</f>
        <v/>
      </c>
      <c r="I565" s="131"/>
      <c r="J565" s="132"/>
      <c r="K565" s="133"/>
      <c r="L565" s="134"/>
      <c r="M565" s="134"/>
      <c r="N565" s="135"/>
      <c r="O565" s="219"/>
      <c r="P565" s="143"/>
      <c r="Q565" s="144"/>
      <c r="R565" s="150"/>
      <c r="S565" s="127" t="str">
        <f t="shared" si="74"/>
        <v/>
      </c>
      <c r="T565" s="175" t="str">
        <f t="shared" si="75"/>
        <v/>
      </c>
      <c r="U565" s="158" t="e">
        <f t="shared" si="76"/>
        <v>#N/A</v>
      </c>
      <c r="V565" s="310" t="str">
        <f t="shared" si="77"/>
        <v/>
      </c>
      <c r="W565" s="137" t="str">
        <f t="shared" si="78"/>
        <v>X</v>
      </c>
      <c r="X565" s="137">
        <f t="shared" si="79"/>
        <v>0</v>
      </c>
    </row>
    <row r="566" spans="1:24" ht="17.25" customHeight="1">
      <c r="A566" s="137" t="str">
        <f t="shared" ca="1" si="72"/>
        <v>-</v>
      </c>
      <c r="B566" s="173"/>
      <c r="C566" s="253" t="str">
        <f t="shared" si="73"/>
        <v/>
      </c>
      <c r="D566" s="173"/>
      <c r="E566" s="173"/>
      <c r="F566" s="329" t="str">
        <f t="shared" si="80"/>
        <v/>
      </c>
      <c r="G566" s="174"/>
      <c r="H566" s="130" t="str">
        <f>IFERROR(INDEX(DMDT!B:B,MATCH($G566,DMDT!D:D,0),),"")</f>
        <v/>
      </c>
      <c r="I566" s="131"/>
      <c r="J566" s="132"/>
      <c r="K566" s="133"/>
      <c r="L566" s="134"/>
      <c r="M566" s="134"/>
      <c r="N566" s="135"/>
      <c r="O566" s="219"/>
      <c r="P566" s="143"/>
      <c r="Q566" s="144"/>
      <c r="R566" s="150"/>
      <c r="S566" s="127" t="str">
        <f t="shared" si="74"/>
        <v/>
      </c>
      <c r="T566" s="175" t="str">
        <f t="shared" si="75"/>
        <v/>
      </c>
      <c r="U566" s="158" t="e">
        <f t="shared" si="76"/>
        <v>#N/A</v>
      </c>
      <c r="V566" s="310" t="str">
        <f t="shared" si="77"/>
        <v/>
      </c>
      <c r="W566" s="137" t="str">
        <f t="shared" si="78"/>
        <v>X</v>
      </c>
      <c r="X566" s="137">
        <f t="shared" si="79"/>
        <v>0</v>
      </c>
    </row>
    <row r="567" spans="1:24" ht="17.25" customHeight="1">
      <c r="A567" s="137" t="str">
        <f t="shared" ca="1" si="72"/>
        <v>-</v>
      </c>
      <c r="B567" s="173"/>
      <c r="C567" s="253" t="str">
        <f t="shared" si="73"/>
        <v/>
      </c>
      <c r="D567" s="173"/>
      <c r="E567" s="173"/>
      <c r="F567" s="329" t="str">
        <f t="shared" si="80"/>
        <v/>
      </c>
      <c r="G567" s="174"/>
      <c r="H567" s="130" t="str">
        <f>IFERROR(INDEX(DMDT!B:B,MATCH($G567,DMDT!D:D,0),),"")</f>
        <v/>
      </c>
      <c r="I567" s="131"/>
      <c r="J567" s="132"/>
      <c r="K567" s="133"/>
      <c r="L567" s="134"/>
      <c r="M567" s="134"/>
      <c r="N567" s="135"/>
      <c r="O567" s="219"/>
      <c r="P567" s="143"/>
      <c r="Q567" s="144"/>
      <c r="R567" s="150"/>
      <c r="S567" s="127" t="str">
        <f t="shared" si="74"/>
        <v/>
      </c>
      <c r="T567" s="175" t="str">
        <f t="shared" si="75"/>
        <v/>
      </c>
      <c r="U567" s="158" t="e">
        <f t="shared" si="76"/>
        <v>#N/A</v>
      </c>
      <c r="V567" s="310" t="str">
        <f t="shared" si="77"/>
        <v/>
      </c>
      <c r="W567" s="137" t="str">
        <f t="shared" si="78"/>
        <v>X</v>
      </c>
      <c r="X567" s="137">
        <f t="shared" si="79"/>
        <v>0</v>
      </c>
    </row>
    <row r="568" spans="1:24" ht="17.25" customHeight="1">
      <c r="A568" s="137" t="str">
        <f t="shared" ca="1" si="72"/>
        <v>-</v>
      </c>
      <c r="B568" s="173"/>
      <c r="C568" s="253" t="str">
        <f t="shared" si="73"/>
        <v/>
      </c>
      <c r="D568" s="173"/>
      <c r="E568" s="173"/>
      <c r="F568" s="329" t="str">
        <f t="shared" si="80"/>
        <v/>
      </c>
      <c r="G568" s="174"/>
      <c r="H568" s="130" t="str">
        <f>IFERROR(INDEX(DMDT!B:B,MATCH($G568,DMDT!D:D,0),),"")</f>
        <v/>
      </c>
      <c r="I568" s="131"/>
      <c r="J568" s="132"/>
      <c r="K568" s="133"/>
      <c r="L568" s="134"/>
      <c r="M568" s="134"/>
      <c r="N568" s="135"/>
      <c r="O568" s="219"/>
      <c r="P568" s="143"/>
      <c r="Q568" s="144"/>
      <c r="R568" s="150"/>
      <c r="S568" s="127" t="str">
        <f t="shared" si="74"/>
        <v/>
      </c>
      <c r="T568" s="175" t="str">
        <f t="shared" si="75"/>
        <v/>
      </c>
      <c r="U568" s="158" t="e">
        <f t="shared" si="76"/>
        <v>#N/A</v>
      </c>
      <c r="V568" s="310" t="str">
        <f t="shared" si="77"/>
        <v/>
      </c>
      <c r="W568" s="137" t="str">
        <f t="shared" si="78"/>
        <v>X</v>
      </c>
      <c r="X568" s="137">
        <f t="shared" si="79"/>
        <v>0</v>
      </c>
    </row>
    <row r="569" spans="1:24" ht="17.25" customHeight="1">
      <c r="A569" s="137" t="str">
        <f t="shared" ca="1" si="72"/>
        <v>-</v>
      </c>
      <c r="B569" s="173"/>
      <c r="C569" s="253" t="str">
        <f t="shared" si="73"/>
        <v/>
      </c>
      <c r="D569" s="173"/>
      <c r="E569" s="173"/>
      <c r="F569" s="329" t="str">
        <f t="shared" si="80"/>
        <v/>
      </c>
      <c r="G569" s="174"/>
      <c r="H569" s="130" t="str">
        <f>IFERROR(INDEX(DMDT!B:B,MATCH($G569,DMDT!D:D,0),),"")</f>
        <v/>
      </c>
      <c r="I569" s="131"/>
      <c r="J569" s="132"/>
      <c r="K569" s="133"/>
      <c r="L569" s="134"/>
      <c r="M569" s="134"/>
      <c r="N569" s="135"/>
      <c r="O569" s="219"/>
      <c r="P569" s="143"/>
      <c r="Q569" s="144"/>
      <c r="R569" s="150"/>
      <c r="S569" s="127" t="str">
        <f t="shared" si="74"/>
        <v/>
      </c>
      <c r="T569" s="175" t="str">
        <f t="shared" si="75"/>
        <v/>
      </c>
      <c r="U569" s="158" t="e">
        <f t="shared" si="76"/>
        <v>#N/A</v>
      </c>
      <c r="V569" s="310" t="str">
        <f t="shared" si="77"/>
        <v/>
      </c>
      <c r="W569" s="137" t="str">
        <f t="shared" si="78"/>
        <v>X</v>
      </c>
      <c r="X569" s="137">
        <f t="shared" si="79"/>
        <v>0</v>
      </c>
    </row>
    <row r="570" spans="1:24" ht="17.25" customHeight="1">
      <c r="A570" s="137" t="str">
        <f t="shared" ca="1" si="72"/>
        <v>-</v>
      </c>
      <c r="B570" s="173"/>
      <c r="C570" s="253" t="str">
        <f t="shared" si="73"/>
        <v/>
      </c>
      <c r="D570" s="173"/>
      <c r="E570" s="173"/>
      <c r="F570" s="329" t="str">
        <f t="shared" si="80"/>
        <v/>
      </c>
      <c r="G570" s="174"/>
      <c r="H570" s="130" t="str">
        <f>IFERROR(INDEX(DMDT!B:B,MATCH($G570,DMDT!D:D,0),),"")</f>
        <v/>
      </c>
      <c r="I570" s="131"/>
      <c r="J570" s="132"/>
      <c r="K570" s="133"/>
      <c r="L570" s="134"/>
      <c r="M570" s="134"/>
      <c r="N570" s="135"/>
      <c r="O570" s="219"/>
      <c r="P570" s="143"/>
      <c r="Q570" s="144"/>
      <c r="R570" s="150"/>
      <c r="S570" s="127" t="str">
        <f t="shared" si="74"/>
        <v/>
      </c>
      <c r="T570" s="175" t="str">
        <f t="shared" si="75"/>
        <v/>
      </c>
      <c r="U570" s="158" t="e">
        <f t="shared" si="76"/>
        <v>#N/A</v>
      </c>
      <c r="V570" s="310" t="str">
        <f t="shared" si="77"/>
        <v/>
      </c>
      <c r="W570" s="137" t="str">
        <f t="shared" si="78"/>
        <v>X</v>
      </c>
      <c r="X570" s="137">
        <f t="shared" si="79"/>
        <v>0</v>
      </c>
    </row>
    <row r="571" spans="1:24" ht="17.25" customHeight="1">
      <c r="A571" s="137" t="str">
        <f t="shared" ca="1" si="72"/>
        <v>-</v>
      </c>
      <c r="B571" s="173"/>
      <c r="C571" s="253" t="str">
        <f t="shared" si="73"/>
        <v/>
      </c>
      <c r="D571" s="173"/>
      <c r="E571" s="173"/>
      <c r="F571" s="329" t="str">
        <f t="shared" si="80"/>
        <v/>
      </c>
      <c r="G571" s="174"/>
      <c r="H571" s="130" t="str">
        <f>IFERROR(INDEX(DMDT!B:B,MATCH($G571,DMDT!D:D,0),),"")</f>
        <v/>
      </c>
      <c r="I571" s="131"/>
      <c r="J571" s="132"/>
      <c r="K571" s="133"/>
      <c r="L571" s="134"/>
      <c r="M571" s="134"/>
      <c r="N571" s="135"/>
      <c r="O571" s="219"/>
      <c r="P571" s="143"/>
      <c r="Q571" s="144"/>
      <c r="R571" s="150"/>
      <c r="S571" s="127" t="str">
        <f t="shared" si="74"/>
        <v/>
      </c>
      <c r="T571" s="175" t="str">
        <f t="shared" si="75"/>
        <v/>
      </c>
      <c r="U571" s="158" t="e">
        <f t="shared" si="76"/>
        <v>#N/A</v>
      </c>
      <c r="V571" s="310" t="str">
        <f t="shared" si="77"/>
        <v/>
      </c>
      <c r="W571" s="137" t="str">
        <f t="shared" si="78"/>
        <v>X</v>
      </c>
      <c r="X571" s="137">
        <f t="shared" si="79"/>
        <v>0</v>
      </c>
    </row>
    <row r="572" spans="1:24" ht="17.25" customHeight="1">
      <c r="A572" s="137" t="str">
        <f t="shared" ca="1" si="72"/>
        <v>-</v>
      </c>
      <c r="B572" s="173"/>
      <c r="C572" s="253" t="str">
        <f t="shared" si="73"/>
        <v/>
      </c>
      <c r="D572" s="173"/>
      <c r="E572" s="173"/>
      <c r="F572" s="329" t="str">
        <f t="shared" si="80"/>
        <v/>
      </c>
      <c r="G572" s="174"/>
      <c r="H572" s="130" t="str">
        <f>IFERROR(INDEX(DMDT!B:B,MATCH($G572,DMDT!D:D,0),),"")</f>
        <v/>
      </c>
      <c r="I572" s="131"/>
      <c r="J572" s="132"/>
      <c r="K572" s="133"/>
      <c r="L572" s="134"/>
      <c r="M572" s="134"/>
      <c r="N572" s="135"/>
      <c r="O572" s="219"/>
      <c r="P572" s="143"/>
      <c r="Q572" s="144"/>
      <c r="R572" s="150"/>
      <c r="S572" s="127" t="str">
        <f t="shared" si="74"/>
        <v/>
      </c>
      <c r="T572" s="175" t="str">
        <f t="shared" si="75"/>
        <v/>
      </c>
      <c r="U572" s="158" t="e">
        <f t="shared" si="76"/>
        <v>#N/A</v>
      </c>
      <c r="V572" s="310" t="str">
        <f t="shared" si="77"/>
        <v/>
      </c>
      <c r="W572" s="137" t="str">
        <f t="shared" si="78"/>
        <v>X</v>
      </c>
      <c r="X572" s="137">
        <f t="shared" si="79"/>
        <v>0</v>
      </c>
    </row>
    <row r="573" spans="1:24" ht="17.25" customHeight="1">
      <c r="A573" s="137" t="str">
        <f t="shared" ca="1" si="72"/>
        <v>-</v>
      </c>
      <c r="B573" s="173"/>
      <c r="C573" s="253" t="str">
        <f t="shared" si="73"/>
        <v/>
      </c>
      <c r="D573" s="173"/>
      <c r="E573" s="173"/>
      <c r="F573" s="329" t="str">
        <f t="shared" si="80"/>
        <v/>
      </c>
      <c r="G573" s="174"/>
      <c r="H573" s="130" t="str">
        <f>IFERROR(INDEX(DMDT!B:B,MATCH($G573,DMDT!D:D,0),),"")</f>
        <v/>
      </c>
      <c r="I573" s="131"/>
      <c r="J573" s="132"/>
      <c r="K573" s="133"/>
      <c r="L573" s="134"/>
      <c r="M573" s="134"/>
      <c r="N573" s="135"/>
      <c r="O573" s="219"/>
      <c r="P573" s="143"/>
      <c r="Q573" s="144"/>
      <c r="R573" s="150"/>
      <c r="S573" s="127" t="str">
        <f t="shared" si="74"/>
        <v/>
      </c>
      <c r="T573" s="175" t="str">
        <f t="shared" si="75"/>
        <v/>
      </c>
      <c r="U573" s="158" t="e">
        <f t="shared" si="76"/>
        <v>#N/A</v>
      </c>
      <c r="V573" s="310" t="str">
        <f t="shared" si="77"/>
        <v/>
      </c>
      <c r="W573" s="137" t="str">
        <f t="shared" si="78"/>
        <v>X</v>
      </c>
      <c r="X573" s="137">
        <f t="shared" si="79"/>
        <v>0</v>
      </c>
    </row>
    <row r="574" spans="1:24" ht="17.25" customHeight="1">
      <c r="A574" s="137" t="str">
        <f t="shared" ca="1" si="72"/>
        <v>-</v>
      </c>
      <c r="B574" s="173"/>
      <c r="C574" s="253" t="str">
        <f t="shared" si="73"/>
        <v/>
      </c>
      <c r="D574" s="173"/>
      <c r="E574" s="173"/>
      <c r="F574" s="329" t="str">
        <f t="shared" si="80"/>
        <v/>
      </c>
      <c r="G574" s="174"/>
      <c r="H574" s="130" t="str">
        <f>IFERROR(INDEX(DMDT!B:B,MATCH($G574,DMDT!D:D,0),),"")</f>
        <v/>
      </c>
      <c r="I574" s="131"/>
      <c r="J574" s="132"/>
      <c r="K574" s="133"/>
      <c r="L574" s="134"/>
      <c r="M574" s="134"/>
      <c r="N574" s="135"/>
      <c r="O574" s="219"/>
      <c r="P574" s="143"/>
      <c r="Q574" s="144"/>
      <c r="R574" s="150"/>
      <c r="S574" s="127" t="str">
        <f t="shared" si="74"/>
        <v/>
      </c>
      <c r="T574" s="175" t="str">
        <f t="shared" si="75"/>
        <v/>
      </c>
      <c r="U574" s="158" t="e">
        <f t="shared" si="76"/>
        <v>#N/A</v>
      </c>
      <c r="V574" s="310" t="str">
        <f t="shared" si="77"/>
        <v/>
      </c>
      <c r="W574" s="137" t="str">
        <f t="shared" si="78"/>
        <v>X</v>
      </c>
      <c r="X574" s="137">
        <f t="shared" si="79"/>
        <v>0</v>
      </c>
    </row>
    <row r="575" spans="1:24" ht="17.25" customHeight="1">
      <c r="A575" s="137" t="str">
        <f t="shared" ca="1" si="72"/>
        <v>-</v>
      </c>
      <c r="B575" s="173"/>
      <c r="C575" s="253" t="str">
        <f t="shared" si="73"/>
        <v/>
      </c>
      <c r="D575" s="173"/>
      <c r="E575" s="173"/>
      <c r="F575" s="329" t="str">
        <f t="shared" si="80"/>
        <v/>
      </c>
      <c r="G575" s="174"/>
      <c r="H575" s="130" t="str">
        <f>IFERROR(INDEX(DMDT!B:B,MATCH($G575,DMDT!D:D,0),),"")</f>
        <v/>
      </c>
      <c r="I575" s="131"/>
      <c r="J575" s="132"/>
      <c r="K575" s="133"/>
      <c r="L575" s="134"/>
      <c r="M575" s="134"/>
      <c r="N575" s="135"/>
      <c r="O575" s="219"/>
      <c r="P575" s="143"/>
      <c r="Q575" s="144"/>
      <c r="R575" s="150"/>
      <c r="S575" s="127" t="str">
        <f t="shared" si="74"/>
        <v/>
      </c>
      <c r="T575" s="175" t="str">
        <f t="shared" si="75"/>
        <v/>
      </c>
      <c r="U575" s="158" t="e">
        <f t="shared" si="76"/>
        <v>#N/A</v>
      </c>
      <c r="V575" s="310" t="str">
        <f t="shared" si="77"/>
        <v/>
      </c>
      <c r="W575" s="137" t="str">
        <f t="shared" si="78"/>
        <v>X</v>
      </c>
      <c r="X575" s="137">
        <f t="shared" si="79"/>
        <v>0</v>
      </c>
    </row>
    <row r="576" spans="1:24" ht="17.25" customHeight="1">
      <c r="A576" s="137" t="str">
        <f t="shared" ca="1" si="72"/>
        <v>-</v>
      </c>
      <c r="B576" s="173"/>
      <c r="C576" s="253" t="str">
        <f t="shared" si="73"/>
        <v/>
      </c>
      <c r="D576" s="173"/>
      <c r="E576" s="173"/>
      <c r="F576" s="329" t="str">
        <f t="shared" si="80"/>
        <v/>
      </c>
      <c r="G576" s="174"/>
      <c r="H576" s="130" t="str">
        <f>IFERROR(INDEX(DMDT!B:B,MATCH($G576,DMDT!D:D,0),),"")</f>
        <v/>
      </c>
      <c r="I576" s="131"/>
      <c r="J576" s="132"/>
      <c r="K576" s="133"/>
      <c r="L576" s="134"/>
      <c r="M576" s="134"/>
      <c r="N576" s="135"/>
      <c r="O576" s="219"/>
      <c r="P576" s="143"/>
      <c r="Q576" s="144"/>
      <c r="R576" s="150"/>
      <c r="S576" s="127" t="str">
        <f t="shared" si="74"/>
        <v/>
      </c>
      <c r="T576" s="175" t="str">
        <f t="shared" si="75"/>
        <v/>
      </c>
      <c r="U576" s="158" t="e">
        <f t="shared" si="76"/>
        <v>#N/A</v>
      </c>
      <c r="V576" s="310" t="str">
        <f t="shared" si="77"/>
        <v/>
      </c>
      <c r="W576" s="137" t="str">
        <f t="shared" si="78"/>
        <v>X</v>
      </c>
      <c r="X576" s="137">
        <f t="shared" si="79"/>
        <v>0</v>
      </c>
    </row>
    <row r="577" spans="1:24" ht="17.25" customHeight="1">
      <c r="A577" s="137" t="str">
        <f t="shared" ca="1" si="72"/>
        <v>-</v>
      </c>
      <c r="B577" s="173"/>
      <c r="C577" s="253" t="str">
        <f t="shared" si="73"/>
        <v/>
      </c>
      <c r="D577" s="173"/>
      <c r="E577" s="173"/>
      <c r="F577" s="329" t="str">
        <f t="shared" si="80"/>
        <v/>
      </c>
      <c r="G577" s="174"/>
      <c r="H577" s="130" t="str">
        <f>IFERROR(INDEX(DMDT!B:B,MATCH($G577,DMDT!D:D,0),),"")</f>
        <v/>
      </c>
      <c r="I577" s="131"/>
      <c r="J577" s="132"/>
      <c r="K577" s="133"/>
      <c r="L577" s="134"/>
      <c r="M577" s="134"/>
      <c r="N577" s="135"/>
      <c r="O577" s="219"/>
      <c r="P577" s="143"/>
      <c r="Q577" s="144"/>
      <c r="R577" s="150"/>
      <c r="S577" s="127" t="str">
        <f t="shared" si="74"/>
        <v/>
      </c>
      <c r="T577" s="175" t="str">
        <f t="shared" si="75"/>
        <v/>
      </c>
      <c r="U577" s="158" t="e">
        <f t="shared" si="76"/>
        <v>#N/A</v>
      </c>
      <c r="V577" s="310" t="str">
        <f t="shared" si="77"/>
        <v/>
      </c>
      <c r="W577" s="137" t="str">
        <f t="shared" si="78"/>
        <v>X</v>
      </c>
      <c r="X577" s="137">
        <f t="shared" si="79"/>
        <v>0</v>
      </c>
    </row>
    <row r="578" spans="1:24" ht="17.25" customHeight="1">
      <c r="A578" s="137" t="str">
        <f t="shared" ca="1" si="72"/>
        <v>-</v>
      </c>
      <c r="B578" s="173"/>
      <c r="C578" s="253" t="str">
        <f t="shared" si="73"/>
        <v/>
      </c>
      <c r="D578" s="173"/>
      <c r="E578" s="173"/>
      <c r="F578" s="329" t="str">
        <f t="shared" si="80"/>
        <v/>
      </c>
      <c r="G578" s="174"/>
      <c r="H578" s="130" t="str">
        <f>IFERROR(INDEX(DMDT!B:B,MATCH($G578,DMDT!D:D,0),),"")</f>
        <v/>
      </c>
      <c r="I578" s="131"/>
      <c r="J578" s="132"/>
      <c r="K578" s="133"/>
      <c r="L578" s="134"/>
      <c r="M578" s="134"/>
      <c r="N578" s="135"/>
      <c r="O578" s="219"/>
      <c r="P578" s="143"/>
      <c r="Q578" s="144"/>
      <c r="R578" s="150"/>
      <c r="S578" s="127" t="str">
        <f t="shared" si="74"/>
        <v/>
      </c>
      <c r="T578" s="175" t="str">
        <f t="shared" si="75"/>
        <v/>
      </c>
      <c r="U578" s="158" t="e">
        <f t="shared" si="76"/>
        <v>#N/A</v>
      </c>
      <c r="V578" s="310" t="str">
        <f t="shared" si="77"/>
        <v/>
      </c>
      <c r="W578" s="137" t="str">
        <f t="shared" si="78"/>
        <v>X</v>
      </c>
      <c r="X578" s="137">
        <f t="shared" si="79"/>
        <v>0</v>
      </c>
    </row>
    <row r="579" spans="1:24" ht="17.25" customHeight="1">
      <c r="A579" s="137" t="str">
        <f t="shared" ca="1" si="72"/>
        <v>-</v>
      </c>
      <c r="B579" s="173"/>
      <c r="C579" s="253" t="str">
        <f t="shared" si="73"/>
        <v/>
      </c>
      <c r="D579" s="173"/>
      <c r="E579" s="173"/>
      <c r="F579" s="329" t="str">
        <f t="shared" si="80"/>
        <v/>
      </c>
      <c r="G579" s="174"/>
      <c r="H579" s="130" t="str">
        <f>IFERROR(INDEX(DMDT!B:B,MATCH($G579,DMDT!D:D,0),),"")</f>
        <v/>
      </c>
      <c r="I579" s="131"/>
      <c r="J579" s="132"/>
      <c r="K579" s="133"/>
      <c r="L579" s="134"/>
      <c r="M579" s="134"/>
      <c r="N579" s="135"/>
      <c r="O579" s="219"/>
      <c r="P579" s="143"/>
      <c r="Q579" s="144"/>
      <c r="R579" s="150"/>
      <c r="S579" s="127" t="str">
        <f t="shared" si="74"/>
        <v/>
      </c>
      <c r="T579" s="175" t="str">
        <f t="shared" si="75"/>
        <v/>
      </c>
      <c r="U579" s="158" t="e">
        <f t="shared" si="76"/>
        <v>#N/A</v>
      </c>
      <c r="V579" s="310" t="str">
        <f t="shared" si="77"/>
        <v/>
      </c>
      <c r="W579" s="137" t="str">
        <f t="shared" si="78"/>
        <v>X</v>
      </c>
      <c r="X579" s="137">
        <f t="shared" si="79"/>
        <v>0</v>
      </c>
    </row>
    <row r="580" spans="1:24" ht="17.25" customHeight="1">
      <c r="A580" s="137" t="str">
        <f t="shared" ref="A580:A643" ca="1" si="81">IF(F580="","-",IF(COUNTIFS(OFFSET($H$3,,,ROW()-3),H580,OFFSET($J$3,,,ROW()-3),J580,OFFSET($N$3,,,ROW()-3),N580)=0,"-","FALSE"))</f>
        <v>-</v>
      </c>
      <c r="B580" s="173"/>
      <c r="C580" s="253" t="str">
        <f t="shared" si="73"/>
        <v/>
      </c>
      <c r="D580" s="173"/>
      <c r="E580" s="173"/>
      <c r="F580" s="329" t="str">
        <f t="shared" si="80"/>
        <v/>
      </c>
      <c r="G580" s="174"/>
      <c r="H580" s="130" t="str">
        <f>IFERROR(INDEX(DMDT!B:B,MATCH($G580,DMDT!D:D,0),),"")</f>
        <v/>
      </c>
      <c r="I580" s="131"/>
      <c r="J580" s="132"/>
      <c r="K580" s="133"/>
      <c r="L580" s="134"/>
      <c r="M580" s="134"/>
      <c r="N580" s="135"/>
      <c r="O580" s="219"/>
      <c r="P580" s="143"/>
      <c r="Q580" s="144"/>
      <c r="R580" s="150"/>
      <c r="S580" s="127" t="str">
        <f t="shared" si="74"/>
        <v/>
      </c>
      <c r="T580" s="175" t="str">
        <f t="shared" si="75"/>
        <v/>
      </c>
      <c r="U580" s="158" t="e">
        <f t="shared" si="76"/>
        <v>#N/A</v>
      </c>
      <c r="V580" s="310" t="str">
        <f t="shared" si="77"/>
        <v/>
      </c>
      <c r="W580" s="137" t="str">
        <f t="shared" si="78"/>
        <v>X</v>
      </c>
      <c r="X580" s="137">
        <f t="shared" si="79"/>
        <v>0</v>
      </c>
    </row>
    <row r="581" spans="1:24" ht="17.25" customHeight="1">
      <c r="A581" s="137" t="str">
        <f t="shared" ca="1" si="81"/>
        <v>-</v>
      </c>
      <c r="B581" s="173"/>
      <c r="C581" s="253" t="str">
        <f t="shared" ref="C581:C644" si="82">IF(F581="","",IF(LEFT(M581,5)&lt;&gt;"3311-","Non-GR",IF(AND(B581&lt;D581,B581&lt;&gt;""),NETWORKDAYS(B581,D581),IF(OR(L581="Mai",L581="Đức Anh",L581="C.Thảo"),"GIT","Non-GR"))))</f>
        <v/>
      </c>
      <c r="D581" s="173"/>
      <c r="E581" s="173"/>
      <c r="F581" s="329" t="str">
        <f t="shared" si="80"/>
        <v/>
      </c>
      <c r="G581" s="174"/>
      <c r="H581" s="130" t="str">
        <f>IFERROR(INDEX(DMDT!B:B,MATCH($G581,DMDT!D:D,0),),"")</f>
        <v/>
      </c>
      <c r="I581" s="131"/>
      <c r="J581" s="132"/>
      <c r="K581" s="133"/>
      <c r="L581" s="134"/>
      <c r="M581" s="134"/>
      <c r="N581" s="135"/>
      <c r="O581" s="219"/>
      <c r="P581" s="143"/>
      <c r="Q581" s="144"/>
      <c r="R581" s="150"/>
      <c r="S581" s="127" t="str">
        <f t="shared" ref="S581:S644" si="83">$N581&amp;LEFT($G581,6)</f>
        <v/>
      </c>
      <c r="T581" s="175" t="str">
        <f t="shared" ref="T581:T644" si="84">+LEFT($M581,5)</f>
        <v/>
      </c>
      <c r="U581" s="158" t="e">
        <f t="shared" ref="U581:U644" si="85">VLOOKUP(L581,$AB$10:$AC$26,2,0)</f>
        <v>#N/A</v>
      </c>
      <c r="V581" s="310" t="str">
        <f t="shared" ref="V581:V644" si="86">IF(T581="3311-",D581,"")</f>
        <v/>
      </c>
      <c r="W581" s="137" t="str">
        <f t="shared" ref="W581:W644" si="87">IFERROR(IF(MONTH(V581)=$F$1,DAY(V581),"NEXT"),"X")</f>
        <v>X</v>
      </c>
      <c r="X581" s="137">
        <f t="shared" ref="X581:X644" si="88">IFERROR(IF(31-W581&gt;5,1,2),0)</f>
        <v>0</v>
      </c>
    </row>
    <row r="582" spans="1:24" ht="17.25" customHeight="1">
      <c r="A582" s="137" t="str">
        <f t="shared" ca="1" si="81"/>
        <v>-</v>
      </c>
      <c r="B582" s="173"/>
      <c r="C582" s="253" t="str">
        <f t="shared" si="82"/>
        <v/>
      </c>
      <c r="D582" s="173"/>
      <c r="E582" s="173"/>
      <c r="F582" s="329" t="str">
        <f t="shared" ref="F582:F645" si="89">IF(E582&lt;&gt;"",F581+1,"")</f>
        <v/>
      </c>
      <c r="G582" s="174"/>
      <c r="H582" s="130" t="str">
        <f>IFERROR(INDEX(DMDT!B:B,MATCH($G582,DMDT!D:D,0),),"")</f>
        <v/>
      </c>
      <c r="I582" s="131"/>
      <c r="J582" s="132"/>
      <c r="K582" s="133"/>
      <c r="L582" s="134"/>
      <c r="M582" s="134"/>
      <c r="N582" s="135"/>
      <c r="O582" s="219"/>
      <c r="P582" s="143"/>
      <c r="Q582" s="144"/>
      <c r="R582" s="150"/>
      <c r="S582" s="127" t="str">
        <f t="shared" si="83"/>
        <v/>
      </c>
      <c r="T582" s="175" t="str">
        <f t="shared" si="84"/>
        <v/>
      </c>
      <c r="U582" s="158" t="e">
        <f t="shared" si="85"/>
        <v>#N/A</v>
      </c>
      <c r="V582" s="310" t="str">
        <f t="shared" si="86"/>
        <v/>
      </c>
      <c r="W582" s="137" t="str">
        <f t="shared" si="87"/>
        <v>X</v>
      </c>
      <c r="X582" s="137">
        <f t="shared" si="88"/>
        <v>0</v>
      </c>
    </row>
    <row r="583" spans="1:24" ht="17.25" customHeight="1">
      <c r="A583" s="137" t="str">
        <f t="shared" ca="1" si="81"/>
        <v>-</v>
      </c>
      <c r="B583" s="173"/>
      <c r="C583" s="253" t="str">
        <f t="shared" si="82"/>
        <v/>
      </c>
      <c r="D583" s="173"/>
      <c r="E583" s="173"/>
      <c r="F583" s="329" t="str">
        <f t="shared" si="89"/>
        <v/>
      </c>
      <c r="G583" s="174"/>
      <c r="H583" s="130" t="str">
        <f>IFERROR(INDEX(DMDT!B:B,MATCH($G583,DMDT!D:D,0),),"")</f>
        <v/>
      </c>
      <c r="I583" s="131"/>
      <c r="J583" s="132"/>
      <c r="K583" s="133"/>
      <c r="L583" s="134"/>
      <c r="M583" s="134"/>
      <c r="N583" s="135"/>
      <c r="O583" s="219"/>
      <c r="P583" s="143"/>
      <c r="Q583" s="144"/>
      <c r="R583" s="150"/>
      <c r="S583" s="127" t="str">
        <f t="shared" si="83"/>
        <v/>
      </c>
      <c r="T583" s="175" t="str">
        <f t="shared" si="84"/>
        <v/>
      </c>
      <c r="U583" s="158" t="e">
        <f t="shared" si="85"/>
        <v>#N/A</v>
      </c>
      <c r="V583" s="310" t="str">
        <f t="shared" si="86"/>
        <v/>
      </c>
      <c r="W583" s="137" t="str">
        <f t="shared" si="87"/>
        <v>X</v>
      </c>
      <c r="X583" s="137">
        <f t="shared" si="88"/>
        <v>0</v>
      </c>
    </row>
    <row r="584" spans="1:24" ht="17.25" customHeight="1">
      <c r="A584" s="137" t="str">
        <f t="shared" ca="1" si="81"/>
        <v>-</v>
      </c>
      <c r="B584" s="173"/>
      <c r="C584" s="253" t="str">
        <f t="shared" si="82"/>
        <v/>
      </c>
      <c r="D584" s="173"/>
      <c r="E584" s="173"/>
      <c r="F584" s="329" t="str">
        <f t="shared" si="89"/>
        <v/>
      </c>
      <c r="G584" s="174"/>
      <c r="H584" s="130" t="str">
        <f>IFERROR(INDEX(DMDT!B:B,MATCH($G584,DMDT!D:D,0),),"")</f>
        <v/>
      </c>
      <c r="I584" s="131"/>
      <c r="J584" s="132"/>
      <c r="K584" s="133"/>
      <c r="L584" s="134"/>
      <c r="M584" s="134"/>
      <c r="N584" s="135"/>
      <c r="O584" s="219"/>
      <c r="P584" s="143"/>
      <c r="Q584" s="144"/>
      <c r="R584" s="150"/>
      <c r="S584" s="127" t="str">
        <f t="shared" si="83"/>
        <v/>
      </c>
      <c r="T584" s="175" t="str">
        <f t="shared" si="84"/>
        <v/>
      </c>
      <c r="U584" s="158" t="e">
        <f t="shared" si="85"/>
        <v>#N/A</v>
      </c>
      <c r="V584" s="310" t="str">
        <f t="shared" si="86"/>
        <v/>
      </c>
      <c r="W584" s="137" t="str">
        <f t="shared" si="87"/>
        <v>X</v>
      </c>
      <c r="X584" s="137">
        <f t="shared" si="88"/>
        <v>0</v>
      </c>
    </row>
    <row r="585" spans="1:24" ht="17.25" customHeight="1">
      <c r="A585" s="137" t="str">
        <f t="shared" ca="1" si="81"/>
        <v>-</v>
      </c>
      <c r="B585" s="173"/>
      <c r="C585" s="253" t="str">
        <f t="shared" si="82"/>
        <v/>
      </c>
      <c r="D585" s="173"/>
      <c r="E585" s="173"/>
      <c r="F585" s="329" t="str">
        <f t="shared" si="89"/>
        <v/>
      </c>
      <c r="G585" s="174"/>
      <c r="H585" s="130" t="str">
        <f>IFERROR(INDEX(DMDT!B:B,MATCH($G585,DMDT!D:D,0),),"")</f>
        <v/>
      </c>
      <c r="I585" s="131"/>
      <c r="J585" s="132"/>
      <c r="K585" s="133"/>
      <c r="L585" s="134"/>
      <c r="M585" s="134"/>
      <c r="N585" s="135"/>
      <c r="O585" s="219"/>
      <c r="P585" s="143"/>
      <c r="Q585" s="144"/>
      <c r="R585" s="150"/>
      <c r="S585" s="127" t="str">
        <f t="shared" si="83"/>
        <v/>
      </c>
      <c r="T585" s="175" t="str">
        <f t="shared" si="84"/>
        <v/>
      </c>
      <c r="U585" s="158" t="e">
        <f t="shared" si="85"/>
        <v>#N/A</v>
      </c>
      <c r="V585" s="310" t="str">
        <f t="shared" si="86"/>
        <v/>
      </c>
      <c r="W585" s="137" t="str">
        <f t="shared" si="87"/>
        <v>X</v>
      </c>
      <c r="X585" s="137">
        <f t="shared" si="88"/>
        <v>0</v>
      </c>
    </row>
    <row r="586" spans="1:24" ht="17.25" customHeight="1">
      <c r="A586" s="137" t="str">
        <f t="shared" ca="1" si="81"/>
        <v>-</v>
      </c>
      <c r="B586" s="173"/>
      <c r="C586" s="253" t="str">
        <f t="shared" si="82"/>
        <v/>
      </c>
      <c r="D586" s="173"/>
      <c r="E586" s="173"/>
      <c r="F586" s="329" t="str">
        <f t="shared" si="89"/>
        <v/>
      </c>
      <c r="G586" s="174"/>
      <c r="H586" s="130" t="str">
        <f>IFERROR(INDEX(DMDT!B:B,MATCH($G586,DMDT!D:D,0),),"")</f>
        <v/>
      </c>
      <c r="I586" s="131"/>
      <c r="J586" s="132"/>
      <c r="K586" s="133"/>
      <c r="L586" s="134"/>
      <c r="M586" s="134"/>
      <c r="N586" s="135"/>
      <c r="O586" s="219"/>
      <c r="P586" s="143"/>
      <c r="Q586" s="144"/>
      <c r="R586" s="150"/>
      <c r="S586" s="127" t="str">
        <f t="shared" si="83"/>
        <v/>
      </c>
      <c r="T586" s="175" t="str">
        <f t="shared" si="84"/>
        <v/>
      </c>
      <c r="U586" s="158" t="e">
        <f t="shared" si="85"/>
        <v>#N/A</v>
      </c>
      <c r="V586" s="310" t="str">
        <f t="shared" si="86"/>
        <v/>
      </c>
      <c r="W586" s="137" t="str">
        <f t="shared" si="87"/>
        <v>X</v>
      </c>
      <c r="X586" s="137">
        <f t="shared" si="88"/>
        <v>0</v>
      </c>
    </row>
    <row r="587" spans="1:24" ht="17.25" customHeight="1">
      <c r="A587" s="137" t="str">
        <f t="shared" ca="1" si="81"/>
        <v>-</v>
      </c>
      <c r="B587" s="173"/>
      <c r="C587" s="253" t="str">
        <f t="shared" si="82"/>
        <v/>
      </c>
      <c r="D587" s="173"/>
      <c r="E587" s="173"/>
      <c r="F587" s="329" t="str">
        <f t="shared" si="89"/>
        <v/>
      </c>
      <c r="G587" s="174"/>
      <c r="H587" s="130" t="str">
        <f>IFERROR(INDEX(DMDT!B:B,MATCH($G587,DMDT!D:D,0),),"")</f>
        <v/>
      </c>
      <c r="I587" s="131"/>
      <c r="J587" s="132"/>
      <c r="K587" s="133"/>
      <c r="L587" s="134"/>
      <c r="M587" s="134"/>
      <c r="N587" s="135"/>
      <c r="O587" s="219"/>
      <c r="P587" s="143"/>
      <c r="Q587" s="144"/>
      <c r="R587" s="150"/>
      <c r="S587" s="127" t="str">
        <f t="shared" si="83"/>
        <v/>
      </c>
      <c r="T587" s="175" t="str">
        <f t="shared" si="84"/>
        <v/>
      </c>
      <c r="U587" s="158" t="e">
        <f t="shared" si="85"/>
        <v>#N/A</v>
      </c>
      <c r="V587" s="310" t="str">
        <f t="shared" si="86"/>
        <v/>
      </c>
      <c r="W587" s="137" t="str">
        <f t="shared" si="87"/>
        <v>X</v>
      </c>
      <c r="X587" s="137">
        <f t="shared" si="88"/>
        <v>0</v>
      </c>
    </row>
    <row r="588" spans="1:24" ht="17.25" customHeight="1">
      <c r="A588" s="137" t="str">
        <f t="shared" ca="1" si="81"/>
        <v>-</v>
      </c>
      <c r="B588" s="173"/>
      <c r="C588" s="253" t="str">
        <f t="shared" si="82"/>
        <v/>
      </c>
      <c r="D588" s="173"/>
      <c r="E588" s="173"/>
      <c r="F588" s="329" t="str">
        <f t="shared" si="89"/>
        <v/>
      </c>
      <c r="G588" s="174"/>
      <c r="H588" s="130" t="str">
        <f>IFERROR(INDEX(DMDT!B:B,MATCH($G588,DMDT!D:D,0),),"")</f>
        <v/>
      </c>
      <c r="I588" s="131"/>
      <c r="J588" s="132"/>
      <c r="K588" s="133"/>
      <c r="L588" s="134"/>
      <c r="M588" s="134"/>
      <c r="N588" s="135"/>
      <c r="O588" s="219"/>
      <c r="P588" s="143"/>
      <c r="Q588" s="144"/>
      <c r="R588" s="150"/>
      <c r="S588" s="127" t="str">
        <f t="shared" si="83"/>
        <v/>
      </c>
      <c r="T588" s="175" t="str">
        <f t="shared" si="84"/>
        <v/>
      </c>
      <c r="U588" s="158" t="e">
        <f t="shared" si="85"/>
        <v>#N/A</v>
      </c>
      <c r="V588" s="310" t="str">
        <f t="shared" si="86"/>
        <v/>
      </c>
      <c r="W588" s="137" t="str">
        <f t="shared" si="87"/>
        <v>X</v>
      </c>
      <c r="X588" s="137">
        <f t="shared" si="88"/>
        <v>0</v>
      </c>
    </row>
    <row r="589" spans="1:24" ht="17.25" customHeight="1">
      <c r="A589" s="137" t="str">
        <f t="shared" ca="1" si="81"/>
        <v>-</v>
      </c>
      <c r="B589" s="173"/>
      <c r="C589" s="253" t="str">
        <f t="shared" si="82"/>
        <v/>
      </c>
      <c r="D589" s="173"/>
      <c r="E589" s="173"/>
      <c r="F589" s="329" t="str">
        <f t="shared" si="89"/>
        <v/>
      </c>
      <c r="G589" s="174"/>
      <c r="H589" s="130" t="str">
        <f>IFERROR(INDEX(DMDT!B:B,MATCH($G589,DMDT!D:D,0),),"")</f>
        <v/>
      </c>
      <c r="I589" s="131"/>
      <c r="J589" s="132"/>
      <c r="K589" s="133"/>
      <c r="L589" s="134"/>
      <c r="M589" s="134"/>
      <c r="N589" s="135"/>
      <c r="O589" s="219"/>
      <c r="P589" s="143"/>
      <c r="Q589" s="144"/>
      <c r="R589" s="150"/>
      <c r="S589" s="127" t="str">
        <f t="shared" si="83"/>
        <v/>
      </c>
      <c r="T589" s="175" t="str">
        <f t="shared" si="84"/>
        <v/>
      </c>
      <c r="U589" s="158" t="e">
        <f t="shared" si="85"/>
        <v>#N/A</v>
      </c>
      <c r="V589" s="310" t="str">
        <f t="shared" si="86"/>
        <v/>
      </c>
      <c r="W589" s="137" t="str">
        <f t="shared" si="87"/>
        <v>X</v>
      </c>
      <c r="X589" s="137">
        <f t="shared" si="88"/>
        <v>0</v>
      </c>
    </row>
    <row r="590" spans="1:24" ht="17.25" customHeight="1">
      <c r="A590" s="137" t="str">
        <f t="shared" ca="1" si="81"/>
        <v>-</v>
      </c>
      <c r="B590" s="173"/>
      <c r="C590" s="253" t="str">
        <f t="shared" si="82"/>
        <v/>
      </c>
      <c r="D590" s="173"/>
      <c r="E590" s="173"/>
      <c r="F590" s="329" t="str">
        <f t="shared" si="89"/>
        <v/>
      </c>
      <c r="G590" s="174"/>
      <c r="H590" s="130" t="str">
        <f>IFERROR(INDEX(DMDT!B:B,MATCH($G590,DMDT!D:D,0),),"")</f>
        <v/>
      </c>
      <c r="I590" s="131"/>
      <c r="J590" s="132"/>
      <c r="K590" s="133"/>
      <c r="L590" s="134"/>
      <c r="M590" s="134"/>
      <c r="N590" s="135"/>
      <c r="O590" s="219"/>
      <c r="P590" s="143"/>
      <c r="Q590" s="144"/>
      <c r="R590" s="150"/>
      <c r="S590" s="127" t="str">
        <f t="shared" si="83"/>
        <v/>
      </c>
      <c r="T590" s="175" t="str">
        <f t="shared" si="84"/>
        <v/>
      </c>
      <c r="U590" s="158" t="e">
        <f t="shared" si="85"/>
        <v>#N/A</v>
      </c>
      <c r="V590" s="310" t="str">
        <f t="shared" si="86"/>
        <v/>
      </c>
      <c r="W590" s="137" t="str">
        <f t="shared" si="87"/>
        <v>X</v>
      </c>
      <c r="X590" s="137">
        <f t="shared" si="88"/>
        <v>0</v>
      </c>
    </row>
    <row r="591" spans="1:24" ht="17.25" customHeight="1">
      <c r="A591" s="137" t="str">
        <f t="shared" ca="1" si="81"/>
        <v>-</v>
      </c>
      <c r="B591" s="173"/>
      <c r="C591" s="253" t="str">
        <f t="shared" si="82"/>
        <v/>
      </c>
      <c r="D591" s="173"/>
      <c r="E591" s="173"/>
      <c r="F591" s="329" t="str">
        <f t="shared" si="89"/>
        <v/>
      </c>
      <c r="G591" s="174"/>
      <c r="H591" s="130" t="str">
        <f>IFERROR(INDEX(DMDT!B:B,MATCH($G591,DMDT!D:D,0),),"")</f>
        <v/>
      </c>
      <c r="I591" s="131"/>
      <c r="J591" s="132"/>
      <c r="K591" s="133"/>
      <c r="L591" s="134"/>
      <c r="M591" s="134"/>
      <c r="N591" s="135"/>
      <c r="O591" s="219"/>
      <c r="P591" s="143"/>
      <c r="Q591" s="144"/>
      <c r="R591" s="150"/>
      <c r="S591" s="127" t="str">
        <f t="shared" si="83"/>
        <v/>
      </c>
      <c r="T591" s="175" t="str">
        <f t="shared" si="84"/>
        <v/>
      </c>
      <c r="U591" s="158" t="e">
        <f t="shared" si="85"/>
        <v>#N/A</v>
      </c>
      <c r="V591" s="310" t="str">
        <f t="shared" si="86"/>
        <v/>
      </c>
      <c r="W591" s="137" t="str">
        <f t="shared" si="87"/>
        <v>X</v>
      </c>
      <c r="X591" s="137">
        <f t="shared" si="88"/>
        <v>0</v>
      </c>
    </row>
    <row r="592" spans="1:24" ht="17.25" customHeight="1">
      <c r="A592" s="137" t="str">
        <f t="shared" ca="1" si="81"/>
        <v>-</v>
      </c>
      <c r="B592" s="173"/>
      <c r="C592" s="253" t="str">
        <f t="shared" si="82"/>
        <v/>
      </c>
      <c r="D592" s="173"/>
      <c r="E592" s="173"/>
      <c r="F592" s="329" t="str">
        <f t="shared" si="89"/>
        <v/>
      </c>
      <c r="G592" s="174"/>
      <c r="H592" s="130" t="str">
        <f>IFERROR(INDEX(DMDT!B:B,MATCH($G592,DMDT!D:D,0),),"")</f>
        <v/>
      </c>
      <c r="I592" s="131"/>
      <c r="J592" s="132"/>
      <c r="K592" s="133"/>
      <c r="L592" s="134"/>
      <c r="M592" s="134"/>
      <c r="N592" s="135"/>
      <c r="O592" s="219"/>
      <c r="P592" s="143"/>
      <c r="Q592" s="144"/>
      <c r="R592" s="150"/>
      <c r="S592" s="127" t="str">
        <f t="shared" si="83"/>
        <v/>
      </c>
      <c r="T592" s="175" t="str">
        <f t="shared" si="84"/>
        <v/>
      </c>
      <c r="U592" s="158" t="e">
        <f t="shared" si="85"/>
        <v>#N/A</v>
      </c>
      <c r="V592" s="310" t="str">
        <f t="shared" si="86"/>
        <v/>
      </c>
      <c r="W592" s="137" t="str">
        <f t="shared" si="87"/>
        <v>X</v>
      </c>
      <c r="X592" s="137">
        <f t="shared" si="88"/>
        <v>0</v>
      </c>
    </row>
    <row r="593" spans="1:24" ht="17.25" customHeight="1">
      <c r="A593" s="137" t="str">
        <f t="shared" ca="1" si="81"/>
        <v>-</v>
      </c>
      <c r="B593" s="173"/>
      <c r="C593" s="253" t="str">
        <f t="shared" si="82"/>
        <v/>
      </c>
      <c r="D593" s="173"/>
      <c r="E593" s="173"/>
      <c r="F593" s="329" t="str">
        <f t="shared" si="89"/>
        <v/>
      </c>
      <c r="G593" s="174"/>
      <c r="H593" s="130" t="str">
        <f>IFERROR(INDEX(DMDT!B:B,MATCH($G593,DMDT!D:D,0),),"")</f>
        <v/>
      </c>
      <c r="I593" s="131"/>
      <c r="J593" s="132"/>
      <c r="K593" s="133"/>
      <c r="L593" s="134"/>
      <c r="M593" s="134"/>
      <c r="N593" s="135"/>
      <c r="O593" s="219"/>
      <c r="P593" s="143"/>
      <c r="Q593" s="144"/>
      <c r="R593" s="150"/>
      <c r="S593" s="127" t="str">
        <f t="shared" si="83"/>
        <v/>
      </c>
      <c r="T593" s="175" t="str">
        <f t="shared" si="84"/>
        <v/>
      </c>
      <c r="U593" s="158" t="e">
        <f t="shared" si="85"/>
        <v>#N/A</v>
      </c>
      <c r="V593" s="310" t="str">
        <f t="shared" si="86"/>
        <v/>
      </c>
      <c r="W593" s="137" t="str">
        <f t="shared" si="87"/>
        <v>X</v>
      </c>
      <c r="X593" s="137">
        <f t="shared" si="88"/>
        <v>0</v>
      </c>
    </row>
    <row r="594" spans="1:24" ht="17.25" customHeight="1">
      <c r="A594" s="137" t="str">
        <f t="shared" ca="1" si="81"/>
        <v>-</v>
      </c>
      <c r="B594" s="173"/>
      <c r="C594" s="253" t="str">
        <f t="shared" si="82"/>
        <v/>
      </c>
      <c r="D594" s="173"/>
      <c r="E594" s="173"/>
      <c r="F594" s="329" t="str">
        <f t="shared" si="89"/>
        <v/>
      </c>
      <c r="G594" s="174"/>
      <c r="H594" s="130" t="str">
        <f>IFERROR(INDEX(DMDT!B:B,MATCH($G594,DMDT!D:D,0),),"")</f>
        <v/>
      </c>
      <c r="I594" s="131"/>
      <c r="J594" s="132"/>
      <c r="K594" s="133"/>
      <c r="L594" s="134"/>
      <c r="M594" s="134"/>
      <c r="N594" s="135"/>
      <c r="O594" s="219"/>
      <c r="P594" s="143"/>
      <c r="Q594" s="144"/>
      <c r="R594" s="150"/>
      <c r="S594" s="127" t="str">
        <f t="shared" si="83"/>
        <v/>
      </c>
      <c r="T594" s="175" t="str">
        <f t="shared" si="84"/>
        <v/>
      </c>
      <c r="U594" s="158" t="e">
        <f t="shared" si="85"/>
        <v>#N/A</v>
      </c>
      <c r="V594" s="310" t="str">
        <f t="shared" si="86"/>
        <v/>
      </c>
      <c r="W594" s="137" t="str">
        <f t="shared" si="87"/>
        <v>X</v>
      </c>
      <c r="X594" s="137">
        <f t="shared" si="88"/>
        <v>0</v>
      </c>
    </row>
    <row r="595" spans="1:24" ht="17.25" customHeight="1">
      <c r="A595" s="137" t="str">
        <f t="shared" ca="1" si="81"/>
        <v>-</v>
      </c>
      <c r="B595" s="173"/>
      <c r="C595" s="253" t="str">
        <f t="shared" si="82"/>
        <v/>
      </c>
      <c r="D595" s="173"/>
      <c r="E595" s="173"/>
      <c r="F595" s="329" t="str">
        <f t="shared" si="89"/>
        <v/>
      </c>
      <c r="G595" s="174"/>
      <c r="H595" s="130" t="str">
        <f>IFERROR(INDEX(DMDT!B:B,MATCH($G595,DMDT!D:D,0),),"")</f>
        <v/>
      </c>
      <c r="I595" s="131"/>
      <c r="J595" s="132"/>
      <c r="K595" s="133"/>
      <c r="L595" s="134"/>
      <c r="M595" s="134"/>
      <c r="N595" s="135"/>
      <c r="O595" s="219"/>
      <c r="P595" s="143"/>
      <c r="Q595" s="144"/>
      <c r="R595" s="150"/>
      <c r="S595" s="127" t="str">
        <f t="shared" si="83"/>
        <v/>
      </c>
      <c r="T595" s="175" t="str">
        <f t="shared" si="84"/>
        <v/>
      </c>
      <c r="U595" s="158" t="e">
        <f t="shared" si="85"/>
        <v>#N/A</v>
      </c>
      <c r="V595" s="310" t="str">
        <f t="shared" si="86"/>
        <v/>
      </c>
      <c r="W595" s="137" t="str">
        <f t="shared" si="87"/>
        <v>X</v>
      </c>
      <c r="X595" s="137">
        <f t="shared" si="88"/>
        <v>0</v>
      </c>
    </row>
    <row r="596" spans="1:24" ht="17.25" customHeight="1">
      <c r="A596" s="137" t="str">
        <f t="shared" ca="1" si="81"/>
        <v>-</v>
      </c>
      <c r="B596" s="173"/>
      <c r="C596" s="253" t="str">
        <f t="shared" si="82"/>
        <v/>
      </c>
      <c r="D596" s="173"/>
      <c r="E596" s="173"/>
      <c r="F596" s="329" t="str">
        <f t="shared" si="89"/>
        <v/>
      </c>
      <c r="G596" s="174"/>
      <c r="H596" s="130" t="str">
        <f>IFERROR(INDEX(DMDT!B:B,MATCH($G596,DMDT!D:D,0),),"")</f>
        <v/>
      </c>
      <c r="I596" s="131"/>
      <c r="J596" s="132"/>
      <c r="K596" s="133"/>
      <c r="L596" s="134"/>
      <c r="M596" s="134"/>
      <c r="N596" s="135"/>
      <c r="O596" s="219"/>
      <c r="P596" s="143"/>
      <c r="Q596" s="144"/>
      <c r="R596" s="150"/>
      <c r="S596" s="127" t="str">
        <f t="shared" si="83"/>
        <v/>
      </c>
      <c r="T596" s="175" t="str">
        <f t="shared" si="84"/>
        <v/>
      </c>
      <c r="U596" s="158" t="e">
        <f t="shared" si="85"/>
        <v>#N/A</v>
      </c>
      <c r="V596" s="310" t="str">
        <f t="shared" si="86"/>
        <v/>
      </c>
      <c r="W596" s="137" t="str">
        <f t="shared" si="87"/>
        <v>X</v>
      </c>
      <c r="X596" s="137">
        <f t="shared" si="88"/>
        <v>0</v>
      </c>
    </row>
    <row r="597" spans="1:24" ht="17.25" customHeight="1">
      <c r="A597" s="137" t="str">
        <f t="shared" ca="1" si="81"/>
        <v>-</v>
      </c>
      <c r="B597" s="173"/>
      <c r="C597" s="253" t="str">
        <f t="shared" si="82"/>
        <v/>
      </c>
      <c r="D597" s="173"/>
      <c r="E597" s="173"/>
      <c r="F597" s="329" t="str">
        <f t="shared" si="89"/>
        <v/>
      </c>
      <c r="G597" s="174"/>
      <c r="H597" s="130" t="str">
        <f>IFERROR(INDEX(DMDT!B:B,MATCH($G597,DMDT!D:D,0),),"")</f>
        <v/>
      </c>
      <c r="I597" s="131"/>
      <c r="J597" s="132"/>
      <c r="K597" s="133"/>
      <c r="L597" s="134"/>
      <c r="M597" s="134"/>
      <c r="N597" s="135"/>
      <c r="O597" s="219"/>
      <c r="P597" s="143"/>
      <c r="Q597" s="144"/>
      <c r="R597" s="150"/>
      <c r="S597" s="127" t="str">
        <f t="shared" si="83"/>
        <v/>
      </c>
      <c r="T597" s="175" t="str">
        <f t="shared" si="84"/>
        <v/>
      </c>
      <c r="U597" s="158" t="e">
        <f t="shared" si="85"/>
        <v>#N/A</v>
      </c>
      <c r="V597" s="310" t="str">
        <f t="shared" si="86"/>
        <v/>
      </c>
      <c r="W597" s="137" t="str">
        <f t="shared" si="87"/>
        <v>X</v>
      </c>
      <c r="X597" s="137">
        <f t="shared" si="88"/>
        <v>0</v>
      </c>
    </row>
    <row r="598" spans="1:24" ht="17.25" customHeight="1">
      <c r="A598" s="137" t="str">
        <f t="shared" ca="1" si="81"/>
        <v>-</v>
      </c>
      <c r="B598" s="173"/>
      <c r="C598" s="253" t="str">
        <f t="shared" si="82"/>
        <v/>
      </c>
      <c r="D598" s="173"/>
      <c r="E598" s="173"/>
      <c r="F598" s="329" t="str">
        <f t="shared" si="89"/>
        <v/>
      </c>
      <c r="G598" s="174"/>
      <c r="H598" s="130" t="str">
        <f>IFERROR(INDEX(DMDT!B:B,MATCH($G598,DMDT!D:D,0),),"")</f>
        <v/>
      </c>
      <c r="I598" s="131"/>
      <c r="J598" s="132"/>
      <c r="K598" s="133"/>
      <c r="L598" s="134"/>
      <c r="M598" s="134"/>
      <c r="N598" s="135"/>
      <c r="O598" s="219"/>
      <c r="P598" s="143"/>
      <c r="Q598" s="144"/>
      <c r="R598" s="150"/>
      <c r="S598" s="127" t="str">
        <f t="shared" si="83"/>
        <v/>
      </c>
      <c r="T598" s="175" t="str">
        <f t="shared" si="84"/>
        <v/>
      </c>
      <c r="U598" s="158" t="e">
        <f t="shared" si="85"/>
        <v>#N/A</v>
      </c>
      <c r="V598" s="310" t="str">
        <f t="shared" si="86"/>
        <v/>
      </c>
      <c r="W598" s="137" t="str">
        <f t="shared" si="87"/>
        <v>X</v>
      </c>
      <c r="X598" s="137">
        <f t="shared" si="88"/>
        <v>0</v>
      </c>
    </row>
    <row r="599" spans="1:24" ht="17.25" customHeight="1">
      <c r="A599" s="137" t="str">
        <f t="shared" ca="1" si="81"/>
        <v>-</v>
      </c>
      <c r="B599" s="173"/>
      <c r="C599" s="253" t="str">
        <f t="shared" si="82"/>
        <v/>
      </c>
      <c r="D599" s="173"/>
      <c r="E599" s="173"/>
      <c r="F599" s="329" t="str">
        <f t="shared" si="89"/>
        <v/>
      </c>
      <c r="G599" s="174"/>
      <c r="H599" s="130" t="str">
        <f>IFERROR(INDEX(DMDT!B:B,MATCH($G599,DMDT!D:D,0),),"")</f>
        <v/>
      </c>
      <c r="I599" s="131"/>
      <c r="J599" s="132"/>
      <c r="K599" s="133"/>
      <c r="L599" s="134"/>
      <c r="M599" s="134"/>
      <c r="N599" s="135"/>
      <c r="O599" s="219"/>
      <c r="P599" s="143"/>
      <c r="Q599" s="144"/>
      <c r="R599" s="150"/>
      <c r="S599" s="127" t="str">
        <f t="shared" si="83"/>
        <v/>
      </c>
      <c r="T599" s="175" t="str">
        <f t="shared" si="84"/>
        <v/>
      </c>
      <c r="U599" s="158" t="e">
        <f t="shared" si="85"/>
        <v>#N/A</v>
      </c>
      <c r="V599" s="310" t="str">
        <f t="shared" si="86"/>
        <v/>
      </c>
      <c r="W599" s="137" t="str">
        <f t="shared" si="87"/>
        <v>X</v>
      </c>
      <c r="X599" s="137">
        <f t="shared" si="88"/>
        <v>0</v>
      </c>
    </row>
    <row r="600" spans="1:24" ht="17.25" customHeight="1">
      <c r="A600" s="137" t="str">
        <f t="shared" ca="1" si="81"/>
        <v>-</v>
      </c>
      <c r="B600" s="173"/>
      <c r="C600" s="253" t="str">
        <f t="shared" si="82"/>
        <v/>
      </c>
      <c r="D600" s="173"/>
      <c r="E600" s="173"/>
      <c r="F600" s="329" t="str">
        <f t="shared" si="89"/>
        <v/>
      </c>
      <c r="G600" s="174"/>
      <c r="H600" s="130" t="str">
        <f>IFERROR(INDEX(DMDT!B:B,MATCH($G600,DMDT!D:D,0),),"")</f>
        <v/>
      </c>
      <c r="I600" s="131"/>
      <c r="J600" s="132"/>
      <c r="K600" s="133"/>
      <c r="L600" s="134"/>
      <c r="M600" s="134"/>
      <c r="N600" s="135"/>
      <c r="O600" s="219"/>
      <c r="P600" s="143"/>
      <c r="Q600" s="144"/>
      <c r="R600" s="150"/>
      <c r="S600" s="127" t="str">
        <f t="shared" si="83"/>
        <v/>
      </c>
      <c r="T600" s="175" t="str">
        <f t="shared" si="84"/>
        <v/>
      </c>
      <c r="U600" s="158" t="e">
        <f t="shared" si="85"/>
        <v>#N/A</v>
      </c>
      <c r="V600" s="310" t="str">
        <f t="shared" si="86"/>
        <v/>
      </c>
      <c r="W600" s="137" t="str">
        <f t="shared" si="87"/>
        <v>X</v>
      </c>
      <c r="X600" s="137">
        <f t="shared" si="88"/>
        <v>0</v>
      </c>
    </row>
    <row r="601" spans="1:24" ht="17.25" customHeight="1">
      <c r="A601" s="137" t="str">
        <f t="shared" ca="1" si="81"/>
        <v>-</v>
      </c>
      <c r="B601" s="173"/>
      <c r="C601" s="253" t="str">
        <f t="shared" si="82"/>
        <v/>
      </c>
      <c r="D601" s="173"/>
      <c r="E601" s="173"/>
      <c r="F601" s="329" t="str">
        <f t="shared" si="89"/>
        <v/>
      </c>
      <c r="G601" s="174"/>
      <c r="H601" s="130" t="str">
        <f>IFERROR(INDEX(DMDT!B:B,MATCH($G601,DMDT!D:D,0),),"")</f>
        <v/>
      </c>
      <c r="I601" s="131"/>
      <c r="J601" s="132"/>
      <c r="K601" s="133"/>
      <c r="L601" s="134"/>
      <c r="M601" s="134"/>
      <c r="N601" s="135"/>
      <c r="O601" s="219"/>
      <c r="P601" s="143"/>
      <c r="Q601" s="144"/>
      <c r="R601" s="150"/>
      <c r="S601" s="127" t="str">
        <f t="shared" si="83"/>
        <v/>
      </c>
      <c r="T601" s="175" t="str">
        <f t="shared" si="84"/>
        <v/>
      </c>
      <c r="U601" s="158" t="e">
        <f t="shared" si="85"/>
        <v>#N/A</v>
      </c>
      <c r="V601" s="310" t="str">
        <f t="shared" si="86"/>
        <v/>
      </c>
      <c r="W601" s="137" t="str">
        <f t="shared" si="87"/>
        <v>X</v>
      </c>
      <c r="X601" s="137">
        <f t="shared" si="88"/>
        <v>0</v>
      </c>
    </row>
    <row r="602" spans="1:24" ht="17.25" customHeight="1">
      <c r="A602" s="137" t="str">
        <f t="shared" ca="1" si="81"/>
        <v>-</v>
      </c>
      <c r="B602" s="173"/>
      <c r="C602" s="253" t="str">
        <f t="shared" si="82"/>
        <v/>
      </c>
      <c r="D602" s="173"/>
      <c r="E602" s="173"/>
      <c r="F602" s="329" t="str">
        <f t="shared" si="89"/>
        <v/>
      </c>
      <c r="G602" s="174"/>
      <c r="H602" s="130" t="str">
        <f>IFERROR(INDEX(DMDT!B:B,MATCH($G602,DMDT!D:D,0),),"")</f>
        <v/>
      </c>
      <c r="I602" s="131"/>
      <c r="J602" s="132"/>
      <c r="K602" s="133"/>
      <c r="L602" s="134"/>
      <c r="M602" s="134"/>
      <c r="N602" s="135"/>
      <c r="O602" s="219"/>
      <c r="P602" s="143"/>
      <c r="Q602" s="144"/>
      <c r="R602" s="150"/>
      <c r="S602" s="127" t="str">
        <f t="shared" si="83"/>
        <v/>
      </c>
      <c r="T602" s="175" t="str">
        <f t="shared" si="84"/>
        <v/>
      </c>
      <c r="U602" s="158" t="e">
        <f t="shared" si="85"/>
        <v>#N/A</v>
      </c>
      <c r="V602" s="310" t="str">
        <f t="shared" si="86"/>
        <v/>
      </c>
      <c r="W602" s="137" t="str">
        <f t="shared" si="87"/>
        <v>X</v>
      </c>
      <c r="X602" s="137">
        <f t="shared" si="88"/>
        <v>0</v>
      </c>
    </row>
    <row r="603" spans="1:24" ht="17.25" customHeight="1">
      <c r="A603" s="137" t="str">
        <f t="shared" ca="1" si="81"/>
        <v>-</v>
      </c>
      <c r="B603" s="173"/>
      <c r="C603" s="253" t="str">
        <f t="shared" si="82"/>
        <v/>
      </c>
      <c r="D603" s="173"/>
      <c r="E603" s="173"/>
      <c r="F603" s="329" t="str">
        <f t="shared" si="89"/>
        <v/>
      </c>
      <c r="G603" s="174"/>
      <c r="H603" s="130" t="str">
        <f>IFERROR(INDEX(DMDT!B:B,MATCH($G603,DMDT!D:D,0),),"")</f>
        <v/>
      </c>
      <c r="I603" s="131"/>
      <c r="J603" s="132"/>
      <c r="K603" s="133"/>
      <c r="L603" s="134"/>
      <c r="M603" s="134"/>
      <c r="N603" s="135"/>
      <c r="O603" s="219"/>
      <c r="P603" s="143"/>
      <c r="Q603" s="144"/>
      <c r="R603" s="150"/>
      <c r="S603" s="127" t="str">
        <f t="shared" si="83"/>
        <v/>
      </c>
      <c r="T603" s="175" t="str">
        <f t="shared" si="84"/>
        <v/>
      </c>
      <c r="U603" s="158" t="e">
        <f t="shared" si="85"/>
        <v>#N/A</v>
      </c>
      <c r="V603" s="310" t="str">
        <f t="shared" si="86"/>
        <v/>
      </c>
      <c r="W603" s="137" t="str">
        <f t="shared" si="87"/>
        <v>X</v>
      </c>
      <c r="X603" s="137">
        <f t="shared" si="88"/>
        <v>0</v>
      </c>
    </row>
    <row r="604" spans="1:24" ht="17.25" customHeight="1">
      <c r="A604" s="137" t="str">
        <f t="shared" ca="1" si="81"/>
        <v>-</v>
      </c>
      <c r="B604" s="173"/>
      <c r="C604" s="253" t="str">
        <f t="shared" si="82"/>
        <v/>
      </c>
      <c r="D604" s="173"/>
      <c r="E604" s="173"/>
      <c r="F604" s="329" t="str">
        <f t="shared" si="89"/>
        <v/>
      </c>
      <c r="G604" s="174"/>
      <c r="H604" s="130" t="str">
        <f>IFERROR(INDEX(DMDT!B:B,MATCH($G604,DMDT!D:D,0),),"")</f>
        <v/>
      </c>
      <c r="I604" s="131"/>
      <c r="J604" s="132"/>
      <c r="K604" s="133"/>
      <c r="L604" s="134"/>
      <c r="M604" s="134"/>
      <c r="N604" s="135"/>
      <c r="O604" s="219"/>
      <c r="P604" s="143"/>
      <c r="Q604" s="144"/>
      <c r="R604" s="150"/>
      <c r="S604" s="127" t="str">
        <f t="shared" si="83"/>
        <v/>
      </c>
      <c r="T604" s="175" t="str">
        <f t="shared" si="84"/>
        <v/>
      </c>
      <c r="U604" s="158" t="e">
        <f t="shared" si="85"/>
        <v>#N/A</v>
      </c>
      <c r="V604" s="310" t="str">
        <f t="shared" si="86"/>
        <v/>
      </c>
      <c r="W604" s="137" t="str">
        <f t="shared" si="87"/>
        <v>X</v>
      </c>
      <c r="X604" s="137">
        <f t="shared" si="88"/>
        <v>0</v>
      </c>
    </row>
    <row r="605" spans="1:24" ht="17.25" customHeight="1">
      <c r="A605" s="137" t="str">
        <f t="shared" ca="1" si="81"/>
        <v>-</v>
      </c>
      <c r="B605" s="173"/>
      <c r="C605" s="253" t="str">
        <f t="shared" si="82"/>
        <v/>
      </c>
      <c r="D605" s="173"/>
      <c r="E605" s="173"/>
      <c r="F605" s="329" t="str">
        <f t="shared" si="89"/>
        <v/>
      </c>
      <c r="G605" s="174"/>
      <c r="H605" s="130" t="str">
        <f>IFERROR(INDEX(DMDT!B:B,MATCH($G605,DMDT!D:D,0),),"")</f>
        <v/>
      </c>
      <c r="I605" s="131"/>
      <c r="J605" s="132"/>
      <c r="K605" s="133"/>
      <c r="L605" s="134"/>
      <c r="M605" s="134"/>
      <c r="N605" s="135"/>
      <c r="O605" s="219"/>
      <c r="P605" s="143"/>
      <c r="Q605" s="144"/>
      <c r="R605" s="150"/>
      <c r="S605" s="127" t="str">
        <f t="shared" si="83"/>
        <v/>
      </c>
      <c r="T605" s="175" t="str">
        <f t="shared" si="84"/>
        <v/>
      </c>
      <c r="U605" s="158" t="e">
        <f t="shared" si="85"/>
        <v>#N/A</v>
      </c>
      <c r="V605" s="310" t="str">
        <f t="shared" si="86"/>
        <v/>
      </c>
      <c r="W605" s="137" t="str">
        <f t="shared" si="87"/>
        <v>X</v>
      </c>
      <c r="X605" s="137">
        <f t="shared" si="88"/>
        <v>0</v>
      </c>
    </row>
    <row r="606" spans="1:24" ht="17.25" customHeight="1">
      <c r="A606" s="137" t="str">
        <f t="shared" ca="1" si="81"/>
        <v>-</v>
      </c>
      <c r="B606" s="173"/>
      <c r="C606" s="253" t="str">
        <f t="shared" si="82"/>
        <v/>
      </c>
      <c r="D606" s="173"/>
      <c r="E606" s="173"/>
      <c r="F606" s="329" t="str">
        <f t="shared" si="89"/>
        <v/>
      </c>
      <c r="G606" s="174"/>
      <c r="H606" s="130" t="str">
        <f>IFERROR(INDEX(DMDT!B:B,MATCH($G606,DMDT!D:D,0),),"")</f>
        <v/>
      </c>
      <c r="I606" s="131"/>
      <c r="J606" s="132"/>
      <c r="K606" s="133"/>
      <c r="L606" s="134"/>
      <c r="M606" s="134"/>
      <c r="N606" s="135"/>
      <c r="O606" s="219"/>
      <c r="P606" s="143"/>
      <c r="Q606" s="144"/>
      <c r="R606" s="150"/>
      <c r="S606" s="127" t="str">
        <f t="shared" si="83"/>
        <v/>
      </c>
      <c r="T606" s="175" t="str">
        <f t="shared" si="84"/>
        <v/>
      </c>
      <c r="U606" s="158" t="e">
        <f t="shared" si="85"/>
        <v>#N/A</v>
      </c>
      <c r="V606" s="310" t="str">
        <f t="shared" si="86"/>
        <v/>
      </c>
      <c r="W606" s="137" t="str">
        <f t="shared" si="87"/>
        <v>X</v>
      </c>
      <c r="X606" s="137">
        <f t="shared" si="88"/>
        <v>0</v>
      </c>
    </row>
    <row r="607" spans="1:24" ht="17.25" customHeight="1">
      <c r="A607" s="137" t="str">
        <f t="shared" ca="1" si="81"/>
        <v>-</v>
      </c>
      <c r="B607" s="173"/>
      <c r="C607" s="253" t="str">
        <f t="shared" si="82"/>
        <v/>
      </c>
      <c r="D607" s="173"/>
      <c r="E607" s="173"/>
      <c r="F607" s="329" t="str">
        <f t="shared" si="89"/>
        <v/>
      </c>
      <c r="G607" s="174"/>
      <c r="H607" s="130" t="str">
        <f>IFERROR(INDEX(DMDT!B:B,MATCH($G607,DMDT!D:D,0),),"")</f>
        <v/>
      </c>
      <c r="I607" s="131"/>
      <c r="J607" s="132"/>
      <c r="K607" s="133"/>
      <c r="L607" s="134"/>
      <c r="M607" s="134"/>
      <c r="N607" s="135"/>
      <c r="O607" s="219"/>
      <c r="P607" s="143"/>
      <c r="Q607" s="144"/>
      <c r="R607" s="150"/>
      <c r="S607" s="127" t="str">
        <f t="shared" si="83"/>
        <v/>
      </c>
      <c r="T607" s="175" t="str">
        <f t="shared" si="84"/>
        <v/>
      </c>
      <c r="U607" s="158" t="e">
        <f t="shared" si="85"/>
        <v>#N/A</v>
      </c>
      <c r="V607" s="310" t="str">
        <f t="shared" si="86"/>
        <v/>
      </c>
      <c r="W607" s="137" t="str">
        <f t="shared" si="87"/>
        <v>X</v>
      </c>
      <c r="X607" s="137">
        <f t="shared" si="88"/>
        <v>0</v>
      </c>
    </row>
    <row r="608" spans="1:24" ht="17.25" customHeight="1">
      <c r="A608" s="137" t="str">
        <f t="shared" ca="1" si="81"/>
        <v>-</v>
      </c>
      <c r="B608" s="173"/>
      <c r="C608" s="253" t="str">
        <f t="shared" si="82"/>
        <v/>
      </c>
      <c r="D608" s="173"/>
      <c r="E608" s="173"/>
      <c r="F608" s="329" t="str">
        <f t="shared" si="89"/>
        <v/>
      </c>
      <c r="G608" s="174"/>
      <c r="H608" s="130" t="str">
        <f>IFERROR(INDEX(DMDT!B:B,MATCH($G608,DMDT!D:D,0),),"")</f>
        <v/>
      </c>
      <c r="I608" s="131"/>
      <c r="J608" s="132"/>
      <c r="K608" s="133"/>
      <c r="L608" s="134"/>
      <c r="M608" s="134"/>
      <c r="N608" s="135"/>
      <c r="O608" s="219"/>
      <c r="P608" s="143"/>
      <c r="Q608" s="144"/>
      <c r="R608" s="150"/>
      <c r="S608" s="127" t="str">
        <f t="shared" si="83"/>
        <v/>
      </c>
      <c r="T608" s="175" t="str">
        <f t="shared" si="84"/>
        <v/>
      </c>
      <c r="U608" s="158" t="e">
        <f t="shared" si="85"/>
        <v>#N/A</v>
      </c>
      <c r="V608" s="310" t="str">
        <f t="shared" si="86"/>
        <v/>
      </c>
      <c r="W608" s="137" t="str">
        <f t="shared" si="87"/>
        <v>X</v>
      </c>
      <c r="X608" s="137">
        <f t="shared" si="88"/>
        <v>0</v>
      </c>
    </row>
    <row r="609" spans="1:24" ht="17.25" customHeight="1">
      <c r="A609" s="137" t="str">
        <f t="shared" ca="1" si="81"/>
        <v>-</v>
      </c>
      <c r="B609" s="173"/>
      <c r="C609" s="253" t="str">
        <f t="shared" si="82"/>
        <v/>
      </c>
      <c r="D609" s="173"/>
      <c r="E609" s="173"/>
      <c r="F609" s="329" t="str">
        <f t="shared" si="89"/>
        <v/>
      </c>
      <c r="G609" s="174"/>
      <c r="H609" s="130" t="str">
        <f>IFERROR(INDEX(DMDT!B:B,MATCH($G609,DMDT!D:D,0),),"")</f>
        <v/>
      </c>
      <c r="I609" s="131"/>
      <c r="J609" s="132"/>
      <c r="K609" s="133"/>
      <c r="L609" s="134"/>
      <c r="M609" s="134"/>
      <c r="N609" s="135"/>
      <c r="O609" s="219"/>
      <c r="P609" s="143"/>
      <c r="Q609" s="144"/>
      <c r="R609" s="150"/>
      <c r="S609" s="127" t="str">
        <f t="shared" si="83"/>
        <v/>
      </c>
      <c r="T609" s="175" t="str">
        <f t="shared" si="84"/>
        <v/>
      </c>
      <c r="U609" s="158" t="e">
        <f t="shared" si="85"/>
        <v>#N/A</v>
      </c>
      <c r="V609" s="310" t="str">
        <f t="shared" si="86"/>
        <v/>
      </c>
      <c r="W609" s="137" t="str">
        <f t="shared" si="87"/>
        <v>X</v>
      </c>
      <c r="X609" s="137">
        <f t="shared" si="88"/>
        <v>0</v>
      </c>
    </row>
    <row r="610" spans="1:24" ht="17.25" customHeight="1">
      <c r="A610" s="137" t="str">
        <f t="shared" ca="1" si="81"/>
        <v>-</v>
      </c>
      <c r="B610" s="173"/>
      <c r="C610" s="253" t="str">
        <f t="shared" si="82"/>
        <v/>
      </c>
      <c r="D610" s="173"/>
      <c r="E610" s="173"/>
      <c r="F610" s="329" t="str">
        <f t="shared" si="89"/>
        <v/>
      </c>
      <c r="G610" s="174"/>
      <c r="H610" s="130" t="str">
        <f>IFERROR(INDEX(DMDT!B:B,MATCH($G610,DMDT!D:D,0),),"")</f>
        <v/>
      </c>
      <c r="I610" s="131"/>
      <c r="J610" s="132"/>
      <c r="K610" s="133"/>
      <c r="L610" s="134"/>
      <c r="M610" s="134"/>
      <c r="N610" s="135"/>
      <c r="O610" s="219"/>
      <c r="P610" s="143"/>
      <c r="Q610" s="144"/>
      <c r="R610" s="150"/>
      <c r="S610" s="127" t="str">
        <f t="shared" si="83"/>
        <v/>
      </c>
      <c r="T610" s="175" t="str">
        <f t="shared" si="84"/>
        <v/>
      </c>
      <c r="U610" s="158" t="e">
        <f t="shared" si="85"/>
        <v>#N/A</v>
      </c>
      <c r="V610" s="310" t="str">
        <f t="shared" si="86"/>
        <v/>
      </c>
      <c r="W610" s="137" t="str">
        <f t="shared" si="87"/>
        <v>X</v>
      </c>
      <c r="X610" s="137">
        <f t="shared" si="88"/>
        <v>0</v>
      </c>
    </row>
    <row r="611" spans="1:24" ht="17.25" customHeight="1">
      <c r="A611" s="137" t="str">
        <f t="shared" ca="1" si="81"/>
        <v>-</v>
      </c>
      <c r="B611" s="173"/>
      <c r="C611" s="253" t="str">
        <f t="shared" si="82"/>
        <v/>
      </c>
      <c r="D611" s="173"/>
      <c r="E611" s="173"/>
      <c r="F611" s="329" t="str">
        <f t="shared" si="89"/>
        <v/>
      </c>
      <c r="G611" s="174"/>
      <c r="H611" s="130" t="str">
        <f>IFERROR(INDEX(DMDT!B:B,MATCH($G611,DMDT!D:D,0),),"")</f>
        <v/>
      </c>
      <c r="I611" s="131"/>
      <c r="J611" s="132"/>
      <c r="K611" s="133"/>
      <c r="L611" s="134"/>
      <c r="M611" s="134"/>
      <c r="N611" s="135"/>
      <c r="O611" s="219"/>
      <c r="P611" s="143"/>
      <c r="Q611" s="144"/>
      <c r="R611" s="150"/>
      <c r="S611" s="127" t="str">
        <f t="shared" si="83"/>
        <v/>
      </c>
      <c r="T611" s="175" t="str">
        <f t="shared" si="84"/>
        <v/>
      </c>
      <c r="U611" s="158" t="e">
        <f t="shared" si="85"/>
        <v>#N/A</v>
      </c>
      <c r="V611" s="310" t="str">
        <f t="shared" si="86"/>
        <v/>
      </c>
      <c r="W611" s="137" t="str">
        <f t="shared" si="87"/>
        <v>X</v>
      </c>
      <c r="X611" s="137">
        <f t="shared" si="88"/>
        <v>0</v>
      </c>
    </row>
    <row r="612" spans="1:24" ht="17.25" customHeight="1">
      <c r="A612" s="137" t="str">
        <f t="shared" ca="1" si="81"/>
        <v>-</v>
      </c>
      <c r="B612" s="173"/>
      <c r="C612" s="253" t="str">
        <f t="shared" si="82"/>
        <v/>
      </c>
      <c r="D612" s="173"/>
      <c r="E612" s="173"/>
      <c r="F612" s="329" t="str">
        <f t="shared" si="89"/>
        <v/>
      </c>
      <c r="G612" s="174"/>
      <c r="H612" s="130" t="str">
        <f>IFERROR(INDEX(DMDT!B:B,MATCH($G612,DMDT!D:D,0),),"")</f>
        <v/>
      </c>
      <c r="I612" s="131"/>
      <c r="J612" s="132"/>
      <c r="K612" s="133"/>
      <c r="L612" s="134"/>
      <c r="M612" s="134"/>
      <c r="N612" s="135"/>
      <c r="O612" s="219"/>
      <c r="P612" s="143"/>
      <c r="Q612" s="144"/>
      <c r="R612" s="150"/>
      <c r="S612" s="127" t="str">
        <f t="shared" si="83"/>
        <v/>
      </c>
      <c r="T612" s="175" t="str">
        <f t="shared" si="84"/>
        <v/>
      </c>
      <c r="U612" s="158" t="e">
        <f t="shared" si="85"/>
        <v>#N/A</v>
      </c>
      <c r="V612" s="310" t="str">
        <f t="shared" si="86"/>
        <v/>
      </c>
      <c r="W612" s="137" t="str">
        <f t="shared" si="87"/>
        <v>X</v>
      </c>
      <c r="X612" s="137">
        <f t="shared" si="88"/>
        <v>0</v>
      </c>
    </row>
    <row r="613" spans="1:24" ht="17.25" customHeight="1">
      <c r="A613" s="137" t="str">
        <f t="shared" ca="1" si="81"/>
        <v>-</v>
      </c>
      <c r="B613" s="173"/>
      <c r="C613" s="253" t="str">
        <f t="shared" si="82"/>
        <v/>
      </c>
      <c r="D613" s="173"/>
      <c r="E613" s="173"/>
      <c r="F613" s="329" t="str">
        <f t="shared" si="89"/>
        <v/>
      </c>
      <c r="G613" s="174"/>
      <c r="H613" s="130" t="str">
        <f>IFERROR(INDEX(DMDT!B:B,MATCH($G613,DMDT!D:D,0),),"")</f>
        <v/>
      </c>
      <c r="I613" s="131"/>
      <c r="J613" s="132"/>
      <c r="K613" s="133"/>
      <c r="L613" s="134"/>
      <c r="M613" s="134"/>
      <c r="N613" s="135"/>
      <c r="O613" s="219"/>
      <c r="P613" s="143"/>
      <c r="Q613" s="144"/>
      <c r="R613" s="150"/>
      <c r="S613" s="127" t="str">
        <f t="shared" si="83"/>
        <v/>
      </c>
      <c r="T613" s="175" t="str">
        <f t="shared" si="84"/>
        <v/>
      </c>
      <c r="U613" s="158" t="e">
        <f t="shared" si="85"/>
        <v>#N/A</v>
      </c>
      <c r="V613" s="310" t="str">
        <f t="shared" si="86"/>
        <v/>
      </c>
      <c r="W613" s="137" t="str">
        <f t="shared" si="87"/>
        <v>X</v>
      </c>
      <c r="X613" s="137">
        <f t="shared" si="88"/>
        <v>0</v>
      </c>
    </row>
    <row r="614" spans="1:24" ht="17.25" customHeight="1">
      <c r="A614" s="137" t="str">
        <f t="shared" ca="1" si="81"/>
        <v>-</v>
      </c>
      <c r="B614" s="173"/>
      <c r="C614" s="253" t="str">
        <f t="shared" si="82"/>
        <v/>
      </c>
      <c r="D614" s="173"/>
      <c r="E614" s="173"/>
      <c r="F614" s="329" t="str">
        <f t="shared" si="89"/>
        <v/>
      </c>
      <c r="G614" s="174"/>
      <c r="H614" s="130" t="str">
        <f>IFERROR(INDEX(DMDT!B:B,MATCH($G614,DMDT!D:D,0),),"")</f>
        <v/>
      </c>
      <c r="I614" s="131"/>
      <c r="J614" s="132"/>
      <c r="K614" s="133"/>
      <c r="L614" s="134"/>
      <c r="M614" s="134"/>
      <c r="N614" s="135"/>
      <c r="O614" s="219"/>
      <c r="P614" s="143"/>
      <c r="Q614" s="144"/>
      <c r="R614" s="150"/>
      <c r="S614" s="127" t="str">
        <f t="shared" si="83"/>
        <v/>
      </c>
      <c r="T614" s="175" t="str">
        <f t="shared" si="84"/>
        <v/>
      </c>
      <c r="U614" s="158" t="e">
        <f t="shared" si="85"/>
        <v>#N/A</v>
      </c>
      <c r="V614" s="310" t="str">
        <f t="shared" si="86"/>
        <v/>
      </c>
      <c r="W614" s="137" t="str">
        <f t="shared" si="87"/>
        <v>X</v>
      </c>
      <c r="X614" s="137">
        <f t="shared" si="88"/>
        <v>0</v>
      </c>
    </row>
    <row r="615" spans="1:24" ht="17.25" customHeight="1">
      <c r="A615" s="137" t="str">
        <f t="shared" ca="1" si="81"/>
        <v>-</v>
      </c>
      <c r="B615" s="173"/>
      <c r="C615" s="253" t="str">
        <f t="shared" si="82"/>
        <v/>
      </c>
      <c r="D615" s="173"/>
      <c r="E615" s="173"/>
      <c r="F615" s="329" t="str">
        <f t="shared" si="89"/>
        <v/>
      </c>
      <c r="G615" s="174"/>
      <c r="H615" s="130" t="str">
        <f>IFERROR(INDEX(DMDT!B:B,MATCH($G615,DMDT!D:D,0),),"")</f>
        <v/>
      </c>
      <c r="I615" s="131"/>
      <c r="J615" s="132"/>
      <c r="K615" s="133"/>
      <c r="L615" s="134"/>
      <c r="M615" s="134"/>
      <c r="N615" s="135"/>
      <c r="O615" s="219"/>
      <c r="P615" s="143"/>
      <c r="Q615" s="144"/>
      <c r="R615" s="150"/>
      <c r="S615" s="127" t="str">
        <f t="shared" si="83"/>
        <v/>
      </c>
      <c r="T615" s="175" t="str">
        <f t="shared" si="84"/>
        <v/>
      </c>
      <c r="U615" s="158" t="e">
        <f t="shared" si="85"/>
        <v>#N/A</v>
      </c>
      <c r="V615" s="310" t="str">
        <f t="shared" si="86"/>
        <v/>
      </c>
      <c r="W615" s="137" t="str">
        <f t="shared" si="87"/>
        <v>X</v>
      </c>
      <c r="X615" s="137">
        <f t="shared" si="88"/>
        <v>0</v>
      </c>
    </row>
    <row r="616" spans="1:24" ht="17.25" customHeight="1">
      <c r="A616" s="137" t="str">
        <f t="shared" ca="1" si="81"/>
        <v>-</v>
      </c>
      <c r="B616" s="173"/>
      <c r="C616" s="253" t="str">
        <f t="shared" si="82"/>
        <v/>
      </c>
      <c r="D616" s="173"/>
      <c r="E616" s="173"/>
      <c r="F616" s="329" t="str">
        <f t="shared" si="89"/>
        <v/>
      </c>
      <c r="G616" s="174"/>
      <c r="H616" s="130" t="str">
        <f>IFERROR(INDEX(DMDT!B:B,MATCH($G616,DMDT!D:D,0),),"")</f>
        <v/>
      </c>
      <c r="I616" s="131"/>
      <c r="J616" s="132"/>
      <c r="K616" s="133"/>
      <c r="L616" s="134"/>
      <c r="M616" s="134"/>
      <c r="N616" s="135"/>
      <c r="O616" s="219"/>
      <c r="P616" s="143"/>
      <c r="Q616" s="144"/>
      <c r="R616" s="150"/>
      <c r="S616" s="127" t="str">
        <f t="shared" si="83"/>
        <v/>
      </c>
      <c r="T616" s="175" t="str">
        <f t="shared" si="84"/>
        <v/>
      </c>
      <c r="U616" s="158" t="e">
        <f t="shared" si="85"/>
        <v>#N/A</v>
      </c>
      <c r="V616" s="310" t="str">
        <f t="shared" si="86"/>
        <v/>
      </c>
      <c r="W616" s="137" t="str">
        <f t="shared" si="87"/>
        <v>X</v>
      </c>
      <c r="X616" s="137">
        <f t="shared" si="88"/>
        <v>0</v>
      </c>
    </row>
    <row r="617" spans="1:24" ht="17.25" customHeight="1">
      <c r="A617" s="137" t="str">
        <f t="shared" ca="1" si="81"/>
        <v>-</v>
      </c>
      <c r="B617" s="173"/>
      <c r="C617" s="253" t="str">
        <f t="shared" si="82"/>
        <v/>
      </c>
      <c r="D617" s="173"/>
      <c r="E617" s="173"/>
      <c r="F617" s="329" t="str">
        <f t="shared" si="89"/>
        <v/>
      </c>
      <c r="G617" s="174"/>
      <c r="H617" s="130" t="str">
        <f>IFERROR(INDEX(DMDT!B:B,MATCH($G617,DMDT!D:D,0),),"")</f>
        <v/>
      </c>
      <c r="I617" s="131"/>
      <c r="J617" s="132"/>
      <c r="K617" s="133"/>
      <c r="L617" s="134"/>
      <c r="M617" s="134"/>
      <c r="N617" s="135"/>
      <c r="O617" s="219"/>
      <c r="P617" s="143"/>
      <c r="Q617" s="144"/>
      <c r="R617" s="150"/>
      <c r="S617" s="127" t="str">
        <f t="shared" si="83"/>
        <v/>
      </c>
      <c r="T617" s="175" t="str">
        <f t="shared" si="84"/>
        <v/>
      </c>
      <c r="U617" s="158" t="e">
        <f t="shared" si="85"/>
        <v>#N/A</v>
      </c>
      <c r="V617" s="310" t="str">
        <f t="shared" si="86"/>
        <v/>
      </c>
      <c r="W617" s="137" t="str">
        <f t="shared" si="87"/>
        <v>X</v>
      </c>
      <c r="X617" s="137">
        <f t="shared" si="88"/>
        <v>0</v>
      </c>
    </row>
    <row r="618" spans="1:24" ht="17.25" customHeight="1">
      <c r="A618" s="137" t="str">
        <f t="shared" ca="1" si="81"/>
        <v>-</v>
      </c>
      <c r="B618" s="173"/>
      <c r="C618" s="253" t="str">
        <f t="shared" si="82"/>
        <v/>
      </c>
      <c r="D618" s="173"/>
      <c r="E618" s="173"/>
      <c r="F618" s="329" t="str">
        <f t="shared" si="89"/>
        <v/>
      </c>
      <c r="G618" s="174"/>
      <c r="H618" s="130" t="str">
        <f>IFERROR(INDEX(DMDT!B:B,MATCH($G618,DMDT!D:D,0),),"")</f>
        <v/>
      </c>
      <c r="I618" s="131"/>
      <c r="J618" s="132"/>
      <c r="K618" s="133"/>
      <c r="L618" s="134"/>
      <c r="M618" s="134"/>
      <c r="N618" s="135"/>
      <c r="O618" s="219"/>
      <c r="P618" s="143"/>
      <c r="Q618" s="144"/>
      <c r="R618" s="150"/>
      <c r="S618" s="127" t="str">
        <f t="shared" si="83"/>
        <v/>
      </c>
      <c r="T618" s="175" t="str">
        <f t="shared" si="84"/>
        <v/>
      </c>
      <c r="U618" s="158" t="e">
        <f t="shared" si="85"/>
        <v>#N/A</v>
      </c>
      <c r="V618" s="310" t="str">
        <f t="shared" si="86"/>
        <v/>
      </c>
      <c r="W618" s="137" t="str">
        <f t="shared" si="87"/>
        <v>X</v>
      </c>
      <c r="X618" s="137">
        <f t="shared" si="88"/>
        <v>0</v>
      </c>
    </row>
    <row r="619" spans="1:24" ht="17.25" customHeight="1">
      <c r="A619" s="137" t="str">
        <f t="shared" ca="1" si="81"/>
        <v>-</v>
      </c>
      <c r="B619" s="173"/>
      <c r="C619" s="253" t="str">
        <f t="shared" si="82"/>
        <v/>
      </c>
      <c r="D619" s="173"/>
      <c r="E619" s="173"/>
      <c r="F619" s="329" t="str">
        <f t="shared" si="89"/>
        <v/>
      </c>
      <c r="G619" s="174"/>
      <c r="H619" s="130" t="str">
        <f>IFERROR(INDEX(DMDT!B:B,MATCH($G619,DMDT!D:D,0),),"")</f>
        <v/>
      </c>
      <c r="I619" s="131"/>
      <c r="J619" s="132"/>
      <c r="K619" s="133"/>
      <c r="L619" s="134"/>
      <c r="M619" s="134"/>
      <c r="N619" s="135"/>
      <c r="O619" s="219"/>
      <c r="P619" s="143"/>
      <c r="Q619" s="144"/>
      <c r="R619" s="150"/>
      <c r="S619" s="127" t="str">
        <f t="shared" si="83"/>
        <v/>
      </c>
      <c r="T619" s="175" t="str">
        <f t="shared" si="84"/>
        <v/>
      </c>
      <c r="U619" s="158" t="e">
        <f t="shared" si="85"/>
        <v>#N/A</v>
      </c>
      <c r="V619" s="310" t="str">
        <f t="shared" si="86"/>
        <v/>
      </c>
      <c r="W619" s="137" t="str">
        <f t="shared" si="87"/>
        <v>X</v>
      </c>
      <c r="X619" s="137">
        <f t="shared" si="88"/>
        <v>0</v>
      </c>
    </row>
    <row r="620" spans="1:24" ht="17.25" customHeight="1">
      <c r="A620" s="137" t="str">
        <f t="shared" ca="1" si="81"/>
        <v>-</v>
      </c>
      <c r="B620" s="173"/>
      <c r="C620" s="253" t="str">
        <f t="shared" si="82"/>
        <v/>
      </c>
      <c r="D620" s="173"/>
      <c r="E620" s="173"/>
      <c r="F620" s="329" t="str">
        <f t="shared" si="89"/>
        <v/>
      </c>
      <c r="G620" s="174"/>
      <c r="H620" s="130" t="str">
        <f>IFERROR(INDEX(DMDT!B:B,MATCH($G620,DMDT!D:D,0),),"")</f>
        <v/>
      </c>
      <c r="I620" s="131"/>
      <c r="J620" s="132"/>
      <c r="K620" s="133"/>
      <c r="L620" s="134"/>
      <c r="M620" s="134"/>
      <c r="N620" s="135"/>
      <c r="O620" s="219"/>
      <c r="P620" s="143"/>
      <c r="Q620" s="144"/>
      <c r="R620" s="150"/>
      <c r="S620" s="127" t="str">
        <f t="shared" si="83"/>
        <v/>
      </c>
      <c r="T620" s="175" t="str">
        <f t="shared" si="84"/>
        <v/>
      </c>
      <c r="U620" s="158" t="e">
        <f t="shared" si="85"/>
        <v>#N/A</v>
      </c>
      <c r="V620" s="310" t="str">
        <f t="shared" si="86"/>
        <v/>
      </c>
      <c r="W620" s="137" t="str">
        <f t="shared" si="87"/>
        <v>X</v>
      </c>
      <c r="X620" s="137">
        <f t="shared" si="88"/>
        <v>0</v>
      </c>
    </row>
    <row r="621" spans="1:24" ht="17.25" customHeight="1">
      <c r="A621" s="137" t="str">
        <f t="shared" ca="1" si="81"/>
        <v>-</v>
      </c>
      <c r="B621" s="173"/>
      <c r="C621" s="253" t="str">
        <f t="shared" si="82"/>
        <v/>
      </c>
      <c r="D621" s="173"/>
      <c r="E621" s="173"/>
      <c r="F621" s="329" t="str">
        <f t="shared" si="89"/>
        <v/>
      </c>
      <c r="G621" s="174"/>
      <c r="H621" s="130" t="str">
        <f>IFERROR(INDEX(DMDT!B:B,MATCH($G621,DMDT!D:D,0),),"")</f>
        <v/>
      </c>
      <c r="I621" s="131"/>
      <c r="J621" s="132"/>
      <c r="K621" s="133"/>
      <c r="L621" s="134"/>
      <c r="M621" s="134"/>
      <c r="N621" s="135"/>
      <c r="O621" s="219"/>
      <c r="P621" s="143"/>
      <c r="Q621" s="144"/>
      <c r="R621" s="150"/>
      <c r="S621" s="127" t="str">
        <f t="shared" si="83"/>
        <v/>
      </c>
      <c r="T621" s="175" t="str">
        <f t="shared" si="84"/>
        <v/>
      </c>
      <c r="U621" s="158" t="e">
        <f t="shared" si="85"/>
        <v>#N/A</v>
      </c>
      <c r="V621" s="310" t="str">
        <f t="shared" si="86"/>
        <v/>
      </c>
      <c r="W621" s="137" t="str">
        <f t="shared" si="87"/>
        <v>X</v>
      </c>
      <c r="X621" s="137">
        <f t="shared" si="88"/>
        <v>0</v>
      </c>
    </row>
    <row r="622" spans="1:24" ht="17.25" customHeight="1">
      <c r="A622" s="137" t="str">
        <f t="shared" ca="1" si="81"/>
        <v>-</v>
      </c>
      <c r="B622" s="173"/>
      <c r="C622" s="253" t="str">
        <f t="shared" si="82"/>
        <v/>
      </c>
      <c r="D622" s="173"/>
      <c r="E622" s="173"/>
      <c r="F622" s="329" t="str">
        <f t="shared" si="89"/>
        <v/>
      </c>
      <c r="G622" s="174"/>
      <c r="H622" s="130" t="str">
        <f>IFERROR(INDEX(DMDT!B:B,MATCH($G622,DMDT!D:D,0),),"")</f>
        <v/>
      </c>
      <c r="I622" s="131"/>
      <c r="J622" s="132"/>
      <c r="K622" s="133"/>
      <c r="L622" s="134"/>
      <c r="M622" s="134"/>
      <c r="N622" s="135"/>
      <c r="O622" s="219"/>
      <c r="P622" s="143"/>
      <c r="Q622" s="144"/>
      <c r="R622" s="150"/>
      <c r="S622" s="127" t="str">
        <f t="shared" si="83"/>
        <v/>
      </c>
      <c r="T622" s="175" t="str">
        <f t="shared" si="84"/>
        <v/>
      </c>
      <c r="U622" s="158" t="e">
        <f t="shared" si="85"/>
        <v>#N/A</v>
      </c>
      <c r="V622" s="310" t="str">
        <f t="shared" si="86"/>
        <v/>
      </c>
      <c r="W622" s="137" t="str">
        <f t="shared" si="87"/>
        <v>X</v>
      </c>
      <c r="X622" s="137">
        <f t="shared" si="88"/>
        <v>0</v>
      </c>
    </row>
    <row r="623" spans="1:24" ht="17.25" customHeight="1">
      <c r="A623" s="137" t="str">
        <f t="shared" ca="1" si="81"/>
        <v>-</v>
      </c>
      <c r="B623" s="173"/>
      <c r="C623" s="253" t="str">
        <f t="shared" si="82"/>
        <v/>
      </c>
      <c r="D623" s="173"/>
      <c r="E623" s="173"/>
      <c r="F623" s="329" t="str">
        <f t="shared" si="89"/>
        <v/>
      </c>
      <c r="G623" s="174"/>
      <c r="H623" s="130" t="str">
        <f>IFERROR(INDEX(DMDT!B:B,MATCH($G623,DMDT!D:D,0),),"")</f>
        <v/>
      </c>
      <c r="I623" s="131"/>
      <c r="J623" s="132"/>
      <c r="K623" s="133"/>
      <c r="L623" s="134"/>
      <c r="M623" s="134"/>
      <c r="N623" s="135"/>
      <c r="O623" s="219"/>
      <c r="P623" s="143"/>
      <c r="Q623" s="144"/>
      <c r="R623" s="150"/>
      <c r="S623" s="127" t="str">
        <f t="shared" si="83"/>
        <v/>
      </c>
      <c r="T623" s="175" t="str">
        <f t="shared" si="84"/>
        <v/>
      </c>
      <c r="U623" s="158" t="e">
        <f t="shared" si="85"/>
        <v>#N/A</v>
      </c>
      <c r="V623" s="310" t="str">
        <f t="shared" si="86"/>
        <v/>
      </c>
      <c r="W623" s="137" t="str">
        <f t="shared" si="87"/>
        <v>X</v>
      </c>
      <c r="X623" s="137">
        <f t="shared" si="88"/>
        <v>0</v>
      </c>
    </row>
    <row r="624" spans="1:24" ht="17.25" customHeight="1">
      <c r="A624" s="137" t="str">
        <f t="shared" ca="1" si="81"/>
        <v>-</v>
      </c>
      <c r="B624" s="173"/>
      <c r="C624" s="253" t="str">
        <f t="shared" si="82"/>
        <v/>
      </c>
      <c r="D624" s="173"/>
      <c r="E624" s="173"/>
      <c r="F624" s="329" t="str">
        <f t="shared" si="89"/>
        <v/>
      </c>
      <c r="G624" s="174"/>
      <c r="H624" s="130" t="str">
        <f>IFERROR(INDEX(DMDT!B:B,MATCH($G624,DMDT!D:D,0),),"")</f>
        <v/>
      </c>
      <c r="I624" s="131"/>
      <c r="J624" s="132"/>
      <c r="K624" s="133"/>
      <c r="L624" s="134"/>
      <c r="M624" s="134"/>
      <c r="N624" s="135"/>
      <c r="O624" s="219"/>
      <c r="P624" s="143"/>
      <c r="Q624" s="144"/>
      <c r="R624" s="150"/>
      <c r="S624" s="127" t="str">
        <f t="shared" si="83"/>
        <v/>
      </c>
      <c r="T624" s="175" t="str">
        <f t="shared" si="84"/>
        <v/>
      </c>
      <c r="U624" s="158" t="e">
        <f t="shared" si="85"/>
        <v>#N/A</v>
      </c>
      <c r="V624" s="310" t="str">
        <f t="shared" si="86"/>
        <v/>
      </c>
      <c r="W624" s="137" t="str">
        <f t="shared" si="87"/>
        <v>X</v>
      </c>
      <c r="X624" s="137">
        <f t="shared" si="88"/>
        <v>0</v>
      </c>
    </row>
    <row r="625" spans="1:24" ht="17.25" customHeight="1">
      <c r="A625" s="137" t="str">
        <f t="shared" ca="1" si="81"/>
        <v>-</v>
      </c>
      <c r="B625" s="173"/>
      <c r="C625" s="253" t="str">
        <f t="shared" si="82"/>
        <v/>
      </c>
      <c r="D625" s="173"/>
      <c r="E625" s="173"/>
      <c r="F625" s="329" t="str">
        <f t="shared" si="89"/>
        <v/>
      </c>
      <c r="G625" s="174"/>
      <c r="H625" s="130" t="str">
        <f>IFERROR(INDEX(DMDT!B:B,MATCH($G625,DMDT!D:D,0),),"")</f>
        <v/>
      </c>
      <c r="I625" s="131"/>
      <c r="J625" s="132"/>
      <c r="K625" s="133"/>
      <c r="L625" s="134"/>
      <c r="M625" s="134"/>
      <c r="N625" s="135"/>
      <c r="O625" s="219"/>
      <c r="P625" s="143"/>
      <c r="Q625" s="144"/>
      <c r="R625" s="150"/>
      <c r="S625" s="127" t="str">
        <f t="shared" si="83"/>
        <v/>
      </c>
      <c r="T625" s="175" t="str">
        <f t="shared" si="84"/>
        <v/>
      </c>
      <c r="U625" s="158" t="e">
        <f t="shared" si="85"/>
        <v>#N/A</v>
      </c>
      <c r="V625" s="310" t="str">
        <f t="shared" si="86"/>
        <v/>
      </c>
      <c r="W625" s="137" t="str">
        <f t="shared" si="87"/>
        <v>X</v>
      </c>
      <c r="X625" s="137">
        <f t="shared" si="88"/>
        <v>0</v>
      </c>
    </row>
    <row r="626" spans="1:24" ht="17.25" customHeight="1">
      <c r="A626" s="137" t="str">
        <f t="shared" ca="1" si="81"/>
        <v>-</v>
      </c>
      <c r="B626" s="173"/>
      <c r="C626" s="253" t="str">
        <f t="shared" si="82"/>
        <v/>
      </c>
      <c r="D626" s="173"/>
      <c r="E626" s="173"/>
      <c r="F626" s="329" t="str">
        <f t="shared" si="89"/>
        <v/>
      </c>
      <c r="G626" s="174"/>
      <c r="H626" s="130" t="str">
        <f>IFERROR(INDEX(DMDT!B:B,MATCH($G626,DMDT!D:D,0),),"")</f>
        <v/>
      </c>
      <c r="I626" s="131"/>
      <c r="J626" s="132"/>
      <c r="K626" s="133"/>
      <c r="L626" s="134"/>
      <c r="M626" s="134"/>
      <c r="N626" s="135"/>
      <c r="O626" s="219"/>
      <c r="P626" s="143"/>
      <c r="Q626" s="144"/>
      <c r="R626" s="150"/>
      <c r="S626" s="127" t="str">
        <f t="shared" si="83"/>
        <v/>
      </c>
      <c r="T626" s="175" t="str">
        <f t="shared" si="84"/>
        <v/>
      </c>
      <c r="U626" s="158" t="e">
        <f t="shared" si="85"/>
        <v>#N/A</v>
      </c>
      <c r="V626" s="310" t="str">
        <f t="shared" si="86"/>
        <v/>
      </c>
      <c r="W626" s="137" t="str">
        <f t="shared" si="87"/>
        <v>X</v>
      </c>
      <c r="X626" s="137">
        <f t="shared" si="88"/>
        <v>0</v>
      </c>
    </row>
    <row r="627" spans="1:24" ht="17.25" customHeight="1">
      <c r="A627" s="137" t="str">
        <f t="shared" ca="1" si="81"/>
        <v>-</v>
      </c>
      <c r="B627" s="173"/>
      <c r="C627" s="253" t="str">
        <f t="shared" si="82"/>
        <v/>
      </c>
      <c r="D627" s="173"/>
      <c r="E627" s="173"/>
      <c r="F627" s="329" t="str">
        <f t="shared" si="89"/>
        <v/>
      </c>
      <c r="G627" s="174"/>
      <c r="H627" s="130" t="str">
        <f>IFERROR(INDEX(DMDT!B:B,MATCH($G627,DMDT!D:D,0),),"")</f>
        <v/>
      </c>
      <c r="I627" s="131"/>
      <c r="J627" s="132"/>
      <c r="K627" s="133"/>
      <c r="L627" s="134"/>
      <c r="M627" s="134"/>
      <c r="N627" s="135"/>
      <c r="O627" s="219"/>
      <c r="P627" s="143"/>
      <c r="Q627" s="144"/>
      <c r="R627" s="150"/>
      <c r="S627" s="127" t="str">
        <f t="shared" si="83"/>
        <v/>
      </c>
      <c r="T627" s="175" t="str">
        <f t="shared" si="84"/>
        <v/>
      </c>
      <c r="U627" s="158" t="e">
        <f t="shared" si="85"/>
        <v>#N/A</v>
      </c>
      <c r="V627" s="310" t="str">
        <f t="shared" si="86"/>
        <v/>
      </c>
      <c r="W627" s="137" t="str">
        <f t="shared" si="87"/>
        <v>X</v>
      </c>
      <c r="X627" s="137">
        <f t="shared" si="88"/>
        <v>0</v>
      </c>
    </row>
    <row r="628" spans="1:24" ht="17.25" customHeight="1">
      <c r="A628" s="137" t="str">
        <f t="shared" ca="1" si="81"/>
        <v>-</v>
      </c>
      <c r="B628" s="173"/>
      <c r="C628" s="253" t="str">
        <f t="shared" si="82"/>
        <v/>
      </c>
      <c r="D628" s="173"/>
      <c r="E628" s="173"/>
      <c r="F628" s="329" t="str">
        <f t="shared" si="89"/>
        <v/>
      </c>
      <c r="G628" s="174"/>
      <c r="H628" s="130" t="str">
        <f>IFERROR(INDEX(DMDT!B:B,MATCH($G628,DMDT!D:D,0),),"")</f>
        <v/>
      </c>
      <c r="I628" s="131"/>
      <c r="J628" s="132"/>
      <c r="K628" s="133"/>
      <c r="L628" s="134"/>
      <c r="M628" s="134"/>
      <c r="N628" s="135"/>
      <c r="O628" s="219"/>
      <c r="P628" s="143"/>
      <c r="Q628" s="144"/>
      <c r="R628" s="150"/>
      <c r="S628" s="127" t="str">
        <f t="shared" si="83"/>
        <v/>
      </c>
      <c r="T628" s="175" t="str">
        <f t="shared" si="84"/>
        <v/>
      </c>
      <c r="U628" s="158" t="e">
        <f t="shared" si="85"/>
        <v>#N/A</v>
      </c>
      <c r="V628" s="310" t="str">
        <f t="shared" si="86"/>
        <v/>
      </c>
      <c r="W628" s="137" t="str">
        <f t="shared" si="87"/>
        <v>X</v>
      </c>
      <c r="X628" s="137">
        <f t="shared" si="88"/>
        <v>0</v>
      </c>
    </row>
    <row r="629" spans="1:24" ht="17.25" customHeight="1">
      <c r="A629" s="137" t="str">
        <f t="shared" ca="1" si="81"/>
        <v>-</v>
      </c>
      <c r="B629" s="173"/>
      <c r="C629" s="253" t="str">
        <f t="shared" si="82"/>
        <v/>
      </c>
      <c r="D629" s="173"/>
      <c r="E629" s="173"/>
      <c r="F629" s="329" t="str">
        <f t="shared" si="89"/>
        <v/>
      </c>
      <c r="G629" s="174"/>
      <c r="H629" s="130" t="str">
        <f>IFERROR(INDEX(DMDT!B:B,MATCH($G629,DMDT!D:D,0),),"")</f>
        <v/>
      </c>
      <c r="I629" s="131"/>
      <c r="J629" s="132"/>
      <c r="K629" s="133"/>
      <c r="L629" s="134"/>
      <c r="M629" s="134"/>
      <c r="N629" s="135"/>
      <c r="O629" s="219"/>
      <c r="P629" s="143"/>
      <c r="Q629" s="144"/>
      <c r="R629" s="150"/>
      <c r="S629" s="127" t="str">
        <f t="shared" si="83"/>
        <v/>
      </c>
      <c r="T629" s="175" t="str">
        <f t="shared" si="84"/>
        <v/>
      </c>
      <c r="U629" s="158" t="e">
        <f t="shared" si="85"/>
        <v>#N/A</v>
      </c>
      <c r="V629" s="310" t="str">
        <f t="shared" si="86"/>
        <v/>
      </c>
      <c r="W629" s="137" t="str">
        <f t="shared" si="87"/>
        <v>X</v>
      </c>
      <c r="X629" s="137">
        <f t="shared" si="88"/>
        <v>0</v>
      </c>
    </row>
    <row r="630" spans="1:24" ht="17.25" customHeight="1">
      <c r="A630" s="137" t="str">
        <f t="shared" ca="1" si="81"/>
        <v>-</v>
      </c>
      <c r="B630" s="173"/>
      <c r="C630" s="253" t="str">
        <f t="shared" si="82"/>
        <v/>
      </c>
      <c r="D630" s="173"/>
      <c r="E630" s="173"/>
      <c r="F630" s="329" t="str">
        <f t="shared" si="89"/>
        <v/>
      </c>
      <c r="G630" s="174"/>
      <c r="H630" s="130" t="str">
        <f>IFERROR(INDEX(DMDT!B:B,MATCH($G630,DMDT!D:D,0),),"")</f>
        <v/>
      </c>
      <c r="I630" s="131"/>
      <c r="J630" s="132"/>
      <c r="K630" s="133"/>
      <c r="L630" s="134"/>
      <c r="M630" s="134"/>
      <c r="N630" s="135"/>
      <c r="O630" s="219"/>
      <c r="P630" s="143"/>
      <c r="Q630" s="144"/>
      <c r="R630" s="150"/>
      <c r="S630" s="127" t="str">
        <f t="shared" si="83"/>
        <v/>
      </c>
      <c r="T630" s="175" t="str">
        <f t="shared" si="84"/>
        <v/>
      </c>
      <c r="U630" s="158" t="e">
        <f t="shared" si="85"/>
        <v>#N/A</v>
      </c>
      <c r="V630" s="310" t="str">
        <f t="shared" si="86"/>
        <v/>
      </c>
      <c r="W630" s="137" t="str">
        <f t="shared" si="87"/>
        <v>X</v>
      </c>
      <c r="X630" s="137">
        <f t="shared" si="88"/>
        <v>0</v>
      </c>
    </row>
    <row r="631" spans="1:24" ht="17.25" customHeight="1">
      <c r="A631" s="137" t="str">
        <f t="shared" ca="1" si="81"/>
        <v>-</v>
      </c>
      <c r="B631" s="173"/>
      <c r="C631" s="253" t="str">
        <f t="shared" si="82"/>
        <v/>
      </c>
      <c r="D631" s="173"/>
      <c r="E631" s="173"/>
      <c r="F631" s="329" t="str">
        <f t="shared" si="89"/>
        <v/>
      </c>
      <c r="G631" s="174"/>
      <c r="H631" s="130" t="str">
        <f>IFERROR(INDEX(DMDT!B:B,MATCH($G631,DMDT!D:D,0),),"")</f>
        <v/>
      </c>
      <c r="I631" s="131"/>
      <c r="J631" s="132"/>
      <c r="K631" s="133"/>
      <c r="L631" s="134"/>
      <c r="M631" s="134"/>
      <c r="N631" s="135"/>
      <c r="O631" s="219"/>
      <c r="P631" s="143"/>
      <c r="Q631" s="144"/>
      <c r="R631" s="150"/>
      <c r="S631" s="127" t="str">
        <f t="shared" si="83"/>
        <v/>
      </c>
      <c r="T631" s="175" t="str">
        <f t="shared" si="84"/>
        <v/>
      </c>
      <c r="U631" s="158" t="e">
        <f t="shared" si="85"/>
        <v>#N/A</v>
      </c>
      <c r="V631" s="310" t="str">
        <f t="shared" si="86"/>
        <v/>
      </c>
      <c r="W631" s="137" t="str">
        <f t="shared" si="87"/>
        <v>X</v>
      </c>
      <c r="X631" s="137">
        <f t="shared" si="88"/>
        <v>0</v>
      </c>
    </row>
    <row r="632" spans="1:24" ht="17.25" customHeight="1">
      <c r="A632" s="137" t="str">
        <f t="shared" ca="1" si="81"/>
        <v>-</v>
      </c>
      <c r="B632" s="173"/>
      <c r="C632" s="253" t="str">
        <f t="shared" si="82"/>
        <v/>
      </c>
      <c r="D632" s="173"/>
      <c r="E632" s="173"/>
      <c r="F632" s="329" t="str">
        <f t="shared" si="89"/>
        <v/>
      </c>
      <c r="G632" s="174"/>
      <c r="H632" s="130" t="str">
        <f>IFERROR(INDEX(DMDT!B:B,MATCH($G632,DMDT!D:D,0),),"")</f>
        <v/>
      </c>
      <c r="I632" s="131"/>
      <c r="J632" s="132"/>
      <c r="K632" s="133"/>
      <c r="L632" s="134"/>
      <c r="M632" s="134"/>
      <c r="N632" s="135"/>
      <c r="O632" s="219"/>
      <c r="P632" s="143"/>
      <c r="Q632" s="144"/>
      <c r="R632" s="150"/>
      <c r="S632" s="127" t="str">
        <f t="shared" si="83"/>
        <v/>
      </c>
      <c r="T632" s="175" t="str">
        <f t="shared" si="84"/>
        <v/>
      </c>
      <c r="U632" s="158" t="e">
        <f t="shared" si="85"/>
        <v>#N/A</v>
      </c>
      <c r="V632" s="310" t="str">
        <f t="shared" si="86"/>
        <v/>
      </c>
      <c r="W632" s="137" t="str">
        <f t="shared" si="87"/>
        <v>X</v>
      </c>
      <c r="X632" s="137">
        <f t="shared" si="88"/>
        <v>0</v>
      </c>
    </row>
    <row r="633" spans="1:24" ht="17.25" customHeight="1">
      <c r="A633" s="137" t="str">
        <f t="shared" ca="1" si="81"/>
        <v>-</v>
      </c>
      <c r="B633" s="173"/>
      <c r="C633" s="253" t="str">
        <f t="shared" si="82"/>
        <v/>
      </c>
      <c r="D633" s="173"/>
      <c r="E633" s="173"/>
      <c r="F633" s="329" t="str">
        <f t="shared" si="89"/>
        <v/>
      </c>
      <c r="G633" s="174"/>
      <c r="H633" s="130" t="str">
        <f>IFERROR(INDEX(DMDT!B:B,MATCH($G633,DMDT!D:D,0),),"")</f>
        <v/>
      </c>
      <c r="I633" s="131"/>
      <c r="J633" s="132"/>
      <c r="K633" s="133"/>
      <c r="L633" s="134"/>
      <c r="M633" s="134"/>
      <c r="N633" s="135"/>
      <c r="O633" s="219"/>
      <c r="P633" s="143"/>
      <c r="Q633" s="144"/>
      <c r="R633" s="150"/>
      <c r="S633" s="127" t="str">
        <f t="shared" si="83"/>
        <v/>
      </c>
      <c r="T633" s="175" t="str">
        <f t="shared" si="84"/>
        <v/>
      </c>
      <c r="U633" s="158" t="e">
        <f t="shared" si="85"/>
        <v>#N/A</v>
      </c>
      <c r="V633" s="310" t="str">
        <f t="shared" si="86"/>
        <v/>
      </c>
      <c r="W633" s="137" t="str">
        <f t="shared" si="87"/>
        <v>X</v>
      </c>
      <c r="X633" s="137">
        <f t="shared" si="88"/>
        <v>0</v>
      </c>
    </row>
    <row r="634" spans="1:24" ht="17.25" customHeight="1">
      <c r="A634" s="137" t="str">
        <f t="shared" ca="1" si="81"/>
        <v>-</v>
      </c>
      <c r="B634" s="173"/>
      <c r="C634" s="253" t="str">
        <f t="shared" si="82"/>
        <v/>
      </c>
      <c r="D634" s="173"/>
      <c r="E634" s="173"/>
      <c r="F634" s="329" t="str">
        <f t="shared" si="89"/>
        <v/>
      </c>
      <c r="G634" s="174"/>
      <c r="H634" s="130" t="str">
        <f>IFERROR(INDEX(DMDT!B:B,MATCH($G634,DMDT!D:D,0),),"")</f>
        <v/>
      </c>
      <c r="I634" s="131"/>
      <c r="J634" s="132"/>
      <c r="K634" s="133"/>
      <c r="L634" s="134"/>
      <c r="M634" s="134"/>
      <c r="N634" s="135"/>
      <c r="O634" s="219"/>
      <c r="P634" s="143"/>
      <c r="Q634" s="144"/>
      <c r="R634" s="150"/>
      <c r="S634" s="127" t="str">
        <f t="shared" si="83"/>
        <v/>
      </c>
      <c r="T634" s="175" t="str">
        <f t="shared" si="84"/>
        <v/>
      </c>
      <c r="U634" s="158" t="e">
        <f t="shared" si="85"/>
        <v>#N/A</v>
      </c>
      <c r="V634" s="310" t="str">
        <f t="shared" si="86"/>
        <v/>
      </c>
      <c r="W634" s="137" t="str">
        <f t="shared" si="87"/>
        <v>X</v>
      </c>
      <c r="X634" s="137">
        <f t="shared" si="88"/>
        <v>0</v>
      </c>
    </row>
    <row r="635" spans="1:24" ht="17.25" customHeight="1">
      <c r="A635" s="137" t="str">
        <f t="shared" ca="1" si="81"/>
        <v>-</v>
      </c>
      <c r="B635" s="173"/>
      <c r="C635" s="253" t="str">
        <f t="shared" si="82"/>
        <v/>
      </c>
      <c r="D635" s="173"/>
      <c r="E635" s="173"/>
      <c r="F635" s="329" t="str">
        <f t="shared" si="89"/>
        <v/>
      </c>
      <c r="G635" s="174"/>
      <c r="H635" s="130" t="str">
        <f>IFERROR(INDEX(DMDT!B:B,MATCH($G635,DMDT!D:D,0),),"")</f>
        <v/>
      </c>
      <c r="I635" s="131"/>
      <c r="J635" s="132"/>
      <c r="K635" s="133"/>
      <c r="L635" s="134"/>
      <c r="M635" s="134"/>
      <c r="N635" s="135"/>
      <c r="O635" s="219"/>
      <c r="P635" s="143"/>
      <c r="Q635" s="144"/>
      <c r="R635" s="150"/>
      <c r="S635" s="127" t="str">
        <f t="shared" si="83"/>
        <v/>
      </c>
      <c r="T635" s="175" t="str">
        <f t="shared" si="84"/>
        <v/>
      </c>
      <c r="U635" s="158" t="e">
        <f t="shared" si="85"/>
        <v>#N/A</v>
      </c>
      <c r="V635" s="310" t="str">
        <f t="shared" si="86"/>
        <v/>
      </c>
      <c r="W635" s="137" t="str">
        <f t="shared" si="87"/>
        <v>X</v>
      </c>
      <c r="X635" s="137">
        <f t="shared" si="88"/>
        <v>0</v>
      </c>
    </row>
    <row r="636" spans="1:24" ht="17.25" customHeight="1">
      <c r="A636" s="137" t="str">
        <f t="shared" ca="1" si="81"/>
        <v>-</v>
      </c>
      <c r="B636" s="173"/>
      <c r="C636" s="253" t="str">
        <f t="shared" si="82"/>
        <v/>
      </c>
      <c r="D636" s="173"/>
      <c r="E636" s="173"/>
      <c r="F636" s="329" t="str">
        <f t="shared" si="89"/>
        <v/>
      </c>
      <c r="G636" s="174"/>
      <c r="H636" s="130" t="str">
        <f>IFERROR(INDEX(DMDT!B:B,MATCH($G636,DMDT!D:D,0),),"")</f>
        <v/>
      </c>
      <c r="I636" s="131"/>
      <c r="J636" s="132"/>
      <c r="K636" s="133"/>
      <c r="L636" s="134"/>
      <c r="M636" s="134"/>
      <c r="N636" s="135"/>
      <c r="O636" s="219"/>
      <c r="P636" s="143"/>
      <c r="Q636" s="144"/>
      <c r="R636" s="150"/>
      <c r="S636" s="127" t="str">
        <f t="shared" si="83"/>
        <v/>
      </c>
      <c r="T636" s="175" t="str">
        <f t="shared" si="84"/>
        <v/>
      </c>
      <c r="U636" s="158" t="e">
        <f t="shared" si="85"/>
        <v>#N/A</v>
      </c>
      <c r="V636" s="310" t="str">
        <f t="shared" si="86"/>
        <v/>
      </c>
      <c r="W636" s="137" t="str">
        <f t="shared" si="87"/>
        <v>X</v>
      </c>
      <c r="X636" s="137">
        <f t="shared" si="88"/>
        <v>0</v>
      </c>
    </row>
    <row r="637" spans="1:24" ht="17.25" customHeight="1">
      <c r="A637" s="137" t="str">
        <f t="shared" ca="1" si="81"/>
        <v>-</v>
      </c>
      <c r="B637" s="173"/>
      <c r="C637" s="253" t="str">
        <f t="shared" si="82"/>
        <v/>
      </c>
      <c r="D637" s="173"/>
      <c r="E637" s="173"/>
      <c r="F637" s="329" t="str">
        <f t="shared" si="89"/>
        <v/>
      </c>
      <c r="G637" s="174"/>
      <c r="H637" s="130" t="str">
        <f>IFERROR(INDEX(DMDT!B:B,MATCH($G637,DMDT!D:D,0),),"")</f>
        <v/>
      </c>
      <c r="I637" s="131"/>
      <c r="J637" s="132"/>
      <c r="K637" s="133"/>
      <c r="L637" s="134"/>
      <c r="M637" s="134"/>
      <c r="N637" s="135"/>
      <c r="O637" s="219"/>
      <c r="P637" s="143"/>
      <c r="Q637" s="144"/>
      <c r="R637" s="150"/>
      <c r="S637" s="127" t="str">
        <f t="shared" si="83"/>
        <v/>
      </c>
      <c r="T637" s="175" t="str">
        <f t="shared" si="84"/>
        <v/>
      </c>
      <c r="U637" s="158" t="e">
        <f t="shared" si="85"/>
        <v>#N/A</v>
      </c>
      <c r="V637" s="310" t="str">
        <f t="shared" si="86"/>
        <v/>
      </c>
      <c r="W637" s="137" t="str">
        <f t="shared" si="87"/>
        <v>X</v>
      </c>
      <c r="X637" s="137">
        <f t="shared" si="88"/>
        <v>0</v>
      </c>
    </row>
    <row r="638" spans="1:24" ht="17.25" customHeight="1">
      <c r="A638" s="137" t="str">
        <f t="shared" ca="1" si="81"/>
        <v>-</v>
      </c>
      <c r="B638" s="173"/>
      <c r="C638" s="253" t="str">
        <f t="shared" si="82"/>
        <v/>
      </c>
      <c r="D638" s="173"/>
      <c r="E638" s="173"/>
      <c r="F638" s="329" t="str">
        <f t="shared" si="89"/>
        <v/>
      </c>
      <c r="G638" s="174"/>
      <c r="H638" s="130" t="str">
        <f>IFERROR(INDEX(DMDT!B:B,MATCH($G638,DMDT!D:D,0),),"")</f>
        <v/>
      </c>
      <c r="I638" s="131"/>
      <c r="J638" s="132"/>
      <c r="K638" s="133"/>
      <c r="L638" s="134"/>
      <c r="M638" s="134"/>
      <c r="N638" s="135"/>
      <c r="O638" s="219"/>
      <c r="P638" s="143"/>
      <c r="Q638" s="144"/>
      <c r="R638" s="150"/>
      <c r="S638" s="127" t="str">
        <f t="shared" si="83"/>
        <v/>
      </c>
      <c r="T638" s="175" t="str">
        <f t="shared" si="84"/>
        <v/>
      </c>
      <c r="U638" s="158" t="e">
        <f t="shared" si="85"/>
        <v>#N/A</v>
      </c>
      <c r="V638" s="310" t="str">
        <f t="shared" si="86"/>
        <v/>
      </c>
      <c r="W638" s="137" t="str">
        <f t="shared" si="87"/>
        <v>X</v>
      </c>
      <c r="X638" s="137">
        <f t="shared" si="88"/>
        <v>0</v>
      </c>
    </row>
    <row r="639" spans="1:24" ht="17.25" customHeight="1">
      <c r="A639" s="137" t="str">
        <f t="shared" ca="1" si="81"/>
        <v>-</v>
      </c>
      <c r="B639" s="173"/>
      <c r="C639" s="253" t="str">
        <f t="shared" si="82"/>
        <v/>
      </c>
      <c r="D639" s="173"/>
      <c r="E639" s="173"/>
      <c r="F639" s="329" t="str">
        <f t="shared" si="89"/>
        <v/>
      </c>
      <c r="G639" s="174"/>
      <c r="H639" s="130" t="str">
        <f>IFERROR(INDEX(DMDT!B:B,MATCH($G639,DMDT!D:D,0),),"")</f>
        <v/>
      </c>
      <c r="I639" s="131"/>
      <c r="J639" s="132"/>
      <c r="K639" s="133"/>
      <c r="L639" s="134"/>
      <c r="M639" s="134"/>
      <c r="N639" s="135"/>
      <c r="O639" s="219"/>
      <c r="P639" s="143"/>
      <c r="Q639" s="144"/>
      <c r="R639" s="150"/>
      <c r="S639" s="127" t="str">
        <f t="shared" si="83"/>
        <v/>
      </c>
      <c r="T639" s="175" t="str">
        <f t="shared" si="84"/>
        <v/>
      </c>
      <c r="U639" s="158" t="e">
        <f t="shared" si="85"/>
        <v>#N/A</v>
      </c>
      <c r="V639" s="310" t="str">
        <f t="shared" si="86"/>
        <v/>
      </c>
      <c r="W639" s="137" t="str">
        <f t="shared" si="87"/>
        <v>X</v>
      </c>
      <c r="X639" s="137">
        <f t="shared" si="88"/>
        <v>0</v>
      </c>
    </row>
    <row r="640" spans="1:24" ht="17.25" customHeight="1">
      <c r="A640" s="137" t="str">
        <f t="shared" ca="1" si="81"/>
        <v>-</v>
      </c>
      <c r="B640" s="173"/>
      <c r="C640" s="253" t="str">
        <f t="shared" si="82"/>
        <v/>
      </c>
      <c r="D640" s="173"/>
      <c r="E640" s="173"/>
      <c r="F640" s="329" t="str">
        <f t="shared" si="89"/>
        <v/>
      </c>
      <c r="G640" s="174"/>
      <c r="H640" s="130" t="str">
        <f>IFERROR(INDEX(DMDT!B:B,MATCH($G640,DMDT!D:D,0),),"")</f>
        <v/>
      </c>
      <c r="I640" s="131"/>
      <c r="J640" s="132"/>
      <c r="K640" s="133"/>
      <c r="L640" s="134"/>
      <c r="M640" s="134"/>
      <c r="N640" s="135"/>
      <c r="O640" s="219"/>
      <c r="P640" s="143"/>
      <c r="Q640" s="144"/>
      <c r="R640" s="150"/>
      <c r="S640" s="127" t="str">
        <f t="shared" si="83"/>
        <v/>
      </c>
      <c r="T640" s="175" t="str">
        <f t="shared" si="84"/>
        <v/>
      </c>
      <c r="U640" s="158" t="e">
        <f t="shared" si="85"/>
        <v>#N/A</v>
      </c>
      <c r="V640" s="310" t="str">
        <f t="shared" si="86"/>
        <v/>
      </c>
      <c r="W640" s="137" t="str">
        <f t="shared" si="87"/>
        <v>X</v>
      </c>
      <c r="X640" s="137">
        <f t="shared" si="88"/>
        <v>0</v>
      </c>
    </row>
    <row r="641" spans="1:24" ht="17.25" customHeight="1">
      <c r="A641" s="137" t="str">
        <f t="shared" ca="1" si="81"/>
        <v>-</v>
      </c>
      <c r="B641" s="173"/>
      <c r="C641" s="253" t="str">
        <f t="shared" si="82"/>
        <v/>
      </c>
      <c r="D641" s="173"/>
      <c r="E641" s="173"/>
      <c r="F641" s="329" t="str">
        <f t="shared" si="89"/>
        <v/>
      </c>
      <c r="G641" s="174"/>
      <c r="H641" s="130" t="str">
        <f>IFERROR(INDEX(DMDT!B:B,MATCH($G641,DMDT!D:D,0),),"")</f>
        <v/>
      </c>
      <c r="I641" s="131"/>
      <c r="J641" s="132"/>
      <c r="K641" s="133"/>
      <c r="L641" s="134"/>
      <c r="M641" s="134"/>
      <c r="N641" s="135"/>
      <c r="O641" s="219"/>
      <c r="P641" s="143"/>
      <c r="Q641" s="144"/>
      <c r="R641" s="150"/>
      <c r="S641" s="127" t="str">
        <f t="shared" si="83"/>
        <v/>
      </c>
      <c r="T641" s="175" t="str">
        <f t="shared" si="84"/>
        <v/>
      </c>
      <c r="U641" s="158" t="e">
        <f t="shared" si="85"/>
        <v>#N/A</v>
      </c>
      <c r="V641" s="310" t="str">
        <f t="shared" si="86"/>
        <v/>
      </c>
      <c r="W641" s="137" t="str">
        <f t="shared" si="87"/>
        <v>X</v>
      </c>
      <c r="X641" s="137">
        <f t="shared" si="88"/>
        <v>0</v>
      </c>
    </row>
    <row r="642" spans="1:24" ht="17.25" customHeight="1">
      <c r="A642" s="137" t="str">
        <f t="shared" ca="1" si="81"/>
        <v>-</v>
      </c>
      <c r="B642" s="173"/>
      <c r="C642" s="253" t="str">
        <f t="shared" si="82"/>
        <v/>
      </c>
      <c r="D642" s="173"/>
      <c r="E642" s="173"/>
      <c r="F642" s="329" t="str">
        <f t="shared" si="89"/>
        <v/>
      </c>
      <c r="G642" s="174"/>
      <c r="H642" s="130" t="str">
        <f>IFERROR(INDEX(DMDT!B:B,MATCH($G642,DMDT!D:D,0),),"")</f>
        <v/>
      </c>
      <c r="I642" s="131"/>
      <c r="J642" s="132"/>
      <c r="K642" s="133"/>
      <c r="L642" s="134"/>
      <c r="M642" s="134"/>
      <c r="N642" s="135"/>
      <c r="O642" s="219"/>
      <c r="P642" s="143"/>
      <c r="Q642" s="144"/>
      <c r="R642" s="150"/>
      <c r="S642" s="127" t="str">
        <f t="shared" si="83"/>
        <v/>
      </c>
      <c r="T642" s="175" t="str">
        <f t="shared" si="84"/>
        <v/>
      </c>
      <c r="U642" s="158" t="e">
        <f t="shared" si="85"/>
        <v>#N/A</v>
      </c>
      <c r="V642" s="310" t="str">
        <f t="shared" si="86"/>
        <v/>
      </c>
      <c r="W642" s="137" t="str">
        <f t="shared" si="87"/>
        <v>X</v>
      </c>
      <c r="X642" s="137">
        <f t="shared" si="88"/>
        <v>0</v>
      </c>
    </row>
    <row r="643" spans="1:24" ht="17.25" customHeight="1">
      <c r="A643" s="137" t="str">
        <f t="shared" ca="1" si="81"/>
        <v>-</v>
      </c>
      <c r="B643" s="173"/>
      <c r="C643" s="253" t="str">
        <f t="shared" si="82"/>
        <v/>
      </c>
      <c r="D643" s="173"/>
      <c r="E643" s="173"/>
      <c r="F643" s="329" t="str">
        <f t="shared" si="89"/>
        <v/>
      </c>
      <c r="G643" s="174"/>
      <c r="H643" s="130" t="str">
        <f>IFERROR(INDEX(DMDT!B:B,MATCH($G643,DMDT!D:D,0),),"")</f>
        <v/>
      </c>
      <c r="I643" s="131"/>
      <c r="J643" s="132"/>
      <c r="K643" s="133"/>
      <c r="L643" s="134"/>
      <c r="M643" s="134"/>
      <c r="N643" s="135"/>
      <c r="O643" s="219"/>
      <c r="P643" s="143"/>
      <c r="Q643" s="144"/>
      <c r="R643" s="150"/>
      <c r="S643" s="127" t="str">
        <f t="shared" si="83"/>
        <v/>
      </c>
      <c r="T643" s="175" t="str">
        <f t="shared" si="84"/>
        <v/>
      </c>
      <c r="U643" s="158" t="e">
        <f t="shared" si="85"/>
        <v>#N/A</v>
      </c>
      <c r="V643" s="310" t="str">
        <f t="shared" si="86"/>
        <v/>
      </c>
      <c r="W643" s="137" t="str">
        <f t="shared" si="87"/>
        <v>X</v>
      </c>
      <c r="X643" s="137">
        <f t="shared" si="88"/>
        <v>0</v>
      </c>
    </row>
    <row r="644" spans="1:24" ht="17.25" customHeight="1">
      <c r="A644" s="137" t="str">
        <f t="shared" ref="A644:A707" ca="1" si="90">IF(F644="","-",IF(COUNTIFS(OFFSET($H$3,,,ROW()-3),H644,OFFSET($J$3,,,ROW()-3),J644,OFFSET($N$3,,,ROW()-3),N644)=0,"-","FALSE"))</f>
        <v>-</v>
      </c>
      <c r="B644" s="173"/>
      <c r="C644" s="253" t="str">
        <f t="shared" si="82"/>
        <v/>
      </c>
      <c r="D644" s="173"/>
      <c r="E644" s="173"/>
      <c r="F644" s="329" t="str">
        <f t="shared" si="89"/>
        <v/>
      </c>
      <c r="G644" s="174"/>
      <c r="H644" s="130" t="str">
        <f>IFERROR(INDEX(DMDT!B:B,MATCH($G644,DMDT!D:D,0),),"")</f>
        <v/>
      </c>
      <c r="I644" s="131"/>
      <c r="J644" s="132"/>
      <c r="K644" s="133"/>
      <c r="L644" s="134"/>
      <c r="M644" s="134"/>
      <c r="N644" s="135"/>
      <c r="O644" s="219"/>
      <c r="P644" s="143"/>
      <c r="Q644" s="144"/>
      <c r="R644" s="150"/>
      <c r="S644" s="127" t="str">
        <f t="shared" si="83"/>
        <v/>
      </c>
      <c r="T644" s="175" t="str">
        <f t="shared" si="84"/>
        <v/>
      </c>
      <c r="U644" s="158" t="e">
        <f t="shared" si="85"/>
        <v>#N/A</v>
      </c>
      <c r="V644" s="310" t="str">
        <f t="shared" si="86"/>
        <v/>
      </c>
      <c r="W644" s="137" t="str">
        <f t="shared" si="87"/>
        <v>X</v>
      </c>
      <c r="X644" s="137">
        <f t="shared" si="88"/>
        <v>0</v>
      </c>
    </row>
    <row r="645" spans="1:24" ht="17.25" customHeight="1">
      <c r="A645" s="137" t="str">
        <f t="shared" ca="1" si="90"/>
        <v>-</v>
      </c>
      <c r="B645" s="173"/>
      <c r="C645" s="253" t="str">
        <f t="shared" ref="C645:C708" si="91">IF(F645="","",IF(LEFT(M645,5)&lt;&gt;"3311-","Non-GR",IF(AND(B645&lt;D645,B645&lt;&gt;""),NETWORKDAYS(B645,D645),IF(OR(L645="Mai",L645="Đức Anh",L645="C.Thảo"),"GIT","Non-GR"))))</f>
        <v/>
      </c>
      <c r="D645" s="173"/>
      <c r="E645" s="173"/>
      <c r="F645" s="329" t="str">
        <f t="shared" si="89"/>
        <v/>
      </c>
      <c r="G645" s="174"/>
      <c r="H645" s="130" t="str">
        <f>IFERROR(INDEX(DMDT!B:B,MATCH($G645,DMDT!D:D,0),),"")</f>
        <v/>
      </c>
      <c r="I645" s="131"/>
      <c r="J645" s="132"/>
      <c r="K645" s="133"/>
      <c r="L645" s="134"/>
      <c r="M645" s="134"/>
      <c r="N645" s="135"/>
      <c r="O645" s="219"/>
      <c r="P645" s="143"/>
      <c r="Q645" s="144"/>
      <c r="R645" s="150"/>
      <c r="S645" s="127" t="str">
        <f t="shared" ref="S645:S708" si="92">$N645&amp;LEFT($G645,6)</f>
        <v/>
      </c>
      <c r="T645" s="175" t="str">
        <f t="shared" ref="T645:T708" si="93">+LEFT($M645,5)</f>
        <v/>
      </c>
      <c r="U645" s="158" t="e">
        <f t="shared" ref="U645:U708" si="94">VLOOKUP(L645,$AB$10:$AC$26,2,0)</f>
        <v>#N/A</v>
      </c>
      <c r="V645" s="310" t="str">
        <f t="shared" ref="V645:V708" si="95">IF(T645="3311-",D645,"")</f>
        <v/>
      </c>
      <c r="W645" s="137" t="str">
        <f t="shared" ref="W645:W708" si="96">IFERROR(IF(MONTH(V645)=$F$1,DAY(V645),"NEXT"),"X")</f>
        <v>X</v>
      </c>
      <c r="X645" s="137">
        <f t="shared" ref="X645:X708" si="97">IFERROR(IF(31-W645&gt;5,1,2),0)</f>
        <v>0</v>
      </c>
    </row>
    <row r="646" spans="1:24" ht="17.25" customHeight="1">
      <c r="A646" s="137" t="str">
        <f t="shared" ca="1" si="90"/>
        <v>-</v>
      </c>
      <c r="B646" s="173"/>
      <c r="C646" s="253" t="str">
        <f t="shared" si="91"/>
        <v/>
      </c>
      <c r="D646" s="173"/>
      <c r="E646" s="173"/>
      <c r="F646" s="329" t="str">
        <f t="shared" ref="F646:F709" si="98">IF(E646&lt;&gt;"",F645+1,"")</f>
        <v/>
      </c>
      <c r="G646" s="174"/>
      <c r="H646" s="130" t="str">
        <f>IFERROR(INDEX(DMDT!B:B,MATCH($G646,DMDT!D:D,0),),"")</f>
        <v/>
      </c>
      <c r="I646" s="131"/>
      <c r="J646" s="132"/>
      <c r="K646" s="133"/>
      <c r="L646" s="134"/>
      <c r="M646" s="134"/>
      <c r="N646" s="135"/>
      <c r="O646" s="219"/>
      <c r="P646" s="143"/>
      <c r="Q646" s="144"/>
      <c r="R646" s="150"/>
      <c r="S646" s="127" t="str">
        <f t="shared" si="92"/>
        <v/>
      </c>
      <c r="T646" s="175" t="str">
        <f t="shared" si="93"/>
        <v/>
      </c>
      <c r="U646" s="158" t="e">
        <f t="shared" si="94"/>
        <v>#N/A</v>
      </c>
      <c r="V646" s="310" t="str">
        <f t="shared" si="95"/>
        <v/>
      </c>
      <c r="W646" s="137" t="str">
        <f t="shared" si="96"/>
        <v>X</v>
      </c>
      <c r="X646" s="137">
        <f t="shared" si="97"/>
        <v>0</v>
      </c>
    </row>
    <row r="647" spans="1:24" ht="17.25" customHeight="1">
      <c r="A647" s="137" t="str">
        <f t="shared" ca="1" si="90"/>
        <v>-</v>
      </c>
      <c r="B647" s="173"/>
      <c r="C647" s="253" t="str">
        <f t="shared" si="91"/>
        <v/>
      </c>
      <c r="D647" s="173"/>
      <c r="E647" s="173"/>
      <c r="F647" s="329" t="str">
        <f t="shared" si="98"/>
        <v/>
      </c>
      <c r="G647" s="174"/>
      <c r="H647" s="130" t="str">
        <f>IFERROR(INDEX(DMDT!B:B,MATCH($G647,DMDT!D:D,0),),"")</f>
        <v/>
      </c>
      <c r="I647" s="131"/>
      <c r="J647" s="132"/>
      <c r="K647" s="133"/>
      <c r="L647" s="134"/>
      <c r="M647" s="134"/>
      <c r="N647" s="135"/>
      <c r="O647" s="219"/>
      <c r="P647" s="143"/>
      <c r="Q647" s="144"/>
      <c r="R647" s="150"/>
      <c r="S647" s="127" t="str">
        <f t="shared" si="92"/>
        <v/>
      </c>
      <c r="T647" s="175" t="str">
        <f t="shared" si="93"/>
        <v/>
      </c>
      <c r="U647" s="158" t="e">
        <f t="shared" si="94"/>
        <v>#N/A</v>
      </c>
      <c r="V647" s="310" t="str">
        <f t="shared" si="95"/>
        <v/>
      </c>
      <c r="W647" s="137" t="str">
        <f t="shared" si="96"/>
        <v>X</v>
      </c>
      <c r="X647" s="137">
        <f t="shared" si="97"/>
        <v>0</v>
      </c>
    </row>
    <row r="648" spans="1:24" ht="17.25" customHeight="1">
      <c r="A648" s="137" t="str">
        <f t="shared" ca="1" si="90"/>
        <v>-</v>
      </c>
      <c r="B648" s="173"/>
      <c r="C648" s="253" t="str">
        <f t="shared" si="91"/>
        <v/>
      </c>
      <c r="D648" s="173"/>
      <c r="E648" s="173"/>
      <c r="F648" s="329" t="str">
        <f t="shared" si="98"/>
        <v/>
      </c>
      <c r="G648" s="174"/>
      <c r="H648" s="130" t="str">
        <f>IFERROR(INDEX(DMDT!B:B,MATCH($G648,DMDT!D:D,0),),"")</f>
        <v/>
      </c>
      <c r="I648" s="131"/>
      <c r="J648" s="132"/>
      <c r="K648" s="133"/>
      <c r="L648" s="134"/>
      <c r="M648" s="134"/>
      <c r="N648" s="135"/>
      <c r="O648" s="219"/>
      <c r="P648" s="143"/>
      <c r="Q648" s="144"/>
      <c r="R648" s="150"/>
      <c r="S648" s="127" t="str">
        <f t="shared" si="92"/>
        <v/>
      </c>
      <c r="T648" s="175" t="str">
        <f t="shared" si="93"/>
        <v/>
      </c>
      <c r="U648" s="158" t="e">
        <f t="shared" si="94"/>
        <v>#N/A</v>
      </c>
      <c r="V648" s="310" t="str">
        <f t="shared" si="95"/>
        <v/>
      </c>
      <c r="W648" s="137" t="str">
        <f t="shared" si="96"/>
        <v>X</v>
      </c>
      <c r="X648" s="137">
        <f t="shared" si="97"/>
        <v>0</v>
      </c>
    </row>
    <row r="649" spans="1:24" ht="17.25" customHeight="1">
      <c r="A649" s="137" t="str">
        <f t="shared" ca="1" si="90"/>
        <v>-</v>
      </c>
      <c r="B649" s="173"/>
      <c r="C649" s="253" t="str">
        <f t="shared" si="91"/>
        <v/>
      </c>
      <c r="D649" s="173"/>
      <c r="E649" s="173"/>
      <c r="F649" s="329" t="str">
        <f t="shared" si="98"/>
        <v/>
      </c>
      <c r="G649" s="174"/>
      <c r="H649" s="130" t="str">
        <f>IFERROR(INDEX(DMDT!B:B,MATCH($G649,DMDT!D:D,0),),"")</f>
        <v/>
      </c>
      <c r="I649" s="131"/>
      <c r="J649" s="132"/>
      <c r="K649" s="133"/>
      <c r="L649" s="134"/>
      <c r="M649" s="134"/>
      <c r="N649" s="135"/>
      <c r="O649" s="219"/>
      <c r="P649" s="143"/>
      <c r="Q649" s="144"/>
      <c r="R649" s="150"/>
      <c r="S649" s="127" t="str">
        <f t="shared" si="92"/>
        <v/>
      </c>
      <c r="T649" s="175" t="str">
        <f t="shared" si="93"/>
        <v/>
      </c>
      <c r="U649" s="158" t="e">
        <f t="shared" si="94"/>
        <v>#N/A</v>
      </c>
      <c r="V649" s="310" t="str">
        <f t="shared" si="95"/>
        <v/>
      </c>
      <c r="W649" s="137" t="str">
        <f t="shared" si="96"/>
        <v>X</v>
      </c>
      <c r="X649" s="137">
        <f t="shared" si="97"/>
        <v>0</v>
      </c>
    </row>
    <row r="650" spans="1:24" ht="17.25" customHeight="1">
      <c r="A650" s="137" t="str">
        <f t="shared" ca="1" si="90"/>
        <v>-</v>
      </c>
      <c r="B650" s="173"/>
      <c r="C650" s="253" t="str">
        <f t="shared" si="91"/>
        <v/>
      </c>
      <c r="D650" s="173"/>
      <c r="E650" s="173"/>
      <c r="F650" s="329" t="str">
        <f t="shared" si="98"/>
        <v/>
      </c>
      <c r="G650" s="174"/>
      <c r="H650" s="130" t="str">
        <f>IFERROR(INDEX(DMDT!B:B,MATCH($G650,DMDT!D:D,0),),"")</f>
        <v/>
      </c>
      <c r="I650" s="131"/>
      <c r="J650" s="132"/>
      <c r="K650" s="133"/>
      <c r="L650" s="134"/>
      <c r="M650" s="134"/>
      <c r="N650" s="135"/>
      <c r="O650" s="219"/>
      <c r="P650" s="143"/>
      <c r="Q650" s="144"/>
      <c r="R650" s="150"/>
      <c r="S650" s="127" t="str">
        <f t="shared" si="92"/>
        <v/>
      </c>
      <c r="T650" s="175" t="str">
        <f t="shared" si="93"/>
        <v/>
      </c>
      <c r="U650" s="158" t="e">
        <f t="shared" si="94"/>
        <v>#N/A</v>
      </c>
      <c r="V650" s="310" t="str">
        <f t="shared" si="95"/>
        <v/>
      </c>
      <c r="W650" s="137" t="str">
        <f t="shared" si="96"/>
        <v>X</v>
      </c>
      <c r="X650" s="137">
        <f t="shared" si="97"/>
        <v>0</v>
      </c>
    </row>
    <row r="651" spans="1:24" ht="17.25" customHeight="1">
      <c r="A651" s="137" t="str">
        <f t="shared" ca="1" si="90"/>
        <v>-</v>
      </c>
      <c r="B651" s="173"/>
      <c r="C651" s="253" t="str">
        <f t="shared" si="91"/>
        <v/>
      </c>
      <c r="D651" s="173"/>
      <c r="E651" s="173"/>
      <c r="F651" s="329" t="str">
        <f t="shared" si="98"/>
        <v/>
      </c>
      <c r="G651" s="174"/>
      <c r="H651" s="130" t="str">
        <f>IFERROR(INDEX(DMDT!B:B,MATCH($G651,DMDT!D:D,0),),"")</f>
        <v/>
      </c>
      <c r="I651" s="131"/>
      <c r="J651" s="132"/>
      <c r="K651" s="133"/>
      <c r="L651" s="134"/>
      <c r="M651" s="134"/>
      <c r="N651" s="135"/>
      <c r="O651" s="219"/>
      <c r="P651" s="143"/>
      <c r="Q651" s="144"/>
      <c r="R651" s="150"/>
      <c r="S651" s="127" t="str">
        <f t="shared" si="92"/>
        <v/>
      </c>
      <c r="T651" s="175" t="str">
        <f t="shared" si="93"/>
        <v/>
      </c>
      <c r="U651" s="158" t="e">
        <f t="shared" si="94"/>
        <v>#N/A</v>
      </c>
      <c r="V651" s="310" t="str">
        <f t="shared" si="95"/>
        <v/>
      </c>
      <c r="W651" s="137" t="str">
        <f t="shared" si="96"/>
        <v>X</v>
      </c>
      <c r="X651" s="137">
        <f t="shared" si="97"/>
        <v>0</v>
      </c>
    </row>
    <row r="652" spans="1:24" ht="17.25" customHeight="1">
      <c r="A652" s="137" t="str">
        <f t="shared" ca="1" si="90"/>
        <v>-</v>
      </c>
      <c r="B652" s="173"/>
      <c r="C652" s="253" t="str">
        <f t="shared" si="91"/>
        <v/>
      </c>
      <c r="D652" s="173"/>
      <c r="E652" s="173"/>
      <c r="F652" s="329" t="str">
        <f t="shared" si="98"/>
        <v/>
      </c>
      <c r="G652" s="174"/>
      <c r="H652" s="130" t="str">
        <f>IFERROR(INDEX(DMDT!B:B,MATCH($G652,DMDT!D:D,0),),"")</f>
        <v/>
      </c>
      <c r="I652" s="131"/>
      <c r="J652" s="132"/>
      <c r="K652" s="133"/>
      <c r="L652" s="134"/>
      <c r="M652" s="134"/>
      <c r="N652" s="135"/>
      <c r="O652" s="219"/>
      <c r="P652" s="143"/>
      <c r="Q652" s="144"/>
      <c r="R652" s="150"/>
      <c r="S652" s="127" t="str">
        <f t="shared" si="92"/>
        <v/>
      </c>
      <c r="T652" s="175" t="str">
        <f t="shared" si="93"/>
        <v/>
      </c>
      <c r="U652" s="158" t="e">
        <f t="shared" si="94"/>
        <v>#N/A</v>
      </c>
      <c r="V652" s="310" t="str">
        <f t="shared" si="95"/>
        <v/>
      </c>
      <c r="W652" s="137" t="str">
        <f t="shared" si="96"/>
        <v>X</v>
      </c>
      <c r="X652" s="137">
        <f t="shared" si="97"/>
        <v>0</v>
      </c>
    </row>
    <row r="653" spans="1:24" ht="17.25" customHeight="1">
      <c r="A653" s="137" t="str">
        <f t="shared" ca="1" si="90"/>
        <v>-</v>
      </c>
      <c r="B653" s="173"/>
      <c r="C653" s="253" t="str">
        <f t="shared" si="91"/>
        <v/>
      </c>
      <c r="D653" s="173"/>
      <c r="E653" s="173"/>
      <c r="F653" s="329" t="str">
        <f t="shared" si="98"/>
        <v/>
      </c>
      <c r="G653" s="174"/>
      <c r="H653" s="130" t="str">
        <f>IFERROR(INDEX(DMDT!B:B,MATCH($G653,DMDT!D:D,0),),"")</f>
        <v/>
      </c>
      <c r="I653" s="131"/>
      <c r="J653" s="132"/>
      <c r="K653" s="133"/>
      <c r="L653" s="134"/>
      <c r="M653" s="134"/>
      <c r="N653" s="135"/>
      <c r="O653" s="219"/>
      <c r="P653" s="143"/>
      <c r="Q653" s="144"/>
      <c r="R653" s="150"/>
      <c r="S653" s="127" t="str">
        <f t="shared" si="92"/>
        <v/>
      </c>
      <c r="T653" s="175" t="str">
        <f t="shared" si="93"/>
        <v/>
      </c>
      <c r="U653" s="158" t="e">
        <f t="shared" si="94"/>
        <v>#N/A</v>
      </c>
      <c r="V653" s="310" t="str">
        <f t="shared" si="95"/>
        <v/>
      </c>
      <c r="W653" s="137" t="str">
        <f t="shared" si="96"/>
        <v>X</v>
      </c>
      <c r="X653" s="137">
        <f t="shared" si="97"/>
        <v>0</v>
      </c>
    </row>
    <row r="654" spans="1:24" ht="17.25" customHeight="1">
      <c r="A654" s="137" t="str">
        <f t="shared" ca="1" si="90"/>
        <v>-</v>
      </c>
      <c r="B654" s="173"/>
      <c r="C654" s="253" t="str">
        <f t="shared" si="91"/>
        <v/>
      </c>
      <c r="D654" s="173"/>
      <c r="E654" s="173"/>
      <c r="F654" s="329" t="str">
        <f t="shared" si="98"/>
        <v/>
      </c>
      <c r="G654" s="174"/>
      <c r="H654" s="130" t="str">
        <f>IFERROR(INDEX(DMDT!B:B,MATCH($G654,DMDT!D:D,0),),"")</f>
        <v/>
      </c>
      <c r="I654" s="131"/>
      <c r="J654" s="132"/>
      <c r="K654" s="133"/>
      <c r="L654" s="134"/>
      <c r="M654" s="134"/>
      <c r="N654" s="135"/>
      <c r="O654" s="219"/>
      <c r="P654" s="143"/>
      <c r="Q654" s="144"/>
      <c r="R654" s="150"/>
      <c r="S654" s="127" t="str">
        <f t="shared" si="92"/>
        <v/>
      </c>
      <c r="T654" s="175" t="str">
        <f t="shared" si="93"/>
        <v/>
      </c>
      <c r="U654" s="158" t="e">
        <f t="shared" si="94"/>
        <v>#N/A</v>
      </c>
      <c r="V654" s="310" t="str">
        <f t="shared" si="95"/>
        <v/>
      </c>
      <c r="W654" s="137" t="str">
        <f t="shared" si="96"/>
        <v>X</v>
      </c>
      <c r="X654" s="137">
        <f t="shared" si="97"/>
        <v>0</v>
      </c>
    </row>
    <row r="655" spans="1:24" ht="17.25" customHeight="1">
      <c r="A655" s="137" t="str">
        <f t="shared" ca="1" si="90"/>
        <v>-</v>
      </c>
      <c r="B655" s="173"/>
      <c r="C655" s="253" t="str">
        <f t="shared" si="91"/>
        <v/>
      </c>
      <c r="D655" s="173"/>
      <c r="E655" s="173"/>
      <c r="F655" s="329" t="str">
        <f t="shared" si="98"/>
        <v/>
      </c>
      <c r="G655" s="174"/>
      <c r="H655" s="130" t="str">
        <f>IFERROR(INDEX(DMDT!B:B,MATCH($G655,DMDT!D:D,0),),"")</f>
        <v/>
      </c>
      <c r="I655" s="131"/>
      <c r="J655" s="132"/>
      <c r="K655" s="133"/>
      <c r="L655" s="134"/>
      <c r="M655" s="134"/>
      <c r="N655" s="135"/>
      <c r="O655" s="219"/>
      <c r="P655" s="143"/>
      <c r="Q655" s="144"/>
      <c r="R655" s="150"/>
      <c r="S655" s="127" t="str">
        <f t="shared" si="92"/>
        <v/>
      </c>
      <c r="T655" s="175" t="str">
        <f t="shared" si="93"/>
        <v/>
      </c>
      <c r="U655" s="158" t="e">
        <f t="shared" si="94"/>
        <v>#N/A</v>
      </c>
      <c r="V655" s="310" t="str">
        <f t="shared" si="95"/>
        <v/>
      </c>
      <c r="W655" s="137" t="str">
        <f t="shared" si="96"/>
        <v>X</v>
      </c>
      <c r="X655" s="137">
        <f t="shared" si="97"/>
        <v>0</v>
      </c>
    </row>
    <row r="656" spans="1:24" ht="17.25" customHeight="1">
      <c r="A656" s="137" t="str">
        <f t="shared" ca="1" si="90"/>
        <v>-</v>
      </c>
      <c r="B656" s="173"/>
      <c r="C656" s="253" t="str">
        <f t="shared" si="91"/>
        <v/>
      </c>
      <c r="D656" s="173"/>
      <c r="E656" s="173"/>
      <c r="F656" s="329" t="str">
        <f t="shared" si="98"/>
        <v/>
      </c>
      <c r="G656" s="174"/>
      <c r="H656" s="130" t="str">
        <f>IFERROR(INDEX(DMDT!B:B,MATCH($G656,DMDT!D:D,0),),"")</f>
        <v/>
      </c>
      <c r="I656" s="131"/>
      <c r="J656" s="132"/>
      <c r="K656" s="133"/>
      <c r="L656" s="134"/>
      <c r="M656" s="134"/>
      <c r="N656" s="135"/>
      <c r="O656" s="219"/>
      <c r="P656" s="143"/>
      <c r="Q656" s="144"/>
      <c r="R656" s="150"/>
      <c r="S656" s="127" t="str">
        <f t="shared" si="92"/>
        <v/>
      </c>
      <c r="T656" s="175" t="str">
        <f t="shared" si="93"/>
        <v/>
      </c>
      <c r="U656" s="158" t="e">
        <f t="shared" si="94"/>
        <v>#N/A</v>
      </c>
      <c r="V656" s="310" t="str">
        <f t="shared" si="95"/>
        <v/>
      </c>
      <c r="W656" s="137" t="str">
        <f t="shared" si="96"/>
        <v>X</v>
      </c>
      <c r="X656" s="137">
        <f t="shared" si="97"/>
        <v>0</v>
      </c>
    </row>
    <row r="657" spans="1:24" ht="17.25" customHeight="1">
      <c r="A657" s="137" t="str">
        <f t="shared" ca="1" si="90"/>
        <v>-</v>
      </c>
      <c r="B657" s="173"/>
      <c r="C657" s="253" t="str">
        <f t="shared" si="91"/>
        <v/>
      </c>
      <c r="D657" s="173"/>
      <c r="E657" s="173"/>
      <c r="F657" s="329" t="str">
        <f t="shared" si="98"/>
        <v/>
      </c>
      <c r="G657" s="174"/>
      <c r="H657" s="130" t="str">
        <f>IFERROR(INDEX(DMDT!B:B,MATCH($G657,DMDT!D:D,0),),"")</f>
        <v/>
      </c>
      <c r="I657" s="131"/>
      <c r="J657" s="132"/>
      <c r="K657" s="133"/>
      <c r="L657" s="134"/>
      <c r="M657" s="134"/>
      <c r="N657" s="135"/>
      <c r="O657" s="219"/>
      <c r="P657" s="143"/>
      <c r="Q657" s="144"/>
      <c r="R657" s="150"/>
      <c r="S657" s="127" t="str">
        <f t="shared" si="92"/>
        <v/>
      </c>
      <c r="T657" s="175" t="str">
        <f t="shared" si="93"/>
        <v/>
      </c>
      <c r="U657" s="158" t="e">
        <f t="shared" si="94"/>
        <v>#N/A</v>
      </c>
      <c r="V657" s="310" t="str">
        <f t="shared" si="95"/>
        <v/>
      </c>
      <c r="W657" s="137" t="str">
        <f t="shared" si="96"/>
        <v>X</v>
      </c>
      <c r="X657" s="137">
        <f t="shared" si="97"/>
        <v>0</v>
      </c>
    </row>
    <row r="658" spans="1:24" ht="17.25" customHeight="1">
      <c r="A658" s="137" t="str">
        <f t="shared" ca="1" si="90"/>
        <v>-</v>
      </c>
      <c r="B658" s="173"/>
      <c r="C658" s="253" t="str">
        <f t="shared" si="91"/>
        <v/>
      </c>
      <c r="D658" s="173"/>
      <c r="E658" s="173"/>
      <c r="F658" s="329" t="str">
        <f t="shared" si="98"/>
        <v/>
      </c>
      <c r="G658" s="174"/>
      <c r="H658" s="130" t="str">
        <f>IFERROR(INDEX(DMDT!B:B,MATCH($G658,DMDT!D:D,0),),"")</f>
        <v/>
      </c>
      <c r="I658" s="131"/>
      <c r="J658" s="132"/>
      <c r="K658" s="133"/>
      <c r="L658" s="134"/>
      <c r="M658" s="134"/>
      <c r="N658" s="135"/>
      <c r="O658" s="219"/>
      <c r="P658" s="143"/>
      <c r="Q658" s="144"/>
      <c r="R658" s="150"/>
      <c r="S658" s="127" t="str">
        <f t="shared" si="92"/>
        <v/>
      </c>
      <c r="T658" s="175" t="str">
        <f t="shared" si="93"/>
        <v/>
      </c>
      <c r="U658" s="158" t="e">
        <f t="shared" si="94"/>
        <v>#N/A</v>
      </c>
      <c r="V658" s="310" t="str">
        <f t="shared" si="95"/>
        <v/>
      </c>
      <c r="W658" s="137" t="str">
        <f t="shared" si="96"/>
        <v>X</v>
      </c>
      <c r="X658" s="137">
        <f t="shared" si="97"/>
        <v>0</v>
      </c>
    </row>
    <row r="659" spans="1:24" ht="17.25" customHeight="1">
      <c r="A659" s="137" t="str">
        <f t="shared" ca="1" si="90"/>
        <v>-</v>
      </c>
      <c r="B659" s="173"/>
      <c r="C659" s="253" t="str">
        <f t="shared" si="91"/>
        <v/>
      </c>
      <c r="D659" s="173"/>
      <c r="E659" s="173"/>
      <c r="F659" s="329" t="str">
        <f t="shared" si="98"/>
        <v/>
      </c>
      <c r="G659" s="174"/>
      <c r="H659" s="130" t="str">
        <f>IFERROR(INDEX(DMDT!B:B,MATCH($G659,DMDT!D:D,0),),"")</f>
        <v/>
      </c>
      <c r="I659" s="131"/>
      <c r="J659" s="132"/>
      <c r="K659" s="133"/>
      <c r="L659" s="134"/>
      <c r="M659" s="134"/>
      <c r="N659" s="135"/>
      <c r="O659" s="219"/>
      <c r="P659" s="143"/>
      <c r="Q659" s="144"/>
      <c r="R659" s="150"/>
      <c r="S659" s="127" t="str">
        <f t="shared" si="92"/>
        <v/>
      </c>
      <c r="T659" s="175" t="str">
        <f t="shared" si="93"/>
        <v/>
      </c>
      <c r="U659" s="158" t="e">
        <f t="shared" si="94"/>
        <v>#N/A</v>
      </c>
      <c r="V659" s="310" t="str">
        <f t="shared" si="95"/>
        <v/>
      </c>
      <c r="W659" s="137" t="str">
        <f t="shared" si="96"/>
        <v>X</v>
      </c>
      <c r="X659" s="137">
        <f t="shared" si="97"/>
        <v>0</v>
      </c>
    </row>
    <row r="660" spans="1:24" ht="17.25" customHeight="1">
      <c r="A660" s="137" t="str">
        <f t="shared" ca="1" si="90"/>
        <v>-</v>
      </c>
      <c r="B660" s="173"/>
      <c r="C660" s="253" t="str">
        <f t="shared" si="91"/>
        <v/>
      </c>
      <c r="D660" s="173"/>
      <c r="E660" s="173"/>
      <c r="F660" s="329" t="str">
        <f t="shared" si="98"/>
        <v/>
      </c>
      <c r="G660" s="174"/>
      <c r="H660" s="130" t="str">
        <f>IFERROR(INDEX(DMDT!B:B,MATCH($G660,DMDT!D:D,0),),"")</f>
        <v/>
      </c>
      <c r="I660" s="131"/>
      <c r="J660" s="132"/>
      <c r="K660" s="133"/>
      <c r="L660" s="134"/>
      <c r="M660" s="134"/>
      <c r="N660" s="135"/>
      <c r="O660" s="219"/>
      <c r="P660" s="143"/>
      <c r="Q660" s="144"/>
      <c r="R660" s="150"/>
      <c r="S660" s="127" t="str">
        <f t="shared" si="92"/>
        <v/>
      </c>
      <c r="T660" s="175" t="str">
        <f t="shared" si="93"/>
        <v/>
      </c>
      <c r="U660" s="158" t="e">
        <f t="shared" si="94"/>
        <v>#N/A</v>
      </c>
      <c r="V660" s="310" t="str">
        <f t="shared" si="95"/>
        <v/>
      </c>
      <c r="W660" s="137" t="str">
        <f t="shared" si="96"/>
        <v>X</v>
      </c>
      <c r="X660" s="137">
        <f t="shared" si="97"/>
        <v>0</v>
      </c>
    </row>
    <row r="661" spans="1:24" ht="17.25" customHeight="1">
      <c r="A661" s="137" t="str">
        <f t="shared" ca="1" si="90"/>
        <v>-</v>
      </c>
      <c r="B661" s="173"/>
      <c r="C661" s="253" t="str">
        <f t="shared" si="91"/>
        <v/>
      </c>
      <c r="D661" s="173"/>
      <c r="E661" s="173"/>
      <c r="F661" s="329" t="str">
        <f t="shared" si="98"/>
        <v/>
      </c>
      <c r="G661" s="174"/>
      <c r="H661" s="130" t="str">
        <f>IFERROR(INDEX(DMDT!B:B,MATCH($G661,DMDT!D:D,0),),"")</f>
        <v/>
      </c>
      <c r="I661" s="131"/>
      <c r="J661" s="132"/>
      <c r="K661" s="133"/>
      <c r="L661" s="134"/>
      <c r="M661" s="134"/>
      <c r="N661" s="135"/>
      <c r="O661" s="219"/>
      <c r="P661" s="143"/>
      <c r="Q661" s="144"/>
      <c r="R661" s="150"/>
      <c r="S661" s="127" t="str">
        <f t="shared" si="92"/>
        <v/>
      </c>
      <c r="T661" s="175" t="str">
        <f t="shared" si="93"/>
        <v/>
      </c>
      <c r="U661" s="158" t="e">
        <f t="shared" si="94"/>
        <v>#N/A</v>
      </c>
      <c r="V661" s="310" t="str">
        <f t="shared" si="95"/>
        <v/>
      </c>
      <c r="W661" s="137" t="str">
        <f t="shared" si="96"/>
        <v>X</v>
      </c>
      <c r="X661" s="137">
        <f t="shared" si="97"/>
        <v>0</v>
      </c>
    </row>
    <row r="662" spans="1:24" ht="17.25" customHeight="1">
      <c r="A662" s="137" t="str">
        <f t="shared" ca="1" si="90"/>
        <v>-</v>
      </c>
      <c r="B662" s="173"/>
      <c r="C662" s="253" t="str">
        <f t="shared" si="91"/>
        <v/>
      </c>
      <c r="D662" s="173"/>
      <c r="E662" s="173"/>
      <c r="F662" s="329" t="str">
        <f t="shared" si="98"/>
        <v/>
      </c>
      <c r="G662" s="174"/>
      <c r="H662" s="130" t="str">
        <f>IFERROR(INDEX(DMDT!B:B,MATCH($G662,DMDT!D:D,0),),"")</f>
        <v/>
      </c>
      <c r="I662" s="131"/>
      <c r="J662" s="132"/>
      <c r="K662" s="133"/>
      <c r="L662" s="134"/>
      <c r="M662" s="134"/>
      <c r="N662" s="135"/>
      <c r="O662" s="219"/>
      <c r="P662" s="143"/>
      <c r="Q662" s="144"/>
      <c r="R662" s="150"/>
      <c r="S662" s="127" t="str">
        <f t="shared" si="92"/>
        <v/>
      </c>
      <c r="T662" s="175" t="str">
        <f t="shared" si="93"/>
        <v/>
      </c>
      <c r="U662" s="158" t="e">
        <f t="shared" si="94"/>
        <v>#N/A</v>
      </c>
      <c r="V662" s="310" t="str">
        <f t="shared" si="95"/>
        <v/>
      </c>
      <c r="W662" s="137" t="str">
        <f t="shared" si="96"/>
        <v>X</v>
      </c>
      <c r="X662" s="137">
        <f t="shared" si="97"/>
        <v>0</v>
      </c>
    </row>
    <row r="663" spans="1:24" ht="17.25" customHeight="1">
      <c r="A663" s="137" t="str">
        <f t="shared" ca="1" si="90"/>
        <v>-</v>
      </c>
      <c r="B663" s="173"/>
      <c r="C663" s="253" t="str">
        <f t="shared" si="91"/>
        <v/>
      </c>
      <c r="D663" s="173"/>
      <c r="E663" s="173"/>
      <c r="F663" s="329" t="str">
        <f t="shared" si="98"/>
        <v/>
      </c>
      <c r="G663" s="174"/>
      <c r="H663" s="130" t="str">
        <f>IFERROR(INDEX(DMDT!B:B,MATCH($G663,DMDT!D:D,0),),"")</f>
        <v/>
      </c>
      <c r="I663" s="131"/>
      <c r="J663" s="132"/>
      <c r="K663" s="133"/>
      <c r="L663" s="134"/>
      <c r="M663" s="134"/>
      <c r="N663" s="135"/>
      <c r="O663" s="219"/>
      <c r="P663" s="143"/>
      <c r="Q663" s="144"/>
      <c r="R663" s="150"/>
      <c r="S663" s="127" t="str">
        <f t="shared" si="92"/>
        <v/>
      </c>
      <c r="T663" s="175" t="str">
        <f t="shared" si="93"/>
        <v/>
      </c>
      <c r="U663" s="158" t="e">
        <f t="shared" si="94"/>
        <v>#N/A</v>
      </c>
      <c r="V663" s="310" t="str">
        <f t="shared" si="95"/>
        <v/>
      </c>
      <c r="W663" s="137" t="str">
        <f t="shared" si="96"/>
        <v>X</v>
      </c>
      <c r="X663" s="137">
        <f t="shared" si="97"/>
        <v>0</v>
      </c>
    </row>
    <row r="664" spans="1:24" ht="17.25" customHeight="1">
      <c r="A664" s="137" t="str">
        <f t="shared" ca="1" si="90"/>
        <v>-</v>
      </c>
      <c r="B664" s="173"/>
      <c r="C664" s="253" t="str">
        <f t="shared" si="91"/>
        <v/>
      </c>
      <c r="D664" s="173"/>
      <c r="E664" s="173"/>
      <c r="F664" s="329" t="str">
        <f t="shared" si="98"/>
        <v/>
      </c>
      <c r="G664" s="174"/>
      <c r="H664" s="130" t="str">
        <f>IFERROR(INDEX(DMDT!B:B,MATCH($G664,DMDT!D:D,0),),"")</f>
        <v/>
      </c>
      <c r="I664" s="131"/>
      <c r="J664" s="132"/>
      <c r="K664" s="133"/>
      <c r="L664" s="134"/>
      <c r="M664" s="134"/>
      <c r="N664" s="135"/>
      <c r="O664" s="219"/>
      <c r="P664" s="143"/>
      <c r="Q664" s="144"/>
      <c r="R664" s="150"/>
      <c r="S664" s="127" t="str">
        <f t="shared" si="92"/>
        <v/>
      </c>
      <c r="T664" s="175" t="str">
        <f t="shared" si="93"/>
        <v/>
      </c>
      <c r="U664" s="158" t="e">
        <f t="shared" si="94"/>
        <v>#N/A</v>
      </c>
      <c r="V664" s="310" t="str">
        <f t="shared" si="95"/>
        <v/>
      </c>
      <c r="W664" s="137" t="str">
        <f t="shared" si="96"/>
        <v>X</v>
      </c>
      <c r="X664" s="137">
        <f t="shared" si="97"/>
        <v>0</v>
      </c>
    </row>
    <row r="665" spans="1:24" ht="17.25" customHeight="1">
      <c r="A665" s="137" t="str">
        <f t="shared" ca="1" si="90"/>
        <v>-</v>
      </c>
      <c r="B665" s="173"/>
      <c r="C665" s="253" t="str">
        <f t="shared" si="91"/>
        <v/>
      </c>
      <c r="D665" s="173"/>
      <c r="E665" s="173"/>
      <c r="F665" s="329" t="str">
        <f t="shared" si="98"/>
        <v/>
      </c>
      <c r="G665" s="174"/>
      <c r="H665" s="130" t="str">
        <f>IFERROR(INDEX(DMDT!B:B,MATCH($G665,DMDT!D:D,0),),"")</f>
        <v/>
      </c>
      <c r="I665" s="131"/>
      <c r="J665" s="132"/>
      <c r="K665" s="133"/>
      <c r="L665" s="134"/>
      <c r="M665" s="134"/>
      <c r="N665" s="135"/>
      <c r="O665" s="219"/>
      <c r="P665" s="143"/>
      <c r="Q665" s="144"/>
      <c r="R665" s="150"/>
      <c r="S665" s="127" t="str">
        <f t="shared" si="92"/>
        <v/>
      </c>
      <c r="T665" s="175" t="str">
        <f t="shared" si="93"/>
        <v/>
      </c>
      <c r="U665" s="158" t="e">
        <f t="shared" si="94"/>
        <v>#N/A</v>
      </c>
      <c r="V665" s="310" t="str">
        <f t="shared" si="95"/>
        <v/>
      </c>
      <c r="W665" s="137" t="str">
        <f t="shared" si="96"/>
        <v>X</v>
      </c>
      <c r="X665" s="137">
        <f t="shared" si="97"/>
        <v>0</v>
      </c>
    </row>
    <row r="666" spans="1:24" ht="17.25" customHeight="1">
      <c r="A666" s="137" t="str">
        <f t="shared" ca="1" si="90"/>
        <v>-</v>
      </c>
      <c r="B666" s="173"/>
      <c r="C666" s="253" t="str">
        <f t="shared" si="91"/>
        <v/>
      </c>
      <c r="D666" s="173"/>
      <c r="E666" s="173"/>
      <c r="F666" s="329" t="str">
        <f t="shared" si="98"/>
        <v/>
      </c>
      <c r="G666" s="174"/>
      <c r="H666" s="130" t="str">
        <f>IFERROR(INDEX(DMDT!B:B,MATCH($G666,DMDT!D:D,0),),"")</f>
        <v/>
      </c>
      <c r="I666" s="131"/>
      <c r="J666" s="132"/>
      <c r="K666" s="133"/>
      <c r="L666" s="134"/>
      <c r="M666" s="134"/>
      <c r="N666" s="135"/>
      <c r="O666" s="219"/>
      <c r="P666" s="143"/>
      <c r="Q666" s="144"/>
      <c r="R666" s="150"/>
      <c r="S666" s="127" t="str">
        <f t="shared" si="92"/>
        <v/>
      </c>
      <c r="T666" s="175" t="str">
        <f t="shared" si="93"/>
        <v/>
      </c>
      <c r="U666" s="158" t="e">
        <f t="shared" si="94"/>
        <v>#N/A</v>
      </c>
      <c r="V666" s="310" t="str">
        <f t="shared" si="95"/>
        <v/>
      </c>
      <c r="W666" s="137" t="str">
        <f t="shared" si="96"/>
        <v>X</v>
      </c>
      <c r="X666" s="137">
        <f t="shared" si="97"/>
        <v>0</v>
      </c>
    </row>
    <row r="667" spans="1:24" ht="17.25" customHeight="1">
      <c r="A667" s="137" t="str">
        <f t="shared" ca="1" si="90"/>
        <v>-</v>
      </c>
      <c r="B667" s="173"/>
      <c r="C667" s="253" t="str">
        <f t="shared" si="91"/>
        <v/>
      </c>
      <c r="D667" s="173"/>
      <c r="E667" s="173"/>
      <c r="F667" s="329" t="str">
        <f t="shared" si="98"/>
        <v/>
      </c>
      <c r="G667" s="174"/>
      <c r="H667" s="130" t="str">
        <f>IFERROR(INDEX(DMDT!B:B,MATCH($G667,DMDT!D:D,0),),"")</f>
        <v/>
      </c>
      <c r="I667" s="131"/>
      <c r="J667" s="132"/>
      <c r="K667" s="133"/>
      <c r="L667" s="134"/>
      <c r="M667" s="134"/>
      <c r="N667" s="135"/>
      <c r="O667" s="219"/>
      <c r="P667" s="143"/>
      <c r="Q667" s="144"/>
      <c r="R667" s="150"/>
      <c r="S667" s="127" t="str">
        <f t="shared" si="92"/>
        <v/>
      </c>
      <c r="T667" s="175" t="str">
        <f t="shared" si="93"/>
        <v/>
      </c>
      <c r="U667" s="158" t="e">
        <f t="shared" si="94"/>
        <v>#N/A</v>
      </c>
      <c r="V667" s="310" t="str">
        <f t="shared" si="95"/>
        <v/>
      </c>
      <c r="W667" s="137" t="str">
        <f t="shared" si="96"/>
        <v>X</v>
      </c>
      <c r="X667" s="137">
        <f t="shared" si="97"/>
        <v>0</v>
      </c>
    </row>
    <row r="668" spans="1:24" ht="17.25" customHeight="1">
      <c r="A668" s="137" t="str">
        <f t="shared" ca="1" si="90"/>
        <v>-</v>
      </c>
      <c r="B668" s="173"/>
      <c r="C668" s="253" t="str">
        <f t="shared" si="91"/>
        <v/>
      </c>
      <c r="D668" s="173"/>
      <c r="E668" s="173"/>
      <c r="F668" s="329" t="str">
        <f t="shared" si="98"/>
        <v/>
      </c>
      <c r="G668" s="174"/>
      <c r="H668" s="130" t="str">
        <f>IFERROR(INDEX(DMDT!B:B,MATCH($G668,DMDT!D:D,0),),"")</f>
        <v/>
      </c>
      <c r="I668" s="131"/>
      <c r="J668" s="132"/>
      <c r="K668" s="133"/>
      <c r="L668" s="134"/>
      <c r="M668" s="134"/>
      <c r="N668" s="135"/>
      <c r="O668" s="219"/>
      <c r="P668" s="143"/>
      <c r="Q668" s="144"/>
      <c r="R668" s="150"/>
      <c r="S668" s="127" t="str">
        <f t="shared" si="92"/>
        <v/>
      </c>
      <c r="T668" s="175" t="str">
        <f t="shared" si="93"/>
        <v/>
      </c>
      <c r="U668" s="158" t="e">
        <f t="shared" si="94"/>
        <v>#N/A</v>
      </c>
      <c r="V668" s="310" t="str">
        <f t="shared" si="95"/>
        <v/>
      </c>
      <c r="W668" s="137" t="str">
        <f t="shared" si="96"/>
        <v>X</v>
      </c>
      <c r="X668" s="137">
        <f t="shared" si="97"/>
        <v>0</v>
      </c>
    </row>
    <row r="669" spans="1:24" ht="17.25" customHeight="1">
      <c r="A669" s="137" t="str">
        <f t="shared" ca="1" si="90"/>
        <v>-</v>
      </c>
      <c r="B669" s="173"/>
      <c r="C669" s="253" t="str">
        <f t="shared" si="91"/>
        <v/>
      </c>
      <c r="D669" s="173"/>
      <c r="E669" s="173"/>
      <c r="F669" s="329" t="str">
        <f t="shared" si="98"/>
        <v/>
      </c>
      <c r="G669" s="174"/>
      <c r="H669" s="130" t="str">
        <f>IFERROR(INDEX(DMDT!B:B,MATCH($G669,DMDT!D:D,0),),"")</f>
        <v/>
      </c>
      <c r="I669" s="131"/>
      <c r="J669" s="132"/>
      <c r="K669" s="133"/>
      <c r="L669" s="134"/>
      <c r="M669" s="134"/>
      <c r="N669" s="135"/>
      <c r="O669" s="219"/>
      <c r="P669" s="143"/>
      <c r="Q669" s="144"/>
      <c r="R669" s="150"/>
      <c r="S669" s="127" t="str">
        <f t="shared" si="92"/>
        <v/>
      </c>
      <c r="T669" s="175" t="str">
        <f t="shared" si="93"/>
        <v/>
      </c>
      <c r="U669" s="158" t="e">
        <f t="shared" si="94"/>
        <v>#N/A</v>
      </c>
      <c r="V669" s="310" t="str">
        <f t="shared" si="95"/>
        <v/>
      </c>
      <c r="W669" s="137" t="str">
        <f t="shared" si="96"/>
        <v>X</v>
      </c>
      <c r="X669" s="137">
        <f t="shared" si="97"/>
        <v>0</v>
      </c>
    </row>
    <row r="670" spans="1:24" ht="17.25" customHeight="1">
      <c r="A670" s="137" t="str">
        <f t="shared" ca="1" si="90"/>
        <v>-</v>
      </c>
      <c r="B670" s="173"/>
      <c r="C670" s="253" t="str">
        <f t="shared" si="91"/>
        <v/>
      </c>
      <c r="D670" s="173"/>
      <c r="E670" s="173"/>
      <c r="F670" s="329" t="str">
        <f t="shared" si="98"/>
        <v/>
      </c>
      <c r="G670" s="174"/>
      <c r="H670" s="130" t="str">
        <f>IFERROR(INDEX(DMDT!B:B,MATCH($G670,DMDT!D:D,0),),"")</f>
        <v/>
      </c>
      <c r="I670" s="131"/>
      <c r="J670" s="132"/>
      <c r="K670" s="133"/>
      <c r="L670" s="134"/>
      <c r="M670" s="134"/>
      <c r="N670" s="135"/>
      <c r="O670" s="219"/>
      <c r="P670" s="143"/>
      <c r="Q670" s="144"/>
      <c r="R670" s="150"/>
      <c r="S670" s="127" t="str">
        <f t="shared" si="92"/>
        <v/>
      </c>
      <c r="T670" s="175" t="str">
        <f t="shared" si="93"/>
        <v/>
      </c>
      <c r="U670" s="158" t="e">
        <f t="shared" si="94"/>
        <v>#N/A</v>
      </c>
      <c r="V670" s="310" t="str">
        <f t="shared" si="95"/>
        <v/>
      </c>
      <c r="W670" s="137" t="str">
        <f t="shared" si="96"/>
        <v>X</v>
      </c>
      <c r="X670" s="137">
        <f t="shared" si="97"/>
        <v>0</v>
      </c>
    </row>
    <row r="671" spans="1:24" ht="17.25" customHeight="1">
      <c r="A671" s="137" t="str">
        <f t="shared" ca="1" si="90"/>
        <v>-</v>
      </c>
      <c r="B671" s="173"/>
      <c r="C671" s="253" t="str">
        <f t="shared" si="91"/>
        <v/>
      </c>
      <c r="D671" s="173"/>
      <c r="E671" s="173"/>
      <c r="F671" s="329" t="str">
        <f t="shared" si="98"/>
        <v/>
      </c>
      <c r="G671" s="174"/>
      <c r="H671" s="130" t="str">
        <f>IFERROR(INDEX(DMDT!B:B,MATCH($G671,DMDT!D:D,0),),"")</f>
        <v/>
      </c>
      <c r="I671" s="131"/>
      <c r="J671" s="132"/>
      <c r="K671" s="133"/>
      <c r="L671" s="134"/>
      <c r="M671" s="134"/>
      <c r="N671" s="135"/>
      <c r="O671" s="219"/>
      <c r="P671" s="143"/>
      <c r="Q671" s="144"/>
      <c r="R671" s="150"/>
      <c r="S671" s="127" t="str">
        <f t="shared" si="92"/>
        <v/>
      </c>
      <c r="T671" s="175" t="str">
        <f t="shared" si="93"/>
        <v/>
      </c>
      <c r="U671" s="158" t="e">
        <f t="shared" si="94"/>
        <v>#N/A</v>
      </c>
      <c r="V671" s="310" t="str">
        <f t="shared" si="95"/>
        <v/>
      </c>
      <c r="W671" s="137" t="str">
        <f t="shared" si="96"/>
        <v>X</v>
      </c>
      <c r="X671" s="137">
        <f t="shared" si="97"/>
        <v>0</v>
      </c>
    </row>
    <row r="672" spans="1:24" ht="17.25" customHeight="1">
      <c r="A672" s="137" t="str">
        <f t="shared" ca="1" si="90"/>
        <v>-</v>
      </c>
      <c r="B672" s="173"/>
      <c r="C672" s="253" t="str">
        <f t="shared" si="91"/>
        <v/>
      </c>
      <c r="D672" s="173"/>
      <c r="E672" s="173"/>
      <c r="F672" s="329" t="str">
        <f t="shared" si="98"/>
        <v/>
      </c>
      <c r="G672" s="174"/>
      <c r="H672" s="130" t="str">
        <f>IFERROR(INDEX(DMDT!B:B,MATCH($G672,DMDT!D:D,0),),"")</f>
        <v/>
      </c>
      <c r="I672" s="131"/>
      <c r="J672" s="132"/>
      <c r="K672" s="133"/>
      <c r="L672" s="134"/>
      <c r="M672" s="134"/>
      <c r="N672" s="135"/>
      <c r="O672" s="219"/>
      <c r="P672" s="143"/>
      <c r="Q672" s="144"/>
      <c r="R672" s="150"/>
      <c r="S672" s="127" t="str">
        <f t="shared" si="92"/>
        <v/>
      </c>
      <c r="T672" s="175" t="str">
        <f t="shared" si="93"/>
        <v/>
      </c>
      <c r="U672" s="158" t="e">
        <f t="shared" si="94"/>
        <v>#N/A</v>
      </c>
      <c r="V672" s="310" t="str">
        <f t="shared" si="95"/>
        <v/>
      </c>
      <c r="W672" s="137" t="str">
        <f t="shared" si="96"/>
        <v>X</v>
      </c>
      <c r="X672" s="137">
        <f t="shared" si="97"/>
        <v>0</v>
      </c>
    </row>
    <row r="673" spans="1:24" ht="17.25" customHeight="1">
      <c r="A673" s="137" t="str">
        <f t="shared" ca="1" si="90"/>
        <v>-</v>
      </c>
      <c r="B673" s="173"/>
      <c r="C673" s="253" t="str">
        <f t="shared" si="91"/>
        <v/>
      </c>
      <c r="D673" s="173"/>
      <c r="E673" s="173"/>
      <c r="F673" s="329" t="str">
        <f t="shared" si="98"/>
        <v/>
      </c>
      <c r="G673" s="174"/>
      <c r="H673" s="130" t="str">
        <f>IFERROR(INDEX(DMDT!B:B,MATCH($G673,DMDT!D:D,0),),"")</f>
        <v/>
      </c>
      <c r="I673" s="131"/>
      <c r="J673" s="132"/>
      <c r="K673" s="133"/>
      <c r="L673" s="134"/>
      <c r="M673" s="134"/>
      <c r="N673" s="135"/>
      <c r="O673" s="219"/>
      <c r="P673" s="143"/>
      <c r="Q673" s="144"/>
      <c r="R673" s="150"/>
      <c r="S673" s="127" t="str">
        <f t="shared" si="92"/>
        <v/>
      </c>
      <c r="T673" s="175" t="str">
        <f t="shared" si="93"/>
        <v/>
      </c>
      <c r="U673" s="158" t="e">
        <f t="shared" si="94"/>
        <v>#N/A</v>
      </c>
      <c r="V673" s="310" t="str">
        <f t="shared" si="95"/>
        <v/>
      </c>
      <c r="W673" s="137" t="str">
        <f t="shared" si="96"/>
        <v>X</v>
      </c>
      <c r="X673" s="137">
        <f t="shared" si="97"/>
        <v>0</v>
      </c>
    </row>
    <row r="674" spans="1:24" ht="17.25" customHeight="1">
      <c r="A674" s="137" t="str">
        <f t="shared" ca="1" si="90"/>
        <v>-</v>
      </c>
      <c r="B674" s="173"/>
      <c r="C674" s="253" t="str">
        <f t="shared" si="91"/>
        <v/>
      </c>
      <c r="D674" s="173"/>
      <c r="E674" s="173"/>
      <c r="F674" s="329" t="str">
        <f t="shared" si="98"/>
        <v/>
      </c>
      <c r="G674" s="174"/>
      <c r="H674" s="130" t="str">
        <f>IFERROR(INDEX(DMDT!B:B,MATCH($G674,DMDT!D:D,0),),"")</f>
        <v/>
      </c>
      <c r="I674" s="131"/>
      <c r="J674" s="132"/>
      <c r="K674" s="133"/>
      <c r="L674" s="134"/>
      <c r="M674" s="134"/>
      <c r="N674" s="135"/>
      <c r="O674" s="219"/>
      <c r="P674" s="143"/>
      <c r="Q674" s="144"/>
      <c r="R674" s="150"/>
      <c r="S674" s="127" t="str">
        <f t="shared" si="92"/>
        <v/>
      </c>
      <c r="T674" s="175" t="str">
        <f t="shared" si="93"/>
        <v/>
      </c>
      <c r="U674" s="158" t="e">
        <f t="shared" si="94"/>
        <v>#N/A</v>
      </c>
      <c r="V674" s="310" t="str">
        <f t="shared" si="95"/>
        <v/>
      </c>
      <c r="W674" s="137" t="str">
        <f t="shared" si="96"/>
        <v>X</v>
      </c>
      <c r="X674" s="137">
        <f t="shared" si="97"/>
        <v>0</v>
      </c>
    </row>
    <row r="675" spans="1:24" ht="17.25" customHeight="1">
      <c r="A675" s="137" t="str">
        <f t="shared" ca="1" si="90"/>
        <v>-</v>
      </c>
      <c r="B675" s="173"/>
      <c r="C675" s="253" t="str">
        <f t="shared" si="91"/>
        <v/>
      </c>
      <c r="D675" s="173"/>
      <c r="E675" s="173"/>
      <c r="F675" s="329" t="str">
        <f t="shared" si="98"/>
        <v/>
      </c>
      <c r="G675" s="174"/>
      <c r="H675" s="130" t="str">
        <f>IFERROR(INDEX(DMDT!B:B,MATCH($G675,DMDT!D:D,0),),"")</f>
        <v/>
      </c>
      <c r="I675" s="131"/>
      <c r="J675" s="132"/>
      <c r="K675" s="133"/>
      <c r="L675" s="134"/>
      <c r="M675" s="134"/>
      <c r="N675" s="135"/>
      <c r="O675" s="219"/>
      <c r="P675" s="143"/>
      <c r="Q675" s="144"/>
      <c r="R675" s="150"/>
      <c r="S675" s="127" t="str">
        <f t="shared" si="92"/>
        <v/>
      </c>
      <c r="T675" s="175" t="str">
        <f t="shared" si="93"/>
        <v/>
      </c>
      <c r="U675" s="158" t="e">
        <f t="shared" si="94"/>
        <v>#N/A</v>
      </c>
      <c r="V675" s="310" t="str">
        <f t="shared" si="95"/>
        <v/>
      </c>
      <c r="W675" s="137" t="str">
        <f t="shared" si="96"/>
        <v>X</v>
      </c>
      <c r="X675" s="137">
        <f t="shared" si="97"/>
        <v>0</v>
      </c>
    </row>
    <row r="676" spans="1:24" ht="17.25" customHeight="1">
      <c r="A676" s="137" t="str">
        <f t="shared" ca="1" si="90"/>
        <v>-</v>
      </c>
      <c r="B676" s="173"/>
      <c r="C676" s="253" t="str">
        <f t="shared" si="91"/>
        <v/>
      </c>
      <c r="D676" s="173"/>
      <c r="E676" s="173"/>
      <c r="F676" s="329" t="str">
        <f t="shared" si="98"/>
        <v/>
      </c>
      <c r="G676" s="174"/>
      <c r="H676" s="130" t="str">
        <f>IFERROR(INDEX(DMDT!B:B,MATCH($G676,DMDT!D:D,0),),"")</f>
        <v/>
      </c>
      <c r="I676" s="131"/>
      <c r="J676" s="132"/>
      <c r="K676" s="133"/>
      <c r="L676" s="134"/>
      <c r="M676" s="134"/>
      <c r="N676" s="135"/>
      <c r="O676" s="219"/>
      <c r="P676" s="143"/>
      <c r="Q676" s="144"/>
      <c r="R676" s="150"/>
      <c r="S676" s="127" t="str">
        <f t="shared" si="92"/>
        <v/>
      </c>
      <c r="T676" s="175" t="str">
        <f t="shared" si="93"/>
        <v/>
      </c>
      <c r="U676" s="158" t="e">
        <f t="shared" si="94"/>
        <v>#N/A</v>
      </c>
      <c r="V676" s="310" t="str">
        <f t="shared" si="95"/>
        <v/>
      </c>
      <c r="W676" s="137" t="str">
        <f t="shared" si="96"/>
        <v>X</v>
      </c>
      <c r="X676" s="137">
        <f t="shared" si="97"/>
        <v>0</v>
      </c>
    </row>
    <row r="677" spans="1:24" ht="17.25" customHeight="1">
      <c r="A677" s="137" t="str">
        <f t="shared" ca="1" si="90"/>
        <v>-</v>
      </c>
      <c r="B677" s="173"/>
      <c r="C677" s="253" t="str">
        <f t="shared" si="91"/>
        <v/>
      </c>
      <c r="D677" s="173"/>
      <c r="E677" s="173"/>
      <c r="F677" s="329" t="str">
        <f t="shared" si="98"/>
        <v/>
      </c>
      <c r="G677" s="174"/>
      <c r="H677" s="130" t="str">
        <f>IFERROR(INDEX(DMDT!B:B,MATCH($G677,DMDT!D:D,0),),"")</f>
        <v/>
      </c>
      <c r="I677" s="131"/>
      <c r="J677" s="132"/>
      <c r="K677" s="133"/>
      <c r="L677" s="134"/>
      <c r="M677" s="134"/>
      <c r="N677" s="135"/>
      <c r="O677" s="219"/>
      <c r="P677" s="143"/>
      <c r="Q677" s="144"/>
      <c r="R677" s="150"/>
      <c r="S677" s="127" t="str">
        <f t="shared" si="92"/>
        <v/>
      </c>
      <c r="T677" s="175" t="str">
        <f t="shared" si="93"/>
        <v/>
      </c>
      <c r="U677" s="158" t="e">
        <f t="shared" si="94"/>
        <v>#N/A</v>
      </c>
      <c r="V677" s="310" t="str">
        <f t="shared" si="95"/>
        <v/>
      </c>
      <c r="W677" s="137" t="str">
        <f t="shared" si="96"/>
        <v>X</v>
      </c>
      <c r="X677" s="137">
        <f t="shared" si="97"/>
        <v>0</v>
      </c>
    </row>
    <row r="678" spans="1:24" ht="17.25" customHeight="1">
      <c r="A678" s="137" t="str">
        <f t="shared" ca="1" si="90"/>
        <v>-</v>
      </c>
      <c r="B678" s="173"/>
      <c r="C678" s="253" t="str">
        <f t="shared" si="91"/>
        <v/>
      </c>
      <c r="D678" s="173"/>
      <c r="E678" s="173"/>
      <c r="F678" s="329" t="str">
        <f t="shared" si="98"/>
        <v/>
      </c>
      <c r="G678" s="174"/>
      <c r="H678" s="130" t="str">
        <f>IFERROR(INDEX(DMDT!B:B,MATCH($G678,DMDT!D:D,0),),"")</f>
        <v/>
      </c>
      <c r="I678" s="131"/>
      <c r="J678" s="132"/>
      <c r="K678" s="133"/>
      <c r="L678" s="134"/>
      <c r="M678" s="134"/>
      <c r="N678" s="135"/>
      <c r="O678" s="219"/>
      <c r="P678" s="143"/>
      <c r="Q678" s="144"/>
      <c r="R678" s="150"/>
      <c r="S678" s="127" t="str">
        <f t="shared" si="92"/>
        <v/>
      </c>
      <c r="T678" s="175" t="str">
        <f t="shared" si="93"/>
        <v/>
      </c>
      <c r="U678" s="158" t="e">
        <f t="shared" si="94"/>
        <v>#N/A</v>
      </c>
      <c r="V678" s="310" t="str">
        <f t="shared" si="95"/>
        <v/>
      </c>
      <c r="W678" s="137" t="str">
        <f t="shared" si="96"/>
        <v>X</v>
      </c>
      <c r="X678" s="137">
        <f t="shared" si="97"/>
        <v>0</v>
      </c>
    </row>
    <row r="679" spans="1:24" ht="17.25" customHeight="1">
      <c r="A679" s="137" t="str">
        <f t="shared" ca="1" si="90"/>
        <v>-</v>
      </c>
      <c r="B679" s="173"/>
      <c r="C679" s="253" t="str">
        <f t="shared" si="91"/>
        <v/>
      </c>
      <c r="D679" s="173"/>
      <c r="E679" s="173"/>
      <c r="F679" s="329" t="str">
        <f t="shared" si="98"/>
        <v/>
      </c>
      <c r="G679" s="174"/>
      <c r="H679" s="130" t="str">
        <f>IFERROR(INDEX(DMDT!B:B,MATCH($G679,DMDT!D:D,0),),"")</f>
        <v/>
      </c>
      <c r="I679" s="131"/>
      <c r="J679" s="132"/>
      <c r="K679" s="133"/>
      <c r="L679" s="134"/>
      <c r="M679" s="134"/>
      <c r="N679" s="135"/>
      <c r="O679" s="219"/>
      <c r="P679" s="143"/>
      <c r="Q679" s="144"/>
      <c r="R679" s="150"/>
      <c r="S679" s="127" t="str">
        <f t="shared" si="92"/>
        <v/>
      </c>
      <c r="T679" s="175" t="str">
        <f t="shared" si="93"/>
        <v/>
      </c>
      <c r="U679" s="158" t="e">
        <f t="shared" si="94"/>
        <v>#N/A</v>
      </c>
      <c r="V679" s="310" t="str">
        <f t="shared" si="95"/>
        <v/>
      </c>
      <c r="W679" s="137" t="str">
        <f t="shared" si="96"/>
        <v>X</v>
      </c>
      <c r="X679" s="137">
        <f t="shared" si="97"/>
        <v>0</v>
      </c>
    </row>
    <row r="680" spans="1:24" ht="17.25" customHeight="1">
      <c r="A680" s="137" t="str">
        <f t="shared" ca="1" si="90"/>
        <v>-</v>
      </c>
      <c r="B680" s="173"/>
      <c r="C680" s="253" t="str">
        <f t="shared" si="91"/>
        <v/>
      </c>
      <c r="D680" s="173"/>
      <c r="E680" s="173"/>
      <c r="F680" s="329" t="str">
        <f t="shared" si="98"/>
        <v/>
      </c>
      <c r="G680" s="174"/>
      <c r="H680" s="130" t="str">
        <f>IFERROR(INDEX(DMDT!B:B,MATCH($G680,DMDT!D:D,0),),"")</f>
        <v/>
      </c>
      <c r="I680" s="131"/>
      <c r="J680" s="132"/>
      <c r="K680" s="133"/>
      <c r="L680" s="134"/>
      <c r="M680" s="134"/>
      <c r="N680" s="135"/>
      <c r="O680" s="219"/>
      <c r="P680" s="143"/>
      <c r="Q680" s="144"/>
      <c r="R680" s="150"/>
      <c r="S680" s="127" t="str">
        <f t="shared" si="92"/>
        <v/>
      </c>
      <c r="T680" s="175" t="str">
        <f t="shared" si="93"/>
        <v/>
      </c>
      <c r="U680" s="158" t="e">
        <f t="shared" si="94"/>
        <v>#N/A</v>
      </c>
      <c r="V680" s="310" t="str">
        <f t="shared" si="95"/>
        <v/>
      </c>
      <c r="W680" s="137" t="str">
        <f t="shared" si="96"/>
        <v>X</v>
      </c>
      <c r="X680" s="137">
        <f t="shared" si="97"/>
        <v>0</v>
      </c>
    </row>
    <row r="681" spans="1:24" ht="17.25" customHeight="1">
      <c r="A681" s="137" t="str">
        <f t="shared" ca="1" si="90"/>
        <v>-</v>
      </c>
      <c r="B681" s="173"/>
      <c r="C681" s="253" t="str">
        <f t="shared" si="91"/>
        <v/>
      </c>
      <c r="D681" s="173"/>
      <c r="E681" s="173"/>
      <c r="F681" s="329" t="str">
        <f t="shared" si="98"/>
        <v/>
      </c>
      <c r="G681" s="174"/>
      <c r="H681" s="130" t="str">
        <f>IFERROR(INDEX(DMDT!B:B,MATCH($G681,DMDT!D:D,0),),"")</f>
        <v/>
      </c>
      <c r="I681" s="131"/>
      <c r="J681" s="132"/>
      <c r="K681" s="133"/>
      <c r="L681" s="134"/>
      <c r="M681" s="134"/>
      <c r="N681" s="135"/>
      <c r="O681" s="219"/>
      <c r="P681" s="143"/>
      <c r="Q681" s="144"/>
      <c r="R681" s="150"/>
      <c r="S681" s="127" t="str">
        <f t="shared" si="92"/>
        <v/>
      </c>
      <c r="T681" s="175" t="str">
        <f t="shared" si="93"/>
        <v/>
      </c>
      <c r="U681" s="158" t="e">
        <f t="shared" si="94"/>
        <v>#N/A</v>
      </c>
      <c r="V681" s="310" t="str">
        <f t="shared" si="95"/>
        <v/>
      </c>
      <c r="W681" s="137" t="str">
        <f t="shared" si="96"/>
        <v>X</v>
      </c>
      <c r="X681" s="137">
        <f t="shared" si="97"/>
        <v>0</v>
      </c>
    </row>
    <row r="682" spans="1:24" ht="17.25" customHeight="1">
      <c r="A682" s="137" t="str">
        <f t="shared" ca="1" si="90"/>
        <v>-</v>
      </c>
      <c r="B682" s="173"/>
      <c r="C682" s="253" t="str">
        <f t="shared" si="91"/>
        <v/>
      </c>
      <c r="D682" s="173"/>
      <c r="E682" s="173"/>
      <c r="F682" s="329" t="str">
        <f t="shared" si="98"/>
        <v/>
      </c>
      <c r="G682" s="174"/>
      <c r="H682" s="130" t="str">
        <f>IFERROR(INDEX(DMDT!B:B,MATCH($G682,DMDT!D:D,0),),"")</f>
        <v/>
      </c>
      <c r="I682" s="131"/>
      <c r="J682" s="132"/>
      <c r="K682" s="133"/>
      <c r="L682" s="134"/>
      <c r="M682" s="134"/>
      <c r="N682" s="135"/>
      <c r="O682" s="219"/>
      <c r="P682" s="143"/>
      <c r="Q682" s="144"/>
      <c r="R682" s="150"/>
      <c r="S682" s="127" t="str">
        <f t="shared" si="92"/>
        <v/>
      </c>
      <c r="T682" s="175" t="str">
        <f t="shared" si="93"/>
        <v/>
      </c>
      <c r="U682" s="158" t="e">
        <f t="shared" si="94"/>
        <v>#N/A</v>
      </c>
      <c r="V682" s="310" t="str">
        <f t="shared" si="95"/>
        <v/>
      </c>
      <c r="W682" s="137" t="str">
        <f t="shared" si="96"/>
        <v>X</v>
      </c>
      <c r="X682" s="137">
        <f t="shared" si="97"/>
        <v>0</v>
      </c>
    </row>
    <row r="683" spans="1:24" ht="17.25" customHeight="1">
      <c r="A683" s="137" t="str">
        <f t="shared" ca="1" si="90"/>
        <v>-</v>
      </c>
      <c r="B683" s="173"/>
      <c r="C683" s="253" t="str">
        <f t="shared" si="91"/>
        <v/>
      </c>
      <c r="D683" s="173"/>
      <c r="E683" s="173"/>
      <c r="F683" s="329" t="str">
        <f t="shared" si="98"/>
        <v/>
      </c>
      <c r="G683" s="174"/>
      <c r="H683" s="130" t="str">
        <f>IFERROR(INDEX(DMDT!B:B,MATCH($G683,DMDT!D:D,0),),"")</f>
        <v/>
      </c>
      <c r="I683" s="131"/>
      <c r="J683" s="132"/>
      <c r="K683" s="133"/>
      <c r="L683" s="134"/>
      <c r="M683" s="134"/>
      <c r="N683" s="135"/>
      <c r="O683" s="219"/>
      <c r="P683" s="143"/>
      <c r="Q683" s="144"/>
      <c r="R683" s="150"/>
      <c r="S683" s="127" t="str">
        <f t="shared" si="92"/>
        <v/>
      </c>
      <c r="T683" s="175" t="str">
        <f t="shared" si="93"/>
        <v/>
      </c>
      <c r="U683" s="158" t="e">
        <f t="shared" si="94"/>
        <v>#N/A</v>
      </c>
      <c r="V683" s="310" t="str">
        <f t="shared" si="95"/>
        <v/>
      </c>
      <c r="W683" s="137" t="str">
        <f t="shared" si="96"/>
        <v>X</v>
      </c>
      <c r="X683" s="137">
        <f t="shared" si="97"/>
        <v>0</v>
      </c>
    </row>
    <row r="684" spans="1:24" ht="17.25" customHeight="1">
      <c r="A684" s="137" t="str">
        <f t="shared" ca="1" si="90"/>
        <v>-</v>
      </c>
      <c r="B684" s="173"/>
      <c r="C684" s="253" t="str">
        <f t="shared" si="91"/>
        <v/>
      </c>
      <c r="D684" s="173"/>
      <c r="E684" s="173"/>
      <c r="F684" s="329" t="str">
        <f t="shared" si="98"/>
        <v/>
      </c>
      <c r="G684" s="174"/>
      <c r="H684" s="130" t="str">
        <f>IFERROR(INDEX(DMDT!B:B,MATCH($G684,DMDT!D:D,0),),"")</f>
        <v/>
      </c>
      <c r="I684" s="131"/>
      <c r="J684" s="132"/>
      <c r="K684" s="133"/>
      <c r="L684" s="134"/>
      <c r="M684" s="134"/>
      <c r="N684" s="135"/>
      <c r="O684" s="219"/>
      <c r="P684" s="143"/>
      <c r="Q684" s="144"/>
      <c r="R684" s="150"/>
      <c r="S684" s="127" t="str">
        <f t="shared" si="92"/>
        <v/>
      </c>
      <c r="T684" s="175" t="str">
        <f t="shared" si="93"/>
        <v/>
      </c>
      <c r="U684" s="158" t="e">
        <f t="shared" si="94"/>
        <v>#N/A</v>
      </c>
      <c r="V684" s="310" t="str">
        <f t="shared" si="95"/>
        <v/>
      </c>
      <c r="W684" s="137" t="str">
        <f t="shared" si="96"/>
        <v>X</v>
      </c>
      <c r="X684" s="137">
        <f t="shared" si="97"/>
        <v>0</v>
      </c>
    </row>
    <row r="685" spans="1:24" ht="17.25" customHeight="1">
      <c r="A685" s="137" t="str">
        <f t="shared" ca="1" si="90"/>
        <v>-</v>
      </c>
      <c r="B685" s="173"/>
      <c r="C685" s="253" t="str">
        <f t="shared" si="91"/>
        <v/>
      </c>
      <c r="D685" s="173"/>
      <c r="E685" s="173"/>
      <c r="F685" s="329" t="str">
        <f t="shared" si="98"/>
        <v/>
      </c>
      <c r="G685" s="174"/>
      <c r="H685" s="130" t="str">
        <f>IFERROR(INDEX(DMDT!B:B,MATCH($G685,DMDT!D:D,0),),"")</f>
        <v/>
      </c>
      <c r="I685" s="131"/>
      <c r="J685" s="132"/>
      <c r="K685" s="133"/>
      <c r="L685" s="134"/>
      <c r="M685" s="134"/>
      <c r="N685" s="135"/>
      <c r="O685" s="219"/>
      <c r="P685" s="143"/>
      <c r="Q685" s="144"/>
      <c r="R685" s="150"/>
      <c r="S685" s="127" t="str">
        <f t="shared" si="92"/>
        <v/>
      </c>
      <c r="T685" s="175" t="str">
        <f t="shared" si="93"/>
        <v/>
      </c>
      <c r="U685" s="158" t="e">
        <f t="shared" si="94"/>
        <v>#N/A</v>
      </c>
      <c r="V685" s="310" t="str">
        <f t="shared" si="95"/>
        <v/>
      </c>
      <c r="W685" s="137" t="str">
        <f t="shared" si="96"/>
        <v>X</v>
      </c>
      <c r="X685" s="137">
        <f t="shared" si="97"/>
        <v>0</v>
      </c>
    </row>
    <row r="686" spans="1:24" ht="17.25" customHeight="1">
      <c r="A686" s="137" t="str">
        <f t="shared" ca="1" si="90"/>
        <v>-</v>
      </c>
      <c r="B686" s="173"/>
      <c r="C686" s="253" t="str">
        <f t="shared" si="91"/>
        <v/>
      </c>
      <c r="D686" s="173"/>
      <c r="E686" s="173"/>
      <c r="F686" s="329" t="str">
        <f t="shared" si="98"/>
        <v/>
      </c>
      <c r="G686" s="174"/>
      <c r="H686" s="130" t="str">
        <f>IFERROR(INDEX(DMDT!B:B,MATCH($G686,DMDT!D:D,0),),"")</f>
        <v/>
      </c>
      <c r="I686" s="131"/>
      <c r="J686" s="132"/>
      <c r="K686" s="133"/>
      <c r="L686" s="134"/>
      <c r="M686" s="134"/>
      <c r="N686" s="135"/>
      <c r="O686" s="219"/>
      <c r="P686" s="143"/>
      <c r="Q686" s="144"/>
      <c r="R686" s="150"/>
      <c r="S686" s="127" t="str">
        <f t="shared" si="92"/>
        <v/>
      </c>
      <c r="T686" s="175" t="str">
        <f t="shared" si="93"/>
        <v/>
      </c>
      <c r="U686" s="158" t="e">
        <f t="shared" si="94"/>
        <v>#N/A</v>
      </c>
      <c r="V686" s="310" t="str">
        <f t="shared" si="95"/>
        <v/>
      </c>
      <c r="W686" s="137" t="str">
        <f t="shared" si="96"/>
        <v>X</v>
      </c>
      <c r="X686" s="137">
        <f t="shared" si="97"/>
        <v>0</v>
      </c>
    </row>
    <row r="687" spans="1:24" ht="17.25" customHeight="1">
      <c r="A687" s="137" t="str">
        <f t="shared" ca="1" si="90"/>
        <v>-</v>
      </c>
      <c r="B687" s="173"/>
      <c r="C687" s="253" t="str">
        <f t="shared" si="91"/>
        <v/>
      </c>
      <c r="D687" s="173"/>
      <c r="E687" s="173"/>
      <c r="F687" s="329" t="str">
        <f t="shared" si="98"/>
        <v/>
      </c>
      <c r="G687" s="174"/>
      <c r="H687" s="130" t="str">
        <f>IFERROR(INDEX(DMDT!B:B,MATCH($G687,DMDT!D:D,0),),"")</f>
        <v/>
      </c>
      <c r="I687" s="131"/>
      <c r="J687" s="132"/>
      <c r="K687" s="133"/>
      <c r="L687" s="134"/>
      <c r="M687" s="134"/>
      <c r="N687" s="135"/>
      <c r="O687" s="219"/>
      <c r="P687" s="143"/>
      <c r="Q687" s="144"/>
      <c r="R687" s="150"/>
      <c r="S687" s="127" t="str">
        <f t="shared" si="92"/>
        <v/>
      </c>
      <c r="T687" s="175" t="str">
        <f t="shared" si="93"/>
        <v/>
      </c>
      <c r="U687" s="158" t="e">
        <f t="shared" si="94"/>
        <v>#N/A</v>
      </c>
      <c r="V687" s="310" t="str">
        <f t="shared" si="95"/>
        <v/>
      </c>
      <c r="W687" s="137" t="str">
        <f t="shared" si="96"/>
        <v>X</v>
      </c>
      <c r="X687" s="137">
        <f t="shared" si="97"/>
        <v>0</v>
      </c>
    </row>
    <row r="688" spans="1:24" ht="17.25" customHeight="1">
      <c r="A688" s="137" t="str">
        <f t="shared" ca="1" si="90"/>
        <v>-</v>
      </c>
      <c r="B688" s="173"/>
      <c r="C688" s="253" t="str">
        <f t="shared" si="91"/>
        <v/>
      </c>
      <c r="D688" s="173"/>
      <c r="E688" s="173"/>
      <c r="F688" s="329" t="str">
        <f t="shared" si="98"/>
        <v/>
      </c>
      <c r="G688" s="174"/>
      <c r="H688" s="130" t="str">
        <f>IFERROR(INDEX(DMDT!B:B,MATCH($G688,DMDT!D:D,0),),"")</f>
        <v/>
      </c>
      <c r="I688" s="131"/>
      <c r="J688" s="132"/>
      <c r="K688" s="133"/>
      <c r="L688" s="134"/>
      <c r="M688" s="134"/>
      <c r="N688" s="135"/>
      <c r="O688" s="219"/>
      <c r="P688" s="143"/>
      <c r="Q688" s="144"/>
      <c r="R688" s="150"/>
      <c r="S688" s="127" t="str">
        <f t="shared" si="92"/>
        <v/>
      </c>
      <c r="T688" s="175" t="str">
        <f t="shared" si="93"/>
        <v/>
      </c>
      <c r="U688" s="158" t="e">
        <f t="shared" si="94"/>
        <v>#N/A</v>
      </c>
      <c r="V688" s="310" t="str">
        <f t="shared" si="95"/>
        <v/>
      </c>
      <c r="W688" s="137" t="str">
        <f t="shared" si="96"/>
        <v>X</v>
      </c>
      <c r="X688" s="137">
        <f t="shared" si="97"/>
        <v>0</v>
      </c>
    </row>
    <row r="689" spans="1:24" ht="17.25" customHeight="1">
      <c r="A689" s="137" t="str">
        <f t="shared" ca="1" si="90"/>
        <v>-</v>
      </c>
      <c r="B689" s="173"/>
      <c r="C689" s="253" t="str">
        <f t="shared" si="91"/>
        <v/>
      </c>
      <c r="D689" s="173"/>
      <c r="E689" s="173"/>
      <c r="F689" s="329" t="str">
        <f t="shared" si="98"/>
        <v/>
      </c>
      <c r="G689" s="174"/>
      <c r="H689" s="130" t="str">
        <f>IFERROR(INDEX(DMDT!B:B,MATCH($G689,DMDT!D:D,0),),"")</f>
        <v/>
      </c>
      <c r="I689" s="131"/>
      <c r="J689" s="132"/>
      <c r="K689" s="133"/>
      <c r="L689" s="134"/>
      <c r="M689" s="134"/>
      <c r="N689" s="135"/>
      <c r="O689" s="219"/>
      <c r="P689" s="143"/>
      <c r="Q689" s="144"/>
      <c r="R689" s="150"/>
      <c r="S689" s="127" t="str">
        <f t="shared" si="92"/>
        <v/>
      </c>
      <c r="T689" s="175" t="str">
        <f t="shared" si="93"/>
        <v/>
      </c>
      <c r="U689" s="158" t="e">
        <f t="shared" si="94"/>
        <v>#N/A</v>
      </c>
      <c r="V689" s="310" t="str">
        <f t="shared" si="95"/>
        <v/>
      </c>
      <c r="W689" s="137" t="str">
        <f t="shared" si="96"/>
        <v>X</v>
      </c>
      <c r="X689" s="137">
        <f t="shared" si="97"/>
        <v>0</v>
      </c>
    </row>
    <row r="690" spans="1:24" ht="17.25" customHeight="1">
      <c r="A690" s="137" t="str">
        <f t="shared" ca="1" si="90"/>
        <v>-</v>
      </c>
      <c r="B690" s="173"/>
      <c r="C690" s="253" t="str">
        <f t="shared" si="91"/>
        <v/>
      </c>
      <c r="D690" s="173"/>
      <c r="E690" s="173"/>
      <c r="F690" s="329" t="str">
        <f t="shared" si="98"/>
        <v/>
      </c>
      <c r="G690" s="174"/>
      <c r="H690" s="130" t="str">
        <f>IFERROR(INDEX(DMDT!B:B,MATCH($G690,DMDT!D:D,0),),"")</f>
        <v/>
      </c>
      <c r="I690" s="131"/>
      <c r="J690" s="132"/>
      <c r="K690" s="133"/>
      <c r="L690" s="134"/>
      <c r="M690" s="134"/>
      <c r="N690" s="135"/>
      <c r="O690" s="219"/>
      <c r="P690" s="143"/>
      <c r="Q690" s="144"/>
      <c r="R690" s="150"/>
      <c r="S690" s="127" t="str">
        <f t="shared" si="92"/>
        <v/>
      </c>
      <c r="T690" s="175" t="str">
        <f t="shared" si="93"/>
        <v/>
      </c>
      <c r="U690" s="158" t="e">
        <f t="shared" si="94"/>
        <v>#N/A</v>
      </c>
      <c r="V690" s="310" t="str">
        <f t="shared" si="95"/>
        <v/>
      </c>
      <c r="W690" s="137" t="str">
        <f t="shared" si="96"/>
        <v>X</v>
      </c>
      <c r="X690" s="137">
        <f t="shared" si="97"/>
        <v>0</v>
      </c>
    </row>
    <row r="691" spans="1:24" ht="17.25" customHeight="1">
      <c r="A691" s="137" t="str">
        <f t="shared" ca="1" si="90"/>
        <v>-</v>
      </c>
      <c r="B691" s="173"/>
      <c r="C691" s="253" t="str">
        <f t="shared" si="91"/>
        <v/>
      </c>
      <c r="D691" s="173"/>
      <c r="E691" s="173"/>
      <c r="F691" s="329" t="str">
        <f t="shared" si="98"/>
        <v/>
      </c>
      <c r="G691" s="174"/>
      <c r="H691" s="130" t="str">
        <f>IFERROR(INDEX(DMDT!B:B,MATCH($G691,DMDT!D:D,0),),"")</f>
        <v/>
      </c>
      <c r="I691" s="131"/>
      <c r="J691" s="132"/>
      <c r="K691" s="133"/>
      <c r="L691" s="134"/>
      <c r="M691" s="134"/>
      <c r="N691" s="135"/>
      <c r="O691" s="219"/>
      <c r="P691" s="143"/>
      <c r="Q691" s="144"/>
      <c r="R691" s="150"/>
      <c r="S691" s="127" t="str">
        <f t="shared" si="92"/>
        <v/>
      </c>
      <c r="T691" s="175" t="str">
        <f t="shared" si="93"/>
        <v/>
      </c>
      <c r="U691" s="158" t="e">
        <f t="shared" si="94"/>
        <v>#N/A</v>
      </c>
      <c r="V691" s="310" t="str">
        <f t="shared" si="95"/>
        <v/>
      </c>
      <c r="W691" s="137" t="str">
        <f t="shared" si="96"/>
        <v>X</v>
      </c>
      <c r="X691" s="137">
        <f t="shared" si="97"/>
        <v>0</v>
      </c>
    </row>
    <row r="692" spans="1:24" ht="17.25" customHeight="1">
      <c r="A692" s="137" t="str">
        <f t="shared" ca="1" si="90"/>
        <v>-</v>
      </c>
      <c r="B692" s="173"/>
      <c r="C692" s="253" t="str">
        <f t="shared" si="91"/>
        <v/>
      </c>
      <c r="D692" s="173"/>
      <c r="E692" s="173"/>
      <c r="F692" s="329" t="str">
        <f t="shared" si="98"/>
        <v/>
      </c>
      <c r="G692" s="174"/>
      <c r="H692" s="130" t="str">
        <f>IFERROR(INDEX(DMDT!B:B,MATCH($G692,DMDT!D:D,0),),"")</f>
        <v/>
      </c>
      <c r="I692" s="131"/>
      <c r="J692" s="132"/>
      <c r="K692" s="133"/>
      <c r="L692" s="134"/>
      <c r="M692" s="134"/>
      <c r="N692" s="135"/>
      <c r="O692" s="219"/>
      <c r="P692" s="143"/>
      <c r="Q692" s="144"/>
      <c r="R692" s="150"/>
      <c r="S692" s="127" t="str">
        <f t="shared" si="92"/>
        <v/>
      </c>
      <c r="T692" s="175" t="str">
        <f t="shared" si="93"/>
        <v/>
      </c>
      <c r="U692" s="158" t="e">
        <f t="shared" si="94"/>
        <v>#N/A</v>
      </c>
      <c r="V692" s="310" t="str">
        <f t="shared" si="95"/>
        <v/>
      </c>
      <c r="W692" s="137" t="str">
        <f t="shared" si="96"/>
        <v>X</v>
      </c>
      <c r="X692" s="137">
        <f t="shared" si="97"/>
        <v>0</v>
      </c>
    </row>
    <row r="693" spans="1:24" ht="17.25" customHeight="1">
      <c r="A693" s="137" t="str">
        <f t="shared" ca="1" si="90"/>
        <v>-</v>
      </c>
      <c r="B693" s="173"/>
      <c r="C693" s="253" t="str">
        <f t="shared" si="91"/>
        <v/>
      </c>
      <c r="D693" s="173"/>
      <c r="E693" s="173"/>
      <c r="F693" s="329" t="str">
        <f t="shared" si="98"/>
        <v/>
      </c>
      <c r="G693" s="174"/>
      <c r="H693" s="130" t="str">
        <f>IFERROR(INDEX(DMDT!B:B,MATCH($G693,DMDT!D:D,0),),"")</f>
        <v/>
      </c>
      <c r="I693" s="131"/>
      <c r="J693" s="132"/>
      <c r="K693" s="133"/>
      <c r="L693" s="134"/>
      <c r="M693" s="134"/>
      <c r="N693" s="135"/>
      <c r="O693" s="219"/>
      <c r="P693" s="143"/>
      <c r="Q693" s="144"/>
      <c r="R693" s="150"/>
      <c r="S693" s="127" t="str">
        <f t="shared" si="92"/>
        <v/>
      </c>
      <c r="T693" s="175" t="str">
        <f t="shared" si="93"/>
        <v/>
      </c>
      <c r="U693" s="158" t="e">
        <f t="shared" si="94"/>
        <v>#N/A</v>
      </c>
      <c r="V693" s="310" t="str">
        <f t="shared" si="95"/>
        <v/>
      </c>
      <c r="W693" s="137" t="str">
        <f t="shared" si="96"/>
        <v>X</v>
      </c>
      <c r="X693" s="137">
        <f t="shared" si="97"/>
        <v>0</v>
      </c>
    </row>
    <row r="694" spans="1:24" ht="17.25" customHeight="1">
      <c r="A694" s="137" t="str">
        <f t="shared" ca="1" si="90"/>
        <v>-</v>
      </c>
      <c r="B694" s="173"/>
      <c r="C694" s="253" t="str">
        <f t="shared" si="91"/>
        <v/>
      </c>
      <c r="D694" s="173"/>
      <c r="E694" s="173"/>
      <c r="F694" s="329" t="str">
        <f t="shared" si="98"/>
        <v/>
      </c>
      <c r="G694" s="174"/>
      <c r="H694" s="130" t="str">
        <f>IFERROR(INDEX(DMDT!B:B,MATCH($G694,DMDT!D:D,0),),"")</f>
        <v/>
      </c>
      <c r="I694" s="131"/>
      <c r="J694" s="132"/>
      <c r="K694" s="133"/>
      <c r="L694" s="134"/>
      <c r="M694" s="134"/>
      <c r="N694" s="135"/>
      <c r="O694" s="219"/>
      <c r="P694" s="143"/>
      <c r="Q694" s="144"/>
      <c r="R694" s="150"/>
      <c r="S694" s="127" t="str">
        <f t="shared" si="92"/>
        <v/>
      </c>
      <c r="T694" s="175" t="str">
        <f t="shared" si="93"/>
        <v/>
      </c>
      <c r="U694" s="158" t="e">
        <f t="shared" si="94"/>
        <v>#N/A</v>
      </c>
      <c r="V694" s="310" t="str">
        <f t="shared" si="95"/>
        <v/>
      </c>
      <c r="W694" s="137" t="str">
        <f t="shared" si="96"/>
        <v>X</v>
      </c>
      <c r="X694" s="137">
        <f t="shared" si="97"/>
        <v>0</v>
      </c>
    </row>
    <row r="695" spans="1:24" ht="17.25" customHeight="1">
      <c r="A695" s="137" t="str">
        <f t="shared" ca="1" si="90"/>
        <v>-</v>
      </c>
      <c r="B695" s="173"/>
      <c r="C695" s="253" t="str">
        <f t="shared" si="91"/>
        <v/>
      </c>
      <c r="D695" s="173"/>
      <c r="E695" s="173"/>
      <c r="F695" s="329" t="str">
        <f t="shared" si="98"/>
        <v/>
      </c>
      <c r="G695" s="174"/>
      <c r="H695" s="130" t="str">
        <f>IFERROR(INDEX(DMDT!B:B,MATCH($G695,DMDT!D:D,0),),"")</f>
        <v/>
      </c>
      <c r="I695" s="131"/>
      <c r="J695" s="132"/>
      <c r="K695" s="133"/>
      <c r="L695" s="134"/>
      <c r="M695" s="134"/>
      <c r="N695" s="135"/>
      <c r="O695" s="219"/>
      <c r="P695" s="143"/>
      <c r="Q695" s="144"/>
      <c r="R695" s="150"/>
      <c r="S695" s="127" t="str">
        <f t="shared" si="92"/>
        <v/>
      </c>
      <c r="T695" s="175" t="str">
        <f t="shared" si="93"/>
        <v/>
      </c>
      <c r="U695" s="158" t="e">
        <f t="shared" si="94"/>
        <v>#N/A</v>
      </c>
      <c r="V695" s="310" t="str">
        <f t="shared" si="95"/>
        <v/>
      </c>
      <c r="W695" s="137" t="str">
        <f t="shared" si="96"/>
        <v>X</v>
      </c>
      <c r="X695" s="137">
        <f t="shared" si="97"/>
        <v>0</v>
      </c>
    </row>
    <row r="696" spans="1:24" ht="17.25" customHeight="1">
      <c r="A696" s="137" t="str">
        <f t="shared" ca="1" si="90"/>
        <v>-</v>
      </c>
      <c r="B696" s="173"/>
      <c r="C696" s="253" t="str">
        <f t="shared" si="91"/>
        <v/>
      </c>
      <c r="D696" s="173"/>
      <c r="E696" s="173"/>
      <c r="F696" s="329" t="str">
        <f t="shared" si="98"/>
        <v/>
      </c>
      <c r="G696" s="174"/>
      <c r="H696" s="130" t="str">
        <f>IFERROR(INDEX(DMDT!B:B,MATCH($G696,DMDT!D:D,0),),"")</f>
        <v/>
      </c>
      <c r="I696" s="131"/>
      <c r="J696" s="132"/>
      <c r="K696" s="133"/>
      <c r="L696" s="134"/>
      <c r="M696" s="134"/>
      <c r="N696" s="135"/>
      <c r="O696" s="219"/>
      <c r="P696" s="143"/>
      <c r="Q696" s="144"/>
      <c r="R696" s="150"/>
      <c r="S696" s="127" t="str">
        <f t="shared" si="92"/>
        <v/>
      </c>
      <c r="T696" s="175" t="str">
        <f t="shared" si="93"/>
        <v/>
      </c>
      <c r="U696" s="158" t="e">
        <f t="shared" si="94"/>
        <v>#N/A</v>
      </c>
      <c r="V696" s="310" t="str">
        <f t="shared" si="95"/>
        <v/>
      </c>
      <c r="W696" s="137" t="str">
        <f t="shared" si="96"/>
        <v>X</v>
      </c>
      <c r="X696" s="137">
        <f t="shared" si="97"/>
        <v>0</v>
      </c>
    </row>
    <row r="697" spans="1:24" ht="17.25" customHeight="1">
      <c r="A697" s="137" t="str">
        <f t="shared" ca="1" si="90"/>
        <v>-</v>
      </c>
      <c r="B697" s="173"/>
      <c r="C697" s="253" t="str">
        <f t="shared" si="91"/>
        <v/>
      </c>
      <c r="D697" s="173"/>
      <c r="E697" s="173"/>
      <c r="F697" s="329" t="str">
        <f t="shared" si="98"/>
        <v/>
      </c>
      <c r="G697" s="174"/>
      <c r="H697" s="130" t="str">
        <f>IFERROR(INDEX(DMDT!B:B,MATCH($G697,DMDT!D:D,0),),"")</f>
        <v/>
      </c>
      <c r="I697" s="131"/>
      <c r="J697" s="132"/>
      <c r="K697" s="133"/>
      <c r="L697" s="134"/>
      <c r="M697" s="134"/>
      <c r="N697" s="135"/>
      <c r="O697" s="219"/>
      <c r="P697" s="143"/>
      <c r="Q697" s="144"/>
      <c r="R697" s="150"/>
      <c r="S697" s="127" t="str">
        <f t="shared" si="92"/>
        <v/>
      </c>
      <c r="T697" s="175" t="str">
        <f t="shared" si="93"/>
        <v/>
      </c>
      <c r="U697" s="158" t="e">
        <f t="shared" si="94"/>
        <v>#N/A</v>
      </c>
      <c r="V697" s="310" t="str">
        <f t="shared" si="95"/>
        <v/>
      </c>
      <c r="W697" s="137" t="str">
        <f t="shared" si="96"/>
        <v>X</v>
      </c>
      <c r="X697" s="137">
        <f t="shared" si="97"/>
        <v>0</v>
      </c>
    </row>
    <row r="698" spans="1:24" ht="17.25" customHeight="1">
      <c r="A698" s="137" t="str">
        <f t="shared" ca="1" si="90"/>
        <v>-</v>
      </c>
      <c r="B698" s="173"/>
      <c r="C698" s="253" t="str">
        <f t="shared" si="91"/>
        <v/>
      </c>
      <c r="D698" s="173"/>
      <c r="E698" s="173"/>
      <c r="F698" s="329" t="str">
        <f t="shared" si="98"/>
        <v/>
      </c>
      <c r="G698" s="174"/>
      <c r="H698" s="130" t="str">
        <f>IFERROR(INDEX(DMDT!B:B,MATCH($G698,DMDT!D:D,0),),"")</f>
        <v/>
      </c>
      <c r="I698" s="131"/>
      <c r="J698" s="132"/>
      <c r="K698" s="133"/>
      <c r="L698" s="134"/>
      <c r="M698" s="134"/>
      <c r="N698" s="135"/>
      <c r="O698" s="219"/>
      <c r="P698" s="143"/>
      <c r="Q698" s="144"/>
      <c r="R698" s="150"/>
      <c r="S698" s="127" t="str">
        <f t="shared" si="92"/>
        <v/>
      </c>
      <c r="T698" s="175" t="str">
        <f t="shared" si="93"/>
        <v/>
      </c>
      <c r="U698" s="158" t="e">
        <f t="shared" si="94"/>
        <v>#N/A</v>
      </c>
      <c r="V698" s="310" t="str">
        <f t="shared" si="95"/>
        <v/>
      </c>
      <c r="W698" s="137" t="str">
        <f t="shared" si="96"/>
        <v>X</v>
      </c>
      <c r="X698" s="137">
        <f t="shared" si="97"/>
        <v>0</v>
      </c>
    </row>
    <row r="699" spans="1:24" ht="17.25" customHeight="1">
      <c r="A699" s="137" t="str">
        <f t="shared" ca="1" si="90"/>
        <v>-</v>
      </c>
      <c r="B699" s="173"/>
      <c r="C699" s="253" t="str">
        <f t="shared" si="91"/>
        <v/>
      </c>
      <c r="D699" s="173"/>
      <c r="E699" s="173"/>
      <c r="F699" s="329" t="str">
        <f t="shared" si="98"/>
        <v/>
      </c>
      <c r="G699" s="174"/>
      <c r="H699" s="130" t="str">
        <f>IFERROR(INDEX(DMDT!B:B,MATCH($G699,DMDT!D:D,0),),"")</f>
        <v/>
      </c>
      <c r="I699" s="131"/>
      <c r="J699" s="132"/>
      <c r="K699" s="133"/>
      <c r="L699" s="134"/>
      <c r="M699" s="134"/>
      <c r="N699" s="135"/>
      <c r="O699" s="219"/>
      <c r="P699" s="143"/>
      <c r="Q699" s="144"/>
      <c r="R699" s="150"/>
      <c r="S699" s="127" t="str">
        <f t="shared" si="92"/>
        <v/>
      </c>
      <c r="T699" s="175" t="str">
        <f t="shared" si="93"/>
        <v/>
      </c>
      <c r="U699" s="158" t="e">
        <f t="shared" si="94"/>
        <v>#N/A</v>
      </c>
      <c r="V699" s="310" t="str">
        <f t="shared" si="95"/>
        <v/>
      </c>
      <c r="W699" s="137" t="str">
        <f t="shared" si="96"/>
        <v>X</v>
      </c>
      <c r="X699" s="137">
        <f t="shared" si="97"/>
        <v>0</v>
      </c>
    </row>
    <row r="700" spans="1:24" ht="17.25" customHeight="1">
      <c r="A700" s="137" t="str">
        <f t="shared" ca="1" si="90"/>
        <v>-</v>
      </c>
      <c r="B700" s="173"/>
      <c r="C700" s="253" t="str">
        <f t="shared" si="91"/>
        <v/>
      </c>
      <c r="D700" s="173"/>
      <c r="E700" s="173"/>
      <c r="F700" s="329" t="str">
        <f t="shared" si="98"/>
        <v/>
      </c>
      <c r="G700" s="174"/>
      <c r="H700" s="130" t="str">
        <f>IFERROR(INDEX(DMDT!B:B,MATCH($G700,DMDT!D:D,0),),"")</f>
        <v/>
      </c>
      <c r="I700" s="131"/>
      <c r="J700" s="132"/>
      <c r="K700" s="133"/>
      <c r="L700" s="134"/>
      <c r="M700" s="134"/>
      <c r="N700" s="135"/>
      <c r="O700" s="219"/>
      <c r="P700" s="143"/>
      <c r="Q700" s="144"/>
      <c r="R700" s="150"/>
      <c r="S700" s="127" t="str">
        <f t="shared" si="92"/>
        <v/>
      </c>
      <c r="T700" s="175" t="str">
        <f t="shared" si="93"/>
        <v/>
      </c>
      <c r="U700" s="158" t="e">
        <f t="shared" si="94"/>
        <v>#N/A</v>
      </c>
      <c r="V700" s="310" t="str">
        <f t="shared" si="95"/>
        <v/>
      </c>
      <c r="W700" s="137" t="str">
        <f t="shared" si="96"/>
        <v>X</v>
      </c>
      <c r="X700" s="137">
        <f t="shared" si="97"/>
        <v>0</v>
      </c>
    </row>
    <row r="701" spans="1:24" ht="17.25" customHeight="1">
      <c r="A701" s="137" t="str">
        <f t="shared" ca="1" si="90"/>
        <v>-</v>
      </c>
      <c r="B701" s="173"/>
      <c r="C701" s="253" t="str">
        <f t="shared" si="91"/>
        <v/>
      </c>
      <c r="D701" s="173"/>
      <c r="E701" s="173"/>
      <c r="F701" s="329" t="str">
        <f t="shared" si="98"/>
        <v/>
      </c>
      <c r="G701" s="174"/>
      <c r="H701" s="130" t="str">
        <f>IFERROR(INDEX(DMDT!B:B,MATCH($G701,DMDT!D:D,0),),"")</f>
        <v/>
      </c>
      <c r="I701" s="131"/>
      <c r="J701" s="132"/>
      <c r="K701" s="133"/>
      <c r="L701" s="134"/>
      <c r="M701" s="134"/>
      <c r="N701" s="135"/>
      <c r="O701" s="219"/>
      <c r="P701" s="143"/>
      <c r="Q701" s="144"/>
      <c r="R701" s="150"/>
      <c r="S701" s="127" t="str">
        <f t="shared" si="92"/>
        <v/>
      </c>
      <c r="T701" s="175" t="str">
        <f t="shared" si="93"/>
        <v/>
      </c>
      <c r="U701" s="158" t="e">
        <f t="shared" si="94"/>
        <v>#N/A</v>
      </c>
      <c r="V701" s="310" t="str">
        <f t="shared" si="95"/>
        <v/>
      </c>
      <c r="W701" s="137" t="str">
        <f t="shared" si="96"/>
        <v>X</v>
      </c>
      <c r="X701" s="137">
        <f t="shared" si="97"/>
        <v>0</v>
      </c>
    </row>
    <row r="702" spans="1:24" ht="17.25" customHeight="1">
      <c r="A702" s="137" t="str">
        <f t="shared" ca="1" si="90"/>
        <v>-</v>
      </c>
      <c r="B702" s="173"/>
      <c r="C702" s="253" t="str">
        <f t="shared" si="91"/>
        <v/>
      </c>
      <c r="D702" s="173"/>
      <c r="E702" s="173"/>
      <c r="F702" s="329" t="str">
        <f t="shared" si="98"/>
        <v/>
      </c>
      <c r="G702" s="174"/>
      <c r="H702" s="130" t="str">
        <f>IFERROR(INDEX(DMDT!B:B,MATCH($G702,DMDT!D:D,0),),"")</f>
        <v/>
      </c>
      <c r="I702" s="131"/>
      <c r="J702" s="132"/>
      <c r="K702" s="133"/>
      <c r="L702" s="134"/>
      <c r="M702" s="134"/>
      <c r="N702" s="135"/>
      <c r="O702" s="219"/>
      <c r="P702" s="143"/>
      <c r="Q702" s="144"/>
      <c r="R702" s="150"/>
      <c r="S702" s="127" t="str">
        <f t="shared" si="92"/>
        <v/>
      </c>
      <c r="T702" s="175" t="str">
        <f t="shared" si="93"/>
        <v/>
      </c>
      <c r="U702" s="158" t="e">
        <f t="shared" si="94"/>
        <v>#N/A</v>
      </c>
      <c r="V702" s="310" t="str">
        <f t="shared" si="95"/>
        <v/>
      </c>
      <c r="W702" s="137" t="str">
        <f t="shared" si="96"/>
        <v>X</v>
      </c>
      <c r="X702" s="137">
        <f t="shared" si="97"/>
        <v>0</v>
      </c>
    </row>
    <row r="703" spans="1:24" ht="17.25" customHeight="1">
      <c r="A703" s="137" t="str">
        <f t="shared" ca="1" si="90"/>
        <v>-</v>
      </c>
      <c r="B703" s="173"/>
      <c r="C703" s="253" t="str">
        <f t="shared" si="91"/>
        <v/>
      </c>
      <c r="D703" s="173"/>
      <c r="E703" s="173"/>
      <c r="F703" s="329" t="str">
        <f t="shared" si="98"/>
        <v/>
      </c>
      <c r="G703" s="174"/>
      <c r="H703" s="130" t="str">
        <f>IFERROR(INDEX(DMDT!B:B,MATCH($G703,DMDT!D:D,0),),"")</f>
        <v/>
      </c>
      <c r="I703" s="131"/>
      <c r="J703" s="132"/>
      <c r="K703" s="133"/>
      <c r="L703" s="134"/>
      <c r="M703" s="134"/>
      <c r="N703" s="135"/>
      <c r="O703" s="219"/>
      <c r="P703" s="143"/>
      <c r="Q703" s="144"/>
      <c r="R703" s="150"/>
      <c r="S703" s="127" t="str">
        <f t="shared" si="92"/>
        <v/>
      </c>
      <c r="T703" s="175" t="str">
        <f t="shared" si="93"/>
        <v/>
      </c>
      <c r="U703" s="158" t="e">
        <f t="shared" si="94"/>
        <v>#N/A</v>
      </c>
      <c r="V703" s="310" t="str">
        <f t="shared" si="95"/>
        <v/>
      </c>
      <c r="W703" s="137" t="str">
        <f t="shared" si="96"/>
        <v>X</v>
      </c>
      <c r="X703" s="137">
        <f t="shared" si="97"/>
        <v>0</v>
      </c>
    </row>
    <row r="704" spans="1:24" ht="17.25" customHeight="1">
      <c r="A704" s="137" t="str">
        <f t="shared" ca="1" si="90"/>
        <v>-</v>
      </c>
      <c r="B704" s="173"/>
      <c r="C704" s="253" t="str">
        <f t="shared" si="91"/>
        <v/>
      </c>
      <c r="D704" s="173"/>
      <c r="E704" s="173"/>
      <c r="F704" s="329" t="str">
        <f t="shared" si="98"/>
        <v/>
      </c>
      <c r="G704" s="174"/>
      <c r="H704" s="130" t="str">
        <f>IFERROR(INDEX(DMDT!B:B,MATCH($G704,DMDT!D:D,0),),"")</f>
        <v/>
      </c>
      <c r="I704" s="131"/>
      <c r="J704" s="132"/>
      <c r="K704" s="133"/>
      <c r="L704" s="134"/>
      <c r="M704" s="134"/>
      <c r="N704" s="135"/>
      <c r="O704" s="219"/>
      <c r="P704" s="143"/>
      <c r="Q704" s="144"/>
      <c r="R704" s="150"/>
      <c r="S704" s="127" t="str">
        <f t="shared" si="92"/>
        <v/>
      </c>
      <c r="T704" s="175" t="str">
        <f t="shared" si="93"/>
        <v/>
      </c>
      <c r="U704" s="158" t="e">
        <f t="shared" si="94"/>
        <v>#N/A</v>
      </c>
      <c r="V704" s="310" t="str">
        <f t="shared" si="95"/>
        <v/>
      </c>
      <c r="W704" s="137" t="str">
        <f t="shared" si="96"/>
        <v>X</v>
      </c>
      <c r="X704" s="137">
        <f t="shared" si="97"/>
        <v>0</v>
      </c>
    </row>
    <row r="705" spans="1:24" ht="17.25" customHeight="1">
      <c r="A705" s="137" t="str">
        <f t="shared" ca="1" si="90"/>
        <v>-</v>
      </c>
      <c r="B705" s="173"/>
      <c r="C705" s="253" t="str">
        <f t="shared" si="91"/>
        <v/>
      </c>
      <c r="D705" s="173"/>
      <c r="E705" s="173"/>
      <c r="F705" s="329" t="str">
        <f t="shared" si="98"/>
        <v/>
      </c>
      <c r="G705" s="174"/>
      <c r="H705" s="130" t="str">
        <f>IFERROR(INDEX(DMDT!B:B,MATCH($G705,DMDT!D:D,0),),"")</f>
        <v/>
      </c>
      <c r="I705" s="131"/>
      <c r="J705" s="132"/>
      <c r="K705" s="133"/>
      <c r="L705" s="134"/>
      <c r="M705" s="134"/>
      <c r="N705" s="135"/>
      <c r="O705" s="219"/>
      <c r="P705" s="143"/>
      <c r="Q705" s="144"/>
      <c r="R705" s="150"/>
      <c r="S705" s="127" t="str">
        <f t="shared" si="92"/>
        <v/>
      </c>
      <c r="T705" s="175" t="str">
        <f t="shared" si="93"/>
        <v/>
      </c>
      <c r="U705" s="158" t="e">
        <f t="shared" si="94"/>
        <v>#N/A</v>
      </c>
      <c r="V705" s="310" t="str">
        <f t="shared" si="95"/>
        <v/>
      </c>
      <c r="W705" s="137" t="str">
        <f t="shared" si="96"/>
        <v>X</v>
      </c>
      <c r="X705" s="137">
        <f t="shared" si="97"/>
        <v>0</v>
      </c>
    </row>
    <row r="706" spans="1:24" ht="17.25" customHeight="1">
      <c r="A706" s="137" t="str">
        <f t="shared" ca="1" si="90"/>
        <v>-</v>
      </c>
      <c r="B706" s="173"/>
      <c r="C706" s="253" t="str">
        <f t="shared" si="91"/>
        <v/>
      </c>
      <c r="D706" s="173"/>
      <c r="E706" s="173"/>
      <c r="F706" s="329" t="str">
        <f t="shared" si="98"/>
        <v/>
      </c>
      <c r="G706" s="174"/>
      <c r="H706" s="130" t="str">
        <f>IFERROR(INDEX(DMDT!B:B,MATCH($G706,DMDT!D:D,0),),"")</f>
        <v/>
      </c>
      <c r="I706" s="131"/>
      <c r="J706" s="132"/>
      <c r="K706" s="133"/>
      <c r="L706" s="134"/>
      <c r="M706" s="134"/>
      <c r="N706" s="135"/>
      <c r="O706" s="219"/>
      <c r="P706" s="143"/>
      <c r="Q706" s="144"/>
      <c r="R706" s="150"/>
      <c r="S706" s="127" t="str">
        <f t="shared" si="92"/>
        <v/>
      </c>
      <c r="T706" s="175" t="str">
        <f t="shared" si="93"/>
        <v/>
      </c>
      <c r="U706" s="158" t="e">
        <f t="shared" si="94"/>
        <v>#N/A</v>
      </c>
      <c r="V706" s="310" t="str">
        <f t="shared" si="95"/>
        <v/>
      </c>
      <c r="W706" s="137" t="str">
        <f t="shared" si="96"/>
        <v>X</v>
      </c>
      <c r="X706" s="137">
        <f t="shared" si="97"/>
        <v>0</v>
      </c>
    </row>
    <row r="707" spans="1:24" ht="17.25" customHeight="1">
      <c r="A707" s="137" t="str">
        <f t="shared" ca="1" si="90"/>
        <v>-</v>
      </c>
      <c r="B707" s="173"/>
      <c r="C707" s="253" t="str">
        <f t="shared" si="91"/>
        <v/>
      </c>
      <c r="D707" s="173"/>
      <c r="E707" s="173"/>
      <c r="F707" s="329" t="str">
        <f t="shared" si="98"/>
        <v/>
      </c>
      <c r="G707" s="174"/>
      <c r="H707" s="130" t="str">
        <f>IFERROR(INDEX(DMDT!B:B,MATCH($G707,DMDT!D:D,0),),"")</f>
        <v/>
      </c>
      <c r="I707" s="131"/>
      <c r="J707" s="132"/>
      <c r="K707" s="133"/>
      <c r="L707" s="134"/>
      <c r="M707" s="134"/>
      <c r="N707" s="135"/>
      <c r="O707" s="219"/>
      <c r="P707" s="143"/>
      <c r="Q707" s="144"/>
      <c r="R707" s="150"/>
      <c r="S707" s="127" t="str">
        <f t="shared" si="92"/>
        <v/>
      </c>
      <c r="T707" s="175" t="str">
        <f t="shared" si="93"/>
        <v/>
      </c>
      <c r="U707" s="158" t="e">
        <f t="shared" si="94"/>
        <v>#N/A</v>
      </c>
      <c r="V707" s="310" t="str">
        <f t="shared" si="95"/>
        <v/>
      </c>
      <c r="W707" s="137" t="str">
        <f t="shared" si="96"/>
        <v>X</v>
      </c>
      <c r="X707" s="137">
        <f t="shared" si="97"/>
        <v>0</v>
      </c>
    </row>
    <row r="708" spans="1:24" ht="17.25" customHeight="1">
      <c r="A708" s="137" t="str">
        <f t="shared" ref="A708:A771" ca="1" si="99">IF(F708="","-",IF(COUNTIFS(OFFSET($H$3,,,ROW()-3),H708,OFFSET($J$3,,,ROW()-3),J708,OFFSET($N$3,,,ROW()-3),N708)=0,"-","FALSE"))</f>
        <v>-</v>
      </c>
      <c r="B708" s="173"/>
      <c r="C708" s="253" t="str">
        <f t="shared" si="91"/>
        <v/>
      </c>
      <c r="D708" s="173"/>
      <c r="E708" s="173"/>
      <c r="F708" s="329" t="str">
        <f t="shared" si="98"/>
        <v/>
      </c>
      <c r="G708" s="174"/>
      <c r="H708" s="130" t="str">
        <f>IFERROR(INDEX(DMDT!B:B,MATCH($G708,DMDT!D:D,0),),"")</f>
        <v/>
      </c>
      <c r="I708" s="131"/>
      <c r="J708" s="132"/>
      <c r="K708" s="133"/>
      <c r="L708" s="134"/>
      <c r="M708" s="134"/>
      <c r="N708" s="135"/>
      <c r="O708" s="219"/>
      <c r="P708" s="143"/>
      <c r="Q708" s="144"/>
      <c r="R708" s="150"/>
      <c r="S708" s="127" t="str">
        <f t="shared" si="92"/>
        <v/>
      </c>
      <c r="T708" s="175" t="str">
        <f t="shared" si="93"/>
        <v/>
      </c>
      <c r="U708" s="158" t="e">
        <f t="shared" si="94"/>
        <v>#N/A</v>
      </c>
      <c r="V708" s="310" t="str">
        <f t="shared" si="95"/>
        <v/>
      </c>
      <c r="W708" s="137" t="str">
        <f t="shared" si="96"/>
        <v>X</v>
      </c>
      <c r="X708" s="137">
        <f t="shared" si="97"/>
        <v>0</v>
      </c>
    </row>
    <row r="709" spans="1:24" ht="17.25" customHeight="1">
      <c r="A709" s="137" t="str">
        <f t="shared" ca="1" si="99"/>
        <v>-</v>
      </c>
      <c r="B709" s="173"/>
      <c r="C709" s="253" t="str">
        <f t="shared" ref="C709:C772" si="100">IF(F709="","",IF(LEFT(M709,5)&lt;&gt;"3311-","Non-GR",IF(AND(B709&lt;D709,B709&lt;&gt;""),NETWORKDAYS(B709,D709),IF(OR(L709="Mai",L709="Đức Anh",L709="C.Thảo"),"GIT","Non-GR"))))</f>
        <v/>
      </c>
      <c r="D709" s="173"/>
      <c r="E709" s="173"/>
      <c r="F709" s="329" t="str">
        <f t="shared" si="98"/>
        <v/>
      </c>
      <c r="G709" s="174"/>
      <c r="H709" s="130" t="str">
        <f>IFERROR(INDEX(DMDT!B:B,MATCH($G709,DMDT!D:D,0),),"")</f>
        <v/>
      </c>
      <c r="I709" s="131"/>
      <c r="J709" s="132"/>
      <c r="K709" s="133"/>
      <c r="L709" s="134"/>
      <c r="M709" s="134"/>
      <c r="N709" s="135"/>
      <c r="O709" s="219"/>
      <c r="P709" s="143"/>
      <c r="Q709" s="144"/>
      <c r="R709" s="150"/>
      <c r="S709" s="127" t="str">
        <f t="shared" ref="S709:S772" si="101">$N709&amp;LEFT($G709,6)</f>
        <v/>
      </c>
      <c r="T709" s="175" t="str">
        <f t="shared" ref="T709:T772" si="102">+LEFT($M709,5)</f>
        <v/>
      </c>
      <c r="U709" s="158" t="e">
        <f t="shared" ref="U709:U772" si="103">VLOOKUP(L709,$AB$10:$AC$26,2,0)</f>
        <v>#N/A</v>
      </c>
      <c r="V709" s="310" t="str">
        <f t="shared" ref="V709:V772" si="104">IF(T709="3311-",D709,"")</f>
        <v/>
      </c>
      <c r="W709" s="137" t="str">
        <f t="shared" ref="W709:W772" si="105">IFERROR(IF(MONTH(V709)=$F$1,DAY(V709),"NEXT"),"X")</f>
        <v>X</v>
      </c>
      <c r="X709" s="137">
        <f t="shared" ref="X709:X772" si="106">IFERROR(IF(31-W709&gt;5,1,2),0)</f>
        <v>0</v>
      </c>
    </row>
    <row r="710" spans="1:24" ht="17.25" customHeight="1">
      <c r="A710" s="137" t="str">
        <f t="shared" ca="1" si="99"/>
        <v>-</v>
      </c>
      <c r="B710" s="173"/>
      <c r="C710" s="253" t="str">
        <f t="shared" si="100"/>
        <v/>
      </c>
      <c r="D710" s="173"/>
      <c r="E710" s="173"/>
      <c r="F710" s="329" t="str">
        <f t="shared" ref="F710:F773" si="107">IF(E710&lt;&gt;"",F709+1,"")</f>
        <v/>
      </c>
      <c r="G710" s="174"/>
      <c r="H710" s="130" t="str">
        <f>IFERROR(INDEX(DMDT!B:B,MATCH($G710,DMDT!D:D,0),),"")</f>
        <v/>
      </c>
      <c r="I710" s="131"/>
      <c r="J710" s="132"/>
      <c r="K710" s="133"/>
      <c r="L710" s="134"/>
      <c r="M710" s="134"/>
      <c r="N710" s="135"/>
      <c r="O710" s="219"/>
      <c r="P710" s="143"/>
      <c r="Q710" s="144"/>
      <c r="R710" s="150"/>
      <c r="S710" s="127" t="str">
        <f t="shared" si="101"/>
        <v/>
      </c>
      <c r="T710" s="175" t="str">
        <f t="shared" si="102"/>
        <v/>
      </c>
      <c r="U710" s="158" t="e">
        <f t="shared" si="103"/>
        <v>#N/A</v>
      </c>
      <c r="V710" s="310" t="str">
        <f t="shared" si="104"/>
        <v/>
      </c>
      <c r="W710" s="137" t="str">
        <f t="shared" si="105"/>
        <v>X</v>
      </c>
      <c r="X710" s="137">
        <f t="shared" si="106"/>
        <v>0</v>
      </c>
    </row>
    <row r="711" spans="1:24" ht="17.25" customHeight="1">
      <c r="A711" s="137" t="str">
        <f t="shared" ca="1" si="99"/>
        <v>-</v>
      </c>
      <c r="B711" s="173"/>
      <c r="C711" s="253" t="str">
        <f t="shared" si="100"/>
        <v/>
      </c>
      <c r="D711" s="173"/>
      <c r="E711" s="173"/>
      <c r="F711" s="329" t="str">
        <f t="shared" si="107"/>
        <v/>
      </c>
      <c r="G711" s="174"/>
      <c r="H711" s="130" t="str">
        <f>IFERROR(INDEX(DMDT!B:B,MATCH($G711,DMDT!D:D,0),),"")</f>
        <v/>
      </c>
      <c r="I711" s="131"/>
      <c r="J711" s="132"/>
      <c r="K711" s="133"/>
      <c r="L711" s="134"/>
      <c r="M711" s="134"/>
      <c r="N711" s="135"/>
      <c r="O711" s="219"/>
      <c r="P711" s="143"/>
      <c r="Q711" s="144"/>
      <c r="R711" s="150"/>
      <c r="S711" s="127" t="str">
        <f t="shared" si="101"/>
        <v/>
      </c>
      <c r="T711" s="175" t="str">
        <f t="shared" si="102"/>
        <v/>
      </c>
      <c r="U711" s="158" t="e">
        <f t="shared" si="103"/>
        <v>#N/A</v>
      </c>
      <c r="V711" s="310" t="str">
        <f t="shared" si="104"/>
        <v/>
      </c>
      <c r="W711" s="137" t="str">
        <f t="shared" si="105"/>
        <v>X</v>
      </c>
      <c r="X711" s="137">
        <f t="shared" si="106"/>
        <v>0</v>
      </c>
    </row>
    <row r="712" spans="1:24" ht="17.25" customHeight="1">
      <c r="A712" s="137" t="str">
        <f t="shared" ca="1" si="99"/>
        <v>-</v>
      </c>
      <c r="B712" s="173"/>
      <c r="C712" s="253" t="str">
        <f t="shared" si="100"/>
        <v/>
      </c>
      <c r="D712" s="173"/>
      <c r="E712" s="173"/>
      <c r="F712" s="329" t="str">
        <f t="shared" si="107"/>
        <v/>
      </c>
      <c r="G712" s="174"/>
      <c r="H712" s="130" t="str">
        <f>IFERROR(INDEX(DMDT!B:B,MATCH($G712,DMDT!D:D,0),),"")</f>
        <v/>
      </c>
      <c r="I712" s="131"/>
      <c r="J712" s="132"/>
      <c r="K712" s="133"/>
      <c r="L712" s="134"/>
      <c r="M712" s="134"/>
      <c r="N712" s="135"/>
      <c r="O712" s="219"/>
      <c r="P712" s="143"/>
      <c r="Q712" s="144"/>
      <c r="R712" s="150"/>
      <c r="S712" s="127" t="str">
        <f t="shared" si="101"/>
        <v/>
      </c>
      <c r="T712" s="175" t="str">
        <f t="shared" si="102"/>
        <v/>
      </c>
      <c r="U712" s="158" t="e">
        <f t="shared" si="103"/>
        <v>#N/A</v>
      </c>
      <c r="V712" s="310" t="str">
        <f t="shared" si="104"/>
        <v/>
      </c>
      <c r="W712" s="137" t="str">
        <f t="shared" si="105"/>
        <v>X</v>
      </c>
      <c r="X712" s="137">
        <f t="shared" si="106"/>
        <v>0</v>
      </c>
    </row>
    <row r="713" spans="1:24" ht="17.25" customHeight="1">
      <c r="A713" s="137" t="str">
        <f t="shared" ca="1" si="99"/>
        <v>-</v>
      </c>
      <c r="B713" s="173"/>
      <c r="C713" s="253" t="str">
        <f t="shared" si="100"/>
        <v/>
      </c>
      <c r="D713" s="173"/>
      <c r="E713" s="173"/>
      <c r="F713" s="329" t="str">
        <f t="shared" si="107"/>
        <v/>
      </c>
      <c r="G713" s="174"/>
      <c r="H713" s="130" t="str">
        <f>IFERROR(INDEX(DMDT!B:B,MATCH($G713,DMDT!D:D,0),),"")</f>
        <v/>
      </c>
      <c r="I713" s="131"/>
      <c r="J713" s="132"/>
      <c r="K713" s="133"/>
      <c r="L713" s="134"/>
      <c r="M713" s="134"/>
      <c r="N713" s="135"/>
      <c r="O713" s="219"/>
      <c r="P713" s="143"/>
      <c r="Q713" s="144"/>
      <c r="R713" s="150"/>
      <c r="S713" s="127" t="str">
        <f t="shared" si="101"/>
        <v/>
      </c>
      <c r="T713" s="175" t="str">
        <f t="shared" si="102"/>
        <v/>
      </c>
      <c r="U713" s="158" t="e">
        <f t="shared" si="103"/>
        <v>#N/A</v>
      </c>
      <c r="V713" s="310" t="str">
        <f t="shared" si="104"/>
        <v/>
      </c>
      <c r="W713" s="137" t="str">
        <f t="shared" si="105"/>
        <v>X</v>
      </c>
      <c r="X713" s="137">
        <f t="shared" si="106"/>
        <v>0</v>
      </c>
    </row>
    <row r="714" spans="1:24" ht="17.25" customHeight="1">
      <c r="A714" s="137" t="str">
        <f t="shared" ca="1" si="99"/>
        <v>-</v>
      </c>
      <c r="B714" s="173"/>
      <c r="C714" s="253" t="str">
        <f t="shared" si="100"/>
        <v/>
      </c>
      <c r="D714" s="173"/>
      <c r="E714" s="173"/>
      <c r="F714" s="329" t="str">
        <f t="shared" si="107"/>
        <v/>
      </c>
      <c r="G714" s="174"/>
      <c r="H714" s="130" t="str">
        <f>IFERROR(INDEX(DMDT!B:B,MATCH($G714,DMDT!D:D,0),),"")</f>
        <v/>
      </c>
      <c r="I714" s="131"/>
      <c r="J714" s="132"/>
      <c r="K714" s="133"/>
      <c r="L714" s="134"/>
      <c r="M714" s="134"/>
      <c r="N714" s="135"/>
      <c r="O714" s="219"/>
      <c r="P714" s="143"/>
      <c r="Q714" s="144"/>
      <c r="R714" s="150"/>
      <c r="S714" s="127" t="str">
        <f t="shared" si="101"/>
        <v/>
      </c>
      <c r="T714" s="175" t="str">
        <f t="shared" si="102"/>
        <v/>
      </c>
      <c r="U714" s="158" t="e">
        <f t="shared" si="103"/>
        <v>#N/A</v>
      </c>
      <c r="V714" s="310" t="str">
        <f t="shared" si="104"/>
        <v/>
      </c>
      <c r="W714" s="137" t="str">
        <f t="shared" si="105"/>
        <v>X</v>
      </c>
      <c r="X714" s="137">
        <f t="shared" si="106"/>
        <v>0</v>
      </c>
    </row>
    <row r="715" spans="1:24" ht="17.25" customHeight="1">
      <c r="A715" s="137" t="str">
        <f t="shared" ca="1" si="99"/>
        <v>-</v>
      </c>
      <c r="B715" s="173"/>
      <c r="C715" s="253" t="str">
        <f t="shared" si="100"/>
        <v/>
      </c>
      <c r="D715" s="173"/>
      <c r="E715" s="173"/>
      <c r="F715" s="329" t="str">
        <f t="shared" si="107"/>
        <v/>
      </c>
      <c r="G715" s="174"/>
      <c r="H715" s="130" t="str">
        <f>IFERROR(INDEX(DMDT!B:B,MATCH($G715,DMDT!D:D,0),),"")</f>
        <v/>
      </c>
      <c r="I715" s="131"/>
      <c r="J715" s="132"/>
      <c r="K715" s="133"/>
      <c r="L715" s="134"/>
      <c r="M715" s="134"/>
      <c r="N715" s="135"/>
      <c r="O715" s="219"/>
      <c r="P715" s="143"/>
      <c r="Q715" s="144"/>
      <c r="R715" s="150"/>
      <c r="S715" s="127" t="str">
        <f t="shared" si="101"/>
        <v/>
      </c>
      <c r="T715" s="175" t="str">
        <f t="shared" si="102"/>
        <v/>
      </c>
      <c r="U715" s="158" t="e">
        <f t="shared" si="103"/>
        <v>#N/A</v>
      </c>
      <c r="V715" s="310" t="str">
        <f t="shared" si="104"/>
        <v/>
      </c>
      <c r="W715" s="137" t="str">
        <f t="shared" si="105"/>
        <v>X</v>
      </c>
      <c r="X715" s="137">
        <f t="shared" si="106"/>
        <v>0</v>
      </c>
    </row>
    <row r="716" spans="1:24" ht="17.25" customHeight="1">
      <c r="A716" s="137" t="str">
        <f t="shared" ca="1" si="99"/>
        <v>-</v>
      </c>
      <c r="B716" s="173"/>
      <c r="C716" s="253" t="str">
        <f t="shared" si="100"/>
        <v/>
      </c>
      <c r="D716" s="173"/>
      <c r="E716" s="173"/>
      <c r="F716" s="329" t="str">
        <f t="shared" si="107"/>
        <v/>
      </c>
      <c r="G716" s="174"/>
      <c r="H716" s="130" t="str">
        <f>IFERROR(INDEX(DMDT!B:B,MATCH($G716,DMDT!D:D,0),),"")</f>
        <v/>
      </c>
      <c r="I716" s="131"/>
      <c r="J716" s="132"/>
      <c r="K716" s="133"/>
      <c r="L716" s="134"/>
      <c r="M716" s="134"/>
      <c r="N716" s="135"/>
      <c r="O716" s="219"/>
      <c r="P716" s="143"/>
      <c r="Q716" s="144"/>
      <c r="R716" s="150"/>
      <c r="S716" s="127" t="str">
        <f t="shared" si="101"/>
        <v/>
      </c>
      <c r="T716" s="175" t="str">
        <f t="shared" si="102"/>
        <v/>
      </c>
      <c r="U716" s="158" t="e">
        <f t="shared" si="103"/>
        <v>#N/A</v>
      </c>
      <c r="V716" s="310" t="str">
        <f t="shared" si="104"/>
        <v/>
      </c>
      <c r="W716" s="137" t="str">
        <f t="shared" si="105"/>
        <v>X</v>
      </c>
      <c r="X716" s="137">
        <f t="shared" si="106"/>
        <v>0</v>
      </c>
    </row>
    <row r="717" spans="1:24" ht="17.25" customHeight="1">
      <c r="A717" s="137" t="str">
        <f t="shared" ca="1" si="99"/>
        <v>-</v>
      </c>
      <c r="B717" s="173"/>
      <c r="C717" s="253" t="str">
        <f t="shared" si="100"/>
        <v/>
      </c>
      <c r="D717" s="173"/>
      <c r="E717" s="173"/>
      <c r="F717" s="329" t="str">
        <f t="shared" si="107"/>
        <v/>
      </c>
      <c r="G717" s="174"/>
      <c r="H717" s="130" t="str">
        <f>IFERROR(INDEX(DMDT!B:B,MATCH($G717,DMDT!D:D,0),),"")</f>
        <v/>
      </c>
      <c r="I717" s="131"/>
      <c r="J717" s="132"/>
      <c r="K717" s="133"/>
      <c r="L717" s="134"/>
      <c r="M717" s="134"/>
      <c r="N717" s="135"/>
      <c r="O717" s="219"/>
      <c r="P717" s="143"/>
      <c r="Q717" s="144"/>
      <c r="R717" s="150"/>
      <c r="S717" s="127" t="str">
        <f t="shared" si="101"/>
        <v/>
      </c>
      <c r="T717" s="175" t="str">
        <f t="shared" si="102"/>
        <v/>
      </c>
      <c r="U717" s="158" t="e">
        <f t="shared" si="103"/>
        <v>#N/A</v>
      </c>
      <c r="V717" s="310" t="str">
        <f t="shared" si="104"/>
        <v/>
      </c>
      <c r="W717" s="137" t="str">
        <f t="shared" si="105"/>
        <v>X</v>
      </c>
      <c r="X717" s="137">
        <f t="shared" si="106"/>
        <v>0</v>
      </c>
    </row>
    <row r="718" spans="1:24" ht="17.25" customHeight="1">
      <c r="A718" s="137" t="str">
        <f t="shared" ca="1" si="99"/>
        <v>-</v>
      </c>
      <c r="B718" s="173"/>
      <c r="C718" s="253" t="str">
        <f t="shared" si="100"/>
        <v/>
      </c>
      <c r="D718" s="173"/>
      <c r="E718" s="173"/>
      <c r="F718" s="329" t="str">
        <f t="shared" si="107"/>
        <v/>
      </c>
      <c r="G718" s="174"/>
      <c r="H718" s="130" t="str">
        <f>IFERROR(INDEX(DMDT!B:B,MATCH($G718,DMDT!D:D,0),),"")</f>
        <v/>
      </c>
      <c r="I718" s="131"/>
      <c r="J718" s="132"/>
      <c r="K718" s="133"/>
      <c r="L718" s="134"/>
      <c r="M718" s="134"/>
      <c r="N718" s="135"/>
      <c r="O718" s="219"/>
      <c r="P718" s="143"/>
      <c r="Q718" s="144"/>
      <c r="R718" s="150"/>
      <c r="S718" s="127" t="str">
        <f t="shared" si="101"/>
        <v/>
      </c>
      <c r="T718" s="175" t="str">
        <f t="shared" si="102"/>
        <v/>
      </c>
      <c r="U718" s="158" t="e">
        <f t="shared" si="103"/>
        <v>#N/A</v>
      </c>
      <c r="V718" s="310" t="str">
        <f t="shared" si="104"/>
        <v/>
      </c>
      <c r="W718" s="137" t="str">
        <f t="shared" si="105"/>
        <v>X</v>
      </c>
      <c r="X718" s="137">
        <f t="shared" si="106"/>
        <v>0</v>
      </c>
    </row>
    <row r="719" spans="1:24" ht="17.25" customHeight="1">
      <c r="A719" s="137" t="str">
        <f t="shared" ca="1" si="99"/>
        <v>-</v>
      </c>
      <c r="B719" s="173"/>
      <c r="C719" s="253" t="str">
        <f t="shared" si="100"/>
        <v/>
      </c>
      <c r="D719" s="173"/>
      <c r="E719" s="173"/>
      <c r="F719" s="329" t="str">
        <f t="shared" si="107"/>
        <v/>
      </c>
      <c r="G719" s="174"/>
      <c r="H719" s="130" t="str">
        <f>IFERROR(INDEX(DMDT!B:B,MATCH($G719,DMDT!D:D,0),),"")</f>
        <v/>
      </c>
      <c r="I719" s="131"/>
      <c r="J719" s="132"/>
      <c r="K719" s="133"/>
      <c r="L719" s="134"/>
      <c r="M719" s="134"/>
      <c r="N719" s="135"/>
      <c r="O719" s="219"/>
      <c r="P719" s="143"/>
      <c r="Q719" s="144"/>
      <c r="R719" s="150"/>
      <c r="S719" s="127" t="str">
        <f t="shared" si="101"/>
        <v/>
      </c>
      <c r="T719" s="175" t="str">
        <f t="shared" si="102"/>
        <v/>
      </c>
      <c r="U719" s="158" t="e">
        <f t="shared" si="103"/>
        <v>#N/A</v>
      </c>
      <c r="V719" s="310" t="str">
        <f t="shared" si="104"/>
        <v/>
      </c>
      <c r="W719" s="137" t="str">
        <f t="shared" si="105"/>
        <v>X</v>
      </c>
      <c r="X719" s="137">
        <f t="shared" si="106"/>
        <v>0</v>
      </c>
    </row>
    <row r="720" spans="1:24" ht="17.25" customHeight="1">
      <c r="A720" s="137" t="str">
        <f t="shared" ca="1" si="99"/>
        <v>-</v>
      </c>
      <c r="B720" s="173"/>
      <c r="C720" s="253" t="str">
        <f t="shared" si="100"/>
        <v/>
      </c>
      <c r="D720" s="173"/>
      <c r="E720" s="173"/>
      <c r="F720" s="329" t="str">
        <f t="shared" si="107"/>
        <v/>
      </c>
      <c r="G720" s="174"/>
      <c r="H720" s="130" t="str">
        <f>IFERROR(INDEX(DMDT!B:B,MATCH($G720,DMDT!D:D,0),),"")</f>
        <v/>
      </c>
      <c r="I720" s="131"/>
      <c r="J720" s="132"/>
      <c r="K720" s="133"/>
      <c r="L720" s="134"/>
      <c r="M720" s="134"/>
      <c r="N720" s="135"/>
      <c r="O720" s="219"/>
      <c r="P720" s="143"/>
      <c r="Q720" s="144"/>
      <c r="R720" s="150"/>
      <c r="S720" s="127" t="str">
        <f t="shared" si="101"/>
        <v/>
      </c>
      <c r="T720" s="175" t="str">
        <f t="shared" si="102"/>
        <v/>
      </c>
      <c r="U720" s="158" t="e">
        <f t="shared" si="103"/>
        <v>#N/A</v>
      </c>
      <c r="V720" s="310" t="str">
        <f t="shared" si="104"/>
        <v/>
      </c>
      <c r="W720" s="137" t="str">
        <f t="shared" si="105"/>
        <v>X</v>
      </c>
      <c r="X720" s="137">
        <f t="shared" si="106"/>
        <v>0</v>
      </c>
    </row>
    <row r="721" spans="1:24" ht="17.25" customHeight="1">
      <c r="A721" s="137" t="str">
        <f t="shared" ca="1" si="99"/>
        <v>-</v>
      </c>
      <c r="B721" s="173"/>
      <c r="C721" s="253" t="str">
        <f t="shared" si="100"/>
        <v/>
      </c>
      <c r="D721" s="173"/>
      <c r="E721" s="173"/>
      <c r="F721" s="329" t="str">
        <f t="shared" si="107"/>
        <v/>
      </c>
      <c r="G721" s="174"/>
      <c r="H721" s="130" t="str">
        <f>IFERROR(INDEX(DMDT!B:B,MATCH($G721,DMDT!D:D,0),),"")</f>
        <v/>
      </c>
      <c r="I721" s="131"/>
      <c r="J721" s="132"/>
      <c r="K721" s="133"/>
      <c r="L721" s="134"/>
      <c r="M721" s="134"/>
      <c r="N721" s="135"/>
      <c r="O721" s="219"/>
      <c r="P721" s="143"/>
      <c r="Q721" s="144"/>
      <c r="R721" s="150"/>
      <c r="S721" s="127" t="str">
        <f t="shared" si="101"/>
        <v/>
      </c>
      <c r="T721" s="175" t="str">
        <f t="shared" si="102"/>
        <v/>
      </c>
      <c r="U721" s="158" t="e">
        <f t="shared" si="103"/>
        <v>#N/A</v>
      </c>
      <c r="V721" s="310" t="str">
        <f t="shared" si="104"/>
        <v/>
      </c>
      <c r="W721" s="137" t="str">
        <f t="shared" si="105"/>
        <v>X</v>
      </c>
      <c r="X721" s="137">
        <f t="shared" si="106"/>
        <v>0</v>
      </c>
    </row>
    <row r="722" spans="1:24" ht="17.25" customHeight="1">
      <c r="A722" s="137" t="str">
        <f t="shared" ca="1" si="99"/>
        <v>-</v>
      </c>
      <c r="B722" s="173"/>
      <c r="C722" s="253" t="str">
        <f t="shared" si="100"/>
        <v/>
      </c>
      <c r="D722" s="173"/>
      <c r="E722" s="173"/>
      <c r="F722" s="329" t="str">
        <f t="shared" si="107"/>
        <v/>
      </c>
      <c r="G722" s="174"/>
      <c r="H722" s="130" t="str">
        <f>IFERROR(INDEX(DMDT!B:B,MATCH($G722,DMDT!D:D,0),),"")</f>
        <v/>
      </c>
      <c r="I722" s="131"/>
      <c r="J722" s="132"/>
      <c r="K722" s="133"/>
      <c r="L722" s="134"/>
      <c r="M722" s="134"/>
      <c r="N722" s="135"/>
      <c r="O722" s="219"/>
      <c r="P722" s="143"/>
      <c r="Q722" s="144"/>
      <c r="R722" s="150"/>
      <c r="S722" s="127" t="str">
        <f t="shared" si="101"/>
        <v/>
      </c>
      <c r="T722" s="175" t="str">
        <f t="shared" si="102"/>
        <v/>
      </c>
      <c r="U722" s="158" t="e">
        <f t="shared" si="103"/>
        <v>#N/A</v>
      </c>
      <c r="V722" s="310" t="str">
        <f t="shared" si="104"/>
        <v/>
      </c>
      <c r="W722" s="137" t="str">
        <f t="shared" si="105"/>
        <v>X</v>
      </c>
      <c r="X722" s="137">
        <f t="shared" si="106"/>
        <v>0</v>
      </c>
    </row>
    <row r="723" spans="1:24" ht="17.25" customHeight="1">
      <c r="A723" s="137" t="str">
        <f t="shared" ca="1" si="99"/>
        <v>-</v>
      </c>
      <c r="B723" s="173"/>
      <c r="C723" s="253" t="str">
        <f t="shared" si="100"/>
        <v/>
      </c>
      <c r="D723" s="173"/>
      <c r="E723" s="173"/>
      <c r="F723" s="329" t="str">
        <f t="shared" si="107"/>
        <v/>
      </c>
      <c r="G723" s="174"/>
      <c r="H723" s="130" t="str">
        <f>IFERROR(INDEX(DMDT!B:B,MATCH($G723,DMDT!D:D,0),),"")</f>
        <v/>
      </c>
      <c r="I723" s="131"/>
      <c r="J723" s="132"/>
      <c r="K723" s="133"/>
      <c r="L723" s="134"/>
      <c r="M723" s="134"/>
      <c r="N723" s="135"/>
      <c r="O723" s="219"/>
      <c r="P723" s="143"/>
      <c r="Q723" s="144"/>
      <c r="R723" s="150"/>
      <c r="S723" s="127" t="str">
        <f t="shared" si="101"/>
        <v/>
      </c>
      <c r="T723" s="175" t="str">
        <f t="shared" si="102"/>
        <v/>
      </c>
      <c r="U723" s="158" t="e">
        <f t="shared" si="103"/>
        <v>#N/A</v>
      </c>
      <c r="V723" s="310" t="str">
        <f t="shared" si="104"/>
        <v/>
      </c>
      <c r="W723" s="137" t="str">
        <f t="shared" si="105"/>
        <v>X</v>
      </c>
      <c r="X723" s="137">
        <f t="shared" si="106"/>
        <v>0</v>
      </c>
    </row>
    <row r="724" spans="1:24" ht="17.25" customHeight="1">
      <c r="A724" s="137" t="str">
        <f t="shared" ca="1" si="99"/>
        <v>-</v>
      </c>
      <c r="B724" s="173"/>
      <c r="C724" s="253" t="str">
        <f t="shared" si="100"/>
        <v/>
      </c>
      <c r="D724" s="173"/>
      <c r="E724" s="173"/>
      <c r="F724" s="329" t="str">
        <f t="shared" si="107"/>
        <v/>
      </c>
      <c r="G724" s="174"/>
      <c r="H724" s="130" t="str">
        <f>IFERROR(INDEX(DMDT!B:B,MATCH($G724,DMDT!D:D,0),),"")</f>
        <v/>
      </c>
      <c r="I724" s="131"/>
      <c r="J724" s="132"/>
      <c r="K724" s="133"/>
      <c r="L724" s="134"/>
      <c r="M724" s="134"/>
      <c r="N724" s="135"/>
      <c r="O724" s="219"/>
      <c r="P724" s="143"/>
      <c r="Q724" s="144"/>
      <c r="R724" s="150"/>
      <c r="S724" s="127" t="str">
        <f t="shared" si="101"/>
        <v/>
      </c>
      <c r="T724" s="175" t="str">
        <f t="shared" si="102"/>
        <v/>
      </c>
      <c r="U724" s="158" t="e">
        <f t="shared" si="103"/>
        <v>#N/A</v>
      </c>
      <c r="V724" s="310" t="str">
        <f t="shared" si="104"/>
        <v/>
      </c>
      <c r="W724" s="137" t="str">
        <f t="shared" si="105"/>
        <v>X</v>
      </c>
      <c r="X724" s="137">
        <f t="shared" si="106"/>
        <v>0</v>
      </c>
    </row>
    <row r="725" spans="1:24" ht="17.25" customHeight="1">
      <c r="A725" s="137" t="str">
        <f t="shared" ca="1" si="99"/>
        <v>-</v>
      </c>
      <c r="B725" s="173"/>
      <c r="C725" s="253" t="str">
        <f t="shared" si="100"/>
        <v/>
      </c>
      <c r="D725" s="173"/>
      <c r="E725" s="173"/>
      <c r="F725" s="329" t="str">
        <f t="shared" si="107"/>
        <v/>
      </c>
      <c r="G725" s="174"/>
      <c r="H725" s="130" t="str">
        <f>IFERROR(INDEX(DMDT!B:B,MATCH($G725,DMDT!D:D,0),),"")</f>
        <v/>
      </c>
      <c r="I725" s="131"/>
      <c r="J725" s="132"/>
      <c r="K725" s="133"/>
      <c r="L725" s="134"/>
      <c r="M725" s="134"/>
      <c r="N725" s="135"/>
      <c r="O725" s="219"/>
      <c r="P725" s="143"/>
      <c r="Q725" s="144"/>
      <c r="R725" s="150"/>
      <c r="S725" s="127" t="str">
        <f t="shared" si="101"/>
        <v/>
      </c>
      <c r="T725" s="175" t="str">
        <f t="shared" si="102"/>
        <v/>
      </c>
      <c r="U725" s="158" t="e">
        <f t="shared" si="103"/>
        <v>#N/A</v>
      </c>
      <c r="V725" s="310" t="str">
        <f t="shared" si="104"/>
        <v/>
      </c>
      <c r="W725" s="137" t="str">
        <f t="shared" si="105"/>
        <v>X</v>
      </c>
      <c r="X725" s="137">
        <f t="shared" si="106"/>
        <v>0</v>
      </c>
    </row>
    <row r="726" spans="1:24" ht="17.25" customHeight="1">
      <c r="A726" s="137" t="str">
        <f t="shared" ca="1" si="99"/>
        <v>-</v>
      </c>
      <c r="B726" s="173"/>
      <c r="C726" s="253" t="str">
        <f t="shared" si="100"/>
        <v/>
      </c>
      <c r="D726" s="173"/>
      <c r="E726" s="173"/>
      <c r="F726" s="329" t="str">
        <f t="shared" si="107"/>
        <v/>
      </c>
      <c r="G726" s="174"/>
      <c r="H726" s="130" t="str">
        <f>IFERROR(INDEX(DMDT!B:B,MATCH($G726,DMDT!D:D,0),),"")</f>
        <v/>
      </c>
      <c r="I726" s="131"/>
      <c r="J726" s="132"/>
      <c r="K726" s="133"/>
      <c r="L726" s="134"/>
      <c r="M726" s="134"/>
      <c r="N726" s="135"/>
      <c r="O726" s="219"/>
      <c r="P726" s="143"/>
      <c r="Q726" s="144"/>
      <c r="R726" s="150"/>
      <c r="S726" s="127" t="str">
        <f t="shared" si="101"/>
        <v/>
      </c>
      <c r="T726" s="175" t="str">
        <f t="shared" si="102"/>
        <v/>
      </c>
      <c r="U726" s="158" t="e">
        <f t="shared" si="103"/>
        <v>#N/A</v>
      </c>
      <c r="V726" s="310" t="str">
        <f t="shared" si="104"/>
        <v/>
      </c>
      <c r="W726" s="137" t="str">
        <f t="shared" si="105"/>
        <v>X</v>
      </c>
      <c r="X726" s="137">
        <f t="shared" si="106"/>
        <v>0</v>
      </c>
    </row>
    <row r="727" spans="1:24" ht="17.25" customHeight="1">
      <c r="A727" s="137" t="str">
        <f t="shared" ca="1" si="99"/>
        <v>-</v>
      </c>
      <c r="B727" s="173"/>
      <c r="C727" s="253" t="str">
        <f t="shared" si="100"/>
        <v/>
      </c>
      <c r="D727" s="173"/>
      <c r="E727" s="173"/>
      <c r="F727" s="329" t="str">
        <f t="shared" si="107"/>
        <v/>
      </c>
      <c r="G727" s="174"/>
      <c r="H727" s="130" t="str">
        <f>IFERROR(INDEX(DMDT!B:B,MATCH($G727,DMDT!D:D,0),),"")</f>
        <v/>
      </c>
      <c r="I727" s="131"/>
      <c r="J727" s="132"/>
      <c r="K727" s="133"/>
      <c r="L727" s="134"/>
      <c r="M727" s="134"/>
      <c r="N727" s="135"/>
      <c r="O727" s="219"/>
      <c r="P727" s="143"/>
      <c r="Q727" s="144"/>
      <c r="R727" s="150"/>
      <c r="S727" s="127" t="str">
        <f t="shared" si="101"/>
        <v/>
      </c>
      <c r="T727" s="175" t="str">
        <f t="shared" si="102"/>
        <v/>
      </c>
      <c r="U727" s="158" t="e">
        <f t="shared" si="103"/>
        <v>#N/A</v>
      </c>
      <c r="V727" s="310" t="str">
        <f t="shared" si="104"/>
        <v/>
      </c>
      <c r="W727" s="137" t="str">
        <f t="shared" si="105"/>
        <v>X</v>
      </c>
      <c r="X727" s="137">
        <f t="shared" si="106"/>
        <v>0</v>
      </c>
    </row>
    <row r="728" spans="1:24" ht="17.25" customHeight="1">
      <c r="A728" s="137" t="str">
        <f t="shared" ca="1" si="99"/>
        <v>-</v>
      </c>
      <c r="B728" s="173"/>
      <c r="C728" s="253" t="str">
        <f t="shared" si="100"/>
        <v/>
      </c>
      <c r="D728" s="173"/>
      <c r="E728" s="173"/>
      <c r="F728" s="329" t="str">
        <f t="shared" si="107"/>
        <v/>
      </c>
      <c r="G728" s="174"/>
      <c r="H728" s="130" t="str">
        <f>IFERROR(INDEX(DMDT!B:B,MATCH($G728,DMDT!D:D,0),),"")</f>
        <v/>
      </c>
      <c r="I728" s="131"/>
      <c r="J728" s="132"/>
      <c r="K728" s="133"/>
      <c r="L728" s="134"/>
      <c r="M728" s="134"/>
      <c r="N728" s="135"/>
      <c r="O728" s="219"/>
      <c r="P728" s="143"/>
      <c r="Q728" s="144"/>
      <c r="R728" s="150"/>
      <c r="S728" s="127" t="str">
        <f t="shared" si="101"/>
        <v/>
      </c>
      <c r="T728" s="175" t="str">
        <f t="shared" si="102"/>
        <v/>
      </c>
      <c r="U728" s="158" t="e">
        <f t="shared" si="103"/>
        <v>#N/A</v>
      </c>
      <c r="V728" s="310" t="str">
        <f t="shared" si="104"/>
        <v/>
      </c>
      <c r="W728" s="137" t="str">
        <f t="shared" si="105"/>
        <v>X</v>
      </c>
      <c r="X728" s="137">
        <f t="shared" si="106"/>
        <v>0</v>
      </c>
    </row>
    <row r="729" spans="1:24" ht="17.25" customHeight="1">
      <c r="A729" s="137" t="str">
        <f t="shared" ca="1" si="99"/>
        <v>-</v>
      </c>
      <c r="B729" s="173"/>
      <c r="C729" s="253" t="str">
        <f t="shared" si="100"/>
        <v/>
      </c>
      <c r="D729" s="173"/>
      <c r="E729" s="173"/>
      <c r="F729" s="329" t="str">
        <f t="shared" si="107"/>
        <v/>
      </c>
      <c r="G729" s="174"/>
      <c r="H729" s="130" t="str">
        <f>IFERROR(INDEX(DMDT!B:B,MATCH($G729,DMDT!D:D,0),),"")</f>
        <v/>
      </c>
      <c r="I729" s="131"/>
      <c r="J729" s="132"/>
      <c r="K729" s="133"/>
      <c r="L729" s="134"/>
      <c r="M729" s="134"/>
      <c r="N729" s="135"/>
      <c r="O729" s="219"/>
      <c r="P729" s="143"/>
      <c r="Q729" s="144"/>
      <c r="R729" s="150"/>
      <c r="S729" s="127" t="str">
        <f t="shared" si="101"/>
        <v/>
      </c>
      <c r="T729" s="175" t="str">
        <f t="shared" si="102"/>
        <v/>
      </c>
      <c r="U729" s="158" t="e">
        <f t="shared" si="103"/>
        <v>#N/A</v>
      </c>
      <c r="V729" s="310" t="str">
        <f t="shared" si="104"/>
        <v/>
      </c>
      <c r="W729" s="137" t="str">
        <f t="shared" si="105"/>
        <v>X</v>
      </c>
      <c r="X729" s="137">
        <f t="shared" si="106"/>
        <v>0</v>
      </c>
    </row>
    <row r="730" spans="1:24" ht="17.25" customHeight="1">
      <c r="A730" s="137" t="str">
        <f t="shared" ca="1" si="99"/>
        <v>-</v>
      </c>
      <c r="B730" s="173"/>
      <c r="C730" s="253" t="str">
        <f t="shared" si="100"/>
        <v/>
      </c>
      <c r="D730" s="173"/>
      <c r="E730" s="173"/>
      <c r="F730" s="329" t="str">
        <f t="shared" si="107"/>
        <v/>
      </c>
      <c r="G730" s="174"/>
      <c r="H730" s="130" t="str">
        <f>IFERROR(INDEX(DMDT!B:B,MATCH($G730,DMDT!D:D,0),),"")</f>
        <v/>
      </c>
      <c r="I730" s="131"/>
      <c r="J730" s="132"/>
      <c r="K730" s="133"/>
      <c r="L730" s="134"/>
      <c r="M730" s="134"/>
      <c r="N730" s="135"/>
      <c r="O730" s="219"/>
      <c r="P730" s="143"/>
      <c r="Q730" s="144"/>
      <c r="R730" s="150"/>
      <c r="S730" s="127" t="str">
        <f t="shared" si="101"/>
        <v/>
      </c>
      <c r="T730" s="175" t="str">
        <f t="shared" si="102"/>
        <v/>
      </c>
      <c r="U730" s="158" t="e">
        <f t="shared" si="103"/>
        <v>#N/A</v>
      </c>
      <c r="V730" s="310" t="str">
        <f t="shared" si="104"/>
        <v/>
      </c>
      <c r="W730" s="137" t="str">
        <f t="shared" si="105"/>
        <v>X</v>
      </c>
      <c r="X730" s="137">
        <f t="shared" si="106"/>
        <v>0</v>
      </c>
    </row>
    <row r="731" spans="1:24" ht="17.25" customHeight="1">
      <c r="A731" s="137" t="str">
        <f t="shared" ca="1" si="99"/>
        <v>-</v>
      </c>
      <c r="B731" s="173"/>
      <c r="C731" s="253" t="str">
        <f t="shared" si="100"/>
        <v/>
      </c>
      <c r="D731" s="173"/>
      <c r="E731" s="173"/>
      <c r="F731" s="329" t="str">
        <f t="shared" si="107"/>
        <v/>
      </c>
      <c r="G731" s="174"/>
      <c r="H731" s="130" t="str">
        <f>IFERROR(INDEX(DMDT!B:B,MATCH($G731,DMDT!D:D,0),),"")</f>
        <v/>
      </c>
      <c r="I731" s="131"/>
      <c r="J731" s="132"/>
      <c r="K731" s="133"/>
      <c r="L731" s="134"/>
      <c r="M731" s="134"/>
      <c r="N731" s="135"/>
      <c r="O731" s="219"/>
      <c r="P731" s="143"/>
      <c r="Q731" s="144"/>
      <c r="R731" s="150"/>
      <c r="S731" s="127" t="str">
        <f t="shared" si="101"/>
        <v/>
      </c>
      <c r="T731" s="175" t="str">
        <f t="shared" si="102"/>
        <v/>
      </c>
      <c r="U731" s="158" t="e">
        <f t="shared" si="103"/>
        <v>#N/A</v>
      </c>
      <c r="V731" s="310" t="str">
        <f t="shared" si="104"/>
        <v/>
      </c>
      <c r="W731" s="137" t="str">
        <f t="shared" si="105"/>
        <v>X</v>
      </c>
      <c r="X731" s="137">
        <f t="shared" si="106"/>
        <v>0</v>
      </c>
    </row>
    <row r="732" spans="1:24" ht="17.25" customHeight="1">
      <c r="A732" s="137" t="str">
        <f t="shared" ca="1" si="99"/>
        <v>-</v>
      </c>
      <c r="B732" s="173"/>
      <c r="C732" s="253" t="str">
        <f t="shared" si="100"/>
        <v/>
      </c>
      <c r="D732" s="173"/>
      <c r="E732" s="173"/>
      <c r="F732" s="329" t="str">
        <f t="shared" si="107"/>
        <v/>
      </c>
      <c r="G732" s="174"/>
      <c r="H732" s="130" t="str">
        <f>IFERROR(INDEX(DMDT!B:B,MATCH($G732,DMDT!D:D,0),),"")</f>
        <v/>
      </c>
      <c r="I732" s="131"/>
      <c r="J732" s="132"/>
      <c r="K732" s="133"/>
      <c r="L732" s="134"/>
      <c r="M732" s="134"/>
      <c r="N732" s="135"/>
      <c r="O732" s="219"/>
      <c r="P732" s="143"/>
      <c r="Q732" s="144"/>
      <c r="R732" s="150"/>
      <c r="S732" s="127" t="str">
        <f t="shared" si="101"/>
        <v/>
      </c>
      <c r="T732" s="175" t="str">
        <f t="shared" si="102"/>
        <v/>
      </c>
      <c r="U732" s="158" t="e">
        <f t="shared" si="103"/>
        <v>#N/A</v>
      </c>
      <c r="V732" s="310" t="str">
        <f t="shared" si="104"/>
        <v/>
      </c>
      <c r="W732" s="137" t="str">
        <f t="shared" si="105"/>
        <v>X</v>
      </c>
      <c r="X732" s="137">
        <f t="shared" si="106"/>
        <v>0</v>
      </c>
    </row>
    <row r="733" spans="1:24" ht="17.25" customHeight="1">
      <c r="A733" s="137" t="str">
        <f t="shared" ca="1" si="99"/>
        <v>-</v>
      </c>
      <c r="B733" s="173"/>
      <c r="C733" s="253" t="str">
        <f t="shared" si="100"/>
        <v/>
      </c>
      <c r="D733" s="173"/>
      <c r="E733" s="173"/>
      <c r="F733" s="329" t="str">
        <f t="shared" si="107"/>
        <v/>
      </c>
      <c r="G733" s="174"/>
      <c r="H733" s="130" t="str">
        <f>IFERROR(INDEX(DMDT!B:B,MATCH($G733,DMDT!D:D,0),),"")</f>
        <v/>
      </c>
      <c r="I733" s="131"/>
      <c r="J733" s="132"/>
      <c r="K733" s="133"/>
      <c r="L733" s="134"/>
      <c r="M733" s="134"/>
      <c r="N733" s="135"/>
      <c r="O733" s="219"/>
      <c r="P733" s="143"/>
      <c r="Q733" s="144"/>
      <c r="R733" s="150"/>
      <c r="S733" s="127" t="str">
        <f t="shared" si="101"/>
        <v/>
      </c>
      <c r="T733" s="175" t="str">
        <f t="shared" si="102"/>
        <v/>
      </c>
      <c r="U733" s="158" t="e">
        <f t="shared" si="103"/>
        <v>#N/A</v>
      </c>
      <c r="V733" s="310" t="str">
        <f t="shared" si="104"/>
        <v/>
      </c>
      <c r="W733" s="137" t="str">
        <f t="shared" si="105"/>
        <v>X</v>
      </c>
      <c r="X733" s="137">
        <f t="shared" si="106"/>
        <v>0</v>
      </c>
    </row>
    <row r="734" spans="1:24" ht="17.25" customHeight="1">
      <c r="A734" s="137" t="str">
        <f t="shared" ca="1" si="99"/>
        <v>-</v>
      </c>
      <c r="B734" s="173"/>
      <c r="C734" s="253" t="str">
        <f t="shared" si="100"/>
        <v/>
      </c>
      <c r="D734" s="173"/>
      <c r="E734" s="173"/>
      <c r="F734" s="329" t="str">
        <f t="shared" si="107"/>
        <v/>
      </c>
      <c r="G734" s="174"/>
      <c r="H734" s="130" t="str">
        <f>IFERROR(INDEX(DMDT!B:B,MATCH($G734,DMDT!D:D,0),),"")</f>
        <v/>
      </c>
      <c r="I734" s="131"/>
      <c r="J734" s="132"/>
      <c r="K734" s="133"/>
      <c r="L734" s="134"/>
      <c r="M734" s="134"/>
      <c r="N734" s="135"/>
      <c r="O734" s="219"/>
      <c r="P734" s="143"/>
      <c r="Q734" s="144"/>
      <c r="R734" s="150"/>
      <c r="S734" s="127" t="str">
        <f t="shared" si="101"/>
        <v/>
      </c>
      <c r="T734" s="175" t="str">
        <f t="shared" si="102"/>
        <v/>
      </c>
      <c r="U734" s="158" t="e">
        <f t="shared" si="103"/>
        <v>#N/A</v>
      </c>
      <c r="V734" s="310" t="str">
        <f t="shared" si="104"/>
        <v/>
      </c>
      <c r="W734" s="137" t="str">
        <f t="shared" si="105"/>
        <v>X</v>
      </c>
      <c r="X734" s="137">
        <f t="shared" si="106"/>
        <v>0</v>
      </c>
    </row>
    <row r="735" spans="1:24" ht="17.25" customHeight="1">
      <c r="A735" s="137" t="str">
        <f t="shared" ca="1" si="99"/>
        <v>-</v>
      </c>
      <c r="B735" s="173"/>
      <c r="C735" s="253" t="str">
        <f t="shared" si="100"/>
        <v/>
      </c>
      <c r="D735" s="173"/>
      <c r="E735" s="173"/>
      <c r="F735" s="329" t="str">
        <f t="shared" si="107"/>
        <v/>
      </c>
      <c r="G735" s="174"/>
      <c r="H735" s="130" t="str">
        <f>IFERROR(INDEX(DMDT!B:B,MATCH($G735,DMDT!D:D,0),),"")</f>
        <v/>
      </c>
      <c r="I735" s="131"/>
      <c r="J735" s="132"/>
      <c r="K735" s="133"/>
      <c r="L735" s="134"/>
      <c r="M735" s="134"/>
      <c r="N735" s="135"/>
      <c r="O735" s="219"/>
      <c r="P735" s="143"/>
      <c r="Q735" s="144"/>
      <c r="R735" s="150"/>
      <c r="S735" s="127" t="str">
        <f t="shared" si="101"/>
        <v/>
      </c>
      <c r="T735" s="175" t="str">
        <f t="shared" si="102"/>
        <v/>
      </c>
      <c r="U735" s="158" t="e">
        <f t="shared" si="103"/>
        <v>#N/A</v>
      </c>
      <c r="V735" s="310" t="str">
        <f t="shared" si="104"/>
        <v/>
      </c>
      <c r="W735" s="137" t="str">
        <f t="shared" si="105"/>
        <v>X</v>
      </c>
      <c r="X735" s="137">
        <f t="shared" si="106"/>
        <v>0</v>
      </c>
    </row>
    <row r="736" spans="1:24" ht="17.25" customHeight="1">
      <c r="A736" s="137" t="str">
        <f t="shared" ca="1" si="99"/>
        <v>-</v>
      </c>
      <c r="B736" s="173"/>
      <c r="C736" s="253" t="str">
        <f t="shared" si="100"/>
        <v/>
      </c>
      <c r="D736" s="173"/>
      <c r="E736" s="173"/>
      <c r="F736" s="329" t="str">
        <f t="shared" si="107"/>
        <v/>
      </c>
      <c r="G736" s="174"/>
      <c r="H736" s="130" t="str">
        <f>IFERROR(INDEX(DMDT!B:B,MATCH($G736,DMDT!D:D,0),),"")</f>
        <v/>
      </c>
      <c r="I736" s="131"/>
      <c r="J736" s="132"/>
      <c r="K736" s="133"/>
      <c r="L736" s="134"/>
      <c r="M736" s="134"/>
      <c r="N736" s="135"/>
      <c r="O736" s="219"/>
      <c r="P736" s="143"/>
      <c r="Q736" s="144"/>
      <c r="R736" s="150"/>
      <c r="S736" s="127" t="str">
        <f t="shared" si="101"/>
        <v/>
      </c>
      <c r="T736" s="175" t="str">
        <f t="shared" si="102"/>
        <v/>
      </c>
      <c r="U736" s="158" t="e">
        <f t="shared" si="103"/>
        <v>#N/A</v>
      </c>
      <c r="V736" s="310" t="str">
        <f t="shared" si="104"/>
        <v/>
      </c>
      <c r="W736" s="137" t="str">
        <f t="shared" si="105"/>
        <v>X</v>
      </c>
      <c r="X736" s="137">
        <f t="shared" si="106"/>
        <v>0</v>
      </c>
    </row>
    <row r="737" spans="1:24" ht="17.25" customHeight="1">
      <c r="A737" s="137" t="str">
        <f t="shared" ca="1" si="99"/>
        <v>-</v>
      </c>
      <c r="B737" s="173"/>
      <c r="C737" s="253" t="str">
        <f t="shared" si="100"/>
        <v/>
      </c>
      <c r="D737" s="173"/>
      <c r="E737" s="173"/>
      <c r="F737" s="329" t="str">
        <f t="shared" si="107"/>
        <v/>
      </c>
      <c r="G737" s="174"/>
      <c r="H737" s="130" t="str">
        <f>IFERROR(INDEX(DMDT!B:B,MATCH($G737,DMDT!D:D,0),),"")</f>
        <v/>
      </c>
      <c r="I737" s="131"/>
      <c r="J737" s="132"/>
      <c r="K737" s="133"/>
      <c r="L737" s="134"/>
      <c r="M737" s="134"/>
      <c r="N737" s="135"/>
      <c r="O737" s="219"/>
      <c r="P737" s="143"/>
      <c r="Q737" s="144"/>
      <c r="R737" s="150"/>
      <c r="S737" s="127" t="str">
        <f t="shared" si="101"/>
        <v/>
      </c>
      <c r="T737" s="175" t="str">
        <f t="shared" si="102"/>
        <v/>
      </c>
      <c r="U737" s="158" t="e">
        <f t="shared" si="103"/>
        <v>#N/A</v>
      </c>
      <c r="V737" s="310" t="str">
        <f t="shared" si="104"/>
        <v/>
      </c>
      <c r="W737" s="137" t="str">
        <f t="shared" si="105"/>
        <v>X</v>
      </c>
      <c r="X737" s="137">
        <f t="shared" si="106"/>
        <v>0</v>
      </c>
    </row>
    <row r="738" spans="1:24" ht="17.25" customHeight="1">
      <c r="A738" s="137" t="str">
        <f t="shared" ca="1" si="99"/>
        <v>-</v>
      </c>
      <c r="B738" s="173"/>
      <c r="C738" s="253" t="str">
        <f t="shared" si="100"/>
        <v/>
      </c>
      <c r="D738" s="173"/>
      <c r="E738" s="173"/>
      <c r="F738" s="329" t="str">
        <f t="shared" si="107"/>
        <v/>
      </c>
      <c r="G738" s="174"/>
      <c r="H738" s="130" t="str">
        <f>IFERROR(INDEX(DMDT!B:B,MATCH($G738,DMDT!D:D,0),),"")</f>
        <v/>
      </c>
      <c r="I738" s="131"/>
      <c r="J738" s="132"/>
      <c r="K738" s="133"/>
      <c r="L738" s="134"/>
      <c r="M738" s="134"/>
      <c r="N738" s="135"/>
      <c r="O738" s="219"/>
      <c r="P738" s="143"/>
      <c r="Q738" s="144"/>
      <c r="R738" s="150"/>
      <c r="S738" s="127" t="str">
        <f t="shared" si="101"/>
        <v/>
      </c>
      <c r="T738" s="175" t="str">
        <f t="shared" si="102"/>
        <v/>
      </c>
      <c r="U738" s="158" t="e">
        <f t="shared" si="103"/>
        <v>#N/A</v>
      </c>
      <c r="V738" s="310" t="str">
        <f t="shared" si="104"/>
        <v/>
      </c>
      <c r="W738" s="137" t="str">
        <f t="shared" si="105"/>
        <v>X</v>
      </c>
      <c r="X738" s="137">
        <f t="shared" si="106"/>
        <v>0</v>
      </c>
    </row>
    <row r="739" spans="1:24" ht="17.25" customHeight="1">
      <c r="A739" s="137" t="str">
        <f t="shared" ca="1" si="99"/>
        <v>-</v>
      </c>
      <c r="B739" s="173"/>
      <c r="C739" s="253" t="str">
        <f t="shared" si="100"/>
        <v/>
      </c>
      <c r="D739" s="173"/>
      <c r="E739" s="173"/>
      <c r="F739" s="329" t="str">
        <f t="shared" si="107"/>
        <v/>
      </c>
      <c r="G739" s="174"/>
      <c r="H739" s="130" t="str">
        <f>IFERROR(INDEX(DMDT!B:B,MATCH($G739,DMDT!D:D,0),),"")</f>
        <v/>
      </c>
      <c r="I739" s="131"/>
      <c r="J739" s="132"/>
      <c r="K739" s="133"/>
      <c r="L739" s="134"/>
      <c r="M739" s="134"/>
      <c r="N739" s="135"/>
      <c r="O739" s="219"/>
      <c r="P739" s="143"/>
      <c r="Q739" s="144"/>
      <c r="R739" s="150"/>
      <c r="S739" s="127" t="str">
        <f t="shared" si="101"/>
        <v/>
      </c>
      <c r="T739" s="175" t="str">
        <f t="shared" si="102"/>
        <v/>
      </c>
      <c r="U739" s="158" t="e">
        <f t="shared" si="103"/>
        <v>#N/A</v>
      </c>
      <c r="V739" s="310" t="str">
        <f t="shared" si="104"/>
        <v/>
      </c>
      <c r="W739" s="137" t="str">
        <f t="shared" si="105"/>
        <v>X</v>
      </c>
      <c r="X739" s="137">
        <f t="shared" si="106"/>
        <v>0</v>
      </c>
    </row>
    <row r="740" spans="1:24" ht="17.25" customHeight="1">
      <c r="A740" s="137" t="str">
        <f t="shared" ca="1" si="99"/>
        <v>-</v>
      </c>
      <c r="B740" s="173"/>
      <c r="C740" s="253" t="str">
        <f t="shared" si="100"/>
        <v/>
      </c>
      <c r="D740" s="173"/>
      <c r="E740" s="173"/>
      <c r="F740" s="329" t="str">
        <f t="shared" si="107"/>
        <v/>
      </c>
      <c r="G740" s="174"/>
      <c r="H740" s="130" t="str">
        <f>IFERROR(INDEX(DMDT!B:B,MATCH($G740,DMDT!D:D,0),),"")</f>
        <v/>
      </c>
      <c r="I740" s="131"/>
      <c r="J740" s="132"/>
      <c r="K740" s="133"/>
      <c r="L740" s="134"/>
      <c r="M740" s="134"/>
      <c r="N740" s="135"/>
      <c r="O740" s="219"/>
      <c r="P740" s="143"/>
      <c r="Q740" s="144"/>
      <c r="R740" s="150"/>
      <c r="S740" s="127" t="str">
        <f t="shared" si="101"/>
        <v/>
      </c>
      <c r="T740" s="175" t="str">
        <f t="shared" si="102"/>
        <v/>
      </c>
      <c r="U740" s="158" t="e">
        <f t="shared" si="103"/>
        <v>#N/A</v>
      </c>
      <c r="V740" s="310" t="str">
        <f t="shared" si="104"/>
        <v/>
      </c>
      <c r="W740" s="137" t="str">
        <f t="shared" si="105"/>
        <v>X</v>
      </c>
      <c r="X740" s="137">
        <f t="shared" si="106"/>
        <v>0</v>
      </c>
    </row>
    <row r="741" spans="1:24" ht="17.25" customHeight="1">
      <c r="A741" s="137" t="str">
        <f t="shared" ca="1" si="99"/>
        <v>-</v>
      </c>
      <c r="B741" s="173"/>
      <c r="C741" s="253" t="str">
        <f t="shared" si="100"/>
        <v/>
      </c>
      <c r="D741" s="173"/>
      <c r="E741" s="173"/>
      <c r="F741" s="329" t="str">
        <f t="shared" si="107"/>
        <v/>
      </c>
      <c r="G741" s="174"/>
      <c r="H741" s="130" t="str">
        <f>IFERROR(INDEX(DMDT!B:B,MATCH($G741,DMDT!D:D,0),),"")</f>
        <v/>
      </c>
      <c r="I741" s="131"/>
      <c r="J741" s="132"/>
      <c r="K741" s="133"/>
      <c r="L741" s="134"/>
      <c r="M741" s="134"/>
      <c r="N741" s="135"/>
      <c r="O741" s="219"/>
      <c r="P741" s="143"/>
      <c r="Q741" s="144"/>
      <c r="R741" s="150"/>
      <c r="S741" s="127" t="str">
        <f t="shared" si="101"/>
        <v/>
      </c>
      <c r="T741" s="175" t="str">
        <f t="shared" si="102"/>
        <v/>
      </c>
      <c r="U741" s="158" t="e">
        <f t="shared" si="103"/>
        <v>#N/A</v>
      </c>
      <c r="V741" s="310" t="str">
        <f t="shared" si="104"/>
        <v/>
      </c>
      <c r="W741" s="137" t="str">
        <f t="shared" si="105"/>
        <v>X</v>
      </c>
      <c r="X741" s="137">
        <f t="shared" si="106"/>
        <v>0</v>
      </c>
    </row>
    <row r="742" spans="1:24" ht="17.25" customHeight="1">
      <c r="A742" s="137" t="str">
        <f t="shared" ca="1" si="99"/>
        <v>-</v>
      </c>
      <c r="B742" s="173"/>
      <c r="C742" s="253" t="str">
        <f t="shared" si="100"/>
        <v/>
      </c>
      <c r="D742" s="173"/>
      <c r="E742" s="173"/>
      <c r="F742" s="329" t="str">
        <f t="shared" si="107"/>
        <v/>
      </c>
      <c r="G742" s="174"/>
      <c r="H742" s="130" t="str">
        <f>IFERROR(INDEX(DMDT!B:B,MATCH($G742,DMDT!D:D,0),),"")</f>
        <v/>
      </c>
      <c r="I742" s="131"/>
      <c r="J742" s="132"/>
      <c r="K742" s="133"/>
      <c r="L742" s="134"/>
      <c r="M742" s="134"/>
      <c r="N742" s="135"/>
      <c r="O742" s="219"/>
      <c r="P742" s="143"/>
      <c r="Q742" s="144"/>
      <c r="R742" s="150"/>
      <c r="S742" s="127" t="str">
        <f t="shared" si="101"/>
        <v/>
      </c>
      <c r="T742" s="175" t="str">
        <f t="shared" si="102"/>
        <v/>
      </c>
      <c r="U742" s="158" t="e">
        <f t="shared" si="103"/>
        <v>#N/A</v>
      </c>
      <c r="V742" s="310" t="str">
        <f t="shared" si="104"/>
        <v/>
      </c>
      <c r="W742" s="137" t="str">
        <f t="shared" si="105"/>
        <v>X</v>
      </c>
      <c r="X742" s="137">
        <f t="shared" si="106"/>
        <v>0</v>
      </c>
    </row>
    <row r="743" spans="1:24" ht="17.25" customHeight="1">
      <c r="A743" s="137" t="str">
        <f t="shared" ca="1" si="99"/>
        <v>-</v>
      </c>
      <c r="B743" s="173"/>
      <c r="C743" s="253" t="str">
        <f t="shared" si="100"/>
        <v/>
      </c>
      <c r="D743" s="173"/>
      <c r="E743" s="173"/>
      <c r="F743" s="329" t="str">
        <f t="shared" si="107"/>
        <v/>
      </c>
      <c r="G743" s="174"/>
      <c r="H743" s="130" t="str">
        <f>IFERROR(INDEX(DMDT!B:B,MATCH($G743,DMDT!D:D,0),),"")</f>
        <v/>
      </c>
      <c r="I743" s="131"/>
      <c r="J743" s="132"/>
      <c r="K743" s="133"/>
      <c r="L743" s="134"/>
      <c r="M743" s="134"/>
      <c r="N743" s="135"/>
      <c r="O743" s="219"/>
      <c r="P743" s="143"/>
      <c r="Q743" s="144"/>
      <c r="R743" s="150"/>
      <c r="S743" s="127" t="str">
        <f t="shared" si="101"/>
        <v/>
      </c>
      <c r="T743" s="175" t="str">
        <f t="shared" si="102"/>
        <v/>
      </c>
      <c r="U743" s="158" t="e">
        <f t="shared" si="103"/>
        <v>#N/A</v>
      </c>
      <c r="V743" s="310" t="str">
        <f t="shared" si="104"/>
        <v/>
      </c>
      <c r="W743" s="137" t="str">
        <f t="shared" si="105"/>
        <v>X</v>
      </c>
      <c r="X743" s="137">
        <f t="shared" si="106"/>
        <v>0</v>
      </c>
    </row>
    <row r="744" spans="1:24" ht="17.25" customHeight="1">
      <c r="A744" s="137" t="str">
        <f t="shared" ca="1" si="99"/>
        <v>-</v>
      </c>
      <c r="B744" s="173"/>
      <c r="C744" s="253" t="str">
        <f t="shared" si="100"/>
        <v/>
      </c>
      <c r="D744" s="173"/>
      <c r="E744" s="173"/>
      <c r="F744" s="329" t="str">
        <f t="shared" si="107"/>
        <v/>
      </c>
      <c r="G744" s="174"/>
      <c r="H744" s="130" t="str">
        <f>IFERROR(INDEX(DMDT!B:B,MATCH($G744,DMDT!D:D,0),),"")</f>
        <v/>
      </c>
      <c r="I744" s="131"/>
      <c r="J744" s="132"/>
      <c r="K744" s="133"/>
      <c r="L744" s="134"/>
      <c r="M744" s="134"/>
      <c r="N744" s="135"/>
      <c r="O744" s="219"/>
      <c r="P744" s="143"/>
      <c r="Q744" s="144"/>
      <c r="R744" s="150"/>
      <c r="S744" s="127" t="str">
        <f t="shared" si="101"/>
        <v/>
      </c>
      <c r="T744" s="175" t="str">
        <f t="shared" si="102"/>
        <v/>
      </c>
      <c r="U744" s="158" t="e">
        <f t="shared" si="103"/>
        <v>#N/A</v>
      </c>
      <c r="V744" s="310" t="str">
        <f t="shared" si="104"/>
        <v/>
      </c>
      <c r="W744" s="137" t="str">
        <f t="shared" si="105"/>
        <v>X</v>
      </c>
      <c r="X744" s="137">
        <f t="shared" si="106"/>
        <v>0</v>
      </c>
    </row>
    <row r="745" spans="1:24" ht="17.25" customHeight="1">
      <c r="A745" s="137" t="str">
        <f t="shared" ca="1" si="99"/>
        <v>-</v>
      </c>
      <c r="B745" s="173"/>
      <c r="C745" s="253" t="str">
        <f t="shared" si="100"/>
        <v/>
      </c>
      <c r="D745" s="173"/>
      <c r="E745" s="173"/>
      <c r="F745" s="329" t="str">
        <f t="shared" si="107"/>
        <v/>
      </c>
      <c r="G745" s="174"/>
      <c r="H745" s="130" t="str">
        <f>IFERROR(INDEX(DMDT!B:B,MATCH($G745,DMDT!D:D,0),),"")</f>
        <v/>
      </c>
      <c r="I745" s="131"/>
      <c r="J745" s="132"/>
      <c r="K745" s="133"/>
      <c r="L745" s="134"/>
      <c r="M745" s="134"/>
      <c r="N745" s="135"/>
      <c r="O745" s="219"/>
      <c r="P745" s="143"/>
      <c r="Q745" s="144"/>
      <c r="R745" s="150"/>
      <c r="S745" s="127" t="str">
        <f t="shared" si="101"/>
        <v/>
      </c>
      <c r="T745" s="175" t="str">
        <f t="shared" si="102"/>
        <v/>
      </c>
      <c r="U745" s="158" t="e">
        <f t="shared" si="103"/>
        <v>#N/A</v>
      </c>
      <c r="V745" s="310" t="str">
        <f t="shared" si="104"/>
        <v/>
      </c>
      <c r="W745" s="137" t="str">
        <f t="shared" si="105"/>
        <v>X</v>
      </c>
      <c r="X745" s="137">
        <f t="shared" si="106"/>
        <v>0</v>
      </c>
    </row>
    <row r="746" spans="1:24" ht="17.25" customHeight="1">
      <c r="A746" s="137" t="str">
        <f t="shared" ca="1" si="99"/>
        <v>-</v>
      </c>
      <c r="B746" s="173"/>
      <c r="C746" s="253" t="str">
        <f t="shared" si="100"/>
        <v/>
      </c>
      <c r="D746" s="173"/>
      <c r="E746" s="173"/>
      <c r="F746" s="329" t="str">
        <f t="shared" si="107"/>
        <v/>
      </c>
      <c r="G746" s="174"/>
      <c r="H746" s="130" t="str">
        <f>IFERROR(INDEX(DMDT!B:B,MATCH($G746,DMDT!D:D,0),),"")</f>
        <v/>
      </c>
      <c r="I746" s="131"/>
      <c r="J746" s="132"/>
      <c r="K746" s="133"/>
      <c r="L746" s="134"/>
      <c r="M746" s="134"/>
      <c r="N746" s="135"/>
      <c r="O746" s="219"/>
      <c r="P746" s="143"/>
      <c r="Q746" s="144"/>
      <c r="R746" s="150"/>
      <c r="S746" s="127" t="str">
        <f t="shared" si="101"/>
        <v/>
      </c>
      <c r="T746" s="175" t="str">
        <f t="shared" si="102"/>
        <v/>
      </c>
      <c r="U746" s="158" t="e">
        <f t="shared" si="103"/>
        <v>#N/A</v>
      </c>
      <c r="V746" s="310" t="str">
        <f t="shared" si="104"/>
        <v/>
      </c>
      <c r="W746" s="137" t="str">
        <f t="shared" si="105"/>
        <v>X</v>
      </c>
      <c r="X746" s="137">
        <f t="shared" si="106"/>
        <v>0</v>
      </c>
    </row>
    <row r="747" spans="1:24" ht="17.25" customHeight="1">
      <c r="A747" s="137" t="str">
        <f t="shared" ca="1" si="99"/>
        <v>-</v>
      </c>
      <c r="B747" s="173"/>
      <c r="C747" s="253" t="str">
        <f t="shared" si="100"/>
        <v/>
      </c>
      <c r="D747" s="173"/>
      <c r="E747" s="173"/>
      <c r="F747" s="329" t="str">
        <f t="shared" si="107"/>
        <v/>
      </c>
      <c r="G747" s="174"/>
      <c r="H747" s="130" t="str">
        <f>IFERROR(INDEX(DMDT!B:B,MATCH($G747,DMDT!D:D,0),),"")</f>
        <v/>
      </c>
      <c r="I747" s="131"/>
      <c r="J747" s="132"/>
      <c r="K747" s="133"/>
      <c r="L747" s="134"/>
      <c r="M747" s="134"/>
      <c r="N747" s="135"/>
      <c r="O747" s="219"/>
      <c r="P747" s="143"/>
      <c r="Q747" s="144"/>
      <c r="R747" s="150"/>
      <c r="S747" s="127" t="str">
        <f t="shared" si="101"/>
        <v/>
      </c>
      <c r="T747" s="175" t="str">
        <f t="shared" si="102"/>
        <v/>
      </c>
      <c r="U747" s="158" t="e">
        <f t="shared" si="103"/>
        <v>#N/A</v>
      </c>
      <c r="V747" s="310" t="str">
        <f t="shared" si="104"/>
        <v/>
      </c>
      <c r="W747" s="137" t="str">
        <f t="shared" si="105"/>
        <v>X</v>
      </c>
      <c r="X747" s="137">
        <f t="shared" si="106"/>
        <v>0</v>
      </c>
    </row>
    <row r="748" spans="1:24" ht="17.25" customHeight="1">
      <c r="A748" s="137" t="str">
        <f t="shared" ca="1" si="99"/>
        <v>-</v>
      </c>
      <c r="B748" s="173"/>
      <c r="C748" s="253" t="str">
        <f t="shared" si="100"/>
        <v/>
      </c>
      <c r="D748" s="173"/>
      <c r="E748" s="173"/>
      <c r="F748" s="329" t="str">
        <f t="shared" si="107"/>
        <v/>
      </c>
      <c r="G748" s="174"/>
      <c r="H748" s="130" t="str">
        <f>IFERROR(INDEX(DMDT!B:B,MATCH($G748,DMDT!D:D,0),),"")</f>
        <v/>
      </c>
      <c r="I748" s="131"/>
      <c r="J748" s="132"/>
      <c r="K748" s="133"/>
      <c r="L748" s="134"/>
      <c r="M748" s="134"/>
      <c r="N748" s="135"/>
      <c r="O748" s="219"/>
      <c r="P748" s="143"/>
      <c r="Q748" s="144"/>
      <c r="R748" s="150"/>
      <c r="S748" s="127" t="str">
        <f t="shared" si="101"/>
        <v/>
      </c>
      <c r="T748" s="175" t="str">
        <f t="shared" si="102"/>
        <v/>
      </c>
      <c r="U748" s="158" t="e">
        <f t="shared" si="103"/>
        <v>#N/A</v>
      </c>
      <c r="V748" s="310" t="str">
        <f t="shared" si="104"/>
        <v/>
      </c>
      <c r="W748" s="137" t="str">
        <f t="shared" si="105"/>
        <v>X</v>
      </c>
      <c r="X748" s="137">
        <f t="shared" si="106"/>
        <v>0</v>
      </c>
    </row>
    <row r="749" spans="1:24" ht="17.25" customHeight="1">
      <c r="A749" s="137" t="str">
        <f t="shared" ca="1" si="99"/>
        <v>-</v>
      </c>
      <c r="B749" s="173"/>
      <c r="C749" s="253" t="str">
        <f t="shared" si="100"/>
        <v/>
      </c>
      <c r="D749" s="173"/>
      <c r="E749" s="173"/>
      <c r="F749" s="329" t="str">
        <f t="shared" si="107"/>
        <v/>
      </c>
      <c r="G749" s="174"/>
      <c r="H749" s="130" t="str">
        <f>IFERROR(INDEX(DMDT!B:B,MATCH($G749,DMDT!D:D,0),),"")</f>
        <v/>
      </c>
      <c r="I749" s="131"/>
      <c r="J749" s="132"/>
      <c r="K749" s="133"/>
      <c r="L749" s="134"/>
      <c r="M749" s="134"/>
      <c r="N749" s="135"/>
      <c r="O749" s="219"/>
      <c r="P749" s="143"/>
      <c r="Q749" s="144"/>
      <c r="R749" s="150"/>
      <c r="S749" s="127" t="str">
        <f t="shared" si="101"/>
        <v/>
      </c>
      <c r="T749" s="175" t="str">
        <f t="shared" si="102"/>
        <v/>
      </c>
      <c r="U749" s="158" t="e">
        <f t="shared" si="103"/>
        <v>#N/A</v>
      </c>
      <c r="V749" s="310" t="str">
        <f t="shared" si="104"/>
        <v/>
      </c>
      <c r="W749" s="137" t="str">
        <f t="shared" si="105"/>
        <v>X</v>
      </c>
      <c r="X749" s="137">
        <f t="shared" si="106"/>
        <v>0</v>
      </c>
    </row>
    <row r="750" spans="1:24" ht="17.25" customHeight="1">
      <c r="A750" s="137" t="str">
        <f t="shared" ca="1" si="99"/>
        <v>-</v>
      </c>
      <c r="B750" s="173"/>
      <c r="C750" s="253" t="str">
        <f t="shared" si="100"/>
        <v/>
      </c>
      <c r="D750" s="173"/>
      <c r="E750" s="173"/>
      <c r="F750" s="329" t="str">
        <f t="shared" si="107"/>
        <v/>
      </c>
      <c r="G750" s="174"/>
      <c r="H750" s="130" t="str">
        <f>IFERROR(INDEX(DMDT!B:B,MATCH($G750,DMDT!D:D,0),),"")</f>
        <v/>
      </c>
      <c r="I750" s="131"/>
      <c r="J750" s="132"/>
      <c r="K750" s="133"/>
      <c r="L750" s="134"/>
      <c r="M750" s="134"/>
      <c r="N750" s="135"/>
      <c r="O750" s="219"/>
      <c r="P750" s="143"/>
      <c r="Q750" s="144"/>
      <c r="R750" s="150"/>
      <c r="S750" s="127" t="str">
        <f t="shared" si="101"/>
        <v/>
      </c>
      <c r="T750" s="175" t="str">
        <f t="shared" si="102"/>
        <v/>
      </c>
      <c r="U750" s="158" t="e">
        <f t="shared" si="103"/>
        <v>#N/A</v>
      </c>
      <c r="V750" s="310" t="str">
        <f t="shared" si="104"/>
        <v/>
      </c>
      <c r="W750" s="137" t="str">
        <f t="shared" si="105"/>
        <v>X</v>
      </c>
      <c r="X750" s="137">
        <f t="shared" si="106"/>
        <v>0</v>
      </c>
    </row>
    <row r="751" spans="1:24" ht="17.25" customHeight="1">
      <c r="A751" s="137" t="str">
        <f t="shared" ca="1" si="99"/>
        <v>-</v>
      </c>
      <c r="B751" s="173"/>
      <c r="C751" s="253" t="str">
        <f t="shared" si="100"/>
        <v/>
      </c>
      <c r="D751" s="173"/>
      <c r="E751" s="173"/>
      <c r="F751" s="329" t="str">
        <f t="shared" si="107"/>
        <v/>
      </c>
      <c r="G751" s="174"/>
      <c r="H751" s="130" t="str">
        <f>IFERROR(INDEX(DMDT!B:B,MATCH($G751,DMDT!D:D,0),),"")</f>
        <v/>
      </c>
      <c r="I751" s="131"/>
      <c r="J751" s="132"/>
      <c r="K751" s="133"/>
      <c r="L751" s="134"/>
      <c r="M751" s="134"/>
      <c r="N751" s="135"/>
      <c r="O751" s="219"/>
      <c r="P751" s="143"/>
      <c r="Q751" s="144"/>
      <c r="R751" s="150"/>
      <c r="S751" s="127" t="str">
        <f t="shared" si="101"/>
        <v/>
      </c>
      <c r="T751" s="175" t="str">
        <f t="shared" si="102"/>
        <v/>
      </c>
      <c r="U751" s="158" t="e">
        <f t="shared" si="103"/>
        <v>#N/A</v>
      </c>
      <c r="V751" s="310" t="str">
        <f t="shared" si="104"/>
        <v/>
      </c>
      <c r="W751" s="137" t="str">
        <f t="shared" si="105"/>
        <v>X</v>
      </c>
      <c r="X751" s="137">
        <f t="shared" si="106"/>
        <v>0</v>
      </c>
    </row>
    <row r="752" spans="1:24" ht="17.25" customHeight="1">
      <c r="A752" s="137" t="str">
        <f t="shared" ca="1" si="99"/>
        <v>-</v>
      </c>
      <c r="B752" s="173"/>
      <c r="C752" s="253" t="str">
        <f t="shared" si="100"/>
        <v/>
      </c>
      <c r="D752" s="173"/>
      <c r="E752" s="173"/>
      <c r="F752" s="329" t="str">
        <f t="shared" si="107"/>
        <v/>
      </c>
      <c r="G752" s="174"/>
      <c r="H752" s="130" t="str">
        <f>IFERROR(INDEX(DMDT!B:B,MATCH($G752,DMDT!D:D,0),),"")</f>
        <v/>
      </c>
      <c r="I752" s="131"/>
      <c r="J752" s="132"/>
      <c r="K752" s="133"/>
      <c r="L752" s="134"/>
      <c r="M752" s="134"/>
      <c r="N752" s="135"/>
      <c r="O752" s="219"/>
      <c r="P752" s="143"/>
      <c r="Q752" s="144"/>
      <c r="R752" s="150"/>
      <c r="S752" s="127" t="str">
        <f t="shared" si="101"/>
        <v/>
      </c>
      <c r="T752" s="175" t="str">
        <f t="shared" si="102"/>
        <v/>
      </c>
      <c r="U752" s="158" t="e">
        <f t="shared" si="103"/>
        <v>#N/A</v>
      </c>
      <c r="V752" s="310" t="str">
        <f t="shared" si="104"/>
        <v/>
      </c>
      <c r="W752" s="137" t="str">
        <f t="shared" si="105"/>
        <v>X</v>
      </c>
      <c r="X752" s="137">
        <f t="shared" si="106"/>
        <v>0</v>
      </c>
    </row>
    <row r="753" spans="1:24" ht="17.25" customHeight="1">
      <c r="A753" s="137" t="str">
        <f t="shared" ca="1" si="99"/>
        <v>-</v>
      </c>
      <c r="B753" s="173"/>
      <c r="C753" s="253" t="str">
        <f t="shared" si="100"/>
        <v/>
      </c>
      <c r="D753" s="173"/>
      <c r="E753" s="173"/>
      <c r="F753" s="329" t="str">
        <f t="shared" si="107"/>
        <v/>
      </c>
      <c r="G753" s="174"/>
      <c r="H753" s="130" t="str">
        <f>IFERROR(INDEX(DMDT!B:B,MATCH($G753,DMDT!D:D,0),),"")</f>
        <v/>
      </c>
      <c r="I753" s="131"/>
      <c r="J753" s="132"/>
      <c r="K753" s="133"/>
      <c r="L753" s="134"/>
      <c r="M753" s="134"/>
      <c r="N753" s="135"/>
      <c r="O753" s="219"/>
      <c r="P753" s="143"/>
      <c r="Q753" s="144"/>
      <c r="R753" s="150"/>
      <c r="S753" s="127" t="str">
        <f t="shared" si="101"/>
        <v/>
      </c>
      <c r="T753" s="175" t="str">
        <f t="shared" si="102"/>
        <v/>
      </c>
      <c r="U753" s="158" t="e">
        <f t="shared" si="103"/>
        <v>#N/A</v>
      </c>
      <c r="V753" s="310" t="str">
        <f t="shared" si="104"/>
        <v/>
      </c>
      <c r="W753" s="137" t="str">
        <f t="shared" si="105"/>
        <v>X</v>
      </c>
      <c r="X753" s="137">
        <f t="shared" si="106"/>
        <v>0</v>
      </c>
    </row>
    <row r="754" spans="1:24" ht="17.25" customHeight="1">
      <c r="A754" s="137" t="str">
        <f t="shared" ca="1" si="99"/>
        <v>-</v>
      </c>
      <c r="B754" s="173"/>
      <c r="C754" s="253" t="str">
        <f t="shared" si="100"/>
        <v/>
      </c>
      <c r="D754" s="173"/>
      <c r="E754" s="173"/>
      <c r="F754" s="329" t="str">
        <f t="shared" si="107"/>
        <v/>
      </c>
      <c r="G754" s="174"/>
      <c r="H754" s="130" t="str">
        <f>IFERROR(INDEX(DMDT!B:B,MATCH($G754,DMDT!D:D,0),),"")</f>
        <v/>
      </c>
      <c r="I754" s="131"/>
      <c r="J754" s="132"/>
      <c r="K754" s="133"/>
      <c r="L754" s="134"/>
      <c r="M754" s="134"/>
      <c r="N754" s="135"/>
      <c r="O754" s="219"/>
      <c r="P754" s="143"/>
      <c r="Q754" s="144"/>
      <c r="R754" s="150"/>
      <c r="S754" s="127" t="str">
        <f t="shared" si="101"/>
        <v/>
      </c>
      <c r="T754" s="175" t="str">
        <f t="shared" si="102"/>
        <v/>
      </c>
      <c r="U754" s="158" t="e">
        <f t="shared" si="103"/>
        <v>#N/A</v>
      </c>
      <c r="V754" s="310" t="str">
        <f t="shared" si="104"/>
        <v/>
      </c>
      <c r="W754" s="137" t="str">
        <f t="shared" si="105"/>
        <v>X</v>
      </c>
      <c r="X754" s="137">
        <f t="shared" si="106"/>
        <v>0</v>
      </c>
    </row>
    <row r="755" spans="1:24" ht="17.25" customHeight="1">
      <c r="A755" s="137" t="str">
        <f t="shared" ca="1" si="99"/>
        <v>-</v>
      </c>
      <c r="B755" s="173"/>
      <c r="C755" s="253" t="str">
        <f t="shared" si="100"/>
        <v/>
      </c>
      <c r="D755" s="173"/>
      <c r="E755" s="173"/>
      <c r="F755" s="329" t="str">
        <f t="shared" si="107"/>
        <v/>
      </c>
      <c r="G755" s="174"/>
      <c r="H755" s="130" t="str">
        <f>IFERROR(INDEX(DMDT!B:B,MATCH($G755,DMDT!D:D,0),),"")</f>
        <v/>
      </c>
      <c r="I755" s="131"/>
      <c r="J755" s="132"/>
      <c r="K755" s="133"/>
      <c r="L755" s="134"/>
      <c r="M755" s="134"/>
      <c r="N755" s="135"/>
      <c r="O755" s="219"/>
      <c r="P755" s="143"/>
      <c r="Q755" s="144"/>
      <c r="R755" s="150"/>
      <c r="S755" s="127" t="str">
        <f t="shared" si="101"/>
        <v/>
      </c>
      <c r="T755" s="175" t="str">
        <f t="shared" si="102"/>
        <v/>
      </c>
      <c r="U755" s="158" t="e">
        <f t="shared" si="103"/>
        <v>#N/A</v>
      </c>
      <c r="V755" s="310" t="str">
        <f t="shared" si="104"/>
        <v/>
      </c>
      <c r="W755" s="137" t="str">
        <f t="shared" si="105"/>
        <v>X</v>
      </c>
      <c r="X755" s="137">
        <f t="shared" si="106"/>
        <v>0</v>
      </c>
    </row>
    <row r="756" spans="1:24" ht="17.25" customHeight="1">
      <c r="A756" s="137" t="str">
        <f t="shared" ca="1" si="99"/>
        <v>-</v>
      </c>
      <c r="B756" s="173"/>
      <c r="C756" s="253" t="str">
        <f t="shared" si="100"/>
        <v/>
      </c>
      <c r="D756" s="173"/>
      <c r="E756" s="173"/>
      <c r="F756" s="329" t="str">
        <f t="shared" si="107"/>
        <v/>
      </c>
      <c r="G756" s="174"/>
      <c r="H756" s="130" t="str">
        <f>IFERROR(INDEX(DMDT!B:B,MATCH($G756,DMDT!D:D,0),),"")</f>
        <v/>
      </c>
      <c r="I756" s="131"/>
      <c r="J756" s="132"/>
      <c r="K756" s="133"/>
      <c r="L756" s="134"/>
      <c r="M756" s="134"/>
      <c r="N756" s="135"/>
      <c r="O756" s="219"/>
      <c r="P756" s="143"/>
      <c r="Q756" s="144"/>
      <c r="R756" s="150"/>
      <c r="S756" s="127" t="str">
        <f t="shared" si="101"/>
        <v/>
      </c>
      <c r="T756" s="175" t="str">
        <f t="shared" si="102"/>
        <v/>
      </c>
      <c r="U756" s="158" t="e">
        <f t="shared" si="103"/>
        <v>#N/A</v>
      </c>
      <c r="V756" s="310" t="str">
        <f t="shared" si="104"/>
        <v/>
      </c>
      <c r="W756" s="137" t="str">
        <f t="shared" si="105"/>
        <v>X</v>
      </c>
      <c r="X756" s="137">
        <f t="shared" si="106"/>
        <v>0</v>
      </c>
    </row>
    <row r="757" spans="1:24" ht="17.25" customHeight="1">
      <c r="A757" s="137" t="str">
        <f t="shared" ca="1" si="99"/>
        <v>-</v>
      </c>
      <c r="B757" s="173"/>
      <c r="C757" s="253" t="str">
        <f t="shared" si="100"/>
        <v/>
      </c>
      <c r="D757" s="173"/>
      <c r="E757" s="173"/>
      <c r="F757" s="329" t="str">
        <f t="shared" si="107"/>
        <v/>
      </c>
      <c r="G757" s="174"/>
      <c r="H757" s="130" t="str">
        <f>IFERROR(INDEX(DMDT!B:B,MATCH($G757,DMDT!D:D,0),),"")</f>
        <v/>
      </c>
      <c r="I757" s="131"/>
      <c r="J757" s="132"/>
      <c r="K757" s="133"/>
      <c r="L757" s="134"/>
      <c r="M757" s="134"/>
      <c r="N757" s="135"/>
      <c r="O757" s="219"/>
      <c r="P757" s="143"/>
      <c r="Q757" s="144"/>
      <c r="R757" s="150"/>
      <c r="S757" s="127" t="str">
        <f t="shared" si="101"/>
        <v/>
      </c>
      <c r="T757" s="175" t="str">
        <f t="shared" si="102"/>
        <v/>
      </c>
      <c r="U757" s="158" t="e">
        <f t="shared" si="103"/>
        <v>#N/A</v>
      </c>
      <c r="V757" s="310" t="str">
        <f t="shared" si="104"/>
        <v/>
      </c>
      <c r="W757" s="137" t="str">
        <f t="shared" si="105"/>
        <v>X</v>
      </c>
      <c r="X757" s="137">
        <f t="shared" si="106"/>
        <v>0</v>
      </c>
    </row>
    <row r="758" spans="1:24" ht="17.25" customHeight="1">
      <c r="A758" s="137" t="str">
        <f t="shared" ca="1" si="99"/>
        <v>-</v>
      </c>
      <c r="B758" s="173"/>
      <c r="C758" s="253" t="str">
        <f t="shared" si="100"/>
        <v/>
      </c>
      <c r="D758" s="173"/>
      <c r="E758" s="173"/>
      <c r="F758" s="329" t="str">
        <f t="shared" si="107"/>
        <v/>
      </c>
      <c r="G758" s="174"/>
      <c r="H758" s="130" t="str">
        <f>IFERROR(INDEX(DMDT!B:B,MATCH($G758,DMDT!D:D,0),),"")</f>
        <v/>
      </c>
      <c r="I758" s="131"/>
      <c r="J758" s="132"/>
      <c r="K758" s="133"/>
      <c r="L758" s="134"/>
      <c r="M758" s="134"/>
      <c r="N758" s="135"/>
      <c r="O758" s="219"/>
      <c r="P758" s="143"/>
      <c r="Q758" s="144"/>
      <c r="R758" s="150"/>
      <c r="S758" s="127" t="str">
        <f t="shared" si="101"/>
        <v/>
      </c>
      <c r="T758" s="175" t="str">
        <f t="shared" si="102"/>
        <v/>
      </c>
      <c r="U758" s="158" t="e">
        <f t="shared" si="103"/>
        <v>#N/A</v>
      </c>
      <c r="V758" s="310" t="str">
        <f t="shared" si="104"/>
        <v/>
      </c>
      <c r="W758" s="137" t="str">
        <f t="shared" si="105"/>
        <v>X</v>
      </c>
      <c r="X758" s="137">
        <f t="shared" si="106"/>
        <v>0</v>
      </c>
    </row>
    <row r="759" spans="1:24" ht="17.25" customHeight="1">
      <c r="A759" s="137" t="str">
        <f t="shared" ca="1" si="99"/>
        <v>-</v>
      </c>
      <c r="B759" s="173"/>
      <c r="C759" s="253" t="str">
        <f t="shared" si="100"/>
        <v/>
      </c>
      <c r="D759" s="173"/>
      <c r="E759" s="173"/>
      <c r="F759" s="329" t="str">
        <f t="shared" si="107"/>
        <v/>
      </c>
      <c r="G759" s="174"/>
      <c r="H759" s="130" t="str">
        <f>IFERROR(INDEX(DMDT!B:B,MATCH($G759,DMDT!D:D,0),),"")</f>
        <v/>
      </c>
      <c r="I759" s="131"/>
      <c r="J759" s="132"/>
      <c r="K759" s="133"/>
      <c r="L759" s="134"/>
      <c r="M759" s="134"/>
      <c r="N759" s="135"/>
      <c r="O759" s="219"/>
      <c r="P759" s="143"/>
      <c r="Q759" s="144"/>
      <c r="R759" s="150"/>
      <c r="S759" s="127" t="str">
        <f t="shared" si="101"/>
        <v/>
      </c>
      <c r="T759" s="175" t="str">
        <f t="shared" si="102"/>
        <v/>
      </c>
      <c r="U759" s="158" t="e">
        <f t="shared" si="103"/>
        <v>#N/A</v>
      </c>
      <c r="V759" s="310" t="str">
        <f t="shared" si="104"/>
        <v/>
      </c>
      <c r="W759" s="137" t="str">
        <f t="shared" si="105"/>
        <v>X</v>
      </c>
      <c r="X759" s="137">
        <f t="shared" si="106"/>
        <v>0</v>
      </c>
    </row>
    <row r="760" spans="1:24" ht="17.25" customHeight="1">
      <c r="A760" s="137" t="str">
        <f t="shared" ca="1" si="99"/>
        <v>-</v>
      </c>
      <c r="B760" s="173"/>
      <c r="C760" s="253" t="str">
        <f t="shared" si="100"/>
        <v/>
      </c>
      <c r="D760" s="173"/>
      <c r="E760" s="173"/>
      <c r="F760" s="329" t="str">
        <f t="shared" si="107"/>
        <v/>
      </c>
      <c r="G760" s="174"/>
      <c r="H760" s="130" t="str">
        <f>IFERROR(INDEX(DMDT!B:B,MATCH($G760,DMDT!D:D,0),),"")</f>
        <v/>
      </c>
      <c r="I760" s="131"/>
      <c r="J760" s="132"/>
      <c r="K760" s="133"/>
      <c r="L760" s="134"/>
      <c r="M760" s="134"/>
      <c r="N760" s="135"/>
      <c r="O760" s="219"/>
      <c r="P760" s="143"/>
      <c r="Q760" s="144"/>
      <c r="R760" s="150"/>
      <c r="S760" s="127" t="str">
        <f t="shared" si="101"/>
        <v/>
      </c>
      <c r="T760" s="175" t="str">
        <f t="shared" si="102"/>
        <v/>
      </c>
      <c r="U760" s="158" t="e">
        <f t="shared" si="103"/>
        <v>#N/A</v>
      </c>
      <c r="V760" s="310" t="str">
        <f t="shared" si="104"/>
        <v/>
      </c>
      <c r="W760" s="137" t="str">
        <f t="shared" si="105"/>
        <v>X</v>
      </c>
      <c r="X760" s="137">
        <f t="shared" si="106"/>
        <v>0</v>
      </c>
    </row>
    <row r="761" spans="1:24" ht="17.25" customHeight="1">
      <c r="A761" s="137" t="str">
        <f t="shared" ca="1" si="99"/>
        <v>-</v>
      </c>
      <c r="B761" s="173"/>
      <c r="C761" s="253" t="str">
        <f t="shared" si="100"/>
        <v/>
      </c>
      <c r="D761" s="173"/>
      <c r="E761" s="173"/>
      <c r="F761" s="329" t="str">
        <f t="shared" si="107"/>
        <v/>
      </c>
      <c r="G761" s="174"/>
      <c r="H761" s="130" t="str">
        <f>IFERROR(INDEX(DMDT!B:B,MATCH($G761,DMDT!D:D,0),),"")</f>
        <v/>
      </c>
      <c r="I761" s="131"/>
      <c r="J761" s="132"/>
      <c r="K761" s="133"/>
      <c r="L761" s="134"/>
      <c r="M761" s="134"/>
      <c r="N761" s="135"/>
      <c r="O761" s="219"/>
      <c r="P761" s="143"/>
      <c r="Q761" s="144"/>
      <c r="R761" s="150"/>
      <c r="S761" s="127" t="str">
        <f t="shared" si="101"/>
        <v/>
      </c>
      <c r="T761" s="175" t="str">
        <f t="shared" si="102"/>
        <v/>
      </c>
      <c r="U761" s="158" t="e">
        <f t="shared" si="103"/>
        <v>#N/A</v>
      </c>
      <c r="V761" s="310" t="str">
        <f t="shared" si="104"/>
        <v/>
      </c>
      <c r="W761" s="137" t="str">
        <f t="shared" si="105"/>
        <v>X</v>
      </c>
      <c r="X761" s="137">
        <f t="shared" si="106"/>
        <v>0</v>
      </c>
    </row>
    <row r="762" spans="1:24" ht="17.25" customHeight="1">
      <c r="A762" s="137" t="str">
        <f t="shared" ca="1" si="99"/>
        <v>-</v>
      </c>
      <c r="B762" s="173"/>
      <c r="C762" s="253" t="str">
        <f t="shared" si="100"/>
        <v/>
      </c>
      <c r="D762" s="173"/>
      <c r="E762" s="173"/>
      <c r="F762" s="329" t="str">
        <f t="shared" si="107"/>
        <v/>
      </c>
      <c r="G762" s="174"/>
      <c r="H762" s="130" t="str">
        <f>IFERROR(INDEX(DMDT!B:B,MATCH($G762,DMDT!D:D,0),),"")</f>
        <v/>
      </c>
      <c r="I762" s="131"/>
      <c r="J762" s="132"/>
      <c r="K762" s="133"/>
      <c r="L762" s="134"/>
      <c r="M762" s="134"/>
      <c r="N762" s="135"/>
      <c r="O762" s="219"/>
      <c r="P762" s="143"/>
      <c r="Q762" s="144"/>
      <c r="R762" s="150"/>
      <c r="S762" s="127" t="str">
        <f t="shared" si="101"/>
        <v/>
      </c>
      <c r="T762" s="175" t="str">
        <f t="shared" si="102"/>
        <v/>
      </c>
      <c r="U762" s="158" t="e">
        <f t="shared" si="103"/>
        <v>#N/A</v>
      </c>
      <c r="V762" s="310" t="str">
        <f t="shared" si="104"/>
        <v/>
      </c>
      <c r="W762" s="137" t="str">
        <f t="shared" si="105"/>
        <v>X</v>
      </c>
      <c r="X762" s="137">
        <f t="shared" si="106"/>
        <v>0</v>
      </c>
    </row>
    <row r="763" spans="1:24" ht="17.25" customHeight="1">
      <c r="A763" s="137" t="str">
        <f t="shared" ca="1" si="99"/>
        <v>-</v>
      </c>
      <c r="B763" s="173"/>
      <c r="C763" s="253" t="str">
        <f t="shared" si="100"/>
        <v/>
      </c>
      <c r="D763" s="173"/>
      <c r="E763" s="173"/>
      <c r="F763" s="329" t="str">
        <f t="shared" si="107"/>
        <v/>
      </c>
      <c r="G763" s="174"/>
      <c r="H763" s="130" t="str">
        <f>IFERROR(INDEX(DMDT!B:B,MATCH($G763,DMDT!D:D,0),),"")</f>
        <v/>
      </c>
      <c r="I763" s="131"/>
      <c r="J763" s="132"/>
      <c r="K763" s="133"/>
      <c r="L763" s="134"/>
      <c r="M763" s="134"/>
      <c r="N763" s="135"/>
      <c r="O763" s="219"/>
      <c r="P763" s="143"/>
      <c r="Q763" s="144"/>
      <c r="R763" s="150"/>
      <c r="S763" s="127" t="str">
        <f t="shared" si="101"/>
        <v/>
      </c>
      <c r="T763" s="175" t="str">
        <f t="shared" si="102"/>
        <v/>
      </c>
      <c r="U763" s="158" t="e">
        <f t="shared" si="103"/>
        <v>#N/A</v>
      </c>
      <c r="V763" s="310" t="str">
        <f t="shared" si="104"/>
        <v/>
      </c>
      <c r="W763" s="137" t="str">
        <f t="shared" si="105"/>
        <v>X</v>
      </c>
      <c r="X763" s="137">
        <f t="shared" si="106"/>
        <v>0</v>
      </c>
    </row>
    <row r="764" spans="1:24" ht="17.25" customHeight="1">
      <c r="A764" s="137" t="str">
        <f t="shared" ca="1" si="99"/>
        <v>-</v>
      </c>
      <c r="B764" s="173"/>
      <c r="C764" s="253" t="str">
        <f t="shared" si="100"/>
        <v/>
      </c>
      <c r="D764" s="173"/>
      <c r="E764" s="173"/>
      <c r="F764" s="329" t="str">
        <f t="shared" si="107"/>
        <v/>
      </c>
      <c r="G764" s="174"/>
      <c r="H764" s="130" t="str">
        <f>IFERROR(INDEX(DMDT!B:B,MATCH($G764,DMDT!D:D,0),),"")</f>
        <v/>
      </c>
      <c r="I764" s="131"/>
      <c r="J764" s="132"/>
      <c r="K764" s="133"/>
      <c r="L764" s="134"/>
      <c r="M764" s="134"/>
      <c r="N764" s="135"/>
      <c r="O764" s="219"/>
      <c r="P764" s="143"/>
      <c r="Q764" s="144"/>
      <c r="R764" s="150"/>
      <c r="S764" s="127" t="str">
        <f t="shared" si="101"/>
        <v/>
      </c>
      <c r="T764" s="175" t="str">
        <f t="shared" si="102"/>
        <v/>
      </c>
      <c r="U764" s="158" t="e">
        <f t="shared" si="103"/>
        <v>#N/A</v>
      </c>
      <c r="V764" s="310" t="str">
        <f t="shared" si="104"/>
        <v/>
      </c>
      <c r="W764" s="137" t="str">
        <f t="shared" si="105"/>
        <v>X</v>
      </c>
      <c r="X764" s="137">
        <f t="shared" si="106"/>
        <v>0</v>
      </c>
    </row>
    <row r="765" spans="1:24" ht="17.25" customHeight="1">
      <c r="A765" s="137" t="str">
        <f t="shared" ca="1" si="99"/>
        <v>-</v>
      </c>
      <c r="B765" s="173"/>
      <c r="C765" s="253" t="str">
        <f t="shared" si="100"/>
        <v/>
      </c>
      <c r="D765" s="173"/>
      <c r="E765" s="173"/>
      <c r="F765" s="329" t="str">
        <f t="shared" si="107"/>
        <v/>
      </c>
      <c r="G765" s="174"/>
      <c r="H765" s="130" t="str">
        <f>IFERROR(INDEX(DMDT!B:B,MATCH($G765,DMDT!D:D,0),),"")</f>
        <v/>
      </c>
      <c r="I765" s="131"/>
      <c r="J765" s="132"/>
      <c r="K765" s="133"/>
      <c r="L765" s="134"/>
      <c r="M765" s="134"/>
      <c r="N765" s="135"/>
      <c r="O765" s="219"/>
      <c r="P765" s="143"/>
      <c r="Q765" s="144"/>
      <c r="R765" s="150"/>
      <c r="S765" s="127" t="str">
        <f t="shared" si="101"/>
        <v/>
      </c>
      <c r="T765" s="175" t="str">
        <f t="shared" si="102"/>
        <v/>
      </c>
      <c r="U765" s="158" t="e">
        <f t="shared" si="103"/>
        <v>#N/A</v>
      </c>
      <c r="V765" s="310" t="str">
        <f t="shared" si="104"/>
        <v/>
      </c>
      <c r="W765" s="137" t="str">
        <f t="shared" si="105"/>
        <v>X</v>
      </c>
      <c r="X765" s="137">
        <f t="shared" si="106"/>
        <v>0</v>
      </c>
    </row>
    <row r="766" spans="1:24" ht="17.25" customHeight="1">
      <c r="A766" s="137" t="str">
        <f t="shared" ca="1" si="99"/>
        <v>-</v>
      </c>
      <c r="B766" s="173"/>
      <c r="C766" s="253" t="str">
        <f t="shared" si="100"/>
        <v/>
      </c>
      <c r="D766" s="173"/>
      <c r="E766" s="173"/>
      <c r="F766" s="329" t="str">
        <f t="shared" si="107"/>
        <v/>
      </c>
      <c r="G766" s="174"/>
      <c r="H766" s="130" t="str">
        <f>IFERROR(INDEX(DMDT!B:B,MATCH($G766,DMDT!D:D,0),),"")</f>
        <v/>
      </c>
      <c r="I766" s="131"/>
      <c r="J766" s="132"/>
      <c r="K766" s="133"/>
      <c r="L766" s="134"/>
      <c r="M766" s="134"/>
      <c r="N766" s="135"/>
      <c r="O766" s="219"/>
      <c r="P766" s="143"/>
      <c r="Q766" s="144"/>
      <c r="R766" s="150"/>
      <c r="S766" s="127" t="str">
        <f t="shared" si="101"/>
        <v/>
      </c>
      <c r="T766" s="175" t="str">
        <f t="shared" si="102"/>
        <v/>
      </c>
      <c r="U766" s="158" t="e">
        <f t="shared" si="103"/>
        <v>#N/A</v>
      </c>
      <c r="V766" s="310" t="str">
        <f t="shared" si="104"/>
        <v/>
      </c>
      <c r="W766" s="137" t="str">
        <f t="shared" si="105"/>
        <v>X</v>
      </c>
      <c r="X766" s="137">
        <f t="shared" si="106"/>
        <v>0</v>
      </c>
    </row>
    <row r="767" spans="1:24" ht="17.25" customHeight="1">
      <c r="A767" s="137" t="str">
        <f t="shared" ca="1" si="99"/>
        <v>-</v>
      </c>
      <c r="B767" s="173"/>
      <c r="C767" s="253" t="str">
        <f t="shared" si="100"/>
        <v/>
      </c>
      <c r="D767" s="173"/>
      <c r="E767" s="173"/>
      <c r="F767" s="329" t="str">
        <f t="shared" si="107"/>
        <v/>
      </c>
      <c r="G767" s="174"/>
      <c r="H767" s="130" t="str">
        <f>IFERROR(INDEX(DMDT!B:B,MATCH($G767,DMDT!D:D,0),),"")</f>
        <v/>
      </c>
      <c r="I767" s="131"/>
      <c r="J767" s="132"/>
      <c r="K767" s="133"/>
      <c r="L767" s="134"/>
      <c r="M767" s="134"/>
      <c r="N767" s="135"/>
      <c r="O767" s="219"/>
      <c r="P767" s="143"/>
      <c r="Q767" s="144"/>
      <c r="R767" s="150"/>
      <c r="S767" s="127" t="str">
        <f t="shared" si="101"/>
        <v/>
      </c>
      <c r="T767" s="175" t="str">
        <f t="shared" si="102"/>
        <v/>
      </c>
      <c r="U767" s="158" t="e">
        <f t="shared" si="103"/>
        <v>#N/A</v>
      </c>
      <c r="V767" s="310" t="str">
        <f t="shared" si="104"/>
        <v/>
      </c>
      <c r="W767" s="137" t="str">
        <f t="shared" si="105"/>
        <v>X</v>
      </c>
      <c r="X767" s="137">
        <f t="shared" si="106"/>
        <v>0</v>
      </c>
    </row>
    <row r="768" spans="1:24" ht="17.25" customHeight="1">
      <c r="A768" s="137" t="str">
        <f t="shared" ca="1" si="99"/>
        <v>-</v>
      </c>
      <c r="B768" s="173"/>
      <c r="C768" s="253" t="str">
        <f t="shared" si="100"/>
        <v/>
      </c>
      <c r="D768" s="173"/>
      <c r="E768" s="173"/>
      <c r="F768" s="329" t="str">
        <f t="shared" si="107"/>
        <v/>
      </c>
      <c r="G768" s="174"/>
      <c r="H768" s="130" t="str">
        <f>IFERROR(INDEX(DMDT!B:B,MATCH($G768,DMDT!D:D,0),),"")</f>
        <v/>
      </c>
      <c r="I768" s="131"/>
      <c r="J768" s="132"/>
      <c r="K768" s="133"/>
      <c r="L768" s="134"/>
      <c r="M768" s="134"/>
      <c r="N768" s="135"/>
      <c r="O768" s="219"/>
      <c r="P768" s="143"/>
      <c r="Q768" s="144"/>
      <c r="R768" s="150"/>
      <c r="S768" s="127" t="str">
        <f t="shared" si="101"/>
        <v/>
      </c>
      <c r="T768" s="175" t="str">
        <f t="shared" si="102"/>
        <v/>
      </c>
      <c r="U768" s="158" t="e">
        <f t="shared" si="103"/>
        <v>#N/A</v>
      </c>
      <c r="V768" s="310" t="str">
        <f t="shared" si="104"/>
        <v/>
      </c>
      <c r="W768" s="137" t="str">
        <f t="shared" si="105"/>
        <v>X</v>
      </c>
      <c r="X768" s="137">
        <f t="shared" si="106"/>
        <v>0</v>
      </c>
    </row>
    <row r="769" spans="1:24" ht="17.25" customHeight="1">
      <c r="A769" s="137" t="str">
        <f t="shared" ca="1" si="99"/>
        <v>-</v>
      </c>
      <c r="B769" s="173"/>
      <c r="C769" s="253" t="str">
        <f t="shared" si="100"/>
        <v/>
      </c>
      <c r="D769" s="173"/>
      <c r="E769" s="173"/>
      <c r="F769" s="329" t="str">
        <f t="shared" si="107"/>
        <v/>
      </c>
      <c r="G769" s="174"/>
      <c r="H769" s="130" t="str">
        <f>IFERROR(INDEX(DMDT!B:B,MATCH($G769,DMDT!D:D,0),),"")</f>
        <v/>
      </c>
      <c r="I769" s="131"/>
      <c r="J769" s="132"/>
      <c r="K769" s="133"/>
      <c r="L769" s="134"/>
      <c r="M769" s="134"/>
      <c r="N769" s="135"/>
      <c r="O769" s="219"/>
      <c r="P769" s="143"/>
      <c r="Q769" s="144"/>
      <c r="R769" s="150"/>
      <c r="S769" s="127" t="str">
        <f t="shared" si="101"/>
        <v/>
      </c>
      <c r="T769" s="175" t="str">
        <f t="shared" si="102"/>
        <v/>
      </c>
      <c r="U769" s="158" t="e">
        <f t="shared" si="103"/>
        <v>#N/A</v>
      </c>
      <c r="V769" s="310" t="str">
        <f t="shared" si="104"/>
        <v/>
      </c>
      <c r="W769" s="137" t="str">
        <f t="shared" si="105"/>
        <v>X</v>
      </c>
      <c r="X769" s="137">
        <f t="shared" si="106"/>
        <v>0</v>
      </c>
    </row>
    <row r="770" spans="1:24" ht="17.25" customHeight="1">
      <c r="A770" s="137" t="str">
        <f t="shared" ca="1" si="99"/>
        <v>-</v>
      </c>
      <c r="B770" s="173"/>
      <c r="C770" s="253" t="str">
        <f t="shared" si="100"/>
        <v/>
      </c>
      <c r="D770" s="173"/>
      <c r="E770" s="173"/>
      <c r="F770" s="329" t="str">
        <f t="shared" si="107"/>
        <v/>
      </c>
      <c r="G770" s="174"/>
      <c r="H770" s="130" t="str">
        <f>IFERROR(INDEX(DMDT!B:B,MATCH($G770,DMDT!D:D,0),),"")</f>
        <v/>
      </c>
      <c r="I770" s="131"/>
      <c r="J770" s="132"/>
      <c r="K770" s="133"/>
      <c r="L770" s="134"/>
      <c r="M770" s="134"/>
      <c r="N770" s="135"/>
      <c r="O770" s="219"/>
      <c r="P770" s="143"/>
      <c r="Q770" s="144"/>
      <c r="R770" s="150"/>
      <c r="S770" s="127" t="str">
        <f t="shared" si="101"/>
        <v/>
      </c>
      <c r="T770" s="175" t="str">
        <f t="shared" si="102"/>
        <v/>
      </c>
      <c r="U770" s="158" t="e">
        <f t="shared" si="103"/>
        <v>#N/A</v>
      </c>
      <c r="V770" s="310" t="str">
        <f t="shared" si="104"/>
        <v/>
      </c>
      <c r="W770" s="137" t="str">
        <f t="shared" si="105"/>
        <v>X</v>
      </c>
      <c r="X770" s="137">
        <f t="shared" si="106"/>
        <v>0</v>
      </c>
    </row>
    <row r="771" spans="1:24" ht="17.25" customHeight="1">
      <c r="A771" s="137" t="str">
        <f t="shared" ca="1" si="99"/>
        <v>-</v>
      </c>
      <c r="B771" s="173"/>
      <c r="C771" s="253" t="str">
        <f t="shared" si="100"/>
        <v/>
      </c>
      <c r="D771" s="173"/>
      <c r="E771" s="173"/>
      <c r="F771" s="329" t="str">
        <f t="shared" si="107"/>
        <v/>
      </c>
      <c r="G771" s="174"/>
      <c r="H771" s="130" t="str">
        <f>IFERROR(INDEX(DMDT!B:B,MATCH($G771,DMDT!D:D,0),),"")</f>
        <v/>
      </c>
      <c r="I771" s="131"/>
      <c r="J771" s="132"/>
      <c r="K771" s="133"/>
      <c r="L771" s="134"/>
      <c r="M771" s="134"/>
      <c r="N771" s="135"/>
      <c r="O771" s="219"/>
      <c r="P771" s="143"/>
      <c r="Q771" s="144"/>
      <c r="R771" s="150"/>
      <c r="S771" s="127" t="str">
        <f t="shared" si="101"/>
        <v/>
      </c>
      <c r="T771" s="175" t="str">
        <f t="shared" si="102"/>
        <v/>
      </c>
      <c r="U771" s="158" t="e">
        <f t="shared" si="103"/>
        <v>#N/A</v>
      </c>
      <c r="V771" s="310" t="str">
        <f t="shared" si="104"/>
        <v/>
      </c>
      <c r="W771" s="137" t="str">
        <f t="shared" si="105"/>
        <v>X</v>
      </c>
      <c r="X771" s="137">
        <f t="shared" si="106"/>
        <v>0</v>
      </c>
    </row>
    <row r="772" spans="1:24" ht="17.25" customHeight="1">
      <c r="A772" s="137" t="str">
        <f t="shared" ref="A772:A800" ca="1" si="108">IF(F772="","-",IF(COUNTIFS(OFFSET($H$3,,,ROW()-3),H772,OFFSET($J$3,,,ROW()-3),J772,OFFSET($N$3,,,ROW()-3),N772)=0,"-","FALSE"))</f>
        <v>-</v>
      </c>
      <c r="B772" s="173"/>
      <c r="C772" s="253" t="str">
        <f t="shared" si="100"/>
        <v/>
      </c>
      <c r="D772" s="173"/>
      <c r="E772" s="173"/>
      <c r="F772" s="329" t="str">
        <f t="shared" si="107"/>
        <v/>
      </c>
      <c r="G772" s="174"/>
      <c r="H772" s="130" t="str">
        <f>IFERROR(INDEX(DMDT!B:B,MATCH($G772,DMDT!D:D,0),),"")</f>
        <v/>
      </c>
      <c r="I772" s="131"/>
      <c r="J772" s="132"/>
      <c r="K772" s="133"/>
      <c r="L772" s="134"/>
      <c r="M772" s="134"/>
      <c r="N772" s="135"/>
      <c r="O772" s="219"/>
      <c r="P772" s="143"/>
      <c r="Q772" s="144"/>
      <c r="R772" s="150"/>
      <c r="S772" s="127" t="str">
        <f t="shared" si="101"/>
        <v/>
      </c>
      <c r="T772" s="175" t="str">
        <f t="shared" si="102"/>
        <v/>
      </c>
      <c r="U772" s="158" t="e">
        <f t="shared" si="103"/>
        <v>#N/A</v>
      </c>
      <c r="V772" s="310" t="str">
        <f t="shared" si="104"/>
        <v/>
      </c>
      <c r="W772" s="137" t="str">
        <f t="shared" si="105"/>
        <v>X</v>
      </c>
      <c r="X772" s="137">
        <f t="shared" si="106"/>
        <v>0</v>
      </c>
    </row>
    <row r="773" spans="1:24" ht="17.25" customHeight="1">
      <c r="A773" s="137" t="str">
        <f t="shared" ca="1" si="108"/>
        <v>-</v>
      </c>
      <c r="B773" s="173"/>
      <c r="C773" s="253" t="str">
        <f t="shared" ref="C773:C800" si="109">IF(F773="","",IF(LEFT(M773,5)&lt;&gt;"3311-","Non-GR",IF(AND(B773&lt;D773,B773&lt;&gt;""),NETWORKDAYS(B773,D773),IF(OR(L773="Mai",L773="Đức Anh",L773="C.Thảo"),"GIT","Non-GR"))))</f>
        <v/>
      </c>
      <c r="D773" s="173"/>
      <c r="E773" s="173"/>
      <c r="F773" s="329" t="str">
        <f t="shared" si="107"/>
        <v/>
      </c>
      <c r="G773" s="174"/>
      <c r="H773" s="130" t="str">
        <f>IFERROR(INDEX(DMDT!B:B,MATCH($G773,DMDT!D:D,0),),"")</f>
        <v/>
      </c>
      <c r="I773" s="131"/>
      <c r="J773" s="132"/>
      <c r="K773" s="133"/>
      <c r="L773" s="134"/>
      <c r="M773" s="134"/>
      <c r="N773" s="135"/>
      <c r="O773" s="219"/>
      <c r="P773" s="143"/>
      <c r="Q773" s="144"/>
      <c r="R773" s="150"/>
      <c r="S773" s="127" t="str">
        <f t="shared" ref="S773:S800" si="110">$N773&amp;LEFT($G773,6)</f>
        <v/>
      </c>
      <c r="T773" s="175" t="str">
        <f t="shared" ref="T773:T800" si="111">+LEFT($M773,5)</f>
        <v/>
      </c>
      <c r="U773" s="158" t="e">
        <f t="shared" ref="U773:U800" si="112">VLOOKUP(L773,$AB$10:$AC$26,2,0)</f>
        <v>#N/A</v>
      </c>
      <c r="V773" s="310" t="str">
        <f t="shared" ref="V773:V800" si="113">IF(T773="3311-",D773,"")</f>
        <v/>
      </c>
      <c r="W773" s="137" t="str">
        <f t="shared" ref="W773:W800" si="114">IFERROR(IF(MONTH(V773)=$F$1,DAY(V773),"NEXT"),"X")</f>
        <v>X</v>
      </c>
      <c r="X773" s="137">
        <f t="shared" ref="X773:X800" si="115">IFERROR(IF(31-W773&gt;5,1,2),0)</f>
        <v>0</v>
      </c>
    </row>
    <row r="774" spans="1:24" ht="17.25" customHeight="1">
      <c r="A774" s="137" t="str">
        <f t="shared" ca="1" si="108"/>
        <v>-</v>
      </c>
      <c r="B774" s="173"/>
      <c r="C774" s="253" t="str">
        <f t="shared" si="109"/>
        <v/>
      </c>
      <c r="D774" s="173"/>
      <c r="E774" s="173"/>
      <c r="F774" s="329" t="str">
        <f t="shared" ref="F774:F800" si="116">IF(E774&lt;&gt;"",F773+1,"")</f>
        <v/>
      </c>
      <c r="G774" s="174"/>
      <c r="H774" s="130" t="str">
        <f>IFERROR(INDEX(DMDT!B:B,MATCH($G774,DMDT!D:D,0),),"")</f>
        <v/>
      </c>
      <c r="I774" s="131"/>
      <c r="J774" s="132"/>
      <c r="K774" s="133"/>
      <c r="L774" s="134"/>
      <c r="M774" s="134"/>
      <c r="N774" s="135"/>
      <c r="O774" s="219"/>
      <c r="P774" s="143"/>
      <c r="Q774" s="144"/>
      <c r="R774" s="150"/>
      <c r="S774" s="127" t="str">
        <f t="shared" si="110"/>
        <v/>
      </c>
      <c r="T774" s="175" t="str">
        <f t="shared" si="111"/>
        <v/>
      </c>
      <c r="U774" s="158" t="e">
        <f t="shared" si="112"/>
        <v>#N/A</v>
      </c>
      <c r="V774" s="310" t="str">
        <f t="shared" si="113"/>
        <v/>
      </c>
      <c r="W774" s="137" t="str">
        <f t="shared" si="114"/>
        <v>X</v>
      </c>
      <c r="X774" s="137">
        <f t="shared" si="115"/>
        <v>0</v>
      </c>
    </row>
    <row r="775" spans="1:24" ht="17.25" customHeight="1">
      <c r="A775" s="137" t="str">
        <f t="shared" ca="1" si="108"/>
        <v>-</v>
      </c>
      <c r="B775" s="173"/>
      <c r="C775" s="253" t="str">
        <f t="shared" si="109"/>
        <v/>
      </c>
      <c r="D775" s="173"/>
      <c r="E775" s="173"/>
      <c r="F775" s="329" t="str">
        <f t="shared" si="116"/>
        <v/>
      </c>
      <c r="G775" s="174"/>
      <c r="H775" s="130" t="str">
        <f>IFERROR(INDEX(DMDT!B:B,MATCH($G775,DMDT!D:D,0),),"")</f>
        <v/>
      </c>
      <c r="I775" s="131"/>
      <c r="J775" s="132"/>
      <c r="K775" s="133"/>
      <c r="L775" s="134"/>
      <c r="M775" s="134"/>
      <c r="N775" s="135"/>
      <c r="O775" s="219"/>
      <c r="P775" s="143"/>
      <c r="Q775" s="144"/>
      <c r="R775" s="150"/>
      <c r="S775" s="127" t="str">
        <f t="shared" si="110"/>
        <v/>
      </c>
      <c r="T775" s="175" t="str">
        <f t="shared" si="111"/>
        <v/>
      </c>
      <c r="U775" s="158" t="e">
        <f t="shared" si="112"/>
        <v>#N/A</v>
      </c>
      <c r="V775" s="310" t="str">
        <f t="shared" si="113"/>
        <v/>
      </c>
      <c r="W775" s="137" t="str">
        <f t="shared" si="114"/>
        <v>X</v>
      </c>
      <c r="X775" s="137">
        <f t="shared" si="115"/>
        <v>0</v>
      </c>
    </row>
    <row r="776" spans="1:24" ht="17.25" customHeight="1">
      <c r="A776" s="137" t="str">
        <f t="shared" ca="1" si="108"/>
        <v>-</v>
      </c>
      <c r="B776" s="173"/>
      <c r="C776" s="253" t="str">
        <f t="shared" si="109"/>
        <v/>
      </c>
      <c r="D776" s="173"/>
      <c r="E776" s="173"/>
      <c r="F776" s="329" t="str">
        <f t="shared" si="116"/>
        <v/>
      </c>
      <c r="G776" s="174"/>
      <c r="H776" s="130" t="str">
        <f>IFERROR(INDEX(DMDT!B:B,MATCH($G776,DMDT!D:D,0),),"")</f>
        <v/>
      </c>
      <c r="I776" s="131"/>
      <c r="J776" s="132"/>
      <c r="K776" s="133"/>
      <c r="L776" s="134"/>
      <c r="M776" s="134"/>
      <c r="N776" s="135"/>
      <c r="O776" s="219"/>
      <c r="P776" s="143"/>
      <c r="Q776" s="144"/>
      <c r="R776" s="150"/>
      <c r="S776" s="127" t="str">
        <f t="shared" si="110"/>
        <v/>
      </c>
      <c r="T776" s="175" t="str">
        <f t="shared" si="111"/>
        <v/>
      </c>
      <c r="U776" s="158" t="e">
        <f t="shared" si="112"/>
        <v>#N/A</v>
      </c>
      <c r="V776" s="310" t="str">
        <f t="shared" si="113"/>
        <v/>
      </c>
      <c r="W776" s="137" t="str">
        <f t="shared" si="114"/>
        <v>X</v>
      </c>
      <c r="X776" s="137">
        <f t="shared" si="115"/>
        <v>0</v>
      </c>
    </row>
    <row r="777" spans="1:24" ht="17.25" customHeight="1">
      <c r="A777" s="137" t="str">
        <f t="shared" ca="1" si="108"/>
        <v>-</v>
      </c>
      <c r="B777" s="173"/>
      <c r="C777" s="253" t="str">
        <f t="shared" si="109"/>
        <v/>
      </c>
      <c r="D777" s="173"/>
      <c r="E777" s="173"/>
      <c r="F777" s="329" t="str">
        <f t="shared" si="116"/>
        <v/>
      </c>
      <c r="G777" s="174"/>
      <c r="H777" s="130" t="str">
        <f>IFERROR(INDEX(DMDT!B:B,MATCH($G777,DMDT!D:D,0),),"")</f>
        <v/>
      </c>
      <c r="I777" s="131"/>
      <c r="J777" s="132"/>
      <c r="K777" s="133"/>
      <c r="L777" s="134"/>
      <c r="M777" s="134"/>
      <c r="N777" s="135"/>
      <c r="O777" s="219"/>
      <c r="P777" s="143"/>
      <c r="Q777" s="144"/>
      <c r="R777" s="150"/>
      <c r="S777" s="127" t="str">
        <f t="shared" si="110"/>
        <v/>
      </c>
      <c r="T777" s="175" t="str">
        <f t="shared" si="111"/>
        <v/>
      </c>
      <c r="U777" s="158" t="e">
        <f t="shared" si="112"/>
        <v>#N/A</v>
      </c>
      <c r="V777" s="310" t="str">
        <f t="shared" si="113"/>
        <v/>
      </c>
      <c r="W777" s="137" t="str">
        <f t="shared" si="114"/>
        <v>X</v>
      </c>
      <c r="X777" s="137">
        <f t="shared" si="115"/>
        <v>0</v>
      </c>
    </row>
    <row r="778" spans="1:24" ht="17.25" customHeight="1">
      <c r="A778" s="137" t="str">
        <f t="shared" ca="1" si="108"/>
        <v>-</v>
      </c>
      <c r="B778" s="173"/>
      <c r="C778" s="253" t="str">
        <f t="shared" si="109"/>
        <v/>
      </c>
      <c r="D778" s="173"/>
      <c r="E778" s="173"/>
      <c r="F778" s="329" t="str">
        <f t="shared" si="116"/>
        <v/>
      </c>
      <c r="G778" s="174"/>
      <c r="H778" s="130" t="str">
        <f>IFERROR(INDEX(DMDT!B:B,MATCH($G778,DMDT!D:D,0),),"")</f>
        <v/>
      </c>
      <c r="I778" s="131"/>
      <c r="J778" s="132"/>
      <c r="K778" s="133"/>
      <c r="L778" s="134"/>
      <c r="M778" s="134"/>
      <c r="N778" s="135"/>
      <c r="O778" s="219"/>
      <c r="P778" s="143"/>
      <c r="Q778" s="144"/>
      <c r="R778" s="150"/>
      <c r="S778" s="127" t="str">
        <f t="shared" si="110"/>
        <v/>
      </c>
      <c r="T778" s="175" t="str">
        <f t="shared" si="111"/>
        <v/>
      </c>
      <c r="U778" s="158" t="e">
        <f t="shared" si="112"/>
        <v>#N/A</v>
      </c>
      <c r="V778" s="310" t="str">
        <f t="shared" si="113"/>
        <v/>
      </c>
      <c r="W778" s="137" t="str">
        <f t="shared" si="114"/>
        <v>X</v>
      </c>
      <c r="X778" s="137">
        <f t="shared" si="115"/>
        <v>0</v>
      </c>
    </row>
    <row r="779" spans="1:24" ht="17.25" customHeight="1">
      <c r="A779" s="137" t="str">
        <f t="shared" ca="1" si="108"/>
        <v>-</v>
      </c>
      <c r="B779" s="173"/>
      <c r="C779" s="253" t="str">
        <f t="shared" si="109"/>
        <v/>
      </c>
      <c r="D779" s="173"/>
      <c r="E779" s="173"/>
      <c r="F779" s="329" t="str">
        <f t="shared" si="116"/>
        <v/>
      </c>
      <c r="G779" s="174"/>
      <c r="H779" s="130" t="str">
        <f>IFERROR(INDEX(DMDT!B:B,MATCH($G779,DMDT!D:D,0),),"")</f>
        <v/>
      </c>
      <c r="I779" s="131"/>
      <c r="J779" s="132"/>
      <c r="K779" s="133"/>
      <c r="L779" s="134"/>
      <c r="M779" s="134"/>
      <c r="N779" s="135"/>
      <c r="O779" s="219"/>
      <c r="P779" s="143"/>
      <c r="Q779" s="144"/>
      <c r="R779" s="150"/>
      <c r="S779" s="127" t="str">
        <f t="shared" si="110"/>
        <v/>
      </c>
      <c r="T779" s="175" t="str">
        <f t="shared" si="111"/>
        <v/>
      </c>
      <c r="U779" s="158" t="e">
        <f t="shared" si="112"/>
        <v>#N/A</v>
      </c>
      <c r="V779" s="310" t="str">
        <f t="shared" si="113"/>
        <v/>
      </c>
      <c r="W779" s="137" t="str">
        <f t="shared" si="114"/>
        <v>X</v>
      </c>
      <c r="X779" s="137">
        <f t="shared" si="115"/>
        <v>0</v>
      </c>
    </row>
    <row r="780" spans="1:24" ht="17.25" customHeight="1">
      <c r="A780" s="137" t="str">
        <f t="shared" ca="1" si="108"/>
        <v>-</v>
      </c>
      <c r="B780" s="173"/>
      <c r="C780" s="253" t="str">
        <f t="shared" si="109"/>
        <v/>
      </c>
      <c r="D780" s="173"/>
      <c r="E780" s="173"/>
      <c r="F780" s="329" t="str">
        <f t="shared" si="116"/>
        <v/>
      </c>
      <c r="G780" s="174"/>
      <c r="H780" s="130" t="str">
        <f>IFERROR(INDEX(DMDT!B:B,MATCH($G780,DMDT!D:D,0),),"")</f>
        <v/>
      </c>
      <c r="I780" s="131"/>
      <c r="J780" s="132"/>
      <c r="K780" s="133"/>
      <c r="L780" s="134"/>
      <c r="M780" s="134"/>
      <c r="N780" s="135"/>
      <c r="O780" s="219"/>
      <c r="P780" s="143"/>
      <c r="Q780" s="144"/>
      <c r="R780" s="150"/>
      <c r="S780" s="127" t="str">
        <f t="shared" si="110"/>
        <v/>
      </c>
      <c r="T780" s="175" t="str">
        <f t="shared" si="111"/>
        <v/>
      </c>
      <c r="U780" s="158" t="e">
        <f t="shared" si="112"/>
        <v>#N/A</v>
      </c>
      <c r="V780" s="310" t="str">
        <f t="shared" si="113"/>
        <v/>
      </c>
      <c r="W780" s="137" t="str">
        <f t="shared" si="114"/>
        <v>X</v>
      </c>
      <c r="X780" s="137">
        <f t="shared" si="115"/>
        <v>0</v>
      </c>
    </row>
    <row r="781" spans="1:24" ht="17.25" customHeight="1">
      <c r="A781" s="137" t="str">
        <f t="shared" ca="1" si="108"/>
        <v>-</v>
      </c>
      <c r="B781" s="173"/>
      <c r="C781" s="253" t="str">
        <f t="shared" si="109"/>
        <v/>
      </c>
      <c r="D781" s="173"/>
      <c r="E781" s="173"/>
      <c r="F781" s="329" t="str">
        <f t="shared" si="116"/>
        <v/>
      </c>
      <c r="G781" s="174"/>
      <c r="H781" s="130" t="str">
        <f>IFERROR(INDEX(DMDT!B:B,MATCH($G781,DMDT!D:D,0),),"")</f>
        <v/>
      </c>
      <c r="I781" s="131"/>
      <c r="J781" s="132"/>
      <c r="K781" s="133"/>
      <c r="L781" s="134"/>
      <c r="M781" s="134"/>
      <c r="N781" s="135"/>
      <c r="O781" s="219"/>
      <c r="P781" s="143"/>
      <c r="Q781" s="144"/>
      <c r="R781" s="150"/>
      <c r="S781" s="127" t="str">
        <f t="shared" si="110"/>
        <v/>
      </c>
      <c r="T781" s="175" t="str">
        <f t="shared" si="111"/>
        <v/>
      </c>
      <c r="U781" s="158" t="e">
        <f t="shared" si="112"/>
        <v>#N/A</v>
      </c>
      <c r="V781" s="310" t="str">
        <f t="shared" si="113"/>
        <v/>
      </c>
      <c r="W781" s="137" t="str">
        <f t="shared" si="114"/>
        <v>X</v>
      </c>
      <c r="X781" s="137">
        <f t="shared" si="115"/>
        <v>0</v>
      </c>
    </row>
    <row r="782" spans="1:24" ht="17.25" customHeight="1">
      <c r="A782" s="137" t="str">
        <f t="shared" ca="1" si="108"/>
        <v>-</v>
      </c>
      <c r="B782" s="173"/>
      <c r="C782" s="253" t="str">
        <f t="shared" si="109"/>
        <v/>
      </c>
      <c r="D782" s="173"/>
      <c r="E782" s="173"/>
      <c r="F782" s="329" t="str">
        <f t="shared" si="116"/>
        <v/>
      </c>
      <c r="G782" s="174"/>
      <c r="H782" s="130" t="str">
        <f>IFERROR(INDEX(DMDT!B:B,MATCH($G782,DMDT!D:D,0),),"")</f>
        <v/>
      </c>
      <c r="I782" s="131"/>
      <c r="J782" s="132"/>
      <c r="K782" s="133"/>
      <c r="L782" s="134"/>
      <c r="M782" s="134"/>
      <c r="N782" s="135"/>
      <c r="O782" s="219"/>
      <c r="P782" s="143"/>
      <c r="Q782" s="144"/>
      <c r="R782" s="150"/>
      <c r="S782" s="127" t="str">
        <f t="shared" si="110"/>
        <v/>
      </c>
      <c r="T782" s="175" t="str">
        <f t="shared" si="111"/>
        <v/>
      </c>
      <c r="U782" s="158" t="e">
        <f t="shared" si="112"/>
        <v>#N/A</v>
      </c>
      <c r="V782" s="310" t="str">
        <f t="shared" si="113"/>
        <v/>
      </c>
      <c r="W782" s="137" t="str">
        <f t="shared" si="114"/>
        <v>X</v>
      </c>
      <c r="X782" s="137">
        <f t="shared" si="115"/>
        <v>0</v>
      </c>
    </row>
    <row r="783" spans="1:24" ht="17.25" customHeight="1">
      <c r="A783" s="137" t="str">
        <f t="shared" ca="1" si="108"/>
        <v>-</v>
      </c>
      <c r="B783" s="173"/>
      <c r="C783" s="253" t="str">
        <f t="shared" si="109"/>
        <v/>
      </c>
      <c r="D783" s="173"/>
      <c r="E783" s="173"/>
      <c r="F783" s="329" t="str">
        <f t="shared" si="116"/>
        <v/>
      </c>
      <c r="G783" s="174"/>
      <c r="H783" s="130" t="str">
        <f>IFERROR(INDEX(DMDT!B:B,MATCH($G783,DMDT!D:D,0),),"")</f>
        <v/>
      </c>
      <c r="I783" s="131"/>
      <c r="J783" s="132"/>
      <c r="K783" s="133"/>
      <c r="L783" s="134"/>
      <c r="M783" s="134"/>
      <c r="N783" s="135"/>
      <c r="O783" s="219"/>
      <c r="P783" s="143"/>
      <c r="Q783" s="144"/>
      <c r="R783" s="150"/>
      <c r="S783" s="127" t="str">
        <f t="shared" si="110"/>
        <v/>
      </c>
      <c r="T783" s="175" t="str">
        <f t="shared" si="111"/>
        <v/>
      </c>
      <c r="U783" s="158" t="e">
        <f t="shared" si="112"/>
        <v>#N/A</v>
      </c>
      <c r="V783" s="310" t="str">
        <f t="shared" si="113"/>
        <v/>
      </c>
      <c r="W783" s="137" t="str">
        <f t="shared" si="114"/>
        <v>X</v>
      </c>
      <c r="X783" s="137">
        <f t="shared" si="115"/>
        <v>0</v>
      </c>
    </row>
    <row r="784" spans="1:24" ht="17.25" customHeight="1">
      <c r="A784" s="137" t="str">
        <f t="shared" ca="1" si="108"/>
        <v>-</v>
      </c>
      <c r="B784" s="173"/>
      <c r="C784" s="253" t="str">
        <f t="shared" si="109"/>
        <v/>
      </c>
      <c r="D784" s="173"/>
      <c r="E784" s="173"/>
      <c r="F784" s="329" t="str">
        <f t="shared" si="116"/>
        <v/>
      </c>
      <c r="G784" s="174"/>
      <c r="H784" s="130" t="str">
        <f>IFERROR(INDEX(DMDT!B:B,MATCH($G784,DMDT!D:D,0),),"")</f>
        <v/>
      </c>
      <c r="I784" s="131"/>
      <c r="J784" s="132"/>
      <c r="K784" s="133"/>
      <c r="L784" s="134"/>
      <c r="M784" s="134"/>
      <c r="N784" s="135"/>
      <c r="O784" s="219"/>
      <c r="P784" s="143"/>
      <c r="Q784" s="144"/>
      <c r="R784" s="150"/>
      <c r="S784" s="127" t="str">
        <f t="shared" si="110"/>
        <v/>
      </c>
      <c r="T784" s="175" t="str">
        <f t="shared" si="111"/>
        <v/>
      </c>
      <c r="U784" s="158" t="e">
        <f t="shared" si="112"/>
        <v>#N/A</v>
      </c>
      <c r="V784" s="310" t="str">
        <f t="shared" si="113"/>
        <v/>
      </c>
      <c r="W784" s="137" t="str">
        <f t="shared" si="114"/>
        <v>X</v>
      </c>
      <c r="X784" s="137">
        <f t="shared" si="115"/>
        <v>0</v>
      </c>
    </row>
    <row r="785" spans="1:24" ht="17.25" customHeight="1">
      <c r="A785" s="137" t="str">
        <f t="shared" ca="1" si="108"/>
        <v>-</v>
      </c>
      <c r="B785" s="173"/>
      <c r="C785" s="253" t="str">
        <f t="shared" si="109"/>
        <v/>
      </c>
      <c r="D785" s="173"/>
      <c r="E785" s="173"/>
      <c r="F785" s="329" t="str">
        <f t="shared" si="116"/>
        <v/>
      </c>
      <c r="G785" s="174"/>
      <c r="H785" s="130" t="str">
        <f>IFERROR(INDEX(DMDT!B:B,MATCH($G785,DMDT!D:D,0),),"")</f>
        <v/>
      </c>
      <c r="I785" s="131"/>
      <c r="J785" s="132"/>
      <c r="K785" s="133"/>
      <c r="L785" s="134"/>
      <c r="M785" s="134"/>
      <c r="N785" s="135"/>
      <c r="O785" s="219"/>
      <c r="P785" s="143"/>
      <c r="Q785" s="144"/>
      <c r="R785" s="150"/>
      <c r="S785" s="127" t="str">
        <f t="shared" si="110"/>
        <v/>
      </c>
      <c r="T785" s="175" t="str">
        <f t="shared" si="111"/>
        <v/>
      </c>
      <c r="U785" s="158" t="e">
        <f t="shared" si="112"/>
        <v>#N/A</v>
      </c>
      <c r="V785" s="310" t="str">
        <f t="shared" si="113"/>
        <v/>
      </c>
      <c r="W785" s="137" t="str">
        <f t="shared" si="114"/>
        <v>X</v>
      </c>
      <c r="X785" s="137">
        <f t="shared" si="115"/>
        <v>0</v>
      </c>
    </row>
    <row r="786" spans="1:24" ht="17.25" customHeight="1">
      <c r="A786" s="137" t="str">
        <f t="shared" ca="1" si="108"/>
        <v>-</v>
      </c>
      <c r="B786" s="173"/>
      <c r="C786" s="253" t="str">
        <f t="shared" si="109"/>
        <v/>
      </c>
      <c r="D786" s="173"/>
      <c r="E786" s="173"/>
      <c r="F786" s="329" t="str">
        <f t="shared" si="116"/>
        <v/>
      </c>
      <c r="G786" s="174"/>
      <c r="H786" s="130" t="str">
        <f>IFERROR(INDEX(DMDT!B:B,MATCH($G786,DMDT!D:D,0),),"")</f>
        <v/>
      </c>
      <c r="I786" s="131"/>
      <c r="J786" s="132"/>
      <c r="K786" s="133"/>
      <c r="L786" s="134"/>
      <c r="M786" s="134"/>
      <c r="N786" s="135"/>
      <c r="O786" s="219"/>
      <c r="P786" s="143"/>
      <c r="Q786" s="144"/>
      <c r="R786" s="150"/>
      <c r="S786" s="127" t="str">
        <f t="shared" si="110"/>
        <v/>
      </c>
      <c r="T786" s="175" t="str">
        <f t="shared" si="111"/>
        <v/>
      </c>
      <c r="U786" s="158" t="e">
        <f t="shared" si="112"/>
        <v>#N/A</v>
      </c>
      <c r="V786" s="310" t="str">
        <f t="shared" si="113"/>
        <v/>
      </c>
      <c r="W786" s="137" t="str">
        <f t="shared" si="114"/>
        <v>X</v>
      </c>
      <c r="X786" s="137">
        <f t="shared" si="115"/>
        <v>0</v>
      </c>
    </row>
    <row r="787" spans="1:24" ht="17.25" customHeight="1">
      <c r="A787" s="137" t="str">
        <f t="shared" ca="1" si="108"/>
        <v>-</v>
      </c>
      <c r="B787" s="173"/>
      <c r="C787" s="253" t="str">
        <f t="shared" si="109"/>
        <v/>
      </c>
      <c r="D787" s="173"/>
      <c r="E787" s="173"/>
      <c r="F787" s="329" t="str">
        <f t="shared" si="116"/>
        <v/>
      </c>
      <c r="G787" s="174"/>
      <c r="H787" s="130" t="str">
        <f>IFERROR(INDEX(DMDT!B:B,MATCH($G787,DMDT!D:D,0),),"")</f>
        <v/>
      </c>
      <c r="I787" s="131"/>
      <c r="J787" s="132"/>
      <c r="K787" s="133"/>
      <c r="L787" s="134"/>
      <c r="M787" s="134"/>
      <c r="N787" s="135"/>
      <c r="O787" s="219"/>
      <c r="P787" s="143"/>
      <c r="Q787" s="144"/>
      <c r="R787" s="150"/>
      <c r="S787" s="127" t="str">
        <f t="shared" si="110"/>
        <v/>
      </c>
      <c r="T787" s="175" t="str">
        <f t="shared" si="111"/>
        <v/>
      </c>
      <c r="U787" s="158" t="e">
        <f t="shared" si="112"/>
        <v>#N/A</v>
      </c>
      <c r="V787" s="310" t="str">
        <f t="shared" si="113"/>
        <v/>
      </c>
      <c r="W787" s="137" t="str">
        <f t="shared" si="114"/>
        <v>X</v>
      </c>
      <c r="X787" s="137">
        <f t="shared" si="115"/>
        <v>0</v>
      </c>
    </row>
    <row r="788" spans="1:24" ht="17.25" customHeight="1">
      <c r="A788" s="137" t="str">
        <f t="shared" ca="1" si="108"/>
        <v>-</v>
      </c>
      <c r="B788" s="173"/>
      <c r="C788" s="253" t="str">
        <f t="shared" si="109"/>
        <v/>
      </c>
      <c r="D788" s="173"/>
      <c r="E788" s="173"/>
      <c r="F788" s="329" t="str">
        <f t="shared" si="116"/>
        <v/>
      </c>
      <c r="G788" s="174"/>
      <c r="H788" s="130" t="str">
        <f>IFERROR(INDEX(DMDT!B:B,MATCH($G788,DMDT!D:D,0),),"")</f>
        <v/>
      </c>
      <c r="I788" s="131"/>
      <c r="J788" s="132"/>
      <c r="K788" s="133"/>
      <c r="L788" s="134"/>
      <c r="M788" s="134"/>
      <c r="N788" s="135"/>
      <c r="O788" s="219"/>
      <c r="P788" s="143"/>
      <c r="Q788" s="144"/>
      <c r="R788" s="150"/>
      <c r="S788" s="127" t="str">
        <f t="shared" si="110"/>
        <v/>
      </c>
      <c r="T788" s="175" t="str">
        <f t="shared" si="111"/>
        <v/>
      </c>
      <c r="U788" s="158" t="e">
        <f t="shared" si="112"/>
        <v>#N/A</v>
      </c>
      <c r="V788" s="310" t="str">
        <f t="shared" si="113"/>
        <v/>
      </c>
      <c r="W788" s="137" t="str">
        <f t="shared" si="114"/>
        <v>X</v>
      </c>
      <c r="X788" s="137">
        <f t="shared" si="115"/>
        <v>0</v>
      </c>
    </row>
    <row r="789" spans="1:24" ht="17.25" customHeight="1">
      <c r="A789" s="137" t="str">
        <f t="shared" ca="1" si="108"/>
        <v>-</v>
      </c>
      <c r="B789" s="173"/>
      <c r="C789" s="253" t="str">
        <f t="shared" si="109"/>
        <v/>
      </c>
      <c r="D789" s="173"/>
      <c r="E789" s="173"/>
      <c r="F789" s="329" t="str">
        <f t="shared" si="116"/>
        <v/>
      </c>
      <c r="G789" s="174"/>
      <c r="H789" s="130" t="str">
        <f>IFERROR(INDEX(DMDT!B:B,MATCH($G789,DMDT!D:D,0),),"")</f>
        <v/>
      </c>
      <c r="I789" s="131"/>
      <c r="J789" s="132"/>
      <c r="K789" s="133"/>
      <c r="L789" s="134"/>
      <c r="M789" s="134"/>
      <c r="N789" s="135"/>
      <c r="O789" s="219"/>
      <c r="P789" s="143"/>
      <c r="Q789" s="144"/>
      <c r="R789" s="150"/>
      <c r="S789" s="127" t="str">
        <f t="shared" si="110"/>
        <v/>
      </c>
      <c r="T789" s="175" t="str">
        <f t="shared" si="111"/>
        <v/>
      </c>
      <c r="U789" s="158" t="e">
        <f t="shared" si="112"/>
        <v>#N/A</v>
      </c>
      <c r="V789" s="310" t="str">
        <f t="shared" si="113"/>
        <v/>
      </c>
      <c r="W789" s="137" t="str">
        <f t="shared" si="114"/>
        <v>X</v>
      </c>
      <c r="X789" s="137">
        <f t="shared" si="115"/>
        <v>0</v>
      </c>
    </row>
    <row r="790" spans="1:24" ht="17.25" customHeight="1">
      <c r="A790" s="137" t="str">
        <f t="shared" ca="1" si="108"/>
        <v>-</v>
      </c>
      <c r="B790" s="173"/>
      <c r="C790" s="253" t="str">
        <f t="shared" si="109"/>
        <v/>
      </c>
      <c r="D790" s="173"/>
      <c r="E790" s="173"/>
      <c r="F790" s="329" t="str">
        <f t="shared" si="116"/>
        <v/>
      </c>
      <c r="G790" s="174"/>
      <c r="H790" s="130" t="str">
        <f>IFERROR(INDEX(DMDT!B:B,MATCH($G790,DMDT!D:D,0),),"")</f>
        <v/>
      </c>
      <c r="I790" s="131"/>
      <c r="J790" s="132"/>
      <c r="K790" s="133"/>
      <c r="L790" s="134"/>
      <c r="M790" s="134"/>
      <c r="N790" s="135"/>
      <c r="O790" s="219"/>
      <c r="P790" s="143"/>
      <c r="Q790" s="144"/>
      <c r="R790" s="150"/>
      <c r="S790" s="127" t="str">
        <f t="shared" si="110"/>
        <v/>
      </c>
      <c r="T790" s="175" t="str">
        <f t="shared" si="111"/>
        <v/>
      </c>
      <c r="U790" s="158" t="e">
        <f t="shared" si="112"/>
        <v>#N/A</v>
      </c>
      <c r="V790" s="310" t="str">
        <f t="shared" si="113"/>
        <v/>
      </c>
      <c r="W790" s="137" t="str">
        <f t="shared" si="114"/>
        <v>X</v>
      </c>
      <c r="X790" s="137">
        <f t="shared" si="115"/>
        <v>0</v>
      </c>
    </row>
    <row r="791" spans="1:24" ht="17.25" customHeight="1">
      <c r="A791" s="137" t="str">
        <f t="shared" ca="1" si="108"/>
        <v>-</v>
      </c>
      <c r="B791" s="173"/>
      <c r="C791" s="253" t="str">
        <f t="shared" si="109"/>
        <v/>
      </c>
      <c r="D791" s="173"/>
      <c r="E791" s="173"/>
      <c r="F791" s="329" t="str">
        <f t="shared" si="116"/>
        <v/>
      </c>
      <c r="G791" s="174"/>
      <c r="H791" s="130" t="str">
        <f>IFERROR(INDEX(DMDT!B:B,MATCH($G791,DMDT!D:D,0),),"")</f>
        <v/>
      </c>
      <c r="I791" s="131"/>
      <c r="J791" s="132"/>
      <c r="K791" s="133"/>
      <c r="L791" s="134"/>
      <c r="M791" s="134"/>
      <c r="N791" s="135"/>
      <c r="O791" s="219"/>
      <c r="P791" s="143"/>
      <c r="Q791" s="144"/>
      <c r="R791" s="150"/>
      <c r="S791" s="127" t="str">
        <f t="shared" si="110"/>
        <v/>
      </c>
      <c r="T791" s="175" t="str">
        <f t="shared" si="111"/>
        <v/>
      </c>
      <c r="U791" s="158" t="e">
        <f t="shared" si="112"/>
        <v>#N/A</v>
      </c>
      <c r="V791" s="310" t="str">
        <f t="shared" si="113"/>
        <v/>
      </c>
      <c r="W791" s="137" t="str">
        <f t="shared" si="114"/>
        <v>X</v>
      </c>
      <c r="X791" s="137">
        <f t="shared" si="115"/>
        <v>0</v>
      </c>
    </row>
    <row r="792" spans="1:24" ht="17.25" customHeight="1">
      <c r="A792" s="137" t="str">
        <f t="shared" ca="1" si="108"/>
        <v>-</v>
      </c>
      <c r="B792" s="173"/>
      <c r="C792" s="253" t="str">
        <f t="shared" si="109"/>
        <v/>
      </c>
      <c r="D792" s="173"/>
      <c r="E792" s="173"/>
      <c r="F792" s="329" t="str">
        <f t="shared" si="116"/>
        <v/>
      </c>
      <c r="G792" s="174"/>
      <c r="H792" s="130" t="str">
        <f>IFERROR(INDEX(DMDT!B:B,MATCH($G792,DMDT!D:D,0),),"")</f>
        <v/>
      </c>
      <c r="I792" s="131"/>
      <c r="J792" s="132"/>
      <c r="K792" s="133"/>
      <c r="L792" s="134"/>
      <c r="M792" s="134"/>
      <c r="N792" s="135"/>
      <c r="O792" s="219"/>
      <c r="P792" s="143"/>
      <c r="Q792" s="144"/>
      <c r="R792" s="150"/>
      <c r="S792" s="127" t="str">
        <f t="shared" si="110"/>
        <v/>
      </c>
      <c r="T792" s="175" t="str">
        <f t="shared" si="111"/>
        <v/>
      </c>
      <c r="U792" s="158" t="e">
        <f t="shared" si="112"/>
        <v>#N/A</v>
      </c>
      <c r="V792" s="310" t="str">
        <f t="shared" si="113"/>
        <v/>
      </c>
      <c r="W792" s="137" t="str">
        <f t="shared" si="114"/>
        <v>X</v>
      </c>
      <c r="X792" s="137">
        <f t="shared" si="115"/>
        <v>0</v>
      </c>
    </row>
    <row r="793" spans="1:24" ht="17.25" customHeight="1">
      <c r="A793" s="137" t="str">
        <f t="shared" ca="1" si="108"/>
        <v>-</v>
      </c>
      <c r="B793" s="173"/>
      <c r="C793" s="253" t="str">
        <f t="shared" si="109"/>
        <v/>
      </c>
      <c r="D793" s="173"/>
      <c r="E793" s="173"/>
      <c r="F793" s="329" t="str">
        <f t="shared" si="116"/>
        <v/>
      </c>
      <c r="G793" s="174"/>
      <c r="H793" s="130" t="str">
        <f>IFERROR(INDEX(DMDT!B:B,MATCH($G793,DMDT!D:D,0),),"")</f>
        <v/>
      </c>
      <c r="I793" s="131"/>
      <c r="J793" s="132"/>
      <c r="K793" s="133"/>
      <c r="L793" s="134"/>
      <c r="M793" s="134"/>
      <c r="N793" s="135"/>
      <c r="O793" s="219"/>
      <c r="P793" s="143"/>
      <c r="Q793" s="144"/>
      <c r="R793" s="150"/>
      <c r="S793" s="127" t="str">
        <f t="shared" si="110"/>
        <v/>
      </c>
      <c r="T793" s="175" t="str">
        <f t="shared" si="111"/>
        <v/>
      </c>
      <c r="U793" s="158" t="e">
        <f t="shared" si="112"/>
        <v>#N/A</v>
      </c>
      <c r="V793" s="310" t="str">
        <f t="shared" si="113"/>
        <v/>
      </c>
      <c r="W793" s="137" t="str">
        <f t="shared" si="114"/>
        <v>X</v>
      </c>
      <c r="X793" s="137">
        <f t="shared" si="115"/>
        <v>0</v>
      </c>
    </row>
    <row r="794" spans="1:24" ht="17.25" customHeight="1">
      <c r="A794" s="137" t="str">
        <f t="shared" ca="1" si="108"/>
        <v>-</v>
      </c>
      <c r="B794" s="173"/>
      <c r="C794" s="253" t="str">
        <f t="shared" si="109"/>
        <v/>
      </c>
      <c r="D794" s="173"/>
      <c r="E794" s="173"/>
      <c r="F794" s="329" t="str">
        <f t="shared" si="116"/>
        <v/>
      </c>
      <c r="G794" s="174"/>
      <c r="H794" s="130" t="str">
        <f>IFERROR(INDEX(DMDT!B:B,MATCH($G794,DMDT!D:D,0),),"")</f>
        <v/>
      </c>
      <c r="I794" s="131"/>
      <c r="J794" s="132"/>
      <c r="K794" s="133"/>
      <c r="L794" s="134"/>
      <c r="M794" s="134"/>
      <c r="N794" s="135"/>
      <c r="O794" s="219"/>
      <c r="P794" s="143"/>
      <c r="Q794" s="144"/>
      <c r="R794" s="150"/>
      <c r="S794" s="127" t="str">
        <f t="shared" si="110"/>
        <v/>
      </c>
      <c r="T794" s="175" t="str">
        <f t="shared" si="111"/>
        <v/>
      </c>
      <c r="U794" s="158" t="e">
        <f t="shared" si="112"/>
        <v>#N/A</v>
      </c>
      <c r="V794" s="310" t="str">
        <f t="shared" si="113"/>
        <v/>
      </c>
      <c r="W794" s="137" t="str">
        <f t="shared" si="114"/>
        <v>X</v>
      </c>
      <c r="X794" s="137">
        <f t="shared" si="115"/>
        <v>0</v>
      </c>
    </row>
    <row r="795" spans="1:24" ht="17.25" customHeight="1">
      <c r="A795" s="137" t="str">
        <f t="shared" ca="1" si="108"/>
        <v>-</v>
      </c>
      <c r="B795" s="173"/>
      <c r="C795" s="253" t="str">
        <f t="shared" si="109"/>
        <v/>
      </c>
      <c r="D795" s="173"/>
      <c r="E795" s="173"/>
      <c r="F795" s="329" t="str">
        <f t="shared" si="116"/>
        <v/>
      </c>
      <c r="G795" s="174"/>
      <c r="H795" s="130" t="str">
        <f>IFERROR(INDEX(DMDT!B:B,MATCH($G795,DMDT!D:D,0),),"")</f>
        <v/>
      </c>
      <c r="I795" s="131"/>
      <c r="J795" s="132"/>
      <c r="K795" s="133"/>
      <c r="L795" s="134"/>
      <c r="M795" s="134"/>
      <c r="N795" s="135"/>
      <c r="O795" s="219"/>
      <c r="P795" s="143"/>
      <c r="Q795" s="144"/>
      <c r="R795" s="150"/>
      <c r="S795" s="127" t="str">
        <f t="shared" si="110"/>
        <v/>
      </c>
      <c r="T795" s="175" t="str">
        <f t="shared" si="111"/>
        <v/>
      </c>
      <c r="U795" s="158" t="e">
        <f t="shared" si="112"/>
        <v>#N/A</v>
      </c>
      <c r="V795" s="310" t="str">
        <f t="shared" si="113"/>
        <v/>
      </c>
      <c r="W795" s="137" t="str">
        <f t="shared" si="114"/>
        <v>X</v>
      </c>
      <c r="X795" s="137">
        <f t="shared" si="115"/>
        <v>0</v>
      </c>
    </row>
    <row r="796" spans="1:24" ht="17.25" customHeight="1">
      <c r="A796" s="137" t="str">
        <f t="shared" ca="1" si="108"/>
        <v>-</v>
      </c>
      <c r="B796" s="173"/>
      <c r="C796" s="253" t="str">
        <f t="shared" si="109"/>
        <v/>
      </c>
      <c r="D796" s="173"/>
      <c r="E796" s="173"/>
      <c r="F796" s="329" t="str">
        <f t="shared" si="116"/>
        <v/>
      </c>
      <c r="G796" s="174"/>
      <c r="H796" s="130" t="str">
        <f>IFERROR(INDEX(DMDT!B:B,MATCH($G796,DMDT!D:D,0),),"")</f>
        <v/>
      </c>
      <c r="I796" s="131"/>
      <c r="J796" s="132"/>
      <c r="K796" s="133"/>
      <c r="L796" s="134"/>
      <c r="M796" s="134"/>
      <c r="N796" s="135"/>
      <c r="O796" s="219"/>
      <c r="P796" s="143"/>
      <c r="Q796" s="144"/>
      <c r="R796" s="150"/>
      <c r="S796" s="127" t="str">
        <f t="shared" si="110"/>
        <v/>
      </c>
      <c r="T796" s="175" t="str">
        <f t="shared" si="111"/>
        <v/>
      </c>
      <c r="U796" s="158" t="e">
        <f t="shared" si="112"/>
        <v>#N/A</v>
      </c>
      <c r="V796" s="310" t="str">
        <f t="shared" si="113"/>
        <v/>
      </c>
      <c r="W796" s="137" t="str">
        <f t="shared" si="114"/>
        <v>X</v>
      </c>
      <c r="X796" s="137">
        <f t="shared" si="115"/>
        <v>0</v>
      </c>
    </row>
    <row r="797" spans="1:24" ht="17.25" customHeight="1">
      <c r="A797" s="137" t="str">
        <f t="shared" ca="1" si="108"/>
        <v>-</v>
      </c>
      <c r="B797" s="173"/>
      <c r="C797" s="253" t="str">
        <f t="shared" si="109"/>
        <v/>
      </c>
      <c r="D797" s="173"/>
      <c r="E797" s="173"/>
      <c r="F797" s="329" t="str">
        <f t="shared" si="116"/>
        <v/>
      </c>
      <c r="G797" s="174"/>
      <c r="H797" s="130" t="str">
        <f>IFERROR(INDEX(DMDT!B:B,MATCH($G797,DMDT!D:D,0),),"")</f>
        <v/>
      </c>
      <c r="I797" s="131"/>
      <c r="J797" s="132"/>
      <c r="K797" s="133"/>
      <c r="L797" s="134"/>
      <c r="M797" s="134"/>
      <c r="N797" s="135"/>
      <c r="O797" s="219"/>
      <c r="P797" s="143"/>
      <c r="Q797" s="144"/>
      <c r="R797" s="150"/>
      <c r="S797" s="127" t="str">
        <f t="shared" si="110"/>
        <v/>
      </c>
      <c r="T797" s="175" t="str">
        <f t="shared" si="111"/>
        <v/>
      </c>
      <c r="U797" s="158" t="e">
        <f t="shared" si="112"/>
        <v>#N/A</v>
      </c>
      <c r="V797" s="310" t="str">
        <f t="shared" si="113"/>
        <v/>
      </c>
      <c r="W797" s="137" t="str">
        <f t="shared" si="114"/>
        <v>X</v>
      </c>
      <c r="X797" s="137">
        <f t="shared" si="115"/>
        <v>0</v>
      </c>
    </row>
    <row r="798" spans="1:24" ht="17.25" customHeight="1">
      <c r="A798" s="137" t="str">
        <f t="shared" ca="1" si="108"/>
        <v>-</v>
      </c>
      <c r="B798" s="173"/>
      <c r="C798" s="253" t="str">
        <f t="shared" si="109"/>
        <v/>
      </c>
      <c r="D798" s="173"/>
      <c r="E798" s="173"/>
      <c r="F798" s="329" t="str">
        <f t="shared" si="116"/>
        <v/>
      </c>
      <c r="G798" s="174"/>
      <c r="H798" s="130" t="str">
        <f>IFERROR(INDEX(DMDT!B:B,MATCH($G798,DMDT!D:D,0),),"")</f>
        <v/>
      </c>
      <c r="I798" s="131"/>
      <c r="J798" s="132"/>
      <c r="K798" s="133"/>
      <c r="L798" s="134"/>
      <c r="M798" s="134"/>
      <c r="N798" s="135"/>
      <c r="O798" s="219"/>
      <c r="P798" s="143"/>
      <c r="Q798" s="144"/>
      <c r="R798" s="150"/>
      <c r="S798" s="127" t="str">
        <f t="shared" si="110"/>
        <v/>
      </c>
      <c r="T798" s="175" t="str">
        <f t="shared" si="111"/>
        <v/>
      </c>
      <c r="U798" s="158" t="e">
        <f t="shared" si="112"/>
        <v>#N/A</v>
      </c>
      <c r="V798" s="310" t="str">
        <f t="shared" si="113"/>
        <v/>
      </c>
      <c r="W798" s="137" t="str">
        <f t="shared" si="114"/>
        <v>X</v>
      </c>
      <c r="X798" s="137">
        <f t="shared" si="115"/>
        <v>0</v>
      </c>
    </row>
    <row r="799" spans="1:24" ht="17.25" customHeight="1">
      <c r="A799" s="137" t="str">
        <f t="shared" ca="1" si="108"/>
        <v>-</v>
      </c>
      <c r="B799" s="173"/>
      <c r="C799" s="253" t="str">
        <f t="shared" si="109"/>
        <v/>
      </c>
      <c r="D799" s="173"/>
      <c r="E799" s="173"/>
      <c r="F799" s="329" t="str">
        <f t="shared" si="116"/>
        <v/>
      </c>
      <c r="G799" s="174"/>
      <c r="H799" s="130" t="str">
        <f>IFERROR(INDEX(DMDT!B:B,MATCH($G799,DMDT!D:D,0),),"")</f>
        <v/>
      </c>
      <c r="I799" s="131"/>
      <c r="J799" s="132"/>
      <c r="K799" s="133"/>
      <c r="L799" s="134"/>
      <c r="M799" s="134"/>
      <c r="N799" s="135"/>
      <c r="O799" s="219"/>
      <c r="P799" s="143"/>
      <c r="Q799" s="144"/>
      <c r="R799" s="150"/>
      <c r="S799" s="127" t="str">
        <f t="shared" si="110"/>
        <v/>
      </c>
      <c r="T799" s="175" t="str">
        <f t="shared" si="111"/>
        <v/>
      </c>
      <c r="U799" s="158" t="e">
        <f t="shared" si="112"/>
        <v>#N/A</v>
      </c>
      <c r="V799" s="310" t="str">
        <f t="shared" si="113"/>
        <v/>
      </c>
      <c r="W799" s="137" t="str">
        <f t="shared" si="114"/>
        <v>X</v>
      </c>
      <c r="X799" s="137">
        <f t="shared" si="115"/>
        <v>0</v>
      </c>
    </row>
    <row r="800" spans="1:24" ht="17.25" customHeight="1">
      <c r="A800" s="137" t="str">
        <f t="shared" ca="1" si="108"/>
        <v>-</v>
      </c>
      <c r="B800" s="173"/>
      <c r="C800" s="253" t="str">
        <f t="shared" si="109"/>
        <v/>
      </c>
      <c r="D800" s="173"/>
      <c r="E800" s="173"/>
      <c r="F800" s="329" t="str">
        <f t="shared" si="116"/>
        <v/>
      </c>
      <c r="G800" s="174"/>
      <c r="H800" s="130" t="str">
        <f>IFERROR(INDEX(DMDT!B:B,MATCH($G800,DMDT!D:D,0),),"")</f>
        <v/>
      </c>
      <c r="I800" s="131"/>
      <c r="J800" s="132"/>
      <c r="K800" s="133"/>
      <c r="L800" s="134"/>
      <c r="M800" s="134"/>
      <c r="N800" s="135"/>
      <c r="O800" s="219"/>
      <c r="P800" s="143"/>
      <c r="Q800" s="144"/>
      <c r="R800" s="150"/>
      <c r="S800" s="127" t="str">
        <f t="shared" si="110"/>
        <v/>
      </c>
      <c r="T800" s="175" t="str">
        <f t="shared" si="111"/>
        <v/>
      </c>
      <c r="U800" s="158" t="e">
        <f t="shared" si="112"/>
        <v>#N/A</v>
      </c>
      <c r="V800" s="310" t="str">
        <f t="shared" si="113"/>
        <v/>
      </c>
      <c r="W800" s="137" t="str">
        <f t="shared" si="114"/>
        <v>X</v>
      </c>
      <c r="X800" s="137">
        <f t="shared" si="115"/>
        <v>0</v>
      </c>
    </row>
    <row r="801" spans="10:17" ht="17.25" customHeight="1">
      <c r="Q801" s="144"/>
    </row>
    <row r="809" spans="10:17" ht="17.25" customHeight="1">
      <c r="J809" s="213"/>
    </row>
    <row r="810" spans="10:17" ht="17.25" customHeight="1">
      <c r="J810" s="213"/>
    </row>
    <row r="811" spans="10:17" ht="17.25" customHeight="1">
      <c r="J811" s="213"/>
    </row>
    <row r="812" spans="10:17" ht="17.25" customHeight="1">
      <c r="J812" s="213"/>
    </row>
    <row r="813" spans="10:17" ht="17.25" customHeight="1">
      <c r="J813" s="213"/>
    </row>
  </sheetData>
  <sheetProtection formatCells="0" sort="0" autoFilter="0" pivotTables="0"/>
  <protectedRanges>
    <protectedRange password="CE28" sqref="G4:G800 D4:E800" name="Range1"/>
    <protectedRange password="CE28" sqref="B4:C800" name="Range1_1"/>
  </protectedRanges>
  <autoFilter ref="A3:T801" xr:uid="{00000000-0009-0000-0000-000002000000}"/>
  <customSheetViews>
    <customSheetView guid="{F06BFD04-CCD2-461C-AC42-65887227FFD3}" showGridLines="0" fitToPage="1" showAutoFilter="1">
      <pane xSplit="8" ySplit="3" topLeftCell="I412" activePane="bottomRight" state="frozen"/>
      <selection pane="bottomRight" activeCell="J425" sqref="J425"/>
      <pageMargins left="0.25" right="0.25" top="0.75" bottom="0.75" header="0.3" footer="0.3"/>
      <printOptions horizontalCentered="1"/>
      <pageSetup scale="10" orientation="portrait" r:id="rId1"/>
      <headerFooter differentFirst="1">
        <oddFooter>Page &amp;P of &amp;N</oddFooter>
      </headerFooter>
      <autoFilter ref="A3:T801" xr:uid="{00000000-0000-0000-0000-000000000000}"/>
    </customSheetView>
    <customSheetView guid="{24934804-84B0-4982-9BF2-E46F6DDD5DD8}" showGridLines="0" fitToPage="1" showAutoFilter="1" topLeftCell="C501">
      <selection activeCell="I514" sqref="I514"/>
      <pageMargins left="0.25" right="0.25" top="0.75" bottom="0.75" header="0.3" footer="0.3"/>
      <printOptions horizontalCentered="1"/>
      <pageSetup scale="10" orientation="portrait" r:id="rId2"/>
      <headerFooter differentFirst="1">
        <oddFooter>Page &amp;P of &amp;N</oddFooter>
      </headerFooter>
      <autoFilter ref="A3:T801" xr:uid="{00000000-0000-0000-0000-000000000000}"/>
    </customSheetView>
    <customSheetView guid="{3DE895B0-7958-42DA-95C8-453D6A82D678}" showGridLines="0" fitToPage="1" showAutoFilter="1">
      <pane xSplit="6" ySplit="1" topLeftCell="H248" activePane="bottomRight" state="frozen"/>
      <selection pane="bottomRight" activeCell="G263" sqref="G263"/>
      <pageMargins left="0.25" right="0.25" top="0.75" bottom="0.75" header="0.3" footer="0.3"/>
      <printOptions horizontalCentered="1"/>
      <pageSetup scale="66" orientation="portrait" r:id="rId3"/>
      <headerFooter differentFirst="1">
        <oddFooter>Page &amp;P of &amp;N</oddFooter>
      </headerFooter>
      <autoFilter ref="A3:T801" xr:uid="{00000000-0000-0000-0000-000000000000}"/>
    </customSheetView>
    <customSheetView guid="{F4AB2122-655E-40F6-8B53-54B747E7ED61}" showGridLines="0" fitToPage="1" showAutoFilter="1">
      <pane xSplit="8" ySplit="3" topLeftCell="I40" activePane="bottomRight" state="frozen"/>
      <selection pane="bottomRight" activeCell="I4" sqref="I4"/>
      <pageMargins left="0.25" right="0.25" top="0.75" bottom="0.75" header="0.3" footer="0.3"/>
      <printOptions horizontalCentered="1"/>
      <pageSetup scale="10" orientation="portrait" r:id="rId4"/>
      <headerFooter differentFirst="1">
        <oddFooter>Page &amp;P of &amp;N</oddFooter>
      </headerFooter>
      <autoFilter ref="A3:T801" xr:uid="{00000000-0000-0000-0000-000000000000}"/>
    </customSheetView>
    <customSheetView guid="{2416856D-96F2-4FCD-9E1E-89AD408E8F07}" showGridLines="0" fitToPage="1" filter="1" showAutoFilter="1">
      <selection activeCell="Q802" sqref="Q802"/>
      <pageMargins left="0.25" right="0.25" top="0.75" bottom="0.75" header="0.3" footer="0.3"/>
      <printOptions horizontalCentered="1"/>
      <pageSetup scale="10" orientation="portrait" r:id="rId5"/>
      <headerFooter differentFirst="1">
        <oddFooter>Page &amp;P of &amp;N</oddFooter>
      </headerFooter>
      <autoFilter ref="A3:T801" xr:uid="{00000000-0000-0000-0000-000000000000}">
        <filterColumn colId="5">
          <filters>
            <filter val="AP-18-1313"/>
          </filters>
        </filterColumn>
      </autoFilter>
    </customSheetView>
    <customSheetView guid="{781BC751-F315-497E-B1B4-A2D752209BD7}" showGridLines="0" fitToPage="1" showAutoFilter="1" topLeftCell="C358">
      <selection activeCell="I369" sqref="I369"/>
      <pageMargins left="0.25" right="0.25" top="0.75" bottom="0.75" header="0.3" footer="0.3"/>
      <printOptions horizontalCentered="1"/>
      <pageSetup scale="10" orientation="portrait" r:id="rId6"/>
      <headerFooter differentFirst="1">
        <oddFooter>Page &amp;P of &amp;N</oddFooter>
      </headerFooter>
      <autoFilter ref="A3:T801" xr:uid="{00000000-0000-0000-0000-000000000000}"/>
    </customSheetView>
    <customSheetView guid="{DF37B372-7B5A-4253-9EE3-FD3ABD7DF4B8}" showGridLines="0" fitToPage="1" showAutoFilter="1" topLeftCell="I1">
      <selection activeCell="Q17" sqref="Q17:Q18"/>
      <pageMargins left="0.25" right="0.25" top="0.75" bottom="0.75" header="0.3" footer="0.3"/>
      <printOptions horizontalCentered="1"/>
      <pageSetup scale="10" orientation="portrait" r:id="rId7"/>
      <headerFooter differentFirst="1">
        <oddFooter>Page &amp;P of &amp;N</oddFooter>
      </headerFooter>
      <autoFilter ref="A3:T801" xr:uid="{00000000-0000-0000-0000-000000000000}"/>
    </customSheetView>
    <customSheetView guid="{89423216-97BC-488F-92AF-85198E8FDC07}" showGridLines="0" fitToPage="1" filter="1" showAutoFilter="1" hiddenColumns="1">
      <pane xSplit="6" ySplit="21" topLeftCell="P409" activePane="bottomRight" state="frozen"/>
      <selection pane="bottomRight" activeCell="S701" sqref="S701"/>
      <pageMargins left="0.25" right="0.25" top="0.75" bottom="0.75" header="0.3" footer="0.3"/>
      <printOptions horizontalCentered="1"/>
      <pageSetup scale="10" orientation="portrait" r:id="rId8"/>
      <headerFooter differentFirst="1">
        <oddFooter>Page &amp;P of &amp;N</oddFooter>
      </headerFooter>
      <autoFilter ref="A3:U700" xr:uid="{00000000-0000-0000-0000-000000000000}">
        <filterColumn colId="5">
          <filters>
            <filter val="AP-17-3994"/>
          </filters>
        </filterColumn>
      </autoFilter>
    </customSheetView>
    <customSheetView guid="{AFC521DD-6BF9-4AA5-991A-73D8F620A3D9}" scale="115" showGridLines="0" fitToPage="1" showAutoFilter="1" hiddenColumns="1">
      <pane xSplit="6" ySplit="3" topLeftCell="I94" activePane="bottomRight" state="frozen"/>
      <selection pane="bottomRight"/>
      <pageMargins left="0.25" right="0.25" top="0.75" bottom="0.75" header="0.3" footer="0.3"/>
      <printOptions horizontalCentered="1"/>
      <pageSetup scale="66" orientation="portrait" r:id="rId9"/>
      <headerFooter differentFirst="1">
        <oddFooter>Page &amp;P of &amp;N</oddFooter>
      </headerFooter>
      <autoFilter ref="A3:U656" xr:uid="{00000000-0000-0000-0000-000000000000}"/>
    </customSheetView>
    <customSheetView guid="{6641B719-6463-4FDD-9DBC-41F5618DBE27}" showGridLines="0" fitToPage="1" showAutoFilter="1">
      <pane xSplit="6" ySplit="3" topLeftCell="G34" activePane="bottomRight" state="frozen"/>
      <selection pane="bottomRight" activeCell="G45" sqref="G45"/>
      <pageMargins left="0.25" right="0.25" top="0.75" bottom="0.75" header="0.3" footer="0.3"/>
      <printOptions horizontalCentered="1"/>
      <pageSetup scale="10" orientation="portrait" r:id="rId10"/>
      <headerFooter differentFirst="1">
        <oddFooter>Page &amp;P of &amp;N</oddFooter>
      </headerFooter>
      <autoFilter ref="A3:U633" xr:uid="{00000000-0000-0000-0000-000000000000}"/>
    </customSheetView>
    <customSheetView guid="{145EFE0A-DDB4-4E3B-8A20-749E6B137AEA}" showGridLines="0" fitToPage="1" showAutoFilter="1" hiddenColumns="1">
      <pane xSplit="7" ySplit="3" topLeftCell="P199" activePane="bottomRight" state="frozen"/>
      <selection pane="bottomRight" activeCell="S211" sqref="S211"/>
      <pageMargins left="0.25" right="0.25" top="0.75" bottom="0.75" header="0.3" footer="0.3"/>
      <printOptions horizontalCentered="1"/>
      <pageSetup scale="10" orientation="portrait" r:id="rId11"/>
      <headerFooter differentFirst="1">
        <oddFooter>Page &amp;P of &amp;N</oddFooter>
      </headerFooter>
      <autoFilter ref="A3:U699" xr:uid="{00000000-0000-0000-0000-000000000000}"/>
    </customSheetView>
    <customSheetView guid="{75F545D8-957D-412C-B66B-DD1178A45800}" showGridLines="0" fitToPage="1" showAutoFilter="1" hiddenColumns="1">
      <pane xSplit="6" ySplit="2" topLeftCell="N219" activePane="bottomRight" state="frozen"/>
      <selection pane="bottomRight" activeCell="P235" sqref="P235"/>
      <pageMargins left="0.25" right="0.25" top="0.75" bottom="0.75" header="0.3" footer="0.3"/>
      <printOptions horizontalCentered="1"/>
      <pageSetup scale="10" orientation="portrait" r:id="rId12"/>
      <headerFooter differentFirst="1">
        <oddFooter>Page &amp;P of &amp;N</oddFooter>
      </headerFooter>
      <autoFilter ref="A3:U699" xr:uid="{00000000-0000-0000-0000-000000000000}"/>
    </customSheetView>
    <customSheetView guid="{894FF5A1-5E16-48B2-97B7-77905E52730D}" showGridLines="0" fitToPage="1" showAutoFilter="1" hiddenColumns="1" topLeftCell="C31">
      <selection activeCell="O48" sqref="O48"/>
      <pageMargins left="0.25" right="0.25" top="0.75" bottom="0.75" header="0.3" footer="0.3"/>
      <printOptions horizontalCentered="1"/>
      <pageSetup scale="10" orientation="portrait" r:id="rId13"/>
      <headerFooter differentFirst="1">
        <oddFooter>Page &amp;P of &amp;N</oddFooter>
      </headerFooter>
      <autoFilter ref="A3:U700" xr:uid="{00000000-0000-0000-0000-000000000000}"/>
    </customSheetView>
    <customSheetView guid="{845AB85B-320D-4261-8D20-E6D9D5D4C38C}" showGridLines="0" fitToPage="1" showAutoFilter="1" hiddenColumns="1">
      <pane xSplit="6" ySplit="386" topLeftCell="N418" activePane="bottomRight" state="frozen"/>
      <selection pane="bottomRight" activeCell="H371" sqref="H371"/>
      <pageMargins left="0.25" right="0.25" top="0.75" bottom="0.75" header="0.3" footer="0.3"/>
      <printOptions horizontalCentered="1"/>
      <pageSetup scale="10" orientation="portrait" r:id="rId14"/>
      <headerFooter differentFirst="1">
        <oddFooter>Page &amp;P of &amp;N</oddFooter>
      </headerFooter>
      <autoFilter ref="A3:V700" xr:uid="{00000000-0000-0000-0000-000000000000}"/>
    </customSheetView>
    <customSheetView guid="{CE348A5C-D9D4-4899-A40F-894070A117B6}" showGridLines="0" fitToPage="1" showAutoFilter="1" hiddenColumns="1" topLeftCell="F582">
      <selection activeCell="I594" sqref="I594"/>
      <pageMargins left="0.25" right="0.25" top="0.75" bottom="0.75" header="0.3" footer="0.3"/>
      <printOptions horizontalCentered="1"/>
      <pageSetup scale="10" orientation="portrait" r:id="rId15"/>
      <headerFooter differentFirst="1">
        <oddFooter>Page &amp;P of &amp;N</oddFooter>
      </headerFooter>
      <autoFilter ref="A3:V716" xr:uid="{00000000-0000-0000-0000-000000000000}"/>
    </customSheetView>
    <customSheetView guid="{8D0556F1-DDE6-43F4-BF14-0889B98E8F1B}" showGridLines="0" fitToPage="1" showAutoFilter="1" hiddenColumns="1">
      <pane xSplit="6" ySplit="1" topLeftCell="I595" activePane="bottomRight" state="frozen"/>
      <selection pane="bottomRight" activeCell="O605" sqref="O605"/>
      <pageMargins left="0.25" right="0.25" top="0.75" bottom="0.75" header="0.3" footer="0.3"/>
      <printOptions horizontalCentered="1"/>
      <pageSetup scale="10" orientation="portrait" r:id="rId16"/>
      <headerFooter differentFirst="1">
        <oddFooter>Page &amp;P of &amp;N</oddFooter>
      </headerFooter>
      <autoFilter ref="A3:V716" xr:uid="{00000000-0000-0000-0000-000000000000}"/>
    </customSheetView>
    <customSheetView guid="{A0F6C4E6-E641-4152-9AB1-BDDEFE79F262}" showGridLines="0" fitToPage="1" showAutoFilter="1" topLeftCell="A396">
      <selection activeCell="L409" sqref="L409"/>
      <pageMargins left="0.25" right="0.25" top="0.75" bottom="0.75" header="0.3" footer="0.3"/>
      <printOptions horizontalCentered="1"/>
      <pageSetup scale="10" orientation="portrait" r:id="rId17"/>
      <headerFooter differentFirst="1">
        <oddFooter>Page &amp;P of &amp;N</oddFooter>
      </headerFooter>
      <autoFilter ref="A3:T801" xr:uid="{00000000-0000-0000-0000-000000000000}"/>
    </customSheetView>
    <customSheetView guid="{D40E5C28-53DE-4B28-952C-1D2FB2D5F0F0}" showGridLines="0" fitToPage="1" showAutoFilter="1">
      <pane xSplit="7" ySplit="1" topLeftCell="I3" activePane="bottomRight" state="frozen"/>
      <selection pane="bottomRight" activeCell="F3" sqref="F3"/>
      <pageMargins left="0.25" right="0.25" top="0.75" bottom="0.75" header="0.3" footer="0.3"/>
      <printOptions horizontalCentered="1"/>
      <pageSetup scale="10" orientation="portrait" r:id="rId18"/>
      <headerFooter differentFirst="1">
        <oddFooter>Page &amp;P of &amp;N</oddFooter>
      </headerFooter>
      <autoFilter ref="A3:T801" xr:uid="{00000000-0000-0000-0000-000000000000}"/>
    </customSheetView>
    <customSheetView guid="{26B41735-39E2-4BE9-9EA5-D1F67A43DC0E}" showGridLines="0" fitToPage="1" showAutoFilter="1" topLeftCell="L91">
      <selection activeCell="P96" sqref="P96"/>
      <pageMargins left="0.25" right="0.25" top="0.75" bottom="0.75" header="0.3" footer="0.3"/>
      <printOptions horizontalCentered="1"/>
      <pageSetup orientation="portrait" r:id="rId19"/>
      <headerFooter differentFirst="1">
        <oddFooter>Page &amp;P of &amp;N</oddFooter>
      </headerFooter>
      <autoFilter ref="A3:T802" xr:uid="{00000000-0000-0000-0000-000000000000}"/>
    </customSheetView>
    <customSheetView guid="{284277B3-AC3C-4136-A308-367D96D447E4}" showGridLines="0" fitToPage="1" filter="1" showAutoFilter="1">
      <pane xSplit="4" ySplit="797" topLeftCell="G803" activePane="bottomRight" state="frozen"/>
      <selection pane="bottomRight" activeCell="F18" sqref="F18"/>
      <pageMargins left="0.25" right="0.25" top="0.75" bottom="0.75" header="0.3" footer="0.3"/>
      <printOptions horizontalCentered="1"/>
      <pageSetup scale="10" orientation="portrait" r:id="rId20"/>
      <headerFooter differentFirst="1">
        <oddFooter>Page &amp;P of &amp;N</oddFooter>
      </headerFooter>
      <autoFilter ref="A3:T802" xr:uid="{00000000-0000-0000-0000-000000000000}">
        <filterColumn colId="16">
          <filters blank="1"/>
        </filterColumn>
      </autoFilter>
    </customSheetView>
    <customSheetView guid="{92A1CAD1-2CFB-4DA3-AD67-71210BA7D4E5}" showGridLines="0" fitToPage="1" filter="1" showAutoFilter="1" topLeftCell="C1">
      <pane xSplit="5" ySplit="3" topLeftCell="H4" activePane="bottomRight" state="frozen"/>
      <selection pane="bottomRight" activeCell="H283" sqref="H283:H297"/>
      <pageMargins left="0.25" right="0.25" top="0.75" bottom="0.75" header="0.3" footer="0.3"/>
      <printOptions horizontalCentered="1"/>
      <pageSetup scale="10" orientation="portrait" r:id="rId21"/>
      <headerFooter differentFirst="1">
        <oddFooter>Page &amp;P of &amp;N</oddFooter>
      </headerFooter>
      <autoFilter ref="A3:T801" xr:uid="{00000000-0000-0000-0000-000000000000}">
        <filterColumn colId="11">
          <filters>
            <filter val="Đức Anh"/>
            <filter val="Thảo"/>
          </filters>
        </filterColumn>
        <filterColumn colId="16">
          <filters blank="1"/>
        </filterColumn>
      </autoFilter>
    </customSheetView>
    <customSheetView guid="{A4ED5A10-FDD2-4550-ABD5-0B6EF13A24C4}" showGridLines="0" fitToPage="1" filter="1" showAutoFilter="1">
      <selection activeCell="H424" sqref="H424"/>
      <pageMargins left="0.25" right="0.25" top="0.75" bottom="0.75" header="0.3" footer="0.3"/>
      <printOptions horizontalCentered="1"/>
      <pageSetup orientation="portrait" r:id="rId22"/>
      <headerFooter differentFirst="1">
        <oddFooter>Page &amp;P of &amp;N</oddFooter>
      </headerFooter>
      <autoFilter ref="A3:T801" xr:uid="{00000000-0000-0000-0000-000000000000}">
        <filterColumn colId="11">
          <filters>
            <filter val="Hạnh"/>
          </filters>
        </filterColumn>
        <filterColumn colId="16">
          <filters blank="1"/>
        </filterColumn>
      </autoFilter>
    </customSheetView>
  </customSheetViews>
  <mergeCells count="2">
    <mergeCell ref="G2:H2"/>
    <mergeCell ref="B2:E2"/>
  </mergeCells>
  <conditionalFormatting sqref="A1:A3 A717:A1048576">
    <cfRule type="containsText" dxfId="35" priority="266" operator="containsText" text="FALSE">
      <formula>NOT(ISERROR(SEARCH("FALSE",A1)))</formula>
    </cfRule>
  </conditionalFormatting>
  <conditionalFormatting sqref="A4:A800">
    <cfRule type="containsText" dxfId="34" priority="37" operator="containsText" text="FALSE">
      <formula>NOT(ISERROR(SEARCH("FALSE",A4)))</formula>
    </cfRule>
  </conditionalFormatting>
  <conditionalFormatting sqref="M101:N101 H4:I4 O4:R4 H17:K250 G253:L420 G252:H252 J252:L252 N5:R800 H5:J5 H253:K800 G6:J16 L6:R16 G17:R21 G22:L23 H24:L24 G25:L251 M22:O100 J250:J253 I250:I260 H4:H800 D4:D800">
    <cfRule type="expression" dxfId="33" priority="36">
      <formula>MOD(ROW(),2)=0</formula>
    </cfRule>
  </conditionalFormatting>
  <conditionalFormatting sqref="M103:O420 M102 M422:O684 K422:K684 K701:K716 M701:O716 H422:H800">
    <cfRule type="expression" dxfId="32" priority="35">
      <formula>MOD(ROW(),2)=0</formula>
    </cfRule>
  </conditionalFormatting>
  <conditionalFormatting sqref="L422:L684 L701:L716">
    <cfRule type="expression" dxfId="31" priority="34">
      <formula>MOD(ROW(),2)=0</formula>
    </cfRule>
  </conditionalFormatting>
  <conditionalFormatting sqref="P422:P684 P701:P716">
    <cfRule type="expression" dxfId="30" priority="33">
      <formula>MOD(ROW(),2)=0</formula>
    </cfRule>
  </conditionalFormatting>
  <conditionalFormatting sqref="E4:E800">
    <cfRule type="expression" dxfId="29" priority="32">
      <formula>MOD(ROW(),2)=0</formula>
    </cfRule>
  </conditionalFormatting>
  <conditionalFormatting sqref="E4:E800">
    <cfRule type="expression" dxfId="28" priority="31">
      <formula>MOD(ROW(),2)=0</formula>
    </cfRule>
  </conditionalFormatting>
  <conditionalFormatting sqref="G422:G684 G701:G716">
    <cfRule type="expression" dxfId="27" priority="30">
      <formula>MOD(ROW(),2)=0</formula>
    </cfRule>
  </conditionalFormatting>
  <conditionalFormatting sqref="I701:J716 I422:J684">
    <cfRule type="expression" dxfId="26" priority="29">
      <formula>MOD(ROW(),2)=0</formula>
    </cfRule>
  </conditionalFormatting>
  <conditionalFormatting sqref="Q701:R716 Q422:R684">
    <cfRule type="expression" dxfId="25" priority="28">
      <formula>MOD(ROW(),2)=0</formula>
    </cfRule>
  </conditionalFormatting>
  <conditionalFormatting sqref="G6:G7">
    <cfRule type="expression" dxfId="24" priority="27">
      <formula>MOD(ROW(),2)=0</formula>
    </cfRule>
  </conditionalFormatting>
  <conditionalFormatting sqref="G8">
    <cfRule type="expression" dxfId="23" priority="25">
      <formula>MOD(ROW(),2)=0</formula>
    </cfRule>
  </conditionalFormatting>
  <conditionalFormatting sqref="G9">
    <cfRule type="expression" dxfId="22" priority="24">
      <formula>MOD(ROW(),2)=0</formula>
    </cfRule>
  </conditionalFormatting>
  <conditionalFormatting sqref="G21">
    <cfRule type="expression" dxfId="21" priority="23">
      <formula>MOD(ROW(),2)=0</formula>
    </cfRule>
  </conditionalFormatting>
  <conditionalFormatting sqref="M4:N4 K4:K16 M5:M800">
    <cfRule type="expression" dxfId="20" priority="22">
      <formula>MOD(ROW(),2)=0</formula>
    </cfRule>
  </conditionalFormatting>
  <conditionalFormatting sqref="L4:L800">
    <cfRule type="expression" dxfId="19" priority="21">
      <formula>MOD(ROW(),2)=0</formula>
    </cfRule>
  </conditionalFormatting>
  <conditionalFormatting sqref="J4">
    <cfRule type="expression" dxfId="18" priority="20">
      <formula>MOD(ROW(),2)=0</formula>
    </cfRule>
  </conditionalFormatting>
  <conditionalFormatting sqref="G5:G23 G25:G800">
    <cfRule type="expression" dxfId="17" priority="19">
      <formula>MOD(ROW(),2)=0</formula>
    </cfRule>
  </conditionalFormatting>
  <conditionalFormatting sqref="A685:A700">
    <cfRule type="containsText" dxfId="16" priority="17" operator="containsText" text="FALSE">
      <formula>NOT(ISERROR(SEARCH("FALSE",A685)))</formula>
    </cfRule>
  </conditionalFormatting>
  <conditionalFormatting sqref="D685:D700">
    <cfRule type="expression" dxfId="15" priority="16">
      <formula>MOD(ROW(),2)=0</formula>
    </cfRule>
  </conditionalFormatting>
  <conditionalFormatting sqref="K685:K700 H685:H700 M685:O700">
    <cfRule type="expression" dxfId="14" priority="15">
      <formula>MOD(ROW(),2)=0</formula>
    </cfRule>
  </conditionalFormatting>
  <conditionalFormatting sqref="L685:L700">
    <cfRule type="expression" dxfId="13" priority="14">
      <formula>MOD(ROW(),2)=0</formula>
    </cfRule>
  </conditionalFormatting>
  <conditionalFormatting sqref="P685:P700">
    <cfRule type="expression" dxfId="12" priority="13">
      <formula>MOD(ROW(),2)=0</formula>
    </cfRule>
  </conditionalFormatting>
  <conditionalFormatting sqref="E685:E700">
    <cfRule type="expression" dxfId="11" priority="12">
      <formula>MOD(ROW(),2)=0</formula>
    </cfRule>
  </conditionalFormatting>
  <conditionalFormatting sqref="E685:E700">
    <cfRule type="expression" dxfId="10" priority="11">
      <formula>MOD(ROW(),2)=0</formula>
    </cfRule>
  </conditionalFormatting>
  <conditionalFormatting sqref="G685:G700">
    <cfRule type="expression" dxfId="9" priority="10">
      <formula>MOD(ROW(),2)=0</formula>
    </cfRule>
  </conditionalFormatting>
  <conditionalFormatting sqref="I685:J700">
    <cfRule type="expression" dxfId="8" priority="9">
      <formula>MOD(ROW(),2)=0</formula>
    </cfRule>
  </conditionalFormatting>
  <conditionalFormatting sqref="Q685:R700">
    <cfRule type="expression" dxfId="7" priority="8">
      <formula>MOD(ROW(),2)=0</formula>
    </cfRule>
  </conditionalFormatting>
  <conditionalFormatting sqref="G4">
    <cfRule type="expression" dxfId="6" priority="7">
      <formula>MOD(ROW(),2)=0</formula>
    </cfRule>
  </conditionalFormatting>
  <conditionalFormatting sqref="G16">
    <cfRule type="expression" dxfId="5" priority="6">
      <formula>MOD(ROW(),2)=0</formula>
    </cfRule>
  </conditionalFormatting>
  <conditionalFormatting sqref="G24">
    <cfRule type="expression" dxfId="4" priority="5">
      <formula>MOD(ROW(),2)=0</formula>
    </cfRule>
  </conditionalFormatting>
  <conditionalFormatting sqref="B4:C4">
    <cfRule type="expression" dxfId="3" priority="4">
      <formula>$C4=Code10</formula>
    </cfRule>
  </conditionalFormatting>
  <conditionalFormatting sqref="B4:C4">
    <cfRule type="expression" dxfId="2" priority="3">
      <formula>MOD(ROW(),2)=0</formula>
    </cfRule>
  </conditionalFormatting>
  <conditionalFormatting sqref="B5:C800">
    <cfRule type="expression" dxfId="1" priority="2">
      <formula>$C5=Code10</formula>
    </cfRule>
  </conditionalFormatting>
  <conditionalFormatting sqref="B5:C800">
    <cfRule type="expression" dxfId="0" priority="1">
      <formula>MOD(ROW(),2)=0</formula>
    </cfRule>
  </conditionalFormatting>
  <dataValidations count="1">
    <dataValidation type="list" allowBlank="1" showInputMessage="1" showErrorMessage="1" error="The value you entered is not valid_x000a__x000a_Please input name of PIC" sqref="L4:L800" xr:uid="{00000000-0002-0000-0200-000000000000}">
      <formula1>$AB$8:$AB$29</formula1>
    </dataValidation>
  </dataValidations>
  <printOptions horizontalCentered="1"/>
  <pageMargins left="0.25" right="0.25" top="0.75" bottom="0.75" header="0.3" footer="0.3"/>
  <pageSetup orientation="portrait" r:id="rId23"/>
  <headerFooter differentFirst="1">
    <oddFooter>Page &amp;P of &amp;N</oddFooter>
  </headerFooter>
  <legacyDrawing r:id="rId2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AAA5E-0F1D-4824-9D63-56937E980F10}">
  <dimension ref="A1:CX13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RowHeight="17.25" customHeight="1"/>
  <cols>
    <col min="1" max="1" width="13.6640625" customWidth="1"/>
    <col min="2" max="2" width="17.33203125" style="4" customWidth="1"/>
    <col min="3" max="3" width="13.6640625" style="4" customWidth="1"/>
    <col min="4" max="5" width="12" style="4" customWidth="1"/>
    <col min="6" max="6" width="12" style="282" customWidth="1"/>
    <col min="7" max="8" width="12" style="4" customWidth="1"/>
    <col min="9" max="9" width="12" style="282" customWidth="1"/>
    <col min="10" max="11" width="12" style="4" customWidth="1"/>
    <col min="12" max="12" width="12" style="282" customWidth="1"/>
    <col min="13" max="14" width="12" style="4" customWidth="1"/>
    <col min="15" max="15" width="12" style="282" customWidth="1"/>
    <col min="16" max="17" width="12" style="4" customWidth="1"/>
    <col min="18" max="18" width="12" style="282" customWidth="1"/>
    <col min="19" max="20" width="12" style="4" customWidth="1"/>
    <col min="21" max="21" width="12" style="282" customWidth="1"/>
    <col min="22" max="23" width="12" style="4" customWidth="1"/>
    <col min="24" max="24" width="12" style="282" customWidth="1"/>
    <col min="25" max="26" width="12" style="4" customWidth="1"/>
    <col min="27" max="27" width="12" style="282" customWidth="1"/>
    <col min="28" max="29" width="12" style="4" customWidth="1"/>
    <col min="30" max="30" width="12" style="282" customWidth="1"/>
    <col min="31" max="32" width="12" style="4" customWidth="1"/>
    <col min="33" max="33" width="12" style="282" customWidth="1"/>
    <col min="34" max="35" width="12" style="4" customWidth="1"/>
    <col min="36" max="36" width="12" style="282" customWidth="1"/>
    <col min="37" max="38" width="12" style="4" customWidth="1"/>
    <col min="39" max="39" width="12" style="282" customWidth="1"/>
    <col min="40" max="41" width="12" style="4" customWidth="1"/>
    <col min="42" max="42" width="12" style="282" customWidth="1"/>
    <col min="43" max="44" width="12" style="4" customWidth="1"/>
    <col min="45" max="45" width="12" style="282" customWidth="1"/>
    <col min="46" max="47" width="12" style="4" customWidth="1"/>
    <col min="48" max="48" width="12" style="282" customWidth="1"/>
    <col min="49" max="50" width="12" style="4" customWidth="1"/>
    <col min="51" max="51" width="12" style="282" customWidth="1"/>
    <col min="52" max="53" width="12" style="4" customWidth="1"/>
    <col min="54" max="54" width="12" style="282" customWidth="1"/>
    <col min="55" max="56" width="12" style="4" customWidth="1"/>
    <col min="57" max="57" width="12" style="282" customWidth="1"/>
    <col min="58" max="59" width="12" style="4" customWidth="1"/>
    <col min="60" max="60" width="12" style="282" customWidth="1"/>
    <col min="61" max="62" width="12" style="4" customWidth="1"/>
    <col min="63" max="63" width="12" style="282" customWidth="1"/>
    <col min="64" max="65" width="12" style="4" customWidth="1"/>
    <col min="66" max="66" width="12" style="282" customWidth="1"/>
    <col min="67" max="68" width="12" style="4" customWidth="1"/>
    <col min="69" max="69" width="12" style="282" customWidth="1"/>
    <col min="70" max="71" width="12" style="4" customWidth="1"/>
    <col min="72" max="72" width="12" style="282" customWidth="1"/>
    <col min="73" max="74" width="12" style="4" customWidth="1"/>
    <col min="75" max="75" width="12" style="282" customWidth="1"/>
    <col min="76" max="77" width="12" style="4" customWidth="1"/>
    <col min="78" max="78" width="12" style="282" customWidth="1"/>
    <col min="79" max="80" width="12" style="4" customWidth="1"/>
    <col min="81" max="81" width="12" style="282" customWidth="1"/>
    <col min="82" max="83" width="12" style="4" customWidth="1"/>
    <col min="84" max="84" width="12" style="282" customWidth="1"/>
    <col min="85" max="86" width="12" style="4" customWidth="1"/>
    <col min="87" max="87" width="12" style="282" customWidth="1"/>
    <col min="88" max="89" width="12" style="4" customWidth="1"/>
    <col min="90" max="90" width="12" style="282" customWidth="1"/>
    <col min="91" max="92" width="12" style="4" customWidth="1"/>
    <col min="93" max="95" width="12" style="282" customWidth="1"/>
    <col min="96" max="96" width="15.6640625" style="4" customWidth="1"/>
    <col min="97" max="97" width="9.33203125" style="4"/>
    <col min="98" max="98" width="11.1640625" style="4" customWidth="1"/>
    <col min="99" max="16384" width="9.33203125" style="4"/>
  </cols>
  <sheetData>
    <row r="1" spans="1:102" ht="17.25" customHeight="1">
      <c r="A1" s="279" t="s">
        <v>6556</v>
      </c>
      <c r="B1" s="279"/>
      <c r="C1" s="280"/>
      <c r="D1" s="280"/>
      <c r="E1" s="280"/>
      <c r="F1" s="281"/>
    </row>
    <row r="2" spans="1:102" ht="17.25" customHeight="1">
      <c r="A2" s="3"/>
      <c r="B2" s="3"/>
    </row>
    <row r="3" spans="1:102" ht="17.25" customHeight="1">
      <c r="A3" s="5" t="s">
        <v>3945</v>
      </c>
      <c r="B3" s="5"/>
    </row>
    <row r="4" spans="1:102" ht="17.25" customHeight="1">
      <c r="A4" s="5"/>
      <c r="B4" s="5"/>
    </row>
    <row r="5" spans="1:102" s="8" customFormat="1" ht="32.25" customHeight="1">
      <c r="A5" s="283" t="s">
        <v>3944</v>
      </c>
      <c r="B5" s="284" t="s">
        <v>3958</v>
      </c>
      <c r="C5" s="284" t="s">
        <v>3942</v>
      </c>
      <c r="D5" s="285">
        <f>'Entries Register (AP) '!E4</f>
        <v>0</v>
      </c>
      <c r="E5" s="286"/>
      <c r="F5" s="287"/>
      <c r="G5" s="285">
        <f>+D5+1</f>
        <v>1</v>
      </c>
      <c r="H5" s="286"/>
      <c r="I5" s="287"/>
      <c r="J5" s="285">
        <f>+G5+1</f>
        <v>2</v>
      </c>
      <c r="K5" s="286"/>
      <c r="L5" s="287"/>
      <c r="M5" s="285">
        <f>+J5+1</f>
        <v>3</v>
      </c>
      <c r="N5" s="286"/>
      <c r="O5" s="287"/>
      <c r="P5" s="285">
        <f>+M5+1</f>
        <v>4</v>
      </c>
      <c r="Q5" s="286"/>
      <c r="R5" s="287"/>
      <c r="S5" s="285">
        <f>+P5+1</f>
        <v>5</v>
      </c>
      <c r="T5" s="286"/>
      <c r="U5" s="287"/>
      <c r="V5" s="285">
        <f>+S5+1</f>
        <v>6</v>
      </c>
      <c r="W5" s="286"/>
      <c r="X5" s="287"/>
      <c r="Y5" s="285">
        <f>+V5+1</f>
        <v>7</v>
      </c>
      <c r="Z5" s="286"/>
      <c r="AA5" s="287"/>
      <c r="AB5" s="285">
        <f>+Y5+1</f>
        <v>8</v>
      </c>
      <c r="AC5" s="286"/>
      <c r="AD5" s="287"/>
      <c r="AE5" s="285">
        <f>+AB5+1</f>
        <v>9</v>
      </c>
      <c r="AF5" s="286"/>
      <c r="AG5" s="287"/>
      <c r="AH5" s="285">
        <f>+AE5+1</f>
        <v>10</v>
      </c>
      <c r="AI5" s="286"/>
      <c r="AJ5" s="287"/>
      <c r="AK5" s="285">
        <f>+AH5+1</f>
        <v>11</v>
      </c>
      <c r="AL5" s="286"/>
      <c r="AM5" s="287"/>
      <c r="AN5" s="285">
        <f>+AK5+1</f>
        <v>12</v>
      </c>
      <c r="AO5" s="286"/>
      <c r="AP5" s="287"/>
      <c r="AQ5" s="285">
        <f>+AN5+1</f>
        <v>13</v>
      </c>
      <c r="AR5" s="286"/>
      <c r="AS5" s="287"/>
      <c r="AT5" s="285">
        <f>+AQ5+1</f>
        <v>14</v>
      </c>
      <c r="AU5" s="286"/>
      <c r="AV5" s="287"/>
      <c r="AW5" s="285">
        <f>+AT5+1</f>
        <v>15</v>
      </c>
      <c r="AX5" s="286"/>
      <c r="AY5" s="287"/>
      <c r="AZ5" s="285">
        <f>+AW5+1</f>
        <v>16</v>
      </c>
      <c r="BA5" s="286"/>
      <c r="BB5" s="287"/>
      <c r="BC5" s="285">
        <f>+AZ5+1</f>
        <v>17</v>
      </c>
      <c r="BD5" s="286"/>
      <c r="BE5" s="287"/>
      <c r="BF5" s="285">
        <f>+BC5+1</f>
        <v>18</v>
      </c>
      <c r="BG5" s="286"/>
      <c r="BH5" s="287"/>
      <c r="BI5" s="285">
        <f>+BF5+1</f>
        <v>19</v>
      </c>
      <c r="BJ5" s="286"/>
      <c r="BK5" s="287"/>
      <c r="BL5" s="285">
        <f>+BI5+1</f>
        <v>20</v>
      </c>
      <c r="BM5" s="286"/>
      <c r="BN5" s="287"/>
      <c r="BO5" s="285">
        <f>+BL5+1</f>
        <v>21</v>
      </c>
      <c r="BP5" s="286"/>
      <c r="BQ5" s="287"/>
      <c r="BR5" s="285">
        <f>+BO5+1</f>
        <v>22</v>
      </c>
      <c r="BS5" s="286"/>
      <c r="BT5" s="287"/>
      <c r="BU5" s="285">
        <f>+BR5+1</f>
        <v>23</v>
      </c>
      <c r="BV5" s="286"/>
      <c r="BW5" s="287"/>
      <c r="BX5" s="285">
        <f>+BU5+1</f>
        <v>24</v>
      </c>
      <c r="BY5" s="286"/>
      <c r="BZ5" s="287"/>
      <c r="CA5" s="285">
        <f>+BX5+1</f>
        <v>25</v>
      </c>
      <c r="CB5" s="286"/>
      <c r="CC5" s="287"/>
      <c r="CD5" s="285">
        <f>+CA5+1</f>
        <v>26</v>
      </c>
      <c r="CE5" s="286"/>
      <c r="CF5" s="287"/>
      <c r="CG5" s="285">
        <f>+CD5+1</f>
        <v>27</v>
      </c>
      <c r="CH5" s="286"/>
      <c r="CI5" s="287"/>
      <c r="CJ5" s="285">
        <f>+CG5+1</f>
        <v>28</v>
      </c>
      <c r="CK5" s="286"/>
      <c r="CL5" s="287"/>
      <c r="CM5" s="285" t="s">
        <v>6557</v>
      </c>
      <c r="CN5" s="286"/>
      <c r="CO5" s="287"/>
      <c r="CP5" s="288" t="s">
        <v>6558</v>
      </c>
      <c r="CQ5" s="289"/>
      <c r="CR5" s="290"/>
    </row>
    <row r="6" spans="1:102" s="9" customFormat="1" ht="32.25" customHeight="1">
      <c r="A6" s="291"/>
      <c r="B6" s="292"/>
      <c r="C6" s="292" t="s">
        <v>6559</v>
      </c>
      <c r="D6" s="292" t="s">
        <v>6560</v>
      </c>
      <c r="E6" s="292" t="s">
        <v>6561</v>
      </c>
      <c r="F6" s="293" t="s">
        <v>6562</v>
      </c>
      <c r="G6" s="292" t="s">
        <v>6560</v>
      </c>
      <c r="H6" s="292" t="s">
        <v>6561</v>
      </c>
      <c r="I6" s="293" t="s">
        <v>6562</v>
      </c>
      <c r="J6" s="292" t="s">
        <v>6560</v>
      </c>
      <c r="K6" s="292" t="s">
        <v>6561</v>
      </c>
      <c r="L6" s="293" t="s">
        <v>6562</v>
      </c>
      <c r="M6" s="292" t="s">
        <v>6560</v>
      </c>
      <c r="N6" s="292" t="s">
        <v>6561</v>
      </c>
      <c r="O6" s="293" t="s">
        <v>6562</v>
      </c>
      <c r="P6" s="292" t="s">
        <v>6560</v>
      </c>
      <c r="Q6" s="292" t="s">
        <v>6561</v>
      </c>
      <c r="R6" s="293" t="s">
        <v>6562</v>
      </c>
      <c r="S6" s="292" t="s">
        <v>6560</v>
      </c>
      <c r="T6" s="292" t="s">
        <v>6561</v>
      </c>
      <c r="U6" s="293" t="s">
        <v>6562</v>
      </c>
      <c r="V6" s="292" t="s">
        <v>6560</v>
      </c>
      <c r="W6" s="292" t="s">
        <v>6561</v>
      </c>
      <c r="X6" s="293" t="s">
        <v>6562</v>
      </c>
      <c r="Y6" s="292" t="s">
        <v>6560</v>
      </c>
      <c r="Z6" s="292" t="s">
        <v>6561</v>
      </c>
      <c r="AA6" s="293" t="s">
        <v>6562</v>
      </c>
      <c r="AB6" s="292" t="s">
        <v>6560</v>
      </c>
      <c r="AC6" s="292" t="s">
        <v>6561</v>
      </c>
      <c r="AD6" s="293" t="s">
        <v>6562</v>
      </c>
      <c r="AE6" s="292" t="s">
        <v>6560</v>
      </c>
      <c r="AF6" s="292" t="s">
        <v>6561</v>
      </c>
      <c r="AG6" s="293" t="s">
        <v>6562</v>
      </c>
      <c r="AH6" s="292" t="s">
        <v>6560</v>
      </c>
      <c r="AI6" s="292" t="s">
        <v>6561</v>
      </c>
      <c r="AJ6" s="293" t="s">
        <v>6562</v>
      </c>
      <c r="AK6" s="292" t="s">
        <v>6560</v>
      </c>
      <c r="AL6" s="292" t="s">
        <v>6561</v>
      </c>
      <c r="AM6" s="293" t="s">
        <v>6562</v>
      </c>
      <c r="AN6" s="292" t="s">
        <v>6560</v>
      </c>
      <c r="AO6" s="292" t="s">
        <v>6561</v>
      </c>
      <c r="AP6" s="293" t="s">
        <v>6562</v>
      </c>
      <c r="AQ6" s="292" t="s">
        <v>6560</v>
      </c>
      <c r="AR6" s="292" t="s">
        <v>6561</v>
      </c>
      <c r="AS6" s="293" t="s">
        <v>6562</v>
      </c>
      <c r="AT6" s="292" t="s">
        <v>6560</v>
      </c>
      <c r="AU6" s="292" t="s">
        <v>6561</v>
      </c>
      <c r="AV6" s="293" t="s">
        <v>6562</v>
      </c>
      <c r="AW6" s="292" t="s">
        <v>6560</v>
      </c>
      <c r="AX6" s="292" t="s">
        <v>6561</v>
      </c>
      <c r="AY6" s="293" t="s">
        <v>6562</v>
      </c>
      <c r="AZ6" s="292" t="s">
        <v>6560</v>
      </c>
      <c r="BA6" s="292" t="s">
        <v>6561</v>
      </c>
      <c r="BB6" s="293" t="s">
        <v>6562</v>
      </c>
      <c r="BC6" s="292" t="s">
        <v>6560</v>
      </c>
      <c r="BD6" s="292" t="s">
        <v>6561</v>
      </c>
      <c r="BE6" s="293" t="s">
        <v>6562</v>
      </c>
      <c r="BF6" s="292" t="s">
        <v>6560</v>
      </c>
      <c r="BG6" s="292" t="s">
        <v>6561</v>
      </c>
      <c r="BH6" s="293" t="s">
        <v>6562</v>
      </c>
      <c r="BI6" s="292" t="s">
        <v>6560</v>
      </c>
      <c r="BJ6" s="292" t="s">
        <v>6561</v>
      </c>
      <c r="BK6" s="293" t="s">
        <v>6562</v>
      </c>
      <c r="BL6" s="292" t="s">
        <v>6560</v>
      </c>
      <c r="BM6" s="292" t="s">
        <v>6561</v>
      </c>
      <c r="BN6" s="293" t="s">
        <v>6562</v>
      </c>
      <c r="BO6" s="292" t="s">
        <v>6560</v>
      </c>
      <c r="BP6" s="292" t="s">
        <v>6561</v>
      </c>
      <c r="BQ6" s="293" t="s">
        <v>6562</v>
      </c>
      <c r="BR6" s="292" t="s">
        <v>6560</v>
      </c>
      <c r="BS6" s="292" t="s">
        <v>6561</v>
      </c>
      <c r="BT6" s="293" t="s">
        <v>6562</v>
      </c>
      <c r="BU6" s="292" t="s">
        <v>6560</v>
      </c>
      <c r="BV6" s="292" t="s">
        <v>6561</v>
      </c>
      <c r="BW6" s="293" t="s">
        <v>6562</v>
      </c>
      <c r="BX6" s="292" t="s">
        <v>6560</v>
      </c>
      <c r="BY6" s="292" t="s">
        <v>6561</v>
      </c>
      <c r="BZ6" s="293" t="s">
        <v>6562</v>
      </c>
      <c r="CA6" s="292" t="s">
        <v>6560</v>
      </c>
      <c r="CB6" s="292" t="s">
        <v>6561</v>
      </c>
      <c r="CC6" s="293" t="s">
        <v>6562</v>
      </c>
      <c r="CD6" s="292" t="s">
        <v>6560</v>
      </c>
      <c r="CE6" s="292" t="s">
        <v>6561</v>
      </c>
      <c r="CF6" s="293" t="s">
        <v>6562</v>
      </c>
      <c r="CG6" s="292" t="s">
        <v>6560</v>
      </c>
      <c r="CH6" s="292" t="s">
        <v>6561</v>
      </c>
      <c r="CI6" s="293" t="s">
        <v>6562</v>
      </c>
      <c r="CJ6" s="292" t="s">
        <v>6560</v>
      </c>
      <c r="CK6" s="292" t="s">
        <v>6561</v>
      </c>
      <c r="CL6" s="293" t="s">
        <v>6562</v>
      </c>
      <c r="CM6" s="292" t="s">
        <v>6560</v>
      </c>
      <c r="CN6" s="292" t="s">
        <v>6561</v>
      </c>
      <c r="CO6" s="293" t="s">
        <v>6562</v>
      </c>
      <c r="CP6" s="294" t="s">
        <v>6563</v>
      </c>
      <c r="CQ6" s="294" t="s">
        <v>6564</v>
      </c>
      <c r="CR6" s="295"/>
      <c r="CS6" s="8"/>
      <c r="CT6" s="8"/>
    </row>
    <row r="7" spans="1:102" s="13" customFormat="1" ht="32.25" customHeight="1">
      <c r="A7" s="296" t="s">
        <v>4</v>
      </c>
      <c r="B7" s="297" t="s">
        <v>5130</v>
      </c>
      <c r="C7" s="298">
        <f>+COUNTIF('Entries Register (AP) '!$U:$U,K.P.I_new!A7)</f>
        <v>0</v>
      </c>
      <c r="D7" s="298">
        <f>+COUNTIFS('Entries Register (AP) '!$D$3:$D$355,K.P.I_new!D$5,'Entries Register (AP) '!$U$3:$U$355,K.P.I_new!$A7)</f>
        <v>0</v>
      </c>
      <c r="E7" s="298">
        <f>+COUNTIFS('Entries Register (AP) '!$Q:$Q,K.P.I_new!$A7,'Entries Register (AP) '!$R:$R,K.P.I_new!D$5)</f>
        <v>0</v>
      </c>
      <c r="F7" s="299">
        <f>+D7-E7</f>
        <v>0</v>
      </c>
      <c r="G7" s="298">
        <f>+COUNTIFS('Entries Register (AP) '!$D$3:$D$355,K.P.I_new!G$5,'Entries Register (AP) '!$U$3:$U$355,K.P.I_new!$A7)</f>
        <v>0</v>
      </c>
      <c r="H7" s="298">
        <f>+COUNTIFS('Entries Register (AP) '!$Q:$Q,K.P.I_new!$A7,'Entries Register (AP) '!$R:$R,K.P.I_new!G$5)</f>
        <v>0</v>
      </c>
      <c r="I7" s="299">
        <f>+F7+G7-H7</f>
        <v>0</v>
      </c>
      <c r="J7" s="298">
        <f>+COUNTIFS('Entries Register (AP) '!$D$3:$D$355,K.P.I_new!J$5,'Entries Register (AP) '!$U$3:$U$355,K.P.I_new!$A7)</f>
        <v>0</v>
      </c>
      <c r="K7" s="298">
        <f>+COUNTIFS('Entries Register (AP) '!$Q:$Q,K.P.I_new!$A7,'Entries Register (AP) '!$R:$R,K.P.I_new!J$5)</f>
        <v>0</v>
      </c>
      <c r="L7" s="299">
        <f>+I7+J7-K7</f>
        <v>0</v>
      </c>
      <c r="M7" s="298">
        <f>+COUNTIFS('Entries Register (AP) '!$D$3:$D$355,K.P.I_new!M$5,'Entries Register (AP) '!$U$3:$U$355,K.P.I_new!$A7)</f>
        <v>0</v>
      </c>
      <c r="N7" s="298">
        <f>+COUNTIFS('Entries Register (AP) '!$Q:$Q,K.P.I_new!$A7,'Entries Register (AP) '!$R:$R,K.P.I_new!M$5)</f>
        <v>0</v>
      </c>
      <c r="O7" s="299">
        <f>+L7+M7-N7</f>
        <v>0</v>
      </c>
      <c r="P7" s="298">
        <f>+COUNTIFS('Entries Register (AP) '!$D$3:$D$355,K.P.I_new!P$5,'Entries Register (AP) '!$U$3:$U$355,K.P.I_new!$A7)</f>
        <v>0</v>
      </c>
      <c r="Q7" s="298">
        <f>+COUNTIFS('Entries Register (AP) '!$Q:$Q,K.P.I_new!$A7,'Entries Register (AP) '!$R:$R,K.P.I_new!P$5)</f>
        <v>0</v>
      </c>
      <c r="R7" s="299">
        <f>+O7+P7-Q7</f>
        <v>0</v>
      </c>
      <c r="S7" s="298">
        <f>+COUNTIFS('Entries Register (AP) '!$D$3:$D$355,K.P.I_new!S$5,'Entries Register (AP) '!$U$3:$U$355,K.P.I_new!$A7)</f>
        <v>0</v>
      </c>
      <c r="T7" s="298">
        <f>+COUNTIFS('Entries Register (AP) '!$Q:$Q,K.P.I_new!$A7,'Entries Register (AP) '!$R:$R,K.P.I_new!S$5)</f>
        <v>0</v>
      </c>
      <c r="U7" s="299">
        <f>+R7+S7-T7</f>
        <v>0</v>
      </c>
      <c r="V7" s="298">
        <f>+COUNTIFS('Entries Register (AP) '!$D$3:$D$355,K.P.I_new!V$5,'Entries Register (AP) '!$U$3:$U$355,K.P.I_new!$A7)</f>
        <v>0</v>
      </c>
      <c r="W7" s="298">
        <f>+COUNTIFS('Entries Register (AP) '!$Q:$Q,K.P.I_new!$A7,'Entries Register (AP) '!$R:$R,K.P.I_new!V$5)</f>
        <v>0</v>
      </c>
      <c r="X7" s="299">
        <f>+U7+V7-W7</f>
        <v>0</v>
      </c>
      <c r="Y7" s="298">
        <f>+COUNTIFS('Entries Register (AP) '!$D$3:$D$355,K.P.I_new!Y$5,'Entries Register (AP) '!$U$3:$U$355,K.P.I_new!$A7)</f>
        <v>0</v>
      </c>
      <c r="Z7" s="298">
        <f>+COUNTIFS('Entries Register (AP) '!$Q:$Q,K.P.I_new!$A7,'Entries Register (AP) '!$R:$R,K.P.I_new!Y$5)</f>
        <v>0</v>
      </c>
      <c r="AA7" s="299">
        <f>+X7+Y7-Z7</f>
        <v>0</v>
      </c>
      <c r="AB7" s="298">
        <f>+COUNTIFS('Entries Register (AP) '!$D$3:$D$355,K.P.I_new!AB$5,'Entries Register (AP) '!$U$3:$U$355,K.P.I_new!$A7)</f>
        <v>0</v>
      </c>
      <c r="AC7" s="298">
        <f>+COUNTIFS('Entries Register (AP) '!$Q:$Q,K.P.I_new!$A7,'Entries Register (AP) '!$R:$R,K.P.I_new!AB$5)</f>
        <v>0</v>
      </c>
      <c r="AD7" s="299">
        <f>+AA7+AB7-AC7</f>
        <v>0</v>
      </c>
      <c r="AE7" s="298">
        <f>+COUNTIFS('Entries Register (AP) '!$D$3:$D$355,K.P.I_new!AE$5,'Entries Register (AP) '!$U$3:$U$355,K.P.I_new!$A7)</f>
        <v>0</v>
      </c>
      <c r="AF7" s="298">
        <f>+COUNTIFS('Entries Register (AP) '!$Q:$Q,K.P.I_new!$A7,'Entries Register (AP) '!$R:$R,K.P.I_new!AE$5)</f>
        <v>0</v>
      </c>
      <c r="AG7" s="299">
        <f>+AD7+AE7-AF7</f>
        <v>0</v>
      </c>
      <c r="AH7" s="298">
        <f>+COUNTIFS('Entries Register (AP) '!$D$3:$D$355,K.P.I_new!AH$5,'Entries Register (AP) '!$U$3:$U$355,K.P.I_new!$A7)</f>
        <v>0</v>
      </c>
      <c r="AI7" s="298">
        <f>+COUNTIFS('Entries Register (AP) '!$Q:$Q,K.P.I_new!$A7,'Entries Register (AP) '!$R:$R,K.P.I_new!AH$5)</f>
        <v>0</v>
      </c>
      <c r="AJ7" s="299">
        <f>+AG7+AH7-AI7</f>
        <v>0</v>
      </c>
      <c r="AK7" s="298">
        <f>+COUNTIFS('Entries Register (AP) '!$D$3:$D$355,K.P.I_new!AK$5,'Entries Register (AP) '!$U$3:$U$355,K.P.I_new!$A7)</f>
        <v>0</v>
      </c>
      <c r="AL7" s="298">
        <f>+COUNTIFS('Entries Register (AP) '!$Q:$Q,K.P.I_new!$A7,'Entries Register (AP) '!$R:$R,K.P.I_new!AK$5)</f>
        <v>0</v>
      </c>
      <c r="AM7" s="299">
        <f>+AJ7+AK7-AL7</f>
        <v>0</v>
      </c>
      <c r="AN7" s="298">
        <f>+COUNTIFS('Entries Register (AP) '!$D$3:$D$355,K.P.I_new!AN$5,'Entries Register (AP) '!$U$3:$U$355,K.P.I_new!$A7)</f>
        <v>0</v>
      </c>
      <c r="AO7" s="298">
        <f>+COUNTIFS('Entries Register (AP) '!$Q:$Q,K.P.I_new!$A7,'Entries Register (AP) '!$R:$R,K.P.I_new!AN$5)</f>
        <v>0</v>
      </c>
      <c r="AP7" s="299">
        <f>+AM7+AN7-AO7</f>
        <v>0</v>
      </c>
      <c r="AQ7" s="298">
        <f>+COUNTIFS('Entries Register (AP) '!$D$3:$D$355,K.P.I_new!AQ$5,'Entries Register (AP) '!$U$3:$U$355,K.P.I_new!$A7)</f>
        <v>0</v>
      </c>
      <c r="AR7" s="298">
        <f>+COUNTIFS('Entries Register (AP) '!$Q:$Q,K.P.I_new!$A7,'Entries Register (AP) '!$R:$R,K.P.I_new!AQ$5)</f>
        <v>0</v>
      </c>
      <c r="AS7" s="299">
        <f>+AP7+AQ7-AR7</f>
        <v>0</v>
      </c>
      <c r="AT7" s="298">
        <f>+COUNTIFS('Entries Register (AP) '!$D$3:$D$355,K.P.I_new!AT$5,'Entries Register (AP) '!$U$3:$U$355,K.P.I_new!$A7)</f>
        <v>0</v>
      </c>
      <c r="AU7" s="298">
        <f>+COUNTIFS('Entries Register (AP) '!$Q:$Q,K.P.I_new!$A7,'Entries Register (AP) '!$R:$R,K.P.I_new!AT$5)</f>
        <v>0</v>
      </c>
      <c r="AV7" s="299">
        <f>+AS7+AT7-AU7</f>
        <v>0</v>
      </c>
      <c r="AW7" s="298">
        <f>+COUNTIFS('Entries Register (AP) '!$D$3:$D$355,K.P.I_new!AW$5,'Entries Register (AP) '!$U$3:$U$355,K.P.I_new!$A7)</f>
        <v>0</v>
      </c>
      <c r="AX7" s="298">
        <f>+COUNTIFS('Entries Register (AP) '!$Q:$Q,K.P.I_new!$A7,'Entries Register (AP) '!$R:$R,K.P.I_new!AW$5)</f>
        <v>0</v>
      </c>
      <c r="AY7" s="299">
        <f>+AV7+AW7-AX7</f>
        <v>0</v>
      </c>
      <c r="AZ7" s="298">
        <f>+COUNTIFS('Entries Register (AP) '!$D$3:$D$355,K.P.I_new!AZ$5,'Entries Register (AP) '!$U$3:$U$355,K.P.I_new!$A7)</f>
        <v>0</v>
      </c>
      <c r="BA7" s="298">
        <f>+COUNTIFS('Entries Register (AP) '!$Q:$Q,K.P.I_new!$A7,'Entries Register (AP) '!$R:$R,K.P.I_new!AZ$5)</f>
        <v>0</v>
      </c>
      <c r="BB7" s="299">
        <f>+AY7+AZ7-BA7</f>
        <v>0</v>
      </c>
      <c r="BC7" s="298">
        <f>+COUNTIFS('Entries Register (AP) '!$D$3:$D$355,K.P.I_new!BC$5,'Entries Register (AP) '!$U$3:$U$355,K.P.I_new!$A7)</f>
        <v>0</v>
      </c>
      <c r="BD7" s="298">
        <f>+COUNTIFS('Entries Register (AP) '!$Q:$Q,K.P.I_new!$A7,'Entries Register (AP) '!$R:$R,K.P.I_new!BC$5)</f>
        <v>0</v>
      </c>
      <c r="BE7" s="299">
        <f>+BB7+BC7-BD7</f>
        <v>0</v>
      </c>
      <c r="BF7" s="298">
        <f>+COUNTIFS('Entries Register (AP) '!$D$3:$D$355,K.P.I_new!BF$5,'Entries Register (AP) '!$U$3:$U$355,K.P.I_new!$A7)</f>
        <v>0</v>
      </c>
      <c r="BG7" s="298">
        <f>+COUNTIFS('Entries Register (AP) '!$Q:$Q,K.P.I_new!$A7,'Entries Register (AP) '!$R:$R,K.P.I_new!BF$5)</f>
        <v>0</v>
      </c>
      <c r="BH7" s="299">
        <f>+BE7+BF7-BG7</f>
        <v>0</v>
      </c>
      <c r="BI7" s="298">
        <f>+COUNTIFS('Entries Register (AP) '!$D$3:$D$355,K.P.I_new!BI$5,'Entries Register (AP) '!$U$3:$U$355,K.P.I_new!$A7)</f>
        <v>0</v>
      </c>
      <c r="BJ7" s="298">
        <f>+COUNTIFS('Entries Register (AP) '!$Q:$Q,K.P.I_new!$A7,'Entries Register (AP) '!$R:$R,K.P.I_new!BI$5)</f>
        <v>0</v>
      </c>
      <c r="BK7" s="299">
        <f>+BH7+BI7-BJ7</f>
        <v>0</v>
      </c>
      <c r="BL7" s="298">
        <f>+COUNTIFS('Entries Register (AP) '!$D$3:$D$355,K.P.I_new!BL$5,'Entries Register (AP) '!$U$3:$U$355,K.P.I_new!$A7)</f>
        <v>0</v>
      </c>
      <c r="BM7" s="298">
        <f>+COUNTIFS('Entries Register (AP) '!$Q:$Q,K.P.I_new!$A7,'Entries Register (AP) '!$R:$R,K.P.I_new!BL$5)</f>
        <v>0</v>
      </c>
      <c r="BN7" s="299">
        <f>+BK7+BL7-BM7</f>
        <v>0</v>
      </c>
      <c r="BO7" s="298">
        <f>+COUNTIFS('Entries Register (AP) '!$D$3:$D$355,K.P.I_new!BO$5,'Entries Register (AP) '!$U$3:$U$355,K.P.I_new!$A7)</f>
        <v>0</v>
      </c>
      <c r="BP7" s="298">
        <f>+COUNTIFS('Entries Register (AP) '!$Q:$Q,K.P.I_new!$A7,'Entries Register (AP) '!$R:$R,K.P.I_new!BO$5)</f>
        <v>0</v>
      </c>
      <c r="BQ7" s="299">
        <f>+BN7+BO7-BP7</f>
        <v>0</v>
      </c>
      <c r="BR7" s="298">
        <f>+COUNTIFS('Entries Register (AP) '!$D$3:$D$355,K.P.I_new!BR$5,'Entries Register (AP) '!$U$3:$U$355,K.P.I_new!$A7)</f>
        <v>0</v>
      </c>
      <c r="BS7" s="298">
        <f>+COUNTIFS('Entries Register (AP) '!$Q:$Q,K.P.I_new!$A7,'Entries Register (AP) '!$R:$R,K.P.I_new!BR$5)</f>
        <v>0</v>
      </c>
      <c r="BT7" s="299">
        <f>+BQ7+BR7-BS7</f>
        <v>0</v>
      </c>
      <c r="BU7" s="298">
        <f>+COUNTIFS('Entries Register (AP) '!$D$3:$D$355,K.P.I_new!BU$5,'Entries Register (AP) '!$U$3:$U$355,K.P.I_new!$A7)</f>
        <v>0</v>
      </c>
      <c r="BV7" s="298">
        <f>+COUNTIFS('Entries Register (AP) '!$Q:$Q,K.P.I_new!$A7,'Entries Register (AP) '!$R:$R,K.P.I_new!BU$5)</f>
        <v>0</v>
      </c>
      <c r="BW7" s="299">
        <f>+BT7+BU7-BV7</f>
        <v>0</v>
      </c>
      <c r="BX7" s="298">
        <f>+COUNTIFS('Entries Register (AP) '!$D$3:$D$355,K.P.I_new!BX$5,'Entries Register (AP) '!$U$3:$U$355,K.P.I_new!$A7)</f>
        <v>0</v>
      </c>
      <c r="BY7" s="298">
        <f>+COUNTIFS('Entries Register (AP) '!$Q:$Q,K.P.I_new!$A7,'Entries Register (AP) '!$R:$R,K.P.I_new!BX$5)</f>
        <v>0</v>
      </c>
      <c r="BZ7" s="299">
        <f>+BW7+BX7-BY7</f>
        <v>0</v>
      </c>
      <c r="CA7" s="298">
        <f>+COUNTIFS('Entries Register (AP) '!$D$3:$D$355,K.P.I_new!CA$5,'Entries Register (AP) '!$U$3:$U$355,K.P.I_new!$A7)</f>
        <v>0</v>
      </c>
      <c r="CB7" s="298">
        <f>+COUNTIFS('Entries Register (AP) '!$Q:$Q,K.P.I_new!$A7,'Entries Register (AP) '!$R:$R,K.P.I_new!CA$5)</f>
        <v>0</v>
      </c>
      <c r="CC7" s="299">
        <f>+BZ7+CA7-CB7</f>
        <v>0</v>
      </c>
      <c r="CD7" s="298">
        <f>+COUNTIFS('Entries Register (AP) '!$D$3:$D$355,K.P.I_new!CD$5,'Entries Register (AP) '!$U$3:$U$355,K.P.I_new!$A7)</f>
        <v>0</v>
      </c>
      <c r="CE7" s="298">
        <f>+COUNTIFS('Entries Register (AP) '!$Q:$Q,K.P.I_new!$A7,'Entries Register (AP) '!$R:$R,K.P.I_new!CD$5)</f>
        <v>0</v>
      </c>
      <c r="CF7" s="299">
        <f>+CC7+CD7-CE7</f>
        <v>0</v>
      </c>
      <c r="CG7" s="298">
        <f>+COUNTIFS('Entries Register (AP) '!$D$3:$D$355,K.P.I_new!CG$5,'Entries Register (AP) '!$U$3:$U$355,K.P.I_new!$A7)</f>
        <v>0</v>
      </c>
      <c r="CH7" s="298">
        <f>+COUNTIFS('Entries Register (AP) '!$Q:$Q,K.P.I_new!$A7,'Entries Register (AP) '!$R:$R,K.P.I_new!CG$5)</f>
        <v>0</v>
      </c>
      <c r="CI7" s="299">
        <f>+CF7+CG7-CH7</f>
        <v>0</v>
      </c>
      <c r="CJ7" s="298">
        <f>+COUNTIFS('Entries Register (AP) '!$D$3:$D$355,K.P.I_new!CJ$5,'Entries Register (AP) '!$U$3:$U$355,K.P.I_new!$A7)</f>
        <v>0</v>
      </c>
      <c r="CK7" s="298">
        <f>+COUNTIFS('Entries Register (AP) '!$Q:$Q,K.P.I_new!$A7,'Entries Register (AP) '!$R:$R,K.P.I_new!CJ$5)</f>
        <v>0</v>
      </c>
      <c r="CL7" s="299">
        <f>+CI7+CJ7-CK7</f>
        <v>0</v>
      </c>
      <c r="CM7" s="298">
        <f>+SUMIF($D$6:$CL$6,CM$6,$D7:$CL7)</f>
        <v>0</v>
      </c>
      <c r="CN7" s="298">
        <f>+SUMIF($D$6:$CL$6,CN$6,$D7:$CL7)</f>
        <v>0</v>
      </c>
      <c r="CO7" s="299">
        <f>+CM7-CN7</f>
        <v>0</v>
      </c>
      <c r="CP7" s="300">
        <f>+CM7*50%</f>
        <v>0</v>
      </c>
      <c r="CQ7" s="300">
        <f>+CN7-CP7</f>
        <v>0</v>
      </c>
      <c r="CR7" s="301" t="str">
        <f>+IF(OR(CQ7=0,CQ7&gt;0),"OK","FAIL")</f>
        <v>OK</v>
      </c>
      <c r="CS7" s="66"/>
      <c r="CT7" s="8"/>
      <c r="CU7" s="66"/>
      <c r="CW7" s="66"/>
    </row>
    <row r="8" spans="1:102" s="13" customFormat="1" ht="32.25" customHeight="1">
      <c r="A8" s="296" t="s">
        <v>3933</v>
      </c>
      <c r="B8" s="297" t="s">
        <v>5130</v>
      </c>
      <c r="C8" s="298">
        <f>+COUNTIF('Entries Register (AP) '!$U:$U,K.P.I_new!A8)</f>
        <v>0</v>
      </c>
      <c r="D8" s="298">
        <f>+COUNTIFS('Entries Register (AP) '!$D$3:$D$355,K.P.I_new!D$5,'Entries Register (AP) '!$U$3:$U$355,K.P.I_new!$A8)</f>
        <v>0</v>
      </c>
      <c r="E8" s="298">
        <f>+COUNTIFS('Entries Register (AP) '!$Q:$Q,K.P.I_new!$A8,'Entries Register (AP) '!$R:$R,K.P.I_new!D$5)</f>
        <v>0</v>
      </c>
      <c r="F8" s="299">
        <f>+D8-E8</f>
        <v>0</v>
      </c>
      <c r="G8" s="298">
        <f>+COUNTIFS('Entries Register (AP) '!$D$3:$D$355,K.P.I_new!G$5,'Entries Register (AP) '!$U$3:$U$355,K.P.I_new!$A8)</f>
        <v>0</v>
      </c>
      <c r="H8" s="298">
        <f>+COUNTIFS('Entries Register (AP) '!$Q:$Q,K.P.I_new!$A8,'Entries Register (AP) '!$R:$R,K.P.I_new!G$5)</f>
        <v>0</v>
      </c>
      <c r="I8" s="299">
        <f t="shared" ref="I8:I9" si="0">+F8+G8-H8</f>
        <v>0</v>
      </c>
      <c r="J8" s="298">
        <f>+COUNTIFS('Entries Register (AP) '!$D$3:$D$355,K.P.I_new!J$5,'Entries Register (AP) '!$U$3:$U$355,K.P.I_new!$A8)</f>
        <v>0</v>
      </c>
      <c r="K8" s="298">
        <f>+COUNTIFS('Entries Register (AP) '!$Q:$Q,K.P.I_new!$A8,'Entries Register (AP) '!$R:$R,K.P.I_new!J$5)</f>
        <v>0</v>
      </c>
      <c r="L8" s="299">
        <f t="shared" ref="L8:L9" si="1">+I8+J8-K8</f>
        <v>0</v>
      </c>
      <c r="M8" s="298">
        <f>+COUNTIFS('Entries Register (AP) '!$D$3:$D$355,K.P.I_new!M$5,'Entries Register (AP) '!$U$3:$U$355,K.P.I_new!$A8)</f>
        <v>0</v>
      </c>
      <c r="N8" s="298">
        <f>+COUNTIFS('Entries Register (AP) '!$Q:$Q,K.P.I_new!$A8,'Entries Register (AP) '!$R:$R,K.P.I_new!M$5)</f>
        <v>0</v>
      </c>
      <c r="O8" s="299">
        <f t="shared" ref="O8:O9" si="2">+L8+M8-N8</f>
        <v>0</v>
      </c>
      <c r="P8" s="298">
        <f>+COUNTIFS('Entries Register (AP) '!$D$3:$D$355,K.P.I_new!P$5,'Entries Register (AP) '!$U$3:$U$355,K.P.I_new!$A8)</f>
        <v>0</v>
      </c>
      <c r="Q8" s="298">
        <f>+COUNTIFS('Entries Register (AP) '!$Q:$Q,K.P.I_new!$A8,'Entries Register (AP) '!$R:$R,K.P.I_new!P$5)</f>
        <v>0</v>
      </c>
      <c r="R8" s="299">
        <f t="shared" ref="R8:R9" si="3">+O8+P8-Q8</f>
        <v>0</v>
      </c>
      <c r="S8" s="298">
        <f>+COUNTIFS('Entries Register (AP) '!$D$3:$D$355,K.P.I_new!S$5,'Entries Register (AP) '!$U$3:$U$355,K.P.I_new!$A8)</f>
        <v>0</v>
      </c>
      <c r="T8" s="298">
        <f>+COUNTIFS('Entries Register (AP) '!$Q:$Q,K.P.I_new!$A8,'Entries Register (AP) '!$R:$R,K.P.I_new!S$5)</f>
        <v>0</v>
      </c>
      <c r="U8" s="299">
        <f t="shared" ref="U8:U9" si="4">+R8+S8-T8</f>
        <v>0</v>
      </c>
      <c r="V8" s="298">
        <f>+COUNTIFS('Entries Register (AP) '!$D$3:$D$355,K.P.I_new!V$5,'Entries Register (AP) '!$U$3:$U$355,K.P.I_new!$A8)</f>
        <v>0</v>
      </c>
      <c r="W8" s="298">
        <f>+COUNTIFS('Entries Register (AP) '!$Q:$Q,K.P.I_new!$A8,'Entries Register (AP) '!$R:$R,K.P.I_new!V$5)</f>
        <v>0</v>
      </c>
      <c r="X8" s="299">
        <f t="shared" ref="X8:X9" si="5">+U8+V8-W8</f>
        <v>0</v>
      </c>
      <c r="Y8" s="298">
        <f>+COUNTIFS('Entries Register (AP) '!$D$3:$D$355,K.P.I_new!Y$5,'Entries Register (AP) '!$U$3:$U$355,K.P.I_new!$A8)</f>
        <v>0</v>
      </c>
      <c r="Z8" s="298">
        <f>+COUNTIFS('Entries Register (AP) '!$Q:$Q,K.P.I_new!$A8,'Entries Register (AP) '!$R:$R,K.P.I_new!Y$5)</f>
        <v>0</v>
      </c>
      <c r="AA8" s="299">
        <f t="shared" ref="AA8" si="6">+X8+Y8-Z8</f>
        <v>0</v>
      </c>
      <c r="AB8" s="298">
        <f>+COUNTIFS('Entries Register (AP) '!$D$3:$D$355,K.P.I_new!AB$5,'Entries Register (AP) '!$U$3:$U$355,K.P.I_new!$A8)</f>
        <v>0</v>
      </c>
      <c r="AC8" s="298">
        <f>+COUNTIFS('Entries Register (AP) '!$Q:$Q,K.P.I_new!$A8,'Entries Register (AP) '!$R:$R,K.P.I_new!AB$5)</f>
        <v>0</v>
      </c>
      <c r="AD8" s="299">
        <f t="shared" ref="AD8:AD9" si="7">+AA8+AB8-AC8</f>
        <v>0</v>
      </c>
      <c r="AE8" s="298">
        <f>+COUNTIFS('Entries Register (AP) '!$D$3:$D$355,K.P.I_new!AE$5,'Entries Register (AP) '!$U$3:$U$355,K.P.I_new!$A8)</f>
        <v>0</v>
      </c>
      <c r="AF8" s="298">
        <f>+COUNTIFS('Entries Register (AP) '!$Q:$Q,K.P.I_new!$A8,'Entries Register (AP) '!$R:$R,K.P.I_new!AE$5)</f>
        <v>0</v>
      </c>
      <c r="AG8" s="299">
        <f t="shared" ref="AG8:AG9" si="8">+AD8+AE8-AF8</f>
        <v>0</v>
      </c>
      <c r="AH8" s="298">
        <f>+COUNTIFS('Entries Register (AP) '!$D$3:$D$355,K.P.I_new!AH$5,'Entries Register (AP) '!$U$3:$U$355,K.P.I_new!$A8)</f>
        <v>0</v>
      </c>
      <c r="AI8" s="298">
        <f>+COUNTIFS('Entries Register (AP) '!$Q:$Q,K.P.I_new!$A8,'Entries Register (AP) '!$R:$R,K.P.I_new!AH$5)</f>
        <v>0</v>
      </c>
      <c r="AJ8" s="299">
        <f t="shared" ref="AJ8:AJ9" si="9">+AG8+AH8-AI8</f>
        <v>0</v>
      </c>
      <c r="AK8" s="298">
        <f>+COUNTIFS('Entries Register (AP) '!$D$3:$D$355,K.P.I_new!AK$5,'Entries Register (AP) '!$U$3:$U$355,K.P.I_new!$A8)</f>
        <v>0</v>
      </c>
      <c r="AL8" s="298">
        <f>+COUNTIFS('Entries Register (AP) '!$Q:$Q,K.P.I_new!$A8,'Entries Register (AP) '!$R:$R,K.P.I_new!AK$5)</f>
        <v>0</v>
      </c>
      <c r="AM8" s="299">
        <f t="shared" ref="AM8:AM9" si="10">+AJ8+AK8-AL8</f>
        <v>0</v>
      </c>
      <c r="AN8" s="298">
        <f>+COUNTIFS('Entries Register (AP) '!$D$3:$D$355,K.P.I_new!AN$5,'Entries Register (AP) '!$U$3:$U$355,K.P.I_new!$A8)</f>
        <v>0</v>
      </c>
      <c r="AO8" s="298">
        <f>+COUNTIFS('Entries Register (AP) '!$Q:$Q,K.P.I_new!$A8,'Entries Register (AP) '!$R:$R,K.P.I_new!AN$5)</f>
        <v>0</v>
      </c>
      <c r="AP8" s="299">
        <f t="shared" ref="AP8:AP9" si="11">+AM8+AN8-AO8</f>
        <v>0</v>
      </c>
      <c r="AQ8" s="298">
        <f>+COUNTIFS('Entries Register (AP) '!$D$3:$D$355,K.P.I_new!AQ$5,'Entries Register (AP) '!$U$3:$U$355,K.P.I_new!$A8)</f>
        <v>0</v>
      </c>
      <c r="AR8" s="298">
        <f>+COUNTIFS('Entries Register (AP) '!$Q:$Q,K.P.I_new!$A8,'Entries Register (AP) '!$R:$R,K.P.I_new!AQ$5)</f>
        <v>0</v>
      </c>
      <c r="AS8" s="299">
        <f t="shared" ref="AS8:AS9" si="12">+AP8+AQ8-AR8</f>
        <v>0</v>
      </c>
      <c r="AT8" s="298">
        <f>+COUNTIFS('Entries Register (AP) '!$D$3:$D$355,K.P.I_new!AT$5,'Entries Register (AP) '!$U$3:$U$355,K.P.I_new!$A8)</f>
        <v>0</v>
      </c>
      <c r="AU8" s="298">
        <f>+COUNTIFS('Entries Register (AP) '!$Q:$Q,K.P.I_new!$A8,'Entries Register (AP) '!$R:$R,K.P.I_new!AT$5)</f>
        <v>0</v>
      </c>
      <c r="AV8" s="299">
        <f t="shared" ref="AV8:AV9" si="13">+AS8+AT8-AU8</f>
        <v>0</v>
      </c>
      <c r="AW8" s="298">
        <f>+COUNTIFS('Entries Register (AP) '!$D$3:$D$355,K.P.I_new!AW$5,'Entries Register (AP) '!$U$3:$U$355,K.P.I_new!$A8)</f>
        <v>0</v>
      </c>
      <c r="AX8" s="298">
        <f>+COUNTIFS('Entries Register (AP) '!$Q:$Q,K.P.I_new!$A8,'Entries Register (AP) '!$R:$R,K.P.I_new!AW$5)</f>
        <v>0</v>
      </c>
      <c r="AY8" s="299">
        <f t="shared" ref="AY8:AY9" si="14">+AV8+AW8-AX8</f>
        <v>0</v>
      </c>
      <c r="AZ8" s="298">
        <f>+COUNTIFS('Entries Register (AP) '!$D$3:$D$355,K.P.I_new!AZ$5,'Entries Register (AP) '!$U$3:$U$355,K.P.I_new!$A8)</f>
        <v>0</v>
      </c>
      <c r="BA8" s="298">
        <f>+COUNTIFS('Entries Register (AP) '!$Q:$Q,K.P.I_new!$A8,'Entries Register (AP) '!$R:$R,K.P.I_new!AZ$5)</f>
        <v>0</v>
      </c>
      <c r="BB8" s="299">
        <f t="shared" ref="BB8:BB9" si="15">+AY8+AZ8-BA8</f>
        <v>0</v>
      </c>
      <c r="BC8" s="298">
        <f>+COUNTIFS('Entries Register (AP) '!$D$3:$D$355,K.P.I_new!BC$5,'Entries Register (AP) '!$U$3:$U$355,K.P.I_new!$A8)</f>
        <v>0</v>
      </c>
      <c r="BD8" s="298">
        <f>+COUNTIFS('Entries Register (AP) '!$Q:$Q,K.P.I_new!$A8,'Entries Register (AP) '!$R:$R,K.P.I_new!BC$5)</f>
        <v>0</v>
      </c>
      <c r="BE8" s="299">
        <f t="shared" ref="BE8:BE9" si="16">+BB8+BC8-BD8</f>
        <v>0</v>
      </c>
      <c r="BF8" s="298">
        <f>+COUNTIFS('Entries Register (AP) '!$D$3:$D$355,K.P.I_new!BF$5,'Entries Register (AP) '!$U$3:$U$355,K.P.I_new!$A8)</f>
        <v>0</v>
      </c>
      <c r="BG8" s="298">
        <f>+COUNTIFS('Entries Register (AP) '!$Q:$Q,K.P.I_new!$A8,'Entries Register (AP) '!$R:$R,K.P.I_new!BF$5)</f>
        <v>0</v>
      </c>
      <c r="BH8" s="299">
        <f t="shared" ref="BH8:BH9" si="17">+BE8+BF8-BG8</f>
        <v>0</v>
      </c>
      <c r="BI8" s="298">
        <f>+COUNTIFS('Entries Register (AP) '!$D$3:$D$355,K.P.I_new!BI$5,'Entries Register (AP) '!$U$3:$U$355,K.P.I_new!$A8)</f>
        <v>0</v>
      </c>
      <c r="BJ8" s="298">
        <f>+COUNTIFS('Entries Register (AP) '!$Q:$Q,K.P.I_new!$A8,'Entries Register (AP) '!$R:$R,K.P.I_new!BI$5)</f>
        <v>0</v>
      </c>
      <c r="BK8" s="299">
        <f t="shared" ref="BK8:BK9" si="18">+BH8+BI8-BJ8</f>
        <v>0</v>
      </c>
      <c r="BL8" s="298">
        <f>+COUNTIFS('Entries Register (AP) '!$D$3:$D$355,K.P.I_new!BL$5,'Entries Register (AP) '!$U$3:$U$355,K.P.I_new!$A8)</f>
        <v>0</v>
      </c>
      <c r="BM8" s="298">
        <f>+COUNTIFS('Entries Register (AP) '!$Q:$Q,K.P.I_new!$A8,'Entries Register (AP) '!$R:$R,K.P.I_new!BL$5)</f>
        <v>0</v>
      </c>
      <c r="BN8" s="299">
        <f t="shared" ref="BN8:BN9" si="19">+BK8+BL8-BM8</f>
        <v>0</v>
      </c>
      <c r="BO8" s="298">
        <f>+COUNTIFS('Entries Register (AP) '!$D$3:$D$355,K.P.I_new!BO$5,'Entries Register (AP) '!$U$3:$U$355,K.P.I_new!$A8)</f>
        <v>0</v>
      </c>
      <c r="BP8" s="298">
        <f>+COUNTIFS('Entries Register (AP) '!$Q:$Q,K.P.I_new!$A8,'Entries Register (AP) '!$R:$R,K.P.I_new!BO$5)</f>
        <v>0</v>
      </c>
      <c r="BQ8" s="299">
        <f t="shared" ref="BQ8:BQ9" si="20">+BN8+BO8-BP8</f>
        <v>0</v>
      </c>
      <c r="BR8" s="298">
        <f>+COUNTIFS('Entries Register (AP) '!$D$3:$D$355,K.P.I_new!BR$5,'Entries Register (AP) '!$U$3:$U$355,K.P.I_new!$A8)</f>
        <v>0</v>
      </c>
      <c r="BS8" s="298">
        <f>+COUNTIFS('Entries Register (AP) '!$Q:$Q,K.P.I_new!$A8,'Entries Register (AP) '!$R:$R,K.P.I_new!BR$5)</f>
        <v>0</v>
      </c>
      <c r="BT8" s="299">
        <f t="shared" ref="BT8:BT9" si="21">+BQ8+BR8-BS8</f>
        <v>0</v>
      </c>
      <c r="BU8" s="298">
        <f>+COUNTIFS('Entries Register (AP) '!$D$3:$D$355,K.P.I_new!BU$5,'Entries Register (AP) '!$U$3:$U$355,K.P.I_new!$A8)</f>
        <v>0</v>
      </c>
      <c r="BV8" s="298">
        <f>+COUNTIFS('Entries Register (AP) '!$Q:$Q,K.P.I_new!$A8,'Entries Register (AP) '!$R:$R,K.P.I_new!BU$5)</f>
        <v>0</v>
      </c>
      <c r="BW8" s="299">
        <f t="shared" ref="BW8:BW9" si="22">+BT8+BU8-BV8</f>
        <v>0</v>
      </c>
      <c r="BX8" s="298">
        <f>+COUNTIFS('Entries Register (AP) '!$D$3:$D$355,K.P.I_new!BX$5,'Entries Register (AP) '!$U$3:$U$355,K.P.I_new!$A8)</f>
        <v>0</v>
      </c>
      <c r="BY8" s="298">
        <f>+COUNTIFS('Entries Register (AP) '!$Q:$Q,K.P.I_new!$A8,'Entries Register (AP) '!$R:$R,K.P.I_new!BX$5)</f>
        <v>0</v>
      </c>
      <c r="BZ8" s="299">
        <f t="shared" ref="BZ8:BZ9" si="23">+BW8+BX8-BY8</f>
        <v>0</v>
      </c>
      <c r="CA8" s="298">
        <f>+COUNTIFS('Entries Register (AP) '!$D$3:$D$355,K.P.I_new!CA$5,'Entries Register (AP) '!$U$3:$U$355,K.P.I_new!$A8)</f>
        <v>0</v>
      </c>
      <c r="CB8" s="298">
        <f>+COUNTIFS('Entries Register (AP) '!$Q:$Q,K.P.I_new!$A8,'Entries Register (AP) '!$R:$R,K.P.I_new!CA$5)</f>
        <v>0</v>
      </c>
      <c r="CC8" s="299">
        <f t="shared" ref="CC8:CC9" si="24">+BZ8+CA8-CB8</f>
        <v>0</v>
      </c>
      <c r="CD8" s="298">
        <f>+COUNTIFS('Entries Register (AP) '!$D$3:$D$355,K.P.I_new!CD$5,'Entries Register (AP) '!$U$3:$U$355,K.P.I_new!$A8)</f>
        <v>0</v>
      </c>
      <c r="CE8" s="298">
        <f>+COUNTIFS('Entries Register (AP) '!$Q:$Q,K.P.I_new!$A8,'Entries Register (AP) '!$R:$R,K.P.I_new!CD$5)</f>
        <v>0</v>
      </c>
      <c r="CF8" s="299">
        <f t="shared" ref="CF8:CF9" si="25">+CC8+CD8-CE8</f>
        <v>0</v>
      </c>
      <c r="CG8" s="298">
        <f>+COUNTIFS('Entries Register (AP) '!$D$3:$D$355,K.P.I_new!CG$5,'Entries Register (AP) '!$U$3:$U$355,K.P.I_new!$A8)</f>
        <v>0</v>
      </c>
      <c r="CH8" s="298">
        <f>+COUNTIFS('Entries Register (AP) '!$Q:$Q,K.P.I_new!$A8,'Entries Register (AP) '!$R:$R,K.P.I_new!CG$5)</f>
        <v>0</v>
      </c>
      <c r="CI8" s="299">
        <f t="shared" ref="CI8:CI9" si="26">+CF8+CG8-CH8</f>
        <v>0</v>
      </c>
      <c r="CJ8" s="298">
        <f>+COUNTIFS('Entries Register (AP) '!$D$3:$D$355,K.P.I_new!CJ$5,'Entries Register (AP) '!$U$3:$U$355,K.P.I_new!$A8)</f>
        <v>0</v>
      </c>
      <c r="CK8" s="298">
        <f>+COUNTIFS('Entries Register (AP) '!$Q:$Q,K.P.I_new!$A8,'Entries Register (AP) '!$R:$R,K.P.I_new!CJ$5)</f>
        <v>0</v>
      </c>
      <c r="CL8" s="299">
        <f t="shared" ref="CL8:CL9" si="27">+CI8+CJ8-CK8</f>
        <v>0</v>
      </c>
      <c r="CM8" s="298">
        <f t="shared" ref="CM8:CN9" si="28">+SUMIF($D$6:$CL$6,CM$6,$D8:$CL8)</f>
        <v>0</v>
      </c>
      <c r="CN8" s="298">
        <f t="shared" si="28"/>
        <v>0</v>
      </c>
      <c r="CO8" s="299">
        <f t="shared" ref="CO8:CO9" si="29">+CM8-CN8</f>
        <v>0</v>
      </c>
      <c r="CP8" s="300">
        <f t="shared" ref="CP8:CP9" si="30">+CM8*50%</f>
        <v>0</v>
      </c>
      <c r="CQ8" s="300">
        <f t="shared" ref="CQ8:CQ9" si="31">+CN8-CP8</f>
        <v>0</v>
      </c>
      <c r="CR8" s="301" t="str">
        <f t="shared" ref="CR8:CR9" si="32">+IF(OR(CQ8=0,CQ8&gt;0),"OK","FAIL")</f>
        <v>OK</v>
      </c>
      <c r="CS8" s="66"/>
      <c r="CT8" s="8"/>
      <c r="CU8" s="66"/>
      <c r="CW8" s="66"/>
    </row>
    <row r="9" spans="1:102" s="13" customFormat="1" ht="32.25" customHeight="1">
      <c r="A9" s="296" t="s">
        <v>3934</v>
      </c>
      <c r="B9" s="297" t="s">
        <v>5130</v>
      </c>
      <c r="C9" s="298">
        <f>+COUNTIF('Entries Register (AP) '!$U:$U,K.P.I_new!A9)</f>
        <v>0</v>
      </c>
      <c r="D9" s="298">
        <f>+COUNTIFS('Entries Register (AP) '!$D$3:$D$355,K.P.I_new!D$5,'Entries Register (AP) '!$U$3:$U$355,K.P.I_new!$A9)</f>
        <v>0</v>
      </c>
      <c r="E9" s="298">
        <f>+COUNTIFS('Entries Register (AP) '!$Q:$Q,K.P.I_new!$A9,'Entries Register (AP) '!$R:$R,K.P.I_new!D$5)</f>
        <v>0</v>
      </c>
      <c r="F9" s="299">
        <f>+D9-E9</f>
        <v>0</v>
      </c>
      <c r="G9" s="298">
        <f>+COUNTIFS('Entries Register (AP) '!$D$3:$D$355,K.P.I_new!G$5,'Entries Register (AP) '!$U$3:$U$355,K.P.I_new!$A9)</f>
        <v>0</v>
      </c>
      <c r="H9" s="298">
        <f>+COUNTIFS('Entries Register (AP) '!$Q:$Q,K.P.I_new!$A9,'Entries Register (AP) '!$R:$R,K.P.I_new!G$5)</f>
        <v>0</v>
      </c>
      <c r="I9" s="299">
        <f t="shared" si="0"/>
        <v>0</v>
      </c>
      <c r="J9" s="298">
        <f>+COUNTIFS('Entries Register (AP) '!$D$3:$D$355,K.P.I_new!J$5,'Entries Register (AP) '!$U$3:$U$355,K.P.I_new!$A9)</f>
        <v>0</v>
      </c>
      <c r="K9" s="298">
        <f>+COUNTIFS('Entries Register (AP) '!$Q:$Q,K.P.I_new!$A9,'Entries Register (AP) '!$R:$R,K.P.I_new!J$5)</f>
        <v>0</v>
      </c>
      <c r="L9" s="299">
        <f t="shared" si="1"/>
        <v>0</v>
      </c>
      <c r="M9" s="298">
        <f>+COUNTIFS('Entries Register (AP) '!$D$3:$D$355,K.P.I_new!M$5,'Entries Register (AP) '!$U$3:$U$355,K.P.I_new!$A9)</f>
        <v>0</v>
      </c>
      <c r="N9" s="298">
        <f>+COUNTIFS('Entries Register (AP) '!$Q:$Q,K.P.I_new!$A9,'Entries Register (AP) '!$R:$R,K.P.I_new!M$5)</f>
        <v>0</v>
      </c>
      <c r="O9" s="299">
        <f t="shared" si="2"/>
        <v>0</v>
      </c>
      <c r="P9" s="298">
        <f>+COUNTIFS('Entries Register (AP) '!$D$3:$D$355,K.P.I_new!P$5,'Entries Register (AP) '!$U$3:$U$355,K.P.I_new!$A9)</f>
        <v>0</v>
      </c>
      <c r="Q9" s="298">
        <f>+COUNTIFS('Entries Register (AP) '!$Q:$Q,K.P.I_new!$A9,'Entries Register (AP) '!$R:$R,K.P.I_new!P$5)</f>
        <v>0</v>
      </c>
      <c r="R9" s="299">
        <f t="shared" si="3"/>
        <v>0</v>
      </c>
      <c r="S9" s="298">
        <f>+COUNTIFS('Entries Register (AP) '!$D$3:$D$355,K.P.I_new!S$5,'Entries Register (AP) '!$U$3:$U$355,K.P.I_new!$A9)</f>
        <v>0</v>
      </c>
      <c r="T9" s="298">
        <f>+COUNTIFS('Entries Register (AP) '!$Q:$Q,K.P.I_new!$A9,'Entries Register (AP) '!$R:$R,K.P.I_new!S$5)</f>
        <v>0</v>
      </c>
      <c r="U9" s="299">
        <f t="shared" si="4"/>
        <v>0</v>
      </c>
      <c r="V9" s="298">
        <f>+COUNTIFS('Entries Register (AP) '!$D$3:$D$355,K.P.I_new!V$5,'Entries Register (AP) '!$U$3:$U$355,K.P.I_new!$A9)</f>
        <v>0</v>
      </c>
      <c r="W9" s="298">
        <f>+COUNTIFS('Entries Register (AP) '!$Q:$Q,K.P.I_new!$A9,'Entries Register (AP) '!$R:$R,K.P.I_new!V$5)</f>
        <v>0</v>
      </c>
      <c r="X9" s="299">
        <f t="shared" si="5"/>
        <v>0</v>
      </c>
      <c r="Y9" s="298">
        <f>+COUNTIFS('Entries Register (AP) '!$D$3:$D$355,K.P.I_new!Y$5,'Entries Register (AP) '!$U$3:$U$355,K.P.I_new!$A9)</f>
        <v>0</v>
      </c>
      <c r="Z9" s="298">
        <f>+COUNTIFS('Entries Register (AP) '!$Q:$Q,K.P.I_new!$A9,'Entries Register (AP) '!$R:$R,K.P.I_new!Y$5)</f>
        <v>0</v>
      </c>
      <c r="AA9" s="299">
        <f>+X9+Y9-Z9</f>
        <v>0</v>
      </c>
      <c r="AB9" s="298">
        <f>+COUNTIFS('Entries Register (AP) '!$D$3:$D$355,K.P.I_new!AB$5,'Entries Register (AP) '!$U$3:$U$355,K.P.I_new!$A9)</f>
        <v>0</v>
      </c>
      <c r="AC9" s="298">
        <f>+COUNTIFS('Entries Register (AP) '!$Q:$Q,K.P.I_new!$A9,'Entries Register (AP) '!$R:$R,K.P.I_new!AB$5)</f>
        <v>0</v>
      </c>
      <c r="AD9" s="299">
        <f t="shared" si="7"/>
        <v>0</v>
      </c>
      <c r="AE9" s="298">
        <f>+COUNTIFS('Entries Register (AP) '!$D$3:$D$355,K.P.I_new!AE$5,'Entries Register (AP) '!$U$3:$U$355,K.P.I_new!$A9)</f>
        <v>0</v>
      </c>
      <c r="AF9" s="298">
        <f>+COUNTIFS('Entries Register (AP) '!$Q:$Q,K.P.I_new!$A9,'Entries Register (AP) '!$R:$R,K.P.I_new!AE$5)</f>
        <v>0</v>
      </c>
      <c r="AG9" s="299">
        <f t="shared" si="8"/>
        <v>0</v>
      </c>
      <c r="AH9" s="298">
        <f>+COUNTIFS('Entries Register (AP) '!$D$3:$D$355,K.P.I_new!AH$5,'Entries Register (AP) '!$U$3:$U$355,K.P.I_new!$A9)</f>
        <v>0</v>
      </c>
      <c r="AI9" s="298">
        <f>+COUNTIFS('Entries Register (AP) '!$Q:$Q,K.P.I_new!$A9,'Entries Register (AP) '!$R:$R,K.P.I_new!AH$5)</f>
        <v>0</v>
      </c>
      <c r="AJ9" s="299">
        <f t="shared" si="9"/>
        <v>0</v>
      </c>
      <c r="AK9" s="298">
        <f>+COUNTIFS('Entries Register (AP) '!$D$3:$D$355,K.P.I_new!AK$5,'Entries Register (AP) '!$U$3:$U$355,K.P.I_new!$A9)</f>
        <v>0</v>
      </c>
      <c r="AL9" s="298">
        <f>+COUNTIFS('Entries Register (AP) '!$Q:$Q,K.P.I_new!$A9,'Entries Register (AP) '!$R:$R,K.P.I_new!AK$5)</f>
        <v>0</v>
      </c>
      <c r="AM9" s="299">
        <f t="shared" si="10"/>
        <v>0</v>
      </c>
      <c r="AN9" s="298">
        <f>+COUNTIFS('Entries Register (AP) '!$D$3:$D$355,K.P.I_new!AN$5,'Entries Register (AP) '!$U$3:$U$355,K.P.I_new!$A9)</f>
        <v>0</v>
      </c>
      <c r="AO9" s="298">
        <f>+COUNTIFS('Entries Register (AP) '!$Q:$Q,K.P.I_new!$A9,'Entries Register (AP) '!$R:$R,K.P.I_new!AN$5)</f>
        <v>0</v>
      </c>
      <c r="AP9" s="299">
        <f t="shared" si="11"/>
        <v>0</v>
      </c>
      <c r="AQ9" s="298">
        <f>+COUNTIFS('Entries Register (AP) '!$D$3:$D$355,K.P.I_new!AQ$5,'Entries Register (AP) '!$U$3:$U$355,K.P.I_new!$A9)</f>
        <v>0</v>
      </c>
      <c r="AR9" s="298">
        <f>+COUNTIFS('Entries Register (AP) '!$Q:$Q,K.P.I_new!$A9,'Entries Register (AP) '!$R:$R,K.P.I_new!AQ$5)</f>
        <v>0</v>
      </c>
      <c r="AS9" s="299">
        <f t="shared" si="12"/>
        <v>0</v>
      </c>
      <c r="AT9" s="298">
        <f>+COUNTIFS('Entries Register (AP) '!$D$3:$D$355,K.P.I_new!AT$5,'Entries Register (AP) '!$U$3:$U$355,K.P.I_new!$A9)</f>
        <v>0</v>
      </c>
      <c r="AU9" s="298">
        <f>+COUNTIFS('Entries Register (AP) '!$Q:$Q,K.P.I_new!$A9,'Entries Register (AP) '!$R:$R,K.P.I_new!AT$5)</f>
        <v>0</v>
      </c>
      <c r="AV9" s="299">
        <f t="shared" si="13"/>
        <v>0</v>
      </c>
      <c r="AW9" s="298">
        <f>+COUNTIFS('Entries Register (AP) '!$D$3:$D$355,K.P.I_new!AW$5,'Entries Register (AP) '!$U$3:$U$355,K.P.I_new!$A9)</f>
        <v>0</v>
      </c>
      <c r="AX9" s="298">
        <f>+COUNTIFS('Entries Register (AP) '!$Q:$Q,K.P.I_new!$A9,'Entries Register (AP) '!$R:$R,K.P.I_new!AW$5)</f>
        <v>0</v>
      </c>
      <c r="AY9" s="299">
        <f t="shared" si="14"/>
        <v>0</v>
      </c>
      <c r="AZ9" s="298">
        <f>+COUNTIFS('Entries Register (AP) '!$D$3:$D$355,K.P.I_new!AZ$5,'Entries Register (AP) '!$U$3:$U$355,K.P.I_new!$A9)</f>
        <v>0</v>
      </c>
      <c r="BA9" s="298">
        <f>+COUNTIFS('Entries Register (AP) '!$Q:$Q,K.P.I_new!$A9,'Entries Register (AP) '!$R:$R,K.P.I_new!AZ$5)</f>
        <v>0</v>
      </c>
      <c r="BB9" s="299">
        <f t="shared" si="15"/>
        <v>0</v>
      </c>
      <c r="BC9" s="298">
        <f>+COUNTIFS('Entries Register (AP) '!$D$3:$D$355,K.P.I_new!BC$5,'Entries Register (AP) '!$U$3:$U$355,K.P.I_new!$A9)</f>
        <v>0</v>
      </c>
      <c r="BD9" s="298">
        <f>+COUNTIFS('Entries Register (AP) '!$Q:$Q,K.P.I_new!$A9,'Entries Register (AP) '!$R:$R,K.P.I_new!BC$5)</f>
        <v>0</v>
      </c>
      <c r="BE9" s="299">
        <f t="shared" si="16"/>
        <v>0</v>
      </c>
      <c r="BF9" s="298">
        <f>+COUNTIFS('Entries Register (AP) '!$D$3:$D$355,K.P.I_new!BF$5,'Entries Register (AP) '!$U$3:$U$355,K.P.I_new!$A9)</f>
        <v>0</v>
      </c>
      <c r="BG9" s="298">
        <f>+COUNTIFS('Entries Register (AP) '!$Q:$Q,K.P.I_new!$A9,'Entries Register (AP) '!$R:$R,K.P.I_new!BF$5)</f>
        <v>0</v>
      </c>
      <c r="BH9" s="299">
        <f t="shared" si="17"/>
        <v>0</v>
      </c>
      <c r="BI9" s="298">
        <f>+COUNTIFS('Entries Register (AP) '!$D$3:$D$355,K.P.I_new!BI$5,'Entries Register (AP) '!$U$3:$U$355,K.P.I_new!$A9)</f>
        <v>0</v>
      </c>
      <c r="BJ9" s="298">
        <f>+COUNTIFS('Entries Register (AP) '!$Q:$Q,K.P.I_new!$A9,'Entries Register (AP) '!$R:$R,K.P.I_new!BI$5)</f>
        <v>0</v>
      </c>
      <c r="BK9" s="299">
        <f t="shared" si="18"/>
        <v>0</v>
      </c>
      <c r="BL9" s="298">
        <f>+COUNTIFS('Entries Register (AP) '!$D$3:$D$355,K.P.I_new!BL$5,'Entries Register (AP) '!$U$3:$U$355,K.P.I_new!$A9)</f>
        <v>0</v>
      </c>
      <c r="BM9" s="298">
        <f>+COUNTIFS('Entries Register (AP) '!$Q:$Q,K.P.I_new!$A9,'Entries Register (AP) '!$R:$R,K.P.I_new!BL$5)</f>
        <v>0</v>
      </c>
      <c r="BN9" s="299">
        <f t="shared" si="19"/>
        <v>0</v>
      </c>
      <c r="BO9" s="298">
        <f>+COUNTIFS('Entries Register (AP) '!$D$3:$D$355,K.P.I_new!BO$5,'Entries Register (AP) '!$U$3:$U$355,K.P.I_new!$A9)</f>
        <v>0</v>
      </c>
      <c r="BP9" s="298">
        <f>+COUNTIFS('Entries Register (AP) '!$Q:$Q,K.P.I_new!$A9,'Entries Register (AP) '!$R:$R,K.P.I_new!BO$5)</f>
        <v>0</v>
      </c>
      <c r="BQ9" s="299">
        <f t="shared" si="20"/>
        <v>0</v>
      </c>
      <c r="BR9" s="298">
        <f>+COUNTIFS('Entries Register (AP) '!$D$3:$D$355,K.P.I_new!BR$5,'Entries Register (AP) '!$U$3:$U$355,K.P.I_new!$A9)</f>
        <v>0</v>
      </c>
      <c r="BS9" s="298">
        <f>+COUNTIFS('Entries Register (AP) '!$Q:$Q,K.P.I_new!$A9,'Entries Register (AP) '!$R:$R,K.P.I_new!BR$5)</f>
        <v>0</v>
      </c>
      <c r="BT9" s="299">
        <f t="shared" si="21"/>
        <v>0</v>
      </c>
      <c r="BU9" s="298">
        <f>+COUNTIFS('Entries Register (AP) '!$D$3:$D$355,K.P.I_new!BU$5,'Entries Register (AP) '!$U$3:$U$355,K.P.I_new!$A9)</f>
        <v>0</v>
      </c>
      <c r="BV9" s="298">
        <f>+COUNTIFS('Entries Register (AP) '!$Q:$Q,K.P.I_new!$A9,'Entries Register (AP) '!$R:$R,K.P.I_new!BU$5)</f>
        <v>0</v>
      </c>
      <c r="BW9" s="299">
        <f t="shared" si="22"/>
        <v>0</v>
      </c>
      <c r="BX9" s="298">
        <f>+COUNTIFS('Entries Register (AP) '!$D$3:$D$355,K.P.I_new!BX$5,'Entries Register (AP) '!$U$3:$U$355,K.P.I_new!$A9)</f>
        <v>0</v>
      </c>
      <c r="BY9" s="298">
        <f>+COUNTIFS('Entries Register (AP) '!$Q:$Q,K.P.I_new!$A9,'Entries Register (AP) '!$R:$R,K.P.I_new!BX$5)</f>
        <v>0</v>
      </c>
      <c r="BZ9" s="299">
        <f t="shared" si="23"/>
        <v>0</v>
      </c>
      <c r="CA9" s="298">
        <f>+COUNTIFS('Entries Register (AP) '!$D$3:$D$355,K.P.I_new!CA$5,'Entries Register (AP) '!$U$3:$U$355,K.P.I_new!$A9)</f>
        <v>0</v>
      </c>
      <c r="CB9" s="298">
        <f>+COUNTIFS('Entries Register (AP) '!$Q:$Q,K.P.I_new!$A9,'Entries Register (AP) '!$R:$R,K.P.I_new!CA$5)</f>
        <v>0</v>
      </c>
      <c r="CC9" s="299">
        <f t="shared" si="24"/>
        <v>0</v>
      </c>
      <c r="CD9" s="298">
        <f>+COUNTIFS('Entries Register (AP) '!$D$3:$D$355,K.P.I_new!CD$5,'Entries Register (AP) '!$U$3:$U$355,K.P.I_new!$A9)</f>
        <v>0</v>
      </c>
      <c r="CE9" s="298">
        <f>+COUNTIFS('Entries Register (AP) '!$Q:$Q,K.P.I_new!$A9,'Entries Register (AP) '!$R:$R,K.P.I_new!CD$5)</f>
        <v>0</v>
      </c>
      <c r="CF9" s="299">
        <f t="shared" si="25"/>
        <v>0</v>
      </c>
      <c r="CG9" s="298">
        <f>+COUNTIFS('Entries Register (AP) '!$D$3:$D$355,K.P.I_new!CG$5,'Entries Register (AP) '!$U$3:$U$355,K.P.I_new!$A9)</f>
        <v>0</v>
      </c>
      <c r="CH9" s="298">
        <f>+COUNTIFS('Entries Register (AP) '!$Q:$Q,K.P.I_new!$A9,'Entries Register (AP) '!$R:$R,K.P.I_new!CG$5)</f>
        <v>0</v>
      </c>
      <c r="CI9" s="299">
        <f t="shared" si="26"/>
        <v>0</v>
      </c>
      <c r="CJ9" s="298">
        <f>+COUNTIFS('Entries Register (AP) '!$D$3:$D$355,K.P.I_new!CJ$5,'Entries Register (AP) '!$U$3:$U$355,K.P.I_new!$A9)</f>
        <v>0</v>
      </c>
      <c r="CK9" s="298">
        <f>+COUNTIFS('Entries Register (AP) '!$Q:$Q,K.P.I_new!$A9,'Entries Register (AP) '!$R:$R,K.P.I_new!CJ$5)</f>
        <v>0</v>
      </c>
      <c r="CL9" s="299">
        <f t="shared" si="27"/>
        <v>0</v>
      </c>
      <c r="CM9" s="298">
        <f t="shared" si="28"/>
        <v>0</v>
      </c>
      <c r="CN9" s="298">
        <f t="shared" si="28"/>
        <v>0</v>
      </c>
      <c r="CO9" s="299">
        <f t="shared" si="29"/>
        <v>0</v>
      </c>
      <c r="CP9" s="300">
        <f t="shared" si="30"/>
        <v>0</v>
      </c>
      <c r="CQ9" s="300">
        <f t="shared" si="31"/>
        <v>0</v>
      </c>
      <c r="CR9" s="301" t="str">
        <f t="shared" si="32"/>
        <v>OK</v>
      </c>
      <c r="CS9" s="66"/>
      <c r="CT9" s="8"/>
      <c r="CU9" s="66"/>
      <c r="CW9" s="66"/>
    </row>
    <row r="10" spans="1:102" s="98" customFormat="1" ht="32.25" customHeight="1">
      <c r="A10" s="302" t="s">
        <v>3942</v>
      </c>
      <c r="B10" s="303"/>
      <c r="C10" s="303">
        <f>+SUBTOTAL(9,C7:C9)</f>
        <v>0</v>
      </c>
      <c r="D10" s="304">
        <f t="shared" ref="D10:BO10" si="33">+SUBTOTAL(9,D7:D9)</f>
        <v>0</v>
      </c>
      <c r="E10" s="304">
        <f t="shared" si="33"/>
        <v>0</v>
      </c>
      <c r="F10" s="305">
        <f t="shared" si="33"/>
        <v>0</v>
      </c>
      <c r="G10" s="304">
        <f t="shared" si="33"/>
        <v>0</v>
      </c>
      <c r="H10" s="304">
        <f t="shared" si="33"/>
        <v>0</v>
      </c>
      <c r="I10" s="305">
        <f t="shared" si="33"/>
        <v>0</v>
      </c>
      <c r="J10" s="304">
        <f t="shared" si="33"/>
        <v>0</v>
      </c>
      <c r="K10" s="304">
        <f t="shared" si="33"/>
        <v>0</v>
      </c>
      <c r="L10" s="305">
        <f t="shared" si="33"/>
        <v>0</v>
      </c>
      <c r="M10" s="304">
        <f t="shared" si="33"/>
        <v>0</v>
      </c>
      <c r="N10" s="304">
        <f t="shared" si="33"/>
        <v>0</v>
      </c>
      <c r="O10" s="305">
        <f t="shared" si="33"/>
        <v>0</v>
      </c>
      <c r="P10" s="304">
        <f t="shared" si="33"/>
        <v>0</v>
      </c>
      <c r="Q10" s="304">
        <f t="shared" si="33"/>
        <v>0</v>
      </c>
      <c r="R10" s="305">
        <f t="shared" si="33"/>
        <v>0</v>
      </c>
      <c r="S10" s="304">
        <f t="shared" si="33"/>
        <v>0</v>
      </c>
      <c r="T10" s="304">
        <f t="shared" si="33"/>
        <v>0</v>
      </c>
      <c r="U10" s="305">
        <f t="shared" si="33"/>
        <v>0</v>
      </c>
      <c r="V10" s="304">
        <f t="shared" si="33"/>
        <v>0</v>
      </c>
      <c r="W10" s="304">
        <f t="shared" si="33"/>
        <v>0</v>
      </c>
      <c r="X10" s="305">
        <f>+SUBTOTAL(9,X7:X9)</f>
        <v>0</v>
      </c>
      <c r="Y10" s="304">
        <f t="shared" si="33"/>
        <v>0</v>
      </c>
      <c r="Z10" s="304">
        <f t="shared" si="33"/>
        <v>0</v>
      </c>
      <c r="AA10" s="305">
        <f t="shared" si="33"/>
        <v>0</v>
      </c>
      <c r="AB10" s="304">
        <f t="shared" si="33"/>
        <v>0</v>
      </c>
      <c r="AC10" s="304">
        <f t="shared" si="33"/>
        <v>0</v>
      </c>
      <c r="AD10" s="305">
        <f t="shared" si="33"/>
        <v>0</v>
      </c>
      <c r="AE10" s="304">
        <f t="shared" si="33"/>
        <v>0</v>
      </c>
      <c r="AF10" s="304">
        <f t="shared" si="33"/>
        <v>0</v>
      </c>
      <c r="AG10" s="305">
        <f t="shared" si="33"/>
        <v>0</v>
      </c>
      <c r="AH10" s="304">
        <f t="shared" si="33"/>
        <v>0</v>
      </c>
      <c r="AI10" s="304">
        <f t="shared" si="33"/>
        <v>0</v>
      </c>
      <c r="AJ10" s="305">
        <f t="shared" si="33"/>
        <v>0</v>
      </c>
      <c r="AK10" s="304">
        <f t="shared" si="33"/>
        <v>0</v>
      </c>
      <c r="AL10" s="304">
        <f t="shared" si="33"/>
        <v>0</v>
      </c>
      <c r="AM10" s="305">
        <f t="shared" si="33"/>
        <v>0</v>
      </c>
      <c r="AN10" s="304">
        <f t="shared" si="33"/>
        <v>0</v>
      </c>
      <c r="AO10" s="304">
        <f t="shared" si="33"/>
        <v>0</v>
      </c>
      <c r="AP10" s="305">
        <f t="shared" si="33"/>
        <v>0</v>
      </c>
      <c r="AQ10" s="304">
        <f t="shared" si="33"/>
        <v>0</v>
      </c>
      <c r="AR10" s="304">
        <f t="shared" si="33"/>
        <v>0</v>
      </c>
      <c r="AS10" s="305">
        <f t="shared" si="33"/>
        <v>0</v>
      </c>
      <c r="AT10" s="304">
        <f t="shared" si="33"/>
        <v>0</v>
      </c>
      <c r="AU10" s="304">
        <f t="shared" si="33"/>
        <v>0</v>
      </c>
      <c r="AV10" s="305">
        <f t="shared" si="33"/>
        <v>0</v>
      </c>
      <c r="AW10" s="304">
        <f t="shared" si="33"/>
        <v>0</v>
      </c>
      <c r="AX10" s="304">
        <f t="shared" si="33"/>
        <v>0</v>
      </c>
      <c r="AY10" s="305">
        <f t="shared" si="33"/>
        <v>0</v>
      </c>
      <c r="AZ10" s="304">
        <f t="shared" si="33"/>
        <v>0</v>
      </c>
      <c r="BA10" s="304">
        <f t="shared" si="33"/>
        <v>0</v>
      </c>
      <c r="BB10" s="305">
        <f t="shared" si="33"/>
        <v>0</v>
      </c>
      <c r="BC10" s="304">
        <f t="shared" si="33"/>
        <v>0</v>
      </c>
      <c r="BD10" s="304">
        <f t="shared" si="33"/>
        <v>0</v>
      </c>
      <c r="BE10" s="305">
        <f t="shared" si="33"/>
        <v>0</v>
      </c>
      <c r="BF10" s="304">
        <f t="shared" si="33"/>
        <v>0</v>
      </c>
      <c r="BG10" s="304">
        <f t="shared" si="33"/>
        <v>0</v>
      </c>
      <c r="BH10" s="305">
        <f t="shared" si="33"/>
        <v>0</v>
      </c>
      <c r="BI10" s="304">
        <f t="shared" si="33"/>
        <v>0</v>
      </c>
      <c r="BJ10" s="304">
        <f t="shared" si="33"/>
        <v>0</v>
      </c>
      <c r="BK10" s="305">
        <f t="shared" si="33"/>
        <v>0</v>
      </c>
      <c r="BL10" s="304">
        <f t="shared" si="33"/>
        <v>0</v>
      </c>
      <c r="BM10" s="304">
        <f t="shared" si="33"/>
        <v>0</v>
      </c>
      <c r="BN10" s="305">
        <f t="shared" si="33"/>
        <v>0</v>
      </c>
      <c r="BO10" s="304">
        <f t="shared" si="33"/>
        <v>0</v>
      </c>
      <c r="BP10" s="304">
        <f t="shared" ref="BP10:CO10" si="34">+SUBTOTAL(9,BP7:BP9)</f>
        <v>0</v>
      </c>
      <c r="BQ10" s="305">
        <f t="shared" si="34"/>
        <v>0</v>
      </c>
      <c r="BR10" s="304">
        <f t="shared" si="34"/>
        <v>0</v>
      </c>
      <c r="BS10" s="304">
        <f t="shared" si="34"/>
        <v>0</v>
      </c>
      <c r="BT10" s="305">
        <f t="shared" si="34"/>
        <v>0</v>
      </c>
      <c r="BU10" s="304">
        <f t="shared" si="34"/>
        <v>0</v>
      </c>
      <c r="BV10" s="304">
        <f t="shared" si="34"/>
        <v>0</v>
      </c>
      <c r="BW10" s="305">
        <f t="shared" si="34"/>
        <v>0</v>
      </c>
      <c r="BX10" s="304">
        <f t="shared" si="34"/>
        <v>0</v>
      </c>
      <c r="BY10" s="304">
        <f t="shared" si="34"/>
        <v>0</v>
      </c>
      <c r="BZ10" s="305">
        <f t="shared" si="34"/>
        <v>0</v>
      </c>
      <c r="CA10" s="304">
        <f t="shared" si="34"/>
        <v>0</v>
      </c>
      <c r="CB10" s="304">
        <f t="shared" si="34"/>
        <v>0</v>
      </c>
      <c r="CC10" s="305">
        <f t="shared" si="34"/>
        <v>0</v>
      </c>
      <c r="CD10" s="304">
        <f t="shared" si="34"/>
        <v>0</v>
      </c>
      <c r="CE10" s="304">
        <f t="shared" si="34"/>
        <v>0</v>
      </c>
      <c r="CF10" s="305">
        <f t="shared" si="34"/>
        <v>0</v>
      </c>
      <c r="CG10" s="304">
        <f t="shared" si="34"/>
        <v>0</v>
      </c>
      <c r="CH10" s="304">
        <f t="shared" si="34"/>
        <v>0</v>
      </c>
      <c r="CI10" s="305">
        <f t="shared" si="34"/>
        <v>0</v>
      </c>
      <c r="CJ10" s="304">
        <f t="shared" si="34"/>
        <v>0</v>
      </c>
      <c r="CK10" s="304">
        <f t="shared" si="34"/>
        <v>0</v>
      </c>
      <c r="CL10" s="305">
        <f t="shared" si="34"/>
        <v>0</v>
      </c>
      <c r="CM10" s="304">
        <f t="shared" si="34"/>
        <v>0</v>
      </c>
      <c r="CN10" s="304">
        <f t="shared" si="34"/>
        <v>0</v>
      </c>
      <c r="CO10" s="305">
        <f t="shared" si="34"/>
        <v>0</v>
      </c>
      <c r="CP10" s="306"/>
      <c r="CQ10" s="306"/>
      <c r="CR10" s="307"/>
      <c r="CS10" s="66"/>
      <c r="CT10" s="8"/>
    </row>
    <row r="11" spans="1:102" s="13" customFormat="1" ht="24" customHeight="1">
      <c r="A11" s="18"/>
      <c r="B11" s="18"/>
      <c r="C11" s="13">
        <f>+COUNT('Entries Register (AP) '!F4:F800)</f>
        <v>1</v>
      </c>
      <c r="F11" s="282"/>
      <c r="I11" s="282"/>
      <c r="L11" s="282"/>
      <c r="O11" s="282"/>
      <c r="R11" s="282"/>
      <c r="U11" s="282"/>
      <c r="X11" s="282"/>
      <c r="AA11" s="282"/>
      <c r="AD11" s="282"/>
      <c r="AG11" s="282"/>
      <c r="AJ11" s="282"/>
      <c r="AM11" s="282"/>
      <c r="AP11" s="282"/>
      <c r="AS11" s="282"/>
      <c r="AV11" s="282"/>
      <c r="AY11" s="282"/>
      <c r="BB11" s="282"/>
      <c r="BE11" s="282"/>
      <c r="BH11" s="282"/>
      <c r="BK11" s="282"/>
      <c r="BN11" s="282"/>
      <c r="BQ11" s="282"/>
      <c r="BT11" s="282"/>
      <c r="BW11" s="282"/>
      <c r="BZ11" s="282"/>
      <c r="CC11" s="282"/>
      <c r="CF11" s="282"/>
      <c r="CI11" s="282"/>
      <c r="CL11" s="282"/>
      <c r="CO11" s="282"/>
      <c r="CP11" s="282"/>
      <c r="CQ11" s="282"/>
      <c r="CR11" s="20"/>
      <c r="CT11" s="8"/>
      <c r="CX11" s="66"/>
    </row>
    <row r="12" spans="1:102" ht="24" customHeight="1">
      <c r="CG12" s="136"/>
      <c r="CH12" s="136"/>
      <c r="CI12" s="308"/>
      <c r="CJ12" s="136"/>
      <c r="CK12" s="136"/>
      <c r="CL12" s="308"/>
      <c r="CM12" s="136"/>
      <c r="CN12" s="136"/>
      <c r="CO12" s="308"/>
      <c r="CP12" s="308"/>
      <c r="CQ12" s="308"/>
      <c r="CR12" s="136"/>
      <c r="CS12" s="136"/>
    </row>
    <row r="13" spans="1:102" ht="24" customHeight="1">
      <c r="C13" s="136"/>
    </row>
  </sheetData>
  <pageMargins left="0.25" right="0.25" top="0.5" bottom="0.25" header="0.3" footer="0.3"/>
  <pageSetup paperSize="9" scale="85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500"/>
  <sheetViews>
    <sheetView showGridLines="0" workbookViewId="0">
      <selection activeCell="C5" sqref="C5:C500"/>
    </sheetView>
  </sheetViews>
  <sheetFormatPr defaultRowHeight="17.25" customHeight="1"/>
  <cols>
    <col min="1" max="2" width="9.33203125" style="1"/>
    <col min="3" max="4" width="18.83203125" style="1" customWidth="1"/>
    <col min="5" max="6" width="40.1640625" style="1" customWidth="1"/>
    <col min="7" max="7" width="18.5" style="1" customWidth="1"/>
    <col min="8" max="9" width="9.33203125" style="1"/>
    <col min="10" max="10" width="10.1640625" style="1" bestFit="1" customWidth="1"/>
    <col min="11" max="16384" width="9.33203125" style="1"/>
  </cols>
  <sheetData>
    <row r="1" spans="1:16" ht="17.25" customHeight="1">
      <c r="A1" s="109"/>
      <c r="C1" s="2"/>
      <c r="D1" s="110"/>
      <c r="E1" s="111"/>
      <c r="F1" s="111"/>
    </row>
    <row r="2" spans="1:16" ht="17.25" customHeight="1">
      <c r="C2" s="2"/>
      <c r="D2" s="110"/>
      <c r="E2" s="113"/>
      <c r="F2" s="111"/>
    </row>
    <row r="3" spans="1:16" ht="17.25" customHeight="1">
      <c r="B3" s="141" t="s">
        <v>4019</v>
      </c>
      <c r="C3" s="114" t="s">
        <v>3939</v>
      </c>
      <c r="D3" s="115" t="s">
        <v>10</v>
      </c>
      <c r="E3" s="116" t="s">
        <v>3938</v>
      </c>
      <c r="F3" s="145" t="s">
        <v>5134</v>
      </c>
      <c r="G3" s="116" t="s">
        <v>5129</v>
      </c>
      <c r="P3" s="121"/>
    </row>
    <row r="4" spans="1:16" ht="17.25" customHeight="1">
      <c r="B4" s="149"/>
      <c r="C4" s="330">
        <v>1</v>
      </c>
      <c r="D4" s="118"/>
      <c r="E4" s="188"/>
      <c r="F4" s="119"/>
      <c r="G4" s="140"/>
      <c r="H4" s="120"/>
      <c r="P4" s="121"/>
    </row>
    <row r="5" spans="1:16" ht="17.25" customHeight="1">
      <c r="B5" s="149"/>
      <c r="C5" s="330" t="str">
        <f t="shared" ref="C5:C68" si="0">IF(D5&lt;&gt;0,C4+1,"")</f>
        <v/>
      </c>
      <c r="D5" s="118"/>
      <c r="E5" s="188"/>
      <c r="F5" s="119"/>
      <c r="G5" s="140"/>
      <c r="H5" s="120"/>
      <c r="P5" s="121"/>
    </row>
    <row r="6" spans="1:16" ht="17.25" customHeight="1">
      <c r="B6" s="149"/>
      <c r="C6" s="330" t="str">
        <f t="shared" si="0"/>
        <v/>
      </c>
      <c r="D6" s="118"/>
      <c r="E6" s="188"/>
      <c r="F6" s="119"/>
      <c r="G6" s="140"/>
      <c r="H6" s="120"/>
      <c r="P6" s="121"/>
    </row>
    <row r="7" spans="1:16" ht="17.25" customHeight="1">
      <c r="B7" s="149"/>
      <c r="C7" s="330" t="str">
        <f t="shared" si="0"/>
        <v/>
      </c>
      <c r="D7" s="118"/>
      <c r="E7" s="188"/>
      <c r="F7" s="119"/>
      <c r="G7" s="140"/>
      <c r="H7" s="120"/>
      <c r="P7" s="121"/>
    </row>
    <row r="8" spans="1:16" ht="17.25" customHeight="1">
      <c r="B8" s="149"/>
      <c r="C8" s="330" t="str">
        <f t="shared" si="0"/>
        <v/>
      </c>
      <c r="D8" s="118"/>
      <c r="E8" s="188"/>
      <c r="F8" s="119"/>
      <c r="G8" s="140"/>
      <c r="H8" s="120"/>
      <c r="P8" s="121"/>
    </row>
    <row r="9" spans="1:16" ht="17.25" customHeight="1">
      <c r="B9" s="149"/>
      <c r="C9" s="330" t="str">
        <f t="shared" si="0"/>
        <v/>
      </c>
      <c r="D9" s="118"/>
      <c r="E9" s="188"/>
      <c r="F9" s="119"/>
      <c r="G9" s="140"/>
      <c r="H9" s="120"/>
      <c r="P9" s="121"/>
    </row>
    <row r="10" spans="1:16" ht="17.25" customHeight="1">
      <c r="B10" s="149"/>
      <c r="C10" s="330" t="str">
        <f t="shared" si="0"/>
        <v/>
      </c>
      <c r="D10" s="118"/>
      <c r="E10" s="188"/>
      <c r="F10" s="119"/>
      <c r="G10" s="140"/>
      <c r="H10" s="120"/>
      <c r="P10" s="121"/>
    </row>
    <row r="11" spans="1:16" ht="17.25" customHeight="1">
      <c r="B11" s="149"/>
      <c r="C11" s="330" t="str">
        <f t="shared" si="0"/>
        <v/>
      </c>
      <c r="D11" s="118"/>
      <c r="E11" s="188"/>
      <c r="F11" s="119"/>
      <c r="G11" s="140"/>
      <c r="H11" s="120"/>
      <c r="P11" s="121"/>
    </row>
    <row r="12" spans="1:16" ht="17.25" customHeight="1">
      <c r="B12" s="149"/>
      <c r="C12" s="330" t="str">
        <f t="shared" si="0"/>
        <v/>
      </c>
      <c r="D12" s="118"/>
      <c r="E12" s="188"/>
      <c r="F12" s="119"/>
      <c r="G12" s="140"/>
      <c r="H12" s="120"/>
      <c r="P12" s="121"/>
    </row>
    <row r="13" spans="1:16" ht="17.25" customHeight="1">
      <c r="B13" s="149"/>
      <c r="C13" s="330" t="str">
        <f t="shared" si="0"/>
        <v/>
      </c>
      <c r="D13" s="118"/>
      <c r="E13" s="188"/>
      <c r="F13" s="119"/>
      <c r="G13" s="140"/>
      <c r="H13" s="120"/>
      <c r="P13" s="121"/>
    </row>
    <row r="14" spans="1:16" ht="17.25" customHeight="1">
      <c r="B14" s="149"/>
      <c r="C14" s="330" t="str">
        <f t="shared" si="0"/>
        <v/>
      </c>
      <c r="D14" s="118"/>
      <c r="E14" s="188"/>
      <c r="F14" s="119"/>
      <c r="G14" s="140"/>
      <c r="H14" s="120"/>
      <c r="P14" s="121"/>
    </row>
    <row r="15" spans="1:16" ht="17.25" customHeight="1">
      <c r="B15" s="149"/>
      <c r="C15" s="330" t="str">
        <f t="shared" si="0"/>
        <v/>
      </c>
      <c r="D15" s="118"/>
      <c r="E15" s="188"/>
      <c r="F15" s="119"/>
      <c r="G15" s="140"/>
      <c r="H15" s="120"/>
      <c r="P15" s="121"/>
    </row>
    <row r="16" spans="1:16" ht="17.25" customHeight="1">
      <c r="B16" s="149"/>
      <c r="C16" s="330" t="str">
        <f t="shared" si="0"/>
        <v/>
      </c>
      <c r="D16" s="118"/>
      <c r="E16" s="188"/>
      <c r="F16" s="119"/>
      <c r="G16" s="140"/>
      <c r="H16" s="120"/>
      <c r="P16" s="121"/>
    </row>
    <row r="17" spans="2:16" ht="17.25" customHeight="1">
      <c r="B17" s="149"/>
      <c r="C17" s="330" t="str">
        <f t="shared" si="0"/>
        <v/>
      </c>
      <c r="D17" s="118"/>
      <c r="E17" s="188"/>
      <c r="F17" s="119"/>
      <c r="G17" s="140"/>
      <c r="H17" s="120"/>
      <c r="P17" s="121"/>
    </row>
    <row r="18" spans="2:16" ht="17.25" customHeight="1">
      <c r="B18" s="149"/>
      <c r="C18" s="330" t="str">
        <f t="shared" si="0"/>
        <v/>
      </c>
      <c r="D18" s="118"/>
      <c r="E18" s="188"/>
      <c r="F18" s="119"/>
      <c r="G18" s="140"/>
      <c r="H18" s="120"/>
    </row>
    <row r="19" spans="2:16" ht="17.25" customHeight="1">
      <c r="B19" s="149"/>
      <c r="C19" s="330" t="str">
        <f t="shared" si="0"/>
        <v/>
      </c>
      <c r="D19" s="118"/>
      <c r="E19" s="188"/>
      <c r="F19" s="119"/>
      <c r="G19" s="140"/>
    </row>
    <row r="20" spans="2:16" ht="17.25" customHeight="1">
      <c r="B20" s="149"/>
      <c r="C20" s="330" t="str">
        <f t="shared" si="0"/>
        <v/>
      </c>
      <c r="D20" s="118"/>
      <c r="E20" s="188"/>
      <c r="F20" s="119"/>
      <c r="G20" s="140"/>
    </row>
    <row r="21" spans="2:16" ht="17.25" customHeight="1">
      <c r="B21" s="149"/>
      <c r="C21" s="330" t="str">
        <f t="shared" si="0"/>
        <v/>
      </c>
      <c r="D21" s="118"/>
      <c r="E21" s="188"/>
      <c r="F21" s="119"/>
      <c r="G21" s="140"/>
    </row>
    <row r="22" spans="2:16" ht="17.25" customHeight="1">
      <c r="B22" s="149"/>
      <c r="C22" s="330" t="str">
        <f t="shared" si="0"/>
        <v/>
      </c>
      <c r="D22" s="118"/>
      <c r="E22" s="188"/>
      <c r="F22" s="119"/>
      <c r="G22" s="140"/>
    </row>
    <row r="23" spans="2:16" ht="17.25" customHeight="1">
      <c r="B23" s="149"/>
      <c r="C23" s="330" t="str">
        <f t="shared" si="0"/>
        <v/>
      </c>
      <c r="D23" s="118"/>
      <c r="E23" s="188"/>
      <c r="F23" s="119"/>
      <c r="G23" s="140"/>
    </row>
    <row r="24" spans="2:16" ht="17.25" customHeight="1">
      <c r="B24" s="149"/>
      <c r="C24" s="330" t="str">
        <f t="shared" si="0"/>
        <v/>
      </c>
      <c r="D24" s="118"/>
      <c r="E24" s="188"/>
      <c r="F24" s="119"/>
      <c r="G24" s="140"/>
    </row>
    <row r="25" spans="2:16" ht="17.25" customHeight="1">
      <c r="B25" s="149"/>
      <c r="C25" s="330" t="str">
        <f t="shared" si="0"/>
        <v/>
      </c>
      <c r="D25" s="118"/>
      <c r="E25" s="188"/>
      <c r="F25" s="119"/>
      <c r="G25" s="140"/>
    </row>
    <row r="26" spans="2:16" ht="17.25" customHeight="1">
      <c r="B26" s="149"/>
      <c r="C26" s="330" t="str">
        <f t="shared" si="0"/>
        <v/>
      </c>
      <c r="D26" s="118"/>
      <c r="E26" s="188"/>
      <c r="F26" s="119"/>
      <c r="G26" s="140"/>
    </row>
    <row r="27" spans="2:16" ht="17.25" customHeight="1">
      <c r="B27" s="149"/>
      <c r="C27" s="330" t="str">
        <f t="shared" si="0"/>
        <v/>
      </c>
      <c r="D27" s="118"/>
      <c r="E27" s="188"/>
      <c r="F27" s="119"/>
      <c r="G27" s="140"/>
    </row>
    <row r="28" spans="2:16" ht="17.25" customHeight="1">
      <c r="B28" s="149"/>
      <c r="C28" s="330" t="str">
        <f t="shared" si="0"/>
        <v/>
      </c>
      <c r="D28" s="118"/>
      <c r="E28" s="188"/>
      <c r="F28" s="119"/>
      <c r="G28" s="140"/>
    </row>
    <row r="29" spans="2:16" ht="17.25" customHeight="1">
      <c r="B29" s="149"/>
      <c r="C29" s="330" t="str">
        <f t="shared" si="0"/>
        <v/>
      </c>
      <c r="D29" s="118"/>
      <c r="E29" s="188"/>
      <c r="F29" s="119"/>
      <c r="G29" s="140"/>
    </row>
    <row r="30" spans="2:16" ht="17.25" customHeight="1">
      <c r="B30" s="149"/>
      <c r="C30" s="330" t="str">
        <f t="shared" si="0"/>
        <v/>
      </c>
      <c r="D30" s="118"/>
      <c r="E30" s="188"/>
      <c r="F30" s="119"/>
      <c r="G30" s="140"/>
    </row>
    <row r="31" spans="2:16" ht="17.25" customHeight="1">
      <c r="B31" s="149"/>
      <c r="C31" s="330" t="str">
        <f t="shared" si="0"/>
        <v/>
      </c>
      <c r="D31" s="118"/>
      <c r="E31" s="188"/>
      <c r="F31" s="119"/>
      <c r="G31" s="140"/>
    </row>
    <row r="32" spans="2:16" ht="17.25" customHeight="1">
      <c r="B32" s="149"/>
      <c r="C32" s="330" t="str">
        <f t="shared" si="0"/>
        <v/>
      </c>
      <c r="D32" s="118"/>
      <c r="E32" s="188"/>
      <c r="F32" s="119"/>
      <c r="G32" s="140"/>
    </row>
    <row r="33" spans="2:7" ht="17.25" customHeight="1">
      <c r="B33" s="149"/>
      <c r="C33" s="330" t="str">
        <f t="shared" si="0"/>
        <v/>
      </c>
      <c r="D33" s="118"/>
      <c r="E33" s="188"/>
      <c r="F33" s="119"/>
      <c r="G33" s="140"/>
    </row>
    <row r="34" spans="2:7" ht="17.25" customHeight="1">
      <c r="B34" s="149"/>
      <c r="C34" s="330" t="str">
        <f t="shared" si="0"/>
        <v/>
      </c>
      <c r="D34" s="118"/>
      <c r="E34" s="188"/>
      <c r="F34" s="119"/>
      <c r="G34" s="140"/>
    </row>
    <row r="35" spans="2:7" ht="17.25" customHeight="1">
      <c r="B35" s="149"/>
      <c r="C35" s="330" t="str">
        <f t="shared" si="0"/>
        <v/>
      </c>
      <c r="D35" s="118"/>
      <c r="E35" s="188"/>
      <c r="F35" s="119"/>
      <c r="G35" s="140"/>
    </row>
    <row r="36" spans="2:7" ht="17.25" customHeight="1">
      <c r="B36" s="149"/>
      <c r="C36" s="330" t="str">
        <f t="shared" si="0"/>
        <v/>
      </c>
      <c r="D36" s="118"/>
      <c r="E36" s="188"/>
      <c r="F36" s="119"/>
      <c r="G36" s="140"/>
    </row>
    <row r="37" spans="2:7" ht="17.25" customHeight="1">
      <c r="B37" s="149"/>
      <c r="C37" s="330" t="str">
        <f t="shared" si="0"/>
        <v/>
      </c>
      <c r="D37" s="118"/>
      <c r="E37" s="188"/>
      <c r="F37" s="119"/>
      <c r="G37" s="140"/>
    </row>
    <row r="38" spans="2:7" ht="17.25" customHeight="1">
      <c r="B38" s="149"/>
      <c r="C38" s="330" t="str">
        <f t="shared" si="0"/>
        <v/>
      </c>
      <c r="D38" s="118"/>
      <c r="E38" s="188"/>
      <c r="F38" s="119"/>
      <c r="G38" s="140"/>
    </row>
    <row r="39" spans="2:7" ht="17.25" customHeight="1">
      <c r="B39" s="149"/>
      <c r="C39" s="330" t="str">
        <f t="shared" si="0"/>
        <v/>
      </c>
      <c r="D39" s="118"/>
      <c r="E39" s="188"/>
      <c r="F39" s="119"/>
      <c r="G39" s="140"/>
    </row>
    <row r="40" spans="2:7" ht="17.25" customHeight="1">
      <c r="B40" s="149"/>
      <c r="C40" s="330" t="str">
        <f t="shared" si="0"/>
        <v/>
      </c>
      <c r="D40" s="118"/>
      <c r="E40" s="188"/>
      <c r="F40" s="119"/>
      <c r="G40" s="140"/>
    </row>
    <row r="41" spans="2:7" ht="17.25" customHeight="1">
      <c r="B41" s="149"/>
      <c r="C41" s="330" t="str">
        <f t="shared" si="0"/>
        <v/>
      </c>
      <c r="D41" s="118"/>
      <c r="E41" s="188"/>
      <c r="F41" s="119"/>
      <c r="G41" s="140"/>
    </row>
    <row r="42" spans="2:7" ht="17.25" customHeight="1">
      <c r="B42" s="149"/>
      <c r="C42" s="330" t="str">
        <f t="shared" si="0"/>
        <v/>
      </c>
      <c r="D42" s="118"/>
      <c r="E42" s="188"/>
      <c r="F42" s="119"/>
      <c r="G42" s="140"/>
    </row>
    <row r="43" spans="2:7" ht="17.25" customHeight="1">
      <c r="B43" s="149"/>
      <c r="C43" s="330" t="str">
        <f t="shared" si="0"/>
        <v/>
      </c>
      <c r="D43" s="118"/>
      <c r="E43" s="188"/>
      <c r="F43" s="119"/>
      <c r="G43" s="140"/>
    </row>
    <row r="44" spans="2:7" ht="17.25" customHeight="1">
      <c r="B44" s="149"/>
      <c r="C44" s="330" t="str">
        <f t="shared" si="0"/>
        <v/>
      </c>
      <c r="D44" s="118"/>
      <c r="E44" s="188"/>
      <c r="F44" s="119"/>
      <c r="G44" s="140"/>
    </row>
    <row r="45" spans="2:7" ht="17.25" customHeight="1">
      <c r="B45" s="149"/>
      <c r="C45" s="330" t="str">
        <f t="shared" si="0"/>
        <v/>
      </c>
      <c r="D45" s="118"/>
      <c r="E45" s="188"/>
      <c r="F45" s="119"/>
      <c r="G45" s="140"/>
    </row>
    <row r="46" spans="2:7" ht="17.25" customHeight="1">
      <c r="B46" s="149"/>
      <c r="C46" s="330" t="str">
        <f t="shared" si="0"/>
        <v/>
      </c>
      <c r="D46" s="118"/>
      <c r="E46" s="188"/>
      <c r="F46" s="119"/>
      <c r="G46" s="140"/>
    </row>
    <row r="47" spans="2:7" ht="17.25" customHeight="1">
      <c r="B47" s="149"/>
      <c r="C47" s="330" t="str">
        <f t="shared" si="0"/>
        <v/>
      </c>
      <c r="D47" s="118"/>
      <c r="E47" s="188"/>
      <c r="F47" s="119"/>
      <c r="G47" s="140"/>
    </row>
    <row r="48" spans="2:7" ht="17.25" customHeight="1">
      <c r="B48" s="149"/>
      <c r="C48" s="330" t="str">
        <f t="shared" si="0"/>
        <v/>
      </c>
      <c r="D48" s="118"/>
      <c r="E48" s="188"/>
      <c r="F48" s="119"/>
      <c r="G48" s="140"/>
    </row>
    <row r="49" spans="2:7" ht="17.25" customHeight="1">
      <c r="B49" s="149"/>
      <c r="C49" s="330" t="str">
        <f t="shared" si="0"/>
        <v/>
      </c>
      <c r="D49" s="118"/>
      <c r="E49" s="188"/>
      <c r="F49" s="119"/>
      <c r="G49" s="140"/>
    </row>
    <row r="50" spans="2:7" ht="17.25" customHeight="1">
      <c r="B50" s="149"/>
      <c r="C50" s="330" t="str">
        <f t="shared" si="0"/>
        <v/>
      </c>
      <c r="D50" s="118"/>
      <c r="E50" s="188"/>
      <c r="F50" s="119"/>
      <c r="G50" s="140"/>
    </row>
    <row r="51" spans="2:7" ht="17.25" customHeight="1">
      <c r="B51" s="149"/>
      <c r="C51" s="330" t="str">
        <f t="shared" si="0"/>
        <v/>
      </c>
      <c r="D51" s="118"/>
      <c r="E51" s="188"/>
      <c r="F51" s="119"/>
      <c r="G51" s="140"/>
    </row>
    <row r="52" spans="2:7" ht="17.25" customHeight="1">
      <c r="B52" s="149"/>
      <c r="C52" s="330" t="str">
        <f t="shared" si="0"/>
        <v/>
      </c>
      <c r="D52" s="118"/>
      <c r="E52" s="188"/>
      <c r="F52" s="119"/>
      <c r="G52" s="140"/>
    </row>
    <row r="53" spans="2:7" ht="17.25" customHeight="1">
      <c r="B53" s="149"/>
      <c r="C53" s="330" t="str">
        <f t="shared" si="0"/>
        <v/>
      </c>
      <c r="D53" s="118"/>
      <c r="E53" s="188"/>
      <c r="F53" s="119"/>
      <c r="G53" s="140"/>
    </row>
    <row r="54" spans="2:7" ht="17.25" customHeight="1">
      <c r="B54" s="149"/>
      <c r="C54" s="330" t="str">
        <f t="shared" si="0"/>
        <v/>
      </c>
      <c r="D54" s="118"/>
      <c r="E54" s="188"/>
      <c r="F54" s="119"/>
      <c r="G54" s="140"/>
    </row>
    <row r="55" spans="2:7" ht="17.25" customHeight="1">
      <c r="B55" s="149"/>
      <c r="C55" s="330" t="str">
        <f t="shared" si="0"/>
        <v/>
      </c>
      <c r="D55" s="118"/>
      <c r="E55" s="188"/>
      <c r="F55" s="119"/>
      <c r="G55" s="140"/>
    </row>
    <row r="56" spans="2:7" ht="17.25" customHeight="1">
      <c r="B56" s="149"/>
      <c r="C56" s="330" t="str">
        <f t="shared" si="0"/>
        <v/>
      </c>
      <c r="D56" s="118"/>
      <c r="E56" s="188"/>
      <c r="F56" s="119"/>
      <c r="G56" s="140"/>
    </row>
    <row r="57" spans="2:7" ht="17.25" customHeight="1">
      <c r="B57" s="149"/>
      <c r="C57" s="330" t="str">
        <f t="shared" si="0"/>
        <v/>
      </c>
      <c r="D57" s="118"/>
      <c r="E57" s="188"/>
      <c r="F57" s="119"/>
      <c r="G57" s="140"/>
    </row>
    <row r="58" spans="2:7" ht="17.25" customHeight="1">
      <c r="B58" s="149"/>
      <c r="C58" s="330" t="str">
        <f t="shared" si="0"/>
        <v/>
      </c>
      <c r="D58" s="118"/>
      <c r="E58" s="188"/>
      <c r="F58" s="119"/>
      <c r="G58" s="140"/>
    </row>
    <row r="59" spans="2:7" ht="17.25" customHeight="1">
      <c r="B59" s="149"/>
      <c r="C59" s="330" t="str">
        <f t="shared" si="0"/>
        <v/>
      </c>
      <c r="D59" s="118"/>
      <c r="E59" s="188"/>
      <c r="F59" s="119"/>
      <c r="G59" s="140"/>
    </row>
    <row r="60" spans="2:7" ht="17.25" customHeight="1">
      <c r="B60" s="149"/>
      <c r="C60" s="330" t="str">
        <f t="shared" si="0"/>
        <v/>
      </c>
      <c r="D60" s="118"/>
      <c r="E60" s="188"/>
      <c r="F60" s="119"/>
      <c r="G60" s="140"/>
    </row>
    <row r="61" spans="2:7" ht="17.25" customHeight="1">
      <c r="B61" s="149"/>
      <c r="C61" s="330" t="str">
        <f t="shared" si="0"/>
        <v/>
      </c>
      <c r="D61" s="118"/>
      <c r="E61" s="188"/>
      <c r="F61" s="119"/>
      <c r="G61" s="140"/>
    </row>
    <row r="62" spans="2:7" ht="17.25" customHeight="1">
      <c r="B62" s="149"/>
      <c r="C62" s="330" t="str">
        <f t="shared" si="0"/>
        <v/>
      </c>
      <c r="D62" s="118"/>
      <c r="E62" s="188"/>
      <c r="F62" s="119"/>
      <c r="G62" s="140"/>
    </row>
    <row r="63" spans="2:7" ht="17.25" customHeight="1">
      <c r="B63" s="149"/>
      <c r="C63" s="330" t="str">
        <f t="shared" si="0"/>
        <v/>
      </c>
      <c r="D63" s="118"/>
      <c r="E63" s="188"/>
      <c r="F63" s="119"/>
      <c r="G63" s="140"/>
    </row>
    <row r="64" spans="2:7" ht="17.25" customHeight="1">
      <c r="B64" s="149"/>
      <c r="C64" s="330" t="str">
        <f t="shared" si="0"/>
        <v/>
      </c>
      <c r="D64" s="118"/>
      <c r="E64" s="188"/>
      <c r="F64" s="119"/>
      <c r="G64" s="140"/>
    </row>
    <row r="65" spans="2:7" ht="17.25" customHeight="1">
      <c r="B65" s="149"/>
      <c r="C65" s="330" t="str">
        <f t="shared" si="0"/>
        <v/>
      </c>
      <c r="D65" s="118"/>
      <c r="E65" s="188"/>
      <c r="F65" s="119"/>
      <c r="G65" s="140"/>
    </row>
    <row r="66" spans="2:7" ht="17.25" customHeight="1">
      <c r="B66" s="149"/>
      <c r="C66" s="330" t="str">
        <f t="shared" si="0"/>
        <v/>
      </c>
      <c r="D66" s="118"/>
      <c r="E66" s="188"/>
      <c r="F66" s="119"/>
      <c r="G66" s="140"/>
    </row>
    <row r="67" spans="2:7" ht="17.25" customHeight="1">
      <c r="B67" s="149"/>
      <c r="C67" s="330" t="str">
        <f t="shared" si="0"/>
        <v/>
      </c>
      <c r="D67" s="118"/>
      <c r="E67" s="188"/>
      <c r="F67" s="119"/>
      <c r="G67" s="140"/>
    </row>
    <row r="68" spans="2:7" ht="17.25" customHeight="1">
      <c r="B68" s="149"/>
      <c r="C68" s="330" t="str">
        <f t="shared" si="0"/>
        <v/>
      </c>
      <c r="D68" s="118"/>
      <c r="E68" s="188"/>
      <c r="F68" s="119"/>
      <c r="G68" s="140"/>
    </row>
    <row r="69" spans="2:7" ht="17.25" customHeight="1">
      <c r="B69" s="149"/>
      <c r="C69" s="330" t="str">
        <f t="shared" ref="C69:C91" si="1">IF(D69&lt;&gt;0,C68+1,"")</f>
        <v/>
      </c>
      <c r="D69" s="118"/>
      <c r="E69" s="188"/>
      <c r="F69" s="119"/>
      <c r="G69" s="140"/>
    </row>
    <row r="70" spans="2:7" ht="17.25" customHeight="1">
      <c r="B70" s="149"/>
      <c r="C70" s="330" t="str">
        <f t="shared" si="1"/>
        <v/>
      </c>
      <c r="D70" s="118"/>
      <c r="E70" s="188"/>
      <c r="F70" s="119"/>
      <c r="G70" s="140"/>
    </row>
    <row r="71" spans="2:7" ht="17.25" customHeight="1">
      <c r="B71" s="149"/>
      <c r="C71" s="330" t="str">
        <f t="shared" si="1"/>
        <v/>
      </c>
      <c r="D71" s="118"/>
      <c r="E71" s="188"/>
      <c r="F71" s="119"/>
      <c r="G71" s="140"/>
    </row>
    <row r="72" spans="2:7" ht="17.25" customHeight="1">
      <c r="B72" s="149"/>
      <c r="C72" s="330" t="str">
        <f t="shared" si="1"/>
        <v/>
      </c>
      <c r="D72" s="118"/>
      <c r="E72" s="188"/>
      <c r="F72" s="119"/>
      <c r="G72" s="140"/>
    </row>
    <row r="73" spans="2:7" ht="17.25" customHeight="1">
      <c r="B73" s="149"/>
      <c r="C73" s="330" t="str">
        <f t="shared" si="1"/>
        <v/>
      </c>
      <c r="D73" s="118"/>
      <c r="E73" s="188"/>
      <c r="F73" s="119"/>
      <c r="G73" s="140"/>
    </row>
    <row r="74" spans="2:7" ht="17.25" customHeight="1">
      <c r="B74" s="149"/>
      <c r="C74" s="330" t="str">
        <f t="shared" si="1"/>
        <v/>
      </c>
      <c r="D74" s="118"/>
      <c r="E74" s="188"/>
      <c r="F74" s="119"/>
      <c r="G74" s="140"/>
    </row>
    <row r="75" spans="2:7" ht="17.25" customHeight="1">
      <c r="B75" s="149"/>
      <c r="C75" s="330" t="str">
        <f t="shared" si="1"/>
        <v/>
      </c>
      <c r="D75" s="118"/>
      <c r="E75" s="188"/>
      <c r="F75" s="119"/>
      <c r="G75" s="140"/>
    </row>
    <row r="76" spans="2:7" ht="17.25" customHeight="1">
      <c r="B76" s="149"/>
      <c r="C76" s="330" t="str">
        <f t="shared" si="1"/>
        <v/>
      </c>
      <c r="D76" s="118"/>
      <c r="E76" s="188"/>
      <c r="F76" s="119"/>
      <c r="G76" s="140"/>
    </row>
    <row r="77" spans="2:7" ht="17.25" customHeight="1">
      <c r="B77" s="149"/>
      <c r="C77" s="330" t="str">
        <f t="shared" si="1"/>
        <v/>
      </c>
      <c r="D77" s="118"/>
      <c r="E77" s="188"/>
      <c r="F77" s="119"/>
      <c r="G77" s="140"/>
    </row>
    <row r="78" spans="2:7" ht="17.25" customHeight="1">
      <c r="B78" s="149"/>
      <c r="C78" s="330" t="str">
        <f t="shared" si="1"/>
        <v/>
      </c>
      <c r="D78" s="118"/>
      <c r="E78" s="188"/>
      <c r="F78" s="119"/>
      <c r="G78" s="140"/>
    </row>
    <row r="79" spans="2:7" ht="17.25" customHeight="1">
      <c r="B79" s="149"/>
      <c r="C79" s="330" t="str">
        <f t="shared" si="1"/>
        <v/>
      </c>
      <c r="D79" s="118"/>
      <c r="E79" s="188"/>
      <c r="F79" s="119"/>
      <c r="G79" s="140"/>
    </row>
    <row r="80" spans="2:7" ht="17.25" customHeight="1">
      <c r="B80" s="149"/>
      <c r="C80" s="330" t="str">
        <f t="shared" si="1"/>
        <v/>
      </c>
      <c r="D80" s="118"/>
      <c r="E80" s="188"/>
      <c r="F80" s="119"/>
      <c r="G80" s="140"/>
    </row>
    <row r="81" spans="2:7" ht="17.25" customHeight="1">
      <c r="B81" s="149"/>
      <c r="C81" s="330" t="str">
        <f t="shared" si="1"/>
        <v/>
      </c>
      <c r="D81" s="118"/>
      <c r="E81" s="188"/>
      <c r="F81" s="119"/>
      <c r="G81" s="140"/>
    </row>
    <row r="82" spans="2:7" ht="17.25" customHeight="1">
      <c r="B82" s="149"/>
      <c r="C82" s="330" t="str">
        <f t="shared" si="1"/>
        <v/>
      </c>
      <c r="D82" s="118"/>
      <c r="E82" s="188"/>
      <c r="F82" s="119"/>
      <c r="G82" s="140"/>
    </row>
    <row r="83" spans="2:7" ht="17.25" customHeight="1">
      <c r="B83" s="149"/>
      <c r="C83" s="330" t="str">
        <f t="shared" si="1"/>
        <v/>
      </c>
      <c r="D83" s="118"/>
      <c r="E83" s="188"/>
      <c r="F83" s="119"/>
      <c r="G83" s="140"/>
    </row>
    <row r="84" spans="2:7" ht="17.25" customHeight="1">
      <c r="B84" s="149"/>
      <c r="C84" s="330" t="str">
        <f t="shared" si="1"/>
        <v/>
      </c>
      <c r="D84" s="118"/>
      <c r="E84" s="188"/>
      <c r="F84" s="119"/>
      <c r="G84" s="140"/>
    </row>
    <row r="85" spans="2:7" ht="17.25" customHeight="1">
      <c r="B85" s="149"/>
      <c r="C85" s="330" t="str">
        <f t="shared" si="1"/>
        <v/>
      </c>
      <c r="D85" s="118"/>
      <c r="E85" s="188"/>
      <c r="F85" s="119"/>
      <c r="G85" s="140"/>
    </row>
    <row r="86" spans="2:7" ht="17.25" customHeight="1">
      <c r="B86" s="149"/>
      <c r="C86" s="330" t="str">
        <f t="shared" si="1"/>
        <v/>
      </c>
      <c r="D86" s="118"/>
      <c r="E86" s="188"/>
      <c r="F86" s="119"/>
      <c r="G86" s="140"/>
    </row>
    <row r="87" spans="2:7" ht="17.25" customHeight="1">
      <c r="B87" s="149"/>
      <c r="C87" s="330" t="str">
        <f t="shared" si="1"/>
        <v/>
      </c>
      <c r="D87" s="118"/>
      <c r="E87" s="188"/>
      <c r="F87" s="119"/>
      <c r="G87" s="140"/>
    </row>
    <row r="88" spans="2:7" ht="17.25" customHeight="1">
      <c r="B88" s="149"/>
      <c r="C88" s="330" t="str">
        <f t="shared" si="1"/>
        <v/>
      </c>
      <c r="D88" s="118"/>
      <c r="E88" s="188"/>
      <c r="F88" s="119"/>
      <c r="G88" s="140"/>
    </row>
    <row r="89" spans="2:7" ht="17.25" customHeight="1">
      <c r="B89" s="149"/>
      <c r="C89" s="330" t="str">
        <f t="shared" si="1"/>
        <v/>
      </c>
      <c r="D89" s="118"/>
      <c r="E89" s="188"/>
      <c r="F89" s="119"/>
      <c r="G89" s="140"/>
    </row>
    <row r="90" spans="2:7" ht="17.25" customHeight="1">
      <c r="B90" s="149"/>
      <c r="C90" s="330" t="str">
        <f t="shared" si="1"/>
        <v/>
      </c>
      <c r="D90" s="118"/>
      <c r="E90" s="188"/>
      <c r="F90" s="119"/>
      <c r="G90" s="140"/>
    </row>
    <row r="91" spans="2:7" ht="17.25" customHeight="1">
      <c r="B91" s="149"/>
      <c r="C91" s="330" t="str">
        <f t="shared" si="1"/>
        <v/>
      </c>
      <c r="D91" s="118"/>
      <c r="E91" s="188"/>
      <c r="F91" s="119"/>
      <c r="G91" s="140"/>
    </row>
    <row r="92" spans="2:7" ht="17.25" customHeight="1">
      <c r="B92" s="149"/>
      <c r="C92" s="330" t="str">
        <f t="shared" ref="C92:C133" si="2">IF(D92&lt;&gt;0,C91+1,"")</f>
        <v/>
      </c>
      <c r="D92" s="118"/>
      <c r="E92" s="188"/>
      <c r="F92" s="119"/>
      <c r="G92" s="140"/>
    </row>
    <row r="93" spans="2:7" ht="17.25" customHeight="1">
      <c r="B93" s="149"/>
      <c r="C93" s="330" t="str">
        <f t="shared" si="2"/>
        <v/>
      </c>
      <c r="D93" s="118"/>
      <c r="E93" s="188"/>
      <c r="F93" s="119"/>
      <c r="G93" s="140"/>
    </row>
    <row r="94" spans="2:7" ht="17.25" customHeight="1">
      <c r="B94" s="149"/>
      <c r="C94" s="330" t="str">
        <f t="shared" si="2"/>
        <v/>
      </c>
      <c r="D94" s="118"/>
      <c r="E94" s="188"/>
      <c r="F94" s="119"/>
      <c r="G94" s="140"/>
    </row>
    <row r="95" spans="2:7" ht="17.25" customHeight="1">
      <c r="B95" s="149"/>
      <c r="C95" s="330" t="str">
        <f t="shared" si="2"/>
        <v/>
      </c>
      <c r="D95" s="118"/>
      <c r="E95" s="188"/>
      <c r="F95" s="119"/>
      <c r="G95" s="140"/>
    </row>
    <row r="96" spans="2:7" ht="17.25" customHeight="1">
      <c r="B96" s="149"/>
      <c r="C96" s="330" t="str">
        <f t="shared" si="2"/>
        <v/>
      </c>
      <c r="D96" s="118"/>
      <c r="E96" s="188"/>
      <c r="F96" s="119"/>
      <c r="G96" s="140"/>
    </row>
    <row r="97" spans="2:11" ht="17.25" customHeight="1">
      <c r="B97" s="149"/>
      <c r="C97" s="330" t="str">
        <f t="shared" si="2"/>
        <v/>
      </c>
      <c r="D97" s="118"/>
      <c r="E97" s="188"/>
      <c r="F97" s="119"/>
      <c r="G97" s="140"/>
    </row>
    <row r="98" spans="2:11" ht="17.25" customHeight="1">
      <c r="B98" s="149"/>
      <c r="C98" s="330" t="str">
        <f t="shared" si="2"/>
        <v/>
      </c>
      <c r="D98" s="118"/>
      <c r="E98" s="188"/>
      <c r="F98" s="119"/>
      <c r="G98" s="140"/>
    </row>
    <row r="99" spans="2:11" ht="17.25" customHeight="1">
      <c r="B99" s="149"/>
      <c r="C99" s="330" t="str">
        <f t="shared" si="2"/>
        <v/>
      </c>
      <c r="D99" s="118"/>
      <c r="E99" s="188"/>
      <c r="F99" s="119"/>
      <c r="G99" s="140"/>
    </row>
    <row r="100" spans="2:11" ht="17.25" customHeight="1">
      <c r="B100" s="149"/>
      <c r="C100" s="330" t="str">
        <f t="shared" si="2"/>
        <v/>
      </c>
      <c r="D100" s="118"/>
      <c r="E100" s="188"/>
      <c r="F100" s="119"/>
      <c r="G100" s="140"/>
    </row>
    <row r="101" spans="2:11" ht="17.25" customHeight="1">
      <c r="B101" s="149"/>
      <c r="C101" s="330" t="str">
        <f t="shared" si="2"/>
        <v/>
      </c>
      <c r="D101" s="118"/>
      <c r="E101" s="188"/>
      <c r="F101" s="119"/>
      <c r="G101" s="140"/>
    </row>
    <row r="102" spans="2:11" ht="17.25" customHeight="1">
      <c r="B102" s="149"/>
      <c r="C102" s="330" t="str">
        <f t="shared" si="2"/>
        <v/>
      </c>
      <c r="D102" s="118"/>
      <c r="E102" s="188"/>
      <c r="F102" s="119"/>
      <c r="G102" s="140"/>
      <c r="K102" s="152"/>
    </row>
    <row r="103" spans="2:11" ht="17.25" customHeight="1">
      <c r="B103" s="149"/>
      <c r="C103" s="330" t="str">
        <f t="shared" si="2"/>
        <v/>
      </c>
      <c r="D103" s="118"/>
      <c r="E103" s="188"/>
      <c r="F103" s="119"/>
      <c r="G103" s="140"/>
      <c r="J103" s="152"/>
    </row>
    <row r="104" spans="2:11" ht="17.25" customHeight="1">
      <c r="B104" s="149"/>
      <c r="C104" s="330" t="str">
        <f t="shared" si="2"/>
        <v/>
      </c>
      <c r="D104" s="118"/>
      <c r="E104" s="188"/>
      <c r="F104" s="119"/>
      <c r="G104" s="140"/>
    </row>
    <row r="105" spans="2:11" ht="17.25" customHeight="1">
      <c r="B105" s="149"/>
      <c r="C105" s="330" t="str">
        <f t="shared" si="2"/>
        <v/>
      </c>
      <c r="D105" s="118"/>
      <c r="E105" s="188"/>
      <c r="F105" s="119"/>
      <c r="G105" s="140"/>
    </row>
    <row r="106" spans="2:11" ht="17.25" customHeight="1">
      <c r="B106" s="149"/>
      <c r="C106" s="330" t="str">
        <f t="shared" si="2"/>
        <v/>
      </c>
      <c r="D106" s="118"/>
      <c r="E106" s="188"/>
      <c r="F106" s="119"/>
      <c r="G106" s="140"/>
    </row>
    <row r="107" spans="2:11" ht="17.25" customHeight="1">
      <c r="B107" s="149"/>
      <c r="C107" s="330" t="str">
        <f t="shared" si="2"/>
        <v/>
      </c>
      <c r="D107" s="118"/>
      <c r="E107" s="188"/>
      <c r="F107" s="119"/>
      <c r="G107" s="140"/>
    </row>
    <row r="108" spans="2:11" ht="17.25" customHeight="1">
      <c r="B108" s="149"/>
      <c r="C108" s="330" t="str">
        <f t="shared" si="2"/>
        <v/>
      </c>
      <c r="D108" s="118"/>
      <c r="E108" s="188"/>
      <c r="F108" s="119"/>
      <c r="G108" s="140"/>
    </row>
    <row r="109" spans="2:11" ht="17.25" customHeight="1">
      <c r="B109" s="149"/>
      <c r="C109" s="330" t="str">
        <f t="shared" si="2"/>
        <v/>
      </c>
      <c r="D109" s="118"/>
      <c r="E109" s="188"/>
      <c r="F109" s="119"/>
      <c r="G109" s="140"/>
    </row>
    <row r="110" spans="2:11" ht="17.25" customHeight="1">
      <c r="B110" s="149"/>
      <c r="C110" s="330" t="str">
        <f t="shared" si="2"/>
        <v/>
      </c>
      <c r="D110" s="118"/>
      <c r="E110" s="188"/>
      <c r="F110" s="119"/>
      <c r="G110" s="140"/>
    </row>
    <row r="111" spans="2:11" ht="17.25" customHeight="1">
      <c r="B111" s="149"/>
      <c r="C111" s="330" t="str">
        <f t="shared" si="2"/>
        <v/>
      </c>
      <c r="D111" s="118"/>
      <c r="E111" s="188"/>
      <c r="F111" s="119"/>
      <c r="G111" s="140"/>
    </row>
    <row r="112" spans="2:11" ht="17.25" customHeight="1">
      <c r="B112" s="149"/>
      <c r="C112" s="330" t="str">
        <f t="shared" si="2"/>
        <v/>
      </c>
      <c r="D112" s="118"/>
      <c r="E112" s="188"/>
      <c r="F112" s="119"/>
      <c r="G112" s="140"/>
    </row>
    <row r="113" spans="2:7" ht="17.25" customHeight="1">
      <c r="B113" s="149"/>
      <c r="C113" s="330" t="str">
        <f t="shared" si="2"/>
        <v/>
      </c>
      <c r="D113" s="118"/>
      <c r="E113" s="188"/>
      <c r="F113" s="119"/>
      <c r="G113" s="140"/>
    </row>
    <row r="114" spans="2:7" ht="17.25" customHeight="1">
      <c r="B114" s="149"/>
      <c r="C114" s="330" t="str">
        <f t="shared" si="2"/>
        <v/>
      </c>
      <c r="D114" s="118"/>
      <c r="E114" s="188"/>
      <c r="F114" s="119"/>
      <c r="G114" s="140"/>
    </row>
    <row r="115" spans="2:7" ht="17.25" customHeight="1">
      <c r="B115" s="149"/>
      <c r="C115" s="330" t="str">
        <f t="shared" si="2"/>
        <v/>
      </c>
      <c r="D115" s="118"/>
      <c r="E115" s="188"/>
      <c r="F115" s="119"/>
      <c r="G115" s="140"/>
    </row>
    <row r="116" spans="2:7" ht="17.25" customHeight="1">
      <c r="B116" s="149"/>
      <c r="C116" s="330" t="str">
        <f t="shared" si="2"/>
        <v/>
      </c>
      <c r="D116" s="118"/>
      <c r="E116" s="188"/>
      <c r="F116" s="119"/>
      <c r="G116" s="140"/>
    </row>
    <row r="117" spans="2:7" ht="17.25" customHeight="1">
      <c r="B117" s="149"/>
      <c r="C117" s="330" t="str">
        <f t="shared" si="2"/>
        <v/>
      </c>
      <c r="D117" s="118"/>
      <c r="E117" s="188"/>
      <c r="F117" s="119"/>
      <c r="G117" s="140"/>
    </row>
    <row r="118" spans="2:7" ht="17.25" customHeight="1">
      <c r="B118" s="149"/>
      <c r="C118" s="330" t="str">
        <f t="shared" si="2"/>
        <v/>
      </c>
      <c r="D118" s="118"/>
      <c r="E118" s="188"/>
      <c r="F118" s="119"/>
      <c r="G118" s="140"/>
    </row>
    <row r="119" spans="2:7" ht="17.25" customHeight="1">
      <c r="B119" s="149"/>
      <c r="C119" s="330" t="str">
        <f t="shared" si="2"/>
        <v/>
      </c>
      <c r="D119" s="118"/>
      <c r="E119" s="188"/>
      <c r="F119" s="119"/>
      <c r="G119" s="140"/>
    </row>
    <row r="120" spans="2:7" ht="17.25" customHeight="1">
      <c r="B120" s="149"/>
      <c r="C120" s="330" t="str">
        <f t="shared" si="2"/>
        <v/>
      </c>
      <c r="D120" s="118"/>
      <c r="E120" s="188"/>
      <c r="F120" s="119"/>
      <c r="G120" s="140"/>
    </row>
    <row r="121" spans="2:7" ht="17.25" customHeight="1">
      <c r="B121" s="149"/>
      <c r="C121" s="330" t="str">
        <f t="shared" si="2"/>
        <v/>
      </c>
      <c r="D121" s="118"/>
      <c r="E121" s="188"/>
      <c r="F121" s="119"/>
      <c r="G121" s="140"/>
    </row>
    <row r="122" spans="2:7" ht="17.25" customHeight="1">
      <c r="B122" s="149"/>
      <c r="C122" s="330" t="str">
        <f t="shared" si="2"/>
        <v/>
      </c>
      <c r="D122" s="118"/>
      <c r="E122" s="188"/>
      <c r="F122" s="119"/>
      <c r="G122" s="140"/>
    </row>
    <row r="123" spans="2:7" ht="17.25" customHeight="1">
      <c r="B123" s="149"/>
      <c r="C123" s="330" t="str">
        <f t="shared" si="2"/>
        <v/>
      </c>
      <c r="D123" s="118"/>
      <c r="E123" s="188"/>
      <c r="F123" s="119"/>
      <c r="G123" s="140"/>
    </row>
    <row r="124" spans="2:7" ht="17.25" customHeight="1">
      <c r="B124" s="149"/>
      <c r="C124" s="330" t="str">
        <f t="shared" si="2"/>
        <v/>
      </c>
      <c r="D124" s="118"/>
      <c r="E124" s="188"/>
      <c r="F124" s="119"/>
      <c r="G124" s="140"/>
    </row>
    <row r="125" spans="2:7" ht="17.25" customHeight="1">
      <c r="B125" s="149"/>
      <c r="C125" s="330" t="str">
        <f t="shared" si="2"/>
        <v/>
      </c>
      <c r="D125" s="118"/>
      <c r="E125" s="188"/>
      <c r="F125" s="119"/>
      <c r="G125" s="140"/>
    </row>
    <row r="126" spans="2:7" ht="17.25" customHeight="1">
      <c r="B126" s="149"/>
      <c r="C126" s="330" t="str">
        <f t="shared" si="2"/>
        <v/>
      </c>
      <c r="D126" s="118"/>
      <c r="E126" s="188"/>
      <c r="F126" s="119"/>
      <c r="G126" s="140"/>
    </row>
    <row r="127" spans="2:7" ht="17.25" customHeight="1">
      <c r="B127" s="149"/>
      <c r="C127" s="330" t="str">
        <f t="shared" si="2"/>
        <v/>
      </c>
      <c r="D127" s="118"/>
      <c r="E127" s="188"/>
      <c r="F127" s="119"/>
      <c r="G127" s="140"/>
    </row>
    <row r="128" spans="2:7" ht="17.25" customHeight="1">
      <c r="B128" s="149"/>
      <c r="C128" s="330" t="str">
        <f t="shared" si="2"/>
        <v/>
      </c>
      <c r="D128" s="118"/>
      <c r="E128" s="188"/>
      <c r="F128" s="119"/>
      <c r="G128" s="140"/>
    </row>
    <row r="129" spans="2:7" ht="17.25" customHeight="1">
      <c r="B129" s="149"/>
      <c r="C129" s="330" t="str">
        <f t="shared" si="2"/>
        <v/>
      </c>
      <c r="D129" s="118"/>
      <c r="E129" s="188"/>
      <c r="F129" s="119"/>
      <c r="G129" s="140"/>
    </row>
    <row r="130" spans="2:7" ht="17.25" customHeight="1">
      <c r="B130" s="149"/>
      <c r="C130" s="330" t="str">
        <f t="shared" si="2"/>
        <v/>
      </c>
      <c r="D130" s="118"/>
      <c r="E130" s="188"/>
      <c r="F130" s="119"/>
      <c r="G130" s="140"/>
    </row>
    <row r="131" spans="2:7" ht="17.25" customHeight="1">
      <c r="B131" s="149"/>
      <c r="C131" s="330" t="str">
        <f t="shared" si="2"/>
        <v/>
      </c>
      <c r="D131" s="118"/>
      <c r="E131" s="188"/>
      <c r="F131" s="119"/>
      <c r="G131" s="140"/>
    </row>
    <row r="132" spans="2:7" ht="17.25" customHeight="1">
      <c r="B132" s="149"/>
      <c r="C132" s="330" t="str">
        <f t="shared" si="2"/>
        <v/>
      </c>
      <c r="D132" s="118"/>
      <c r="E132" s="188"/>
      <c r="F132" s="119"/>
      <c r="G132" s="140"/>
    </row>
    <row r="133" spans="2:7" ht="17.25" customHeight="1">
      <c r="B133" s="149"/>
      <c r="C133" s="330" t="str">
        <f t="shared" si="2"/>
        <v/>
      </c>
      <c r="D133" s="118"/>
      <c r="E133" s="188"/>
      <c r="F133" s="119"/>
      <c r="G133" s="140"/>
    </row>
    <row r="134" spans="2:7" ht="17.25" customHeight="1">
      <c r="B134" s="149"/>
      <c r="C134" s="330" t="str">
        <f t="shared" ref="C134:C197" si="3">IF(D134&lt;&gt;0,C133+1,"")</f>
        <v/>
      </c>
      <c r="D134" s="118"/>
      <c r="E134" s="188"/>
      <c r="F134" s="119"/>
      <c r="G134" s="140"/>
    </row>
    <row r="135" spans="2:7" ht="17.25" customHeight="1">
      <c r="B135" s="149"/>
      <c r="C135" s="330" t="str">
        <f t="shared" si="3"/>
        <v/>
      </c>
      <c r="D135" s="118"/>
      <c r="E135" s="188"/>
      <c r="F135" s="119"/>
      <c r="G135" s="140"/>
    </row>
    <row r="136" spans="2:7" ht="17.25" customHeight="1">
      <c r="B136" s="149"/>
      <c r="C136" s="330" t="str">
        <f t="shared" si="3"/>
        <v/>
      </c>
      <c r="D136" s="118"/>
      <c r="E136" s="188"/>
      <c r="F136" s="119"/>
      <c r="G136" s="140"/>
    </row>
    <row r="137" spans="2:7" ht="17.25" customHeight="1">
      <c r="B137" s="149"/>
      <c r="C137" s="330" t="str">
        <f t="shared" si="3"/>
        <v/>
      </c>
      <c r="D137" s="118"/>
      <c r="E137" s="188"/>
      <c r="F137" s="119"/>
      <c r="G137" s="140"/>
    </row>
    <row r="138" spans="2:7" ht="17.25" customHeight="1">
      <c r="B138" s="149"/>
      <c r="C138" s="330" t="str">
        <f t="shared" si="3"/>
        <v/>
      </c>
      <c r="D138" s="118"/>
      <c r="E138" s="188"/>
      <c r="F138" s="119"/>
      <c r="G138" s="140"/>
    </row>
    <row r="139" spans="2:7" ht="17.25" customHeight="1">
      <c r="B139" s="149"/>
      <c r="C139" s="330" t="str">
        <f t="shared" si="3"/>
        <v/>
      </c>
      <c r="D139" s="118"/>
      <c r="E139" s="188"/>
      <c r="F139" s="119"/>
      <c r="G139" s="140"/>
    </row>
    <row r="140" spans="2:7" ht="17.25" customHeight="1">
      <c r="B140" s="149"/>
      <c r="C140" s="330" t="str">
        <f t="shared" si="3"/>
        <v/>
      </c>
      <c r="D140" s="118"/>
      <c r="E140" s="188"/>
      <c r="F140" s="119"/>
      <c r="G140" s="140"/>
    </row>
    <row r="141" spans="2:7" ht="17.25" customHeight="1">
      <c r="B141" s="149"/>
      <c r="C141" s="330" t="str">
        <f t="shared" si="3"/>
        <v/>
      </c>
      <c r="D141" s="118"/>
      <c r="E141" s="188"/>
      <c r="F141" s="119"/>
      <c r="G141" s="140"/>
    </row>
    <row r="142" spans="2:7" ht="17.25" customHeight="1">
      <c r="B142" s="149"/>
      <c r="C142" s="330" t="str">
        <f t="shared" si="3"/>
        <v/>
      </c>
      <c r="D142" s="118"/>
      <c r="E142" s="188"/>
      <c r="F142" s="119"/>
      <c r="G142" s="140"/>
    </row>
    <row r="143" spans="2:7" ht="17.25" customHeight="1">
      <c r="B143" s="149"/>
      <c r="C143" s="330" t="str">
        <f t="shared" si="3"/>
        <v/>
      </c>
      <c r="D143" s="118"/>
      <c r="E143" s="188"/>
      <c r="F143" s="119"/>
      <c r="G143" s="140"/>
    </row>
    <row r="144" spans="2:7" ht="17.25" customHeight="1">
      <c r="B144" s="149"/>
      <c r="C144" s="330" t="str">
        <f t="shared" si="3"/>
        <v/>
      </c>
      <c r="D144" s="118"/>
      <c r="E144" s="188"/>
      <c r="F144" s="119"/>
      <c r="G144" s="140"/>
    </row>
    <row r="145" spans="2:7" ht="17.25" customHeight="1">
      <c r="B145" s="149"/>
      <c r="C145" s="330" t="str">
        <f t="shared" si="3"/>
        <v/>
      </c>
      <c r="D145" s="118"/>
      <c r="E145" s="188"/>
      <c r="F145" s="119"/>
      <c r="G145" s="140"/>
    </row>
    <row r="146" spans="2:7" ht="17.25" customHeight="1">
      <c r="B146" s="149"/>
      <c r="C146" s="330" t="str">
        <f t="shared" si="3"/>
        <v/>
      </c>
      <c r="D146" s="118"/>
      <c r="E146" s="188"/>
      <c r="F146" s="119"/>
      <c r="G146" s="140"/>
    </row>
    <row r="147" spans="2:7" ht="17.25" customHeight="1">
      <c r="B147" s="149"/>
      <c r="C147" s="330" t="str">
        <f t="shared" si="3"/>
        <v/>
      </c>
      <c r="D147" s="118"/>
      <c r="E147" s="188"/>
      <c r="F147" s="119"/>
      <c r="G147" s="140"/>
    </row>
    <row r="148" spans="2:7" ht="17.25" customHeight="1">
      <c r="B148" s="149"/>
      <c r="C148" s="330" t="str">
        <f t="shared" si="3"/>
        <v/>
      </c>
      <c r="D148" s="118"/>
      <c r="E148" s="188"/>
      <c r="F148" s="119"/>
      <c r="G148" s="140"/>
    </row>
    <row r="149" spans="2:7" ht="17.25" customHeight="1">
      <c r="B149" s="149"/>
      <c r="C149" s="330" t="str">
        <f t="shared" si="3"/>
        <v/>
      </c>
      <c r="D149" s="118"/>
      <c r="E149" s="188"/>
      <c r="F149" s="119"/>
      <c r="G149" s="140"/>
    </row>
    <row r="150" spans="2:7" ht="17.25" customHeight="1">
      <c r="B150" s="149"/>
      <c r="C150" s="330" t="str">
        <f t="shared" si="3"/>
        <v/>
      </c>
      <c r="D150" s="118"/>
      <c r="E150" s="188"/>
      <c r="F150" s="119"/>
      <c r="G150" s="140"/>
    </row>
    <row r="151" spans="2:7" ht="17.25" customHeight="1">
      <c r="B151" s="149"/>
      <c r="C151" s="330" t="str">
        <f t="shared" si="3"/>
        <v/>
      </c>
      <c r="D151" s="118"/>
      <c r="E151" s="188"/>
      <c r="F151" s="119"/>
      <c r="G151" s="140"/>
    </row>
    <row r="152" spans="2:7" ht="17.25" customHeight="1">
      <c r="B152" s="149"/>
      <c r="C152" s="330" t="str">
        <f t="shared" si="3"/>
        <v/>
      </c>
      <c r="D152" s="118"/>
      <c r="E152" s="188"/>
      <c r="F152" s="119"/>
      <c r="G152" s="140"/>
    </row>
    <row r="153" spans="2:7" ht="17.25" customHeight="1">
      <c r="B153" s="149"/>
      <c r="C153" s="330" t="str">
        <f t="shared" si="3"/>
        <v/>
      </c>
      <c r="D153" s="118"/>
      <c r="E153" s="188"/>
      <c r="F153" s="119"/>
      <c r="G153" s="140"/>
    </row>
    <row r="154" spans="2:7" ht="17.25" customHeight="1">
      <c r="B154" s="149"/>
      <c r="C154" s="330" t="str">
        <f t="shared" si="3"/>
        <v/>
      </c>
      <c r="D154" s="118"/>
      <c r="E154" s="188"/>
      <c r="F154" s="119"/>
      <c r="G154" s="140"/>
    </row>
    <row r="155" spans="2:7" ht="17.25" customHeight="1">
      <c r="B155" s="149"/>
      <c r="C155" s="330" t="str">
        <f t="shared" si="3"/>
        <v/>
      </c>
      <c r="D155" s="118"/>
      <c r="E155" s="188"/>
      <c r="F155" s="119"/>
      <c r="G155" s="140"/>
    </row>
    <row r="156" spans="2:7" ht="17.25" customHeight="1">
      <c r="B156" s="149"/>
      <c r="C156" s="330" t="str">
        <f t="shared" si="3"/>
        <v/>
      </c>
      <c r="D156" s="118"/>
      <c r="E156" s="188"/>
      <c r="F156" s="119"/>
      <c r="G156" s="140"/>
    </row>
    <row r="157" spans="2:7" ht="17.25" customHeight="1">
      <c r="B157" s="149"/>
      <c r="C157" s="330" t="str">
        <f t="shared" si="3"/>
        <v/>
      </c>
      <c r="D157" s="118"/>
      <c r="E157" s="188"/>
      <c r="F157" s="119"/>
      <c r="G157" s="140"/>
    </row>
    <row r="158" spans="2:7" ht="17.25" customHeight="1">
      <c r="B158" s="149"/>
      <c r="C158" s="330" t="str">
        <f t="shared" si="3"/>
        <v/>
      </c>
      <c r="D158" s="118"/>
      <c r="E158" s="188"/>
      <c r="F158" s="119"/>
      <c r="G158" s="140"/>
    </row>
    <row r="159" spans="2:7" ht="17.25" customHeight="1">
      <c r="B159" s="149"/>
      <c r="C159" s="330" t="str">
        <f t="shared" si="3"/>
        <v/>
      </c>
      <c r="D159" s="118"/>
      <c r="E159" s="188"/>
      <c r="F159" s="119"/>
      <c r="G159" s="140"/>
    </row>
    <row r="160" spans="2:7" ht="17.25" customHeight="1">
      <c r="B160" s="149"/>
      <c r="C160" s="330" t="str">
        <f t="shared" si="3"/>
        <v/>
      </c>
      <c r="D160" s="118"/>
      <c r="E160" s="188"/>
      <c r="F160" s="119"/>
      <c r="G160" s="140"/>
    </row>
    <row r="161" spans="2:7" ht="17.25" customHeight="1">
      <c r="B161" s="149"/>
      <c r="C161" s="330" t="str">
        <f t="shared" si="3"/>
        <v/>
      </c>
      <c r="D161" s="118"/>
      <c r="E161" s="188"/>
      <c r="F161" s="119"/>
      <c r="G161" s="140"/>
    </row>
    <row r="162" spans="2:7" ht="17.25" customHeight="1">
      <c r="B162" s="149"/>
      <c r="C162" s="330" t="str">
        <f t="shared" si="3"/>
        <v/>
      </c>
      <c r="D162" s="118"/>
      <c r="E162" s="188"/>
      <c r="F162" s="119"/>
      <c r="G162" s="140"/>
    </row>
    <row r="163" spans="2:7" ht="17.25" customHeight="1">
      <c r="B163" s="149"/>
      <c r="C163" s="330" t="str">
        <f t="shared" si="3"/>
        <v/>
      </c>
      <c r="D163" s="118"/>
      <c r="E163" s="188"/>
      <c r="F163" s="119"/>
      <c r="G163" s="140"/>
    </row>
    <row r="164" spans="2:7" ht="17.25" customHeight="1">
      <c r="B164" s="149"/>
      <c r="C164" s="330" t="str">
        <f t="shared" si="3"/>
        <v/>
      </c>
      <c r="D164" s="118"/>
      <c r="E164" s="188"/>
      <c r="F164" s="119"/>
      <c r="G164" s="140"/>
    </row>
    <row r="165" spans="2:7" ht="17.25" customHeight="1">
      <c r="B165" s="149"/>
      <c r="C165" s="330" t="str">
        <f t="shared" si="3"/>
        <v/>
      </c>
      <c r="D165" s="118"/>
      <c r="E165" s="188"/>
      <c r="F165" s="119"/>
      <c r="G165" s="140"/>
    </row>
    <row r="166" spans="2:7" ht="17.25" customHeight="1">
      <c r="B166" s="149"/>
      <c r="C166" s="330" t="str">
        <f t="shared" si="3"/>
        <v/>
      </c>
      <c r="D166" s="118"/>
      <c r="E166" s="188"/>
      <c r="F166" s="119"/>
      <c r="G166" s="140"/>
    </row>
    <row r="167" spans="2:7" ht="17.25" customHeight="1">
      <c r="B167" s="149"/>
      <c r="C167" s="330" t="str">
        <f t="shared" si="3"/>
        <v/>
      </c>
      <c r="D167" s="118"/>
      <c r="E167" s="188"/>
      <c r="F167" s="119"/>
      <c r="G167" s="140"/>
    </row>
    <row r="168" spans="2:7" ht="17.25" customHeight="1">
      <c r="B168" s="149"/>
      <c r="C168" s="330" t="str">
        <f t="shared" si="3"/>
        <v/>
      </c>
      <c r="D168" s="118"/>
      <c r="E168" s="188"/>
      <c r="F168" s="119"/>
      <c r="G168" s="140"/>
    </row>
    <row r="169" spans="2:7" ht="17.25" customHeight="1">
      <c r="B169" s="149"/>
      <c r="C169" s="330" t="str">
        <f t="shared" si="3"/>
        <v/>
      </c>
      <c r="D169" s="118"/>
      <c r="E169" s="188"/>
      <c r="F169" s="119"/>
      <c r="G169" s="140"/>
    </row>
    <row r="170" spans="2:7" ht="17.25" customHeight="1">
      <c r="B170" s="149"/>
      <c r="C170" s="330" t="str">
        <f t="shared" si="3"/>
        <v/>
      </c>
      <c r="D170" s="118"/>
      <c r="E170" s="188"/>
      <c r="F170" s="119"/>
      <c r="G170" s="140"/>
    </row>
    <row r="171" spans="2:7" ht="17.25" customHeight="1">
      <c r="B171" s="149"/>
      <c r="C171" s="330" t="str">
        <f t="shared" si="3"/>
        <v/>
      </c>
      <c r="D171" s="118"/>
      <c r="E171" s="188"/>
      <c r="F171" s="119"/>
      <c r="G171" s="140"/>
    </row>
    <row r="172" spans="2:7" ht="17.25" customHeight="1">
      <c r="B172" s="149"/>
      <c r="C172" s="330" t="str">
        <f t="shared" si="3"/>
        <v/>
      </c>
      <c r="D172" s="118"/>
      <c r="E172" s="188"/>
      <c r="F172" s="119"/>
      <c r="G172" s="140"/>
    </row>
    <row r="173" spans="2:7" ht="17.25" customHeight="1">
      <c r="B173" s="149"/>
      <c r="C173" s="330" t="str">
        <f t="shared" si="3"/>
        <v/>
      </c>
      <c r="D173" s="118"/>
      <c r="E173" s="188"/>
      <c r="F173" s="119"/>
      <c r="G173" s="140"/>
    </row>
    <row r="174" spans="2:7" ht="17.25" customHeight="1">
      <c r="B174" s="149"/>
      <c r="C174" s="330" t="str">
        <f t="shared" si="3"/>
        <v/>
      </c>
      <c r="D174" s="118"/>
      <c r="E174" s="188"/>
      <c r="F174" s="119"/>
      <c r="G174" s="140"/>
    </row>
    <row r="175" spans="2:7" ht="17.25" customHeight="1">
      <c r="B175" s="149"/>
      <c r="C175" s="330" t="str">
        <f t="shared" si="3"/>
        <v/>
      </c>
      <c r="D175" s="118"/>
      <c r="E175" s="188"/>
      <c r="F175" s="119"/>
      <c r="G175" s="140"/>
    </row>
    <row r="176" spans="2:7" ht="17.25" customHeight="1">
      <c r="B176" s="149"/>
      <c r="C176" s="330" t="str">
        <f t="shared" si="3"/>
        <v/>
      </c>
      <c r="D176" s="118"/>
      <c r="E176" s="188"/>
      <c r="F176" s="119"/>
      <c r="G176" s="140"/>
    </row>
    <row r="177" spans="2:7" ht="17.25" customHeight="1">
      <c r="B177" s="149"/>
      <c r="C177" s="330" t="str">
        <f t="shared" si="3"/>
        <v/>
      </c>
      <c r="D177" s="118"/>
      <c r="E177" s="188"/>
      <c r="F177" s="119"/>
      <c r="G177" s="140"/>
    </row>
    <row r="178" spans="2:7" ht="17.25" customHeight="1">
      <c r="B178" s="149"/>
      <c r="C178" s="330" t="str">
        <f t="shared" si="3"/>
        <v/>
      </c>
      <c r="D178" s="118"/>
      <c r="E178" s="188"/>
      <c r="F178" s="119"/>
      <c r="G178" s="140"/>
    </row>
    <row r="179" spans="2:7" ht="17.25" customHeight="1">
      <c r="B179" s="149"/>
      <c r="C179" s="330" t="str">
        <f t="shared" si="3"/>
        <v/>
      </c>
      <c r="D179" s="118"/>
      <c r="E179" s="188"/>
      <c r="F179" s="119"/>
      <c r="G179" s="140"/>
    </row>
    <row r="180" spans="2:7" ht="17.25" customHeight="1">
      <c r="B180" s="149"/>
      <c r="C180" s="330" t="str">
        <f t="shared" si="3"/>
        <v/>
      </c>
      <c r="D180" s="118"/>
      <c r="E180" s="188"/>
      <c r="F180" s="119"/>
      <c r="G180" s="140"/>
    </row>
    <row r="181" spans="2:7" ht="17.25" customHeight="1">
      <c r="B181" s="149"/>
      <c r="C181" s="330" t="str">
        <f t="shared" si="3"/>
        <v/>
      </c>
      <c r="D181" s="118"/>
      <c r="E181" s="188"/>
      <c r="F181" s="119"/>
      <c r="G181" s="140"/>
    </row>
    <row r="182" spans="2:7" ht="17.25" customHeight="1">
      <c r="B182" s="149"/>
      <c r="C182" s="330" t="str">
        <f t="shared" si="3"/>
        <v/>
      </c>
      <c r="D182" s="118"/>
      <c r="E182" s="188"/>
      <c r="F182" s="119"/>
      <c r="G182" s="140"/>
    </row>
    <row r="183" spans="2:7" ht="17.25" customHeight="1">
      <c r="B183" s="149"/>
      <c r="C183" s="330" t="str">
        <f t="shared" si="3"/>
        <v/>
      </c>
      <c r="D183" s="118"/>
      <c r="E183" s="188"/>
      <c r="F183" s="119"/>
      <c r="G183" s="140"/>
    </row>
    <row r="184" spans="2:7" ht="17.25" customHeight="1">
      <c r="B184" s="149"/>
      <c r="C184" s="330" t="str">
        <f t="shared" si="3"/>
        <v/>
      </c>
      <c r="D184" s="118"/>
      <c r="E184" s="188"/>
      <c r="F184" s="119"/>
      <c r="G184" s="140"/>
    </row>
    <row r="185" spans="2:7" ht="17.25" customHeight="1">
      <c r="B185" s="149"/>
      <c r="C185" s="330" t="str">
        <f t="shared" si="3"/>
        <v/>
      </c>
      <c r="D185" s="118"/>
      <c r="E185" s="188"/>
      <c r="F185" s="119"/>
      <c r="G185" s="140"/>
    </row>
    <row r="186" spans="2:7" ht="17.25" customHeight="1">
      <c r="B186" s="149"/>
      <c r="C186" s="330" t="str">
        <f t="shared" si="3"/>
        <v/>
      </c>
      <c r="D186" s="118"/>
      <c r="E186" s="188"/>
      <c r="F186" s="119"/>
      <c r="G186" s="140"/>
    </row>
    <row r="187" spans="2:7" ht="17.25" customHeight="1">
      <c r="B187" s="149"/>
      <c r="C187" s="330" t="str">
        <f t="shared" si="3"/>
        <v/>
      </c>
      <c r="D187" s="118"/>
      <c r="E187" s="188"/>
      <c r="F187" s="119"/>
      <c r="G187" s="140"/>
    </row>
    <row r="188" spans="2:7" ht="17.25" customHeight="1">
      <c r="B188" s="149"/>
      <c r="C188" s="330" t="str">
        <f t="shared" si="3"/>
        <v/>
      </c>
      <c r="D188" s="118"/>
      <c r="E188" s="188"/>
      <c r="F188" s="119"/>
      <c r="G188" s="140"/>
    </row>
    <row r="189" spans="2:7" ht="17.25" customHeight="1">
      <c r="B189" s="149"/>
      <c r="C189" s="330" t="str">
        <f t="shared" si="3"/>
        <v/>
      </c>
      <c r="D189" s="118"/>
      <c r="E189" s="188"/>
      <c r="F189" s="119"/>
      <c r="G189" s="140"/>
    </row>
    <row r="190" spans="2:7" ht="17.25" customHeight="1">
      <c r="B190" s="149"/>
      <c r="C190" s="330" t="str">
        <f t="shared" si="3"/>
        <v/>
      </c>
      <c r="D190" s="118"/>
      <c r="E190" s="188"/>
      <c r="F190" s="119"/>
      <c r="G190" s="140"/>
    </row>
    <row r="191" spans="2:7" ht="17.25" customHeight="1">
      <c r="B191" s="149"/>
      <c r="C191" s="330" t="str">
        <f t="shared" si="3"/>
        <v/>
      </c>
      <c r="D191" s="118"/>
      <c r="E191" s="188"/>
      <c r="F191" s="119"/>
      <c r="G191" s="140"/>
    </row>
    <row r="192" spans="2:7" ht="17.25" customHeight="1">
      <c r="B192" s="149"/>
      <c r="C192" s="330" t="str">
        <f t="shared" si="3"/>
        <v/>
      </c>
      <c r="D192" s="118"/>
      <c r="E192" s="188"/>
      <c r="F192" s="119"/>
      <c r="G192" s="140"/>
    </row>
    <row r="193" spans="2:7" ht="17.25" customHeight="1">
      <c r="B193" s="149"/>
      <c r="C193" s="330" t="str">
        <f t="shared" si="3"/>
        <v/>
      </c>
      <c r="D193" s="118"/>
      <c r="E193" s="188"/>
      <c r="F193" s="119"/>
      <c r="G193" s="140"/>
    </row>
    <row r="194" spans="2:7" ht="17.25" customHeight="1">
      <c r="B194" s="149"/>
      <c r="C194" s="330" t="str">
        <f t="shared" si="3"/>
        <v/>
      </c>
      <c r="D194" s="118"/>
      <c r="E194" s="188"/>
      <c r="F194" s="119"/>
      <c r="G194" s="140"/>
    </row>
    <row r="195" spans="2:7" ht="17.25" customHeight="1">
      <c r="B195" s="149"/>
      <c r="C195" s="330" t="str">
        <f t="shared" si="3"/>
        <v/>
      </c>
      <c r="D195" s="118"/>
      <c r="E195" s="188"/>
      <c r="F195" s="119"/>
      <c r="G195" s="140"/>
    </row>
    <row r="196" spans="2:7" ht="17.25" customHeight="1">
      <c r="B196" s="149"/>
      <c r="C196" s="330" t="str">
        <f t="shared" si="3"/>
        <v/>
      </c>
      <c r="D196" s="118"/>
      <c r="E196" s="188"/>
      <c r="F196" s="119"/>
      <c r="G196" s="140"/>
    </row>
    <row r="197" spans="2:7" ht="17.25" customHeight="1">
      <c r="B197" s="149"/>
      <c r="C197" s="330" t="str">
        <f t="shared" si="3"/>
        <v/>
      </c>
      <c r="D197" s="118"/>
      <c r="E197" s="188"/>
      <c r="F197" s="119"/>
      <c r="G197" s="140"/>
    </row>
    <row r="198" spans="2:7" ht="17.25" customHeight="1">
      <c r="B198" s="149"/>
      <c r="C198" s="330" t="str">
        <f t="shared" ref="C198:C261" si="4">IF(D198&lt;&gt;0,C197+1,"")</f>
        <v/>
      </c>
      <c r="D198" s="118"/>
      <c r="E198" s="188"/>
      <c r="F198" s="119"/>
      <c r="G198" s="140"/>
    </row>
    <row r="199" spans="2:7" ht="17.25" customHeight="1">
      <c r="B199" s="149"/>
      <c r="C199" s="330" t="str">
        <f t="shared" si="4"/>
        <v/>
      </c>
      <c r="D199" s="118"/>
      <c r="E199" s="188"/>
      <c r="F199" s="119"/>
      <c r="G199" s="140"/>
    </row>
    <row r="200" spans="2:7" ht="17.25" customHeight="1">
      <c r="B200" s="149"/>
      <c r="C200" s="330" t="str">
        <f t="shared" si="4"/>
        <v/>
      </c>
      <c r="D200" s="118"/>
      <c r="E200" s="188"/>
      <c r="F200" s="119"/>
      <c r="G200" s="140"/>
    </row>
    <row r="201" spans="2:7" ht="17.25" customHeight="1">
      <c r="B201" s="149"/>
      <c r="C201" s="330" t="str">
        <f t="shared" si="4"/>
        <v/>
      </c>
      <c r="D201" s="118"/>
      <c r="E201" s="188"/>
      <c r="F201" s="119"/>
      <c r="G201" s="140"/>
    </row>
    <row r="202" spans="2:7" ht="17.25" customHeight="1">
      <c r="B202" s="149"/>
      <c r="C202" s="330" t="str">
        <f t="shared" si="4"/>
        <v/>
      </c>
      <c r="D202" s="118"/>
      <c r="E202" s="188"/>
      <c r="F202" s="119"/>
      <c r="G202" s="140"/>
    </row>
    <row r="203" spans="2:7" ht="17.25" customHeight="1">
      <c r="B203" s="149"/>
      <c r="C203" s="330" t="str">
        <f t="shared" si="4"/>
        <v/>
      </c>
      <c r="D203" s="118"/>
      <c r="E203" s="188"/>
      <c r="F203" s="119"/>
      <c r="G203" s="140"/>
    </row>
    <row r="204" spans="2:7" ht="17.25" customHeight="1">
      <c r="B204" s="149"/>
      <c r="C204" s="330" t="str">
        <f t="shared" si="4"/>
        <v/>
      </c>
      <c r="D204" s="118"/>
      <c r="E204" s="188"/>
      <c r="F204" s="119"/>
      <c r="G204" s="140"/>
    </row>
    <row r="205" spans="2:7" ht="17.25" customHeight="1">
      <c r="B205" s="149"/>
      <c r="C205" s="330" t="str">
        <f t="shared" si="4"/>
        <v/>
      </c>
      <c r="D205" s="118"/>
      <c r="E205" s="188"/>
      <c r="F205" s="119"/>
      <c r="G205" s="140"/>
    </row>
    <row r="206" spans="2:7" ht="17.25" customHeight="1">
      <c r="B206" s="149"/>
      <c r="C206" s="330" t="str">
        <f t="shared" si="4"/>
        <v/>
      </c>
      <c r="D206" s="118"/>
      <c r="E206" s="188"/>
      <c r="F206" s="119"/>
      <c r="G206" s="140"/>
    </row>
    <row r="207" spans="2:7" ht="17.25" customHeight="1">
      <c r="B207" s="149"/>
      <c r="C207" s="330" t="str">
        <f t="shared" si="4"/>
        <v/>
      </c>
      <c r="D207" s="118"/>
      <c r="E207" s="188"/>
      <c r="F207" s="119"/>
      <c r="G207" s="140"/>
    </row>
    <row r="208" spans="2:7" ht="17.25" customHeight="1">
      <c r="B208" s="149"/>
      <c r="C208" s="330" t="str">
        <f t="shared" si="4"/>
        <v/>
      </c>
      <c r="D208" s="118"/>
      <c r="E208" s="188"/>
      <c r="F208" s="119"/>
      <c r="G208" s="140"/>
    </row>
    <row r="209" spans="2:7" ht="17.25" customHeight="1">
      <c r="B209" s="149"/>
      <c r="C209" s="330" t="str">
        <f t="shared" si="4"/>
        <v/>
      </c>
      <c r="D209" s="118"/>
      <c r="E209" s="188"/>
      <c r="F209" s="119"/>
      <c r="G209" s="140"/>
    </row>
    <row r="210" spans="2:7" ht="17.25" customHeight="1">
      <c r="B210" s="149"/>
      <c r="C210" s="330" t="str">
        <f t="shared" si="4"/>
        <v/>
      </c>
      <c r="D210" s="118"/>
      <c r="E210" s="188"/>
      <c r="F210" s="119"/>
      <c r="G210" s="140"/>
    </row>
    <row r="211" spans="2:7" ht="17.25" customHeight="1">
      <c r="B211" s="149"/>
      <c r="C211" s="330" t="str">
        <f t="shared" si="4"/>
        <v/>
      </c>
      <c r="D211" s="118"/>
      <c r="E211" s="188"/>
      <c r="F211" s="119"/>
      <c r="G211" s="140"/>
    </row>
    <row r="212" spans="2:7" ht="17.25" customHeight="1">
      <c r="B212" s="149"/>
      <c r="C212" s="330" t="str">
        <f t="shared" si="4"/>
        <v/>
      </c>
      <c r="D212" s="118"/>
      <c r="E212" s="188"/>
      <c r="F212" s="119"/>
      <c r="G212" s="140"/>
    </row>
    <row r="213" spans="2:7" ht="17.25" customHeight="1">
      <c r="B213" s="149"/>
      <c r="C213" s="330" t="str">
        <f t="shared" si="4"/>
        <v/>
      </c>
      <c r="D213" s="118"/>
      <c r="E213" s="188"/>
      <c r="F213" s="119"/>
      <c r="G213" s="140"/>
    </row>
    <row r="214" spans="2:7" ht="17.25" customHeight="1">
      <c r="B214" s="149"/>
      <c r="C214" s="330" t="str">
        <f t="shared" si="4"/>
        <v/>
      </c>
      <c r="D214" s="118"/>
      <c r="E214" s="188"/>
      <c r="F214" s="119"/>
      <c r="G214" s="140"/>
    </row>
    <row r="215" spans="2:7" ht="17.25" customHeight="1">
      <c r="B215" s="149"/>
      <c r="C215" s="330" t="str">
        <f t="shared" si="4"/>
        <v/>
      </c>
      <c r="D215" s="118"/>
      <c r="E215" s="188"/>
      <c r="F215" s="119"/>
      <c r="G215" s="140"/>
    </row>
    <row r="216" spans="2:7" ht="17.25" customHeight="1">
      <c r="B216" s="149"/>
      <c r="C216" s="330" t="str">
        <f t="shared" si="4"/>
        <v/>
      </c>
      <c r="D216" s="118"/>
      <c r="E216" s="188"/>
      <c r="F216" s="119"/>
      <c r="G216" s="140"/>
    </row>
    <row r="217" spans="2:7" ht="17.25" customHeight="1">
      <c r="B217" s="149"/>
      <c r="C217" s="330" t="str">
        <f t="shared" si="4"/>
        <v/>
      </c>
      <c r="D217" s="118"/>
      <c r="E217" s="188"/>
      <c r="F217" s="119"/>
      <c r="G217" s="140"/>
    </row>
    <row r="218" spans="2:7" ht="17.25" customHeight="1">
      <c r="B218" s="149"/>
      <c r="C218" s="330" t="str">
        <f t="shared" si="4"/>
        <v/>
      </c>
      <c r="D218" s="118"/>
      <c r="E218" s="188"/>
      <c r="F218" s="119"/>
      <c r="G218" s="140"/>
    </row>
    <row r="219" spans="2:7" ht="17.25" customHeight="1">
      <c r="B219" s="149"/>
      <c r="C219" s="330" t="str">
        <f t="shared" si="4"/>
        <v/>
      </c>
      <c r="D219" s="118"/>
      <c r="E219" s="188"/>
      <c r="F219" s="119"/>
      <c r="G219" s="140"/>
    </row>
    <row r="220" spans="2:7" ht="17.25" customHeight="1">
      <c r="B220" s="149"/>
      <c r="C220" s="330" t="str">
        <f t="shared" si="4"/>
        <v/>
      </c>
      <c r="D220" s="118"/>
      <c r="E220" s="188"/>
      <c r="F220" s="119"/>
      <c r="G220" s="140"/>
    </row>
    <row r="221" spans="2:7" ht="17.25" customHeight="1">
      <c r="B221" s="149"/>
      <c r="C221" s="330" t="str">
        <f t="shared" si="4"/>
        <v/>
      </c>
      <c r="D221" s="118"/>
      <c r="E221" s="188"/>
      <c r="F221" s="119"/>
      <c r="G221" s="140"/>
    </row>
    <row r="222" spans="2:7" ht="17.25" customHeight="1">
      <c r="B222" s="149"/>
      <c r="C222" s="330" t="str">
        <f t="shared" si="4"/>
        <v/>
      </c>
      <c r="D222" s="118"/>
      <c r="E222" s="188"/>
      <c r="F222" s="119"/>
      <c r="G222" s="140"/>
    </row>
    <row r="223" spans="2:7" ht="17.25" customHeight="1">
      <c r="B223" s="149"/>
      <c r="C223" s="330" t="str">
        <f t="shared" si="4"/>
        <v/>
      </c>
      <c r="D223" s="118"/>
      <c r="E223" s="188"/>
      <c r="F223" s="119"/>
      <c r="G223" s="140"/>
    </row>
    <row r="224" spans="2:7" ht="17.25" customHeight="1">
      <c r="B224" s="149"/>
      <c r="C224" s="330" t="str">
        <f t="shared" si="4"/>
        <v/>
      </c>
      <c r="D224" s="118"/>
      <c r="E224" s="188"/>
      <c r="F224" s="119"/>
      <c r="G224" s="140"/>
    </row>
    <row r="225" spans="2:7" ht="17.25" customHeight="1">
      <c r="B225" s="149"/>
      <c r="C225" s="330" t="str">
        <f t="shared" si="4"/>
        <v/>
      </c>
      <c r="D225" s="118"/>
      <c r="E225" s="188"/>
      <c r="F225" s="119"/>
      <c r="G225" s="140"/>
    </row>
    <row r="226" spans="2:7" ht="17.25" customHeight="1">
      <c r="B226" s="149"/>
      <c r="C226" s="330" t="str">
        <f t="shared" si="4"/>
        <v/>
      </c>
      <c r="D226" s="118"/>
      <c r="E226" s="188"/>
      <c r="F226" s="119"/>
      <c r="G226" s="140"/>
    </row>
    <row r="227" spans="2:7" ht="17.25" customHeight="1">
      <c r="B227" s="149"/>
      <c r="C227" s="330" t="str">
        <f t="shared" si="4"/>
        <v/>
      </c>
      <c r="D227" s="118"/>
      <c r="E227" s="188"/>
      <c r="F227" s="119"/>
      <c r="G227" s="140"/>
    </row>
    <row r="228" spans="2:7" ht="17.25" customHeight="1">
      <c r="B228" s="149"/>
      <c r="C228" s="330" t="str">
        <f t="shared" si="4"/>
        <v/>
      </c>
      <c r="D228" s="118"/>
      <c r="E228" s="188"/>
      <c r="F228" s="119"/>
      <c r="G228" s="140"/>
    </row>
    <row r="229" spans="2:7" ht="17.25" customHeight="1">
      <c r="B229" s="149"/>
      <c r="C229" s="330" t="str">
        <f t="shared" si="4"/>
        <v/>
      </c>
      <c r="D229" s="118"/>
      <c r="E229" s="188"/>
      <c r="F229" s="119"/>
      <c r="G229" s="140"/>
    </row>
    <row r="230" spans="2:7" ht="17.25" customHeight="1">
      <c r="B230" s="149"/>
      <c r="C230" s="330" t="str">
        <f t="shared" si="4"/>
        <v/>
      </c>
      <c r="D230" s="118"/>
      <c r="E230" s="188"/>
      <c r="F230" s="119"/>
      <c r="G230" s="140"/>
    </row>
    <row r="231" spans="2:7" ht="17.25" customHeight="1">
      <c r="B231" s="149"/>
      <c r="C231" s="330" t="str">
        <f t="shared" si="4"/>
        <v/>
      </c>
      <c r="D231" s="118"/>
      <c r="E231" s="188"/>
      <c r="F231" s="119"/>
      <c r="G231" s="140"/>
    </row>
    <row r="232" spans="2:7" ht="17.25" customHeight="1">
      <c r="B232" s="149"/>
      <c r="C232" s="330" t="str">
        <f t="shared" si="4"/>
        <v/>
      </c>
      <c r="D232" s="118"/>
      <c r="E232" s="188"/>
      <c r="F232" s="119"/>
      <c r="G232" s="140"/>
    </row>
    <row r="233" spans="2:7" ht="17.25" customHeight="1">
      <c r="B233" s="149"/>
      <c r="C233" s="330" t="str">
        <f t="shared" si="4"/>
        <v/>
      </c>
      <c r="D233" s="118"/>
      <c r="E233" s="188"/>
      <c r="F233" s="119"/>
      <c r="G233" s="140"/>
    </row>
    <row r="234" spans="2:7" ht="17.25" customHeight="1">
      <c r="B234" s="149"/>
      <c r="C234" s="330" t="str">
        <f t="shared" si="4"/>
        <v/>
      </c>
      <c r="D234" s="118"/>
      <c r="E234" s="188"/>
      <c r="F234" s="119"/>
      <c r="G234" s="140"/>
    </row>
    <row r="235" spans="2:7" ht="17.25" customHeight="1">
      <c r="B235" s="149"/>
      <c r="C235" s="330" t="str">
        <f t="shared" si="4"/>
        <v/>
      </c>
      <c r="D235" s="118"/>
      <c r="E235" s="188"/>
      <c r="F235" s="119"/>
      <c r="G235" s="140"/>
    </row>
    <row r="236" spans="2:7" ht="17.25" customHeight="1">
      <c r="B236" s="149"/>
      <c r="C236" s="330" t="str">
        <f t="shared" si="4"/>
        <v/>
      </c>
      <c r="D236" s="118"/>
      <c r="E236" s="188"/>
      <c r="F236" s="119"/>
      <c r="G236" s="140"/>
    </row>
    <row r="237" spans="2:7" ht="17.25" customHeight="1">
      <c r="B237" s="149"/>
      <c r="C237" s="330" t="str">
        <f t="shared" si="4"/>
        <v/>
      </c>
      <c r="D237" s="118"/>
      <c r="E237" s="188"/>
      <c r="F237" s="119"/>
      <c r="G237" s="140"/>
    </row>
    <row r="238" spans="2:7" ht="17.25" customHeight="1">
      <c r="B238" s="149"/>
      <c r="C238" s="330" t="str">
        <f t="shared" si="4"/>
        <v/>
      </c>
      <c r="D238" s="118"/>
      <c r="E238" s="188"/>
      <c r="F238" s="119"/>
      <c r="G238" s="140"/>
    </row>
    <row r="239" spans="2:7" ht="17.25" customHeight="1">
      <c r="B239" s="149"/>
      <c r="C239" s="330" t="str">
        <f t="shared" si="4"/>
        <v/>
      </c>
      <c r="D239" s="118"/>
      <c r="E239" s="188"/>
      <c r="F239" s="119"/>
      <c r="G239" s="140"/>
    </row>
    <row r="240" spans="2:7" ht="17.25" customHeight="1">
      <c r="B240" s="149"/>
      <c r="C240" s="330" t="str">
        <f t="shared" si="4"/>
        <v/>
      </c>
      <c r="D240" s="118"/>
      <c r="E240" s="188"/>
      <c r="F240" s="119"/>
      <c r="G240" s="140"/>
    </row>
    <row r="241" spans="2:7" ht="17.25" customHeight="1">
      <c r="B241" s="149"/>
      <c r="C241" s="330" t="str">
        <f t="shared" si="4"/>
        <v/>
      </c>
      <c r="D241" s="118"/>
      <c r="E241" s="188"/>
      <c r="F241" s="119"/>
      <c r="G241" s="140"/>
    </row>
    <row r="242" spans="2:7" ht="17.25" customHeight="1">
      <c r="B242" s="149"/>
      <c r="C242" s="330" t="str">
        <f t="shared" si="4"/>
        <v/>
      </c>
      <c r="D242" s="118"/>
      <c r="E242" s="188"/>
      <c r="F242" s="119"/>
      <c r="G242" s="140"/>
    </row>
    <row r="243" spans="2:7" ht="17.25" customHeight="1">
      <c r="B243" s="149"/>
      <c r="C243" s="330" t="str">
        <f t="shared" si="4"/>
        <v/>
      </c>
      <c r="D243" s="118"/>
      <c r="E243" s="188"/>
      <c r="F243" s="119"/>
      <c r="G243" s="140"/>
    </row>
    <row r="244" spans="2:7" ht="17.25" customHeight="1">
      <c r="B244" s="149"/>
      <c r="C244" s="330" t="str">
        <f t="shared" si="4"/>
        <v/>
      </c>
      <c r="D244" s="118"/>
      <c r="E244" s="188"/>
      <c r="F244" s="119"/>
      <c r="G244" s="140"/>
    </row>
    <row r="245" spans="2:7" ht="17.25" customHeight="1">
      <c r="B245" s="149"/>
      <c r="C245" s="330" t="str">
        <f t="shared" si="4"/>
        <v/>
      </c>
      <c r="D245" s="118"/>
      <c r="E245" s="188"/>
      <c r="F245" s="119"/>
      <c r="G245" s="140"/>
    </row>
    <row r="246" spans="2:7" ht="17.25" customHeight="1">
      <c r="B246" s="149"/>
      <c r="C246" s="330" t="str">
        <f t="shared" si="4"/>
        <v/>
      </c>
      <c r="D246" s="118"/>
      <c r="E246" s="188"/>
      <c r="F246" s="119"/>
      <c r="G246" s="140"/>
    </row>
    <row r="247" spans="2:7" ht="17.25" customHeight="1">
      <c r="B247" s="149"/>
      <c r="C247" s="330" t="str">
        <f t="shared" si="4"/>
        <v/>
      </c>
      <c r="D247" s="118"/>
      <c r="E247" s="188"/>
      <c r="F247" s="119"/>
      <c r="G247" s="140"/>
    </row>
    <row r="248" spans="2:7" ht="17.25" customHeight="1">
      <c r="B248" s="149"/>
      <c r="C248" s="330" t="str">
        <f t="shared" si="4"/>
        <v/>
      </c>
      <c r="D248" s="118"/>
      <c r="E248" s="188"/>
      <c r="F248" s="119"/>
      <c r="G248" s="140"/>
    </row>
    <row r="249" spans="2:7" ht="17.25" customHeight="1">
      <c r="B249" s="149"/>
      <c r="C249" s="330" t="str">
        <f t="shared" si="4"/>
        <v/>
      </c>
      <c r="D249" s="118"/>
      <c r="E249" s="188"/>
      <c r="F249" s="119"/>
      <c r="G249" s="140"/>
    </row>
    <row r="250" spans="2:7" ht="17.25" customHeight="1">
      <c r="B250" s="149"/>
      <c r="C250" s="330" t="str">
        <f t="shared" si="4"/>
        <v/>
      </c>
      <c r="D250" s="118"/>
      <c r="E250" s="188"/>
      <c r="F250" s="119"/>
      <c r="G250" s="140"/>
    </row>
    <row r="251" spans="2:7" ht="17.25" customHeight="1">
      <c r="B251" s="149"/>
      <c r="C251" s="330" t="str">
        <f t="shared" si="4"/>
        <v/>
      </c>
      <c r="D251" s="118"/>
      <c r="E251" s="188"/>
      <c r="F251" s="119"/>
      <c r="G251" s="140"/>
    </row>
    <row r="252" spans="2:7" ht="17.25" customHeight="1">
      <c r="B252" s="149"/>
      <c r="C252" s="330" t="str">
        <f t="shared" si="4"/>
        <v/>
      </c>
      <c r="D252" s="118"/>
      <c r="E252" s="188"/>
      <c r="F252" s="119"/>
      <c r="G252" s="140"/>
    </row>
    <row r="253" spans="2:7" ht="17.25" customHeight="1">
      <c r="B253" s="149"/>
      <c r="C253" s="330" t="str">
        <f t="shared" si="4"/>
        <v/>
      </c>
      <c r="D253" s="118"/>
      <c r="E253" s="188"/>
      <c r="F253" s="119"/>
      <c r="G253" s="140"/>
    </row>
    <row r="254" spans="2:7" ht="17.25" customHeight="1">
      <c r="B254" s="149"/>
      <c r="C254" s="330" t="str">
        <f t="shared" si="4"/>
        <v/>
      </c>
      <c r="D254" s="118"/>
      <c r="E254" s="188"/>
      <c r="F254" s="119"/>
      <c r="G254" s="140"/>
    </row>
    <row r="255" spans="2:7" ht="17.25" customHeight="1">
      <c r="B255" s="149"/>
      <c r="C255" s="330" t="str">
        <f t="shared" si="4"/>
        <v/>
      </c>
      <c r="D255" s="118"/>
      <c r="E255" s="188"/>
      <c r="F255" s="119"/>
      <c r="G255" s="140"/>
    </row>
    <row r="256" spans="2:7" ht="17.25" customHeight="1">
      <c r="B256" s="149"/>
      <c r="C256" s="330" t="str">
        <f t="shared" si="4"/>
        <v/>
      </c>
      <c r="D256" s="118"/>
      <c r="E256" s="188"/>
      <c r="F256" s="119"/>
      <c r="G256" s="140"/>
    </row>
    <row r="257" spans="2:7" ht="17.25" customHeight="1">
      <c r="B257" s="149"/>
      <c r="C257" s="330" t="str">
        <f t="shared" si="4"/>
        <v/>
      </c>
      <c r="D257" s="118"/>
      <c r="E257" s="188"/>
      <c r="F257" s="119"/>
      <c r="G257" s="140"/>
    </row>
    <row r="258" spans="2:7" ht="17.25" customHeight="1">
      <c r="B258" s="149"/>
      <c r="C258" s="330" t="str">
        <f t="shared" si="4"/>
        <v/>
      </c>
      <c r="D258" s="118"/>
      <c r="E258" s="188"/>
      <c r="F258" s="119"/>
      <c r="G258" s="140"/>
    </row>
    <row r="259" spans="2:7" ht="17.25" customHeight="1">
      <c r="B259" s="149"/>
      <c r="C259" s="330" t="str">
        <f t="shared" si="4"/>
        <v/>
      </c>
      <c r="D259" s="118"/>
      <c r="E259" s="188"/>
      <c r="F259" s="119"/>
      <c r="G259" s="140"/>
    </row>
    <row r="260" spans="2:7" ht="17.25" customHeight="1">
      <c r="B260" s="149"/>
      <c r="C260" s="330" t="str">
        <f t="shared" si="4"/>
        <v/>
      </c>
      <c r="D260" s="118"/>
      <c r="E260" s="188"/>
      <c r="F260" s="119"/>
      <c r="G260" s="140"/>
    </row>
    <row r="261" spans="2:7" ht="17.25" customHeight="1">
      <c r="B261" s="149"/>
      <c r="C261" s="330" t="str">
        <f t="shared" si="4"/>
        <v/>
      </c>
      <c r="D261" s="118"/>
      <c r="E261" s="188"/>
      <c r="F261" s="119"/>
      <c r="G261" s="140"/>
    </row>
    <row r="262" spans="2:7" ht="17.25" customHeight="1">
      <c r="B262" s="149"/>
      <c r="C262" s="330" t="str">
        <f t="shared" ref="C262:C325" si="5">IF(D262&lt;&gt;0,C261+1,"")</f>
        <v/>
      </c>
      <c r="D262" s="118"/>
      <c r="E262" s="188"/>
      <c r="F262" s="119"/>
      <c r="G262" s="140"/>
    </row>
    <row r="263" spans="2:7" ht="17.25" customHeight="1">
      <c r="B263" s="149"/>
      <c r="C263" s="330" t="str">
        <f t="shared" si="5"/>
        <v/>
      </c>
      <c r="D263" s="118"/>
      <c r="E263" s="188"/>
      <c r="F263" s="119"/>
      <c r="G263" s="140"/>
    </row>
    <row r="264" spans="2:7" ht="17.25" customHeight="1">
      <c r="B264" s="149"/>
      <c r="C264" s="330" t="str">
        <f t="shared" si="5"/>
        <v/>
      </c>
      <c r="D264" s="118"/>
      <c r="E264" s="188"/>
      <c r="F264" s="119"/>
      <c r="G264" s="140"/>
    </row>
    <row r="265" spans="2:7" ht="17.25" customHeight="1">
      <c r="B265" s="149"/>
      <c r="C265" s="330" t="str">
        <f t="shared" si="5"/>
        <v/>
      </c>
      <c r="D265" s="118"/>
      <c r="E265" s="188"/>
      <c r="F265" s="119"/>
      <c r="G265" s="140"/>
    </row>
    <row r="266" spans="2:7" ht="17.25" customHeight="1">
      <c r="B266" s="149"/>
      <c r="C266" s="330" t="str">
        <f t="shared" si="5"/>
        <v/>
      </c>
      <c r="D266" s="118"/>
      <c r="E266" s="188"/>
      <c r="F266" s="119"/>
      <c r="G266" s="140"/>
    </row>
    <row r="267" spans="2:7" ht="17.25" customHeight="1">
      <c r="B267" s="149"/>
      <c r="C267" s="330" t="str">
        <f t="shared" si="5"/>
        <v/>
      </c>
      <c r="D267" s="118"/>
      <c r="E267" s="188"/>
      <c r="F267" s="119"/>
      <c r="G267" s="140"/>
    </row>
    <row r="268" spans="2:7" ht="17.25" customHeight="1">
      <c r="B268" s="149"/>
      <c r="C268" s="330" t="str">
        <f t="shared" si="5"/>
        <v/>
      </c>
      <c r="D268" s="118"/>
      <c r="E268" s="188"/>
      <c r="F268" s="119"/>
      <c r="G268" s="140"/>
    </row>
    <row r="269" spans="2:7" ht="17.25" customHeight="1">
      <c r="B269" s="149"/>
      <c r="C269" s="330" t="str">
        <f t="shared" si="5"/>
        <v/>
      </c>
      <c r="D269" s="118"/>
      <c r="E269" s="188"/>
      <c r="F269" s="119"/>
      <c r="G269" s="140"/>
    </row>
    <row r="270" spans="2:7" ht="17.25" customHeight="1">
      <c r="B270" s="149"/>
      <c r="C270" s="330" t="str">
        <f t="shared" si="5"/>
        <v/>
      </c>
      <c r="D270" s="118"/>
      <c r="E270" s="188"/>
      <c r="F270" s="119"/>
      <c r="G270" s="140"/>
    </row>
    <row r="271" spans="2:7" ht="17.25" customHeight="1">
      <c r="B271" s="149"/>
      <c r="C271" s="330" t="str">
        <f t="shared" si="5"/>
        <v/>
      </c>
      <c r="D271" s="118"/>
      <c r="E271" s="188"/>
      <c r="F271" s="119"/>
      <c r="G271" s="140"/>
    </row>
    <row r="272" spans="2:7" ht="17.25" customHeight="1">
      <c r="B272" s="149"/>
      <c r="C272" s="330" t="str">
        <f t="shared" si="5"/>
        <v/>
      </c>
      <c r="D272" s="118"/>
      <c r="E272" s="188"/>
      <c r="F272" s="119"/>
      <c r="G272" s="140"/>
    </row>
    <row r="273" spans="2:7" ht="17.25" customHeight="1">
      <c r="B273" s="149"/>
      <c r="C273" s="330" t="str">
        <f t="shared" si="5"/>
        <v/>
      </c>
      <c r="D273" s="118"/>
      <c r="E273" s="188"/>
      <c r="F273" s="119"/>
      <c r="G273" s="140"/>
    </row>
    <row r="274" spans="2:7" ht="17.25" customHeight="1">
      <c r="B274" s="149"/>
      <c r="C274" s="330" t="str">
        <f t="shared" si="5"/>
        <v/>
      </c>
      <c r="D274" s="118"/>
      <c r="E274" s="188"/>
      <c r="F274" s="119"/>
      <c r="G274" s="140"/>
    </row>
    <row r="275" spans="2:7" ht="17.25" customHeight="1">
      <c r="B275" s="149"/>
      <c r="C275" s="330" t="str">
        <f t="shared" si="5"/>
        <v/>
      </c>
      <c r="D275" s="118"/>
      <c r="E275" s="188"/>
      <c r="F275" s="119"/>
      <c r="G275" s="140"/>
    </row>
    <row r="276" spans="2:7" ht="17.25" customHeight="1">
      <c r="B276" s="149"/>
      <c r="C276" s="330" t="str">
        <f t="shared" si="5"/>
        <v/>
      </c>
      <c r="D276" s="118"/>
      <c r="E276" s="188"/>
      <c r="F276" s="119"/>
      <c r="G276" s="140"/>
    </row>
    <row r="277" spans="2:7" ht="17.25" customHeight="1">
      <c r="B277" s="149"/>
      <c r="C277" s="330" t="str">
        <f t="shared" si="5"/>
        <v/>
      </c>
      <c r="D277" s="118"/>
      <c r="E277" s="188"/>
      <c r="F277" s="119"/>
      <c r="G277" s="140"/>
    </row>
    <row r="278" spans="2:7" ht="17.25" customHeight="1">
      <c r="B278" s="149"/>
      <c r="C278" s="330" t="str">
        <f t="shared" si="5"/>
        <v/>
      </c>
      <c r="D278" s="118"/>
      <c r="E278" s="188"/>
      <c r="F278" s="119"/>
      <c r="G278" s="140"/>
    </row>
    <row r="279" spans="2:7" ht="17.25" customHeight="1">
      <c r="B279" s="149"/>
      <c r="C279" s="330" t="str">
        <f t="shared" si="5"/>
        <v/>
      </c>
      <c r="D279" s="118"/>
      <c r="E279" s="188"/>
      <c r="F279" s="119"/>
      <c r="G279" s="140"/>
    </row>
    <row r="280" spans="2:7" ht="17.25" customHeight="1">
      <c r="B280" s="149"/>
      <c r="C280" s="330" t="str">
        <f t="shared" si="5"/>
        <v/>
      </c>
      <c r="D280" s="118"/>
      <c r="E280" s="188"/>
      <c r="F280" s="119"/>
      <c r="G280" s="140"/>
    </row>
    <row r="281" spans="2:7" ht="17.25" customHeight="1">
      <c r="B281" s="149"/>
      <c r="C281" s="330" t="str">
        <f t="shared" si="5"/>
        <v/>
      </c>
      <c r="D281" s="118"/>
      <c r="E281" s="188"/>
      <c r="F281" s="119"/>
      <c r="G281" s="140"/>
    </row>
    <row r="282" spans="2:7" ht="17.25" customHeight="1">
      <c r="B282" s="149"/>
      <c r="C282" s="330" t="str">
        <f t="shared" si="5"/>
        <v/>
      </c>
      <c r="D282" s="118"/>
      <c r="E282" s="188"/>
      <c r="F282" s="119"/>
      <c r="G282" s="140"/>
    </row>
    <row r="283" spans="2:7" ht="17.25" customHeight="1">
      <c r="B283" s="149"/>
      <c r="C283" s="330" t="str">
        <f t="shared" si="5"/>
        <v/>
      </c>
      <c r="D283" s="118"/>
      <c r="E283" s="188"/>
      <c r="F283" s="119"/>
      <c r="G283" s="140"/>
    </row>
    <row r="284" spans="2:7" ht="17.25" customHeight="1">
      <c r="B284" s="149"/>
      <c r="C284" s="330" t="str">
        <f t="shared" si="5"/>
        <v/>
      </c>
      <c r="D284" s="118"/>
      <c r="E284" s="188"/>
      <c r="F284" s="119"/>
      <c r="G284" s="140"/>
    </row>
    <row r="285" spans="2:7" ht="17.25" customHeight="1">
      <c r="B285" s="149"/>
      <c r="C285" s="330" t="str">
        <f t="shared" si="5"/>
        <v/>
      </c>
      <c r="D285" s="118"/>
      <c r="E285" s="188"/>
      <c r="F285" s="119"/>
      <c r="G285" s="140"/>
    </row>
    <row r="286" spans="2:7" ht="17.25" customHeight="1">
      <c r="B286" s="149"/>
      <c r="C286" s="330" t="str">
        <f t="shared" si="5"/>
        <v/>
      </c>
      <c r="D286" s="118"/>
      <c r="E286" s="188"/>
      <c r="F286" s="119"/>
      <c r="G286" s="140"/>
    </row>
    <row r="287" spans="2:7" ht="17.25" customHeight="1">
      <c r="B287" s="149"/>
      <c r="C287" s="330" t="str">
        <f t="shared" si="5"/>
        <v/>
      </c>
      <c r="D287" s="118"/>
      <c r="E287" s="188"/>
      <c r="F287" s="119"/>
      <c r="G287" s="140"/>
    </row>
    <row r="288" spans="2:7" ht="17.25" customHeight="1">
      <c r="B288" s="149"/>
      <c r="C288" s="330" t="str">
        <f t="shared" si="5"/>
        <v/>
      </c>
      <c r="D288" s="118"/>
      <c r="E288" s="188"/>
      <c r="F288" s="119"/>
      <c r="G288" s="140"/>
    </row>
    <row r="289" spans="2:7" ht="17.25" customHeight="1">
      <c r="B289" s="149"/>
      <c r="C289" s="330" t="str">
        <f t="shared" si="5"/>
        <v/>
      </c>
      <c r="D289" s="118"/>
      <c r="E289" s="188"/>
      <c r="F289" s="119"/>
      <c r="G289" s="140"/>
    </row>
    <row r="290" spans="2:7" ht="17.25" customHeight="1">
      <c r="B290" s="149"/>
      <c r="C290" s="330" t="str">
        <f t="shared" si="5"/>
        <v/>
      </c>
      <c r="D290" s="118"/>
      <c r="E290" s="188"/>
      <c r="F290" s="119"/>
      <c r="G290" s="140"/>
    </row>
    <row r="291" spans="2:7" ht="17.25" customHeight="1">
      <c r="B291" s="149"/>
      <c r="C291" s="330" t="str">
        <f t="shared" si="5"/>
        <v/>
      </c>
      <c r="D291" s="118"/>
      <c r="E291" s="188"/>
      <c r="F291" s="119"/>
      <c r="G291" s="140"/>
    </row>
    <row r="292" spans="2:7" ht="17.25" customHeight="1">
      <c r="B292" s="149"/>
      <c r="C292" s="330" t="str">
        <f t="shared" si="5"/>
        <v/>
      </c>
      <c r="D292" s="118"/>
      <c r="E292" s="188"/>
      <c r="F292" s="119"/>
      <c r="G292" s="140"/>
    </row>
    <row r="293" spans="2:7" ht="17.25" customHeight="1">
      <c r="B293" s="149"/>
      <c r="C293" s="330" t="str">
        <f t="shared" si="5"/>
        <v/>
      </c>
      <c r="D293" s="118"/>
      <c r="E293" s="188"/>
      <c r="F293" s="119"/>
      <c r="G293" s="140"/>
    </row>
    <row r="294" spans="2:7" ht="17.25" customHeight="1">
      <c r="B294" s="149"/>
      <c r="C294" s="330" t="str">
        <f t="shared" si="5"/>
        <v/>
      </c>
      <c r="D294" s="118"/>
      <c r="E294" s="188"/>
      <c r="F294" s="119"/>
      <c r="G294" s="140"/>
    </row>
    <row r="295" spans="2:7" ht="17.25" customHeight="1">
      <c r="B295" s="149"/>
      <c r="C295" s="330" t="str">
        <f t="shared" si="5"/>
        <v/>
      </c>
      <c r="D295" s="118"/>
      <c r="E295" s="188"/>
      <c r="F295" s="119"/>
      <c r="G295" s="140"/>
    </row>
    <row r="296" spans="2:7" ht="17.25" customHeight="1">
      <c r="B296" s="149"/>
      <c r="C296" s="330" t="str">
        <f t="shared" si="5"/>
        <v/>
      </c>
      <c r="D296" s="118"/>
      <c r="E296" s="188"/>
      <c r="F296" s="119"/>
      <c r="G296" s="140"/>
    </row>
    <row r="297" spans="2:7" ht="17.25" customHeight="1">
      <c r="B297" s="149"/>
      <c r="C297" s="330" t="str">
        <f t="shared" si="5"/>
        <v/>
      </c>
      <c r="D297" s="118"/>
      <c r="E297" s="188"/>
      <c r="F297" s="119"/>
      <c r="G297" s="140"/>
    </row>
    <row r="298" spans="2:7" ht="17.25" customHeight="1">
      <c r="B298" s="149"/>
      <c r="C298" s="330" t="str">
        <f t="shared" si="5"/>
        <v/>
      </c>
      <c r="D298" s="118"/>
      <c r="E298" s="188"/>
      <c r="F298" s="119"/>
      <c r="G298" s="140"/>
    </row>
    <row r="299" spans="2:7" ht="17.25" customHeight="1">
      <c r="B299" s="149"/>
      <c r="C299" s="330" t="str">
        <f t="shared" si="5"/>
        <v/>
      </c>
      <c r="D299" s="118"/>
      <c r="E299" s="188"/>
      <c r="F299" s="119"/>
      <c r="G299" s="140"/>
    </row>
    <row r="300" spans="2:7" ht="17.25" customHeight="1">
      <c r="B300" s="149"/>
      <c r="C300" s="330" t="str">
        <f t="shared" si="5"/>
        <v/>
      </c>
      <c r="D300" s="118"/>
      <c r="E300" s="188"/>
      <c r="F300" s="119"/>
      <c r="G300" s="140"/>
    </row>
    <row r="301" spans="2:7" ht="17.25" customHeight="1">
      <c r="B301" s="149"/>
      <c r="C301" s="330" t="str">
        <f t="shared" si="5"/>
        <v/>
      </c>
      <c r="D301" s="118"/>
      <c r="E301" s="188"/>
      <c r="F301" s="119"/>
      <c r="G301" s="140"/>
    </row>
    <row r="302" spans="2:7" ht="17.25" customHeight="1">
      <c r="B302" s="149"/>
      <c r="C302" s="330" t="str">
        <f t="shared" si="5"/>
        <v/>
      </c>
      <c r="D302" s="118"/>
      <c r="E302" s="188"/>
      <c r="F302" s="119"/>
      <c r="G302" s="140"/>
    </row>
    <row r="303" spans="2:7" ht="17.25" customHeight="1">
      <c r="B303" s="149"/>
      <c r="C303" s="330" t="str">
        <f t="shared" si="5"/>
        <v/>
      </c>
      <c r="D303" s="118"/>
      <c r="E303" s="188"/>
      <c r="F303" s="119"/>
      <c r="G303" s="140"/>
    </row>
    <row r="304" spans="2:7" ht="17.25" customHeight="1">
      <c r="B304" s="149"/>
      <c r="C304" s="330" t="str">
        <f t="shared" si="5"/>
        <v/>
      </c>
      <c r="D304" s="118"/>
      <c r="E304" s="188"/>
      <c r="F304" s="119"/>
      <c r="G304" s="140"/>
    </row>
    <row r="305" spans="2:7" ht="17.25" customHeight="1">
      <c r="B305" s="149"/>
      <c r="C305" s="330" t="str">
        <f t="shared" si="5"/>
        <v/>
      </c>
      <c r="D305" s="118"/>
      <c r="E305" s="188"/>
      <c r="F305" s="119"/>
      <c r="G305" s="140"/>
    </row>
    <row r="306" spans="2:7" ht="17.25" customHeight="1">
      <c r="B306" s="149"/>
      <c r="C306" s="330" t="str">
        <f t="shared" si="5"/>
        <v/>
      </c>
      <c r="D306" s="118"/>
      <c r="E306" s="188"/>
      <c r="F306" s="119"/>
      <c r="G306" s="140"/>
    </row>
    <row r="307" spans="2:7" ht="17.25" customHeight="1">
      <c r="B307" s="149"/>
      <c r="C307" s="330" t="str">
        <f t="shared" si="5"/>
        <v/>
      </c>
      <c r="D307" s="118"/>
      <c r="E307" s="188"/>
      <c r="F307" s="119"/>
      <c r="G307" s="140"/>
    </row>
    <row r="308" spans="2:7" ht="17.25" customHeight="1">
      <c r="B308" s="149"/>
      <c r="C308" s="330" t="str">
        <f t="shared" si="5"/>
        <v/>
      </c>
      <c r="D308" s="118"/>
      <c r="E308" s="188"/>
      <c r="F308" s="119"/>
      <c r="G308" s="140"/>
    </row>
    <row r="309" spans="2:7" ht="17.25" customHeight="1">
      <c r="B309" s="149"/>
      <c r="C309" s="330" t="str">
        <f t="shared" si="5"/>
        <v/>
      </c>
      <c r="D309" s="118"/>
      <c r="E309" s="188"/>
      <c r="F309" s="119"/>
      <c r="G309" s="140"/>
    </row>
    <row r="310" spans="2:7" ht="17.25" customHeight="1">
      <c r="B310" s="149"/>
      <c r="C310" s="330" t="str">
        <f t="shared" si="5"/>
        <v/>
      </c>
      <c r="D310" s="118"/>
      <c r="E310" s="188"/>
      <c r="F310" s="119"/>
      <c r="G310" s="140"/>
    </row>
    <row r="311" spans="2:7" ht="17.25" customHeight="1">
      <c r="B311" s="149"/>
      <c r="C311" s="330" t="str">
        <f t="shared" si="5"/>
        <v/>
      </c>
      <c r="D311" s="118"/>
      <c r="E311" s="188"/>
      <c r="F311" s="119"/>
      <c r="G311" s="140"/>
    </row>
    <row r="312" spans="2:7" ht="17.25" customHeight="1">
      <c r="B312" s="149"/>
      <c r="C312" s="330" t="str">
        <f t="shared" si="5"/>
        <v/>
      </c>
      <c r="D312" s="118"/>
      <c r="E312" s="188"/>
      <c r="F312" s="119"/>
      <c r="G312" s="140"/>
    </row>
    <row r="313" spans="2:7" ht="17.25" customHeight="1">
      <c r="B313" s="149"/>
      <c r="C313" s="330" t="str">
        <f t="shared" si="5"/>
        <v/>
      </c>
      <c r="D313" s="118"/>
      <c r="E313" s="188"/>
      <c r="F313" s="119"/>
      <c r="G313" s="140"/>
    </row>
    <row r="314" spans="2:7" ht="17.25" customHeight="1">
      <c r="B314" s="149"/>
      <c r="C314" s="330" t="str">
        <f t="shared" si="5"/>
        <v/>
      </c>
      <c r="D314" s="118"/>
      <c r="E314" s="188"/>
      <c r="F314" s="119"/>
      <c r="G314" s="140"/>
    </row>
    <row r="315" spans="2:7" ht="17.25" customHeight="1">
      <c r="B315" s="149"/>
      <c r="C315" s="330" t="str">
        <f t="shared" si="5"/>
        <v/>
      </c>
      <c r="D315" s="118"/>
      <c r="E315" s="188"/>
      <c r="F315" s="119"/>
      <c r="G315" s="140"/>
    </row>
    <row r="316" spans="2:7" ht="17.25" customHeight="1">
      <c r="B316" s="149"/>
      <c r="C316" s="330" t="str">
        <f t="shared" si="5"/>
        <v/>
      </c>
      <c r="D316" s="118"/>
      <c r="E316" s="188"/>
      <c r="F316" s="119"/>
      <c r="G316" s="140"/>
    </row>
    <row r="317" spans="2:7" ht="17.25" customHeight="1">
      <c r="B317" s="149"/>
      <c r="C317" s="330" t="str">
        <f t="shared" si="5"/>
        <v/>
      </c>
      <c r="D317" s="118"/>
      <c r="E317" s="188"/>
      <c r="F317" s="119"/>
      <c r="G317" s="140"/>
    </row>
    <row r="318" spans="2:7" ht="17.25" customHeight="1">
      <c r="B318" s="149"/>
      <c r="C318" s="330" t="str">
        <f t="shared" si="5"/>
        <v/>
      </c>
      <c r="D318" s="118"/>
      <c r="E318" s="188"/>
      <c r="F318" s="119"/>
      <c r="G318" s="140"/>
    </row>
    <row r="319" spans="2:7" ht="17.25" customHeight="1">
      <c r="B319" s="149"/>
      <c r="C319" s="330" t="str">
        <f t="shared" si="5"/>
        <v/>
      </c>
      <c r="D319" s="118"/>
      <c r="E319" s="188"/>
      <c r="F319" s="119"/>
      <c r="G319" s="140"/>
    </row>
    <row r="320" spans="2:7" ht="17.25" customHeight="1">
      <c r="B320" s="149"/>
      <c r="C320" s="330" t="str">
        <f t="shared" si="5"/>
        <v/>
      </c>
      <c r="D320" s="118"/>
      <c r="E320" s="188"/>
      <c r="F320" s="119"/>
      <c r="G320" s="140"/>
    </row>
    <row r="321" spans="2:7" ht="17.25" customHeight="1">
      <c r="B321" s="149"/>
      <c r="C321" s="330" t="str">
        <f t="shared" si="5"/>
        <v/>
      </c>
      <c r="D321" s="118"/>
      <c r="E321" s="188"/>
      <c r="F321" s="119"/>
      <c r="G321" s="140"/>
    </row>
    <row r="322" spans="2:7" ht="17.25" customHeight="1">
      <c r="B322" s="149"/>
      <c r="C322" s="330" t="str">
        <f t="shared" si="5"/>
        <v/>
      </c>
      <c r="D322" s="118"/>
      <c r="E322" s="188"/>
      <c r="F322" s="119"/>
      <c r="G322" s="140"/>
    </row>
    <row r="323" spans="2:7" ht="17.25" customHeight="1">
      <c r="B323" s="149"/>
      <c r="C323" s="330" t="str">
        <f t="shared" si="5"/>
        <v/>
      </c>
      <c r="D323" s="118"/>
      <c r="E323" s="188"/>
      <c r="F323" s="119"/>
      <c r="G323" s="140"/>
    </row>
    <row r="324" spans="2:7" ht="17.25" customHeight="1">
      <c r="B324" s="149"/>
      <c r="C324" s="330" t="str">
        <f t="shared" si="5"/>
        <v/>
      </c>
      <c r="D324" s="118"/>
      <c r="E324" s="188"/>
      <c r="F324" s="119"/>
      <c r="G324" s="140"/>
    </row>
    <row r="325" spans="2:7" ht="17.25" customHeight="1">
      <c r="B325" s="149"/>
      <c r="C325" s="330" t="str">
        <f t="shared" si="5"/>
        <v/>
      </c>
      <c r="D325" s="118"/>
      <c r="E325" s="188"/>
      <c r="F325" s="119"/>
      <c r="G325" s="140"/>
    </row>
    <row r="326" spans="2:7" ht="17.25" customHeight="1">
      <c r="B326" s="149"/>
      <c r="C326" s="330" t="str">
        <f t="shared" ref="C326:C389" si="6">IF(D326&lt;&gt;0,C325+1,"")</f>
        <v/>
      </c>
      <c r="D326" s="118"/>
      <c r="E326" s="188"/>
      <c r="F326" s="119"/>
      <c r="G326" s="140"/>
    </row>
    <row r="327" spans="2:7" ht="17.25" customHeight="1">
      <c r="B327" s="149"/>
      <c r="C327" s="330" t="str">
        <f t="shared" si="6"/>
        <v/>
      </c>
      <c r="D327" s="118"/>
      <c r="E327" s="188"/>
      <c r="F327" s="119"/>
      <c r="G327" s="140"/>
    </row>
    <row r="328" spans="2:7" ht="17.25" customHeight="1">
      <c r="B328" s="149"/>
      <c r="C328" s="330" t="str">
        <f t="shared" si="6"/>
        <v/>
      </c>
      <c r="D328" s="118"/>
      <c r="E328" s="188"/>
      <c r="F328" s="119"/>
      <c r="G328" s="140"/>
    </row>
    <row r="329" spans="2:7" ht="17.25" customHeight="1">
      <c r="B329" s="149"/>
      <c r="C329" s="330" t="str">
        <f t="shared" si="6"/>
        <v/>
      </c>
      <c r="D329" s="118"/>
      <c r="E329" s="188"/>
      <c r="F329" s="119"/>
      <c r="G329" s="140"/>
    </row>
    <row r="330" spans="2:7" ht="17.25" customHeight="1">
      <c r="B330" s="149"/>
      <c r="C330" s="330" t="str">
        <f t="shared" si="6"/>
        <v/>
      </c>
      <c r="D330" s="118"/>
      <c r="E330" s="188"/>
      <c r="F330" s="119"/>
      <c r="G330" s="140"/>
    </row>
    <row r="331" spans="2:7" ht="17.25" customHeight="1">
      <c r="B331" s="149"/>
      <c r="C331" s="330" t="str">
        <f t="shared" si="6"/>
        <v/>
      </c>
      <c r="D331" s="118"/>
      <c r="E331" s="188"/>
      <c r="F331" s="119"/>
      <c r="G331" s="140"/>
    </row>
    <row r="332" spans="2:7" ht="17.25" customHeight="1">
      <c r="B332" s="149"/>
      <c r="C332" s="330" t="str">
        <f t="shared" si="6"/>
        <v/>
      </c>
      <c r="D332" s="118"/>
      <c r="E332" s="188"/>
      <c r="F332" s="119"/>
      <c r="G332" s="140"/>
    </row>
    <row r="333" spans="2:7" ht="17.25" customHeight="1">
      <c r="B333" s="149"/>
      <c r="C333" s="330" t="str">
        <f t="shared" si="6"/>
        <v/>
      </c>
      <c r="D333" s="118"/>
      <c r="E333" s="188"/>
      <c r="F333" s="119"/>
      <c r="G333" s="140"/>
    </row>
    <row r="334" spans="2:7" ht="17.25" customHeight="1">
      <c r="B334" s="149"/>
      <c r="C334" s="330" t="str">
        <f t="shared" si="6"/>
        <v/>
      </c>
      <c r="D334" s="118"/>
      <c r="E334" s="188"/>
      <c r="F334" s="119"/>
      <c r="G334" s="140"/>
    </row>
    <row r="335" spans="2:7" ht="17.25" customHeight="1">
      <c r="B335" s="149"/>
      <c r="C335" s="330" t="str">
        <f t="shared" si="6"/>
        <v/>
      </c>
      <c r="D335" s="118"/>
      <c r="E335" s="188"/>
      <c r="F335" s="119"/>
      <c r="G335" s="140"/>
    </row>
    <row r="336" spans="2:7" ht="17.25" customHeight="1">
      <c r="B336" s="149"/>
      <c r="C336" s="330" t="str">
        <f t="shared" si="6"/>
        <v/>
      </c>
      <c r="D336" s="118"/>
      <c r="E336" s="188"/>
      <c r="F336" s="119"/>
      <c r="G336" s="140"/>
    </row>
    <row r="337" spans="2:7" ht="17.25" customHeight="1">
      <c r="B337" s="149"/>
      <c r="C337" s="330" t="str">
        <f t="shared" si="6"/>
        <v/>
      </c>
      <c r="D337" s="118"/>
      <c r="E337" s="188"/>
      <c r="F337" s="119"/>
      <c r="G337" s="140"/>
    </row>
    <row r="338" spans="2:7" ht="17.25" customHeight="1">
      <c r="B338" s="149"/>
      <c r="C338" s="330" t="str">
        <f t="shared" si="6"/>
        <v/>
      </c>
      <c r="D338" s="118"/>
      <c r="E338" s="188"/>
      <c r="F338" s="119"/>
      <c r="G338" s="140"/>
    </row>
    <row r="339" spans="2:7" ht="17.25" customHeight="1">
      <c r="B339" s="149"/>
      <c r="C339" s="330" t="str">
        <f t="shared" si="6"/>
        <v/>
      </c>
      <c r="D339" s="118"/>
      <c r="E339" s="188"/>
      <c r="F339" s="119"/>
      <c r="G339" s="140"/>
    </row>
    <row r="340" spans="2:7" ht="17.25" customHeight="1">
      <c r="B340" s="149"/>
      <c r="C340" s="330" t="str">
        <f t="shared" si="6"/>
        <v/>
      </c>
      <c r="D340" s="118"/>
      <c r="E340" s="188"/>
      <c r="F340" s="119"/>
      <c r="G340" s="140"/>
    </row>
    <row r="341" spans="2:7" ht="17.25" customHeight="1">
      <c r="B341" s="149"/>
      <c r="C341" s="330" t="str">
        <f t="shared" si="6"/>
        <v/>
      </c>
      <c r="D341" s="118"/>
      <c r="E341" s="188"/>
      <c r="F341" s="119"/>
      <c r="G341" s="140"/>
    </row>
    <row r="342" spans="2:7" ht="17.25" customHeight="1">
      <c r="B342" s="149"/>
      <c r="C342" s="330" t="str">
        <f t="shared" si="6"/>
        <v/>
      </c>
      <c r="D342" s="118"/>
      <c r="E342" s="188"/>
      <c r="F342" s="119"/>
      <c r="G342" s="140"/>
    </row>
    <row r="343" spans="2:7" ht="17.25" customHeight="1">
      <c r="B343" s="149"/>
      <c r="C343" s="330" t="str">
        <f t="shared" si="6"/>
        <v/>
      </c>
      <c r="D343" s="118"/>
      <c r="E343" s="188"/>
      <c r="F343" s="119"/>
      <c r="G343" s="140"/>
    </row>
    <row r="344" spans="2:7" ht="17.25" customHeight="1">
      <c r="B344" s="149"/>
      <c r="C344" s="330" t="str">
        <f t="shared" si="6"/>
        <v/>
      </c>
      <c r="D344" s="118"/>
      <c r="E344" s="188"/>
      <c r="F344" s="119"/>
      <c r="G344" s="140"/>
    </row>
    <row r="345" spans="2:7" ht="17.25" customHeight="1">
      <c r="B345" s="149"/>
      <c r="C345" s="330" t="str">
        <f t="shared" si="6"/>
        <v/>
      </c>
      <c r="D345" s="118"/>
      <c r="E345" s="188"/>
      <c r="F345" s="119"/>
      <c r="G345" s="140"/>
    </row>
    <row r="346" spans="2:7" ht="17.25" customHeight="1">
      <c r="B346" s="149"/>
      <c r="C346" s="330" t="str">
        <f t="shared" si="6"/>
        <v/>
      </c>
      <c r="D346" s="118"/>
      <c r="E346" s="188"/>
      <c r="F346" s="119"/>
      <c r="G346" s="140"/>
    </row>
    <row r="347" spans="2:7" ht="17.25" customHeight="1">
      <c r="B347" s="149"/>
      <c r="C347" s="330" t="str">
        <f t="shared" si="6"/>
        <v/>
      </c>
      <c r="D347" s="118"/>
      <c r="E347" s="188"/>
      <c r="F347" s="119"/>
      <c r="G347" s="140"/>
    </row>
    <row r="348" spans="2:7" ht="17.25" customHeight="1">
      <c r="B348" s="149"/>
      <c r="C348" s="330" t="str">
        <f t="shared" si="6"/>
        <v/>
      </c>
      <c r="D348" s="118"/>
      <c r="E348" s="188"/>
      <c r="F348" s="119"/>
      <c r="G348" s="140"/>
    </row>
    <row r="349" spans="2:7" ht="17.25" customHeight="1">
      <c r="B349" s="149"/>
      <c r="C349" s="330" t="str">
        <f t="shared" si="6"/>
        <v/>
      </c>
      <c r="D349" s="118"/>
      <c r="E349" s="188"/>
      <c r="F349" s="119"/>
      <c r="G349" s="140"/>
    </row>
    <row r="350" spans="2:7" ht="17.25" customHeight="1">
      <c r="B350" s="149"/>
      <c r="C350" s="330" t="str">
        <f t="shared" si="6"/>
        <v/>
      </c>
      <c r="D350" s="118"/>
      <c r="E350" s="188"/>
      <c r="F350" s="119"/>
      <c r="G350" s="140"/>
    </row>
    <row r="351" spans="2:7" ht="17.25" customHeight="1">
      <c r="B351" s="149"/>
      <c r="C351" s="330" t="str">
        <f t="shared" si="6"/>
        <v/>
      </c>
      <c r="D351" s="118"/>
      <c r="E351" s="188"/>
      <c r="F351" s="119"/>
      <c r="G351" s="140"/>
    </row>
    <row r="352" spans="2:7" ht="17.25" customHeight="1">
      <c r="B352" s="149"/>
      <c r="C352" s="330" t="str">
        <f t="shared" si="6"/>
        <v/>
      </c>
      <c r="D352" s="118"/>
      <c r="E352" s="188"/>
      <c r="F352" s="119"/>
      <c r="G352" s="140"/>
    </row>
    <row r="353" spans="2:7" ht="17.25" customHeight="1">
      <c r="B353" s="149"/>
      <c r="C353" s="330" t="str">
        <f t="shared" si="6"/>
        <v/>
      </c>
      <c r="D353" s="118"/>
      <c r="E353" s="188"/>
      <c r="F353" s="119"/>
      <c r="G353" s="140"/>
    </row>
    <row r="354" spans="2:7" ht="17.25" customHeight="1">
      <c r="B354" s="149"/>
      <c r="C354" s="330" t="str">
        <f t="shared" si="6"/>
        <v/>
      </c>
      <c r="D354" s="118"/>
      <c r="E354" s="188"/>
      <c r="F354" s="119"/>
      <c r="G354" s="140"/>
    </row>
    <row r="355" spans="2:7" ht="17.25" customHeight="1">
      <c r="B355" s="149"/>
      <c r="C355" s="330" t="str">
        <f t="shared" si="6"/>
        <v/>
      </c>
      <c r="D355" s="118"/>
      <c r="E355" s="188"/>
      <c r="F355" s="119"/>
      <c r="G355" s="140"/>
    </row>
    <row r="356" spans="2:7" ht="17.25" customHeight="1">
      <c r="B356" s="149"/>
      <c r="C356" s="330" t="str">
        <f t="shared" si="6"/>
        <v/>
      </c>
      <c r="D356" s="118"/>
      <c r="E356" s="188"/>
      <c r="F356" s="119"/>
      <c r="G356" s="140"/>
    </row>
    <row r="357" spans="2:7" ht="17.25" customHeight="1">
      <c r="B357" s="149"/>
      <c r="C357" s="330" t="str">
        <f t="shared" si="6"/>
        <v/>
      </c>
      <c r="D357" s="118"/>
      <c r="E357" s="188"/>
      <c r="F357" s="119"/>
      <c r="G357" s="140"/>
    </row>
    <row r="358" spans="2:7" ht="17.25" customHeight="1">
      <c r="B358" s="149"/>
      <c r="C358" s="330" t="str">
        <f t="shared" si="6"/>
        <v/>
      </c>
      <c r="D358" s="118"/>
      <c r="E358" s="188"/>
      <c r="F358" s="119"/>
      <c r="G358" s="140"/>
    </row>
    <row r="359" spans="2:7" ht="17.25" customHeight="1">
      <c r="B359" s="149"/>
      <c r="C359" s="330" t="str">
        <f t="shared" si="6"/>
        <v/>
      </c>
      <c r="D359" s="118"/>
      <c r="E359" s="188"/>
      <c r="F359" s="119"/>
      <c r="G359" s="140"/>
    </row>
    <row r="360" spans="2:7" ht="17.25" customHeight="1">
      <c r="B360" s="149"/>
      <c r="C360" s="330" t="str">
        <f t="shared" si="6"/>
        <v/>
      </c>
      <c r="D360" s="118"/>
      <c r="E360" s="188"/>
      <c r="F360" s="119"/>
      <c r="G360" s="140"/>
    </row>
    <row r="361" spans="2:7" ht="17.25" customHeight="1">
      <c r="B361" s="149"/>
      <c r="C361" s="330" t="str">
        <f t="shared" si="6"/>
        <v/>
      </c>
      <c r="D361" s="118"/>
      <c r="E361" s="188"/>
      <c r="F361" s="119"/>
      <c r="G361" s="140"/>
    </row>
    <row r="362" spans="2:7" ht="17.25" customHeight="1">
      <c r="B362" s="149"/>
      <c r="C362" s="330" t="str">
        <f t="shared" si="6"/>
        <v/>
      </c>
      <c r="D362" s="118"/>
      <c r="E362" s="188"/>
      <c r="F362" s="119"/>
      <c r="G362" s="140"/>
    </row>
    <row r="363" spans="2:7" ht="17.25" customHeight="1">
      <c r="B363" s="149"/>
      <c r="C363" s="330" t="str">
        <f t="shared" si="6"/>
        <v/>
      </c>
      <c r="D363" s="118"/>
      <c r="E363" s="188"/>
      <c r="F363" s="119"/>
      <c r="G363" s="140"/>
    </row>
    <row r="364" spans="2:7" ht="17.25" customHeight="1">
      <c r="B364" s="149"/>
      <c r="C364" s="330" t="str">
        <f t="shared" si="6"/>
        <v/>
      </c>
      <c r="D364" s="118"/>
      <c r="E364" s="188"/>
      <c r="F364" s="119"/>
      <c r="G364" s="140"/>
    </row>
    <row r="365" spans="2:7" ht="17.25" customHeight="1">
      <c r="B365" s="149"/>
      <c r="C365" s="330" t="str">
        <f t="shared" si="6"/>
        <v/>
      </c>
      <c r="D365" s="118"/>
      <c r="E365" s="188"/>
      <c r="F365" s="119"/>
      <c r="G365" s="140"/>
    </row>
    <row r="366" spans="2:7" ht="17.25" customHeight="1">
      <c r="B366" s="149"/>
      <c r="C366" s="330" t="str">
        <f t="shared" si="6"/>
        <v/>
      </c>
      <c r="D366" s="118"/>
      <c r="E366" s="188"/>
      <c r="F366" s="119"/>
      <c r="G366" s="140"/>
    </row>
    <row r="367" spans="2:7" ht="17.25" customHeight="1">
      <c r="B367" s="149"/>
      <c r="C367" s="330" t="str">
        <f t="shared" si="6"/>
        <v/>
      </c>
      <c r="D367" s="118"/>
      <c r="E367" s="188"/>
      <c r="F367" s="119"/>
      <c r="G367" s="140"/>
    </row>
    <row r="368" spans="2:7" ht="17.25" customHeight="1">
      <c r="B368" s="149"/>
      <c r="C368" s="330" t="str">
        <f t="shared" si="6"/>
        <v/>
      </c>
      <c r="D368" s="118"/>
      <c r="E368" s="188"/>
      <c r="F368" s="119"/>
      <c r="G368" s="140"/>
    </row>
    <row r="369" spans="2:7" ht="17.25" customHeight="1">
      <c r="B369" s="149"/>
      <c r="C369" s="330" t="str">
        <f t="shared" si="6"/>
        <v/>
      </c>
      <c r="D369" s="118"/>
      <c r="E369" s="188"/>
      <c r="F369" s="119"/>
      <c r="G369" s="140"/>
    </row>
    <row r="370" spans="2:7" ht="17.25" customHeight="1">
      <c r="B370" s="149"/>
      <c r="C370" s="330" t="str">
        <f t="shared" si="6"/>
        <v/>
      </c>
      <c r="D370" s="118"/>
      <c r="E370" s="188"/>
      <c r="F370" s="119"/>
      <c r="G370" s="140"/>
    </row>
    <row r="371" spans="2:7" ht="17.25" customHeight="1">
      <c r="B371" s="149"/>
      <c r="C371" s="330" t="str">
        <f t="shared" si="6"/>
        <v/>
      </c>
      <c r="D371" s="118"/>
      <c r="E371" s="188"/>
      <c r="F371" s="119"/>
      <c r="G371" s="140"/>
    </row>
    <row r="372" spans="2:7" ht="17.25" customHeight="1">
      <c r="B372" s="149"/>
      <c r="C372" s="330" t="str">
        <f t="shared" si="6"/>
        <v/>
      </c>
      <c r="D372" s="118"/>
      <c r="E372" s="188"/>
      <c r="F372" s="119"/>
      <c r="G372" s="140"/>
    </row>
    <row r="373" spans="2:7" ht="17.25" customHeight="1">
      <c r="B373" s="149"/>
      <c r="C373" s="330" t="str">
        <f t="shared" si="6"/>
        <v/>
      </c>
      <c r="D373" s="118"/>
      <c r="E373" s="188"/>
      <c r="F373" s="119"/>
      <c r="G373" s="140"/>
    </row>
    <row r="374" spans="2:7" ht="17.25" customHeight="1">
      <c r="B374" s="149"/>
      <c r="C374" s="330" t="str">
        <f t="shared" si="6"/>
        <v/>
      </c>
      <c r="D374" s="118"/>
      <c r="E374" s="188"/>
      <c r="F374" s="119"/>
      <c r="G374" s="140"/>
    </row>
    <row r="375" spans="2:7" ht="17.25" customHeight="1">
      <c r="B375" s="149"/>
      <c r="C375" s="330" t="str">
        <f t="shared" si="6"/>
        <v/>
      </c>
      <c r="D375" s="118"/>
      <c r="E375" s="188"/>
      <c r="F375" s="119"/>
      <c r="G375" s="140"/>
    </row>
    <row r="376" spans="2:7" ht="17.25" customHeight="1">
      <c r="B376" s="149"/>
      <c r="C376" s="330" t="str">
        <f t="shared" si="6"/>
        <v/>
      </c>
      <c r="D376" s="118"/>
      <c r="E376" s="188"/>
      <c r="F376" s="119"/>
      <c r="G376" s="140"/>
    </row>
    <row r="377" spans="2:7" ht="17.25" customHeight="1">
      <c r="B377" s="149"/>
      <c r="C377" s="330" t="str">
        <f t="shared" si="6"/>
        <v/>
      </c>
      <c r="D377" s="118"/>
      <c r="E377" s="188"/>
      <c r="F377" s="119"/>
      <c r="G377" s="140"/>
    </row>
    <row r="378" spans="2:7" ht="17.25" customHeight="1">
      <c r="B378" s="149"/>
      <c r="C378" s="330" t="str">
        <f t="shared" si="6"/>
        <v/>
      </c>
      <c r="D378" s="118"/>
      <c r="E378" s="188"/>
      <c r="F378" s="119"/>
      <c r="G378" s="140"/>
    </row>
    <row r="379" spans="2:7" ht="17.25" customHeight="1">
      <c r="B379" s="149"/>
      <c r="C379" s="330" t="str">
        <f t="shared" si="6"/>
        <v/>
      </c>
      <c r="D379" s="118"/>
      <c r="E379" s="188"/>
      <c r="F379" s="119"/>
      <c r="G379" s="140"/>
    </row>
    <row r="380" spans="2:7" ht="17.25" customHeight="1">
      <c r="B380" s="149"/>
      <c r="C380" s="330" t="str">
        <f t="shared" si="6"/>
        <v/>
      </c>
      <c r="D380" s="118"/>
      <c r="E380" s="188"/>
      <c r="F380" s="119"/>
      <c r="G380" s="140"/>
    </row>
    <row r="381" spans="2:7" ht="17.25" customHeight="1">
      <c r="B381" s="149"/>
      <c r="C381" s="330" t="str">
        <f t="shared" si="6"/>
        <v/>
      </c>
      <c r="D381" s="118"/>
      <c r="E381" s="188"/>
      <c r="F381" s="119"/>
      <c r="G381" s="140"/>
    </row>
    <row r="382" spans="2:7" ht="17.25" customHeight="1">
      <c r="B382" s="149"/>
      <c r="C382" s="330" t="str">
        <f t="shared" si="6"/>
        <v/>
      </c>
      <c r="D382" s="118"/>
      <c r="E382" s="188"/>
      <c r="F382" s="119"/>
      <c r="G382" s="140"/>
    </row>
    <row r="383" spans="2:7" ht="17.25" customHeight="1">
      <c r="B383" s="149"/>
      <c r="C383" s="330" t="str">
        <f t="shared" si="6"/>
        <v/>
      </c>
      <c r="D383" s="118"/>
      <c r="E383" s="188"/>
      <c r="F383" s="119"/>
      <c r="G383" s="140"/>
    </row>
    <row r="384" spans="2:7" ht="17.25" customHeight="1">
      <c r="B384" s="149"/>
      <c r="C384" s="330" t="str">
        <f t="shared" si="6"/>
        <v/>
      </c>
      <c r="D384" s="118"/>
      <c r="E384" s="188"/>
      <c r="F384" s="119"/>
      <c r="G384" s="140"/>
    </row>
    <row r="385" spans="2:7" ht="17.25" customHeight="1">
      <c r="B385" s="149"/>
      <c r="C385" s="330" t="str">
        <f t="shared" si="6"/>
        <v/>
      </c>
      <c r="D385" s="118"/>
      <c r="E385" s="188"/>
      <c r="F385" s="119"/>
      <c r="G385" s="140"/>
    </row>
    <row r="386" spans="2:7" ht="17.25" customHeight="1">
      <c r="B386" s="149"/>
      <c r="C386" s="330" t="str">
        <f t="shared" si="6"/>
        <v/>
      </c>
      <c r="D386" s="118"/>
      <c r="E386" s="188"/>
      <c r="F386" s="119"/>
      <c r="G386" s="140"/>
    </row>
    <row r="387" spans="2:7" ht="17.25" customHeight="1">
      <c r="B387" s="149"/>
      <c r="C387" s="330" t="str">
        <f t="shared" si="6"/>
        <v/>
      </c>
      <c r="D387" s="118"/>
      <c r="E387" s="188"/>
      <c r="F387" s="119"/>
      <c r="G387" s="140"/>
    </row>
    <row r="388" spans="2:7" ht="17.25" customHeight="1">
      <c r="B388" s="149"/>
      <c r="C388" s="330" t="str">
        <f t="shared" si="6"/>
        <v/>
      </c>
      <c r="D388" s="118"/>
      <c r="E388" s="188"/>
      <c r="F388" s="119"/>
      <c r="G388" s="140"/>
    </row>
    <row r="389" spans="2:7" ht="17.25" customHeight="1">
      <c r="B389" s="149"/>
      <c r="C389" s="330" t="str">
        <f t="shared" si="6"/>
        <v/>
      </c>
      <c r="D389" s="118"/>
      <c r="E389" s="188"/>
      <c r="F389" s="119"/>
      <c r="G389" s="140"/>
    </row>
    <row r="390" spans="2:7" ht="17.25" customHeight="1">
      <c r="B390" s="149"/>
      <c r="C390" s="330" t="str">
        <f t="shared" ref="C390:C453" si="7">IF(D390&lt;&gt;0,C389+1,"")</f>
        <v/>
      </c>
      <c r="D390" s="118"/>
      <c r="E390" s="188"/>
      <c r="F390" s="119"/>
      <c r="G390" s="140"/>
    </row>
    <row r="391" spans="2:7" ht="17.25" customHeight="1">
      <c r="B391" s="149"/>
      <c r="C391" s="330" t="str">
        <f t="shared" si="7"/>
        <v/>
      </c>
      <c r="D391" s="118"/>
      <c r="E391" s="188"/>
      <c r="F391" s="119"/>
      <c r="G391" s="140"/>
    </row>
    <row r="392" spans="2:7" ht="17.25" customHeight="1">
      <c r="B392" s="149"/>
      <c r="C392" s="330" t="str">
        <f t="shared" si="7"/>
        <v/>
      </c>
      <c r="D392" s="118"/>
      <c r="E392" s="188"/>
      <c r="F392" s="119"/>
      <c r="G392" s="140"/>
    </row>
    <row r="393" spans="2:7" ht="17.25" customHeight="1">
      <c r="B393" s="149"/>
      <c r="C393" s="330" t="str">
        <f t="shared" si="7"/>
        <v/>
      </c>
      <c r="D393" s="118"/>
      <c r="E393" s="188"/>
      <c r="F393" s="119"/>
      <c r="G393" s="140"/>
    </row>
    <row r="394" spans="2:7" ht="17.25" customHeight="1">
      <c r="B394" s="149"/>
      <c r="C394" s="330" t="str">
        <f t="shared" si="7"/>
        <v/>
      </c>
      <c r="D394" s="118"/>
      <c r="E394" s="188"/>
      <c r="F394" s="119"/>
      <c r="G394" s="140"/>
    </row>
    <row r="395" spans="2:7" ht="17.25" customHeight="1">
      <c r="B395" s="149"/>
      <c r="C395" s="330" t="str">
        <f t="shared" si="7"/>
        <v/>
      </c>
      <c r="D395" s="118"/>
      <c r="E395" s="188"/>
      <c r="F395" s="119"/>
      <c r="G395" s="140"/>
    </row>
    <row r="396" spans="2:7" ht="17.25" customHeight="1">
      <c r="B396" s="149"/>
      <c r="C396" s="330" t="str">
        <f t="shared" si="7"/>
        <v/>
      </c>
      <c r="D396" s="118"/>
      <c r="E396" s="188"/>
      <c r="F396" s="119"/>
      <c r="G396" s="140"/>
    </row>
    <row r="397" spans="2:7" ht="17.25" customHeight="1">
      <c r="B397" s="149"/>
      <c r="C397" s="330" t="str">
        <f t="shared" si="7"/>
        <v/>
      </c>
      <c r="D397" s="118"/>
      <c r="E397" s="188"/>
      <c r="F397" s="119"/>
      <c r="G397" s="140"/>
    </row>
    <row r="398" spans="2:7" ht="17.25" customHeight="1">
      <c r="B398" s="149"/>
      <c r="C398" s="330" t="str">
        <f t="shared" si="7"/>
        <v/>
      </c>
      <c r="D398" s="118"/>
      <c r="E398" s="188"/>
      <c r="F398" s="119"/>
      <c r="G398" s="140"/>
    </row>
    <row r="399" spans="2:7" ht="17.25" customHeight="1">
      <c r="B399" s="149"/>
      <c r="C399" s="330" t="str">
        <f t="shared" si="7"/>
        <v/>
      </c>
      <c r="D399" s="118"/>
      <c r="E399" s="188"/>
      <c r="F399" s="119"/>
      <c r="G399" s="140"/>
    </row>
    <row r="400" spans="2:7" ht="17.25" customHeight="1">
      <c r="B400" s="149"/>
      <c r="C400" s="330" t="str">
        <f t="shared" si="7"/>
        <v/>
      </c>
      <c r="D400" s="118"/>
      <c r="E400" s="188"/>
      <c r="F400" s="119"/>
      <c r="G400" s="140"/>
    </row>
    <row r="401" spans="2:7" ht="17.25" customHeight="1">
      <c r="B401" s="149"/>
      <c r="C401" s="330" t="str">
        <f t="shared" si="7"/>
        <v/>
      </c>
      <c r="D401" s="118"/>
      <c r="E401" s="188"/>
      <c r="F401" s="119"/>
      <c r="G401" s="140"/>
    </row>
    <row r="402" spans="2:7" ht="17.25" customHeight="1">
      <c r="B402" s="149"/>
      <c r="C402" s="330" t="str">
        <f t="shared" si="7"/>
        <v/>
      </c>
      <c r="D402" s="118"/>
      <c r="E402" s="188"/>
      <c r="F402" s="119"/>
      <c r="G402" s="140"/>
    </row>
    <row r="403" spans="2:7" ht="17.25" customHeight="1">
      <c r="B403" s="149"/>
      <c r="C403" s="330" t="str">
        <f t="shared" si="7"/>
        <v/>
      </c>
      <c r="D403" s="118"/>
      <c r="E403" s="188"/>
      <c r="F403" s="119"/>
      <c r="G403" s="140"/>
    </row>
    <row r="404" spans="2:7" ht="17.25" customHeight="1">
      <c r="B404" s="149"/>
      <c r="C404" s="330" t="str">
        <f t="shared" si="7"/>
        <v/>
      </c>
      <c r="D404" s="118"/>
      <c r="E404" s="188"/>
      <c r="F404" s="119"/>
      <c r="G404" s="140"/>
    </row>
    <row r="405" spans="2:7" ht="17.25" customHeight="1">
      <c r="B405" s="149"/>
      <c r="C405" s="330" t="str">
        <f t="shared" si="7"/>
        <v/>
      </c>
      <c r="D405" s="118"/>
      <c r="E405" s="188"/>
      <c r="F405" s="119"/>
      <c r="G405" s="140"/>
    </row>
    <row r="406" spans="2:7" ht="17.25" customHeight="1">
      <c r="B406" s="149"/>
      <c r="C406" s="330" t="str">
        <f t="shared" si="7"/>
        <v/>
      </c>
      <c r="D406" s="118"/>
      <c r="E406" s="188"/>
      <c r="F406" s="119"/>
      <c r="G406" s="140"/>
    </row>
    <row r="407" spans="2:7" ht="17.25" customHeight="1">
      <c r="B407" s="149"/>
      <c r="C407" s="330" t="str">
        <f t="shared" si="7"/>
        <v/>
      </c>
      <c r="D407" s="118"/>
      <c r="E407" s="188"/>
      <c r="F407" s="119"/>
      <c r="G407" s="140"/>
    </row>
    <row r="408" spans="2:7" ht="17.25" customHeight="1">
      <c r="B408" s="149"/>
      <c r="C408" s="330" t="str">
        <f t="shared" si="7"/>
        <v/>
      </c>
      <c r="D408" s="118"/>
      <c r="E408" s="188"/>
      <c r="F408" s="119"/>
      <c r="G408" s="140"/>
    </row>
    <row r="409" spans="2:7" ht="17.25" customHeight="1">
      <c r="B409" s="149"/>
      <c r="C409" s="330" t="str">
        <f t="shared" si="7"/>
        <v/>
      </c>
      <c r="D409" s="118"/>
      <c r="E409" s="188"/>
      <c r="F409" s="119"/>
      <c r="G409" s="140"/>
    </row>
    <row r="410" spans="2:7" ht="17.25" customHeight="1">
      <c r="B410" s="149"/>
      <c r="C410" s="330" t="str">
        <f t="shared" si="7"/>
        <v/>
      </c>
      <c r="D410" s="118"/>
      <c r="E410" s="188"/>
      <c r="F410" s="119"/>
      <c r="G410" s="140"/>
    </row>
    <row r="411" spans="2:7" ht="17.25" customHeight="1">
      <c r="B411" s="149"/>
      <c r="C411" s="330" t="str">
        <f t="shared" si="7"/>
        <v/>
      </c>
      <c r="D411" s="118"/>
      <c r="E411" s="188"/>
      <c r="F411" s="119"/>
      <c r="G411" s="140"/>
    </row>
    <row r="412" spans="2:7" ht="17.25" customHeight="1">
      <c r="B412" s="149"/>
      <c r="C412" s="330" t="str">
        <f t="shared" si="7"/>
        <v/>
      </c>
      <c r="D412" s="118"/>
      <c r="E412" s="188"/>
      <c r="F412" s="119"/>
      <c r="G412" s="140"/>
    </row>
    <row r="413" spans="2:7" ht="17.25" customHeight="1">
      <c r="B413" s="149"/>
      <c r="C413" s="330" t="str">
        <f t="shared" si="7"/>
        <v/>
      </c>
      <c r="D413" s="118"/>
      <c r="E413" s="188"/>
      <c r="F413" s="119"/>
      <c r="G413" s="140"/>
    </row>
    <row r="414" spans="2:7" ht="17.25" customHeight="1">
      <c r="B414" s="149"/>
      <c r="C414" s="330" t="str">
        <f t="shared" si="7"/>
        <v/>
      </c>
      <c r="D414" s="118"/>
      <c r="E414" s="188"/>
      <c r="F414" s="119"/>
      <c r="G414" s="140"/>
    </row>
    <row r="415" spans="2:7" ht="17.25" customHeight="1">
      <c r="B415" s="149"/>
      <c r="C415" s="330" t="str">
        <f t="shared" si="7"/>
        <v/>
      </c>
      <c r="D415" s="118"/>
      <c r="E415" s="188"/>
      <c r="F415" s="119"/>
      <c r="G415" s="140"/>
    </row>
    <row r="416" spans="2:7" ht="17.25" customHeight="1">
      <c r="B416" s="149"/>
      <c r="C416" s="330" t="str">
        <f t="shared" si="7"/>
        <v/>
      </c>
      <c r="D416" s="118"/>
      <c r="E416" s="188"/>
      <c r="F416" s="119"/>
      <c r="G416" s="140"/>
    </row>
    <row r="417" spans="2:7" ht="17.25" customHeight="1">
      <c r="B417" s="149"/>
      <c r="C417" s="330" t="str">
        <f t="shared" si="7"/>
        <v/>
      </c>
      <c r="D417" s="118"/>
      <c r="E417" s="188"/>
      <c r="F417" s="119"/>
      <c r="G417" s="140"/>
    </row>
    <row r="418" spans="2:7" ht="17.25" customHeight="1">
      <c r="B418" s="149"/>
      <c r="C418" s="330" t="str">
        <f t="shared" si="7"/>
        <v/>
      </c>
      <c r="D418" s="118"/>
      <c r="E418" s="188"/>
      <c r="F418" s="119"/>
      <c r="G418" s="140"/>
    </row>
    <row r="419" spans="2:7" ht="17.25" customHeight="1">
      <c r="B419" s="149"/>
      <c r="C419" s="330" t="str">
        <f t="shared" si="7"/>
        <v/>
      </c>
      <c r="D419" s="118"/>
      <c r="E419" s="188"/>
      <c r="F419" s="119"/>
      <c r="G419" s="140"/>
    </row>
    <row r="420" spans="2:7" ht="17.25" customHeight="1">
      <c r="B420" s="149"/>
      <c r="C420" s="330" t="str">
        <f t="shared" si="7"/>
        <v/>
      </c>
      <c r="D420" s="118"/>
      <c r="E420" s="188"/>
      <c r="F420" s="119"/>
      <c r="G420" s="140"/>
    </row>
    <row r="421" spans="2:7" ht="17.25" customHeight="1">
      <c r="B421" s="149"/>
      <c r="C421" s="330" t="str">
        <f t="shared" si="7"/>
        <v/>
      </c>
      <c r="D421" s="118"/>
      <c r="E421" s="188"/>
      <c r="F421" s="119"/>
      <c r="G421" s="140"/>
    </row>
    <row r="422" spans="2:7" ht="17.25" customHeight="1">
      <c r="B422" s="149"/>
      <c r="C422" s="330" t="str">
        <f t="shared" si="7"/>
        <v/>
      </c>
      <c r="D422" s="118"/>
      <c r="E422" s="188"/>
      <c r="F422" s="119"/>
      <c r="G422" s="140"/>
    </row>
    <row r="423" spans="2:7" ht="17.25" customHeight="1">
      <c r="B423" s="149"/>
      <c r="C423" s="330" t="str">
        <f t="shared" si="7"/>
        <v/>
      </c>
      <c r="D423" s="118"/>
      <c r="E423" s="188"/>
      <c r="F423" s="119"/>
      <c r="G423" s="140"/>
    </row>
    <row r="424" spans="2:7" ht="17.25" customHeight="1">
      <c r="B424" s="149"/>
      <c r="C424" s="330" t="str">
        <f t="shared" si="7"/>
        <v/>
      </c>
      <c r="D424" s="118"/>
      <c r="E424" s="188"/>
      <c r="F424" s="119"/>
      <c r="G424" s="140"/>
    </row>
    <row r="425" spans="2:7" ht="17.25" customHeight="1">
      <c r="B425" s="149"/>
      <c r="C425" s="330" t="str">
        <f t="shared" si="7"/>
        <v/>
      </c>
      <c r="D425" s="118"/>
      <c r="E425" s="188"/>
      <c r="F425" s="119"/>
      <c r="G425" s="140"/>
    </row>
    <row r="426" spans="2:7" ht="17.25" customHeight="1">
      <c r="B426" s="149"/>
      <c r="C426" s="330" t="str">
        <f t="shared" si="7"/>
        <v/>
      </c>
      <c r="D426" s="118"/>
      <c r="E426" s="188"/>
      <c r="F426" s="119"/>
      <c r="G426" s="140"/>
    </row>
    <row r="427" spans="2:7" ht="17.25" customHeight="1">
      <c r="B427" s="149"/>
      <c r="C427" s="330" t="str">
        <f t="shared" si="7"/>
        <v/>
      </c>
      <c r="D427" s="118"/>
      <c r="E427" s="188"/>
      <c r="F427" s="119"/>
      <c r="G427" s="140"/>
    </row>
    <row r="428" spans="2:7" ht="17.25" customHeight="1">
      <c r="B428" s="149"/>
      <c r="C428" s="330" t="str">
        <f t="shared" si="7"/>
        <v/>
      </c>
      <c r="D428" s="118"/>
      <c r="E428" s="188"/>
      <c r="F428" s="119"/>
      <c r="G428" s="140"/>
    </row>
    <row r="429" spans="2:7" ht="17.25" customHeight="1">
      <c r="B429" s="149"/>
      <c r="C429" s="330" t="str">
        <f t="shared" si="7"/>
        <v/>
      </c>
      <c r="D429" s="118"/>
      <c r="E429" s="188"/>
      <c r="F429" s="119"/>
      <c r="G429" s="140"/>
    </row>
    <row r="430" spans="2:7" ht="17.25" customHeight="1">
      <c r="B430" s="149"/>
      <c r="C430" s="330" t="str">
        <f t="shared" si="7"/>
        <v/>
      </c>
      <c r="D430" s="118"/>
      <c r="E430" s="188"/>
      <c r="F430" s="119"/>
      <c r="G430" s="140"/>
    </row>
    <row r="431" spans="2:7" ht="17.25" customHeight="1">
      <c r="B431" s="149"/>
      <c r="C431" s="330" t="str">
        <f t="shared" si="7"/>
        <v/>
      </c>
      <c r="D431" s="118"/>
      <c r="E431" s="188"/>
      <c r="F431" s="119"/>
      <c r="G431" s="140"/>
    </row>
    <row r="432" spans="2:7" ht="17.25" customHeight="1">
      <c r="B432" s="149"/>
      <c r="C432" s="330" t="str">
        <f t="shared" si="7"/>
        <v/>
      </c>
      <c r="D432" s="118"/>
      <c r="E432" s="188"/>
      <c r="F432" s="119"/>
      <c r="G432" s="140"/>
    </row>
    <row r="433" spans="2:7" ht="17.25" customHeight="1">
      <c r="B433" s="149"/>
      <c r="C433" s="330" t="str">
        <f t="shared" si="7"/>
        <v/>
      </c>
      <c r="D433" s="118"/>
      <c r="E433" s="188"/>
      <c r="F433" s="119"/>
      <c r="G433" s="140"/>
    </row>
    <row r="434" spans="2:7" ht="17.25" customHeight="1">
      <c r="B434" s="149"/>
      <c r="C434" s="330" t="str">
        <f t="shared" si="7"/>
        <v/>
      </c>
      <c r="D434" s="118"/>
      <c r="E434" s="188"/>
      <c r="F434" s="119"/>
      <c r="G434" s="140"/>
    </row>
    <row r="435" spans="2:7" ht="17.25" customHeight="1">
      <c r="B435" s="149"/>
      <c r="C435" s="330" t="str">
        <f t="shared" si="7"/>
        <v/>
      </c>
      <c r="D435" s="118"/>
      <c r="E435" s="188"/>
      <c r="F435" s="119"/>
      <c r="G435" s="140"/>
    </row>
    <row r="436" spans="2:7" ht="17.25" customHeight="1">
      <c r="B436" s="149"/>
      <c r="C436" s="330" t="str">
        <f t="shared" si="7"/>
        <v/>
      </c>
      <c r="D436" s="118"/>
      <c r="E436" s="188"/>
      <c r="F436" s="119"/>
      <c r="G436" s="140"/>
    </row>
    <row r="437" spans="2:7" ht="17.25" customHeight="1">
      <c r="B437" s="149"/>
      <c r="C437" s="330" t="str">
        <f t="shared" si="7"/>
        <v/>
      </c>
      <c r="D437" s="118"/>
      <c r="E437" s="188"/>
      <c r="F437" s="119"/>
      <c r="G437" s="140"/>
    </row>
    <row r="438" spans="2:7" ht="17.25" customHeight="1">
      <c r="B438" s="149"/>
      <c r="C438" s="330" t="str">
        <f t="shared" si="7"/>
        <v/>
      </c>
      <c r="D438" s="118"/>
      <c r="E438" s="188"/>
      <c r="F438" s="119"/>
      <c r="G438" s="140"/>
    </row>
    <row r="439" spans="2:7" ht="17.25" customHeight="1">
      <c r="B439" s="149"/>
      <c r="C439" s="330" t="str">
        <f t="shared" si="7"/>
        <v/>
      </c>
      <c r="D439" s="118"/>
      <c r="E439" s="188"/>
      <c r="F439" s="119"/>
      <c r="G439" s="140"/>
    </row>
    <row r="440" spans="2:7" ht="17.25" customHeight="1">
      <c r="B440" s="149"/>
      <c r="C440" s="330" t="str">
        <f t="shared" si="7"/>
        <v/>
      </c>
      <c r="D440" s="118"/>
      <c r="E440" s="188"/>
      <c r="F440" s="119"/>
      <c r="G440" s="140"/>
    </row>
    <row r="441" spans="2:7" ht="17.25" customHeight="1">
      <c r="B441" s="149"/>
      <c r="C441" s="330" t="str">
        <f t="shared" si="7"/>
        <v/>
      </c>
      <c r="D441" s="118"/>
      <c r="E441" s="188"/>
      <c r="F441" s="119"/>
      <c r="G441" s="140"/>
    </row>
    <row r="442" spans="2:7" ht="17.25" customHeight="1">
      <c r="B442" s="149"/>
      <c r="C442" s="330" t="str">
        <f t="shared" si="7"/>
        <v/>
      </c>
      <c r="D442" s="118"/>
      <c r="E442" s="188"/>
      <c r="F442" s="119"/>
      <c r="G442" s="140"/>
    </row>
    <row r="443" spans="2:7" ht="17.25" customHeight="1">
      <c r="B443" s="149"/>
      <c r="C443" s="330" t="str">
        <f t="shared" si="7"/>
        <v/>
      </c>
      <c r="D443" s="118"/>
      <c r="E443" s="188"/>
      <c r="F443" s="119"/>
      <c r="G443" s="140"/>
    </row>
    <row r="444" spans="2:7" ht="17.25" customHeight="1">
      <c r="B444" s="149"/>
      <c r="C444" s="330" t="str">
        <f t="shared" si="7"/>
        <v/>
      </c>
      <c r="D444" s="118"/>
      <c r="E444" s="188"/>
      <c r="F444" s="119"/>
      <c r="G444" s="140"/>
    </row>
    <row r="445" spans="2:7" ht="17.25" customHeight="1">
      <c r="B445" s="149"/>
      <c r="C445" s="330" t="str">
        <f t="shared" si="7"/>
        <v/>
      </c>
      <c r="D445" s="118"/>
      <c r="E445" s="188"/>
      <c r="F445" s="119"/>
      <c r="G445" s="140"/>
    </row>
    <row r="446" spans="2:7" ht="17.25" customHeight="1">
      <c r="B446" s="149"/>
      <c r="C446" s="330" t="str">
        <f t="shared" si="7"/>
        <v/>
      </c>
      <c r="D446" s="118"/>
      <c r="E446" s="188"/>
      <c r="F446" s="119"/>
      <c r="G446" s="140"/>
    </row>
    <row r="447" spans="2:7" ht="17.25" customHeight="1">
      <c r="B447" s="149"/>
      <c r="C447" s="330" t="str">
        <f t="shared" si="7"/>
        <v/>
      </c>
      <c r="D447" s="118"/>
      <c r="E447" s="188"/>
      <c r="F447" s="119"/>
      <c r="G447" s="140"/>
    </row>
    <row r="448" spans="2:7" ht="17.25" customHeight="1">
      <c r="B448" s="149"/>
      <c r="C448" s="330" t="str">
        <f t="shared" si="7"/>
        <v/>
      </c>
      <c r="D448" s="118"/>
      <c r="E448" s="188"/>
      <c r="F448" s="119"/>
      <c r="G448" s="140"/>
    </row>
    <row r="449" spans="2:7" ht="17.25" customHeight="1">
      <c r="B449" s="149"/>
      <c r="C449" s="330" t="str">
        <f t="shared" si="7"/>
        <v/>
      </c>
      <c r="D449" s="118"/>
      <c r="E449" s="188"/>
      <c r="F449" s="119"/>
      <c r="G449" s="140"/>
    </row>
    <row r="450" spans="2:7" ht="17.25" customHeight="1">
      <c r="B450" s="149"/>
      <c r="C450" s="330" t="str">
        <f t="shared" si="7"/>
        <v/>
      </c>
      <c r="D450" s="118"/>
      <c r="E450" s="188"/>
      <c r="F450" s="119"/>
      <c r="G450" s="140"/>
    </row>
    <row r="451" spans="2:7" ht="17.25" customHeight="1">
      <c r="B451" s="149"/>
      <c r="C451" s="330" t="str">
        <f t="shared" si="7"/>
        <v/>
      </c>
      <c r="D451" s="118"/>
      <c r="E451" s="188"/>
      <c r="F451" s="119"/>
      <c r="G451" s="140"/>
    </row>
    <row r="452" spans="2:7" ht="17.25" customHeight="1">
      <c r="B452" s="149"/>
      <c r="C452" s="330" t="str">
        <f t="shared" si="7"/>
        <v/>
      </c>
      <c r="D452" s="118"/>
      <c r="E452" s="188"/>
      <c r="F452" s="119"/>
      <c r="G452" s="140"/>
    </row>
    <row r="453" spans="2:7" ht="17.25" customHeight="1">
      <c r="B453" s="149"/>
      <c r="C453" s="330" t="str">
        <f t="shared" si="7"/>
        <v/>
      </c>
      <c r="D453" s="118"/>
      <c r="E453" s="188"/>
      <c r="F453" s="119"/>
      <c r="G453" s="140"/>
    </row>
    <row r="454" spans="2:7" ht="17.25" customHeight="1">
      <c r="B454" s="149"/>
      <c r="C454" s="330" t="str">
        <f t="shared" ref="C454:C500" si="8">IF(D454&lt;&gt;0,C453+1,"")</f>
        <v/>
      </c>
      <c r="D454" s="118"/>
      <c r="E454" s="119"/>
      <c r="F454" s="119"/>
      <c r="G454" s="140"/>
    </row>
    <row r="455" spans="2:7" ht="17.25" customHeight="1">
      <c r="B455" s="149"/>
      <c r="C455" s="330" t="str">
        <f t="shared" si="8"/>
        <v/>
      </c>
      <c r="D455" s="118"/>
      <c r="E455" s="119"/>
      <c r="F455" s="119"/>
      <c r="G455" s="140"/>
    </row>
    <row r="456" spans="2:7" ht="17.25" customHeight="1">
      <c r="B456" s="149"/>
      <c r="C456" s="330" t="str">
        <f t="shared" si="8"/>
        <v/>
      </c>
      <c r="D456" s="118"/>
      <c r="E456" s="119"/>
      <c r="F456" s="119"/>
      <c r="G456" s="140"/>
    </row>
    <row r="457" spans="2:7" ht="17.25" customHeight="1">
      <c r="B457" s="149"/>
      <c r="C457" s="330" t="str">
        <f t="shared" si="8"/>
        <v/>
      </c>
      <c r="D457" s="118"/>
      <c r="E457" s="119"/>
      <c r="F457" s="119"/>
      <c r="G457" s="140"/>
    </row>
    <row r="458" spans="2:7" ht="17.25" customHeight="1">
      <c r="B458" s="149"/>
      <c r="C458" s="330" t="str">
        <f t="shared" si="8"/>
        <v/>
      </c>
      <c r="D458" s="118"/>
      <c r="E458" s="119"/>
      <c r="F458" s="119"/>
      <c r="G458" s="140"/>
    </row>
    <row r="459" spans="2:7" ht="17.25" customHeight="1">
      <c r="B459" s="149"/>
      <c r="C459" s="330" t="str">
        <f t="shared" si="8"/>
        <v/>
      </c>
      <c r="D459" s="118"/>
      <c r="E459" s="119"/>
      <c r="F459" s="119"/>
      <c r="G459" s="140"/>
    </row>
    <row r="460" spans="2:7" ht="17.25" customHeight="1">
      <c r="B460" s="149"/>
      <c r="C460" s="330" t="str">
        <f t="shared" si="8"/>
        <v/>
      </c>
      <c r="D460" s="118"/>
      <c r="E460" s="119"/>
      <c r="F460" s="119"/>
      <c r="G460" s="140"/>
    </row>
    <row r="461" spans="2:7" ht="17.25" customHeight="1">
      <c r="B461" s="149"/>
      <c r="C461" s="330" t="str">
        <f t="shared" si="8"/>
        <v/>
      </c>
      <c r="D461" s="118"/>
      <c r="E461" s="119"/>
      <c r="F461" s="119"/>
      <c r="G461" s="140"/>
    </row>
    <row r="462" spans="2:7" ht="17.25" customHeight="1">
      <c r="B462" s="149"/>
      <c r="C462" s="330" t="str">
        <f t="shared" si="8"/>
        <v/>
      </c>
      <c r="D462" s="118"/>
      <c r="E462" s="119"/>
      <c r="F462" s="119"/>
      <c r="G462" s="140"/>
    </row>
    <row r="463" spans="2:7" ht="17.25" customHeight="1">
      <c r="B463" s="149"/>
      <c r="C463" s="330" t="str">
        <f t="shared" si="8"/>
        <v/>
      </c>
      <c r="D463" s="118"/>
      <c r="E463" s="119"/>
      <c r="F463" s="119"/>
      <c r="G463" s="140"/>
    </row>
    <row r="464" spans="2:7" ht="17.25" customHeight="1">
      <c r="B464" s="149"/>
      <c r="C464" s="330" t="str">
        <f t="shared" si="8"/>
        <v/>
      </c>
      <c r="D464" s="118"/>
      <c r="E464" s="119"/>
      <c r="F464" s="119"/>
      <c r="G464" s="140"/>
    </row>
    <row r="465" spans="2:7" ht="17.25" customHeight="1">
      <c r="B465" s="149"/>
      <c r="C465" s="330" t="str">
        <f t="shared" si="8"/>
        <v/>
      </c>
      <c r="D465" s="118"/>
      <c r="E465" s="119"/>
      <c r="F465" s="119"/>
      <c r="G465" s="140"/>
    </row>
    <row r="466" spans="2:7" ht="17.25" customHeight="1">
      <c r="B466" s="149"/>
      <c r="C466" s="330" t="str">
        <f t="shared" si="8"/>
        <v/>
      </c>
      <c r="D466" s="118"/>
      <c r="E466" s="119"/>
      <c r="F466" s="119"/>
      <c r="G466" s="140"/>
    </row>
    <row r="467" spans="2:7" ht="17.25" customHeight="1">
      <c r="B467" s="149"/>
      <c r="C467" s="330" t="str">
        <f t="shared" si="8"/>
        <v/>
      </c>
      <c r="D467" s="118"/>
      <c r="E467" s="119"/>
      <c r="F467" s="119"/>
      <c r="G467" s="140"/>
    </row>
    <row r="468" spans="2:7" ht="17.25" customHeight="1">
      <c r="B468" s="149"/>
      <c r="C468" s="330" t="str">
        <f t="shared" si="8"/>
        <v/>
      </c>
      <c r="D468" s="118"/>
      <c r="E468" s="119"/>
      <c r="F468" s="119"/>
      <c r="G468" s="140"/>
    </row>
    <row r="469" spans="2:7" ht="17.25" customHeight="1">
      <c r="B469" s="149"/>
      <c r="C469" s="330" t="str">
        <f t="shared" si="8"/>
        <v/>
      </c>
      <c r="D469" s="118"/>
      <c r="E469" s="119"/>
      <c r="F469" s="119"/>
      <c r="G469" s="140"/>
    </row>
    <row r="470" spans="2:7" ht="17.25" customHeight="1">
      <c r="B470" s="149"/>
      <c r="C470" s="330" t="str">
        <f t="shared" si="8"/>
        <v/>
      </c>
      <c r="D470" s="118"/>
      <c r="E470" s="119"/>
      <c r="F470" s="119"/>
      <c r="G470" s="140"/>
    </row>
    <row r="471" spans="2:7" ht="17.25" customHeight="1">
      <c r="B471" s="149"/>
      <c r="C471" s="330" t="str">
        <f t="shared" si="8"/>
        <v/>
      </c>
      <c r="D471" s="118"/>
      <c r="E471" s="119"/>
      <c r="F471" s="119"/>
      <c r="G471" s="140"/>
    </row>
    <row r="472" spans="2:7" ht="17.25" customHeight="1">
      <c r="B472" s="149"/>
      <c r="C472" s="330" t="str">
        <f t="shared" si="8"/>
        <v/>
      </c>
      <c r="D472" s="118"/>
      <c r="E472" s="119"/>
      <c r="F472" s="119"/>
      <c r="G472" s="140"/>
    </row>
    <row r="473" spans="2:7" ht="17.25" customHeight="1">
      <c r="B473" s="149"/>
      <c r="C473" s="330" t="str">
        <f t="shared" si="8"/>
        <v/>
      </c>
      <c r="D473" s="118"/>
      <c r="E473" s="119"/>
      <c r="F473" s="119"/>
      <c r="G473" s="140"/>
    </row>
    <row r="474" spans="2:7" ht="17.25" customHeight="1">
      <c r="B474" s="149"/>
      <c r="C474" s="330" t="str">
        <f t="shared" si="8"/>
        <v/>
      </c>
      <c r="D474" s="118"/>
      <c r="E474" s="119"/>
      <c r="F474" s="119"/>
      <c r="G474" s="140"/>
    </row>
    <row r="475" spans="2:7" ht="17.25" customHeight="1">
      <c r="B475" s="149"/>
      <c r="C475" s="330" t="str">
        <f t="shared" si="8"/>
        <v/>
      </c>
      <c r="D475" s="118"/>
      <c r="E475" s="119"/>
      <c r="F475" s="119"/>
      <c r="G475" s="140"/>
    </row>
    <row r="476" spans="2:7" ht="17.25" customHeight="1">
      <c r="B476" s="149"/>
      <c r="C476" s="330" t="str">
        <f t="shared" si="8"/>
        <v/>
      </c>
      <c r="D476" s="118"/>
      <c r="E476" s="119"/>
      <c r="F476" s="119"/>
      <c r="G476" s="140"/>
    </row>
    <row r="477" spans="2:7" ht="17.25" customHeight="1">
      <c r="B477" s="149"/>
      <c r="C477" s="330" t="str">
        <f t="shared" si="8"/>
        <v/>
      </c>
      <c r="D477" s="118"/>
      <c r="E477" s="119"/>
      <c r="F477" s="119"/>
      <c r="G477" s="140"/>
    </row>
    <row r="478" spans="2:7" ht="17.25" customHeight="1">
      <c r="B478" s="149"/>
      <c r="C478" s="330" t="str">
        <f t="shared" si="8"/>
        <v/>
      </c>
      <c r="D478" s="118"/>
      <c r="E478" s="119"/>
      <c r="F478" s="119"/>
      <c r="G478" s="140"/>
    </row>
    <row r="479" spans="2:7" ht="17.25" customHeight="1">
      <c r="B479" s="149"/>
      <c r="C479" s="330" t="str">
        <f t="shared" si="8"/>
        <v/>
      </c>
      <c r="D479" s="118"/>
      <c r="E479" s="119"/>
      <c r="F479" s="119"/>
      <c r="G479" s="140"/>
    </row>
    <row r="480" spans="2:7" ht="17.25" customHeight="1">
      <c r="B480" s="149"/>
      <c r="C480" s="330" t="str">
        <f t="shared" si="8"/>
        <v/>
      </c>
      <c r="D480" s="118"/>
      <c r="E480" s="119"/>
      <c r="F480" s="119"/>
      <c r="G480" s="140"/>
    </row>
    <row r="481" spans="2:7" ht="17.25" customHeight="1">
      <c r="B481" s="149"/>
      <c r="C481" s="330" t="str">
        <f t="shared" si="8"/>
        <v/>
      </c>
      <c r="D481" s="118"/>
      <c r="E481" s="119"/>
      <c r="F481" s="119"/>
      <c r="G481" s="140"/>
    </row>
    <row r="482" spans="2:7" ht="17.25" customHeight="1">
      <c r="B482" s="149"/>
      <c r="C482" s="330" t="str">
        <f t="shared" si="8"/>
        <v/>
      </c>
      <c r="D482" s="118"/>
      <c r="E482" s="119"/>
      <c r="F482" s="119"/>
      <c r="G482" s="140"/>
    </row>
    <row r="483" spans="2:7" ht="17.25" customHeight="1">
      <c r="B483" s="149"/>
      <c r="C483" s="330" t="str">
        <f t="shared" si="8"/>
        <v/>
      </c>
      <c r="D483" s="118"/>
      <c r="E483" s="119"/>
      <c r="F483" s="119"/>
      <c r="G483" s="140"/>
    </row>
    <row r="484" spans="2:7" ht="17.25" customHeight="1">
      <c r="B484" s="149"/>
      <c r="C484" s="330" t="str">
        <f t="shared" si="8"/>
        <v/>
      </c>
      <c r="D484" s="118"/>
      <c r="E484" s="119"/>
      <c r="F484" s="119"/>
      <c r="G484" s="140"/>
    </row>
    <row r="485" spans="2:7" ht="17.25" customHeight="1">
      <c r="B485" s="149"/>
      <c r="C485" s="330" t="str">
        <f t="shared" si="8"/>
        <v/>
      </c>
      <c r="D485" s="118"/>
      <c r="E485" s="119"/>
      <c r="F485" s="119"/>
      <c r="G485" s="140"/>
    </row>
    <row r="486" spans="2:7" ht="17.25" customHeight="1">
      <c r="B486" s="149"/>
      <c r="C486" s="330" t="str">
        <f t="shared" si="8"/>
        <v/>
      </c>
      <c r="D486" s="118"/>
      <c r="E486" s="119"/>
      <c r="F486" s="119"/>
      <c r="G486" s="140"/>
    </row>
    <row r="487" spans="2:7" ht="17.25" customHeight="1">
      <c r="B487" s="149"/>
      <c r="C487" s="330" t="str">
        <f t="shared" si="8"/>
        <v/>
      </c>
      <c r="D487" s="118"/>
      <c r="E487" s="119"/>
      <c r="F487" s="119"/>
      <c r="G487" s="140"/>
    </row>
    <row r="488" spans="2:7" ht="17.25" customHeight="1">
      <c r="B488" s="149"/>
      <c r="C488" s="330" t="str">
        <f t="shared" si="8"/>
        <v/>
      </c>
      <c r="D488" s="118"/>
      <c r="E488" s="119"/>
      <c r="F488" s="119"/>
      <c r="G488" s="140"/>
    </row>
    <row r="489" spans="2:7" ht="17.25" customHeight="1">
      <c r="B489" s="149"/>
      <c r="C489" s="330" t="str">
        <f t="shared" si="8"/>
        <v/>
      </c>
      <c r="D489" s="118"/>
      <c r="E489" s="119"/>
      <c r="F489" s="119"/>
      <c r="G489" s="140"/>
    </row>
    <row r="490" spans="2:7" ht="17.25" customHeight="1">
      <c r="B490" s="149"/>
      <c r="C490" s="330" t="str">
        <f t="shared" si="8"/>
        <v/>
      </c>
      <c r="D490" s="118"/>
      <c r="E490" s="119"/>
      <c r="F490" s="119"/>
      <c r="G490" s="140"/>
    </row>
    <row r="491" spans="2:7" ht="17.25" customHeight="1">
      <c r="B491" s="149"/>
      <c r="C491" s="330" t="str">
        <f t="shared" si="8"/>
        <v/>
      </c>
      <c r="D491" s="118"/>
      <c r="E491" s="119"/>
      <c r="F491" s="119"/>
      <c r="G491" s="140"/>
    </row>
    <row r="492" spans="2:7" ht="17.25" customHeight="1">
      <c r="B492" s="149"/>
      <c r="C492" s="330" t="str">
        <f t="shared" si="8"/>
        <v/>
      </c>
      <c r="D492" s="118"/>
      <c r="E492" s="119"/>
      <c r="F492" s="119"/>
      <c r="G492" s="140"/>
    </row>
    <row r="493" spans="2:7" ht="17.25" customHeight="1">
      <c r="B493" s="149"/>
      <c r="C493" s="330" t="str">
        <f t="shared" si="8"/>
        <v/>
      </c>
      <c r="D493" s="118"/>
      <c r="E493" s="119"/>
      <c r="F493" s="119"/>
      <c r="G493" s="140"/>
    </row>
    <row r="494" spans="2:7" ht="17.25" customHeight="1">
      <c r="B494" s="149"/>
      <c r="C494" s="330" t="str">
        <f t="shared" si="8"/>
        <v/>
      </c>
      <c r="D494" s="118"/>
      <c r="E494" s="119"/>
      <c r="F494" s="119"/>
      <c r="G494" s="140"/>
    </row>
    <row r="495" spans="2:7" ht="17.25" customHeight="1">
      <c r="B495" s="149"/>
      <c r="C495" s="330" t="str">
        <f t="shared" si="8"/>
        <v/>
      </c>
      <c r="D495" s="118"/>
      <c r="E495" s="119"/>
      <c r="F495" s="119"/>
      <c r="G495" s="140"/>
    </row>
    <row r="496" spans="2:7" ht="17.25" customHeight="1">
      <c r="B496" s="149"/>
      <c r="C496" s="330" t="str">
        <f t="shared" si="8"/>
        <v/>
      </c>
      <c r="D496" s="118"/>
      <c r="E496" s="119"/>
      <c r="F496" s="119"/>
      <c r="G496" s="140"/>
    </row>
    <row r="497" spans="2:7" ht="17.25" customHeight="1">
      <c r="B497" s="149"/>
      <c r="C497" s="330" t="str">
        <f t="shared" si="8"/>
        <v/>
      </c>
      <c r="D497" s="118"/>
      <c r="E497" s="119"/>
      <c r="F497" s="119"/>
      <c r="G497" s="140"/>
    </row>
    <row r="498" spans="2:7" ht="17.25" customHeight="1">
      <c r="B498" s="149"/>
      <c r="C498" s="330" t="str">
        <f t="shared" si="8"/>
        <v/>
      </c>
      <c r="D498" s="118"/>
      <c r="E498" s="119"/>
      <c r="F498" s="119"/>
      <c r="G498" s="140"/>
    </row>
    <row r="499" spans="2:7" ht="17.25" customHeight="1">
      <c r="B499" s="149"/>
      <c r="C499" s="330" t="str">
        <f t="shared" si="8"/>
        <v/>
      </c>
      <c r="D499" s="118"/>
      <c r="E499" s="119"/>
      <c r="F499" s="119"/>
      <c r="G499" s="140"/>
    </row>
    <row r="500" spans="2:7" ht="17.25" customHeight="1">
      <c r="B500" s="149"/>
      <c r="C500" s="330" t="str">
        <f t="shared" si="8"/>
        <v/>
      </c>
      <c r="D500" s="118"/>
      <c r="E500" s="119"/>
      <c r="F500" s="119"/>
      <c r="G500" s="140"/>
    </row>
  </sheetData>
  <sheetProtection insertColumns="0" insertRows="0" insertHyperlinks="0" sort="0" autoFilter="0" pivotTables="0"/>
  <customSheetViews>
    <customSheetView guid="{F06BFD04-CCD2-461C-AC42-65887227FFD3}" showGridLines="0">
      <selection activeCell="C13" sqref="C13"/>
      <pageMargins left="0.7" right="0.7" top="0.75" bottom="0.75" header="0.3" footer="0.3"/>
      <pageSetup paperSize="9" orientation="portrait" horizontalDpi="300" verticalDpi="300" r:id="rId1"/>
    </customSheetView>
    <customSheetView guid="{24934804-84B0-4982-9BF2-E46F6DDD5DD8}" showGridLines="0">
      <selection activeCell="E13" sqref="E13"/>
      <pageMargins left="0.7" right="0.7" top="0.75" bottom="0.75" header="0.3" footer="0.3"/>
      <pageSetup paperSize="9" orientation="portrait" horizontalDpi="300" verticalDpi="300" r:id="rId2"/>
    </customSheetView>
    <customSheetView guid="{3DE895B0-7958-42DA-95C8-453D6A82D678}" showGridLines="0">
      <selection activeCell="E4" sqref="E4"/>
      <pageMargins left="0.7" right="0.7" top="0.75" bottom="0.75" header="0.3" footer="0.3"/>
      <pageSetup paperSize="9" orientation="portrait" horizontalDpi="300" verticalDpi="300" r:id="rId3"/>
    </customSheetView>
    <customSheetView guid="{F4AB2122-655E-40F6-8B53-54B747E7ED61}" showGridLines="0">
      <selection activeCell="E4" sqref="E4"/>
      <pageMargins left="0.7" right="0.7" top="0.75" bottom="0.75" header="0.3" footer="0.3"/>
      <pageSetup paperSize="9" orientation="portrait" horizontalDpi="300" verticalDpi="300" r:id="rId4"/>
    </customSheetView>
    <customSheetView guid="{2416856D-96F2-4FCD-9E1E-89AD408E8F07}" showGridLines="0">
      <selection activeCell="E4" sqref="E4"/>
      <pageMargins left="0.7" right="0.7" top="0.75" bottom="0.75" header="0.3" footer="0.3"/>
      <pageSetup paperSize="9" orientation="portrait" horizontalDpi="300" verticalDpi="300" r:id="rId5"/>
    </customSheetView>
    <customSheetView guid="{781BC751-F315-497E-B1B4-A2D752209BD7}" showGridLines="0">
      <selection activeCell="E4" sqref="E4"/>
      <pageMargins left="0.7" right="0.7" top="0.75" bottom="0.75" header="0.3" footer="0.3"/>
      <pageSetup paperSize="9" orientation="portrait" horizontalDpi="300" verticalDpi="300" r:id="rId6"/>
    </customSheetView>
    <customSheetView guid="{DF37B372-7B5A-4253-9EE3-FD3ABD7DF4B8}" showGridLines="0">
      <selection activeCell="C22" sqref="C22"/>
      <pageMargins left="0.7" right="0.7" top="0.75" bottom="0.75" header="0.3" footer="0.3"/>
      <pageSetup paperSize="9" orientation="portrait" horizontalDpi="300" verticalDpi="300" r:id="rId7"/>
    </customSheetView>
    <customSheetView guid="{89423216-97BC-488F-92AF-85198E8FDC07}" showGridLines="0" topLeftCell="A82">
      <selection activeCell="B89" sqref="B89"/>
      <pageMargins left="0.7" right="0.7" top="0.75" bottom="0.75" header="0.3" footer="0.3"/>
      <pageSetup paperSize="9" orientation="portrait" horizontalDpi="300" verticalDpi="300" r:id="rId8"/>
    </customSheetView>
    <customSheetView guid="{AFC521DD-6BF9-4AA5-991A-73D8F620A3D9}" showGridLines="0">
      <selection activeCell="D22" sqref="D22"/>
      <pageMargins left="0.7" right="0.7" top="0.75" bottom="0.75" header="0.3" footer="0.3"/>
      <pageSetup paperSize="9" orientation="portrait" horizontalDpi="300" verticalDpi="300" r:id="rId9"/>
    </customSheetView>
    <customSheetView guid="{6641B719-6463-4FDD-9DBC-41F5618DBE27}" showGridLines="0">
      <selection activeCell="E4" sqref="E4"/>
      <pageMargins left="0.7" right="0.7" top="0.75" bottom="0.75" header="0.3" footer="0.3"/>
      <pageSetup paperSize="9" orientation="portrait" horizontalDpi="300" verticalDpi="300" r:id="rId10"/>
    </customSheetView>
    <customSheetView guid="{145EFE0A-DDB4-4E3B-8A20-749E6B137AEA}" showGridLines="0">
      <selection activeCell="G5" sqref="G5"/>
      <pageMargins left="0.7" right="0.7" top="0.75" bottom="0.75" header="0.3" footer="0.3"/>
      <pageSetup paperSize="9" orientation="portrait" horizontalDpi="300" verticalDpi="300" r:id="rId11"/>
    </customSheetView>
    <customSheetView guid="{75F545D8-957D-412C-B66B-DD1178A45800}" showGridLines="0">
      <selection activeCell="G5" sqref="G5"/>
      <pageMargins left="0.7" right="0.7" top="0.75" bottom="0.75" header="0.3" footer="0.3"/>
      <pageSetup paperSize="9" orientation="portrait" horizontalDpi="300" verticalDpi="300" r:id="rId12"/>
    </customSheetView>
    <customSheetView guid="{894FF5A1-5E16-48B2-97B7-77905E52730D}" showGridLines="0">
      <selection activeCell="C5" sqref="C5"/>
      <pageMargins left="0.7" right="0.7" top="0.75" bottom="0.75" header="0.3" footer="0.3"/>
      <pageSetup paperSize="9" orientation="portrait" horizontalDpi="300" verticalDpi="300" r:id="rId13"/>
    </customSheetView>
    <customSheetView guid="{845AB85B-320D-4261-8D20-E6D9D5D4C38C}" showGridLines="0" topLeftCell="A51">
      <selection activeCell="E71" sqref="E71"/>
      <pageMargins left="0.7" right="0.7" top="0.75" bottom="0.75" header="0.3" footer="0.3"/>
      <pageSetup paperSize="9" orientation="portrait" horizontalDpi="300" verticalDpi="300" r:id="rId14"/>
    </customSheetView>
    <customSheetView guid="{CE348A5C-D9D4-4899-A40F-894070A117B6}" showGridLines="0">
      <selection activeCell="C4" sqref="C4"/>
      <pageMargins left="0.7" right="0.7" top="0.75" bottom="0.75" header="0.3" footer="0.3"/>
      <pageSetup paperSize="9" orientation="portrait" horizontalDpi="300" verticalDpi="300" r:id="rId15"/>
    </customSheetView>
    <customSheetView guid="{8D0556F1-DDE6-43F4-BF14-0889B98E8F1B}" showGridLines="0">
      <selection activeCell="C4" sqref="C4"/>
      <pageMargins left="0.7" right="0.7" top="0.75" bottom="0.75" header="0.3" footer="0.3"/>
      <pageSetup paperSize="9" orientation="portrait" horizontalDpi="300" verticalDpi="300" r:id="rId16"/>
    </customSheetView>
    <customSheetView guid="{A0F6C4E6-E641-4152-9AB1-BDDEFE79F262}" showGridLines="0" topLeftCell="A74">
      <selection activeCell="E87" sqref="E87"/>
      <pageMargins left="0.7" right="0.7" top="0.75" bottom="0.75" header="0.3" footer="0.3"/>
      <pageSetup paperSize="9" orientation="portrait" horizontalDpi="300" verticalDpi="300" r:id="rId17"/>
    </customSheetView>
    <customSheetView guid="{D40E5C28-53DE-4B28-952C-1D2FB2D5F0F0}" showGridLines="0">
      <selection activeCell="C22" sqref="C22"/>
      <pageMargins left="0.7" right="0.7" top="0.75" bottom="0.75" header="0.3" footer="0.3"/>
      <pageSetup paperSize="9" orientation="portrait" horizontalDpi="300" verticalDpi="300" r:id="rId18"/>
    </customSheetView>
    <customSheetView guid="{26B41735-39E2-4BE9-9EA5-D1F67A43DC0E}" showGridLines="0" topLeftCell="A58">
      <selection activeCell="F67" sqref="F67"/>
      <pageMargins left="0.7" right="0.7" top="0.75" bottom="0.75" header="0.3" footer="0.3"/>
      <pageSetup paperSize="9" orientation="portrait" horizontalDpi="300" verticalDpi="300" r:id="rId19"/>
    </customSheetView>
    <customSheetView guid="{284277B3-AC3C-4136-A308-367D96D447E4}" showGridLines="0" topLeftCell="A79">
      <selection activeCell="C92" sqref="C92"/>
      <pageMargins left="0.7" right="0.7" top="0.75" bottom="0.75" header="0.3" footer="0.3"/>
      <pageSetup paperSize="9" orientation="portrait" horizontalDpi="300" verticalDpi="300" r:id="rId20"/>
    </customSheetView>
    <customSheetView guid="{92A1CAD1-2CFB-4DA3-AD67-71210BA7D4E5}" showGridLines="0">
      <selection activeCell="E4" sqref="E4"/>
      <pageMargins left="0.7" right="0.7" top="0.75" bottom="0.75" header="0.3" footer="0.3"/>
      <pageSetup paperSize="9" orientation="portrait" horizontalDpi="300" verticalDpi="300" r:id="rId21"/>
    </customSheetView>
    <customSheetView guid="{A4ED5A10-FDD2-4550-ABD5-0B6EF13A24C4}" showGridLines="0">
      <selection activeCell="C13" sqref="C13"/>
      <pageMargins left="0.7" right="0.7" top="0.75" bottom="0.75" header="0.3" footer="0.3"/>
      <pageSetup paperSize="9" orientation="portrait" horizontalDpi="300" verticalDpi="300" r:id="rId22"/>
    </customSheetView>
  </customSheetViews>
  <pageMargins left="0.7" right="0.7" top="0.75" bottom="0.75" header="0.3" footer="0.3"/>
  <pageSetup paperSize="9" orientation="portrait" horizontalDpi="300" verticalDpi="300" r:id="rId2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'Entries Register (AP) '!$AB$8:$AB$29</xm:f>
          </x14:formula1>
          <xm:sqref>D4:D500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O500"/>
  <sheetViews>
    <sheetView showGridLines="0" workbookViewId="0">
      <selection activeCell="C5" sqref="C5:C500"/>
    </sheetView>
  </sheetViews>
  <sheetFormatPr defaultRowHeight="17.25" customHeight="1"/>
  <cols>
    <col min="1" max="2" width="9.33203125" style="1"/>
    <col min="3" max="4" width="18.83203125" style="1" customWidth="1"/>
    <col min="5" max="6" width="42.33203125" style="1" customWidth="1"/>
    <col min="7" max="7" width="15.6640625" style="1" customWidth="1"/>
    <col min="8" max="9" width="9.33203125" style="1"/>
    <col min="10" max="10" width="10.1640625" style="1" bestFit="1" customWidth="1"/>
    <col min="11" max="16384" width="9.33203125" style="1"/>
  </cols>
  <sheetData>
    <row r="1" spans="1:15" ht="17.25" customHeight="1">
      <c r="A1" s="109"/>
      <c r="C1" s="2"/>
      <c r="D1" s="110"/>
      <c r="E1" s="111"/>
      <c r="F1" s="111"/>
    </row>
    <row r="2" spans="1:15" ht="17.25" customHeight="1">
      <c r="A2" s="112"/>
      <c r="C2" s="2"/>
      <c r="D2" s="110"/>
      <c r="E2" s="113"/>
      <c r="F2" s="111"/>
    </row>
    <row r="3" spans="1:15" ht="17.25" customHeight="1">
      <c r="B3" s="141" t="s">
        <v>4019</v>
      </c>
      <c r="C3" s="114" t="s">
        <v>3974</v>
      </c>
      <c r="D3" s="115" t="s">
        <v>10</v>
      </c>
      <c r="E3" s="116" t="s">
        <v>3938</v>
      </c>
      <c r="F3" s="145" t="s">
        <v>5134</v>
      </c>
      <c r="G3" s="142" t="s">
        <v>5129</v>
      </c>
    </row>
    <row r="4" spans="1:15" ht="17.25" customHeight="1">
      <c r="B4" s="117"/>
      <c r="C4" s="331">
        <v>1</v>
      </c>
      <c r="D4" s="118"/>
      <c r="E4" s="119"/>
      <c r="F4" s="119"/>
      <c r="G4" s="157"/>
      <c r="H4" s="156"/>
      <c r="I4" s="120"/>
      <c r="O4"/>
    </row>
    <row r="5" spans="1:15" ht="17.25" customHeight="1">
      <c r="B5" s="149"/>
      <c r="C5" s="331" t="str">
        <f t="shared" ref="C5:C69" si="0">IF(D5&lt;&gt;0,C4+1,"")</f>
        <v/>
      </c>
      <c r="D5" s="118"/>
      <c r="E5" s="119"/>
      <c r="F5" s="119"/>
      <c r="G5" s="151"/>
      <c r="H5" s="156"/>
      <c r="I5" s="120"/>
      <c r="O5"/>
    </row>
    <row r="6" spans="1:15" ht="17.25" customHeight="1">
      <c r="B6" s="149"/>
      <c r="C6" s="331" t="str">
        <f t="shared" si="0"/>
        <v/>
      </c>
      <c r="D6" s="118"/>
      <c r="E6" s="119"/>
      <c r="F6" s="119"/>
      <c r="G6" s="151"/>
      <c r="H6" s="156"/>
      <c r="I6" s="120"/>
      <c r="O6"/>
    </row>
    <row r="7" spans="1:15" ht="17.25" customHeight="1">
      <c r="B7" s="149"/>
      <c r="C7" s="331" t="str">
        <f t="shared" si="0"/>
        <v/>
      </c>
      <c r="D7" s="118"/>
      <c r="E7" s="119"/>
      <c r="F7" s="119"/>
      <c r="G7" s="151"/>
      <c r="H7" s="156"/>
      <c r="I7" s="120"/>
      <c r="O7"/>
    </row>
    <row r="8" spans="1:15" ht="17.25" customHeight="1">
      <c r="B8" s="149"/>
      <c r="C8" s="331" t="str">
        <f t="shared" si="0"/>
        <v/>
      </c>
      <c r="D8" s="118"/>
      <c r="E8" s="119"/>
      <c r="F8" s="119"/>
      <c r="G8" s="151"/>
      <c r="H8" s="156"/>
      <c r="I8" s="120"/>
      <c r="O8"/>
    </row>
    <row r="9" spans="1:15" ht="17.25" customHeight="1">
      <c r="B9" s="149"/>
      <c r="C9" s="331" t="str">
        <f t="shared" si="0"/>
        <v/>
      </c>
      <c r="D9" s="118"/>
      <c r="E9" s="119"/>
      <c r="F9" s="119"/>
      <c r="G9" s="151"/>
      <c r="H9" s="129"/>
      <c r="I9" s="120"/>
      <c r="O9"/>
    </row>
    <row r="10" spans="1:15" ht="17.25" customHeight="1">
      <c r="B10" s="149"/>
      <c r="C10" s="331" t="str">
        <f t="shared" si="0"/>
        <v/>
      </c>
      <c r="D10" s="118"/>
      <c r="E10" s="119"/>
      <c r="F10" s="119"/>
      <c r="G10" s="151"/>
      <c r="H10" s="129"/>
      <c r="I10" s="120"/>
      <c r="O10"/>
    </row>
    <row r="11" spans="1:15" ht="17.25" customHeight="1">
      <c r="B11" s="149"/>
      <c r="C11" s="331" t="str">
        <f t="shared" si="0"/>
        <v/>
      </c>
      <c r="D11" s="118"/>
      <c r="E11" s="119"/>
      <c r="F11" s="119"/>
      <c r="G11" s="151"/>
      <c r="H11" s="129"/>
      <c r="I11" s="120"/>
      <c r="O11"/>
    </row>
    <row r="12" spans="1:15" ht="17.25" customHeight="1">
      <c r="B12" s="149"/>
      <c r="C12" s="331" t="str">
        <f t="shared" si="0"/>
        <v/>
      </c>
      <c r="D12" s="118"/>
      <c r="E12" s="119"/>
      <c r="F12" s="119"/>
      <c r="G12" s="151"/>
      <c r="I12" s="120"/>
      <c r="O12"/>
    </row>
    <row r="13" spans="1:15" ht="17.25" customHeight="1">
      <c r="B13" s="149"/>
      <c r="C13" s="331" t="str">
        <f t="shared" si="0"/>
        <v/>
      </c>
      <c r="D13" s="118"/>
      <c r="E13" s="119"/>
      <c r="F13" s="119"/>
      <c r="G13" s="151"/>
      <c r="I13" s="120"/>
      <c r="O13"/>
    </row>
    <row r="14" spans="1:15" ht="17.25" customHeight="1">
      <c r="B14" s="149"/>
      <c r="C14" s="331" t="str">
        <f t="shared" si="0"/>
        <v/>
      </c>
      <c r="D14" s="118"/>
      <c r="E14" s="119"/>
      <c r="F14" s="119"/>
      <c r="G14" s="151"/>
      <c r="I14" s="120"/>
      <c r="O14"/>
    </row>
    <row r="15" spans="1:15" ht="17.25" customHeight="1">
      <c r="B15" s="149"/>
      <c r="C15" s="331" t="str">
        <f t="shared" si="0"/>
        <v/>
      </c>
      <c r="D15" s="118"/>
      <c r="E15" s="119"/>
      <c r="F15" s="119"/>
      <c r="G15" s="151"/>
      <c r="I15" s="120"/>
      <c r="O15"/>
    </row>
    <row r="16" spans="1:15" ht="17.25" customHeight="1">
      <c r="B16" s="149"/>
      <c r="C16" s="331" t="str">
        <f t="shared" si="0"/>
        <v/>
      </c>
      <c r="D16" s="118"/>
      <c r="E16" s="119"/>
      <c r="F16" s="119"/>
      <c r="G16" s="151"/>
      <c r="I16" s="120"/>
      <c r="O16"/>
    </row>
    <row r="17" spans="2:15" ht="17.25" customHeight="1">
      <c r="B17" s="149"/>
      <c r="C17" s="331" t="str">
        <f t="shared" si="0"/>
        <v/>
      </c>
      <c r="D17" s="118"/>
      <c r="E17" s="119"/>
      <c r="F17" s="119"/>
      <c r="G17" s="151"/>
      <c r="I17" s="120"/>
      <c r="O17"/>
    </row>
    <row r="18" spans="2:15" ht="17.25" customHeight="1">
      <c r="B18" s="149"/>
      <c r="C18" s="331" t="str">
        <f t="shared" si="0"/>
        <v/>
      </c>
      <c r="D18" s="118"/>
      <c r="E18" s="119"/>
      <c r="F18" s="119"/>
      <c r="G18" s="151"/>
      <c r="O18"/>
    </row>
    <row r="19" spans="2:15" ht="17.25" customHeight="1">
      <c r="B19" s="149"/>
      <c r="C19" s="331" t="str">
        <f t="shared" si="0"/>
        <v/>
      </c>
      <c r="D19" s="118"/>
      <c r="E19" s="119"/>
      <c r="F19" s="119"/>
      <c r="G19" s="151"/>
      <c r="O19"/>
    </row>
    <row r="20" spans="2:15" ht="17.25" customHeight="1">
      <c r="B20" s="149"/>
      <c r="C20" s="331" t="str">
        <f t="shared" si="0"/>
        <v/>
      </c>
      <c r="D20" s="118"/>
      <c r="E20" s="119"/>
      <c r="F20" s="119"/>
      <c r="G20" s="151"/>
      <c r="O20"/>
    </row>
    <row r="21" spans="2:15" ht="17.25" customHeight="1">
      <c r="B21" s="149"/>
      <c r="C21" s="331" t="str">
        <f t="shared" si="0"/>
        <v/>
      </c>
      <c r="D21" s="118"/>
      <c r="E21" s="119"/>
      <c r="F21" s="119"/>
      <c r="G21" s="151"/>
      <c r="O21"/>
    </row>
    <row r="22" spans="2:15" ht="17.25" customHeight="1">
      <c r="B22" s="149"/>
      <c r="C22" s="331" t="str">
        <f t="shared" si="0"/>
        <v/>
      </c>
      <c r="D22" s="118"/>
      <c r="E22" s="119"/>
      <c r="F22" s="119"/>
      <c r="G22" s="151"/>
    </row>
    <row r="23" spans="2:15" ht="17.25" customHeight="1">
      <c r="B23" s="149"/>
      <c r="C23" s="331" t="str">
        <f t="shared" si="0"/>
        <v/>
      </c>
      <c r="D23" s="118"/>
      <c r="E23" s="119"/>
      <c r="F23" s="119"/>
      <c r="G23" s="151"/>
    </row>
    <row r="24" spans="2:15" ht="17.25" customHeight="1">
      <c r="B24" s="149"/>
      <c r="C24" s="331" t="str">
        <f t="shared" si="0"/>
        <v/>
      </c>
      <c r="D24" s="118"/>
      <c r="E24" s="119"/>
      <c r="F24" s="119"/>
      <c r="G24" s="151"/>
    </row>
    <row r="25" spans="2:15" ht="17.25" customHeight="1">
      <c r="B25" s="149"/>
      <c r="C25" s="331" t="str">
        <f t="shared" si="0"/>
        <v/>
      </c>
      <c r="D25" s="118"/>
      <c r="E25" s="119"/>
      <c r="F25" s="119"/>
      <c r="G25" s="151"/>
    </row>
    <row r="26" spans="2:15" ht="17.25" customHeight="1">
      <c r="B26" s="149"/>
      <c r="C26" s="331" t="str">
        <f t="shared" si="0"/>
        <v/>
      </c>
      <c r="D26" s="118"/>
      <c r="E26" s="119"/>
      <c r="F26" s="119"/>
      <c r="G26" s="151"/>
    </row>
    <row r="27" spans="2:15" ht="17.25" customHeight="1">
      <c r="B27" s="149"/>
      <c r="C27" s="331" t="str">
        <f t="shared" si="0"/>
        <v/>
      </c>
      <c r="D27" s="118"/>
      <c r="E27" s="119"/>
      <c r="F27" s="119"/>
      <c r="G27" s="151"/>
    </row>
    <row r="28" spans="2:15" ht="17.25" customHeight="1">
      <c r="B28" s="149"/>
      <c r="C28" s="331" t="str">
        <f t="shared" si="0"/>
        <v/>
      </c>
      <c r="D28" s="118"/>
      <c r="E28" s="119"/>
      <c r="F28" s="119"/>
      <c r="G28" s="151"/>
    </row>
    <row r="29" spans="2:15" ht="17.25" customHeight="1">
      <c r="B29" s="149"/>
      <c r="C29" s="331" t="str">
        <f t="shared" si="0"/>
        <v/>
      </c>
      <c r="D29" s="118"/>
      <c r="E29" s="119"/>
      <c r="F29" s="119"/>
      <c r="G29" s="151"/>
    </row>
    <row r="30" spans="2:15" ht="17.25" customHeight="1">
      <c r="B30" s="149"/>
      <c r="C30" s="331" t="str">
        <f t="shared" si="0"/>
        <v/>
      </c>
      <c r="D30" s="118"/>
      <c r="E30" s="119"/>
      <c r="F30" s="119"/>
      <c r="G30" s="151"/>
    </row>
    <row r="31" spans="2:15" ht="17.25" customHeight="1">
      <c r="B31" s="149"/>
      <c r="C31" s="331" t="str">
        <f t="shared" si="0"/>
        <v/>
      </c>
      <c r="D31" s="118"/>
      <c r="E31" s="119"/>
      <c r="F31" s="119"/>
      <c r="G31" s="151"/>
    </row>
    <row r="32" spans="2:15" ht="17.25" customHeight="1">
      <c r="B32" s="149"/>
      <c r="C32" s="331" t="str">
        <f t="shared" si="0"/>
        <v/>
      </c>
      <c r="D32" s="118"/>
      <c r="E32" s="119"/>
      <c r="F32" s="119"/>
      <c r="G32" s="151"/>
    </row>
    <row r="33" spans="2:7" ht="17.25" customHeight="1">
      <c r="B33" s="149"/>
      <c r="C33" s="331" t="str">
        <f t="shared" si="0"/>
        <v/>
      </c>
      <c r="D33" s="118"/>
      <c r="E33" s="199"/>
      <c r="F33" s="119"/>
      <c r="G33" s="151"/>
    </row>
    <row r="34" spans="2:7" ht="17.25" customHeight="1">
      <c r="B34" s="149"/>
      <c r="C34" s="331" t="str">
        <f t="shared" si="0"/>
        <v/>
      </c>
      <c r="D34" s="118"/>
      <c r="E34" s="199"/>
      <c r="F34" s="119"/>
      <c r="G34" s="151"/>
    </row>
    <row r="35" spans="2:7" ht="17.25" customHeight="1">
      <c r="B35" s="149"/>
      <c r="C35" s="331" t="str">
        <f t="shared" si="0"/>
        <v/>
      </c>
      <c r="D35" s="118"/>
      <c r="E35" s="199"/>
      <c r="F35" s="119"/>
      <c r="G35" s="151"/>
    </row>
    <row r="36" spans="2:7" ht="17.25" customHeight="1">
      <c r="B36" s="149"/>
      <c r="C36" s="331" t="str">
        <f t="shared" si="0"/>
        <v/>
      </c>
      <c r="D36" s="118"/>
      <c r="E36" s="199"/>
      <c r="F36" s="119"/>
      <c r="G36" s="151"/>
    </row>
    <row r="37" spans="2:7" ht="17.25" customHeight="1">
      <c r="B37" s="149"/>
      <c r="C37" s="331" t="str">
        <f t="shared" si="0"/>
        <v/>
      </c>
      <c r="D37" s="118"/>
      <c r="E37" s="119"/>
      <c r="F37" s="119"/>
      <c r="G37" s="151"/>
    </row>
    <row r="38" spans="2:7" ht="17.25" customHeight="1">
      <c r="B38" s="149"/>
      <c r="C38" s="331" t="str">
        <f t="shared" si="0"/>
        <v/>
      </c>
      <c r="D38" s="118"/>
      <c r="E38" s="198"/>
      <c r="F38" s="119"/>
      <c r="G38" s="151"/>
    </row>
    <row r="39" spans="2:7" ht="17.25" customHeight="1">
      <c r="B39" s="149"/>
      <c r="C39" s="331" t="str">
        <f t="shared" si="0"/>
        <v/>
      </c>
      <c r="D39" s="118"/>
      <c r="E39" s="119"/>
      <c r="F39" s="119"/>
      <c r="G39" s="151"/>
    </row>
    <row r="40" spans="2:7" ht="17.25" customHeight="1">
      <c r="B40" s="149"/>
      <c r="C40" s="331" t="str">
        <f t="shared" si="0"/>
        <v/>
      </c>
      <c r="D40" s="118"/>
      <c r="E40" s="119"/>
      <c r="F40" s="119"/>
      <c r="G40" s="151"/>
    </row>
    <row r="41" spans="2:7" ht="17.25" customHeight="1">
      <c r="B41" s="149"/>
      <c r="C41" s="331" t="str">
        <f t="shared" si="0"/>
        <v/>
      </c>
      <c r="D41" s="118"/>
      <c r="E41" s="119"/>
      <c r="F41" s="119"/>
      <c r="G41" s="151"/>
    </row>
    <row r="42" spans="2:7" ht="17.25" customHeight="1">
      <c r="B42" s="149"/>
      <c r="C42" s="331" t="str">
        <f t="shared" si="0"/>
        <v/>
      </c>
      <c r="D42" s="118"/>
      <c r="E42" s="119"/>
      <c r="F42" s="119"/>
      <c r="G42" s="151"/>
    </row>
    <row r="43" spans="2:7" ht="17.25" customHeight="1">
      <c r="B43" s="149"/>
      <c r="C43" s="331" t="str">
        <f t="shared" si="0"/>
        <v/>
      </c>
      <c r="D43" s="118"/>
      <c r="E43" s="119"/>
      <c r="F43" s="119"/>
      <c r="G43" s="151"/>
    </row>
    <row r="44" spans="2:7" ht="17.25" customHeight="1">
      <c r="B44" s="149"/>
      <c r="C44" s="331" t="str">
        <f t="shared" si="0"/>
        <v/>
      </c>
      <c r="D44" s="118"/>
      <c r="E44" s="119"/>
      <c r="F44" s="119"/>
      <c r="G44" s="151"/>
    </row>
    <row r="45" spans="2:7" ht="17.25" customHeight="1">
      <c r="B45" s="149"/>
      <c r="C45" s="331" t="str">
        <f t="shared" si="0"/>
        <v/>
      </c>
      <c r="D45" s="118"/>
      <c r="E45" s="119"/>
      <c r="F45" s="119"/>
      <c r="G45" s="151"/>
    </row>
    <row r="46" spans="2:7" ht="17.25" customHeight="1">
      <c r="B46" s="149"/>
      <c r="C46" s="331" t="str">
        <f t="shared" si="0"/>
        <v/>
      </c>
      <c r="D46" s="118"/>
      <c r="E46" s="119"/>
      <c r="F46" s="119"/>
      <c r="G46" s="151"/>
    </row>
    <row r="47" spans="2:7" ht="17.25" customHeight="1">
      <c r="B47" s="149"/>
      <c r="C47" s="331" t="str">
        <f t="shared" si="0"/>
        <v/>
      </c>
      <c r="D47" s="118"/>
      <c r="E47" s="119"/>
      <c r="F47" s="119"/>
      <c r="G47" s="151"/>
    </row>
    <row r="48" spans="2:7" ht="17.25" customHeight="1">
      <c r="B48" s="149"/>
      <c r="C48" s="331" t="str">
        <f t="shared" si="0"/>
        <v/>
      </c>
      <c r="D48" s="118"/>
      <c r="E48" s="119"/>
      <c r="F48" s="119"/>
      <c r="G48" s="151"/>
    </row>
    <row r="49" spans="2:7" ht="17.25" customHeight="1">
      <c r="B49" s="149"/>
      <c r="C49" s="331" t="str">
        <f t="shared" si="0"/>
        <v/>
      </c>
      <c r="D49" s="118"/>
      <c r="E49" s="119"/>
      <c r="F49" s="119"/>
      <c r="G49" s="151"/>
    </row>
    <row r="50" spans="2:7" ht="17.25" customHeight="1">
      <c r="B50" s="149"/>
      <c r="C50" s="331" t="str">
        <f t="shared" si="0"/>
        <v/>
      </c>
      <c r="D50" s="118"/>
      <c r="E50" s="119"/>
      <c r="F50" s="119"/>
      <c r="G50" s="151"/>
    </row>
    <row r="51" spans="2:7" ht="17.25" customHeight="1">
      <c r="B51" s="149"/>
      <c r="C51" s="331" t="str">
        <f t="shared" si="0"/>
        <v/>
      </c>
      <c r="D51" s="118"/>
      <c r="E51" s="119"/>
      <c r="F51" s="119"/>
      <c r="G51" s="151"/>
    </row>
    <row r="52" spans="2:7" ht="17.25" customHeight="1">
      <c r="B52" s="149"/>
      <c r="C52" s="331" t="str">
        <f t="shared" si="0"/>
        <v/>
      </c>
      <c r="D52" s="118"/>
      <c r="E52" s="119"/>
      <c r="F52" s="119"/>
      <c r="G52" s="151"/>
    </row>
    <row r="53" spans="2:7" ht="17.25" customHeight="1">
      <c r="B53" s="149"/>
      <c r="C53" s="331" t="str">
        <f t="shared" si="0"/>
        <v/>
      </c>
      <c r="D53" s="118"/>
      <c r="E53" s="119"/>
      <c r="F53" s="119"/>
      <c r="G53" s="151"/>
    </row>
    <row r="54" spans="2:7" ht="17.25" customHeight="1">
      <c r="B54" s="149"/>
      <c r="C54" s="331" t="str">
        <f t="shared" si="0"/>
        <v/>
      </c>
      <c r="D54" s="118"/>
      <c r="E54" s="119"/>
      <c r="F54" s="119"/>
      <c r="G54" s="151"/>
    </row>
    <row r="55" spans="2:7" ht="17.25" customHeight="1">
      <c r="B55" s="149"/>
      <c r="C55" s="331" t="str">
        <f t="shared" si="0"/>
        <v/>
      </c>
      <c r="D55" s="118"/>
      <c r="E55" s="119"/>
      <c r="F55" s="119"/>
      <c r="G55" s="151"/>
    </row>
    <row r="56" spans="2:7" ht="17.25" customHeight="1">
      <c r="B56" s="149"/>
      <c r="C56" s="331" t="str">
        <f t="shared" si="0"/>
        <v/>
      </c>
      <c r="D56" s="118"/>
      <c r="E56" s="119"/>
      <c r="F56" s="119"/>
      <c r="G56" s="151"/>
    </row>
    <row r="57" spans="2:7" ht="17.25" customHeight="1">
      <c r="B57" s="149"/>
      <c r="C57" s="331" t="str">
        <f t="shared" si="0"/>
        <v/>
      </c>
      <c r="D57" s="118"/>
      <c r="E57" s="119"/>
      <c r="F57" s="119"/>
      <c r="G57" s="151"/>
    </row>
    <row r="58" spans="2:7" ht="17.25" customHeight="1">
      <c r="B58" s="149"/>
      <c r="C58" s="331" t="str">
        <f t="shared" si="0"/>
        <v/>
      </c>
      <c r="D58" s="118"/>
      <c r="E58" s="119"/>
      <c r="F58" s="119"/>
      <c r="G58" s="151"/>
    </row>
    <row r="59" spans="2:7" ht="17.25" customHeight="1">
      <c r="B59" s="149"/>
      <c r="C59" s="331" t="str">
        <f t="shared" si="0"/>
        <v/>
      </c>
      <c r="D59" s="118"/>
      <c r="E59" s="119"/>
      <c r="F59" s="119"/>
      <c r="G59" s="151"/>
    </row>
    <row r="60" spans="2:7" ht="17.25" customHeight="1">
      <c r="B60" s="149"/>
      <c r="C60" s="331" t="str">
        <f t="shared" si="0"/>
        <v/>
      </c>
      <c r="D60" s="118"/>
      <c r="E60" s="119"/>
      <c r="F60" s="119"/>
      <c r="G60" s="151"/>
    </row>
    <row r="61" spans="2:7" ht="17.25" customHeight="1">
      <c r="B61" s="149"/>
      <c r="C61" s="331" t="str">
        <f t="shared" si="0"/>
        <v/>
      </c>
      <c r="D61" s="118"/>
      <c r="E61" s="119"/>
      <c r="F61" s="119"/>
      <c r="G61" s="151"/>
    </row>
    <row r="62" spans="2:7" ht="17.25" customHeight="1">
      <c r="B62" s="149"/>
      <c r="C62" s="331" t="str">
        <f t="shared" si="0"/>
        <v/>
      </c>
      <c r="D62" s="118"/>
      <c r="E62" s="119"/>
      <c r="F62" s="119"/>
      <c r="G62" s="151"/>
    </row>
    <row r="63" spans="2:7" ht="17.25" customHeight="1">
      <c r="B63" s="149"/>
      <c r="C63" s="331" t="str">
        <f t="shared" si="0"/>
        <v/>
      </c>
      <c r="D63" s="118"/>
      <c r="E63" s="119"/>
      <c r="F63" s="119"/>
      <c r="G63" s="151"/>
    </row>
    <row r="64" spans="2:7" ht="17.25" customHeight="1">
      <c r="B64" s="149"/>
      <c r="C64" s="331" t="str">
        <f t="shared" si="0"/>
        <v/>
      </c>
      <c r="D64" s="118"/>
      <c r="E64" s="119"/>
      <c r="F64" s="119"/>
      <c r="G64" s="151"/>
    </row>
    <row r="65" spans="2:7" ht="17.25" customHeight="1">
      <c r="B65" s="149"/>
      <c r="C65" s="331" t="str">
        <f t="shared" si="0"/>
        <v/>
      </c>
      <c r="D65" s="118"/>
      <c r="E65" s="119"/>
      <c r="F65" s="119"/>
      <c r="G65" s="151"/>
    </row>
    <row r="66" spans="2:7" ht="17.25" customHeight="1">
      <c r="B66" s="149"/>
      <c r="C66" s="331" t="str">
        <f t="shared" si="0"/>
        <v/>
      </c>
      <c r="D66" s="118"/>
      <c r="E66" s="119"/>
      <c r="F66" s="119"/>
      <c r="G66" s="151"/>
    </row>
    <row r="67" spans="2:7" ht="17.25" customHeight="1">
      <c r="B67" s="149"/>
      <c r="C67" s="331" t="str">
        <f t="shared" si="0"/>
        <v/>
      </c>
      <c r="D67" s="118"/>
      <c r="E67" s="119"/>
      <c r="F67" s="119"/>
      <c r="G67" s="151"/>
    </row>
    <row r="68" spans="2:7" ht="17.25" customHeight="1">
      <c r="B68" s="149"/>
      <c r="C68" s="331" t="str">
        <f t="shared" si="0"/>
        <v/>
      </c>
      <c r="D68" s="118"/>
      <c r="E68" s="119"/>
      <c r="F68" s="119"/>
      <c r="G68" s="151"/>
    </row>
    <row r="69" spans="2:7" ht="17.25" customHeight="1">
      <c r="B69" s="149"/>
      <c r="C69" s="331" t="str">
        <f t="shared" si="0"/>
        <v/>
      </c>
      <c r="D69" s="118"/>
      <c r="E69" s="119"/>
      <c r="F69" s="119"/>
      <c r="G69" s="151"/>
    </row>
    <row r="70" spans="2:7" ht="17.25" customHeight="1">
      <c r="B70" s="149"/>
      <c r="C70" s="331" t="str">
        <f t="shared" ref="C70:C133" si="1">IF(D70&lt;&gt;0,C69+1,"")</f>
        <v/>
      </c>
      <c r="D70" s="118"/>
      <c r="E70" s="119"/>
      <c r="F70" s="119"/>
      <c r="G70" s="151"/>
    </row>
    <row r="71" spans="2:7" ht="17.25" customHeight="1">
      <c r="B71" s="149"/>
      <c r="C71" s="331" t="str">
        <f t="shared" si="1"/>
        <v/>
      </c>
      <c r="D71" s="118"/>
      <c r="E71" s="119"/>
      <c r="F71" s="119"/>
      <c r="G71" s="151"/>
    </row>
    <row r="72" spans="2:7" ht="17.25" customHeight="1">
      <c r="B72" s="149"/>
      <c r="C72" s="331" t="str">
        <f t="shared" si="1"/>
        <v/>
      </c>
      <c r="D72" s="118"/>
      <c r="E72" s="119"/>
      <c r="F72" s="119"/>
      <c r="G72" s="151"/>
    </row>
    <row r="73" spans="2:7" ht="17.25" customHeight="1">
      <c r="B73" s="149"/>
      <c r="C73" s="331" t="str">
        <f t="shared" si="1"/>
        <v/>
      </c>
      <c r="D73" s="118"/>
      <c r="E73" s="119"/>
      <c r="F73" s="119"/>
      <c r="G73" s="151"/>
    </row>
    <row r="74" spans="2:7" ht="17.25" customHeight="1">
      <c r="B74" s="149"/>
      <c r="C74" s="331" t="str">
        <f t="shared" si="1"/>
        <v/>
      </c>
      <c r="D74" s="118"/>
      <c r="E74" s="119"/>
      <c r="F74" s="119"/>
      <c r="G74" s="151"/>
    </row>
    <row r="75" spans="2:7" ht="17.25" customHeight="1">
      <c r="B75" s="149"/>
      <c r="C75" s="331" t="str">
        <f t="shared" si="1"/>
        <v/>
      </c>
      <c r="D75" s="118"/>
      <c r="E75" s="119"/>
      <c r="F75" s="119"/>
      <c r="G75" s="151"/>
    </row>
    <row r="76" spans="2:7" ht="17.25" customHeight="1">
      <c r="B76" s="149"/>
      <c r="C76" s="331" t="str">
        <f t="shared" si="1"/>
        <v/>
      </c>
      <c r="D76" s="118"/>
      <c r="E76" s="119"/>
      <c r="F76" s="119"/>
      <c r="G76" s="151"/>
    </row>
    <row r="77" spans="2:7" ht="17.25" customHeight="1">
      <c r="B77" s="149"/>
      <c r="C77" s="331" t="str">
        <f t="shared" si="1"/>
        <v/>
      </c>
      <c r="D77" s="118"/>
      <c r="E77" s="119"/>
      <c r="F77" s="119"/>
      <c r="G77" s="151"/>
    </row>
    <row r="78" spans="2:7" ht="17.25" customHeight="1">
      <c r="B78" s="149"/>
      <c r="C78" s="331" t="str">
        <f t="shared" si="1"/>
        <v/>
      </c>
      <c r="D78" s="118"/>
      <c r="E78" s="119"/>
      <c r="F78" s="119"/>
      <c r="G78" s="151"/>
    </row>
    <row r="79" spans="2:7" ht="17.25" customHeight="1">
      <c r="B79" s="149"/>
      <c r="C79" s="331" t="str">
        <f t="shared" si="1"/>
        <v/>
      </c>
      <c r="D79" s="118"/>
      <c r="E79" s="119"/>
      <c r="F79" s="119"/>
      <c r="G79" s="151"/>
    </row>
    <row r="80" spans="2:7" ht="17.25" customHeight="1">
      <c r="B80" s="149"/>
      <c r="C80" s="331" t="str">
        <f t="shared" si="1"/>
        <v/>
      </c>
      <c r="D80" s="118"/>
      <c r="E80" s="119"/>
      <c r="F80" s="119"/>
      <c r="G80" s="151"/>
    </row>
    <row r="81" spans="2:7" ht="17.25" customHeight="1">
      <c r="B81" s="149"/>
      <c r="C81" s="331" t="str">
        <f t="shared" si="1"/>
        <v/>
      </c>
      <c r="D81" s="118"/>
      <c r="E81" s="119"/>
      <c r="F81" s="119"/>
      <c r="G81" s="151"/>
    </row>
    <row r="82" spans="2:7" ht="17.25" customHeight="1">
      <c r="B82" s="149"/>
      <c r="C82" s="331" t="str">
        <f t="shared" si="1"/>
        <v/>
      </c>
      <c r="D82" s="118"/>
      <c r="E82" s="119"/>
      <c r="F82" s="119"/>
      <c r="G82" s="151"/>
    </row>
    <row r="83" spans="2:7" ht="17.25" customHeight="1">
      <c r="B83" s="149"/>
      <c r="C83" s="331" t="str">
        <f t="shared" si="1"/>
        <v/>
      </c>
      <c r="D83" s="118"/>
      <c r="E83" s="119"/>
      <c r="F83" s="119"/>
      <c r="G83" s="151"/>
    </row>
    <row r="84" spans="2:7" ht="17.25" customHeight="1">
      <c r="B84" s="149"/>
      <c r="C84" s="331" t="str">
        <f t="shared" si="1"/>
        <v/>
      </c>
      <c r="D84" s="118"/>
      <c r="E84" s="119"/>
      <c r="F84" s="119"/>
      <c r="G84" s="151"/>
    </row>
    <row r="85" spans="2:7" ht="17.25" customHeight="1">
      <c r="B85" s="149"/>
      <c r="C85" s="331" t="str">
        <f t="shared" si="1"/>
        <v/>
      </c>
      <c r="D85" s="118"/>
      <c r="E85" s="119"/>
      <c r="F85" s="119"/>
      <c r="G85" s="151"/>
    </row>
    <row r="86" spans="2:7" ht="17.25" customHeight="1">
      <c r="B86" s="149"/>
      <c r="C86" s="331" t="str">
        <f t="shared" si="1"/>
        <v/>
      </c>
      <c r="D86" s="118"/>
      <c r="E86" s="119"/>
      <c r="F86" s="119"/>
      <c r="G86" s="151"/>
    </row>
    <row r="87" spans="2:7" ht="17.25" customHeight="1">
      <c r="B87" s="149"/>
      <c r="C87" s="331" t="str">
        <f t="shared" si="1"/>
        <v/>
      </c>
      <c r="D87" s="118"/>
      <c r="E87" s="119"/>
      <c r="F87" s="119"/>
      <c r="G87" s="151"/>
    </row>
    <row r="88" spans="2:7" ht="17.25" customHeight="1">
      <c r="B88" s="149"/>
      <c r="C88" s="331" t="str">
        <f t="shared" si="1"/>
        <v/>
      </c>
      <c r="D88" s="118"/>
      <c r="E88" s="119"/>
      <c r="F88" s="119"/>
      <c r="G88" s="151"/>
    </row>
    <row r="89" spans="2:7" ht="17.25" customHeight="1">
      <c r="B89" s="149"/>
      <c r="C89" s="331" t="str">
        <f t="shared" si="1"/>
        <v/>
      </c>
      <c r="D89" s="118"/>
      <c r="E89" s="119"/>
      <c r="F89" s="119"/>
      <c r="G89" s="151"/>
    </row>
    <row r="90" spans="2:7" ht="17.25" customHeight="1">
      <c r="B90" s="149"/>
      <c r="C90" s="331" t="str">
        <f t="shared" si="1"/>
        <v/>
      </c>
      <c r="D90" s="118"/>
      <c r="E90" s="119"/>
      <c r="F90" s="119"/>
      <c r="G90" s="151"/>
    </row>
    <row r="91" spans="2:7" ht="17.25" customHeight="1">
      <c r="B91" s="149"/>
      <c r="C91" s="331" t="str">
        <f t="shared" si="1"/>
        <v/>
      </c>
      <c r="D91" s="118"/>
      <c r="E91" s="119"/>
      <c r="F91" s="119"/>
      <c r="G91" s="151"/>
    </row>
    <row r="92" spans="2:7" ht="17.25" customHeight="1">
      <c r="B92" s="149"/>
      <c r="C92" s="331" t="str">
        <f t="shared" si="1"/>
        <v/>
      </c>
      <c r="D92" s="118"/>
      <c r="E92" s="119"/>
      <c r="F92" s="119"/>
      <c r="G92" s="151"/>
    </row>
    <row r="93" spans="2:7" ht="17.25" customHeight="1">
      <c r="B93" s="149"/>
      <c r="C93" s="331" t="str">
        <f t="shared" si="1"/>
        <v/>
      </c>
      <c r="D93" s="118"/>
      <c r="E93" s="119"/>
      <c r="F93" s="119"/>
      <c r="G93" s="151"/>
    </row>
    <row r="94" spans="2:7" ht="17.25" customHeight="1">
      <c r="B94" s="149"/>
      <c r="C94" s="331" t="str">
        <f t="shared" si="1"/>
        <v/>
      </c>
      <c r="D94" s="118"/>
      <c r="E94" s="119"/>
      <c r="F94" s="119"/>
      <c r="G94" s="151"/>
    </row>
    <row r="95" spans="2:7" ht="17.25" customHeight="1">
      <c r="B95" s="149"/>
      <c r="C95" s="331" t="str">
        <f t="shared" si="1"/>
        <v/>
      </c>
      <c r="D95" s="118"/>
      <c r="E95" s="119"/>
      <c r="F95" s="119"/>
      <c r="G95" s="151"/>
    </row>
    <row r="96" spans="2:7" ht="17.25" customHeight="1">
      <c r="B96" s="149"/>
      <c r="C96" s="331" t="str">
        <f t="shared" si="1"/>
        <v/>
      </c>
      <c r="D96" s="118"/>
      <c r="E96" s="119"/>
      <c r="F96" s="119"/>
      <c r="G96" s="151"/>
    </row>
    <row r="97" spans="2:7" ht="17.25" customHeight="1">
      <c r="B97" s="149"/>
      <c r="C97" s="331" t="str">
        <f t="shared" si="1"/>
        <v/>
      </c>
      <c r="D97" s="118"/>
      <c r="E97" s="119"/>
      <c r="F97" s="119"/>
      <c r="G97" s="151"/>
    </row>
    <row r="98" spans="2:7" ht="17.25" customHeight="1">
      <c r="B98" s="149"/>
      <c r="C98" s="331" t="str">
        <f t="shared" si="1"/>
        <v/>
      </c>
      <c r="D98" s="118"/>
      <c r="E98" s="119"/>
      <c r="F98" s="119"/>
      <c r="G98" s="151"/>
    </row>
    <row r="99" spans="2:7" ht="17.25" customHeight="1">
      <c r="B99" s="149"/>
      <c r="C99" s="331" t="str">
        <f t="shared" si="1"/>
        <v/>
      </c>
      <c r="D99" s="118"/>
      <c r="E99" s="119"/>
      <c r="F99" s="119"/>
      <c r="G99" s="151"/>
    </row>
    <row r="100" spans="2:7" ht="17.25" customHeight="1">
      <c r="B100" s="149"/>
      <c r="C100" s="331" t="str">
        <f t="shared" si="1"/>
        <v/>
      </c>
      <c r="D100" s="118"/>
      <c r="E100" s="119"/>
      <c r="F100" s="119"/>
      <c r="G100" s="151"/>
    </row>
    <row r="101" spans="2:7" ht="17.25" customHeight="1">
      <c r="B101" s="149"/>
      <c r="C101" s="331" t="str">
        <f t="shared" si="1"/>
        <v/>
      </c>
      <c r="D101" s="118"/>
      <c r="E101" s="119"/>
      <c r="F101" s="119"/>
      <c r="G101" s="151"/>
    </row>
    <row r="102" spans="2:7" ht="17.25" customHeight="1">
      <c r="B102" s="149"/>
      <c r="C102" s="331" t="str">
        <f t="shared" si="1"/>
        <v/>
      </c>
      <c r="D102" s="118"/>
      <c r="E102" s="119"/>
      <c r="F102" s="119"/>
      <c r="G102" s="151"/>
    </row>
    <row r="103" spans="2:7" ht="17.25" customHeight="1">
      <c r="B103" s="149"/>
      <c r="C103" s="331" t="str">
        <f t="shared" si="1"/>
        <v/>
      </c>
      <c r="D103" s="118"/>
      <c r="E103" s="119"/>
      <c r="F103" s="119"/>
      <c r="G103" s="151"/>
    </row>
    <row r="104" spans="2:7" ht="17.25" customHeight="1">
      <c r="B104" s="149"/>
      <c r="C104" s="331" t="str">
        <f t="shared" si="1"/>
        <v/>
      </c>
      <c r="D104" s="118"/>
      <c r="E104" s="119"/>
      <c r="F104" s="119"/>
      <c r="G104" s="151"/>
    </row>
    <row r="105" spans="2:7" ht="17.25" customHeight="1">
      <c r="B105" s="149"/>
      <c r="C105" s="331" t="str">
        <f t="shared" si="1"/>
        <v/>
      </c>
      <c r="D105" s="118"/>
      <c r="E105" s="119"/>
      <c r="F105" s="119"/>
      <c r="G105" s="151"/>
    </row>
    <row r="106" spans="2:7" ht="17.25" customHeight="1">
      <c r="B106" s="149"/>
      <c r="C106" s="331" t="str">
        <f t="shared" si="1"/>
        <v/>
      </c>
      <c r="D106" s="118"/>
      <c r="E106" s="119"/>
      <c r="F106" s="119"/>
      <c r="G106" s="151"/>
    </row>
    <row r="107" spans="2:7" ht="17.25" customHeight="1">
      <c r="B107" s="149"/>
      <c r="C107" s="331" t="str">
        <f t="shared" si="1"/>
        <v/>
      </c>
      <c r="D107" s="118"/>
      <c r="E107" s="119"/>
      <c r="F107" s="119"/>
      <c r="G107" s="151"/>
    </row>
    <row r="108" spans="2:7" ht="17.25" customHeight="1">
      <c r="B108" s="149"/>
      <c r="C108" s="331" t="str">
        <f t="shared" si="1"/>
        <v/>
      </c>
      <c r="D108" s="118"/>
      <c r="E108" s="119"/>
      <c r="F108" s="119"/>
      <c r="G108" s="151"/>
    </row>
    <row r="109" spans="2:7" ht="17.25" customHeight="1">
      <c r="B109" s="149"/>
      <c r="C109" s="331" t="str">
        <f t="shared" si="1"/>
        <v/>
      </c>
      <c r="D109" s="118"/>
      <c r="E109" s="119"/>
      <c r="F109" s="119"/>
      <c r="G109" s="151"/>
    </row>
    <row r="110" spans="2:7" ht="17.25" customHeight="1">
      <c r="B110" s="149"/>
      <c r="C110" s="331" t="str">
        <f t="shared" si="1"/>
        <v/>
      </c>
      <c r="D110" s="118"/>
      <c r="E110" s="119"/>
      <c r="F110" s="119"/>
      <c r="G110" s="151"/>
    </row>
    <row r="111" spans="2:7" ht="17.25" customHeight="1">
      <c r="B111" s="149"/>
      <c r="C111" s="331" t="str">
        <f t="shared" si="1"/>
        <v/>
      </c>
      <c r="D111" s="118"/>
      <c r="E111" s="119"/>
      <c r="F111" s="119"/>
      <c r="G111" s="151"/>
    </row>
    <row r="112" spans="2:7" ht="17.25" customHeight="1">
      <c r="B112" s="149"/>
      <c r="C112" s="331" t="str">
        <f t="shared" si="1"/>
        <v/>
      </c>
      <c r="D112" s="118"/>
      <c r="E112" s="119"/>
      <c r="F112" s="119"/>
      <c r="G112" s="151"/>
    </row>
    <row r="113" spans="2:7" ht="17.25" customHeight="1">
      <c r="B113" s="149"/>
      <c r="C113" s="331" t="str">
        <f t="shared" si="1"/>
        <v/>
      </c>
      <c r="D113" s="118"/>
      <c r="E113" s="119"/>
      <c r="F113" s="119"/>
      <c r="G113" s="151"/>
    </row>
    <row r="114" spans="2:7" ht="17.25" customHeight="1">
      <c r="B114" s="149"/>
      <c r="C114" s="331" t="str">
        <f t="shared" si="1"/>
        <v/>
      </c>
      <c r="D114" s="118"/>
      <c r="E114" s="119"/>
      <c r="F114" s="119"/>
      <c r="G114" s="151"/>
    </row>
    <row r="115" spans="2:7" ht="17.25" customHeight="1">
      <c r="B115" s="149"/>
      <c r="C115" s="331" t="str">
        <f t="shared" si="1"/>
        <v/>
      </c>
      <c r="D115" s="118"/>
      <c r="E115" s="119"/>
      <c r="F115" s="119"/>
      <c r="G115" s="151"/>
    </row>
    <row r="116" spans="2:7" ht="17.25" customHeight="1">
      <c r="B116" s="149"/>
      <c r="C116" s="331" t="str">
        <f t="shared" si="1"/>
        <v/>
      </c>
      <c r="D116" s="118"/>
      <c r="E116" s="119"/>
      <c r="F116" s="119"/>
      <c r="G116" s="151"/>
    </row>
    <row r="117" spans="2:7" ht="17.25" customHeight="1">
      <c r="B117" s="149"/>
      <c r="C117" s="331" t="str">
        <f t="shared" si="1"/>
        <v/>
      </c>
      <c r="D117" s="118"/>
      <c r="E117" s="119"/>
      <c r="F117" s="119"/>
      <c r="G117" s="151"/>
    </row>
    <row r="118" spans="2:7" ht="17.25" customHeight="1">
      <c r="B118" s="149"/>
      <c r="C118" s="331" t="str">
        <f t="shared" si="1"/>
        <v/>
      </c>
      <c r="D118" s="118"/>
      <c r="E118" s="119"/>
      <c r="F118" s="119"/>
      <c r="G118" s="151"/>
    </row>
    <row r="119" spans="2:7" ht="17.25" customHeight="1">
      <c r="B119" s="149"/>
      <c r="C119" s="331" t="str">
        <f t="shared" si="1"/>
        <v/>
      </c>
      <c r="D119" s="118"/>
      <c r="E119" s="119"/>
      <c r="F119" s="119"/>
      <c r="G119" s="151"/>
    </row>
    <row r="120" spans="2:7" ht="17.25" customHeight="1">
      <c r="B120" s="149"/>
      <c r="C120" s="331" t="str">
        <f t="shared" si="1"/>
        <v/>
      </c>
      <c r="D120" s="118"/>
      <c r="E120" s="119"/>
      <c r="F120" s="119"/>
      <c r="G120" s="151"/>
    </row>
    <row r="121" spans="2:7" ht="17.25" customHeight="1">
      <c r="B121" s="149"/>
      <c r="C121" s="331" t="str">
        <f t="shared" si="1"/>
        <v/>
      </c>
      <c r="D121" s="118"/>
      <c r="E121" s="119"/>
      <c r="F121" s="119"/>
      <c r="G121" s="151"/>
    </row>
    <row r="122" spans="2:7" ht="17.25" customHeight="1">
      <c r="B122" s="149"/>
      <c r="C122" s="331" t="str">
        <f t="shared" si="1"/>
        <v/>
      </c>
      <c r="D122" s="118"/>
      <c r="E122" s="119"/>
      <c r="F122" s="119"/>
      <c r="G122" s="151"/>
    </row>
    <row r="123" spans="2:7" ht="17.25" customHeight="1">
      <c r="B123" s="149"/>
      <c r="C123" s="331" t="str">
        <f t="shared" si="1"/>
        <v/>
      </c>
      <c r="D123" s="118"/>
      <c r="E123" s="119"/>
      <c r="F123" s="119"/>
      <c r="G123" s="151"/>
    </row>
    <row r="124" spans="2:7" ht="17.25" customHeight="1">
      <c r="B124" s="149"/>
      <c r="C124" s="331" t="str">
        <f t="shared" si="1"/>
        <v/>
      </c>
      <c r="D124" s="118"/>
      <c r="E124" s="119"/>
      <c r="F124" s="119"/>
      <c r="G124" s="151"/>
    </row>
    <row r="125" spans="2:7" ht="17.25" customHeight="1">
      <c r="B125" s="149"/>
      <c r="C125" s="331" t="str">
        <f t="shared" si="1"/>
        <v/>
      </c>
      <c r="D125" s="118"/>
      <c r="E125" s="119"/>
      <c r="F125" s="119"/>
      <c r="G125" s="151"/>
    </row>
    <row r="126" spans="2:7" ht="17.25" customHeight="1">
      <c r="B126" s="149"/>
      <c r="C126" s="331" t="str">
        <f t="shared" si="1"/>
        <v/>
      </c>
      <c r="D126" s="118"/>
      <c r="E126" s="119"/>
      <c r="F126" s="119"/>
      <c r="G126" s="151"/>
    </row>
    <row r="127" spans="2:7" ht="17.25" customHeight="1">
      <c r="B127" s="149"/>
      <c r="C127" s="331" t="str">
        <f t="shared" si="1"/>
        <v/>
      </c>
      <c r="D127" s="118"/>
      <c r="E127" s="119"/>
      <c r="F127" s="119"/>
      <c r="G127" s="151"/>
    </row>
    <row r="128" spans="2:7" ht="17.25" customHeight="1">
      <c r="B128" s="149"/>
      <c r="C128" s="331" t="str">
        <f t="shared" si="1"/>
        <v/>
      </c>
      <c r="D128" s="118"/>
      <c r="E128" s="119"/>
      <c r="F128" s="119"/>
      <c r="G128" s="151"/>
    </row>
    <row r="129" spans="2:7" ht="17.25" customHeight="1">
      <c r="B129" s="149"/>
      <c r="C129" s="331" t="str">
        <f t="shared" si="1"/>
        <v/>
      </c>
      <c r="D129" s="118"/>
      <c r="E129" s="119"/>
      <c r="F129" s="119"/>
      <c r="G129" s="151"/>
    </row>
    <row r="130" spans="2:7" ht="17.25" customHeight="1">
      <c r="B130" s="149"/>
      <c r="C130" s="331" t="str">
        <f t="shared" si="1"/>
        <v/>
      </c>
      <c r="D130" s="118"/>
      <c r="E130" s="119"/>
      <c r="F130" s="119"/>
      <c r="G130" s="151"/>
    </row>
    <row r="131" spans="2:7" ht="17.25" customHeight="1">
      <c r="B131" s="149"/>
      <c r="C131" s="331" t="str">
        <f t="shared" si="1"/>
        <v/>
      </c>
      <c r="D131" s="118"/>
      <c r="E131" s="119"/>
      <c r="F131" s="119"/>
      <c r="G131" s="151"/>
    </row>
    <row r="132" spans="2:7" ht="17.25" customHeight="1">
      <c r="B132" s="149"/>
      <c r="C132" s="331" t="str">
        <f t="shared" si="1"/>
        <v/>
      </c>
      <c r="D132" s="118"/>
      <c r="E132" s="119"/>
      <c r="F132" s="119"/>
      <c r="G132" s="151"/>
    </row>
    <row r="133" spans="2:7" ht="17.25" customHeight="1">
      <c r="B133" s="149"/>
      <c r="C133" s="331" t="str">
        <f t="shared" si="1"/>
        <v/>
      </c>
      <c r="D133" s="118"/>
      <c r="E133" s="119"/>
      <c r="F133" s="119"/>
      <c r="G133" s="151"/>
    </row>
    <row r="134" spans="2:7" ht="17.25" customHeight="1">
      <c r="B134" s="149"/>
      <c r="C134" s="331" t="str">
        <f t="shared" ref="C134:C197" si="2">IF(D134&lt;&gt;0,C133+1,"")</f>
        <v/>
      </c>
      <c r="D134" s="118"/>
      <c r="E134" s="119"/>
      <c r="F134" s="119"/>
      <c r="G134" s="151"/>
    </row>
    <row r="135" spans="2:7" ht="17.25" customHeight="1">
      <c r="B135" s="149"/>
      <c r="C135" s="331" t="str">
        <f t="shared" si="2"/>
        <v/>
      </c>
      <c r="D135" s="118"/>
      <c r="E135" s="119"/>
      <c r="F135" s="119"/>
      <c r="G135" s="151"/>
    </row>
    <row r="136" spans="2:7" ht="17.25" customHeight="1">
      <c r="B136" s="149"/>
      <c r="C136" s="331" t="str">
        <f t="shared" si="2"/>
        <v/>
      </c>
      <c r="D136" s="118"/>
      <c r="E136" s="119"/>
      <c r="F136" s="119"/>
      <c r="G136" s="151"/>
    </row>
    <row r="137" spans="2:7" ht="17.25" customHeight="1">
      <c r="B137" s="149"/>
      <c r="C137" s="331" t="str">
        <f t="shared" si="2"/>
        <v/>
      </c>
      <c r="D137" s="118"/>
      <c r="E137" s="119"/>
      <c r="F137" s="119"/>
      <c r="G137" s="151"/>
    </row>
    <row r="138" spans="2:7" ht="17.25" customHeight="1">
      <c r="B138" s="149"/>
      <c r="C138" s="331" t="str">
        <f t="shared" si="2"/>
        <v/>
      </c>
      <c r="D138" s="118"/>
      <c r="E138" s="119"/>
      <c r="F138" s="119"/>
      <c r="G138" s="151"/>
    </row>
    <row r="139" spans="2:7" ht="17.25" customHeight="1">
      <c r="B139" s="149"/>
      <c r="C139" s="331" t="str">
        <f t="shared" si="2"/>
        <v/>
      </c>
      <c r="D139" s="118"/>
      <c r="E139" s="119"/>
      <c r="F139" s="119"/>
      <c r="G139" s="151"/>
    </row>
    <row r="140" spans="2:7" ht="17.25" customHeight="1">
      <c r="B140" s="149"/>
      <c r="C140" s="331" t="str">
        <f t="shared" si="2"/>
        <v/>
      </c>
      <c r="D140" s="118"/>
      <c r="E140" s="119"/>
      <c r="F140" s="119"/>
      <c r="G140" s="151"/>
    </row>
    <row r="141" spans="2:7" ht="17.25" customHeight="1">
      <c r="B141" s="149"/>
      <c r="C141" s="331" t="str">
        <f t="shared" si="2"/>
        <v/>
      </c>
      <c r="D141" s="118"/>
      <c r="E141" s="119"/>
      <c r="F141" s="119"/>
      <c r="G141" s="151"/>
    </row>
    <row r="142" spans="2:7" ht="17.25" customHeight="1">
      <c r="B142" s="149"/>
      <c r="C142" s="331" t="str">
        <f t="shared" si="2"/>
        <v/>
      </c>
      <c r="D142" s="118"/>
      <c r="E142" s="119"/>
      <c r="F142" s="119"/>
      <c r="G142" s="151"/>
    </row>
    <row r="143" spans="2:7" ht="17.25" customHeight="1">
      <c r="B143" s="149"/>
      <c r="C143" s="331" t="str">
        <f t="shared" si="2"/>
        <v/>
      </c>
      <c r="D143" s="118"/>
      <c r="E143" s="119"/>
      <c r="F143" s="119"/>
      <c r="G143" s="151"/>
    </row>
    <row r="144" spans="2:7" ht="17.25" customHeight="1">
      <c r="B144" s="149"/>
      <c r="C144" s="331" t="str">
        <f t="shared" si="2"/>
        <v/>
      </c>
      <c r="D144" s="118"/>
      <c r="E144" s="119"/>
      <c r="F144" s="119"/>
      <c r="G144" s="151"/>
    </row>
    <row r="145" spans="2:7" ht="17.25" customHeight="1">
      <c r="B145" s="149"/>
      <c r="C145" s="331" t="str">
        <f t="shared" si="2"/>
        <v/>
      </c>
      <c r="D145" s="118"/>
      <c r="E145" s="119"/>
      <c r="F145" s="119"/>
      <c r="G145" s="151"/>
    </row>
    <row r="146" spans="2:7" ht="17.25" customHeight="1">
      <c r="B146" s="149"/>
      <c r="C146" s="331" t="str">
        <f t="shared" si="2"/>
        <v/>
      </c>
      <c r="D146" s="118"/>
      <c r="E146" s="119"/>
      <c r="F146" s="119"/>
      <c r="G146" s="151"/>
    </row>
    <row r="147" spans="2:7" ht="17.25" customHeight="1">
      <c r="B147" s="149"/>
      <c r="C147" s="331" t="str">
        <f t="shared" si="2"/>
        <v/>
      </c>
      <c r="D147" s="118"/>
      <c r="E147" s="119"/>
      <c r="F147" s="119"/>
      <c r="G147" s="151"/>
    </row>
    <row r="148" spans="2:7" ht="17.25" customHeight="1">
      <c r="B148" s="149"/>
      <c r="C148" s="331" t="str">
        <f t="shared" si="2"/>
        <v/>
      </c>
      <c r="D148" s="118"/>
      <c r="E148" s="119"/>
      <c r="F148" s="119"/>
      <c r="G148" s="151"/>
    </row>
    <row r="149" spans="2:7" ht="17.25" customHeight="1">
      <c r="B149" s="149"/>
      <c r="C149" s="331" t="str">
        <f t="shared" si="2"/>
        <v/>
      </c>
      <c r="D149" s="118"/>
      <c r="E149" s="119"/>
      <c r="F149" s="119"/>
      <c r="G149" s="151"/>
    </row>
    <row r="150" spans="2:7" ht="17.25" customHeight="1">
      <c r="B150" s="149"/>
      <c r="C150" s="331" t="str">
        <f t="shared" si="2"/>
        <v/>
      </c>
      <c r="D150" s="118"/>
      <c r="E150" s="119"/>
      <c r="F150" s="119"/>
      <c r="G150" s="151"/>
    </row>
    <row r="151" spans="2:7" ht="17.25" customHeight="1">
      <c r="B151" s="149"/>
      <c r="C151" s="331" t="str">
        <f t="shared" si="2"/>
        <v/>
      </c>
      <c r="D151" s="118"/>
      <c r="E151" s="119"/>
      <c r="F151" s="119"/>
      <c r="G151" s="151"/>
    </row>
    <row r="152" spans="2:7" ht="17.25" customHeight="1">
      <c r="B152" s="149"/>
      <c r="C152" s="331" t="str">
        <f t="shared" si="2"/>
        <v/>
      </c>
      <c r="D152" s="118"/>
      <c r="E152" s="119"/>
      <c r="F152" s="119"/>
      <c r="G152" s="151"/>
    </row>
    <row r="153" spans="2:7" ht="17.25" customHeight="1">
      <c r="B153" s="149"/>
      <c r="C153" s="331" t="str">
        <f t="shared" si="2"/>
        <v/>
      </c>
      <c r="D153" s="118"/>
      <c r="E153" s="119"/>
      <c r="F153" s="119"/>
      <c r="G153" s="151"/>
    </row>
    <row r="154" spans="2:7" ht="17.25" customHeight="1">
      <c r="B154" s="149"/>
      <c r="C154" s="331" t="str">
        <f t="shared" si="2"/>
        <v/>
      </c>
      <c r="D154" s="118"/>
      <c r="E154" s="119"/>
      <c r="F154" s="119"/>
      <c r="G154" s="151"/>
    </row>
    <row r="155" spans="2:7" ht="17.25" customHeight="1">
      <c r="B155" s="149"/>
      <c r="C155" s="331" t="str">
        <f t="shared" si="2"/>
        <v/>
      </c>
      <c r="D155" s="118"/>
      <c r="E155" s="119"/>
      <c r="F155" s="119"/>
      <c r="G155" s="151"/>
    </row>
    <row r="156" spans="2:7" ht="17.25" customHeight="1">
      <c r="B156" s="149"/>
      <c r="C156" s="331" t="str">
        <f t="shared" si="2"/>
        <v/>
      </c>
      <c r="D156" s="118"/>
      <c r="E156" s="119"/>
      <c r="F156" s="119"/>
      <c r="G156" s="151"/>
    </row>
    <row r="157" spans="2:7" ht="17.25" customHeight="1">
      <c r="B157" s="149"/>
      <c r="C157" s="331" t="str">
        <f t="shared" si="2"/>
        <v/>
      </c>
      <c r="D157" s="118"/>
      <c r="E157" s="119"/>
      <c r="F157" s="119"/>
      <c r="G157" s="151"/>
    </row>
    <row r="158" spans="2:7" ht="17.25" customHeight="1">
      <c r="B158" s="149"/>
      <c r="C158" s="331" t="str">
        <f t="shared" si="2"/>
        <v/>
      </c>
      <c r="D158" s="118"/>
      <c r="E158" s="119"/>
      <c r="F158" s="119"/>
      <c r="G158" s="151"/>
    </row>
    <row r="159" spans="2:7" ht="17.25" customHeight="1">
      <c r="B159" s="149"/>
      <c r="C159" s="331" t="str">
        <f t="shared" si="2"/>
        <v/>
      </c>
      <c r="D159" s="118"/>
      <c r="E159" s="119"/>
      <c r="F159" s="119"/>
      <c r="G159" s="151"/>
    </row>
    <row r="160" spans="2:7" ht="17.25" customHeight="1">
      <c r="B160" s="149"/>
      <c r="C160" s="331" t="str">
        <f t="shared" si="2"/>
        <v/>
      </c>
      <c r="D160" s="118"/>
      <c r="E160" s="119"/>
      <c r="F160" s="119"/>
      <c r="G160" s="151"/>
    </row>
    <row r="161" spans="2:7" ht="17.25" customHeight="1">
      <c r="B161" s="149"/>
      <c r="C161" s="331" t="str">
        <f t="shared" si="2"/>
        <v/>
      </c>
      <c r="D161" s="118"/>
      <c r="E161" s="119"/>
      <c r="F161" s="119"/>
      <c r="G161" s="151"/>
    </row>
    <row r="162" spans="2:7" ht="17.25" customHeight="1">
      <c r="B162" s="149"/>
      <c r="C162" s="331" t="str">
        <f t="shared" si="2"/>
        <v/>
      </c>
      <c r="D162" s="118"/>
      <c r="E162" s="119"/>
      <c r="F162" s="119"/>
      <c r="G162" s="151"/>
    </row>
    <row r="163" spans="2:7" ht="17.25" customHeight="1">
      <c r="B163" s="149"/>
      <c r="C163" s="331" t="str">
        <f t="shared" si="2"/>
        <v/>
      </c>
      <c r="D163" s="118"/>
      <c r="E163" s="119"/>
      <c r="F163" s="119"/>
      <c r="G163" s="151"/>
    </row>
    <row r="164" spans="2:7" ht="17.25" customHeight="1">
      <c r="B164" s="149"/>
      <c r="C164" s="331" t="str">
        <f t="shared" si="2"/>
        <v/>
      </c>
      <c r="D164" s="118"/>
      <c r="E164" s="119"/>
      <c r="F164" s="119"/>
      <c r="G164" s="151"/>
    </row>
    <row r="165" spans="2:7" ht="17.25" customHeight="1">
      <c r="B165" s="149"/>
      <c r="C165" s="331" t="str">
        <f t="shared" si="2"/>
        <v/>
      </c>
      <c r="D165" s="118"/>
      <c r="E165" s="119"/>
      <c r="F165" s="119"/>
      <c r="G165" s="151"/>
    </row>
    <row r="166" spans="2:7" ht="17.25" customHeight="1">
      <c r="B166" s="149"/>
      <c r="C166" s="331" t="str">
        <f t="shared" si="2"/>
        <v/>
      </c>
      <c r="D166" s="118"/>
      <c r="E166" s="119"/>
      <c r="F166" s="119"/>
      <c r="G166" s="151"/>
    </row>
    <row r="167" spans="2:7" ht="17.25" customHeight="1">
      <c r="B167" s="149"/>
      <c r="C167" s="331" t="str">
        <f t="shared" si="2"/>
        <v/>
      </c>
      <c r="D167" s="118"/>
      <c r="E167" s="119"/>
      <c r="F167" s="119"/>
      <c r="G167" s="151"/>
    </row>
    <row r="168" spans="2:7" ht="17.25" customHeight="1">
      <c r="B168" s="149"/>
      <c r="C168" s="331" t="str">
        <f t="shared" si="2"/>
        <v/>
      </c>
      <c r="D168" s="118"/>
      <c r="E168" s="119"/>
      <c r="F168" s="119"/>
      <c r="G168" s="151"/>
    </row>
    <row r="169" spans="2:7" ht="17.25" customHeight="1">
      <c r="B169" s="149"/>
      <c r="C169" s="331" t="str">
        <f t="shared" si="2"/>
        <v/>
      </c>
      <c r="D169" s="118"/>
      <c r="E169" s="119"/>
      <c r="F169" s="119"/>
      <c r="G169" s="151"/>
    </row>
    <row r="170" spans="2:7" ht="17.25" customHeight="1">
      <c r="B170" s="149"/>
      <c r="C170" s="331" t="str">
        <f t="shared" si="2"/>
        <v/>
      </c>
      <c r="D170" s="118"/>
      <c r="E170" s="119"/>
      <c r="F170" s="119"/>
      <c r="G170" s="151"/>
    </row>
    <row r="171" spans="2:7" ht="17.25" customHeight="1">
      <c r="B171" s="149"/>
      <c r="C171" s="331" t="str">
        <f t="shared" si="2"/>
        <v/>
      </c>
      <c r="D171" s="118"/>
      <c r="E171" s="119"/>
      <c r="F171" s="119"/>
      <c r="G171" s="151"/>
    </row>
    <row r="172" spans="2:7" ht="17.25" customHeight="1">
      <c r="B172" s="149"/>
      <c r="C172" s="331" t="str">
        <f t="shared" si="2"/>
        <v/>
      </c>
      <c r="D172" s="118"/>
      <c r="E172" s="119"/>
      <c r="F172" s="119"/>
      <c r="G172" s="151"/>
    </row>
    <row r="173" spans="2:7" ht="17.25" customHeight="1">
      <c r="B173" s="149"/>
      <c r="C173" s="331" t="str">
        <f t="shared" si="2"/>
        <v/>
      </c>
      <c r="D173" s="118"/>
      <c r="E173" s="119"/>
      <c r="F173" s="119"/>
      <c r="G173" s="151"/>
    </row>
    <row r="174" spans="2:7" ht="17.25" customHeight="1">
      <c r="B174" s="149"/>
      <c r="C174" s="331" t="str">
        <f t="shared" si="2"/>
        <v/>
      </c>
      <c r="D174" s="118"/>
      <c r="E174" s="119"/>
      <c r="F174" s="119"/>
      <c r="G174" s="151"/>
    </row>
    <row r="175" spans="2:7" ht="17.25" customHeight="1">
      <c r="B175" s="149"/>
      <c r="C175" s="331" t="str">
        <f t="shared" si="2"/>
        <v/>
      </c>
      <c r="D175" s="118"/>
      <c r="E175" s="119"/>
      <c r="F175" s="119"/>
      <c r="G175" s="151"/>
    </row>
    <row r="176" spans="2:7" ht="17.25" customHeight="1">
      <c r="B176" s="149"/>
      <c r="C176" s="331" t="str">
        <f t="shared" si="2"/>
        <v/>
      </c>
      <c r="D176" s="118"/>
      <c r="E176" s="119"/>
      <c r="F176" s="119"/>
      <c r="G176" s="151"/>
    </row>
    <row r="177" spans="2:7" ht="17.25" customHeight="1">
      <c r="B177" s="149"/>
      <c r="C177" s="331" t="str">
        <f t="shared" si="2"/>
        <v/>
      </c>
      <c r="D177" s="118"/>
      <c r="E177" s="119"/>
      <c r="F177" s="119"/>
      <c r="G177" s="151"/>
    </row>
    <row r="178" spans="2:7" ht="17.25" customHeight="1">
      <c r="B178" s="149"/>
      <c r="C178" s="331" t="str">
        <f t="shared" si="2"/>
        <v/>
      </c>
      <c r="D178" s="118"/>
      <c r="E178" s="119"/>
      <c r="F178" s="119"/>
      <c r="G178" s="151"/>
    </row>
    <row r="179" spans="2:7" ht="17.25" customHeight="1">
      <c r="B179" s="149"/>
      <c r="C179" s="331" t="str">
        <f t="shared" si="2"/>
        <v/>
      </c>
      <c r="D179" s="118"/>
      <c r="E179" s="119"/>
      <c r="F179" s="119"/>
      <c r="G179" s="151"/>
    </row>
    <row r="180" spans="2:7" ht="17.25" customHeight="1">
      <c r="B180" s="149"/>
      <c r="C180" s="331" t="str">
        <f t="shared" si="2"/>
        <v/>
      </c>
      <c r="D180" s="118"/>
      <c r="E180" s="119"/>
      <c r="F180" s="119"/>
      <c r="G180" s="151"/>
    </row>
    <row r="181" spans="2:7" ht="17.25" customHeight="1">
      <c r="B181" s="149"/>
      <c r="C181" s="331" t="str">
        <f t="shared" si="2"/>
        <v/>
      </c>
      <c r="D181" s="118"/>
      <c r="E181" s="119"/>
      <c r="F181" s="119"/>
      <c r="G181" s="151"/>
    </row>
    <row r="182" spans="2:7" ht="17.25" customHeight="1">
      <c r="B182" s="149"/>
      <c r="C182" s="331" t="str">
        <f t="shared" si="2"/>
        <v/>
      </c>
      <c r="D182" s="118"/>
      <c r="E182" s="119"/>
      <c r="F182" s="119"/>
      <c r="G182" s="151"/>
    </row>
    <row r="183" spans="2:7" ht="17.25" customHeight="1">
      <c r="B183" s="149"/>
      <c r="C183" s="331" t="str">
        <f t="shared" si="2"/>
        <v/>
      </c>
      <c r="D183" s="118"/>
      <c r="E183" s="119"/>
      <c r="F183" s="119"/>
      <c r="G183" s="151"/>
    </row>
    <row r="184" spans="2:7" ht="17.25" customHeight="1">
      <c r="B184" s="149"/>
      <c r="C184" s="331" t="str">
        <f t="shared" si="2"/>
        <v/>
      </c>
      <c r="D184" s="118"/>
      <c r="E184" s="119"/>
      <c r="F184" s="119"/>
      <c r="G184" s="151"/>
    </row>
    <row r="185" spans="2:7" ht="17.25" customHeight="1">
      <c r="B185" s="149"/>
      <c r="C185" s="331" t="str">
        <f t="shared" si="2"/>
        <v/>
      </c>
      <c r="D185" s="118"/>
      <c r="E185" s="119"/>
      <c r="F185" s="119"/>
      <c r="G185" s="151"/>
    </row>
    <row r="186" spans="2:7" ht="17.25" customHeight="1">
      <c r="B186" s="149"/>
      <c r="C186" s="331" t="str">
        <f t="shared" si="2"/>
        <v/>
      </c>
      <c r="D186" s="118"/>
      <c r="E186" s="119"/>
      <c r="F186" s="119"/>
      <c r="G186" s="151"/>
    </row>
    <row r="187" spans="2:7" ht="17.25" customHeight="1">
      <c r="B187" s="149"/>
      <c r="C187" s="331" t="str">
        <f t="shared" si="2"/>
        <v/>
      </c>
      <c r="D187" s="118"/>
      <c r="E187" s="119"/>
      <c r="F187" s="119"/>
      <c r="G187" s="151"/>
    </row>
    <row r="188" spans="2:7" ht="17.25" customHeight="1">
      <c r="B188" s="149"/>
      <c r="C188" s="331" t="str">
        <f t="shared" si="2"/>
        <v/>
      </c>
      <c r="D188" s="118"/>
      <c r="E188" s="119"/>
      <c r="F188" s="119"/>
      <c r="G188" s="151"/>
    </row>
    <row r="189" spans="2:7" ht="17.25" customHeight="1">
      <c r="B189" s="149"/>
      <c r="C189" s="331" t="str">
        <f t="shared" si="2"/>
        <v/>
      </c>
      <c r="D189" s="118"/>
      <c r="E189" s="119"/>
      <c r="F189" s="119"/>
      <c r="G189" s="151"/>
    </row>
    <row r="190" spans="2:7" ht="17.25" customHeight="1">
      <c r="B190" s="149"/>
      <c r="C190" s="331" t="str">
        <f t="shared" si="2"/>
        <v/>
      </c>
      <c r="D190" s="118"/>
      <c r="E190" s="119"/>
      <c r="F190" s="119"/>
      <c r="G190" s="151"/>
    </row>
    <row r="191" spans="2:7" ht="17.25" customHeight="1">
      <c r="B191" s="149"/>
      <c r="C191" s="331" t="str">
        <f t="shared" si="2"/>
        <v/>
      </c>
      <c r="D191" s="118"/>
      <c r="E191" s="119"/>
      <c r="F191" s="119"/>
      <c r="G191" s="151"/>
    </row>
    <row r="192" spans="2:7" ht="17.25" customHeight="1">
      <c r="B192" s="149"/>
      <c r="C192" s="331" t="str">
        <f t="shared" si="2"/>
        <v/>
      </c>
      <c r="D192" s="118"/>
      <c r="E192" s="119"/>
      <c r="F192" s="119"/>
      <c r="G192" s="151"/>
    </row>
    <row r="193" spans="2:7" ht="17.25" customHeight="1">
      <c r="B193" s="149"/>
      <c r="C193" s="331" t="str">
        <f t="shared" si="2"/>
        <v/>
      </c>
      <c r="D193" s="118"/>
      <c r="E193" s="119"/>
      <c r="F193" s="119"/>
      <c r="G193" s="151"/>
    </row>
    <row r="194" spans="2:7" ht="17.25" customHeight="1">
      <c r="B194" s="149"/>
      <c r="C194" s="331" t="str">
        <f t="shared" si="2"/>
        <v/>
      </c>
      <c r="D194" s="118"/>
      <c r="E194" s="119"/>
      <c r="F194" s="119"/>
      <c r="G194" s="151"/>
    </row>
    <row r="195" spans="2:7" ht="17.25" customHeight="1">
      <c r="B195" s="149"/>
      <c r="C195" s="331" t="str">
        <f t="shared" si="2"/>
        <v/>
      </c>
      <c r="D195" s="118"/>
      <c r="E195" s="119"/>
      <c r="F195" s="119"/>
      <c r="G195" s="151"/>
    </row>
    <row r="196" spans="2:7" ht="17.25" customHeight="1">
      <c r="B196" s="149"/>
      <c r="C196" s="331" t="str">
        <f t="shared" si="2"/>
        <v/>
      </c>
      <c r="D196" s="118"/>
      <c r="E196" s="119"/>
      <c r="F196" s="119"/>
      <c r="G196" s="151"/>
    </row>
    <row r="197" spans="2:7" ht="17.25" customHeight="1">
      <c r="B197" s="149"/>
      <c r="C197" s="331" t="str">
        <f t="shared" si="2"/>
        <v/>
      </c>
      <c r="D197" s="118"/>
      <c r="E197" s="119"/>
      <c r="F197" s="119"/>
      <c r="G197" s="151"/>
    </row>
    <row r="198" spans="2:7" ht="17.25" customHeight="1">
      <c r="B198" s="149"/>
      <c r="C198" s="331" t="str">
        <f t="shared" ref="C198:C261" si="3">IF(D198&lt;&gt;0,C197+1,"")</f>
        <v/>
      </c>
      <c r="D198" s="118"/>
      <c r="E198" s="119"/>
      <c r="F198" s="119"/>
      <c r="G198" s="151"/>
    </row>
    <row r="199" spans="2:7" ht="17.25" customHeight="1">
      <c r="B199" s="149"/>
      <c r="C199" s="331" t="str">
        <f t="shared" si="3"/>
        <v/>
      </c>
      <c r="D199" s="118"/>
      <c r="E199" s="119"/>
      <c r="F199" s="119"/>
      <c r="G199" s="151"/>
    </row>
    <row r="200" spans="2:7" ht="17.25" customHeight="1">
      <c r="B200" s="149"/>
      <c r="C200" s="331" t="str">
        <f t="shared" si="3"/>
        <v/>
      </c>
      <c r="D200" s="118"/>
      <c r="E200" s="119"/>
      <c r="F200" s="119"/>
      <c r="G200" s="151"/>
    </row>
    <row r="201" spans="2:7" ht="17.25" customHeight="1">
      <c r="B201" s="149"/>
      <c r="C201" s="331" t="str">
        <f t="shared" si="3"/>
        <v/>
      </c>
      <c r="D201" s="118"/>
      <c r="E201" s="119"/>
      <c r="F201" s="119"/>
      <c r="G201" s="151"/>
    </row>
    <row r="202" spans="2:7" ht="17.25" customHeight="1">
      <c r="B202" s="149"/>
      <c r="C202" s="331" t="str">
        <f t="shared" si="3"/>
        <v/>
      </c>
      <c r="D202" s="118"/>
      <c r="E202" s="119"/>
      <c r="F202" s="119"/>
      <c r="G202" s="151"/>
    </row>
    <row r="203" spans="2:7" ht="17.25" customHeight="1">
      <c r="B203" s="149"/>
      <c r="C203" s="331" t="str">
        <f t="shared" si="3"/>
        <v/>
      </c>
      <c r="D203" s="118"/>
      <c r="E203" s="119"/>
      <c r="F203" s="119"/>
      <c r="G203" s="151"/>
    </row>
    <row r="204" spans="2:7" ht="17.25" customHeight="1">
      <c r="B204" s="149"/>
      <c r="C204" s="331" t="str">
        <f t="shared" si="3"/>
        <v/>
      </c>
      <c r="D204" s="118"/>
      <c r="E204" s="119"/>
      <c r="F204" s="119"/>
      <c r="G204" s="151"/>
    </row>
    <row r="205" spans="2:7" ht="17.25" customHeight="1">
      <c r="B205" s="149"/>
      <c r="C205" s="331" t="str">
        <f t="shared" si="3"/>
        <v/>
      </c>
      <c r="D205" s="118"/>
      <c r="E205" s="119"/>
      <c r="F205" s="119"/>
      <c r="G205" s="151"/>
    </row>
    <row r="206" spans="2:7" ht="17.25" customHeight="1">
      <c r="B206" s="149"/>
      <c r="C206" s="331" t="str">
        <f t="shared" si="3"/>
        <v/>
      </c>
      <c r="D206" s="118"/>
      <c r="E206" s="119"/>
      <c r="F206" s="119"/>
      <c r="G206" s="151"/>
    </row>
    <row r="207" spans="2:7" ht="17.25" customHeight="1">
      <c r="B207" s="149"/>
      <c r="C207" s="331" t="str">
        <f t="shared" si="3"/>
        <v/>
      </c>
      <c r="D207" s="118"/>
      <c r="E207" s="119"/>
      <c r="F207" s="119"/>
      <c r="G207" s="151"/>
    </row>
    <row r="208" spans="2:7" ht="17.25" customHeight="1">
      <c r="B208" s="149"/>
      <c r="C208" s="331" t="str">
        <f t="shared" si="3"/>
        <v/>
      </c>
      <c r="D208" s="118"/>
      <c r="E208" s="119"/>
      <c r="F208" s="119"/>
      <c r="G208" s="151"/>
    </row>
    <row r="209" spans="2:7" ht="17.25" customHeight="1">
      <c r="B209" s="149"/>
      <c r="C209" s="331" t="str">
        <f t="shared" si="3"/>
        <v/>
      </c>
      <c r="D209" s="118"/>
      <c r="E209" s="119"/>
      <c r="F209" s="119"/>
      <c r="G209" s="151"/>
    </row>
    <row r="210" spans="2:7" ht="17.25" customHeight="1">
      <c r="B210" s="149"/>
      <c r="C210" s="331" t="str">
        <f t="shared" si="3"/>
        <v/>
      </c>
      <c r="D210" s="118"/>
      <c r="E210" s="119"/>
      <c r="F210" s="119"/>
      <c r="G210" s="151"/>
    </row>
    <row r="211" spans="2:7" ht="17.25" customHeight="1">
      <c r="B211" s="149"/>
      <c r="C211" s="331" t="str">
        <f t="shared" si="3"/>
        <v/>
      </c>
      <c r="D211" s="118"/>
      <c r="E211" s="119"/>
      <c r="F211" s="119"/>
      <c r="G211" s="151"/>
    </row>
    <row r="212" spans="2:7" ht="17.25" customHeight="1">
      <c r="B212" s="149"/>
      <c r="C212" s="331" t="str">
        <f t="shared" si="3"/>
        <v/>
      </c>
      <c r="D212" s="118"/>
      <c r="E212" s="119"/>
      <c r="F212" s="119"/>
      <c r="G212" s="151"/>
    </row>
    <row r="213" spans="2:7" ht="17.25" customHeight="1">
      <c r="B213" s="149"/>
      <c r="C213" s="331" t="str">
        <f t="shared" si="3"/>
        <v/>
      </c>
      <c r="D213" s="118"/>
      <c r="E213" s="119"/>
      <c r="F213" s="119"/>
      <c r="G213" s="151"/>
    </row>
    <row r="214" spans="2:7" ht="17.25" customHeight="1">
      <c r="B214" s="149"/>
      <c r="C214" s="331" t="str">
        <f t="shared" si="3"/>
        <v/>
      </c>
      <c r="D214" s="118"/>
      <c r="E214" s="119"/>
      <c r="F214" s="119"/>
      <c r="G214" s="151"/>
    </row>
    <row r="215" spans="2:7" ht="17.25" customHeight="1">
      <c r="B215" s="149"/>
      <c r="C215" s="331" t="str">
        <f t="shared" si="3"/>
        <v/>
      </c>
      <c r="D215" s="118"/>
      <c r="E215" s="119"/>
      <c r="F215" s="119"/>
      <c r="G215" s="151"/>
    </row>
    <row r="216" spans="2:7" ht="17.25" customHeight="1">
      <c r="B216" s="149"/>
      <c r="C216" s="331" t="str">
        <f t="shared" si="3"/>
        <v/>
      </c>
      <c r="D216" s="118"/>
      <c r="E216" s="119"/>
      <c r="F216" s="119"/>
      <c r="G216" s="151"/>
    </row>
    <row r="217" spans="2:7" ht="17.25" customHeight="1">
      <c r="B217" s="149"/>
      <c r="C217" s="331" t="str">
        <f t="shared" si="3"/>
        <v/>
      </c>
      <c r="D217" s="118"/>
      <c r="E217" s="119"/>
      <c r="F217" s="119"/>
      <c r="G217" s="151"/>
    </row>
    <row r="218" spans="2:7" ht="17.25" customHeight="1">
      <c r="B218" s="149"/>
      <c r="C218" s="331" t="str">
        <f t="shared" si="3"/>
        <v/>
      </c>
      <c r="D218" s="118"/>
      <c r="E218" s="119"/>
      <c r="F218" s="119"/>
      <c r="G218" s="151"/>
    </row>
    <row r="219" spans="2:7" ht="17.25" customHeight="1">
      <c r="B219" s="149"/>
      <c r="C219" s="331" t="str">
        <f t="shared" si="3"/>
        <v/>
      </c>
      <c r="D219" s="118"/>
      <c r="E219" s="119"/>
      <c r="F219" s="119"/>
      <c r="G219" s="151"/>
    </row>
    <row r="220" spans="2:7" ht="17.25" customHeight="1">
      <c r="B220" s="149"/>
      <c r="C220" s="331" t="str">
        <f t="shared" si="3"/>
        <v/>
      </c>
      <c r="D220" s="118"/>
      <c r="E220" s="119"/>
      <c r="F220" s="119"/>
      <c r="G220" s="151"/>
    </row>
    <row r="221" spans="2:7" ht="17.25" customHeight="1">
      <c r="B221" s="149"/>
      <c r="C221" s="331" t="str">
        <f t="shared" si="3"/>
        <v/>
      </c>
      <c r="D221" s="118"/>
      <c r="E221" s="119"/>
      <c r="F221" s="119"/>
      <c r="G221" s="151"/>
    </row>
    <row r="222" spans="2:7" ht="17.25" customHeight="1">
      <c r="B222" s="149"/>
      <c r="C222" s="331" t="str">
        <f t="shared" si="3"/>
        <v/>
      </c>
      <c r="D222" s="118"/>
      <c r="E222" s="119"/>
      <c r="F222" s="119"/>
      <c r="G222" s="151"/>
    </row>
    <row r="223" spans="2:7" ht="17.25" customHeight="1">
      <c r="B223" s="149"/>
      <c r="C223" s="331" t="str">
        <f t="shared" si="3"/>
        <v/>
      </c>
      <c r="D223" s="118"/>
      <c r="E223" s="119"/>
      <c r="F223" s="119"/>
      <c r="G223" s="151"/>
    </row>
    <row r="224" spans="2:7" ht="17.25" customHeight="1">
      <c r="B224" s="149"/>
      <c r="C224" s="331" t="str">
        <f t="shared" si="3"/>
        <v/>
      </c>
      <c r="D224" s="118"/>
      <c r="E224" s="119"/>
      <c r="F224" s="119"/>
      <c r="G224" s="151"/>
    </row>
    <row r="225" spans="2:7" ht="17.25" customHeight="1">
      <c r="B225" s="149"/>
      <c r="C225" s="331" t="str">
        <f t="shared" si="3"/>
        <v/>
      </c>
      <c r="D225" s="118"/>
      <c r="E225" s="119"/>
      <c r="F225" s="119"/>
      <c r="G225" s="151"/>
    </row>
    <row r="226" spans="2:7" ht="17.25" customHeight="1">
      <c r="B226" s="149"/>
      <c r="C226" s="331" t="str">
        <f t="shared" si="3"/>
        <v/>
      </c>
      <c r="D226" s="118"/>
      <c r="E226" s="119"/>
      <c r="F226" s="119"/>
      <c r="G226" s="151"/>
    </row>
    <row r="227" spans="2:7" ht="17.25" customHeight="1">
      <c r="B227" s="149"/>
      <c r="C227" s="331" t="str">
        <f t="shared" si="3"/>
        <v/>
      </c>
      <c r="D227" s="118"/>
      <c r="E227" s="119"/>
      <c r="F227" s="119"/>
      <c r="G227" s="151"/>
    </row>
    <row r="228" spans="2:7" ht="17.25" customHeight="1">
      <c r="B228" s="149"/>
      <c r="C228" s="331" t="str">
        <f t="shared" si="3"/>
        <v/>
      </c>
      <c r="D228" s="118"/>
      <c r="E228" s="119"/>
      <c r="F228" s="119"/>
      <c r="G228" s="151"/>
    </row>
    <row r="229" spans="2:7" ht="17.25" customHeight="1">
      <c r="B229" s="149"/>
      <c r="C229" s="331" t="str">
        <f t="shared" si="3"/>
        <v/>
      </c>
      <c r="D229" s="118"/>
      <c r="E229" s="119"/>
      <c r="F229" s="119"/>
      <c r="G229" s="151"/>
    </row>
    <row r="230" spans="2:7" ht="17.25" customHeight="1">
      <c r="B230" s="149"/>
      <c r="C230" s="331" t="str">
        <f t="shared" si="3"/>
        <v/>
      </c>
      <c r="D230" s="118"/>
      <c r="E230" s="119"/>
      <c r="F230" s="119"/>
      <c r="G230" s="151"/>
    </row>
    <row r="231" spans="2:7" ht="17.25" customHeight="1">
      <c r="B231" s="149"/>
      <c r="C231" s="331" t="str">
        <f t="shared" si="3"/>
        <v/>
      </c>
      <c r="D231" s="118"/>
      <c r="E231" s="119"/>
      <c r="F231" s="119"/>
      <c r="G231" s="151"/>
    </row>
    <row r="232" spans="2:7" ht="17.25" customHeight="1">
      <c r="B232" s="149"/>
      <c r="C232" s="331" t="str">
        <f t="shared" si="3"/>
        <v/>
      </c>
      <c r="D232" s="118"/>
      <c r="E232" s="119"/>
      <c r="F232" s="119"/>
      <c r="G232" s="151"/>
    </row>
    <row r="233" spans="2:7" ht="17.25" customHeight="1">
      <c r="B233" s="149"/>
      <c r="C233" s="331" t="str">
        <f t="shared" si="3"/>
        <v/>
      </c>
      <c r="D233" s="118"/>
      <c r="E233" s="119"/>
      <c r="F233" s="119"/>
      <c r="G233" s="151"/>
    </row>
    <row r="234" spans="2:7" ht="17.25" customHeight="1">
      <c r="B234" s="149"/>
      <c r="C234" s="331" t="str">
        <f t="shared" si="3"/>
        <v/>
      </c>
      <c r="D234" s="118"/>
      <c r="E234" s="119"/>
      <c r="F234" s="119"/>
      <c r="G234" s="151"/>
    </row>
    <row r="235" spans="2:7" ht="17.25" customHeight="1">
      <c r="B235" s="149"/>
      <c r="C235" s="331" t="str">
        <f t="shared" si="3"/>
        <v/>
      </c>
      <c r="D235" s="118"/>
      <c r="E235" s="119"/>
      <c r="F235" s="119"/>
      <c r="G235" s="151"/>
    </row>
    <row r="236" spans="2:7" ht="17.25" customHeight="1">
      <c r="B236" s="149"/>
      <c r="C236" s="331" t="str">
        <f t="shared" si="3"/>
        <v/>
      </c>
      <c r="D236" s="118"/>
      <c r="E236" s="119"/>
      <c r="F236" s="119"/>
      <c r="G236" s="151"/>
    </row>
    <row r="237" spans="2:7" ht="17.25" customHeight="1">
      <c r="B237" s="149"/>
      <c r="C237" s="331" t="str">
        <f t="shared" si="3"/>
        <v/>
      </c>
      <c r="D237" s="118"/>
      <c r="E237" s="119"/>
      <c r="F237" s="119"/>
      <c r="G237" s="151"/>
    </row>
    <row r="238" spans="2:7" ht="17.25" customHeight="1">
      <c r="B238" s="149"/>
      <c r="C238" s="331" t="str">
        <f t="shared" si="3"/>
        <v/>
      </c>
      <c r="D238" s="118"/>
      <c r="E238" s="119"/>
      <c r="F238" s="119"/>
      <c r="G238" s="151"/>
    </row>
    <row r="239" spans="2:7" ht="17.25" customHeight="1">
      <c r="B239" s="149"/>
      <c r="C239" s="331" t="str">
        <f t="shared" si="3"/>
        <v/>
      </c>
      <c r="D239" s="118"/>
      <c r="E239" s="119"/>
      <c r="F239" s="119"/>
      <c r="G239" s="151"/>
    </row>
    <row r="240" spans="2:7" ht="17.25" customHeight="1">
      <c r="B240" s="149"/>
      <c r="C240" s="331" t="str">
        <f t="shared" si="3"/>
        <v/>
      </c>
      <c r="D240" s="118"/>
      <c r="E240" s="119"/>
      <c r="F240" s="119"/>
      <c r="G240" s="151"/>
    </row>
    <row r="241" spans="2:7" ht="17.25" customHeight="1">
      <c r="B241" s="149"/>
      <c r="C241" s="331" t="str">
        <f t="shared" si="3"/>
        <v/>
      </c>
      <c r="D241" s="118"/>
      <c r="E241" s="119"/>
      <c r="F241" s="119"/>
      <c r="G241" s="151"/>
    </row>
    <row r="242" spans="2:7" ht="17.25" customHeight="1">
      <c r="B242" s="149"/>
      <c r="C242" s="331" t="str">
        <f t="shared" si="3"/>
        <v/>
      </c>
      <c r="D242" s="118"/>
      <c r="E242" s="119"/>
      <c r="F242" s="119"/>
      <c r="G242" s="151"/>
    </row>
    <row r="243" spans="2:7" ht="17.25" customHeight="1">
      <c r="B243" s="149"/>
      <c r="C243" s="331" t="str">
        <f t="shared" si="3"/>
        <v/>
      </c>
      <c r="D243" s="118"/>
      <c r="E243" s="119"/>
      <c r="F243" s="119"/>
      <c r="G243" s="151"/>
    </row>
    <row r="244" spans="2:7" ht="17.25" customHeight="1">
      <c r="B244" s="149"/>
      <c r="C244" s="331" t="str">
        <f t="shared" si="3"/>
        <v/>
      </c>
      <c r="D244" s="118"/>
      <c r="E244" s="119"/>
      <c r="F244" s="119"/>
      <c r="G244" s="151"/>
    </row>
    <row r="245" spans="2:7" ht="17.25" customHeight="1">
      <c r="B245" s="149"/>
      <c r="C245" s="331" t="str">
        <f t="shared" si="3"/>
        <v/>
      </c>
      <c r="D245" s="118"/>
      <c r="E245" s="119"/>
      <c r="F245" s="119"/>
      <c r="G245" s="151"/>
    </row>
    <row r="246" spans="2:7" ht="17.25" customHeight="1">
      <c r="B246" s="149"/>
      <c r="C246" s="331" t="str">
        <f t="shared" si="3"/>
        <v/>
      </c>
      <c r="D246" s="118"/>
      <c r="E246" s="119"/>
      <c r="F246" s="119"/>
      <c r="G246" s="151"/>
    </row>
    <row r="247" spans="2:7" ht="17.25" customHeight="1">
      <c r="B247" s="149"/>
      <c r="C247" s="331" t="str">
        <f t="shared" si="3"/>
        <v/>
      </c>
      <c r="D247" s="118"/>
      <c r="E247" s="119"/>
      <c r="F247" s="119"/>
      <c r="G247" s="151"/>
    </row>
    <row r="248" spans="2:7" ht="17.25" customHeight="1">
      <c r="B248" s="149"/>
      <c r="C248" s="331" t="str">
        <f t="shared" si="3"/>
        <v/>
      </c>
      <c r="D248" s="118"/>
      <c r="E248" s="119"/>
      <c r="F248" s="119"/>
      <c r="G248" s="151"/>
    </row>
    <row r="249" spans="2:7" ht="17.25" customHeight="1">
      <c r="B249" s="149"/>
      <c r="C249" s="331" t="str">
        <f t="shared" si="3"/>
        <v/>
      </c>
      <c r="D249" s="118"/>
      <c r="E249" s="119"/>
      <c r="F249" s="119"/>
      <c r="G249" s="151"/>
    </row>
    <row r="250" spans="2:7" ht="17.25" customHeight="1">
      <c r="B250" s="149"/>
      <c r="C250" s="331" t="str">
        <f t="shared" si="3"/>
        <v/>
      </c>
      <c r="D250" s="118"/>
      <c r="E250" s="119"/>
      <c r="F250" s="119"/>
      <c r="G250" s="151"/>
    </row>
    <row r="251" spans="2:7" ht="17.25" customHeight="1">
      <c r="B251" s="149"/>
      <c r="C251" s="331" t="str">
        <f t="shared" si="3"/>
        <v/>
      </c>
      <c r="D251" s="118"/>
      <c r="E251" s="119"/>
      <c r="F251" s="119"/>
      <c r="G251" s="151"/>
    </row>
    <row r="252" spans="2:7" ht="17.25" customHeight="1">
      <c r="B252" s="149"/>
      <c r="C252" s="331" t="str">
        <f t="shared" si="3"/>
        <v/>
      </c>
      <c r="D252" s="118"/>
      <c r="E252" s="119"/>
      <c r="F252" s="119"/>
      <c r="G252" s="151"/>
    </row>
    <row r="253" spans="2:7" ht="17.25" customHeight="1">
      <c r="B253" s="149"/>
      <c r="C253" s="331" t="str">
        <f t="shared" si="3"/>
        <v/>
      </c>
      <c r="D253" s="118"/>
      <c r="E253" s="119"/>
      <c r="F253" s="119"/>
      <c r="G253" s="151"/>
    </row>
    <row r="254" spans="2:7" ht="17.25" customHeight="1">
      <c r="B254" s="149"/>
      <c r="C254" s="331" t="str">
        <f t="shared" si="3"/>
        <v/>
      </c>
      <c r="D254" s="118"/>
      <c r="E254" s="119"/>
      <c r="F254" s="119"/>
      <c r="G254" s="151"/>
    </row>
    <row r="255" spans="2:7" ht="17.25" customHeight="1">
      <c r="B255" s="149"/>
      <c r="C255" s="331" t="str">
        <f t="shared" si="3"/>
        <v/>
      </c>
      <c r="D255" s="118"/>
      <c r="E255" s="119"/>
      <c r="F255" s="119"/>
      <c r="G255" s="151"/>
    </row>
    <row r="256" spans="2:7" ht="17.25" customHeight="1">
      <c r="B256" s="149"/>
      <c r="C256" s="331" t="str">
        <f t="shared" si="3"/>
        <v/>
      </c>
      <c r="D256" s="118"/>
      <c r="E256" s="119"/>
      <c r="F256" s="119"/>
      <c r="G256" s="151"/>
    </row>
    <row r="257" spans="2:7" ht="17.25" customHeight="1">
      <c r="B257" s="149"/>
      <c r="C257" s="331" t="str">
        <f t="shared" si="3"/>
        <v/>
      </c>
      <c r="D257" s="118"/>
      <c r="E257" s="119"/>
      <c r="F257" s="119"/>
      <c r="G257" s="151"/>
    </row>
    <row r="258" spans="2:7" ht="17.25" customHeight="1">
      <c r="B258" s="149"/>
      <c r="C258" s="331" t="str">
        <f t="shared" si="3"/>
        <v/>
      </c>
      <c r="D258" s="118"/>
      <c r="E258" s="119"/>
      <c r="F258" s="119"/>
      <c r="G258" s="151"/>
    </row>
    <row r="259" spans="2:7" ht="17.25" customHeight="1">
      <c r="B259" s="149"/>
      <c r="C259" s="331" t="str">
        <f t="shared" si="3"/>
        <v/>
      </c>
      <c r="D259" s="118"/>
      <c r="E259" s="119"/>
      <c r="F259" s="119"/>
      <c r="G259" s="151"/>
    </row>
    <row r="260" spans="2:7" ht="17.25" customHeight="1">
      <c r="B260" s="149"/>
      <c r="C260" s="331" t="str">
        <f t="shared" si="3"/>
        <v/>
      </c>
      <c r="D260" s="118"/>
      <c r="E260" s="119"/>
      <c r="F260" s="119"/>
      <c r="G260" s="151"/>
    </row>
    <row r="261" spans="2:7" ht="17.25" customHeight="1">
      <c r="B261" s="149"/>
      <c r="C261" s="331" t="str">
        <f t="shared" si="3"/>
        <v/>
      </c>
      <c r="D261" s="118"/>
      <c r="E261" s="119"/>
      <c r="F261" s="119"/>
      <c r="G261" s="151"/>
    </row>
    <row r="262" spans="2:7" ht="17.25" customHeight="1">
      <c r="B262" s="149"/>
      <c r="C262" s="331" t="str">
        <f t="shared" ref="C262:C325" si="4">IF(D262&lt;&gt;0,C261+1,"")</f>
        <v/>
      </c>
      <c r="D262" s="118"/>
      <c r="E262" s="119"/>
      <c r="F262" s="119"/>
      <c r="G262" s="151"/>
    </row>
    <row r="263" spans="2:7" ht="17.25" customHeight="1">
      <c r="B263" s="149"/>
      <c r="C263" s="331" t="str">
        <f t="shared" si="4"/>
        <v/>
      </c>
      <c r="D263" s="118"/>
      <c r="E263" s="119"/>
      <c r="F263" s="119"/>
      <c r="G263" s="151"/>
    </row>
    <row r="264" spans="2:7" ht="17.25" customHeight="1">
      <c r="B264" s="149"/>
      <c r="C264" s="331" t="str">
        <f t="shared" si="4"/>
        <v/>
      </c>
      <c r="D264" s="118"/>
      <c r="E264" s="119"/>
      <c r="F264" s="119"/>
      <c r="G264" s="151"/>
    </row>
    <row r="265" spans="2:7" ht="17.25" customHeight="1">
      <c r="B265" s="149"/>
      <c r="C265" s="331" t="str">
        <f t="shared" si="4"/>
        <v/>
      </c>
      <c r="D265" s="118"/>
      <c r="E265" s="119"/>
      <c r="F265" s="119"/>
      <c r="G265" s="151"/>
    </row>
    <row r="266" spans="2:7" ht="17.25" customHeight="1">
      <c r="B266" s="149"/>
      <c r="C266" s="331" t="str">
        <f t="shared" si="4"/>
        <v/>
      </c>
      <c r="D266" s="118"/>
      <c r="E266" s="119"/>
      <c r="F266" s="119"/>
      <c r="G266" s="151"/>
    </row>
    <row r="267" spans="2:7" ht="17.25" customHeight="1">
      <c r="B267" s="149"/>
      <c r="C267" s="331" t="str">
        <f t="shared" si="4"/>
        <v/>
      </c>
      <c r="D267" s="118"/>
      <c r="E267" s="119"/>
      <c r="F267" s="119"/>
      <c r="G267" s="151"/>
    </row>
    <row r="268" spans="2:7" ht="17.25" customHeight="1">
      <c r="B268" s="149"/>
      <c r="C268" s="331" t="str">
        <f t="shared" si="4"/>
        <v/>
      </c>
      <c r="D268" s="118"/>
      <c r="E268" s="119"/>
      <c r="F268" s="119"/>
      <c r="G268" s="151"/>
    </row>
    <row r="269" spans="2:7" ht="17.25" customHeight="1">
      <c r="B269" s="149"/>
      <c r="C269" s="331" t="str">
        <f t="shared" si="4"/>
        <v/>
      </c>
      <c r="D269" s="118"/>
      <c r="E269" s="119"/>
      <c r="F269" s="119"/>
      <c r="G269" s="151"/>
    </row>
    <row r="270" spans="2:7" ht="17.25" customHeight="1">
      <c r="B270" s="149"/>
      <c r="C270" s="331" t="str">
        <f t="shared" si="4"/>
        <v/>
      </c>
      <c r="D270" s="118"/>
      <c r="E270" s="119"/>
      <c r="F270" s="119"/>
      <c r="G270" s="151"/>
    </row>
    <row r="271" spans="2:7" ht="17.25" customHeight="1">
      <c r="B271" s="149"/>
      <c r="C271" s="331" t="str">
        <f t="shared" si="4"/>
        <v/>
      </c>
      <c r="D271" s="118"/>
      <c r="E271" s="119"/>
      <c r="F271" s="119"/>
      <c r="G271" s="151"/>
    </row>
    <row r="272" spans="2:7" ht="17.25" customHeight="1">
      <c r="B272" s="149"/>
      <c r="C272" s="331" t="str">
        <f t="shared" si="4"/>
        <v/>
      </c>
      <c r="D272" s="118"/>
      <c r="E272" s="119"/>
      <c r="F272" s="119"/>
      <c r="G272" s="151"/>
    </row>
    <row r="273" spans="2:7" ht="17.25" customHeight="1">
      <c r="B273" s="149"/>
      <c r="C273" s="331" t="str">
        <f t="shared" si="4"/>
        <v/>
      </c>
      <c r="D273" s="118"/>
      <c r="E273" s="119"/>
      <c r="F273" s="119"/>
      <c r="G273" s="151"/>
    </row>
    <row r="274" spans="2:7" ht="17.25" customHeight="1">
      <c r="B274" s="149"/>
      <c r="C274" s="331" t="str">
        <f t="shared" si="4"/>
        <v/>
      </c>
      <c r="D274" s="118"/>
      <c r="E274" s="119"/>
      <c r="F274" s="119"/>
      <c r="G274" s="151"/>
    </row>
    <row r="275" spans="2:7" ht="17.25" customHeight="1">
      <c r="B275" s="149"/>
      <c r="C275" s="331" t="str">
        <f t="shared" si="4"/>
        <v/>
      </c>
      <c r="D275" s="118"/>
      <c r="E275" s="119"/>
      <c r="F275" s="119"/>
      <c r="G275" s="151"/>
    </row>
    <row r="276" spans="2:7" ht="17.25" customHeight="1">
      <c r="B276" s="149"/>
      <c r="C276" s="331" t="str">
        <f t="shared" si="4"/>
        <v/>
      </c>
      <c r="D276" s="118"/>
      <c r="E276" s="119"/>
      <c r="F276" s="119"/>
      <c r="G276" s="151"/>
    </row>
    <row r="277" spans="2:7" ht="17.25" customHeight="1">
      <c r="B277" s="149"/>
      <c r="C277" s="331" t="str">
        <f t="shared" si="4"/>
        <v/>
      </c>
      <c r="D277" s="118"/>
      <c r="E277" s="119"/>
      <c r="F277" s="119"/>
      <c r="G277" s="151"/>
    </row>
    <row r="278" spans="2:7" ht="17.25" customHeight="1">
      <c r="B278" s="149"/>
      <c r="C278" s="331" t="str">
        <f t="shared" si="4"/>
        <v/>
      </c>
      <c r="D278" s="118"/>
      <c r="E278" s="119"/>
      <c r="F278" s="119"/>
      <c r="G278" s="151"/>
    </row>
    <row r="279" spans="2:7" ht="17.25" customHeight="1">
      <c r="B279" s="149"/>
      <c r="C279" s="331" t="str">
        <f t="shared" si="4"/>
        <v/>
      </c>
      <c r="D279" s="118"/>
      <c r="E279" s="119"/>
      <c r="F279" s="119"/>
      <c r="G279" s="151"/>
    </row>
    <row r="280" spans="2:7" ht="17.25" customHeight="1">
      <c r="B280" s="149"/>
      <c r="C280" s="331" t="str">
        <f t="shared" si="4"/>
        <v/>
      </c>
      <c r="D280" s="118"/>
      <c r="E280" s="119"/>
      <c r="F280" s="119"/>
      <c r="G280" s="151"/>
    </row>
    <row r="281" spans="2:7" ht="17.25" customHeight="1">
      <c r="B281" s="149"/>
      <c r="C281" s="331" t="str">
        <f t="shared" si="4"/>
        <v/>
      </c>
      <c r="D281" s="118"/>
      <c r="E281" s="119"/>
      <c r="F281" s="119"/>
      <c r="G281" s="151"/>
    </row>
    <row r="282" spans="2:7" ht="17.25" customHeight="1">
      <c r="B282" s="149"/>
      <c r="C282" s="331" t="str">
        <f t="shared" si="4"/>
        <v/>
      </c>
      <c r="D282" s="118"/>
      <c r="E282" s="119"/>
      <c r="F282" s="119"/>
      <c r="G282" s="151"/>
    </row>
    <row r="283" spans="2:7" ht="17.25" customHeight="1">
      <c r="B283" s="149"/>
      <c r="C283" s="331" t="str">
        <f t="shared" si="4"/>
        <v/>
      </c>
      <c r="D283" s="118"/>
      <c r="E283" s="119"/>
      <c r="F283" s="119"/>
      <c r="G283" s="151"/>
    </row>
    <row r="284" spans="2:7" ht="17.25" customHeight="1">
      <c r="B284" s="149"/>
      <c r="C284" s="331" t="str">
        <f t="shared" si="4"/>
        <v/>
      </c>
      <c r="D284" s="118"/>
      <c r="E284" s="119"/>
      <c r="F284" s="119"/>
      <c r="G284" s="151"/>
    </row>
    <row r="285" spans="2:7" ht="17.25" customHeight="1">
      <c r="B285" s="149"/>
      <c r="C285" s="331" t="str">
        <f t="shared" si="4"/>
        <v/>
      </c>
      <c r="D285" s="118"/>
      <c r="E285" s="119"/>
      <c r="F285" s="119"/>
      <c r="G285" s="151"/>
    </row>
    <row r="286" spans="2:7" ht="17.25" customHeight="1">
      <c r="B286" s="149"/>
      <c r="C286" s="331" t="str">
        <f t="shared" si="4"/>
        <v/>
      </c>
      <c r="D286" s="118"/>
      <c r="E286" s="119"/>
      <c r="F286" s="119"/>
      <c r="G286" s="151"/>
    </row>
    <row r="287" spans="2:7" ht="17.25" customHeight="1">
      <c r="B287" s="149"/>
      <c r="C287" s="331" t="str">
        <f t="shared" si="4"/>
        <v/>
      </c>
      <c r="D287" s="118"/>
      <c r="E287" s="119"/>
      <c r="F287" s="119"/>
      <c r="G287" s="151"/>
    </row>
    <row r="288" spans="2:7" ht="17.25" customHeight="1">
      <c r="B288" s="149"/>
      <c r="C288" s="331" t="str">
        <f t="shared" si="4"/>
        <v/>
      </c>
      <c r="D288" s="118"/>
      <c r="E288" s="119"/>
      <c r="F288" s="119"/>
      <c r="G288" s="151"/>
    </row>
    <row r="289" spans="2:7" ht="17.25" customHeight="1">
      <c r="B289" s="149"/>
      <c r="C289" s="331" t="str">
        <f t="shared" si="4"/>
        <v/>
      </c>
      <c r="D289" s="118"/>
      <c r="E289" s="119"/>
      <c r="F289" s="119"/>
      <c r="G289" s="151"/>
    </row>
    <row r="290" spans="2:7" ht="17.25" customHeight="1">
      <c r="B290" s="149"/>
      <c r="C290" s="331" t="str">
        <f t="shared" si="4"/>
        <v/>
      </c>
      <c r="D290" s="118"/>
      <c r="E290" s="119"/>
      <c r="F290" s="119"/>
      <c r="G290" s="151"/>
    </row>
    <row r="291" spans="2:7" ht="17.25" customHeight="1">
      <c r="B291" s="149"/>
      <c r="C291" s="331" t="str">
        <f t="shared" si="4"/>
        <v/>
      </c>
      <c r="D291" s="118"/>
      <c r="E291" s="119"/>
      <c r="F291" s="119"/>
      <c r="G291" s="151"/>
    </row>
    <row r="292" spans="2:7" ht="17.25" customHeight="1">
      <c r="B292" s="149"/>
      <c r="C292" s="331" t="str">
        <f t="shared" si="4"/>
        <v/>
      </c>
      <c r="D292" s="118"/>
      <c r="E292" s="119"/>
      <c r="F292" s="119"/>
      <c r="G292" s="151"/>
    </row>
    <row r="293" spans="2:7" ht="17.25" customHeight="1">
      <c r="B293" s="149"/>
      <c r="C293" s="331" t="str">
        <f t="shared" si="4"/>
        <v/>
      </c>
      <c r="D293" s="118"/>
      <c r="E293" s="119"/>
      <c r="F293" s="119"/>
      <c r="G293" s="151"/>
    </row>
    <row r="294" spans="2:7" ht="17.25" customHeight="1">
      <c r="B294" s="149"/>
      <c r="C294" s="331" t="str">
        <f t="shared" si="4"/>
        <v/>
      </c>
      <c r="D294" s="118"/>
      <c r="E294" s="119"/>
      <c r="F294" s="119"/>
      <c r="G294" s="151"/>
    </row>
    <row r="295" spans="2:7" ht="17.25" customHeight="1">
      <c r="B295" s="149"/>
      <c r="C295" s="331" t="str">
        <f t="shared" si="4"/>
        <v/>
      </c>
      <c r="D295" s="118"/>
      <c r="E295" s="119"/>
      <c r="F295" s="119"/>
      <c r="G295" s="151"/>
    </row>
    <row r="296" spans="2:7" ht="17.25" customHeight="1">
      <c r="B296" s="149"/>
      <c r="C296" s="331" t="str">
        <f t="shared" si="4"/>
        <v/>
      </c>
      <c r="D296" s="118"/>
      <c r="E296" s="119"/>
      <c r="F296" s="119"/>
      <c r="G296" s="151"/>
    </row>
    <row r="297" spans="2:7" ht="17.25" customHeight="1">
      <c r="B297" s="149"/>
      <c r="C297" s="331" t="str">
        <f t="shared" si="4"/>
        <v/>
      </c>
      <c r="D297" s="118"/>
      <c r="E297" s="119"/>
      <c r="F297" s="119"/>
      <c r="G297" s="151"/>
    </row>
    <row r="298" spans="2:7" ht="17.25" customHeight="1">
      <c r="B298" s="149"/>
      <c r="C298" s="331" t="str">
        <f t="shared" si="4"/>
        <v/>
      </c>
      <c r="D298" s="118"/>
      <c r="E298" s="119"/>
      <c r="F298" s="119"/>
      <c r="G298" s="151"/>
    </row>
    <row r="299" spans="2:7" ht="17.25" customHeight="1">
      <c r="B299" s="149"/>
      <c r="C299" s="331" t="str">
        <f t="shared" si="4"/>
        <v/>
      </c>
      <c r="D299" s="118"/>
      <c r="E299" s="119"/>
      <c r="F299" s="119"/>
      <c r="G299" s="151"/>
    </row>
    <row r="300" spans="2:7" ht="17.25" customHeight="1">
      <c r="B300" s="149"/>
      <c r="C300" s="331" t="str">
        <f t="shared" si="4"/>
        <v/>
      </c>
      <c r="D300" s="118"/>
      <c r="E300" s="119"/>
      <c r="F300" s="119"/>
      <c r="G300" s="151"/>
    </row>
    <row r="301" spans="2:7" ht="17.25" customHeight="1">
      <c r="B301" s="149"/>
      <c r="C301" s="331" t="str">
        <f t="shared" si="4"/>
        <v/>
      </c>
      <c r="D301" s="118"/>
      <c r="E301" s="119"/>
      <c r="F301" s="119"/>
      <c r="G301" s="151"/>
    </row>
    <row r="302" spans="2:7" ht="17.25" customHeight="1">
      <c r="B302" s="149"/>
      <c r="C302" s="331" t="str">
        <f t="shared" si="4"/>
        <v/>
      </c>
      <c r="D302" s="118"/>
      <c r="E302" s="119"/>
      <c r="F302" s="119"/>
      <c r="G302" s="151"/>
    </row>
    <row r="303" spans="2:7" ht="17.25" customHeight="1">
      <c r="B303" s="149"/>
      <c r="C303" s="331" t="str">
        <f t="shared" si="4"/>
        <v/>
      </c>
      <c r="D303" s="118"/>
      <c r="E303" s="119"/>
      <c r="F303" s="119"/>
      <c r="G303" s="151"/>
    </row>
    <row r="304" spans="2:7" ht="17.25" customHeight="1">
      <c r="B304" s="149"/>
      <c r="C304" s="331" t="str">
        <f t="shared" si="4"/>
        <v/>
      </c>
      <c r="D304" s="118"/>
      <c r="E304" s="119"/>
      <c r="F304" s="119"/>
      <c r="G304" s="151"/>
    </row>
    <row r="305" spans="2:7" ht="17.25" customHeight="1">
      <c r="B305" s="149"/>
      <c r="C305" s="331" t="str">
        <f t="shared" si="4"/>
        <v/>
      </c>
      <c r="D305" s="118"/>
      <c r="E305" s="119"/>
      <c r="F305" s="119"/>
      <c r="G305" s="151"/>
    </row>
    <row r="306" spans="2:7" ht="17.25" customHeight="1">
      <c r="B306" s="149"/>
      <c r="C306" s="331" t="str">
        <f t="shared" si="4"/>
        <v/>
      </c>
      <c r="D306" s="118"/>
      <c r="E306" s="119"/>
      <c r="F306" s="119"/>
      <c r="G306" s="151"/>
    </row>
    <row r="307" spans="2:7" ht="17.25" customHeight="1">
      <c r="B307" s="149"/>
      <c r="C307" s="331" t="str">
        <f t="shared" si="4"/>
        <v/>
      </c>
      <c r="D307" s="118"/>
      <c r="E307" s="119"/>
      <c r="F307" s="119"/>
      <c r="G307" s="151"/>
    </row>
    <row r="308" spans="2:7" ht="17.25" customHeight="1">
      <c r="B308" s="149"/>
      <c r="C308" s="331" t="str">
        <f t="shared" si="4"/>
        <v/>
      </c>
      <c r="D308" s="118"/>
      <c r="E308" s="119"/>
      <c r="F308" s="119"/>
      <c r="G308" s="151"/>
    </row>
    <row r="309" spans="2:7" ht="17.25" customHeight="1">
      <c r="B309" s="149"/>
      <c r="C309" s="331" t="str">
        <f t="shared" si="4"/>
        <v/>
      </c>
      <c r="D309" s="118"/>
      <c r="E309" s="119"/>
      <c r="F309" s="119"/>
      <c r="G309" s="151"/>
    </row>
    <row r="310" spans="2:7" ht="17.25" customHeight="1">
      <c r="B310" s="149"/>
      <c r="C310" s="331" t="str">
        <f t="shared" si="4"/>
        <v/>
      </c>
      <c r="D310" s="118"/>
      <c r="E310" s="119"/>
      <c r="F310" s="119"/>
      <c r="G310" s="151"/>
    </row>
    <row r="311" spans="2:7" ht="17.25" customHeight="1">
      <c r="B311" s="149"/>
      <c r="C311" s="331" t="str">
        <f t="shared" si="4"/>
        <v/>
      </c>
      <c r="D311" s="118"/>
      <c r="E311" s="119"/>
      <c r="F311" s="119"/>
      <c r="G311" s="151"/>
    </row>
    <row r="312" spans="2:7" ht="17.25" customHeight="1">
      <c r="B312" s="149"/>
      <c r="C312" s="331" t="str">
        <f t="shared" si="4"/>
        <v/>
      </c>
      <c r="D312" s="118"/>
      <c r="E312" s="119"/>
      <c r="F312" s="119"/>
      <c r="G312" s="151"/>
    </row>
    <row r="313" spans="2:7" ht="17.25" customHeight="1">
      <c r="B313" s="149"/>
      <c r="C313" s="331" t="str">
        <f t="shared" si="4"/>
        <v/>
      </c>
      <c r="D313" s="118"/>
      <c r="E313" s="119"/>
      <c r="F313" s="119"/>
      <c r="G313" s="151"/>
    </row>
    <row r="314" spans="2:7" ht="17.25" customHeight="1">
      <c r="B314" s="149"/>
      <c r="C314" s="331" t="str">
        <f t="shared" si="4"/>
        <v/>
      </c>
      <c r="D314" s="118"/>
      <c r="E314" s="119"/>
      <c r="F314" s="119"/>
      <c r="G314" s="151"/>
    </row>
    <row r="315" spans="2:7" ht="17.25" customHeight="1">
      <c r="B315" s="149"/>
      <c r="C315" s="331" t="str">
        <f t="shared" si="4"/>
        <v/>
      </c>
      <c r="D315" s="118"/>
      <c r="E315" s="119"/>
      <c r="F315" s="119"/>
      <c r="G315" s="151"/>
    </row>
    <row r="316" spans="2:7" ht="17.25" customHeight="1">
      <c r="B316" s="149"/>
      <c r="C316" s="331" t="str">
        <f t="shared" si="4"/>
        <v/>
      </c>
      <c r="D316" s="118"/>
      <c r="E316" s="119"/>
      <c r="F316" s="119"/>
      <c r="G316" s="151"/>
    </row>
    <row r="317" spans="2:7" ht="17.25" customHeight="1">
      <c r="B317" s="149"/>
      <c r="C317" s="331" t="str">
        <f t="shared" si="4"/>
        <v/>
      </c>
      <c r="D317" s="118"/>
      <c r="E317" s="119"/>
      <c r="F317" s="119"/>
      <c r="G317" s="151"/>
    </row>
    <row r="318" spans="2:7" ht="17.25" customHeight="1">
      <c r="B318" s="149"/>
      <c r="C318" s="331" t="str">
        <f t="shared" si="4"/>
        <v/>
      </c>
      <c r="D318" s="118"/>
      <c r="E318" s="119"/>
      <c r="F318" s="119"/>
      <c r="G318" s="151"/>
    </row>
    <row r="319" spans="2:7" ht="17.25" customHeight="1">
      <c r="B319" s="149"/>
      <c r="C319" s="331" t="str">
        <f t="shared" si="4"/>
        <v/>
      </c>
      <c r="D319" s="118"/>
      <c r="E319" s="119"/>
      <c r="F319" s="119"/>
      <c r="G319" s="151"/>
    </row>
    <row r="320" spans="2:7" ht="17.25" customHeight="1">
      <c r="B320" s="149"/>
      <c r="C320" s="331" t="str">
        <f t="shared" si="4"/>
        <v/>
      </c>
      <c r="D320" s="118"/>
      <c r="E320" s="119"/>
      <c r="F320" s="119"/>
      <c r="G320" s="151"/>
    </row>
    <row r="321" spans="2:7" ht="17.25" customHeight="1">
      <c r="B321" s="149"/>
      <c r="C321" s="331" t="str">
        <f t="shared" si="4"/>
        <v/>
      </c>
      <c r="D321" s="118"/>
      <c r="E321" s="119"/>
      <c r="F321" s="119"/>
      <c r="G321" s="151"/>
    </row>
    <row r="322" spans="2:7" ht="17.25" customHeight="1">
      <c r="B322" s="149"/>
      <c r="C322" s="331" t="str">
        <f t="shared" si="4"/>
        <v/>
      </c>
      <c r="D322" s="118"/>
      <c r="E322" s="119"/>
      <c r="F322" s="119"/>
      <c r="G322" s="151"/>
    </row>
    <row r="323" spans="2:7" ht="17.25" customHeight="1">
      <c r="B323" s="149"/>
      <c r="C323" s="331" t="str">
        <f t="shared" si="4"/>
        <v/>
      </c>
      <c r="D323" s="118"/>
      <c r="E323" s="119"/>
      <c r="F323" s="119"/>
      <c r="G323" s="151"/>
    </row>
    <row r="324" spans="2:7" ht="17.25" customHeight="1">
      <c r="B324" s="149"/>
      <c r="C324" s="331" t="str">
        <f t="shared" si="4"/>
        <v/>
      </c>
      <c r="D324" s="118"/>
      <c r="E324" s="119"/>
      <c r="F324" s="119"/>
      <c r="G324" s="151"/>
    </row>
    <row r="325" spans="2:7" ht="17.25" customHeight="1">
      <c r="B325" s="149"/>
      <c r="C325" s="331" t="str">
        <f t="shared" si="4"/>
        <v/>
      </c>
      <c r="D325" s="118"/>
      <c r="E325" s="119"/>
      <c r="F325" s="119"/>
      <c r="G325" s="151"/>
    </row>
    <row r="326" spans="2:7" ht="17.25" customHeight="1">
      <c r="B326" s="149"/>
      <c r="C326" s="331" t="str">
        <f t="shared" ref="C326:C389" si="5">IF(D326&lt;&gt;0,C325+1,"")</f>
        <v/>
      </c>
      <c r="D326" s="118"/>
      <c r="E326" s="119"/>
      <c r="F326" s="119"/>
      <c r="G326" s="151"/>
    </row>
    <row r="327" spans="2:7" ht="17.25" customHeight="1">
      <c r="B327" s="149"/>
      <c r="C327" s="331" t="str">
        <f t="shared" si="5"/>
        <v/>
      </c>
      <c r="D327" s="118"/>
      <c r="E327" s="119"/>
      <c r="F327" s="119"/>
      <c r="G327" s="151"/>
    </row>
    <row r="328" spans="2:7" ht="17.25" customHeight="1">
      <c r="B328" s="149"/>
      <c r="C328" s="331" t="str">
        <f t="shared" si="5"/>
        <v/>
      </c>
      <c r="D328" s="118"/>
      <c r="E328" s="119"/>
      <c r="F328" s="119"/>
      <c r="G328" s="151"/>
    </row>
    <row r="329" spans="2:7" ht="17.25" customHeight="1">
      <c r="B329" s="149"/>
      <c r="C329" s="331" t="str">
        <f t="shared" si="5"/>
        <v/>
      </c>
      <c r="D329" s="118"/>
      <c r="E329" s="119"/>
      <c r="F329" s="119"/>
      <c r="G329" s="151"/>
    </row>
    <row r="330" spans="2:7" ht="17.25" customHeight="1">
      <c r="B330" s="149"/>
      <c r="C330" s="331" t="str">
        <f t="shared" si="5"/>
        <v/>
      </c>
      <c r="D330" s="118"/>
      <c r="E330" s="119"/>
      <c r="F330" s="119"/>
      <c r="G330" s="151"/>
    </row>
    <row r="331" spans="2:7" ht="17.25" customHeight="1">
      <c r="B331" s="149"/>
      <c r="C331" s="331" t="str">
        <f t="shared" si="5"/>
        <v/>
      </c>
      <c r="D331" s="118"/>
      <c r="E331" s="119"/>
      <c r="F331" s="119"/>
      <c r="G331" s="151"/>
    </row>
    <row r="332" spans="2:7" ht="17.25" customHeight="1">
      <c r="B332" s="149"/>
      <c r="C332" s="331" t="str">
        <f t="shared" si="5"/>
        <v/>
      </c>
      <c r="D332" s="118"/>
      <c r="E332" s="119"/>
      <c r="F332" s="119"/>
      <c r="G332" s="151"/>
    </row>
    <row r="333" spans="2:7" ht="17.25" customHeight="1">
      <c r="B333" s="149"/>
      <c r="C333" s="331" t="str">
        <f t="shared" si="5"/>
        <v/>
      </c>
      <c r="D333" s="118"/>
      <c r="E333" s="119"/>
      <c r="F333" s="119"/>
      <c r="G333" s="151"/>
    </row>
    <row r="334" spans="2:7" ht="17.25" customHeight="1">
      <c r="B334" s="149"/>
      <c r="C334" s="331" t="str">
        <f t="shared" si="5"/>
        <v/>
      </c>
      <c r="D334" s="118"/>
      <c r="E334" s="119"/>
      <c r="F334" s="119"/>
      <c r="G334" s="151"/>
    </row>
    <row r="335" spans="2:7" ht="17.25" customHeight="1">
      <c r="B335" s="149"/>
      <c r="C335" s="331" t="str">
        <f t="shared" si="5"/>
        <v/>
      </c>
      <c r="D335" s="118"/>
      <c r="E335" s="119"/>
      <c r="F335" s="119"/>
      <c r="G335" s="151"/>
    </row>
    <row r="336" spans="2:7" ht="17.25" customHeight="1">
      <c r="B336" s="149"/>
      <c r="C336" s="331" t="str">
        <f t="shared" si="5"/>
        <v/>
      </c>
      <c r="D336" s="118"/>
      <c r="E336" s="119"/>
      <c r="F336" s="119"/>
      <c r="G336" s="151"/>
    </row>
    <row r="337" spans="2:7" ht="17.25" customHeight="1">
      <c r="B337" s="149"/>
      <c r="C337" s="331" t="str">
        <f t="shared" si="5"/>
        <v/>
      </c>
      <c r="D337" s="118"/>
      <c r="E337" s="119"/>
      <c r="F337" s="119"/>
      <c r="G337" s="151"/>
    </row>
    <row r="338" spans="2:7" ht="17.25" customHeight="1">
      <c r="B338" s="149"/>
      <c r="C338" s="331" t="str">
        <f t="shared" si="5"/>
        <v/>
      </c>
      <c r="D338" s="118"/>
      <c r="E338" s="119"/>
      <c r="F338" s="119"/>
      <c r="G338" s="151"/>
    </row>
    <row r="339" spans="2:7" ht="17.25" customHeight="1">
      <c r="B339" s="149"/>
      <c r="C339" s="331" t="str">
        <f t="shared" si="5"/>
        <v/>
      </c>
      <c r="D339" s="118"/>
      <c r="E339" s="119"/>
      <c r="F339" s="119"/>
      <c r="G339" s="151"/>
    </row>
    <row r="340" spans="2:7" ht="17.25" customHeight="1">
      <c r="B340" s="149"/>
      <c r="C340" s="331" t="str">
        <f t="shared" si="5"/>
        <v/>
      </c>
      <c r="D340" s="118"/>
      <c r="E340" s="119"/>
      <c r="F340" s="119"/>
      <c r="G340" s="151"/>
    </row>
    <row r="341" spans="2:7" ht="17.25" customHeight="1">
      <c r="B341" s="149"/>
      <c r="C341" s="331" t="str">
        <f t="shared" si="5"/>
        <v/>
      </c>
      <c r="D341" s="118"/>
      <c r="E341" s="119"/>
      <c r="F341" s="119"/>
      <c r="G341" s="151"/>
    </row>
    <row r="342" spans="2:7" ht="17.25" customHeight="1">
      <c r="B342" s="149"/>
      <c r="C342" s="331" t="str">
        <f t="shared" si="5"/>
        <v/>
      </c>
      <c r="D342" s="118"/>
      <c r="E342" s="119"/>
      <c r="F342" s="119"/>
      <c r="G342" s="151"/>
    </row>
    <row r="343" spans="2:7" ht="17.25" customHeight="1">
      <c r="B343" s="149"/>
      <c r="C343" s="331" t="str">
        <f t="shared" si="5"/>
        <v/>
      </c>
      <c r="D343" s="118"/>
      <c r="E343" s="119"/>
      <c r="F343" s="119"/>
      <c r="G343" s="151"/>
    </row>
    <row r="344" spans="2:7" ht="17.25" customHeight="1">
      <c r="B344" s="149"/>
      <c r="C344" s="331" t="str">
        <f t="shared" si="5"/>
        <v/>
      </c>
      <c r="D344" s="118"/>
      <c r="E344" s="119"/>
      <c r="F344" s="119"/>
      <c r="G344" s="151"/>
    </row>
    <row r="345" spans="2:7" ht="17.25" customHeight="1">
      <c r="B345" s="149"/>
      <c r="C345" s="331" t="str">
        <f t="shared" si="5"/>
        <v/>
      </c>
      <c r="D345" s="118"/>
      <c r="E345" s="119"/>
      <c r="F345" s="119"/>
      <c r="G345" s="151"/>
    </row>
    <row r="346" spans="2:7" ht="17.25" customHeight="1">
      <c r="B346" s="149"/>
      <c r="C346" s="331" t="str">
        <f t="shared" si="5"/>
        <v/>
      </c>
      <c r="D346" s="118"/>
      <c r="E346" s="119"/>
      <c r="F346" s="119"/>
      <c r="G346" s="151"/>
    </row>
    <row r="347" spans="2:7" ht="17.25" customHeight="1">
      <c r="B347" s="149"/>
      <c r="C347" s="331" t="str">
        <f t="shared" si="5"/>
        <v/>
      </c>
      <c r="D347" s="118"/>
      <c r="E347" s="119"/>
      <c r="F347" s="119"/>
      <c r="G347" s="151"/>
    </row>
    <row r="348" spans="2:7" ht="17.25" customHeight="1">
      <c r="B348" s="149"/>
      <c r="C348" s="331" t="str">
        <f t="shared" si="5"/>
        <v/>
      </c>
      <c r="D348" s="118"/>
      <c r="E348" s="119"/>
      <c r="F348" s="119"/>
      <c r="G348" s="151"/>
    </row>
    <row r="349" spans="2:7" ht="17.25" customHeight="1">
      <c r="B349" s="149"/>
      <c r="C349" s="331" t="str">
        <f t="shared" si="5"/>
        <v/>
      </c>
      <c r="D349" s="118"/>
      <c r="E349" s="119"/>
      <c r="F349" s="119"/>
      <c r="G349" s="151"/>
    </row>
    <row r="350" spans="2:7" ht="17.25" customHeight="1">
      <c r="B350" s="149"/>
      <c r="C350" s="331" t="str">
        <f t="shared" si="5"/>
        <v/>
      </c>
      <c r="D350" s="118"/>
      <c r="E350" s="119"/>
      <c r="F350" s="119"/>
      <c r="G350" s="151"/>
    </row>
    <row r="351" spans="2:7" ht="17.25" customHeight="1">
      <c r="B351" s="149"/>
      <c r="C351" s="331" t="str">
        <f t="shared" si="5"/>
        <v/>
      </c>
      <c r="D351" s="118"/>
      <c r="E351" s="119"/>
      <c r="F351" s="119"/>
      <c r="G351" s="151"/>
    </row>
    <row r="352" spans="2:7" ht="17.25" customHeight="1">
      <c r="B352" s="149"/>
      <c r="C352" s="331" t="str">
        <f t="shared" si="5"/>
        <v/>
      </c>
      <c r="D352" s="118"/>
      <c r="E352" s="119"/>
      <c r="F352" s="119"/>
      <c r="G352" s="151"/>
    </row>
    <row r="353" spans="2:7" ht="17.25" customHeight="1">
      <c r="B353" s="149"/>
      <c r="C353" s="331" t="str">
        <f t="shared" si="5"/>
        <v/>
      </c>
      <c r="D353" s="118"/>
      <c r="E353" s="119"/>
      <c r="F353" s="119"/>
      <c r="G353" s="151"/>
    </row>
    <row r="354" spans="2:7" ht="17.25" customHeight="1">
      <c r="B354" s="149"/>
      <c r="C354" s="331" t="str">
        <f t="shared" si="5"/>
        <v/>
      </c>
      <c r="D354" s="118"/>
      <c r="E354" s="119"/>
      <c r="F354" s="119"/>
      <c r="G354" s="151"/>
    </row>
    <row r="355" spans="2:7" ht="17.25" customHeight="1">
      <c r="B355" s="149"/>
      <c r="C355" s="331" t="str">
        <f t="shared" si="5"/>
        <v/>
      </c>
      <c r="D355" s="118"/>
      <c r="E355" s="119"/>
      <c r="F355" s="119"/>
      <c r="G355" s="151"/>
    </row>
    <row r="356" spans="2:7" ht="17.25" customHeight="1">
      <c r="B356" s="149"/>
      <c r="C356" s="331" t="str">
        <f t="shared" si="5"/>
        <v/>
      </c>
      <c r="D356" s="118"/>
      <c r="E356" s="119"/>
      <c r="F356" s="119"/>
      <c r="G356" s="151"/>
    </row>
    <row r="357" spans="2:7" ht="17.25" customHeight="1">
      <c r="B357" s="149"/>
      <c r="C357" s="331" t="str">
        <f t="shared" si="5"/>
        <v/>
      </c>
      <c r="D357" s="118"/>
      <c r="E357" s="119"/>
      <c r="F357" s="119"/>
      <c r="G357" s="151"/>
    </row>
    <row r="358" spans="2:7" ht="17.25" customHeight="1">
      <c r="B358" s="149"/>
      <c r="C358" s="331" t="str">
        <f t="shared" si="5"/>
        <v/>
      </c>
      <c r="D358" s="118"/>
      <c r="E358" s="119"/>
      <c r="F358" s="119"/>
      <c r="G358" s="151"/>
    </row>
    <row r="359" spans="2:7" ht="17.25" customHeight="1">
      <c r="B359" s="149"/>
      <c r="C359" s="331" t="str">
        <f t="shared" si="5"/>
        <v/>
      </c>
      <c r="D359" s="118"/>
      <c r="E359" s="119"/>
      <c r="F359" s="119"/>
      <c r="G359" s="151"/>
    </row>
    <row r="360" spans="2:7" ht="17.25" customHeight="1">
      <c r="B360" s="149"/>
      <c r="C360" s="331" t="str">
        <f t="shared" si="5"/>
        <v/>
      </c>
      <c r="D360" s="118"/>
      <c r="E360" s="119"/>
      <c r="F360" s="119"/>
      <c r="G360" s="151"/>
    </row>
    <row r="361" spans="2:7" ht="17.25" customHeight="1">
      <c r="B361" s="149"/>
      <c r="C361" s="331" t="str">
        <f t="shared" si="5"/>
        <v/>
      </c>
      <c r="D361" s="118"/>
      <c r="E361" s="119"/>
      <c r="F361" s="119"/>
      <c r="G361" s="151"/>
    </row>
    <row r="362" spans="2:7" ht="17.25" customHeight="1">
      <c r="B362" s="149"/>
      <c r="C362" s="331" t="str">
        <f t="shared" si="5"/>
        <v/>
      </c>
      <c r="D362" s="118"/>
      <c r="E362" s="119"/>
      <c r="F362" s="119"/>
      <c r="G362" s="151"/>
    </row>
    <row r="363" spans="2:7" ht="17.25" customHeight="1">
      <c r="B363" s="149"/>
      <c r="C363" s="331" t="str">
        <f t="shared" si="5"/>
        <v/>
      </c>
      <c r="D363" s="118"/>
      <c r="E363" s="119"/>
      <c r="F363" s="119"/>
      <c r="G363" s="151"/>
    </row>
    <row r="364" spans="2:7" ht="17.25" customHeight="1">
      <c r="B364" s="149"/>
      <c r="C364" s="331" t="str">
        <f t="shared" si="5"/>
        <v/>
      </c>
      <c r="D364" s="118"/>
      <c r="E364" s="119"/>
      <c r="F364" s="119"/>
      <c r="G364" s="151"/>
    </row>
    <row r="365" spans="2:7" ht="17.25" customHeight="1">
      <c r="B365" s="149"/>
      <c r="C365" s="331" t="str">
        <f t="shared" si="5"/>
        <v/>
      </c>
      <c r="D365" s="118"/>
      <c r="E365" s="119"/>
      <c r="F365" s="119"/>
      <c r="G365" s="151"/>
    </row>
    <row r="366" spans="2:7" ht="17.25" customHeight="1">
      <c r="B366" s="149"/>
      <c r="C366" s="331" t="str">
        <f t="shared" si="5"/>
        <v/>
      </c>
      <c r="D366" s="118"/>
      <c r="E366" s="119"/>
      <c r="F366" s="119"/>
      <c r="G366" s="151"/>
    </row>
    <row r="367" spans="2:7" ht="17.25" customHeight="1">
      <c r="B367" s="149"/>
      <c r="C367" s="331" t="str">
        <f t="shared" si="5"/>
        <v/>
      </c>
      <c r="D367" s="118"/>
      <c r="E367" s="119"/>
      <c r="F367" s="119"/>
      <c r="G367" s="151"/>
    </row>
    <row r="368" spans="2:7" ht="17.25" customHeight="1">
      <c r="B368" s="149"/>
      <c r="C368" s="331" t="str">
        <f t="shared" si="5"/>
        <v/>
      </c>
      <c r="D368" s="118"/>
      <c r="E368" s="119"/>
      <c r="F368" s="119"/>
      <c r="G368" s="151"/>
    </row>
    <row r="369" spans="2:7" ht="17.25" customHeight="1">
      <c r="B369" s="149"/>
      <c r="C369" s="331" t="str">
        <f t="shared" si="5"/>
        <v/>
      </c>
      <c r="D369" s="118"/>
      <c r="E369" s="119"/>
      <c r="F369" s="119"/>
      <c r="G369" s="151"/>
    </row>
    <row r="370" spans="2:7" ht="17.25" customHeight="1">
      <c r="B370" s="149"/>
      <c r="C370" s="331" t="str">
        <f t="shared" si="5"/>
        <v/>
      </c>
      <c r="D370" s="118"/>
      <c r="E370" s="119"/>
      <c r="F370" s="119"/>
      <c r="G370" s="151"/>
    </row>
    <row r="371" spans="2:7" ht="17.25" customHeight="1">
      <c r="B371" s="149"/>
      <c r="C371" s="331" t="str">
        <f t="shared" si="5"/>
        <v/>
      </c>
      <c r="D371" s="118"/>
      <c r="E371" s="119"/>
      <c r="F371" s="119"/>
      <c r="G371" s="151"/>
    </row>
    <row r="372" spans="2:7" ht="17.25" customHeight="1">
      <c r="B372" s="149"/>
      <c r="C372" s="331" t="str">
        <f t="shared" si="5"/>
        <v/>
      </c>
      <c r="D372" s="118"/>
      <c r="E372" s="119"/>
      <c r="F372" s="119"/>
      <c r="G372" s="151"/>
    </row>
    <row r="373" spans="2:7" ht="17.25" customHeight="1">
      <c r="B373" s="149"/>
      <c r="C373" s="331" t="str">
        <f t="shared" si="5"/>
        <v/>
      </c>
      <c r="D373" s="118"/>
      <c r="E373" s="119"/>
      <c r="F373" s="119"/>
      <c r="G373" s="151"/>
    </row>
    <row r="374" spans="2:7" ht="17.25" customHeight="1">
      <c r="B374" s="149"/>
      <c r="C374" s="331" t="str">
        <f t="shared" si="5"/>
        <v/>
      </c>
      <c r="D374" s="118"/>
      <c r="E374" s="119"/>
      <c r="F374" s="119"/>
      <c r="G374" s="151"/>
    </row>
    <row r="375" spans="2:7" ht="17.25" customHeight="1">
      <c r="B375" s="149"/>
      <c r="C375" s="331" t="str">
        <f t="shared" si="5"/>
        <v/>
      </c>
      <c r="D375" s="118"/>
      <c r="E375" s="119"/>
      <c r="F375" s="119"/>
      <c r="G375" s="151"/>
    </row>
    <row r="376" spans="2:7" ht="17.25" customHeight="1">
      <c r="B376" s="149"/>
      <c r="C376" s="331" t="str">
        <f t="shared" si="5"/>
        <v/>
      </c>
      <c r="D376" s="118"/>
      <c r="E376" s="119"/>
      <c r="F376" s="119"/>
      <c r="G376" s="151"/>
    </row>
    <row r="377" spans="2:7" ht="17.25" customHeight="1">
      <c r="B377" s="149"/>
      <c r="C377" s="331" t="str">
        <f t="shared" si="5"/>
        <v/>
      </c>
      <c r="D377" s="118"/>
      <c r="E377" s="119"/>
      <c r="F377" s="119"/>
      <c r="G377" s="151"/>
    </row>
    <row r="378" spans="2:7" ht="17.25" customHeight="1">
      <c r="B378" s="149"/>
      <c r="C378" s="331" t="str">
        <f t="shared" si="5"/>
        <v/>
      </c>
      <c r="D378" s="118"/>
      <c r="E378" s="119"/>
      <c r="F378" s="119"/>
      <c r="G378" s="151"/>
    </row>
    <row r="379" spans="2:7" ht="17.25" customHeight="1">
      <c r="B379" s="149"/>
      <c r="C379" s="331" t="str">
        <f t="shared" si="5"/>
        <v/>
      </c>
      <c r="D379" s="118"/>
      <c r="E379" s="119"/>
      <c r="F379" s="119"/>
      <c r="G379" s="151"/>
    </row>
    <row r="380" spans="2:7" ht="17.25" customHeight="1">
      <c r="B380" s="149"/>
      <c r="C380" s="331" t="str">
        <f t="shared" si="5"/>
        <v/>
      </c>
      <c r="D380" s="118"/>
      <c r="E380" s="119"/>
      <c r="F380" s="119"/>
      <c r="G380" s="151"/>
    </row>
    <row r="381" spans="2:7" ht="17.25" customHeight="1">
      <c r="B381" s="149"/>
      <c r="C381" s="331" t="str">
        <f t="shared" si="5"/>
        <v/>
      </c>
      <c r="D381" s="118"/>
      <c r="E381" s="119"/>
      <c r="F381" s="119"/>
      <c r="G381" s="151"/>
    </row>
    <row r="382" spans="2:7" ht="17.25" customHeight="1">
      <c r="B382" s="149"/>
      <c r="C382" s="331" t="str">
        <f t="shared" si="5"/>
        <v/>
      </c>
      <c r="D382" s="118"/>
      <c r="E382" s="119"/>
      <c r="F382" s="119"/>
      <c r="G382" s="151"/>
    </row>
    <row r="383" spans="2:7" ht="17.25" customHeight="1">
      <c r="B383" s="149"/>
      <c r="C383" s="331" t="str">
        <f t="shared" si="5"/>
        <v/>
      </c>
      <c r="D383" s="118"/>
      <c r="E383" s="119"/>
      <c r="F383" s="119"/>
      <c r="G383" s="151"/>
    </row>
    <row r="384" spans="2:7" ht="17.25" customHeight="1">
      <c r="B384" s="149"/>
      <c r="C384" s="331" t="str">
        <f t="shared" si="5"/>
        <v/>
      </c>
      <c r="D384" s="118"/>
      <c r="E384" s="119"/>
      <c r="F384" s="119"/>
      <c r="G384" s="151"/>
    </row>
    <row r="385" spans="2:7" ht="17.25" customHeight="1">
      <c r="B385" s="149"/>
      <c r="C385" s="331" t="str">
        <f t="shared" si="5"/>
        <v/>
      </c>
      <c r="D385" s="118"/>
      <c r="E385" s="119"/>
      <c r="F385" s="119"/>
      <c r="G385" s="151"/>
    </row>
    <row r="386" spans="2:7" ht="17.25" customHeight="1">
      <c r="B386" s="149"/>
      <c r="C386" s="331" t="str">
        <f t="shared" si="5"/>
        <v/>
      </c>
      <c r="D386" s="118"/>
      <c r="E386" s="119"/>
      <c r="F386" s="119"/>
      <c r="G386" s="151"/>
    </row>
    <row r="387" spans="2:7" ht="17.25" customHeight="1">
      <c r="B387" s="149"/>
      <c r="C387" s="331" t="str">
        <f t="shared" si="5"/>
        <v/>
      </c>
      <c r="D387" s="118"/>
      <c r="E387" s="119"/>
      <c r="F387" s="119"/>
      <c r="G387" s="151"/>
    </row>
    <row r="388" spans="2:7" ht="17.25" customHeight="1">
      <c r="B388" s="149"/>
      <c r="C388" s="331" t="str">
        <f t="shared" si="5"/>
        <v/>
      </c>
      <c r="D388" s="118"/>
      <c r="E388" s="119"/>
      <c r="F388" s="119"/>
      <c r="G388" s="151"/>
    </row>
    <row r="389" spans="2:7" ht="17.25" customHeight="1">
      <c r="B389" s="149"/>
      <c r="C389" s="331" t="str">
        <f t="shared" si="5"/>
        <v/>
      </c>
      <c r="D389" s="118"/>
      <c r="E389" s="119"/>
      <c r="F389" s="119"/>
      <c r="G389" s="151"/>
    </row>
    <row r="390" spans="2:7" ht="17.25" customHeight="1">
      <c r="B390" s="149"/>
      <c r="C390" s="331" t="str">
        <f t="shared" ref="C390:C453" si="6">IF(D390&lt;&gt;0,C389+1,"")</f>
        <v/>
      </c>
      <c r="D390" s="118"/>
      <c r="E390" s="119"/>
      <c r="F390" s="119"/>
      <c r="G390" s="151"/>
    </row>
    <row r="391" spans="2:7" ht="17.25" customHeight="1">
      <c r="B391" s="149"/>
      <c r="C391" s="331" t="str">
        <f t="shared" si="6"/>
        <v/>
      </c>
      <c r="D391" s="118"/>
      <c r="E391" s="119"/>
      <c r="F391" s="119"/>
      <c r="G391" s="151"/>
    </row>
    <row r="392" spans="2:7" ht="17.25" customHeight="1">
      <c r="B392" s="149"/>
      <c r="C392" s="331" t="str">
        <f t="shared" si="6"/>
        <v/>
      </c>
      <c r="D392" s="118"/>
      <c r="E392" s="119"/>
      <c r="F392" s="119"/>
      <c r="G392" s="151"/>
    </row>
    <row r="393" spans="2:7" ht="17.25" customHeight="1">
      <c r="B393" s="149"/>
      <c r="C393" s="331" t="str">
        <f t="shared" si="6"/>
        <v/>
      </c>
      <c r="D393" s="118"/>
      <c r="E393" s="119"/>
      <c r="F393" s="119"/>
      <c r="G393" s="151"/>
    </row>
    <row r="394" spans="2:7" ht="17.25" customHeight="1">
      <c r="B394" s="149"/>
      <c r="C394" s="331" t="str">
        <f t="shared" si="6"/>
        <v/>
      </c>
      <c r="D394" s="118"/>
      <c r="E394" s="119"/>
      <c r="F394" s="119"/>
      <c r="G394" s="151"/>
    </row>
    <row r="395" spans="2:7" ht="17.25" customHeight="1">
      <c r="B395" s="149"/>
      <c r="C395" s="331" t="str">
        <f t="shared" si="6"/>
        <v/>
      </c>
      <c r="D395" s="118"/>
      <c r="E395" s="119"/>
      <c r="F395" s="119"/>
      <c r="G395" s="151"/>
    </row>
    <row r="396" spans="2:7" ht="17.25" customHeight="1">
      <c r="B396" s="149"/>
      <c r="C396" s="331" t="str">
        <f t="shared" si="6"/>
        <v/>
      </c>
      <c r="D396" s="118"/>
      <c r="E396" s="119"/>
      <c r="F396" s="119"/>
      <c r="G396" s="151"/>
    </row>
    <row r="397" spans="2:7" ht="17.25" customHeight="1">
      <c r="B397" s="149"/>
      <c r="C397" s="331" t="str">
        <f t="shared" si="6"/>
        <v/>
      </c>
      <c r="D397" s="118"/>
      <c r="E397" s="119"/>
      <c r="F397" s="119"/>
      <c r="G397" s="151"/>
    </row>
    <row r="398" spans="2:7" ht="17.25" customHeight="1">
      <c r="B398" s="149"/>
      <c r="C398" s="331" t="str">
        <f t="shared" si="6"/>
        <v/>
      </c>
      <c r="D398" s="118"/>
      <c r="E398" s="119"/>
      <c r="F398" s="119"/>
      <c r="G398" s="151"/>
    </row>
    <row r="399" spans="2:7" ht="17.25" customHeight="1">
      <c r="B399" s="149"/>
      <c r="C399" s="331" t="str">
        <f t="shared" si="6"/>
        <v/>
      </c>
      <c r="D399" s="118"/>
      <c r="E399" s="119"/>
      <c r="F399" s="119"/>
      <c r="G399" s="151"/>
    </row>
    <row r="400" spans="2:7" ht="17.25" customHeight="1">
      <c r="B400" s="149"/>
      <c r="C400" s="331" t="str">
        <f t="shared" si="6"/>
        <v/>
      </c>
      <c r="D400" s="118"/>
      <c r="E400" s="119"/>
      <c r="F400" s="119"/>
      <c r="G400" s="151"/>
    </row>
    <row r="401" spans="2:7" ht="17.25" customHeight="1">
      <c r="B401" s="149"/>
      <c r="C401" s="331" t="str">
        <f t="shared" si="6"/>
        <v/>
      </c>
      <c r="D401" s="118"/>
      <c r="E401" s="119"/>
      <c r="F401" s="119"/>
      <c r="G401" s="151"/>
    </row>
    <row r="402" spans="2:7" ht="17.25" customHeight="1">
      <c r="B402" s="149"/>
      <c r="C402" s="331" t="str">
        <f t="shared" si="6"/>
        <v/>
      </c>
      <c r="D402" s="118"/>
      <c r="E402" s="119"/>
      <c r="F402" s="119"/>
      <c r="G402" s="151"/>
    </row>
    <row r="403" spans="2:7" ht="17.25" customHeight="1">
      <c r="B403" s="149"/>
      <c r="C403" s="331" t="str">
        <f t="shared" si="6"/>
        <v/>
      </c>
      <c r="D403" s="118"/>
      <c r="E403" s="119"/>
      <c r="F403" s="119"/>
      <c r="G403" s="151"/>
    </row>
    <row r="404" spans="2:7" ht="17.25" customHeight="1">
      <c r="B404" s="149"/>
      <c r="C404" s="331" t="str">
        <f t="shared" si="6"/>
        <v/>
      </c>
      <c r="D404" s="118"/>
      <c r="E404" s="119"/>
      <c r="F404" s="119"/>
      <c r="G404" s="151"/>
    </row>
    <row r="405" spans="2:7" ht="17.25" customHeight="1">
      <c r="B405" s="149"/>
      <c r="C405" s="331" t="str">
        <f t="shared" si="6"/>
        <v/>
      </c>
      <c r="D405" s="118"/>
      <c r="E405" s="119"/>
      <c r="F405" s="119"/>
      <c r="G405" s="151"/>
    </row>
    <row r="406" spans="2:7" ht="17.25" customHeight="1">
      <c r="B406" s="149"/>
      <c r="C406" s="331" t="str">
        <f t="shared" si="6"/>
        <v/>
      </c>
      <c r="D406" s="118"/>
      <c r="E406" s="119"/>
      <c r="F406" s="119"/>
      <c r="G406" s="151"/>
    </row>
    <row r="407" spans="2:7" ht="17.25" customHeight="1">
      <c r="B407" s="149"/>
      <c r="C407" s="331" t="str">
        <f t="shared" si="6"/>
        <v/>
      </c>
      <c r="D407" s="118"/>
      <c r="E407" s="119"/>
      <c r="F407" s="119"/>
      <c r="G407" s="151"/>
    </row>
    <row r="408" spans="2:7" ht="17.25" customHeight="1">
      <c r="B408" s="149"/>
      <c r="C408" s="331" t="str">
        <f t="shared" si="6"/>
        <v/>
      </c>
      <c r="D408" s="118"/>
      <c r="E408" s="119"/>
      <c r="F408" s="119"/>
      <c r="G408" s="151"/>
    </row>
    <row r="409" spans="2:7" ht="17.25" customHeight="1">
      <c r="B409" s="149"/>
      <c r="C409" s="331" t="str">
        <f t="shared" si="6"/>
        <v/>
      </c>
      <c r="D409" s="118"/>
      <c r="E409" s="119"/>
      <c r="F409" s="119"/>
      <c r="G409" s="151"/>
    </row>
    <row r="410" spans="2:7" ht="17.25" customHeight="1">
      <c r="B410" s="149"/>
      <c r="C410" s="331" t="str">
        <f t="shared" si="6"/>
        <v/>
      </c>
      <c r="D410" s="118"/>
      <c r="E410" s="119"/>
      <c r="F410" s="119"/>
      <c r="G410" s="151"/>
    </row>
    <row r="411" spans="2:7" ht="17.25" customHeight="1">
      <c r="B411" s="149"/>
      <c r="C411" s="331" t="str">
        <f t="shared" si="6"/>
        <v/>
      </c>
      <c r="D411" s="118"/>
      <c r="E411" s="119"/>
      <c r="F411" s="119"/>
      <c r="G411" s="151"/>
    </row>
    <row r="412" spans="2:7" ht="17.25" customHeight="1">
      <c r="B412" s="149"/>
      <c r="C412" s="331" t="str">
        <f t="shared" si="6"/>
        <v/>
      </c>
      <c r="D412" s="118"/>
      <c r="E412" s="119"/>
      <c r="F412" s="119"/>
      <c r="G412" s="151"/>
    </row>
    <row r="413" spans="2:7" ht="17.25" customHeight="1">
      <c r="B413" s="149"/>
      <c r="C413" s="331" t="str">
        <f t="shared" si="6"/>
        <v/>
      </c>
      <c r="D413" s="118"/>
      <c r="E413" s="119"/>
      <c r="F413" s="119"/>
      <c r="G413" s="151"/>
    </row>
    <row r="414" spans="2:7" ht="17.25" customHeight="1">
      <c r="B414" s="149"/>
      <c r="C414" s="331" t="str">
        <f t="shared" si="6"/>
        <v/>
      </c>
      <c r="D414" s="118"/>
      <c r="E414" s="119"/>
      <c r="F414" s="119"/>
      <c r="G414" s="151"/>
    </row>
    <row r="415" spans="2:7" ht="17.25" customHeight="1">
      <c r="B415" s="149"/>
      <c r="C415" s="331" t="str">
        <f t="shared" si="6"/>
        <v/>
      </c>
      <c r="D415" s="118"/>
      <c r="E415" s="119"/>
      <c r="F415" s="119"/>
      <c r="G415" s="151"/>
    </row>
    <row r="416" spans="2:7" ht="17.25" customHeight="1">
      <c r="B416" s="149"/>
      <c r="C416" s="331" t="str">
        <f t="shared" si="6"/>
        <v/>
      </c>
      <c r="D416" s="118"/>
      <c r="E416" s="119"/>
      <c r="F416" s="119"/>
      <c r="G416" s="151"/>
    </row>
    <row r="417" spans="2:7" ht="17.25" customHeight="1">
      <c r="B417" s="149"/>
      <c r="C417" s="331" t="str">
        <f t="shared" si="6"/>
        <v/>
      </c>
      <c r="D417" s="118"/>
      <c r="E417" s="119"/>
      <c r="F417" s="119"/>
      <c r="G417" s="151"/>
    </row>
    <row r="418" spans="2:7" ht="17.25" customHeight="1">
      <c r="B418" s="149"/>
      <c r="C418" s="331" t="str">
        <f t="shared" si="6"/>
        <v/>
      </c>
      <c r="D418" s="118"/>
      <c r="E418" s="119"/>
      <c r="F418" s="119"/>
      <c r="G418" s="151"/>
    </row>
    <row r="419" spans="2:7" ht="17.25" customHeight="1">
      <c r="B419" s="149"/>
      <c r="C419" s="331" t="str">
        <f t="shared" si="6"/>
        <v/>
      </c>
      <c r="D419" s="118"/>
      <c r="E419" s="119"/>
      <c r="F419" s="119"/>
      <c r="G419" s="151"/>
    </row>
    <row r="420" spans="2:7" ht="17.25" customHeight="1">
      <c r="B420" s="149"/>
      <c r="C420" s="331" t="str">
        <f t="shared" si="6"/>
        <v/>
      </c>
      <c r="D420" s="118"/>
      <c r="E420" s="119"/>
      <c r="F420" s="119"/>
      <c r="G420" s="151"/>
    </row>
    <row r="421" spans="2:7" ht="17.25" customHeight="1">
      <c r="B421" s="149"/>
      <c r="C421" s="331" t="str">
        <f t="shared" si="6"/>
        <v/>
      </c>
      <c r="D421" s="118"/>
      <c r="E421" s="119"/>
      <c r="F421" s="119"/>
      <c r="G421" s="151"/>
    </row>
    <row r="422" spans="2:7" ht="17.25" customHeight="1">
      <c r="B422" s="149"/>
      <c r="C422" s="331" t="str">
        <f t="shared" si="6"/>
        <v/>
      </c>
      <c r="D422" s="118"/>
      <c r="E422" s="119"/>
      <c r="F422" s="119"/>
      <c r="G422" s="151"/>
    </row>
    <row r="423" spans="2:7" ht="17.25" customHeight="1">
      <c r="B423" s="149"/>
      <c r="C423" s="331" t="str">
        <f t="shared" si="6"/>
        <v/>
      </c>
      <c r="D423" s="118"/>
      <c r="E423" s="119"/>
      <c r="F423" s="119"/>
      <c r="G423" s="151"/>
    </row>
    <row r="424" spans="2:7" ht="17.25" customHeight="1">
      <c r="B424" s="149"/>
      <c r="C424" s="331" t="str">
        <f t="shared" si="6"/>
        <v/>
      </c>
      <c r="D424" s="118"/>
      <c r="E424" s="119"/>
      <c r="F424" s="119"/>
      <c r="G424" s="151"/>
    </row>
    <row r="425" spans="2:7" ht="17.25" customHeight="1">
      <c r="B425" s="149"/>
      <c r="C425" s="331" t="str">
        <f t="shared" si="6"/>
        <v/>
      </c>
      <c r="D425" s="118"/>
      <c r="E425" s="119"/>
      <c r="F425" s="119"/>
      <c r="G425" s="151"/>
    </row>
    <row r="426" spans="2:7" ht="17.25" customHeight="1">
      <c r="B426" s="149"/>
      <c r="C426" s="331" t="str">
        <f t="shared" si="6"/>
        <v/>
      </c>
      <c r="D426" s="118"/>
      <c r="E426" s="119"/>
      <c r="F426" s="119"/>
      <c r="G426" s="151"/>
    </row>
    <row r="427" spans="2:7" ht="17.25" customHeight="1">
      <c r="B427" s="149"/>
      <c r="C427" s="331" t="str">
        <f t="shared" si="6"/>
        <v/>
      </c>
      <c r="D427" s="118"/>
      <c r="E427" s="119"/>
      <c r="F427" s="119"/>
      <c r="G427" s="151"/>
    </row>
    <row r="428" spans="2:7" ht="17.25" customHeight="1">
      <c r="B428" s="149"/>
      <c r="C428" s="331" t="str">
        <f t="shared" si="6"/>
        <v/>
      </c>
      <c r="D428" s="118"/>
      <c r="E428" s="119"/>
      <c r="F428" s="119"/>
      <c r="G428" s="151"/>
    </row>
    <row r="429" spans="2:7" ht="17.25" customHeight="1">
      <c r="B429" s="149"/>
      <c r="C429" s="331" t="str">
        <f t="shared" si="6"/>
        <v/>
      </c>
      <c r="D429" s="118"/>
      <c r="E429" s="119"/>
      <c r="F429" s="119"/>
      <c r="G429" s="151"/>
    </row>
    <row r="430" spans="2:7" ht="17.25" customHeight="1">
      <c r="B430" s="149"/>
      <c r="C430" s="331" t="str">
        <f t="shared" si="6"/>
        <v/>
      </c>
      <c r="D430" s="118"/>
      <c r="E430" s="119"/>
      <c r="F430" s="119"/>
      <c r="G430" s="151"/>
    </row>
    <row r="431" spans="2:7" ht="17.25" customHeight="1">
      <c r="B431" s="149"/>
      <c r="C431" s="331" t="str">
        <f t="shared" si="6"/>
        <v/>
      </c>
      <c r="D431" s="118"/>
      <c r="E431" s="119"/>
      <c r="F431" s="119"/>
      <c r="G431" s="151"/>
    </row>
    <row r="432" spans="2:7" ht="17.25" customHeight="1">
      <c r="B432" s="149"/>
      <c r="C432" s="331" t="str">
        <f t="shared" si="6"/>
        <v/>
      </c>
      <c r="D432" s="118"/>
      <c r="E432" s="119"/>
      <c r="F432" s="119"/>
      <c r="G432" s="151"/>
    </row>
    <row r="433" spans="2:7" ht="17.25" customHeight="1">
      <c r="B433" s="149"/>
      <c r="C433" s="331" t="str">
        <f t="shared" si="6"/>
        <v/>
      </c>
      <c r="D433" s="118"/>
      <c r="E433" s="119"/>
      <c r="F433" s="119"/>
      <c r="G433" s="151"/>
    </row>
    <row r="434" spans="2:7" ht="17.25" customHeight="1">
      <c r="B434" s="149"/>
      <c r="C434" s="331" t="str">
        <f t="shared" si="6"/>
        <v/>
      </c>
      <c r="D434" s="118"/>
      <c r="E434" s="119"/>
      <c r="F434" s="119"/>
      <c r="G434" s="151"/>
    </row>
    <row r="435" spans="2:7" ht="17.25" customHeight="1">
      <c r="B435" s="149"/>
      <c r="C435" s="331" t="str">
        <f t="shared" si="6"/>
        <v/>
      </c>
      <c r="D435" s="118"/>
      <c r="E435" s="119"/>
      <c r="F435" s="119"/>
      <c r="G435" s="151"/>
    </row>
    <row r="436" spans="2:7" ht="17.25" customHeight="1">
      <c r="B436" s="149"/>
      <c r="C436" s="331" t="str">
        <f t="shared" si="6"/>
        <v/>
      </c>
      <c r="D436" s="118"/>
      <c r="E436" s="119"/>
      <c r="F436" s="119"/>
      <c r="G436" s="151"/>
    </row>
    <row r="437" spans="2:7" ht="17.25" customHeight="1">
      <c r="B437" s="149"/>
      <c r="C437" s="331" t="str">
        <f t="shared" si="6"/>
        <v/>
      </c>
      <c r="D437" s="118"/>
      <c r="E437" s="119"/>
      <c r="F437" s="119"/>
      <c r="G437" s="151"/>
    </row>
    <row r="438" spans="2:7" ht="17.25" customHeight="1">
      <c r="B438" s="149"/>
      <c r="C438" s="331" t="str">
        <f t="shared" si="6"/>
        <v/>
      </c>
      <c r="D438" s="118"/>
      <c r="E438" s="119"/>
      <c r="F438" s="119"/>
      <c r="G438" s="151"/>
    </row>
    <row r="439" spans="2:7" ht="17.25" customHeight="1">
      <c r="B439" s="149"/>
      <c r="C439" s="331" t="str">
        <f t="shared" si="6"/>
        <v/>
      </c>
      <c r="D439" s="118"/>
      <c r="E439" s="119"/>
      <c r="F439" s="119"/>
      <c r="G439" s="151"/>
    </row>
    <row r="440" spans="2:7" ht="17.25" customHeight="1">
      <c r="B440" s="149"/>
      <c r="C440" s="331" t="str">
        <f t="shared" si="6"/>
        <v/>
      </c>
      <c r="D440" s="118"/>
      <c r="E440" s="119"/>
      <c r="F440" s="119"/>
      <c r="G440" s="151"/>
    </row>
    <row r="441" spans="2:7" ht="17.25" customHeight="1">
      <c r="B441" s="149"/>
      <c r="C441" s="331" t="str">
        <f t="shared" si="6"/>
        <v/>
      </c>
      <c r="D441" s="118"/>
      <c r="E441" s="119"/>
      <c r="F441" s="119"/>
      <c r="G441" s="151"/>
    </row>
    <row r="442" spans="2:7" ht="17.25" customHeight="1">
      <c r="B442" s="149"/>
      <c r="C442" s="331" t="str">
        <f t="shared" si="6"/>
        <v/>
      </c>
      <c r="D442" s="118"/>
      <c r="E442" s="119"/>
      <c r="F442" s="119"/>
      <c r="G442" s="151"/>
    </row>
    <row r="443" spans="2:7" ht="17.25" customHeight="1">
      <c r="B443" s="149"/>
      <c r="C443" s="331" t="str">
        <f t="shared" si="6"/>
        <v/>
      </c>
      <c r="D443" s="118"/>
      <c r="E443" s="119"/>
      <c r="F443" s="119"/>
      <c r="G443" s="151"/>
    </row>
    <row r="444" spans="2:7" ht="17.25" customHeight="1">
      <c r="B444" s="149"/>
      <c r="C444" s="331" t="str">
        <f t="shared" si="6"/>
        <v/>
      </c>
      <c r="D444" s="118"/>
      <c r="E444" s="119"/>
      <c r="F444" s="119"/>
      <c r="G444" s="151"/>
    </row>
    <row r="445" spans="2:7" ht="17.25" customHeight="1">
      <c r="B445" s="149"/>
      <c r="C445" s="331" t="str">
        <f t="shared" si="6"/>
        <v/>
      </c>
      <c r="D445" s="118"/>
      <c r="E445" s="119"/>
      <c r="F445" s="119"/>
      <c r="G445" s="151"/>
    </row>
    <row r="446" spans="2:7" ht="17.25" customHeight="1">
      <c r="B446" s="149"/>
      <c r="C446" s="331" t="str">
        <f t="shared" si="6"/>
        <v/>
      </c>
      <c r="D446" s="118"/>
      <c r="E446" s="119"/>
      <c r="F446" s="119"/>
      <c r="G446" s="151"/>
    </row>
    <row r="447" spans="2:7" ht="17.25" customHeight="1">
      <c r="B447" s="149"/>
      <c r="C447" s="331" t="str">
        <f t="shared" si="6"/>
        <v/>
      </c>
      <c r="D447" s="118"/>
      <c r="E447" s="119"/>
      <c r="F447" s="119"/>
      <c r="G447" s="151"/>
    </row>
    <row r="448" spans="2:7" ht="17.25" customHeight="1">
      <c r="B448" s="149"/>
      <c r="C448" s="331" t="str">
        <f t="shared" si="6"/>
        <v/>
      </c>
      <c r="D448" s="118"/>
      <c r="E448" s="119"/>
      <c r="F448" s="119"/>
      <c r="G448" s="151"/>
    </row>
    <row r="449" spans="2:7" ht="17.25" customHeight="1">
      <c r="B449" s="149"/>
      <c r="C449" s="331" t="str">
        <f t="shared" si="6"/>
        <v/>
      </c>
      <c r="D449" s="118"/>
      <c r="E449" s="119"/>
      <c r="F449" s="119"/>
      <c r="G449" s="151"/>
    </row>
    <row r="450" spans="2:7" ht="17.25" customHeight="1">
      <c r="B450" s="149"/>
      <c r="C450" s="331" t="str">
        <f t="shared" si="6"/>
        <v/>
      </c>
      <c r="D450" s="118"/>
      <c r="E450" s="119"/>
      <c r="F450" s="119"/>
      <c r="G450" s="151"/>
    </row>
    <row r="451" spans="2:7" ht="17.25" customHeight="1">
      <c r="B451" s="149"/>
      <c r="C451" s="331" t="str">
        <f t="shared" si="6"/>
        <v/>
      </c>
      <c r="D451" s="118"/>
      <c r="E451" s="119"/>
      <c r="F451" s="119"/>
      <c r="G451" s="151"/>
    </row>
    <row r="452" spans="2:7" ht="17.25" customHeight="1">
      <c r="B452" s="149"/>
      <c r="C452" s="331" t="str">
        <f t="shared" si="6"/>
        <v/>
      </c>
      <c r="D452" s="118"/>
      <c r="E452" s="119"/>
      <c r="F452" s="119"/>
      <c r="G452" s="151"/>
    </row>
    <row r="453" spans="2:7" ht="17.25" customHeight="1">
      <c r="B453" s="149"/>
      <c r="C453" s="331" t="str">
        <f t="shared" si="6"/>
        <v/>
      </c>
      <c r="D453" s="118"/>
      <c r="E453" s="119"/>
      <c r="F453" s="119"/>
      <c r="G453" s="151"/>
    </row>
    <row r="454" spans="2:7" ht="17.25" customHeight="1">
      <c r="B454" s="149"/>
      <c r="C454" s="331" t="str">
        <f t="shared" ref="C454:C500" si="7">IF(D454&lt;&gt;0,C453+1,"")</f>
        <v/>
      </c>
      <c r="D454" s="118"/>
      <c r="E454" s="119"/>
      <c r="F454" s="119"/>
      <c r="G454" s="151"/>
    </row>
    <row r="455" spans="2:7" ht="17.25" customHeight="1">
      <c r="B455" s="149"/>
      <c r="C455" s="331" t="str">
        <f t="shared" si="7"/>
        <v/>
      </c>
      <c r="D455" s="118"/>
      <c r="E455" s="119"/>
      <c r="F455" s="119"/>
      <c r="G455" s="151"/>
    </row>
    <row r="456" spans="2:7" ht="17.25" customHeight="1">
      <c r="B456" s="149"/>
      <c r="C456" s="331" t="str">
        <f t="shared" si="7"/>
        <v/>
      </c>
      <c r="D456" s="118"/>
      <c r="E456" s="119"/>
      <c r="F456" s="119"/>
      <c r="G456" s="151"/>
    </row>
    <row r="457" spans="2:7" ht="17.25" customHeight="1">
      <c r="B457" s="149"/>
      <c r="C457" s="331" t="str">
        <f t="shared" si="7"/>
        <v/>
      </c>
      <c r="D457" s="118"/>
      <c r="E457" s="119"/>
      <c r="F457" s="119"/>
      <c r="G457" s="151"/>
    </row>
    <row r="458" spans="2:7" ht="17.25" customHeight="1">
      <c r="B458" s="149"/>
      <c r="C458" s="331" t="str">
        <f t="shared" si="7"/>
        <v/>
      </c>
      <c r="D458" s="118"/>
      <c r="E458" s="119"/>
      <c r="F458" s="119"/>
      <c r="G458" s="151"/>
    </row>
    <row r="459" spans="2:7" ht="17.25" customHeight="1">
      <c r="B459" s="149"/>
      <c r="C459" s="331" t="str">
        <f t="shared" si="7"/>
        <v/>
      </c>
      <c r="D459" s="118"/>
      <c r="E459" s="119"/>
      <c r="F459" s="119"/>
      <c r="G459" s="151"/>
    </row>
    <row r="460" spans="2:7" ht="17.25" customHeight="1">
      <c r="B460" s="149"/>
      <c r="C460" s="331" t="str">
        <f t="shared" si="7"/>
        <v/>
      </c>
      <c r="D460" s="118"/>
      <c r="E460" s="119"/>
      <c r="F460" s="119"/>
      <c r="G460" s="151"/>
    </row>
    <row r="461" spans="2:7" ht="17.25" customHeight="1">
      <c r="B461" s="149"/>
      <c r="C461" s="331" t="str">
        <f t="shared" si="7"/>
        <v/>
      </c>
      <c r="D461" s="118"/>
      <c r="E461" s="119"/>
      <c r="F461" s="119"/>
      <c r="G461" s="151"/>
    </row>
    <row r="462" spans="2:7" ht="17.25" customHeight="1">
      <c r="B462" s="149"/>
      <c r="C462" s="331" t="str">
        <f t="shared" si="7"/>
        <v/>
      </c>
      <c r="D462" s="118"/>
      <c r="E462" s="119"/>
      <c r="F462" s="119"/>
      <c r="G462" s="151"/>
    </row>
    <row r="463" spans="2:7" ht="17.25" customHeight="1">
      <c r="B463" s="149"/>
      <c r="C463" s="331" t="str">
        <f t="shared" si="7"/>
        <v/>
      </c>
      <c r="D463" s="118"/>
      <c r="E463" s="119"/>
      <c r="F463" s="119"/>
      <c r="G463" s="151"/>
    </row>
    <row r="464" spans="2:7" ht="17.25" customHeight="1">
      <c r="B464" s="149"/>
      <c r="C464" s="331" t="str">
        <f t="shared" si="7"/>
        <v/>
      </c>
      <c r="D464" s="118"/>
      <c r="E464" s="119"/>
      <c r="F464" s="119"/>
      <c r="G464" s="151"/>
    </row>
    <row r="465" spans="2:7" ht="17.25" customHeight="1">
      <c r="B465" s="149"/>
      <c r="C465" s="331" t="str">
        <f t="shared" si="7"/>
        <v/>
      </c>
      <c r="D465" s="118"/>
      <c r="E465" s="119"/>
      <c r="F465" s="119"/>
      <c r="G465" s="151"/>
    </row>
    <row r="466" spans="2:7" ht="17.25" customHeight="1">
      <c r="B466" s="149"/>
      <c r="C466" s="331" t="str">
        <f t="shared" si="7"/>
        <v/>
      </c>
      <c r="D466" s="118"/>
      <c r="E466" s="119"/>
      <c r="F466" s="119"/>
      <c r="G466" s="151"/>
    </row>
    <row r="467" spans="2:7" ht="17.25" customHeight="1">
      <c r="B467" s="149"/>
      <c r="C467" s="331" t="str">
        <f t="shared" si="7"/>
        <v/>
      </c>
      <c r="D467" s="118"/>
      <c r="E467" s="119"/>
      <c r="F467" s="119"/>
      <c r="G467" s="151"/>
    </row>
    <row r="468" spans="2:7" ht="17.25" customHeight="1">
      <c r="B468" s="149"/>
      <c r="C468" s="331" t="str">
        <f t="shared" si="7"/>
        <v/>
      </c>
      <c r="D468" s="118"/>
      <c r="E468" s="119"/>
      <c r="F468" s="119"/>
      <c r="G468" s="151"/>
    </row>
    <row r="469" spans="2:7" ht="17.25" customHeight="1">
      <c r="B469" s="149"/>
      <c r="C469" s="331" t="str">
        <f t="shared" si="7"/>
        <v/>
      </c>
      <c r="D469" s="118"/>
      <c r="E469" s="119"/>
      <c r="F469" s="119"/>
      <c r="G469" s="151"/>
    </row>
    <row r="470" spans="2:7" ht="17.25" customHeight="1">
      <c r="B470" s="149"/>
      <c r="C470" s="331" t="str">
        <f t="shared" si="7"/>
        <v/>
      </c>
      <c r="D470" s="118"/>
      <c r="E470" s="119"/>
      <c r="F470" s="119"/>
      <c r="G470" s="151"/>
    </row>
    <row r="471" spans="2:7" ht="17.25" customHeight="1">
      <c r="B471" s="149"/>
      <c r="C471" s="331" t="str">
        <f t="shared" si="7"/>
        <v/>
      </c>
      <c r="D471" s="118"/>
      <c r="E471" s="119"/>
      <c r="F471" s="119"/>
      <c r="G471" s="151"/>
    </row>
    <row r="472" spans="2:7" ht="17.25" customHeight="1">
      <c r="B472" s="149"/>
      <c r="C472" s="331" t="str">
        <f t="shared" si="7"/>
        <v/>
      </c>
      <c r="D472" s="118"/>
      <c r="E472" s="119"/>
      <c r="F472" s="119"/>
      <c r="G472" s="151"/>
    </row>
    <row r="473" spans="2:7" ht="17.25" customHeight="1">
      <c r="B473" s="149"/>
      <c r="C473" s="331" t="str">
        <f t="shared" si="7"/>
        <v/>
      </c>
      <c r="D473" s="118"/>
      <c r="E473" s="119"/>
      <c r="F473" s="119"/>
      <c r="G473" s="151"/>
    </row>
    <row r="474" spans="2:7" ht="17.25" customHeight="1">
      <c r="B474" s="149"/>
      <c r="C474" s="331" t="str">
        <f t="shared" si="7"/>
        <v/>
      </c>
      <c r="D474" s="118"/>
      <c r="E474" s="119"/>
      <c r="F474" s="119"/>
      <c r="G474" s="151"/>
    </row>
    <row r="475" spans="2:7" ht="17.25" customHeight="1">
      <c r="B475" s="149"/>
      <c r="C475" s="331" t="str">
        <f t="shared" si="7"/>
        <v/>
      </c>
      <c r="D475" s="118"/>
      <c r="E475" s="119"/>
      <c r="F475" s="119"/>
      <c r="G475" s="151"/>
    </row>
    <row r="476" spans="2:7" ht="17.25" customHeight="1">
      <c r="B476" s="149"/>
      <c r="C476" s="331" t="str">
        <f t="shared" si="7"/>
        <v/>
      </c>
      <c r="D476" s="118"/>
      <c r="E476" s="119"/>
      <c r="F476" s="119"/>
      <c r="G476" s="151"/>
    </row>
    <row r="477" spans="2:7" ht="17.25" customHeight="1">
      <c r="B477" s="149"/>
      <c r="C477" s="331" t="str">
        <f t="shared" si="7"/>
        <v/>
      </c>
      <c r="D477" s="118"/>
      <c r="E477" s="119"/>
      <c r="F477" s="119"/>
      <c r="G477" s="151"/>
    </row>
    <row r="478" spans="2:7" ht="17.25" customHeight="1">
      <c r="B478" s="149"/>
      <c r="C478" s="331" t="str">
        <f t="shared" si="7"/>
        <v/>
      </c>
      <c r="D478" s="118"/>
      <c r="E478" s="119"/>
      <c r="F478" s="119"/>
      <c r="G478" s="151"/>
    </row>
    <row r="479" spans="2:7" ht="17.25" customHeight="1">
      <c r="B479" s="149"/>
      <c r="C479" s="331" t="str">
        <f t="shared" si="7"/>
        <v/>
      </c>
      <c r="D479" s="118"/>
      <c r="E479" s="119"/>
      <c r="F479" s="119"/>
      <c r="G479" s="151"/>
    </row>
    <row r="480" spans="2:7" ht="17.25" customHeight="1">
      <c r="B480" s="149"/>
      <c r="C480" s="331" t="str">
        <f t="shared" si="7"/>
        <v/>
      </c>
      <c r="D480" s="118"/>
      <c r="E480" s="119"/>
      <c r="F480" s="119"/>
      <c r="G480" s="151"/>
    </row>
    <row r="481" spans="2:7" ht="17.25" customHeight="1">
      <c r="B481" s="149"/>
      <c r="C481" s="331" t="str">
        <f t="shared" si="7"/>
        <v/>
      </c>
      <c r="D481" s="118"/>
      <c r="E481" s="119"/>
      <c r="F481" s="119"/>
      <c r="G481" s="151"/>
    </row>
    <row r="482" spans="2:7" ht="17.25" customHeight="1">
      <c r="B482" s="149"/>
      <c r="C482" s="331" t="str">
        <f t="shared" si="7"/>
        <v/>
      </c>
      <c r="D482" s="118"/>
      <c r="E482" s="119"/>
      <c r="F482" s="119"/>
      <c r="G482" s="151"/>
    </row>
    <row r="483" spans="2:7" ht="17.25" customHeight="1">
      <c r="B483" s="149"/>
      <c r="C483" s="331" t="str">
        <f t="shared" si="7"/>
        <v/>
      </c>
      <c r="D483" s="118"/>
      <c r="E483" s="119"/>
      <c r="F483" s="119"/>
      <c r="G483" s="151"/>
    </row>
    <row r="484" spans="2:7" ht="17.25" customHeight="1">
      <c r="B484" s="149"/>
      <c r="C484" s="331" t="str">
        <f t="shared" si="7"/>
        <v/>
      </c>
      <c r="D484" s="118"/>
      <c r="E484" s="119"/>
      <c r="F484" s="119"/>
      <c r="G484" s="151"/>
    </row>
    <row r="485" spans="2:7" ht="17.25" customHeight="1">
      <c r="B485" s="149"/>
      <c r="C485" s="331" t="str">
        <f t="shared" si="7"/>
        <v/>
      </c>
      <c r="D485" s="118"/>
      <c r="E485" s="119"/>
      <c r="F485" s="119"/>
      <c r="G485" s="151"/>
    </row>
    <row r="486" spans="2:7" ht="17.25" customHeight="1">
      <c r="B486" s="149"/>
      <c r="C486" s="331" t="str">
        <f t="shared" si="7"/>
        <v/>
      </c>
      <c r="D486" s="118"/>
      <c r="E486" s="119"/>
      <c r="F486" s="119"/>
      <c r="G486" s="151"/>
    </row>
    <row r="487" spans="2:7" ht="17.25" customHeight="1">
      <c r="B487" s="149"/>
      <c r="C487" s="331" t="str">
        <f t="shared" si="7"/>
        <v/>
      </c>
      <c r="D487" s="118"/>
      <c r="E487" s="119"/>
      <c r="F487" s="119"/>
      <c r="G487" s="151"/>
    </row>
    <row r="488" spans="2:7" ht="17.25" customHeight="1">
      <c r="B488" s="149"/>
      <c r="C488" s="331" t="str">
        <f t="shared" si="7"/>
        <v/>
      </c>
      <c r="D488" s="118"/>
      <c r="E488" s="119"/>
      <c r="F488" s="119"/>
      <c r="G488" s="151"/>
    </row>
    <row r="489" spans="2:7" ht="17.25" customHeight="1">
      <c r="B489" s="149"/>
      <c r="C489" s="331" t="str">
        <f t="shared" si="7"/>
        <v/>
      </c>
      <c r="D489" s="118"/>
      <c r="E489" s="119"/>
      <c r="F489" s="119"/>
      <c r="G489" s="151"/>
    </row>
    <row r="490" spans="2:7" ht="17.25" customHeight="1">
      <c r="B490" s="149"/>
      <c r="C490" s="331" t="str">
        <f t="shared" si="7"/>
        <v/>
      </c>
      <c r="D490" s="118"/>
      <c r="E490" s="119"/>
      <c r="F490" s="119"/>
      <c r="G490" s="151"/>
    </row>
    <row r="491" spans="2:7" ht="17.25" customHeight="1">
      <c r="B491" s="149"/>
      <c r="C491" s="331" t="str">
        <f t="shared" si="7"/>
        <v/>
      </c>
      <c r="D491" s="118"/>
      <c r="E491" s="119"/>
      <c r="F491" s="119"/>
      <c r="G491" s="151"/>
    </row>
    <row r="492" spans="2:7" ht="17.25" customHeight="1">
      <c r="B492" s="149"/>
      <c r="C492" s="331" t="str">
        <f t="shared" si="7"/>
        <v/>
      </c>
      <c r="D492" s="118"/>
      <c r="E492" s="119"/>
      <c r="F492" s="119"/>
      <c r="G492" s="151"/>
    </row>
    <row r="493" spans="2:7" ht="17.25" customHeight="1">
      <c r="B493" s="149"/>
      <c r="C493" s="331" t="str">
        <f t="shared" si="7"/>
        <v/>
      </c>
      <c r="D493" s="118"/>
      <c r="E493" s="119"/>
      <c r="F493" s="119"/>
      <c r="G493" s="151"/>
    </row>
    <row r="494" spans="2:7" ht="17.25" customHeight="1">
      <c r="B494" s="149"/>
      <c r="C494" s="331" t="str">
        <f t="shared" si="7"/>
        <v/>
      </c>
      <c r="D494" s="118"/>
      <c r="E494" s="119"/>
      <c r="F494" s="119"/>
      <c r="G494" s="151"/>
    </row>
    <row r="495" spans="2:7" ht="17.25" customHeight="1">
      <c r="B495" s="149"/>
      <c r="C495" s="331" t="str">
        <f t="shared" si="7"/>
        <v/>
      </c>
      <c r="D495" s="118"/>
      <c r="E495" s="119"/>
      <c r="F495" s="119"/>
      <c r="G495" s="151"/>
    </row>
    <row r="496" spans="2:7" ht="17.25" customHeight="1">
      <c r="B496" s="149"/>
      <c r="C496" s="331" t="str">
        <f t="shared" si="7"/>
        <v/>
      </c>
      <c r="D496" s="118"/>
      <c r="E496" s="119"/>
      <c r="F496" s="119"/>
      <c r="G496" s="151"/>
    </row>
    <row r="497" spans="2:7" ht="17.25" customHeight="1">
      <c r="B497" s="149"/>
      <c r="C497" s="331" t="str">
        <f t="shared" si="7"/>
        <v/>
      </c>
      <c r="D497" s="118"/>
      <c r="E497" s="119"/>
      <c r="F497" s="119"/>
      <c r="G497" s="151"/>
    </row>
    <row r="498" spans="2:7" ht="17.25" customHeight="1">
      <c r="B498" s="149"/>
      <c r="C498" s="331" t="str">
        <f t="shared" si="7"/>
        <v/>
      </c>
      <c r="D498" s="118"/>
      <c r="E498" s="119"/>
      <c r="F498" s="119"/>
      <c r="G498" s="151"/>
    </row>
    <row r="499" spans="2:7" ht="17.25" customHeight="1">
      <c r="B499" s="149"/>
      <c r="C499" s="331" t="str">
        <f t="shared" si="7"/>
        <v/>
      </c>
      <c r="D499" s="118"/>
      <c r="E499" s="119"/>
      <c r="F499" s="119"/>
      <c r="G499" s="151"/>
    </row>
    <row r="500" spans="2:7" ht="17.25" customHeight="1">
      <c r="B500" s="149"/>
      <c r="C500" s="331" t="str">
        <f t="shared" si="7"/>
        <v/>
      </c>
      <c r="D500" s="118"/>
      <c r="E500" s="119"/>
      <c r="F500" s="119"/>
      <c r="G500" s="151"/>
    </row>
  </sheetData>
  <sheetProtection insertColumns="0" insertRows="0" insertHyperlinks="0" sort="0" autoFilter="0" pivotTables="0"/>
  <customSheetViews>
    <customSheetView guid="{F06BFD04-CCD2-461C-AC42-65887227FFD3}" showGridLines="0">
      <selection activeCell="E19" sqref="E19"/>
      <pageMargins left="0.7" right="0.7" top="0.75" bottom="0.75" header="0.3" footer="0.3"/>
      <pageSetup paperSize="9" orientation="portrait" horizontalDpi="300" verticalDpi="300" r:id="rId1"/>
    </customSheetView>
    <customSheetView guid="{24934804-84B0-4982-9BF2-E46F6DDD5DD8}" showGridLines="0">
      <selection activeCell="E19" sqref="E19"/>
      <pageMargins left="0.7" right="0.7" top="0.75" bottom="0.75" header="0.3" footer="0.3"/>
      <pageSetup paperSize="9" orientation="portrait" horizontalDpi="300" verticalDpi="300" r:id="rId2"/>
    </customSheetView>
    <customSheetView guid="{3DE895B0-7958-42DA-95C8-453D6A82D678}" showGridLines="0">
      <selection activeCell="E19" sqref="E19"/>
      <pageMargins left="0.7" right="0.7" top="0.75" bottom="0.75" header="0.3" footer="0.3"/>
      <pageSetup paperSize="9" orientation="portrait" horizontalDpi="300" verticalDpi="300" r:id="rId3"/>
    </customSheetView>
    <customSheetView guid="{F4AB2122-655E-40F6-8B53-54B747E7ED61}" showGridLines="0">
      <selection activeCell="E19" sqref="E19"/>
      <pageMargins left="0.7" right="0.7" top="0.75" bottom="0.75" header="0.3" footer="0.3"/>
      <pageSetup paperSize="9" orientation="portrait" horizontalDpi="300" verticalDpi="300" r:id="rId4"/>
    </customSheetView>
    <customSheetView guid="{2416856D-96F2-4FCD-9E1E-89AD408E8F07}" showGridLines="0">
      <selection activeCell="E6" sqref="E6"/>
      <pageMargins left="0.7" right="0.7" top="0.75" bottom="0.75" header="0.3" footer="0.3"/>
      <pageSetup paperSize="9" orientation="portrait" horizontalDpi="300" verticalDpi="300" r:id="rId5"/>
    </customSheetView>
    <customSheetView guid="{781BC751-F315-497E-B1B4-A2D752209BD7}" showGridLines="0" topLeftCell="A10">
      <selection activeCell="B21" sqref="B21"/>
      <pageMargins left="0.7" right="0.7" top="0.75" bottom="0.75" header="0.3" footer="0.3"/>
      <pageSetup paperSize="9" orientation="portrait" horizontalDpi="300" verticalDpi="300" r:id="rId6"/>
    </customSheetView>
    <customSheetView guid="{DF37B372-7B5A-4253-9EE3-FD3ABD7DF4B8}" showGridLines="0" topLeftCell="A3">
      <selection activeCell="E5" sqref="E5"/>
      <pageMargins left="0.7" right="0.7" top="0.75" bottom="0.75" header="0.3" footer="0.3"/>
      <pageSetup paperSize="9" orientation="portrait" horizontalDpi="300" verticalDpi="300" r:id="rId7"/>
    </customSheetView>
    <customSheetView guid="{89423216-97BC-488F-92AF-85198E8FDC07}" showGridLines="0" topLeftCell="A7">
      <selection activeCell="E26" sqref="E26"/>
      <pageMargins left="0.7" right="0.7" top="0.75" bottom="0.75" header="0.3" footer="0.3"/>
      <pageSetup paperSize="9" orientation="portrait" horizontalDpi="300" verticalDpi="300" r:id="rId8"/>
    </customSheetView>
    <customSheetView guid="{AFC521DD-6BF9-4AA5-991A-73D8F620A3D9}" showGridLines="0">
      <selection activeCell="C4" sqref="C4"/>
      <pageMargins left="0.7" right="0.7" top="0.75" bottom="0.75" header="0.3" footer="0.3"/>
      <pageSetup paperSize="9" orientation="portrait" horizontalDpi="300" verticalDpi="300" r:id="rId9"/>
    </customSheetView>
    <customSheetView guid="{6641B719-6463-4FDD-9DBC-41F5618DBE27}" showGridLines="0">
      <selection activeCell="E5" sqref="E5:E19"/>
      <pageMargins left="0.7" right="0.7" top="0.75" bottom="0.75" header="0.3" footer="0.3"/>
      <pageSetup paperSize="9" orientation="portrait" horizontalDpi="300" verticalDpi="300" r:id="rId10"/>
    </customSheetView>
    <customSheetView guid="{145EFE0A-DDB4-4E3B-8A20-749E6B137AEA}" showGridLines="0" topLeftCell="A3">
      <selection activeCell="E11" sqref="E11"/>
      <pageMargins left="0.7" right="0.7" top="0.75" bottom="0.75" header="0.3" footer="0.3"/>
      <pageSetup paperSize="9" orientation="portrait" horizontalDpi="300" verticalDpi="300" r:id="rId11"/>
    </customSheetView>
    <customSheetView guid="{75F545D8-957D-412C-B66B-DD1178A45800}" showGridLines="0" topLeftCell="A3">
      <selection activeCell="E11" sqref="E11"/>
      <pageMargins left="0.7" right="0.7" top="0.75" bottom="0.75" header="0.3" footer="0.3"/>
      <pageSetup paperSize="9" orientation="portrait" horizontalDpi="300" verticalDpi="300" r:id="rId12"/>
    </customSheetView>
    <customSheetView guid="{894FF5A1-5E16-48B2-97B7-77905E52730D}" showGridLines="0" topLeftCell="A3">
      <selection activeCell="D5" sqref="D5"/>
      <pageMargins left="0.7" right="0.7" top="0.75" bottom="0.75" header="0.3" footer="0.3"/>
      <pageSetup paperSize="9" orientation="portrait" horizontalDpi="300" verticalDpi="300" r:id="rId13"/>
    </customSheetView>
    <customSheetView guid="{845AB85B-320D-4261-8D20-E6D9D5D4C38C}" showGridLines="0">
      <selection activeCell="F16" sqref="F16"/>
      <pageMargins left="0.7" right="0.7" top="0.75" bottom="0.75" header="0.3" footer="0.3"/>
      <pageSetup paperSize="9" orientation="portrait" horizontalDpi="300" verticalDpi="300" r:id="rId14"/>
    </customSheetView>
    <customSheetView guid="{CE348A5C-D9D4-4899-A40F-894070A117B6}" showGridLines="0" topLeftCell="A25">
      <selection activeCell="C30" sqref="C30"/>
      <pageMargins left="0.7" right="0.7" top="0.75" bottom="0.75" header="0.3" footer="0.3"/>
      <pageSetup paperSize="9" orientation="portrait" horizontalDpi="300" verticalDpi="300" r:id="rId15"/>
    </customSheetView>
    <customSheetView guid="{8D0556F1-DDE6-43F4-BF14-0889B98E8F1B}" showGridLines="0" topLeftCell="A7">
      <selection activeCell="G21" sqref="G21"/>
      <pageMargins left="0.7" right="0.7" top="0.75" bottom="0.75" header="0.3" footer="0.3"/>
      <pageSetup paperSize="9" orientation="portrait" horizontalDpi="300" verticalDpi="300" r:id="rId16"/>
    </customSheetView>
    <customSheetView guid="{A0F6C4E6-E641-4152-9AB1-BDDEFE79F262}" showGridLines="0" topLeftCell="A9">
      <selection activeCell="H19" sqref="H19"/>
      <pageMargins left="0.7" right="0.7" top="0.75" bottom="0.75" header="0.3" footer="0.3"/>
      <pageSetup paperSize="9" orientation="portrait" horizontalDpi="300" verticalDpi="300" r:id="rId17"/>
    </customSheetView>
    <customSheetView guid="{D40E5C28-53DE-4B28-952C-1D2FB2D5F0F0}" showGridLines="0" topLeftCell="A3">
      <selection activeCell="D10" sqref="D10"/>
      <pageMargins left="0.7" right="0.7" top="0.75" bottom="0.75" header="0.3" footer="0.3"/>
      <pageSetup paperSize="9" orientation="portrait" horizontalDpi="300" verticalDpi="300" r:id="rId18"/>
    </customSheetView>
    <customSheetView guid="{26B41735-39E2-4BE9-9EA5-D1F67A43DC0E}" showGridLines="0" topLeftCell="A7">
      <selection activeCell="E32" sqref="E32"/>
      <pageMargins left="0.7" right="0.7" top="0.75" bottom="0.75" header="0.3" footer="0.3"/>
      <pageSetup paperSize="9" orientation="portrait" horizontalDpi="300" verticalDpi="300" r:id="rId19"/>
    </customSheetView>
    <customSheetView guid="{284277B3-AC3C-4136-A308-367D96D447E4}" showGridLines="0" topLeftCell="A28">
      <selection activeCell="E40" sqref="E40"/>
      <pageMargins left="0.7" right="0.7" top="0.75" bottom="0.75" header="0.3" footer="0.3"/>
      <pageSetup paperSize="9" orientation="portrait" horizontalDpi="300" verticalDpi="300" r:id="rId20"/>
    </customSheetView>
    <customSheetView guid="{92A1CAD1-2CFB-4DA3-AD67-71210BA7D4E5}" showGridLines="0">
      <selection activeCell="E19" sqref="E19"/>
      <pageMargins left="0.7" right="0.7" top="0.75" bottom="0.75" header="0.3" footer="0.3"/>
      <pageSetup paperSize="9" orientation="portrait" horizontalDpi="300" verticalDpi="300" r:id="rId21"/>
    </customSheetView>
    <customSheetView guid="{A4ED5A10-FDD2-4550-ABD5-0B6EF13A24C4}" showGridLines="0">
      <selection activeCell="E19" sqref="E19"/>
      <pageMargins left="0.7" right="0.7" top="0.75" bottom="0.75" header="0.3" footer="0.3"/>
      <pageSetup paperSize="9" orientation="portrait" horizontalDpi="300" verticalDpi="300" r:id="rId22"/>
    </customSheetView>
  </customSheetViews>
  <pageMargins left="0.7" right="0.7" top="0.75" bottom="0.75" header="0.3" footer="0.3"/>
  <pageSetup paperSize="9" orientation="portrait" horizontalDpi="300" verticalDpi="300" r:id="rId2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'Entries Register (AP) '!$AB$8:$AB$29</xm:f>
          </x14:formula1>
          <xm:sqref>D4:D500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P500"/>
  <sheetViews>
    <sheetView showGridLines="0" workbookViewId="0">
      <selection activeCell="C8" sqref="C8"/>
    </sheetView>
  </sheetViews>
  <sheetFormatPr defaultRowHeight="17.25" customHeight="1"/>
  <cols>
    <col min="1" max="2" width="9.33203125" style="1"/>
    <col min="3" max="4" width="18.83203125" style="1" customWidth="1"/>
    <col min="5" max="6" width="40.33203125" style="1" customWidth="1"/>
    <col min="7" max="7" width="17.83203125" style="1" customWidth="1"/>
    <col min="8" max="8" width="17" style="1" customWidth="1"/>
    <col min="9" max="16384" width="9.33203125" style="1"/>
  </cols>
  <sheetData>
    <row r="1" spans="1:16" ht="17.25" customHeight="1">
      <c r="A1" s="109"/>
      <c r="C1" s="2"/>
      <c r="D1" s="110"/>
      <c r="E1" s="111"/>
      <c r="F1" s="111"/>
    </row>
    <row r="2" spans="1:16" ht="17.25" customHeight="1">
      <c r="C2" s="2"/>
      <c r="D2" s="110"/>
      <c r="E2" s="113"/>
      <c r="F2" s="111"/>
    </row>
    <row r="3" spans="1:16" ht="17.25" customHeight="1">
      <c r="B3" s="141" t="s">
        <v>4019</v>
      </c>
      <c r="C3" s="114" t="s">
        <v>5132</v>
      </c>
      <c r="D3" s="115" t="s">
        <v>10</v>
      </c>
      <c r="E3" s="116" t="s">
        <v>3938</v>
      </c>
      <c r="F3" s="145" t="s">
        <v>5134</v>
      </c>
      <c r="G3" s="116" t="s">
        <v>5129</v>
      </c>
    </row>
    <row r="4" spans="1:16" ht="17.25" customHeight="1">
      <c r="B4" s="149"/>
      <c r="C4" s="332">
        <v>1</v>
      </c>
      <c r="D4" s="146"/>
      <c r="E4" s="140"/>
      <c r="F4" s="184"/>
      <c r="G4" s="147"/>
      <c r="H4" s="152"/>
    </row>
    <row r="5" spans="1:16" ht="17.25" customHeight="1">
      <c r="B5" s="149"/>
      <c r="C5" s="332" t="str">
        <f>IF(D5&lt;&gt;0,C4+1,"")</f>
        <v/>
      </c>
      <c r="D5" s="146"/>
      <c r="E5" s="185"/>
      <c r="F5" s="147"/>
      <c r="G5" s="147"/>
      <c r="H5" s="152"/>
      <c r="P5" s="121"/>
    </row>
    <row r="6" spans="1:16" ht="17.25" customHeight="1">
      <c r="B6" s="149"/>
      <c r="C6" s="332" t="str">
        <f t="shared" ref="C6:C69" si="0">IF(D6&lt;&gt;0,C5+1,"")</f>
        <v/>
      </c>
      <c r="D6" s="146"/>
      <c r="E6" s="185"/>
      <c r="F6" s="147"/>
      <c r="G6" s="147"/>
      <c r="H6" s="152"/>
      <c r="P6" s="121"/>
    </row>
    <row r="7" spans="1:16" ht="17.25" customHeight="1">
      <c r="B7" s="149"/>
      <c r="C7" s="332" t="str">
        <f t="shared" si="0"/>
        <v/>
      </c>
      <c r="D7" s="146"/>
      <c r="E7" s="180"/>
      <c r="F7" s="147"/>
      <c r="G7" s="147"/>
      <c r="P7" s="121"/>
    </row>
    <row r="8" spans="1:16" ht="17.25" customHeight="1">
      <c r="B8" s="149"/>
      <c r="C8" s="332" t="str">
        <f t="shared" si="0"/>
        <v/>
      </c>
      <c r="D8" s="146"/>
      <c r="E8" s="180"/>
      <c r="F8" s="147"/>
      <c r="G8" s="147"/>
      <c r="H8" s="120"/>
      <c r="P8" s="121"/>
    </row>
    <row r="9" spans="1:16" ht="17.25" customHeight="1">
      <c r="B9" s="149"/>
      <c r="C9" s="332" t="str">
        <f t="shared" si="0"/>
        <v/>
      </c>
      <c r="D9" s="146"/>
      <c r="E9" s="180"/>
      <c r="F9" s="147"/>
      <c r="G9" s="147"/>
      <c r="H9" s="120"/>
      <c r="P9" s="121"/>
    </row>
    <row r="10" spans="1:16" ht="17.25" customHeight="1">
      <c r="B10" s="149"/>
      <c r="C10" s="332" t="str">
        <f t="shared" si="0"/>
        <v/>
      </c>
      <c r="D10" s="146"/>
      <c r="E10" s="182"/>
      <c r="F10" s="147"/>
      <c r="G10" s="147"/>
      <c r="H10" s="120"/>
      <c r="P10" s="121"/>
    </row>
    <row r="11" spans="1:16" ht="17.25" customHeight="1">
      <c r="B11" s="149"/>
      <c r="C11" s="332" t="str">
        <f t="shared" si="0"/>
        <v/>
      </c>
      <c r="D11" s="203"/>
      <c r="E11" s="204"/>
      <c r="F11" s="140"/>
      <c r="G11" s="147"/>
      <c r="H11" s="120"/>
      <c r="P11" s="121"/>
    </row>
    <row r="12" spans="1:16" ht="17.25" customHeight="1">
      <c r="B12" s="149"/>
      <c r="C12" s="332" t="str">
        <f t="shared" si="0"/>
        <v/>
      </c>
      <c r="D12" s="146"/>
      <c r="E12" s="181"/>
      <c r="F12" s="147"/>
      <c r="G12" s="147"/>
      <c r="H12" s="120"/>
      <c r="P12" s="121"/>
    </row>
    <row r="13" spans="1:16" ht="17.25" customHeight="1">
      <c r="B13" s="149"/>
      <c r="C13" s="332" t="str">
        <f t="shared" si="0"/>
        <v/>
      </c>
      <c r="D13" s="146"/>
      <c r="E13" s="182"/>
      <c r="F13" s="183"/>
      <c r="G13" s="147"/>
      <c r="H13" s="120"/>
      <c r="P13" s="121"/>
    </row>
    <row r="14" spans="1:16" ht="17.25" customHeight="1">
      <c r="B14" s="149"/>
      <c r="C14" s="332" t="str">
        <f t="shared" si="0"/>
        <v/>
      </c>
      <c r="D14" s="146"/>
      <c r="E14" s="182"/>
      <c r="F14" s="147"/>
      <c r="G14" s="147"/>
      <c r="H14" s="120"/>
      <c r="P14" s="121"/>
    </row>
    <row r="15" spans="1:16" ht="17.25" customHeight="1">
      <c r="B15" s="149"/>
      <c r="C15" s="332" t="str">
        <f t="shared" si="0"/>
        <v/>
      </c>
      <c r="D15" s="146"/>
      <c r="E15" s="181"/>
      <c r="F15" s="147"/>
      <c r="G15" s="147"/>
      <c r="H15" s="120"/>
      <c r="P15" s="121"/>
    </row>
    <row r="16" spans="1:16" ht="17.25" customHeight="1">
      <c r="B16" s="149"/>
      <c r="C16" s="332" t="str">
        <f t="shared" si="0"/>
        <v/>
      </c>
      <c r="D16" s="146"/>
      <c r="E16" s="147"/>
      <c r="F16" s="147"/>
      <c r="G16" s="147"/>
      <c r="H16" s="120"/>
      <c r="P16" s="121"/>
    </row>
    <row r="17" spans="2:16" ht="17.25" customHeight="1">
      <c r="B17" s="149"/>
      <c r="C17" s="332" t="str">
        <f t="shared" si="0"/>
        <v/>
      </c>
      <c r="D17" s="146"/>
      <c r="E17" s="147"/>
      <c r="F17" s="147"/>
      <c r="G17" s="147"/>
      <c r="P17" s="121"/>
    </row>
    <row r="18" spans="2:16" ht="17.25" customHeight="1">
      <c r="B18" s="149"/>
      <c r="C18" s="332" t="str">
        <f t="shared" si="0"/>
        <v/>
      </c>
      <c r="D18" s="146"/>
      <c r="E18" s="147"/>
      <c r="F18" s="147"/>
      <c r="G18" s="147"/>
      <c r="P18" s="121"/>
    </row>
    <row r="19" spans="2:16" ht="17.25" customHeight="1">
      <c r="B19" s="149"/>
      <c r="C19" s="332" t="str">
        <f t="shared" si="0"/>
        <v/>
      </c>
      <c r="D19" s="146"/>
      <c r="E19" s="147"/>
      <c r="F19" s="147"/>
      <c r="G19" s="147"/>
    </row>
    <row r="20" spans="2:16" ht="17.25" customHeight="1">
      <c r="B20" s="149"/>
      <c r="C20" s="332" t="str">
        <f t="shared" si="0"/>
        <v/>
      </c>
      <c r="D20" s="146"/>
      <c r="E20" s="147"/>
      <c r="F20" s="147"/>
      <c r="G20" s="147"/>
    </row>
    <row r="21" spans="2:16" ht="17.25" customHeight="1">
      <c r="B21" s="149"/>
      <c r="C21" s="332" t="str">
        <f t="shared" si="0"/>
        <v/>
      </c>
      <c r="D21" s="146"/>
      <c r="E21" s="147"/>
      <c r="F21" s="147"/>
      <c r="G21" s="147"/>
    </row>
    <row r="22" spans="2:16" ht="17.25" customHeight="1">
      <c r="B22" s="149"/>
      <c r="C22" s="332" t="str">
        <f t="shared" si="0"/>
        <v/>
      </c>
      <c r="D22" s="146"/>
      <c r="E22" s="147"/>
      <c r="F22" s="147"/>
      <c r="G22" s="147"/>
    </row>
    <row r="23" spans="2:16" ht="17.25" customHeight="1">
      <c r="B23" s="149"/>
      <c r="C23" s="332" t="str">
        <f t="shared" si="0"/>
        <v/>
      </c>
      <c r="D23" s="146"/>
      <c r="E23" s="147"/>
      <c r="F23" s="147"/>
      <c r="G23" s="147"/>
    </row>
    <row r="24" spans="2:16" ht="17.25" customHeight="1">
      <c r="B24" s="149"/>
      <c r="C24" s="332" t="str">
        <f t="shared" si="0"/>
        <v/>
      </c>
      <c r="D24" s="146"/>
      <c r="E24" s="147"/>
      <c r="F24" s="147"/>
      <c r="G24" s="147"/>
    </row>
    <row r="25" spans="2:16" ht="17.25" customHeight="1">
      <c r="B25" s="149"/>
      <c r="C25" s="332" t="str">
        <f t="shared" si="0"/>
        <v/>
      </c>
      <c r="D25" s="146"/>
      <c r="E25" s="147"/>
      <c r="F25" s="147"/>
      <c r="G25" s="147"/>
    </row>
    <row r="26" spans="2:16" ht="17.25" customHeight="1">
      <c r="B26" s="149"/>
      <c r="C26" s="332" t="str">
        <f t="shared" si="0"/>
        <v/>
      </c>
      <c r="D26" s="146"/>
      <c r="E26" s="147"/>
      <c r="F26" s="147"/>
      <c r="G26" s="147"/>
    </row>
    <row r="27" spans="2:16" ht="17.25" customHeight="1">
      <c r="B27" s="149"/>
      <c r="C27" s="332" t="str">
        <f t="shared" si="0"/>
        <v/>
      </c>
      <c r="D27" s="146"/>
      <c r="E27" s="147"/>
      <c r="F27" s="147"/>
      <c r="G27" s="147"/>
    </row>
    <row r="28" spans="2:16" ht="17.25" customHeight="1">
      <c r="B28" s="149"/>
      <c r="C28" s="332" t="str">
        <f t="shared" si="0"/>
        <v/>
      </c>
      <c r="D28" s="146"/>
      <c r="E28" s="147"/>
      <c r="F28" s="147"/>
      <c r="G28" s="147"/>
    </row>
    <row r="29" spans="2:16" ht="17.25" customHeight="1">
      <c r="B29" s="149"/>
      <c r="C29" s="332" t="str">
        <f t="shared" si="0"/>
        <v/>
      </c>
      <c r="D29" s="146"/>
      <c r="E29" s="147"/>
      <c r="F29" s="147"/>
      <c r="G29" s="147"/>
    </row>
    <row r="30" spans="2:16" ht="17.25" customHeight="1">
      <c r="B30" s="149"/>
      <c r="C30" s="332" t="str">
        <f t="shared" si="0"/>
        <v/>
      </c>
      <c r="D30" s="146"/>
      <c r="E30" s="147"/>
      <c r="F30" s="147"/>
      <c r="G30" s="147"/>
    </row>
    <row r="31" spans="2:16" ht="17.25" customHeight="1">
      <c r="B31" s="149"/>
      <c r="C31" s="332" t="str">
        <f t="shared" si="0"/>
        <v/>
      </c>
      <c r="D31" s="146"/>
      <c r="E31" s="147"/>
      <c r="F31" s="147"/>
      <c r="G31" s="147"/>
    </row>
    <row r="32" spans="2:16" ht="17.25" customHeight="1">
      <c r="B32" s="149"/>
      <c r="C32" s="332" t="str">
        <f t="shared" si="0"/>
        <v/>
      </c>
      <c r="D32" s="146"/>
      <c r="E32" s="147"/>
      <c r="F32" s="147"/>
      <c r="G32" s="147"/>
    </row>
    <row r="33" spans="2:7" ht="17.25" customHeight="1">
      <c r="B33" s="149"/>
      <c r="C33" s="332" t="str">
        <f t="shared" si="0"/>
        <v/>
      </c>
      <c r="D33" s="146"/>
      <c r="E33" s="147"/>
      <c r="F33" s="147"/>
      <c r="G33" s="147"/>
    </row>
    <row r="34" spans="2:7" ht="17.25" customHeight="1">
      <c r="B34" s="149"/>
      <c r="C34" s="332" t="str">
        <f t="shared" si="0"/>
        <v/>
      </c>
      <c r="D34" s="146"/>
      <c r="E34" s="147"/>
      <c r="F34" s="147"/>
      <c r="G34" s="147"/>
    </row>
    <row r="35" spans="2:7" ht="17.25" customHeight="1">
      <c r="B35" s="149"/>
      <c r="C35" s="332" t="str">
        <f t="shared" si="0"/>
        <v/>
      </c>
      <c r="D35" s="146"/>
      <c r="E35" s="147"/>
      <c r="F35" s="147"/>
      <c r="G35" s="147"/>
    </row>
    <row r="36" spans="2:7" ht="17.25" customHeight="1">
      <c r="B36" s="149"/>
      <c r="C36" s="332" t="str">
        <f t="shared" si="0"/>
        <v/>
      </c>
      <c r="D36" s="146"/>
      <c r="E36" s="147"/>
      <c r="F36" s="147"/>
      <c r="G36" s="147"/>
    </row>
    <row r="37" spans="2:7" ht="17.25" customHeight="1">
      <c r="B37" s="149"/>
      <c r="C37" s="332" t="str">
        <f t="shared" si="0"/>
        <v/>
      </c>
      <c r="D37" s="146"/>
      <c r="E37" s="147"/>
      <c r="F37" s="147"/>
      <c r="G37" s="147"/>
    </row>
    <row r="38" spans="2:7" ht="17.25" customHeight="1">
      <c r="B38" s="149"/>
      <c r="C38" s="332" t="str">
        <f t="shared" si="0"/>
        <v/>
      </c>
      <c r="D38" s="146"/>
      <c r="E38" s="147"/>
      <c r="F38" s="147"/>
      <c r="G38" s="147"/>
    </row>
    <row r="39" spans="2:7" ht="17.25" customHeight="1">
      <c r="B39" s="149"/>
      <c r="C39" s="332" t="str">
        <f t="shared" si="0"/>
        <v/>
      </c>
      <c r="D39" s="146"/>
      <c r="E39" s="147"/>
      <c r="F39" s="147"/>
      <c r="G39" s="147"/>
    </row>
    <row r="40" spans="2:7" ht="17.25" customHeight="1">
      <c r="B40" s="149"/>
      <c r="C40" s="332" t="str">
        <f t="shared" si="0"/>
        <v/>
      </c>
      <c r="D40" s="146"/>
      <c r="E40" s="147"/>
      <c r="F40" s="147"/>
      <c r="G40" s="147"/>
    </row>
    <row r="41" spans="2:7" ht="17.25" customHeight="1">
      <c r="B41" s="149"/>
      <c r="C41" s="332" t="str">
        <f t="shared" si="0"/>
        <v/>
      </c>
      <c r="D41" s="146"/>
      <c r="E41" s="147"/>
      <c r="F41" s="147"/>
      <c r="G41" s="147"/>
    </row>
    <row r="42" spans="2:7" ht="17.25" customHeight="1">
      <c r="B42" s="149"/>
      <c r="C42" s="332" t="str">
        <f t="shared" si="0"/>
        <v/>
      </c>
      <c r="D42" s="146"/>
      <c r="E42" s="147"/>
      <c r="F42" s="147"/>
      <c r="G42" s="147"/>
    </row>
    <row r="43" spans="2:7" ht="17.25" customHeight="1">
      <c r="B43" s="149"/>
      <c r="C43" s="332" t="str">
        <f t="shared" si="0"/>
        <v/>
      </c>
      <c r="D43" s="146"/>
      <c r="E43" s="147"/>
      <c r="F43" s="147"/>
      <c r="G43" s="147"/>
    </row>
    <row r="44" spans="2:7" ht="17.25" customHeight="1">
      <c r="B44" s="149"/>
      <c r="C44" s="332" t="str">
        <f t="shared" si="0"/>
        <v/>
      </c>
      <c r="D44" s="146"/>
      <c r="E44" s="147"/>
      <c r="F44" s="147"/>
      <c r="G44" s="147"/>
    </row>
    <row r="45" spans="2:7" ht="17.25" customHeight="1">
      <c r="B45" s="149"/>
      <c r="C45" s="332" t="str">
        <f t="shared" si="0"/>
        <v/>
      </c>
      <c r="D45" s="146"/>
      <c r="E45" s="147"/>
      <c r="F45" s="147"/>
      <c r="G45" s="147"/>
    </row>
    <row r="46" spans="2:7" ht="17.25" customHeight="1">
      <c r="B46" s="149"/>
      <c r="C46" s="332" t="str">
        <f t="shared" si="0"/>
        <v/>
      </c>
      <c r="D46" s="146"/>
      <c r="E46" s="147"/>
      <c r="F46" s="147"/>
      <c r="G46" s="147"/>
    </row>
    <row r="47" spans="2:7" ht="17.25" customHeight="1">
      <c r="B47" s="149"/>
      <c r="C47" s="332" t="str">
        <f t="shared" si="0"/>
        <v/>
      </c>
      <c r="D47" s="146"/>
      <c r="E47" s="147"/>
      <c r="F47" s="147"/>
      <c r="G47" s="147"/>
    </row>
    <row r="48" spans="2:7" ht="17.25" customHeight="1">
      <c r="B48" s="149"/>
      <c r="C48" s="332" t="str">
        <f t="shared" si="0"/>
        <v/>
      </c>
      <c r="D48" s="146"/>
      <c r="E48" s="147"/>
      <c r="F48" s="147"/>
      <c r="G48" s="147"/>
    </row>
    <row r="49" spans="2:7" ht="17.25" customHeight="1">
      <c r="B49" s="149"/>
      <c r="C49" s="332" t="str">
        <f t="shared" si="0"/>
        <v/>
      </c>
      <c r="D49" s="146"/>
      <c r="E49" s="147"/>
      <c r="F49" s="147"/>
      <c r="G49" s="147"/>
    </row>
    <row r="50" spans="2:7" ht="17.25" customHeight="1">
      <c r="B50" s="149"/>
      <c r="C50" s="332" t="str">
        <f t="shared" si="0"/>
        <v/>
      </c>
      <c r="D50" s="146"/>
      <c r="E50" s="147"/>
      <c r="F50" s="147"/>
      <c r="G50" s="147"/>
    </row>
    <row r="51" spans="2:7" ht="17.25" customHeight="1">
      <c r="B51" s="149"/>
      <c r="C51" s="332" t="str">
        <f t="shared" si="0"/>
        <v/>
      </c>
      <c r="D51" s="146"/>
      <c r="E51" s="147"/>
      <c r="F51" s="147"/>
      <c r="G51" s="147"/>
    </row>
    <row r="52" spans="2:7" ht="17.25" customHeight="1">
      <c r="B52" s="149"/>
      <c r="C52" s="332" t="str">
        <f t="shared" si="0"/>
        <v/>
      </c>
      <c r="D52" s="146"/>
      <c r="E52" s="147"/>
      <c r="F52" s="147"/>
      <c r="G52" s="147"/>
    </row>
    <row r="53" spans="2:7" ht="17.25" customHeight="1">
      <c r="B53" s="149"/>
      <c r="C53" s="332" t="str">
        <f t="shared" si="0"/>
        <v/>
      </c>
      <c r="D53" s="146"/>
      <c r="E53" s="147"/>
      <c r="F53" s="147"/>
      <c r="G53" s="147"/>
    </row>
    <row r="54" spans="2:7" ht="17.25" customHeight="1">
      <c r="B54" s="149"/>
      <c r="C54" s="332" t="str">
        <f t="shared" si="0"/>
        <v/>
      </c>
      <c r="D54" s="146"/>
      <c r="E54" s="147"/>
      <c r="F54" s="147"/>
      <c r="G54" s="147"/>
    </row>
    <row r="55" spans="2:7" ht="17.25" customHeight="1">
      <c r="B55" s="149"/>
      <c r="C55" s="332" t="str">
        <f t="shared" si="0"/>
        <v/>
      </c>
      <c r="D55" s="146"/>
      <c r="E55" s="147"/>
      <c r="F55" s="147"/>
      <c r="G55" s="147"/>
    </row>
    <row r="56" spans="2:7" ht="17.25" customHeight="1">
      <c r="B56" s="149"/>
      <c r="C56" s="332" t="str">
        <f t="shared" si="0"/>
        <v/>
      </c>
      <c r="D56" s="146"/>
      <c r="E56" s="147"/>
      <c r="F56" s="147"/>
      <c r="G56" s="147"/>
    </row>
    <row r="57" spans="2:7" ht="17.25" customHeight="1">
      <c r="B57" s="149"/>
      <c r="C57" s="332" t="str">
        <f t="shared" si="0"/>
        <v/>
      </c>
      <c r="D57" s="146"/>
      <c r="E57" s="147"/>
      <c r="F57" s="147"/>
      <c r="G57" s="147"/>
    </row>
    <row r="58" spans="2:7" ht="17.25" customHeight="1">
      <c r="B58" s="149"/>
      <c r="C58" s="332" t="str">
        <f t="shared" si="0"/>
        <v/>
      </c>
      <c r="D58" s="146"/>
      <c r="E58" s="147"/>
      <c r="F58" s="147"/>
      <c r="G58" s="147"/>
    </row>
    <row r="59" spans="2:7" ht="17.25" customHeight="1">
      <c r="B59" s="149"/>
      <c r="C59" s="332" t="str">
        <f t="shared" si="0"/>
        <v/>
      </c>
      <c r="D59" s="146"/>
      <c r="E59" s="147"/>
      <c r="F59" s="147"/>
      <c r="G59" s="147"/>
    </row>
    <row r="60" spans="2:7" ht="17.25" customHeight="1">
      <c r="B60" s="149"/>
      <c r="C60" s="332" t="str">
        <f t="shared" si="0"/>
        <v/>
      </c>
      <c r="D60" s="146"/>
      <c r="E60" s="147"/>
      <c r="F60" s="147"/>
      <c r="G60" s="147"/>
    </row>
    <row r="61" spans="2:7" ht="17.25" customHeight="1">
      <c r="B61" s="149"/>
      <c r="C61" s="332" t="str">
        <f t="shared" si="0"/>
        <v/>
      </c>
      <c r="D61" s="146"/>
      <c r="E61" s="147"/>
      <c r="F61" s="147"/>
      <c r="G61" s="147"/>
    </row>
    <row r="62" spans="2:7" ht="17.25" customHeight="1">
      <c r="B62" s="149"/>
      <c r="C62" s="332" t="str">
        <f t="shared" si="0"/>
        <v/>
      </c>
      <c r="D62" s="146"/>
      <c r="E62" s="147"/>
      <c r="F62" s="147"/>
      <c r="G62" s="147"/>
    </row>
    <row r="63" spans="2:7" ht="17.25" customHeight="1">
      <c r="B63" s="149"/>
      <c r="C63" s="332" t="str">
        <f t="shared" si="0"/>
        <v/>
      </c>
      <c r="D63" s="146"/>
      <c r="E63" s="147"/>
      <c r="F63" s="147"/>
      <c r="G63" s="147"/>
    </row>
    <row r="64" spans="2:7" ht="17.25" customHeight="1">
      <c r="B64" s="149"/>
      <c r="C64" s="332" t="str">
        <f t="shared" si="0"/>
        <v/>
      </c>
      <c r="D64" s="146"/>
      <c r="E64" s="147"/>
      <c r="F64" s="147"/>
      <c r="G64" s="147"/>
    </row>
    <row r="65" spans="2:7" ht="17.25" customHeight="1">
      <c r="B65" s="149"/>
      <c r="C65" s="332" t="str">
        <f t="shared" si="0"/>
        <v/>
      </c>
      <c r="D65" s="146"/>
      <c r="E65" s="147"/>
      <c r="F65" s="147"/>
      <c r="G65" s="147"/>
    </row>
    <row r="66" spans="2:7" ht="17.25" customHeight="1">
      <c r="B66" s="149"/>
      <c r="C66" s="332" t="str">
        <f t="shared" si="0"/>
        <v/>
      </c>
      <c r="D66" s="146"/>
      <c r="E66" s="147"/>
      <c r="F66" s="147"/>
      <c r="G66" s="147"/>
    </row>
    <row r="67" spans="2:7" ht="17.25" customHeight="1">
      <c r="B67" s="149"/>
      <c r="C67" s="332" t="str">
        <f t="shared" si="0"/>
        <v/>
      </c>
      <c r="D67" s="146"/>
      <c r="E67" s="147"/>
      <c r="F67" s="147"/>
      <c r="G67" s="147"/>
    </row>
    <row r="68" spans="2:7" ht="17.25" customHeight="1">
      <c r="B68" s="149"/>
      <c r="C68" s="332" t="str">
        <f t="shared" si="0"/>
        <v/>
      </c>
      <c r="D68" s="146"/>
      <c r="E68" s="147"/>
      <c r="F68" s="147"/>
      <c r="G68" s="147"/>
    </row>
    <row r="69" spans="2:7" ht="17.25" customHeight="1">
      <c r="B69" s="149"/>
      <c r="C69" s="332" t="str">
        <f t="shared" si="0"/>
        <v/>
      </c>
      <c r="D69" s="146"/>
      <c r="E69" s="147"/>
      <c r="F69" s="147"/>
      <c r="G69" s="147"/>
    </row>
    <row r="70" spans="2:7" ht="17.25" customHeight="1">
      <c r="B70" s="149"/>
      <c r="C70" s="332" t="str">
        <f t="shared" ref="C70:C133" si="1">IF(D70&lt;&gt;0,C69+1,"")</f>
        <v/>
      </c>
      <c r="D70" s="146"/>
      <c r="E70" s="147"/>
      <c r="F70" s="147"/>
      <c r="G70" s="147"/>
    </row>
    <row r="71" spans="2:7" ht="17.25" customHeight="1">
      <c r="B71" s="149"/>
      <c r="C71" s="332" t="str">
        <f t="shared" si="1"/>
        <v/>
      </c>
      <c r="D71" s="146"/>
      <c r="E71" s="147"/>
      <c r="F71" s="147"/>
      <c r="G71" s="147"/>
    </row>
    <row r="72" spans="2:7" ht="17.25" customHeight="1">
      <c r="B72" s="149"/>
      <c r="C72" s="332" t="str">
        <f t="shared" si="1"/>
        <v/>
      </c>
      <c r="D72" s="146"/>
      <c r="E72" s="147"/>
      <c r="F72" s="147"/>
      <c r="G72" s="147"/>
    </row>
    <row r="73" spans="2:7" ht="17.25" customHeight="1">
      <c r="B73" s="149"/>
      <c r="C73" s="332" t="str">
        <f t="shared" si="1"/>
        <v/>
      </c>
      <c r="D73" s="146"/>
      <c r="E73" s="147"/>
      <c r="F73" s="147"/>
      <c r="G73" s="147"/>
    </row>
    <row r="74" spans="2:7" ht="17.25" customHeight="1">
      <c r="B74" s="149"/>
      <c r="C74" s="332" t="str">
        <f t="shared" si="1"/>
        <v/>
      </c>
      <c r="D74" s="146"/>
      <c r="E74" s="147"/>
      <c r="F74" s="147"/>
      <c r="G74" s="147"/>
    </row>
    <row r="75" spans="2:7" ht="17.25" customHeight="1">
      <c r="B75" s="149"/>
      <c r="C75" s="332" t="str">
        <f t="shared" si="1"/>
        <v/>
      </c>
      <c r="D75" s="146"/>
      <c r="E75" s="147"/>
      <c r="F75" s="147"/>
      <c r="G75" s="147"/>
    </row>
    <row r="76" spans="2:7" ht="17.25" customHeight="1">
      <c r="B76" s="149"/>
      <c r="C76" s="332" t="str">
        <f t="shared" si="1"/>
        <v/>
      </c>
      <c r="D76" s="146"/>
      <c r="E76" s="147"/>
      <c r="F76" s="147"/>
      <c r="G76" s="147"/>
    </row>
    <row r="77" spans="2:7" ht="17.25" customHeight="1">
      <c r="B77" s="149"/>
      <c r="C77" s="332" t="str">
        <f t="shared" si="1"/>
        <v/>
      </c>
      <c r="D77" s="146"/>
      <c r="E77" s="147"/>
      <c r="F77" s="147"/>
      <c r="G77" s="147"/>
    </row>
    <row r="78" spans="2:7" ht="17.25" customHeight="1">
      <c r="B78" s="149"/>
      <c r="C78" s="332" t="str">
        <f t="shared" si="1"/>
        <v/>
      </c>
      <c r="D78" s="146"/>
      <c r="E78" s="147"/>
      <c r="F78" s="147"/>
      <c r="G78" s="147"/>
    </row>
    <row r="79" spans="2:7" ht="17.25" customHeight="1">
      <c r="B79" s="149"/>
      <c r="C79" s="332" t="str">
        <f t="shared" si="1"/>
        <v/>
      </c>
      <c r="D79" s="146"/>
      <c r="E79" s="147"/>
      <c r="F79" s="147"/>
      <c r="G79" s="147"/>
    </row>
    <row r="80" spans="2:7" ht="17.25" customHeight="1">
      <c r="B80" s="149"/>
      <c r="C80" s="332" t="str">
        <f t="shared" si="1"/>
        <v/>
      </c>
      <c r="D80" s="146"/>
      <c r="E80" s="147"/>
      <c r="F80" s="147"/>
      <c r="G80" s="147"/>
    </row>
    <row r="81" spans="2:7" ht="17.25" customHeight="1">
      <c r="B81" s="149"/>
      <c r="C81" s="332" t="str">
        <f t="shared" si="1"/>
        <v/>
      </c>
      <c r="D81" s="146"/>
      <c r="E81" s="147"/>
      <c r="F81" s="147"/>
      <c r="G81" s="147"/>
    </row>
    <row r="82" spans="2:7" ht="17.25" customHeight="1">
      <c r="B82" s="149"/>
      <c r="C82" s="332" t="str">
        <f t="shared" si="1"/>
        <v/>
      </c>
      <c r="D82" s="146"/>
      <c r="E82" s="147"/>
      <c r="F82" s="147"/>
      <c r="G82" s="147"/>
    </row>
    <row r="83" spans="2:7" ht="17.25" customHeight="1">
      <c r="B83" s="149"/>
      <c r="C83" s="332" t="str">
        <f t="shared" si="1"/>
        <v/>
      </c>
      <c r="D83" s="146"/>
      <c r="E83" s="147"/>
      <c r="F83" s="147"/>
      <c r="G83" s="147"/>
    </row>
    <row r="84" spans="2:7" ht="17.25" customHeight="1">
      <c r="B84" s="149"/>
      <c r="C84" s="332" t="str">
        <f t="shared" si="1"/>
        <v/>
      </c>
      <c r="D84" s="146"/>
      <c r="E84" s="147"/>
      <c r="F84" s="147"/>
      <c r="G84" s="147"/>
    </row>
    <row r="85" spans="2:7" ht="17.25" customHeight="1">
      <c r="B85" s="149"/>
      <c r="C85" s="332" t="str">
        <f t="shared" si="1"/>
        <v/>
      </c>
      <c r="D85" s="146"/>
      <c r="E85" s="147"/>
      <c r="F85" s="147"/>
      <c r="G85" s="147"/>
    </row>
    <row r="86" spans="2:7" ht="17.25" customHeight="1">
      <c r="B86" s="149"/>
      <c r="C86" s="332" t="str">
        <f t="shared" si="1"/>
        <v/>
      </c>
      <c r="D86" s="146"/>
      <c r="E86" s="147"/>
      <c r="F86" s="147"/>
      <c r="G86" s="147"/>
    </row>
    <row r="87" spans="2:7" ht="17.25" customHeight="1">
      <c r="B87" s="149"/>
      <c r="C87" s="332" t="str">
        <f t="shared" si="1"/>
        <v/>
      </c>
      <c r="D87" s="146"/>
      <c r="E87" s="147"/>
      <c r="F87" s="147"/>
      <c r="G87" s="147"/>
    </row>
    <row r="88" spans="2:7" ht="17.25" customHeight="1">
      <c r="B88" s="149"/>
      <c r="C88" s="332" t="str">
        <f t="shared" si="1"/>
        <v/>
      </c>
      <c r="D88" s="146"/>
      <c r="E88" s="147"/>
      <c r="F88" s="147"/>
      <c r="G88" s="147"/>
    </row>
    <row r="89" spans="2:7" ht="17.25" customHeight="1">
      <c r="B89" s="149"/>
      <c r="C89" s="332" t="str">
        <f t="shared" si="1"/>
        <v/>
      </c>
      <c r="D89" s="146"/>
      <c r="E89" s="147"/>
      <c r="F89" s="147"/>
      <c r="G89" s="147"/>
    </row>
    <row r="90" spans="2:7" ht="17.25" customHeight="1">
      <c r="B90" s="149"/>
      <c r="C90" s="332" t="str">
        <f t="shared" si="1"/>
        <v/>
      </c>
      <c r="D90" s="146"/>
      <c r="E90" s="147"/>
      <c r="F90" s="147"/>
      <c r="G90" s="147"/>
    </row>
    <row r="91" spans="2:7" ht="17.25" customHeight="1">
      <c r="B91" s="149"/>
      <c r="C91" s="332" t="str">
        <f t="shared" si="1"/>
        <v/>
      </c>
      <c r="D91" s="146"/>
      <c r="E91" s="147"/>
      <c r="F91" s="147"/>
      <c r="G91" s="147"/>
    </row>
    <row r="92" spans="2:7" ht="17.25" customHeight="1">
      <c r="B92" s="149"/>
      <c r="C92" s="332" t="str">
        <f t="shared" si="1"/>
        <v/>
      </c>
      <c r="D92" s="146"/>
      <c r="E92" s="147"/>
      <c r="F92" s="147"/>
      <c r="G92" s="147"/>
    </row>
    <row r="93" spans="2:7" ht="17.25" customHeight="1">
      <c r="B93" s="149"/>
      <c r="C93" s="332" t="str">
        <f t="shared" si="1"/>
        <v/>
      </c>
      <c r="D93" s="146"/>
      <c r="E93" s="147"/>
      <c r="F93" s="147"/>
      <c r="G93" s="147"/>
    </row>
    <row r="94" spans="2:7" ht="17.25" customHeight="1">
      <c r="B94" s="149"/>
      <c r="C94" s="332" t="str">
        <f t="shared" si="1"/>
        <v/>
      </c>
      <c r="D94" s="146"/>
      <c r="E94" s="147"/>
      <c r="F94" s="147"/>
      <c r="G94" s="147"/>
    </row>
    <row r="95" spans="2:7" ht="17.25" customHeight="1">
      <c r="B95" s="149"/>
      <c r="C95" s="332" t="str">
        <f t="shared" si="1"/>
        <v/>
      </c>
      <c r="D95" s="146"/>
      <c r="E95" s="147"/>
      <c r="F95" s="147"/>
      <c r="G95" s="147"/>
    </row>
    <row r="96" spans="2:7" ht="17.25" customHeight="1">
      <c r="B96" s="149"/>
      <c r="C96" s="332" t="str">
        <f t="shared" si="1"/>
        <v/>
      </c>
      <c r="D96" s="146"/>
      <c r="E96" s="147"/>
      <c r="F96" s="147"/>
      <c r="G96" s="147"/>
    </row>
    <row r="97" spans="2:7" ht="17.25" customHeight="1">
      <c r="B97" s="149"/>
      <c r="C97" s="332" t="str">
        <f t="shared" si="1"/>
        <v/>
      </c>
      <c r="D97" s="146"/>
      <c r="E97" s="147"/>
      <c r="F97" s="147"/>
      <c r="G97" s="147"/>
    </row>
    <row r="98" spans="2:7" ht="17.25" customHeight="1">
      <c r="B98" s="149"/>
      <c r="C98" s="332" t="str">
        <f t="shared" si="1"/>
        <v/>
      </c>
      <c r="D98" s="146"/>
      <c r="E98" s="147"/>
      <c r="F98" s="147"/>
      <c r="G98" s="147"/>
    </row>
    <row r="99" spans="2:7" ht="17.25" customHeight="1">
      <c r="B99" s="149"/>
      <c r="C99" s="332" t="str">
        <f t="shared" si="1"/>
        <v/>
      </c>
      <c r="D99" s="146"/>
      <c r="E99" s="147"/>
      <c r="F99" s="147"/>
      <c r="G99" s="147"/>
    </row>
    <row r="100" spans="2:7" ht="17.25" customHeight="1">
      <c r="B100" s="149"/>
      <c r="C100" s="332" t="str">
        <f t="shared" si="1"/>
        <v/>
      </c>
      <c r="D100" s="146"/>
      <c r="E100" s="147"/>
      <c r="F100" s="147"/>
      <c r="G100" s="147"/>
    </row>
    <row r="101" spans="2:7" ht="17.25" customHeight="1">
      <c r="B101" s="149"/>
      <c r="C101" s="332" t="str">
        <f t="shared" si="1"/>
        <v/>
      </c>
      <c r="D101" s="146"/>
      <c r="E101" s="147"/>
      <c r="F101" s="147"/>
      <c r="G101" s="147"/>
    </row>
    <row r="102" spans="2:7" ht="17.25" customHeight="1">
      <c r="B102" s="149"/>
      <c r="C102" s="332" t="str">
        <f t="shared" si="1"/>
        <v/>
      </c>
      <c r="D102" s="146"/>
      <c r="E102" s="147"/>
      <c r="F102" s="147"/>
      <c r="G102" s="147"/>
    </row>
    <row r="103" spans="2:7" ht="17.25" customHeight="1">
      <c r="B103" s="149"/>
      <c r="C103" s="332" t="str">
        <f t="shared" si="1"/>
        <v/>
      </c>
      <c r="D103" s="146"/>
      <c r="E103" s="147"/>
      <c r="F103" s="147"/>
      <c r="G103" s="147"/>
    </row>
    <row r="104" spans="2:7" ht="17.25" customHeight="1">
      <c r="B104" s="149"/>
      <c r="C104" s="332" t="str">
        <f t="shared" si="1"/>
        <v/>
      </c>
      <c r="D104" s="146"/>
      <c r="E104" s="147"/>
      <c r="F104" s="147"/>
      <c r="G104" s="147"/>
    </row>
    <row r="105" spans="2:7" ht="17.25" customHeight="1">
      <c r="B105" s="149"/>
      <c r="C105" s="332" t="str">
        <f t="shared" si="1"/>
        <v/>
      </c>
      <c r="D105" s="146"/>
      <c r="E105" s="147"/>
      <c r="F105" s="147"/>
      <c r="G105" s="147"/>
    </row>
    <row r="106" spans="2:7" ht="17.25" customHeight="1">
      <c r="B106" s="149"/>
      <c r="C106" s="332" t="str">
        <f t="shared" si="1"/>
        <v/>
      </c>
      <c r="D106" s="146"/>
      <c r="E106" s="147"/>
      <c r="F106" s="147"/>
      <c r="G106" s="147"/>
    </row>
    <row r="107" spans="2:7" ht="17.25" customHeight="1">
      <c r="B107" s="149"/>
      <c r="C107" s="332" t="str">
        <f t="shared" si="1"/>
        <v/>
      </c>
      <c r="D107" s="146"/>
      <c r="E107" s="147"/>
      <c r="F107" s="147"/>
      <c r="G107" s="147"/>
    </row>
    <row r="108" spans="2:7" ht="17.25" customHeight="1">
      <c r="B108" s="149"/>
      <c r="C108" s="332" t="str">
        <f t="shared" si="1"/>
        <v/>
      </c>
      <c r="D108" s="146"/>
      <c r="E108" s="147"/>
      <c r="F108" s="147"/>
      <c r="G108" s="147"/>
    </row>
    <row r="109" spans="2:7" ht="17.25" customHeight="1">
      <c r="B109" s="149"/>
      <c r="C109" s="332" t="str">
        <f t="shared" si="1"/>
        <v/>
      </c>
      <c r="D109" s="146"/>
      <c r="E109" s="147"/>
      <c r="F109" s="147"/>
      <c r="G109" s="147"/>
    </row>
    <row r="110" spans="2:7" ht="17.25" customHeight="1">
      <c r="B110" s="149"/>
      <c r="C110" s="332" t="str">
        <f t="shared" si="1"/>
        <v/>
      </c>
      <c r="D110" s="146"/>
      <c r="E110" s="147"/>
      <c r="F110" s="147"/>
      <c r="G110" s="147"/>
    </row>
    <row r="111" spans="2:7" ht="17.25" customHeight="1">
      <c r="B111" s="149"/>
      <c r="C111" s="332" t="str">
        <f t="shared" si="1"/>
        <v/>
      </c>
      <c r="D111" s="146"/>
      <c r="E111" s="147"/>
      <c r="F111" s="147"/>
      <c r="G111" s="147"/>
    </row>
    <row r="112" spans="2:7" ht="17.25" customHeight="1">
      <c r="B112" s="149"/>
      <c r="C112" s="332" t="str">
        <f t="shared" si="1"/>
        <v/>
      </c>
      <c r="D112" s="146"/>
      <c r="E112" s="147"/>
      <c r="F112" s="147"/>
      <c r="G112" s="147"/>
    </row>
    <row r="113" spans="2:7" ht="17.25" customHeight="1">
      <c r="B113" s="149"/>
      <c r="C113" s="332" t="str">
        <f t="shared" si="1"/>
        <v/>
      </c>
      <c r="D113" s="146"/>
      <c r="E113" s="147"/>
      <c r="F113" s="147"/>
      <c r="G113" s="147"/>
    </row>
    <row r="114" spans="2:7" ht="17.25" customHeight="1">
      <c r="B114" s="149"/>
      <c r="C114" s="332" t="str">
        <f t="shared" si="1"/>
        <v/>
      </c>
      <c r="D114" s="146"/>
      <c r="E114" s="147"/>
      <c r="F114" s="147"/>
      <c r="G114" s="147"/>
    </row>
    <row r="115" spans="2:7" ht="17.25" customHeight="1">
      <c r="B115" s="149"/>
      <c r="C115" s="332" t="str">
        <f t="shared" si="1"/>
        <v/>
      </c>
      <c r="D115" s="146"/>
      <c r="E115" s="147"/>
      <c r="F115" s="147"/>
      <c r="G115" s="147"/>
    </row>
    <row r="116" spans="2:7" ht="17.25" customHeight="1">
      <c r="B116" s="149"/>
      <c r="C116" s="332" t="str">
        <f t="shared" si="1"/>
        <v/>
      </c>
      <c r="D116" s="146"/>
      <c r="E116" s="147"/>
      <c r="F116" s="147"/>
      <c r="G116" s="147"/>
    </row>
    <row r="117" spans="2:7" ht="17.25" customHeight="1">
      <c r="B117" s="149"/>
      <c r="C117" s="332" t="str">
        <f t="shared" si="1"/>
        <v/>
      </c>
      <c r="D117" s="146"/>
      <c r="E117" s="147"/>
      <c r="F117" s="147"/>
      <c r="G117" s="147"/>
    </row>
    <row r="118" spans="2:7" ht="17.25" customHeight="1">
      <c r="B118" s="149"/>
      <c r="C118" s="332" t="str">
        <f t="shared" si="1"/>
        <v/>
      </c>
      <c r="D118" s="146"/>
      <c r="E118" s="147"/>
      <c r="F118" s="147"/>
      <c r="G118" s="147"/>
    </row>
    <row r="119" spans="2:7" ht="17.25" customHeight="1">
      <c r="B119" s="149"/>
      <c r="C119" s="332" t="str">
        <f t="shared" si="1"/>
        <v/>
      </c>
      <c r="D119" s="146"/>
      <c r="E119" s="147"/>
      <c r="F119" s="147"/>
      <c r="G119" s="147"/>
    </row>
    <row r="120" spans="2:7" ht="17.25" customHeight="1">
      <c r="B120" s="149"/>
      <c r="C120" s="332" t="str">
        <f t="shared" si="1"/>
        <v/>
      </c>
      <c r="D120" s="146"/>
      <c r="E120" s="147"/>
      <c r="F120" s="147"/>
      <c r="G120" s="147"/>
    </row>
    <row r="121" spans="2:7" ht="17.25" customHeight="1">
      <c r="B121" s="149"/>
      <c r="C121" s="332" t="str">
        <f t="shared" si="1"/>
        <v/>
      </c>
      <c r="D121" s="146"/>
      <c r="E121" s="147"/>
      <c r="F121" s="147"/>
      <c r="G121" s="147"/>
    </row>
    <row r="122" spans="2:7" ht="17.25" customHeight="1">
      <c r="B122" s="149"/>
      <c r="C122" s="332" t="str">
        <f t="shared" si="1"/>
        <v/>
      </c>
      <c r="D122" s="146"/>
      <c r="E122" s="147"/>
      <c r="F122" s="147"/>
      <c r="G122" s="147"/>
    </row>
    <row r="123" spans="2:7" ht="17.25" customHeight="1">
      <c r="B123" s="149"/>
      <c r="C123" s="332" t="str">
        <f t="shared" si="1"/>
        <v/>
      </c>
      <c r="D123" s="146"/>
      <c r="E123" s="147"/>
      <c r="F123" s="147"/>
      <c r="G123" s="147"/>
    </row>
    <row r="124" spans="2:7" ht="17.25" customHeight="1">
      <c r="B124" s="149"/>
      <c r="C124" s="332" t="str">
        <f t="shared" si="1"/>
        <v/>
      </c>
      <c r="D124" s="146"/>
      <c r="E124" s="147"/>
      <c r="F124" s="147"/>
      <c r="G124" s="147"/>
    </row>
    <row r="125" spans="2:7" ht="17.25" customHeight="1">
      <c r="B125" s="149"/>
      <c r="C125" s="332" t="str">
        <f t="shared" si="1"/>
        <v/>
      </c>
      <c r="D125" s="146"/>
      <c r="E125" s="147"/>
      <c r="F125" s="147"/>
      <c r="G125" s="147"/>
    </row>
    <row r="126" spans="2:7" ht="17.25" customHeight="1">
      <c r="B126" s="149"/>
      <c r="C126" s="332" t="str">
        <f t="shared" si="1"/>
        <v/>
      </c>
      <c r="D126" s="146"/>
      <c r="E126" s="147"/>
      <c r="F126" s="147"/>
      <c r="G126" s="147"/>
    </row>
    <row r="127" spans="2:7" ht="17.25" customHeight="1">
      <c r="B127" s="149"/>
      <c r="C127" s="332" t="str">
        <f t="shared" si="1"/>
        <v/>
      </c>
      <c r="D127" s="146"/>
      <c r="E127" s="147"/>
      <c r="F127" s="147"/>
      <c r="G127" s="147"/>
    </row>
    <row r="128" spans="2:7" ht="17.25" customHeight="1">
      <c r="B128" s="149"/>
      <c r="C128" s="332" t="str">
        <f t="shared" si="1"/>
        <v/>
      </c>
      <c r="D128" s="146"/>
      <c r="E128" s="147"/>
      <c r="F128" s="147"/>
      <c r="G128" s="147"/>
    </row>
    <row r="129" spans="2:7" ht="17.25" customHeight="1">
      <c r="B129" s="149"/>
      <c r="C129" s="332" t="str">
        <f t="shared" si="1"/>
        <v/>
      </c>
      <c r="D129" s="146"/>
      <c r="E129" s="147"/>
      <c r="F129" s="147"/>
      <c r="G129" s="147"/>
    </row>
    <row r="130" spans="2:7" ht="17.25" customHeight="1">
      <c r="B130" s="149"/>
      <c r="C130" s="332" t="str">
        <f t="shared" si="1"/>
        <v/>
      </c>
      <c r="D130" s="146"/>
      <c r="E130" s="147"/>
      <c r="F130" s="147"/>
      <c r="G130" s="147"/>
    </row>
    <row r="131" spans="2:7" ht="17.25" customHeight="1">
      <c r="B131" s="149"/>
      <c r="C131" s="332" t="str">
        <f t="shared" si="1"/>
        <v/>
      </c>
      <c r="D131" s="146"/>
      <c r="E131" s="147"/>
      <c r="F131" s="147"/>
      <c r="G131" s="147"/>
    </row>
    <row r="132" spans="2:7" ht="17.25" customHeight="1">
      <c r="B132" s="149"/>
      <c r="C132" s="332" t="str">
        <f t="shared" si="1"/>
        <v/>
      </c>
      <c r="D132" s="146"/>
      <c r="E132" s="147"/>
      <c r="F132" s="147"/>
      <c r="G132" s="147"/>
    </row>
    <row r="133" spans="2:7" ht="17.25" customHeight="1">
      <c r="B133" s="149"/>
      <c r="C133" s="332" t="str">
        <f t="shared" si="1"/>
        <v/>
      </c>
      <c r="D133" s="146"/>
      <c r="E133" s="147"/>
      <c r="F133" s="147"/>
      <c r="G133" s="147"/>
    </row>
    <row r="134" spans="2:7" ht="17.25" customHeight="1">
      <c r="B134" s="149"/>
      <c r="C134" s="332" t="str">
        <f t="shared" ref="C134:C197" si="2">IF(D134&lt;&gt;0,C133+1,"")</f>
        <v/>
      </c>
      <c r="D134" s="146"/>
      <c r="E134" s="147"/>
      <c r="F134" s="147"/>
      <c r="G134" s="147"/>
    </row>
    <row r="135" spans="2:7" ht="17.25" customHeight="1">
      <c r="B135" s="149"/>
      <c r="C135" s="332" t="str">
        <f t="shared" si="2"/>
        <v/>
      </c>
      <c r="D135" s="146"/>
      <c r="E135" s="147"/>
      <c r="F135" s="147"/>
      <c r="G135" s="147"/>
    </row>
    <row r="136" spans="2:7" ht="17.25" customHeight="1">
      <c r="B136" s="149"/>
      <c r="C136" s="332" t="str">
        <f t="shared" si="2"/>
        <v/>
      </c>
      <c r="D136" s="146"/>
      <c r="E136" s="147"/>
      <c r="F136" s="147"/>
      <c r="G136" s="147"/>
    </row>
    <row r="137" spans="2:7" ht="17.25" customHeight="1">
      <c r="B137" s="149"/>
      <c r="C137" s="332" t="str">
        <f t="shared" si="2"/>
        <v/>
      </c>
      <c r="D137" s="146"/>
      <c r="E137" s="147"/>
      <c r="F137" s="147"/>
      <c r="G137" s="147"/>
    </row>
    <row r="138" spans="2:7" ht="17.25" customHeight="1">
      <c r="B138" s="149"/>
      <c r="C138" s="332" t="str">
        <f t="shared" si="2"/>
        <v/>
      </c>
      <c r="D138" s="146"/>
      <c r="E138" s="147"/>
      <c r="F138" s="147"/>
      <c r="G138" s="147"/>
    </row>
    <row r="139" spans="2:7" ht="17.25" customHeight="1">
      <c r="B139" s="149"/>
      <c r="C139" s="332" t="str">
        <f t="shared" si="2"/>
        <v/>
      </c>
      <c r="D139" s="146"/>
      <c r="E139" s="147"/>
      <c r="F139" s="147"/>
      <c r="G139" s="147"/>
    </row>
    <row r="140" spans="2:7" ht="17.25" customHeight="1">
      <c r="B140" s="149"/>
      <c r="C140" s="332" t="str">
        <f t="shared" si="2"/>
        <v/>
      </c>
      <c r="D140" s="146"/>
      <c r="E140" s="147"/>
      <c r="F140" s="147"/>
      <c r="G140" s="147"/>
    </row>
    <row r="141" spans="2:7" ht="17.25" customHeight="1">
      <c r="B141" s="149"/>
      <c r="C141" s="332" t="str">
        <f t="shared" si="2"/>
        <v/>
      </c>
      <c r="D141" s="146"/>
      <c r="E141" s="147"/>
      <c r="F141" s="147"/>
      <c r="G141" s="147"/>
    </row>
    <row r="142" spans="2:7" ht="17.25" customHeight="1">
      <c r="B142" s="149"/>
      <c r="C142" s="332" t="str">
        <f t="shared" si="2"/>
        <v/>
      </c>
      <c r="D142" s="146"/>
      <c r="E142" s="147"/>
      <c r="F142" s="147"/>
      <c r="G142" s="147"/>
    </row>
    <row r="143" spans="2:7" ht="17.25" customHeight="1">
      <c r="B143" s="149"/>
      <c r="C143" s="332" t="str">
        <f t="shared" si="2"/>
        <v/>
      </c>
      <c r="D143" s="146"/>
      <c r="E143" s="147"/>
      <c r="F143" s="147"/>
      <c r="G143" s="147"/>
    </row>
    <row r="144" spans="2:7" ht="17.25" customHeight="1">
      <c r="B144" s="149"/>
      <c r="C144" s="332" t="str">
        <f t="shared" si="2"/>
        <v/>
      </c>
      <c r="D144" s="146"/>
      <c r="E144" s="147"/>
      <c r="F144" s="147"/>
      <c r="G144" s="147"/>
    </row>
    <row r="145" spans="2:7" ht="17.25" customHeight="1">
      <c r="B145" s="149"/>
      <c r="C145" s="332" t="str">
        <f t="shared" si="2"/>
        <v/>
      </c>
      <c r="D145" s="146"/>
      <c r="E145" s="147"/>
      <c r="F145" s="147"/>
      <c r="G145" s="147"/>
    </row>
    <row r="146" spans="2:7" ht="17.25" customHeight="1">
      <c r="B146" s="149"/>
      <c r="C146" s="332" t="str">
        <f t="shared" si="2"/>
        <v/>
      </c>
      <c r="D146" s="146"/>
      <c r="E146" s="147"/>
      <c r="F146" s="147"/>
      <c r="G146" s="147"/>
    </row>
    <row r="147" spans="2:7" ht="17.25" customHeight="1">
      <c r="B147" s="149"/>
      <c r="C147" s="332" t="str">
        <f t="shared" si="2"/>
        <v/>
      </c>
      <c r="D147" s="146"/>
      <c r="E147" s="147"/>
      <c r="F147" s="147"/>
      <c r="G147" s="147"/>
    </row>
    <row r="148" spans="2:7" ht="17.25" customHeight="1">
      <c r="B148" s="149"/>
      <c r="C148" s="332" t="str">
        <f t="shared" si="2"/>
        <v/>
      </c>
      <c r="D148" s="146"/>
      <c r="E148" s="147"/>
      <c r="F148" s="147"/>
      <c r="G148" s="147"/>
    </row>
    <row r="149" spans="2:7" ht="17.25" customHeight="1">
      <c r="B149" s="149"/>
      <c r="C149" s="332" t="str">
        <f t="shared" si="2"/>
        <v/>
      </c>
      <c r="D149" s="146"/>
      <c r="E149" s="147"/>
      <c r="F149" s="147"/>
      <c r="G149" s="147"/>
    </row>
    <row r="150" spans="2:7" ht="17.25" customHeight="1">
      <c r="B150" s="149"/>
      <c r="C150" s="332" t="str">
        <f t="shared" si="2"/>
        <v/>
      </c>
      <c r="D150" s="146"/>
      <c r="E150" s="147"/>
      <c r="F150" s="147"/>
      <c r="G150" s="147"/>
    </row>
    <row r="151" spans="2:7" ht="17.25" customHeight="1">
      <c r="B151" s="149"/>
      <c r="C151" s="332" t="str">
        <f t="shared" si="2"/>
        <v/>
      </c>
      <c r="D151" s="146"/>
      <c r="E151" s="147"/>
      <c r="F151" s="147"/>
      <c r="G151" s="147"/>
    </row>
    <row r="152" spans="2:7" ht="17.25" customHeight="1">
      <c r="B152" s="149"/>
      <c r="C152" s="332" t="str">
        <f t="shared" si="2"/>
        <v/>
      </c>
      <c r="D152" s="146"/>
      <c r="E152" s="147"/>
      <c r="F152" s="147"/>
      <c r="G152" s="147"/>
    </row>
    <row r="153" spans="2:7" ht="17.25" customHeight="1">
      <c r="B153" s="149"/>
      <c r="C153" s="332" t="str">
        <f t="shared" si="2"/>
        <v/>
      </c>
      <c r="D153" s="146"/>
      <c r="E153" s="147"/>
      <c r="F153" s="147"/>
      <c r="G153" s="147"/>
    </row>
    <row r="154" spans="2:7" ht="17.25" customHeight="1">
      <c r="B154" s="149"/>
      <c r="C154" s="332" t="str">
        <f t="shared" si="2"/>
        <v/>
      </c>
      <c r="D154" s="146"/>
      <c r="E154" s="147"/>
      <c r="F154" s="147"/>
      <c r="G154" s="147"/>
    </row>
    <row r="155" spans="2:7" ht="17.25" customHeight="1">
      <c r="B155" s="149"/>
      <c r="C155" s="332" t="str">
        <f t="shared" si="2"/>
        <v/>
      </c>
      <c r="D155" s="146"/>
      <c r="E155" s="147"/>
      <c r="F155" s="147"/>
      <c r="G155" s="147"/>
    </row>
    <row r="156" spans="2:7" ht="17.25" customHeight="1">
      <c r="B156" s="149"/>
      <c r="C156" s="332" t="str">
        <f t="shared" si="2"/>
        <v/>
      </c>
      <c r="D156" s="146"/>
      <c r="E156" s="147"/>
      <c r="F156" s="147"/>
      <c r="G156" s="147"/>
    </row>
    <row r="157" spans="2:7" ht="17.25" customHeight="1">
      <c r="B157" s="149"/>
      <c r="C157" s="332" t="str">
        <f t="shared" si="2"/>
        <v/>
      </c>
      <c r="D157" s="146"/>
      <c r="E157" s="147"/>
      <c r="F157" s="147"/>
      <c r="G157" s="147"/>
    </row>
    <row r="158" spans="2:7" ht="17.25" customHeight="1">
      <c r="B158" s="149"/>
      <c r="C158" s="332" t="str">
        <f t="shared" si="2"/>
        <v/>
      </c>
      <c r="D158" s="146"/>
      <c r="E158" s="147"/>
      <c r="F158" s="147"/>
      <c r="G158" s="147"/>
    </row>
    <row r="159" spans="2:7" ht="17.25" customHeight="1">
      <c r="B159" s="149"/>
      <c r="C159" s="332" t="str">
        <f t="shared" si="2"/>
        <v/>
      </c>
      <c r="D159" s="146"/>
      <c r="E159" s="147"/>
      <c r="F159" s="147"/>
      <c r="G159" s="147"/>
    </row>
    <row r="160" spans="2:7" ht="17.25" customHeight="1">
      <c r="B160" s="149"/>
      <c r="C160" s="332" t="str">
        <f t="shared" si="2"/>
        <v/>
      </c>
      <c r="D160" s="146"/>
      <c r="E160" s="147"/>
      <c r="F160" s="147"/>
      <c r="G160" s="147"/>
    </row>
    <row r="161" spans="2:7" ht="17.25" customHeight="1">
      <c r="B161" s="149"/>
      <c r="C161" s="332" t="str">
        <f t="shared" si="2"/>
        <v/>
      </c>
      <c r="D161" s="146"/>
      <c r="E161" s="147"/>
      <c r="F161" s="147"/>
      <c r="G161" s="147"/>
    </row>
    <row r="162" spans="2:7" ht="17.25" customHeight="1">
      <c r="B162" s="149"/>
      <c r="C162" s="332" t="str">
        <f t="shared" si="2"/>
        <v/>
      </c>
      <c r="D162" s="146"/>
      <c r="E162" s="147"/>
      <c r="F162" s="147"/>
      <c r="G162" s="147"/>
    </row>
    <row r="163" spans="2:7" ht="17.25" customHeight="1">
      <c r="B163" s="149"/>
      <c r="C163" s="332" t="str">
        <f t="shared" si="2"/>
        <v/>
      </c>
      <c r="D163" s="146"/>
      <c r="E163" s="147"/>
      <c r="F163" s="147"/>
      <c r="G163" s="147"/>
    </row>
    <row r="164" spans="2:7" ht="17.25" customHeight="1">
      <c r="B164" s="149"/>
      <c r="C164" s="332" t="str">
        <f t="shared" si="2"/>
        <v/>
      </c>
      <c r="D164" s="146"/>
      <c r="E164" s="147"/>
      <c r="F164" s="147"/>
      <c r="G164" s="147"/>
    </row>
    <row r="165" spans="2:7" ht="17.25" customHeight="1">
      <c r="B165" s="149"/>
      <c r="C165" s="332" t="str">
        <f t="shared" si="2"/>
        <v/>
      </c>
      <c r="D165" s="146"/>
      <c r="E165" s="147"/>
      <c r="F165" s="147"/>
      <c r="G165" s="147"/>
    </row>
    <row r="166" spans="2:7" ht="17.25" customHeight="1">
      <c r="B166" s="149"/>
      <c r="C166" s="332" t="str">
        <f t="shared" si="2"/>
        <v/>
      </c>
      <c r="D166" s="146"/>
      <c r="E166" s="147"/>
      <c r="F166" s="147"/>
      <c r="G166" s="147"/>
    </row>
    <row r="167" spans="2:7" ht="17.25" customHeight="1">
      <c r="B167" s="149"/>
      <c r="C167" s="332" t="str">
        <f t="shared" si="2"/>
        <v/>
      </c>
      <c r="D167" s="146"/>
      <c r="E167" s="147"/>
      <c r="F167" s="147"/>
      <c r="G167" s="147"/>
    </row>
    <row r="168" spans="2:7" ht="17.25" customHeight="1">
      <c r="B168" s="149"/>
      <c r="C168" s="332" t="str">
        <f t="shared" si="2"/>
        <v/>
      </c>
      <c r="D168" s="146"/>
      <c r="E168" s="147"/>
      <c r="F168" s="147"/>
      <c r="G168" s="147"/>
    </row>
    <row r="169" spans="2:7" ht="17.25" customHeight="1">
      <c r="B169" s="149"/>
      <c r="C169" s="332" t="str">
        <f t="shared" si="2"/>
        <v/>
      </c>
      <c r="D169" s="146"/>
      <c r="E169" s="147"/>
      <c r="F169" s="147"/>
      <c r="G169" s="147"/>
    </row>
    <row r="170" spans="2:7" ht="17.25" customHeight="1">
      <c r="B170" s="149"/>
      <c r="C170" s="332" t="str">
        <f t="shared" si="2"/>
        <v/>
      </c>
      <c r="D170" s="146"/>
      <c r="E170" s="147"/>
      <c r="F170" s="147"/>
      <c r="G170" s="147"/>
    </row>
    <row r="171" spans="2:7" ht="17.25" customHeight="1">
      <c r="B171" s="149"/>
      <c r="C171" s="332" t="str">
        <f t="shared" si="2"/>
        <v/>
      </c>
      <c r="D171" s="146"/>
      <c r="E171" s="147"/>
      <c r="F171" s="147"/>
      <c r="G171" s="147"/>
    </row>
    <row r="172" spans="2:7" ht="17.25" customHeight="1">
      <c r="B172" s="149"/>
      <c r="C172" s="332" t="str">
        <f t="shared" si="2"/>
        <v/>
      </c>
      <c r="D172" s="146"/>
      <c r="E172" s="147"/>
      <c r="F172" s="147"/>
      <c r="G172" s="147"/>
    </row>
    <row r="173" spans="2:7" ht="17.25" customHeight="1">
      <c r="B173" s="149"/>
      <c r="C173" s="332" t="str">
        <f t="shared" si="2"/>
        <v/>
      </c>
      <c r="D173" s="146"/>
      <c r="E173" s="147"/>
      <c r="F173" s="147"/>
      <c r="G173" s="147"/>
    </row>
    <row r="174" spans="2:7" ht="17.25" customHeight="1">
      <c r="B174" s="149"/>
      <c r="C174" s="332" t="str">
        <f t="shared" si="2"/>
        <v/>
      </c>
      <c r="D174" s="146"/>
      <c r="E174" s="147"/>
      <c r="F174" s="147"/>
      <c r="G174" s="147"/>
    </row>
    <row r="175" spans="2:7" ht="17.25" customHeight="1">
      <c r="B175" s="149"/>
      <c r="C175" s="332" t="str">
        <f t="shared" si="2"/>
        <v/>
      </c>
      <c r="D175" s="146"/>
      <c r="E175" s="147"/>
      <c r="F175" s="147"/>
      <c r="G175" s="147"/>
    </row>
    <row r="176" spans="2:7" ht="17.25" customHeight="1">
      <c r="B176" s="149"/>
      <c r="C176" s="332" t="str">
        <f t="shared" si="2"/>
        <v/>
      </c>
      <c r="D176" s="146"/>
      <c r="E176" s="147"/>
      <c r="F176" s="147"/>
      <c r="G176" s="147"/>
    </row>
    <row r="177" spans="2:7" ht="17.25" customHeight="1">
      <c r="B177" s="149"/>
      <c r="C177" s="332" t="str">
        <f t="shared" si="2"/>
        <v/>
      </c>
      <c r="D177" s="146"/>
      <c r="E177" s="147"/>
      <c r="F177" s="147"/>
      <c r="G177" s="147"/>
    </row>
    <row r="178" spans="2:7" ht="17.25" customHeight="1">
      <c r="B178" s="149"/>
      <c r="C178" s="332" t="str">
        <f t="shared" si="2"/>
        <v/>
      </c>
      <c r="D178" s="146"/>
      <c r="E178" s="147"/>
      <c r="F178" s="147"/>
      <c r="G178" s="147"/>
    </row>
    <row r="179" spans="2:7" ht="17.25" customHeight="1">
      <c r="B179" s="149"/>
      <c r="C179" s="332" t="str">
        <f t="shared" si="2"/>
        <v/>
      </c>
      <c r="D179" s="146"/>
      <c r="E179" s="147"/>
      <c r="F179" s="147"/>
      <c r="G179" s="147"/>
    </row>
    <row r="180" spans="2:7" ht="17.25" customHeight="1">
      <c r="B180" s="149"/>
      <c r="C180" s="332" t="str">
        <f t="shared" si="2"/>
        <v/>
      </c>
      <c r="D180" s="146"/>
      <c r="E180" s="147"/>
      <c r="F180" s="147"/>
      <c r="G180" s="147"/>
    </row>
    <row r="181" spans="2:7" ht="17.25" customHeight="1">
      <c r="B181" s="149"/>
      <c r="C181" s="332" t="str">
        <f t="shared" si="2"/>
        <v/>
      </c>
      <c r="D181" s="146"/>
      <c r="E181" s="147"/>
      <c r="F181" s="147"/>
      <c r="G181" s="147"/>
    </row>
    <row r="182" spans="2:7" ht="17.25" customHeight="1">
      <c r="B182" s="149"/>
      <c r="C182" s="332" t="str">
        <f t="shared" si="2"/>
        <v/>
      </c>
      <c r="D182" s="146"/>
      <c r="E182" s="147"/>
      <c r="F182" s="147"/>
      <c r="G182" s="147"/>
    </row>
    <row r="183" spans="2:7" ht="17.25" customHeight="1">
      <c r="B183" s="149"/>
      <c r="C183" s="332" t="str">
        <f t="shared" si="2"/>
        <v/>
      </c>
      <c r="D183" s="146"/>
      <c r="E183" s="147"/>
      <c r="F183" s="147"/>
      <c r="G183" s="147"/>
    </row>
    <row r="184" spans="2:7" ht="17.25" customHeight="1">
      <c r="B184" s="149"/>
      <c r="C184" s="332" t="str">
        <f t="shared" si="2"/>
        <v/>
      </c>
      <c r="D184" s="146"/>
      <c r="E184" s="147"/>
      <c r="F184" s="147"/>
      <c r="G184" s="147"/>
    </row>
    <row r="185" spans="2:7" ht="17.25" customHeight="1">
      <c r="B185" s="149"/>
      <c r="C185" s="332" t="str">
        <f t="shared" si="2"/>
        <v/>
      </c>
      <c r="D185" s="146"/>
      <c r="E185" s="147"/>
      <c r="F185" s="147"/>
      <c r="G185" s="147"/>
    </row>
    <row r="186" spans="2:7" ht="17.25" customHeight="1">
      <c r="B186" s="149"/>
      <c r="C186" s="332" t="str">
        <f t="shared" si="2"/>
        <v/>
      </c>
      <c r="D186" s="146"/>
      <c r="E186" s="147"/>
      <c r="F186" s="147"/>
      <c r="G186" s="147"/>
    </row>
    <row r="187" spans="2:7" ht="17.25" customHeight="1">
      <c r="B187" s="149"/>
      <c r="C187" s="332" t="str">
        <f t="shared" si="2"/>
        <v/>
      </c>
      <c r="D187" s="146"/>
      <c r="E187" s="147"/>
      <c r="F187" s="147"/>
      <c r="G187" s="147"/>
    </row>
    <row r="188" spans="2:7" ht="17.25" customHeight="1">
      <c r="B188" s="149"/>
      <c r="C188" s="332" t="str">
        <f t="shared" si="2"/>
        <v/>
      </c>
      <c r="D188" s="146"/>
      <c r="E188" s="147"/>
      <c r="F188" s="147"/>
      <c r="G188" s="147"/>
    </row>
    <row r="189" spans="2:7" ht="17.25" customHeight="1">
      <c r="B189" s="149"/>
      <c r="C189" s="332" t="str">
        <f t="shared" si="2"/>
        <v/>
      </c>
      <c r="D189" s="146"/>
      <c r="E189" s="147"/>
      <c r="F189" s="147"/>
      <c r="G189" s="147"/>
    </row>
    <row r="190" spans="2:7" ht="17.25" customHeight="1">
      <c r="B190" s="149"/>
      <c r="C190" s="332" t="str">
        <f t="shared" si="2"/>
        <v/>
      </c>
      <c r="D190" s="146"/>
      <c r="E190" s="147"/>
      <c r="F190" s="147"/>
      <c r="G190" s="147"/>
    </row>
    <row r="191" spans="2:7" ht="17.25" customHeight="1">
      <c r="B191" s="149"/>
      <c r="C191" s="332" t="str">
        <f t="shared" si="2"/>
        <v/>
      </c>
      <c r="D191" s="146"/>
      <c r="E191" s="147"/>
      <c r="F191" s="147"/>
      <c r="G191" s="147"/>
    </row>
    <row r="192" spans="2:7" ht="17.25" customHeight="1">
      <c r="B192" s="149"/>
      <c r="C192" s="332" t="str">
        <f t="shared" si="2"/>
        <v/>
      </c>
      <c r="D192" s="146"/>
      <c r="E192" s="147"/>
      <c r="F192" s="147"/>
      <c r="G192" s="147"/>
    </row>
    <row r="193" spans="2:7" ht="17.25" customHeight="1">
      <c r="B193" s="149"/>
      <c r="C193" s="332" t="str">
        <f t="shared" si="2"/>
        <v/>
      </c>
      <c r="D193" s="146"/>
      <c r="E193" s="147"/>
      <c r="F193" s="147"/>
      <c r="G193" s="147"/>
    </row>
    <row r="194" spans="2:7" ht="17.25" customHeight="1">
      <c r="B194" s="149"/>
      <c r="C194" s="332" t="str">
        <f t="shared" si="2"/>
        <v/>
      </c>
      <c r="D194" s="146"/>
      <c r="E194" s="147"/>
      <c r="F194" s="147"/>
      <c r="G194" s="147"/>
    </row>
    <row r="195" spans="2:7" ht="17.25" customHeight="1">
      <c r="B195" s="149"/>
      <c r="C195" s="332" t="str">
        <f t="shared" si="2"/>
        <v/>
      </c>
      <c r="D195" s="146"/>
      <c r="E195" s="147"/>
      <c r="F195" s="147"/>
      <c r="G195" s="147"/>
    </row>
    <row r="196" spans="2:7" ht="17.25" customHeight="1">
      <c r="B196" s="149"/>
      <c r="C196" s="332" t="str">
        <f t="shared" si="2"/>
        <v/>
      </c>
      <c r="D196" s="146"/>
      <c r="E196" s="147"/>
      <c r="F196" s="147"/>
      <c r="G196" s="147"/>
    </row>
    <row r="197" spans="2:7" ht="17.25" customHeight="1">
      <c r="B197" s="149"/>
      <c r="C197" s="332" t="str">
        <f t="shared" si="2"/>
        <v/>
      </c>
      <c r="D197" s="146"/>
      <c r="E197" s="147"/>
      <c r="F197" s="147"/>
      <c r="G197" s="147"/>
    </row>
    <row r="198" spans="2:7" ht="17.25" customHeight="1">
      <c r="B198" s="149"/>
      <c r="C198" s="332" t="str">
        <f t="shared" ref="C198:C261" si="3">IF(D198&lt;&gt;0,C197+1,"")</f>
        <v/>
      </c>
      <c r="D198" s="146"/>
      <c r="E198" s="147"/>
      <c r="F198" s="147"/>
      <c r="G198" s="147"/>
    </row>
    <row r="199" spans="2:7" ht="17.25" customHeight="1">
      <c r="B199" s="149"/>
      <c r="C199" s="332" t="str">
        <f t="shared" si="3"/>
        <v/>
      </c>
      <c r="D199" s="146"/>
      <c r="E199" s="147"/>
      <c r="F199" s="147"/>
      <c r="G199" s="147"/>
    </row>
    <row r="200" spans="2:7" ht="17.25" customHeight="1">
      <c r="B200" s="149"/>
      <c r="C200" s="332" t="str">
        <f t="shared" si="3"/>
        <v/>
      </c>
      <c r="D200" s="146"/>
      <c r="E200" s="147"/>
      <c r="F200" s="147"/>
      <c r="G200" s="147"/>
    </row>
    <row r="201" spans="2:7" ht="17.25" customHeight="1">
      <c r="B201" s="149"/>
      <c r="C201" s="332" t="str">
        <f t="shared" si="3"/>
        <v/>
      </c>
      <c r="D201" s="146"/>
      <c r="E201" s="147"/>
      <c r="F201" s="147"/>
      <c r="G201" s="147"/>
    </row>
    <row r="202" spans="2:7" ht="17.25" customHeight="1">
      <c r="B202" s="149"/>
      <c r="C202" s="332" t="str">
        <f t="shared" si="3"/>
        <v/>
      </c>
      <c r="D202" s="146"/>
      <c r="E202" s="147"/>
      <c r="F202" s="147"/>
      <c r="G202" s="147"/>
    </row>
    <row r="203" spans="2:7" ht="17.25" customHeight="1">
      <c r="B203" s="149"/>
      <c r="C203" s="332" t="str">
        <f t="shared" si="3"/>
        <v/>
      </c>
      <c r="D203" s="146"/>
      <c r="E203" s="147"/>
      <c r="F203" s="147"/>
      <c r="G203" s="147"/>
    </row>
    <row r="204" spans="2:7" ht="17.25" customHeight="1">
      <c r="B204" s="149"/>
      <c r="C204" s="332" t="str">
        <f t="shared" si="3"/>
        <v/>
      </c>
      <c r="D204" s="146"/>
      <c r="E204" s="147"/>
      <c r="F204" s="147"/>
      <c r="G204" s="147"/>
    </row>
    <row r="205" spans="2:7" ht="17.25" customHeight="1">
      <c r="B205" s="149"/>
      <c r="C205" s="332" t="str">
        <f t="shared" si="3"/>
        <v/>
      </c>
      <c r="D205" s="146"/>
      <c r="E205" s="147"/>
      <c r="F205" s="147"/>
      <c r="G205" s="147"/>
    </row>
    <row r="206" spans="2:7" ht="17.25" customHeight="1">
      <c r="B206" s="149"/>
      <c r="C206" s="332" t="str">
        <f t="shared" si="3"/>
        <v/>
      </c>
      <c r="D206" s="146"/>
      <c r="E206" s="147"/>
      <c r="F206" s="147"/>
      <c r="G206" s="147"/>
    </row>
    <row r="207" spans="2:7" ht="17.25" customHeight="1">
      <c r="B207" s="149"/>
      <c r="C207" s="332" t="str">
        <f t="shared" si="3"/>
        <v/>
      </c>
      <c r="D207" s="146"/>
      <c r="E207" s="147"/>
      <c r="F207" s="147"/>
      <c r="G207" s="147"/>
    </row>
    <row r="208" spans="2:7" ht="17.25" customHeight="1">
      <c r="B208" s="149"/>
      <c r="C208" s="332" t="str">
        <f t="shared" si="3"/>
        <v/>
      </c>
      <c r="D208" s="146"/>
      <c r="E208" s="147"/>
      <c r="F208" s="147"/>
      <c r="G208" s="147"/>
    </row>
    <row r="209" spans="2:7" ht="17.25" customHeight="1">
      <c r="B209" s="149"/>
      <c r="C209" s="332" t="str">
        <f t="shared" si="3"/>
        <v/>
      </c>
      <c r="D209" s="146"/>
      <c r="E209" s="147"/>
      <c r="F209" s="147"/>
      <c r="G209" s="147"/>
    </row>
    <row r="210" spans="2:7" ht="17.25" customHeight="1">
      <c r="B210" s="149"/>
      <c r="C210" s="332" t="str">
        <f t="shared" si="3"/>
        <v/>
      </c>
      <c r="D210" s="146"/>
      <c r="E210" s="147"/>
      <c r="F210" s="147"/>
      <c r="G210" s="147"/>
    </row>
    <row r="211" spans="2:7" ht="17.25" customHeight="1">
      <c r="B211" s="149"/>
      <c r="C211" s="332" t="str">
        <f t="shared" si="3"/>
        <v/>
      </c>
      <c r="D211" s="146"/>
      <c r="E211" s="147"/>
      <c r="F211" s="147"/>
      <c r="G211" s="147"/>
    </row>
    <row r="212" spans="2:7" ht="17.25" customHeight="1">
      <c r="B212" s="149"/>
      <c r="C212" s="332" t="str">
        <f t="shared" si="3"/>
        <v/>
      </c>
      <c r="D212" s="146"/>
      <c r="E212" s="147"/>
      <c r="F212" s="147"/>
      <c r="G212" s="147"/>
    </row>
    <row r="213" spans="2:7" ht="17.25" customHeight="1">
      <c r="B213" s="149"/>
      <c r="C213" s="332" t="str">
        <f t="shared" si="3"/>
        <v/>
      </c>
      <c r="D213" s="146"/>
      <c r="E213" s="147"/>
      <c r="F213" s="147"/>
      <c r="G213" s="147"/>
    </row>
    <row r="214" spans="2:7" ht="17.25" customHeight="1">
      <c r="B214" s="149"/>
      <c r="C214" s="332" t="str">
        <f t="shared" si="3"/>
        <v/>
      </c>
      <c r="D214" s="146"/>
      <c r="E214" s="147"/>
      <c r="F214" s="147"/>
      <c r="G214" s="147"/>
    </row>
    <row r="215" spans="2:7" ht="17.25" customHeight="1">
      <c r="B215" s="149"/>
      <c r="C215" s="332" t="str">
        <f t="shared" si="3"/>
        <v/>
      </c>
      <c r="D215" s="146"/>
      <c r="E215" s="147"/>
      <c r="F215" s="147"/>
      <c r="G215" s="147"/>
    </row>
    <row r="216" spans="2:7" ht="17.25" customHeight="1">
      <c r="B216" s="149"/>
      <c r="C216" s="332" t="str">
        <f t="shared" si="3"/>
        <v/>
      </c>
      <c r="D216" s="146"/>
      <c r="E216" s="147"/>
      <c r="F216" s="147"/>
      <c r="G216" s="147"/>
    </row>
    <row r="217" spans="2:7" ht="17.25" customHeight="1">
      <c r="B217" s="149"/>
      <c r="C217" s="332" t="str">
        <f t="shared" si="3"/>
        <v/>
      </c>
      <c r="D217" s="146"/>
      <c r="E217" s="147"/>
      <c r="F217" s="147"/>
      <c r="G217" s="147"/>
    </row>
    <row r="218" spans="2:7" ht="17.25" customHeight="1">
      <c r="B218" s="149"/>
      <c r="C218" s="332" t="str">
        <f t="shared" si="3"/>
        <v/>
      </c>
      <c r="D218" s="146"/>
      <c r="E218" s="147"/>
      <c r="F218" s="147"/>
      <c r="G218" s="147"/>
    </row>
    <row r="219" spans="2:7" ht="17.25" customHeight="1">
      <c r="B219" s="149"/>
      <c r="C219" s="332" t="str">
        <f t="shared" si="3"/>
        <v/>
      </c>
      <c r="D219" s="146"/>
      <c r="E219" s="147"/>
      <c r="F219" s="147"/>
      <c r="G219" s="147"/>
    </row>
    <row r="220" spans="2:7" ht="17.25" customHeight="1">
      <c r="B220" s="149"/>
      <c r="C220" s="332" t="str">
        <f t="shared" si="3"/>
        <v/>
      </c>
      <c r="D220" s="146"/>
      <c r="E220" s="147"/>
      <c r="F220" s="147"/>
      <c r="G220" s="147"/>
    </row>
    <row r="221" spans="2:7" ht="17.25" customHeight="1">
      <c r="B221" s="149"/>
      <c r="C221" s="332" t="str">
        <f t="shared" si="3"/>
        <v/>
      </c>
      <c r="D221" s="146"/>
      <c r="E221" s="147"/>
      <c r="F221" s="147"/>
      <c r="G221" s="147"/>
    </row>
    <row r="222" spans="2:7" ht="17.25" customHeight="1">
      <c r="B222" s="149"/>
      <c r="C222" s="332" t="str">
        <f t="shared" si="3"/>
        <v/>
      </c>
      <c r="D222" s="146"/>
      <c r="E222" s="147"/>
      <c r="F222" s="147"/>
      <c r="G222" s="147"/>
    </row>
    <row r="223" spans="2:7" ht="17.25" customHeight="1">
      <c r="B223" s="149"/>
      <c r="C223" s="332" t="str">
        <f t="shared" si="3"/>
        <v/>
      </c>
      <c r="D223" s="146"/>
      <c r="E223" s="147"/>
      <c r="F223" s="147"/>
      <c r="G223" s="147"/>
    </row>
    <row r="224" spans="2:7" ht="17.25" customHeight="1">
      <c r="B224" s="149"/>
      <c r="C224" s="332" t="str">
        <f t="shared" si="3"/>
        <v/>
      </c>
      <c r="D224" s="146"/>
      <c r="E224" s="147"/>
      <c r="F224" s="147"/>
      <c r="G224" s="147"/>
    </row>
    <row r="225" spans="2:7" ht="17.25" customHeight="1">
      <c r="B225" s="149"/>
      <c r="C225" s="332" t="str">
        <f t="shared" si="3"/>
        <v/>
      </c>
      <c r="D225" s="146"/>
      <c r="E225" s="147"/>
      <c r="F225" s="147"/>
      <c r="G225" s="147"/>
    </row>
    <row r="226" spans="2:7" ht="17.25" customHeight="1">
      <c r="B226" s="149"/>
      <c r="C226" s="332" t="str">
        <f t="shared" si="3"/>
        <v/>
      </c>
      <c r="D226" s="146"/>
      <c r="E226" s="147"/>
      <c r="F226" s="147"/>
      <c r="G226" s="147"/>
    </row>
    <row r="227" spans="2:7" ht="17.25" customHeight="1">
      <c r="B227" s="149"/>
      <c r="C227" s="332" t="str">
        <f t="shared" si="3"/>
        <v/>
      </c>
      <c r="D227" s="146"/>
      <c r="E227" s="147"/>
      <c r="F227" s="147"/>
      <c r="G227" s="147"/>
    </row>
    <row r="228" spans="2:7" ht="17.25" customHeight="1">
      <c r="B228" s="149"/>
      <c r="C228" s="332" t="str">
        <f t="shared" si="3"/>
        <v/>
      </c>
      <c r="D228" s="146"/>
      <c r="E228" s="147"/>
      <c r="F228" s="147"/>
      <c r="G228" s="147"/>
    </row>
    <row r="229" spans="2:7" ht="17.25" customHeight="1">
      <c r="B229" s="149"/>
      <c r="C229" s="332" t="str">
        <f t="shared" si="3"/>
        <v/>
      </c>
      <c r="D229" s="146"/>
      <c r="E229" s="147"/>
      <c r="F229" s="147"/>
      <c r="G229" s="147"/>
    </row>
    <row r="230" spans="2:7" ht="17.25" customHeight="1">
      <c r="B230" s="149"/>
      <c r="C230" s="332" t="str">
        <f t="shared" si="3"/>
        <v/>
      </c>
      <c r="D230" s="146"/>
      <c r="E230" s="147"/>
      <c r="F230" s="147"/>
      <c r="G230" s="147"/>
    </row>
    <row r="231" spans="2:7" ht="17.25" customHeight="1">
      <c r="B231" s="149"/>
      <c r="C231" s="332" t="str">
        <f t="shared" si="3"/>
        <v/>
      </c>
      <c r="D231" s="146"/>
      <c r="E231" s="147"/>
      <c r="F231" s="147"/>
      <c r="G231" s="147"/>
    </row>
    <row r="232" spans="2:7" ht="17.25" customHeight="1">
      <c r="B232" s="149"/>
      <c r="C232" s="332" t="str">
        <f t="shared" si="3"/>
        <v/>
      </c>
      <c r="D232" s="146"/>
      <c r="E232" s="147"/>
      <c r="F232" s="147"/>
      <c r="G232" s="147"/>
    </row>
    <row r="233" spans="2:7" ht="17.25" customHeight="1">
      <c r="B233" s="149"/>
      <c r="C233" s="332" t="str">
        <f t="shared" si="3"/>
        <v/>
      </c>
      <c r="D233" s="146"/>
      <c r="E233" s="147"/>
      <c r="F233" s="147"/>
      <c r="G233" s="147"/>
    </row>
    <row r="234" spans="2:7" ht="17.25" customHeight="1">
      <c r="B234" s="149"/>
      <c r="C234" s="332" t="str">
        <f t="shared" si="3"/>
        <v/>
      </c>
      <c r="D234" s="146"/>
      <c r="E234" s="147"/>
      <c r="F234" s="147"/>
      <c r="G234" s="147"/>
    </row>
    <row r="235" spans="2:7" ht="17.25" customHeight="1">
      <c r="B235" s="149"/>
      <c r="C235" s="332" t="str">
        <f t="shared" si="3"/>
        <v/>
      </c>
      <c r="D235" s="146"/>
      <c r="E235" s="147"/>
      <c r="F235" s="147"/>
      <c r="G235" s="147"/>
    </row>
    <row r="236" spans="2:7" ht="17.25" customHeight="1">
      <c r="B236" s="149"/>
      <c r="C236" s="332" t="str">
        <f t="shared" si="3"/>
        <v/>
      </c>
      <c r="D236" s="146"/>
      <c r="E236" s="147"/>
      <c r="F236" s="147"/>
      <c r="G236" s="147"/>
    </row>
    <row r="237" spans="2:7" ht="17.25" customHeight="1">
      <c r="B237" s="149"/>
      <c r="C237" s="332" t="str">
        <f t="shared" si="3"/>
        <v/>
      </c>
      <c r="D237" s="146"/>
      <c r="E237" s="147"/>
      <c r="F237" s="147"/>
      <c r="G237" s="147"/>
    </row>
    <row r="238" spans="2:7" ht="17.25" customHeight="1">
      <c r="B238" s="149"/>
      <c r="C238" s="332" t="str">
        <f t="shared" si="3"/>
        <v/>
      </c>
      <c r="D238" s="146"/>
      <c r="E238" s="147"/>
      <c r="F238" s="147"/>
      <c r="G238" s="147"/>
    </row>
    <row r="239" spans="2:7" ht="17.25" customHeight="1">
      <c r="B239" s="149"/>
      <c r="C239" s="332" t="str">
        <f t="shared" si="3"/>
        <v/>
      </c>
      <c r="D239" s="146"/>
      <c r="E239" s="147"/>
      <c r="F239" s="147"/>
      <c r="G239" s="147"/>
    </row>
    <row r="240" spans="2:7" ht="17.25" customHeight="1">
      <c r="B240" s="149"/>
      <c r="C240" s="332" t="str">
        <f t="shared" si="3"/>
        <v/>
      </c>
      <c r="D240" s="146"/>
      <c r="E240" s="147"/>
      <c r="F240" s="147"/>
      <c r="G240" s="147"/>
    </row>
    <row r="241" spans="2:7" ht="17.25" customHeight="1">
      <c r="B241" s="149"/>
      <c r="C241" s="332" t="str">
        <f t="shared" si="3"/>
        <v/>
      </c>
      <c r="D241" s="146"/>
      <c r="E241" s="147"/>
      <c r="F241" s="147"/>
      <c r="G241" s="147"/>
    </row>
    <row r="242" spans="2:7" ht="17.25" customHeight="1">
      <c r="B242" s="149"/>
      <c r="C242" s="332" t="str">
        <f t="shared" si="3"/>
        <v/>
      </c>
      <c r="D242" s="146"/>
      <c r="E242" s="147"/>
      <c r="F242" s="147"/>
      <c r="G242" s="147"/>
    </row>
    <row r="243" spans="2:7" ht="17.25" customHeight="1">
      <c r="B243" s="149"/>
      <c r="C243" s="332" t="str">
        <f t="shared" si="3"/>
        <v/>
      </c>
      <c r="D243" s="146"/>
      <c r="E243" s="147"/>
      <c r="F243" s="147"/>
      <c r="G243" s="147"/>
    </row>
    <row r="244" spans="2:7" ht="17.25" customHeight="1">
      <c r="B244" s="149"/>
      <c r="C244" s="332" t="str">
        <f t="shared" si="3"/>
        <v/>
      </c>
      <c r="D244" s="146"/>
      <c r="E244" s="147"/>
      <c r="F244" s="147"/>
      <c r="G244" s="147"/>
    </row>
    <row r="245" spans="2:7" ht="17.25" customHeight="1">
      <c r="B245" s="149"/>
      <c r="C245" s="332" t="str">
        <f t="shared" si="3"/>
        <v/>
      </c>
      <c r="D245" s="146"/>
      <c r="E245" s="147"/>
      <c r="F245" s="147"/>
      <c r="G245" s="147"/>
    </row>
    <row r="246" spans="2:7" ht="17.25" customHeight="1">
      <c r="B246" s="149"/>
      <c r="C246" s="332" t="str">
        <f t="shared" si="3"/>
        <v/>
      </c>
      <c r="D246" s="146"/>
      <c r="E246" s="147"/>
      <c r="F246" s="147"/>
      <c r="G246" s="147"/>
    </row>
    <row r="247" spans="2:7" ht="17.25" customHeight="1">
      <c r="B247" s="149"/>
      <c r="C247" s="332" t="str">
        <f t="shared" si="3"/>
        <v/>
      </c>
      <c r="D247" s="146"/>
      <c r="E247" s="147"/>
      <c r="F247" s="147"/>
      <c r="G247" s="147"/>
    </row>
    <row r="248" spans="2:7" ht="17.25" customHeight="1">
      <c r="B248" s="149"/>
      <c r="C248" s="332" t="str">
        <f t="shared" si="3"/>
        <v/>
      </c>
      <c r="D248" s="146"/>
      <c r="E248" s="147"/>
      <c r="F248" s="147"/>
      <c r="G248" s="147"/>
    </row>
    <row r="249" spans="2:7" ht="17.25" customHeight="1">
      <c r="B249" s="149"/>
      <c r="C249" s="332" t="str">
        <f t="shared" si="3"/>
        <v/>
      </c>
      <c r="D249" s="146"/>
      <c r="E249" s="147"/>
      <c r="F249" s="147"/>
      <c r="G249" s="147"/>
    </row>
    <row r="250" spans="2:7" ht="17.25" customHeight="1">
      <c r="B250" s="149"/>
      <c r="C250" s="332" t="str">
        <f t="shared" si="3"/>
        <v/>
      </c>
      <c r="D250" s="146"/>
      <c r="E250" s="147"/>
      <c r="F250" s="147"/>
      <c r="G250" s="147"/>
    </row>
    <row r="251" spans="2:7" ht="17.25" customHeight="1">
      <c r="B251" s="149"/>
      <c r="C251" s="332" t="str">
        <f t="shared" si="3"/>
        <v/>
      </c>
      <c r="D251" s="146"/>
      <c r="E251" s="147"/>
      <c r="F251" s="147"/>
      <c r="G251" s="147"/>
    </row>
    <row r="252" spans="2:7" ht="17.25" customHeight="1">
      <c r="B252" s="149"/>
      <c r="C252" s="332" t="str">
        <f t="shared" si="3"/>
        <v/>
      </c>
      <c r="D252" s="146"/>
      <c r="E252" s="147"/>
      <c r="F252" s="147"/>
      <c r="G252" s="147"/>
    </row>
    <row r="253" spans="2:7" ht="17.25" customHeight="1">
      <c r="B253" s="149"/>
      <c r="C253" s="332" t="str">
        <f t="shared" si="3"/>
        <v/>
      </c>
      <c r="D253" s="146"/>
      <c r="E253" s="147"/>
      <c r="F253" s="147"/>
      <c r="G253" s="147"/>
    </row>
    <row r="254" spans="2:7" ht="17.25" customHeight="1">
      <c r="B254" s="149"/>
      <c r="C254" s="332" t="str">
        <f t="shared" si="3"/>
        <v/>
      </c>
      <c r="D254" s="146"/>
      <c r="E254" s="147"/>
      <c r="F254" s="147"/>
      <c r="G254" s="147"/>
    </row>
    <row r="255" spans="2:7" ht="17.25" customHeight="1">
      <c r="B255" s="149"/>
      <c r="C255" s="332" t="str">
        <f t="shared" si="3"/>
        <v/>
      </c>
      <c r="D255" s="146"/>
      <c r="E255" s="147"/>
      <c r="F255" s="147"/>
      <c r="G255" s="147"/>
    </row>
    <row r="256" spans="2:7" ht="17.25" customHeight="1">
      <c r="B256" s="149"/>
      <c r="C256" s="332" t="str">
        <f t="shared" si="3"/>
        <v/>
      </c>
      <c r="D256" s="146"/>
      <c r="E256" s="147"/>
      <c r="F256" s="147"/>
      <c r="G256" s="147"/>
    </row>
    <row r="257" spans="2:7" ht="17.25" customHeight="1">
      <c r="B257" s="149"/>
      <c r="C257" s="332" t="str">
        <f t="shared" si="3"/>
        <v/>
      </c>
      <c r="D257" s="146"/>
      <c r="E257" s="147"/>
      <c r="F257" s="147"/>
      <c r="G257" s="147"/>
    </row>
    <row r="258" spans="2:7" ht="17.25" customHeight="1">
      <c r="B258" s="149"/>
      <c r="C258" s="332" t="str">
        <f t="shared" si="3"/>
        <v/>
      </c>
      <c r="D258" s="146"/>
      <c r="E258" s="147"/>
      <c r="F258" s="147"/>
      <c r="G258" s="147"/>
    </row>
    <row r="259" spans="2:7" ht="17.25" customHeight="1">
      <c r="B259" s="149"/>
      <c r="C259" s="332" t="str">
        <f t="shared" si="3"/>
        <v/>
      </c>
      <c r="D259" s="146"/>
      <c r="E259" s="147"/>
      <c r="F259" s="147"/>
      <c r="G259" s="147"/>
    </row>
    <row r="260" spans="2:7" ht="17.25" customHeight="1">
      <c r="B260" s="149"/>
      <c r="C260" s="332" t="str">
        <f t="shared" si="3"/>
        <v/>
      </c>
      <c r="D260" s="146"/>
      <c r="E260" s="147"/>
      <c r="F260" s="147"/>
      <c r="G260" s="147"/>
    </row>
    <row r="261" spans="2:7" ht="17.25" customHeight="1">
      <c r="B261" s="149"/>
      <c r="C261" s="332" t="str">
        <f t="shared" si="3"/>
        <v/>
      </c>
      <c r="D261" s="146"/>
      <c r="E261" s="147"/>
      <c r="F261" s="147"/>
      <c r="G261" s="147"/>
    </row>
    <row r="262" spans="2:7" ht="17.25" customHeight="1">
      <c r="B262" s="149"/>
      <c r="C262" s="332" t="str">
        <f t="shared" ref="C262:C325" si="4">IF(D262&lt;&gt;0,C261+1,"")</f>
        <v/>
      </c>
      <c r="D262" s="146"/>
      <c r="E262" s="147"/>
      <c r="F262" s="147"/>
      <c r="G262" s="147"/>
    </row>
    <row r="263" spans="2:7" ht="17.25" customHeight="1">
      <c r="B263" s="149"/>
      <c r="C263" s="332" t="str">
        <f t="shared" si="4"/>
        <v/>
      </c>
      <c r="D263" s="146"/>
      <c r="E263" s="147"/>
      <c r="F263" s="147"/>
      <c r="G263" s="147"/>
    </row>
    <row r="264" spans="2:7" ht="17.25" customHeight="1">
      <c r="B264" s="149"/>
      <c r="C264" s="332" t="str">
        <f t="shared" si="4"/>
        <v/>
      </c>
      <c r="D264" s="146"/>
      <c r="E264" s="147"/>
      <c r="F264" s="147"/>
      <c r="G264" s="147"/>
    </row>
    <row r="265" spans="2:7" ht="17.25" customHeight="1">
      <c r="B265" s="149"/>
      <c r="C265" s="332" t="str">
        <f t="shared" si="4"/>
        <v/>
      </c>
      <c r="D265" s="146"/>
      <c r="E265" s="147"/>
      <c r="F265" s="147"/>
      <c r="G265" s="147"/>
    </row>
    <row r="266" spans="2:7" ht="17.25" customHeight="1">
      <c r="B266" s="149"/>
      <c r="C266" s="332" t="str">
        <f t="shared" si="4"/>
        <v/>
      </c>
      <c r="D266" s="146"/>
      <c r="E266" s="147"/>
      <c r="F266" s="147"/>
      <c r="G266" s="147"/>
    </row>
    <row r="267" spans="2:7" ht="17.25" customHeight="1">
      <c r="B267" s="149"/>
      <c r="C267" s="332" t="str">
        <f t="shared" si="4"/>
        <v/>
      </c>
      <c r="D267" s="146"/>
      <c r="E267" s="147"/>
      <c r="F267" s="147"/>
      <c r="G267" s="147"/>
    </row>
    <row r="268" spans="2:7" ht="17.25" customHeight="1">
      <c r="B268" s="149"/>
      <c r="C268" s="332" t="str">
        <f t="shared" si="4"/>
        <v/>
      </c>
      <c r="D268" s="146"/>
      <c r="E268" s="147"/>
      <c r="F268" s="147"/>
      <c r="G268" s="147"/>
    </row>
    <row r="269" spans="2:7" ht="17.25" customHeight="1">
      <c r="B269" s="149"/>
      <c r="C269" s="332" t="str">
        <f t="shared" si="4"/>
        <v/>
      </c>
      <c r="D269" s="146"/>
      <c r="E269" s="147"/>
      <c r="F269" s="147"/>
      <c r="G269" s="147"/>
    </row>
    <row r="270" spans="2:7" ht="17.25" customHeight="1">
      <c r="B270" s="149"/>
      <c r="C270" s="332" t="str">
        <f t="shared" si="4"/>
        <v/>
      </c>
      <c r="D270" s="146"/>
      <c r="E270" s="147"/>
      <c r="F270" s="147"/>
      <c r="G270" s="147"/>
    </row>
    <row r="271" spans="2:7" ht="17.25" customHeight="1">
      <c r="B271" s="149"/>
      <c r="C271" s="332" t="str">
        <f t="shared" si="4"/>
        <v/>
      </c>
      <c r="D271" s="146"/>
      <c r="E271" s="147"/>
      <c r="F271" s="147"/>
      <c r="G271" s="147"/>
    </row>
    <row r="272" spans="2:7" ht="17.25" customHeight="1">
      <c r="B272" s="149"/>
      <c r="C272" s="332" t="str">
        <f t="shared" si="4"/>
        <v/>
      </c>
      <c r="D272" s="146"/>
      <c r="E272" s="147"/>
      <c r="F272" s="147"/>
      <c r="G272" s="147"/>
    </row>
    <row r="273" spans="2:7" ht="17.25" customHeight="1">
      <c r="B273" s="149"/>
      <c r="C273" s="332" t="str">
        <f t="shared" si="4"/>
        <v/>
      </c>
      <c r="D273" s="146"/>
      <c r="E273" s="147"/>
      <c r="F273" s="147"/>
      <c r="G273" s="147"/>
    </row>
    <row r="274" spans="2:7" ht="17.25" customHeight="1">
      <c r="B274" s="149"/>
      <c r="C274" s="332" t="str">
        <f t="shared" si="4"/>
        <v/>
      </c>
      <c r="D274" s="146"/>
      <c r="E274" s="147"/>
      <c r="F274" s="147"/>
      <c r="G274" s="147"/>
    </row>
    <row r="275" spans="2:7" ht="17.25" customHeight="1">
      <c r="B275" s="149"/>
      <c r="C275" s="332" t="str">
        <f t="shared" si="4"/>
        <v/>
      </c>
      <c r="D275" s="146"/>
      <c r="E275" s="147"/>
      <c r="F275" s="147"/>
      <c r="G275" s="147"/>
    </row>
    <row r="276" spans="2:7" ht="17.25" customHeight="1">
      <c r="B276" s="149"/>
      <c r="C276" s="332" t="str">
        <f t="shared" si="4"/>
        <v/>
      </c>
      <c r="D276" s="146"/>
      <c r="E276" s="147"/>
      <c r="F276" s="147"/>
      <c r="G276" s="147"/>
    </row>
    <row r="277" spans="2:7" ht="17.25" customHeight="1">
      <c r="B277" s="149"/>
      <c r="C277" s="332" t="str">
        <f t="shared" si="4"/>
        <v/>
      </c>
      <c r="D277" s="146"/>
      <c r="E277" s="147"/>
      <c r="F277" s="147"/>
      <c r="G277" s="147"/>
    </row>
    <row r="278" spans="2:7" ht="17.25" customHeight="1">
      <c r="B278" s="149"/>
      <c r="C278" s="332" t="str">
        <f t="shared" si="4"/>
        <v/>
      </c>
      <c r="D278" s="146"/>
      <c r="E278" s="147"/>
      <c r="F278" s="147"/>
      <c r="G278" s="147"/>
    </row>
    <row r="279" spans="2:7" ht="17.25" customHeight="1">
      <c r="B279" s="149"/>
      <c r="C279" s="332" t="str">
        <f t="shared" si="4"/>
        <v/>
      </c>
      <c r="D279" s="146"/>
      <c r="E279" s="147"/>
      <c r="F279" s="147"/>
      <c r="G279" s="147"/>
    </row>
    <row r="280" spans="2:7" ht="17.25" customHeight="1">
      <c r="B280" s="149"/>
      <c r="C280" s="332" t="str">
        <f t="shared" si="4"/>
        <v/>
      </c>
      <c r="D280" s="146"/>
      <c r="E280" s="147"/>
      <c r="F280" s="147"/>
      <c r="G280" s="147"/>
    </row>
    <row r="281" spans="2:7" ht="17.25" customHeight="1">
      <c r="B281" s="149"/>
      <c r="C281" s="332" t="str">
        <f t="shared" si="4"/>
        <v/>
      </c>
      <c r="D281" s="146"/>
      <c r="E281" s="147"/>
      <c r="F281" s="147"/>
      <c r="G281" s="147"/>
    </row>
    <row r="282" spans="2:7" ht="17.25" customHeight="1">
      <c r="B282" s="149"/>
      <c r="C282" s="332" t="str">
        <f t="shared" si="4"/>
        <v/>
      </c>
      <c r="D282" s="146"/>
      <c r="E282" s="147"/>
      <c r="F282" s="147"/>
      <c r="G282" s="147"/>
    </row>
    <row r="283" spans="2:7" ht="17.25" customHeight="1">
      <c r="B283" s="149"/>
      <c r="C283" s="332" t="str">
        <f t="shared" si="4"/>
        <v/>
      </c>
      <c r="D283" s="146"/>
      <c r="E283" s="147"/>
      <c r="F283" s="147"/>
      <c r="G283" s="147"/>
    </row>
    <row r="284" spans="2:7" ht="17.25" customHeight="1">
      <c r="B284" s="149"/>
      <c r="C284" s="332" t="str">
        <f t="shared" si="4"/>
        <v/>
      </c>
      <c r="D284" s="146"/>
      <c r="E284" s="147"/>
      <c r="F284" s="147"/>
      <c r="G284" s="147"/>
    </row>
    <row r="285" spans="2:7" ht="17.25" customHeight="1">
      <c r="B285" s="149"/>
      <c r="C285" s="332" t="str">
        <f t="shared" si="4"/>
        <v/>
      </c>
      <c r="D285" s="146"/>
      <c r="E285" s="147"/>
      <c r="F285" s="147"/>
      <c r="G285" s="147"/>
    </row>
    <row r="286" spans="2:7" ht="17.25" customHeight="1">
      <c r="B286" s="149"/>
      <c r="C286" s="332" t="str">
        <f t="shared" si="4"/>
        <v/>
      </c>
      <c r="D286" s="146"/>
      <c r="E286" s="147"/>
      <c r="F286" s="147"/>
      <c r="G286" s="147"/>
    </row>
    <row r="287" spans="2:7" ht="17.25" customHeight="1">
      <c r="B287" s="149"/>
      <c r="C287" s="332" t="str">
        <f t="shared" si="4"/>
        <v/>
      </c>
      <c r="D287" s="146"/>
      <c r="E287" s="147"/>
      <c r="F287" s="147"/>
      <c r="G287" s="147"/>
    </row>
    <row r="288" spans="2:7" ht="17.25" customHeight="1">
      <c r="B288" s="149"/>
      <c r="C288" s="332" t="str">
        <f t="shared" si="4"/>
        <v/>
      </c>
      <c r="D288" s="146"/>
      <c r="E288" s="147"/>
      <c r="F288" s="147"/>
      <c r="G288" s="147"/>
    </row>
    <row r="289" spans="2:7" ht="17.25" customHeight="1">
      <c r="B289" s="149"/>
      <c r="C289" s="332" t="str">
        <f t="shared" si="4"/>
        <v/>
      </c>
      <c r="D289" s="146"/>
      <c r="E289" s="147"/>
      <c r="F289" s="147"/>
      <c r="G289" s="147"/>
    </row>
    <row r="290" spans="2:7" ht="17.25" customHeight="1">
      <c r="B290" s="149"/>
      <c r="C290" s="332" t="str">
        <f t="shared" si="4"/>
        <v/>
      </c>
      <c r="D290" s="146"/>
      <c r="E290" s="147"/>
      <c r="F290" s="147"/>
      <c r="G290" s="147"/>
    </row>
    <row r="291" spans="2:7" ht="17.25" customHeight="1">
      <c r="B291" s="149"/>
      <c r="C291" s="332" t="str">
        <f t="shared" si="4"/>
        <v/>
      </c>
      <c r="D291" s="146"/>
      <c r="E291" s="147"/>
      <c r="F291" s="147"/>
      <c r="G291" s="147"/>
    </row>
    <row r="292" spans="2:7" ht="17.25" customHeight="1">
      <c r="B292" s="149"/>
      <c r="C292" s="332" t="str">
        <f t="shared" si="4"/>
        <v/>
      </c>
      <c r="D292" s="146"/>
      <c r="E292" s="147"/>
      <c r="F292" s="147"/>
      <c r="G292" s="147"/>
    </row>
    <row r="293" spans="2:7" ht="17.25" customHeight="1">
      <c r="B293" s="149"/>
      <c r="C293" s="332" t="str">
        <f t="shared" si="4"/>
        <v/>
      </c>
      <c r="D293" s="146"/>
      <c r="E293" s="147"/>
      <c r="F293" s="147"/>
      <c r="G293" s="147"/>
    </row>
    <row r="294" spans="2:7" ht="17.25" customHeight="1">
      <c r="B294" s="149"/>
      <c r="C294" s="332" t="str">
        <f t="shared" si="4"/>
        <v/>
      </c>
      <c r="D294" s="146"/>
      <c r="E294" s="147"/>
      <c r="F294" s="147"/>
      <c r="G294" s="147"/>
    </row>
    <row r="295" spans="2:7" ht="17.25" customHeight="1">
      <c r="B295" s="149"/>
      <c r="C295" s="332" t="str">
        <f t="shared" si="4"/>
        <v/>
      </c>
      <c r="D295" s="146"/>
      <c r="E295" s="147"/>
      <c r="F295" s="147"/>
      <c r="G295" s="147"/>
    </row>
    <row r="296" spans="2:7" ht="17.25" customHeight="1">
      <c r="B296" s="149"/>
      <c r="C296" s="332" t="str">
        <f t="shared" si="4"/>
        <v/>
      </c>
      <c r="D296" s="146"/>
      <c r="E296" s="147"/>
      <c r="F296" s="147"/>
      <c r="G296" s="147"/>
    </row>
    <row r="297" spans="2:7" ht="17.25" customHeight="1">
      <c r="B297" s="149"/>
      <c r="C297" s="332" t="str">
        <f t="shared" si="4"/>
        <v/>
      </c>
      <c r="D297" s="146"/>
      <c r="E297" s="147"/>
      <c r="F297" s="147"/>
      <c r="G297" s="147"/>
    </row>
    <row r="298" spans="2:7" ht="17.25" customHeight="1">
      <c r="B298" s="149"/>
      <c r="C298" s="332" t="str">
        <f t="shared" si="4"/>
        <v/>
      </c>
      <c r="D298" s="146"/>
      <c r="E298" s="147"/>
      <c r="F298" s="147"/>
      <c r="G298" s="147"/>
    </row>
    <row r="299" spans="2:7" ht="17.25" customHeight="1">
      <c r="B299" s="149"/>
      <c r="C299" s="332" t="str">
        <f t="shared" si="4"/>
        <v/>
      </c>
      <c r="D299" s="146"/>
      <c r="E299" s="147"/>
      <c r="F299" s="147"/>
      <c r="G299" s="147"/>
    </row>
    <row r="300" spans="2:7" ht="17.25" customHeight="1">
      <c r="B300" s="149"/>
      <c r="C300" s="332" t="str">
        <f t="shared" si="4"/>
        <v/>
      </c>
      <c r="D300" s="146"/>
      <c r="E300" s="147"/>
      <c r="F300" s="147"/>
      <c r="G300" s="147"/>
    </row>
    <row r="301" spans="2:7" ht="17.25" customHeight="1">
      <c r="B301" s="149"/>
      <c r="C301" s="332" t="str">
        <f t="shared" si="4"/>
        <v/>
      </c>
      <c r="D301" s="146"/>
      <c r="E301" s="147"/>
      <c r="F301" s="147"/>
      <c r="G301" s="147"/>
    </row>
    <row r="302" spans="2:7" ht="17.25" customHeight="1">
      <c r="B302" s="149"/>
      <c r="C302" s="332" t="str">
        <f t="shared" si="4"/>
        <v/>
      </c>
      <c r="D302" s="146"/>
      <c r="E302" s="147"/>
      <c r="F302" s="147"/>
      <c r="G302" s="147"/>
    </row>
    <row r="303" spans="2:7" ht="17.25" customHeight="1">
      <c r="B303" s="149"/>
      <c r="C303" s="332" t="str">
        <f t="shared" si="4"/>
        <v/>
      </c>
      <c r="D303" s="146"/>
      <c r="E303" s="147"/>
      <c r="F303" s="147"/>
      <c r="G303" s="147"/>
    </row>
    <row r="304" spans="2:7" ht="17.25" customHeight="1">
      <c r="B304" s="149"/>
      <c r="C304" s="332" t="str">
        <f t="shared" si="4"/>
        <v/>
      </c>
      <c r="D304" s="146"/>
      <c r="E304" s="147"/>
      <c r="F304" s="147"/>
      <c r="G304" s="147"/>
    </row>
    <row r="305" spans="2:7" ht="17.25" customHeight="1">
      <c r="B305" s="149"/>
      <c r="C305" s="332" t="str">
        <f t="shared" si="4"/>
        <v/>
      </c>
      <c r="D305" s="146"/>
      <c r="E305" s="147"/>
      <c r="F305" s="147"/>
      <c r="G305" s="147"/>
    </row>
    <row r="306" spans="2:7" ht="17.25" customHeight="1">
      <c r="B306" s="149"/>
      <c r="C306" s="332" t="str">
        <f t="shared" si="4"/>
        <v/>
      </c>
      <c r="D306" s="146"/>
      <c r="E306" s="147"/>
      <c r="F306" s="147"/>
      <c r="G306" s="147"/>
    </row>
    <row r="307" spans="2:7" ht="17.25" customHeight="1">
      <c r="B307" s="149"/>
      <c r="C307" s="332" t="str">
        <f t="shared" si="4"/>
        <v/>
      </c>
      <c r="D307" s="146"/>
      <c r="E307" s="147"/>
      <c r="F307" s="147"/>
      <c r="G307" s="147"/>
    </row>
    <row r="308" spans="2:7" ht="17.25" customHeight="1">
      <c r="B308" s="149"/>
      <c r="C308" s="332" t="str">
        <f t="shared" si="4"/>
        <v/>
      </c>
      <c r="D308" s="146"/>
      <c r="E308" s="147"/>
      <c r="F308" s="147"/>
      <c r="G308" s="147"/>
    </row>
    <row r="309" spans="2:7" ht="17.25" customHeight="1">
      <c r="B309" s="149"/>
      <c r="C309" s="332" t="str">
        <f t="shared" si="4"/>
        <v/>
      </c>
      <c r="D309" s="146"/>
      <c r="E309" s="147"/>
      <c r="F309" s="147"/>
      <c r="G309" s="147"/>
    </row>
    <row r="310" spans="2:7" ht="17.25" customHeight="1">
      <c r="B310" s="149"/>
      <c r="C310" s="332" t="str">
        <f t="shared" si="4"/>
        <v/>
      </c>
      <c r="D310" s="146"/>
      <c r="E310" s="147"/>
      <c r="F310" s="147"/>
      <c r="G310" s="147"/>
    </row>
    <row r="311" spans="2:7" ht="17.25" customHeight="1">
      <c r="B311" s="149"/>
      <c r="C311" s="332" t="str">
        <f t="shared" si="4"/>
        <v/>
      </c>
      <c r="D311" s="146"/>
      <c r="E311" s="147"/>
      <c r="F311" s="147"/>
      <c r="G311" s="147"/>
    </row>
    <row r="312" spans="2:7" ht="17.25" customHeight="1">
      <c r="B312" s="149"/>
      <c r="C312" s="332" t="str">
        <f t="shared" si="4"/>
        <v/>
      </c>
      <c r="D312" s="146"/>
      <c r="E312" s="147"/>
      <c r="F312" s="147"/>
      <c r="G312" s="147"/>
    </row>
    <row r="313" spans="2:7" ht="17.25" customHeight="1">
      <c r="B313" s="149"/>
      <c r="C313" s="332" t="str">
        <f t="shared" si="4"/>
        <v/>
      </c>
      <c r="D313" s="146"/>
      <c r="E313" s="147"/>
      <c r="F313" s="147"/>
      <c r="G313" s="147"/>
    </row>
    <row r="314" spans="2:7" ht="17.25" customHeight="1">
      <c r="B314" s="149"/>
      <c r="C314" s="332" t="str">
        <f t="shared" si="4"/>
        <v/>
      </c>
      <c r="D314" s="146"/>
      <c r="E314" s="147"/>
      <c r="F314" s="147"/>
      <c r="G314" s="147"/>
    </row>
    <row r="315" spans="2:7" ht="17.25" customHeight="1">
      <c r="B315" s="149"/>
      <c r="C315" s="332" t="str">
        <f t="shared" si="4"/>
        <v/>
      </c>
      <c r="D315" s="146"/>
      <c r="E315" s="147"/>
      <c r="F315" s="147"/>
      <c r="G315" s="147"/>
    </row>
    <row r="316" spans="2:7" ht="17.25" customHeight="1">
      <c r="B316" s="149"/>
      <c r="C316" s="332" t="str">
        <f t="shared" si="4"/>
        <v/>
      </c>
      <c r="D316" s="146"/>
      <c r="E316" s="147"/>
      <c r="F316" s="147"/>
      <c r="G316" s="147"/>
    </row>
    <row r="317" spans="2:7" ht="17.25" customHeight="1">
      <c r="B317" s="149"/>
      <c r="C317" s="332" t="str">
        <f t="shared" si="4"/>
        <v/>
      </c>
      <c r="D317" s="146"/>
      <c r="E317" s="147"/>
      <c r="F317" s="147"/>
      <c r="G317" s="147"/>
    </row>
    <row r="318" spans="2:7" ht="17.25" customHeight="1">
      <c r="B318" s="149"/>
      <c r="C318" s="332" t="str">
        <f t="shared" si="4"/>
        <v/>
      </c>
      <c r="D318" s="146"/>
      <c r="E318" s="147"/>
      <c r="F318" s="147"/>
      <c r="G318" s="147"/>
    </row>
    <row r="319" spans="2:7" ht="17.25" customHeight="1">
      <c r="B319" s="149"/>
      <c r="C319" s="332" t="str">
        <f t="shared" si="4"/>
        <v/>
      </c>
      <c r="D319" s="146"/>
      <c r="E319" s="147"/>
      <c r="F319" s="147"/>
      <c r="G319" s="147"/>
    </row>
    <row r="320" spans="2:7" ht="17.25" customHeight="1">
      <c r="B320" s="149"/>
      <c r="C320" s="332" t="str">
        <f t="shared" si="4"/>
        <v/>
      </c>
      <c r="D320" s="146"/>
      <c r="E320" s="147"/>
      <c r="F320" s="147"/>
      <c r="G320" s="147"/>
    </row>
    <row r="321" spans="2:7" ht="17.25" customHeight="1">
      <c r="B321" s="149"/>
      <c r="C321" s="332" t="str">
        <f t="shared" si="4"/>
        <v/>
      </c>
      <c r="D321" s="146"/>
      <c r="E321" s="147"/>
      <c r="F321" s="147"/>
      <c r="G321" s="147"/>
    </row>
    <row r="322" spans="2:7" ht="17.25" customHeight="1">
      <c r="B322" s="149"/>
      <c r="C322" s="332" t="str">
        <f t="shared" si="4"/>
        <v/>
      </c>
      <c r="D322" s="146"/>
      <c r="E322" s="147"/>
      <c r="F322" s="147"/>
      <c r="G322" s="147"/>
    </row>
    <row r="323" spans="2:7" ht="17.25" customHeight="1">
      <c r="B323" s="149"/>
      <c r="C323" s="332" t="str">
        <f t="shared" si="4"/>
        <v/>
      </c>
      <c r="D323" s="146"/>
      <c r="E323" s="147"/>
      <c r="F323" s="147"/>
      <c r="G323" s="147"/>
    </row>
    <row r="324" spans="2:7" ht="17.25" customHeight="1">
      <c r="B324" s="149"/>
      <c r="C324" s="332" t="str">
        <f t="shared" si="4"/>
        <v/>
      </c>
      <c r="D324" s="146"/>
      <c r="E324" s="147"/>
      <c r="F324" s="147"/>
      <c r="G324" s="147"/>
    </row>
    <row r="325" spans="2:7" ht="17.25" customHeight="1">
      <c r="B325" s="149"/>
      <c r="C325" s="332" t="str">
        <f t="shared" si="4"/>
        <v/>
      </c>
      <c r="D325" s="146"/>
      <c r="E325" s="147"/>
      <c r="F325" s="147"/>
      <c r="G325" s="147"/>
    </row>
    <row r="326" spans="2:7" ht="17.25" customHeight="1">
      <c r="B326" s="149"/>
      <c r="C326" s="332" t="str">
        <f t="shared" ref="C326:C389" si="5">IF(D326&lt;&gt;0,C325+1,"")</f>
        <v/>
      </c>
      <c r="D326" s="146"/>
      <c r="E326" s="147"/>
      <c r="F326" s="147"/>
      <c r="G326" s="147"/>
    </row>
    <row r="327" spans="2:7" ht="17.25" customHeight="1">
      <c r="B327" s="149"/>
      <c r="C327" s="332" t="str">
        <f t="shared" si="5"/>
        <v/>
      </c>
      <c r="D327" s="146"/>
      <c r="E327" s="147"/>
      <c r="F327" s="147"/>
      <c r="G327" s="147"/>
    </row>
    <row r="328" spans="2:7" ht="17.25" customHeight="1">
      <c r="B328" s="149"/>
      <c r="C328" s="332" t="str">
        <f t="shared" si="5"/>
        <v/>
      </c>
      <c r="D328" s="146"/>
      <c r="E328" s="147"/>
      <c r="F328" s="147"/>
      <c r="G328" s="147"/>
    </row>
    <row r="329" spans="2:7" ht="17.25" customHeight="1">
      <c r="B329" s="149"/>
      <c r="C329" s="332" t="str">
        <f t="shared" si="5"/>
        <v/>
      </c>
      <c r="D329" s="146"/>
      <c r="E329" s="147"/>
      <c r="F329" s="147"/>
      <c r="G329" s="147"/>
    </row>
    <row r="330" spans="2:7" ht="17.25" customHeight="1">
      <c r="B330" s="149"/>
      <c r="C330" s="332" t="str">
        <f t="shared" si="5"/>
        <v/>
      </c>
      <c r="D330" s="146"/>
      <c r="E330" s="147"/>
      <c r="F330" s="147"/>
      <c r="G330" s="147"/>
    </row>
    <row r="331" spans="2:7" ht="17.25" customHeight="1">
      <c r="B331" s="149"/>
      <c r="C331" s="332" t="str">
        <f t="shared" si="5"/>
        <v/>
      </c>
      <c r="D331" s="146"/>
      <c r="E331" s="147"/>
      <c r="F331" s="147"/>
      <c r="G331" s="147"/>
    </row>
    <row r="332" spans="2:7" ht="17.25" customHeight="1">
      <c r="B332" s="149"/>
      <c r="C332" s="332" t="str">
        <f t="shared" si="5"/>
        <v/>
      </c>
      <c r="D332" s="146"/>
      <c r="E332" s="147"/>
      <c r="F332" s="147"/>
      <c r="G332" s="147"/>
    </row>
    <row r="333" spans="2:7" ht="17.25" customHeight="1">
      <c r="B333" s="149"/>
      <c r="C333" s="332" t="str">
        <f t="shared" si="5"/>
        <v/>
      </c>
      <c r="D333" s="146"/>
      <c r="E333" s="147"/>
      <c r="F333" s="147"/>
      <c r="G333" s="147"/>
    </row>
    <row r="334" spans="2:7" ht="17.25" customHeight="1">
      <c r="B334" s="149"/>
      <c r="C334" s="332" t="str">
        <f t="shared" si="5"/>
        <v/>
      </c>
      <c r="D334" s="146"/>
      <c r="E334" s="147"/>
      <c r="F334" s="147"/>
      <c r="G334" s="147"/>
    </row>
    <row r="335" spans="2:7" ht="17.25" customHeight="1">
      <c r="B335" s="149"/>
      <c r="C335" s="332" t="str">
        <f t="shared" si="5"/>
        <v/>
      </c>
      <c r="D335" s="146"/>
      <c r="E335" s="147"/>
      <c r="F335" s="147"/>
      <c r="G335" s="147"/>
    </row>
    <row r="336" spans="2:7" ht="17.25" customHeight="1">
      <c r="B336" s="149"/>
      <c r="C336" s="332" t="str">
        <f t="shared" si="5"/>
        <v/>
      </c>
      <c r="D336" s="146"/>
      <c r="E336" s="147"/>
      <c r="F336" s="147"/>
      <c r="G336" s="147"/>
    </row>
    <row r="337" spans="2:7" ht="17.25" customHeight="1">
      <c r="B337" s="149"/>
      <c r="C337" s="332" t="str">
        <f t="shared" si="5"/>
        <v/>
      </c>
      <c r="D337" s="146"/>
      <c r="E337" s="147"/>
      <c r="F337" s="147"/>
      <c r="G337" s="147"/>
    </row>
    <row r="338" spans="2:7" ht="17.25" customHeight="1">
      <c r="B338" s="149"/>
      <c r="C338" s="332" t="str">
        <f t="shared" si="5"/>
        <v/>
      </c>
      <c r="D338" s="146"/>
      <c r="E338" s="147"/>
      <c r="F338" s="147"/>
      <c r="G338" s="147"/>
    </row>
    <row r="339" spans="2:7" ht="17.25" customHeight="1">
      <c r="B339" s="149"/>
      <c r="C339" s="332" t="str">
        <f t="shared" si="5"/>
        <v/>
      </c>
      <c r="D339" s="146"/>
      <c r="E339" s="147"/>
      <c r="F339" s="147"/>
      <c r="G339" s="147"/>
    </row>
    <row r="340" spans="2:7" ht="17.25" customHeight="1">
      <c r="B340" s="149"/>
      <c r="C340" s="332" t="str">
        <f t="shared" si="5"/>
        <v/>
      </c>
      <c r="D340" s="146"/>
      <c r="E340" s="147"/>
      <c r="F340" s="147"/>
      <c r="G340" s="147"/>
    </row>
    <row r="341" spans="2:7" ht="17.25" customHeight="1">
      <c r="B341" s="149"/>
      <c r="C341" s="332" t="str">
        <f t="shared" si="5"/>
        <v/>
      </c>
      <c r="D341" s="146"/>
      <c r="E341" s="147"/>
      <c r="F341" s="147"/>
      <c r="G341" s="147"/>
    </row>
    <row r="342" spans="2:7" ht="17.25" customHeight="1">
      <c r="B342" s="149"/>
      <c r="C342" s="332" t="str">
        <f t="shared" si="5"/>
        <v/>
      </c>
      <c r="D342" s="146"/>
      <c r="E342" s="147"/>
      <c r="F342" s="147"/>
      <c r="G342" s="147"/>
    </row>
    <row r="343" spans="2:7" ht="17.25" customHeight="1">
      <c r="B343" s="149"/>
      <c r="C343" s="332" t="str">
        <f t="shared" si="5"/>
        <v/>
      </c>
      <c r="D343" s="146"/>
      <c r="E343" s="147"/>
      <c r="F343" s="147"/>
      <c r="G343" s="147"/>
    </row>
    <row r="344" spans="2:7" ht="17.25" customHeight="1">
      <c r="B344" s="149"/>
      <c r="C344" s="332" t="str">
        <f t="shared" si="5"/>
        <v/>
      </c>
      <c r="D344" s="146"/>
      <c r="E344" s="147"/>
      <c r="F344" s="147"/>
      <c r="G344" s="147"/>
    </row>
    <row r="345" spans="2:7" ht="17.25" customHeight="1">
      <c r="B345" s="149"/>
      <c r="C345" s="332" t="str">
        <f t="shared" si="5"/>
        <v/>
      </c>
      <c r="D345" s="146"/>
      <c r="E345" s="147"/>
      <c r="F345" s="147"/>
      <c r="G345" s="147"/>
    </row>
    <row r="346" spans="2:7" ht="17.25" customHeight="1">
      <c r="B346" s="149"/>
      <c r="C346" s="332" t="str">
        <f t="shared" si="5"/>
        <v/>
      </c>
      <c r="D346" s="146"/>
      <c r="E346" s="147"/>
      <c r="F346" s="147"/>
      <c r="G346" s="147"/>
    </row>
    <row r="347" spans="2:7" ht="17.25" customHeight="1">
      <c r="B347" s="149"/>
      <c r="C347" s="332" t="str">
        <f t="shared" si="5"/>
        <v/>
      </c>
      <c r="D347" s="146"/>
      <c r="E347" s="147"/>
      <c r="F347" s="147"/>
      <c r="G347" s="147"/>
    </row>
    <row r="348" spans="2:7" ht="17.25" customHeight="1">
      <c r="B348" s="149"/>
      <c r="C348" s="332" t="str">
        <f t="shared" si="5"/>
        <v/>
      </c>
      <c r="D348" s="146"/>
      <c r="E348" s="147"/>
      <c r="F348" s="147"/>
      <c r="G348" s="147"/>
    </row>
    <row r="349" spans="2:7" ht="17.25" customHeight="1">
      <c r="B349" s="149"/>
      <c r="C349" s="332" t="str">
        <f t="shared" si="5"/>
        <v/>
      </c>
      <c r="D349" s="146"/>
      <c r="E349" s="147"/>
      <c r="F349" s="147"/>
      <c r="G349" s="147"/>
    </row>
    <row r="350" spans="2:7" ht="17.25" customHeight="1">
      <c r="B350" s="149"/>
      <c r="C350" s="332" t="str">
        <f t="shared" si="5"/>
        <v/>
      </c>
      <c r="D350" s="146"/>
      <c r="E350" s="147"/>
      <c r="F350" s="147"/>
      <c r="G350" s="147"/>
    </row>
    <row r="351" spans="2:7" ht="17.25" customHeight="1">
      <c r="B351" s="149"/>
      <c r="C351" s="332" t="str">
        <f t="shared" si="5"/>
        <v/>
      </c>
      <c r="D351" s="146"/>
      <c r="E351" s="147"/>
      <c r="F351" s="147"/>
      <c r="G351" s="147"/>
    </row>
    <row r="352" spans="2:7" ht="17.25" customHeight="1">
      <c r="B352" s="149"/>
      <c r="C352" s="332" t="str">
        <f t="shared" si="5"/>
        <v/>
      </c>
      <c r="D352" s="146"/>
      <c r="E352" s="147"/>
      <c r="F352" s="147"/>
      <c r="G352" s="147"/>
    </row>
    <row r="353" spans="2:7" ht="17.25" customHeight="1">
      <c r="B353" s="149"/>
      <c r="C353" s="332" t="str">
        <f t="shared" si="5"/>
        <v/>
      </c>
      <c r="D353" s="146"/>
      <c r="E353" s="147"/>
      <c r="F353" s="147"/>
      <c r="G353" s="147"/>
    </row>
    <row r="354" spans="2:7" ht="17.25" customHeight="1">
      <c r="B354" s="149"/>
      <c r="C354" s="332" t="str">
        <f t="shared" si="5"/>
        <v/>
      </c>
      <c r="D354" s="146"/>
      <c r="E354" s="147"/>
      <c r="F354" s="147"/>
      <c r="G354" s="147"/>
    </row>
    <row r="355" spans="2:7" ht="17.25" customHeight="1">
      <c r="B355" s="149"/>
      <c r="C355" s="332" t="str">
        <f t="shared" si="5"/>
        <v/>
      </c>
      <c r="D355" s="146"/>
      <c r="E355" s="147"/>
      <c r="F355" s="147"/>
      <c r="G355" s="147"/>
    </row>
    <row r="356" spans="2:7" ht="17.25" customHeight="1">
      <c r="B356" s="149"/>
      <c r="C356" s="332" t="str">
        <f t="shared" si="5"/>
        <v/>
      </c>
      <c r="D356" s="146"/>
      <c r="E356" s="147"/>
      <c r="F356" s="147"/>
      <c r="G356" s="147"/>
    </row>
    <row r="357" spans="2:7" ht="17.25" customHeight="1">
      <c r="B357" s="149"/>
      <c r="C357" s="332" t="str">
        <f t="shared" si="5"/>
        <v/>
      </c>
      <c r="D357" s="146"/>
      <c r="E357" s="147"/>
      <c r="F357" s="147"/>
      <c r="G357" s="147"/>
    </row>
    <row r="358" spans="2:7" ht="17.25" customHeight="1">
      <c r="B358" s="149"/>
      <c r="C358" s="332" t="str">
        <f t="shared" si="5"/>
        <v/>
      </c>
      <c r="D358" s="146"/>
      <c r="E358" s="147"/>
      <c r="F358" s="147"/>
      <c r="G358" s="147"/>
    </row>
    <row r="359" spans="2:7" ht="17.25" customHeight="1">
      <c r="B359" s="149"/>
      <c r="C359" s="332" t="str">
        <f t="shared" si="5"/>
        <v/>
      </c>
      <c r="D359" s="146"/>
      <c r="E359" s="147"/>
      <c r="F359" s="147"/>
      <c r="G359" s="147"/>
    </row>
    <row r="360" spans="2:7" ht="17.25" customHeight="1">
      <c r="B360" s="149"/>
      <c r="C360" s="332" t="str">
        <f t="shared" si="5"/>
        <v/>
      </c>
      <c r="D360" s="146"/>
      <c r="E360" s="147"/>
      <c r="F360" s="147"/>
      <c r="G360" s="147"/>
    </row>
    <row r="361" spans="2:7" ht="17.25" customHeight="1">
      <c r="B361" s="149"/>
      <c r="C361" s="332" t="str">
        <f t="shared" si="5"/>
        <v/>
      </c>
      <c r="D361" s="146"/>
      <c r="E361" s="147"/>
      <c r="F361" s="147"/>
      <c r="G361" s="147"/>
    </row>
    <row r="362" spans="2:7" ht="17.25" customHeight="1">
      <c r="B362" s="149"/>
      <c r="C362" s="332" t="str">
        <f t="shared" si="5"/>
        <v/>
      </c>
      <c r="D362" s="146"/>
      <c r="E362" s="147"/>
      <c r="F362" s="147"/>
      <c r="G362" s="147"/>
    </row>
    <row r="363" spans="2:7" ht="17.25" customHeight="1">
      <c r="B363" s="149"/>
      <c r="C363" s="332" t="str">
        <f t="shared" si="5"/>
        <v/>
      </c>
      <c r="D363" s="146"/>
      <c r="E363" s="147"/>
      <c r="F363" s="147"/>
      <c r="G363" s="147"/>
    </row>
    <row r="364" spans="2:7" ht="17.25" customHeight="1">
      <c r="B364" s="149"/>
      <c r="C364" s="332" t="str">
        <f t="shared" si="5"/>
        <v/>
      </c>
      <c r="D364" s="146"/>
      <c r="E364" s="147"/>
      <c r="F364" s="147"/>
      <c r="G364" s="147"/>
    </row>
    <row r="365" spans="2:7" ht="17.25" customHeight="1">
      <c r="B365" s="149"/>
      <c r="C365" s="332" t="str">
        <f t="shared" si="5"/>
        <v/>
      </c>
      <c r="D365" s="146"/>
      <c r="E365" s="147"/>
      <c r="F365" s="147"/>
      <c r="G365" s="147"/>
    </row>
    <row r="366" spans="2:7" ht="17.25" customHeight="1">
      <c r="B366" s="149"/>
      <c r="C366" s="332" t="str">
        <f t="shared" si="5"/>
        <v/>
      </c>
      <c r="D366" s="146"/>
      <c r="E366" s="147"/>
      <c r="F366" s="147"/>
      <c r="G366" s="147"/>
    </row>
    <row r="367" spans="2:7" ht="17.25" customHeight="1">
      <c r="B367" s="149"/>
      <c r="C367" s="332" t="str">
        <f t="shared" si="5"/>
        <v/>
      </c>
      <c r="D367" s="146"/>
      <c r="E367" s="147"/>
      <c r="F367" s="147"/>
      <c r="G367" s="147"/>
    </row>
    <row r="368" spans="2:7" ht="17.25" customHeight="1">
      <c r="B368" s="149"/>
      <c r="C368" s="332" t="str">
        <f t="shared" si="5"/>
        <v/>
      </c>
      <c r="D368" s="146"/>
      <c r="E368" s="147"/>
      <c r="F368" s="147"/>
      <c r="G368" s="147"/>
    </row>
    <row r="369" spans="2:7" ht="17.25" customHeight="1">
      <c r="B369" s="149"/>
      <c r="C369" s="332" t="str">
        <f t="shared" si="5"/>
        <v/>
      </c>
      <c r="D369" s="146"/>
      <c r="E369" s="147"/>
      <c r="F369" s="147"/>
      <c r="G369" s="147"/>
    </row>
    <row r="370" spans="2:7" ht="17.25" customHeight="1">
      <c r="B370" s="149"/>
      <c r="C370" s="332" t="str">
        <f t="shared" si="5"/>
        <v/>
      </c>
      <c r="D370" s="146"/>
      <c r="E370" s="147"/>
      <c r="F370" s="147"/>
      <c r="G370" s="147"/>
    </row>
    <row r="371" spans="2:7" ht="17.25" customHeight="1">
      <c r="B371" s="149"/>
      <c r="C371" s="332" t="str">
        <f t="shared" si="5"/>
        <v/>
      </c>
      <c r="D371" s="146"/>
      <c r="E371" s="147"/>
      <c r="F371" s="147"/>
      <c r="G371" s="147"/>
    </row>
    <row r="372" spans="2:7" ht="17.25" customHeight="1">
      <c r="B372" s="149"/>
      <c r="C372" s="332" t="str">
        <f t="shared" si="5"/>
        <v/>
      </c>
      <c r="D372" s="146"/>
      <c r="E372" s="147"/>
      <c r="F372" s="147"/>
      <c r="G372" s="147"/>
    </row>
    <row r="373" spans="2:7" ht="17.25" customHeight="1">
      <c r="B373" s="149"/>
      <c r="C373" s="332" t="str">
        <f t="shared" si="5"/>
        <v/>
      </c>
      <c r="D373" s="146"/>
      <c r="E373" s="147"/>
      <c r="F373" s="147"/>
      <c r="G373" s="147"/>
    </row>
    <row r="374" spans="2:7" ht="17.25" customHeight="1">
      <c r="B374" s="149"/>
      <c r="C374" s="332" t="str">
        <f t="shared" si="5"/>
        <v/>
      </c>
      <c r="D374" s="146"/>
      <c r="E374" s="147"/>
      <c r="F374" s="147"/>
      <c r="G374" s="147"/>
    </row>
    <row r="375" spans="2:7" ht="17.25" customHeight="1">
      <c r="B375" s="149"/>
      <c r="C375" s="332" t="str">
        <f t="shared" si="5"/>
        <v/>
      </c>
      <c r="D375" s="146"/>
      <c r="E375" s="147"/>
      <c r="F375" s="147"/>
      <c r="G375" s="147"/>
    </row>
    <row r="376" spans="2:7" ht="17.25" customHeight="1">
      <c r="B376" s="149"/>
      <c r="C376" s="332" t="str">
        <f t="shared" si="5"/>
        <v/>
      </c>
      <c r="D376" s="146"/>
      <c r="E376" s="147"/>
      <c r="F376" s="147"/>
      <c r="G376" s="147"/>
    </row>
    <row r="377" spans="2:7" ht="17.25" customHeight="1">
      <c r="B377" s="149"/>
      <c r="C377" s="332" t="str">
        <f t="shared" si="5"/>
        <v/>
      </c>
      <c r="D377" s="146"/>
      <c r="E377" s="147"/>
      <c r="F377" s="147"/>
      <c r="G377" s="147"/>
    </row>
    <row r="378" spans="2:7" ht="17.25" customHeight="1">
      <c r="B378" s="149"/>
      <c r="C378" s="332" t="str">
        <f t="shared" si="5"/>
        <v/>
      </c>
      <c r="D378" s="146"/>
      <c r="E378" s="147"/>
      <c r="F378" s="147"/>
      <c r="G378" s="147"/>
    </row>
    <row r="379" spans="2:7" ht="17.25" customHeight="1">
      <c r="B379" s="149"/>
      <c r="C379" s="332" t="str">
        <f t="shared" si="5"/>
        <v/>
      </c>
      <c r="D379" s="146"/>
      <c r="E379" s="147"/>
      <c r="F379" s="147"/>
      <c r="G379" s="147"/>
    </row>
    <row r="380" spans="2:7" ht="17.25" customHeight="1">
      <c r="B380" s="149"/>
      <c r="C380" s="332" t="str">
        <f t="shared" si="5"/>
        <v/>
      </c>
      <c r="D380" s="146"/>
      <c r="E380" s="147"/>
      <c r="F380" s="147"/>
      <c r="G380" s="147"/>
    </row>
    <row r="381" spans="2:7" ht="17.25" customHeight="1">
      <c r="B381" s="149"/>
      <c r="C381" s="332" t="str">
        <f t="shared" si="5"/>
        <v/>
      </c>
      <c r="D381" s="146"/>
      <c r="E381" s="147"/>
      <c r="F381" s="147"/>
      <c r="G381" s="147"/>
    </row>
    <row r="382" spans="2:7" ht="17.25" customHeight="1">
      <c r="B382" s="149"/>
      <c r="C382" s="332" t="str">
        <f t="shared" si="5"/>
        <v/>
      </c>
      <c r="D382" s="146"/>
      <c r="E382" s="147"/>
      <c r="F382" s="147"/>
      <c r="G382" s="147"/>
    </row>
    <row r="383" spans="2:7" ht="17.25" customHeight="1">
      <c r="B383" s="149"/>
      <c r="C383" s="332" t="str">
        <f t="shared" si="5"/>
        <v/>
      </c>
      <c r="D383" s="146"/>
      <c r="E383" s="147"/>
      <c r="F383" s="147"/>
      <c r="G383" s="147"/>
    </row>
    <row r="384" spans="2:7" ht="17.25" customHeight="1">
      <c r="B384" s="149"/>
      <c r="C384" s="332" t="str">
        <f t="shared" si="5"/>
        <v/>
      </c>
      <c r="D384" s="146"/>
      <c r="E384" s="147"/>
      <c r="F384" s="147"/>
      <c r="G384" s="147"/>
    </row>
    <row r="385" spans="2:7" ht="17.25" customHeight="1">
      <c r="B385" s="149"/>
      <c r="C385" s="332" t="str">
        <f t="shared" si="5"/>
        <v/>
      </c>
      <c r="D385" s="146"/>
      <c r="E385" s="147"/>
      <c r="F385" s="147"/>
      <c r="G385" s="147"/>
    </row>
    <row r="386" spans="2:7" ht="17.25" customHeight="1">
      <c r="B386" s="149"/>
      <c r="C386" s="332" t="str">
        <f t="shared" si="5"/>
        <v/>
      </c>
      <c r="D386" s="146"/>
      <c r="E386" s="147"/>
      <c r="F386" s="147"/>
      <c r="G386" s="147"/>
    </row>
    <row r="387" spans="2:7" ht="17.25" customHeight="1">
      <c r="B387" s="149"/>
      <c r="C387" s="332" t="str">
        <f t="shared" si="5"/>
        <v/>
      </c>
      <c r="D387" s="146"/>
      <c r="E387" s="147"/>
      <c r="F387" s="147"/>
      <c r="G387" s="147"/>
    </row>
    <row r="388" spans="2:7" ht="17.25" customHeight="1">
      <c r="B388" s="149"/>
      <c r="C388" s="332" t="str">
        <f t="shared" si="5"/>
        <v/>
      </c>
      <c r="D388" s="146"/>
      <c r="E388" s="147"/>
      <c r="F388" s="147"/>
      <c r="G388" s="147"/>
    </row>
    <row r="389" spans="2:7" ht="17.25" customHeight="1">
      <c r="B389" s="149"/>
      <c r="C389" s="332" t="str">
        <f t="shared" si="5"/>
        <v/>
      </c>
      <c r="D389" s="146"/>
      <c r="E389" s="147"/>
      <c r="F389" s="147"/>
      <c r="G389" s="147"/>
    </row>
    <row r="390" spans="2:7" ht="17.25" customHeight="1">
      <c r="B390" s="149"/>
      <c r="C390" s="332" t="str">
        <f t="shared" ref="C390:C453" si="6">IF(D390&lt;&gt;0,C389+1,"")</f>
        <v/>
      </c>
      <c r="D390" s="146"/>
      <c r="E390" s="147"/>
      <c r="F390" s="147"/>
      <c r="G390" s="147"/>
    </row>
    <row r="391" spans="2:7" ht="17.25" customHeight="1">
      <c r="B391" s="149"/>
      <c r="C391" s="332" t="str">
        <f t="shared" si="6"/>
        <v/>
      </c>
      <c r="D391" s="146"/>
      <c r="E391" s="147"/>
      <c r="F391" s="147"/>
      <c r="G391" s="147"/>
    </row>
    <row r="392" spans="2:7" ht="17.25" customHeight="1">
      <c r="B392" s="149"/>
      <c r="C392" s="332" t="str">
        <f t="shared" si="6"/>
        <v/>
      </c>
      <c r="D392" s="146"/>
      <c r="E392" s="147"/>
      <c r="F392" s="147"/>
      <c r="G392" s="147"/>
    </row>
    <row r="393" spans="2:7" ht="17.25" customHeight="1">
      <c r="B393" s="149"/>
      <c r="C393" s="332" t="str">
        <f t="shared" si="6"/>
        <v/>
      </c>
      <c r="D393" s="146"/>
      <c r="E393" s="147"/>
      <c r="F393" s="147"/>
      <c r="G393" s="147"/>
    </row>
    <row r="394" spans="2:7" ht="17.25" customHeight="1">
      <c r="B394" s="149"/>
      <c r="C394" s="332" t="str">
        <f t="shared" si="6"/>
        <v/>
      </c>
      <c r="D394" s="146"/>
      <c r="E394" s="147"/>
      <c r="F394" s="147"/>
      <c r="G394" s="147"/>
    </row>
    <row r="395" spans="2:7" ht="17.25" customHeight="1">
      <c r="B395" s="149"/>
      <c r="C395" s="332" t="str">
        <f t="shared" si="6"/>
        <v/>
      </c>
      <c r="D395" s="146"/>
      <c r="E395" s="147"/>
      <c r="F395" s="147"/>
      <c r="G395" s="147"/>
    </row>
    <row r="396" spans="2:7" ht="17.25" customHeight="1">
      <c r="B396" s="149"/>
      <c r="C396" s="332" t="str">
        <f t="shared" si="6"/>
        <v/>
      </c>
      <c r="D396" s="146"/>
      <c r="E396" s="147"/>
      <c r="F396" s="147"/>
      <c r="G396" s="147"/>
    </row>
    <row r="397" spans="2:7" ht="17.25" customHeight="1">
      <c r="B397" s="149"/>
      <c r="C397" s="332" t="str">
        <f t="shared" si="6"/>
        <v/>
      </c>
      <c r="D397" s="146"/>
      <c r="E397" s="147"/>
      <c r="F397" s="147"/>
      <c r="G397" s="147"/>
    </row>
    <row r="398" spans="2:7" ht="17.25" customHeight="1">
      <c r="B398" s="149"/>
      <c r="C398" s="332" t="str">
        <f t="shared" si="6"/>
        <v/>
      </c>
      <c r="D398" s="146"/>
      <c r="E398" s="147"/>
      <c r="F398" s="147"/>
      <c r="G398" s="147"/>
    </row>
    <row r="399" spans="2:7" ht="17.25" customHeight="1">
      <c r="B399" s="149"/>
      <c r="C399" s="332" t="str">
        <f t="shared" si="6"/>
        <v/>
      </c>
      <c r="D399" s="146"/>
      <c r="E399" s="147"/>
      <c r="F399" s="147"/>
      <c r="G399" s="147"/>
    </row>
    <row r="400" spans="2:7" ht="17.25" customHeight="1">
      <c r="B400" s="149"/>
      <c r="C400" s="332" t="str">
        <f t="shared" si="6"/>
        <v/>
      </c>
      <c r="D400" s="146"/>
      <c r="E400" s="147"/>
      <c r="F400" s="147"/>
      <c r="G400" s="147"/>
    </row>
    <row r="401" spans="2:7" ht="17.25" customHeight="1">
      <c r="B401" s="149"/>
      <c r="C401" s="332" t="str">
        <f t="shared" si="6"/>
        <v/>
      </c>
      <c r="D401" s="146"/>
      <c r="E401" s="147"/>
      <c r="F401" s="147"/>
      <c r="G401" s="147"/>
    </row>
    <row r="402" spans="2:7" ht="17.25" customHeight="1">
      <c r="B402" s="149"/>
      <c r="C402" s="332" t="str">
        <f t="shared" si="6"/>
        <v/>
      </c>
      <c r="D402" s="146"/>
      <c r="E402" s="147"/>
      <c r="F402" s="147"/>
      <c r="G402" s="147"/>
    </row>
    <row r="403" spans="2:7" ht="17.25" customHeight="1">
      <c r="B403" s="149"/>
      <c r="C403" s="332" t="str">
        <f t="shared" si="6"/>
        <v/>
      </c>
      <c r="D403" s="146"/>
      <c r="E403" s="147"/>
      <c r="F403" s="147"/>
      <c r="G403" s="147"/>
    </row>
    <row r="404" spans="2:7" ht="17.25" customHeight="1">
      <c r="B404" s="149"/>
      <c r="C404" s="332" t="str">
        <f t="shared" si="6"/>
        <v/>
      </c>
      <c r="D404" s="146"/>
      <c r="E404" s="147"/>
      <c r="F404" s="147"/>
      <c r="G404" s="147"/>
    </row>
    <row r="405" spans="2:7" ht="17.25" customHeight="1">
      <c r="B405" s="149"/>
      <c r="C405" s="332" t="str">
        <f t="shared" si="6"/>
        <v/>
      </c>
      <c r="D405" s="146"/>
      <c r="E405" s="147"/>
      <c r="F405" s="147"/>
      <c r="G405" s="147"/>
    </row>
    <row r="406" spans="2:7" ht="17.25" customHeight="1">
      <c r="B406" s="149"/>
      <c r="C406" s="332" t="str">
        <f t="shared" si="6"/>
        <v/>
      </c>
      <c r="D406" s="146"/>
      <c r="E406" s="147"/>
      <c r="F406" s="147"/>
      <c r="G406" s="147"/>
    </row>
    <row r="407" spans="2:7" ht="17.25" customHeight="1">
      <c r="B407" s="149"/>
      <c r="C407" s="332" t="str">
        <f t="shared" si="6"/>
        <v/>
      </c>
      <c r="D407" s="146"/>
      <c r="E407" s="147"/>
      <c r="F407" s="147"/>
      <c r="G407" s="147"/>
    </row>
    <row r="408" spans="2:7" ht="17.25" customHeight="1">
      <c r="B408" s="149"/>
      <c r="C408" s="332" t="str">
        <f t="shared" si="6"/>
        <v/>
      </c>
      <c r="D408" s="146"/>
      <c r="E408" s="147"/>
      <c r="F408" s="147"/>
      <c r="G408" s="147"/>
    </row>
    <row r="409" spans="2:7" ht="17.25" customHeight="1">
      <c r="B409" s="149"/>
      <c r="C409" s="332" t="str">
        <f t="shared" si="6"/>
        <v/>
      </c>
      <c r="D409" s="146"/>
      <c r="E409" s="147"/>
      <c r="F409" s="147"/>
      <c r="G409" s="147"/>
    </row>
    <row r="410" spans="2:7" ht="17.25" customHeight="1">
      <c r="B410" s="149"/>
      <c r="C410" s="332" t="str">
        <f t="shared" si="6"/>
        <v/>
      </c>
      <c r="D410" s="146"/>
      <c r="E410" s="147"/>
      <c r="F410" s="147"/>
      <c r="G410" s="147"/>
    </row>
    <row r="411" spans="2:7" ht="17.25" customHeight="1">
      <c r="B411" s="149"/>
      <c r="C411" s="332" t="str">
        <f t="shared" si="6"/>
        <v/>
      </c>
      <c r="D411" s="146"/>
      <c r="E411" s="147"/>
      <c r="F411" s="147"/>
      <c r="G411" s="147"/>
    </row>
    <row r="412" spans="2:7" ht="17.25" customHeight="1">
      <c r="B412" s="149"/>
      <c r="C412" s="332" t="str">
        <f t="shared" si="6"/>
        <v/>
      </c>
      <c r="D412" s="146"/>
      <c r="E412" s="147"/>
      <c r="F412" s="147"/>
      <c r="G412" s="147"/>
    </row>
    <row r="413" spans="2:7" ht="17.25" customHeight="1">
      <c r="B413" s="149"/>
      <c r="C413" s="332" t="str">
        <f t="shared" si="6"/>
        <v/>
      </c>
      <c r="D413" s="146"/>
      <c r="E413" s="147"/>
      <c r="F413" s="147"/>
      <c r="G413" s="147"/>
    </row>
    <row r="414" spans="2:7" ht="17.25" customHeight="1">
      <c r="B414" s="149"/>
      <c r="C414" s="332" t="str">
        <f t="shared" si="6"/>
        <v/>
      </c>
      <c r="D414" s="146"/>
      <c r="E414" s="147"/>
      <c r="F414" s="147"/>
      <c r="G414" s="147"/>
    </row>
    <row r="415" spans="2:7" ht="17.25" customHeight="1">
      <c r="B415" s="149"/>
      <c r="C415" s="332" t="str">
        <f t="shared" si="6"/>
        <v/>
      </c>
      <c r="D415" s="146"/>
      <c r="E415" s="147"/>
      <c r="F415" s="147"/>
      <c r="G415" s="147"/>
    </row>
    <row r="416" spans="2:7" ht="17.25" customHeight="1">
      <c r="B416" s="149"/>
      <c r="C416" s="332" t="str">
        <f t="shared" si="6"/>
        <v/>
      </c>
      <c r="D416" s="146"/>
      <c r="E416" s="147"/>
      <c r="F416" s="147"/>
      <c r="G416" s="147"/>
    </row>
    <row r="417" spans="2:7" ht="17.25" customHeight="1">
      <c r="B417" s="149"/>
      <c r="C417" s="332" t="str">
        <f t="shared" si="6"/>
        <v/>
      </c>
      <c r="D417" s="146"/>
      <c r="E417" s="147"/>
      <c r="F417" s="147"/>
      <c r="G417" s="147"/>
    </row>
    <row r="418" spans="2:7" ht="17.25" customHeight="1">
      <c r="B418" s="149"/>
      <c r="C418" s="332" t="str">
        <f t="shared" si="6"/>
        <v/>
      </c>
      <c r="D418" s="146"/>
      <c r="E418" s="147"/>
      <c r="F418" s="147"/>
      <c r="G418" s="147"/>
    </row>
    <row r="419" spans="2:7" ht="17.25" customHeight="1">
      <c r="B419" s="149"/>
      <c r="C419" s="332" t="str">
        <f t="shared" si="6"/>
        <v/>
      </c>
      <c r="D419" s="146"/>
      <c r="E419" s="147"/>
      <c r="F419" s="147"/>
      <c r="G419" s="147"/>
    </row>
    <row r="420" spans="2:7" ht="17.25" customHeight="1">
      <c r="B420" s="149"/>
      <c r="C420" s="332" t="str">
        <f t="shared" si="6"/>
        <v/>
      </c>
      <c r="D420" s="146"/>
      <c r="E420" s="147"/>
      <c r="F420" s="147"/>
      <c r="G420" s="147"/>
    </row>
    <row r="421" spans="2:7" ht="17.25" customHeight="1">
      <c r="B421" s="149"/>
      <c r="C421" s="332" t="str">
        <f t="shared" si="6"/>
        <v/>
      </c>
      <c r="D421" s="146"/>
      <c r="E421" s="147"/>
      <c r="F421" s="147"/>
      <c r="G421" s="147"/>
    </row>
    <row r="422" spans="2:7" ht="17.25" customHeight="1">
      <c r="B422" s="149"/>
      <c r="C422" s="332" t="str">
        <f t="shared" si="6"/>
        <v/>
      </c>
      <c r="D422" s="146"/>
      <c r="E422" s="147"/>
      <c r="F422" s="147"/>
      <c r="G422" s="147"/>
    </row>
    <row r="423" spans="2:7" ht="17.25" customHeight="1">
      <c r="B423" s="149"/>
      <c r="C423" s="332" t="str">
        <f t="shared" si="6"/>
        <v/>
      </c>
      <c r="D423" s="146"/>
      <c r="E423" s="147"/>
      <c r="F423" s="147"/>
      <c r="G423" s="147"/>
    </row>
    <row r="424" spans="2:7" ht="17.25" customHeight="1">
      <c r="B424" s="149"/>
      <c r="C424" s="332" t="str">
        <f t="shared" si="6"/>
        <v/>
      </c>
      <c r="D424" s="146"/>
      <c r="E424" s="147"/>
      <c r="F424" s="147"/>
      <c r="G424" s="147"/>
    </row>
    <row r="425" spans="2:7" ht="17.25" customHeight="1">
      <c r="B425" s="149"/>
      <c r="C425" s="332" t="str">
        <f t="shared" si="6"/>
        <v/>
      </c>
      <c r="D425" s="146"/>
      <c r="E425" s="147"/>
      <c r="F425" s="147"/>
      <c r="G425" s="147"/>
    </row>
    <row r="426" spans="2:7" ht="17.25" customHeight="1">
      <c r="B426" s="149"/>
      <c r="C426" s="332" t="str">
        <f t="shared" si="6"/>
        <v/>
      </c>
      <c r="D426" s="146"/>
      <c r="E426" s="147"/>
      <c r="F426" s="147"/>
      <c r="G426" s="147"/>
    </row>
    <row r="427" spans="2:7" ht="17.25" customHeight="1">
      <c r="B427" s="149"/>
      <c r="C427" s="332" t="str">
        <f t="shared" si="6"/>
        <v/>
      </c>
      <c r="D427" s="146"/>
      <c r="E427" s="147"/>
      <c r="F427" s="147"/>
      <c r="G427" s="147"/>
    </row>
    <row r="428" spans="2:7" ht="17.25" customHeight="1">
      <c r="B428" s="149"/>
      <c r="C428" s="332" t="str">
        <f t="shared" si="6"/>
        <v/>
      </c>
      <c r="D428" s="146"/>
      <c r="E428" s="147"/>
      <c r="F428" s="147"/>
      <c r="G428" s="147"/>
    </row>
    <row r="429" spans="2:7" ht="17.25" customHeight="1">
      <c r="B429" s="149"/>
      <c r="C429" s="332" t="str">
        <f t="shared" si="6"/>
        <v/>
      </c>
      <c r="D429" s="146"/>
      <c r="E429" s="147"/>
      <c r="F429" s="147"/>
      <c r="G429" s="147"/>
    </row>
    <row r="430" spans="2:7" ht="17.25" customHeight="1">
      <c r="B430" s="149"/>
      <c r="C430" s="332" t="str">
        <f t="shared" si="6"/>
        <v/>
      </c>
      <c r="D430" s="146"/>
      <c r="E430" s="147"/>
      <c r="F430" s="147"/>
      <c r="G430" s="147"/>
    </row>
    <row r="431" spans="2:7" ht="17.25" customHeight="1">
      <c r="B431" s="149"/>
      <c r="C431" s="332" t="str">
        <f t="shared" si="6"/>
        <v/>
      </c>
      <c r="D431" s="146"/>
      <c r="E431" s="147"/>
      <c r="F431" s="147"/>
      <c r="G431" s="147"/>
    </row>
    <row r="432" spans="2:7" ht="17.25" customHeight="1">
      <c r="B432" s="149"/>
      <c r="C432" s="332" t="str">
        <f t="shared" si="6"/>
        <v/>
      </c>
      <c r="D432" s="146"/>
      <c r="E432" s="147"/>
      <c r="F432" s="147"/>
      <c r="G432" s="147"/>
    </row>
    <row r="433" spans="2:7" ht="17.25" customHeight="1">
      <c r="B433" s="149"/>
      <c r="C433" s="332" t="str">
        <f t="shared" si="6"/>
        <v/>
      </c>
      <c r="D433" s="146"/>
      <c r="E433" s="147"/>
      <c r="F433" s="147"/>
      <c r="G433" s="147"/>
    </row>
    <row r="434" spans="2:7" ht="17.25" customHeight="1">
      <c r="B434" s="149"/>
      <c r="C434" s="332" t="str">
        <f t="shared" si="6"/>
        <v/>
      </c>
      <c r="D434" s="146"/>
      <c r="E434" s="147"/>
      <c r="F434" s="147"/>
      <c r="G434" s="147"/>
    </row>
    <row r="435" spans="2:7" ht="17.25" customHeight="1">
      <c r="B435" s="149"/>
      <c r="C435" s="332" t="str">
        <f t="shared" si="6"/>
        <v/>
      </c>
      <c r="D435" s="146"/>
      <c r="E435" s="147"/>
      <c r="F435" s="147"/>
      <c r="G435" s="147"/>
    </row>
    <row r="436" spans="2:7" ht="17.25" customHeight="1">
      <c r="B436" s="149"/>
      <c r="C436" s="332" t="str">
        <f t="shared" si="6"/>
        <v/>
      </c>
      <c r="D436" s="146"/>
      <c r="E436" s="147"/>
      <c r="F436" s="147"/>
      <c r="G436" s="147"/>
    </row>
    <row r="437" spans="2:7" ht="17.25" customHeight="1">
      <c r="B437" s="149"/>
      <c r="C437" s="332" t="str">
        <f t="shared" si="6"/>
        <v/>
      </c>
      <c r="D437" s="146"/>
      <c r="E437" s="147"/>
      <c r="F437" s="147"/>
      <c r="G437" s="147"/>
    </row>
    <row r="438" spans="2:7" ht="17.25" customHeight="1">
      <c r="B438" s="149"/>
      <c r="C438" s="332" t="str">
        <f t="shared" si="6"/>
        <v/>
      </c>
      <c r="D438" s="146"/>
      <c r="E438" s="147"/>
      <c r="F438" s="147"/>
      <c r="G438" s="147"/>
    </row>
    <row r="439" spans="2:7" ht="17.25" customHeight="1">
      <c r="B439" s="149"/>
      <c r="C439" s="332" t="str">
        <f t="shared" si="6"/>
        <v/>
      </c>
      <c r="D439" s="146"/>
      <c r="E439" s="147"/>
      <c r="F439" s="147"/>
      <c r="G439" s="147"/>
    </row>
    <row r="440" spans="2:7" ht="17.25" customHeight="1">
      <c r="B440" s="149"/>
      <c r="C440" s="332" t="str">
        <f t="shared" si="6"/>
        <v/>
      </c>
      <c r="D440" s="146"/>
      <c r="E440" s="147"/>
      <c r="F440" s="147"/>
      <c r="G440" s="147"/>
    </row>
    <row r="441" spans="2:7" ht="17.25" customHeight="1">
      <c r="B441" s="149"/>
      <c r="C441" s="332" t="str">
        <f t="shared" si="6"/>
        <v/>
      </c>
      <c r="D441" s="146"/>
      <c r="E441" s="147"/>
      <c r="F441" s="147"/>
      <c r="G441" s="147"/>
    </row>
    <row r="442" spans="2:7" ht="17.25" customHeight="1">
      <c r="B442" s="149"/>
      <c r="C442" s="332" t="str">
        <f t="shared" si="6"/>
        <v/>
      </c>
      <c r="D442" s="146"/>
      <c r="E442" s="147"/>
      <c r="F442" s="147"/>
      <c r="G442" s="147"/>
    </row>
    <row r="443" spans="2:7" ht="17.25" customHeight="1">
      <c r="B443" s="149"/>
      <c r="C443" s="332" t="str">
        <f t="shared" si="6"/>
        <v/>
      </c>
      <c r="D443" s="146"/>
      <c r="E443" s="147"/>
      <c r="F443" s="147"/>
      <c r="G443" s="147"/>
    </row>
    <row r="444" spans="2:7" ht="17.25" customHeight="1">
      <c r="B444" s="149"/>
      <c r="C444" s="332" t="str">
        <f t="shared" si="6"/>
        <v/>
      </c>
      <c r="D444" s="146"/>
      <c r="E444" s="147"/>
      <c r="F444" s="147"/>
      <c r="G444" s="147"/>
    </row>
    <row r="445" spans="2:7" ht="17.25" customHeight="1">
      <c r="B445" s="149"/>
      <c r="C445" s="332" t="str">
        <f t="shared" si="6"/>
        <v/>
      </c>
      <c r="D445" s="146"/>
      <c r="E445" s="147"/>
      <c r="F445" s="147"/>
      <c r="G445" s="147"/>
    </row>
    <row r="446" spans="2:7" ht="17.25" customHeight="1">
      <c r="B446" s="149"/>
      <c r="C446" s="332" t="str">
        <f t="shared" si="6"/>
        <v/>
      </c>
      <c r="D446" s="146"/>
      <c r="E446" s="147"/>
      <c r="F446" s="147"/>
      <c r="G446" s="147"/>
    </row>
    <row r="447" spans="2:7" ht="17.25" customHeight="1">
      <c r="B447" s="149"/>
      <c r="C447" s="332" t="str">
        <f t="shared" si="6"/>
        <v/>
      </c>
      <c r="D447" s="146"/>
      <c r="E447" s="147"/>
      <c r="F447" s="147"/>
      <c r="G447" s="147"/>
    </row>
    <row r="448" spans="2:7" ht="17.25" customHeight="1">
      <c r="B448" s="149"/>
      <c r="C448" s="332" t="str">
        <f t="shared" si="6"/>
        <v/>
      </c>
      <c r="D448" s="146"/>
      <c r="E448" s="147"/>
      <c r="F448" s="147"/>
      <c r="G448" s="147"/>
    </row>
    <row r="449" spans="2:7" ht="17.25" customHeight="1">
      <c r="B449" s="149"/>
      <c r="C449" s="332" t="str">
        <f t="shared" si="6"/>
        <v/>
      </c>
      <c r="D449" s="146"/>
      <c r="E449" s="147"/>
      <c r="F449" s="147"/>
      <c r="G449" s="147"/>
    </row>
    <row r="450" spans="2:7" ht="17.25" customHeight="1">
      <c r="B450" s="149"/>
      <c r="C450" s="332" t="str">
        <f t="shared" si="6"/>
        <v/>
      </c>
      <c r="D450" s="146"/>
      <c r="E450" s="147"/>
      <c r="F450" s="147"/>
      <c r="G450" s="147"/>
    </row>
    <row r="451" spans="2:7" ht="17.25" customHeight="1">
      <c r="B451" s="149"/>
      <c r="C451" s="332" t="str">
        <f t="shared" si="6"/>
        <v/>
      </c>
      <c r="D451" s="146"/>
      <c r="E451" s="147"/>
      <c r="F451" s="147"/>
      <c r="G451" s="147"/>
    </row>
    <row r="452" spans="2:7" ht="17.25" customHeight="1">
      <c r="B452" s="149"/>
      <c r="C452" s="332" t="str">
        <f t="shared" si="6"/>
        <v/>
      </c>
      <c r="D452" s="146"/>
      <c r="E452" s="147"/>
      <c r="F452" s="147"/>
      <c r="G452" s="147"/>
    </row>
    <row r="453" spans="2:7" ht="17.25" customHeight="1">
      <c r="B453" s="149"/>
      <c r="C453" s="332" t="str">
        <f t="shared" si="6"/>
        <v/>
      </c>
      <c r="D453" s="146"/>
      <c r="E453" s="147"/>
      <c r="F453" s="147"/>
      <c r="G453" s="147"/>
    </row>
    <row r="454" spans="2:7" ht="17.25" customHeight="1">
      <c r="B454" s="149"/>
      <c r="C454" s="332" t="str">
        <f t="shared" ref="C454:C500" si="7">IF(D454&lt;&gt;0,C453+1,"")</f>
        <v/>
      </c>
      <c r="D454" s="146"/>
      <c r="E454" s="147"/>
      <c r="F454" s="147"/>
      <c r="G454" s="147"/>
    </row>
    <row r="455" spans="2:7" ht="17.25" customHeight="1">
      <c r="B455" s="149"/>
      <c r="C455" s="332" t="str">
        <f t="shared" si="7"/>
        <v/>
      </c>
      <c r="D455" s="146"/>
      <c r="E455" s="147"/>
      <c r="F455" s="147"/>
      <c r="G455" s="147"/>
    </row>
    <row r="456" spans="2:7" ht="17.25" customHeight="1">
      <c r="B456" s="149"/>
      <c r="C456" s="332" t="str">
        <f t="shared" si="7"/>
        <v/>
      </c>
      <c r="D456" s="146"/>
      <c r="E456" s="147"/>
      <c r="F456" s="147"/>
      <c r="G456" s="147"/>
    </row>
    <row r="457" spans="2:7" ht="17.25" customHeight="1">
      <c r="B457" s="149"/>
      <c r="C457" s="332" t="str">
        <f t="shared" si="7"/>
        <v/>
      </c>
      <c r="D457" s="146"/>
      <c r="E457" s="147"/>
      <c r="F457" s="147"/>
      <c r="G457" s="147"/>
    </row>
    <row r="458" spans="2:7" ht="17.25" customHeight="1">
      <c r="B458" s="149"/>
      <c r="C458" s="332" t="str">
        <f t="shared" si="7"/>
        <v/>
      </c>
      <c r="D458" s="146"/>
      <c r="E458" s="147"/>
      <c r="F458" s="147"/>
      <c r="G458" s="147"/>
    </row>
    <row r="459" spans="2:7" ht="17.25" customHeight="1">
      <c r="B459" s="149"/>
      <c r="C459" s="332" t="str">
        <f t="shared" si="7"/>
        <v/>
      </c>
      <c r="D459" s="146"/>
      <c r="E459" s="147"/>
      <c r="F459" s="147"/>
      <c r="G459" s="147"/>
    </row>
    <row r="460" spans="2:7" ht="17.25" customHeight="1">
      <c r="B460" s="149"/>
      <c r="C460" s="332" t="str">
        <f t="shared" si="7"/>
        <v/>
      </c>
      <c r="D460" s="146"/>
      <c r="E460" s="147"/>
      <c r="F460" s="147"/>
      <c r="G460" s="147"/>
    </row>
    <row r="461" spans="2:7" ht="17.25" customHeight="1">
      <c r="B461" s="149"/>
      <c r="C461" s="332" t="str">
        <f t="shared" si="7"/>
        <v/>
      </c>
      <c r="D461" s="146"/>
      <c r="E461" s="147"/>
      <c r="F461" s="147"/>
      <c r="G461" s="147"/>
    </row>
    <row r="462" spans="2:7" ht="17.25" customHeight="1">
      <c r="B462" s="149"/>
      <c r="C462" s="332" t="str">
        <f t="shared" si="7"/>
        <v/>
      </c>
      <c r="D462" s="146"/>
      <c r="E462" s="147"/>
      <c r="F462" s="147"/>
      <c r="G462" s="147"/>
    </row>
    <row r="463" spans="2:7" ht="17.25" customHeight="1">
      <c r="B463" s="149"/>
      <c r="C463" s="332" t="str">
        <f t="shared" si="7"/>
        <v/>
      </c>
      <c r="D463" s="146"/>
      <c r="E463" s="147"/>
      <c r="F463" s="147"/>
      <c r="G463" s="147"/>
    </row>
    <row r="464" spans="2:7" ht="17.25" customHeight="1">
      <c r="B464" s="149"/>
      <c r="C464" s="332" t="str">
        <f t="shared" si="7"/>
        <v/>
      </c>
      <c r="D464" s="146"/>
      <c r="E464" s="147"/>
      <c r="F464" s="147"/>
      <c r="G464" s="147"/>
    </row>
    <row r="465" spans="2:7" ht="17.25" customHeight="1">
      <c r="B465" s="149"/>
      <c r="C465" s="332" t="str">
        <f t="shared" si="7"/>
        <v/>
      </c>
      <c r="D465" s="146"/>
      <c r="E465" s="147"/>
      <c r="F465" s="147"/>
      <c r="G465" s="147"/>
    </row>
    <row r="466" spans="2:7" ht="17.25" customHeight="1">
      <c r="B466" s="149"/>
      <c r="C466" s="332" t="str">
        <f t="shared" si="7"/>
        <v/>
      </c>
      <c r="D466" s="146"/>
      <c r="E466" s="147"/>
      <c r="F466" s="147"/>
      <c r="G466" s="147"/>
    </row>
    <row r="467" spans="2:7" ht="17.25" customHeight="1">
      <c r="B467" s="149"/>
      <c r="C467" s="332" t="str">
        <f t="shared" si="7"/>
        <v/>
      </c>
      <c r="D467" s="146"/>
      <c r="E467" s="147"/>
      <c r="F467" s="147"/>
      <c r="G467" s="147"/>
    </row>
    <row r="468" spans="2:7" ht="17.25" customHeight="1">
      <c r="B468" s="149"/>
      <c r="C468" s="332" t="str">
        <f t="shared" si="7"/>
        <v/>
      </c>
      <c r="D468" s="146"/>
      <c r="E468" s="147"/>
      <c r="F468" s="147"/>
      <c r="G468" s="147"/>
    </row>
    <row r="469" spans="2:7" ht="17.25" customHeight="1">
      <c r="B469" s="149"/>
      <c r="C469" s="332" t="str">
        <f t="shared" si="7"/>
        <v/>
      </c>
      <c r="D469" s="146"/>
      <c r="E469" s="147"/>
      <c r="F469" s="147"/>
      <c r="G469" s="147"/>
    </row>
    <row r="470" spans="2:7" ht="17.25" customHeight="1">
      <c r="B470" s="149"/>
      <c r="C470" s="332" t="str">
        <f t="shared" si="7"/>
        <v/>
      </c>
      <c r="D470" s="146"/>
      <c r="E470" s="147"/>
      <c r="F470" s="147"/>
      <c r="G470" s="147"/>
    </row>
    <row r="471" spans="2:7" ht="17.25" customHeight="1">
      <c r="B471" s="149"/>
      <c r="C471" s="332" t="str">
        <f t="shared" si="7"/>
        <v/>
      </c>
      <c r="D471" s="146"/>
      <c r="E471" s="147"/>
      <c r="F471" s="147"/>
      <c r="G471" s="147"/>
    </row>
    <row r="472" spans="2:7" ht="17.25" customHeight="1">
      <c r="B472" s="149"/>
      <c r="C472" s="332" t="str">
        <f t="shared" si="7"/>
        <v/>
      </c>
      <c r="D472" s="146"/>
      <c r="E472" s="147"/>
      <c r="F472" s="147"/>
      <c r="G472" s="147"/>
    </row>
    <row r="473" spans="2:7" ht="17.25" customHeight="1">
      <c r="B473" s="149"/>
      <c r="C473" s="332" t="str">
        <f t="shared" si="7"/>
        <v/>
      </c>
      <c r="D473" s="146"/>
      <c r="E473" s="147"/>
      <c r="F473" s="147"/>
      <c r="G473" s="147"/>
    </row>
    <row r="474" spans="2:7" ht="17.25" customHeight="1">
      <c r="B474" s="149"/>
      <c r="C474" s="332" t="str">
        <f t="shared" si="7"/>
        <v/>
      </c>
      <c r="D474" s="146"/>
      <c r="E474" s="147"/>
      <c r="F474" s="147"/>
      <c r="G474" s="147"/>
    </row>
    <row r="475" spans="2:7" ht="17.25" customHeight="1">
      <c r="B475" s="149"/>
      <c r="C475" s="332" t="str">
        <f t="shared" si="7"/>
        <v/>
      </c>
      <c r="D475" s="146"/>
      <c r="E475" s="147"/>
      <c r="F475" s="147"/>
      <c r="G475" s="147"/>
    </row>
    <row r="476" spans="2:7" ht="17.25" customHeight="1">
      <c r="B476" s="149"/>
      <c r="C476" s="332" t="str">
        <f t="shared" si="7"/>
        <v/>
      </c>
      <c r="D476" s="146"/>
      <c r="E476" s="147"/>
      <c r="F476" s="147"/>
      <c r="G476" s="147"/>
    </row>
    <row r="477" spans="2:7" ht="17.25" customHeight="1">
      <c r="B477" s="149"/>
      <c r="C477" s="332" t="str">
        <f t="shared" si="7"/>
        <v/>
      </c>
      <c r="D477" s="146"/>
      <c r="E477" s="147"/>
      <c r="F477" s="147"/>
      <c r="G477" s="147"/>
    </row>
    <row r="478" spans="2:7" ht="17.25" customHeight="1">
      <c r="B478" s="149"/>
      <c r="C478" s="332" t="str">
        <f t="shared" si="7"/>
        <v/>
      </c>
      <c r="D478" s="146"/>
      <c r="E478" s="147"/>
      <c r="F478" s="147"/>
      <c r="G478" s="147"/>
    </row>
    <row r="479" spans="2:7" ht="17.25" customHeight="1">
      <c r="B479" s="149"/>
      <c r="C479" s="332" t="str">
        <f t="shared" si="7"/>
        <v/>
      </c>
      <c r="D479" s="146"/>
      <c r="E479" s="147"/>
      <c r="F479" s="147"/>
      <c r="G479" s="147"/>
    </row>
    <row r="480" spans="2:7" ht="17.25" customHeight="1">
      <c r="B480" s="149"/>
      <c r="C480" s="332" t="str">
        <f t="shared" si="7"/>
        <v/>
      </c>
      <c r="D480" s="146"/>
      <c r="E480" s="147"/>
      <c r="F480" s="147"/>
      <c r="G480" s="147"/>
    </row>
    <row r="481" spans="2:7" ht="17.25" customHeight="1">
      <c r="B481" s="149"/>
      <c r="C481" s="332" t="str">
        <f t="shared" si="7"/>
        <v/>
      </c>
      <c r="D481" s="146"/>
      <c r="E481" s="147"/>
      <c r="F481" s="147"/>
      <c r="G481" s="147"/>
    </row>
    <row r="482" spans="2:7" ht="17.25" customHeight="1">
      <c r="B482" s="149"/>
      <c r="C482" s="332" t="str">
        <f t="shared" si="7"/>
        <v/>
      </c>
      <c r="D482" s="146"/>
      <c r="E482" s="147"/>
      <c r="F482" s="147"/>
      <c r="G482" s="147"/>
    </row>
    <row r="483" spans="2:7" ht="17.25" customHeight="1">
      <c r="B483" s="149"/>
      <c r="C483" s="332" t="str">
        <f t="shared" si="7"/>
        <v/>
      </c>
      <c r="D483" s="146"/>
      <c r="E483" s="147"/>
      <c r="F483" s="147"/>
      <c r="G483" s="147"/>
    </row>
    <row r="484" spans="2:7" ht="17.25" customHeight="1">
      <c r="B484" s="149"/>
      <c r="C484" s="332" t="str">
        <f t="shared" si="7"/>
        <v/>
      </c>
      <c r="D484" s="146"/>
      <c r="E484" s="147"/>
      <c r="F484" s="147"/>
      <c r="G484" s="147"/>
    </row>
    <row r="485" spans="2:7" ht="17.25" customHeight="1">
      <c r="B485" s="149"/>
      <c r="C485" s="332" t="str">
        <f t="shared" si="7"/>
        <v/>
      </c>
      <c r="D485" s="146"/>
      <c r="E485" s="147"/>
      <c r="F485" s="147"/>
      <c r="G485" s="147"/>
    </row>
    <row r="486" spans="2:7" ht="17.25" customHeight="1">
      <c r="B486" s="149"/>
      <c r="C486" s="332" t="str">
        <f t="shared" si="7"/>
        <v/>
      </c>
      <c r="D486" s="146"/>
      <c r="E486" s="147"/>
      <c r="F486" s="147"/>
      <c r="G486" s="147"/>
    </row>
    <row r="487" spans="2:7" ht="17.25" customHeight="1">
      <c r="B487" s="149"/>
      <c r="C487" s="332" t="str">
        <f t="shared" si="7"/>
        <v/>
      </c>
      <c r="D487" s="146"/>
      <c r="E487" s="147"/>
      <c r="F487" s="147"/>
      <c r="G487" s="147"/>
    </row>
    <row r="488" spans="2:7" ht="17.25" customHeight="1">
      <c r="B488" s="149"/>
      <c r="C488" s="332" t="str">
        <f t="shared" si="7"/>
        <v/>
      </c>
      <c r="D488" s="146"/>
      <c r="E488" s="147"/>
      <c r="F488" s="147"/>
      <c r="G488" s="147"/>
    </row>
    <row r="489" spans="2:7" ht="17.25" customHeight="1">
      <c r="B489" s="149"/>
      <c r="C489" s="332" t="str">
        <f t="shared" si="7"/>
        <v/>
      </c>
      <c r="D489" s="146"/>
      <c r="E489" s="147"/>
      <c r="F489" s="147"/>
      <c r="G489" s="147"/>
    </row>
    <row r="490" spans="2:7" ht="17.25" customHeight="1">
      <c r="B490" s="149"/>
      <c r="C490" s="332" t="str">
        <f t="shared" si="7"/>
        <v/>
      </c>
      <c r="D490" s="146"/>
      <c r="E490" s="147"/>
      <c r="F490" s="147"/>
      <c r="G490" s="147"/>
    </row>
    <row r="491" spans="2:7" ht="17.25" customHeight="1">
      <c r="B491" s="149"/>
      <c r="C491" s="332" t="str">
        <f t="shared" si="7"/>
        <v/>
      </c>
      <c r="D491" s="146"/>
      <c r="E491" s="147"/>
      <c r="F491" s="147"/>
      <c r="G491" s="147"/>
    </row>
    <row r="492" spans="2:7" ht="17.25" customHeight="1">
      <c r="B492" s="149"/>
      <c r="C492" s="332" t="str">
        <f t="shared" si="7"/>
        <v/>
      </c>
      <c r="D492" s="146"/>
      <c r="E492" s="147"/>
      <c r="F492" s="147"/>
      <c r="G492" s="147"/>
    </row>
    <row r="493" spans="2:7" ht="17.25" customHeight="1">
      <c r="B493" s="149"/>
      <c r="C493" s="332" t="str">
        <f t="shared" si="7"/>
        <v/>
      </c>
      <c r="D493" s="146"/>
      <c r="E493" s="147"/>
      <c r="F493" s="147"/>
      <c r="G493" s="147"/>
    </row>
    <row r="494" spans="2:7" ht="17.25" customHeight="1">
      <c r="B494" s="149"/>
      <c r="C494" s="332" t="str">
        <f t="shared" si="7"/>
        <v/>
      </c>
      <c r="D494" s="146"/>
      <c r="E494" s="147"/>
      <c r="F494" s="147"/>
      <c r="G494" s="147"/>
    </row>
    <row r="495" spans="2:7" ht="17.25" customHeight="1">
      <c r="B495" s="149"/>
      <c r="C495" s="332" t="str">
        <f t="shared" si="7"/>
        <v/>
      </c>
      <c r="D495" s="146"/>
      <c r="E495" s="147"/>
      <c r="F495" s="147"/>
      <c r="G495" s="147"/>
    </row>
    <row r="496" spans="2:7" ht="17.25" customHeight="1">
      <c r="B496" s="149"/>
      <c r="C496" s="332" t="str">
        <f t="shared" si="7"/>
        <v/>
      </c>
      <c r="D496" s="146"/>
      <c r="E496" s="147"/>
      <c r="F496" s="147"/>
      <c r="G496" s="147"/>
    </row>
    <row r="497" spans="2:7" ht="17.25" customHeight="1">
      <c r="B497" s="149"/>
      <c r="C497" s="332" t="str">
        <f t="shared" si="7"/>
        <v/>
      </c>
      <c r="D497" s="146"/>
      <c r="E497" s="147"/>
      <c r="F497" s="147"/>
      <c r="G497" s="147"/>
    </row>
    <row r="498" spans="2:7" ht="17.25" customHeight="1">
      <c r="B498" s="149"/>
      <c r="C498" s="332" t="str">
        <f t="shared" si="7"/>
        <v/>
      </c>
      <c r="D498" s="146"/>
      <c r="E498" s="147"/>
      <c r="F498" s="147"/>
      <c r="G498" s="147"/>
    </row>
    <row r="499" spans="2:7" ht="17.25" customHeight="1">
      <c r="B499" s="149"/>
      <c r="C499" s="332" t="str">
        <f t="shared" si="7"/>
        <v/>
      </c>
      <c r="D499" s="146"/>
      <c r="E499" s="147"/>
      <c r="F499" s="147"/>
      <c r="G499" s="147"/>
    </row>
    <row r="500" spans="2:7" ht="17.25" customHeight="1">
      <c r="B500" s="149"/>
      <c r="C500" s="332" t="str">
        <f t="shared" si="7"/>
        <v/>
      </c>
      <c r="D500" s="146"/>
      <c r="E500" s="147"/>
      <c r="F500" s="147"/>
      <c r="G500" s="147"/>
    </row>
  </sheetData>
  <sheetProtection insertColumns="0" insertRows="0" insertHyperlinks="0" selectLockedCells="1" sort="0" autoFilter="0" pivotTables="0"/>
  <customSheetViews>
    <customSheetView guid="{F06BFD04-CCD2-461C-AC42-65887227FFD3}" showGridLines="0">
      <selection activeCell="G7" sqref="G7"/>
      <pageMargins left="0.7" right="0.7" top="0.75" bottom="0.75" header="0.3" footer="0.3"/>
      <pageSetup paperSize="9" orientation="portrait" horizontalDpi="300" verticalDpi="300" r:id="rId1"/>
    </customSheetView>
    <customSheetView guid="{24934804-84B0-4982-9BF2-E46F6DDD5DD8}" showGridLines="0">
      <selection activeCell="G7" sqref="G7"/>
      <pageMargins left="0.7" right="0.7" top="0.75" bottom="0.75" header="0.3" footer="0.3"/>
      <pageSetup paperSize="9" orientation="portrait" horizontalDpi="300" verticalDpi="300" r:id="rId2"/>
    </customSheetView>
    <customSheetView guid="{3DE895B0-7958-42DA-95C8-453D6A82D678}" showGridLines="0">
      <selection activeCell="G7" sqref="G7"/>
      <pageMargins left="0.7" right="0.7" top="0.75" bottom="0.75" header="0.3" footer="0.3"/>
      <pageSetup paperSize="9" orientation="portrait" horizontalDpi="300" verticalDpi="300" r:id="rId3"/>
    </customSheetView>
    <customSheetView guid="{F4AB2122-655E-40F6-8B53-54B747E7ED61}" showGridLines="0">
      <selection activeCell="G7" sqref="G7"/>
      <pageMargins left="0.7" right="0.7" top="0.75" bottom="0.75" header="0.3" footer="0.3"/>
      <pageSetup paperSize="9" orientation="portrait" horizontalDpi="300" verticalDpi="300" r:id="rId4"/>
    </customSheetView>
    <customSheetView guid="{2416856D-96F2-4FCD-9E1E-89AD408E8F07}" showGridLines="0">
      <selection activeCell="G7" sqref="G7"/>
      <pageMargins left="0.7" right="0.7" top="0.75" bottom="0.75" header="0.3" footer="0.3"/>
      <pageSetup paperSize="9" orientation="portrait" horizontalDpi="300" verticalDpi="300" r:id="rId5"/>
    </customSheetView>
    <customSheetView guid="{781BC751-F315-497E-B1B4-A2D752209BD7}" showGridLines="0">
      <selection activeCell="G7" sqref="G7"/>
      <pageMargins left="0.7" right="0.7" top="0.75" bottom="0.75" header="0.3" footer="0.3"/>
      <pageSetup paperSize="9" orientation="portrait" horizontalDpi="300" verticalDpi="300" r:id="rId6"/>
    </customSheetView>
    <customSheetView guid="{DF37B372-7B5A-4253-9EE3-FD3ABD7DF4B8}" showGridLines="0">
      <selection activeCell="C4" sqref="C4"/>
      <pageMargins left="0.7" right="0.7" top="0.75" bottom="0.75" header="0.3" footer="0.3"/>
      <pageSetup paperSize="9" orientation="portrait" horizontalDpi="300" verticalDpi="300" r:id="rId7"/>
    </customSheetView>
    <customSheetView guid="{89423216-97BC-488F-92AF-85198E8FDC07}" showGridLines="0">
      <selection activeCell="F14" sqref="F14"/>
      <pageMargins left="0.7" right="0.7" top="0.75" bottom="0.75" header="0.3" footer="0.3"/>
      <pageSetup paperSize="9" orientation="portrait" horizontalDpi="300" verticalDpi="300" r:id="rId8"/>
    </customSheetView>
    <customSheetView guid="{AFC521DD-6BF9-4AA5-991A-73D8F620A3D9}" showGridLines="0">
      <selection activeCell="B8" sqref="B8"/>
      <pageMargins left="0.7" right="0.7" top="0.75" bottom="0.75" header="0.3" footer="0.3"/>
      <pageSetup paperSize="9" orientation="portrait" horizontalDpi="300" verticalDpi="300" r:id="rId9"/>
    </customSheetView>
    <customSheetView guid="{6641B719-6463-4FDD-9DBC-41F5618DBE27}" showGridLines="0">
      <selection activeCell="F22" sqref="F22"/>
      <pageMargins left="0.7" right="0.7" top="0.75" bottom="0.75" header="0.3" footer="0.3"/>
      <pageSetup paperSize="9" orientation="portrait" horizontalDpi="300" verticalDpi="300" r:id="rId10"/>
    </customSheetView>
    <customSheetView guid="{145EFE0A-DDB4-4E3B-8A20-749E6B137AEA}" showGridLines="0">
      <selection activeCell="E9" sqref="E9"/>
      <pageMargins left="0.7" right="0.7" top="0.75" bottom="0.75" header="0.3" footer="0.3"/>
      <pageSetup paperSize="9" orientation="portrait" horizontalDpi="300" verticalDpi="300" r:id="rId11"/>
    </customSheetView>
    <customSheetView guid="{75F545D8-957D-412C-B66B-DD1178A45800}" showGridLines="0">
      <selection activeCell="E9" sqref="E9"/>
      <pageMargins left="0.7" right="0.7" top="0.75" bottom="0.75" header="0.3" footer="0.3"/>
      <pageSetup paperSize="9" orientation="portrait" horizontalDpi="300" verticalDpi="300" r:id="rId12"/>
    </customSheetView>
    <customSheetView guid="{894FF5A1-5E16-48B2-97B7-77905E52730D}" showGridLines="0">
      <selection activeCell="B4" sqref="B4"/>
      <pageMargins left="0.7" right="0.7" top="0.75" bottom="0.75" header="0.3" footer="0.3"/>
      <pageSetup paperSize="9" orientation="portrait" horizontalDpi="300" verticalDpi="300" r:id="rId13"/>
    </customSheetView>
    <customSheetView guid="{845AB85B-320D-4261-8D20-E6D9D5D4C38C}" showGridLines="0">
      <selection activeCell="E8" sqref="E8"/>
      <pageMargins left="0.7" right="0.7" top="0.75" bottom="0.75" header="0.3" footer="0.3"/>
      <pageSetup paperSize="9" orientation="portrait" horizontalDpi="300" verticalDpi="300" r:id="rId14"/>
    </customSheetView>
    <customSheetView guid="{CE348A5C-D9D4-4899-A40F-894070A117B6}" showGridLines="0" topLeftCell="A4">
      <selection activeCell="E11" sqref="E11"/>
      <pageMargins left="0.7" right="0.7" top="0.75" bottom="0.75" header="0.3" footer="0.3"/>
      <pageSetup paperSize="9" orientation="portrait" horizontalDpi="300" verticalDpi="300" r:id="rId15"/>
    </customSheetView>
    <customSheetView guid="{8D0556F1-DDE6-43F4-BF14-0889B98E8F1B}" showGridLines="0" topLeftCell="A3">
      <selection activeCell="G15" sqref="G15"/>
      <pageMargins left="0.7" right="0.7" top="0.75" bottom="0.75" header="0.3" footer="0.3"/>
      <pageSetup paperSize="9" orientation="portrait" horizontalDpi="300" verticalDpi="300" r:id="rId16"/>
    </customSheetView>
    <customSheetView guid="{A0F6C4E6-E641-4152-9AB1-BDDEFE79F262}" showGridLines="0">
      <selection activeCell="E9" sqref="E9"/>
      <pageMargins left="0.7" right="0.7" top="0.75" bottom="0.75" header="0.3" footer="0.3"/>
      <pageSetup paperSize="9" orientation="portrait" horizontalDpi="300" verticalDpi="300" r:id="rId17"/>
    </customSheetView>
    <customSheetView guid="{D40E5C28-53DE-4B28-952C-1D2FB2D5F0F0}" showGridLines="0">
      <selection activeCell="C4" sqref="C4"/>
      <pageMargins left="0.7" right="0.7" top="0.75" bottom="0.75" header="0.3" footer="0.3"/>
      <pageSetup paperSize="9" orientation="portrait" horizontalDpi="300" verticalDpi="300" r:id="rId18"/>
    </customSheetView>
    <customSheetView guid="{26B41735-39E2-4BE9-9EA5-D1F67A43DC0E}" showGridLines="0" topLeftCell="A3">
      <selection activeCell="E17" sqref="E17"/>
      <pageMargins left="0.7" right="0.7" top="0.75" bottom="0.75" header="0.3" footer="0.3"/>
      <pageSetup paperSize="9" orientation="portrait" horizontalDpi="300" verticalDpi="300" r:id="rId19"/>
    </customSheetView>
    <customSheetView guid="{284277B3-AC3C-4136-A308-367D96D447E4}" showGridLines="0" topLeftCell="A3">
      <selection activeCell="G10" sqref="G10"/>
      <pageMargins left="0.7" right="0.7" top="0.75" bottom="0.75" header="0.3" footer="0.3"/>
      <pageSetup paperSize="9" orientation="portrait" horizontalDpi="300" verticalDpi="300" r:id="rId20"/>
    </customSheetView>
    <customSheetView guid="{92A1CAD1-2CFB-4DA3-AD67-71210BA7D4E5}" showGridLines="0">
      <selection activeCell="G7" sqref="G7"/>
      <pageMargins left="0.7" right="0.7" top="0.75" bottom="0.75" header="0.3" footer="0.3"/>
      <pageSetup paperSize="9" orientation="portrait" horizontalDpi="300" verticalDpi="300" r:id="rId21"/>
    </customSheetView>
    <customSheetView guid="{A4ED5A10-FDD2-4550-ABD5-0B6EF13A24C4}" showGridLines="0">
      <selection activeCell="G7" sqref="G7"/>
      <pageMargins left="0.7" right="0.7" top="0.75" bottom="0.75" header="0.3" footer="0.3"/>
      <pageSetup paperSize="9" orientation="portrait" horizontalDpi="300" verticalDpi="300" r:id="rId22"/>
    </customSheetView>
  </customSheetViews>
  <pageMargins left="0.7" right="0.7" top="0.75" bottom="0.75" header="0.3" footer="0.3"/>
  <pageSetup paperSize="9" orientation="portrait" horizontalDpi="300" verticalDpi="300" r:id="rId2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500-000000000000}">
          <x14:formula1>
            <xm:f>'Entries Register (AP) '!$AB$8:$AB$29</xm:f>
          </x14:formula1>
          <xm:sqref>D12:D500 D4:D10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K157"/>
  <sheetViews>
    <sheetView showGridLines="0" zoomScale="85" zoomScaleNormal="85" workbookViewId="0">
      <pane xSplit="3" ySplit="6" topLeftCell="D7" activePane="bottomRight" state="frozen"/>
      <selection pane="topRight" activeCell="T1" sqref="T1"/>
      <selection pane="bottomLeft" activeCell="A7" sqref="A7"/>
      <selection pane="bottomRight" activeCell="D5" sqref="D5"/>
    </sheetView>
  </sheetViews>
  <sheetFormatPr defaultRowHeight="17.25" customHeight="1"/>
  <cols>
    <col min="1" max="1" width="13.6640625" customWidth="1"/>
    <col min="2" max="2" width="26.83203125" style="4" customWidth="1"/>
    <col min="3" max="3" width="13.6640625" style="4" customWidth="1"/>
    <col min="4" max="79" width="8.5" style="4" customWidth="1"/>
    <col min="80" max="80" width="12.33203125" style="4" customWidth="1"/>
    <col min="81" max="81" width="15.6640625" style="4" customWidth="1"/>
    <col min="82" max="82" width="9.33203125" style="4"/>
    <col min="83" max="83" width="12.33203125" style="4" customWidth="1"/>
    <col min="84" max="84" width="25" style="4" customWidth="1"/>
    <col min="85" max="85" width="19.5" style="4" customWidth="1"/>
    <col min="86" max="16384" width="9.33203125" style="4"/>
  </cols>
  <sheetData>
    <row r="1" spans="1:88" ht="17.25" customHeight="1">
      <c r="A1" s="25" t="s">
        <v>3975</v>
      </c>
      <c r="B1" s="25"/>
      <c r="C1" s="26"/>
    </row>
    <row r="2" spans="1:88" ht="17.25" customHeight="1">
      <c r="A2" s="3"/>
      <c r="B2" s="3"/>
    </row>
    <row r="3" spans="1:88" ht="17.25" customHeight="1">
      <c r="A3" s="5" t="s">
        <v>3945</v>
      </c>
      <c r="B3" s="5"/>
    </row>
    <row r="4" spans="1:88" ht="17.25" customHeight="1">
      <c r="A4" s="5"/>
      <c r="B4" s="5"/>
    </row>
    <row r="5" spans="1:88" s="9" customFormat="1" ht="17.25" customHeight="1">
      <c r="A5" s="6" t="s">
        <v>3944</v>
      </c>
      <c r="B5" s="6" t="s">
        <v>3958</v>
      </c>
      <c r="C5" s="6" t="s">
        <v>3946</v>
      </c>
      <c r="D5" s="60">
        <v>43231</v>
      </c>
      <c r="E5" s="61"/>
      <c r="F5" s="60">
        <f>D5+1</f>
        <v>43232</v>
      </c>
      <c r="G5" s="61"/>
      <c r="H5" s="60">
        <f>F5+1</f>
        <v>43233</v>
      </c>
      <c r="I5" s="61"/>
      <c r="J5" s="60">
        <f>H5+1</f>
        <v>43234</v>
      </c>
      <c r="K5" s="61"/>
      <c r="L5" s="60">
        <f>J5+1</f>
        <v>43235</v>
      </c>
      <c r="M5" s="61"/>
      <c r="N5" s="60">
        <f>L5+1</f>
        <v>43236</v>
      </c>
      <c r="O5" s="61"/>
      <c r="P5" s="60">
        <f>N5+1</f>
        <v>43237</v>
      </c>
      <c r="Q5" s="61"/>
      <c r="R5" s="60">
        <f>P5+1</f>
        <v>43238</v>
      </c>
      <c r="S5" s="61"/>
      <c r="T5" s="60">
        <f>R5+1</f>
        <v>43239</v>
      </c>
      <c r="U5" s="61"/>
      <c r="V5" s="60">
        <f>T5+1</f>
        <v>43240</v>
      </c>
      <c r="W5" s="61"/>
      <c r="X5" s="60">
        <f>V5+1</f>
        <v>43241</v>
      </c>
      <c r="Y5" s="61"/>
      <c r="Z5" s="60">
        <f>X5+1</f>
        <v>43242</v>
      </c>
      <c r="AA5" s="61"/>
      <c r="AB5" s="60">
        <f>Z5+1</f>
        <v>43243</v>
      </c>
      <c r="AC5" s="61"/>
      <c r="AD5" s="60">
        <f>AB5+1</f>
        <v>43244</v>
      </c>
      <c r="AE5" s="61"/>
      <c r="AF5" s="60">
        <f>AD5+1</f>
        <v>43245</v>
      </c>
      <c r="AG5" s="61"/>
      <c r="AH5" s="60">
        <f>AF5+1</f>
        <v>43246</v>
      </c>
      <c r="AI5" s="61"/>
      <c r="AJ5" s="60">
        <f>AH5+1</f>
        <v>43247</v>
      </c>
      <c r="AK5" s="61"/>
      <c r="AL5" s="60">
        <f>AJ5+1</f>
        <v>43248</v>
      </c>
      <c r="AM5" s="61"/>
      <c r="AN5" s="60">
        <f>AL5+1</f>
        <v>43249</v>
      </c>
      <c r="AO5" s="61"/>
      <c r="AP5" s="60">
        <f>AN5+1</f>
        <v>43250</v>
      </c>
      <c r="AQ5" s="61"/>
      <c r="AR5" s="60">
        <f>AP5+1</f>
        <v>43251</v>
      </c>
      <c r="AS5" s="61"/>
      <c r="AT5" s="60">
        <f>AR5+1</f>
        <v>43252</v>
      </c>
      <c r="AU5" s="61"/>
      <c r="AV5" s="60">
        <f>AT5+1</f>
        <v>43253</v>
      </c>
      <c r="AW5" s="61"/>
      <c r="AX5" s="60">
        <f>AV5+1</f>
        <v>43254</v>
      </c>
      <c r="AY5" s="61"/>
      <c r="AZ5" s="60">
        <f>AX5+1</f>
        <v>43255</v>
      </c>
      <c r="BA5" s="61"/>
      <c r="BB5" s="60">
        <f>AZ5+1</f>
        <v>43256</v>
      </c>
      <c r="BC5" s="61"/>
      <c r="BD5" s="60">
        <f>BB5+1</f>
        <v>43257</v>
      </c>
      <c r="BE5" s="61"/>
      <c r="BF5" s="326">
        <f>BD5+1</f>
        <v>43258</v>
      </c>
      <c r="BG5" s="327"/>
      <c r="BH5" s="326">
        <f>BF5+1</f>
        <v>43259</v>
      </c>
      <c r="BI5" s="327"/>
      <c r="BJ5" s="326">
        <f>BH5+1</f>
        <v>43260</v>
      </c>
      <c r="BK5" s="327"/>
      <c r="BL5" s="326">
        <f>BJ5+1</f>
        <v>43261</v>
      </c>
      <c r="BM5" s="327"/>
      <c r="BN5" s="326">
        <f>BL5+1</f>
        <v>43262</v>
      </c>
      <c r="BO5" s="327"/>
      <c r="BP5" s="326">
        <f>BN5+1</f>
        <v>43263</v>
      </c>
      <c r="BQ5" s="327"/>
      <c r="BR5" s="326">
        <f>BP5+1</f>
        <v>43264</v>
      </c>
      <c r="BS5" s="327"/>
      <c r="BT5" s="326">
        <f>BR5+1</f>
        <v>43265</v>
      </c>
      <c r="BU5" s="327"/>
      <c r="BV5" s="326">
        <f>BT5+1</f>
        <v>43266</v>
      </c>
      <c r="BW5" s="327"/>
      <c r="BX5" s="326">
        <f>BV5+1</f>
        <v>43267</v>
      </c>
      <c r="BY5" s="327"/>
      <c r="BZ5" s="326">
        <f>BX5+1</f>
        <v>43268</v>
      </c>
      <c r="CA5" s="327"/>
      <c r="CB5" s="4"/>
      <c r="CC5" s="8"/>
      <c r="CD5" s="8"/>
    </row>
    <row r="6" spans="1:88" s="9" customFormat="1" ht="17.25" customHeight="1">
      <c r="A6" s="10"/>
      <c r="B6" s="57"/>
      <c r="C6" s="11" t="s">
        <v>3947</v>
      </c>
      <c r="D6" s="43" t="s">
        <v>3940</v>
      </c>
      <c r="E6" s="44" t="s">
        <v>3941</v>
      </c>
      <c r="F6" s="43" t="s">
        <v>3940</v>
      </c>
      <c r="G6" s="44" t="s">
        <v>3941</v>
      </c>
      <c r="H6" s="43" t="s">
        <v>3940</v>
      </c>
      <c r="I6" s="44" t="s">
        <v>3941</v>
      </c>
      <c r="J6" s="43" t="s">
        <v>3940</v>
      </c>
      <c r="K6" s="44" t="s">
        <v>3941</v>
      </c>
      <c r="L6" s="43" t="s">
        <v>3940</v>
      </c>
      <c r="M6" s="44" t="s">
        <v>3941</v>
      </c>
      <c r="N6" s="43" t="s">
        <v>3940</v>
      </c>
      <c r="O6" s="44" t="s">
        <v>3941</v>
      </c>
      <c r="P6" s="43" t="s">
        <v>3940</v>
      </c>
      <c r="Q6" s="44" t="s">
        <v>3941</v>
      </c>
      <c r="R6" s="43" t="s">
        <v>3940</v>
      </c>
      <c r="S6" s="44" t="s">
        <v>3941</v>
      </c>
      <c r="T6" s="43" t="s">
        <v>3940</v>
      </c>
      <c r="U6" s="44" t="s">
        <v>3941</v>
      </c>
      <c r="V6" s="43" t="s">
        <v>3940</v>
      </c>
      <c r="W6" s="44" t="s">
        <v>3941</v>
      </c>
      <c r="X6" s="43" t="s">
        <v>3940</v>
      </c>
      <c r="Y6" s="44" t="s">
        <v>3941</v>
      </c>
      <c r="Z6" s="43" t="s">
        <v>3940</v>
      </c>
      <c r="AA6" s="44" t="s">
        <v>3941</v>
      </c>
      <c r="AB6" s="43" t="s">
        <v>3940</v>
      </c>
      <c r="AC6" s="44" t="s">
        <v>3941</v>
      </c>
      <c r="AD6" s="43" t="s">
        <v>3940</v>
      </c>
      <c r="AE6" s="44" t="s">
        <v>3941</v>
      </c>
      <c r="AF6" s="43" t="s">
        <v>3940</v>
      </c>
      <c r="AG6" s="44" t="s">
        <v>3941</v>
      </c>
      <c r="AH6" s="43" t="s">
        <v>3940</v>
      </c>
      <c r="AI6" s="44" t="s">
        <v>3941</v>
      </c>
      <c r="AJ6" s="43" t="s">
        <v>3940</v>
      </c>
      <c r="AK6" s="44" t="s">
        <v>3941</v>
      </c>
      <c r="AL6" s="43" t="s">
        <v>3940</v>
      </c>
      <c r="AM6" s="44" t="s">
        <v>3941</v>
      </c>
      <c r="AN6" s="43" t="s">
        <v>3940</v>
      </c>
      <c r="AO6" s="44" t="s">
        <v>3941</v>
      </c>
      <c r="AP6" s="43" t="s">
        <v>3940</v>
      </c>
      <c r="AQ6" s="44" t="s">
        <v>3941</v>
      </c>
      <c r="AR6" s="43" t="s">
        <v>3940</v>
      </c>
      <c r="AS6" s="44" t="s">
        <v>3941</v>
      </c>
      <c r="AT6" s="43" t="s">
        <v>3940</v>
      </c>
      <c r="AU6" s="44" t="s">
        <v>3941</v>
      </c>
      <c r="AV6" s="43" t="s">
        <v>3940</v>
      </c>
      <c r="AW6" s="44" t="s">
        <v>3941</v>
      </c>
      <c r="AX6" s="43" t="s">
        <v>3940</v>
      </c>
      <c r="AY6" s="44" t="s">
        <v>3941</v>
      </c>
      <c r="AZ6" s="43" t="s">
        <v>3940</v>
      </c>
      <c r="BA6" s="44" t="s">
        <v>3941</v>
      </c>
      <c r="BB6" s="43" t="s">
        <v>3940</v>
      </c>
      <c r="BC6" s="44" t="s">
        <v>3941</v>
      </c>
      <c r="BD6" s="43" t="s">
        <v>3940</v>
      </c>
      <c r="BE6" s="44" t="s">
        <v>3941</v>
      </c>
      <c r="BF6" s="43" t="s">
        <v>3940</v>
      </c>
      <c r="BG6" s="44" t="s">
        <v>3941</v>
      </c>
      <c r="BH6" s="43" t="s">
        <v>3940</v>
      </c>
      <c r="BI6" s="44" t="s">
        <v>3941</v>
      </c>
      <c r="BJ6" s="43" t="s">
        <v>3940</v>
      </c>
      <c r="BK6" s="44" t="s">
        <v>3941</v>
      </c>
      <c r="BL6" s="43" t="s">
        <v>3940</v>
      </c>
      <c r="BM6" s="44" t="s">
        <v>3941</v>
      </c>
      <c r="BN6" s="43" t="s">
        <v>3940</v>
      </c>
      <c r="BO6" s="44" t="s">
        <v>3941</v>
      </c>
      <c r="BP6" s="43" t="s">
        <v>3940</v>
      </c>
      <c r="BQ6" s="44" t="s">
        <v>3941</v>
      </c>
      <c r="BR6" s="43" t="s">
        <v>3940</v>
      </c>
      <c r="BS6" s="44" t="s">
        <v>3941</v>
      </c>
      <c r="BT6" s="43" t="s">
        <v>3940</v>
      </c>
      <c r="BU6" s="44" t="s">
        <v>3941</v>
      </c>
      <c r="BV6" s="43" t="s">
        <v>3940</v>
      </c>
      <c r="BW6" s="44" t="s">
        <v>3941</v>
      </c>
      <c r="BX6" s="43" t="s">
        <v>3940</v>
      </c>
      <c r="BY6" s="44" t="s">
        <v>3941</v>
      </c>
      <c r="BZ6" s="43" t="s">
        <v>3940</v>
      </c>
      <c r="CA6" s="44" t="s">
        <v>3941</v>
      </c>
      <c r="CB6" s="12" t="s">
        <v>3964</v>
      </c>
      <c r="CC6" s="12" t="s">
        <v>3943</v>
      </c>
      <c r="CD6" s="8"/>
      <c r="CE6" s="9" t="s">
        <v>5131</v>
      </c>
      <c r="CF6" s="9" t="s">
        <v>5135</v>
      </c>
      <c r="CG6" s="9" t="s">
        <v>5136</v>
      </c>
      <c r="CJ6" s="9" t="s">
        <v>4871</v>
      </c>
    </row>
    <row r="7" spans="1:88" s="13" customFormat="1" ht="17.25" customHeight="1">
      <c r="A7" s="55" t="s">
        <v>5901</v>
      </c>
      <c r="B7" s="328" t="s">
        <v>5130</v>
      </c>
      <c r="C7" s="138">
        <f>+COUNTIF('Entries Register (AP) '!$L:$L,K.P.I!A7)</f>
        <v>0</v>
      </c>
      <c r="D7" s="47"/>
      <c r="E7" s="48"/>
      <c r="F7" s="47"/>
      <c r="G7" s="48"/>
      <c r="H7" s="47"/>
      <c r="I7" s="48"/>
      <c r="J7" s="47"/>
      <c r="K7" s="48"/>
      <c r="L7" s="47"/>
      <c r="M7" s="48"/>
      <c r="N7" s="47"/>
      <c r="O7" s="48"/>
      <c r="P7" s="47"/>
      <c r="Q7" s="48"/>
      <c r="R7" s="47"/>
      <c r="S7" s="48"/>
      <c r="T7" s="47"/>
      <c r="U7" s="48"/>
      <c r="V7" s="47"/>
      <c r="W7" s="48"/>
      <c r="X7" s="47"/>
      <c r="Y7" s="48"/>
      <c r="Z7" s="47"/>
      <c r="AA7" s="48"/>
      <c r="AB7" s="47"/>
      <c r="AC7" s="48"/>
      <c r="AD7" s="47"/>
      <c r="AE7" s="48"/>
      <c r="AF7" s="47"/>
      <c r="AG7" s="48"/>
      <c r="AH7" s="47"/>
      <c r="AI7" s="48"/>
      <c r="AJ7" s="47"/>
      <c r="AK7" s="48"/>
      <c r="AL7" s="47"/>
      <c r="AM7" s="48"/>
      <c r="AN7" s="47"/>
      <c r="AO7" s="48"/>
      <c r="AP7" s="47"/>
      <c r="AQ7" s="48"/>
      <c r="AR7" s="47"/>
      <c r="AS7" s="48"/>
      <c r="AT7" s="47"/>
      <c r="AU7" s="48"/>
      <c r="AV7" s="47"/>
      <c r="AW7" s="48"/>
      <c r="AX7" s="47"/>
      <c r="AY7" s="48"/>
      <c r="AZ7" s="47"/>
      <c r="BA7" s="48"/>
      <c r="BB7" s="47"/>
      <c r="BC7" s="48"/>
      <c r="BD7" s="47"/>
      <c r="BE7" s="48"/>
      <c r="BF7" s="47"/>
      <c r="BG7" s="48"/>
      <c r="BH7" s="47"/>
      <c r="BI7" s="48"/>
      <c r="BJ7" s="47"/>
      <c r="BK7" s="48"/>
      <c r="BL7" s="47"/>
      <c r="BM7" s="48"/>
      <c r="BN7" s="47"/>
      <c r="BO7" s="48"/>
      <c r="BP7" s="47"/>
      <c r="BQ7" s="48"/>
      <c r="BR7" s="47"/>
      <c r="BS7" s="48"/>
      <c r="BT7" s="47"/>
      <c r="BU7" s="48"/>
      <c r="BV7" s="47"/>
      <c r="BW7" s="48"/>
      <c r="BX7" s="47"/>
      <c r="BY7" s="48"/>
      <c r="BZ7" s="47"/>
      <c r="CA7" s="48"/>
      <c r="CB7" s="38">
        <f t="shared" ref="CB7:CB23" si="0">SUMIF($D$6:$CA$6,"Act",D7:CA7)</f>
        <v>0</v>
      </c>
      <c r="CC7" s="21">
        <f t="shared" ref="CC7:CC24" si="1">IFERROR(CB7/C7,0)</f>
        <v>0</v>
      </c>
      <c r="CD7" s="66"/>
      <c r="CE7" s="66">
        <f>C7-CB7</f>
        <v>0</v>
      </c>
      <c r="CF7" s="66">
        <f>IF(CG7-CE7&lt;0,0,CG7-CE7)</f>
        <v>0</v>
      </c>
      <c r="CG7" s="66">
        <f>COUNTIFS('Entries Register (AP) '!$Q:$Q,"",'Entries Register (AP) '!$L:$L,A7)</f>
        <v>0</v>
      </c>
      <c r="CH7" s="66"/>
      <c r="CJ7" s="66" t="b">
        <f t="shared" ref="CJ7:CJ23" si="2">+C7-CB7=CE7</f>
        <v>1</v>
      </c>
    </row>
    <row r="8" spans="1:88" s="13" customFormat="1" ht="17.25" customHeight="1">
      <c r="A8" s="55" t="s">
        <v>3935</v>
      </c>
      <c r="B8" s="328"/>
      <c r="C8" s="138">
        <f>+COUNTIF('Entries Register (AP) '!$L:$L,K.P.I!A8)</f>
        <v>0</v>
      </c>
      <c r="D8" s="47"/>
      <c r="E8" s="48"/>
      <c r="F8" s="47"/>
      <c r="G8" s="48"/>
      <c r="H8" s="47"/>
      <c r="I8" s="48"/>
      <c r="J8" s="47"/>
      <c r="K8" s="48"/>
      <c r="L8" s="47"/>
      <c r="M8" s="48"/>
      <c r="N8" s="47"/>
      <c r="O8" s="48"/>
      <c r="P8" s="47"/>
      <c r="Q8" s="48"/>
      <c r="R8" s="47"/>
      <c r="S8" s="48"/>
      <c r="T8" s="47"/>
      <c r="U8" s="48"/>
      <c r="V8" s="47"/>
      <c r="W8" s="48"/>
      <c r="X8" s="47"/>
      <c r="Y8" s="48"/>
      <c r="Z8" s="47"/>
      <c r="AA8" s="48"/>
      <c r="AB8" s="47"/>
      <c r="AC8" s="48"/>
      <c r="AD8" s="47"/>
      <c r="AE8" s="48"/>
      <c r="AF8" s="47"/>
      <c r="AG8" s="48"/>
      <c r="AH8" s="47"/>
      <c r="AI8" s="48"/>
      <c r="AJ8" s="47"/>
      <c r="AK8" s="48"/>
      <c r="AL8" s="47"/>
      <c r="AM8" s="48"/>
      <c r="AN8" s="47"/>
      <c r="AO8" s="48"/>
      <c r="AP8" s="47"/>
      <c r="AQ8" s="48"/>
      <c r="AR8" s="47"/>
      <c r="AS8" s="48"/>
      <c r="AT8" s="47"/>
      <c r="AU8" s="48"/>
      <c r="AV8" s="47"/>
      <c r="AW8" s="48"/>
      <c r="AX8" s="47"/>
      <c r="AY8" s="48"/>
      <c r="AZ8" s="47"/>
      <c r="BA8" s="48"/>
      <c r="BB8" s="47"/>
      <c r="BC8" s="48"/>
      <c r="BD8" s="47"/>
      <c r="BE8" s="48"/>
      <c r="BF8" s="47"/>
      <c r="BG8" s="48"/>
      <c r="BH8" s="47"/>
      <c r="BI8" s="48"/>
      <c r="BJ8" s="47"/>
      <c r="BK8" s="48"/>
      <c r="BL8" s="47"/>
      <c r="BM8" s="48"/>
      <c r="BN8" s="47"/>
      <c r="BO8" s="48"/>
      <c r="BP8" s="47"/>
      <c r="BQ8" s="48"/>
      <c r="BR8" s="47"/>
      <c r="BS8" s="48"/>
      <c r="BT8" s="47"/>
      <c r="BU8" s="48"/>
      <c r="BV8" s="47"/>
      <c r="BW8" s="48"/>
      <c r="BX8" s="47"/>
      <c r="BY8" s="48"/>
      <c r="BZ8" s="47"/>
      <c r="CA8" s="48"/>
      <c r="CB8" s="38">
        <f t="shared" si="0"/>
        <v>0</v>
      </c>
      <c r="CC8" s="21">
        <f t="shared" si="1"/>
        <v>0</v>
      </c>
      <c r="CD8" s="66"/>
      <c r="CE8" s="66">
        <f t="shared" ref="CE8:CE24" si="3">C8-CB8</f>
        <v>0</v>
      </c>
      <c r="CF8" s="66">
        <f t="shared" ref="CF8:CF23" si="4">IF(CG8-CE8&lt;0,0,CG8-CE8)</f>
        <v>0</v>
      </c>
      <c r="CG8" s="66">
        <f>COUNTIFS('Entries Register (AP) '!$Q:$Q,"",'Entries Register (AP) '!$L:$L,A8)</f>
        <v>0</v>
      </c>
      <c r="CH8" s="66"/>
      <c r="CJ8" s="66" t="b">
        <f t="shared" si="2"/>
        <v>1</v>
      </c>
    </row>
    <row r="9" spans="1:88" s="13" customFormat="1" ht="17.25" customHeight="1">
      <c r="A9" s="55" t="s">
        <v>5513</v>
      </c>
      <c r="B9" s="328"/>
      <c r="C9" s="138">
        <f>+COUNTIF('Entries Register (AP) '!$L:$L,K.P.I!A9)</f>
        <v>0</v>
      </c>
      <c r="D9" s="47"/>
      <c r="E9" s="48"/>
      <c r="F9" s="47"/>
      <c r="G9" s="48"/>
      <c r="H9" s="47"/>
      <c r="I9" s="48"/>
      <c r="J9" s="47"/>
      <c r="K9" s="48"/>
      <c r="L9" s="47"/>
      <c r="M9" s="48"/>
      <c r="N9" s="47"/>
      <c r="O9" s="48"/>
      <c r="P9" s="47"/>
      <c r="Q9" s="48"/>
      <c r="R9" s="47"/>
      <c r="S9" s="48"/>
      <c r="T9" s="47"/>
      <c r="U9" s="48"/>
      <c r="V9" s="47"/>
      <c r="W9" s="48"/>
      <c r="X9" s="47"/>
      <c r="Y9" s="48"/>
      <c r="Z9" s="47"/>
      <c r="AA9" s="48"/>
      <c r="AB9" s="47"/>
      <c r="AC9" s="48"/>
      <c r="AD9" s="47"/>
      <c r="AE9" s="48"/>
      <c r="AF9" s="47"/>
      <c r="AG9" s="48"/>
      <c r="AH9" s="47"/>
      <c r="AI9" s="48"/>
      <c r="AJ9" s="47"/>
      <c r="AK9" s="48"/>
      <c r="AL9" s="47"/>
      <c r="AM9" s="48"/>
      <c r="AN9" s="47"/>
      <c r="AO9" s="48"/>
      <c r="AP9" s="47"/>
      <c r="AQ9" s="48"/>
      <c r="AR9" s="47"/>
      <c r="AS9" s="48"/>
      <c r="AT9" s="47"/>
      <c r="AU9" s="48"/>
      <c r="AV9" s="47"/>
      <c r="AW9" s="48"/>
      <c r="AX9" s="47"/>
      <c r="AY9" s="48"/>
      <c r="AZ9" s="47"/>
      <c r="BA9" s="48"/>
      <c r="BB9" s="47"/>
      <c r="BC9" s="48"/>
      <c r="BD9" s="47"/>
      <c r="BE9" s="48"/>
      <c r="BF9" s="47"/>
      <c r="BG9" s="48"/>
      <c r="BH9" s="47"/>
      <c r="BI9" s="48"/>
      <c r="BJ9" s="47"/>
      <c r="BK9" s="48"/>
      <c r="BL9" s="47"/>
      <c r="BM9" s="48"/>
      <c r="BN9" s="47"/>
      <c r="BO9" s="48"/>
      <c r="BP9" s="47"/>
      <c r="BQ9" s="48"/>
      <c r="BR9" s="47"/>
      <c r="BS9" s="48"/>
      <c r="BT9" s="47"/>
      <c r="BU9" s="48"/>
      <c r="BV9" s="47"/>
      <c r="BW9" s="48"/>
      <c r="BX9" s="47"/>
      <c r="BY9" s="48"/>
      <c r="BZ9" s="47"/>
      <c r="CA9" s="48"/>
      <c r="CB9" s="38">
        <f t="shared" si="0"/>
        <v>0</v>
      </c>
      <c r="CC9" s="21">
        <f t="shared" si="1"/>
        <v>0</v>
      </c>
      <c r="CD9" s="66"/>
      <c r="CE9" s="66">
        <f t="shared" si="3"/>
        <v>0</v>
      </c>
      <c r="CF9" s="66">
        <f t="shared" si="4"/>
        <v>0</v>
      </c>
      <c r="CG9" s="66">
        <f>COUNTIFS('Entries Register (AP) '!$Q:$Q,"",'Entries Register (AP) '!$L:$L,A9)</f>
        <v>0</v>
      </c>
      <c r="CH9" s="66"/>
      <c r="CJ9" s="66" t="b">
        <f t="shared" si="2"/>
        <v>1</v>
      </c>
    </row>
    <row r="10" spans="1:88" s="13" customFormat="1" ht="17.25" customHeight="1">
      <c r="A10" s="55" t="s">
        <v>5291</v>
      </c>
      <c r="B10" s="328"/>
      <c r="C10" s="138">
        <f>+COUNTIF('Entries Register (AP) '!$L:$L,K.P.I!A10)</f>
        <v>0</v>
      </c>
      <c r="D10" s="47"/>
      <c r="E10" s="48"/>
      <c r="F10" s="47"/>
      <c r="G10" s="48"/>
      <c r="H10" s="47"/>
      <c r="I10" s="48"/>
      <c r="J10" s="47"/>
      <c r="K10" s="48"/>
      <c r="L10" s="47"/>
      <c r="M10" s="48"/>
      <c r="N10" s="47"/>
      <c r="O10" s="48"/>
      <c r="P10" s="47"/>
      <c r="Q10" s="48"/>
      <c r="R10" s="47"/>
      <c r="S10" s="48"/>
      <c r="T10" s="47"/>
      <c r="U10" s="48"/>
      <c r="V10" s="47"/>
      <c r="W10" s="48"/>
      <c r="X10" s="47"/>
      <c r="Y10" s="48"/>
      <c r="Z10" s="47"/>
      <c r="AA10" s="48"/>
      <c r="AB10" s="47"/>
      <c r="AC10" s="48"/>
      <c r="AD10" s="47"/>
      <c r="AE10" s="48"/>
      <c r="AF10" s="47"/>
      <c r="AG10" s="48"/>
      <c r="AH10" s="47"/>
      <c r="AI10" s="48"/>
      <c r="AJ10" s="47"/>
      <c r="AK10" s="48"/>
      <c r="AL10" s="47"/>
      <c r="AM10" s="48"/>
      <c r="AN10" s="47"/>
      <c r="AO10" s="48"/>
      <c r="AP10" s="47"/>
      <c r="AQ10" s="48"/>
      <c r="AR10" s="47"/>
      <c r="AS10" s="48"/>
      <c r="AT10" s="47"/>
      <c r="AU10" s="48"/>
      <c r="AV10" s="47"/>
      <c r="AW10" s="48"/>
      <c r="AX10" s="47"/>
      <c r="AY10" s="48"/>
      <c r="AZ10" s="47"/>
      <c r="BA10" s="48"/>
      <c r="BB10" s="47"/>
      <c r="BC10" s="48"/>
      <c r="BD10" s="47"/>
      <c r="BE10" s="48"/>
      <c r="BF10" s="47"/>
      <c r="BG10" s="48"/>
      <c r="BH10" s="47"/>
      <c r="BI10" s="48"/>
      <c r="BJ10" s="47"/>
      <c r="BK10" s="48"/>
      <c r="BL10" s="47"/>
      <c r="BM10" s="48"/>
      <c r="BN10" s="47"/>
      <c r="BO10" s="48"/>
      <c r="BP10" s="47"/>
      <c r="BQ10" s="48"/>
      <c r="BR10" s="47"/>
      <c r="BS10" s="48"/>
      <c r="BT10" s="47"/>
      <c r="BU10" s="48"/>
      <c r="BV10" s="47"/>
      <c r="BW10" s="48"/>
      <c r="BX10" s="47"/>
      <c r="BY10" s="48"/>
      <c r="BZ10" s="47"/>
      <c r="CA10" s="48"/>
      <c r="CB10" s="38">
        <f t="shared" si="0"/>
        <v>0</v>
      </c>
      <c r="CC10" s="21">
        <f t="shared" si="1"/>
        <v>0</v>
      </c>
      <c r="CD10" s="66"/>
      <c r="CE10" s="66">
        <f t="shared" si="3"/>
        <v>0</v>
      </c>
      <c r="CF10" s="66">
        <f>IF(CG10-CE10&lt;0,0,CG10-CE10)</f>
        <v>0</v>
      </c>
      <c r="CG10" s="66">
        <f>COUNTIFS('Entries Register (AP) '!$Q:$Q,"",'Entries Register (AP) '!$L:$L,A10)</f>
        <v>0</v>
      </c>
      <c r="CH10" s="66"/>
      <c r="CJ10" s="66" t="b">
        <f t="shared" si="2"/>
        <v>1</v>
      </c>
    </row>
    <row r="11" spans="1:88" s="13" customFormat="1" ht="17.25" customHeight="1">
      <c r="A11" s="55" t="s">
        <v>6013</v>
      </c>
      <c r="B11" s="328"/>
      <c r="C11" s="138">
        <f>+COUNTIF('Entries Register (AP) '!$L:$L,K.P.I!A11)</f>
        <v>0</v>
      </c>
      <c r="D11" s="47"/>
      <c r="E11" s="48"/>
      <c r="F11" s="47"/>
      <c r="G11" s="48"/>
      <c r="H11" s="47"/>
      <c r="I11" s="48"/>
      <c r="J11" s="47"/>
      <c r="K11" s="48"/>
      <c r="L11" s="47"/>
      <c r="M11" s="48"/>
      <c r="N11" s="47"/>
      <c r="O11" s="48"/>
      <c r="P11" s="47"/>
      <c r="Q11" s="48"/>
      <c r="R11" s="47"/>
      <c r="S11" s="48"/>
      <c r="T11" s="47"/>
      <c r="U11" s="48"/>
      <c r="V11" s="47"/>
      <c r="W11" s="48"/>
      <c r="X11" s="47"/>
      <c r="Y11" s="48"/>
      <c r="Z11" s="47"/>
      <c r="AA11" s="48"/>
      <c r="AB11" s="47"/>
      <c r="AC11" s="48"/>
      <c r="AD11" s="47"/>
      <c r="AE11" s="48"/>
      <c r="AF11" s="47"/>
      <c r="AG11" s="48"/>
      <c r="AH11" s="47"/>
      <c r="AI11" s="48"/>
      <c r="AJ11" s="47"/>
      <c r="AK11" s="48"/>
      <c r="AL11" s="47"/>
      <c r="AM11" s="48"/>
      <c r="AN11" s="47"/>
      <c r="AO11" s="48"/>
      <c r="AP11" s="47"/>
      <c r="AQ11" s="48"/>
      <c r="AR11" s="47"/>
      <c r="AS11" s="48"/>
      <c r="AT11" s="47"/>
      <c r="AU11" s="48"/>
      <c r="AV11" s="47"/>
      <c r="AW11" s="48"/>
      <c r="AX11" s="47"/>
      <c r="AY11" s="48"/>
      <c r="AZ11" s="47"/>
      <c r="BA11" s="48"/>
      <c r="BB11" s="47"/>
      <c r="BC11" s="48"/>
      <c r="BD11" s="47"/>
      <c r="BE11" s="48"/>
      <c r="BF11" s="47"/>
      <c r="BG11" s="48"/>
      <c r="BH11" s="47"/>
      <c r="BI11" s="48"/>
      <c r="BJ11" s="47"/>
      <c r="BK11" s="48"/>
      <c r="BL11" s="47"/>
      <c r="BM11" s="48"/>
      <c r="BN11" s="47"/>
      <c r="BO11" s="48"/>
      <c r="BP11" s="47"/>
      <c r="BQ11" s="48"/>
      <c r="BR11" s="47"/>
      <c r="BS11" s="48"/>
      <c r="BT11" s="47"/>
      <c r="BU11" s="48"/>
      <c r="BV11" s="47"/>
      <c r="BW11" s="48"/>
      <c r="BX11" s="47"/>
      <c r="BY11" s="48"/>
      <c r="BZ11" s="47"/>
      <c r="CA11" s="48"/>
      <c r="CB11" s="38">
        <f t="shared" si="0"/>
        <v>0</v>
      </c>
      <c r="CC11" s="21">
        <f t="shared" si="1"/>
        <v>0</v>
      </c>
      <c r="CD11" s="66"/>
      <c r="CE11" s="66">
        <f t="shared" si="3"/>
        <v>0</v>
      </c>
      <c r="CF11" s="66">
        <f t="shared" si="4"/>
        <v>0</v>
      </c>
      <c r="CG11" s="66">
        <f>COUNTIFS('Entries Register (AP) '!$Q:$Q,"",'Entries Register (AP) '!$L:$L,A11)</f>
        <v>0</v>
      </c>
      <c r="CH11" s="66"/>
      <c r="CJ11" s="66" t="b">
        <f t="shared" si="2"/>
        <v>1</v>
      </c>
    </row>
    <row r="12" spans="1:88" s="13" customFormat="1" ht="17.25" customHeight="1">
      <c r="A12" s="55" t="s">
        <v>4</v>
      </c>
      <c r="B12" s="328"/>
      <c r="C12" s="138">
        <f>+COUNTIF('Entries Register (AP) '!$L:$L,K.P.I!A12)</f>
        <v>0</v>
      </c>
      <c r="D12" s="47"/>
      <c r="E12" s="48"/>
      <c r="F12" s="47"/>
      <c r="G12" s="48"/>
      <c r="H12" s="47"/>
      <c r="I12" s="48"/>
      <c r="J12" s="47"/>
      <c r="K12" s="48"/>
      <c r="L12" s="47"/>
      <c r="M12" s="48"/>
      <c r="N12" s="47"/>
      <c r="O12" s="48"/>
      <c r="P12" s="47"/>
      <c r="Q12" s="48"/>
      <c r="R12" s="47"/>
      <c r="S12" s="48"/>
      <c r="T12" s="47"/>
      <c r="U12" s="48"/>
      <c r="V12" s="47"/>
      <c r="W12" s="48"/>
      <c r="X12" s="47"/>
      <c r="Y12" s="48"/>
      <c r="Z12" s="47"/>
      <c r="AA12" s="48"/>
      <c r="AB12" s="47"/>
      <c r="AC12" s="48"/>
      <c r="AD12" s="47"/>
      <c r="AE12" s="48"/>
      <c r="AF12" s="47"/>
      <c r="AG12" s="48"/>
      <c r="AH12" s="47"/>
      <c r="AI12" s="48"/>
      <c r="AJ12" s="47"/>
      <c r="AK12" s="48"/>
      <c r="AL12" s="47"/>
      <c r="AM12" s="48"/>
      <c r="AN12" s="47"/>
      <c r="AO12" s="48"/>
      <c r="AP12" s="47"/>
      <c r="AQ12" s="48"/>
      <c r="AR12" s="47"/>
      <c r="AS12" s="48"/>
      <c r="AT12" s="47"/>
      <c r="AU12" s="48"/>
      <c r="AV12" s="47"/>
      <c r="AW12" s="48"/>
      <c r="AX12" s="47"/>
      <c r="AY12" s="48"/>
      <c r="AZ12" s="47"/>
      <c r="BA12" s="48"/>
      <c r="BB12" s="47"/>
      <c r="BC12" s="48"/>
      <c r="BD12" s="47"/>
      <c r="BE12" s="48"/>
      <c r="BF12" s="47"/>
      <c r="BG12" s="48"/>
      <c r="BH12" s="47"/>
      <c r="BI12" s="48"/>
      <c r="BJ12" s="47"/>
      <c r="BK12" s="48"/>
      <c r="BL12" s="47"/>
      <c r="BM12" s="48"/>
      <c r="BN12" s="47"/>
      <c r="BO12" s="48"/>
      <c r="BP12" s="47"/>
      <c r="BQ12" s="48"/>
      <c r="BR12" s="47"/>
      <c r="BS12" s="48"/>
      <c r="BT12" s="47"/>
      <c r="BU12" s="48"/>
      <c r="BV12" s="47"/>
      <c r="BW12" s="48"/>
      <c r="BX12" s="47"/>
      <c r="BY12" s="48"/>
      <c r="BZ12" s="47"/>
      <c r="CA12" s="48"/>
      <c r="CB12" s="38">
        <f t="shared" si="0"/>
        <v>0</v>
      </c>
      <c r="CC12" s="21">
        <f t="shared" si="1"/>
        <v>0</v>
      </c>
      <c r="CD12" s="66"/>
      <c r="CE12" s="66">
        <f t="shared" si="3"/>
        <v>0</v>
      </c>
      <c r="CF12" s="66">
        <f>IF(CG12-CE12&lt;0,0,CG12-CE12)</f>
        <v>0</v>
      </c>
      <c r="CG12" s="66">
        <f>COUNTIFS('Entries Register (AP) '!$Q:$Q,"",'Entries Register (AP) '!$L:$L,A12)</f>
        <v>0</v>
      </c>
      <c r="CH12" s="66"/>
      <c r="CJ12" s="66" t="b">
        <f t="shared" si="2"/>
        <v>1</v>
      </c>
    </row>
    <row r="13" spans="1:88" s="13" customFormat="1" ht="17.25" customHeight="1">
      <c r="A13" s="55" t="s">
        <v>3</v>
      </c>
      <c r="B13" s="328"/>
      <c r="C13" s="138">
        <f>+COUNTIF('Entries Register (AP) '!$L:$L,K.P.I!A13)</f>
        <v>0</v>
      </c>
      <c r="D13" s="47"/>
      <c r="E13" s="48"/>
      <c r="F13" s="47"/>
      <c r="G13" s="48"/>
      <c r="H13" s="47"/>
      <c r="I13" s="48"/>
      <c r="J13" s="47"/>
      <c r="K13" s="48"/>
      <c r="L13" s="47"/>
      <c r="M13" s="48"/>
      <c r="N13" s="47"/>
      <c r="O13" s="48"/>
      <c r="P13" s="47"/>
      <c r="Q13" s="48"/>
      <c r="R13" s="47"/>
      <c r="S13" s="48"/>
      <c r="T13" s="47"/>
      <c r="U13" s="48"/>
      <c r="V13" s="47"/>
      <c r="W13" s="48"/>
      <c r="X13" s="47"/>
      <c r="Y13" s="48"/>
      <c r="Z13" s="47"/>
      <c r="AA13" s="48"/>
      <c r="AB13" s="47"/>
      <c r="AC13" s="48"/>
      <c r="AD13" s="47"/>
      <c r="AE13" s="48"/>
      <c r="AF13" s="47"/>
      <c r="AG13" s="48"/>
      <c r="AH13" s="47"/>
      <c r="AI13" s="48"/>
      <c r="AJ13" s="47"/>
      <c r="AK13" s="48"/>
      <c r="AL13" s="47"/>
      <c r="AM13" s="48"/>
      <c r="AN13" s="47"/>
      <c r="AO13" s="48"/>
      <c r="AP13" s="47"/>
      <c r="AQ13" s="48"/>
      <c r="AR13" s="47"/>
      <c r="AS13" s="48"/>
      <c r="AT13" s="47"/>
      <c r="AU13" s="48"/>
      <c r="AV13" s="47"/>
      <c r="AW13" s="48"/>
      <c r="AX13" s="47"/>
      <c r="AY13" s="48"/>
      <c r="AZ13" s="47"/>
      <c r="BA13" s="48"/>
      <c r="BB13" s="47"/>
      <c r="BC13" s="48"/>
      <c r="BD13" s="47"/>
      <c r="BE13" s="48"/>
      <c r="BF13" s="47"/>
      <c r="BG13" s="48"/>
      <c r="BH13" s="47"/>
      <c r="BI13" s="48"/>
      <c r="BJ13" s="47"/>
      <c r="BK13" s="48"/>
      <c r="BL13" s="47"/>
      <c r="BM13" s="48"/>
      <c r="BN13" s="47"/>
      <c r="BO13" s="48"/>
      <c r="BP13" s="47"/>
      <c r="BQ13" s="48"/>
      <c r="BR13" s="47"/>
      <c r="BS13" s="48"/>
      <c r="BT13" s="47"/>
      <c r="BU13" s="48"/>
      <c r="BV13" s="47"/>
      <c r="BW13" s="48"/>
      <c r="BX13" s="47"/>
      <c r="BY13" s="48"/>
      <c r="BZ13" s="47"/>
      <c r="CA13" s="48"/>
      <c r="CB13" s="38">
        <f t="shared" si="0"/>
        <v>0</v>
      </c>
      <c r="CC13" s="21">
        <f t="shared" si="1"/>
        <v>0</v>
      </c>
      <c r="CD13" s="66"/>
      <c r="CE13" s="66">
        <f t="shared" si="3"/>
        <v>0</v>
      </c>
      <c r="CF13" s="66">
        <f t="shared" si="4"/>
        <v>0</v>
      </c>
      <c r="CG13" s="66">
        <f>COUNTIFS('Entries Register (AP) '!$Q:$Q,"",'Entries Register (AP) '!$L:$L,A13)</f>
        <v>0</v>
      </c>
      <c r="CH13" s="66"/>
      <c r="CJ13" s="66" t="b">
        <f t="shared" si="2"/>
        <v>1</v>
      </c>
    </row>
    <row r="14" spans="1:88" s="13" customFormat="1" ht="17.25" customHeight="1">
      <c r="A14" s="56" t="s">
        <v>5806</v>
      </c>
      <c r="B14" s="328"/>
      <c r="C14" s="138">
        <f>+COUNTIF('Entries Register (AP) '!$L:$L,K.P.I!A14)</f>
        <v>0</v>
      </c>
      <c r="D14" s="47"/>
      <c r="E14" s="48"/>
      <c r="F14" s="47"/>
      <c r="G14" s="48"/>
      <c r="H14" s="47"/>
      <c r="I14" s="48"/>
      <c r="J14" s="47"/>
      <c r="K14" s="48"/>
      <c r="L14" s="47"/>
      <c r="M14" s="48"/>
      <c r="N14" s="47"/>
      <c r="O14" s="48"/>
      <c r="P14" s="47"/>
      <c r="Q14" s="48"/>
      <c r="R14" s="47"/>
      <c r="S14" s="48"/>
      <c r="T14" s="47"/>
      <c r="U14" s="48"/>
      <c r="V14" s="47"/>
      <c r="W14" s="48"/>
      <c r="X14" s="47"/>
      <c r="Y14" s="48"/>
      <c r="Z14" s="47"/>
      <c r="AA14" s="48"/>
      <c r="AB14" s="47"/>
      <c r="AC14" s="48"/>
      <c r="AD14" s="47"/>
      <c r="AE14" s="48"/>
      <c r="AF14" s="47"/>
      <c r="AG14" s="48"/>
      <c r="AH14" s="47"/>
      <c r="AI14" s="48"/>
      <c r="AJ14" s="47"/>
      <c r="AK14" s="48"/>
      <c r="AL14" s="47"/>
      <c r="AM14" s="48"/>
      <c r="AN14" s="47"/>
      <c r="AO14" s="48"/>
      <c r="AP14" s="47"/>
      <c r="AQ14" s="48"/>
      <c r="AR14" s="47"/>
      <c r="AS14" s="48"/>
      <c r="AT14" s="47"/>
      <c r="AU14" s="48"/>
      <c r="AV14" s="47"/>
      <c r="AW14" s="48"/>
      <c r="AX14" s="47"/>
      <c r="AY14" s="48"/>
      <c r="AZ14" s="47"/>
      <c r="BA14" s="48"/>
      <c r="BB14" s="47"/>
      <c r="BC14" s="48"/>
      <c r="BD14" s="47"/>
      <c r="BE14" s="48"/>
      <c r="BF14" s="47"/>
      <c r="BG14" s="48"/>
      <c r="BH14" s="47"/>
      <c r="BI14" s="48"/>
      <c r="BJ14" s="47"/>
      <c r="BK14" s="48"/>
      <c r="BL14" s="47"/>
      <c r="BM14" s="48"/>
      <c r="BN14" s="47"/>
      <c r="BO14" s="48"/>
      <c r="BP14" s="47"/>
      <c r="BQ14" s="48"/>
      <c r="BR14" s="47"/>
      <c r="BS14" s="48"/>
      <c r="BT14" s="47"/>
      <c r="BU14" s="48"/>
      <c r="BV14" s="47"/>
      <c r="BW14" s="48"/>
      <c r="BX14" s="47"/>
      <c r="BY14" s="48"/>
      <c r="BZ14" s="47"/>
      <c r="CA14" s="48"/>
      <c r="CB14" s="38">
        <f t="shared" si="0"/>
        <v>0</v>
      </c>
      <c r="CC14" s="21">
        <f t="shared" si="1"/>
        <v>0</v>
      </c>
      <c r="CD14" s="66"/>
      <c r="CE14" s="66">
        <f t="shared" si="3"/>
        <v>0</v>
      </c>
      <c r="CF14" s="66">
        <f t="shared" si="4"/>
        <v>0</v>
      </c>
      <c r="CG14" s="66">
        <f>COUNTIFS('Entries Register (AP) '!$Q:$Q,"",'Entries Register (AP) '!$L:$L,A14)</f>
        <v>0</v>
      </c>
      <c r="CH14" s="66"/>
      <c r="CJ14" s="66" t="b">
        <f t="shared" si="2"/>
        <v>1</v>
      </c>
    </row>
    <row r="15" spans="1:88" s="13" customFormat="1" ht="17.25" customHeight="1">
      <c r="A15" s="56" t="s">
        <v>5898</v>
      </c>
      <c r="B15" s="328"/>
      <c r="C15" s="138">
        <f>+COUNTIF('Entries Register (AP) '!$L:$L,K.P.I!A15)</f>
        <v>0</v>
      </c>
      <c r="D15" s="47"/>
      <c r="E15" s="48"/>
      <c r="F15" s="47"/>
      <c r="G15" s="48"/>
      <c r="H15" s="47"/>
      <c r="I15" s="48"/>
      <c r="J15" s="47"/>
      <c r="K15" s="48"/>
      <c r="L15" s="47"/>
      <c r="M15" s="48"/>
      <c r="N15" s="47"/>
      <c r="O15" s="48"/>
      <c r="P15" s="47"/>
      <c r="Q15" s="48"/>
      <c r="R15" s="47"/>
      <c r="S15" s="48"/>
      <c r="T15" s="47"/>
      <c r="U15" s="48"/>
      <c r="V15" s="47"/>
      <c r="W15" s="48"/>
      <c r="X15" s="47"/>
      <c r="Y15" s="48"/>
      <c r="Z15" s="47"/>
      <c r="AA15" s="48"/>
      <c r="AB15" s="47"/>
      <c r="AC15" s="48"/>
      <c r="AD15" s="47"/>
      <c r="AE15" s="48"/>
      <c r="AF15" s="47"/>
      <c r="AG15" s="48"/>
      <c r="AH15" s="47"/>
      <c r="AI15" s="48"/>
      <c r="AJ15" s="47"/>
      <c r="AK15" s="48"/>
      <c r="AL15" s="47"/>
      <c r="AM15" s="48"/>
      <c r="AN15" s="47"/>
      <c r="AO15" s="48"/>
      <c r="AP15" s="47"/>
      <c r="AQ15" s="48"/>
      <c r="AR15" s="47"/>
      <c r="AS15" s="48"/>
      <c r="AT15" s="47"/>
      <c r="AU15" s="48"/>
      <c r="AV15" s="47"/>
      <c r="AW15" s="48"/>
      <c r="AX15" s="47"/>
      <c r="AY15" s="48"/>
      <c r="AZ15" s="47"/>
      <c r="BA15" s="48"/>
      <c r="BB15" s="47"/>
      <c r="BC15" s="48"/>
      <c r="BD15" s="47"/>
      <c r="BE15" s="48"/>
      <c r="BF15" s="47"/>
      <c r="BG15" s="48"/>
      <c r="BH15" s="47"/>
      <c r="BI15" s="48"/>
      <c r="BJ15" s="47"/>
      <c r="BK15" s="48"/>
      <c r="BL15" s="47"/>
      <c r="BM15" s="48"/>
      <c r="BN15" s="47"/>
      <c r="BO15" s="48"/>
      <c r="BP15" s="47"/>
      <c r="BQ15" s="48"/>
      <c r="BR15" s="47"/>
      <c r="BS15" s="48"/>
      <c r="BT15" s="47"/>
      <c r="BU15" s="48"/>
      <c r="BV15" s="47"/>
      <c r="BW15" s="48"/>
      <c r="BX15" s="47"/>
      <c r="BY15" s="48"/>
      <c r="BZ15" s="47"/>
      <c r="CA15" s="48"/>
      <c r="CB15" s="38">
        <f t="shared" si="0"/>
        <v>0</v>
      </c>
      <c r="CC15" s="21">
        <f t="shared" si="1"/>
        <v>0</v>
      </c>
      <c r="CD15" s="66"/>
      <c r="CE15" s="66">
        <f t="shared" si="3"/>
        <v>0</v>
      </c>
      <c r="CF15" s="66">
        <f t="shared" si="4"/>
        <v>0</v>
      </c>
      <c r="CG15" s="66">
        <f>COUNTIFS('Entries Register (AP) '!$Q:$Q,"",'Entries Register (AP) '!$L:$L,A15)</f>
        <v>0</v>
      </c>
      <c r="CH15" s="66"/>
      <c r="CJ15" s="66" t="b">
        <f t="shared" si="2"/>
        <v>1</v>
      </c>
    </row>
    <row r="16" spans="1:88" s="13" customFormat="1" ht="18.75" customHeight="1">
      <c r="A16" s="56" t="s">
        <v>6257</v>
      </c>
      <c r="B16" s="328"/>
      <c r="C16" s="138">
        <f>+COUNTIF('Entries Register (AP) '!$L:$L,K.P.I!A16)</f>
        <v>0</v>
      </c>
      <c r="D16" s="47"/>
      <c r="E16" s="48"/>
      <c r="F16" s="47"/>
      <c r="G16" s="48"/>
      <c r="H16" s="47"/>
      <c r="I16" s="48"/>
      <c r="J16" s="47"/>
      <c r="K16" s="48"/>
      <c r="L16" s="47"/>
      <c r="M16" s="48"/>
      <c r="N16" s="47"/>
      <c r="O16" s="48"/>
      <c r="P16" s="47"/>
      <c r="Q16" s="48"/>
      <c r="R16" s="47"/>
      <c r="S16" s="48"/>
      <c r="T16" s="47"/>
      <c r="U16" s="48"/>
      <c r="V16" s="47"/>
      <c r="W16" s="48"/>
      <c r="X16" s="47"/>
      <c r="Y16" s="48"/>
      <c r="Z16" s="47"/>
      <c r="AA16" s="48"/>
      <c r="AB16" s="47"/>
      <c r="AC16" s="48"/>
      <c r="AD16" s="47"/>
      <c r="AE16" s="48"/>
      <c r="AF16" s="47"/>
      <c r="AG16" s="48"/>
      <c r="AH16" s="47"/>
      <c r="AI16" s="48"/>
      <c r="AJ16" s="47"/>
      <c r="AK16" s="48"/>
      <c r="AL16" s="47"/>
      <c r="AM16" s="48"/>
      <c r="AN16" s="47"/>
      <c r="AO16" s="48"/>
      <c r="AP16" s="47"/>
      <c r="AQ16" s="48"/>
      <c r="AR16" s="47"/>
      <c r="AS16" s="48"/>
      <c r="AT16" s="47"/>
      <c r="AU16" s="48"/>
      <c r="AV16" s="47"/>
      <c r="AW16" s="48"/>
      <c r="AX16" s="47"/>
      <c r="AY16" s="48"/>
      <c r="AZ16" s="47"/>
      <c r="BA16" s="48"/>
      <c r="BB16" s="47"/>
      <c r="BC16" s="48"/>
      <c r="BD16" s="47"/>
      <c r="BE16" s="48"/>
      <c r="BF16" s="47"/>
      <c r="BG16" s="48"/>
      <c r="BH16" s="47"/>
      <c r="BI16" s="48"/>
      <c r="BJ16" s="47"/>
      <c r="BK16" s="48"/>
      <c r="BL16" s="47"/>
      <c r="BM16" s="48"/>
      <c r="BN16" s="47"/>
      <c r="BO16" s="48"/>
      <c r="BP16" s="47"/>
      <c r="BQ16" s="48"/>
      <c r="BR16" s="47"/>
      <c r="BS16" s="48"/>
      <c r="BT16" s="47"/>
      <c r="BU16" s="48"/>
      <c r="BV16" s="47"/>
      <c r="BW16" s="48"/>
      <c r="BX16" s="47"/>
      <c r="BY16" s="48"/>
      <c r="BZ16" s="47"/>
      <c r="CA16" s="48"/>
      <c r="CB16" s="38">
        <f t="shared" si="0"/>
        <v>0</v>
      </c>
      <c r="CC16" s="21">
        <f t="shared" si="1"/>
        <v>0</v>
      </c>
      <c r="CD16" s="66"/>
      <c r="CE16" s="66">
        <f t="shared" si="3"/>
        <v>0</v>
      </c>
      <c r="CF16" s="66">
        <f t="shared" si="4"/>
        <v>0</v>
      </c>
      <c r="CG16" s="66">
        <f>COUNTIFS('Entries Register (AP) '!$Q:$Q,"",'Entries Register (AP) '!$L:$L,A16)</f>
        <v>0</v>
      </c>
      <c r="CH16" s="66"/>
      <c r="CJ16" s="66" t="b">
        <f t="shared" si="2"/>
        <v>1</v>
      </c>
    </row>
    <row r="17" spans="1:89" s="13" customFormat="1" ht="17.25" customHeight="1">
      <c r="A17" s="56" t="s">
        <v>3932</v>
      </c>
      <c r="B17" s="328"/>
      <c r="C17" s="138">
        <f>+COUNTIF('Entries Register (AP) '!$L:$L,K.P.I!A17)</f>
        <v>0</v>
      </c>
      <c r="D17" s="47"/>
      <c r="E17" s="48"/>
      <c r="F17" s="47"/>
      <c r="G17" s="48"/>
      <c r="H17" s="47"/>
      <c r="I17" s="48"/>
      <c r="J17" s="47"/>
      <c r="K17" s="48"/>
      <c r="L17" s="47"/>
      <c r="M17" s="48"/>
      <c r="N17" s="47"/>
      <c r="O17" s="48"/>
      <c r="P17" s="47"/>
      <c r="Q17" s="48"/>
      <c r="R17" s="47"/>
      <c r="S17" s="48"/>
      <c r="T17" s="47"/>
      <c r="U17" s="48"/>
      <c r="V17" s="47"/>
      <c r="W17" s="48"/>
      <c r="X17" s="47"/>
      <c r="Y17" s="48"/>
      <c r="Z17" s="47"/>
      <c r="AA17" s="48"/>
      <c r="AB17" s="47"/>
      <c r="AC17" s="48"/>
      <c r="AD17" s="47"/>
      <c r="AE17" s="48"/>
      <c r="AF17" s="47"/>
      <c r="AG17" s="48"/>
      <c r="AH17" s="47"/>
      <c r="AI17" s="48"/>
      <c r="AJ17" s="47"/>
      <c r="AK17" s="48"/>
      <c r="AL17" s="47"/>
      <c r="AM17" s="48"/>
      <c r="AN17" s="47"/>
      <c r="AO17" s="48"/>
      <c r="AP17" s="47"/>
      <c r="AQ17" s="48"/>
      <c r="AR17" s="47"/>
      <c r="AS17" s="48"/>
      <c r="AT17" s="47"/>
      <c r="AU17" s="48"/>
      <c r="AV17" s="47"/>
      <c r="AW17" s="48"/>
      <c r="AX17" s="47"/>
      <c r="AY17" s="48"/>
      <c r="AZ17" s="47"/>
      <c r="BA17" s="48"/>
      <c r="BB17" s="47"/>
      <c r="BC17" s="48"/>
      <c r="BD17" s="47"/>
      <c r="BE17" s="48"/>
      <c r="BF17" s="47"/>
      <c r="BG17" s="48"/>
      <c r="BH17" s="47"/>
      <c r="BI17" s="48"/>
      <c r="BJ17" s="47"/>
      <c r="BK17" s="48"/>
      <c r="BL17" s="47"/>
      <c r="BM17" s="48"/>
      <c r="BN17" s="47"/>
      <c r="BO17" s="48"/>
      <c r="BP17" s="47"/>
      <c r="BQ17" s="48"/>
      <c r="BR17" s="47"/>
      <c r="BS17" s="48"/>
      <c r="BT17" s="47"/>
      <c r="BU17" s="48"/>
      <c r="BV17" s="47"/>
      <c r="BW17" s="48"/>
      <c r="BX17" s="47"/>
      <c r="BY17" s="48"/>
      <c r="BZ17" s="47"/>
      <c r="CA17" s="48"/>
      <c r="CB17" s="122">
        <f t="shared" si="0"/>
        <v>0</v>
      </c>
      <c r="CC17" s="62">
        <f t="shared" si="1"/>
        <v>0</v>
      </c>
      <c r="CD17" s="66"/>
      <c r="CE17" s="66">
        <f t="shared" si="3"/>
        <v>0</v>
      </c>
      <c r="CF17" s="66">
        <f t="shared" si="4"/>
        <v>0</v>
      </c>
      <c r="CG17" s="66">
        <f>COUNTIFS('Entries Register (AP) '!$Q:$Q,"",'Entries Register (AP) '!$L:$L,A17)</f>
        <v>0</v>
      </c>
      <c r="CH17" s="66"/>
      <c r="CJ17" s="66" t="b">
        <f t="shared" si="2"/>
        <v>1</v>
      </c>
    </row>
    <row r="18" spans="1:89" s="13" customFormat="1" ht="17.25" customHeight="1">
      <c r="A18" s="56" t="s">
        <v>2</v>
      </c>
      <c r="B18" s="328"/>
      <c r="C18" s="138">
        <f>+COUNTIF('Entries Register (AP) '!$L:$L,K.P.I!A18)</f>
        <v>0</v>
      </c>
      <c r="D18" s="47"/>
      <c r="E18" s="48"/>
      <c r="F18" s="47"/>
      <c r="G18" s="48"/>
      <c r="H18" s="47"/>
      <c r="I18" s="48"/>
      <c r="J18" s="47"/>
      <c r="K18" s="48"/>
      <c r="L18" s="47"/>
      <c r="M18" s="48"/>
      <c r="N18" s="47"/>
      <c r="O18" s="48"/>
      <c r="P18" s="47"/>
      <c r="Q18" s="48"/>
      <c r="R18" s="47"/>
      <c r="S18" s="48"/>
      <c r="T18" s="47"/>
      <c r="U18" s="48"/>
      <c r="V18" s="47"/>
      <c r="W18" s="48"/>
      <c r="X18" s="47"/>
      <c r="Y18" s="48"/>
      <c r="Z18" s="47"/>
      <c r="AA18" s="48"/>
      <c r="AB18" s="47"/>
      <c r="AC18" s="48"/>
      <c r="AD18" s="47"/>
      <c r="AE18" s="48"/>
      <c r="AF18" s="47"/>
      <c r="AG18" s="48"/>
      <c r="AH18" s="47"/>
      <c r="AI18" s="48"/>
      <c r="AJ18" s="47"/>
      <c r="AK18" s="48"/>
      <c r="AL18" s="47"/>
      <c r="AM18" s="48"/>
      <c r="AN18" s="47"/>
      <c r="AO18" s="48"/>
      <c r="AP18" s="47"/>
      <c r="AQ18" s="48"/>
      <c r="AR18" s="47"/>
      <c r="AS18" s="48"/>
      <c r="AT18" s="47"/>
      <c r="AU18" s="48"/>
      <c r="AV18" s="47"/>
      <c r="AW18" s="48"/>
      <c r="AX18" s="47"/>
      <c r="AY18" s="48"/>
      <c r="AZ18" s="47"/>
      <c r="BA18" s="48"/>
      <c r="BB18" s="47"/>
      <c r="BC18" s="48"/>
      <c r="BD18" s="47"/>
      <c r="BE18" s="48"/>
      <c r="BF18" s="47"/>
      <c r="BG18" s="48"/>
      <c r="BH18" s="47"/>
      <c r="BI18" s="48"/>
      <c r="BJ18" s="47"/>
      <c r="BK18" s="48"/>
      <c r="BL18" s="47"/>
      <c r="BM18" s="48"/>
      <c r="BN18" s="47"/>
      <c r="BO18" s="48"/>
      <c r="BP18" s="47"/>
      <c r="BQ18" s="48"/>
      <c r="BR18" s="47"/>
      <c r="BS18" s="48"/>
      <c r="BT18" s="47"/>
      <c r="BU18" s="48"/>
      <c r="BV18" s="47"/>
      <c r="BW18" s="48"/>
      <c r="BX18" s="47"/>
      <c r="BY18" s="48"/>
      <c r="BZ18" s="47"/>
      <c r="CA18" s="48"/>
      <c r="CB18" s="38">
        <f t="shared" si="0"/>
        <v>0</v>
      </c>
      <c r="CC18" s="21">
        <f t="shared" si="1"/>
        <v>0</v>
      </c>
      <c r="CD18" s="66"/>
      <c r="CE18" s="66">
        <f t="shared" si="3"/>
        <v>0</v>
      </c>
      <c r="CF18" s="66">
        <f t="shared" si="4"/>
        <v>0</v>
      </c>
      <c r="CG18" s="66">
        <f>COUNTIFS('Entries Register (AP) '!$Q:$Q,"",'Entries Register (AP) '!$L:$L,A18)</f>
        <v>0</v>
      </c>
      <c r="CH18" s="66"/>
      <c r="CJ18" s="66" t="b">
        <f t="shared" si="2"/>
        <v>1</v>
      </c>
    </row>
    <row r="19" spans="1:89" s="13" customFormat="1" ht="17.25" customHeight="1">
      <c r="A19" s="56" t="s">
        <v>3933</v>
      </c>
      <c r="B19" s="328"/>
      <c r="C19" s="138">
        <f>+COUNTIF('Entries Register (AP) '!$L:$L,K.P.I!A19)</f>
        <v>0</v>
      </c>
      <c r="D19" s="47"/>
      <c r="E19" s="48"/>
      <c r="F19" s="47"/>
      <c r="G19" s="48"/>
      <c r="H19" s="47"/>
      <c r="I19" s="48"/>
      <c r="J19" s="47"/>
      <c r="K19" s="48"/>
      <c r="L19" s="47"/>
      <c r="M19" s="48"/>
      <c r="N19" s="47"/>
      <c r="O19" s="48"/>
      <c r="P19" s="47"/>
      <c r="Q19" s="48"/>
      <c r="R19" s="47"/>
      <c r="S19" s="48"/>
      <c r="T19" s="47"/>
      <c r="U19" s="48"/>
      <c r="V19" s="47"/>
      <c r="W19" s="48"/>
      <c r="X19" s="47"/>
      <c r="Y19" s="48"/>
      <c r="Z19" s="47"/>
      <c r="AA19" s="48"/>
      <c r="AB19" s="47"/>
      <c r="AC19" s="48"/>
      <c r="AD19" s="47"/>
      <c r="AE19" s="48"/>
      <c r="AF19" s="47"/>
      <c r="AG19" s="48"/>
      <c r="AH19" s="47"/>
      <c r="AI19" s="48"/>
      <c r="AJ19" s="47"/>
      <c r="AK19" s="48"/>
      <c r="AL19" s="47"/>
      <c r="AM19" s="48"/>
      <c r="AN19" s="47"/>
      <c r="AO19" s="48"/>
      <c r="AP19" s="47"/>
      <c r="AQ19" s="48"/>
      <c r="AR19" s="47"/>
      <c r="AS19" s="48"/>
      <c r="AT19" s="47"/>
      <c r="AU19" s="48"/>
      <c r="AV19" s="47"/>
      <c r="AW19" s="48"/>
      <c r="AX19" s="47"/>
      <c r="AY19" s="48"/>
      <c r="AZ19" s="47"/>
      <c r="BA19" s="48"/>
      <c r="BB19" s="47"/>
      <c r="BC19" s="48"/>
      <c r="BD19" s="47"/>
      <c r="BE19" s="48"/>
      <c r="BF19" s="47"/>
      <c r="BG19" s="48"/>
      <c r="BH19" s="47"/>
      <c r="BI19" s="48"/>
      <c r="BJ19" s="47"/>
      <c r="BK19" s="48"/>
      <c r="BL19" s="47"/>
      <c r="BM19" s="48"/>
      <c r="BN19" s="47"/>
      <c r="BO19" s="48"/>
      <c r="BP19" s="47"/>
      <c r="BQ19" s="48"/>
      <c r="BR19" s="47"/>
      <c r="BS19" s="48"/>
      <c r="BT19" s="47"/>
      <c r="BU19" s="48"/>
      <c r="BV19" s="47"/>
      <c r="BW19" s="48"/>
      <c r="BX19" s="47"/>
      <c r="BY19" s="48"/>
      <c r="BZ19" s="47"/>
      <c r="CA19" s="48"/>
      <c r="CB19" s="38">
        <f t="shared" si="0"/>
        <v>0</v>
      </c>
      <c r="CC19" s="21">
        <f t="shared" si="1"/>
        <v>0</v>
      </c>
      <c r="CD19" s="66"/>
      <c r="CE19" s="66">
        <f t="shared" si="3"/>
        <v>0</v>
      </c>
      <c r="CF19" s="66">
        <f>IF(CG19-CE19&lt;0,0,CG19-CE19)</f>
        <v>0</v>
      </c>
      <c r="CG19" s="66">
        <f>COUNTIFS('Entries Register (AP) '!$Q:$Q,"",'Entries Register (AP) '!$L:$L,A19)</f>
        <v>0</v>
      </c>
      <c r="CH19" s="66"/>
      <c r="CJ19" s="66" t="b">
        <f t="shared" si="2"/>
        <v>1</v>
      </c>
    </row>
    <row r="20" spans="1:89" s="13" customFormat="1" ht="17.25" customHeight="1">
      <c r="A20" s="56" t="s">
        <v>4856</v>
      </c>
      <c r="B20" s="328"/>
      <c r="C20" s="138">
        <f>+COUNTIF('Entries Register (AP) '!$L:$L,K.P.I!A20)</f>
        <v>0</v>
      </c>
      <c r="D20" s="47"/>
      <c r="E20" s="48"/>
      <c r="F20" s="47"/>
      <c r="G20" s="48"/>
      <c r="H20" s="47"/>
      <c r="I20" s="48"/>
      <c r="J20" s="47"/>
      <c r="K20" s="48"/>
      <c r="L20" s="47"/>
      <c r="M20" s="48"/>
      <c r="N20" s="47"/>
      <c r="O20" s="48"/>
      <c r="P20" s="47"/>
      <c r="Q20" s="48"/>
      <c r="R20" s="47"/>
      <c r="S20" s="48"/>
      <c r="T20" s="47"/>
      <c r="U20" s="48"/>
      <c r="V20" s="47"/>
      <c r="W20" s="48"/>
      <c r="X20" s="47"/>
      <c r="Y20" s="48"/>
      <c r="Z20" s="47"/>
      <c r="AA20" s="48"/>
      <c r="AB20" s="47"/>
      <c r="AC20" s="48"/>
      <c r="AD20" s="47"/>
      <c r="AE20" s="48"/>
      <c r="AF20" s="47"/>
      <c r="AG20" s="48"/>
      <c r="AH20" s="47"/>
      <c r="AI20" s="48"/>
      <c r="AJ20" s="47"/>
      <c r="AK20" s="48"/>
      <c r="AL20" s="47"/>
      <c r="AM20" s="48"/>
      <c r="AN20" s="47"/>
      <c r="AO20" s="48"/>
      <c r="AP20" s="47"/>
      <c r="AQ20" s="48"/>
      <c r="AR20" s="47"/>
      <c r="AS20" s="48"/>
      <c r="AT20" s="47"/>
      <c r="AU20" s="48"/>
      <c r="AV20" s="47"/>
      <c r="AW20" s="48"/>
      <c r="AX20" s="47"/>
      <c r="AY20" s="48"/>
      <c r="AZ20" s="47"/>
      <c r="BA20" s="48"/>
      <c r="BB20" s="47"/>
      <c r="BC20" s="48"/>
      <c r="BD20" s="47"/>
      <c r="BE20" s="48"/>
      <c r="BF20" s="47"/>
      <c r="BG20" s="48"/>
      <c r="BH20" s="47"/>
      <c r="BI20" s="48"/>
      <c r="BJ20" s="47"/>
      <c r="BK20" s="48"/>
      <c r="BL20" s="47"/>
      <c r="BM20" s="48"/>
      <c r="BN20" s="47"/>
      <c r="BO20" s="48"/>
      <c r="BP20" s="47"/>
      <c r="BQ20" s="48"/>
      <c r="BR20" s="47"/>
      <c r="BS20" s="48"/>
      <c r="BT20" s="47"/>
      <c r="BU20" s="48"/>
      <c r="BV20" s="47"/>
      <c r="BW20" s="48"/>
      <c r="BX20" s="47"/>
      <c r="BY20" s="48"/>
      <c r="BZ20" s="47"/>
      <c r="CA20" s="48"/>
      <c r="CB20" s="38">
        <f t="shared" si="0"/>
        <v>0</v>
      </c>
      <c r="CC20" s="21">
        <f t="shared" si="1"/>
        <v>0</v>
      </c>
      <c r="CD20" s="66"/>
      <c r="CE20" s="66">
        <f t="shared" si="3"/>
        <v>0</v>
      </c>
      <c r="CF20" s="66">
        <f>IF(CG20-CE20&lt;0,0,CG20-CE20)</f>
        <v>0</v>
      </c>
      <c r="CG20" s="66">
        <f>COUNTIFS('Entries Register (AP) '!$Q:$Q,"",'Entries Register (AP) '!$L:$L,A20)</f>
        <v>0</v>
      </c>
      <c r="CH20" s="66"/>
      <c r="CJ20" s="66" t="b">
        <f t="shared" si="2"/>
        <v>1</v>
      </c>
    </row>
    <row r="21" spans="1:89" s="13" customFormat="1" ht="17.25" customHeight="1">
      <c r="A21" s="56" t="s">
        <v>5703</v>
      </c>
      <c r="B21" s="328"/>
      <c r="C21" s="138">
        <f>+COUNTIF('Entries Register (AP) '!$L:$L,K.P.I!A21)</f>
        <v>0</v>
      </c>
      <c r="D21" s="47"/>
      <c r="E21" s="48"/>
      <c r="F21" s="47"/>
      <c r="G21" s="48"/>
      <c r="H21" s="47"/>
      <c r="I21" s="48"/>
      <c r="J21" s="47"/>
      <c r="K21" s="48"/>
      <c r="L21" s="47"/>
      <c r="M21" s="48"/>
      <c r="N21" s="47"/>
      <c r="O21" s="48"/>
      <c r="P21" s="47"/>
      <c r="Q21" s="48"/>
      <c r="R21" s="47"/>
      <c r="S21" s="48"/>
      <c r="T21" s="47"/>
      <c r="U21" s="48"/>
      <c r="V21" s="47"/>
      <c r="W21" s="48"/>
      <c r="X21" s="47"/>
      <c r="Y21" s="48"/>
      <c r="Z21" s="47"/>
      <c r="AA21" s="48"/>
      <c r="AB21" s="47"/>
      <c r="AC21" s="48"/>
      <c r="AD21" s="47"/>
      <c r="AE21" s="48"/>
      <c r="AF21" s="47"/>
      <c r="AG21" s="48"/>
      <c r="AH21" s="47"/>
      <c r="AI21" s="48"/>
      <c r="AJ21" s="47"/>
      <c r="AK21" s="48"/>
      <c r="AL21" s="47"/>
      <c r="AM21" s="48"/>
      <c r="AN21" s="47"/>
      <c r="AO21" s="48"/>
      <c r="AP21" s="47"/>
      <c r="AQ21" s="48"/>
      <c r="AR21" s="47"/>
      <c r="AS21" s="48"/>
      <c r="AT21" s="47"/>
      <c r="AU21" s="48"/>
      <c r="AV21" s="47"/>
      <c r="AW21" s="48"/>
      <c r="AX21" s="47"/>
      <c r="AY21" s="48"/>
      <c r="AZ21" s="47"/>
      <c r="BA21" s="48"/>
      <c r="BB21" s="47"/>
      <c r="BC21" s="48"/>
      <c r="BD21" s="47"/>
      <c r="BE21" s="48"/>
      <c r="BF21" s="47"/>
      <c r="BG21" s="48"/>
      <c r="BH21" s="47"/>
      <c r="BI21" s="48"/>
      <c r="BJ21" s="47"/>
      <c r="BK21" s="48"/>
      <c r="BL21" s="47"/>
      <c r="BM21" s="48"/>
      <c r="BN21" s="47"/>
      <c r="BO21" s="48"/>
      <c r="BP21" s="47"/>
      <c r="BQ21" s="48"/>
      <c r="BR21" s="47"/>
      <c r="BS21" s="48"/>
      <c r="BT21" s="47"/>
      <c r="BU21" s="48"/>
      <c r="BV21" s="47"/>
      <c r="BW21" s="48"/>
      <c r="BX21" s="47"/>
      <c r="BY21" s="48"/>
      <c r="BZ21" s="47"/>
      <c r="CA21" s="48"/>
      <c r="CB21" s="122">
        <f t="shared" si="0"/>
        <v>0</v>
      </c>
      <c r="CC21" s="62">
        <f t="shared" si="1"/>
        <v>0</v>
      </c>
      <c r="CD21" s="66"/>
      <c r="CE21" s="66">
        <f t="shared" si="3"/>
        <v>0</v>
      </c>
      <c r="CF21" s="66">
        <f>IF(CG21-CE21&lt;0,0,CG21-CE21)</f>
        <v>0</v>
      </c>
      <c r="CG21" s="66">
        <f>COUNTIFS('Entries Register (AP) '!$Q:$Q,"",'Entries Register (AP) '!$L:$L,A21)</f>
        <v>0</v>
      </c>
      <c r="CH21" s="66"/>
      <c r="CJ21" s="66" t="b">
        <f t="shared" si="2"/>
        <v>1</v>
      </c>
    </row>
    <row r="22" spans="1:89" s="13" customFormat="1" ht="17.25" customHeight="1">
      <c r="A22" s="56" t="s">
        <v>5807</v>
      </c>
      <c r="B22" s="328"/>
      <c r="C22" s="138">
        <f>+COUNTIF('Entries Register (AP) '!$L:$L,K.P.I!A22)</f>
        <v>0</v>
      </c>
      <c r="D22" s="47"/>
      <c r="E22" s="48"/>
      <c r="F22" s="47"/>
      <c r="G22" s="48"/>
      <c r="H22" s="47"/>
      <c r="I22" s="48"/>
      <c r="J22" s="47"/>
      <c r="K22" s="48"/>
      <c r="L22" s="47"/>
      <c r="M22" s="48"/>
      <c r="N22" s="47"/>
      <c r="O22" s="48"/>
      <c r="P22" s="47"/>
      <c r="Q22" s="48"/>
      <c r="R22" s="47"/>
      <c r="S22" s="48"/>
      <c r="T22" s="47"/>
      <c r="U22" s="48"/>
      <c r="V22" s="47"/>
      <c r="W22" s="48"/>
      <c r="X22" s="47"/>
      <c r="Y22" s="48"/>
      <c r="Z22" s="47"/>
      <c r="AA22" s="48"/>
      <c r="AB22" s="47"/>
      <c r="AC22" s="48"/>
      <c r="AD22" s="47"/>
      <c r="AE22" s="48"/>
      <c r="AF22" s="47"/>
      <c r="AG22" s="48"/>
      <c r="AH22" s="47"/>
      <c r="AI22" s="48"/>
      <c r="AJ22" s="47"/>
      <c r="AK22" s="48"/>
      <c r="AL22" s="47"/>
      <c r="AM22" s="48"/>
      <c r="AN22" s="47"/>
      <c r="AO22" s="48"/>
      <c r="AP22" s="47"/>
      <c r="AQ22" s="48"/>
      <c r="AR22" s="47"/>
      <c r="AS22" s="48"/>
      <c r="AT22" s="47"/>
      <c r="AU22" s="48"/>
      <c r="AV22" s="47"/>
      <c r="AW22" s="48"/>
      <c r="AX22" s="47"/>
      <c r="AY22" s="48"/>
      <c r="AZ22" s="47"/>
      <c r="BA22" s="48"/>
      <c r="BB22" s="47"/>
      <c r="BC22" s="48"/>
      <c r="BD22" s="47"/>
      <c r="BE22" s="48"/>
      <c r="BF22" s="47"/>
      <c r="BG22" s="48"/>
      <c r="BH22" s="47"/>
      <c r="BI22" s="48"/>
      <c r="BJ22" s="47"/>
      <c r="BK22" s="48"/>
      <c r="BL22" s="47"/>
      <c r="BM22" s="48"/>
      <c r="BN22" s="47"/>
      <c r="BO22" s="48"/>
      <c r="BP22" s="47"/>
      <c r="BQ22" s="48"/>
      <c r="BR22" s="47"/>
      <c r="BS22" s="48"/>
      <c r="BT22" s="47"/>
      <c r="BU22" s="48"/>
      <c r="BV22" s="47"/>
      <c r="BW22" s="48"/>
      <c r="BX22" s="47"/>
      <c r="BY22" s="48"/>
      <c r="BZ22" s="47"/>
      <c r="CA22" s="48"/>
      <c r="CB22" s="38">
        <f t="shared" si="0"/>
        <v>0</v>
      </c>
      <c r="CC22" s="21">
        <f t="shared" si="1"/>
        <v>0</v>
      </c>
      <c r="CD22" s="66"/>
      <c r="CE22" s="66">
        <f t="shared" si="3"/>
        <v>0</v>
      </c>
      <c r="CF22" s="66">
        <f t="shared" si="4"/>
        <v>0</v>
      </c>
      <c r="CG22" s="66">
        <f>COUNTIFS('Entries Register (AP) '!$Q:$Q,"",'Entries Register (AP) '!$L:$L,A22)</f>
        <v>0</v>
      </c>
      <c r="CH22" s="66"/>
      <c r="CJ22" s="66" t="b">
        <f t="shared" si="2"/>
        <v>1</v>
      </c>
    </row>
    <row r="23" spans="1:89" s="13" customFormat="1" ht="17.25" customHeight="1">
      <c r="A23" s="56" t="s">
        <v>5290</v>
      </c>
      <c r="B23" s="328"/>
      <c r="C23" s="138">
        <f>+COUNTIF('Entries Register (AP) '!$L:$L,K.P.I!A23)</f>
        <v>0</v>
      </c>
      <c r="D23" s="47"/>
      <c r="E23" s="48"/>
      <c r="F23" s="47"/>
      <c r="G23" s="48"/>
      <c r="H23" s="47"/>
      <c r="I23" s="48"/>
      <c r="J23" s="47"/>
      <c r="K23" s="48"/>
      <c r="L23" s="47"/>
      <c r="M23" s="48"/>
      <c r="N23" s="47"/>
      <c r="O23" s="48"/>
      <c r="P23" s="47"/>
      <c r="Q23" s="48"/>
      <c r="R23" s="47"/>
      <c r="S23" s="48"/>
      <c r="T23" s="47"/>
      <c r="U23" s="48"/>
      <c r="V23" s="47"/>
      <c r="W23" s="48"/>
      <c r="X23" s="47"/>
      <c r="Y23" s="48"/>
      <c r="Z23" s="47"/>
      <c r="AA23" s="48"/>
      <c r="AB23" s="47"/>
      <c r="AC23" s="48"/>
      <c r="AD23" s="47"/>
      <c r="AE23" s="48"/>
      <c r="AF23" s="47"/>
      <c r="AG23" s="48"/>
      <c r="AH23" s="47"/>
      <c r="AI23" s="48"/>
      <c r="AJ23" s="47"/>
      <c r="AK23" s="48"/>
      <c r="AL23" s="47"/>
      <c r="AM23" s="48"/>
      <c r="AN23" s="47"/>
      <c r="AO23" s="48"/>
      <c r="AP23" s="47"/>
      <c r="AQ23" s="48"/>
      <c r="AR23" s="47"/>
      <c r="AS23" s="48"/>
      <c r="AT23" s="47"/>
      <c r="AU23" s="48"/>
      <c r="AV23" s="47"/>
      <c r="AW23" s="48"/>
      <c r="AX23" s="47"/>
      <c r="AY23" s="48"/>
      <c r="AZ23" s="47"/>
      <c r="BA23" s="48"/>
      <c r="BB23" s="47"/>
      <c r="BC23" s="48"/>
      <c r="BD23" s="47"/>
      <c r="BE23" s="48"/>
      <c r="BF23" s="47"/>
      <c r="BG23" s="48"/>
      <c r="BH23" s="47"/>
      <c r="BI23" s="48"/>
      <c r="BJ23" s="47"/>
      <c r="BK23" s="48"/>
      <c r="BL23" s="47"/>
      <c r="BM23" s="48"/>
      <c r="BN23" s="47"/>
      <c r="BO23" s="48"/>
      <c r="BP23" s="47"/>
      <c r="BQ23" s="48"/>
      <c r="BR23" s="47"/>
      <c r="BS23" s="48"/>
      <c r="BT23" s="47"/>
      <c r="BU23" s="48"/>
      <c r="BV23" s="47"/>
      <c r="BW23" s="48"/>
      <c r="BX23" s="47"/>
      <c r="BY23" s="48"/>
      <c r="BZ23" s="47"/>
      <c r="CA23" s="48"/>
      <c r="CB23" s="38">
        <f t="shared" si="0"/>
        <v>0</v>
      </c>
      <c r="CC23" s="21">
        <f t="shared" si="1"/>
        <v>0</v>
      </c>
      <c r="CD23" s="66"/>
      <c r="CE23" s="66">
        <f t="shared" si="3"/>
        <v>0</v>
      </c>
      <c r="CF23" s="66">
        <f t="shared" si="4"/>
        <v>0</v>
      </c>
      <c r="CG23" s="66">
        <f>COUNTIFS('Entries Register (AP) '!$Q:$Q,"",'Entries Register (AP) '!$L:$L,A23)</f>
        <v>0</v>
      </c>
      <c r="CH23" s="66"/>
      <c r="CJ23" s="66" t="b">
        <f t="shared" si="2"/>
        <v>1</v>
      </c>
    </row>
    <row r="24" spans="1:89" s="98" customFormat="1" ht="17.25" customHeight="1">
      <c r="A24" s="97" t="s">
        <v>3942</v>
      </c>
      <c r="B24" s="148"/>
      <c r="C24" s="97">
        <f>+SUBTOTAL(9,C7:C23)</f>
        <v>0</v>
      </c>
      <c r="D24" s="49">
        <f t="shared" ref="D24:R24" si="5">+SUBTOTAL(9,D7:D23)</f>
        <v>0</v>
      </c>
      <c r="E24" s="50">
        <f t="shared" si="5"/>
        <v>0</v>
      </c>
      <c r="F24" s="49">
        <f t="shared" si="5"/>
        <v>0</v>
      </c>
      <c r="G24" s="50">
        <f t="shared" si="5"/>
        <v>0</v>
      </c>
      <c r="H24" s="49">
        <f t="shared" si="5"/>
        <v>0</v>
      </c>
      <c r="I24" s="50">
        <f t="shared" si="5"/>
        <v>0</v>
      </c>
      <c r="J24" s="49">
        <f t="shared" si="5"/>
        <v>0</v>
      </c>
      <c r="K24" s="50">
        <f t="shared" si="5"/>
        <v>0</v>
      </c>
      <c r="L24" s="49">
        <f t="shared" si="5"/>
        <v>0</v>
      </c>
      <c r="M24" s="50">
        <f t="shared" si="5"/>
        <v>0</v>
      </c>
      <c r="N24" s="49">
        <f t="shared" si="5"/>
        <v>0</v>
      </c>
      <c r="O24" s="50">
        <f t="shared" si="5"/>
        <v>0</v>
      </c>
      <c r="P24" s="49">
        <f t="shared" si="5"/>
        <v>0</v>
      </c>
      <c r="Q24" s="50">
        <f t="shared" si="5"/>
        <v>0</v>
      </c>
      <c r="R24" s="49">
        <f t="shared" si="5"/>
        <v>0</v>
      </c>
      <c r="S24" s="50">
        <f t="shared" ref="S24:AX24" si="6">+SUBTOTAL(9,S7:S23)</f>
        <v>0</v>
      </c>
      <c r="T24" s="49">
        <f t="shared" si="6"/>
        <v>0</v>
      </c>
      <c r="U24" s="50">
        <f t="shared" si="6"/>
        <v>0</v>
      </c>
      <c r="V24" s="49">
        <f t="shared" si="6"/>
        <v>0</v>
      </c>
      <c r="W24" s="50">
        <f t="shared" si="6"/>
        <v>0</v>
      </c>
      <c r="X24" s="49">
        <f t="shared" si="6"/>
        <v>0</v>
      </c>
      <c r="Y24" s="50">
        <f t="shared" si="6"/>
        <v>0</v>
      </c>
      <c r="Z24" s="49">
        <f t="shared" si="6"/>
        <v>0</v>
      </c>
      <c r="AA24" s="50">
        <f t="shared" si="6"/>
        <v>0</v>
      </c>
      <c r="AB24" s="49">
        <f t="shared" si="6"/>
        <v>0</v>
      </c>
      <c r="AC24" s="50">
        <f t="shared" si="6"/>
        <v>0</v>
      </c>
      <c r="AD24" s="49">
        <f t="shared" si="6"/>
        <v>0</v>
      </c>
      <c r="AE24" s="50">
        <f t="shared" si="6"/>
        <v>0</v>
      </c>
      <c r="AF24" s="49">
        <f t="shared" si="6"/>
        <v>0</v>
      </c>
      <c r="AG24" s="50">
        <f t="shared" si="6"/>
        <v>0</v>
      </c>
      <c r="AH24" s="49">
        <f t="shared" si="6"/>
        <v>0</v>
      </c>
      <c r="AI24" s="50">
        <f t="shared" si="6"/>
        <v>0</v>
      </c>
      <c r="AJ24" s="49">
        <f t="shared" si="6"/>
        <v>0</v>
      </c>
      <c r="AK24" s="50">
        <f t="shared" si="6"/>
        <v>0</v>
      </c>
      <c r="AL24" s="49">
        <f t="shared" si="6"/>
        <v>0</v>
      </c>
      <c r="AM24" s="50">
        <f t="shared" si="6"/>
        <v>0</v>
      </c>
      <c r="AN24" s="49">
        <f t="shared" si="6"/>
        <v>0</v>
      </c>
      <c r="AO24" s="50">
        <f t="shared" si="6"/>
        <v>0</v>
      </c>
      <c r="AP24" s="49">
        <f t="shared" si="6"/>
        <v>0</v>
      </c>
      <c r="AQ24" s="50">
        <f t="shared" si="6"/>
        <v>0</v>
      </c>
      <c r="AR24" s="49">
        <f t="shared" si="6"/>
        <v>0</v>
      </c>
      <c r="AS24" s="50">
        <f t="shared" si="6"/>
        <v>0</v>
      </c>
      <c r="AT24" s="49">
        <f t="shared" si="6"/>
        <v>0</v>
      </c>
      <c r="AU24" s="50">
        <f t="shared" si="6"/>
        <v>0</v>
      </c>
      <c r="AV24" s="49">
        <f t="shared" si="6"/>
        <v>0</v>
      </c>
      <c r="AW24" s="50">
        <f t="shared" si="6"/>
        <v>0</v>
      </c>
      <c r="AX24" s="49">
        <f t="shared" si="6"/>
        <v>0</v>
      </c>
      <c r="AY24" s="50">
        <f t="shared" ref="AY24:CB24" si="7">+SUBTOTAL(9,AY7:AY23)</f>
        <v>0</v>
      </c>
      <c r="AZ24" s="49">
        <f t="shared" si="7"/>
        <v>0</v>
      </c>
      <c r="BA24" s="50">
        <f t="shared" si="7"/>
        <v>0</v>
      </c>
      <c r="BB24" s="49">
        <f t="shared" si="7"/>
        <v>0</v>
      </c>
      <c r="BC24" s="50">
        <f t="shared" si="7"/>
        <v>0</v>
      </c>
      <c r="BD24" s="49">
        <f t="shared" si="7"/>
        <v>0</v>
      </c>
      <c r="BE24" s="50">
        <f t="shared" si="7"/>
        <v>0</v>
      </c>
      <c r="BF24" s="49">
        <f t="shared" si="7"/>
        <v>0</v>
      </c>
      <c r="BG24" s="50">
        <f t="shared" si="7"/>
        <v>0</v>
      </c>
      <c r="BH24" s="49">
        <f t="shared" si="7"/>
        <v>0</v>
      </c>
      <c r="BI24" s="50">
        <f t="shared" si="7"/>
        <v>0</v>
      </c>
      <c r="BJ24" s="49">
        <f t="shared" si="7"/>
        <v>0</v>
      </c>
      <c r="BK24" s="50">
        <f t="shared" si="7"/>
        <v>0</v>
      </c>
      <c r="BL24" s="49">
        <f t="shared" si="7"/>
        <v>0</v>
      </c>
      <c r="BM24" s="50">
        <f t="shared" si="7"/>
        <v>0</v>
      </c>
      <c r="BN24" s="49">
        <f t="shared" si="7"/>
        <v>0</v>
      </c>
      <c r="BO24" s="50">
        <f t="shared" si="7"/>
        <v>0</v>
      </c>
      <c r="BP24" s="49">
        <f t="shared" si="7"/>
        <v>0</v>
      </c>
      <c r="BQ24" s="50">
        <f t="shared" si="7"/>
        <v>0</v>
      </c>
      <c r="BR24" s="49">
        <f t="shared" si="7"/>
        <v>0</v>
      </c>
      <c r="BS24" s="50">
        <f t="shared" si="7"/>
        <v>0</v>
      </c>
      <c r="BT24" s="49">
        <f t="shared" si="7"/>
        <v>0</v>
      </c>
      <c r="BU24" s="50">
        <f t="shared" si="7"/>
        <v>0</v>
      </c>
      <c r="BV24" s="49">
        <f t="shared" si="7"/>
        <v>0</v>
      </c>
      <c r="BW24" s="50">
        <f t="shared" si="7"/>
        <v>0</v>
      </c>
      <c r="BX24" s="49">
        <f t="shared" si="7"/>
        <v>0</v>
      </c>
      <c r="BY24" s="50">
        <f t="shared" si="7"/>
        <v>0</v>
      </c>
      <c r="BZ24" s="49">
        <f t="shared" si="7"/>
        <v>0</v>
      </c>
      <c r="CA24" s="50">
        <f t="shared" si="7"/>
        <v>0</v>
      </c>
      <c r="CB24" s="40">
        <f t="shared" si="7"/>
        <v>0</v>
      </c>
      <c r="CC24" s="99">
        <f t="shared" si="1"/>
        <v>0</v>
      </c>
      <c r="CD24" s="66"/>
      <c r="CE24" s="66">
        <f t="shared" si="3"/>
        <v>0</v>
      </c>
      <c r="CF24" s="98">
        <f>+SUBTOTAL(9,CF7:CF23)</f>
        <v>0</v>
      </c>
      <c r="CG24" s="98">
        <f>+SUBTOTAL(9,CG7:CG23)</f>
        <v>0</v>
      </c>
    </row>
    <row r="25" spans="1:89" s="13" customFormat="1" ht="17.25" customHeight="1">
      <c r="A25" s="18"/>
      <c r="B25" s="18"/>
      <c r="CB25" s="66"/>
      <c r="CC25" s="20"/>
      <c r="CE25" s="98">
        <f>SUM(CE10:CE24)</f>
        <v>0</v>
      </c>
      <c r="CK25" s="66"/>
    </row>
    <row r="26" spans="1:89" ht="17.25" customHeight="1">
      <c r="BG26" s="136"/>
      <c r="BH26" s="136"/>
      <c r="BI26" s="136"/>
      <c r="BJ26" s="136"/>
      <c r="BK26" s="136"/>
      <c r="BL26" s="136"/>
      <c r="BM26" s="136"/>
      <c r="BN26" s="136"/>
      <c r="BO26" s="136"/>
      <c r="BP26" s="136"/>
      <c r="BQ26" s="136"/>
      <c r="BR26" s="136"/>
      <c r="BS26" s="136"/>
      <c r="BT26" s="136"/>
      <c r="BU26" s="136"/>
      <c r="BV26" s="136"/>
      <c r="BW26" s="136"/>
      <c r="BX26" s="136"/>
      <c r="BY26" s="136"/>
      <c r="BZ26" s="136"/>
      <c r="CA26" s="136"/>
      <c r="CB26" s="136"/>
      <c r="CC26" s="136"/>
      <c r="CD26" s="136"/>
    </row>
    <row r="27" spans="1:89" ht="17.25" customHeight="1">
      <c r="C27" s="136">
        <f>+C26-C24</f>
        <v>0</v>
      </c>
      <c r="CB27" s="136"/>
      <c r="CE27"/>
    </row>
    <row r="28" spans="1:89" ht="17.25" customHeight="1">
      <c r="CB28" s="136"/>
      <c r="CE28" s="136"/>
    </row>
    <row r="29" spans="1:89" ht="17.25" customHeight="1">
      <c r="A29" s="5" t="s">
        <v>3968</v>
      </c>
      <c r="B29" s="5"/>
      <c r="CB29" s="136"/>
      <c r="CE29" s="136"/>
    </row>
    <row r="30" spans="1:89" ht="17.25" customHeight="1">
      <c r="A30" s="5"/>
      <c r="B30" s="5"/>
    </row>
    <row r="31" spans="1:89" s="9" customFormat="1" ht="17.25" customHeight="1">
      <c r="A31" s="6" t="s">
        <v>3944</v>
      </c>
      <c r="B31" s="6" t="s">
        <v>3958</v>
      </c>
      <c r="C31" s="6" t="s">
        <v>3948</v>
      </c>
      <c r="D31" s="60">
        <f>D$5</f>
        <v>43231</v>
      </c>
      <c r="E31" s="61"/>
      <c r="F31" s="60">
        <f>F$5</f>
        <v>43232</v>
      </c>
      <c r="G31" s="61"/>
      <c r="H31" s="60">
        <f>H$5</f>
        <v>43233</v>
      </c>
      <c r="I31" s="61"/>
      <c r="J31" s="60">
        <f>J$5</f>
        <v>43234</v>
      </c>
      <c r="K31" s="61"/>
      <c r="L31" s="60">
        <f>L$5</f>
        <v>43235</v>
      </c>
      <c r="M31" s="61"/>
      <c r="N31" s="60">
        <f>N$5</f>
        <v>43236</v>
      </c>
      <c r="O31" s="61"/>
      <c r="P31" s="60">
        <f>P$5</f>
        <v>43237</v>
      </c>
      <c r="Q31" s="61"/>
      <c r="R31" s="60">
        <f>R$5</f>
        <v>43238</v>
      </c>
      <c r="S31" s="61"/>
      <c r="T31" s="60">
        <f>T$5</f>
        <v>43239</v>
      </c>
      <c r="U31" s="61"/>
      <c r="V31" s="60">
        <f>V$5</f>
        <v>43240</v>
      </c>
      <c r="W31" s="61"/>
      <c r="X31" s="60">
        <f>X$5</f>
        <v>43241</v>
      </c>
      <c r="Y31" s="61"/>
      <c r="Z31" s="60">
        <f>Z$5</f>
        <v>43242</v>
      </c>
      <c r="AA31" s="61"/>
      <c r="AB31" s="60">
        <f>AB$5</f>
        <v>43243</v>
      </c>
      <c r="AC31" s="61"/>
      <c r="AD31" s="60">
        <f>AD$5</f>
        <v>43244</v>
      </c>
      <c r="AE31" s="61"/>
      <c r="AF31" s="60">
        <f>AF$5</f>
        <v>43245</v>
      </c>
      <c r="AG31" s="61"/>
      <c r="AH31" s="60">
        <f>AH$5</f>
        <v>43246</v>
      </c>
      <c r="AI31" s="61"/>
      <c r="AJ31" s="60">
        <f>AJ$5</f>
        <v>43247</v>
      </c>
      <c r="AK31" s="61"/>
      <c r="AL31" s="60">
        <f>AL$5</f>
        <v>43248</v>
      </c>
      <c r="AM31" s="61"/>
      <c r="AN31" s="60">
        <f>AN$5</f>
        <v>43249</v>
      </c>
      <c r="AO31" s="61"/>
      <c r="AP31" s="60">
        <f>AP$5</f>
        <v>43250</v>
      </c>
      <c r="AQ31" s="61"/>
      <c r="AR31" s="60">
        <f>AR$5</f>
        <v>43251</v>
      </c>
      <c r="AS31" s="61"/>
      <c r="AT31" s="60">
        <f>AT$5</f>
        <v>43252</v>
      </c>
      <c r="AU31" s="61"/>
      <c r="AV31" s="60">
        <f>AV$5</f>
        <v>43253</v>
      </c>
      <c r="AW31" s="61"/>
      <c r="AX31" s="60">
        <f>AX$5</f>
        <v>43254</v>
      </c>
      <c r="AY31" s="61"/>
      <c r="AZ31" s="60">
        <f>AZ$5</f>
        <v>43255</v>
      </c>
      <c r="BA31" s="61"/>
      <c r="BB31" s="60">
        <f>BB$5</f>
        <v>43256</v>
      </c>
      <c r="BC31" s="61"/>
      <c r="BD31" s="60">
        <f>BD$5</f>
        <v>43257</v>
      </c>
      <c r="BE31" s="61"/>
      <c r="BF31" s="60">
        <f>BF$5</f>
        <v>43258</v>
      </c>
      <c r="BG31" s="61"/>
      <c r="BH31" s="190"/>
      <c r="BI31" s="190"/>
      <c r="BJ31" s="190"/>
      <c r="BK31" s="190"/>
      <c r="BL31" s="190"/>
      <c r="BM31" s="190"/>
      <c r="BN31" s="190"/>
      <c r="BO31" s="190"/>
      <c r="BP31" s="190"/>
      <c r="BQ31" s="190"/>
      <c r="BR31" s="190"/>
      <c r="BS31" s="190"/>
      <c r="BT31" s="190"/>
      <c r="BU31" s="190"/>
      <c r="BV31" s="190"/>
      <c r="BW31" s="190"/>
      <c r="BX31" s="190"/>
      <c r="BY31" s="190"/>
      <c r="BZ31" s="190"/>
      <c r="CA31" s="190"/>
      <c r="CB31" s="4"/>
      <c r="CC31" s="8"/>
      <c r="CD31" s="8"/>
    </row>
    <row r="32" spans="1:89" s="9" customFormat="1" ht="17.25" customHeight="1">
      <c r="A32" s="10"/>
      <c r="B32" s="10"/>
      <c r="C32" s="11" t="s">
        <v>3947</v>
      </c>
      <c r="D32" s="43" t="s">
        <v>3940</v>
      </c>
      <c r="E32" s="44" t="s">
        <v>3941</v>
      </c>
      <c r="F32" s="43" t="s">
        <v>3940</v>
      </c>
      <c r="G32" s="44" t="s">
        <v>3941</v>
      </c>
      <c r="H32" s="43" t="s">
        <v>3940</v>
      </c>
      <c r="I32" s="44" t="s">
        <v>3941</v>
      </c>
      <c r="J32" s="43" t="s">
        <v>3940</v>
      </c>
      <c r="K32" s="44" t="s">
        <v>3941</v>
      </c>
      <c r="L32" s="43" t="s">
        <v>3940</v>
      </c>
      <c r="M32" s="44" t="s">
        <v>3941</v>
      </c>
      <c r="N32" s="43" t="s">
        <v>3940</v>
      </c>
      <c r="O32" s="44" t="s">
        <v>3941</v>
      </c>
      <c r="P32" s="43" t="s">
        <v>3940</v>
      </c>
      <c r="Q32" s="44" t="s">
        <v>3941</v>
      </c>
      <c r="R32" s="43" t="s">
        <v>3940</v>
      </c>
      <c r="S32" s="44" t="s">
        <v>3941</v>
      </c>
      <c r="T32" s="43" t="s">
        <v>3940</v>
      </c>
      <c r="U32" s="44" t="s">
        <v>3941</v>
      </c>
      <c r="V32" s="43" t="s">
        <v>3940</v>
      </c>
      <c r="W32" s="44" t="s">
        <v>3941</v>
      </c>
      <c r="X32" s="43" t="s">
        <v>3940</v>
      </c>
      <c r="Y32" s="44" t="s">
        <v>3941</v>
      </c>
      <c r="Z32" s="43" t="s">
        <v>3940</v>
      </c>
      <c r="AA32" s="44" t="s">
        <v>3941</v>
      </c>
      <c r="AB32" s="43" t="s">
        <v>3940</v>
      </c>
      <c r="AC32" s="44" t="s">
        <v>3941</v>
      </c>
      <c r="AD32" s="43" t="s">
        <v>3940</v>
      </c>
      <c r="AE32" s="44" t="s">
        <v>3941</v>
      </c>
      <c r="AF32" s="43" t="s">
        <v>3940</v>
      </c>
      <c r="AG32" s="44" t="s">
        <v>3941</v>
      </c>
      <c r="AH32" s="43" t="s">
        <v>3940</v>
      </c>
      <c r="AI32" s="44" t="s">
        <v>3941</v>
      </c>
      <c r="AJ32" s="43" t="s">
        <v>3940</v>
      </c>
      <c r="AK32" s="44" t="s">
        <v>3941</v>
      </c>
      <c r="AL32" s="43" t="s">
        <v>3940</v>
      </c>
      <c r="AM32" s="44" t="s">
        <v>3941</v>
      </c>
      <c r="AN32" s="43" t="s">
        <v>3940</v>
      </c>
      <c r="AO32" s="44" t="s">
        <v>3941</v>
      </c>
      <c r="AP32" s="43" t="s">
        <v>3940</v>
      </c>
      <c r="AQ32" s="44" t="s">
        <v>3941</v>
      </c>
      <c r="AR32" s="43" t="s">
        <v>3940</v>
      </c>
      <c r="AS32" s="44" t="s">
        <v>3941</v>
      </c>
      <c r="AT32" s="43" t="s">
        <v>3940</v>
      </c>
      <c r="AU32" s="44" t="s">
        <v>3941</v>
      </c>
      <c r="AV32" s="43" t="s">
        <v>3940</v>
      </c>
      <c r="AW32" s="44" t="s">
        <v>3941</v>
      </c>
      <c r="AX32" s="43" t="s">
        <v>3940</v>
      </c>
      <c r="AY32" s="44" t="s">
        <v>3941</v>
      </c>
      <c r="AZ32" s="43" t="s">
        <v>3940</v>
      </c>
      <c r="BA32" s="44" t="s">
        <v>3941</v>
      </c>
      <c r="BB32" s="43" t="s">
        <v>3940</v>
      </c>
      <c r="BC32" s="44" t="s">
        <v>3941</v>
      </c>
      <c r="BD32" s="43" t="s">
        <v>3940</v>
      </c>
      <c r="BE32" s="44" t="s">
        <v>3941</v>
      </c>
      <c r="BF32" s="43" t="s">
        <v>3940</v>
      </c>
      <c r="BG32" s="44" t="s">
        <v>3941</v>
      </c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12" t="s">
        <v>3964</v>
      </c>
      <c r="CC32" s="12" t="s">
        <v>3943</v>
      </c>
      <c r="CD32" s="8"/>
    </row>
    <row r="33" spans="1:81" s="13" customFormat="1" ht="17.25" customHeight="1">
      <c r="A33" s="14" t="str">
        <f t="shared" ref="A33:A46" si="8">+A7</f>
        <v>H.Hương</v>
      </c>
      <c r="B33" s="328"/>
      <c r="C33" s="15">
        <f>+COUNTIF('Entries Register (JV)'!$D:$D,K.P.I!A33)+COUNTIF('Entries Register (0S)'!$D:$D,K.P.I!A33)</f>
        <v>0</v>
      </c>
      <c r="D33" s="45"/>
      <c r="E33" s="46"/>
      <c r="F33" s="45"/>
      <c r="G33" s="46"/>
      <c r="H33" s="45"/>
      <c r="I33" s="46"/>
      <c r="J33" s="45"/>
      <c r="K33" s="46"/>
      <c r="L33" s="45"/>
      <c r="M33" s="46"/>
      <c r="N33" s="45"/>
      <c r="O33" s="46"/>
      <c r="P33" s="47"/>
      <c r="Q33" s="48"/>
      <c r="R33" s="47"/>
      <c r="S33" s="48"/>
      <c r="T33" s="47"/>
      <c r="U33" s="48"/>
      <c r="V33" s="47"/>
      <c r="W33" s="48"/>
      <c r="X33" s="47"/>
      <c r="Y33" s="48"/>
      <c r="Z33" s="47"/>
      <c r="AA33" s="48"/>
      <c r="AB33" s="47"/>
      <c r="AC33" s="48"/>
      <c r="AD33" s="47"/>
      <c r="AE33" s="48"/>
      <c r="AF33" s="47"/>
      <c r="AG33" s="48"/>
      <c r="AH33" s="47"/>
      <c r="AI33" s="48"/>
      <c r="AJ33" s="47"/>
      <c r="AK33" s="48"/>
      <c r="AL33" s="47"/>
      <c r="AM33" s="48"/>
      <c r="AN33" s="47"/>
      <c r="AO33" s="48"/>
      <c r="AP33" s="47"/>
      <c r="AQ33" s="48"/>
      <c r="AR33" s="47"/>
      <c r="AS33" s="48"/>
      <c r="AT33" s="47"/>
      <c r="AU33" s="48"/>
      <c r="AV33" s="47"/>
      <c r="AW33" s="48"/>
      <c r="AX33" s="47"/>
      <c r="AY33" s="48"/>
      <c r="AZ33" s="47"/>
      <c r="BA33" s="48"/>
      <c r="BB33" s="47"/>
      <c r="BC33" s="48"/>
      <c r="BD33" s="47"/>
      <c r="BE33" s="48"/>
      <c r="BF33" s="47"/>
      <c r="BG33" s="48"/>
      <c r="BH33" s="138"/>
      <c r="BI33" s="138"/>
      <c r="BJ33" s="138"/>
      <c r="BK33" s="138"/>
      <c r="BL33" s="138"/>
      <c r="BM33" s="138"/>
      <c r="BN33" s="138"/>
      <c r="BO33" s="138"/>
      <c r="BP33" s="138"/>
      <c r="BQ33" s="138"/>
      <c r="BR33" s="138"/>
      <c r="BS33" s="138"/>
      <c r="BT33" s="138"/>
      <c r="BU33" s="138"/>
      <c r="BV33" s="138"/>
      <c r="BW33" s="138"/>
      <c r="BX33" s="138"/>
      <c r="BY33" s="138"/>
      <c r="BZ33" s="138"/>
      <c r="CA33" s="138"/>
      <c r="CB33" s="38">
        <f t="shared" ref="CB33:CB48" si="9">SUMIF($D$6:$BG$6,"Act",D33:BG33)</f>
        <v>0</v>
      </c>
      <c r="CC33" s="58">
        <f t="shared" ref="CC33:CC49" si="10">IFERROR(CB33/C33,0)</f>
        <v>0</v>
      </c>
    </row>
    <row r="34" spans="1:81" s="13" customFormat="1" ht="17.25" customHeight="1">
      <c r="A34" s="16" t="str">
        <f t="shared" si="8"/>
        <v>N.Hương</v>
      </c>
      <c r="B34" s="328"/>
      <c r="C34" s="15">
        <f>+COUNTIF('Entries Register (JV)'!$D:$D,K.P.I!A34)+COUNTIF('Entries Register (0S)'!$D:$D,K.P.I!A34)</f>
        <v>0</v>
      </c>
      <c r="D34" s="45"/>
      <c r="E34" s="46"/>
      <c r="F34" s="45"/>
      <c r="G34" s="46"/>
      <c r="H34" s="45"/>
      <c r="I34" s="46"/>
      <c r="J34" s="45"/>
      <c r="K34" s="46"/>
      <c r="L34" s="45"/>
      <c r="M34" s="46"/>
      <c r="N34" s="45"/>
      <c r="O34" s="46"/>
      <c r="P34" s="47"/>
      <c r="Q34" s="48"/>
      <c r="R34" s="47"/>
      <c r="S34" s="48"/>
      <c r="T34" s="47"/>
      <c r="U34" s="48"/>
      <c r="V34" s="47"/>
      <c r="W34" s="48"/>
      <c r="X34" s="47"/>
      <c r="Y34" s="48"/>
      <c r="Z34" s="47"/>
      <c r="AA34" s="48"/>
      <c r="AB34" s="47"/>
      <c r="AC34" s="48"/>
      <c r="AD34" s="47"/>
      <c r="AE34" s="48"/>
      <c r="AF34" s="47"/>
      <c r="AG34" s="48"/>
      <c r="AH34" s="47"/>
      <c r="AI34" s="48"/>
      <c r="AJ34" s="47"/>
      <c r="AK34" s="48"/>
      <c r="AL34" s="47"/>
      <c r="AM34" s="48"/>
      <c r="AN34" s="47"/>
      <c r="AO34" s="48"/>
      <c r="AP34" s="47"/>
      <c r="AQ34" s="48"/>
      <c r="AR34" s="47"/>
      <c r="AS34" s="48"/>
      <c r="AT34" s="47"/>
      <c r="AU34" s="48"/>
      <c r="AV34" s="47"/>
      <c r="AW34" s="48"/>
      <c r="AX34" s="47"/>
      <c r="AY34" s="48"/>
      <c r="AZ34" s="47"/>
      <c r="BA34" s="48"/>
      <c r="BB34" s="47"/>
      <c r="BC34" s="48"/>
      <c r="BD34" s="47"/>
      <c r="BE34" s="48"/>
      <c r="BF34" s="47"/>
      <c r="BG34" s="48"/>
      <c r="BH34" s="138"/>
      <c r="BI34" s="138"/>
      <c r="BJ34" s="138"/>
      <c r="BK34" s="138"/>
      <c r="BL34" s="138"/>
      <c r="BM34" s="138"/>
      <c r="BN34" s="138"/>
      <c r="BO34" s="138"/>
      <c r="BP34" s="138"/>
      <c r="BQ34" s="138"/>
      <c r="BR34" s="138"/>
      <c r="BS34" s="138"/>
      <c r="BT34" s="138"/>
      <c r="BU34" s="138"/>
      <c r="BV34" s="138"/>
      <c r="BW34" s="138"/>
      <c r="BX34" s="138"/>
      <c r="BY34" s="138"/>
      <c r="BZ34" s="138"/>
      <c r="CA34" s="138"/>
      <c r="CB34" s="38">
        <f t="shared" si="9"/>
        <v>0</v>
      </c>
      <c r="CC34" s="58">
        <f t="shared" si="10"/>
        <v>0</v>
      </c>
    </row>
    <row r="35" spans="1:81" s="13" customFormat="1" ht="17.25" customHeight="1">
      <c r="A35" s="16" t="str">
        <f t="shared" si="8"/>
        <v>T.Dung</v>
      </c>
      <c r="B35" s="328"/>
      <c r="C35" s="15">
        <f>+COUNTIF('Entries Register (JV)'!$D:$D,K.P.I!A35)+COUNTIF('Entries Register (0S)'!$D:$D,K.P.I!A35)</f>
        <v>0</v>
      </c>
      <c r="D35" s="45"/>
      <c r="E35" s="46"/>
      <c r="F35" s="45"/>
      <c r="G35" s="46"/>
      <c r="H35" s="45"/>
      <c r="I35" s="46"/>
      <c r="J35" s="45"/>
      <c r="K35" s="46"/>
      <c r="L35" s="45"/>
      <c r="M35" s="46"/>
      <c r="N35" s="45"/>
      <c r="O35" s="46"/>
      <c r="P35" s="47"/>
      <c r="Q35" s="48"/>
      <c r="R35" s="47"/>
      <c r="S35" s="48"/>
      <c r="T35" s="47"/>
      <c r="U35" s="48"/>
      <c r="V35" s="47"/>
      <c r="W35" s="48"/>
      <c r="X35" s="47"/>
      <c r="Y35" s="48"/>
      <c r="Z35" s="47"/>
      <c r="AA35" s="48"/>
      <c r="AB35" s="47"/>
      <c r="AC35" s="48"/>
      <c r="AD35" s="47"/>
      <c r="AE35" s="48"/>
      <c r="AF35" s="47"/>
      <c r="AG35" s="48"/>
      <c r="AH35" s="47"/>
      <c r="AI35" s="48"/>
      <c r="AJ35" s="47"/>
      <c r="AK35" s="48"/>
      <c r="AL35" s="47"/>
      <c r="AM35" s="48"/>
      <c r="AN35" s="47"/>
      <c r="AO35" s="48"/>
      <c r="AP35" s="47"/>
      <c r="AQ35" s="48"/>
      <c r="AR35" s="47"/>
      <c r="AS35" s="48"/>
      <c r="AT35" s="47"/>
      <c r="AU35" s="48"/>
      <c r="AV35" s="47"/>
      <c r="AW35" s="48"/>
      <c r="AX35" s="47"/>
      <c r="AY35" s="48"/>
      <c r="AZ35" s="47"/>
      <c r="BA35" s="48"/>
      <c r="BB35" s="47"/>
      <c r="BC35" s="48"/>
      <c r="BD35" s="47"/>
      <c r="BE35" s="48"/>
      <c r="BF35" s="47"/>
      <c r="BG35" s="48"/>
      <c r="BH35" s="138"/>
      <c r="BI35" s="138"/>
      <c r="BJ35" s="138"/>
      <c r="BK35" s="138"/>
      <c r="BL35" s="138"/>
      <c r="BM35" s="138"/>
      <c r="BN35" s="138"/>
      <c r="BO35" s="138"/>
      <c r="BP35" s="138"/>
      <c r="BQ35" s="138"/>
      <c r="BR35" s="138"/>
      <c r="BS35" s="138"/>
      <c r="BT35" s="138"/>
      <c r="BU35" s="138"/>
      <c r="BV35" s="138"/>
      <c r="BW35" s="138"/>
      <c r="BX35" s="138"/>
      <c r="BY35" s="138"/>
      <c r="BZ35" s="138"/>
      <c r="CA35" s="138"/>
      <c r="CB35" s="38">
        <f t="shared" si="9"/>
        <v>0</v>
      </c>
      <c r="CC35" s="58">
        <f t="shared" si="10"/>
        <v>0</v>
      </c>
    </row>
    <row r="36" spans="1:81" s="13" customFormat="1" ht="17.25" customHeight="1">
      <c r="A36" s="16" t="str">
        <f t="shared" si="8"/>
        <v>Đức Anh</v>
      </c>
      <c r="B36" s="328"/>
      <c r="C36" s="15">
        <f>+COUNTIF('Entries Register (JV)'!$D:$D,K.P.I!A36)+COUNTIF('Entries Register (0S)'!$D:$D,K.P.I!A36)</f>
        <v>0</v>
      </c>
      <c r="D36" s="45"/>
      <c r="E36" s="46"/>
      <c r="F36" s="45"/>
      <c r="G36" s="46"/>
      <c r="H36" s="45"/>
      <c r="I36" s="46"/>
      <c r="J36" s="45"/>
      <c r="K36" s="46"/>
      <c r="L36" s="45"/>
      <c r="M36" s="46"/>
      <c r="N36" s="45"/>
      <c r="O36" s="46"/>
      <c r="P36" s="47"/>
      <c r="Q36" s="48"/>
      <c r="R36" s="47"/>
      <c r="S36" s="48"/>
      <c r="T36" s="47"/>
      <c r="U36" s="48"/>
      <c r="V36" s="47"/>
      <c r="W36" s="48"/>
      <c r="X36" s="47"/>
      <c r="Y36" s="48"/>
      <c r="Z36" s="47"/>
      <c r="AA36" s="48"/>
      <c r="AB36" s="47"/>
      <c r="AC36" s="48"/>
      <c r="AD36" s="47"/>
      <c r="AE36" s="48"/>
      <c r="AF36" s="47"/>
      <c r="AG36" s="48"/>
      <c r="AH36" s="47"/>
      <c r="AI36" s="48"/>
      <c r="AJ36" s="47"/>
      <c r="AK36" s="48"/>
      <c r="AL36" s="47"/>
      <c r="AM36" s="48"/>
      <c r="AN36" s="47"/>
      <c r="AO36" s="48"/>
      <c r="AP36" s="47"/>
      <c r="AQ36" s="48"/>
      <c r="AR36" s="47"/>
      <c r="AS36" s="48"/>
      <c r="AT36" s="47"/>
      <c r="AU36" s="48"/>
      <c r="AV36" s="47"/>
      <c r="AW36" s="48"/>
      <c r="AX36" s="47"/>
      <c r="AY36" s="48"/>
      <c r="AZ36" s="47"/>
      <c r="BA36" s="48"/>
      <c r="BB36" s="47"/>
      <c r="BC36" s="48"/>
      <c r="BD36" s="47"/>
      <c r="BE36" s="48"/>
      <c r="BF36" s="47"/>
      <c r="BG36" s="4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38">
        <f t="shared" si="9"/>
        <v>0</v>
      </c>
      <c r="CC36" s="58">
        <f t="shared" si="10"/>
        <v>0</v>
      </c>
    </row>
    <row r="37" spans="1:81" s="13" customFormat="1" ht="17.25" customHeight="1">
      <c r="A37" s="16" t="str">
        <f t="shared" si="8"/>
        <v>C.Thảo</v>
      </c>
      <c r="B37" s="328"/>
      <c r="C37" s="15">
        <f>+COUNTIF('Entries Register (JV)'!$D:$D,K.P.I!A37)+COUNTIF('Entries Register (0S)'!$D:$D,K.P.I!A37)</f>
        <v>0</v>
      </c>
      <c r="D37" s="45"/>
      <c r="E37" s="46"/>
      <c r="F37" s="45"/>
      <c r="G37" s="46"/>
      <c r="H37" s="45"/>
      <c r="I37" s="46"/>
      <c r="J37" s="45"/>
      <c r="K37" s="46"/>
      <c r="L37" s="45"/>
      <c r="M37" s="46"/>
      <c r="N37" s="45"/>
      <c r="O37" s="46"/>
      <c r="P37" s="47"/>
      <c r="Q37" s="48"/>
      <c r="R37" s="47"/>
      <c r="S37" s="48"/>
      <c r="T37" s="47"/>
      <c r="U37" s="48"/>
      <c r="V37" s="47"/>
      <c r="W37" s="48"/>
      <c r="X37" s="47"/>
      <c r="Y37" s="48"/>
      <c r="Z37" s="47"/>
      <c r="AA37" s="48"/>
      <c r="AB37" s="47"/>
      <c r="AC37" s="48"/>
      <c r="AD37" s="47"/>
      <c r="AE37" s="48"/>
      <c r="AF37" s="47"/>
      <c r="AG37" s="48"/>
      <c r="AH37" s="47"/>
      <c r="AI37" s="48"/>
      <c r="AJ37" s="47"/>
      <c r="AK37" s="48"/>
      <c r="AL37" s="47"/>
      <c r="AM37" s="48"/>
      <c r="AN37" s="47"/>
      <c r="AO37" s="48"/>
      <c r="AP37" s="47"/>
      <c r="AQ37" s="48"/>
      <c r="AR37" s="47"/>
      <c r="AS37" s="48"/>
      <c r="AT37" s="47" t="s">
        <v>5287</v>
      </c>
      <c r="AU37" s="48"/>
      <c r="AV37" s="47"/>
      <c r="AW37" s="48"/>
      <c r="AX37" s="47"/>
      <c r="AY37" s="48"/>
      <c r="AZ37" s="47"/>
      <c r="BA37" s="48"/>
      <c r="BB37" s="47"/>
      <c r="BC37" s="48"/>
      <c r="BD37" s="47"/>
      <c r="BE37" s="48"/>
      <c r="BF37" s="47"/>
      <c r="BG37" s="48"/>
      <c r="BH37" s="138"/>
      <c r="BI37" s="138"/>
      <c r="BJ37" s="138"/>
      <c r="BK37" s="138"/>
      <c r="BL37" s="138"/>
      <c r="BM37" s="138"/>
      <c r="BN37" s="138"/>
      <c r="BO37" s="138"/>
      <c r="BP37" s="138"/>
      <c r="BQ37" s="138"/>
      <c r="BR37" s="138"/>
      <c r="BS37" s="138"/>
      <c r="BT37" s="138"/>
      <c r="BU37" s="138"/>
      <c r="BV37" s="138"/>
      <c r="BW37" s="138"/>
      <c r="BX37" s="138"/>
      <c r="BY37" s="138"/>
      <c r="BZ37" s="138"/>
      <c r="CA37" s="138"/>
      <c r="CB37" s="38">
        <f t="shared" si="9"/>
        <v>0</v>
      </c>
      <c r="CC37" s="58">
        <f t="shared" si="10"/>
        <v>0</v>
      </c>
    </row>
    <row r="38" spans="1:81" s="13" customFormat="1" ht="17.25" customHeight="1">
      <c r="A38" s="16" t="str">
        <f t="shared" si="8"/>
        <v>Hạnh</v>
      </c>
      <c r="B38" s="328"/>
      <c r="C38" s="15">
        <f>+COUNTIF('Entries Register (JV)'!$D:$D,K.P.I!A38)+COUNTIF('Entries Register (0S)'!$D:$D,K.P.I!A38)</f>
        <v>0</v>
      </c>
      <c r="D38" s="45"/>
      <c r="E38" s="46"/>
      <c r="F38" s="45"/>
      <c r="G38" s="46"/>
      <c r="H38" s="45"/>
      <c r="I38" s="46"/>
      <c r="J38" s="45"/>
      <c r="K38" s="46"/>
      <c r="L38" s="45"/>
      <c r="M38" s="46"/>
      <c r="N38" s="45"/>
      <c r="O38" s="46"/>
      <c r="P38" s="47"/>
      <c r="Q38" s="48"/>
      <c r="R38" s="47"/>
      <c r="S38" s="48"/>
      <c r="T38" s="47"/>
      <c r="U38" s="48"/>
      <c r="V38" s="47"/>
      <c r="W38" s="48"/>
      <c r="X38" s="47"/>
      <c r="Y38" s="48"/>
      <c r="Z38" s="47"/>
      <c r="AA38" s="48"/>
      <c r="AB38" s="47"/>
      <c r="AC38" s="48"/>
      <c r="AD38" s="47"/>
      <c r="AE38" s="48"/>
      <c r="AF38" s="47"/>
      <c r="AG38" s="48"/>
      <c r="AH38" s="47"/>
      <c r="AI38" s="48"/>
      <c r="AJ38" s="47"/>
      <c r="AK38" s="48"/>
      <c r="AL38" s="47"/>
      <c r="AM38" s="48"/>
      <c r="AN38" s="47"/>
      <c r="AO38" s="48"/>
      <c r="AP38" s="47"/>
      <c r="AQ38" s="48"/>
      <c r="AR38" s="47"/>
      <c r="AS38" s="48"/>
      <c r="AT38" s="47"/>
      <c r="AU38" s="48"/>
      <c r="AV38" s="47"/>
      <c r="AW38" s="48"/>
      <c r="AX38" s="47"/>
      <c r="AY38" s="48"/>
      <c r="AZ38" s="47"/>
      <c r="BA38" s="48"/>
      <c r="BB38" s="47"/>
      <c r="BC38" s="48"/>
      <c r="BD38" s="47"/>
      <c r="BE38" s="48"/>
      <c r="BF38" s="47"/>
      <c r="BG38" s="48"/>
      <c r="BH38" s="138"/>
      <c r="BI38" s="138"/>
      <c r="BJ38" s="138"/>
      <c r="BK38" s="138"/>
      <c r="BL38" s="138"/>
      <c r="BM38" s="138"/>
      <c r="BN38" s="138"/>
      <c r="BO38" s="138"/>
      <c r="BP38" s="138"/>
      <c r="BQ38" s="138"/>
      <c r="BR38" s="138"/>
      <c r="BS38" s="138"/>
      <c r="BT38" s="138"/>
      <c r="BU38" s="138"/>
      <c r="BV38" s="138"/>
      <c r="BW38" s="138"/>
      <c r="BX38" s="138"/>
      <c r="BY38" s="138"/>
      <c r="BZ38" s="138"/>
      <c r="CA38" s="138"/>
      <c r="CB38" s="38">
        <f t="shared" si="9"/>
        <v>0</v>
      </c>
      <c r="CC38" s="58">
        <f t="shared" si="10"/>
        <v>0</v>
      </c>
    </row>
    <row r="39" spans="1:81" s="13" customFormat="1" ht="17.25" customHeight="1">
      <c r="A39" s="16" t="str">
        <f t="shared" si="8"/>
        <v>Hà</v>
      </c>
      <c r="B39" s="328"/>
      <c r="C39" s="15">
        <f>+COUNTIF('Entries Register (JV)'!$D:$D,K.P.I!A39)+COUNTIF('Entries Register (0S)'!$D:$D,K.P.I!A39)</f>
        <v>0</v>
      </c>
      <c r="D39" s="45"/>
      <c r="E39" s="46"/>
      <c r="F39" s="45"/>
      <c r="G39" s="46"/>
      <c r="H39" s="45"/>
      <c r="I39" s="46"/>
      <c r="J39" s="45"/>
      <c r="K39" s="46"/>
      <c r="L39" s="45"/>
      <c r="M39" s="46"/>
      <c r="N39" s="45"/>
      <c r="O39" s="46"/>
      <c r="P39" s="47"/>
      <c r="Q39" s="48"/>
      <c r="R39" s="47"/>
      <c r="S39" s="48"/>
      <c r="T39" s="47"/>
      <c r="U39" s="48"/>
      <c r="V39" s="47"/>
      <c r="W39" s="48"/>
      <c r="X39" s="47"/>
      <c r="Y39" s="48"/>
      <c r="Z39" s="47"/>
      <c r="AA39" s="48"/>
      <c r="AB39" s="47"/>
      <c r="AC39" s="48"/>
      <c r="AD39" s="47"/>
      <c r="AE39" s="48"/>
      <c r="AF39" s="47"/>
      <c r="AG39" s="48"/>
      <c r="AH39" s="47"/>
      <c r="AI39" s="48"/>
      <c r="AJ39" s="47"/>
      <c r="AK39" s="48"/>
      <c r="AL39" s="47"/>
      <c r="AM39" s="48"/>
      <c r="AN39" s="47"/>
      <c r="AO39" s="48"/>
      <c r="AP39" s="47"/>
      <c r="AQ39" s="48"/>
      <c r="AR39" s="47"/>
      <c r="AS39" s="48"/>
      <c r="AT39" s="47"/>
      <c r="AU39" s="48"/>
      <c r="AV39" s="47"/>
      <c r="AW39" s="48"/>
      <c r="AX39" s="47"/>
      <c r="AY39" s="48"/>
      <c r="AZ39" s="47"/>
      <c r="BA39" s="48"/>
      <c r="BB39" s="47"/>
      <c r="BC39" s="48"/>
      <c r="BD39" s="47"/>
      <c r="BE39" s="48"/>
      <c r="BF39" s="47"/>
      <c r="BG39" s="48"/>
      <c r="BH39" s="138"/>
      <c r="BI39" s="138"/>
      <c r="BJ39" s="138"/>
      <c r="BK39" s="138"/>
      <c r="BL39" s="138"/>
      <c r="BM39" s="138"/>
      <c r="BN39" s="138"/>
      <c r="BO39" s="138"/>
      <c r="BP39" s="138"/>
      <c r="BQ39" s="138"/>
      <c r="BR39" s="138"/>
      <c r="BS39" s="138"/>
      <c r="BT39" s="138"/>
      <c r="BU39" s="138"/>
      <c r="BV39" s="138"/>
      <c r="BW39" s="138"/>
      <c r="BX39" s="138"/>
      <c r="BY39" s="138"/>
      <c r="BZ39" s="138"/>
      <c r="CA39" s="138"/>
      <c r="CB39" s="38">
        <f t="shared" si="9"/>
        <v>0</v>
      </c>
      <c r="CC39" s="58">
        <f t="shared" si="10"/>
        <v>0</v>
      </c>
    </row>
    <row r="40" spans="1:81" s="13" customFormat="1" ht="17.25" customHeight="1">
      <c r="A40" s="16" t="str">
        <f t="shared" si="8"/>
        <v>Vân</v>
      </c>
      <c r="B40" s="328"/>
      <c r="C40" s="15">
        <f>+COUNTIF('Entries Register (JV)'!$D:$D,K.P.I!A40)+COUNTIF('Entries Register (0S)'!$D:$D,K.P.I!A40)</f>
        <v>0</v>
      </c>
      <c r="D40" s="45"/>
      <c r="E40" s="46"/>
      <c r="F40" s="45"/>
      <c r="G40" s="46"/>
      <c r="H40" s="45"/>
      <c r="I40" s="46"/>
      <c r="J40" s="45"/>
      <c r="K40" s="46"/>
      <c r="L40" s="45"/>
      <c r="M40" s="46"/>
      <c r="N40" s="45"/>
      <c r="O40" s="46"/>
      <c r="P40" s="47"/>
      <c r="Q40" s="48"/>
      <c r="R40" s="47"/>
      <c r="S40" s="48"/>
      <c r="T40" s="47"/>
      <c r="U40" s="48"/>
      <c r="V40" s="47"/>
      <c r="W40" s="48"/>
      <c r="X40" s="47"/>
      <c r="Y40" s="48"/>
      <c r="Z40" s="47"/>
      <c r="AA40" s="48"/>
      <c r="AB40" s="47"/>
      <c r="AC40" s="48"/>
      <c r="AD40" s="47"/>
      <c r="AE40" s="48"/>
      <c r="AF40" s="47"/>
      <c r="AG40" s="48"/>
      <c r="AH40" s="47"/>
      <c r="AI40" s="48"/>
      <c r="AJ40" s="47"/>
      <c r="AK40" s="48"/>
      <c r="AL40" s="47"/>
      <c r="AM40" s="48"/>
      <c r="AN40" s="47"/>
      <c r="AO40" s="48"/>
      <c r="AP40" s="47"/>
      <c r="AQ40" s="48"/>
      <c r="AR40" s="47"/>
      <c r="AS40" s="48"/>
      <c r="AT40" s="47"/>
      <c r="AU40" s="48"/>
      <c r="AV40" s="47"/>
      <c r="AW40" s="48"/>
      <c r="AX40" s="47"/>
      <c r="AY40" s="48"/>
      <c r="AZ40" s="47"/>
      <c r="BA40" s="48"/>
      <c r="BB40" s="47"/>
      <c r="BC40" s="48"/>
      <c r="BD40" s="47"/>
      <c r="BE40" s="48"/>
      <c r="BF40" s="47"/>
      <c r="BG40" s="48"/>
      <c r="BH40" s="138"/>
      <c r="BI40" s="138"/>
      <c r="BJ40" s="138"/>
      <c r="BK40" s="138"/>
      <c r="BL40" s="138"/>
      <c r="BM40" s="138"/>
      <c r="BN40" s="138"/>
      <c r="BO40" s="138"/>
      <c r="BP40" s="138"/>
      <c r="BQ40" s="138"/>
      <c r="BR40" s="138"/>
      <c r="BS40" s="138"/>
      <c r="BT40" s="138"/>
      <c r="BU40" s="138"/>
      <c r="BV40" s="138"/>
      <c r="BW40" s="138"/>
      <c r="BX40" s="138"/>
      <c r="BY40" s="138"/>
      <c r="BZ40" s="138"/>
      <c r="CA40" s="138"/>
      <c r="CB40" s="38">
        <f t="shared" si="9"/>
        <v>0</v>
      </c>
      <c r="CC40" s="58">
        <f t="shared" si="10"/>
        <v>0</v>
      </c>
    </row>
    <row r="41" spans="1:81" s="13" customFormat="1" ht="17.25" customHeight="1">
      <c r="A41" s="16" t="str">
        <f t="shared" si="8"/>
        <v>Huyền</v>
      </c>
      <c r="B41" s="328"/>
      <c r="C41" s="15">
        <f>+COUNTIF('Entries Register (JV)'!$D:$D,K.P.I!A41)+COUNTIF('Entries Register (0S)'!$D:$D,K.P.I!A41)</f>
        <v>0</v>
      </c>
      <c r="D41" s="45"/>
      <c r="E41" s="46"/>
      <c r="F41" s="45"/>
      <c r="G41" s="46"/>
      <c r="H41" s="45"/>
      <c r="I41" s="46"/>
      <c r="J41" s="45"/>
      <c r="K41" s="46"/>
      <c r="L41" s="45"/>
      <c r="M41" s="46"/>
      <c r="N41" s="45"/>
      <c r="O41" s="46"/>
      <c r="P41" s="47"/>
      <c r="Q41" s="48"/>
      <c r="R41" s="47"/>
      <c r="S41" s="48"/>
      <c r="T41" s="47"/>
      <c r="U41" s="48"/>
      <c r="V41" s="47"/>
      <c r="W41" s="48"/>
      <c r="X41" s="47"/>
      <c r="Y41" s="48"/>
      <c r="Z41" s="47"/>
      <c r="AA41" s="48"/>
      <c r="AB41" s="47"/>
      <c r="AC41" s="48"/>
      <c r="AD41" s="47"/>
      <c r="AE41" s="48"/>
      <c r="AF41" s="47"/>
      <c r="AG41" s="48"/>
      <c r="AH41" s="47"/>
      <c r="AI41" s="48"/>
      <c r="AJ41" s="47"/>
      <c r="AK41" s="48"/>
      <c r="AL41" s="47"/>
      <c r="AM41" s="48"/>
      <c r="AN41" s="47"/>
      <c r="AO41" s="48"/>
      <c r="AP41" s="47"/>
      <c r="AQ41" s="48"/>
      <c r="AR41" s="47"/>
      <c r="AS41" s="48"/>
      <c r="AT41" s="47"/>
      <c r="AU41" s="48"/>
      <c r="AV41" s="47"/>
      <c r="AW41" s="48"/>
      <c r="AX41" s="47"/>
      <c r="AY41" s="48"/>
      <c r="AZ41" s="47"/>
      <c r="BA41" s="48"/>
      <c r="BB41" s="47"/>
      <c r="BC41" s="48"/>
      <c r="BD41" s="47"/>
      <c r="BE41" s="48"/>
      <c r="BF41" s="47"/>
      <c r="BG41" s="48"/>
      <c r="BH41" s="138"/>
      <c r="BI41" s="138"/>
      <c r="BJ41" s="138"/>
      <c r="BK41" s="138"/>
      <c r="BL41" s="138"/>
      <c r="BM41" s="138"/>
      <c r="BN41" s="138"/>
      <c r="BO41" s="138"/>
      <c r="BP41" s="138"/>
      <c r="BQ41" s="138"/>
      <c r="BR41" s="138"/>
      <c r="BS41" s="138"/>
      <c r="BT41" s="138"/>
      <c r="BU41" s="138"/>
      <c r="BV41" s="138"/>
      <c r="BW41" s="138"/>
      <c r="BX41" s="138"/>
      <c r="BY41" s="138"/>
      <c r="BZ41" s="138"/>
      <c r="CA41" s="138"/>
      <c r="CB41" s="38">
        <f t="shared" si="9"/>
        <v>0</v>
      </c>
      <c r="CC41" s="58">
        <f t="shared" si="10"/>
        <v>0</v>
      </c>
    </row>
    <row r="42" spans="1:81" s="13" customFormat="1" ht="17.25" customHeight="1">
      <c r="A42" s="16" t="str">
        <f t="shared" si="8"/>
        <v>V.Hường</v>
      </c>
      <c r="B42" s="328"/>
      <c r="C42" s="15">
        <f>+COUNTIF('Entries Register (JV)'!$D:$D,K.P.I!A42)+COUNTIF('Entries Register (0S)'!$D:$D,K.P.I!A42)</f>
        <v>0</v>
      </c>
      <c r="D42" s="45"/>
      <c r="E42" s="46"/>
      <c r="F42" s="45"/>
      <c r="G42" s="46"/>
      <c r="H42" s="45"/>
      <c r="I42" s="46"/>
      <c r="J42" s="45"/>
      <c r="K42" s="46"/>
      <c r="L42" s="45"/>
      <c r="M42" s="46"/>
      <c r="N42" s="45"/>
      <c r="O42" s="46"/>
      <c r="P42" s="47"/>
      <c r="Q42" s="48"/>
      <c r="R42" s="47"/>
      <c r="S42" s="48"/>
      <c r="T42" s="47"/>
      <c r="U42" s="48"/>
      <c r="V42" s="47"/>
      <c r="W42" s="48"/>
      <c r="X42" s="47"/>
      <c r="Y42" s="48"/>
      <c r="Z42" s="47"/>
      <c r="AA42" s="48"/>
      <c r="AB42" s="47"/>
      <c r="AC42" s="48"/>
      <c r="AD42" s="47"/>
      <c r="AE42" s="48"/>
      <c r="AF42" s="47"/>
      <c r="AG42" s="48"/>
      <c r="AH42" s="47"/>
      <c r="AI42" s="48"/>
      <c r="AJ42" s="47"/>
      <c r="AK42" s="48"/>
      <c r="AL42" s="47"/>
      <c r="AM42" s="48"/>
      <c r="AN42" s="47"/>
      <c r="AO42" s="48"/>
      <c r="AP42" s="47"/>
      <c r="AQ42" s="48"/>
      <c r="AR42" s="47"/>
      <c r="AS42" s="48"/>
      <c r="AT42" s="47"/>
      <c r="AU42" s="48"/>
      <c r="AV42" s="47"/>
      <c r="AW42" s="48"/>
      <c r="AX42" s="47"/>
      <c r="AY42" s="48"/>
      <c r="AZ42" s="47"/>
      <c r="BA42" s="48"/>
      <c r="BB42" s="47"/>
      <c r="BC42" s="48"/>
      <c r="BD42" s="47"/>
      <c r="BE42" s="48"/>
      <c r="BF42" s="47"/>
      <c r="BG42" s="48"/>
      <c r="BH42" s="138"/>
      <c r="BI42" s="138"/>
      <c r="BJ42" s="138"/>
      <c r="BK42" s="138"/>
      <c r="BL42" s="138"/>
      <c r="BM42" s="138"/>
      <c r="BN42" s="138"/>
      <c r="BO42" s="138"/>
      <c r="BP42" s="138"/>
      <c r="BQ42" s="138"/>
      <c r="BR42" s="138"/>
      <c r="BS42" s="138"/>
      <c r="BT42" s="138"/>
      <c r="BU42" s="138"/>
      <c r="BV42" s="138"/>
      <c r="BW42" s="138"/>
      <c r="BX42" s="138"/>
      <c r="BY42" s="138"/>
      <c r="BZ42" s="138"/>
      <c r="CA42" s="138"/>
      <c r="CB42" s="38">
        <f t="shared" si="9"/>
        <v>0</v>
      </c>
      <c r="CC42" s="58">
        <f t="shared" si="10"/>
        <v>0</v>
      </c>
    </row>
    <row r="43" spans="1:81" s="13" customFormat="1" ht="17.25" customHeight="1">
      <c r="A43" s="16" t="str">
        <f t="shared" si="8"/>
        <v>Quỳnh</v>
      </c>
      <c r="B43" s="328"/>
      <c r="C43" s="15">
        <f>+COUNTIF('Entries Register (JV)'!$D:$D,K.P.I!A43)+COUNTIF('Entries Register (0S)'!$D:$D,K.P.I!A43)</f>
        <v>0</v>
      </c>
      <c r="D43" s="45"/>
      <c r="E43" s="46"/>
      <c r="F43" s="45"/>
      <c r="G43" s="46"/>
      <c r="H43" s="45"/>
      <c r="I43" s="46"/>
      <c r="J43" s="45"/>
      <c r="K43" s="46"/>
      <c r="L43" s="45"/>
      <c r="M43" s="46"/>
      <c r="N43" s="45"/>
      <c r="O43" s="46"/>
      <c r="P43" s="47"/>
      <c r="Q43" s="48"/>
      <c r="R43" s="47"/>
      <c r="S43" s="48"/>
      <c r="T43" s="47"/>
      <c r="U43" s="48"/>
      <c r="V43" s="47"/>
      <c r="W43" s="48"/>
      <c r="X43" s="47"/>
      <c r="Y43" s="48"/>
      <c r="Z43" s="47"/>
      <c r="AA43" s="48"/>
      <c r="AB43" s="47"/>
      <c r="AC43" s="48"/>
      <c r="AD43" s="47"/>
      <c r="AE43" s="48"/>
      <c r="AF43" s="47"/>
      <c r="AG43" s="48"/>
      <c r="AH43" s="47"/>
      <c r="AI43" s="48"/>
      <c r="AJ43" s="47"/>
      <c r="AK43" s="48"/>
      <c r="AL43" s="47"/>
      <c r="AM43" s="48"/>
      <c r="AN43" s="47"/>
      <c r="AO43" s="48"/>
      <c r="AP43" s="47"/>
      <c r="AQ43" s="48"/>
      <c r="AR43" s="47"/>
      <c r="AS43" s="48"/>
      <c r="AT43" s="47"/>
      <c r="AU43" s="48"/>
      <c r="AV43" s="47"/>
      <c r="AW43" s="48"/>
      <c r="AX43" s="47"/>
      <c r="AY43" s="48"/>
      <c r="AZ43" s="47"/>
      <c r="BA43" s="48"/>
      <c r="BB43" s="47"/>
      <c r="BC43" s="48"/>
      <c r="BD43" s="47"/>
      <c r="BE43" s="48"/>
      <c r="BF43" s="47"/>
      <c r="BG43" s="48"/>
      <c r="BH43" s="138"/>
      <c r="BI43" s="138"/>
      <c r="BJ43" s="138"/>
      <c r="BK43" s="138"/>
      <c r="BL43" s="138"/>
      <c r="BM43" s="138"/>
      <c r="BN43" s="138"/>
      <c r="BO43" s="138"/>
      <c r="BP43" s="138"/>
      <c r="BQ43" s="138"/>
      <c r="BR43" s="138"/>
      <c r="BS43" s="138"/>
      <c r="BT43" s="138"/>
      <c r="BU43" s="138"/>
      <c r="BV43" s="138"/>
      <c r="BW43" s="138"/>
      <c r="BX43" s="138"/>
      <c r="BY43" s="138"/>
      <c r="BZ43" s="138"/>
      <c r="CA43" s="138"/>
      <c r="CB43" s="38">
        <f t="shared" si="9"/>
        <v>0</v>
      </c>
      <c r="CC43" s="58">
        <f t="shared" si="10"/>
        <v>0</v>
      </c>
    </row>
    <row r="44" spans="1:81" s="13" customFormat="1" ht="17.25" customHeight="1">
      <c r="A44" s="16" t="str">
        <f t="shared" si="8"/>
        <v>Mai</v>
      </c>
      <c r="B44" s="328"/>
      <c r="C44" s="15">
        <f>+COUNTIF('Entries Register (JV)'!$D:$D,K.P.I!A44)+COUNTIF('Entries Register (0S)'!$D:$D,K.P.I!A44)</f>
        <v>0</v>
      </c>
      <c r="D44" s="45"/>
      <c r="E44" s="46"/>
      <c r="F44" s="45"/>
      <c r="G44" s="46"/>
      <c r="H44" s="45"/>
      <c r="I44" s="46"/>
      <c r="J44" s="45"/>
      <c r="K44" s="46"/>
      <c r="L44" s="45"/>
      <c r="M44" s="46"/>
      <c r="N44" s="45"/>
      <c r="O44" s="46"/>
      <c r="P44" s="47"/>
      <c r="Q44" s="48"/>
      <c r="R44" s="47"/>
      <c r="S44" s="48"/>
      <c r="T44" s="47"/>
      <c r="U44" s="48"/>
      <c r="V44" s="47"/>
      <c r="W44" s="48"/>
      <c r="X44" s="47"/>
      <c r="Y44" s="48"/>
      <c r="Z44" s="47"/>
      <c r="AA44" s="48"/>
      <c r="AB44" s="47"/>
      <c r="AC44" s="48"/>
      <c r="AD44" s="47"/>
      <c r="AE44" s="48"/>
      <c r="AF44" s="47"/>
      <c r="AG44" s="48"/>
      <c r="AH44" s="47"/>
      <c r="AI44" s="48"/>
      <c r="AJ44" s="47"/>
      <c r="AK44" s="48"/>
      <c r="AL44" s="47"/>
      <c r="AM44" s="48"/>
      <c r="AN44" s="47"/>
      <c r="AO44" s="48"/>
      <c r="AP44" s="47"/>
      <c r="AQ44" s="48"/>
      <c r="AR44" s="47"/>
      <c r="AS44" s="48"/>
      <c r="AT44" s="47"/>
      <c r="AU44" s="48"/>
      <c r="AV44" s="47"/>
      <c r="AW44" s="48"/>
      <c r="AX44" s="47"/>
      <c r="AY44" s="48"/>
      <c r="AZ44" s="47"/>
      <c r="BA44" s="48"/>
      <c r="BB44" s="47"/>
      <c r="BC44" s="48"/>
      <c r="BD44" s="47"/>
      <c r="BE44" s="48"/>
      <c r="BF44" s="47"/>
      <c r="BG44" s="48"/>
      <c r="BH44" s="138"/>
      <c r="BI44" s="138"/>
      <c r="BJ44" s="138"/>
      <c r="BK44" s="138"/>
      <c r="BL44" s="138"/>
      <c r="BM44" s="138"/>
      <c r="BN44" s="138"/>
      <c r="BO44" s="138"/>
      <c r="BP44" s="138"/>
      <c r="BQ44" s="138"/>
      <c r="BR44" s="138"/>
      <c r="BS44" s="138"/>
      <c r="BT44" s="138"/>
      <c r="BU44" s="138"/>
      <c r="BV44" s="138"/>
      <c r="BW44" s="138"/>
      <c r="BX44" s="138"/>
      <c r="BY44" s="138"/>
      <c r="BZ44" s="138"/>
      <c r="CA44" s="138"/>
      <c r="CB44" s="38">
        <f t="shared" si="9"/>
        <v>0</v>
      </c>
      <c r="CC44" s="58">
        <f t="shared" si="10"/>
        <v>0</v>
      </c>
    </row>
    <row r="45" spans="1:81" s="13" customFormat="1" ht="17.25" customHeight="1">
      <c r="A45" s="16" t="str">
        <f t="shared" si="8"/>
        <v>Thanh</v>
      </c>
      <c r="B45" s="328"/>
      <c r="C45" s="15">
        <f>+COUNTIF('Entries Register (JV)'!$D:$D,K.P.I!A45)+COUNTIF('Entries Register (0S)'!$D:$D,K.P.I!A45)</f>
        <v>0</v>
      </c>
      <c r="D45" s="45"/>
      <c r="E45" s="46"/>
      <c r="F45" s="45"/>
      <c r="G45" s="46"/>
      <c r="H45" s="45"/>
      <c r="I45" s="46"/>
      <c r="J45" s="45"/>
      <c r="K45" s="46"/>
      <c r="L45" s="45"/>
      <c r="M45" s="46"/>
      <c r="N45" s="45"/>
      <c r="O45" s="46"/>
      <c r="P45" s="47"/>
      <c r="Q45" s="48"/>
      <c r="R45" s="47"/>
      <c r="S45" s="48"/>
      <c r="T45" s="47"/>
      <c r="U45" s="48"/>
      <c r="V45" s="47"/>
      <c r="W45" s="48"/>
      <c r="X45" s="47"/>
      <c r="Y45" s="48"/>
      <c r="Z45" s="47"/>
      <c r="AA45" s="48"/>
      <c r="AB45" s="47"/>
      <c r="AC45" s="48"/>
      <c r="AD45" s="47"/>
      <c r="AE45" s="48"/>
      <c r="AF45" s="47"/>
      <c r="AG45" s="48"/>
      <c r="AH45" s="47"/>
      <c r="AI45" s="48"/>
      <c r="AJ45" s="47"/>
      <c r="AK45" s="48"/>
      <c r="AL45" s="47"/>
      <c r="AM45" s="48"/>
      <c r="AN45" s="47"/>
      <c r="AO45" s="48"/>
      <c r="AP45" s="47"/>
      <c r="AQ45" s="48"/>
      <c r="AR45" s="47"/>
      <c r="AS45" s="48"/>
      <c r="AT45" s="47"/>
      <c r="AU45" s="48"/>
      <c r="AV45" s="47"/>
      <c r="AW45" s="48"/>
      <c r="AX45" s="47"/>
      <c r="AY45" s="48"/>
      <c r="AZ45" s="47"/>
      <c r="BA45" s="48"/>
      <c r="BB45" s="47"/>
      <c r="BC45" s="48"/>
      <c r="BD45" s="47"/>
      <c r="BE45" s="48"/>
      <c r="BF45" s="47"/>
      <c r="BG45" s="48"/>
      <c r="BH45" s="138"/>
      <c r="BI45" s="138"/>
      <c r="BJ45" s="138"/>
      <c r="BK45" s="138"/>
      <c r="BL45" s="138"/>
      <c r="BM45" s="138"/>
      <c r="BN45" s="138"/>
      <c r="BO45" s="138"/>
      <c r="BP45" s="138"/>
      <c r="BQ45" s="138"/>
      <c r="BR45" s="138"/>
      <c r="BS45" s="138"/>
      <c r="BT45" s="138"/>
      <c r="BU45" s="138"/>
      <c r="BV45" s="138"/>
      <c r="BW45" s="138"/>
      <c r="BX45" s="138"/>
      <c r="BY45" s="138"/>
      <c r="BZ45" s="138"/>
      <c r="CA45" s="138"/>
      <c r="CB45" s="38">
        <f t="shared" si="9"/>
        <v>0</v>
      </c>
      <c r="CC45" s="58">
        <f t="shared" si="10"/>
        <v>0</v>
      </c>
    </row>
    <row r="46" spans="1:81" s="13" customFormat="1" ht="17.25" customHeight="1">
      <c r="A46" s="16" t="str">
        <f t="shared" si="8"/>
        <v>Nhật</v>
      </c>
      <c r="B46" s="328"/>
      <c r="C46" s="15">
        <f>+COUNTIF('Entries Register (JV)'!$D:$D,K.P.I!A46)+COUNTIF('Entries Register (0S)'!$D:$D,K.P.I!A46)</f>
        <v>0</v>
      </c>
      <c r="D46" s="45"/>
      <c r="E46" s="46"/>
      <c r="F46" s="45"/>
      <c r="G46" s="46"/>
      <c r="H46" s="45"/>
      <c r="I46" s="46"/>
      <c r="J46" s="45"/>
      <c r="K46" s="46"/>
      <c r="L46" s="45"/>
      <c r="M46" s="46"/>
      <c r="N46" s="45"/>
      <c r="O46" s="46"/>
      <c r="P46" s="47"/>
      <c r="Q46" s="48"/>
      <c r="R46" s="47"/>
      <c r="S46" s="48"/>
      <c r="T46" s="47"/>
      <c r="U46" s="48"/>
      <c r="V46" s="47"/>
      <c r="W46" s="48"/>
      <c r="X46" s="47"/>
      <c r="Y46" s="48"/>
      <c r="Z46" s="47"/>
      <c r="AA46" s="48"/>
      <c r="AB46" s="47"/>
      <c r="AC46" s="48"/>
      <c r="AD46" s="47"/>
      <c r="AE46" s="48"/>
      <c r="AF46" s="47"/>
      <c r="AG46" s="48"/>
      <c r="AH46" s="47"/>
      <c r="AI46" s="48"/>
      <c r="AJ46" s="47"/>
      <c r="AK46" s="48"/>
      <c r="AL46" s="47"/>
      <c r="AM46" s="48"/>
      <c r="AN46" s="47"/>
      <c r="AO46" s="48"/>
      <c r="AP46" s="47"/>
      <c r="AQ46" s="48"/>
      <c r="AR46" s="47"/>
      <c r="AS46" s="48"/>
      <c r="AT46" s="47"/>
      <c r="AU46" s="48"/>
      <c r="AV46" s="47"/>
      <c r="AW46" s="48"/>
      <c r="AX46" s="47"/>
      <c r="AY46" s="48"/>
      <c r="AZ46" s="47"/>
      <c r="BA46" s="48"/>
      <c r="BB46" s="47"/>
      <c r="BC46" s="48"/>
      <c r="BD46" s="47"/>
      <c r="BE46" s="48"/>
      <c r="BF46" s="47"/>
      <c r="BG46" s="48"/>
      <c r="BH46" s="138"/>
      <c r="BI46" s="138"/>
      <c r="BJ46" s="138"/>
      <c r="BK46" s="138"/>
      <c r="BL46" s="138"/>
      <c r="BM46" s="138"/>
      <c r="BN46" s="138"/>
      <c r="BO46" s="138"/>
      <c r="BP46" s="138"/>
      <c r="BQ46" s="138"/>
      <c r="BR46" s="138"/>
      <c r="BS46" s="138"/>
      <c r="BT46" s="138"/>
      <c r="BU46" s="138"/>
      <c r="BV46" s="138"/>
      <c r="BW46" s="138"/>
      <c r="BX46" s="138"/>
      <c r="BY46" s="138"/>
      <c r="BZ46" s="138"/>
      <c r="CA46" s="138"/>
      <c r="CB46" s="38">
        <f t="shared" si="9"/>
        <v>0</v>
      </c>
      <c r="CC46" s="58">
        <f t="shared" si="10"/>
        <v>0</v>
      </c>
    </row>
    <row r="47" spans="1:81" s="13" customFormat="1" ht="17.25" customHeight="1">
      <c r="A47" s="16" t="str">
        <f>+A22</f>
        <v>Thơm</v>
      </c>
      <c r="B47" s="328"/>
      <c r="C47" s="15">
        <f>+COUNTIF('Entries Register (JV)'!$D:$D,K.P.I!A47)+COUNTIF('Entries Register (0S)'!$D:$D,K.P.I!A47)</f>
        <v>0</v>
      </c>
      <c r="D47" s="45"/>
      <c r="E47" s="46"/>
      <c r="F47" s="45"/>
      <c r="G47" s="46"/>
      <c r="H47" s="45"/>
      <c r="I47" s="46"/>
      <c r="J47" s="45"/>
      <c r="K47" s="46"/>
      <c r="L47" s="45"/>
      <c r="M47" s="46"/>
      <c r="N47" s="45"/>
      <c r="O47" s="46"/>
      <c r="P47" s="47"/>
      <c r="Q47" s="48"/>
      <c r="R47" s="47"/>
      <c r="S47" s="48"/>
      <c r="T47" s="47"/>
      <c r="U47" s="48"/>
      <c r="V47" s="47"/>
      <c r="W47" s="48"/>
      <c r="X47" s="47"/>
      <c r="Y47" s="48"/>
      <c r="Z47" s="47"/>
      <c r="AA47" s="48"/>
      <c r="AB47" s="47"/>
      <c r="AC47" s="48"/>
      <c r="AD47" s="47"/>
      <c r="AE47" s="48"/>
      <c r="AF47" s="47"/>
      <c r="AG47" s="48"/>
      <c r="AH47" s="47"/>
      <c r="AI47" s="48"/>
      <c r="AJ47" s="47"/>
      <c r="AK47" s="48"/>
      <c r="AL47" s="47"/>
      <c r="AM47" s="48"/>
      <c r="AN47" s="47"/>
      <c r="AO47" s="48"/>
      <c r="AP47" s="47"/>
      <c r="AQ47" s="48"/>
      <c r="AR47" s="47"/>
      <c r="AS47" s="48"/>
      <c r="AT47" s="47"/>
      <c r="AU47" s="48"/>
      <c r="AV47" s="47"/>
      <c r="AW47" s="48"/>
      <c r="AX47" s="47"/>
      <c r="AY47" s="48"/>
      <c r="AZ47" s="47"/>
      <c r="BA47" s="48"/>
      <c r="BB47" s="47"/>
      <c r="BC47" s="48"/>
      <c r="BD47" s="47"/>
      <c r="BE47" s="48"/>
      <c r="BF47" s="47"/>
      <c r="BG47" s="48"/>
      <c r="BH47" s="138"/>
      <c r="BI47" s="138"/>
      <c r="BJ47" s="138"/>
      <c r="BK47" s="138"/>
      <c r="BL47" s="138"/>
      <c r="BM47" s="138"/>
      <c r="BN47" s="138"/>
      <c r="BO47" s="138"/>
      <c r="BP47" s="138"/>
      <c r="BQ47" s="138"/>
      <c r="BR47" s="138"/>
      <c r="BS47" s="138"/>
      <c r="BT47" s="138"/>
      <c r="BU47" s="138"/>
      <c r="BV47" s="138"/>
      <c r="BW47" s="138"/>
      <c r="BX47" s="138"/>
      <c r="BY47" s="138"/>
      <c r="BZ47" s="138"/>
      <c r="CA47" s="138"/>
      <c r="CB47" s="38">
        <f t="shared" si="9"/>
        <v>0</v>
      </c>
      <c r="CC47" s="58">
        <f t="shared" si="10"/>
        <v>0</v>
      </c>
    </row>
    <row r="48" spans="1:81" s="13" customFormat="1" ht="17.25" customHeight="1">
      <c r="A48" s="16" t="str">
        <f>+A23</f>
        <v>Trang</v>
      </c>
      <c r="B48" s="328"/>
      <c r="C48" s="15">
        <f>+COUNTIF('Entries Register (JV)'!$D:$D,K.P.I!A48)+COUNTIF('Entries Register (0S)'!$D:$D,K.P.I!A48)</f>
        <v>0</v>
      </c>
      <c r="D48" s="45"/>
      <c r="E48" s="46"/>
      <c r="F48" s="45"/>
      <c r="G48" s="46"/>
      <c r="H48" s="45"/>
      <c r="I48" s="46"/>
      <c r="J48" s="45"/>
      <c r="K48" s="46"/>
      <c r="L48" s="45"/>
      <c r="M48" s="46"/>
      <c r="N48" s="45"/>
      <c r="O48" s="46"/>
      <c r="P48" s="47"/>
      <c r="Q48" s="48"/>
      <c r="R48" s="47"/>
      <c r="S48" s="48"/>
      <c r="T48" s="47"/>
      <c r="U48" s="48"/>
      <c r="V48" s="47"/>
      <c r="W48" s="48"/>
      <c r="X48" s="47"/>
      <c r="Y48" s="48"/>
      <c r="Z48" s="47"/>
      <c r="AA48" s="48"/>
      <c r="AB48" s="47"/>
      <c r="AC48" s="48"/>
      <c r="AD48" s="47"/>
      <c r="AE48" s="48"/>
      <c r="AF48" s="47"/>
      <c r="AG48" s="48"/>
      <c r="AH48" s="47"/>
      <c r="AI48" s="48"/>
      <c r="AJ48" s="47"/>
      <c r="AK48" s="48"/>
      <c r="AL48" s="47"/>
      <c r="AM48" s="48"/>
      <c r="AN48" s="47"/>
      <c r="AO48" s="48"/>
      <c r="AP48" s="47"/>
      <c r="AQ48" s="48"/>
      <c r="AR48" s="47"/>
      <c r="AS48" s="48"/>
      <c r="AT48" s="47"/>
      <c r="AU48" s="48"/>
      <c r="AV48" s="47"/>
      <c r="AW48" s="48"/>
      <c r="AX48" s="47"/>
      <c r="AY48" s="48"/>
      <c r="AZ48" s="47"/>
      <c r="BA48" s="48"/>
      <c r="BB48" s="47"/>
      <c r="BC48" s="48"/>
      <c r="BD48" s="47"/>
      <c r="BE48" s="48"/>
      <c r="BF48" s="47"/>
      <c r="BG48" s="48"/>
      <c r="BH48" s="138"/>
      <c r="BI48" s="138"/>
      <c r="BJ48" s="138"/>
      <c r="BK48" s="138"/>
      <c r="BL48" s="138"/>
      <c r="BM48" s="138"/>
      <c r="BN48" s="138"/>
      <c r="BO48" s="138"/>
      <c r="BP48" s="138"/>
      <c r="BQ48" s="138"/>
      <c r="BR48" s="138"/>
      <c r="BS48" s="138"/>
      <c r="BT48" s="138"/>
      <c r="BU48" s="138"/>
      <c r="BV48" s="138"/>
      <c r="BW48" s="138"/>
      <c r="BX48" s="138"/>
      <c r="BY48" s="138"/>
      <c r="BZ48" s="138"/>
      <c r="CA48" s="138"/>
      <c r="CB48" s="38">
        <f t="shared" si="9"/>
        <v>0</v>
      </c>
      <c r="CC48" s="58">
        <f t="shared" si="10"/>
        <v>0</v>
      </c>
    </row>
    <row r="49" spans="1:82" s="18" customFormat="1" ht="17.25" customHeight="1">
      <c r="A49" s="17" t="s">
        <v>3942</v>
      </c>
      <c r="B49" s="23"/>
      <c r="C49" s="17">
        <f t="shared" ref="C49:R49" si="11">+SUBTOTAL(9,C33:C48)</f>
        <v>0</v>
      </c>
      <c r="D49" s="49">
        <f t="shared" si="11"/>
        <v>0</v>
      </c>
      <c r="E49" s="50">
        <f t="shared" si="11"/>
        <v>0</v>
      </c>
      <c r="F49" s="49">
        <f t="shared" si="11"/>
        <v>0</v>
      </c>
      <c r="G49" s="50">
        <f t="shared" si="11"/>
        <v>0</v>
      </c>
      <c r="H49" s="49">
        <f t="shared" si="11"/>
        <v>0</v>
      </c>
      <c r="I49" s="50">
        <f t="shared" si="11"/>
        <v>0</v>
      </c>
      <c r="J49" s="49">
        <f t="shared" si="11"/>
        <v>0</v>
      </c>
      <c r="K49" s="50">
        <f t="shared" si="11"/>
        <v>0</v>
      </c>
      <c r="L49" s="49">
        <f t="shared" si="11"/>
        <v>0</v>
      </c>
      <c r="M49" s="50">
        <f t="shared" si="11"/>
        <v>0</v>
      </c>
      <c r="N49" s="49">
        <f t="shared" si="11"/>
        <v>0</v>
      </c>
      <c r="O49" s="50">
        <f t="shared" si="11"/>
        <v>0</v>
      </c>
      <c r="P49" s="49">
        <f t="shared" si="11"/>
        <v>0</v>
      </c>
      <c r="Q49" s="50">
        <f t="shared" si="11"/>
        <v>0</v>
      </c>
      <c r="R49" s="49">
        <f t="shared" si="11"/>
        <v>0</v>
      </c>
      <c r="S49" s="50">
        <f t="shared" ref="S49:AX49" si="12">+SUBTOTAL(9,S33:S48)</f>
        <v>0</v>
      </c>
      <c r="T49" s="49">
        <f t="shared" si="12"/>
        <v>0</v>
      </c>
      <c r="U49" s="50">
        <f t="shared" si="12"/>
        <v>0</v>
      </c>
      <c r="V49" s="49">
        <f t="shared" si="12"/>
        <v>0</v>
      </c>
      <c r="W49" s="50">
        <f t="shared" si="12"/>
        <v>0</v>
      </c>
      <c r="X49" s="49">
        <f t="shared" si="12"/>
        <v>0</v>
      </c>
      <c r="Y49" s="50">
        <f t="shared" si="12"/>
        <v>0</v>
      </c>
      <c r="Z49" s="49">
        <f t="shared" si="12"/>
        <v>0</v>
      </c>
      <c r="AA49" s="50">
        <f t="shared" si="12"/>
        <v>0</v>
      </c>
      <c r="AB49" s="49">
        <f t="shared" si="12"/>
        <v>0</v>
      </c>
      <c r="AC49" s="50">
        <f t="shared" si="12"/>
        <v>0</v>
      </c>
      <c r="AD49" s="49">
        <f t="shared" si="12"/>
        <v>0</v>
      </c>
      <c r="AE49" s="50">
        <f t="shared" si="12"/>
        <v>0</v>
      </c>
      <c r="AF49" s="49">
        <f t="shared" si="12"/>
        <v>0</v>
      </c>
      <c r="AG49" s="50">
        <f t="shared" si="12"/>
        <v>0</v>
      </c>
      <c r="AH49" s="49">
        <f t="shared" si="12"/>
        <v>0</v>
      </c>
      <c r="AI49" s="50">
        <f t="shared" si="12"/>
        <v>0</v>
      </c>
      <c r="AJ49" s="49">
        <f t="shared" si="12"/>
        <v>0</v>
      </c>
      <c r="AK49" s="50">
        <f t="shared" si="12"/>
        <v>0</v>
      </c>
      <c r="AL49" s="49">
        <f t="shared" si="12"/>
        <v>0</v>
      </c>
      <c r="AM49" s="50">
        <f t="shared" si="12"/>
        <v>0</v>
      </c>
      <c r="AN49" s="49">
        <f t="shared" si="12"/>
        <v>0</v>
      </c>
      <c r="AO49" s="50">
        <f t="shared" si="12"/>
        <v>0</v>
      </c>
      <c r="AP49" s="49">
        <f t="shared" si="12"/>
        <v>0</v>
      </c>
      <c r="AQ49" s="50">
        <f t="shared" si="12"/>
        <v>0</v>
      </c>
      <c r="AR49" s="49">
        <f t="shared" si="12"/>
        <v>0</v>
      </c>
      <c r="AS49" s="50">
        <f t="shared" si="12"/>
        <v>0</v>
      </c>
      <c r="AT49" s="49">
        <f t="shared" si="12"/>
        <v>0</v>
      </c>
      <c r="AU49" s="50">
        <f t="shared" si="12"/>
        <v>0</v>
      </c>
      <c r="AV49" s="49">
        <f t="shared" si="12"/>
        <v>0</v>
      </c>
      <c r="AW49" s="50">
        <f t="shared" si="12"/>
        <v>0</v>
      </c>
      <c r="AX49" s="49">
        <f t="shared" si="12"/>
        <v>0</v>
      </c>
      <c r="AY49" s="50">
        <f t="shared" ref="AY49:BG49" si="13">+SUBTOTAL(9,AY33:AY48)</f>
        <v>0</v>
      </c>
      <c r="AZ49" s="49">
        <f t="shared" si="13"/>
        <v>0</v>
      </c>
      <c r="BA49" s="50">
        <f t="shared" si="13"/>
        <v>0</v>
      </c>
      <c r="BB49" s="49">
        <f t="shared" si="13"/>
        <v>0</v>
      </c>
      <c r="BC49" s="50">
        <f t="shared" si="13"/>
        <v>0</v>
      </c>
      <c r="BD49" s="49">
        <f t="shared" si="13"/>
        <v>0</v>
      </c>
      <c r="BE49" s="50">
        <f t="shared" si="13"/>
        <v>0</v>
      </c>
      <c r="BF49" s="49">
        <f t="shared" si="13"/>
        <v>0</v>
      </c>
      <c r="BG49" s="50">
        <f t="shared" si="13"/>
        <v>0</v>
      </c>
      <c r="BH49" s="191"/>
      <c r="BI49" s="191"/>
      <c r="BJ49" s="191"/>
      <c r="BK49" s="191"/>
      <c r="BL49" s="191"/>
      <c r="BM49" s="191"/>
      <c r="BN49" s="191"/>
      <c r="BO49" s="191"/>
      <c r="BP49" s="191"/>
      <c r="BQ49" s="191"/>
      <c r="BR49" s="191"/>
      <c r="BS49" s="191"/>
      <c r="BT49" s="191"/>
      <c r="BU49" s="191"/>
      <c r="BV49" s="191"/>
      <c r="BW49" s="191"/>
      <c r="BX49" s="191"/>
      <c r="BY49" s="191"/>
      <c r="BZ49" s="191"/>
      <c r="CA49" s="191"/>
      <c r="CB49" s="40">
        <f>+SUBTOTAL(9,CB33:CB48)</f>
        <v>0</v>
      </c>
      <c r="CC49" s="59">
        <f t="shared" si="10"/>
        <v>0</v>
      </c>
    </row>
    <row r="53" spans="1:82" ht="17.25" customHeight="1">
      <c r="A53" s="5" t="s">
        <v>3967</v>
      </c>
      <c r="B53" s="5"/>
    </row>
    <row r="54" spans="1:82" ht="17.25" customHeight="1">
      <c r="A54" s="5"/>
      <c r="B54" s="5"/>
    </row>
    <row r="55" spans="1:82" s="9" customFormat="1" ht="17.25" customHeight="1">
      <c r="A55" s="6" t="s">
        <v>3944</v>
      </c>
      <c r="B55" s="6" t="s">
        <v>3958</v>
      </c>
      <c r="C55" s="6" t="s">
        <v>3949</v>
      </c>
      <c r="D55" s="60">
        <f>D$5</f>
        <v>43231</v>
      </c>
      <c r="E55" s="61"/>
      <c r="F55" s="60">
        <f>F$5</f>
        <v>43232</v>
      </c>
      <c r="G55" s="61"/>
      <c r="H55" s="60">
        <f>H$5</f>
        <v>43233</v>
      </c>
      <c r="I55" s="61"/>
      <c r="J55" s="60">
        <f>J$5</f>
        <v>43234</v>
      </c>
      <c r="K55" s="61"/>
      <c r="L55" s="60">
        <f>L$5</f>
        <v>43235</v>
      </c>
      <c r="M55" s="61"/>
      <c r="N55" s="60">
        <f>N$5</f>
        <v>43236</v>
      </c>
      <c r="O55" s="61"/>
      <c r="P55" s="60">
        <f>P$5</f>
        <v>43237</v>
      </c>
      <c r="Q55" s="61"/>
      <c r="R55" s="60">
        <f>R$5</f>
        <v>43238</v>
      </c>
      <c r="S55" s="61"/>
      <c r="T55" s="60">
        <f>T$5</f>
        <v>43239</v>
      </c>
      <c r="U55" s="61"/>
      <c r="V55" s="60">
        <f>V$5</f>
        <v>43240</v>
      </c>
      <c r="W55" s="61"/>
      <c r="X55" s="60">
        <f>X$5</f>
        <v>43241</v>
      </c>
      <c r="Y55" s="61"/>
      <c r="Z55" s="60">
        <f>Z$5</f>
        <v>43242</v>
      </c>
      <c r="AA55" s="61"/>
      <c r="AB55" s="60">
        <f>AB$5</f>
        <v>43243</v>
      </c>
      <c r="AC55" s="61"/>
      <c r="AD55" s="60">
        <f>AD$5</f>
        <v>43244</v>
      </c>
      <c r="AE55" s="61"/>
      <c r="AF55" s="60">
        <f>AF$5</f>
        <v>43245</v>
      </c>
      <c r="AG55" s="61"/>
      <c r="AH55" s="60">
        <f>AH$5</f>
        <v>43246</v>
      </c>
      <c r="AI55" s="61"/>
      <c r="AJ55" s="60">
        <f>AJ$5</f>
        <v>43247</v>
      </c>
      <c r="AK55" s="61"/>
      <c r="AL55" s="60">
        <f>AL$5</f>
        <v>43248</v>
      </c>
      <c r="AM55" s="61"/>
      <c r="AN55" s="60">
        <f>AN$5</f>
        <v>43249</v>
      </c>
      <c r="AO55" s="61"/>
      <c r="AP55" s="60">
        <f>AP$5</f>
        <v>43250</v>
      </c>
      <c r="AQ55" s="61"/>
      <c r="AR55" s="60">
        <f>AR$5</f>
        <v>43251</v>
      </c>
      <c r="AS55" s="61"/>
      <c r="AT55" s="60">
        <f>AT$5</f>
        <v>43252</v>
      </c>
      <c r="AU55" s="61"/>
      <c r="AV55" s="60">
        <f>AV$5</f>
        <v>43253</v>
      </c>
      <c r="AW55" s="61"/>
      <c r="AX55" s="60">
        <f>AX$5</f>
        <v>43254</v>
      </c>
      <c r="AY55" s="61"/>
      <c r="AZ55" s="60">
        <f>AZ$5</f>
        <v>43255</v>
      </c>
      <c r="BA55" s="61"/>
      <c r="BB55" s="60">
        <f>BB$5</f>
        <v>43256</v>
      </c>
      <c r="BC55" s="61"/>
      <c r="BD55" s="60">
        <f>BD$5</f>
        <v>43257</v>
      </c>
      <c r="BE55" s="61"/>
      <c r="BF55" s="60">
        <f>BF$5</f>
        <v>43258</v>
      </c>
      <c r="BG55" s="61"/>
      <c r="BH55" s="190"/>
      <c r="BI55" s="190"/>
      <c r="BJ55" s="190"/>
      <c r="BK55" s="190"/>
      <c r="BL55" s="190"/>
      <c r="BM55" s="190"/>
      <c r="BN55" s="190"/>
      <c r="BO55" s="190"/>
      <c r="BP55" s="190"/>
      <c r="BQ55" s="190"/>
      <c r="BR55" s="190"/>
      <c r="BS55" s="190"/>
      <c r="BT55" s="190"/>
      <c r="BU55" s="190"/>
      <c r="BV55" s="190"/>
      <c r="BW55" s="190"/>
      <c r="BX55" s="190"/>
      <c r="BY55" s="190"/>
      <c r="BZ55" s="190"/>
      <c r="CA55" s="190"/>
      <c r="CB55" s="4"/>
      <c r="CC55" s="8"/>
      <c r="CD55" s="8"/>
    </row>
    <row r="56" spans="1:82" s="9" customFormat="1" ht="17.25" customHeight="1">
      <c r="A56" s="10"/>
      <c r="B56" s="10"/>
      <c r="C56" s="11" t="s">
        <v>3966</v>
      </c>
      <c r="D56" s="43" t="s">
        <v>3940</v>
      </c>
      <c r="E56" s="44" t="s">
        <v>3941</v>
      </c>
      <c r="F56" s="43" t="s">
        <v>3940</v>
      </c>
      <c r="G56" s="44" t="s">
        <v>3941</v>
      </c>
      <c r="H56" s="43" t="s">
        <v>3940</v>
      </c>
      <c r="I56" s="44" t="s">
        <v>3941</v>
      </c>
      <c r="J56" s="43" t="s">
        <v>3940</v>
      </c>
      <c r="K56" s="44" t="s">
        <v>3941</v>
      </c>
      <c r="L56" s="43" t="s">
        <v>3940</v>
      </c>
      <c r="M56" s="44" t="s">
        <v>3941</v>
      </c>
      <c r="N56" s="43" t="s">
        <v>3940</v>
      </c>
      <c r="O56" s="44" t="s">
        <v>3941</v>
      </c>
      <c r="P56" s="43" t="s">
        <v>3940</v>
      </c>
      <c r="Q56" s="44" t="s">
        <v>3941</v>
      </c>
      <c r="R56" s="43" t="s">
        <v>3940</v>
      </c>
      <c r="S56" s="44" t="s">
        <v>3941</v>
      </c>
      <c r="T56" s="43" t="s">
        <v>3940</v>
      </c>
      <c r="U56" s="44" t="s">
        <v>3941</v>
      </c>
      <c r="V56" s="43" t="s">
        <v>3940</v>
      </c>
      <c r="W56" s="44" t="s">
        <v>3941</v>
      </c>
      <c r="X56" s="43" t="s">
        <v>3940</v>
      </c>
      <c r="Y56" s="44" t="s">
        <v>3941</v>
      </c>
      <c r="Z56" s="43" t="s">
        <v>3940</v>
      </c>
      <c r="AA56" s="44" t="s">
        <v>3941</v>
      </c>
      <c r="AB56" s="43" t="s">
        <v>3940</v>
      </c>
      <c r="AC56" s="44" t="s">
        <v>3941</v>
      </c>
      <c r="AD56" s="43" t="s">
        <v>3940</v>
      </c>
      <c r="AE56" s="44" t="s">
        <v>3941</v>
      </c>
      <c r="AF56" s="43" t="s">
        <v>3940</v>
      </c>
      <c r="AG56" s="44" t="s">
        <v>3941</v>
      </c>
      <c r="AH56" s="43" t="s">
        <v>3940</v>
      </c>
      <c r="AI56" s="44" t="s">
        <v>3941</v>
      </c>
      <c r="AJ56" s="43" t="s">
        <v>3940</v>
      </c>
      <c r="AK56" s="44" t="s">
        <v>3941</v>
      </c>
      <c r="AL56" s="43" t="s">
        <v>3940</v>
      </c>
      <c r="AM56" s="44" t="s">
        <v>3941</v>
      </c>
      <c r="AN56" s="43" t="s">
        <v>3940</v>
      </c>
      <c r="AO56" s="44" t="s">
        <v>3941</v>
      </c>
      <c r="AP56" s="43" t="s">
        <v>3940</v>
      </c>
      <c r="AQ56" s="44" t="s">
        <v>3941</v>
      </c>
      <c r="AR56" s="43" t="s">
        <v>3940</v>
      </c>
      <c r="AS56" s="44" t="s">
        <v>3941</v>
      </c>
      <c r="AT56" s="43" t="s">
        <v>3940</v>
      </c>
      <c r="AU56" s="44" t="s">
        <v>3941</v>
      </c>
      <c r="AV56" s="43" t="s">
        <v>3940</v>
      </c>
      <c r="AW56" s="44" t="s">
        <v>3941</v>
      </c>
      <c r="AX56" s="43" t="s">
        <v>3940</v>
      </c>
      <c r="AY56" s="44" t="s">
        <v>3941</v>
      </c>
      <c r="AZ56" s="43" t="s">
        <v>3940</v>
      </c>
      <c r="BA56" s="44" t="s">
        <v>3941</v>
      </c>
      <c r="BB56" s="43" t="s">
        <v>3940</v>
      </c>
      <c r="BC56" s="44" t="s">
        <v>3941</v>
      </c>
      <c r="BD56" s="43" t="s">
        <v>3940</v>
      </c>
      <c r="BE56" s="44" t="s">
        <v>3941</v>
      </c>
      <c r="BF56" s="43" t="s">
        <v>3940</v>
      </c>
      <c r="BG56" s="44" t="s">
        <v>3941</v>
      </c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12" t="s">
        <v>3964</v>
      </c>
      <c r="CC56" s="12" t="s">
        <v>3943</v>
      </c>
      <c r="CD56" s="8"/>
    </row>
    <row r="57" spans="1:82" s="39" customFormat="1" ht="45.75" customHeight="1">
      <c r="A57" s="36" t="s">
        <v>3</v>
      </c>
      <c r="B57" s="37" t="s">
        <v>3969</v>
      </c>
      <c r="C57" s="6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 t="s">
        <v>4868</v>
      </c>
      <c r="AU57" s="37" t="s">
        <v>4868</v>
      </c>
      <c r="AV57" s="64" t="s">
        <v>4870</v>
      </c>
      <c r="AW57" s="64"/>
      <c r="AX57" s="37" t="s">
        <v>4869</v>
      </c>
      <c r="AY57" s="37"/>
      <c r="AZ57" s="37"/>
      <c r="BA57" s="37"/>
      <c r="BB57" s="37"/>
      <c r="BC57" s="37"/>
      <c r="BD57" s="37"/>
      <c r="BE57" s="37"/>
      <c r="BF57" s="37"/>
      <c r="BG57" s="37"/>
      <c r="BH57" s="37"/>
      <c r="BI57" s="37"/>
      <c r="BJ57" s="37"/>
      <c r="BK57" s="37"/>
      <c r="BL57" s="37"/>
      <c r="BM57" s="37"/>
      <c r="BN57" s="37"/>
      <c r="BO57" s="37"/>
      <c r="BP57" s="37"/>
      <c r="BQ57" s="37"/>
      <c r="BR57" s="37"/>
      <c r="BS57" s="37"/>
      <c r="BT57" s="37"/>
      <c r="BU57" s="37"/>
      <c r="BV57" s="37"/>
      <c r="BW57" s="37"/>
      <c r="BX57" s="37"/>
      <c r="BY57" s="37"/>
      <c r="BZ57" s="37"/>
      <c r="CA57" s="37"/>
      <c r="CB57" s="36">
        <f t="shared" ref="CB57:CB68" si="14">SUMIF($D$6:$BG$6,"Act",D57:BG57)</f>
        <v>0</v>
      </c>
      <c r="CC57" s="87">
        <f t="shared" ref="CC57:CC68" si="15">IFERROR(CB57/C57,0)</f>
        <v>0</v>
      </c>
    </row>
    <row r="58" spans="1:82" s="66" customFormat="1" ht="45.75" customHeight="1">
      <c r="A58" s="68" t="s">
        <v>2</v>
      </c>
      <c r="B58" s="68" t="s">
        <v>3987</v>
      </c>
      <c r="C58" s="90"/>
      <c r="D58" s="68"/>
      <c r="E58" s="68"/>
      <c r="F58" s="68"/>
      <c r="G58" s="68"/>
      <c r="H58" s="68"/>
      <c r="I58" s="68"/>
      <c r="J58" s="68"/>
      <c r="K58" s="68"/>
      <c r="L58" s="68"/>
      <c r="M58" s="68"/>
      <c r="N58" s="68"/>
      <c r="O58" s="68"/>
      <c r="P58" s="68"/>
      <c r="Q58" s="91"/>
      <c r="R58" s="92"/>
      <c r="S58" s="68"/>
      <c r="T58" s="68"/>
      <c r="U58" s="68"/>
      <c r="V58" s="68"/>
      <c r="W58" s="68"/>
      <c r="X58" s="68"/>
      <c r="Y58" s="68"/>
      <c r="Z58" s="68"/>
      <c r="AA58" s="68"/>
      <c r="AB58" s="68"/>
      <c r="AC58" s="68"/>
      <c r="AD58" s="68"/>
      <c r="AE58" s="68"/>
      <c r="AF58" s="68"/>
      <c r="AG58" s="68"/>
      <c r="AH58" s="68"/>
      <c r="AI58" s="68"/>
      <c r="AJ58" s="68"/>
      <c r="AK58" s="68"/>
      <c r="AL58" s="68"/>
      <c r="AM58" s="68"/>
      <c r="AN58" s="68"/>
      <c r="AO58" s="68"/>
      <c r="AP58" s="68"/>
      <c r="AQ58" s="68"/>
      <c r="AR58" s="68"/>
      <c r="AS58" s="68"/>
      <c r="AT58" s="68"/>
      <c r="AU58" s="68"/>
      <c r="AV58" s="68"/>
      <c r="AW58" s="68"/>
      <c r="AX58" s="68"/>
      <c r="AY58" s="68"/>
      <c r="AZ58" s="68"/>
      <c r="BA58" s="68"/>
      <c r="BB58" s="68"/>
      <c r="BC58" s="68"/>
      <c r="BD58" s="68"/>
      <c r="BE58" s="68"/>
      <c r="BF58" s="68"/>
      <c r="BG58" s="68"/>
      <c r="BH58" s="68"/>
      <c r="BI58" s="68"/>
      <c r="BJ58" s="68"/>
      <c r="BK58" s="68"/>
      <c r="BL58" s="68"/>
      <c r="BM58" s="68"/>
      <c r="BN58" s="68"/>
      <c r="BO58" s="68"/>
      <c r="BP58" s="68"/>
      <c r="BQ58" s="68"/>
      <c r="BR58" s="68"/>
      <c r="BS58" s="68"/>
      <c r="BT58" s="68"/>
      <c r="BU58" s="68"/>
      <c r="BV58" s="68"/>
      <c r="BW58" s="68"/>
      <c r="BX58" s="68"/>
      <c r="BY58" s="68"/>
      <c r="BZ58" s="68"/>
      <c r="CA58" s="68"/>
      <c r="CB58" s="64">
        <f t="shared" si="14"/>
        <v>0</v>
      </c>
      <c r="CC58" s="88">
        <f t="shared" si="15"/>
        <v>0</v>
      </c>
    </row>
    <row r="59" spans="1:82" s="66" customFormat="1" ht="45.75" customHeight="1">
      <c r="A59" s="64" t="s">
        <v>3934</v>
      </c>
      <c r="B59" s="64" t="s">
        <v>3989</v>
      </c>
      <c r="C59" s="90"/>
      <c r="D59" s="68"/>
      <c r="E59" s="68"/>
      <c r="F59" s="68"/>
      <c r="G59" s="68"/>
      <c r="H59" s="68"/>
      <c r="I59" s="68"/>
      <c r="J59" s="68"/>
      <c r="K59" s="68"/>
      <c r="L59" s="68"/>
      <c r="M59" s="68"/>
      <c r="N59" s="68"/>
      <c r="O59" s="68"/>
      <c r="P59" s="64"/>
      <c r="Q59" s="64"/>
      <c r="R59" s="93"/>
      <c r="S59" s="68"/>
      <c r="T59" s="68"/>
      <c r="U59" s="68"/>
      <c r="V59" s="68"/>
      <c r="W59" s="68"/>
      <c r="X59" s="68"/>
      <c r="Y59" s="68"/>
      <c r="Z59" s="68"/>
      <c r="AA59" s="68"/>
      <c r="AB59" s="68"/>
      <c r="AC59" s="68"/>
      <c r="AD59" s="68"/>
      <c r="AE59" s="68"/>
      <c r="AF59" s="68"/>
      <c r="AG59" s="68"/>
      <c r="AH59" s="68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68"/>
      <c r="BA59" s="68"/>
      <c r="BB59" s="68"/>
      <c r="BC59" s="68"/>
      <c r="BD59" s="68"/>
      <c r="BE59" s="68"/>
      <c r="BF59" s="68"/>
      <c r="BG59" s="68"/>
      <c r="BH59" s="68"/>
      <c r="BI59" s="68"/>
      <c r="BJ59" s="68"/>
      <c r="BK59" s="68"/>
      <c r="BL59" s="68"/>
      <c r="BM59" s="68"/>
      <c r="BN59" s="68"/>
      <c r="BO59" s="68"/>
      <c r="BP59" s="68"/>
      <c r="BQ59" s="68"/>
      <c r="BR59" s="68"/>
      <c r="BS59" s="68"/>
      <c r="BT59" s="68"/>
      <c r="BU59" s="68"/>
      <c r="BV59" s="68"/>
      <c r="BW59" s="68"/>
      <c r="BX59" s="68"/>
      <c r="BY59" s="68"/>
      <c r="BZ59" s="68"/>
      <c r="CA59" s="68"/>
      <c r="CB59" s="64">
        <f t="shared" si="14"/>
        <v>0</v>
      </c>
      <c r="CC59" s="88">
        <f t="shared" si="15"/>
        <v>0</v>
      </c>
    </row>
    <row r="60" spans="1:82" s="66" customFormat="1" ht="45.75" customHeight="1">
      <c r="A60" s="64" t="s">
        <v>3934</v>
      </c>
      <c r="B60" s="64" t="s">
        <v>3998</v>
      </c>
      <c r="C60" s="90"/>
      <c r="D60" s="68"/>
      <c r="E60" s="68"/>
      <c r="F60" s="68"/>
      <c r="G60" s="68"/>
      <c r="H60" s="68"/>
      <c r="I60" s="68"/>
      <c r="J60" s="68"/>
      <c r="K60" s="68"/>
      <c r="L60" s="68"/>
      <c r="M60" s="68"/>
      <c r="N60" s="68"/>
      <c r="O60" s="68"/>
      <c r="P60" s="64"/>
      <c r="Q60" s="64"/>
      <c r="R60" s="93"/>
      <c r="S60" s="68"/>
      <c r="T60" s="68"/>
      <c r="U60" s="68"/>
      <c r="V60" s="68"/>
      <c r="W60" s="68"/>
      <c r="X60" s="68"/>
      <c r="Y60" s="68"/>
      <c r="Z60" s="68"/>
      <c r="AA60" s="68"/>
      <c r="AB60" s="68"/>
      <c r="AC60" s="68"/>
      <c r="AD60" s="68"/>
      <c r="AE60" s="68"/>
      <c r="AF60" s="68"/>
      <c r="AG60" s="68"/>
      <c r="AH60" s="68"/>
      <c r="AI60" s="68"/>
      <c r="AJ60" s="68"/>
      <c r="AK60" s="68"/>
      <c r="AL60" s="68"/>
      <c r="AM60" s="68"/>
      <c r="AN60" s="68"/>
      <c r="AO60" s="68"/>
      <c r="AP60" s="68"/>
      <c r="AQ60" s="68"/>
      <c r="AR60" s="68"/>
      <c r="AS60" s="68"/>
      <c r="AT60" s="68"/>
      <c r="AU60" s="68"/>
      <c r="AV60" s="68"/>
      <c r="AW60" s="68"/>
      <c r="AX60" s="68"/>
      <c r="AY60" s="68"/>
      <c r="AZ60" s="68"/>
      <c r="BA60" s="68"/>
      <c r="BB60" s="68"/>
      <c r="BC60" s="68"/>
      <c r="BD60" s="68"/>
      <c r="BE60" s="68"/>
      <c r="BF60" s="68"/>
      <c r="BG60" s="68"/>
      <c r="BH60" s="68"/>
      <c r="BI60" s="68"/>
      <c r="BJ60" s="68"/>
      <c r="BK60" s="68"/>
      <c r="BL60" s="68"/>
      <c r="BM60" s="68"/>
      <c r="BN60" s="68"/>
      <c r="BO60" s="68"/>
      <c r="BP60" s="68"/>
      <c r="BQ60" s="68"/>
      <c r="BR60" s="68"/>
      <c r="BS60" s="68"/>
      <c r="BT60" s="68"/>
      <c r="BU60" s="68"/>
      <c r="BV60" s="68"/>
      <c r="BW60" s="68"/>
      <c r="BX60" s="68"/>
      <c r="BY60" s="68"/>
      <c r="BZ60" s="68"/>
      <c r="CA60" s="68"/>
      <c r="CB60" s="64">
        <f t="shared" si="14"/>
        <v>0</v>
      </c>
      <c r="CC60" s="88">
        <f t="shared" si="15"/>
        <v>0</v>
      </c>
    </row>
    <row r="61" spans="1:82" s="39" customFormat="1" ht="45.75" customHeight="1">
      <c r="A61" s="68" t="s">
        <v>3</v>
      </c>
      <c r="B61" s="68" t="s">
        <v>4002</v>
      </c>
      <c r="C61" s="90"/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68"/>
      <c r="O61" s="68"/>
      <c r="P61" s="68"/>
      <c r="Q61" s="68"/>
      <c r="R61" s="68"/>
      <c r="S61" s="68"/>
      <c r="T61" s="96"/>
      <c r="U61" s="96"/>
      <c r="V61" s="68"/>
      <c r="W61" s="68"/>
      <c r="X61" s="68"/>
      <c r="Y61" s="68"/>
      <c r="Z61" s="68"/>
      <c r="AA61" s="68"/>
      <c r="AB61" s="68"/>
      <c r="AC61" s="68"/>
      <c r="AD61" s="68"/>
      <c r="AE61" s="68"/>
      <c r="AF61" s="68"/>
      <c r="AG61" s="68"/>
      <c r="AH61" s="68"/>
      <c r="AI61" s="68"/>
      <c r="AJ61" s="68"/>
      <c r="AK61" s="68"/>
      <c r="AL61" s="68"/>
      <c r="AM61" s="68"/>
      <c r="AN61" s="68"/>
      <c r="AO61" s="68"/>
      <c r="AP61" s="68"/>
      <c r="AQ61" s="68"/>
      <c r="AR61" s="68"/>
      <c r="AS61" s="68"/>
      <c r="AT61" s="68"/>
      <c r="AU61" s="68"/>
      <c r="AV61" s="68"/>
      <c r="AW61" s="68"/>
      <c r="AX61" s="68"/>
      <c r="AY61" s="68"/>
      <c r="AZ61" s="68"/>
      <c r="BA61" s="68"/>
      <c r="BB61" s="68"/>
      <c r="BC61" s="68"/>
      <c r="BD61" s="68"/>
      <c r="BE61" s="68"/>
      <c r="BF61" s="68"/>
      <c r="BG61" s="68"/>
      <c r="BH61" s="68"/>
      <c r="BI61" s="68"/>
      <c r="BJ61" s="68"/>
      <c r="BK61" s="68"/>
      <c r="BL61" s="68"/>
      <c r="BM61" s="68"/>
      <c r="BN61" s="68"/>
      <c r="BO61" s="68"/>
      <c r="BP61" s="68"/>
      <c r="BQ61" s="68"/>
      <c r="BR61" s="68"/>
      <c r="BS61" s="68"/>
      <c r="BT61" s="68"/>
      <c r="BU61" s="68"/>
      <c r="BV61" s="68"/>
      <c r="BW61" s="68"/>
      <c r="BX61" s="68"/>
      <c r="BY61" s="68"/>
      <c r="BZ61" s="68"/>
      <c r="CA61" s="68"/>
      <c r="CB61" s="64">
        <f t="shared" si="14"/>
        <v>0</v>
      </c>
      <c r="CC61" s="63">
        <f t="shared" si="15"/>
        <v>0</v>
      </c>
      <c r="CD61" s="66"/>
    </row>
    <row r="62" spans="1:82" s="39" customFormat="1" ht="45.75" customHeight="1">
      <c r="A62" s="68" t="s">
        <v>4</v>
      </c>
      <c r="B62" s="68" t="s">
        <v>3984</v>
      </c>
      <c r="C62" s="90"/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68"/>
      <c r="O62" s="68"/>
      <c r="P62" s="68"/>
      <c r="Q62" s="68"/>
      <c r="R62" s="68"/>
      <c r="S62" s="68"/>
      <c r="T62" s="68"/>
      <c r="U62" s="68"/>
      <c r="V62" s="68"/>
      <c r="W62" s="68"/>
      <c r="X62" s="68"/>
      <c r="Y62" s="68"/>
      <c r="Z62" s="68"/>
      <c r="AA62" s="68"/>
      <c r="AB62" s="68"/>
      <c r="AC62" s="68"/>
      <c r="AD62" s="68"/>
      <c r="AE62" s="68"/>
      <c r="AF62" s="68"/>
      <c r="AG62" s="68"/>
      <c r="AH62" s="68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68"/>
      <c r="BA62" s="68"/>
      <c r="BB62" s="68"/>
      <c r="BC62" s="68"/>
      <c r="BD62" s="68"/>
      <c r="BE62" s="68"/>
      <c r="BF62" s="68"/>
      <c r="BG62" s="68"/>
      <c r="BH62" s="68"/>
      <c r="BI62" s="68"/>
      <c r="BJ62" s="68"/>
      <c r="BK62" s="68"/>
      <c r="BL62" s="68"/>
      <c r="BM62" s="68"/>
      <c r="BN62" s="68"/>
      <c r="BO62" s="68"/>
      <c r="BP62" s="68"/>
      <c r="BQ62" s="68"/>
      <c r="BR62" s="68"/>
      <c r="BS62" s="68"/>
      <c r="BT62" s="68"/>
      <c r="BU62" s="68"/>
      <c r="BV62" s="68"/>
      <c r="BW62" s="68"/>
      <c r="BX62" s="68"/>
      <c r="BY62" s="68"/>
      <c r="BZ62" s="68"/>
      <c r="CA62" s="68"/>
      <c r="CB62" s="64">
        <f t="shared" si="14"/>
        <v>0</v>
      </c>
      <c r="CC62" s="63">
        <f t="shared" si="15"/>
        <v>0</v>
      </c>
      <c r="CD62" s="66"/>
    </row>
    <row r="63" spans="1:82" s="39" customFormat="1" ht="45.75" customHeight="1">
      <c r="A63" s="68" t="s">
        <v>4</v>
      </c>
      <c r="B63" s="68" t="s">
        <v>4004</v>
      </c>
      <c r="C63" s="106"/>
      <c r="D63" s="68"/>
      <c r="E63" s="68"/>
      <c r="F63" s="68"/>
      <c r="G63" s="68"/>
      <c r="H63" s="68"/>
      <c r="I63" s="68"/>
      <c r="J63" s="68"/>
      <c r="K63" s="68"/>
      <c r="L63" s="68"/>
      <c r="M63" s="68"/>
      <c r="N63" s="68"/>
      <c r="O63" s="68"/>
      <c r="P63" s="68"/>
      <c r="Q63" s="68"/>
      <c r="R63" s="68"/>
      <c r="S63" s="68"/>
      <c r="T63" s="68"/>
      <c r="U63" s="68"/>
      <c r="V63" s="68"/>
      <c r="W63" s="68"/>
      <c r="X63" s="68"/>
      <c r="Y63" s="68"/>
      <c r="Z63" s="68"/>
      <c r="AA63" s="68"/>
      <c r="AB63" s="68"/>
      <c r="AC63" s="68"/>
      <c r="AD63" s="107"/>
      <c r="AE63" s="107"/>
      <c r="AF63" s="107"/>
      <c r="AG63" s="107"/>
      <c r="AH63" s="68"/>
      <c r="AI63" s="68"/>
      <c r="AJ63" s="68"/>
      <c r="AK63" s="68"/>
      <c r="AL63" s="68"/>
      <c r="AM63" s="68"/>
      <c r="AN63" s="68"/>
      <c r="AO63" s="68"/>
      <c r="AP63" s="68"/>
      <c r="AQ63" s="68"/>
      <c r="AR63" s="68"/>
      <c r="AS63" s="68"/>
      <c r="AT63" s="68"/>
      <c r="AU63" s="68"/>
      <c r="AV63" s="68"/>
      <c r="AW63" s="68"/>
      <c r="AX63" s="68"/>
      <c r="AY63" s="68"/>
      <c r="AZ63" s="68"/>
      <c r="BA63" s="68"/>
      <c r="BB63" s="68"/>
      <c r="BC63" s="68"/>
      <c r="BD63" s="68"/>
      <c r="BE63" s="68"/>
      <c r="BF63" s="68"/>
      <c r="BG63" s="68"/>
      <c r="BH63" s="68"/>
      <c r="BI63" s="68"/>
      <c r="BJ63" s="68"/>
      <c r="BK63" s="68"/>
      <c r="BL63" s="68"/>
      <c r="BM63" s="68"/>
      <c r="BN63" s="68"/>
      <c r="BO63" s="68"/>
      <c r="BP63" s="68"/>
      <c r="BQ63" s="68"/>
      <c r="BR63" s="68"/>
      <c r="BS63" s="68"/>
      <c r="BT63" s="68"/>
      <c r="BU63" s="68"/>
      <c r="BV63" s="68"/>
      <c r="BW63" s="68"/>
      <c r="BX63" s="68"/>
      <c r="BY63" s="68"/>
      <c r="BZ63" s="68"/>
      <c r="CA63" s="68"/>
      <c r="CB63" s="64">
        <f t="shared" si="14"/>
        <v>0</v>
      </c>
      <c r="CC63" s="63">
        <f t="shared" si="15"/>
        <v>0</v>
      </c>
      <c r="CD63" s="66"/>
    </row>
    <row r="64" spans="1:82" s="39" customFormat="1" ht="45.75" customHeight="1">
      <c r="A64" s="68" t="s">
        <v>4</v>
      </c>
      <c r="B64" s="68" t="s">
        <v>4007</v>
      </c>
      <c r="C64" s="106"/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8"/>
      <c r="Q64" s="68"/>
      <c r="R64" s="68"/>
      <c r="S64" s="68"/>
      <c r="T64" s="68"/>
      <c r="U64" s="68"/>
      <c r="V64" s="68"/>
      <c r="W64" s="68"/>
      <c r="X64" s="68"/>
      <c r="Y64" s="68"/>
      <c r="Z64" s="68"/>
      <c r="AA64" s="68"/>
      <c r="AB64" s="68"/>
      <c r="AC64" s="68"/>
      <c r="AD64" s="107"/>
      <c r="AE64" s="107"/>
      <c r="AF64" s="107"/>
      <c r="AG64" s="107"/>
      <c r="AH64" s="107"/>
      <c r="AI64" s="107"/>
      <c r="AJ64" s="68"/>
      <c r="AK64" s="68"/>
      <c r="AL64" s="68"/>
      <c r="AM64" s="68"/>
      <c r="AN64" s="68"/>
      <c r="AO64" s="68"/>
      <c r="AP64" s="68"/>
      <c r="AQ64" s="68"/>
      <c r="AR64" s="68"/>
      <c r="AS64" s="68"/>
      <c r="AT64" s="68"/>
      <c r="AU64" s="68"/>
      <c r="AV64" s="68"/>
      <c r="AW64" s="68"/>
      <c r="AX64" s="68"/>
      <c r="AY64" s="68"/>
      <c r="AZ64" s="68"/>
      <c r="BA64" s="68"/>
      <c r="BB64" s="68"/>
      <c r="BC64" s="68"/>
      <c r="BD64" s="68"/>
      <c r="BE64" s="68"/>
      <c r="BF64" s="68"/>
      <c r="BG64" s="68"/>
      <c r="BH64" s="68"/>
      <c r="BI64" s="68"/>
      <c r="BJ64" s="68"/>
      <c r="BK64" s="68"/>
      <c r="BL64" s="68"/>
      <c r="BM64" s="68"/>
      <c r="BN64" s="68"/>
      <c r="BO64" s="68"/>
      <c r="BP64" s="68"/>
      <c r="BQ64" s="68"/>
      <c r="BR64" s="68"/>
      <c r="BS64" s="68"/>
      <c r="BT64" s="68"/>
      <c r="BU64" s="68"/>
      <c r="BV64" s="68"/>
      <c r="BW64" s="68"/>
      <c r="BX64" s="68"/>
      <c r="BY64" s="68"/>
      <c r="BZ64" s="68"/>
      <c r="CA64" s="68"/>
      <c r="CB64" s="64">
        <f t="shared" si="14"/>
        <v>0</v>
      </c>
      <c r="CC64" s="63">
        <f t="shared" si="15"/>
        <v>0</v>
      </c>
      <c r="CD64" s="66"/>
    </row>
    <row r="65" spans="1:82" s="39" customFormat="1" ht="45.75" customHeight="1">
      <c r="A65" s="68" t="s">
        <v>4</v>
      </c>
      <c r="B65" s="68" t="s">
        <v>4012</v>
      </c>
      <c r="C65" s="106"/>
      <c r="D65" s="68"/>
      <c r="E65" s="68"/>
      <c r="F65" s="68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68"/>
      <c r="R65" s="68"/>
      <c r="S65" s="68"/>
      <c r="T65" s="68"/>
      <c r="U65" s="68"/>
      <c r="V65" s="68"/>
      <c r="W65" s="68"/>
      <c r="X65" s="68"/>
      <c r="Y65" s="68"/>
      <c r="Z65" s="68"/>
      <c r="AA65" s="68"/>
      <c r="AB65" s="68"/>
      <c r="AC65" s="68"/>
      <c r="AD65" s="107"/>
      <c r="AE65" s="107"/>
      <c r="AF65" s="107"/>
      <c r="AG65" s="107"/>
      <c r="AH65" s="107"/>
      <c r="AI65" s="107"/>
      <c r="AJ65" s="107"/>
      <c r="AK65" s="107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68"/>
      <c r="BA65" s="68"/>
      <c r="BB65" s="68"/>
      <c r="BC65" s="68"/>
      <c r="BD65" s="68"/>
      <c r="BE65" s="68"/>
      <c r="BF65" s="68"/>
      <c r="BG65" s="68"/>
      <c r="BH65" s="68"/>
      <c r="BI65" s="68"/>
      <c r="BJ65" s="68"/>
      <c r="BK65" s="68"/>
      <c r="BL65" s="68"/>
      <c r="BM65" s="68"/>
      <c r="BN65" s="68"/>
      <c r="BO65" s="68"/>
      <c r="BP65" s="68"/>
      <c r="BQ65" s="68"/>
      <c r="BR65" s="68"/>
      <c r="BS65" s="68"/>
      <c r="BT65" s="68"/>
      <c r="BU65" s="68"/>
      <c r="BV65" s="68"/>
      <c r="BW65" s="68"/>
      <c r="BX65" s="68"/>
      <c r="BY65" s="68"/>
      <c r="BZ65" s="68"/>
      <c r="CA65" s="68"/>
      <c r="CB65" s="64">
        <f t="shared" si="14"/>
        <v>0</v>
      </c>
      <c r="CC65" s="63">
        <f t="shared" si="15"/>
        <v>0</v>
      </c>
      <c r="CD65" s="66"/>
    </row>
    <row r="66" spans="1:82" s="39" customFormat="1" ht="45.75" customHeight="1">
      <c r="A66" s="68" t="s">
        <v>3937</v>
      </c>
      <c r="B66" s="68" t="s">
        <v>3988</v>
      </c>
      <c r="C66" s="90"/>
      <c r="D66" s="68"/>
      <c r="E66" s="68"/>
      <c r="F66" s="68"/>
      <c r="G66" s="68"/>
      <c r="H66" s="68"/>
      <c r="I66" s="68"/>
      <c r="J66" s="68"/>
      <c r="K66" s="68"/>
      <c r="L66" s="68"/>
      <c r="M66" s="68"/>
      <c r="N66" s="68"/>
      <c r="O66" s="68"/>
      <c r="P66" s="68"/>
      <c r="Q66" s="68"/>
      <c r="R66" s="68"/>
      <c r="S66" s="68"/>
      <c r="T66" s="68"/>
      <c r="U66" s="68"/>
      <c r="V66" s="68"/>
      <c r="W66" s="68"/>
      <c r="X66" s="68"/>
      <c r="Y66" s="68"/>
      <c r="Z66" s="68"/>
      <c r="AA66" s="68"/>
      <c r="AB66" s="68"/>
      <c r="AC66" s="68"/>
      <c r="AD66" s="68"/>
      <c r="AE66" s="68"/>
      <c r="AF66" s="68"/>
      <c r="AG66" s="68"/>
      <c r="AH66" s="68"/>
      <c r="AI66" s="68"/>
      <c r="AJ66" s="68"/>
      <c r="AK66" s="68"/>
      <c r="AL66" s="68"/>
      <c r="AM66" s="68"/>
      <c r="AN66" s="68"/>
      <c r="AO66" s="68"/>
      <c r="AP66" s="68"/>
      <c r="AQ66" s="68"/>
      <c r="AR66" s="68"/>
      <c r="AS66" s="68"/>
      <c r="AT66" s="68"/>
      <c r="AU66" s="68"/>
      <c r="AV66" s="68"/>
      <c r="AW66" s="68"/>
      <c r="AX66" s="68"/>
      <c r="AY66" s="68"/>
      <c r="AZ66" s="68"/>
      <c r="BA66" s="68"/>
      <c r="BB66" s="68"/>
      <c r="BC66" s="68"/>
      <c r="BD66" s="68"/>
      <c r="BE66" s="68"/>
      <c r="BF66" s="68"/>
      <c r="BG66" s="68"/>
      <c r="BH66" s="68"/>
      <c r="BI66" s="68"/>
      <c r="BJ66" s="68"/>
      <c r="BK66" s="68"/>
      <c r="BL66" s="68"/>
      <c r="BM66" s="68"/>
      <c r="BN66" s="68"/>
      <c r="BO66" s="68"/>
      <c r="BP66" s="68"/>
      <c r="BQ66" s="68"/>
      <c r="BR66" s="68"/>
      <c r="BS66" s="68"/>
      <c r="BT66" s="68"/>
      <c r="BU66" s="68"/>
      <c r="BV66" s="68"/>
      <c r="BW66" s="68"/>
      <c r="BX66" s="68"/>
      <c r="BY66" s="68"/>
      <c r="BZ66" s="68"/>
      <c r="CA66" s="68"/>
      <c r="CB66" s="64">
        <f t="shared" si="14"/>
        <v>0</v>
      </c>
      <c r="CC66" s="89">
        <f t="shared" si="15"/>
        <v>0</v>
      </c>
      <c r="CD66" s="66"/>
    </row>
    <row r="67" spans="1:82" s="39" customFormat="1" ht="45.75" customHeight="1">
      <c r="A67" s="68" t="s">
        <v>3937</v>
      </c>
      <c r="B67" s="68" t="s">
        <v>3983</v>
      </c>
      <c r="C67" s="90"/>
      <c r="D67" s="68"/>
      <c r="E67" s="68"/>
      <c r="F67" s="68"/>
      <c r="G67" s="68"/>
      <c r="H67" s="68"/>
      <c r="I67" s="68"/>
      <c r="J67" s="68"/>
      <c r="K67" s="68"/>
      <c r="L67" s="68"/>
      <c r="M67" s="68"/>
      <c r="N67" s="68"/>
      <c r="O67" s="68"/>
      <c r="P67" s="68"/>
      <c r="Q67" s="68"/>
      <c r="R67" s="68"/>
      <c r="S67" s="68"/>
      <c r="T67" s="68"/>
      <c r="U67" s="68"/>
      <c r="V67" s="68"/>
      <c r="W67" s="68"/>
      <c r="X67" s="68"/>
      <c r="Y67" s="68"/>
      <c r="Z67" s="68"/>
      <c r="AA67" s="68"/>
      <c r="AB67" s="68"/>
      <c r="AC67" s="68"/>
      <c r="AD67" s="68"/>
      <c r="AE67" s="68"/>
      <c r="AF67" s="68"/>
      <c r="AG67" s="68"/>
      <c r="AH67" s="68"/>
      <c r="AI67" s="68"/>
      <c r="AJ67" s="68"/>
      <c r="AK67" s="68"/>
      <c r="AL67" s="68"/>
      <c r="AM67" s="68"/>
      <c r="AN67" s="68"/>
      <c r="AO67" s="68"/>
      <c r="AP67" s="68"/>
      <c r="AQ67" s="68"/>
      <c r="AR67" s="68"/>
      <c r="AS67" s="68"/>
      <c r="AT67" s="68"/>
      <c r="AU67" s="68"/>
      <c r="AV67" s="68"/>
      <c r="AW67" s="68"/>
      <c r="AX67" s="68"/>
      <c r="AY67" s="68"/>
      <c r="AZ67" s="68"/>
      <c r="BA67" s="68"/>
      <c r="BB67" s="68"/>
      <c r="BC67" s="68"/>
      <c r="BD67" s="68"/>
      <c r="BE67" s="68"/>
      <c r="BF67" s="68"/>
      <c r="BG67" s="68"/>
      <c r="BH67" s="68"/>
      <c r="BI67" s="68"/>
      <c r="BJ67" s="68"/>
      <c r="BK67" s="68"/>
      <c r="BL67" s="68"/>
      <c r="BM67" s="68"/>
      <c r="BN67" s="68"/>
      <c r="BO67" s="68"/>
      <c r="BP67" s="68"/>
      <c r="BQ67" s="68"/>
      <c r="BR67" s="68"/>
      <c r="BS67" s="68"/>
      <c r="BT67" s="68"/>
      <c r="BU67" s="68"/>
      <c r="BV67" s="68"/>
      <c r="BW67" s="68"/>
      <c r="BX67" s="68"/>
      <c r="BY67" s="68"/>
      <c r="BZ67" s="68"/>
      <c r="CA67" s="68"/>
      <c r="CB67" s="64">
        <f t="shared" si="14"/>
        <v>0</v>
      </c>
      <c r="CC67" s="89">
        <f t="shared" si="15"/>
        <v>0</v>
      </c>
      <c r="CD67" s="66"/>
    </row>
    <row r="68" spans="1:82" s="39" customFormat="1" ht="45.75" customHeight="1">
      <c r="A68" s="68" t="s">
        <v>4</v>
      </c>
      <c r="B68" s="68" t="s">
        <v>3983</v>
      </c>
      <c r="C68" s="90"/>
      <c r="D68" s="68"/>
      <c r="E68" s="68"/>
      <c r="F68" s="68"/>
      <c r="G68" s="68"/>
      <c r="H68" s="68"/>
      <c r="I68" s="68"/>
      <c r="J68" s="68"/>
      <c r="K68" s="68"/>
      <c r="L68" s="68"/>
      <c r="M68" s="68"/>
      <c r="N68" s="68"/>
      <c r="O68" s="68"/>
      <c r="P68" s="68"/>
      <c r="Q68" s="68"/>
      <c r="R68" s="68"/>
      <c r="S68" s="68"/>
      <c r="T68" s="68"/>
      <c r="U68" s="68"/>
      <c r="V68" s="68"/>
      <c r="W68" s="68"/>
      <c r="X68" s="68"/>
      <c r="Y68" s="68"/>
      <c r="Z68" s="68"/>
      <c r="AA68" s="68"/>
      <c r="AB68" s="68"/>
      <c r="AC68" s="68"/>
      <c r="AD68" s="68"/>
      <c r="AE68" s="68"/>
      <c r="AF68" s="68"/>
      <c r="AG68" s="68"/>
      <c r="AH68" s="68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68"/>
      <c r="BA68" s="68"/>
      <c r="BB68" s="68"/>
      <c r="BC68" s="68"/>
      <c r="BD68" s="68"/>
      <c r="BE68" s="68"/>
      <c r="BF68" s="68"/>
      <c r="BG68" s="68"/>
      <c r="BH68" s="68"/>
      <c r="BI68" s="68"/>
      <c r="BJ68" s="68"/>
      <c r="BK68" s="68"/>
      <c r="BL68" s="68"/>
      <c r="BM68" s="68"/>
      <c r="BN68" s="68"/>
      <c r="BO68" s="68"/>
      <c r="BP68" s="68"/>
      <c r="BQ68" s="68"/>
      <c r="BR68" s="68"/>
      <c r="BS68" s="68"/>
      <c r="BT68" s="68"/>
      <c r="BU68" s="68"/>
      <c r="BV68" s="68"/>
      <c r="BW68" s="68"/>
      <c r="BX68" s="68"/>
      <c r="BY68" s="68"/>
      <c r="BZ68" s="68"/>
      <c r="CA68" s="68"/>
      <c r="CB68" s="64">
        <f t="shared" si="14"/>
        <v>0</v>
      </c>
      <c r="CC68" s="89">
        <f t="shared" si="15"/>
        <v>0</v>
      </c>
      <c r="CD68" s="66"/>
    </row>
    <row r="69" spans="1:82" s="42" customFormat="1" ht="17.25" customHeight="1">
      <c r="A69" s="40" t="s">
        <v>3942</v>
      </c>
      <c r="B69" s="41"/>
      <c r="C69" s="40"/>
      <c r="D69" s="49">
        <f t="shared" ref="D69:S69" si="16">+SUBTOTAL(9,D57:D68)</f>
        <v>0</v>
      </c>
      <c r="E69" s="50">
        <f t="shared" si="16"/>
        <v>0</v>
      </c>
      <c r="F69" s="49">
        <f t="shared" si="16"/>
        <v>0</v>
      </c>
      <c r="G69" s="50">
        <f t="shared" si="16"/>
        <v>0</v>
      </c>
      <c r="H69" s="49">
        <f t="shared" si="16"/>
        <v>0</v>
      </c>
      <c r="I69" s="50">
        <f t="shared" si="16"/>
        <v>0</v>
      </c>
      <c r="J69" s="49">
        <f t="shared" si="16"/>
        <v>0</v>
      </c>
      <c r="K69" s="50">
        <f t="shared" si="16"/>
        <v>0</v>
      </c>
      <c r="L69" s="49">
        <f t="shared" si="16"/>
        <v>0</v>
      </c>
      <c r="M69" s="50">
        <f t="shared" si="16"/>
        <v>0</v>
      </c>
      <c r="N69" s="49">
        <f t="shared" si="16"/>
        <v>0</v>
      </c>
      <c r="O69" s="50">
        <f t="shared" si="16"/>
        <v>0</v>
      </c>
      <c r="P69" s="49">
        <f t="shared" si="16"/>
        <v>0</v>
      </c>
      <c r="Q69" s="50">
        <f t="shared" si="16"/>
        <v>0</v>
      </c>
      <c r="R69" s="49">
        <f t="shared" si="16"/>
        <v>0</v>
      </c>
      <c r="S69" s="50">
        <f t="shared" si="16"/>
        <v>0</v>
      </c>
      <c r="T69" s="49">
        <f t="shared" ref="T69:AY69" si="17">+SUBTOTAL(9,T57:T68)</f>
        <v>0</v>
      </c>
      <c r="U69" s="50">
        <f t="shared" si="17"/>
        <v>0</v>
      </c>
      <c r="V69" s="49">
        <f t="shared" si="17"/>
        <v>0</v>
      </c>
      <c r="W69" s="50">
        <f t="shared" si="17"/>
        <v>0</v>
      </c>
      <c r="X69" s="49">
        <f t="shared" si="17"/>
        <v>0</v>
      </c>
      <c r="Y69" s="50">
        <f t="shared" si="17"/>
        <v>0</v>
      </c>
      <c r="Z69" s="49">
        <f t="shared" si="17"/>
        <v>0</v>
      </c>
      <c r="AA69" s="50">
        <f t="shared" si="17"/>
        <v>0</v>
      </c>
      <c r="AB69" s="49">
        <f t="shared" si="17"/>
        <v>0</v>
      </c>
      <c r="AC69" s="50">
        <f t="shared" si="17"/>
        <v>0</v>
      </c>
      <c r="AD69" s="49">
        <f t="shared" si="17"/>
        <v>0</v>
      </c>
      <c r="AE69" s="50">
        <f t="shared" si="17"/>
        <v>0</v>
      </c>
      <c r="AF69" s="49">
        <f t="shared" si="17"/>
        <v>0</v>
      </c>
      <c r="AG69" s="50">
        <f t="shared" si="17"/>
        <v>0</v>
      </c>
      <c r="AH69" s="49">
        <f t="shared" si="17"/>
        <v>0</v>
      </c>
      <c r="AI69" s="50">
        <f t="shared" si="17"/>
        <v>0</v>
      </c>
      <c r="AJ69" s="49">
        <f t="shared" si="17"/>
        <v>0</v>
      </c>
      <c r="AK69" s="50">
        <f t="shared" si="17"/>
        <v>0</v>
      </c>
      <c r="AL69" s="49">
        <f t="shared" si="17"/>
        <v>0</v>
      </c>
      <c r="AM69" s="50">
        <f t="shared" si="17"/>
        <v>0</v>
      </c>
      <c r="AN69" s="49">
        <f t="shared" si="17"/>
        <v>0</v>
      </c>
      <c r="AO69" s="50">
        <f t="shared" si="17"/>
        <v>0</v>
      </c>
      <c r="AP69" s="49">
        <f t="shared" si="17"/>
        <v>0</v>
      </c>
      <c r="AQ69" s="50">
        <f t="shared" si="17"/>
        <v>0</v>
      </c>
      <c r="AR69" s="49">
        <f t="shared" si="17"/>
        <v>0</v>
      </c>
      <c r="AS69" s="50">
        <f t="shared" si="17"/>
        <v>0</v>
      </c>
      <c r="AT69" s="49">
        <f t="shared" si="17"/>
        <v>0</v>
      </c>
      <c r="AU69" s="50">
        <f t="shared" si="17"/>
        <v>0</v>
      </c>
      <c r="AV69" s="49">
        <f t="shared" si="17"/>
        <v>0</v>
      </c>
      <c r="AW69" s="50">
        <f t="shared" si="17"/>
        <v>0</v>
      </c>
      <c r="AX69" s="49">
        <f t="shared" si="17"/>
        <v>0</v>
      </c>
      <c r="AY69" s="50">
        <f t="shared" si="17"/>
        <v>0</v>
      </c>
      <c r="AZ69" s="49">
        <f t="shared" ref="AZ69:BG69" si="18">+SUBTOTAL(9,AZ57:AZ68)</f>
        <v>0</v>
      </c>
      <c r="BA69" s="50">
        <f t="shared" si="18"/>
        <v>0</v>
      </c>
      <c r="BB69" s="49">
        <f t="shared" si="18"/>
        <v>0</v>
      </c>
      <c r="BC69" s="50">
        <f t="shared" si="18"/>
        <v>0</v>
      </c>
      <c r="BD69" s="49">
        <f t="shared" si="18"/>
        <v>0</v>
      </c>
      <c r="BE69" s="50">
        <f t="shared" si="18"/>
        <v>0</v>
      </c>
      <c r="BF69" s="49">
        <f t="shared" si="18"/>
        <v>0</v>
      </c>
      <c r="BG69" s="50">
        <f t="shared" si="18"/>
        <v>0</v>
      </c>
      <c r="BH69" s="191"/>
      <c r="BI69" s="191"/>
      <c r="BJ69" s="191"/>
      <c r="BK69" s="191"/>
      <c r="BL69" s="191"/>
      <c r="BM69" s="191"/>
      <c r="BN69" s="191"/>
      <c r="BO69" s="191"/>
      <c r="BP69" s="191"/>
      <c r="BQ69" s="191"/>
      <c r="BR69" s="191"/>
      <c r="BS69" s="191"/>
      <c r="BT69" s="191"/>
      <c r="BU69" s="191"/>
      <c r="BV69" s="191"/>
      <c r="BW69" s="191"/>
      <c r="BX69" s="191"/>
      <c r="BY69" s="191"/>
      <c r="BZ69" s="191"/>
      <c r="CA69" s="191"/>
      <c r="CB69" s="40">
        <f>+SUBTOTAL(9,CB57:CB68)</f>
        <v>0</v>
      </c>
      <c r="CC69" s="59">
        <f>+SUBTOTAL(9,CC57:CC68)</f>
        <v>0</v>
      </c>
    </row>
    <row r="73" spans="1:82" ht="17.25" customHeight="1">
      <c r="A73" s="5" t="s">
        <v>3959</v>
      </c>
      <c r="B73" s="5"/>
    </row>
    <row r="74" spans="1:82" ht="17.25" customHeight="1">
      <c r="A74" s="5"/>
      <c r="B74" s="5"/>
    </row>
    <row r="75" spans="1:82" s="9" customFormat="1" ht="17.25" customHeight="1">
      <c r="A75" s="6" t="s">
        <v>3956</v>
      </c>
      <c r="B75" s="6" t="s">
        <v>3958</v>
      </c>
      <c r="C75" s="6" t="s">
        <v>3949</v>
      </c>
      <c r="D75" s="60">
        <f>D$5</f>
        <v>43231</v>
      </c>
      <c r="E75" s="61"/>
      <c r="F75" s="60">
        <f>F$5</f>
        <v>43232</v>
      </c>
      <c r="G75" s="61"/>
      <c r="H75" s="60">
        <f>H$5</f>
        <v>43233</v>
      </c>
      <c r="I75" s="61"/>
      <c r="J75" s="60">
        <f>J$5</f>
        <v>43234</v>
      </c>
      <c r="K75" s="61"/>
      <c r="L75" s="60">
        <f>L$5</f>
        <v>43235</v>
      </c>
      <c r="M75" s="61"/>
      <c r="N75" s="60">
        <f>N$5</f>
        <v>43236</v>
      </c>
      <c r="O75" s="61"/>
      <c r="P75" s="60">
        <f>P$5</f>
        <v>43237</v>
      </c>
      <c r="Q75" s="61"/>
      <c r="R75" s="60">
        <f>R$5</f>
        <v>43238</v>
      </c>
      <c r="S75" s="61"/>
      <c r="T75" s="60">
        <f>T$5</f>
        <v>43239</v>
      </c>
      <c r="U75" s="61"/>
      <c r="V75" s="60">
        <f>V$5</f>
        <v>43240</v>
      </c>
      <c r="W75" s="61"/>
      <c r="X75" s="60">
        <f>X$5</f>
        <v>43241</v>
      </c>
      <c r="Y75" s="61"/>
      <c r="Z75" s="60">
        <f>Z$5</f>
        <v>43242</v>
      </c>
      <c r="AA75" s="61"/>
      <c r="AB75" s="60">
        <f>AB$5</f>
        <v>43243</v>
      </c>
      <c r="AC75" s="61"/>
      <c r="AD75" s="60">
        <f>AD$5</f>
        <v>43244</v>
      </c>
      <c r="AE75" s="61"/>
      <c r="AF75" s="60">
        <f>AF$5</f>
        <v>43245</v>
      </c>
      <c r="AG75" s="61"/>
      <c r="AH75" s="60">
        <f>AH$5</f>
        <v>43246</v>
      </c>
      <c r="AI75" s="61"/>
      <c r="AJ75" s="60">
        <f>AJ$5</f>
        <v>43247</v>
      </c>
      <c r="AK75" s="61"/>
      <c r="AL75" s="60">
        <f>AL$5</f>
        <v>43248</v>
      </c>
      <c r="AM75" s="61"/>
      <c r="AN75" s="60">
        <f>AN$5</f>
        <v>43249</v>
      </c>
      <c r="AO75" s="61"/>
      <c r="AP75" s="60">
        <f>AP$5</f>
        <v>43250</v>
      </c>
      <c r="AQ75" s="61"/>
      <c r="AR75" s="60">
        <f>AR$5</f>
        <v>43251</v>
      </c>
      <c r="AS75" s="61"/>
      <c r="AT75" s="60">
        <f>AT$5</f>
        <v>43252</v>
      </c>
      <c r="AU75" s="61"/>
      <c r="AV75" s="60">
        <f>AV$5</f>
        <v>43253</v>
      </c>
      <c r="AW75" s="61"/>
      <c r="AX75" s="60">
        <f>AX$5</f>
        <v>43254</v>
      </c>
      <c r="AY75" s="61"/>
      <c r="AZ75" s="60">
        <f>AZ$5</f>
        <v>43255</v>
      </c>
      <c r="BA75" s="61"/>
      <c r="BB75" s="60">
        <f>BB$5</f>
        <v>43256</v>
      </c>
      <c r="BC75" s="61"/>
      <c r="BD75" s="60">
        <f>BD$5</f>
        <v>43257</v>
      </c>
      <c r="BE75" s="61"/>
      <c r="BF75" s="60">
        <f>BF$5</f>
        <v>43258</v>
      </c>
      <c r="BG75" s="61"/>
      <c r="BH75" s="190"/>
      <c r="BI75" s="190"/>
      <c r="BJ75" s="190"/>
      <c r="BK75" s="190"/>
      <c r="BL75" s="190"/>
      <c r="BM75" s="190"/>
      <c r="BN75" s="190"/>
      <c r="BO75" s="190"/>
      <c r="BP75" s="190"/>
      <c r="BQ75" s="190"/>
      <c r="BR75" s="190"/>
      <c r="BS75" s="190"/>
      <c r="BT75" s="190"/>
      <c r="BU75" s="190"/>
      <c r="BV75" s="190"/>
      <c r="BW75" s="190"/>
      <c r="BX75" s="190"/>
      <c r="BY75" s="190"/>
      <c r="BZ75" s="190"/>
      <c r="CA75" s="190"/>
      <c r="CB75" s="4"/>
      <c r="CC75" s="8"/>
      <c r="CD75" s="8"/>
    </row>
    <row r="76" spans="1:82" s="9" customFormat="1" ht="17.25" customHeight="1">
      <c r="A76" s="10"/>
      <c r="B76" s="10"/>
      <c r="C76" s="11" t="s">
        <v>3963</v>
      </c>
      <c r="D76" s="43" t="s">
        <v>3940</v>
      </c>
      <c r="E76" s="44" t="s">
        <v>3941</v>
      </c>
      <c r="F76" s="43" t="s">
        <v>3940</v>
      </c>
      <c r="G76" s="44" t="s">
        <v>3941</v>
      </c>
      <c r="H76" s="43" t="s">
        <v>3940</v>
      </c>
      <c r="I76" s="44" t="s">
        <v>3941</v>
      </c>
      <c r="J76" s="43" t="s">
        <v>3940</v>
      </c>
      <c r="K76" s="44" t="s">
        <v>3941</v>
      </c>
      <c r="L76" s="43" t="s">
        <v>3940</v>
      </c>
      <c r="M76" s="44" t="s">
        <v>3941</v>
      </c>
      <c r="N76" s="43" t="s">
        <v>3940</v>
      </c>
      <c r="O76" s="44" t="s">
        <v>3941</v>
      </c>
      <c r="P76" s="43" t="s">
        <v>3940</v>
      </c>
      <c r="Q76" s="44" t="s">
        <v>3941</v>
      </c>
      <c r="R76" s="43" t="s">
        <v>3940</v>
      </c>
      <c r="S76" s="44" t="s">
        <v>3941</v>
      </c>
      <c r="T76" s="43" t="s">
        <v>3940</v>
      </c>
      <c r="U76" s="44" t="s">
        <v>3941</v>
      </c>
      <c r="V76" s="43" t="s">
        <v>3940</v>
      </c>
      <c r="W76" s="44" t="s">
        <v>3941</v>
      </c>
      <c r="X76" s="43" t="s">
        <v>3940</v>
      </c>
      <c r="Y76" s="44" t="s">
        <v>3941</v>
      </c>
      <c r="Z76" s="43" t="s">
        <v>3940</v>
      </c>
      <c r="AA76" s="44" t="s">
        <v>3941</v>
      </c>
      <c r="AB76" s="43" t="s">
        <v>3940</v>
      </c>
      <c r="AC76" s="44" t="s">
        <v>3941</v>
      </c>
      <c r="AD76" s="43" t="s">
        <v>3940</v>
      </c>
      <c r="AE76" s="44" t="s">
        <v>3941</v>
      </c>
      <c r="AF76" s="43" t="s">
        <v>3940</v>
      </c>
      <c r="AG76" s="44" t="s">
        <v>3941</v>
      </c>
      <c r="AH76" s="43" t="s">
        <v>3940</v>
      </c>
      <c r="AI76" s="44" t="s">
        <v>3941</v>
      </c>
      <c r="AJ76" s="43" t="s">
        <v>3940</v>
      </c>
      <c r="AK76" s="44" t="s">
        <v>3941</v>
      </c>
      <c r="AL76" s="43" t="s">
        <v>3940</v>
      </c>
      <c r="AM76" s="44" t="s">
        <v>3941</v>
      </c>
      <c r="AN76" s="43" t="s">
        <v>3940</v>
      </c>
      <c r="AO76" s="44" t="s">
        <v>3941</v>
      </c>
      <c r="AP76" s="43" t="s">
        <v>3940</v>
      </c>
      <c r="AQ76" s="44" t="s">
        <v>3941</v>
      </c>
      <c r="AR76" s="43" t="s">
        <v>3940</v>
      </c>
      <c r="AS76" s="44" t="s">
        <v>3941</v>
      </c>
      <c r="AT76" s="43" t="s">
        <v>3940</v>
      </c>
      <c r="AU76" s="44" t="s">
        <v>3941</v>
      </c>
      <c r="AV76" s="43" t="s">
        <v>3940</v>
      </c>
      <c r="AW76" s="44" t="s">
        <v>3941</v>
      </c>
      <c r="AX76" s="43" t="s">
        <v>3940</v>
      </c>
      <c r="AY76" s="44" t="s">
        <v>3941</v>
      </c>
      <c r="AZ76" s="43" t="s">
        <v>3940</v>
      </c>
      <c r="BA76" s="44" t="s">
        <v>3941</v>
      </c>
      <c r="BB76" s="43" t="s">
        <v>3940</v>
      </c>
      <c r="BC76" s="44" t="s">
        <v>3941</v>
      </c>
      <c r="BD76" s="43" t="s">
        <v>3940</v>
      </c>
      <c r="BE76" s="44" t="s">
        <v>3941</v>
      </c>
      <c r="BF76" s="43" t="s">
        <v>3940</v>
      </c>
      <c r="BG76" s="44" t="s">
        <v>3941</v>
      </c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12" t="s">
        <v>3964</v>
      </c>
      <c r="CC76" s="12" t="s">
        <v>3943</v>
      </c>
      <c r="CD76" s="8"/>
    </row>
    <row r="77" spans="1:82" s="30" customFormat="1" ht="25.5" customHeight="1">
      <c r="A77" s="27" t="s">
        <v>4857</v>
      </c>
      <c r="B77" s="27" t="s">
        <v>3955</v>
      </c>
      <c r="C77" s="28">
        <v>1</v>
      </c>
      <c r="D77" s="51"/>
      <c r="E77" s="52"/>
      <c r="F77" s="51"/>
      <c r="G77" s="52"/>
      <c r="H77" s="51"/>
      <c r="I77" s="52"/>
      <c r="J77" s="51"/>
      <c r="K77" s="52"/>
      <c r="L77" s="51"/>
      <c r="M77" s="52"/>
      <c r="N77" s="51"/>
      <c r="O77" s="52"/>
      <c r="P77" s="51"/>
      <c r="Q77" s="52"/>
      <c r="R77" s="51"/>
      <c r="S77" s="52"/>
      <c r="T77" s="51"/>
      <c r="U77" s="52"/>
      <c r="V77" s="51"/>
      <c r="W77" s="52"/>
      <c r="X77" s="51"/>
      <c r="Y77" s="52"/>
      <c r="Z77" s="51"/>
      <c r="AA77" s="52"/>
      <c r="AB77" s="51"/>
      <c r="AC77" s="52"/>
      <c r="AD77" s="51"/>
      <c r="AE77" s="52"/>
      <c r="AF77" s="51"/>
      <c r="AG77" s="52"/>
      <c r="AH77" s="51"/>
      <c r="AI77" s="52"/>
      <c r="AJ77" s="51"/>
      <c r="AK77" s="52"/>
      <c r="AL77" s="51"/>
      <c r="AM77" s="52"/>
      <c r="AN77" s="51"/>
      <c r="AO77" s="52"/>
      <c r="AP77" s="51"/>
      <c r="AQ77" s="52"/>
      <c r="AR77" s="51"/>
      <c r="AS77" s="52"/>
      <c r="AT77" s="51"/>
      <c r="AU77" s="52"/>
      <c r="AV77" s="51"/>
      <c r="AW77" s="52"/>
      <c r="AX77" s="51"/>
      <c r="AY77" s="52"/>
      <c r="AZ77" s="51"/>
      <c r="BA77" s="52"/>
      <c r="BB77" s="51"/>
      <c r="BC77" s="52"/>
      <c r="BD77" s="51"/>
      <c r="BE77" s="52"/>
      <c r="BF77" s="51"/>
      <c r="BG77" s="52"/>
      <c r="BH77" s="192"/>
      <c r="BI77" s="192"/>
      <c r="BJ77" s="192"/>
      <c r="BK77" s="192"/>
      <c r="BL77" s="192"/>
      <c r="BM77" s="192"/>
      <c r="BN77" s="192"/>
      <c r="BO77" s="192"/>
      <c r="BP77" s="192"/>
      <c r="BQ77" s="192"/>
      <c r="BR77" s="192"/>
      <c r="BS77" s="192"/>
      <c r="BT77" s="192"/>
      <c r="BU77" s="192"/>
      <c r="BV77" s="192"/>
      <c r="BW77" s="192"/>
      <c r="BX77" s="192"/>
      <c r="BY77" s="192"/>
      <c r="BZ77" s="192"/>
      <c r="CA77" s="192"/>
      <c r="CB77" s="21">
        <f t="shared" ref="CB77:CB84" si="19">SUMIF($D$6:$BG$6,"Act",D77:BG77)</f>
        <v>0</v>
      </c>
      <c r="CC77" s="21">
        <f>CB77/C77</f>
        <v>0</v>
      </c>
      <c r="CD77" s="29"/>
    </row>
    <row r="78" spans="1:82" s="20" customFormat="1" ht="25.5" customHeight="1">
      <c r="A78" s="27" t="s">
        <v>4857</v>
      </c>
      <c r="B78" s="27" t="s">
        <v>3950</v>
      </c>
      <c r="C78" s="28">
        <v>1</v>
      </c>
      <c r="D78" s="51"/>
      <c r="E78" s="52"/>
      <c r="F78" s="51"/>
      <c r="G78" s="52"/>
      <c r="H78" s="51"/>
      <c r="I78" s="52"/>
      <c r="J78" s="51"/>
      <c r="K78" s="52"/>
      <c r="L78" s="51"/>
      <c r="M78" s="52"/>
      <c r="N78" s="51"/>
      <c r="O78" s="52"/>
      <c r="P78" s="51"/>
      <c r="Q78" s="52"/>
      <c r="R78" s="51"/>
      <c r="S78" s="52"/>
      <c r="T78" s="51"/>
      <c r="U78" s="52"/>
      <c r="V78" s="51"/>
      <c r="W78" s="52"/>
      <c r="X78" s="51"/>
      <c r="Y78" s="52"/>
      <c r="Z78" s="51"/>
      <c r="AA78" s="52"/>
      <c r="AB78" s="51"/>
      <c r="AC78" s="52"/>
      <c r="AD78" s="51"/>
      <c r="AE78" s="52"/>
      <c r="AF78" s="51"/>
      <c r="AG78" s="52"/>
      <c r="AH78" s="51"/>
      <c r="AI78" s="52"/>
      <c r="AJ78" s="51"/>
      <c r="AK78" s="52"/>
      <c r="AL78" s="51"/>
      <c r="AM78" s="52"/>
      <c r="AN78" s="51"/>
      <c r="AO78" s="52"/>
      <c r="AP78" s="51"/>
      <c r="AQ78" s="52"/>
      <c r="AR78" s="51"/>
      <c r="AS78" s="52"/>
      <c r="AT78" s="51"/>
      <c r="AU78" s="52"/>
      <c r="AV78" s="51"/>
      <c r="AW78" s="52"/>
      <c r="AX78" s="51"/>
      <c r="AY78" s="52"/>
      <c r="AZ78" s="51"/>
      <c r="BA78" s="52"/>
      <c r="BB78" s="51"/>
      <c r="BC78" s="52"/>
      <c r="BD78" s="51"/>
      <c r="BE78" s="52"/>
      <c r="BF78" s="51"/>
      <c r="BG78" s="52"/>
      <c r="BH78" s="192"/>
      <c r="BI78" s="192"/>
      <c r="BJ78" s="192"/>
      <c r="BK78" s="192"/>
      <c r="BL78" s="192"/>
      <c r="BM78" s="192"/>
      <c r="BN78" s="192"/>
      <c r="BO78" s="192"/>
      <c r="BP78" s="192"/>
      <c r="BQ78" s="192"/>
      <c r="BR78" s="192"/>
      <c r="BS78" s="192"/>
      <c r="BT78" s="192"/>
      <c r="BU78" s="192"/>
      <c r="BV78" s="192"/>
      <c r="BW78" s="192"/>
      <c r="BX78" s="192"/>
      <c r="BY78" s="192"/>
      <c r="BZ78" s="192"/>
      <c r="CA78" s="192"/>
      <c r="CB78" s="21">
        <f t="shared" si="19"/>
        <v>0</v>
      </c>
      <c r="CC78" s="21">
        <f>CB78/C78</f>
        <v>0</v>
      </c>
    </row>
    <row r="79" spans="1:82" s="20" customFormat="1" ht="25.5" customHeight="1">
      <c r="A79" s="27" t="s">
        <v>4857</v>
      </c>
      <c r="B79" s="31" t="s">
        <v>3951</v>
      </c>
      <c r="C79" s="28">
        <v>1</v>
      </c>
      <c r="D79" s="51"/>
      <c r="E79" s="52"/>
      <c r="F79" s="51"/>
      <c r="G79" s="52"/>
      <c r="H79" s="51"/>
      <c r="I79" s="52"/>
      <c r="J79" s="51"/>
      <c r="K79" s="52"/>
      <c r="L79" s="51"/>
      <c r="M79" s="52"/>
      <c r="N79" s="51"/>
      <c r="O79" s="52"/>
      <c r="P79" s="51"/>
      <c r="Q79" s="52"/>
      <c r="R79" s="51"/>
      <c r="S79" s="52"/>
      <c r="T79" s="51"/>
      <c r="U79" s="52"/>
      <c r="V79" s="51"/>
      <c r="W79" s="52"/>
      <c r="X79" s="51"/>
      <c r="Y79" s="52"/>
      <c r="Z79" s="51"/>
      <c r="AA79" s="52"/>
      <c r="AB79" s="51"/>
      <c r="AC79" s="52"/>
      <c r="AD79" s="51"/>
      <c r="AE79" s="52"/>
      <c r="AF79" s="51"/>
      <c r="AG79" s="52"/>
      <c r="AH79" s="51"/>
      <c r="AI79" s="52"/>
      <c r="AJ79" s="51"/>
      <c r="AK79" s="52"/>
      <c r="AL79" s="51"/>
      <c r="AM79" s="52"/>
      <c r="AN79" s="51"/>
      <c r="AO79" s="52"/>
      <c r="AP79" s="51"/>
      <c r="AQ79" s="52"/>
      <c r="AR79" s="51"/>
      <c r="AS79" s="52"/>
      <c r="AT79" s="51"/>
      <c r="AU79" s="52"/>
      <c r="AV79" s="51"/>
      <c r="AW79" s="52"/>
      <c r="AX79" s="51"/>
      <c r="AY79" s="52"/>
      <c r="AZ79" s="51"/>
      <c r="BA79" s="52"/>
      <c r="BB79" s="51"/>
      <c r="BC79" s="52"/>
      <c r="BD79" s="51"/>
      <c r="BE79" s="52"/>
      <c r="BF79" s="51"/>
      <c r="BG79" s="52"/>
      <c r="BH79" s="192"/>
      <c r="BI79" s="192"/>
      <c r="BJ79" s="192"/>
      <c r="BK79" s="192"/>
      <c r="BL79" s="192"/>
      <c r="BM79" s="192"/>
      <c r="BN79" s="192"/>
      <c r="BO79" s="192"/>
      <c r="BP79" s="192"/>
      <c r="BQ79" s="192"/>
      <c r="BR79" s="192"/>
      <c r="BS79" s="192"/>
      <c r="BT79" s="192"/>
      <c r="BU79" s="192"/>
      <c r="BV79" s="192"/>
      <c r="BW79" s="192"/>
      <c r="BX79" s="192"/>
      <c r="BY79" s="192"/>
      <c r="BZ79" s="192"/>
      <c r="CA79" s="192"/>
      <c r="CB79" s="21">
        <f t="shared" si="19"/>
        <v>0</v>
      </c>
      <c r="CC79" s="21">
        <f>CB79/C79</f>
        <v>0</v>
      </c>
    </row>
    <row r="80" spans="1:82" s="20" customFormat="1" ht="25.5" customHeight="1">
      <c r="A80" s="27" t="s">
        <v>4857</v>
      </c>
      <c r="B80" s="31" t="s">
        <v>4005</v>
      </c>
      <c r="C80" s="28">
        <v>1</v>
      </c>
      <c r="D80" s="51"/>
      <c r="E80" s="52"/>
      <c r="F80" s="51"/>
      <c r="G80" s="52"/>
      <c r="H80" s="51"/>
      <c r="I80" s="52"/>
      <c r="J80" s="51"/>
      <c r="K80" s="52"/>
      <c r="L80" s="51"/>
      <c r="M80" s="52"/>
      <c r="N80" s="51"/>
      <c r="O80" s="52"/>
      <c r="P80" s="51"/>
      <c r="Q80" s="52"/>
      <c r="R80" s="51"/>
      <c r="S80" s="52"/>
      <c r="T80" s="51"/>
      <c r="U80" s="52"/>
      <c r="V80" s="51"/>
      <c r="W80" s="52"/>
      <c r="X80" s="51"/>
      <c r="Y80" s="52"/>
      <c r="Z80" s="51"/>
      <c r="AA80" s="52"/>
      <c r="AB80" s="51"/>
      <c r="AC80" s="52"/>
      <c r="AD80" s="51"/>
      <c r="AE80" s="52"/>
      <c r="AF80" s="51"/>
      <c r="AG80" s="52"/>
      <c r="AH80" s="51"/>
      <c r="AI80" s="52"/>
      <c r="AJ80" s="51"/>
      <c r="AK80" s="52"/>
      <c r="AL80" s="51"/>
      <c r="AM80" s="52"/>
      <c r="AN80" s="51"/>
      <c r="AO80" s="52"/>
      <c r="AP80" s="51"/>
      <c r="AQ80" s="52"/>
      <c r="AR80" s="51"/>
      <c r="AS80" s="52"/>
      <c r="AT80" s="51"/>
      <c r="AU80" s="52"/>
      <c r="AV80" s="51"/>
      <c r="AW80" s="52"/>
      <c r="AX80" s="51"/>
      <c r="AY80" s="52"/>
      <c r="AZ80" s="51"/>
      <c r="BA80" s="52"/>
      <c r="BB80" s="51"/>
      <c r="BC80" s="52"/>
      <c r="BD80" s="51"/>
      <c r="BE80" s="52"/>
      <c r="BF80" s="51"/>
      <c r="BG80" s="52"/>
      <c r="BH80" s="192"/>
      <c r="BI80" s="192"/>
      <c r="BJ80" s="192"/>
      <c r="BK80" s="192"/>
      <c r="BL80" s="192"/>
      <c r="BM80" s="192"/>
      <c r="BN80" s="192"/>
      <c r="BO80" s="192"/>
      <c r="BP80" s="192"/>
      <c r="BQ80" s="192"/>
      <c r="BR80" s="192"/>
      <c r="BS80" s="192"/>
      <c r="BT80" s="192"/>
      <c r="BU80" s="192"/>
      <c r="BV80" s="192"/>
      <c r="BW80" s="192"/>
      <c r="BX80" s="192"/>
      <c r="BY80" s="192"/>
      <c r="BZ80" s="192"/>
      <c r="CA80" s="192"/>
      <c r="CB80" s="62">
        <f t="shared" si="19"/>
        <v>0</v>
      </c>
      <c r="CC80" s="62"/>
    </row>
    <row r="81" spans="1:82" s="20" customFormat="1" ht="25.5" customHeight="1">
      <c r="A81" s="27" t="s">
        <v>4857</v>
      </c>
      <c r="B81" s="31" t="s">
        <v>4021</v>
      </c>
      <c r="C81" s="28">
        <v>1</v>
      </c>
      <c r="D81" s="51"/>
      <c r="E81" s="52"/>
      <c r="F81" s="51"/>
      <c r="G81" s="52"/>
      <c r="H81" s="51"/>
      <c r="I81" s="52"/>
      <c r="J81" s="51"/>
      <c r="K81" s="52"/>
      <c r="L81" s="51"/>
      <c r="M81" s="52"/>
      <c r="N81" s="51"/>
      <c r="O81" s="52"/>
      <c r="P81" s="51"/>
      <c r="Q81" s="52"/>
      <c r="R81" s="51"/>
      <c r="S81" s="52"/>
      <c r="T81" s="51"/>
      <c r="U81" s="52"/>
      <c r="V81" s="51"/>
      <c r="W81" s="52"/>
      <c r="X81" s="51"/>
      <c r="Y81" s="52"/>
      <c r="Z81" s="51"/>
      <c r="AA81" s="52"/>
      <c r="AB81" s="51"/>
      <c r="AC81" s="52"/>
      <c r="AD81" s="51"/>
      <c r="AE81" s="52"/>
      <c r="AF81" s="51"/>
      <c r="AG81" s="52"/>
      <c r="AH81" s="51"/>
      <c r="AI81" s="52"/>
      <c r="AJ81" s="51"/>
      <c r="AK81" s="52"/>
      <c r="AL81" s="51"/>
      <c r="AM81" s="52"/>
      <c r="AN81" s="51"/>
      <c r="AO81" s="52"/>
      <c r="AP81" s="51"/>
      <c r="AQ81" s="52"/>
      <c r="AR81" s="51"/>
      <c r="AS81" s="52"/>
      <c r="AT81" s="51"/>
      <c r="AU81" s="52"/>
      <c r="AV81" s="51"/>
      <c r="AW81" s="52"/>
      <c r="AX81" s="51"/>
      <c r="AY81" s="52"/>
      <c r="AZ81" s="51"/>
      <c r="BA81" s="52"/>
      <c r="BB81" s="51"/>
      <c r="BC81" s="52"/>
      <c r="BD81" s="51"/>
      <c r="BE81" s="52"/>
      <c r="BF81" s="51"/>
      <c r="BG81" s="52"/>
      <c r="BH81" s="192"/>
      <c r="BI81" s="192"/>
      <c r="BJ81" s="192"/>
      <c r="BK81" s="192"/>
      <c r="BL81" s="192"/>
      <c r="BM81" s="192"/>
      <c r="BN81" s="192"/>
      <c r="BO81" s="192"/>
      <c r="BP81" s="192"/>
      <c r="BQ81" s="192"/>
      <c r="BR81" s="192"/>
      <c r="BS81" s="192"/>
      <c r="BT81" s="192"/>
      <c r="BU81" s="192"/>
      <c r="BV81" s="192"/>
      <c r="BW81" s="192"/>
      <c r="BX81" s="192"/>
      <c r="BY81" s="192"/>
      <c r="BZ81" s="192"/>
      <c r="CA81" s="192"/>
      <c r="CB81" s="62">
        <f t="shared" si="19"/>
        <v>0</v>
      </c>
      <c r="CC81" s="62"/>
    </row>
    <row r="82" spans="1:82" s="20" customFormat="1" ht="25.5" customHeight="1">
      <c r="A82" s="27" t="s">
        <v>3934</v>
      </c>
      <c r="B82" s="27" t="s">
        <v>3970</v>
      </c>
      <c r="C82" s="28">
        <v>1</v>
      </c>
      <c r="D82" s="51"/>
      <c r="E82" s="52"/>
      <c r="F82" s="51"/>
      <c r="G82" s="52"/>
      <c r="H82" s="51"/>
      <c r="I82" s="52"/>
      <c r="J82" s="51"/>
      <c r="K82" s="52"/>
      <c r="L82" s="51"/>
      <c r="M82" s="52"/>
      <c r="N82" s="51"/>
      <c r="O82" s="52"/>
      <c r="P82" s="51"/>
      <c r="Q82" s="52"/>
      <c r="R82" s="51"/>
      <c r="S82" s="52"/>
      <c r="T82" s="51"/>
      <c r="U82" s="52"/>
      <c r="V82" s="51"/>
      <c r="W82" s="52"/>
      <c r="X82" s="51"/>
      <c r="Y82" s="52"/>
      <c r="Z82" s="51"/>
      <c r="AA82" s="52"/>
      <c r="AB82" s="51"/>
      <c r="AC82" s="52"/>
      <c r="AD82" s="51"/>
      <c r="AE82" s="52"/>
      <c r="AF82" s="51"/>
      <c r="AG82" s="52"/>
      <c r="AH82" s="51"/>
      <c r="AI82" s="52"/>
      <c r="AJ82" s="51"/>
      <c r="AK82" s="52"/>
      <c r="AL82" s="51"/>
      <c r="AM82" s="52"/>
      <c r="AN82" s="51"/>
      <c r="AO82" s="52"/>
      <c r="AP82" s="51"/>
      <c r="AQ82" s="52"/>
      <c r="AR82" s="51"/>
      <c r="AS82" s="52"/>
      <c r="AT82" s="51"/>
      <c r="AU82" s="52"/>
      <c r="AV82" s="51"/>
      <c r="AW82" s="52"/>
      <c r="AX82" s="51"/>
      <c r="AY82" s="52"/>
      <c r="AZ82" s="51"/>
      <c r="BA82" s="52"/>
      <c r="BB82" s="51"/>
      <c r="BC82" s="52"/>
      <c r="BD82" s="51"/>
      <c r="BE82" s="52"/>
      <c r="BF82" s="51"/>
      <c r="BG82" s="52"/>
      <c r="BH82" s="192"/>
      <c r="BI82" s="192"/>
      <c r="BJ82" s="192"/>
      <c r="BK82" s="192"/>
      <c r="BL82" s="192"/>
      <c r="BM82" s="192"/>
      <c r="BN82" s="192"/>
      <c r="BO82" s="192"/>
      <c r="BP82" s="192"/>
      <c r="BQ82" s="192"/>
      <c r="BR82" s="192"/>
      <c r="BS82" s="192"/>
      <c r="BT82" s="192"/>
      <c r="BU82" s="192"/>
      <c r="BV82" s="192"/>
      <c r="BW82" s="192"/>
      <c r="BX82" s="192"/>
      <c r="BY82" s="192"/>
      <c r="BZ82" s="192"/>
      <c r="CA82" s="192"/>
      <c r="CB82" s="21">
        <f t="shared" si="19"/>
        <v>0</v>
      </c>
      <c r="CC82" s="21">
        <f>CB82/C82</f>
        <v>0</v>
      </c>
    </row>
    <row r="83" spans="1:82" s="20" customFormat="1" ht="25.5" customHeight="1">
      <c r="A83" s="27" t="s">
        <v>3933</v>
      </c>
      <c r="B83" s="27" t="s">
        <v>3971</v>
      </c>
      <c r="C83" s="28">
        <v>1</v>
      </c>
      <c r="D83" s="51"/>
      <c r="E83" s="52"/>
      <c r="F83" s="51"/>
      <c r="G83" s="52"/>
      <c r="H83" s="51"/>
      <c r="I83" s="52"/>
      <c r="J83" s="51"/>
      <c r="K83" s="52"/>
      <c r="L83" s="51"/>
      <c r="M83" s="52"/>
      <c r="N83" s="51"/>
      <c r="O83" s="52"/>
      <c r="P83" s="51"/>
      <c r="Q83" s="52"/>
      <c r="R83" s="51"/>
      <c r="S83" s="52"/>
      <c r="T83" s="51"/>
      <c r="U83" s="52"/>
      <c r="V83" s="51"/>
      <c r="W83" s="52"/>
      <c r="X83" s="51"/>
      <c r="Y83" s="52"/>
      <c r="Z83" s="51"/>
      <c r="AA83" s="52"/>
      <c r="AB83" s="51"/>
      <c r="AC83" s="52"/>
      <c r="AD83" s="51"/>
      <c r="AE83" s="52"/>
      <c r="AF83" s="51"/>
      <c r="AG83" s="52"/>
      <c r="AH83" s="51"/>
      <c r="AI83" s="52"/>
      <c r="AJ83" s="51"/>
      <c r="AK83" s="52"/>
      <c r="AL83" s="51"/>
      <c r="AM83" s="52"/>
      <c r="AN83" s="51"/>
      <c r="AO83" s="52"/>
      <c r="AP83" s="51"/>
      <c r="AQ83" s="52"/>
      <c r="AR83" s="51"/>
      <c r="AS83" s="52"/>
      <c r="AT83" s="51"/>
      <c r="AU83" s="52"/>
      <c r="AV83" s="51"/>
      <c r="AW83" s="52"/>
      <c r="AX83" s="51"/>
      <c r="AY83" s="52"/>
      <c r="AZ83" s="51"/>
      <c r="BA83" s="52"/>
      <c r="BB83" s="51"/>
      <c r="BC83" s="52"/>
      <c r="BD83" s="51"/>
      <c r="BE83" s="52"/>
      <c r="BF83" s="51"/>
      <c r="BG83" s="52"/>
      <c r="BH83" s="192"/>
      <c r="BI83" s="192"/>
      <c r="BJ83" s="192"/>
      <c r="BK83" s="192"/>
      <c r="BL83" s="192"/>
      <c r="BM83" s="192"/>
      <c r="BN83" s="192"/>
      <c r="BO83" s="192"/>
      <c r="BP83" s="192"/>
      <c r="BQ83" s="192"/>
      <c r="BR83" s="192"/>
      <c r="BS83" s="192"/>
      <c r="BT83" s="192"/>
      <c r="BU83" s="192"/>
      <c r="BV83" s="192"/>
      <c r="BW83" s="192"/>
      <c r="BX83" s="192"/>
      <c r="BY83" s="192"/>
      <c r="BZ83" s="192"/>
      <c r="CA83" s="192"/>
      <c r="CB83" s="21">
        <f t="shared" si="19"/>
        <v>0</v>
      </c>
      <c r="CC83" s="21">
        <f>CB83/C83</f>
        <v>0</v>
      </c>
    </row>
    <row r="84" spans="1:82" s="20" customFormat="1" ht="25.5" customHeight="1">
      <c r="A84" s="27" t="s">
        <v>4</v>
      </c>
      <c r="B84" s="27" t="s">
        <v>3972</v>
      </c>
      <c r="C84" s="28">
        <v>1</v>
      </c>
      <c r="D84" s="51"/>
      <c r="E84" s="52"/>
      <c r="F84" s="51"/>
      <c r="G84" s="52"/>
      <c r="H84" s="51"/>
      <c r="I84" s="52"/>
      <c r="J84" s="51"/>
      <c r="K84" s="52"/>
      <c r="L84" s="51"/>
      <c r="M84" s="52"/>
      <c r="N84" s="51"/>
      <c r="O84" s="52"/>
      <c r="P84" s="51"/>
      <c r="Q84" s="52"/>
      <c r="R84" s="51"/>
      <c r="S84" s="52"/>
      <c r="T84" s="51"/>
      <c r="U84" s="52"/>
      <c r="V84" s="51"/>
      <c r="W84" s="52"/>
      <c r="X84" s="51"/>
      <c r="Y84" s="52"/>
      <c r="Z84" s="51"/>
      <c r="AA84" s="52"/>
      <c r="AB84" s="51"/>
      <c r="AC84" s="52"/>
      <c r="AD84" s="51"/>
      <c r="AE84" s="52"/>
      <c r="AF84" s="51"/>
      <c r="AG84" s="52"/>
      <c r="AH84" s="51"/>
      <c r="AI84" s="52"/>
      <c r="AJ84" s="51"/>
      <c r="AK84" s="52"/>
      <c r="AL84" s="51"/>
      <c r="AM84" s="52"/>
      <c r="AN84" s="51"/>
      <c r="AO84" s="52"/>
      <c r="AP84" s="51"/>
      <c r="AQ84" s="52"/>
      <c r="AR84" s="51"/>
      <c r="AS84" s="52"/>
      <c r="AT84" s="51"/>
      <c r="AU84" s="52"/>
      <c r="AV84" s="51"/>
      <c r="AW84" s="52"/>
      <c r="AX84" s="51"/>
      <c r="AY84" s="52"/>
      <c r="AZ84" s="51"/>
      <c r="BA84" s="52"/>
      <c r="BB84" s="51"/>
      <c r="BC84" s="52"/>
      <c r="BD84" s="51"/>
      <c r="BE84" s="52"/>
      <c r="BF84" s="51"/>
      <c r="BG84" s="52"/>
      <c r="BH84" s="192"/>
      <c r="BI84" s="192"/>
      <c r="BJ84" s="192"/>
      <c r="BK84" s="192"/>
      <c r="BL84" s="192"/>
      <c r="BM84" s="192"/>
      <c r="BN84" s="192"/>
      <c r="BO84" s="192"/>
      <c r="BP84" s="192"/>
      <c r="BQ84" s="192"/>
      <c r="BR84" s="192"/>
      <c r="BS84" s="192"/>
      <c r="BT84" s="192"/>
      <c r="BU84" s="192"/>
      <c r="BV84" s="192"/>
      <c r="BW84" s="192"/>
      <c r="BX84" s="192"/>
      <c r="BY84" s="192"/>
      <c r="BZ84" s="192"/>
      <c r="CA84" s="192"/>
      <c r="CB84" s="21">
        <f t="shared" si="19"/>
        <v>0</v>
      </c>
      <c r="CC84" s="21">
        <f>CB84/C84</f>
        <v>0</v>
      </c>
    </row>
    <row r="85" spans="1:82" s="35" customFormat="1" ht="17.25" customHeight="1">
      <c r="A85" s="32" t="s">
        <v>3942</v>
      </c>
      <c r="B85" s="34"/>
      <c r="C85" s="32">
        <v>1</v>
      </c>
      <c r="D85" s="53">
        <f t="shared" ref="D85:AH85" si="20">+SUBTOTAL(9,D77:D84)</f>
        <v>0</v>
      </c>
      <c r="E85" s="54">
        <f t="shared" si="20"/>
        <v>0</v>
      </c>
      <c r="F85" s="53">
        <f t="shared" si="20"/>
        <v>0</v>
      </c>
      <c r="G85" s="54">
        <f t="shared" si="20"/>
        <v>0</v>
      </c>
      <c r="H85" s="53">
        <f t="shared" si="20"/>
        <v>0</v>
      </c>
      <c r="I85" s="54">
        <f t="shared" si="20"/>
        <v>0</v>
      </c>
      <c r="J85" s="53">
        <f t="shared" si="20"/>
        <v>0</v>
      </c>
      <c r="K85" s="54">
        <f t="shared" si="20"/>
        <v>0</v>
      </c>
      <c r="L85" s="53">
        <f t="shared" si="20"/>
        <v>0</v>
      </c>
      <c r="M85" s="54">
        <f t="shared" si="20"/>
        <v>0</v>
      </c>
      <c r="N85" s="53">
        <f t="shared" si="20"/>
        <v>0</v>
      </c>
      <c r="O85" s="54">
        <f t="shared" si="20"/>
        <v>0</v>
      </c>
      <c r="P85" s="53">
        <f t="shared" si="20"/>
        <v>0</v>
      </c>
      <c r="Q85" s="54">
        <f t="shared" si="20"/>
        <v>0</v>
      </c>
      <c r="R85" s="53">
        <f t="shared" si="20"/>
        <v>0</v>
      </c>
      <c r="S85" s="54">
        <f t="shared" si="20"/>
        <v>0</v>
      </c>
      <c r="T85" s="53">
        <f t="shared" si="20"/>
        <v>0</v>
      </c>
      <c r="U85" s="54">
        <f t="shared" si="20"/>
        <v>0</v>
      </c>
      <c r="V85" s="53">
        <f t="shared" si="20"/>
        <v>0</v>
      </c>
      <c r="W85" s="54">
        <f t="shared" si="20"/>
        <v>0</v>
      </c>
      <c r="X85" s="53">
        <f t="shared" si="20"/>
        <v>0</v>
      </c>
      <c r="Y85" s="54">
        <f t="shared" si="20"/>
        <v>0</v>
      </c>
      <c r="Z85" s="53">
        <f t="shared" si="20"/>
        <v>0</v>
      </c>
      <c r="AA85" s="54">
        <f t="shared" si="20"/>
        <v>0</v>
      </c>
      <c r="AB85" s="53">
        <f t="shared" si="20"/>
        <v>0</v>
      </c>
      <c r="AC85" s="54">
        <f t="shared" si="20"/>
        <v>0</v>
      </c>
      <c r="AD85" s="53">
        <f t="shared" si="20"/>
        <v>0</v>
      </c>
      <c r="AE85" s="54">
        <f t="shared" si="20"/>
        <v>0</v>
      </c>
      <c r="AF85" s="53">
        <f t="shared" si="20"/>
        <v>0</v>
      </c>
      <c r="AG85" s="54">
        <f t="shared" si="20"/>
        <v>0</v>
      </c>
      <c r="AH85" s="53">
        <f t="shared" si="20"/>
        <v>0</v>
      </c>
      <c r="AI85" s="54">
        <f t="shared" ref="AI85:BG85" si="21">+SUBTOTAL(9,AI77:AI84)</f>
        <v>0</v>
      </c>
      <c r="AJ85" s="53">
        <f t="shared" si="21"/>
        <v>0</v>
      </c>
      <c r="AK85" s="54">
        <f t="shared" si="21"/>
        <v>0</v>
      </c>
      <c r="AL85" s="53">
        <f t="shared" si="21"/>
        <v>0</v>
      </c>
      <c r="AM85" s="54">
        <f t="shared" si="21"/>
        <v>0</v>
      </c>
      <c r="AN85" s="53">
        <f t="shared" si="21"/>
        <v>0</v>
      </c>
      <c r="AO85" s="54">
        <f t="shared" si="21"/>
        <v>0</v>
      </c>
      <c r="AP85" s="53">
        <f t="shared" si="21"/>
        <v>0</v>
      </c>
      <c r="AQ85" s="54">
        <f t="shared" si="21"/>
        <v>0</v>
      </c>
      <c r="AR85" s="53">
        <f t="shared" si="21"/>
        <v>0</v>
      </c>
      <c r="AS85" s="54">
        <f t="shared" si="21"/>
        <v>0</v>
      </c>
      <c r="AT85" s="53">
        <f t="shared" si="21"/>
        <v>0</v>
      </c>
      <c r="AU85" s="54">
        <f t="shared" si="21"/>
        <v>0</v>
      </c>
      <c r="AV85" s="53">
        <f t="shared" si="21"/>
        <v>0</v>
      </c>
      <c r="AW85" s="54">
        <f t="shared" si="21"/>
        <v>0</v>
      </c>
      <c r="AX85" s="53">
        <f t="shared" si="21"/>
        <v>0</v>
      </c>
      <c r="AY85" s="54">
        <f t="shared" si="21"/>
        <v>0</v>
      </c>
      <c r="AZ85" s="53">
        <f t="shared" si="21"/>
        <v>0</v>
      </c>
      <c r="BA85" s="54">
        <f t="shared" si="21"/>
        <v>0</v>
      </c>
      <c r="BB85" s="53">
        <f t="shared" si="21"/>
        <v>0</v>
      </c>
      <c r="BC85" s="54">
        <f t="shared" si="21"/>
        <v>0</v>
      </c>
      <c r="BD85" s="53">
        <f t="shared" si="21"/>
        <v>0</v>
      </c>
      <c r="BE85" s="54">
        <f t="shared" si="21"/>
        <v>0</v>
      </c>
      <c r="BF85" s="53">
        <f t="shared" si="21"/>
        <v>0</v>
      </c>
      <c r="BG85" s="54">
        <f t="shared" si="21"/>
        <v>0</v>
      </c>
      <c r="BH85" s="193"/>
      <c r="BI85" s="193"/>
      <c r="BJ85" s="193"/>
      <c r="BK85" s="193"/>
      <c r="BL85" s="193"/>
      <c r="BM85" s="193"/>
      <c r="BN85" s="193"/>
      <c r="BO85" s="193"/>
      <c r="BP85" s="193"/>
      <c r="BQ85" s="193"/>
      <c r="BR85" s="193"/>
      <c r="BS85" s="193"/>
      <c r="BT85" s="193"/>
      <c r="BU85" s="193"/>
      <c r="BV85" s="193"/>
      <c r="BW85" s="193"/>
      <c r="BX85" s="193"/>
      <c r="BY85" s="193"/>
      <c r="BZ85" s="193"/>
      <c r="CA85" s="193"/>
      <c r="CB85" s="32">
        <f>+SUBTOTAL(9,CB77:CB84)</f>
        <v>0</v>
      </c>
      <c r="CC85" s="33">
        <f>+SUBTOTAL(9,CC77:CC84)</f>
        <v>0</v>
      </c>
    </row>
    <row r="86" spans="1:82" s="18" customFormat="1" ht="17.25" customHeight="1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  <c r="AA86" s="19"/>
      <c r="AB86" s="19"/>
      <c r="AC86" s="19"/>
      <c r="AD86" s="19"/>
      <c r="AE86" s="19"/>
      <c r="AF86" s="19"/>
      <c r="AG86" s="19"/>
      <c r="AH86" s="19"/>
      <c r="AI86" s="19"/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  <c r="BP86" s="19"/>
      <c r="BQ86" s="19"/>
      <c r="BR86" s="19"/>
      <c r="BS86" s="19"/>
      <c r="BT86" s="19"/>
      <c r="BU86" s="19"/>
      <c r="BV86" s="19"/>
      <c r="BW86" s="19"/>
      <c r="BX86" s="19"/>
      <c r="BY86" s="19"/>
      <c r="BZ86" s="19"/>
      <c r="CA86" s="19"/>
      <c r="CB86" s="19"/>
      <c r="CC86" s="19"/>
    </row>
    <row r="87" spans="1:82" s="18" customFormat="1" ht="17.25" customHeight="1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  <c r="AH87" s="19"/>
      <c r="AI87" s="19"/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19"/>
      <c r="BP87" s="19"/>
      <c r="BQ87" s="19"/>
      <c r="BR87" s="19"/>
      <c r="BS87" s="19"/>
      <c r="BT87" s="19"/>
      <c r="BU87" s="19"/>
      <c r="BV87" s="19"/>
      <c r="BW87" s="19"/>
      <c r="BX87" s="19"/>
      <c r="BY87" s="19"/>
      <c r="BZ87" s="19"/>
      <c r="CA87" s="19"/>
      <c r="CB87" s="19"/>
      <c r="CC87" s="19"/>
    </row>
    <row r="88" spans="1:82" s="18" customFormat="1" ht="17.25" customHeight="1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  <c r="AH88" s="19"/>
      <c r="AI88" s="19"/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  <c r="BP88" s="19"/>
      <c r="BQ88" s="19"/>
      <c r="BR88" s="19"/>
      <c r="BS88" s="19"/>
      <c r="BT88" s="19"/>
      <c r="BU88" s="19"/>
      <c r="BV88" s="19"/>
      <c r="BW88" s="19"/>
      <c r="BX88" s="19"/>
      <c r="BY88" s="19"/>
      <c r="BZ88" s="19"/>
      <c r="CA88" s="19"/>
      <c r="CB88" s="19"/>
      <c r="CC88" s="19"/>
    </row>
    <row r="89" spans="1:82" ht="17.25" customHeight="1">
      <c r="A89" s="5" t="s">
        <v>3952</v>
      </c>
      <c r="B89" s="5"/>
    </row>
    <row r="90" spans="1:82" ht="17.25" customHeight="1">
      <c r="A90" s="5"/>
      <c r="B90" s="5"/>
    </row>
    <row r="91" spans="1:82" s="9" customFormat="1" ht="17.25" customHeight="1">
      <c r="A91" s="6" t="s">
        <v>3944</v>
      </c>
      <c r="B91" s="6" t="s">
        <v>3958</v>
      </c>
      <c r="C91" s="6" t="s">
        <v>3949</v>
      </c>
      <c r="D91" s="60">
        <f>D$5</f>
        <v>43231</v>
      </c>
      <c r="E91" s="61"/>
      <c r="F91" s="60">
        <f>F$5</f>
        <v>43232</v>
      </c>
      <c r="G91" s="61"/>
      <c r="H91" s="60">
        <f>H$5</f>
        <v>43233</v>
      </c>
      <c r="I91" s="61"/>
      <c r="J91" s="60">
        <f>J$5</f>
        <v>43234</v>
      </c>
      <c r="K91" s="61"/>
      <c r="L91" s="60">
        <f>L$5</f>
        <v>43235</v>
      </c>
      <c r="M91" s="61"/>
      <c r="N91" s="60">
        <f>N$5</f>
        <v>43236</v>
      </c>
      <c r="O91" s="61"/>
      <c r="P91" s="60">
        <f>P$5</f>
        <v>43237</v>
      </c>
      <c r="Q91" s="61"/>
      <c r="R91" s="60">
        <f>R$5</f>
        <v>43238</v>
      </c>
      <c r="S91" s="61"/>
      <c r="T91" s="60">
        <f>T$5</f>
        <v>43239</v>
      </c>
      <c r="U91" s="61"/>
      <c r="V91" s="60">
        <f>V$5</f>
        <v>43240</v>
      </c>
      <c r="W91" s="61"/>
      <c r="X91" s="60">
        <f>X$5</f>
        <v>43241</v>
      </c>
      <c r="Y91" s="61"/>
      <c r="Z91" s="60">
        <f>Z$5</f>
        <v>43242</v>
      </c>
      <c r="AA91" s="61"/>
      <c r="AB91" s="60">
        <f>AB$5</f>
        <v>43243</v>
      </c>
      <c r="AC91" s="61"/>
      <c r="AD91" s="60">
        <f>AD$5</f>
        <v>43244</v>
      </c>
      <c r="AE91" s="61"/>
      <c r="AF91" s="60">
        <f>AF$5</f>
        <v>43245</v>
      </c>
      <c r="AG91" s="61"/>
      <c r="AH91" s="60">
        <f>AH$5</f>
        <v>43246</v>
      </c>
      <c r="AI91" s="61"/>
      <c r="AJ91" s="60">
        <f>AJ$5</f>
        <v>43247</v>
      </c>
      <c r="AK91" s="61"/>
      <c r="AL91" s="60">
        <f>AL$5</f>
        <v>43248</v>
      </c>
      <c r="AM91" s="61"/>
      <c r="AN91" s="60">
        <f>AN$5</f>
        <v>43249</v>
      </c>
      <c r="AO91" s="61"/>
      <c r="AP91" s="60">
        <f>AP$5</f>
        <v>43250</v>
      </c>
      <c r="AQ91" s="61"/>
      <c r="AR91" s="60">
        <f>AR$5</f>
        <v>43251</v>
      </c>
      <c r="AS91" s="61"/>
      <c r="AT91" s="60">
        <f>AT$5</f>
        <v>43252</v>
      </c>
      <c r="AU91" s="61"/>
      <c r="AV91" s="60">
        <f>AV$5</f>
        <v>43253</v>
      </c>
      <c r="AW91" s="61"/>
      <c r="AX91" s="60">
        <f>AX$5</f>
        <v>43254</v>
      </c>
      <c r="AY91" s="61"/>
      <c r="AZ91" s="60">
        <f>AZ$5</f>
        <v>43255</v>
      </c>
      <c r="BA91" s="61"/>
      <c r="BB91" s="60">
        <f>BB$5</f>
        <v>43256</v>
      </c>
      <c r="BC91" s="61"/>
      <c r="BD91" s="60">
        <f>BD$5</f>
        <v>43257</v>
      </c>
      <c r="BE91" s="61"/>
      <c r="BF91" s="60">
        <f>BF$5</f>
        <v>43258</v>
      </c>
      <c r="BG91" s="61"/>
      <c r="BH91" s="190"/>
      <c r="BI91" s="190"/>
      <c r="BJ91" s="190"/>
      <c r="BK91" s="190"/>
      <c r="BL91" s="190"/>
      <c r="BM91" s="190"/>
      <c r="BN91" s="190"/>
      <c r="BO91" s="190"/>
      <c r="BP91" s="190"/>
      <c r="BQ91" s="190"/>
      <c r="BR91" s="190"/>
      <c r="BS91" s="190"/>
      <c r="BT91" s="190"/>
      <c r="BU91" s="190"/>
      <c r="BV91" s="190"/>
      <c r="BW91" s="190"/>
      <c r="BX91" s="190"/>
      <c r="BY91" s="190"/>
      <c r="BZ91" s="190"/>
      <c r="CA91" s="190"/>
      <c r="CB91" s="4"/>
      <c r="CC91" s="8"/>
      <c r="CD91" s="8"/>
    </row>
    <row r="92" spans="1:82" s="9" customFormat="1" ht="17.25" customHeight="1">
      <c r="A92" s="10"/>
      <c r="B92" s="10"/>
      <c r="C92" s="11" t="s">
        <v>3963</v>
      </c>
      <c r="D92" s="43" t="s">
        <v>3940</v>
      </c>
      <c r="E92" s="44" t="s">
        <v>3941</v>
      </c>
      <c r="F92" s="43" t="s">
        <v>3940</v>
      </c>
      <c r="G92" s="44" t="s">
        <v>3941</v>
      </c>
      <c r="H92" s="43" t="s">
        <v>3940</v>
      </c>
      <c r="I92" s="44" t="s">
        <v>3941</v>
      </c>
      <c r="J92" s="43" t="s">
        <v>3940</v>
      </c>
      <c r="K92" s="44" t="s">
        <v>3941</v>
      </c>
      <c r="L92" s="43" t="s">
        <v>3940</v>
      </c>
      <c r="M92" s="44" t="s">
        <v>3941</v>
      </c>
      <c r="N92" s="43" t="s">
        <v>3940</v>
      </c>
      <c r="O92" s="44" t="s">
        <v>3941</v>
      </c>
      <c r="P92" s="43" t="s">
        <v>3940</v>
      </c>
      <c r="Q92" s="44" t="s">
        <v>3941</v>
      </c>
      <c r="R92" s="43" t="s">
        <v>3940</v>
      </c>
      <c r="S92" s="44" t="s">
        <v>3941</v>
      </c>
      <c r="T92" s="43" t="s">
        <v>3940</v>
      </c>
      <c r="U92" s="44" t="s">
        <v>3941</v>
      </c>
      <c r="V92" s="43" t="s">
        <v>3940</v>
      </c>
      <c r="W92" s="44" t="s">
        <v>3941</v>
      </c>
      <c r="X92" s="43" t="s">
        <v>3940</v>
      </c>
      <c r="Y92" s="44" t="s">
        <v>3941</v>
      </c>
      <c r="Z92" s="43" t="s">
        <v>3940</v>
      </c>
      <c r="AA92" s="44" t="s">
        <v>3941</v>
      </c>
      <c r="AB92" s="43" t="s">
        <v>3940</v>
      </c>
      <c r="AC92" s="44" t="s">
        <v>3941</v>
      </c>
      <c r="AD92" s="43" t="s">
        <v>3940</v>
      </c>
      <c r="AE92" s="44" t="s">
        <v>3941</v>
      </c>
      <c r="AF92" s="43" t="s">
        <v>3940</v>
      </c>
      <c r="AG92" s="44" t="s">
        <v>3941</v>
      </c>
      <c r="AH92" s="43" t="s">
        <v>3940</v>
      </c>
      <c r="AI92" s="44" t="s">
        <v>3941</v>
      </c>
      <c r="AJ92" s="43" t="s">
        <v>3940</v>
      </c>
      <c r="AK92" s="44" t="s">
        <v>3941</v>
      </c>
      <c r="AL92" s="43" t="s">
        <v>3940</v>
      </c>
      <c r="AM92" s="44" t="s">
        <v>3941</v>
      </c>
      <c r="AN92" s="43" t="s">
        <v>3940</v>
      </c>
      <c r="AO92" s="44" t="s">
        <v>3941</v>
      </c>
      <c r="AP92" s="43" t="s">
        <v>3940</v>
      </c>
      <c r="AQ92" s="44" t="s">
        <v>3941</v>
      </c>
      <c r="AR92" s="43" t="s">
        <v>3940</v>
      </c>
      <c r="AS92" s="44" t="s">
        <v>3941</v>
      </c>
      <c r="AT92" s="43" t="s">
        <v>3940</v>
      </c>
      <c r="AU92" s="44" t="s">
        <v>3941</v>
      </c>
      <c r="AV92" s="43" t="s">
        <v>3940</v>
      </c>
      <c r="AW92" s="44" t="s">
        <v>3941</v>
      </c>
      <c r="AX92" s="43" t="s">
        <v>3940</v>
      </c>
      <c r="AY92" s="44" t="s">
        <v>3941</v>
      </c>
      <c r="AZ92" s="43" t="s">
        <v>3940</v>
      </c>
      <c r="BA92" s="44" t="s">
        <v>3941</v>
      </c>
      <c r="BB92" s="43" t="s">
        <v>3940</v>
      </c>
      <c r="BC92" s="44" t="s">
        <v>3941</v>
      </c>
      <c r="BD92" s="43" t="s">
        <v>3940</v>
      </c>
      <c r="BE92" s="44" t="s">
        <v>3941</v>
      </c>
      <c r="BF92" s="43" t="s">
        <v>3940</v>
      </c>
      <c r="BG92" s="44" t="s">
        <v>3941</v>
      </c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12" t="s">
        <v>3964</v>
      </c>
      <c r="CC92" s="12" t="s">
        <v>3943</v>
      </c>
      <c r="CD92" s="8"/>
    </row>
    <row r="93" spans="1:82" s="20" customFormat="1" ht="27.75" customHeight="1">
      <c r="A93" s="27" t="s">
        <v>3934</v>
      </c>
      <c r="B93" s="27" t="s">
        <v>3961</v>
      </c>
      <c r="C93" s="28">
        <v>1</v>
      </c>
      <c r="D93" s="101"/>
      <c r="E93" s="102"/>
      <c r="F93" s="101"/>
      <c r="G93" s="102"/>
      <c r="H93" s="101"/>
      <c r="I93" s="102"/>
      <c r="J93" s="101"/>
      <c r="K93" s="102"/>
      <c r="L93" s="101"/>
      <c r="M93" s="102"/>
      <c r="N93" s="101"/>
      <c r="O93" s="102"/>
      <c r="P93" s="101"/>
      <c r="Q93" s="102"/>
      <c r="R93" s="101"/>
      <c r="S93" s="102"/>
      <c r="T93" s="101"/>
      <c r="U93" s="102"/>
      <c r="V93" s="101"/>
      <c r="W93" s="102"/>
      <c r="X93" s="101"/>
      <c r="Y93" s="102"/>
      <c r="Z93" s="104"/>
      <c r="AA93" s="105"/>
      <c r="AB93" s="101"/>
      <c r="AC93" s="102"/>
      <c r="AD93" s="101"/>
      <c r="AE93" s="102"/>
      <c r="AF93" s="104"/>
      <c r="AG93" s="102"/>
      <c r="AH93" s="101"/>
      <c r="AI93" s="102"/>
      <c r="AJ93" s="101"/>
      <c r="AK93" s="102"/>
      <c r="AL93" s="101"/>
      <c r="AM93" s="102"/>
      <c r="AN93" s="101"/>
      <c r="AO93" s="102"/>
      <c r="AP93" s="101"/>
      <c r="AQ93" s="102"/>
      <c r="AR93" s="101"/>
      <c r="AS93" s="102"/>
      <c r="AT93" s="101"/>
      <c r="AU93" s="102"/>
      <c r="AV93" s="101"/>
      <c r="AW93" s="102"/>
      <c r="AX93" s="101"/>
      <c r="AY93" s="102"/>
      <c r="AZ93" s="101"/>
      <c r="BA93" s="102"/>
      <c r="BB93" s="101"/>
      <c r="BC93" s="102"/>
      <c r="BD93" s="101"/>
      <c r="BE93" s="102"/>
      <c r="BF93" s="101"/>
      <c r="BG93" s="102"/>
      <c r="BH93" s="194"/>
      <c r="BI93" s="194"/>
      <c r="BJ93" s="194"/>
      <c r="BK93" s="194"/>
      <c r="BL93" s="194"/>
      <c r="BM93" s="194"/>
      <c r="BN93" s="194"/>
      <c r="BO93" s="194"/>
      <c r="BP93" s="194"/>
      <c r="BQ93" s="194"/>
      <c r="BR93" s="194"/>
      <c r="BS93" s="194"/>
      <c r="BT93" s="194"/>
      <c r="BU93" s="194"/>
      <c r="BV93" s="194"/>
      <c r="BW93" s="194"/>
      <c r="BX93" s="194"/>
      <c r="BY93" s="194"/>
      <c r="BZ93" s="194"/>
      <c r="CA93" s="194"/>
      <c r="CB93" s="103">
        <f>SUMIF($D$6:$BG$6,"Act",D93:BG93)</f>
        <v>0</v>
      </c>
      <c r="CC93" s="21">
        <f>CB93/C93</f>
        <v>0</v>
      </c>
    </row>
    <row r="94" spans="1:82" s="20" customFormat="1" ht="27.75" customHeight="1">
      <c r="A94" s="22" t="s">
        <v>4857</v>
      </c>
      <c r="B94" s="24" t="s">
        <v>3960</v>
      </c>
      <c r="C94" s="28">
        <v>1</v>
      </c>
      <c r="D94" s="51"/>
      <c r="E94" s="52"/>
      <c r="F94" s="51"/>
      <c r="G94" s="52"/>
      <c r="H94" s="51"/>
      <c r="I94" s="52"/>
      <c r="J94" s="51"/>
      <c r="K94" s="52"/>
      <c r="L94" s="51"/>
      <c r="M94" s="52"/>
      <c r="N94" s="51"/>
      <c r="O94" s="52"/>
      <c r="P94" s="51"/>
      <c r="Q94" s="52"/>
      <c r="R94" s="51"/>
      <c r="S94" s="52"/>
      <c r="T94" s="51"/>
      <c r="U94" s="52"/>
      <c r="V94" s="51"/>
      <c r="W94" s="52"/>
      <c r="X94" s="51"/>
      <c r="Y94" s="52"/>
      <c r="Z94" s="51"/>
      <c r="AA94" s="52"/>
      <c r="AB94" s="51"/>
      <c r="AC94" s="52"/>
      <c r="AD94" s="51"/>
      <c r="AE94" s="52"/>
      <c r="AF94" s="51"/>
      <c r="AG94" s="52"/>
      <c r="AH94" s="51"/>
      <c r="AI94" s="52"/>
      <c r="AJ94" s="51"/>
      <c r="AK94" s="52"/>
      <c r="AL94" s="51"/>
      <c r="AM94" s="52"/>
      <c r="AN94" s="51"/>
      <c r="AO94" s="52"/>
      <c r="AP94" s="51"/>
      <c r="AQ94" s="52"/>
      <c r="AR94" s="51"/>
      <c r="AS94" s="52"/>
      <c r="AT94" s="51"/>
      <c r="AU94" s="52"/>
      <c r="AV94" s="51"/>
      <c r="AW94" s="52"/>
      <c r="AX94" s="51"/>
      <c r="AY94" s="52"/>
      <c r="AZ94" s="51"/>
      <c r="BA94" s="52"/>
      <c r="BB94" s="51"/>
      <c r="BC94" s="52"/>
      <c r="BD94" s="51"/>
      <c r="BE94" s="52"/>
      <c r="BF94" s="51"/>
      <c r="BG94" s="52"/>
      <c r="BH94" s="192"/>
      <c r="BI94" s="192"/>
      <c r="BJ94" s="192"/>
      <c r="BK94" s="192"/>
      <c r="BL94" s="192"/>
      <c r="BM94" s="192"/>
      <c r="BN94" s="192"/>
      <c r="BO94" s="192"/>
      <c r="BP94" s="192"/>
      <c r="BQ94" s="192"/>
      <c r="BR94" s="192"/>
      <c r="BS94" s="192"/>
      <c r="BT94" s="192"/>
      <c r="BU94" s="192"/>
      <c r="BV94" s="192"/>
      <c r="BW94" s="192"/>
      <c r="BX94" s="192"/>
      <c r="BY94" s="192"/>
      <c r="BZ94" s="192"/>
      <c r="CA94" s="192"/>
      <c r="CB94" s="103">
        <f>SUMIF($D$6:$BG$6,"Act",D94:BG94)</f>
        <v>0</v>
      </c>
      <c r="CC94" s="21">
        <f>CB94/C94</f>
        <v>0</v>
      </c>
    </row>
    <row r="95" spans="1:82" s="35" customFormat="1" ht="17.25" customHeight="1">
      <c r="A95" s="32" t="s">
        <v>3942</v>
      </c>
      <c r="B95" s="34"/>
      <c r="C95" s="32">
        <v>1</v>
      </c>
      <c r="D95" s="53">
        <f t="shared" ref="D95:AI95" si="22">+SUBTOTAL(9,D93:D94)</f>
        <v>0</v>
      </c>
      <c r="E95" s="54">
        <f t="shared" si="22"/>
        <v>0</v>
      </c>
      <c r="F95" s="53">
        <f t="shared" si="22"/>
        <v>0</v>
      </c>
      <c r="G95" s="54">
        <f t="shared" si="22"/>
        <v>0</v>
      </c>
      <c r="H95" s="53">
        <f t="shared" si="22"/>
        <v>0</v>
      </c>
      <c r="I95" s="54">
        <f t="shared" si="22"/>
        <v>0</v>
      </c>
      <c r="J95" s="53">
        <f t="shared" si="22"/>
        <v>0</v>
      </c>
      <c r="K95" s="54">
        <f t="shared" si="22"/>
        <v>0</v>
      </c>
      <c r="L95" s="53">
        <f t="shared" si="22"/>
        <v>0</v>
      </c>
      <c r="M95" s="54">
        <f t="shared" si="22"/>
        <v>0</v>
      </c>
      <c r="N95" s="53">
        <f t="shared" si="22"/>
        <v>0</v>
      </c>
      <c r="O95" s="54">
        <f t="shared" si="22"/>
        <v>0</v>
      </c>
      <c r="P95" s="53">
        <f t="shared" si="22"/>
        <v>0</v>
      </c>
      <c r="Q95" s="54">
        <f t="shared" si="22"/>
        <v>0</v>
      </c>
      <c r="R95" s="53">
        <f t="shared" si="22"/>
        <v>0</v>
      </c>
      <c r="S95" s="54">
        <f t="shared" si="22"/>
        <v>0</v>
      </c>
      <c r="T95" s="53">
        <f t="shared" si="22"/>
        <v>0</v>
      </c>
      <c r="U95" s="54">
        <f t="shared" si="22"/>
        <v>0</v>
      </c>
      <c r="V95" s="53">
        <f t="shared" si="22"/>
        <v>0</v>
      </c>
      <c r="W95" s="54">
        <f t="shared" si="22"/>
        <v>0</v>
      </c>
      <c r="X95" s="53">
        <f t="shared" si="22"/>
        <v>0</v>
      </c>
      <c r="Y95" s="54">
        <f t="shared" si="22"/>
        <v>0</v>
      </c>
      <c r="Z95" s="53">
        <f t="shared" si="22"/>
        <v>0</v>
      </c>
      <c r="AA95" s="54">
        <f t="shared" si="22"/>
        <v>0</v>
      </c>
      <c r="AB95" s="53">
        <f t="shared" si="22"/>
        <v>0</v>
      </c>
      <c r="AC95" s="54">
        <f t="shared" si="22"/>
        <v>0</v>
      </c>
      <c r="AD95" s="53">
        <f t="shared" si="22"/>
        <v>0</v>
      </c>
      <c r="AE95" s="54">
        <f t="shared" si="22"/>
        <v>0</v>
      </c>
      <c r="AF95" s="53">
        <f t="shared" si="22"/>
        <v>0</v>
      </c>
      <c r="AG95" s="54">
        <f t="shared" si="22"/>
        <v>0</v>
      </c>
      <c r="AH95" s="53">
        <f t="shared" si="22"/>
        <v>0</v>
      </c>
      <c r="AI95" s="54">
        <f t="shared" si="22"/>
        <v>0</v>
      </c>
      <c r="AJ95" s="53">
        <f t="shared" ref="AJ95:BG95" si="23">+SUBTOTAL(9,AJ93:AJ94)</f>
        <v>0</v>
      </c>
      <c r="AK95" s="54">
        <f t="shared" si="23"/>
        <v>0</v>
      </c>
      <c r="AL95" s="53">
        <f t="shared" si="23"/>
        <v>0</v>
      </c>
      <c r="AM95" s="54">
        <f t="shared" si="23"/>
        <v>0</v>
      </c>
      <c r="AN95" s="53">
        <f t="shared" si="23"/>
        <v>0</v>
      </c>
      <c r="AO95" s="54">
        <f t="shared" si="23"/>
        <v>0</v>
      </c>
      <c r="AP95" s="53">
        <f t="shared" si="23"/>
        <v>0</v>
      </c>
      <c r="AQ95" s="54">
        <f t="shared" si="23"/>
        <v>0</v>
      </c>
      <c r="AR95" s="53">
        <f t="shared" si="23"/>
        <v>0</v>
      </c>
      <c r="AS95" s="54">
        <f t="shared" si="23"/>
        <v>0</v>
      </c>
      <c r="AT95" s="53">
        <f t="shared" si="23"/>
        <v>0</v>
      </c>
      <c r="AU95" s="54">
        <f t="shared" si="23"/>
        <v>0</v>
      </c>
      <c r="AV95" s="53">
        <f t="shared" si="23"/>
        <v>0</v>
      </c>
      <c r="AW95" s="54">
        <f t="shared" si="23"/>
        <v>0</v>
      </c>
      <c r="AX95" s="53">
        <f t="shared" si="23"/>
        <v>0</v>
      </c>
      <c r="AY95" s="54">
        <f t="shared" si="23"/>
        <v>0</v>
      </c>
      <c r="AZ95" s="53">
        <f t="shared" si="23"/>
        <v>0</v>
      </c>
      <c r="BA95" s="54">
        <f t="shared" si="23"/>
        <v>0</v>
      </c>
      <c r="BB95" s="53">
        <f t="shared" si="23"/>
        <v>0</v>
      </c>
      <c r="BC95" s="54">
        <f t="shared" si="23"/>
        <v>0</v>
      </c>
      <c r="BD95" s="53">
        <f t="shared" si="23"/>
        <v>0</v>
      </c>
      <c r="BE95" s="54">
        <f t="shared" si="23"/>
        <v>0</v>
      </c>
      <c r="BF95" s="53">
        <f t="shared" si="23"/>
        <v>0</v>
      </c>
      <c r="BG95" s="54">
        <f t="shared" si="23"/>
        <v>0</v>
      </c>
      <c r="BH95" s="193"/>
      <c r="BI95" s="193"/>
      <c r="BJ95" s="193"/>
      <c r="BK95" s="193"/>
      <c r="BL95" s="193"/>
      <c r="BM95" s="193"/>
      <c r="BN95" s="193"/>
      <c r="BO95" s="193"/>
      <c r="BP95" s="193"/>
      <c r="BQ95" s="193"/>
      <c r="BR95" s="193"/>
      <c r="BS95" s="193"/>
      <c r="BT95" s="193"/>
      <c r="BU95" s="193"/>
      <c r="BV95" s="193"/>
      <c r="BW95" s="193"/>
      <c r="BX95" s="193"/>
      <c r="BY95" s="193"/>
      <c r="BZ95" s="193"/>
      <c r="CA95" s="193"/>
      <c r="CB95" s="32">
        <f>+SUBTOTAL(9,CB93:CB94)</f>
        <v>0</v>
      </c>
      <c r="CC95" s="33">
        <f>+CB95/C95</f>
        <v>0</v>
      </c>
    </row>
    <row r="99" spans="1:82" ht="17.25" customHeight="1">
      <c r="A99" s="5" t="s">
        <v>3953</v>
      </c>
      <c r="B99" s="5"/>
    </row>
    <row r="100" spans="1:82" ht="17.25" customHeight="1">
      <c r="A100" s="5"/>
      <c r="B100" s="5"/>
    </row>
    <row r="101" spans="1:82" s="9" customFormat="1" ht="17.25" customHeight="1">
      <c r="A101" s="6" t="s">
        <v>3944</v>
      </c>
      <c r="B101" s="6" t="s">
        <v>3958</v>
      </c>
      <c r="C101" s="6" t="s">
        <v>3949</v>
      </c>
      <c r="D101" s="60">
        <f>D$5</f>
        <v>43231</v>
      </c>
      <c r="E101" s="61"/>
      <c r="F101" s="60">
        <f>F$5</f>
        <v>43232</v>
      </c>
      <c r="G101" s="61"/>
      <c r="H101" s="60">
        <f>H$5</f>
        <v>43233</v>
      </c>
      <c r="I101" s="61"/>
      <c r="J101" s="60">
        <f>J$5</f>
        <v>43234</v>
      </c>
      <c r="K101" s="61"/>
      <c r="L101" s="60">
        <f>L$5</f>
        <v>43235</v>
      </c>
      <c r="M101" s="61"/>
      <c r="N101" s="60">
        <f>N$5</f>
        <v>43236</v>
      </c>
      <c r="O101" s="61"/>
      <c r="P101" s="60">
        <f>P$5</f>
        <v>43237</v>
      </c>
      <c r="Q101" s="61"/>
      <c r="R101" s="60">
        <f>R$5</f>
        <v>43238</v>
      </c>
      <c r="S101" s="61"/>
      <c r="T101" s="60">
        <f>T$5</f>
        <v>43239</v>
      </c>
      <c r="U101" s="61"/>
      <c r="V101" s="60">
        <f>V$5</f>
        <v>43240</v>
      </c>
      <c r="W101" s="61"/>
      <c r="X101" s="60">
        <f>X$5</f>
        <v>43241</v>
      </c>
      <c r="Y101" s="61"/>
      <c r="Z101" s="60">
        <f>Z$5</f>
        <v>43242</v>
      </c>
      <c r="AA101" s="61"/>
      <c r="AB101" s="60">
        <f>AB$5</f>
        <v>43243</v>
      </c>
      <c r="AC101" s="61"/>
      <c r="AD101" s="60">
        <f>AD$5</f>
        <v>43244</v>
      </c>
      <c r="AE101" s="61"/>
      <c r="AF101" s="60">
        <f>AF$5</f>
        <v>43245</v>
      </c>
      <c r="AG101" s="61"/>
      <c r="AH101" s="60">
        <f>AH$5</f>
        <v>43246</v>
      </c>
      <c r="AI101" s="61"/>
      <c r="AJ101" s="60">
        <f>AJ$5</f>
        <v>43247</v>
      </c>
      <c r="AK101" s="61"/>
      <c r="AL101" s="60">
        <f>AL$5</f>
        <v>43248</v>
      </c>
      <c r="AM101" s="61"/>
      <c r="AN101" s="60">
        <f>AN$5</f>
        <v>43249</v>
      </c>
      <c r="AO101" s="61"/>
      <c r="AP101" s="60">
        <f>AP$5</f>
        <v>43250</v>
      </c>
      <c r="AQ101" s="61"/>
      <c r="AR101" s="60">
        <f>AR$5</f>
        <v>43251</v>
      </c>
      <c r="AS101" s="61"/>
      <c r="AT101" s="60">
        <f>AT$5</f>
        <v>43252</v>
      </c>
      <c r="AU101" s="61"/>
      <c r="AV101" s="60">
        <f>AV$5</f>
        <v>43253</v>
      </c>
      <c r="AW101" s="61"/>
      <c r="AX101" s="60">
        <f>AX$5</f>
        <v>43254</v>
      </c>
      <c r="AY101" s="61"/>
      <c r="AZ101" s="60">
        <f>AZ$5</f>
        <v>43255</v>
      </c>
      <c r="BA101" s="61"/>
      <c r="BB101" s="60">
        <f>BB$5</f>
        <v>43256</v>
      </c>
      <c r="BC101" s="61"/>
      <c r="BD101" s="60">
        <f>BD$5</f>
        <v>43257</v>
      </c>
      <c r="BE101" s="61"/>
      <c r="BF101" s="60">
        <f>BF$5</f>
        <v>43258</v>
      </c>
      <c r="BG101" s="61"/>
      <c r="BH101" s="190"/>
      <c r="BI101" s="190"/>
      <c r="BJ101" s="190"/>
      <c r="BK101" s="190"/>
      <c r="BL101" s="190"/>
      <c r="BM101" s="190"/>
      <c r="BN101" s="190"/>
      <c r="BO101" s="190"/>
      <c r="BP101" s="190"/>
      <c r="BQ101" s="190"/>
      <c r="BR101" s="190"/>
      <c r="BS101" s="190"/>
      <c r="BT101" s="190"/>
      <c r="BU101" s="190"/>
      <c r="BV101" s="190"/>
      <c r="BW101" s="190"/>
      <c r="BX101" s="190"/>
      <c r="BY101" s="190"/>
      <c r="BZ101" s="190"/>
      <c r="CA101" s="190"/>
      <c r="CB101" s="4"/>
      <c r="CC101" s="8"/>
      <c r="CD101" s="8"/>
    </row>
    <row r="102" spans="1:82" s="9" customFormat="1" ht="17.25" customHeight="1">
      <c r="A102" s="10"/>
      <c r="B102" s="10"/>
      <c r="C102" s="11" t="s">
        <v>3963</v>
      </c>
      <c r="D102" s="43" t="s">
        <v>3940</v>
      </c>
      <c r="E102" s="44" t="s">
        <v>3941</v>
      </c>
      <c r="F102" s="43" t="s">
        <v>3940</v>
      </c>
      <c r="G102" s="44" t="s">
        <v>3941</v>
      </c>
      <c r="H102" s="43" t="s">
        <v>3940</v>
      </c>
      <c r="I102" s="44" t="s">
        <v>3941</v>
      </c>
      <c r="J102" s="43" t="s">
        <v>3940</v>
      </c>
      <c r="K102" s="44" t="s">
        <v>3941</v>
      </c>
      <c r="L102" s="43" t="s">
        <v>3940</v>
      </c>
      <c r="M102" s="44" t="s">
        <v>3941</v>
      </c>
      <c r="N102" s="43" t="s">
        <v>3940</v>
      </c>
      <c r="O102" s="44" t="s">
        <v>3941</v>
      </c>
      <c r="P102" s="43" t="s">
        <v>3940</v>
      </c>
      <c r="Q102" s="44" t="s">
        <v>3941</v>
      </c>
      <c r="R102" s="43" t="s">
        <v>3940</v>
      </c>
      <c r="S102" s="44" t="s">
        <v>3941</v>
      </c>
      <c r="T102" s="43" t="s">
        <v>3940</v>
      </c>
      <c r="U102" s="44" t="s">
        <v>3941</v>
      </c>
      <c r="V102" s="43" t="s">
        <v>3940</v>
      </c>
      <c r="W102" s="44" t="s">
        <v>3941</v>
      </c>
      <c r="X102" s="43" t="s">
        <v>3940</v>
      </c>
      <c r="Y102" s="44" t="s">
        <v>3941</v>
      </c>
      <c r="Z102" s="43" t="s">
        <v>3940</v>
      </c>
      <c r="AA102" s="44" t="s">
        <v>3941</v>
      </c>
      <c r="AB102" s="43" t="s">
        <v>3940</v>
      </c>
      <c r="AC102" s="44" t="s">
        <v>3941</v>
      </c>
      <c r="AD102" s="43" t="s">
        <v>3940</v>
      </c>
      <c r="AE102" s="44" t="s">
        <v>3941</v>
      </c>
      <c r="AF102" s="43" t="s">
        <v>3940</v>
      </c>
      <c r="AG102" s="44" t="s">
        <v>3941</v>
      </c>
      <c r="AH102" s="43" t="s">
        <v>3940</v>
      </c>
      <c r="AI102" s="44" t="s">
        <v>3941</v>
      </c>
      <c r="AJ102" s="43" t="s">
        <v>3940</v>
      </c>
      <c r="AK102" s="44" t="s">
        <v>3941</v>
      </c>
      <c r="AL102" s="43" t="s">
        <v>3940</v>
      </c>
      <c r="AM102" s="44" t="s">
        <v>3941</v>
      </c>
      <c r="AN102" s="43" t="s">
        <v>3940</v>
      </c>
      <c r="AO102" s="44" t="s">
        <v>3941</v>
      </c>
      <c r="AP102" s="43" t="s">
        <v>3940</v>
      </c>
      <c r="AQ102" s="44" t="s">
        <v>3941</v>
      </c>
      <c r="AR102" s="43" t="s">
        <v>3940</v>
      </c>
      <c r="AS102" s="44" t="s">
        <v>3941</v>
      </c>
      <c r="AT102" s="43" t="s">
        <v>3940</v>
      </c>
      <c r="AU102" s="44" t="s">
        <v>3941</v>
      </c>
      <c r="AV102" s="43" t="s">
        <v>3940</v>
      </c>
      <c r="AW102" s="44" t="s">
        <v>3941</v>
      </c>
      <c r="AX102" s="43" t="s">
        <v>3940</v>
      </c>
      <c r="AY102" s="44" t="s">
        <v>3941</v>
      </c>
      <c r="AZ102" s="43" t="s">
        <v>3940</v>
      </c>
      <c r="BA102" s="44" t="s">
        <v>3941</v>
      </c>
      <c r="BB102" s="43" t="s">
        <v>3940</v>
      </c>
      <c r="BC102" s="44" t="s">
        <v>3941</v>
      </c>
      <c r="BD102" s="43" t="s">
        <v>3940</v>
      </c>
      <c r="BE102" s="44" t="s">
        <v>3941</v>
      </c>
      <c r="BF102" s="43" t="s">
        <v>3940</v>
      </c>
      <c r="BG102" s="44" t="s">
        <v>3941</v>
      </c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7"/>
      <c r="BV102" s="7"/>
      <c r="BW102" s="7"/>
      <c r="BX102" s="7"/>
      <c r="BY102" s="7"/>
      <c r="BZ102" s="7"/>
      <c r="CA102" s="7"/>
      <c r="CB102" s="12" t="s">
        <v>3964</v>
      </c>
      <c r="CC102" s="12" t="s">
        <v>3943</v>
      </c>
      <c r="CD102" s="8"/>
    </row>
    <row r="103" spans="1:82" s="20" customFormat="1" ht="27" customHeight="1">
      <c r="A103" s="22" t="s">
        <v>2</v>
      </c>
      <c r="B103" s="24" t="s">
        <v>3962</v>
      </c>
      <c r="C103" s="28">
        <v>1</v>
      </c>
      <c r="D103" s="51"/>
      <c r="E103" s="52"/>
      <c r="F103" s="51"/>
      <c r="G103" s="52"/>
      <c r="H103" s="51"/>
      <c r="I103" s="52"/>
      <c r="J103" s="51"/>
      <c r="K103" s="52"/>
      <c r="L103" s="51"/>
      <c r="M103" s="52"/>
      <c r="N103" s="51"/>
      <c r="O103" s="52"/>
      <c r="P103" s="51"/>
      <c r="Q103" s="52"/>
      <c r="R103" s="51"/>
      <c r="S103" s="52"/>
      <c r="T103" s="51"/>
      <c r="U103" s="52"/>
      <c r="V103" s="51"/>
      <c r="W103" s="52"/>
      <c r="X103" s="51"/>
      <c r="Y103" s="52"/>
      <c r="Z103" s="51"/>
      <c r="AA103" s="52"/>
      <c r="AB103" s="51"/>
      <c r="AC103" s="52"/>
      <c r="AD103" s="51"/>
      <c r="AE103" s="52"/>
      <c r="AF103" s="51"/>
      <c r="AG103" s="52"/>
      <c r="AH103" s="51"/>
      <c r="AI103" s="52"/>
      <c r="AJ103" s="51"/>
      <c r="AK103" s="52"/>
      <c r="AL103" s="51"/>
      <c r="AM103" s="52"/>
      <c r="AN103" s="51"/>
      <c r="AO103" s="52"/>
      <c r="AP103" s="51"/>
      <c r="AQ103" s="52"/>
      <c r="AR103" s="51"/>
      <c r="AS103" s="52"/>
      <c r="AT103" s="51"/>
      <c r="AU103" s="52"/>
      <c r="AV103" s="51"/>
      <c r="AW103" s="52"/>
      <c r="AX103" s="51"/>
      <c r="AY103" s="52"/>
      <c r="AZ103" s="51"/>
      <c r="BA103" s="52"/>
      <c r="BB103" s="51"/>
      <c r="BC103" s="52"/>
      <c r="BD103" s="51"/>
      <c r="BE103" s="52"/>
      <c r="BF103" s="51"/>
      <c r="BG103" s="52"/>
      <c r="BH103" s="192"/>
      <c r="BI103" s="192"/>
      <c r="BJ103" s="192"/>
      <c r="BK103" s="192"/>
      <c r="BL103" s="192"/>
      <c r="BM103" s="192"/>
      <c r="BN103" s="192"/>
      <c r="BO103" s="192"/>
      <c r="BP103" s="192"/>
      <c r="BQ103" s="192"/>
      <c r="BR103" s="192"/>
      <c r="BS103" s="192"/>
      <c r="BT103" s="192"/>
      <c r="BU103" s="192"/>
      <c r="BV103" s="192"/>
      <c r="BW103" s="192"/>
      <c r="BX103" s="192"/>
      <c r="BY103" s="192"/>
      <c r="BZ103" s="192"/>
      <c r="CA103" s="192"/>
      <c r="CB103" s="21">
        <f>SUMIF($D$6:$BG$6,"Act",D103:BG103)</f>
        <v>0</v>
      </c>
      <c r="CC103" s="21">
        <f>CB103/C103</f>
        <v>0</v>
      </c>
    </row>
    <row r="104" spans="1:82" s="20" customFormat="1" ht="27" customHeight="1">
      <c r="A104" s="22" t="s">
        <v>4</v>
      </c>
      <c r="B104" s="24" t="s">
        <v>3973</v>
      </c>
      <c r="C104" s="28">
        <v>1</v>
      </c>
      <c r="D104" s="51"/>
      <c r="E104" s="52"/>
      <c r="F104" s="51"/>
      <c r="G104" s="52"/>
      <c r="H104" s="51"/>
      <c r="I104" s="52"/>
      <c r="J104" s="51"/>
      <c r="K104" s="52"/>
      <c r="L104" s="51"/>
      <c r="M104" s="52"/>
      <c r="N104" s="51"/>
      <c r="O104" s="52"/>
      <c r="P104" s="51"/>
      <c r="Q104" s="52"/>
      <c r="R104" s="51"/>
      <c r="S104" s="52"/>
      <c r="T104" s="51"/>
      <c r="U104" s="52"/>
      <c r="V104" s="51"/>
      <c r="W104" s="52"/>
      <c r="X104" s="51"/>
      <c r="Y104" s="52"/>
      <c r="Z104" s="51"/>
      <c r="AA104" s="52"/>
      <c r="AB104" s="51"/>
      <c r="AC104" s="52"/>
      <c r="AD104" s="51"/>
      <c r="AE104" s="52"/>
      <c r="AF104" s="51"/>
      <c r="AG104" s="52"/>
      <c r="AH104" s="51"/>
      <c r="AI104" s="52"/>
      <c r="AJ104" s="51"/>
      <c r="AK104" s="52"/>
      <c r="AL104" s="51"/>
      <c r="AM104" s="52"/>
      <c r="AN104" s="51"/>
      <c r="AO104" s="52"/>
      <c r="AP104" s="51"/>
      <c r="AQ104" s="52"/>
      <c r="AR104" s="51"/>
      <c r="AS104" s="52"/>
      <c r="AT104" s="51"/>
      <c r="AU104" s="52"/>
      <c r="AV104" s="51"/>
      <c r="AW104" s="52"/>
      <c r="AX104" s="51"/>
      <c r="AY104" s="52"/>
      <c r="AZ104" s="51"/>
      <c r="BA104" s="52"/>
      <c r="BB104" s="51"/>
      <c r="BC104" s="52"/>
      <c r="BD104" s="51"/>
      <c r="BE104" s="52"/>
      <c r="BF104" s="51"/>
      <c r="BG104" s="52"/>
      <c r="BH104" s="192"/>
      <c r="BI104" s="192"/>
      <c r="BJ104" s="192"/>
      <c r="BK104" s="192"/>
      <c r="BL104" s="192"/>
      <c r="BM104" s="192"/>
      <c r="BN104" s="192"/>
      <c r="BO104" s="192"/>
      <c r="BP104" s="192"/>
      <c r="BQ104" s="192"/>
      <c r="BR104" s="192"/>
      <c r="BS104" s="192"/>
      <c r="BT104" s="192"/>
      <c r="BU104" s="192"/>
      <c r="BV104" s="192"/>
      <c r="BW104" s="192"/>
      <c r="BX104" s="192"/>
      <c r="BY104" s="192"/>
      <c r="BZ104" s="192"/>
      <c r="CA104" s="192"/>
      <c r="CB104" s="21">
        <f>SUMIF($D$6:$BG$6,"Act",D104:BG104)</f>
        <v>0</v>
      </c>
      <c r="CC104" s="21">
        <f>CB104/C104</f>
        <v>0</v>
      </c>
    </row>
    <row r="105" spans="1:82" s="35" customFormat="1" ht="17.25" customHeight="1">
      <c r="A105" s="32" t="s">
        <v>3942</v>
      </c>
      <c r="B105" s="34"/>
      <c r="C105" s="32">
        <v>1</v>
      </c>
      <c r="D105" s="53">
        <f t="shared" ref="D105:S105" si="24">+SUBTOTAL(9,D103:D104)</f>
        <v>0</v>
      </c>
      <c r="E105" s="54">
        <f t="shared" si="24"/>
        <v>0</v>
      </c>
      <c r="F105" s="53">
        <f t="shared" si="24"/>
        <v>0</v>
      </c>
      <c r="G105" s="54">
        <f t="shared" si="24"/>
        <v>0</v>
      </c>
      <c r="H105" s="53">
        <f t="shared" si="24"/>
        <v>0</v>
      </c>
      <c r="I105" s="54">
        <f t="shared" si="24"/>
        <v>0</v>
      </c>
      <c r="J105" s="53">
        <f t="shared" si="24"/>
        <v>0</v>
      </c>
      <c r="K105" s="54">
        <f t="shared" si="24"/>
        <v>0</v>
      </c>
      <c r="L105" s="53">
        <f t="shared" si="24"/>
        <v>0</v>
      </c>
      <c r="M105" s="54">
        <f t="shared" si="24"/>
        <v>0</v>
      </c>
      <c r="N105" s="53">
        <f t="shared" si="24"/>
        <v>0</v>
      </c>
      <c r="O105" s="54">
        <f t="shared" si="24"/>
        <v>0</v>
      </c>
      <c r="P105" s="53">
        <f t="shared" si="24"/>
        <v>0</v>
      </c>
      <c r="Q105" s="54">
        <f t="shared" si="24"/>
        <v>0</v>
      </c>
      <c r="R105" s="53">
        <f t="shared" si="24"/>
        <v>0</v>
      </c>
      <c r="S105" s="54">
        <f t="shared" si="24"/>
        <v>0</v>
      </c>
      <c r="T105" s="53">
        <f t="shared" ref="T105:CB105" si="25">+SUBTOTAL(9,T103:T104)</f>
        <v>0</v>
      </c>
      <c r="U105" s="54">
        <f t="shared" si="25"/>
        <v>0</v>
      </c>
      <c r="V105" s="53">
        <f t="shared" si="25"/>
        <v>0</v>
      </c>
      <c r="W105" s="54">
        <f t="shared" si="25"/>
        <v>0</v>
      </c>
      <c r="X105" s="53">
        <f t="shared" si="25"/>
        <v>0</v>
      </c>
      <c r="Y105" s="54">
        <f t="shared" si="25"/>
        <v>0</v>
      </c>
      <c r="Z105" s="53">
        <f t="shared" si="25"/>
        <v>0</v>
      </c>
      <c r="AA105" s="54">
        <f t="shared" si="25"/>
        <v>0</v>
      </c>
      <c r="AB105" s="53">
        <f t="shared" si="25"/>
        <v>0</v>
      </c>
      <c r="AC105" s="54">
        <f t="shared" si="25"/>
        <v>0</v>
      </c>
      <c r="AD105" s="53">
        <f t="shared" si="25"/>
        <v>0</v>
      </c>
      <c r="AE105" s="54">
        <f t="shared" si="25"/>
        <v>0</v>
      </c>
      <c r="AF105" s="53">
        <f t="shared" si="25"/>
        <v>0</v>
      </c>
      <c r="AG105" s="54">
        <f t="shared" si="25"/>
        <v>0</v>
      </c>
      <c r="AH105" s="53">
        <f t="shared" si="25"/>
        <v>0</v>
      </c>
      <c r="AI105" s="54">
        <f t="shared" si="25"/>
        <v>0</v>
      </c>
      <c r="AJ105" s="53">
        <f t="shared" si="25"/>
        <v>0</v>
      </c>
      <c r="AK105" s="54">
        <f t="shared" si="25"/>
        <v>0</v>
      </c>
      <c r="AL105" s="53">
        <f t="shared" si="25"/>
        <v>0</v>
      </c>
      <c r="AM105" s="54">
        <f t="shared" si="25"/>
        <v>0</v>
      </c>
      <c r="AN105" s="53">
        <f t="shared" si="25"/>
        <v>0</v>
      </c>
      <c r="AO105" s="54">
        <f t="shared" si="25"/>
        <v>0</v>
      </c>
      <c r="AP105" s="53">
        <f t="shared" si="25"/>
        <v>0</v>
      </c>
      <c r="AQ105" s="54">
        <f t="shared" si="25"/>
        <v>0</v>
      </c>
      <c r="AR105" s="53">
        <f t="shared" si="25"/>
        <v>0</v>
      </c>
      <c r="AS105" s="54">
        <f t="shared" si="25"/>
        <v>0</v>
      </c>
      <c r="AT105" s="53">
        <f>+SUBTOTAL(9,AT103:AT104)</f>
        <v>0</v>
      </c>
      <c r="AU105" s="54">
        <f>+SUBTOTAL(9,AU103:AU104)</f>
        <v>0</v>
      </c>
      <c r="AV105" s="53">
        <f t="shared" si="25"/>
        <v>0</v>
      </c>
      <c r="AW105" s="54">
        <f t="shared" si="25"/>
        <v>0</v>
      </c>
      <c r="AX105" s="53">
        <f>+SUBTOTAL(9,AX103:AX104)</f>
        <v>0</v>
      </c>
      <c r="AY105" s="54">
        <f>+SUBTOTAL(9,AY103:AY104)</f>
        <v>0</v>
      </c>
      <c r="AZ105" s="53">
        <f t="shared" si="25"/>
        <v>0</v>
      </c>
      <c r="BA105" s="54">
        <f t="shared" si="25"/>
        <v>0</v>
      </c>
      <c r="BB105" s="53">
        <f>+SUBTOTAL(9,BB103:BB104)</f>
        <v>0</v>
      </c>
      <c r="BC105" s="54">
        <f>+SUBTOTAL(9,BC103:BC104)</f>
        <v>0</v>
      </c>
      <c r="BD105" s="53">
        <f t="shared" si="25"/>
        <v>0</v>
      </c>
      <c r="BE105" s="54">
        <f t="shared" si="25"/>
        <v>0</v>
      </c>
      <c r="BF105" s="53">
        <f t="shared" si="25"/>
        <v>0</v>
      </c>
      <c r="BG105" s="54">
        <f t="shared" si="25"/>
        <v>0</v>
      </c>
      <c r="BH105" s="193"/>
      <c r="BI105" s="193"/>
      <c r="BJ105" s="193"/>
      <c r="BK105" s="193"/>
      <c r="BL105" s="193"/>
      <c r="BM105" s="193"/>
      <c r="BN105" s="193"/>
      <c r="BO105" s="193"/>
      <c r="BP105" s="193"/>
      <c r="BQ105" s="193"/>
      <c r="BR105" s="193"/>
      <c r="BS105" s="193"/>
      <c r="BT105" s="193"/>
      <c r="BU105" s="193"/>
      <c r="BV105" s="193"/>
      <c r="BW105" s="193"/>
      <c r="BX105" s="193"/>
      <c r="BY105" s="193"/>
      <c r="BZ105" s="193"/>
      <c r="CA105" s="193"/>
      <c r="CB105" s="32">
        <f t="shared" si="25"/>
        <v>0</v>
      </c>
      <c r="CC105" s="33">
        <f>+CB105/C105</f>
        <v>0</v>
      </c>
    </row>
    <row r="109" spans="1:82" ht="17.25" customHeight="1">
      <c r="A109" s="5" t="s">
        <v>3965</v>
      </c>
      <c r="B109" s="5"/>
    </row>
    <row r="110" spans="1:82" ht="17.25" customHeight="1">
      <c r="A110" s="5"/>
      <c r="B110" s="5"/>
    </row>
    <row r="111" spans="1:82" s="9" customFormat="1" ht="26.25" customHeight="1">
      <c r="A111" s="6" t="s">
        <v>3956</v>
      </c>
      <c r="B111" s="6" t="s">
        <v>3958</v>
      </c>
      <c r="C111" s="6" t="s">
        <v>3949</v>
      </c>
      <c r="D111" s="60">
        <f>D$5</f>
        <v>43231</v>
      </c>
      <c r="E111" s="61"/>
      <c r="F111" s="60">
        <f>F$5</f>
        <v>43232</v>
      </c>
      <c r="G111" s="61"/>
      <c r="H111" s="60">
        <f>H$5</f>
        <v>43233</v>
      </c>
      <c r="I111" s="61"/>
      <c r="J111" s="60">
        <f>J$5</f>
        <v>43234</v>
      </c>
      <c r="K111" s="61"/>
      <c r="L111" s="60">
        <f>L$5</f>
        <v>43235</v>
      </c>
      <c r="M111" s="61"/>
      <c r="N111" s="60">
        <f>N$5</f>
        <v>43236</v>
      </c>
      <c r="O111" s="61"/>
      <c r="P111" s="60">
        <f>P$5</f>
        <v>43237</v>
      </c>
      <c r="Q111" s="61"/>
      <c r="R111" s="60">
        <f>R$5</f>
        <v>43238</v>
      </c>
      <c r="S111" s="61"/>
      <c r="T111" s="60">
        <f>T$5</f>
        <v>43239</v>
      </c>
      <c r="U111" s="61"/>
      <c r="V111" s="60">
        <f>V$5</f>
        <v>43240</v>
      </c>
      <c r="W111" s="61"/>
      <c r="X111" s="60">
        <f>X$5</f>
        <v>43241</v>
      </c>
      <c r="Y111" s="61"/>
      <c r="Z111" s="60">
        <f>Z$5</f>
        <v>43242</v>
      </c>
      <c r="AA111" s="61"/>
      <c r="AB111" s="60">
        <f>AB$5</f>
        <v>43243</v>
      </c>
      <c r="AC111" s="61"/>
      <c r="AD111" s="60">
        <f>AD$5</f>
        <v>43244</v>
      </c>
      <c r="AE111" s="61"/>
      <c r="AF111" s="60">
        <f>AF$5</f>
        <v>43245</v>
      </c>
      <c r="AG111" s="61"/>
      <c r="AH111" s="60">
        <f>AH$5</f>
        <v>43246</v>
      </c>
      <c r="AI111" s="61"/>
      <c r="AJ111" s="60">
        <f>AJ$5</f>
        <v>43247</v>
      </c>
      <c r="AK111" s="61"/>
      <c r="AL111" s="60">
        <f>AL$5</f>
        <v>43248</v>
      </c>
      <c r="AM111" s="61"/>
      <c r="AN111" s="60">
        <f>AN$5</f>
        <v>43249</v>
      </c>
      <c r="AO111" s="61"/>
      <c r="AP111" s="60">
        <f>AP$5</f>
        <v>43250</v>
      </c>
      <c r="AQ111" s="61"/>
      <c r="AR111" s="60">
        <f>AR$5</f>
        <v>43251</v>
      </c>
      <c r="AS111" s="61"/>
      <c r="AT111" s="60">
        <f>AT$5</f>
        <v>43252</v>
      </c>
      <c r="AU111" s="61"/>
      <c r="AV111" s="60">
        <f>AV$5</f>
        <v>43253</v>
      </c>
      <c r="AW111" s="61"/>
      <c r="AX111" s="60">
        <f>AX$5</f>
        <v>43254</v>
      </c>
      <c r="AY111" s="61"/>
      <c r="AZ111" s="60">
        <f>AZ$5</f>
        <v>43255</v>
      </c>
      <c r="BA111" s="61"/>
      <c r="BB111" s="60">
        <f>BB$5</f>
        <v>43256</v>
      </c>
      <c r="BC111" s="61"/>
      <c r="BD111" s="60">
        <f>BD$5</f>
        <v>43257</v>
      </c>
      <c r="BE111" s="61"/>
      <c r="BF111" s="60">
        <f>BF$5</f>
        <v>43258</v>
      </c>
      <c r="BG111" s="61"/>
      <c r="BH111" s="190"/>
      <c r="BI111" s="190"/>
      <c r="BJ111" s="190"/>
      <c r="BK111" s="190"/>
      <c r="BL111" s="190"/>
      <c r="BM111" s="190"/>
      <c r="BN111" s="190"/>
      <c r="BO111" s="190"/>
      <c r="BP111" s="190"/>
      <c r="BQ111" s="190"/>
      <c r="BR111" s="190"/>
      <c r="BS111" s="190"/>
      <c r="BT111" s="190"/>
      <c r="BU111" s="190"/>
      <c r="BV111" s="190"/>
      <c r="BW111" s="190"/>
      <c r="BX111" s="190"/>
      <c r="BY111" s="190"/>
      <c r="BZ111" s="190"/>
      <c r="CA111" s="190"/>
      <c r="CB111" s="4"/>
      <c r="CC111" s="8"/>
      <c r="CD111" s="8"/>
    </row>
    <row r="112" spans="1:82" s="9" customFormat="1" ht="17.25" customHeight="1">
      <c r="A112" s="10"/>
      <c r="B112" s="10"/>
      <c r="C112" s="11" t="s">
        <v>3963</v>
      </c>
      <c r="D112" s="43" t="s">
        <v>3940</v>
      </c>
      <c r="E112" s="44" t="s">
        <v>3941</v>
      </c>
      <c r="F112" s="43" t="s">
        <v>3940</v>
      </c>
      <c r="G112" s="44" t="s">
        <v>3941</v>
      </c>
      <c r="H112" s="43" t="s">
        <v>3940</v>
      </c>
      <c r="I112" s="44" t="s">
        <v>3941</v>
      </c>
      <c r="J112" s="43" t="s">
        <v>3940</v>
      </c>
      <c r="K112" s="44" t="s">
        <v>3941</v>
      </c>
      <c r="L112" s="43" t="s">
        <v>3940</v>
      </c>
      <c r="M112" s="44" t="s">
        <v>3941</v>
      </c>
      <c r="N112" s="43" t="s">
        <v>3940</v>
      </c>
      <c r="O112" s="44" t="s">
        <v>3941</v>
      </c>
      <c r="P112" s="43" t="s">
        <v>3940</v>
      </c>
      <c r="Q112" s="44" t="s">
        <v>3941</v>
      </c>
      <c r="R112" s="43" t="s">
        <v>3940</v>
      </c>
      <c r="S112" s="44" t="s">
        <v>3941</v>
      </c>
      <c r="T112" s="43" t="s">
        <v>3940</v>
      </c>
      <c r="U112" s="44" t="s">
        <v>3941</v>
      </c>
      <c r="V112" s="43" t="s">
        <v>3940</v>
      </c>
      <c r="W112" s="44" t="s">
        <v>3941</v>
      </c>
      <c r="X112" s="43" t="s">
        <v>3940</v>
      </c>
      <c r="Y112" s="44" t="s">
        <v>3941</v>
      </c>
      <c r="Z112" s="43" t="s">
        <v>3940</v>
      </c>
      <c r="AA112" s="44" t="s">
        <v>3941</v>
      </c>
      <c r="AB112" s="43" t="s">
        <v>3940</v>
      </c>
      <c r="AC112" s="44" t="s">
        <v>3941</v>
      </c>
      <c r="AD112" s="43" t="s">
        <v>3940</v>
      </c>
      <c r="AE112" s="44" t="s">
        <v>3941</v>
      </c>
      <c r="AF112" s="43" t="s">
        <v>3940</v>
      </c>
      <c r="AG112" s="44" t="s">
        <v>3941</v>
      </c>
      <c r="AH112" s="43" t="s">
        <v>3940</v>
      </c>
      <c r="AI112" s="44" t="s">
        <v>3941</v>
      </c>
      <c r="AJ112" s="43" t="s">
        <v>3940</v>
      </c>
      <c r="AK112" s="44" t="s">
        <v>3941</v>
      </c>
      <c r="AL112" s="43" t="s">
        <v>3940</v>
      </c>
      <c r="AM112" s="44" t="s">
        <v>3941</v>
      </c>
      <c r="AN112" s="43" t="s">
        <v>3940</v>
      </c>
      <c r="AO112" s="44" t="s">
        <v>3941</v>
      </c>
      <c r="AP112" s="43" t="s">
        <v>3940</v>
      </c>
      <c r="AQ112" s="44" t="s">
        <v>3941</v>
      </c>
      <c r="AR112" s="43" t="s">
        <v>3940</v>
      </c>
      <c r="AS112" s="44" t="s">
        <v>3941</v>
      </c>
      <c r="AT112" s="43" t="s">
        <v>3940</v>
      </c>
      <c r="AU112" s="44" t="s">
        <v>3941</v>
      </c>
      <c r="AV112" s="43" t="s">
        <v>3940</v>
      </c>
      <c r="AW112" s="44" t="s">
        <v>3941</v>
      </c>
      <c r="AX112" s="43" t="s">
        <v>3940</v>
      </c>
      <c r="AY112" s="44" t="s">
        <v>3941</v>
      </c>
      <c r="AZ112" s="43" t="s">
        <v>3940</v>
      </c>
      <c r="BA112" s="44" t="s">
        <v>3941</v>
      </c>
      <c r="BB112" s="43" t="s">
        <v>3940</v>
      </c>
      <c r="BC112" s="44" t="s">
        <v>3941</v>
      </c>
      <c r="BD112" s="43" t="s">
        <v>3940</v>
      </c>
      <c r="BE112" s="44" t="s">
        <v>3941</v>
      </c>
      <c r="BF112" s="43" t="s">
        <v>3940</v>
      </c>
      <c r="BG112" s="44" t="s">
        <v>3941</v>
      </c>
      <c r="BH112" s="7"/>
      <c r="BI112" s="7"/>
      <c r="BJ112" s="7"/>
      <c r="BK112" s="7"/>
      <c r="BL112" s="7"/>
      <c r="BM112" s="7"/>
      <c r="BN112" s="7"/>
      <c r="BO112" s="7"/>
      <c r="BP112" s="7"/>
      <c r="BQ112" s="7"/>
      <c r="BR112" s="7"/>
      <c r="BS112" s="7"/>
      <c r="BT112" s="7"/>
      <c r="BU112" s="7"/>
      <c r="BV112" s="7"/>
      <c r="BW112" s="7"/>
      <c r="BX112" s="7"/>
      <c r="BY112" s="7"/>
      <c r="BZ112" s="7"/>
      <c r="CA112" s="7"/>
      <c r="CB112" s="12" t="s">
        <v>3964</v>
      </c>
      <c r="CC112" s="12" t="s">
        <v>3943</v>
      </c>
      <c r="CD112" s="8"/>
    </row>
    <row r="113" spans="1:81" s="20" customFormat="1" ht="30.75" customHeight="1">
      <c r="A113" s="22" t="s">
        <v>4</v>
      </c>
      <c r="B113" s="24" t="s">
        <v>3957</v>
      </c>
      <c r="C113" s="28"/>
      <c r="D113" s="51"/>
      <c r="E113" s="52"/>
      <c r="F113" s="51"/>
      <c r="G113" s="52"/>
      <c r="H113" s="51"/>
      <c r="I113" s="52"/>
      <c r="J113" s="51"/>
      <c r="K113" s="52"/>
      <c r="L113" s="51"/>
      <c r="M113" s="52"/>
      <c r="N113" s="51"/>
      <c r="O113" s="52"/>
      <c r="P113" s="51"/>
      <c r="Q113" s="52"/>
      <c r="R113" s="51"/>
      <c r="S113" s="52"/>
      <c r="T113" s="51"/>
      <c r="U113" s="52"/>
      <c r="V113" s="51"/>
      <c r="W113" s="52"/>
      <c r="X113" s="51"/>
      <c r="Y113" s="52"/>
      <c r="Z113" s="51"/>
      <c r="AA113" s="52"/>
      <c r="AB113" s="51"/>
      <c r="AC113" s="52"/>
      <c r="AD113" s="51"/>
      <c r="AE113" s="52"/>
      <c r="AF113" s="51"/>
      <c r="AG113" s="52"/>
      <c r="AH113" s="51"/>
      <c r="AI113" s="52"/>
      <c r="AJ113" s="51"/>
      <c r="AK113" s="52"/>
      <c r="AL113" s="51"/>
      <c r="AM113" s="52"/>
      <c r="AN113" s="51"/>
      <c r="AO113" s="52"/>
      <c r="AP113" s="51"/>
      <c r="AQ113" s="52"/>
      <c r="AR113" s="51"/>
      <c r="AS113" s="52"/>
      <c r="AT113" s="51"/>
      <c r="AU113" s="52"/>
      <c r="AV113" s="51"/>
      <c r="AW113" s="52"/>
      <c r="AX113" s="51"/>
      <c r="AY113" s="52"/>
      <c r="AZ113" s="51"/>
      <c r="BA113" s="52"/>
      <c r="BB113" s="51"/>
      <c r="BC113" s="52"/>
      <c r="BD113" s="51"/>
      <c r="BE113" s="52"/>
      <c r="BF113" s="51"/>
      <c r="BG113" s="52"/>
      <c r="BH113" s="192"/>
      <c r="BI113" s="192"/>
      <c r="BJ113" s="192"/>
      <c r="BK113" s="192"/>
      <c r="BL113" s="192"/>
      <c r="BM113" s="192"/>
      <c r="BN113" s="192"/>
      <c r="BO113" s="192"/>
      <c r="BP113" s="192"/>
      <c r="BQ113" s="192"/>
      <c r="BR113" s="192"/>
      <c r="BS113" s="192"/>
      <c r="BT113" s="192"/>
      <c r="BU113" s="192"/>
      <c r="BV113" s="192"/>
      <c r="BW113" s="192"/>
      <c r="BX113" s="192"/>
      <c r="BY113" s="192"/>
      <c r="BZ113" s="192"/>
      <c r="CA113" s="192"/>
      <c r="CB113" s="21">
        <f t="shared" ref="CB113:CB126" si="26">SUMIF($D$6:$BG$6,"Act",D113:BG113)</f>
        <v>0</v>
      </c>
      <c r="CC113" s="21" t="e">
        <f t="shared" ref="CC113:CC126" si="27">CB113/C113</f>
        <v>#DIV/0!</v>
      </c>
    </row>
    <row r="114" spans="1:81" s="20" customFormat="1" ht="30.75" customHeight="1">
      <c r="A114" s="22" t="s">
        <v>4</v>
      </c>
      <c r="B114" s="24" t="s">
        <v>3954</v>
      </c>
      <c r="C114" s="28"/>
      <c r="D114" s="51"/>
      <c r="E114" s="52"/>
      <c r="F114" s="51"/>
      <c r="G114" s="52"/>
      <c r="H114" s="51"/>
      <c r="I114" s="52"/>
      <c r="J114" s="51"/>
      <c r="K114" s="52"/>
      <c r="L114" s="51"/>
      <c r="M114" s="52"/>
      <c r="N114" s="51"/>
      <c r="O114" s="52"/>
      <c r="P114" s="51"/>
      <c r="Q114" s="52"/>
      <c r="R114" s="51"/>
      <c r="S114" s="52"/>
      <c r="T114" s="51"/>
      <c r="U114" s="52"/>
      <c r="V114" s="51"/>
      <c r="W114" s="52"/>
      <c r="X114" s="51"/>
      <c r="Y114" s="52"/>
      <c r="Z114" s="51"/>
      <c r="AA114" s="52"/>
      <c r="AB114" s="51"/>
      <c r="AC114" s="52"/>
      <c r="AD114" s="51"/>
      <c r="AE114" s="52"/>
      <c r="AF114" s="51"/>
      <c r="AG114" s="52"/>
      <c r="AH114" s="51"/>
      <c r="AI114" s="52"/>
      <c r="AJ114" s="51"/>
      <c r="AK114" s="52"/>
      <c r="AL114" s="51"/>
      <c r="AM114" s="52"/>
      <c r="AN114" s="51"/>
      <c r="AO114" s="52"/>
      <c r="AP114" s="51"/>
      <c r="AQ114" s="52"/>
      <c r="AR114" s="51"/>
      <c r="AS114" s="52"/>
      <c r="AT114" s="51"/>
      <c r="AU114" s="52"/>
      <c r="AV114" s="51"/>
      <c r="AW114" s="52"/>
      <c r="AX114" s="51"/>
      <c r="AY114" s="52"/>
      <c r="AZ114" s="51"/>
      <c r="BA114" s="52"/>
      <c r="BB114" s="51"/>
      <c r="BC114" s="52"/>
      <c r="BD114" s="51"/>
      <c r="BE114" s="52"/>
      <c r="BF114" s="51"/>
      <c r="BG114" s="52"/>
      <c r="BH114" s="192"/>
      <c r="BI114" s="192"/>
      <c r="BJ114" s="192"/>
      <c r="BK114" s="192"/>
      <c r="BL114" s="192"/>
      <c r="BM114" s="192"/>
      <c r="BN114" s="192"/>
      <c r="BO114" s="192"/>
      <c r="BP114" s="192"/>
      <c r="BQ114" s="192"/>
      <c r="BR114" s="192"/>
      <c r="BS114" s="192"/>
      <c r="BT114" s="192"/>
      <c r="BU114" s="192"/>
      <c r="BV114" s="192"/>
      <c r="BW114" s="192"/>
      <c r="BX114" s="192"/>
      <c r="BY114" s="192"/>
      <c r="BZ114" s="192"/>
      <c r="CA114" s="192"/>
      <c r="CB114" s="21">
        <f t="shared" si="26"/>
        <v>0</v>
      </c>
      <c r="CC114" s="21" t="e">
        <f t="shared" si="27"/>
        <v>#DIV/0!</v>
      </c>
    </row>
    <row r="115" spans="1:81" s="20" customFormat="1" ht="30.75" customHeight="1">
      <c r="A115" s="24" t="s">
        <v>4</v>
      </c>
      <c r="B115" s="24" t="s">
        <v>3985</v>
      </c>
      <c r="C115" s="28"/>
      <c r="D115" s="51"/>
      <c r="E115" s="52"/>
      <c r="F115" s="51"/>
      <c r="G115" s="52"/>
      <c r="H115" s="51"/>
      <c r="I115" s="52"/>
      <c r="J115" s="51"/>
      <c r="K115" s="52"/>
      <c r="L115" s="51"/>
      <c r="M115" s="52"/>
      <c r="N115" s="51"/>
      <c r="O115" s="52"/>
      <c r="P115" s="51"/>
      <c r="Q115" s="52"/>
      <c r="R115" s="51"/>
      <c r="S115" s="52"/>
      <c r="T115" s="51"/>
      <c r="U115" s="52"/>
      <c r="V115" s="51"/>
      <c r="W115" s="52"/>
      <c r="X115" s="51"/>
      <c r="Y115" s="52"/>
      <c r="Z115" s="51"/>
      <c r="AA115" s="52"/>
      <c r="AB115" s="51"/>
      <c r="AC115" s="52"/>
      <c r="AD115" s="51"/>
      <c r="AE115" s="52"/>
      <c r="AF115" s="51"/>
      <c r="AG115" s="52"/>
      <c r="AH115" s="51"/>
      <c r="AI115" s="52"/>
      <c r="AJ115" s="51"/>
      <c r="AK115" s="52"/>
      <c r="AL115" s="51"/>
      <c r="AM115" s="52"/>
      <c r="AN115" s="51"/>
      <c r="AO115" s="52"/>
      <c r="AP115" s="51"/>
      <c r="AQ115" s="52"/>
      <c r="AR115" s="51"/>
      <c r="AS115" s="52"/>
      <c r="AT115" s="51"/>
      <c r="AU115" s="52"/>
      <c r="AV115" s="51"/>
      <c r="AW115" s="52"/>
      <c r="AX115" s="51"/>
      <c r="AY115" s="52"/>
      <c r="AZ115" s="51"/>
      <c r="BA115" s="52"/>
      <c r="BB115" s="51"/>
      <c r="BC115" s="52"/>
      <c r="BD115" s="51"/>
      <c r="BE115" s="52"/>
      <c r="BF115" s="51"/>
      <c r="BG115" s="52"/>
      <c r="BH115" s="192"/>
      <c r="BI115" s="192"/>
      <c r="BJ115" s="192"/>
      <c r="BK115" s="192"/>
      <c r="BL115" s="192"/>
      <c r="BM115" s="192"/>
      <c r="BN115" s="192"/>
      <c r="BO115" s="192"/>
      <c r="BP115" s="192"/>
      <c r="BQ115" s="192"/>
      <c r="BR115" s="192"/>
      <c r="BS115" s="192"/>
      <c r="BT115" s="192"/>
      <c r="BU115" s="192"/>
      <c r="BV115" s="192"/>
      <c r="BW115" s="192"/>
      <c r="BX115" s="192"/>
      <c r="BY115" s="192"/>
      <c r="BZ115" s="192"/>
      <c r="CA115" s="192"/>
      <c r="CB115" s="62">
        <f t="shared" si="26"/>
        <v>0</v>
      </c>
      <c r="CC115" s="62" t="e">
        <f t="shared" si="27"/>
        <v>#DIV/0!</v>
      </c>
    </row>
    <row r="116" spans="1:81" s="20" customFormat="1" ht="40.5" customHeight="1">
      <c r="A116" s="24" t="s">
        <v>4</v>
      </c>
      <c r="B116" s="24" t="s">
        <v>3986</v>
      </c>
      <c r="C116" s="28"/>
      <c r="D116" s="51"/>
      <c r="E116" s="52"/>
      <c r="F116" s="51"/>
      <c r="G116" s="52"/>
      <c r="H116" s="51"/>
      <c r="I116" s="52"/>
      <c r="J116" s="51"/>
      <c r="K116" s="52"/>
      <c r="L116" s="51"/>
      <c r="M116" s="52"/>
      <c r="N116" s="51"/>
      <c r="O116" s="52"/>
      <c r="P116" s="51"/>
      <c r="Q116" s="52"/>
      <c r="R116" s="51"/>
      <c r="S116" s="52"/>
      <c r="T116" s="51"/>
      <c r="U116" s="52"/>
      <c r="V116" s="51"/>
      <c r="W116" s="52"/>
      <c r="X116" s="51"/>
      <c r="Y116" s="52"/>
      <c r="Z116" s="51"/>
      <c r="AA116" s="52"/>
      <c r="AB116" s="51"/>
      <c r="AC116" s="52"/>
      <c r="AD116" s="51"/>
      <c r="AE116" s="52"/>
      <c r="AF116" s="51"/>
      <c r="AG116" s="52"/>
      <c r="AH116" s="51"/>
      <c r="AI116" s="52"/>
      <c r="AJ116" s="51"/>
      <c r="AK116" s="52"/>
      <c r="AL116" s="51"/>
      <c r="AM116" s="52"/>
      <c r="AN116" s="51"/>
      <c r="AO116" s="52"/>
      <c r="AP116" s="51"/>
      <c r="AQ116" s="52"/>
      <c r="AR116" s="51"/>
      <c r="AS116" s="52"/>
      <c r="AT116" s="51"/>
      <c r="AU116" s="52"/>
      <c r="AV116" s="51"/>
      <c r="AW116" s="52"/>
      <c r="AX116" s="51"/>
      <c r="AY116" s="52"/>
      <c r="AZ116" s="51"/>
      <c r="BA116" s="52"/>
      <c r="BB116" s="51"/>
      <c r="BC116" s="52"/>
      <c r="BD116" s="51"/>
      <c r="BE116" s="52"/>
      <c r="BF116" s="51"/>
      <c r="BG116" s="52"/>
      <c r="BH116" s="192"/>
      <c r="BI116" s="192"/>
      <c r="BJ116" s="192"/>
      <c r="BK116" s="192"/>
      <c r="BL116" s="192"/>
      <c r="BM116" s="192"/>
      <c r="BN116" s="192"/>
      <c r="BO116" s="192"/>
      <c r="BP116" s="192"/>
      <c r="BQ116" s="192"/>
      <c r="BR116" s="192"/>
      <c r="BS116" s="192"/>
      <c r="BT116" s="192"/>
      <c r="BU116" s="192"/>
      <c r="BV116" s="192"/>
      <c r="BW116" s="192"/>
      <c r="BX116" s="192"/>
      <c r="BY116" s="192"/>
      <c r="BZ116" s="192"/>
      <c r="CA116" s="192"/>
      <c r="CB116" s="62">
        <f t="shared" si="26"/>
        <v>0</v>
      </c>
      <c r="CC116" s="62" t="e">
        <f t="shared" si="27"/>
        <v>#DIV/0!</v>
      </c>
    </row>
    <row r="117" spans="1:81" s="20" customFormat="1" ht="51" customHeight="1">
      <c r="A117" s="24" t="s">
        <v>4</v>
      </c>
      <c r="B117" s="24" t="s">
        <v>3995</v>
      </c>
      <c r="C117" s="28"/>
      <c r="D117" s="51"/>
      <c r="E117" s="52"/>
      <c r="F117" s="51"/>
      <c r="G117" s="52"/>
      <c r="H117" s="51"/>
      <c r="I117" s="52"/>
      <c r="J117" s="51"/>
      <c r="K117" s="52"/>
      <c r="L117" s="51"/>
      <c r="M117" s="52"/>
      <c r="N117" s="51"/>
      <c r="O117" s="52"/>
      <c r="P117" s="51"/>
      <c r="Q117" s="52"/>
      <c r="R117" s="51"/>
      <c r="S117" s="52"/>
      <c r="T117" s="51"/>
      <c r="U117" s="52"/>
      <c r="V117" s="51"/>
      <c r="W117" s="52"/>
      <c r="X117" s="51"/>
      <c r="Y117" s="52"/>
      <c r="Z117" s="51"/>
      <c r="AA117" s="52"/>
      <c r="AB117" s="51"/>
      <c r="AC117" s="52"/>
      <c r="AD117" s="51"/>
      <c r="AE117" s="52"/>
      <c r="AF117" s="51"/>
      <c r="AG117" s="52"/>
      <c r="AH117" s="51"/>
      <c r="AI117" s="52"/>
      <c r="AJ117" s="51"/>
      <c r="AK117" s="52"/>
      <c r="AL117" s="51"/>
      <c r="AM117" s="52"/>
      <c r="AN117" s="51"/>
      <c r="AO117" s="52"/>
      <c r="AP117" s="51"/>
      <c r="AQ117" s="52"/>
      <c r="AR117" s="51"/>
      <c r="AS117" s="52"/>
      <c r="AT117" s="51"/>
      <c r="AU117" s="52"/>
      <c r="AV117" s="51"/>
      <c r="AW117" s="52"/>
      <c r="AX117" s="51"/>
      <c r="AY117" s="52"/>
      <c r="AZ117" s="51"/>
      <c r="BA117" s="52"/>
      <c r="BB117" s="51"/>
      <c r="BC117" s="52"/>
      <c r="BD117" s="51"/>
      <c r="BE117" s="52"/>
      <c r="BF117" s="51"/>
      <c r="BG117" s="52"/>
      <c r="BH117" s="192"/>
      <c r="BI117" s="192"/>
      <c r="BJ117" s="192"/>
      <c r="BK117" s="192"/>
      <c r="BL117" s="192"/>
      <c r="BM117" s="192"/>
      <c r="BN117" s="192"/>
      <c r="BO117" s="192"/>
      <c r="BP117" s="192"/>
      <c r="BQ117" s="192"/>
      <c r="BR117" s="192"/>
      <c r="BS117" s="192"/>
      <c r="BT117" s="192"/>
      <c r="BU117" s="192"/>
      <c r="BV117" s="192"/>
      <c r="BW117" s="192"/>
      <c r="BX117" s="192"/>
      <c r="BY117" s="192"/>
      <c r="BZ117" s="192"/>
      <c r="CA117" s="192"/>
      <c r="CB117" s="62">
        <f t="shared" si="26"/>
        <v>0</v>
      </c>
      <c r="CC117" s="62" t="e">
        <f t="shared" si="27"/>
        <v>#DIV/0!</v>
      </c>
    </row>
    <row r="118" spans="1:81" s="20" customFormat="1" ht="40.5" customHeight="1">
      <c r="A118" s="24" t="s">
        <v>4</v>
      </c>
      <c r="B118" s="24" t="s">
        <v>4001</v>
      </c>
      <c r="C118" s="28"/>
      <c r="D118" s="51"/>
      <c r="E118" s="52"/>
      <c r="F118" s="51"/>
      <c r="G118" s="52"/>
      <c r="H118" s="51"/>
      <c r="I118" s="52"/>
      <c r="J118" s="51"/>
      <c r="K118" s="52"/>
      <c r="L118" s="51"/>
      <c r="M118" s="52"/>
      <c r="N118" s="51"/>
      <c r="O118" s="52"/>
      <c r="P118" s="51"/>
      <c r="Q118" s="52"/>
      <c r="R118" s="51"/>
      <c r="S118" s="52"/>
      <c r="T118" s="51"/>
      <c r="U118" s="52"/>
      <c r="V118" s="51"/>
      <c r="W118" s="52"/>
      <c r="X118" s="51"/>
      <c r="Y118" s="52"/>
      <c r="Z118" s="51"/>
      <c r="AA118" s="52"/>
      <c r="AB118" s="51"/>
      <c r="AC118" s="52"/>
      <c r="AD118" s="51"/>
      <c r="AE118" s="52"/>
      <c r="AF118" s="51"/>
      <c r="AG118" s="52"/>
      <c r="AH118" s="51"/>
      <c r="AI118" s="52"/>
      <c r="AJ118" s="51"/>
      <c r="AK118" s="52"/>
      <c r="AL118" s="51"/>
      <c r="AM118" s="52"/>
      <c r="AN118" s="51"/>
      <c r="AO118" s="52"/>
      <c r="AP118" s="51"/>
      <c r="AQ118" s="52"/>
      <c r="AR118" s="51"/>
      <c r="AS118" s="52"/>
      <c r="AT118" s="51"/>
      <c r="AU118" s="52"/>
      <c r="AV118" s="51"/>
      <c r="AW118" s="52"/>
      <c r="AX118" s="51"/>
      <c r="AY118" s="52"/>
      <c r="AZ118" s="51"/>
      <c r="BA118" s="52"/>
      <c r="BB118" s="51"/>
      <c r="BC118" s="52"/>
      <c r="BD118" s="51"/>
      <c r="BE118" s="52"/>
      <c r="BF118" s="51"/>
      <c r="BG118" s="52"/>
      <c r="BH118" s="192"/>
      <c r="BI118" s="192"/>
      <c r="BJ118" s="192"/>
      <c r="BK118" s="192"/>
      <c r="BL118" s="192"/>
      <c r="BM118" s="192"/>
      <c r="BN118" s="192"/>
      <c r="BO118" s="192"/>
      <c r="BP118" s="192"/>
      <c r="BQ118" s="192"/>
      <c r="BR118" s="192"/>
      <c r="BS118" s="192"/>
      <c r="BT118" s="192"/>
      <c r="BU118" s="192"/>
      <c r="BV118" s="192"/>
      <c r="BW118" s="192"/>
      <c r="BX118" s="192"/>
      <c r="BY118" s="192"/>
      <c r="BZ118" s="192"/>
      <c r="CA118" s="192"/>
      <c r="CB118" s="62">
        <f t="shared" si="26"/>
        <v>0</v>
      </c>
      <c r="CC118" s="62" t="e">
        <f t="shared" si="27"/>
        <v>#DIV/0!</v>
      </c>
    </row>
    <row r="119" spans="1:81" s="20" customFormat="1" ht="40.5" customHeight="1">
      <c r="A119" s="24" t="s">
        <v>4</v>
      </c>
      <c r="B119" s="24" t="s">
        <v>4000</v>
      </c>
      <c r="C119" s="28"/>
      <c r="D119" s="51"/>
      <c r="E119" s="52"/>
      <c r="F119" s="51"/>
      <c r="G119" s="52"/>
      <c r="H119" s="51"/>
      <c r="I119" s="52"/>
      <c r="J119" s="51"/>
      <c r="K119" s="52"/>
      <c r="L119" s="51"/>
      <c r="M119" s="52"/>
      <c r="N119" s="51"/>
      <c r="O119" s="52"/>
      <c r="P119" s="51"/>
      <c r="Q119" s="52"/>
      <c r="R119" s="51"/>
      <c r="S119" s="52"/>
      <c r="T119" s="51"/>
      <c r="U119" s="52"/>
      <c r="V119" s="51"/>
      <c r="W119" s="52"/>
      <c r="X119" s="51"/>
      <c r="Y119" s="52"/>
      <c r="Z119" s="51"/>
      <c r="AA119" s="52"/>
      <c r="AB119" s="51"/>
      <c r="AC119" s="52"/>
      <c r="AD119" s="51"/>
      <c r="AE119" s="52"/>
      <c r="AF119" s="51"/>
      <c r="AG119" s="52"/>
      <c r="AH119" s="51"/>
      <c r="AI119" s="52"/>
      <c r="AJ119" s="51"/>
      <c r="AK119" s="52"/>
      <c r="AL119" s="51"/>
      <c r="AM119" s="52"/>
      <c r="AN119" s="51"/>
      <c r="AO119" s="52"/>
      <c r="AP119" s="51"/>
      <c r="AQ119" s="52"/>
      <c r="AR119" s="51"/>
      <c r="AS119" s="52"/>
      <c r="AT119" s="51"/>
      <c r="AU119" s="52"/>
      <c r="AV119" s="51"/>
      <c r="AW119" s="52"/>
      <c r="AX119" s="51"/>
      <c r="AY119" s="52"/>
      <c r="AZ119" s="51"/>
      <c r="BA119" s="52"/>
      <c r="BB119" s="51"/>
      <c r="BC119" s="52"/>
      <c r="BD119" s="51"/>
      <c r="BE119" s="52"/>
      <c r="BF119" s="51"/>
      <c r="BG119" s="52"/>
      <c r="BH119" s="192"/>
      <c r="BI119" s="192"/>
      <c r="BJ119" s="192"/>
      <c r="BK119" s="192"/>
      <c r="BL119" s="192"/>
      <c r="BM119" s="192"/>
      <c r="BN119" s="192"/>
      <c r="BO119" s="192"/>
      <c r="BP119" s="192"/>
      <c r="BQ119" s="192"/>
      <c r="BR119" s="192"/>
      <c r="BS119" s="192"/>
      <c r="BT119" s="192"/>
      <c r="BU119" s="192"/>
      <c r="BV119" s="192"/>
      <c r="BW119" s="192"/>
      <c r="BX119" s="192"/>
      <c r="BY119" s="192"/>
      <c r="BZ119" s="192"/>
      <c r="CA119" s="192"/>
      <c r="CB119" s="62">
        <f t="shared" si="26"/>
        <v>0</v>
      </c>
      <c r="CC119" s="62" t="e">
        <f t="shared" si="27"/>
        <v>#DIV/0!</v>
      </c>
    </row>
    <row r="120" spans="1:81" s="20" customFormat="1" ht="40.5" customHeight="1">
      <c r="A120" s="24" t="s">
        <v>4</v>
      </c>
      <c r="B120" s="24" t="s">
        <v>3999</v>
      </c>
      <c r="C120" s="94"/>
      <c r="D120" s="51"/>
      <c r="E120" s="52"/>
      <c r="F120" s="51"/>
      <c r="G120" s="52"/>
      <c r="H120" s="51"/>
      <c r="I120" s="52"/>
      <c r="J120" s="51"/>
      <c r="K120" s="52"/>
      <c r="L120" s="51"/>
      <c r="M120" s="52"/>
      <c r="N120" s="51"/>
      <c r="O120" s="52"/>
      <c r="P120" s="51"/>
      <c r="Q120" s="52"/>
      <c r="R120" s="51"/>
      <c r="S120" s="52"/>
      <c r="T120" s="95"/>
      <c r="U120" s="52"/>
      <c r="V120" s="51"/>
      <c r="W120" s="52"/>
      <c r="X120" s="51"/>
      <c r="Y120" s="52"/>
      <c r="Z120" s="51"/>
      <c r="AA120" s="52"/>
      <c r="AB120" s="51"/>
      <c r="AC120" s="52"/>
      <c r="AD120" s="51"/>
      <c r="AE120" s="52"/>
      <c r="AF120" s="51"/>
      <c r="AG120" s="52"/>
      <c r="AH120" s="51"/>
      <c r="AI120" s="52"/>
      <c r="AJ120" s="51"/>
      <c r="AK120" s="52"/>
      <c r="AL120" s="51"/>
      <c r="AM120" s="52"/>
      <c r="AN120" s="51"/>
      <c r="AO120" s="52"/>
      <c r="AP120" s="51"/>
      <c r="AQ120" s="52"/>
      <c r="AR120" s="51"/>
      <c r="AS120" s="52"/>
      <c r="AT120" s="51"/>
      <c r="AU120" s="52"/>
      <c r="AV120" s="51"/>
      <c r="AW120" s="52"/>
      <c r="AX120" s="51"/>
      <c r="AY120" s="52"/>
      <c r="AZ120" s="51"/>
      <c r="BA120" s="52"/>
      <c r="BB120" s="51"/>
      <c r="BC120" s="52"/>
      <c r="BD120" s="51"/>
      <c r="BE120" s="52"/>
      <c r="BF120" s="51"/>
      <c r="BG120" s="52"/>
      <c r="BH120" s="192"/>
      <c r="BI120" s="192"/>
      <c r="BJ120" s="192"/>
      <c r="BK120" s="192"/>
      <c r="BL120" s="192"/>
      <c r="BM120" s="192"/>
      <c r="BN120" s="192"/>
      <c r="BO120" s="192"/>
      <c r="BP120" s="192"/>
      <c r="BQ120" s="192"/>
      <c r="BR120" s="192"/>
      <c r="BS120" s="192"/>
      <c r="BT120" s="192"/>
      <c r="BU120" s="192"/>
      <c r="BV120" s="192"/>
      <c r="BW120" s="192"/>
      <c r="BX120" s="192"/>
      <c r="BY120" s="192"/>
      <c r="BZ120" s="192"/>
      <c r="CA120" s="192"/>
      <c r="CB120" s="62">
        <f t="shared" si="26"/>
        <v>0</v>
      </c>
      <c r="CC120" s="62" t="e">
        <f t="shared" si="27"/>
        <v>#DIV/0!</v>
      </c>
    </row>
    <row r="121" spans="1:81" s="20" customFormat="1" ht="40.5" customHeight="1">
      <c r="A121" s="24" t="s">
        <v>4</v>
      </c>
      <c r="B121" s="24" t="s">
        <v>4013</v>
      </c>
      <c r="C121" s="28"/>
      <c r="D121" s="51"/>
      <c r="E121" s="52"/>
      <c r="F121" s="51"/>
      <c r="G121" s="52"/>
      <c r="H121" s="51"/>
      <c r="I121" s="52"/>
      <c r="J121" s="51"/>
      <c r="K121" s="52"/>
      <c r="L121" s="51"/>
      <c r="M121" s="52"/>
      <c r="N121" s="51"/>
      <c r="O121" s="52"/>
      <c r="P121" s="51"/>
      <c r="Q121" s="52"/>
      <c r="R121" s="51"/>
      <c r="S121" s="52"/>
      <c r="T121" s="95"/>
      <c r="U121" s="52"/>
      <c r="V121" s="51"/>
      <c r="W121" s="52"/>
      <c r="X121" s="51"/>
      <c r="Y121" s="52"/>
      <c r="Z121" s="51"/>
      <c r="AA121" s="52"/>
      <c r="AB121" s="51"/>
      <c r="AC121" s="52"/>
      <c r="AD121" s="51"/>
      <c r="AE121" s="100"/>
      <c r="AF121" s="51"/>
      <c r="AG121" s="100"/>
      <c r="AH121" s="51"/>
      <c r="AI121" s="100"/>
      <c r="AJ121" s="51"/>
      <c r="AK121" s="52"/>
      <c r="AL121" s="51"/>
      <c r="AM121" s="52"/>
      <c r="AN121" s="51"/>
      <c r="AO121" s="52"/>
      <c r="AP121" s="51"/>
      <c r="AQ121" s="52"/>
      <c r="AR121" s="51"/>
      <c r="AS121" s="52"/>
      <c r="AT121" s="51"/>
      <c r="AU121" s="52"/>
      <c r="AV121" s="51"/>
      <c r="AW121" s="52"/>
      <c r="AX121" s="51"/>
      <c r="AY121" s="52"/>
      <c r="AZ121" s="51"/>
      <c r="BA121" s="52"/>
      <c r="BB121" s="51"/>
      <c r="BC121" s="52"/>
      <c r="BD121" s="51"/>
      <c r="BE121" s="52"/>
      <c r="BF121" s="51"/>
      <c r="BG121" s="52"/>
      <c r="BH121" s="192"/>
      <c r="BI121" s="192"/>
      <c r="BJ121" s="192"/>
      <c r="BK121" s="192"/>
      <c r="BL121" s="192"/>
      <c r="BM121" s="192"/>
      <c r="BN121" s="192"/>
      <c r="BO121" s="192"/>
      <c r="BP121" s="192"/>
      <c r="BQ121" s="192"/>
      <c r="BR121" s="192"/>
      <c r="BS121" s="192"/>
      <c r="BT121" s="192"/>
      <c r="BU121" s="192"/>
      <c r="BV121" s="192"/>
      <c r="BW121" s="192"/>
      <c r="BX121" s="192"/>
      <c r="BY121" s="192"/>
      <c r="BZ121" s="192"/>
      <c r="CA121" s="192"/>
      <c r="CB121" s="62">
        <f t="shared" si="26"/>
        <v>0</v>
      </c>
      <c r="CC121" s="62" t="e">
        <f t="shared" si="27"/>
        <v>#DIV/0!</v>
      </c>
    </row>
    <row r="122" spans="1:81" s="20" customFormat="1" ht="30.75" customHeight="1">
      <c r="A122" s="24" t="s">
        <v>3937</v>
      </c>
      <c r="B122" s="24" t="s">
        <v>3976</v>
      </c>
      <c r="C122" s="28"/>
      <c r="D122" s="51"/>
      <c r="E122" s="52"/>
      <c r="F122" s="51"/>
      <c r="G122" s="52"/>
      <c r="H122" s="51"/>
      <c r="I122" s="52"/>
      <c r="J122" s="51"/>
      <c r="K122" s="52"/>
      <c r="L122" s="51"/>
      <c r="M122" s="52"/>
      <c r="N122" s="51"/>
      <c r="O122" s="52"/>
      <c r="P122" s="51"/>
      <c r="Q122" s="52"/>
      <c r="R122" s="51"/>
      <c r="S122" s="52"/>
      <c r="T122" s="51"/>
      <c r="U122" s="52"/>
      <c r="V122" s="51"/>
      <c r="W122" s="52"/>
      <c r="X122" s="51"/>
      <c r="Y122" s="52"/>
      <c r="Z122" s="51"/>
      <c r="AA122" s="52"/>
      <c r="AB122" s="51"/>
      <c r="AC122" s="52"/>
      <c r="AD122" s="51"/>
      <c r="AE122" s="100"/>
      <c r="AF122" s="51"/>
      <c r="AG122" s="100"/>
      <c r="AH122" s="51"/>
      <c r="AI122" s="100"/>
      <c r="AJ122" s="51"/>
      <c r="AK122" s="52"/>
      <c r="AL122" s="51"/>
      <c r="AM122" s="52"/>
      <c r="AN122" s="51"/>
      <c r="AO122" s="52"/>
      <c r="AP122" s="51"/>
      <c r="AQ122" s="52"/>
      <c r="AR122" s="51"/>
      <c r="AS122" s="52"/>
      <c r="AT122" s="51"/>
      <c r="AU122" s="52"/>
      <c r="AV122" s="51"/>
      <c r="AW122" s="52"/>
      <c r="AX122" s="51"/>
      <c r="AY122" s="52"/>
      <c r="AZ122" s="51"/>
      <c r="BA122" s="52"/>
      <c r="BB122" s="51"/>
      <c r="BC122" s="52"/>
      <c r="BD122" s="51"/>
      <c r="BE122" s="52"/>
      <c r="BF122" s="51"/>
      <c r="BG122" s="52"/>
      <c r="BH122" s="192"/>
      <c r="BI122" s="192"/>
      <c r="BJ122" s="192"/>
      <c r="BK122" s="192"/>
      <c r="BL122" s="192"/>
      <c r="BM122" s="192"/>
      <c r="BN122" s="192"/>
      <c r="BO122" s="192"/>
      <c r="BP122" s="192"/>
      <c r="BQ122" s="192"/>
      <c r="BR122" s="192"/>
      <c r="BS122" s="192"/>
      <c r="BT122" s="192"/>
      <c r="BU122" s="192"/>
      <c r="BV122" s="192"/>
      <c r="BW122" s="192"/>
      <c r="BX122" s="192"/>
      <c r="BY122" s="192"/>
      <c r="BZ122" s="192"/>
      <c r="CA122" s="192"/>
      <c r="CB122" s="21">
        <f t="shared" si="26"/>
        <v>0</v>
      </c>
      <c r="CC122" s="108" t="e">
        <f t="shared" si="27"/>
        <v>#DIV/0!</v>
      </c>
    </row>
    <row r="123" spans="1:81" s="20" customFormat="1" ht="30.75" customHeight="1">
      <c r="A123" s="24" t="s">
        <v>3937</v>
      </c>
      <c r="B123" s="24" t="s">
        <v>4008</v>
      </c>
      <c r="C123" s="28"/>
      <c r="D123" s="51"/>
      <c r="E123" s="52"/>
      <c r="F123" s="51"/>
      <c r="G123" s="52"/>
      <c r="H123" s="51"/>
      <c r="I123" s="52"/>
      <c r="J123" s="51"/>
      <c r="K123" s="52"/>
      <c r="L123" s="51"/>
      <c r="M123" s="52"/>
      <c r="N123" s="51"/>
      <c r="O123" s="52"/>
      <c r="P123" s="51"/>
      <c r="Q123" s="52"/>
      <c r="R123" s="51"/>
      <c r="S123" s="52"/>
      <c r="T123" s="51"/>
      <c r="U123" s="52"/>
      <c r="V123" s="51"/>
      <c r="W123" s="52"/>
      <c r="X123" s="51"/>
      <c r="Y123" s="52"/>
      <c r="Z123" s="51"/>
      <c r="AA123" s="52"/>
      <c r="AB123" s="51"/>
      <c r="AC123" s="52"/>
      <c r="AD123" s="51"/>
      <c r="AE123" s="100"/>
      <c r="AF123" s="51"/>
      <c r="AG123" s="100"/>
      <c r="AH123" s="51"/>
      <c r="AI123" s="100"/>
      <c r="AJ123" s="51"/>
      <c r="AK123" s="52"/>
      <c r="AL123" s="51"/>
      <c r="AM123" s="52"/>
      <c r="AN123" s="51"/>
      <c r="AO123" s="52"/>
      <c r="AP123" s="51"/>
      <c r="AQ123" s="52"/>
      <c r="AR123" s="51"/>
      <c r="AS123" s="52"/>
      <c r="AT123" s="51"/>
      <c r="AU123" s="52"/>
      <c r="AV123" s="51"/>
      <c r="AW123" s="52"/>
      <c r="AX123" s="51"/>
      <c r="AY123" s="52"/>
      <c r="AZ123" s="51"/>
      <c r="BA123" s="52"/>
      <c r="BB123" s="51"/>
      <c r="BC123" s="52"/>
      <c r="BD123" s="51"/>
      <c r="BE123" s="52"/>
      <c r="BF123" s="51"/>
      <c r="BG123" s="52"/>
      <c r="BH123" s="192"/>
      <c r="BI123" s="192"/>
      <c r="BJ123" s="192"/>
      <c r="BK123" s="192"/>
      <c r="BL123" s="192"/>
      <c r="BM123" s="192"/>
      <c r="BN123" s="192"/>
      <c r="BO123" s="192"/>
      <c r="BP123" s="192"/>
      <c r="BQ123" s="192"/>
      <c r="BR123" s="192"/>
      <c r="BS123" s="192"/>
      <c r="BT123" s="192"/>
      <c r="BU123" s="192"/>
      <c r="BV123" s="192"/>
      <c r="BW123" s="192"/>
      <c r="BX123" s="192"/>
      <c r="BY123" s="192"/>
      <c r="BZ123" s="192"/>
      <c r="CA123" s="192"/>
      <c r="CB123" s="21">
        <f t="shared" si="26"/>
        <v>0</v>
      </c>
      <c r="CC123" s="21" t="e">
        <f t="shared" si="27"/>
        <v>#DIV/0!</v>
      </c>
    </row>
    <row r="124" spans="1:81" s="20" customFormat="1" ht="30.75" customHeight="1">
      <c r="A124" s="24" t="s">
        <v>3937</v>
      </c>
      <c r="B124" s="24" t="s">
        <v>4009</v>
      </c>
      <c r="C124" s="28"/>
      <c r="D124" s="51"/>
      <c r="E124" s="52"/>
      <c r="F124" s="51"/>
      <c r="G124" s="52"/>
      <c r="H124" s="51"/>
      <c r="I124" s="52"/>
      <c r="J124" s="51"/>
      <c r="K124" s="52"/>
      <c r="L124" s="51"/>
      <c r="M124" s="52"/>
      <c r="N124" s="51"/>
      <c r="O124" s="52"/>
      <c r="P124" s="51"/>
      <c r="Q124" s="52"/>
      <c r="R124" s="51"/>
      <c r="S124" s="52"/>
      <c r="T124" s="51"/>
      <c r="U124" s="52"/>
      <c r="V124" s="51"/>
      <c r="W124" s="52"/>
      <c r="X124" s="51"/>
      <c r="Y124" s="52"/>
      <c r="Z124" s="51"/>
      <c r="AA124" s="52"/>
      <c r="AB124" s="51"/>
      <c r="AC124" s="52"/>
      <c r="AD124" s="51"/>
      <c r="AE124" s="100"/>
      <c r="AF124" s="51"/>
      <c r="AG124" s="100"/>
      <c r="AH124" s="51"/>
      <c r="AI124" s="100"/>
      <c r="AJ124" s="51"/>
      <c r="AK124" s="100"/>
      <c r="AL124" s="51"/>
      <c r="AM124" s="100"/>
      <c r="AN124" s="51"/>
      <c r="AO124" s="52"/>
      <c r="AP124" s="51"/>
      <c r="AQ124" s="52"/>
      <c r="AR124" s="51"/>
      <c r="AS124" s="52"/>
      <c r="AT124" s="51"/>
      <c r="AU124" s="52"/>
      <c r="AV124" s="51"/>
      <c r="AW124" s="52"/>
      <c r="AX124" s="51"/>
      <c r="AY124" s="52"/>
      <c r="AZ124" s="51"/>
      <c r="BA124" s="52"/>
      <c r="BB124" s="51"/>
      <c r="BC124" s="52"/>
      <c r="BD124" s="51"/>
      <c r="BE124" s="52"/>
      <c r="BF124" s="51"/>
      <c r="BG124" s="52"/>
      <c r="BH124" s="192"/>
      <c r="BI124" s="192"/>
      <c r="BJ124" s="192"/>
      <c r="BK124" s="192"/>
      <c r="BL124" s="192"/>
      <c r="BM124" s="192"/>
      <c r="BN124" s="192"/>
      <c r="BO124" s="192"/>
      <c r="BP124" s="192"/>
      <c r="BQ124" s="192"/>
      <c r="BR124" s="192"/>
      <c r="BS124" s="192"/>
      <c r="BT124" s="192"/>
      <c r="BU124" s="192"/>
      <c r="BV124" s="192"/>
      <c r="BW124" s="192"/>
      <c r="BX124" s="192"/>
      <c r="BY124" s="192"/>
      <c r="BZ124" s="192"/>
      <c r="CA124" s="192"/>
      <c r="CB124" s="62">
        <f t="shared" si="26"/>
        <v>0</v>
      </c>
      <c r="CC124" s="21" t="e">
        <f t="shared" si="27"/>
        <v>#DIV/0!</v>
      </c>
    </row>
    <row r="125" spans="1:81" s="20" customFormat="1" ht="30.75" customHeight="1">
      <c r="A125" s="24" t="s">
        <v>3937</v>
      </c>
      <c r="B125" s="24" t="s">
        <v>4015</v>
      </c>
      <c r="C125" s="28"/>
      <c r="D125" s="51"/>
      <c r="E125" s="52"/>
      <c r="F125" s="51"/>
      <c r="G125" s="52"/>
      <c r="H125" s="51"/>
      <c r="I125" s="52"/>
      <c r="J125" s="51"/>
      <c r="K125" s="52"/>
      <c r="L125" s="51"/>
      <c r="M125" s="52"/>
      <c r="N125" s="51"/>
      <c r="O125" s="52"/>
      <c r="P125" s="51"/>
      <c r="Q125" s="52"/>
      <c r="R125" s="51"/>
      <c r="S125" s="52"/>
      <c r="T125" s="51"/>
      <c r="U125" s="52"/>
      <c r="V125" s="51"/>
      <c r="W125" s="52"/>
      <c r="X125" s="51"/>
      <c r="Y125" s="52"/>
      <c r="Z125" s="51"/>
      <c r="AA125" s="52"/>
      <c r="AB125" s="51"/>
      <c r="AC125" s="52"/>
      <c r="AD125" s="51"/>
      <c r="AE125" s="100"/>
      <c r="AF125" s="51"/>
      <c r="AG125" s="100"/>
      <c r="AH125" s="51"/>
      <c r="AI125" s="100"/>
      <c r="AJ125" s="51"/>
      <c r="AK125" s="100"/>
      <c r="AL125" s="51"/>
      <c r="AM125" s="100"/>
      <c r="AN125" s="51"/>
      <c r="AO125" s="52"/>
      <c r="AP125" s="51"/>
      <c r="AQ125" s="52"/>
      <c r="AR125" s="51"/>
      <c r="AS125" s="52"/>
      <c r="AT125" s="51"/>
      <c r="AU125" s="52"/>
      <c r="AV125" s="51"/>
      <c r="AW125" s="52"/>
      <c r="AX125" s="51"/>
      <c r="AY125" s="52"/>
      <c r="AZ125" s="51"/>
      <c r="BA125" s="52"/>
      <c r="BB125" s="51"/>
      <c r="BC125" s="52"/>
      <c r="BD125" s="51"/>
      <c r="BE125" s="52"/>
      <c r="BF125" s="51"/>
      <c r="BG125" s="52"/>
      <c r="BH125" s="192"/>
      <c r="BI125" s="192"/>
      <c r="BJ125" s="192"/>
      <c r="BK125" s="192"/>
      <c r="BL125" s="192"/>
      <c r="BM125" s="192"/>
      <c r="BN125" s="192"/>
      <c r="BO125" s="192"/>
      <c r="BP125" s="192"/>
      <c r="BQ125" s="192"/>
      <c r="BR125" s="192"/>
      <c r="BS125" s="192"/>
      <c r="BT125" s="192"/>
      <c r="BU125" s="192"/>
      <c r="BV125" s="192"/>
      <c r="BW125" s="192"/>
      <c r="BX125" s="192"/>
      <c r="BY125" s="192"/>
      <c r="BZ125" s="192"/>
      <c r="CA125" s="192"/>
      <c r="CB125" s="62">
        <f t="shared" si="26"/>
        <v>0</v>
      </c>
      <c r="CC125" s="62" t="e">
        <f t="shared" si="27"/>
        <v>#DIV/0!</v>
      </c>
    </row>
    <row r="126" spans="1:81" s="20" customFormat="1" ht="30.75" customHeight="1">
      <c r="A126" s="24" t="s">
        <v>3937</v>
      </c>
      <c r="B126" s="24" t="s">
        <v>4017</v>
      </c>
      <c r="C126" s="28"/>
      <c r="D126" s="51"/>
      <c r="E126" s="52"/>
      <c r="F126" s="51"/>
      <c r="G126" s="52"/>
      <c r="H126" s="51"/>
      <c r="I126" s="52"/>
      <c r="J126" s="51"/>
      <c r="K126" s="52"/>
      <c r="L126" s="51"/>
      <c r="M126" s="52"/>
      <c r="N126" s="51"/>
      <c r="O126" s="52"/>
      <c r="P126" s="51"/>
      <c r="Q126" s="52"/>
      <c r="R126" s="51"/>
      <c r="S126" s="52"/>
      <c r="T126" s="51"/>
      <c r="U126" s="52"/>
      <c r="V126" s="51"/>
      <c r="W126" s="52"/>
      <c r="X126" s="51"/>
      <c r="Y126" s="52"/>
      <c r="Z126" s="51"/>
      <c r="AA126" s="52"/>
      <c r="AB126" s="51"/>
      <c r="AC126" s="52"/>
      <c r="AD126" s="51"/>
      <c r="AE126" s="100"/>
      <c r="AF126" s="51"/>
      <c r="AG126" s="100"/>
      <c r="AH126" s="51"/>
      <c r="AI126" s="100"/>
      <c r="AJ126" s="51"/>
      <c r="AK126" s="100"/>
      <c r="AL126" s="51"/>
      <c r="AM126" s="100"/>
      <c r="AN126" s="51"/>
      <c r="AO126" s="52"/>
      <c r="AP126" s="51"/>
      <c r="AQ126" s="52"/>
      <c r="AR126" s="51"/>
      <c r="AS126" s="52"/>
      <c r="AT126" s="51"/>
      <c r="AU126" s="52"/>
      <c r="AV126" s="51"/>
      <c r="AW126" s="52"/>
      <c r="AX126" s="51"/>
      <c r="AY126" s="52"/>
      <c r="AZ126" s="51"/>
      <c r="BA126" s="52"/>
      <c r="BB126" s="51"/>
      <c r="BC126" s="52"/>
      <c r="BD126" s="51"/>
      <c r="BE126" s="52"/>
      <c r="BF126" s="51"/>
      <c r="BG126" s="52"/>
      <c r="BH126" s="192"/>
      <c r="BI126" s="192"/>
      <c r="BJ126" s="192"/>
      <c r="BK126" s="192"/>
      <c r="BL126" s="192"/>
      <c r="BM126" s="192"/>
      <c r="BN126" s="192"/>
      <c r="BO126" s="192"/>
      <c r="BP126" s="192"/>
      <c r="BQ126" s="192"/>
      <c r="BR126" s="192"/>
      <c r="BS126" s="192"/>
      <c r="BT126" s="192"/>
      <c r="BU126" s="192"/>
      <c r="BV126" s="192"/>
      <c r="BW126" s="192"/>
      <c r="BX126" s="192"/>
      <c r="BY126" s="192"/>
      <c r="BZ126" s="192"/>
      <c r="CA126" s="192"/>
      <c r="CB126" s="62">
        <f t="shared" si="26"/>
        <v>0</v>
      </c>
      <c r="CC126" s="62" t="e">
        <f t="shared" si="27"/>
        <v>#DIV/0!</v>
      </c>
    </row>
    <row r="127" spans="1:81" s="35" customFormat="1" ht="17.25" customHeight="1">
      <c r="A127" s="32" t="s">
        <v>3942</v>
      </c>
      <c r="B127" s="34"/>
      <c r="C127" s="32">
        <v>1</v>
      </c>
      <c r="D127" s="53">
        <f>+SUBTOTAL(9,D113:D126)</f>
        <v>0</v>
      </c>
      <c r="E127" s="54">
        <f t="shared" ref="E127:CC127" si="28">+SUBTOTAL(9,E113:E126)</f>
        <v>0</v>
      </c>
      <c r="F127" s="53">
        <f t="shared" si="28"/>
        <v>0</v>
      </c>
      <c r="G127" s="54">
        <f t="shared" si="28"/>
        <v>0</v>
      </c>
      <c r="H127" s="53">
        <f t="shared" si="28"/>
        <v>0</v>
      </c>
      <c r="I127" s="54">
        <f t="shared" si="28"/>
        <v>0</v>
      </c>
      <c r="J127" s="53">
        <f t="shared" si="28"/>
        <v>0</v>
      </c>
      <c r="K127" s="54">
        <f t="shared" si="28"/>
        <v>0</v>
      </c>
      <c r="L127" s="53">
        <f t="shared" si="28"/>
        <v>0</v>
      </c>
      <c r="M127" s="54">
        <f t="shared" si="28"/>
        <v>0</v>
      </c>
      <c r="N127" s="53">
        <f t="shared" si="28"/>
        <v>0</v>
      </c>
      <c r="O127" s="54">
        <f t="shared" si="28"/>
        <v>0</v>
      </c>
      <c r="P127" s="53">
        <f t="shared" si="28"/>
        <v>0</v>
      </c>
      <c r="Q127" s="54">
        <f t="shared" si="28"/>
        <v>0</v>
      </c>
      <c r="R127" s="53">
        <f t="shared" si="28"/>
        <v>0</v>
      </c>
      <c r="S127" s="54">
        <f t="shared" si="28"/>
        <v>0</v>
      </c>
      <c r="T127" s="53">
        <f t="shared" si="28"/>
        <v>0</v>
      </c>
      <c r="U127" s="54">
        <f t="shared" si="28"/>
        <v>0</v>
      </c>
      <c r="V127" s="53">
        <f t="shared" si="28"/>
        <v>0</v>
      </c>
      <c r="W127" s="54">
        <f t="shared" si="28"/>
        <v>0</v>
      </c>
      <c r="X127" s="53">
        <f t="shared" si="28"/>
        <v>0</v>
      </c>
      <c r="Y127" s="54">
        <f t="shared" si="28"/>
        <v>0</v>
      </c>
      <c r="Z127" s="53">
        <f t="shared" si="28"/>
        <v>0</v>
      </c>
      <c r="AA127" s="54">
        <f t="shared" si="28"/>
        <v>0</v>
      </c>
      <c r="AB127" s="53">
        <f t="shared" si="28"/>
        <v>0</v>
      </c>
      <c r="AC127" s="54">
        <f t="shared" si="28"/>
        <v>0</v>
      </c>
      <c r="AD127" s="53">
        <f t="shared" si="28"/>
        <v>0</v>
      </c>
      <c r="AE127" s="54">
        <f t="shared" si="28"/>
        <v>0</v>
      </c>
      <c r="AF127" s="53">
        <f t="shared" si="28"/>
        <v>0</v>
      </c>
      <c r="AG127" s="54">
        <f t="shared" si="28"/>
        <v>0</v>
      </c>
      <c r="AH127" s="53">
        <f t="shared" si="28"/>
        <v>0</v>
      </c>
      <c r="AI127" s="54">
        <f t="shared" si="28"/>
        <v>0</v>
      </c>
      <c r="AJ127" s="53">
        <f t="shared" si="28"/>
        <v>0</v>
      </c>
      <c r="AK127" s="54">
        <f t="shared" si="28"/>
        <v>0</v>
      </c>
      <c r="AL127" s="53">
        <f t="shared" si="28"/>
        <v>0</v>
      </c>
      <c r="AM127" s="54">
        <f t="shared" si="28"/>
        <v>0</v>
      </c>
      <c r="AN127" s="53">
        <f t="shared" si="28"/>
        <v>0</v>
      </c>
      <c r="AO127" s="54">
        <f t="shared" si="28"/>
        <v>0</v>
      </c>
      <c r="AP127" s="53">
        <f t="shared" si="28"/>
        <v>0</v>
      </c>
      <c r="AQ127" s="54">
        <f t="shared" si="28"/>
        <v>0</v>
      </c>
      <c r="AR127" s="53">
        <f t="shared" si="28"/>
        <v>0</v>
      </c>
      <c r="AS127" s="54">
        <f t="shared" si="28"/>
        <v>0</v>
      </c>
      <c r="AT127" s="53">
        <f>+SUBTOTAL(9,AT113:AT126)</f>
        <v>0</v>
      </c>
      <c r="AU127" s="54">
        <f>+SUBTOTAL(9,AU113:AU126)</f>
        <v>0</v>
      </c>
      <c r="AV127" s="53">
        <f t="shared" si="28"/>
        <v>0</v>
      </c>
      <c r="AW127" s="54">
        <f t="shared" si="28"/>
        <v>0</v>
      </c>
      <c r="AX127" s="53">
        <f>+SUBTOTAL(9,AX113:AX126)</f>
        <v>0</v>
      </c>
      <c r="AY127" s="54">
        <f>+SUBTOTAL(9,AY113:AY126)</f>
        <v>0</v>
      </c>
      <c r="AZ127" s="53">
        <f t="shared" si="28"/>
        <v>0</v>
      </c>
      <c r="BA127" s="54">
        <f t="shared" si="28"/>
        <v>0</v>
      </c>
      <c r="BB127" s="53">
        <f>+SUBTOTAL(9,BB113:BB126)</f>
        <v>0</v>
      </c>
      <c r="BC127" s="54">
        <f>+SUBTOTAL(9,BC113:BC126)</f>
        <v>0</v>
      </c>
      <c r="BD127" s="53">
        <f t="shared" si="28"/>
        <v>0</v>
      </c>
      <c r="BE127" s="54">
        <f t="shared" si="28"/>
        <v>0</v>
      </c>
      <c r="BF127" s="53">
        <f t="shared" si="28"/>
        <v>0</v>
      </c>
      <c r="BG127" s="54">
        <f t="shared" si="28"/>
        <v>0</v>
      </c>
      <c r="BH127" s="193"/>
      <c r="BI127" s="193"/>
      <c r="BJ127" s="193"/>
      <c r="BK127" s="193"/>
      <c r="BL127" s="193"/>
      <c r="BM127" s="193"/>
      <c r="BN127" s="193"/>
      <c r="BO127" s="193"/>
      <c r="BP127" s="193"/>
      <c r="BQ127" s="193"/>
      <c r="BR127" s="193"/>
      <c r="BS127" s="193"/>
      <c r="BT127" s="193"/>
      <c r="BU127" s="193"/>
      <c r="BV127" s="193"/>
      <c r="BW127" s="193"/>
      <c r="BX127" s="193"/>
      <c r="BY127" s="193"/>
      <c r="BZ127" s="193"/>
      <c r="CA127" s="193"/>
      <c r="CB127" s="32">
        <f t="shared" si="28"/>
        <v>0</v>
      </c>
      <c r="CC127" s="33" t="e">
        <f t="shared" si="28"/>
        <v>#DIV/0!</v>
      </c>
    </row>
    <row r="128" spans="1:81" ht="17.25" customHeight="1">
      <c r="A128" s="5"/>
      <c r="B128" s="5"/>
    </row>
    <row r="129" spans="1:82" ht="17.25" customHeight="1">
      <c r="A129" s="5" t="s">
        <v>3977</v>
      </c>
      <c r="B129" s="5"/>
    </row>
    <row r="131" spans="1:82" s="9" customFormat="1" ht="26.25" customHeight="1">
      <c r="A131" s="6" t="s">
        <v>3956</v>
      </c>
      <c r="B131" s="6" t="s">
        <v>3958</v>
      </c>
      <c r="C131" s="6" t="s">
        <v>3949</v>
      </c>
      <c r="D131" s="60">
        <f>D$5</f>
        <v>43231</v>
      </c>
      <c r="E131" s="61"/>
      <c r="F131" s="60">
        <f>F$5</f>
        <v>43232</v>
      </c>
      <c r="G131" s="61"/>
      <c r="H131" s="60">
        <f>H$5</f>
        <v>43233</v>
      </c>
      <c r="I131" s="61"/>
      <c r="J131" s="60">
        <f>J$5</f>
        <v>43234</v>
      </c>
      <c r="K131" s="61"/>
      <c r="L131" s="60">
        <f>L$5</f>
        <v>43235</v>
      </c>
      <c r="M131" s="61"/>
      <c r="N131" s="60">
        <f>N$5</f>
        <v>43236</v>
      </c>
      <c r="O131" s="61"/>
      <c r="P131" s="60">
        <f>P$5</f>
        <v>43237</v>
      </c>
      <c r="Q131" s="61"/>
      <c r="R131" s="60">
        <f>R$5</f>
        <v>43238</v>
      </c>
      <c r="S131" s="61"/>
      <c r="T131" s="60">
        <f>T$5</f>
        <v>43239</v>
      </c>
      <c r="U131" s="61"/>
      <c r="V131" s="60">
        <f>V$5</f>
        <v>43240</v>
      </c>
      <c r="W131" s="61"/>
      <c r="X131" s="60">
        <f>X$5</f>
        <v>43241</v>
      </c>
      <c r="Y131" s="61"/>
      <c r="Z131" s="60">
        <f>Z$5</f>
        <v>43242</v>
      </c>
      <c r="AA131" s="61"/>
      <c r="AB131" s="60">
        <f>AB$5</f>
        <v>43243</v>
      </c>
      <c r="AC131" s="61"/>
      <c r="AD131" s="60">
        <f>AD$5</f>
        <v>43244</v>
      </c>
      <c r="AE131" s="61"/>
      <c r="AF131" s="60">
        <f>AF$5</f>
        <v>43245</v>
      </c>
      <c r="AG131" s="61"/>
      <c r="AH131" s="60">
        <f>AH$5</f>
        <v>43246</v>
      </c>
      <c r="AI131" s="61"/>
      <c r="AJ131" s="60">
        <f>AJ$5</f>
        <v>43247</v>
      </c>
      <c r="AK131" s="61"/>
      <c r="AL131" s="60">
        <f>AL$5</f>
        <v>43248</v>
      </c>
      <c r="AM131" s="61"/>
      <c r="AN131" s="60">
        <f>AN$5</f>
        <v>43249</v>
      </c>
      <c r="AO131" s="61"/>
      <c r="AP131" s="60">
        <f>AP$5</f>
        <v>43250</v>
      </c>
      <c r="AQ131" s="61"/>
      <c r="AR131" s="60">
        <f>AR$5</f>
        <v>43251</v>
      </c>
      <c r="AS131" s="61"/>
      <c r="AT131" s="60">
        <f>AT$5</f>
        <v>43252</v>
      </c>
      <c r="AU131" s="61"/>
      <c r="AV131" s="60">
        <f>AV$5</f>
        <v>43253</v>
      </c>
      <c r="AW131" s="61"/>
      <c r="AX131" s="60">
        <f>AX$5</f>
        <v>43254</v>
      </c>
      <c r="AY131" s="61"/>
      <c r="AZ131" s="60">
        <f>AZ$5</f>
        <v>43255</v>
      </c>
      <c r="BA131" s="61"/>
      <c r="BB131" s="60">
        <f>BB$5</f>
        <v>43256</v>
      </c>
      <c r="BC131" s="61"/>
      <c r="BD131" s="60">
        <f>BD$5</f>
        <v>43257</v>
      </c>
      <c r="BE131" s="61"/>
      <c r="BF131" s="60">
        <f>BF$5</f>
        <v>43258</v>
      </c>
      <c r="BG131" s="61"/>
      <c r="BH131" s="190"/>
      <c r="BI131" s="190"/>
      <c r="BJ131" s="190"/>
      <c r="BK131" s="190"/>
      <c r="BL131" s="190"/>
      <c r="BM131" s="190"/>
      <c r="BN131" s="190"/>
      <c r="BO131" s="190"/>
      <c r="BP131" s="190"/>
      <c r="BQ131" s="190"/>
      <c r="BR131" s="190"/>
      <c r="BS131" s="190"/>
      <c r="BT131" s="190"/>
      <c r="BU131" s="190"/>
      <c r="BV131" s="190"/>
      <c r="BW131" s="190"/>
      <c r="BX131" s="190"/>
      <c r="BY131" s="190"/>
      <c r="BZ131" s="190"/>
      <c r="CA131" s="190"/>
      <c r="CB131" s="4"/>
      <c r="CC131" s="8"/>
      <c r="CD131" s="8"/>
    </row>
    <row r="132" spans="1:82" s="9" customFormat="1" ht="17.25" customHeight="1">
      <c r="A132" s="10"/>
      <c r="B132" s="10"/>
      <c r="C132" s="11" t="s">
        <v>3963</v>
      </c>
      <c r="D132" s="43" t="s">
        <v>3940</v>
      </c>
      <c r="E132" s="44" t="s">
        <v>3941</v>
      </c>
      <c r="F132" s="43" t="s">
        <v>3940</v>
      </c>
      <c r="G132" s="44" t="s">
        <v>3941</v>
      </c>
      <c r="H132" s="43" t="s">
        <v>3940</v>
      </c>
      <c r="I132" s="44" t="s">
        <v>3941</v>
      </c>
      <c r="J132" s="43" t="s">
        <v>3940</v>
      </c>
      <c r="K132" s="44" t="s">
        <v>3941</v>
      </c>
      <c r="L132" s="43" t="s">
        <v>3940</v>
      </c>
      <c r="M132" s="44" t="s">
        <v>3941</v>
      </c>
      <c r="N132" s="43" t="s">
        <v>3940</v>
      </c>
      <c r="O132" s="44" t="s">
        <v>3941</v>
      </c>
      <c r="P132" s="43" t="s">
        <v>3940</v>
      </c>
      <c r="Q132" s="44" t="s">
        <v>3941</v>
      </c>
      <c r="R132" s="43" t="s">
        <v>3940</v>
      </c>
      <c r="S132" s="44" t="s">
        <v>3941</v>
      </c>
      <c r="T132" s="43" t="s">
        <v>3940</v>
      </c>
      <c r="U132" s="44" t="s">
        <v>3941</v>
      </c>
      <c r="V132" s="43" t="s">
        <v>3940</v>
      </c>
      <c r="W132" s="44" t="s">
        <v>3941</v>
      </c>
      <c r="X132" s="43" t="s">
        <v>3940</v>
      </c>
      <c r="Y132" s="44" t="s">
        <v>3941</v>
      </c>
      <c r="Z132" s="43" t="s">
        <v>3940</v>
      </c>
      <c r="AA132" s="44" t="s">
        <v>3941</v>
      </c>
      <c r="AB132" s="43" t="s">
        <v>3940</v>
      </c>
      <c r="AC132" s="44" t="s">
        <v>3941</v>
      </c>
      <c r="AD132" s="43" t="s">
        <v>3940</v>
      </c>
      <c r="AE132" s="44" t="s">
        <v>3941</v>
      </c>
      <c r="AF132" s="43" t="s">
        <v>3940</v>
      </c>
      <c r="AG132" s="44" t="s">
        <v>3941</v>
      </c>
      <c r="AH132" s="43" t="s">
        <v>3940</v>
      </c>
      <c r="AI132" s="44" t="s">
        <v>3941</v>
      </c>
      <c r="AJ132" s="43" t="s">
        <v>3940</v>
      </c>
      <c r="AK132" s="44" t="s">
        <v>3941</v>
      </c>
      <c r="AL132" s="43" t="s">
        <v>3940</v>
      </c>
      <c r="AM132" s="44" t="s">
        <v>3941</v>
      </c>
      <c r="AN132" s="43" t="s">
        <v>3940</v>
      </c>
      <c r="AO132" s="44" t="s">
        <v>3941</v>
      </c>
      <c r="AP132" s="43" t="s">
        <v>3940</v>
      </c>
      <c r="AQ132" s="44" t="s">
        <v>3941</v>
      </c>
      <c r="AR132" s="43" t="s">
        <v>3940</v>
      </c>
      <c r="AS132" s="44" t="s">
        <v>3941</v>
      </c>
      <c r="AT132" s="43" t="s">
        <v>3940</v>
      </c>
      <c r="AU132" s="44" t="s">
        <v>3941</v>
      </c>
      <c r="AV132" s="43" t="s">
        <v>3940</v>
      </c>
      <c r="AW132" s="44" t="s">
        <v>3941</v>
      </c>
      <c r="AX132" s="43" t="s">
        <v>3940</v>
      </c>
      <c r="AY132" s="44" t="s">
        <v>3941</v>
      </c>
      <c r="AZ132" s="43" t="s">
        <v>3940</v>
      </c>
      <c r="BA132" s="44" t="s">
        <v>3941</v>
      </c>
      <c r="BB132" s="43" t="s">
        <v>3940</v>
      </c>
      <c r="BC132" s="44" t="s">
        <v>3941</v>
      </c>
      <c r="BD132" s="43" t="s">
        <v>3940</v>
      </c>
      <c r="BE132" s="44" t="s">
        <v>3941</v>
      </c>
      <c r="BF132" s="43" t="s">
        <v>3940</v>
      </c>
      <c r="BG132" s="44" t="s">
        <v>3941</v>
      </c>
      <c r="BH132" s="7"/>
      <c r="BI132" s="7"/>
      <c r="BJ132" s="7"/>
      <c r="BK132" s="7"/>
      <c r="BL132" s="7"/>
      <c r="BM132" s="7"/>
      <c r="BN132" s="7"/>
      <c r="BO132" s="7"/>
      <c r="BP132" s="7"/>
      <c r="BQ132" s="7"/>
      <c r="BR132" s="7"/>
      <c r="BS132" s="7"/>
      <c r="BT132" s="7"/>
      <c r="BU132" s="7"/>
      <c r="BV132" s="7"/>
      <c r="BW132" s="7"/>
      <c r="BX132" s="7"/>
      <c r="BY132" s="7"/>
      <c r="BZ132" s="7"/>
      <c r="CA132" s="7"/>
      <c r="CB132" s="12" t="s">
        <v>3964</v>
      </c>
      <c r="CC132" s="12" t="s">
        <v>3943</v>
      </c>
      <c r="CD132" s="8"/>
    </row>
    <row r="133" spans="1:82" s="20" customFormat="1" ht="38.25">
      <c r="A133" s="22" t="s">
        <v>2</v>
      </c>
      <c r="B133" s="24" t="s">
        <v>3978</v>
      </c>
      <c r="C133" s="28"/>
      <c r="D133" s="51"/>
      <c r="E133" s="52"/>
      <c r="F133" s="51"/>
      <c r="G133" s="52"/>
      <c r="H133" s="51"/>
      <c r="I133" s="52"/>
      <c r="J133" s="51"/>
      <c r="K133" s="52"/>
      <c r="L133" s="51"/>
      <c r="M133" s="52"/>
      <c r="N133" s="51"/>
      <c r="O133" s="52"/>
      <c r="P133" s="51"/>
      <c r="Q133" s="52"/>
      <c r="R133" s="51"/>
      <c r="S133" s="52"/>
      <c r="T133" s="51"/>
      <c r="U133" s="52"/>
      <c r="V133" s="51"/>
      <c r="W133" s="52"/>
      <c r="X133" s="51"/>
      <c r="Y133" s="52"/>
      <c r="Z133" s="51"/>
      <c r="AA133" s="52"/>
      <c r="AB133" s="51"/>
      <c r="AC133" s="52"/>
      <c r="AD133" s="51"/>
      <c r="AE133" s="52"/>
      <c r="AF133" s="51"/>
      <c r="AG133" s="52"/>
      <c r="AH133" s="51"/>
      <c r="AI133" s="52"/>
      <c r="AJ133" s="51"/>
      <c r="AK133" s="52"/>
      <c r="AL133" s="51"/>
      <c r="AM133" s="52"/>
      <c r="AN133" s="51"/>
      <c r="AO133" s="52"/>
      <c r="AP133" s="51"/>
      <c r="AQ133" s="52"/>
      <c r="AR133" s="51"/>
      <c r="AS133" s="52"/>
      <c r="AT133" s="51"/>
      <c r="AU133" s="52"/>
      <c r="AV133" s="51"/>
      <c r="AW133" s="52"/>
      <c r="AX133" s="51"/>
      <c r="AY133" s="52"/>
      <c r="AZ133" s="51"/>
      <c r="BA133" s="52"/>
      <c r="BB133" s="51"/>
      <c r="BC133" s="52"/>
      <c r="BD133" s="51"/>
      <c r="BE133" s="52"/>
      <c r="BF133" s="51"/>
      <c r="BG133" s="52"/>
      <c r="BH133" s="192"/>
      <c r="BI133" s="192"/>
      <c r="BJ133" s="192"/>
      <c r="BK133" s="192"/>
      <c r="BL133" s="192"/>
      <c r="BM133" s="192"/>
      <c r="BN133" s="192"/>
      <c r="BO133" s="192"/>
      <c r="BP133" s="192"/>
      <c r="BQ133" s="192"/>
      <c r="BR133" s="192"/>
      <c r="BS133" s="192"/>
      <c r="BT133" s="192"/>
      <c r="BU133" s="192"/>
      <c r="BV133" s="192"/>
      <c r="BW133" s="192"/>
      <c r="BX133" s="192"/>
      <c r="BY133" s="192"/>
      <c r="BZ133" s="192"/>
      <c r="CA133" s="192"/>
      <c r="CB133" s="21">
        <f t="shared" ref="CB133:CB144" si="29">SUMIF($D$6:$BG$6,"Act",D133:BG133)</f>
        <v>0</v>
      </c>
      <c r="CC133" s="21" t="e">
        <f t="shared" ref="CC133:CC144" si="30">CB133/C133</f>
        <v>#DIV/0!</v>
      </c>
    </row>
    <row r="134" spans="1:82" s="20" customFormat="1" ht="30.75" customHeight="1">
      <c r="A134" s="22" t="s">
        <v>2</v>
      </c>
      <c r="B134" s="24" t="s">
        <v>3979</v>
      </c>
      <c r="C134" s="28"/>
      <c r="D134" s="51"/>
      <c r="E134" s="52"/>
      <c r="F134" s="51"/>
      <c r="G134" s="52"/>
      <c r="H134" s="51"/>
      <c r="I134" s="52"/>
      <c r="J134" s="51"/>
      <c r="K134" s="52"/>
      <c r="L134" s="51"/>
      <c r="M134" s="52"/>
      <c r="N134" s="51"/>
      <c r="O134" s="52"/>
      <c r="P134" s="51"/>
      <c r="Q134" s="52"/>
      <c r="R134" s="51"/>
      <c r="S134" s="52"/>
      <c r="T134" s="51"/>
      <c r="U134" s="52"/>
      <c r="V134" s="51"/>
      <c r="W134" s="52"/>
      <c r="X134" s="51"/>
      <c r="Y134" s="52"/>
      <c r="Z134" s="51"/>
      <c r="AA134" s="52"/>
      <c r="AB134" s="51"/>
      <c r="AC134" s="52"/>
      <c r="AD134" s="51"/>
      <c r="AE134" s="52"/>
      <c r="AF134" s="51"/>
      <c r="AG134" s="52"/>
      <c r="AH134" s="51"/>
      <c r="AI134" s="52"/>
      <c r="AJ134" s="51"/>
      <c r="AK134" s="52"/>
      <c r="AL134" s="51"/>
      <c r="AM134" s="52"/>
      <c r="AN134" s="51"/>
      <c r="AO134" s="52"/>
      <c r="AP134" s="51"/>
      <c r="AQ134" s="52"/>
      <c r="AR134" s="51"/>
      <c r="AS134" s="52"/>
      <c r="AT134" s="51"/>
      <c r="AU134" s="52"/>
      <c r="AV134" s="51"/>
      <c r="AW134" s="52"/>
      <c r="AX134" s="51"/>
      <c r="AY134" s="52"/>
      <c r="AZ134" s="51"/>
      <c r="BA134" s="52"/>
      <c r="BB134" s="51"/>
      <c r="BC134" s="52"/>
      <c r="BD134" s="51"/>
      <c r="BE134" s="52"/>
      <c r="BF134" s="51"/>
      <c r="BG134" s="52"/>
      <c r="BH134" s="192"/>
      <c r="BI134" s="192"/>
      <c r="BJ134" s="192"/>
      <c r="BK134" s="192"/>
      <c r="BL134" s="192"/>
      <c r="BM134" s="192"/>
      <c r="BN134" s="192"/>
      <c r="BO134" s="192"/>
      <c r="BP134" s="192"/>
      <c r="BQ134" s="192"/>
      <c r="BR134" s="192"/>
      <c r="BS134" s="192"/>
      <c r="BT134" s="192"/>
      <c r="BU134" s="192"/>
      <c r="BV134" s="192"/>
      <c r="BW134" s="192"/>
      <c r="BX134" s="192"/>
      <c r="BY134" s="192"/>
      <c r="BZ134" s="192"/>
      <c r="CA134" s="192"/>
      <c r="CB134" s="21">
        <f t="shared" si="29"/>
        <v>0</v>
      </c>
      <c r="CC134" s="21" t="e">
        <f t="shared" si="30"/>
        <v>#DIV/0!</v>
      </c>
    </row>
    <row r="135" spans="1:82" s="20" customFormat="1" ht="30.75" customHeight="1">
      <c r="A135" s="22" t="s">
        <v>2</v>
      </c>
      <c r="B135" s="24" t="s">
        <v>3980</v>
      </c>
      <c r="C135" s="28"/>
      <c r="D135" s="51"/>
      <c r="E135" s="52"/>
      <c r="F135" s="51"/>
      <c r="G135" s="52"/>
      <c r="H135" s="51"/>
      <c r="I135" s="52"/>
      <c r="J135" s="51"/>
      <c r="K135" s="52"/>
      <c r="L135" s="51"/>
      <c r="M135" s="52"/>
      <c r="N135" s="51"/>
      <c r="O135" s="52"/>
      <c r="P135" s="51"/>
      <c r="Q135" s="52"/>
      <c r="R135" s="51"/>
      <c r="S135" s="52"/>
      <c r="T135" s="51"/>
      <c r="U135" s="52"/>
      <c r="V135" s="51"/>
      <c r="W135" s="52"/>
      <c r="X135" s="51"/>
      <c r="Y135" s="52"/>
      <c r="Z135" s="51"/>
      <c r="AA135" s="52"/>
      <c r="AB135" s="51"/>
      <c r="AC135" s="52"/>
      <c r="AD135" s="51"/>
      <c r="AE135" s="52"/>
      <c r="AF135" s="51"/>
      <c r="AG135" s="52"/>
      <c r="AH135" s="51"/>
      <c r="AI135" s="52"/>
      <c r="AJ135" s="51"/>
      <c r="AK135" s="52"/>
      <c r="AL135" s="51"/>
      <c r="AM135" s="52"/>
      <c r="AN135" s="51"/>
      <c r="AO135" s="52"/>
      <c r="AP135" s="51"/>
      <c r="AQ135" s="52"/>
      <c r="AR135" s="51"/>
      <c r="AS135" s="52"/>
      <c r="AT135" s="51"/>
      <c r="AU135" s="52"/>
      <c r="AV135" s="51"/>
      <c r="AW135" s="52"/>
      <c r="AX135" s="51"/>
      <c r="AY135" s="52"/>
      <c r="AZ135" s="51"/>
      <c r="BA135" s="52"/>
      <c r="BB135" s="51"/>
      <c r="BC135" s="52"/>
      <c r="BD135" s="51"/>
      <c r="BE135" s="52"/>
      <c r="BF135" s="51"/>
      <c r="BG135" s="52"/>
      <c r="BH135" s="192"/>
      <c r="BI135" s="192"/>
      <c r="BJ135" s="192"/>
      <c r="BK135" s="192"/>
      <c r="BL135" s="192"/>
      <c r="BM135" s="192"/>
      <c r="BN135" s="192"/>
      <c r="BO135" s="192"/>
      <c r="BP135" s="192"/>
      <c r="BQ135" s="192"/>
      <c r="BR135" s="192"/>
      <c r="BS135" s="192"/>
      <c r="BT135" s="192"/>
      <c r="BU135" s="192"/>
      <c r="BV135" s="192"/>
      <c r="BW135" s="192"/>
      <c r="BX135" s="192"/>
      <c r="BY135" s="192"/>
      <c r="BZ135" s="192"/>
      <c r="CA135" s="192"/>
      <c r="CB135" s="21">
        <f t="shared" si="29"/>
        <v>0</v>
      </c>
      <c r="CC135" s="21" t="e">
        <f t="shared" si="30"/>
        <v>#DIV/0!</v>
      </c>
    </row>
    <row r="136" spans="1:82" s="20" customFormat="1" ht="30.75" customHeight="1">
      <c r="A136" s="22" t="s">
        <v>2</v>
      </c>
      <c r="B136" s="24" t="s">
        <v>3981</v>
      </c>
      <c r="C136" s="28"/>
      <c r="D136" s="51"/>
      <c r="E136" s="52"/>
      <c r="F136" s="51"/>
      <c r="G136" s="52"/>
      <c r="H136" s="51"/>
      <c r="I136" s="52"/>
      <c r="J136" s="51"/>
      <c r="K136" s="52"/>
      <c r="L136" s="51"/>
      <c r="M136" s="52"/>
      <c r="N136" s="51"/>
      <c r="O136" s="52"/>
      <c r="P136" s="51"/>
      <c r="Q136" s="52"/>
      <c r="R136" s="51"/>
      <c r="S136" s="52"/>
      <c r="T136" s="51"/>
      <c r="U136" s="52"/>
      <c r="V136" s="51"/>
      <c r="W136" s="52"/>
      <c r="X136" s="51"/>
      <c r="Y136" s="52"/>
      <c r="Z136" s="51"/>
      <c r="AA136" s="52"/>
      <c r="AB136" s="51"/>
      <c r="AC136" s="52"/>
      <c r="AD136" s="51"/>
      <c r="AE136" s="52"/>
      <c r="AF136" s="51"/>
      <c r="AG136" s="52"/>
      <c r="AH136" s="51"/>
      <c r="AI136" s="52"/>
      <c r="AJ136" s="51"/>
      <c r="AK136" s="52"/>
      <c r="AL136" s="51"/>
      <c r="AM136" s="52"/>
      <c r="AN136" s="51"/>
      <c r="AO136" s="52"/>
      <c r="AP136" s="51"/>
      <c r="AQ136" s="52"/>
      <c r="AR136" s="51"/>
      <c r="AS136" s="52"/>
      <c r="AT136" s="51"/>
      <c r="AU136" s="52"/>
      <c r="AV136" s="51"/>
      <c r="AW136" s="52"/>
      <c r="AX136" s="51"/>
      <c r="AY136" s="52"/>
      <c r="AZ136" s="51"/>
      <c r="BA136" s="52"/>
      <c r="BB136" s="51"/>
      <c r="BC136" s="52"/>
      <c r="BD136" s="51"/>
      <c r="BE136" s="52"/>
      <c r="BF136" s="51"/>
      <c r="BG136" s="52"/>
      <c r="BH136" s="192"/>
      <c r="BI136" s="192"/>
      <c r="BJ136" s="192"/>
      <c r="BK136" s="192"/>
      <c r="BL136" s="192"/>
      <c r="BM136" s="192"/>
      <c r="BN136" s="192"/>
      <c r="BO136" s="192"/>
      <c r="BP136" s="192"/>
      <c r="BQ136" s="192"/>
      <c r="BR136" s="192"/>
      <c r="BS136" s="192"/>
      <c r="BT136" s="192"/>
      <c r="BU136" s="192"/>
      <c r="BV136" s="192"/>
      <c r="BW136" s="192"/>
      <c r="BX136" s="192"/>
      <c r="BY136" s="192"/>
      <c r="BZ136" s="192"/>
      <c r="CA136" s="192"/>
      <c r="CB136" s="21">
        <f t="shared" si="29"/>
        <v>0</v>
      </c>
      <c r="CC136" s="21" t="e">
        <f t="shared" si="30"/>
        <v>#DIV/0!</v>
      </c>
    </row>
    <row r="137" spans="1:82" s="20" customFormat="1" ht="32.25" customHeight="1">
      <c r="A137" s="22" t="s">
        <v>2</v>
      </c>
      <c r="B137" s="24" t="s">
        <v>3982</v>
      </c>
      <c r="C137" s="28"/>
      <c r="D137" s="51"/>
      <c r="E137" s="52"/>
      <c r="F137" s="51"/>
      <c r="G137" s="52"/>
      <c r="H137" s="51"/>
      <c r="I137" s="52"/>
      <c r="J137" s="51"/>
      <c r="K137" s="52"/>
      <c r="L137" s="51"/>
      <c r="M137" s="52"/>
      <c r="N137" s="51"/>
      <c r="O137" s="52"/>
      <c r="P137" s="51"/>
      <c r="Q137" s="52"/>
      <c r="R137" s="51"/>
      <c r="S137" s="52"/>
      <c r="T137" s="51"/>
      <c r="U137" s="52"/>
      <c r="V137" s="51"/>
      <c r="W137" s="52"/>
      <c r="X137" s="51"/>
      <c r="Y137" s="52"/>
      <c r="Z137" s="51"/>
      <c r="AA137" s="52"/>
      <c r="AB137" s="51"/>
      <c r="AC137" s="52"/>
      <c r="AD137" s="51"/>
      <c r="AE137" s="52"/>
      <c r="AF137" s="51"/>
      <c r="AG137" s="52"/>
      <c r="AH137" s="51"/>
      <c r="AI137" s="52"/>
      <c r="AJ137" s="51"/>
      <c r="AK137" s="52"/>
      <c r="AL137" s="51"/>
      <c r="AM137" s="52"/>
      <c r="AN137" s="51"/>
      <c r="AO137" s="52"/>
      <c r="AP137" s="51"/>
      <c r="AQ137" s="52"/>
      <c r="AR137" s="51"/>
      <c r="AS137" s="52"/>
      <c r="AT137" s="51"/>
      <c r="AU137" s="52"/>
      <c r="AV137" s="51"/>
      <c r="AW137" s="52"/>
      <c r="AX137" s="51"/>
      <c r="AY137" s="52"/>
      <c r="AZ137" s="51"/>
      <c r="BA137" s="52"/>
      <c r="BB137" s="51"/>
      <c r="BC137" s="52"/>
      <c r="BD137" s="51"/>
      <c r="BE137" s="52"/>
      <c r="BF137" s="51"/>
      <c r="BG137" s="52"/>
      <c r="BH137" s="192"/>
      <c r="BI137" s="192"/>
      <c r="BJ137" s="192"/>
      <c r="BK137" s="192"/>
      <c r="BL137" s="192"/>
      <c r="BM137" s="192"/>
      <c r="BN137" s="192"/>
      <c r="BO137" s="192"/>
      <c r="BP137" s="192"/>
      <c r="BQ137" s="192"/>
      <c r="BR137" s="192"/>
      <c r="BS137" s="192"/>
      <c r="BT137" s="192"/>
      <c r="BU137" s="192"/>
      <c r="BV137" s="192"/>
      <c r="BW137" s="192"/>
      <c r="BX137" s="192"/>
      <c r="BY137" s="192"/>
      <c r="BZ137" s="192"/>
      <c r="CA137" s="192"/>
      <c r="CB137" s="21">
        <f t="shared" si="29"/>
        <v>0</v>
      </c>
      <c r="CC137" s="21" t="e">
        <f t="shared" si="30"/>
        <v>#DIV/0!</v>
      </c>
    </row>
    <row r="138" spans="1:82" s="20" customFormat="1" ht="57" customHeight="1">
      <c r="A138" s="24" t="s">
        <v>2</v>
      </c>
      <c r="B138" s="24" t="s">
        <v>4006</v>
      </c>
      <c r="C138" s="28"/>
      <c r="D138" s="51"/>
      <c r="E138" s="52"/>
      <c r="F138" s="51"/>
      <c r="G138" s="52"/>
      <c r="H138" s="51"/>
      <c r="I138" s="52"/>
      <c r="J138" s="51"/>
      <c r="K138" s="100"/>
      <c r="L138" s="51"/>
      <c r="M138" s="52"/>
      <c r="N138" s="51"/>
      <c r="O138" s="52"/>
      <c r="P138" s="51"/>
      <c r="Q138" s="52"/>
      <c r="R138" s="51"/>
      <c r="S138" s="52"/>
      <c r="T138" s="51"/>
      <c r="U138" s="52"/>
      <c r="V138" s="51"/>
      <c r="W138" s="52"/>
      <c r="X138" s="51"/>
      <c r="Y138" s="52"/>
      <c r="Z138" s="51"/>
      <c r="AA138" s="52"/>
      <c r="AB138" s="51"/>
      <c r="AC138" s="52"/>
      <c r="AD138" s="51"/>
      <c r="AE138" s="52"/>
      <c r="AF138" s="51"/>
      <c r="AG138" s="52"/>
      <c r="AH138" s="51"/>
      <c r="AI138" s="52"/>
      <c r="AJ138" s="51"/>
      <c r="AK138" s="52"/>
      <c r="AL138" s="51"/>
      <c r="AM138" s="52"/>
      <c r="AN138" s="51"/>
      <c r="AO138" s="52"/>
      <c r="AP138" s="51"/>
      <c r="AQ138" s="52"/>
      <c r="AR138" s="51"/>
      <c r="AS138" s="52"/>
      <c r="AT138" s="51"/>
      <c r="AU138" s="52"/>
      <c r="AV138" s="51"/>
      <c r="AW138" s="52"/>
      <c r="AX138" s="51"/>
      <c r="AY138" s="52"/>
      <c r="AZ138" s="51"/>
      <c r="BA138" s="52"/>
      <c r="BB138" s="51"/>
      <c r="BC138" s="52"/>
      <c r="BD138" s="51"/>
      <c r="BE138" s="52"/>
      <c r="BF138" s="51"/>
      <c r="BG138" s="52"/>
      <c r="BH138" s="192"/>
      <c r="BI138" s="192"/>
      <c r="BJ138" s="192"/>
      <c r="BK138" s="192"/>
      <c r="BL138" s="192"/>
      <c r="BM138" s="192"/>
      <c r="BN138" s="192"/>
      <c r="BO138" s="192"/>
      <c r="BP138" s="192"/>
      <c r="BQ138" s="192"/>
      <c r="BR138" s="192"/>
      <c r="BS138" s="192"/>
      <c r="BT138" s="192"/>
      <c r="BU138" s="192"/>
      <c r="BV138" s="192"/>
      <c r="BW138" s="192"/>
      <c r="BX138" s="192"/>
      <c r="BY138" s="192"/>
      <c r="BZ138" s="192"/>
      <c r="CA138" s="192"/>
      <c r="CB138" s="21">
        <f t="shared" si="29"/>
        <v>0</v>
      </c>
      <c r="CC138" s="21" t="e">
        <f t="shared" si="30"/>
        <v>#DIV/0!</v>
      </c>
    </row>
    <row r="139" spans="1:82" s="20" customFormat="1" ht="57" customHeight="1">
      <c r="A139" s="24" t="s">
        <v>2</v>
      </c>
      <c r="B139" s="24" t="s">
        <v>4014</v>
      </c>
      <c r="C139" s="28"/>
      <c r="D139" s="51"/>
      <c r="E139" s="52"/>
      <c r="F139" s="51"/>
      <c r="G139" s="52"/>
      <c r="H139" s="51"/>
      <c r="I139" s="52"/>
      <c r="J139" s="51"/>
      <c r="K139" s="100"/>
      <c r="L139" s="51"/>
      <c r="M139" s="52"/>
      <c r="N139" s="51"/>
      <c r="O139" s="52"/>
      <c r="P139" s="51"/>
      <c r="Q139" s="52"/>
      <c r="R139" s="51"/>
      <c r="S139" s="52"/>
      <c r="T139" s="51"/>
      <c r="U139" s="52"/>
      <c r="V139" s="51"/>
      <c r="W139" s="52"/>
      <c r="X139" s="51"/>
      <c r="Y139" s="52"/>
      <c r="Z139" s="51"/>
      <c r="AA139" s="52"/>
      <c r="AB139" s="51"/>
      <c r="AC139" s="52"/>
      <c r="AD139" s="51"/>
      <c r="AE139" s="52"/>
      <c r="AF139" s="51"/>
      <c r="AG139" s="52"/>
      <c r="AH139" s="51"/>
      <c r="AI139" s="52"/>
      <c r="AJ139" s="51"/>
      <c r="AK139" s="52"/>
      <c r="AL139" s="51"/>
      <c r="AM139" s="52"/>
      <c r="AN139" s="51"/>
      <c r="AO139" s="52"/>
      <c r="AP139" s="51"/>
      <c r="AQ139" s="52"/>
      <c r="AR139" s="51"/>
      <c r="AS139" s="52"/>
      <c r="AT139" s="51"/>
      <c r="AU139" s="52"/>
      <c r="AV139" s="51"/>
      <c r="AW139" s="52"/>
      <c r="AX139" s="51"/>
      <c r="AY139" s="52"/>
      <c r="AZ139" s="51"/>
      <c r="BA139" s="52"/>
      <c r="BB139" s="51"/>
      <c r="BC139" s="52"/>
      <c r="BD139" s="51"/>
      <c r="BE139" s="52"/>
      <c r="BF139" s="51"/>
      <c r="BG139" s="52"/>
      <c r="BH139" s="192"/>
      <c r="BI139" s="192"/>
      <c r="BJ139" s="192"/>
      <c r="BK139" s="192"/>
      <c r="BL139" s="192"/>
      <c r="BM139" s="192"/>
      <c r="BN139" s="192"/>
      <c r="BO139" s="192"/>
      <c r="BP139" s="192"/>
      <c r="BQ139" s="192"/>
      <c r="BR139" s="192"/>
      <c r="BS139" s="192"/>
      <c r="BT139" s="192"/>
      <c r="BU139" s="192"/>
      <c r="BV139" s="192"/>
      <c r="BW139" s="192"/>
      <c r="BX139" s="192"/>
      <c r="BY139" s="192"/>
      <c r="BZ139" s="192"/>
      <c r="CA139" s="192"/>
      <c r="CB139" s="62">
        <f t="shared" si="29"/>
        <v>0</v>
      </c>
      <c r="CC139" s="62" t="e">
        <f t="shared" si="30"/>
        <v>#DIV/0!</v>
      </c>
    </row>
    <row r="140" spans="1:82" s="20" customFormat="1" ht="57" customHeight="1">
      <c r="A140" s="24" t="s">
        <v>2</v>
      </c>
      <c r="B140" s="24" t="s">
        <v>4018</v>
      </c>
      <c r="C140" s="28"/>
      <c r="D140" s="51"/>
      <c r="E140" s="52"/>
      <c r="F140" s="51"/>
      <c r="G140" s="52"/>
      <c r="H140" s="51"/>
      <c r="I140" s="52"/>
      <c r="J140" s="51"/>
      <c r="K140" s="100"/>
      <c r="L140" s="51"/>
      <c r="M140" s="52"/>
      <c r="N140" s="51"/>
      <c r="O140" s="52"/>
      <c r="P140" s="51"/>
      <c r="Q140" s="52"/>
      <c r="R140" s="51"/>
      <c r="S140" s="52"/>
      <c r="T140" s="51"/>
      <c r="U140" s="52"/>
      <c r="V140" s="51"/>
      <c r="W140" s="52"/>
      <c r="X140" s="51"/>
      <c r="Y140" s="52"/>
      <c r="Z140" s="51"/>
      <c r="AA140" s="52"/>
      <c r="AB140" s="51"/>
      <c r="AC140" s="52"/>
      <c r="AD140" s="51"/>
      <c r="AE140" s="52"/>
      <c r="AF140" s="51"/>
      <c r="AG140" s="52"/>
      <c r="AH140" s="51"/>
      <c r="AI140" s="52"/>
      <c r="AJ140" s="51"/>
      <c r="AK140" s="52"/>
      <c r="AL140" s="51"/>
      <c r="AM140" s="52"/>
      <c r="AN140" s="51"/>
      <c r="AO140" s="52"/>
      <c r="AP140" s="51"/>
      <c r="AQ140" s="52"/>
      <c r="AR140" s="51"/>
      <c r="AS140" s="52"/>
      <c r="AT140" s="51"/>
      <c r="AU140" s="52"/>
      <c r="AV140" s="51"/>
      <c r="AW140" s="52"/>
      <c r="AX140" s="51"/>
      <c r="AY140" s="52"/>
      <c r="AZ140" s="51"/>
      <c r="BA140" s="52"/>
      <c r="BB140" s="51"/>
      <c r="BC140" s="52"/>
      <c r="BD140" s="51"/>
      <c r="BE140" s="52"/>
      <c r="BF140" s="51"/>
      <c r="BG140" s="52"/>
      <c r="BH140" s="192"/>
      <c r="BI140" s="192"/>
      <c r="BJ140" s="192"/>
      <c r="BK140" s="192"/>
      <c r="BL140" s="192"/>
      <c r="BM140" s="192"/>
      <c r="BN140" s="192"/>
      <c r="BO140" s="192"/>
      <c r="BP140" s="192"/>
      <c r="BQ140" s="192"/>
      <c r="BR140" s="192"/>
      <c r="BS140" s="192"/>
      <c r="BT140" s="192"/>
      <c r="BU140" s="192"/>
      <c r="BV140" s="192"/>
      <c r="BW140" s="192"/>
      <c r="BX140" s="192"/>
      <c r="BY140" s="192"/>
      <c r="BZ140" s="192"/>
      <c r="CA140" s="192"/>
      <c r="CB140" s="62">
        <f t="shared" si="29"/>
        <v>0</v>
      </c>
      <c r="CC140" s="62" t="e">
        <f t="shared" si="30"/>
        <v>#DIV/0!</v>
      </c>
    </row>
    <row r="141" spans="1:82" s="20" customFormat="1" ht="26.25" customHeight="1">
      <c r="A141" s="24" t="s">
        <v>3934</v>
      </c>
      <c r="B141" s="24" t="s">
        <v>4003</v>
      </c>
      <c r="C141" s="28"/>
      <c r="D141" s="51"/>
      <c r="E141" s="52"/>
      <c r="F141" s="51"/>
      <c r="G141" s="52"/>
      <c r="H141" s="51"/>
      <c r="I141" s="52"/>
      <c r="J141" s="51"/>
      <c r="K141" s="100"/>
      <c r="L141" s="51"/>
      <c r="M141" s="52"/>
      <c r="N141" s="51"/>
      <c r="O141" s="52"/>
      <c r="P141" s="51"/>
      <c r="Q141" s="52"/>
      <c r="R141" s="51"/>
      <c r="S141" s="52"/>
      <c r="T141" s="51"/>
      <c r="U141" s="52"/>
      <c r="V141" s="51"/>
      <c r="W141" s="52"/>
      <c r="X141" s="51"/>
      <c r="Y141" s="52"/>
      <c r="Z141" s="51"/>
      <c r="AA141" s="52"/>
      <c r="AB141" s="51"/>
      <c r="AC141" s="52"/>
      <c r="AD141" s="51"/>
      <c r="AE141" s="52"/>
      <c r="AF141" s="51"/>
      <c r="AG141" s="52"/>
      <c r="AH141" s="51"/>
      <c r="AI141" s="52"/>
      <c r="AJ141" s="51"/>
      <c r="AK141" s="52"/>
      <c r="AL141" s="51"/>
      <c r="AM141" s="52"/>
      <c r="AN141" s="51"/>
      <c r="AO141" s="52"/>
      <c r="AP141" s="51"/>
      <c r="AQ141" s="52"/>
      <c r="AR141" s="51"/>
      <c r="AS141" s="52"/>
      <c r="AT141" s="51"/>
      <c r="AU141" s="52"/>
      <c r="AV141" s="51"/>
      <c r="AW141" s="52"/>
      <c r="AX141" s="51"/>
      <c r="AY141" s="52"/>
      <c r="AZ141" s="51"/>
      <c r="BA141" s="52"/>
      <c r="BB141" s="51"/>
      <c r="BC141" s="52"/>
      <c r="BD141" s="51"/>
      <c r="BE141" s="52"/>
      <c r="BF141" s="51"/>
      <c r="BG141" s="52"/>
      <c r="BH141" s="192"/>
      <c r="BI141" s="192"/>
      <c r="BJ141" s="192"/>
      <c r="BK141" s="192"/>
      <c r="BL141" s="192"/>
      <c r="BM141" s="192"/>
      <c r="BN141" s="192"/>
      <c r="BO141" s="192"/>
      <c r="BP141" s="192"/>
      <c r="BQ141" s="192"/>
      <c r="BR141" s="192"/>
      <c r="BS141" s="192"/>
      <c r="BT141" s="192"/>
      <c r="BU141" s="192"/>
      <c r="BV141" s="192"/>
      <c r="BW141" s="192"/>
      <c r="BX141" s="192"/>
      <c r="BY141" s="192"/>
      <c r="BZ141" s="192"/>
      <c r="CA141" s="192"/>
      <c r="CB141" s="21">
        <f t="shared" si="29"/>
        <v>0</v>
      </c>
      <c r="CC141" s="21" t="e">
        <f t="shared" si="30"/>
        <v>#DIV/0!</v>
      </c>
    </row>
    <row r="142" spans="1:82" s="20" customFormat="1" ht="26.25" customHeight="1">
      <c r="A142" s="24" t="s">
        <v>3934</v>
      </c>
      <c r="B142" s="24" t="s">
        <v>4016</v>
      </c>
      <c r="C142" s="28"/>
      <c r="D142" s="51"/>
      <c r="E142" s="52"/>
      <c r="F142" s="51"/>
      <c r="G142" s="52"/>
      <c r="H142" s="51"/>
      <c r="I142" s="52"/>
      <c r="J142" s="51"/>
      <c r="K142" s="100"/>
      <c r="L142" s="51"/>
      <c r="M142" s="52"/>
      <c r="N142" s="51"/>
      <c r="O142" s="52"/>
      <c r="P142" s="51"/>
      <c r="Q142" s="52"/>
      <c r="R142" s="51"/>
      <c r="S142" s="52"/>
      <c r="T142" s="51"/>
      <c r="U142" s="52"/>
      <c r="V142" s="51"/>
      <c r="W142" s="52"/>
      <c r="X142" s="51"/>
      <c r="Y142" s="52"/>
      <c r="Z142" s="51"/>
      <c r="AA142" s="52"/>
      <c r="AB142" s="51"/>
      <c r="AC142" s="52"/>
      <c r="AD142" s="51"/>
      <c r="AE142" s="52"/>
      <c r="AF142" s="51"/>
      <c r="AG142" s="52"/>
      <c r="AH142" s="51"/>
      <c r="AI142" s="52"/>
      <c r="AJ142" s="51"/>
      <c r="AK142" s="52"/>
      <c r="AL142" s="51"/>
      <c r="AM142" s="52"/>
      <c r="AN142" s="51"/>
      <c r="AO142" s="52"/>
      <c r="AP142" s="51"/>
      <c r="AQ142" s="52"/>
      <c r="AR142" s="51"/>
      <c r="AS142" s="52"/>
      <c r="AT142" s="51"/>
      <c r="AU142" s="52"/>
      <c r="AV142" s="51"/>
      <c r="AW142" s="52"/>
      <c r="AX142" s="51"/>
      <c r="AY142" s="52"/>
      <c r="AZ142" s="51"/>
      <c r="BA142" s="52"/>
      <c r="BB142" s="51"/>
      <c r="BC142" s="52"/>
      <c r="BD142" s="51"/>
      <c r="BE142" s="52"/>
      <c r="BF142" s="51"/>
      <c r="BG142" s="52"/>
      <c r="BH142" s="192"/>
      <c r="BI142" s="192"/>
      <c r="BJ142" s="192"/>
      <c r="BK142" s="192"/>
      <c r="BL142" s="192"/>
      <c r="BM142" s="192"/>
      <c r="BN142" s="192"/>
      <c r="BO142" s="192"/>
      <c r="BP142" s="192"/>
      <c r="BQ142" s="192"/>
      <c r="BR142" s="192"/>
      <c r="BS142" s="192"/>
      <c r="BT142" s="192"/>
      <c r="BU142" s="192"/>
      <c r="BV142" s="192"/>
      <c r="BW142" s="192"/>
      <c r="BX142" s="192"/>
      <c r="BY142" s="192"/>
      <c r="BZ142" s="192"/>
      <c r="CA142" s="192"/>
      <c r="CB142" s="62">
        <f t="shared" si="29"/>
        <v>0</v>
      </c>
      <c r="CC142" s="62" t="e">
        <f t="shared" si="30"/>
        <v>#DIV/0!</v>
      </c>
    </row>
    <row r="143" spans="1:82" s="20" customFormat="1" ht="26.25" customHeight="1">
      <c r="A143" s="24" t="s">
        <v>3936</v>
      </c>
      <c r="B143" s="24" t="s">
        <v>4010</v>
      </c>
      <c r="C143" s="28"/>
      <c r="D143" s="51"/>
      <c r="E143" s="52"/>
      <c r="F143" s="51"/>
      <c r="G143" s="52"/>
      <c r="H143" s="51"/>
      <c r="I143" s="52"/>
      <c r="J143" s="51"/>
      <c r="K143" s="100"/>
      <c r="L143" s="51"/>
      <c r="M143" s="52"/>
      <c r="N143" s="51"/>
      <c r="O143" s="52"/>
      <c r="P143" s="51"/>
      <c r="Q143" s="52"/>
      <c r="R143" s="51"/>
      <c r="S143" s="52"/>
      <c r="T143" s="51"/>
      <c r="U143" s="52"/>
      <c r="V143" s="51"/>
      <c r="W143" s="52"/>
      <c r="X143" s="51"/>
      <c r="Y143" s="52"/>
      <c r="Z143" s="51"/>
      <c r="AA143" s="52"/>
      <c r="AB143" s="51"/>
      <c r="AC143" s="52"/>
      <c r="AD143" s="51"/>
      <c r="AE143" s="52"/>
      <c r="AF143" s="51"/>
      <c r="AG143" s="52"/>
      <c r="AH143" s="51"/>
      <c r="AI143" s="52"/>
      <c r="AJ143" s="51"/>
      <c r="AK143" s="52"/>
      <c r="AL143" s="51"/>
      <c r="AM143" s="52"/>
      <c r="AN143" s="51"/>
      <c r="AO143" s="52"/>
      <c r="AP143" s="51"/>
      <c r="AQ143" s="52"/>
      <c r="AR143" s="51"/>
      <c r="AS143" s="52"/>
      <c r="AT143" s="51"/>
      <c r="AU143" s="52"/>
      <c r="AV143" s="51"/>
      <c r="AW143" s="52"/>
      <c r="AX143" s="51"/>
      <c r="AY143" s="52"/>
      <c r="AZ143" s="51"/>
      <c r="BA143" s="52"/>
      <c r="BB143" s="51"/>
      <c r="BC143" s="52"/>
      <c r="BD143" s="51"/>
      <c r="BE143" s="52"/>
      <c r="BF143" s="51"/>
      <c r="BG143" s="52"/>
      <c r="BH143" s="192"/>
      <c r="BI143" s="192"/>
      <c r="BJ143" s="192"/>
      <c r="BK143" s="192"/>
      <c r="BL143" s="192"/>
      <c r="BM143" s="192"/>
      <c r="BN143" s="192"/>
      <c r="BO143" s="192"/>
      <c r="BP143" s="192"/>
      <c r="BQ143" s="192"/>
      <c r="BR143" s="192"/>
      <c r="BS143" s="192"/>
      <c r="BT143" s="192"/>
      <c r="BU143" s="192"/>
      <c r="BV143" s="192"/>
      <c r="BW143" s="192"/>
      <c r="BX143" s="192"/>
      <c r="BY143" s="192"/>
      <c r="BZ143" s="192"/>
      <c r="CA143" s="192"/>
      <c r="CB143" s="62">
        <f t="shared" si="29"/>
        <v>0</v>
      </c>
      <c r="CC143" s="62" t="e">
        <f t="shared" si="30"/>
        <v>#DIV/0!</v>
      </c>
    </row>
    <row r="144" spans="1:82" s="20" customFormat="1" ht="26.25" customHeight="1">
      <c r="A144" s="24"/>
      <c r="B144" s="24"/>
      <c r="C144" s="28"/>
      <c r="D144" s="51"/>
      <c r="E144" s="52"/>
      <c r="F144" s="51"/>
      <c r="G144" s="52"/>
      <c r="H144" s="51"/>
      <c r="I144" s="52"/>
      <c r="J144" s="51"/>
      <c r="K144" s="100"/>
      <c r="L144" s="51"/>
      <c r="M144" s="52"/>
      <c r="N144" s="51"/>
      <c r="O144" s="52"/>
      <c r="P144" s="51"/>
      <c r="Q144" s="52"/>
      <c r="R144" s="51"/>
      <c r="S144" s="52"/>
      <c r="T144" s="51"/>
      <c r="U144" s="52"/>
      <c r="V144" s="51"/>
      <c r="W144" s="52"/>
      <c r="X144" s="51"/>
      <c r="Y144" s="52"/>
      <c r="Z144" s="51"/>
      <c r="AA144" s="52"/>
      <c r="AB144" s="51"/>
      <c r="AC144" s="52"/>
      <c r="AD144" s="51"/>
      <c r="AE144" s="52"/>
      <c r="AF144" s="51"/>
      <c r="AG144" s="52"/>
      <c r="AH144" s="51"/>
      <c r="AI144" s="52"/>
      <c r="AJ144" s="51"/>
      <c r="AK144" s="52"/>
      <c r="AL144" s="51"/>
      <c r="AM144" s="52"/>
      <c r="AN144" s="51"/>
      <c r="AO144" s="52"/>
      <c r="AP144" s="51"/>
      <c r="AQ144" s="52"/>
      <c r="AR144" s="51"/>
      <c r="AS144" s="52"/>
      <c r="AT144" s="51"/>
      <c r="AU144" s="52"/>
      <c r="AV144" s="51"/>
      <c r="AW144" s="52"/>
      <c r="AX144" s="51"/>
      <c r="AY144" s="52"/>
      <c r="AZ144" s="51"/>
      <c r="BA144" s="52"/>
      <c r="BB144" s="51"/>
      <c r="BC144" s="52"/>
      <c r="BD144" s="51"/>
      <c r="BE144" s="52"/>
      <c r="BF144" s="51"/>
      <c r="BG144" s="52"/>
      <c r="BH144" s="192"/>
      <c r="BI144" s="192"/>
      <c r="BJ144" s="192"/>
      <c r="BK144" s="192"/>
      <c r="BL144" s="192"/>
      <c r="BM144" s="192"/>
      <c r="BN144" s="192"/>
      <c r="BO144" s="192"/>
      <c r="BP144" s="192"/>
      <c r="BQ144" s="192"/>
      <c r="BR144" s="192"/>
      <c r="BS144" s="192"/>
      <c r="BT144" s="192"/>
      <c r="BU144" s="192"/>
      <c r="BV144" s="192"/>
      <c r="BW144" s="192"/>
      <c r="BX144" s="192"/>
      <c r="BY144" s="192"/>
      <c r="BZ144" s="192"/>
      <c r="CA144" s="192"/>
      <c r="CB144" s="62">
        <f t="shared" si="29"/>
        <v>0</v>
      </c>
      <c r="CC144" s="62" t="e">
        <f t="shared" si="30"/>
        <v>#DIV/0!</v>
      </c>
    </row>
    <row r="145" spans="1:81" s="35" customFormat="1" ht="23.25" customHeight="1">
      <c r="A145" s="32" t="s">
        <v>3942</v>
      </c>
      <c r="B145" s="34"/>
      <c r="C145" s="32"/>
      <c r="D145" s="53">
        <f t="shared" ref="D145:AI145" si="31">+SUBTOTAL(9,D133:D144)</f>
        <v>0</v>
      </c>
      <c r="E145" s="54">
        <f t="shared" si="31"/>
        <v>0</v>
      </c>
      <c r="F145" s="53">
        <f t="shared" si="31"/>
        <v>0</v>
      </c>
      <c r="G145" s="54">
        <f t="shared" si="31"/>
        <v>0</v>
      </c>
      <c r="H145" s="53">
        <f t="shared" si="31"/>
        <v>0</v>
      </c>
      <c r="I145" s="54">
        <f t="shared" si="31"/>
        <v>0</v>
      </c>
      <c r="J145" s="53">
        <f t="shared" si="31"/>
        <v>0</v>
      </c>
      <c r="K145" s="53">
        <f t="shared" si="31"/>
        <v>0</v>
      </c>
      <c r="L145" s="53">
        <f t="shared" si="31"/>
        <v>0</v>
      </c>
      <c r="M145" s="54">
        <f t="shared" si="31"/>
        <v>0</v>
      </c>
      <c r="N145" s="53">
        <f t="shared" si="31"/>
        <v>0</v>
      </c>
      <c r="O145" s="54">
        <f t="shared" si="31"/>
        <v>0</v>
      </c>
      <c r="P145" s="53">
        <f t="shared" si="31"/>
        <v>0</v>
      </c>
      <c r="Q145" s="54">
        <f t="shared" si="31"/>
        <v>0</v>
      </c>
      <c r="R145" s="53">
        <f t="shared" si="31"/>
        <v>0</v>
      </c>
      <c r="S145" s="54">
        <f t="shared" si="31"/>
        <v>0</v>
      </c>
      <c r="T145" s="53">
        <f t="shared" si="31"/>
        <v>0</v>
      </c>
      <c r="U145" s="54">
        <f t="shared" si="31"/>
        <v>0</v>
      </c>
      <c r="V145" s="53">
        <f t="shared" si="31"/>
        <v>0</v>
      </c>
      <c r="W145" s="54">
        <f t="shared" si="31"/>
        <v>0</v>
      </c>
      <c r="X145" s="53">
        <f t="shared" si="31"/>
        <v>0</v>
      </c>
      <c r="Y145" s="54">
        <f t="shared" si="31"/>
        <v>0</v>
      </c>
      <c r="Z145" s="53">
        <f t="shared" si="31"/>
        <v>0</v>
      </c>
      <c r="AA145" s="54">
        <f t="shared" si="31"/>
        <v>0</v>
      </c>
      <c r="AB145" s="53">
        <f t="shared" si="31"/>
        <v>0</v>
      </c>
      <c r="AC145" s="54">
        <f t="shared" si="31"/>
        <v>0</v>
      </c>
      <c r="AD145" s="53">
        <f t="shared" si="31"/>
        <v>0</v>
      </c>
      <c r="AE145" s="54">
        <f t="shared" si="31"/>
        <v>0</v>
      </c>
      <c r="AF145" s="53">
        <f t="shared" si="31"/>
        <v>0</v>
      </c>
      <c r="AG145" s="54">
        <f t="shared" si="31"/>
        <v>0</v>
      </c>
      <c r="AH145" s="53">
        <f t="shared" si="31"/>
        <v>0</v>
      </c>
      <c r="AI145" s="54">
        <f t="shared" si="31"/>
        <v>0</v>
      </c>
      <c r="AJ145" s="53">
        <f t="shared" ref="AJ145:CC145" si="32">+SUBTOTAL(9,AJ133:AJ144)</f>
        <v>0</v>
      </c>
      <c r="AK145" s="54">
        <f t="shared" si="32"/>
        <v>0</v>
      </c>
      <c r="AL145" s="53">
        <f t="shared" si="32"/>
        <v>0</v>
      </c>
      <c r="AM145" s="54">
        <f t="shared" si="32"/>
        <v>0</v>
      </c>
      <c r="AN145" s="53">
        <f t="shared" si="32"/>
        <v>0</v>
      </c>
      <c r="AO145" s="54">
        <f t="shared" si="32"/>
        <v>0</v>
      </c>
      <c r="AP145" s="53">
        <f t="shared" si="32"/>
        <v>0</v>
      </c>
      <c r="AQ145" s="54">
        <f t="shared" si="32"/>
        <v>0</v>
      </c>
      <c r="AR145" s="53">
        <f t="shared" si="32"/>
        <v>0</v>
      </c>
      <c r="AS145" s="54">
        <f t="shared" si="32"/>
        <v>0</v>
      </c>
      <c r="AT145" s="53">
        <f t="shared" si="32"/>
        <v>0</v>
      </c>
      <c r="AU145" s="54">
        <f t="shared" si="32"/>
        <v>0</v>
      </c>
      <c r="AV145" s="53">
        <f t="shared" si="32"/>
        <v>0</v>
      </c>
      <c r="AW145" s="54">
        <f t="shared" si="32"/>
        <v>0</v>
      </c>
      <c r="AX145" s="53">
        <f t="shared" si="32"/>
        <v>0</v>
      </c>
      <c r="AY145" s="54">
        <f t="shared" si="32"/>
        <v>0</v>
      </c>
      <c r="AZ145" s="53">
        <f t="shared" si="32"/>
        <v>0</v>
      </c>
      <c r="BA145" s="54">
        <f t="shared" si="32"/>
        <v>0</v>
      </c>
      <c r="BB145" s="53">
        <f t="shared" si="32"/>
        <v>0</v>
      </c>
      <c r="BC145" s="54">
        <f t="shared" si="32"/>
        <v>0</v>
      </c>
      <c r="BD145" s="53">
        <f t="shared" si="32"/>
        <v>0</v>
      </c>
      <c r="BE145" s="54">
        <f t="shared" si="32"/>
        <v>0</v>
      </c>
      <c r="BF145" s="53">
        <f t="shared" si="32"/>
        <v>0</v>
      </c>
      <c r="BG145" s="54">
        <f t="shared" si="32"/>
        <v>0</v>
      </c>
      <c r="BH145" s="193"/>
      <c r="BI145" s="193"/>
      <c r="BJ145" s="193"/>
      <c r="BK145" s="193"/>
      <c r="BL145" s="193"/>
      <c r="BM145" s="193"/>
      <c r="BN145" s="193"/>
      <c r="BO145" s="193"/>
      <c r="BP145" s="193"/>
      <c r="BQ145" s="193"/>
      <c r="BR145" s="193"/>
      <c r="BS145" s="193"/>
      <c r="BT145" s="193"/>
      <c r="BU145" s="193"/>
      <c r="BV145" s="193"/>
      <c r="BW145" s="193"/>
      <c r="BX145" s="193"/>
      <c r="BY145" s="193"/>
      <c r="BZ145" s="193"/>
      <c r="CA145" s="193"/>
      <c r="CB145" s="32">
        <f t="shared" si="32"/>
        <v>0</v>
      </c>
      <c r="CC145" s="33" t="e">
        <f t="shared" si="32"/>
        <v>#DIV/0!</v>
      </c>
    </row>
    <row r="147" spans="1:81" ht="17.25" customHeight="1">
      <c r="A147" s="5" t="s">
        <v>3990</v>
      </c>
      <c r="B147" s="5"/>
    </row>
    <row r="149" spans="1:81" ht="17.25" customHeight="1">
      <c r="A149" s="69" t="s">
        <v>3956</v>
      </c>
      <c r="B149" s="69" t="s">
        <v>3958</v>
      </c>
      <c r="C149" s="69" t="s">
        <v>3949</v>
      </c>
      <c r="D149" s="71">
        <f>D$5</f>
        <v>43231</v>
      </c>
      <c r="E149" s="72"/>
      <c r="F149" s="71">
        <f>F$5</f>
        <v>43232</v>
      </c>
      <c r="G149" s="72"/>
      <c r="H149" s="71">
        <f>H$5</f>
        <v>43233</v>
      </c>
      <c r="I149" s="72"/>
      <c r="J149" s="71">
        <f>J$5</f>
        <v>43234</v>
      </c>
      <c r="K149" s="72"/>
      <c r="L149" s="71">
        <f>L$5</f>
        <v>43235</v>
      </c>
      <c r="M149" s="72"/>
      <c r="N149" s="71">
        <f>N$5</f>
        <v>43236</v>
      </c>
      <c r="O149" s="72"/>
      <c r="P149" s="71">
        <f>P$5</f>
        <v>43237</v>
      </c>
      <c r="Q149" s="72"/>
      <c r="R149" s="71">
        <f>R$5</f>
        <v>43238</v>
      </c>
      <c r="S149" s="72"/>
      <c r="T149" s="71">
        <f>T$5</f>
        <v>43239</v>
      </c>
      <c r="U149" s="72"/>
      <c r="V149" s="71">
        <f>V$5</f>
        <v>43240</v>
      </c>
      <c r="W149" s="72"/>
      <c r="X149" s="71">
        <f>X$5</f>
        <v>43241</v>
      </c>
      <c r="Y149" s="72"/>
      <c r="Z149" s="71">
        <f>Z$5</f>
        <v>43242</v>
      </c>
      <c r="AA149" s="72"/>
      <c r="AB149" s="71">
        <f>AB$5</f>
        <v>43243</v>
      </c>
      <c r="AC149" s="72"/>
      <c r="AD149" s="71">
        <f>AD$5</f>
        <v>43244</v>
      </c>
      <c r="AE149" s="72"/>
      <c r="AF149" s="71">
        <f>AF$5</f>
        <v>43245</v>
      </c>
      <c r="AG149" s="72"/>
      <c r="AH149" s="71">
        <f>AH$5</f>
        <v>43246</v>
      </c>
      <c r="AI149" s="72"/>
      <c r="AJ149" s="71">
        <f>AJ$5</f>
        <v>43247</v>
      </c>
      <c r="AK149" s="72"/>
      <c r="AL149" s="71">
        <f>AL$5</f>
        <v>43248</v>
      </c>
      <c r="AM149" s="72"/>
      <c r="AN149" s="71">
        <f>AN$5</f>
        <v>43249</v>
      </c>
      <c r="AO149" s="72"/>
      <c r="AP149" s="71">
        <f>AP$5</f>
        <v>43250</v>
      </c>
      <c r="AQ149" s="72"/>
      <c r="AR149" s="71">
        <f>AR$5</f>
        <v>43251</v>
      </c>
      <c r="AS149" s="72"/>
      <c r="AT149" s="71">
        <f>AT$5</f>
        <v>43252</v>
      </c>
      <c r="AU149" s="72"/>
      <c r="AV149" s="71">
        <f>AV$5</f>
        <v>43253</v>
      </c>
      <c r="AW149" s="72"/>
      <c r="AX149" s="71">
        <f>AX$5</f>
        <v>43254</v>
      </c>
      <c r="AY149" s="72"/>
      <c r="AZ149" s="71">
        <f>AZ$5</f>
        <v>43255</v>
      </c>
      <c r="BA149" s="72"/>
      <c r="BB149" s="71">
        <f>BB$5</f>
        <v>43256</v>
      </c>
      <c r="BC149" s="72"/>
      <c r="BD149" s="71">
        <f>BD$5</f>
        <v>43257</v>
      </c>
      <c r="BE149" s="72"/>
      <c r="BF149" s="71">
        <f>BF$5</f>
        <v>43258</v>
      </c>
      <c r="BG149" s="72"/>
      <c r="BH149" s="195"/>
      <c r="BI149" s="195"/>
      <c r="BJ149" s="195"/>
      <c r="BK149" s="195"/>
      <c r="BL149" s="195"/>
      <c r="BM149" s="195"/>
      <c r="BN149" s="195"/>
      <c r="BO149" s="195"/>
      <c r="BP149" s="195"/>
      <c r="BQ149" s="195"/>
      <c r="BR149" s="195"/>
      <c r="BS149" s="195"/>
      <c r="BT149" s="195"/>
      <c r="BU149" s="195"/>
      <c r="BV149" s="195"/>
      <c r="BW149" s="195"/>
      <c r="BX149" s="195"/>
      <c r="BY149" s="195"/>
      <c r="BZ149" s="195"/>
      <c r="CA149" s="195"/>
      <c r="CC149" s="73"/>
    </row>
    <row r="150" spans="1:81" ht="17.25" customHeight="1">
      <c r="A150" s="74"/>
      <c r="B150" s="74"/>
      <c r="C150" s="75" t="s">
        <v>3963</v>
      </c>
      <c r="D150" s="76" t="s">
        <v>3940</v>
      </c>
      <c r="E150" s="77" t="s">
        <v>3941</v>
      </c>
      <c r="F150" s="76" t="s">
        <v>3940</v>
      </c>
      <c r="G150" s="77" t="s">
        <v>3941</v>
      </c>
      <c r="H150" s="76" t="s">
        <v>3940</v>
      </c>
      <c r="I150" s="77" t="s">
        <v>3941</v>
      </c>
      <c r="J150" s="76" t="s">
        <v>3940</v>
      </c>
      <c r="K150" s="77" t="s">
        <v>3941</v>
      </c>
      <c r="L150" s="76" t="s">
        <v>3940</v>
      </c>
      <c r="M150" s="77" t="s">
        <v>3941</v>
      </c>
      <c r="N150" s="76" t="s">
        <v>3940</v>
      </c>
      <c r="O150" s="77" t="s">
        <v>3941</v>
      </c>
      <c r="P150" s="76" t="s">
        <v>3940</v>
      </c>
      <c r="Q150" s="77" t="s">
        <v>3941</v>
      </c>
      <c r="R150" s="76" t="s">
        <v>3940</v>
      </c>
      <c r="S150" s="77" t="s">
        <v>3941</v>
      </c>
      <c r="T150" s="76" t="s">
        <v>3940</v>
      </c>
      <c r="U150" s="77" t="s">
        <v>3941</v>
      </c>
      <c r="V150" s="76" t="s">
        <v>3940</v>
      </c>
      <c r="W150" s="77" t="s">
        <v>3941</v>
      </c>
      <c r="X150" s="76" t="s">
        <v>3940</v>
      </c>
      <c r="Y150" s="77" t="s">
        <v>3941</v>
      </c>
      <c r="Z150" s="76" t="s">
        <v>3940</v>
      </c>
      <c r="AA150" s="77" t="s">
        <v>3941</v>
      </c>
      <c r="AB150" s="76" t="s">
        <v>3940</v>
      </c>
      <c r="AC150" s="77" t="s">
        <v>3941</v>
      </c>
      <c r="AD150" s="76" t="s">
        <v>3940</v>
      </c>
      <c r="AE150" s="77" t="s">
        <v>3941</v>
      </c>
      <c r="AF150" s="76" t="s">
        <v>3940</v>
      </c>
      <c r="AG150" s="77" t="s">
        <v>3941</v>
      </c>
      <c r="AH150" s="76" t="s">
        <v>3940</v>
      </c>
      <c r="AI150" s="77" t="s">
        <v>3941</v>
      </c>
      <c r="AJ150" s="76" t="s">
        <v>3940</v>
      </c>
      <c r="AK150" s="77" t="s">
        <v>3941</v>
      </c>
      <c r="AL150" s="76" t="s">
        <v>3940</v>
      </c>
      <c r="AM150" s="77" t="s">
        <v>3941</v>
      </c>
      <c r="AN150" s="76" t="s">
        <v>3940</v>
      </c>
      <c r="AO150" s="77" t="s">
        <v>3941</v>
      </c>
      <c r="AP150" s="76" t="s">
        <v>3940</v>
      </c>
      <c r="AQ150" s="77" t="s">
        <v>3941</v>
      </c>
      <c r="AR150" s="76" t="s">
        <v>3940</v>
      </c>
      <c r="AS150" s="77" t="s">
        <v>3941</v>
      </c>
      <c r="AT150" s="76" t="s">
        <v>3940</v>
      </c>
      <c r="AU150" s="77" t="s">
        <v>3941</v>
      </c>
      <c r="AV150" s="76" t="s">
        <v>3940</v>
      </c>
      <c r="AW150" s="77" t="s">
        <v>3941</v>
      </c>
      <c r="AX150" s="76" t="s">
        <v>3940</v>
      </c>
      <c r="AY150" s="77" t="s">
        <v>3941</v>
      </c>
      <c r="AZ150" s="76" t="s">
        <v>3940</v>
      </c>
      <c r="BA150" s="77" t="s">
        <v>3941</v>
      </c>
      <c r="BB150" s="76" t="s">
        <v>3940</v>
      </c>
      <c r="BC150" s="77" t="s">
        <v>3941</v>
      </c>
      <c r="BD150" s="76" t="s">
        <v>3940</v>
      </c>
      <c r="BE150" s="77" t="s">
        <v>3941</v>
      </c>
      <c r="BF150" s="76" t="s">
        <v>3940</v>
      </c>
      <c r="BG150" s="77" t="s">
        <v>3941</v>
      </c>
      <c r="BH150" s="70"/>
      <c r="BI150" s="70"/>
      <c r="BJ150" s="70"/>
      <c r="BK150" s="70"/>
      <c r="BL150" s="70"/>
      <c r="BM150" s="70"/>
      <c r="BN150" s="70"/>
      <c r="BO150" s="70"/>
      <c r="BP150" s="70"/>
      <c r="BQ150" s="70"/>
      <c r="BR150" s="70"/>
      <c r="BS150" s="70"/>
      <c r="BT150" s="70"/>
      <c r="BU150" s="70"/>
      <c r="BV150" s="70"/>
      <c r="BW150" s="70"/>
      <c r="BX150" s="70"/>
      <c r="BY150" s="70"/>
      <c r="BZ150" s="70"/>
      <c r="CA150" s="70"/>
      <c r="CB150" s="78" t="s">
        <v>3964</v>
      </c>
      <c r="CC150" s="78" t="s">
        <v>3943</v>
      </c>
    </row>
    <row r="151" spans="1:81" ht="36.75" customHeight="1">
      <c r="A151" s="79" t="s">
        <v>2</v>
      </c>
      <c r="B151" s="79" t="s">
        <v>3991</v>
      </c>
      <c r="C151" s="80">
        <v>1</v>
      </c>
      <c r="D151" s="81"/>
      <c r="E151" s="82"/>
      <c r="F151" s="81"/>
      <c r="G151" s="82"/>
      <c r="H151" s="81"/>
      <c r="I151" s="82"/>
      <c r="J151" s="81"/>
      <c r="K151" s="82"/>
      <c r="L151" s="81"/>
      <c r="M151" s="82"/>
      <c r="N151" s="81"/>
      <c r="O151" s="82"/>
      <c r="P151" s="81"/>
      <c r="Q151" s="82"/>
      <c r="R151" s="81"/>
      <c r="S151" s="82"/>
      <c r="T151" s="81"/>
      <c r="U151" s="82"/>
      <c r="V151" s="81"/>
      <c r="W151" s="82"/>
      <c r="X151" s="81"/>
      <c r="Y151" s="82"/>
      <c r="Z151" s="81"/>
      <c r="AA151" s="82"/>
      <c r="AB151" s="81"/>
      <c r="AC151" s="82"/>
      <c r="AD151" s="81"/>
      <c r="AE151" s="82"/>
      <c r="AF151" s="81"/>
      <c r="AG151" s="82"/>
      <c r="AH151" s="81"/>
      <c r="AI151" s="82"/>
      <c r="AJ151" s="81"/>
      <c r="AK151" s="82"/>
      <c r="AL151" s="81"/>
      <c r="AM151" s="82"/>
      <c r="AN151" s="81"/>
      <c r="AO151" s="82"/>
      <c r="AP151" s="81"/>
      <c r="AQ151" s="82"/>
      <c r="AR151" s="81"/>
      <c r="AS151" s="82"/>
      <c r="AT151" s="81"/>
      <c r="AU151" s="82"/>
      <c r="AV151" s="81"/>
      <c r="AW151" s="82"/>
      <c r="AX151" s="81"/>
      <c r="AY151" s="82"/>
      <c r="AZ151" s="81"/>
      <c r="BA151" s="82"/>
      <c r="BB151" s="81"/>
      <c r="BC151" s="82"/>
      <c r="BD151" s="81"/>
      <c r="BE151" s="82"/>
      <c r="BF151" s="81"/>
      <c r="BG151" s="82"/>
      <c r="BH151" s="196"/>
      <c r="BI151" s="196"/>
      <c r="BJ151" s="196"/>
      <c r="BK151" s="196"/>
      <c r="BL151" s="196"/>
      <c r="BM151" s="196"/>
      <c r="BN151" s="196"/>
      <c r="BO151" s="196"/>
      <c r="BP151" s="196"/>
      <c r="BQ151" s="196"/>
      <c r="BR151" s="196"/>
      <c r="BS151" s="196"/>
      <c r="BT151" s="196"/>
      <c r="BU151" s="196"/>
      <c r="BV151" s="196"/>
      <c r="BW151" s="196"/>
      <c r="BX151" s="196"/>
      <c r="BY151" s="196"/>
      <c r="BZ151" s="196"/>
      <c r="CA151" s="196"/>
      <c r="CB151" s="65">
        <f t="shared" ref="CB151:CB156" si="33">SUMIF($D$6:$BG$6,"Act",D151:BG151)</f>
        <v>0</v>
      </c>
      <c r="CC151" s="65">
        <f t="shared" ref="CC151:CC156" si="34">CB151/C151</f>
        <v>0</v>
      </c>
    </row>
    <row r="152" spans="1:81" ht="36.75" customHeight="1">
      <c r="A152" s="79" t="s">
        <v>2</v>
      </c>
      <c r="B152" s="79" t="s">
        <v>3996</v>
      </c>
      <c r="C152" s="80">
        <v>1</v>
      </c>
      <c r="D152" s="81"/>
      <c r="E152" s="82"/>
      <c r="F152" s="81"/>
      <c r="G152" s="82"/>
      <c r="H152" s="81"/>
      <c r="I152" s="82"/>
      <c r="J152" s="81"/>
      <c r="K152" s="82"/>
      <c r="L152" s="81"/>
      <c r="M152" s="82"/>
      <c r="N152" s="81"/>
      <c r="O152" s="82"/>
      <c r="P152" s="81"/>
      <c r="Q152" s="82"/>
      <c r="R152" s="81"/>
      <c r="S152" s="82"/>
      <c r="T152" s="81"/>
      <c r="U152" s="82"/>
      <c r="V152" s="81"/>
      <c r="W152" s="82"/>
      <c r="X152" s="81"/>
      <c r="Y152" s="82"/>
      <c r="Z152" s="81"/>
      <c r="AA152" s="82"/>
      <c r="AB152" s="81"/>
      <c r="AC152" s="82"/>
      <c r="AD152" s="81"/>
      <c r="AE152" s="82"/>
      <c r="AF152" s="81"/>
      <c r="AG152" s="82"/>
      <c r="AH152" s="81"/>
      <c r="AI152" s="82"/>
      <c r="AJ152" s="81"/>
      <c r="AK152" s="82"/>
      <c r="AL152" s="81"/>
      <c r="AM152" s="82"/>
      <c r="AN152" s="81"/>
      <c r="AO152" s="82"/>
      <c r="AP152" s="81"/>
      <c r="AQ152" s="82"/>
      <c r="AR152" s="81"/>
      <c r="AS152" s="82"/>
      <c r="AT152" s="81"/>
      <c r="AU152" s="82"/>
      <c r="AV152" s="81"/>
      <c r="AW152" s="82"/>
      <c r="AX152" s="81"/>
      <c r="AY152" s="82"/>
      <c r="AZ152" s="81"/>
      <c r="BA152" s="82"/>
      <c r="BB152" s="81"/>
      <c r="BC152" s="82"/>
      <c r="BD152" s="81"/>
      <c r="BE152" s="82"/>
      <c r="BF152" s="81"/>
      <c r="BG152" s="82"/>
      <c r="BH152" s="196"/>
      <c r="BI152" s="196"/>
      <c r="BJ152" s="196"/>
      <c r="BK152" s="196"/>
      <c r="BL152" s="196"/>
      <c r="BM152" s="196"/>
      <c r="BN152" s="196"/>
      <c r="BO152" s="196"/>
      <c r="BP152" s="196"/>
      <c r="BQ152" s="196"/>
      <c r="BR152" s="196"/>
      <c r="BS152" s="196"/>
      <c r="BT152" s="196"/>
      <c r="BU152" s="196"/>
      <c r="BV152" s="196"/>
      <c r="BW152" s="196"/>
      <c r="BX152" s="196"/>
      <c r="BY152" s="196"/>
      <c r="BZ152" s="196"/>
      <c r="CA152" s="196"/>
      <c r="CB152" s="65">
        <f t="shared" si="33"/>
        <v>0</v>
      </c>
      <c r="CC152" s="65">
        <f t="shared" si="34"/>
        <v>0</v>
      </c>
    </row>
    <row r="153" spans="1:81" ht="36.75" customHeight="1">
      <c r="A153" s="79" t="s">
        <v>3934</v>
      </c>
      <c r="B153" s="79" t="s">
        <v>3993</v>
      </c>
      <c r="C153" s="80">
        <v>1</v>
      </c>
      <c r="D153" s="81"/>
      <c r="E153" s="82"/>
      <c r="F153" s="81"/>
      <c r="G153" s="82"/>
      <c r="H153" s="81"/>
      <c r="I153" s="82"/>
      <c r="J153" s="81"/>
      <c r="K153" s="82"/>
      <c r="L153" s="81"/>
      <c r="M153" s="82"/>
      <c r="N153" s="81"/>
      <c r="O153" s="82"/>
      <c r="P153" s="81"/>
      <c r="Q153" s="82"/>
      <c r="R153" s="81"/>
      <c r="S153" s="82"/>
      <c r="T153" s="81"/>
      <c r="U153" s="82"/>
      <c r="V153" s="81"/>
      <c r="W153" s="82"/>
      <c r="X153" s="81"/>
      <c r="Y153" s="82"/>
      <c r="Z153" s="81"/>
      <c r="AA153" s="82"/>
      <c r="AB153" s="81"/>
      <c r="AC153" s="82"/>
      <c r="AD153" s="81"/>
      <c r="AE153" s="82"/>
      <c r="AF153" s="81"/>
      <c r="AG153" s="82"/>
      <c r="AH153" s="81"/>
      <c r="AI153" s="82"/>
      <c r="AJ153" s="81"/>
      <c r="AK153" s="82"/>
      <c r="AL153" s="81"/>
      <c r="AM153" s="82"/>
      <c r="AN153" s="81"/>
      <c r="AO153" s="82"/>
      <c r="AP153" s="81"/>
      <c r="AQ153" s="82"/>
      <c r="AR153" s="81"/>
      <c r="AS153" s="82"/>
      <c r="AT153" s="81"/>
      <c r="AU153" s="82"/>
      <c r="AV153" s="81"/>
      <c r="AW153" s="82"/>
      <c r="AX153" s="81"/>
      <c r="AY153" s="82"/>
      <c r="AZ153" s="81"/>
      <c r="BA153" s="82"/>
      <c r="BB153" s="81"/>
      <c r="BC153" s="82"/>
      <c r="BD153" s="81"/>
      <c r="BE153" s="82"/>
      <c r="BF153" s="81"/>
      <c r="BG153" s="82"/>
      <c r="BH153" s="196"/>
      <c r="BI153" s="196"/>
      <c r="BJ153" s="196"/>
      <c r="BK153" s="196"/>
      <c r="BL153" s="196"/>
      <c r="BM153" s="196"/>
      <c r="BN153" s="196"/>
      <c r="BO153" s="196"/>
      <c r="BP153" s="196"/>
      <c r="BQ153" s="196"/>
      <c r="BR153" s="196"/>
      <c r="BS153" s="196"/>
      <c r="BT153" s="196"/>
      <c r="BU153" s="196"/>
      <c r="BV153" s="196"/>
      <c r="BW153" s="196"/>
      <c r="BX153" s="196"/>
      <c r="BY153" s="196"/>
      <c r="BZ153" s="196"/>
      <c r="CA153" s="196"/>
      <c r="CB153" s="65">
        <f t="shared" si="33"/>
        <v>0</v>
      </c>
      <c r="CC153" s="65">
        <f t="shared" si="34"/>
        <v>0</v>
      </c>
    </row>
    <row r="154" spans="1:81" ht="36.75" customHeight="1">
      <c r="A154" s="79" t="s">
        <v>3934</v>
      </c>
      <c r="B154" s="79" t="s">
        <v>3992</v>
      </c>
      <c r="C154" s="80">
        <v>1</v>
      </c>
      <c r="D154" s="81"/>
      <c r="E154" s="82"/>
      <c r="F154" s="81"/>
      <c r="G154" s="82"/>
      <c r="H154" s="81"/>
      <c r="I154" s="82"/>
      <c r="J154" s="81"/>
      <c r="K154" s="82"/>
      <c r="L154" s="81"/>
      <c r="M154" s="82"/>
      <c r="N154" s="81"/>
      <c r="O154" s="82"/>
      <c r="P154" s="81"/>
      <c r="Q154" s="82"/>
      <c r="R154" s="81"/>
      <c r="S154" s="82"/>
      <c r="T154" s="81"/>
      <c r="U154" s="82"/>
      <c r="V154" s="81"/>
      <c r="W154" s="82"/>
      <c r="X154" s="81"/>
      <c r="Y154" s="82"/>
      <c r="Z154" s="81"/>
      <c r="AA154" s="82"/>
      <c r="AB154" s="81"/>
      <c r="AC154" s="82"/>
      <c r="AD154" s="81"/>
      <c r="AE154" s="82"/>
      <c r="AF154" s="81"/>
      <c r="AG154" s="82"/>
      <c r="AH154" s="81"/>
      <c r="AI154" s="82"/>
      <c r="AJ154" s="81"/>
      <c r="AK154" s="82"/>
      <c r="AL154" s="81"/>
      <c r="AM154" s="82"/>
      <c r="AN154" s="81"/>
      <c r="AO154" s="82"/>
      <c r="AP154" s="81"/>
      <c r="AQ154" s="82"/>
      <c r="AR154" s="81"/>
      <c r="AS154" s="82"/>
      <c r="AT154" s="81"/>
      <c r="AU154" s="82"/>
      <c r="AV154" s="81"/>
      <c r="AW154" s="82"/>
      <c r="AX154" s="81"/>
      <c r="AY154" s="82"/>
      <c r="AZ154" s="81"/>
      <c r="BA154" s="82"/>
      <c r="BB154" s="81"/>
      <c r="BC154" s="82"/>
      <c r="BD154" s="81"/>
      <c r="BE154" s="82"/>
      <c r="BF154" s="81"/>
      <c r="BG154" s="82"/>
      <c r="BH154" s="196"/>
      <c r="BI154" s="196"/>
      <c r="BJ154" s="196"/>
      <c r="BK154" s="196"/>
      <c r="BL154" s="196"/>
      <c r="BM154" s="196"/>
      <c r="BN154" s="196"/>
      <c r="BO154" s="196"/>
      <c r="BP154" s="196"/>
      <c r="BQ154" s="196"/>
      <c r="BR154" s="196"/>
      <c r="BS154" s="196"/>
      <c r="BT154" s="196"/>
      <c r="BU154" s="196"/>
      <c r="BV154" s="196"/>
      <c r="BW154" s="196"/>
      <c r="BX154" s="196"/>
      <c r="BY154" s="196"/>
      <c r="BZ154" s="196"/>
      <c r="CA154" s="196"/>
      <c r="CB154" s="65">
        <f t="shared" si="33"/>
        <v>0</v>
      </c>
      <c r="CC154" s="65">
        <f t="shared" si="34"/>
        <v>0</v>
      </c>
    </row>
    <row r="155" spans="1:81" ht="36.75" customHeight="1">
      <c r="A155" s="79" t="s">
        <v>3934</v>
      </c>
      <c r="B155" s="79" t="s">
        <v>3997</v>
      </c>
      <c r="C155" s="80">
        <v>1</v>
      </c>
      <c r="D155" s="81"/>
      <c r="E155" s="82"/>
      <c r="F155" s="81"/>
      <c r="G155" s="82"/>
      <c r="H155" s="81"/>
      <c r="I155" s="82"/>
      <c r="J155" s="81"/>
      <c r="K155" s="82"/>
      <c r="L155" s="81"/>
      <c r="M155" s="82"/>
      <c r="N155" s="81"/>
      <c r="O155" s="82"/>
      <c r="P155" s="81"/>
      <c r="Q155" s="82"/>
      <c r="R155" s="81"/>
      <c r="S155" s="82"/>
      <c r="T155" s="81"/>
      <c r="U155" s="82"/>
      <c r="V155" s="81"/>
      <c r="W155" s="82"/>
      <c r="X155" s="81"/>
      <c r="Y155" s="82"/>
      <c r="Z155" s="81"/>
      <c r="AA155" s="82"/>
      <c r="AB155" s="81"/>
      <c r="AC155" s="82"/>
      <c r="AD155" s="81"/>
      <c r="AE155" s="82"/>
      <c r="AF155" s="81"/>
      <c r="AG155" s="82"/>
      <c r="AH155" s="81"/>
      <c r="AI155" s="82"/>
      <c r="AJ155" s="81"/>
      <c r="AK155" s="82"/>
      <c r="AL155" s="81"/>
      <c r="AM155" s="82"/>
      <c r="AN155" s="81"/>
      <c r="AO155" s="82"/>
      <c r="AP155" s="81"/>
      <c r="AQ155" s="82"/>
      <c r="AR155" s="81"/>
      <c r="AS155" s="82"/>
      <c r="AT155" s="81"/>
      <c r="AU155" s="82"/>
      <c r="AV155" s="81"/>
      <c r="AW155" s="82"/>
      <c r="AX155" s="81"/>
      <c r="AY155" s="82"/>
      <c r="AZ155" s="81"/>
      <c r="BA155" s="82"/>
      <c r="BB155" s="81"/>
      <c r="BC155" s="82"/>
      <c r="BD155" s="81"/>
      <c r="BE155" s="82"/>
      <c r="BF155" s="81"/>
      <c r="BG155" s="82"/>
      <c r="BH155" s="196"/>
      <c r="BI155" s="196"/>
      <c r="BJ155" s="196"/>
      <c r="BK155" s="196"/>
      <c r="BL155" s="196"/>
      <c r="BM155" s="196"/>
      <c r="BN155" s="196"/>
      <c r="BO155" s="196"/>
      <c r="BP155" s="196"/>
      <c r="BQ155" s="196"/>
      <c r="BR155" s="196"/>
      <c r="BS155" s="196"/>
      <c r="BT155" s="196"/>
      <c r="BU155" s="196"/>
      <c r="BV155" s="196"/>
      <c r="BW155" s="196"/>
      <c r="BX155" s="196"/>
      <c r="BY155" s="196"/>
      <c r="BZ155" s="196"/>
      <c r="CA155" s="196"/>
      <c r="CB155" s="65">
        <f t="shared" si="33"/>
        <v>0</v>
      </c>
      <c r="CC155" s="65">
        <f t="shared" si="34"/>
        <v>0</v>
      </c>
    </row>
    <row r="156" spans="1:81" ht="36.75" customHeight="1">
      <c r="A156" s="79" t="s">
        <v>3994</v>
      </c>
      <c r="B156" s="79" t="s">
        <v>4011</v>
      </c>
      <c r="C156" s="80">
        <v>1</v>
      </c>
      <c r="D156" s="81"/>
      <c r="E156" s="82"/>
      <c r="F156" s="81"/>
      <c r="G156" s="82"/>
      <c r="H156" s="81"/>
      <c r="I156" s="82"/>
      <c r="J156" s="81"/>
      <c r="K156" s="82"/>
      <c r="L156" s="81"/>
      <c r="M156" s="82"/>
      <c r="N156" s="81"/>
      <c r="O156" s="82"/>
      <c r="P156" s="81"/>
      <c r="Q156" s="82"/>
      <c r="R156" s="81"/>
      <c r="S156" s="82"/>
      <c r="T156" s="81"/>
      <c r="U156" s="82"/>
      <c r="V156" s="81"/>
      <c r="W156" s="82"/>
      <c r="X156" s="81"/>
      <c r="Y156" s="82"/>
      <c r="Z156" s="81"/>
      <c r="AA156" s="82"/>
      <c r="AB156" s="81"/>
      <c r="AC156" s="82"/>
      <c r="AD156" s="81"/>
      <c r="AE156" s="82"/>
      <c r="AF156" s="81"/>
      <c r="AG156" s="82"/>
      <c r="AH156" s="81"/>
      <c r="AI156" s="82"/>
      <c r="AJ156" s="81"/>
      <c r="AK156" s="82"/>
      <c r="AL156" s="81"/>
      <c r="AM156" s="82"/>
      <c r="AN156" s="81"/>
      <c r="AO156" s="82"/>
      <c r="AP156" s="81"/>
      <c r="AQ156" s="82"/>
      <c r="AR156" s="81"/>
      <c r="AS156" s="82"/>
      <c r="AT156" s="81"/>
      <c r="AU156" s="82"/>
      <c r="AV156" s="81"/>
      <c r="AW156" s="82"/>
      <c r="AX156" s="81"/>
      <c r="AY156" s="82"/>
      <c r="AZ156" s="81"/>
      <c r="BA156" s="82"/>
      <c r="BB156" s="81"/>
      <c r="BC156" s="82"/>
      <c r="BD156" s="81"/>
      <c r="BE156" s="82"/>
      <c r="BF156" s="81"/>
      <c r="BG156" s="82"/>
      <c r="BH156" s="196"/>
      <c r="BI156" s="196"/>
      <c r="BJ156" s="196"/>
      <c r="BK156" s="196"/>
      <c r="BL156" s="196"/>
      <c r="BM156" s="196"/>
      <c r="BN156" s="196"/>
      <c r="BO156" s="196"/>
      <c r="BP156" s="196"/>
      <c r="BQ156" s="196"/>
      <c r="BR156" s="196"/>
      <c r="BS156" s="196"/>
      <c r="BT156" s="196"/>
      <c r="BU156" s="196"/>
      <c r="BV156" s="196"/>
      <c r="BW156" s="196"/>
      <c r="BX156" s="196"/>
      <c r="BY156" s="196"/>
      <c r="BZ156" s="196"/>
      <c r="CA156" s="196"/>
      <c r="CB156" s="65">
        <f t="shared" si="33"/>
        <v>0</v>
      </c>
      <c r="CC156" s="65">
        <f t="shared" si="34"/>
        <v>0</v>
      </c>
    </row>
    <row r="157" spans="1:81" ht="17.25" customHeight="1">
      <c r="A157" s="83" t="s">
        <v>3942</v>
      </c>
      <c r="B157" s="83"/>
      <c r="C157" s="83"/>
      <c r="D157" s="84">
        <f t="shared" ref="D157:AI157" si="35">+SUBTOTAL(9,D151:D156)</f>
        <v>0</v>
      </c>
      <c r="E157" s="85">
        <f t="shared" si="35"/>
        <v>0</v>
      </c>
      <c r="F157" s="84">
        <f t="shared" si="35"/>
        <v>0</v>
      </c>
      <c r="G157" s="85">
        <f t="shared" si="35"/>
        <v>0</v>
      </c>
      <c r="H157" s="84">
        <f t="shared" si="35"/>
        <v>0</v>
      </c>
      <c r="I157" s="85">
        <f t="shared" si="35"/>
        <v>0</v>
      </c>
      <c r="J157" s="84">
        <f t="shared" si="35"/>
        <v>0</v>
      </c>
      <c r="K157" s="84">
        <f t="shared" si="35"/>
        <v>0</v>
      </c>
      <c r="L157" s="84">
        <f t="shared" si="35"/>
        <v>0</v>
      </c>
      <c r="M157" s="85">
        <f t="shared" si="35"/>
        <v>0</v>
      </c>
      <c r="N157" s="84">
        <f t="shared" si="35"/>
        <v>0</v>
      </c>
      <c r="O157" s="85">
        <f t="shared" si="35"/>
        <v>0</v>
      </c>
      <c r="P157" s="84">
        <f t="shared" si="35"/>
        <v>0</v>
      </c>
      <c r="Q157" s="85">
        <f t="shared" si="35"/>
        <v>0</v>
      </c>
      <c r="R157" s="84">
        <f t="shared" si="35"/>
        <v>0</v>
      </c>
      <c r="S157" s="85">
        <f t="shared" si="35"/>
        <v>0</v>
      </c>
      <c r="T157" s="84">
        <f t="shared" si="35"/>
        <v>0</v>
      </c>
      <c r="U157" s="85">
        <f t="shared" si="35"/>
        <v>0</v>
      </c>
      <c r="V157" s="84">
        <f t="shared" si="35"/>
        <v>0</v>
      </c>
      <c r="W157" s="85">
        <f t="shared" si="35"/>
        <v>0</v>
      </c>
      <c r="X157" s="84">
        <f t="shared" si="35"/>
        <v>0</v>
      </c>
      <c r="Y157" s="85">
        <f t="shared" si="35"/>
        <v>0</v>
      </c>
      <c r="Z157" s="84">
        <f t="shared" si="35"/>
        <v>0</v>
      </c>
      <c r="AA157" s="85">
        <f t="shared" si="35"/>
        <v>0</v>
      </c>
      <c r="AB157" s="84">
        <f t="shared" si="35"/>
        <v>0</v>
      </c>
      <c r="AC157" s="85">
        <f t="shared" si="35"/>
        <v>0</v>
      </c>
      <c r="AD157" s="84">
        <f t="shared" si="35"/>
        <v>0</v>
      </c>
      <c r="AE157" s="85">
        <f t="shared" si="35"/>
        <v>0</v>
      </c>
      <c r="AF157" s="84">
        <f t="shared" si="35"/>
        <v>0</v>
      </c>
      <c r="AG157" s="85">
        <f t="shared" si="35"/>
        <v>0</v>
      </c>
      <c r="AH157" s="84">
        <f t="shared" si="35"/>
        <v>0</v>
      </c>
      <c r="AI157" s="85">
        <f t="shared" si="35"/>
        <v>0</v>
      </c>
      <c r="AJ157" s="84">
        <f t="shared" ref="AJ157:CC157" si="36">+SUBTOTAL(9,AJ151:AJ156)</f>
        <v>0</v>
      </c>
      <c r="AK157" s="85">
        <f t="shared" si="36"/>
        <v>0</v>
      </c>
      <c r="AL157" s="84">
        <f t="shared" si="36"/>
        <v>0</v>
      </c>
      <c r="AM157" s="85">
        <f t="shared" si="36"/>
        <v>0</v>
      </c>
      <c r="AN157" s="84">
        <f t="shared" si="36"/>
        <v>0</v>
      </c>
      <c r="AO157" s="85">
        <f t="shared" si="36"/>
        <v>0</v>
      </c>
      <c r="AP157" s="84">
        <f t="shared" si="36"/>
        <v>0</v>
      </c>
      <c r="AQ157" s="85">
        <f t="shared" si="36"/>
        <v>0</v>
      </c>
      <c r="AR157" s="84">
        <f t="shared" si="36"/>
        <v>0</v>
      </c>
      <c r="AS157" s="85">
        <f t="shared" si="36"/>
        <v>0</v>
      </c>
      <c r="AT157" s="84">
        <f t="shared" si="36"/>
        <v>0</v>
      </c>
      <c r="AU157" s="85">
        <f t="shared" si="36"/>
        <v>0</v>
      </c>
      <c r="AV157" s="84">
        <f t="shared" si="36"/>
        <v>0</v>
      </c>
      <c r="AW157" s="85">
        <f t="shared" si="36"/>
        <v>0</v>
      </c>
      <c r="AX157" s="84">
        <f t="shared" si="36"/>
        <v>0</v>
      </c>
      <c r="AY157" s="85">
        <f t="shared" si="36"/>
        <v>0</v>
      </c>
      <c r="AZ157" s="84">
        <f t="shared" si="36"/>
        <v>0</v>
      </c>
      <c r="BA157" s="85">
        <f t="shared" si="36"/>
        <v>0</v>
      </c>
      <c r="BB157" s="84">
        <f t="shared" si="36"/>
        <v>0</v>
      </c>
      <c r="BC157" s="85">
        <f t="shared" si="36"/>
        <v>0</v>
      </c>
      <c r="BD157" s="84">
        <f t="shared" si="36"/>
        <v>0</v>
      </c>
      <c r="BE157" s="85">
        <f t="shared" si="36"/>
        <v>0</v>
      </c>
      <c r="BF157" s="84">
        <f t="shared" si="36"/>
        <v>0</v>
      </c>
      <c r="BG157" s="85">
        <f t="shared" si="36"/>
        <v>0</v>
      </c>
      <c r="BH157" s="197"/>
      <c r="BI157" s="197"/>
      <c r="BJ157" s="197"/>
      <c r="BK157" s="197"/>
      <c r="BL157" s="197"/>
      <c r="BM157" s="197"/>
      <c r="BN157" s="197"/>
      <c r="BO157" s="197"/>
      <c r="BP157" s="197"/>
      <c r="BQ157" s="197"/>
      <c r="BR157" s="197"/>
      <c r="BS157" s="197"/>
      <c r="BT157" s="197"/>
      <c r="BU157" s="197"/>
      <c r="BV157" s="197"/>
      <c r="BW157" s="197"/>
      <c r="BX157" s="197"/>
      <c r="BY157" s="197"/>
      <c r="BZ157" s="197"/>
      <c r="CA157" s="197"/>
      <c r="CB157" s="83">
        <f t="shared" si="36"/>
        <v>0</v>
      </c>
      <c r="CC157" s="86">
        <f t="shared" si="36"/>
        <v>0</v>
      </c>
    </row>
  </sheetData>
  <customSheetViews>
    <customSheetView guid="{F06BFD04-CCD2-461C-AC42-65887227FFD3}" scale="85" showGridLines="0">
      <pane xSplit="3" ySplit="6" topLeftCell="BS10" activePane="bottomRight" state="frozen"/>
      <selection pane="bottomRight" activeCell="CE12" sqref="CE12"/>
      <pageMargins left="0.25" right="0.25" top="0.5" bottom="0.25" header="0.3" footer="0.3"/>
      <pageSetup paperSize="9" scale="85" orientation="landscape" horizontalDpi="300" verticalDpi="300" r:id="rId1"/>
    </customSheetView>
    <customSheetView guid="{24934804-84B0-4982-9BF2-E46F6DDD5DD8}" scale="85" showGridLines="0">
      <pane xSplit="3" ySplit="6" topLeftCell="D10" activePane="bottomRight" state="frozen"/>
      <selection pane="bottomRight" activeCell="CB23" sqref="CB23"/>
      <pageMargins left="0.25" right="0.25" top="0.5" bottom="0.25" header="0.3" footer="0.3"/>
      <pageSetup paperSize="9" scale="85" orientation="landscape" horizontalDpi="300" verticalDpi="300" r:id="rId2"/>
    </customSheetView>
    <customSheetView guid="{3DE895B0-7958-42DA-95C8-453D6A82D678}" scale="85" showGridLines="0">
      <pane xSplit="3" ySplit="6" topLeftCell="BT10" activePane="bottomRight" state="frozen"/>
      <selection pane="bottomRight" activeCell="BZ23" sqref="BZ23"/>
      <pageMargins left="0.25" right="0.25" top="0.5" bottom="0.25" header="0.3" footer="0.3"/>
      <pageSetup paperSize="9" scale="85" orientation="landscape" horizontalDpi="300" verticalDpi="300" r:id="rId3"/>
    </customSheetView>
    <customSheetView guid="{F4AB2122-655E-40F6-8B53-54B747E7ED61}" scale="85" showGridLines="0">
      <pane xSplit="3" ySplit="6" topLeftCell="BT7" activePane="bottomRight" state="frozen"/>
      <selection pane="bottomRight" activeCell="BT16" sqref="BT16"/>
      <pageMargins left="0.25" right="0.25" top="0.5" bottom="0.25" header="0.3" footer="0.3"/>
      <pageSetup paperSize="9" scale="85" orientation="landscape" horizontalDpi="300" verticalDpi="300" r:id="rId4"/>
    </customSheetView>
    <customSheetView guid="{2416856D-96F2-4FCD-9E1E-89AD408E8F07}" scale="85" showGridLines="0">
      <pane xSplit="3" ySplit="6" topLeftCell="BH7" activePane="bottomRight" state="frozen"/>
      <selection pane="bottomRight" activeCell="BU21" sqref="BU21"/>
      <pageMargins left="0.25" right="0.25" top="0.5" bottom="0.25" header="0.3" footer="0.3"/>
      <pageSetup paperSize="9" scale="85" orientation="landscape" horizontalDpi="300" verticalDpi="300" r:id="rId5"/>
    </customSheetView>
    <customSheetView guid="{781BC751-F315-497E-B1B4-A2D752209BD7}" scale="85" showGridLines="0">
      <pane xSplit="2.2714285714285714" ySplit="5" topLeftCell="BS7" activePane="bottomRight" state="frozen"/>
      <selection pane="bottomRight" activeCell="CF12" sqref="CF12"/>
      <pageMargins left="0.25" right="0.25" top="0.5" bottom="0.25" header="0.3" footer="0.3"/>
      <pageSetup paperSize="9" scale="85" orientation="landscape" horizontalDpi="300" verticalDpi="300" r:id="rId6"/>
    </customSheetView>
    <customSheetView guid="{DF37B372-7B5A-4253-9EE3-FD3ABD7DF4B8}" scale="85" showGridLines="0" hiddenColumns="1">
      <pane xSplit="18" ySplit="5" topLeftCell="BQ7" activePane="bottomRight" state="frozen"/>
      <selection pane="bottomRight" activeCell="BY20" sqref="BY20"/>
      <pageMargins left="0.25" right="0.25" top="0.5" bottom="0.25" header="0.3" footer="0.3"/>
      <pageSetup paperSize="9" scale="85" orientation="landscape" horizontalDpi="300" verticalDpi="300" r:id="rId7"/>
    </customSheetView>
    <customSheetView guid="{89423216-97BC-488F-92AF-85198E8FDC07}" scale="85" showGridLines="0" hiddenColumns="1">
      <pane xSplit="18" ySplit="5" topLeftCell="BO7" activePane="bottomRight" state="frozen"/>
      <selection pane="bottomRight" activeCell="C21" sqref="C21"/>
      <pageMargins left="0.25" right="0.25" top="0.5" bottom="0.25" header="0.3" footer="0.3"/>
      <pageSetup paperSize="9" scale="85" orientation="landscape" horizontalDpi="300" verticalDpi="300" r:id="rId8"/>
    </customSheetView>
    <customSheetView guid="{AFC521DD-6BF9-4AA5-991A-73D8F620A3D9}" scale="85" showGridLines="0" hiddenColumns="1">
      <pane xSplit="18" ySplit="6" topLeftCell="T7" activePane="bottomRight" state="frozen"/>
      <selection pane="bottomRight" activeCell="A41" sqref="A41"/>
      <pageMargins left="0.25" right="0.25" top="0.5" bottom="0.25" header="0.3" footer="0.3"/>
      <pageSetup paperSize="9" scale="85" orientation="landscape" horizontalDpi="300" verticalDpi="300" r:id="rId9"/>
    </customSheetView>
    <customSheetView guid="{6641B719-6463-4FDD-9DBC-41F5618DBE27}" scale="85" showGridLines="0" hiddenColumns="1">
      <pane xSplit="18" ySplit="6" topLeftCell="Y64" activePane="bottomRight" state="frozen"/>
      <selection pane="bottomRight" activeCell="AI14" sqref="AI14"/>
      <pageMargins left="0.25" right="0.25" top="0.5" bottom="0.25" header="0.3" footer="0.3"/>
      <pageSetup paperSize="9" scale="85" orientation="landscape" horizontalDpi="300" verticalDpi="300" r:id="rId10"/>
    </customSheetView>
    <customSheetView guid="{145EFE0A-DDB4-4E3B-8A20-749E6B137AEA}" scale="85" showGridLines="0" hiddenColumns="1">
      <pane xSplit="18" ySplit="5" topLeftCell="BN8" activePane="bottomRight" state="frozen"/>
      <selection pane="bottomRight" activeCell="CA11" sqref="CA11"/>
      <pageMargins left="0.25" right="0.25" top="0.5" bottom="0.25" header="0.3" footer="0.3"/>
      <pageSetup paperSize="9" scale="85" orientation="landscape" horizontalDpi="300" verticalDpi="300" r:id="rId11"/>
    </customSheetView>
    <customSheetView guid="{75F545D8-957D-412C-B66B-DD1178A45800}" scale="85" showGridLines="0" hiddenColumns="1">
      <pane xSplit="18" ySplit="6" topLeftCell="BP7" activePane="bottomRight" state="frozen"/>
      <selection pane="bottomRight" sqref="A1:XFD6"/>
      <pageMargins left="0.25" right="0.25" top="0.5" bottom="0.25" header="0.3" footer="0.3"/>
      <pageSetup paperSize="9" scale="85" orientation="landscape" horizontalDpi="300" verticalDpi="300" r:id="rId12"/>
    </customSheetView>
    <customSheetView guid="{894FF5A1-5E16-48B2-97B7-77905E52730D}" scale="85" showGridLines="0" hiddenColumns="1">
      <pane xSplit="18" ySplit="5" topLeftCell="T7" activePane="bottomRight" state="frozen"/>
      <selection pane="bottomRight" activeCell="T7" sqref="T7"/>
      <pageMargins left="0.25" right="0.25" top="0.5" bottom="0.25" header="0.3" footer="0.3"/>
      <pageSetup paperSize="9" scale="85" orientation="landscape" horizontalDpi="300" verticalDpi="300" r:id="rId13"/>
    </customSheetView>
    <customSheetView guid="{845AB85B-320D-4261-8D20-E6D9D5D4C38C}" scale="85" showGridLines="0" hiddenColumns="1">
      <pane xSplit="18" ySplit="5" topLeftCell="BN7" activePane="bottomRight" state="frozen"/>
      <selection pane="bottomRight" activeCell="BU16" sqref="BU16"/>
      <pageMargins left="0.25" right="0.25" top="0.5" bottom="0.25" header="0.3" footer="0.3"/>
      <pageSetup paperSize="9" scale="85" orientation="landscape" horizontalDpi="300" verticalDpi="300" r:id="rId14"/>
    </customSheetView>
    <customSheetView guid="{CE348A5C-D9D4-4899-A40F-894070A117B6}" scale="85" showGridLines="0" hiddenColumns="1">
      <pane xSplit="18" ySplit="5" topLeftCell="BN7" activePane="bottomRight" state="frozen"/>
      <selection pane="bottomRight" activeCell="A12" sqref="A12:XFD12"/>
      <pageMargins left="0.25" right="0.25" top="0.5" bottom="0.25" header="0.3" footer="0.3"/>
      <pageSetup paperSize="9" scale="85" orientation="landscape" horizontalDpi="300" verticalDpi="300" r:id="rId15"/>
    </customSheetView>
    <customSheetView guid="{8D0556F1-DDE6-43F4-BF14-0889B98E8F1B}" scale="85" showGridLines="0" hiddenColumns="1">
      <pane xSplit="18" ySplit="6" topLeftCell="BI7" activePane="bottomRight" state="frozen"/>
      <selection pane="bottomRight" activeCell="CA20" sqref="CA20"/>
      <pageMargins left="0.25" right="0.25" top="0.5" bottom="0.25" header="0.3" footer="0.3"/>
      <pageSetup paperSize="9" scale="85" orientation="landscape" horizontalDpi="300" verticalDpi="300" r:id="rId16"/>
    </customSheetView>
    <customSheetView guid="{A0F6C4E6-E641-4152-9AB1-BDDEFE79F262}" scale="85" showGridLines="0" hiddenColumns="1">
      <pane xSplit="18" ySplit="5" topLeftCell="BS7" activePane="bottomRight" state="frozen"/>
      <selection pane="bottomRight" activeCell="CB10" sqref="A7:XFD23"/>
      <pageMargins left="0.25" right="0.25" top="0.5" bottom="0.25" header="0.3" footer="0.3"/>
      <pageSetup paperSize="9" scale="85" orientation="landscape" horizontalDpi="300" verticalDpi="300" r:id="rId17"/>
    </customSheetView>
    <customSheetView guid="{D40E5C28-53DE-4B28-952C-1D2FB2D5F0F0}" scale="85" showGridLines="0" hiddenColumns="1">
      <pane xSplit="18" ySplit="6" topLeftCell="Z7" activePane="bottomRight" state="frozen"/>
      <selection pane="bottomRight" activeCell="AM11" sqref="AM11"/>
      <pageMargins left="0.25" right="0.25" top="0.5" bottom="0.25" header="0.3" footer="0.3"/>
      <pageSetup paperSize="9" scale="85" orientation="landscape" horizontalDpi="300" verticalDpi="300" r:id="rId18"/>
    </customSheetView>
    <customSheetView guid="{26B41735-39E2-4BE9-9EA5-D1F67A43DC0E}" scale="85" showGridLines="0" hiddenColumns="1">
      <pane xSplit="18" ySplit="6" topLeftCell="BY7" activePane="bottomRight" state="frozen"/>
      <selection pane="bottomRight" activeCell="BY15" sqref="BY15"/>
      <pageMargins left="0.25" right="0.25" top="0.5" bottom="0.25" header="0.3" footer="0.3"/>
      <pageSetup paperSize="9" scale="85" orientation="landscape" horizontalDpi="300" verticalDpi="300" r:id="rId19"/>
    </customSheetView>
    <customSheetView guid="{284277B3-AC3C-4136-A308-367D96D447E4}" scale="85" showGridLines="0">
      <pane xSplit="2.2714285714285714" ySplit="5" topLeftCell="D7" activePane="bottomRight" state="frozen"/>
      <selection pane="bottomRight" activeCell="C19" activeCellId="1" sqref="C10:C14 C19"/>
      <pageMargins left="0.25" right="0.25" top="0.5" bottom="0.25" header="0.3" footer="0.3"/>
      <pageSetup paperSize="9" scale="85" orientation="landscape" horizontalDpi="300" verticalDpi="300" r:id="rId20"/>
    </customSheetView>
    <customSheetView guid="{92A1CAD1-2CFB-4DA3-AD67-71210BA7D4E5}" scale="85" showGridLines="0">
      <pane xSplit="3" ySplit="6" topLeftCell="BT7" activePane="bottomRight" state="frozen"/>
      <selection pane="bottomRight" activeCell="BU15" sqref="BU15"/>
      <pageMargins left="0.25" right="0.25" top="0.5" bottom="0.25" header="0.3" footer="0.3"/>
      <pageSetup paperSize="9" scale="85" orientation="landscape" horizontalDpi="300" verticalDpi="300" r:id="rId21"/>
    </customSheetView>
    <customSheetView guid="{A4ED5A10-FDD2-4550-ABD5-0B6EF13A24C4}" scale="85" showGridLines="0">
      <pane xSplit="2.2714285714285714" ySplit="5" topLeftCell="BS10" activePane="bottomRight" state="frozen"/>
      <selection pane="bottomRight" activeCell="C12" sqref="C12:C14"/>
      <pageMargins left="0.25" right="0.25" top="0.5" bottom="0.25" header="0.3" footer="0.3"/>
      <pageSetup paperSize="9" scale="85" orientation="landscape" horizontalDpi="300" verticalDpi="300" r:id="rId22"/>
    </customSheetView>
  </customSheetViews>
  <mergeCells count="13">
    <mergeCell ref="B33:B48"/>
    <mergeCell ref="B7:B23"/>
    <mergeCell ref="BF5:BG5"/>
    <mergeCell ref="BH5:BI5"/>
    <mergeCell ref="BJ5:BK5"/>
    <mergeCell ref="BV5:BW5"/>
    <mergeCell ref="BX5:BY5"/>
    <mergeCell ref="BZ5:CA5"/>
    <mergeCell ref="BL5:BM5"/>
    <mergeCell ref="BN5:BO5"/>
    <mergeCell ref="BP5:BQ5"/>
    <mergeCell ref="BR5:BS5"/>
    <mergeCell ref="BT5:BU5"/>
  </mergeCells>
  <pageMargins left="0.25" right="0.25" top="0.5" bottom="0.25" header="0.3" footer="0.3"/>
  <pageSetup paperSize="9" scale="85" orientation="landscape" horizontalDpi="300" verticalDpi="300" r:id="rId2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"/>
  <sheetViews>
    <sheetView workbookViewId="0">
      <selection activeCell="L8" sqref="L8"/>
    </sheetView>
  </sheetViews>
  <sheetFormatPr defaultRowHeight="12"/>
  <sheetData/>
  <customSheetViews>
    <customSheetView guid="{F06BFD04-CCD2-461C-AC42-65887227FFD3}" state="hidden">
      <selection activeCell="L8" sqref="L8"/>
      <pageMargins left="0.7" right="0.7" top="0.75" bottom="0.75" header="0.3" footer="0.3"/>
    </customSheetView>
    <customSheetView guid="{24934804-84B0-4982-9BF2-E46F6DDD5DD8}" state="hidden">
      <selection activeCell="L8" sqref="L8"/>
      <pageMargins left="0.7" right="0.7" top="0.75" bottom="0.75" header="0.3" footer="0.3"/>
    </customSheetView>
    <customSheetView guid="{3DE895B0-7958-42DA-95C8-453D6A82D678}" state="hidden">
      <selection activeCell="L8" sqref="L8"/>
      <pageMargins left="0.7" right="0.7" top="0.75" bottom="0.75" header="0.3" footer="0.3"/>
    </customSheetView>
    <customSheetView guid="{F4AB2122-655E-40F6-8B53-54B747E7ED61}" state="hidden">
      <selection activeCell="L8" sqref="L8"/>
      <pageMargins left="0.7" right="0.7" top="0.75" bottom="0.75" header="0.3" footer="0.3"/>
    </customSheetView>
    <customSheetView guid="{2416856D-96F2-4FCD-9E1E-89AD408E8F07}" state="hidden">
      <selection activeCell="L8" sqref="L8"/>
      <pageMargins left="0.7" right="0.7" top="0.75" bottom="0.75" header="0.3" footer="0.3"/>
    </customSheetView>
    <customSheetView guid="{781BC751-F315-497E-B1B4-A2D752209BD7}" state="hidden">
      <selection activeCell="L8" sqref="L8"/>
      <pageMargins left="0.7" right="0.7" top="0.75" bottom="0.75" header="0.3" footer="0.3"/>
    </customSheetView>
    <customSheetView guid="{DF37B372-7B5A-4253-9EE3-FD3ABD7DF4B8}" state="hidden">
      <selection activeCell="L8" sqref="L8"/>
      <pageMargins left="0.7" right="0.7" top="0.75" bottom="0.75" header="0.3" footer="0.3"/>
    </customSheetView>
    <customSheetView guid="{D40E5C28-53DE-4B28-952C-1D2FB2D5F0F0}" state="hidden">
      <selection activeCell="L8" sqref="L8"/>
      <pageMargins left="0.7" right="0.7" top="0.75" bottom="0.75" header="0.3" footer="0.3"/>
    </customSheetView>
    <customSheetView guid="{26B41735-39E2-4BE9-9EA5-D1F67A43DC0E}" state="hidden">
      <selection activeCell="L8" sqref="L8"/>
      <pageMargins left="0.7" right="0.7" top="0.75" bottom="0.75" header="0.3" footer="0.3"/>
    </customSheetView>
    <customSheetView guid="{284277B3-AC3C-4136-A308-367D96D447E4}" state="hidden">
      <selection activeCell="L8" sqref="L8"/>
      <pageMargins left="0.7" right="0.7" top="0.75" bottom="0.75" header="0.3" footer="0.3"/>
    </customSheetView>
    <customSheetView guid="{92A1CAD1-2CFB-4DA3-AD67-71210BA7D4E5}" state="hidden">
      <selection activeCell="L8" sqref="L8"/>
      <pageMargins left="0.7" right="0.7" top="0.75" bottom="0.75" header="0.3" footer="0.3"/>
    </customSheetView>
    <customSheetView guid="{A4ED5A10-FDD2-4550-ABD5-0B6EF13A24C4}" state="hidden">
      <selection activeCell="L8" sqref="L8"/>
      <pageMargins left="0.7" right="0.7" top="0.75" bottom="0.75" header="0.3" footer="0.3"/>
    </customSheetView>
  </customSheetView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069407D1-048A-4F7F-99FD-DE30BC77F60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DMDT</vt:lpstr>
      <vt:lpstr>Report</vt:lpstr>
      <vt:lpstr>Entries Register (AP) </vt:lpstr>
      <vt:lpstr>K.P.I_new</vt:lpstr>
      <vt:lpstr>Entries Register (JV)</vt:lpstr>
      <vt:lpstr>Entries Register (0S)</vt:lpstr>
      <vt:lpstr>Entries Register (AR)</vt:lpstr>
      <vt:lpstr>K.P.I</vt:lpstr>
      <vt:lpstr>Sheet1</vt:lpstr>
      <vt:lpstr>'Entries Register (AP) '!DailyActivities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Pham Trung Hieu</dc:creator>
  <cp:lastModifiedBy>Do Duc Anh</cp:lastModifiedBy>
  <cp:lastPrinted>2016-08-12T02:36:23Z</cp:lastPrinted>
  <dcterms:created xsi:type="dcterms:W3CDTF">2015-08-03T10:32:00Z</dcterms:created>
  <dcterms:modified xsi:type="dcterms:W3CDTF">2022-01-18T01:36:43Z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TC040223889991</vt:lpwstr>
  </property>
</Properties>
</file>