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8.29.7\BTMV-Data\4-ACCOUNTING\99.Personal files\Đức Anh\"/>
    </mc:Choice>
  </mc:AlternateContent>
  <xr:revisionPtr revIDLastSave="0" documentId="13_ncr:1_{99F00762-6798-4411-8409-E5BF0F91E59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8" i="2"/>
  <c r="I7" i="2"/>
  <c r="J7" i="2" s="1"/>
  <c r="I6" i="2"/>
  <c r="K6" i="2" s="1"/>
  <c r="I5" i="2"/>
  <c r="J13" i="2"/>
  <c r="J11" i="2"/>
  <c r="K9" i="2"/>
  <c r="AH393" i="1"/>
  <c r="J5" i="2" l="1"/>
  <c r="K5" i="2"/>
  <c r="AE393" i="1"/>
</calcChain>
</file>

<file path=xl/sharedStrings.xml><?xml version="1.0" encoding="utf-8"?>
<sst xmlns="http://schemas.openxmlformats.org/spreadsheetml/2006/main" count="1290" uniqueCount="843">
  <si>
    <t>MATERIAL NUMBER</t>
  </si>
  <si>
    <t>MATERIAL DESCRIPTION (SHORT TEXT)</t>
  </si>
  <si>
    <t>BASE UNIT OF MEASURE</t>
  </si>
  <si>
    <t>BALANCE B/F (QTY)</t>
  </si>
  <si>
    <t>GOODS RECEIPT (QTY)</t>
  </si>
  <si>
    <t>RETURN TO PRODUCTION (QTY)</t>
  </si>
  <si>
    <t>TOTAL BF (QTY) AND GR (QTY)</t>
  </si>
  <si>
    <t>SALES TO CUSTOMER (QTY)</t>
  </si>
  <si>
    <t>RETURN FROM CUSTOMER(QTY)</t>
  </si>
  <si>
    <t>STOCK TAKING INCREASE (QTY)</t>
  </si>
  <si>
    <t>STOCK TAKING DECREASE (QTY)</t>
  </si>
  <si>
    <t>SCRAP PROV.(QTY)</t>
  </si>
  <si>
    <t>SCRAP NOPROV.(QTY)</t>
  </si>
  <si>
    <t>ISSUED AS FOC (QTY)</t>
  </si>
  <si>
    <t>BALANCE C/F (QTY)</t>
  </si>
  <si>
    <t>SALES GOC C/F (QTY)</t>
  </si>
  <si>
    <t>COST OF GOODS MANUFACTURED</t>
  </si>
  <si>
    <t>PREDETERMINED COST</t>
  </si>
  <si>
    <t>MONTHLY MOVING AVERAGE COST</t>
  </si>
  <si>
    <t>GOODS RECEIPT (PREDETERMINED)</t>
  </si>
  <si>
    <t>RETURN TO PRODUCTION (PREDETERMINED)</t>
  </si>
  <si>
    <t>SALES TO CUSTOMER (PREDETERMINED)</t>
  </si>
  <si>
    <t>RETURN FROM CUSTOMER (PREDETERMINED)</t>
  </si>
  <si>
    <t>STOCK TAKING INCREASE (PREDETERMINED)</t>
  </si>
  <si>
    <t>STOCK TAKING DECREASE (PREDETERMINED)</t>
  </si>
  <si>
    <t>SCRAP PROV.(PREDETERMINED)</t>
  </si>
  <si>
    <t>SCRAP NOPROV.(PREDETERMINED)</t>
  </si>
  <si>
    <t>ISSUED AS FOC (PREDETERMINED)</t>
  </si>
  <si>
    <t>BALANCE B/F (AMOUNT)</t>
  </si>
  <si>
    <t>SALES GOC B/F (AMOUNT)</t>
  </si>
  <si>
    <t>GOODS RECEIPT (COGM)</t>
  </si>
  <si>
    <t>RECONCILIATION (AMOUNT)</t>
  </si>
  <si>
    <t>TOTAL BF (MMA) AND GR (COGM)</t>
  </si>
  <si>
    <t>SALES TO CUSTOMER (MMA)</t>
  </si>
  <si>
    <t>RETURN FROM CUSTOMER (ACTUAL COST)</t>
  </si>
  <si>
    <t>STOCK TAKING INCREASE (MMA)</t>
  </si>
  <si>
    <t>STOCK TAKING DECREASE (MMA)</t>
  </si>
  <si>
    <t>SCRAP PROV.(MMA)</t>
  </si>
  <si>
    <t>SCRAP NOPROV.(MMA)</t>
  </si>
  <si>
    <t>ISSUED AS FOC (MMA)</t>
  </si>
  <si>
    <t>BALANCE C/F (MMA)</t>
  </si>
  <si>
    <t>FRACTION ADJUSTMENT (AMOUNT)</t>
  </si>
  <si>
    <t>SALES GOC C/F (AMOUNT)</t>
  </si>
  <si>
    <t>GOODS RECEIPT (COGM - PREDETERMINED)</t>
  </si>
  <si>
    <t>SALES TO CUSTOMER (MMA - PREDETERMINED)</t>
  </si>
  <si>
    <t>RETURN FROM CUSTOMER(ACTUAL COST - PRE.)</t>
  </si>
  <si>
    <t>PSR0V0013</t>
  </si>
  <si>
    <t>073S 155/65 R13      NXTZ   T     D0VE</t>
  </si>
  <si>
    <t>T</t>
  </si>
  <si>
    <t>PSR0V0023</t>
  </si>
  <si>
    <t>075S 155/65 R14      NXTZ   T     D0VE</t>
  </si>
  <si>
    <t>PSR0V0033</t>
  </si>
  <si>
    <t>075S 145/80 R13      NXTZ   T     D0VE</t>
  </si>
  <si>
    <t>PSR0V0043</t>
  </si>
  <si>
    <t>082S 175/65 R14      NXTZ   T     D0VE</t>
  </si>
  <si>
    <t>PSR0V0053</t>
  </si>
  <si>
    <t>091S 195/65 R15      NXTZ   T     D0VE</t>
  </si>
  <si>
    <t>PSR0V0063</t>
  </si>
  <si>
    <t>081S 165/70 R14      NXTZ   T     D0VE</t>
  </si>
  <si>
    <t>PSR0V0073</t>
  </si>
  <si>
    <t>088S 185/65 R15      NXTZ   T     D0VE</t>
  </si>
  <si>
    <t>PSR0V0083</t>
  </si>
  <si>
    <t>084S 175/70 R14      NXTZ   T     D0VE</t>
  </si>
  <si>
    <t>PSR0V0093</t>
  </si>
  <si>
    <t>079S 155/80 R13      NXTZ   T     D0VE</t>
  </si>
  <si>
    <t>PSR0V0103</t>
  </si>
  <si>
    <t>088S 185/70 R14      NXTZ   T     D0VE</t>
  </si>
  <si>
    <t>PSR0V0123</t>
  </si>
  <si>
    <t>084H 185/60 R15      NXTZ   T     D0VE</t>
  </si>
  <si>
    <t>PSR0V0133</t>
  </si>
  <si>
    <t>091V 205/55 R16      NXTZ   T     D0VE</t>
  </si>
  <si>
    <t>PSR0V0143</t>
  </si>
  <si>
    <t>095H 215/60 R16      NXTZ   T     D0VE</t>
  </si>
  <si>
    <t>PSR0V0153</t>
  </si>
  <si>
    <t>086S 185/65 R14      NXTZ   T     D0VE</t>
  </si>
  <si>
    <t>PSR0V0163</t>
  </si>
  <si>
    <t>079S 165/70 R13      NXTZ   T     D0VE</t>
  </si>
  <si>
    <t>PSR0V0183</t>
  </si>
  <si>
    <t>091H 205/55 R16      150KZ  T 5   23V0</t>
  </si>
  <si>
    <t>PSR0V0193</t>
  </si>
  <si>
    <t>088H 185/65 R15      150EZ  T     X2V0</t>
  </si>
  <si>
    <t>PSR0V01B3</t>
  </si>
  <si>
    <t>079S 155/80 R13     SL10Z   T     D0V0</t>
  </si>
  <si>
    <t>PSR0V01P3</t>
  </si>
  <si>
    <t>082H 175/65 R14     BAR3Z   T     AH03</t>
  </si>
  <si>
    <t>PSR0V01S</t>
  </si>
  <si>
    <t>PSR082H 175/65 R14 SPCZ</t>
  </si>
  <si>
    <t>PSR0V01S3</t>
  </si>
  <si>
    <t>082H 175/65 R14      SPCZ   T     CHV0</t>
  </si>
  <si>
    <t>PSR0V01U3</t>
  </si>
  <si>
    <t>094V 205/55 R16   XLSAE2Z   T 5   23QJ</t>
  </si>
  <si>
    <t>PSR0V0203</t>
  </si>
  <si>
    <t>088H 185/70 R14      150EZ  T 5T##5DV0</t>
  </si>
  <si>
    <t>PSR0V0213</t>
  </si>
  <si>
    <t>091H 195/65 R15      150EZ  T 5T##5DV0</t>
  </si>
  <si>
    <t>PSR0V0223</t>
  </si>
  <si>
    <t>091H 195/70 R14      150EZ  T 5T##5DV0</t>
  </si>
  <si>
    <t>PSR0V0243</t>
  </si>
  <si>
    <t>082H 175/70 R13      150EZ  T 5T##5DV0</t>
  </si>
  <si>
    <t>PSR0V0253</t>
  </si>
  <si>
    <t>082V 195/50 R15     MY02FZ  T  T047NV0</t>
  </si>
  <si>
    <t>PSR0V0263</t>
  </si>
  <si>
    <t>085V 195/55 R15     MY02FZ  T  T047NV0</t>
  </si>
  <si>
    <t>PSR0V0283</t>
  </si>
  <si>
    <t>091V 195/65 R15     MY02Z   T  T047NV0</t>
  </si>
  <si>
    <t>PSR0V0293</t>
  </si>
  <si>
    <t>091V 205/55 R16     MY02FZ  T  T047NV0</t>
  </si>
  <si>
    <t>PSR0V02D3</t>
  </si>
  <si>
    <t>091H 195/65 R15     DTT2Z   T 5   23QJ</t>
  </si>
  <si>
    <t>PSR0V02F3</t>
  </si>
  <si>
    <t>080T 175/65 R13     MLHK2Z  T 5   23V0</t>
  </si>
  <si>
    <t>PSR0V02P3</t>
  </si>
  <si>
    <t>095HP205/65 R15   XLBAR3Z   T     AH03</t>
  </si>
  <si>
    <t>PSR0V02S3</t>
  </si>
  <si>
    <t>082H 175/70 R13      SPCZ   T     CHV0</t>
  </si>
  <si>
    <t>PSR0V02U3</t>
  </si>
  <si>
    <t>091W 205/55 R16     SAE2Z   T 5   23QJ</t>
  </si>
  <si>
    <t>PSR0V0323</t>
  </si>
  <si>
    <t>075S 155/70 R13      NXTZ   T     D0VE</t>
  </si>
  <si>
    <t>PSR0V0333</t>
  </si>
  <si>
    <t>072V 165/55 R14      NXTZ   T     D0VE</t>
  </si>
  <si>
    <t>PSR0V0353</t>
  </si>
  <si>
    <t>075H 165/60 R14      NXTZ   T     D0VE</t>
  </si>
  <si>
    <t>PSR0V0393</t>
  </si>
  <si>
    <t>082H 175/60 R16      NXTZ   T     D0VE</t>
  </si>
  <si>
    <t>PSR0V03F3</t>
  </si>
  <si>
    <t>079T 165/65 R14     MLHK2Z  T 5   23V0</t>
  </si>
  <si>
    <t>PSR0V03P3</t>
  </si>
  <si>
    <t>095V 215/60 R16     BAR3Z   T     AH03</t>
  </si>
  <si>
    <t>PSR0V03S3</t>
  </si>
  <si>
    <t>086H 185/65 R14      SPCZ   T     CHV0</t>
  </si>
  <si>
    <t>PSR0V03U3</t>
  </si>
  <si>
    <t>091V 205/55 R16     SAE2Z   T 5   23QJ</t>
  </si>
  <si>
    <t>PSR0V0403</t>
  </si>
  <si>
    <t>084S 175/65 R15      NXTZ   T     D0VE</t>
  </si>
  <si>
    <t>PSR0V0433</t>
  </si>
  <si>
    <t>092H 205/60 R16      NXTZ   T     D0VE</t>
  </si>
  <si>
    <t>PSR0V0453</t>
  </si>
  <si>
    <t>086H 185/65 R14     EP2HZ   T  T##X3V0</t>
  </si>
  <si>
    <t>PSR0V0463</t>
  </si>
  <si>
    <t>091V 195/65 R15     EP2HZ   T  TW4X3V0</t>
  </si>
  <si>
    <t>PSR0V0483</t>
  </si>
  <si>
    <t>095H 215/60 R16     EP2HZ   T 5TW45DV0</t>
  </si>
  <si>
    <t>PSR0V04F3</t>
  </si>
  <si>
    <t>082H 185/60 R14     MLHK2Z  T 5   23V0</t>
  </si>
  <si>
    <t>PSR0V04P3</t>
  </si>
  <si>
    <t>092V 205/60 R16     BAR3Z   T     AH03</t>
  </si>
  <si>
    <t>PSR0V04S3</t>
  </si>
  <si>
    <t>088H 195/60 R15      SPCZ   T     CHV0</t>
  </si>
  <si>
    <t>PSR0V0513</t>
  </si>
  <si>
    <t>094V 205/65 R15     EP2HZ   T  TW4X3V02A</t>
  </si>
  <si>
    <t>PSR0V0523</t>
  </si>
  <si>
    <t>091H 205/55 R16     EL64Z   T U601A9V0</t>
  </si>
  <si>
    <t>PSR0V053</t>
  </si>
  <si>
    <t>PSR091H 195/65 R15 EL64Z</t>
  </si>
  <si>
    <t>PSR0V0533</t>
  </si>
  <si>
    <t>091H 195/65 R15     EL64Z   T U601A9V0</t>
  </si>
  <si>
    <t>PSR0V0543</t>
  </si>
  <si>
    <t>092V 205/60 R16     EL64Z   T U601A9V0</t>
  </si>
  <si>
    <t>PSR0V055</t>
  </si>
  <si>
    <t>PSR094H 205/65 R15 EL64Z</t>
  </si>
  <si>
    <t>PSR0V0553</t>
  </si>
  <si>
    <t>094H 205/65 R15     EL64Z   T U601A9V0</t>
  </si>
  <si>
    <t>PSR0V056</t>
  </si>
  <si>
    <t>PSR095V 215/60 R16 EL64Z</t>
  </si>
  <si>
    <t>PSR0V0563</t>
  </si>
  <si>
    <t>095V 215/60 R16     EL64Z   T U601A9V0</t>
  </si>
  <si>
    <t>PSR0V059</t>
  </si>
  <si>
    <t>PSR082H 175/65 R14 150EZ</t>
  </si>
  <si>
    <t>PSR0V0593</t>
  </si>
  <si>
    <t>082H 175/65 R14      150EZ  T 5T##5DV0</t>
  </si>
  <si>
    <t>PSR0V05B3</t>
  </si>
  <si>
    <t>088S 185/65 R15     SL10Z   T     D0V0</t>
  </si>
  <si>
    <t>PSR0V05F3</t>
  </si>
  <si>
    <t>077T 165/65 R13     MLHK2Z  T 5   23V0</t>
  </si>
  <si>
    <t>PSR0V05P3</t>
  </si>
  <si>
    <t>088H 185/65 R15     BAR3Z   T     D003</t>
  </si>
  <si>
    <t>PSR0V05S3</t>
  </si>
  <si>
    <t>091H 195/65 R15      SPCZ   T     CHV0</t>
  </si>
  <si>
    <t>PSR0V05U3</t>
  </si>
  <si>
    <t>091V 195/65 R15     SAE2Z   T 5   23QJ</t>
  </si>
  <si>
    <t>PSR0V0603</t>
  </si>
  <si>
    <t>084V 185/60 R15     EP2HCZ  T 5T##5DV0</t>
  </si>
  <si>
    <t>PSR0V06B3</t>
  </si>
  <si>
    <t>073S 155/65 R13     SL10Z   T     D0V0</t>
  </si>
  <si>
    <t>PSR0V06D3</t>
  </si>
  <si>
    <t>091H 205/55 R16     DTT2Z   T 5   23QJ</t>
  </si>
  <si>
    <t>PSR0V06F3</t>
  </si>
  <si>
    <t>075T 155/65 R14     MLHK2Z  T 5   23V0</t>
  </si>
  <si>
    <t>PSR0V06P3</t>
  </si>
  <si>
    <t>084H 185/60 R15     BAR3Z   T     D003</t>
  </si>
  <si>
    <t>PSR0V06S3</t>
  </si>
  <si>
    <t>095HP205/65 R15   XL SPCZ   T     CHV0</t>
  </si>
  <si>
    <t>PSR0V06U3</t>
  </si>
  <si>
    <t>091H 195/65 R15     SAE2Z   T 5   23QJ</t>
  </si>
  <si>
    <t>PSR0V07D3</t>
  </si>
  <si>
    <t>091W 205/55 R16     DTT2Z   T 5   23QJ</t>
  </si>
  <si>
    <t>PSR0V07F3</t>
  </si>
  <si>
    <t>075T 155/70 R13     MLHK2Z  T 5   23V0</t>
  </si>
  <si>
    <t>PSR0V07S3</t>
  </si>
  <si>
    <t>095V 215/60 R16      SPCZ   T     CHV0</t>
  </si>
  <si>
    <t>PSR0V07U3</t>
  </si>
  <si>
    <t>091T 195/65 R15     SAE2Z   T 5   23QJ</t>
  </si>
  <si>
    <t>PSR0V0893</t>
  </si>
  <si>
    <t>091V 205/55 R16     MY02FZ  T  T047NV0QR</t>
  </si>
  <si>
    <t>PSR0V08B3</t>
  </si>
  <si>
    <t>092H 205/60 R16     SL20AZ  T     D0V0</t>
  </si>
  <si>
    <t>PSR0V08D3</t>
  </si>
  <si>
    <t>091V 205/55 R16     DTT2Z   T 5   23QJ</t>
  </si>
  <si>
    <t>PSR0V08F3</t>
  </si>
  <si>
    <t>079T 155/80 R13     MLHK2Z  T 5   23V0</t>
  </si>
  <si>
    <t>PSR0V08S3</t>
  </si>
  <si>
    <t>086H 195/60 R14      SPCZ   T     CHV0VE</t>
  </si>
  <si>
    <t>PSR0V08U3</t>
  </si>
  <si>
    <t>082T 175/65 R14     SAE2Z   T 5   23QJ</t>
  </si>
  <si>
    <t>PSR0V0913</t>
  </si>
  <si>
    <t>085V 195/55 R15     MY02FZ  T  T047NV0QR</t>
  </si>
  <si>
    <t>PSR0V0943</t>
  </si>
  <si>
    <t>094V 215/55 R17     EL64Z   T U601A9V0</t>
  </si>
  <si>
    <t>PSR0V0953</t>
  </si>
  <si>
    <t>099V 245/50 R17     EL64Z   T U601A9V0</t>
  </si>
  <si>
    <t>PSR0V0963</t>
  </si>
  <si>
    <t>095V 215/50 R17   XLEL64Z   T U601A9V0</t>
  </si>
  <si>
    <t>PSR0V0993</t>
  </si>
  <si>
    <t>091H 195/65 R15      TECAZ  T     X0V0</t>
  </si>
  <si>
    <t>PSR0V09B3</t>
  </si>
  <si>
    <t>094V 205/55 R16   XLSLT2Z   T 5   23QJ</t>
  </si>
  <si>
    <t>PSR0V09D3</t>
  </si>
  <si>
    <t>088T 185/65 R15     DTT2Z   T 5   23QJ</t>
  </si>
  <si>
    <t>PSR0V09F3</t>
  </si>
  <si>
    <t>081T 165/65 R15     MLHK2Z  T 5   23V0</t>
  </si>
  <si>
    <t>PSR0V09S3</t>
  </si>
  <si>
    <t>082H 185/60 R14      SPCZ   T     CHV0</t>
  </si>
  <si>
    <t>PSR0V09U3</t>
  </si>
  <si>
    <t>088H 185/65 R15     SAE2Z   T 5   23QJ</t>
  </si>
  <si>
    <t>PSR0V1003</t>
  </si>
  <si>
    <t>084H 175/70 R14      TECAZ  T  T##X1V0</t>
  </si>
  <si>
    <t>PSR0V1013</t>
  </si>
  <si>
    <t>088H 185/70 R14      TECAZ  T  T##X1V0</t>
  </si>
  <si>
    <t>PSR0V1033</t>
  </si>
  <si>
    <t>091V 215/45 R17   XLMY02FZ  T 5T042CV0</t>
  </si>
  <si>
    <t>PSR0V1043</t>
  </si>
  <si>
    <t>091V 205/55 R16     EP30Z   T 5T##TDV0</t>
  </si>
  <si>
    <t>PSR0V1053</t>
  </si>
  <si>
    <t>094H 205/65 R15      150EZ  T 5T##2YV0</t>
  </si>
  <si>
    <t>PSR0V1063</t>
  </si>
  <si>
    <t>084H 175/70 R14      TEC5Z  T     YDV0</t>
  </si>
  <si>
    <t>PSR0V1073</t>
  </si>
  <si>
    <t>088H 185/65 R15      TEC5Z  T     YDV0</t>
  </si>
  <si>
    <t>PSR0V1083</t>
  </si>
  <si>
    <t>091H 195/65 R15      TEC5Z  T     YDV0</t>
  </si>
  <si>
    <t>PSR0V1093</t>
  </si>
  <si>
    <t>091V 195/65 R15     EP30Z   T 5   THV0</t>
  </si>
  <si>
    <t>PSR0V10B3</t>
  </si>
  <si>
    <t>091W 205/55 R16     SLT2Z   T 5   23QJ</t>
  </si>
  <si>
    <t>PSR0V10D3</t>
  </si>
  <si>
    <t>091T 195/65 R15     DTT2Z   T 5   23QJ</t>
  </si>
  <si>
    <t>PSR0V10F</t>
  </si>
  <si>
    <t>PSR079T 165/70 R13 MLHK2Z</t>
  </si>
  <si>
    <t>PSR0V10F3</t>
  </si>
  <si>
    <t>079T 165/70 R13     MLHK2Z  T 5   23V0</t>
  </si>
  <si>
    <t>PSR0V10S3</t>
  </si>
  <si>
    <t>089H 195/65 R14      SPCZ   T     CHV0</t>
  </si>
  <si>
    <t>PSR0V1123</t>
  </si>
  <si>
    <t>088H 185/65 R15      150EZ  T     L5V0</t>
  </si>
  <si>
    <t>PSR0V1133</t>
  </si>
  <si>
    <t>088H 185/70 R14      150EZ  T 5T##TEV0</t>
  </si>
  <si>
    <t>PSR0V1143</t>
  </si>
  <si>
    <t>091H 195/65 R15      150EZ  T 5T##TEV0</t>
  </si>
  <si>
    <t>PSR0V1153</t>
  </si>
  <si>
    <t>091H 195/70 R14      150EZ  T 5T##TEV0</t>
  </si>
  <si>
    <t>PSR0V1163</t>
  </si>
  <si>
    <t>082H 175/70 R13      150EZ  T 5T##TEV0</t>
  </si>
  <si>
    <t>PSR0V1173</t>
  </si>
  <si>
    <t>082H 175/65 R14      150EZ  T 5T##TEV0</t>
  </si>
  <si>
    <t>PSR0V1183</t>
  </si>
  <si>
    <t>094H 205/65 R15      150EZ  T 5T##E0V0</t>
  </si>
  <si>
    <t>PSR0V1193</t>
  </si>
  <si>
    <t>083S 165/80 R13      150EZ  T  T##L1V0</t>
  </si>
  <si>
    <t>PSR0V11B3</t>
  </si>
  <si>
    <t>091V 205/55 R16     SLT2Z   T 5   23QJ</t>
  </si>
  <si>
    <t>PSR0V11D3</t>
  </si>
  <si>
    <t>100H 215/70 R16     DTH1AZ  T     CEV0</t>
  </si>
  <si>
    <t>PSR0V11F3</t>
  </si>
  <si>
    <t>081T 165/70 R14     MLHK2Z  T 5   23V0</t>
  </si>
  <si>
    <t>PSR0V11S3</t>
  </si>
  <si>
    <t>088H 185/65 R15      SPCZ   T     CHV0</t>
  </si>
  <si>
    <t>PSR0V11U3</t>
  </si>
  <si>
    <t>082H 185/60 R14     SAE2Z   T 5   23QJ</t>
  </si>
  <si>
    <t>PSR0V1203</t>
  </si>
  <si>
    <t>091S 185/80 R14      150EZ  T  T##L1V0</t>
  </si>
  <si>
    <t>PSR0V1223</t>
  </si>
  <si>
    <t>091V 205/55 R16     EP30Z   T 5TW4TDV0</t>
  </si>
  <si>
    <t>PSR0V1233</t>
  </si>
  <si>
    <t>094V 215/55 R17     EP3AZ   T 5TW4TDV0</t>
  </si>
  <si>
    <t>PSR0V1243</t>
  </si>
  <si>
    <t>091W 215/45 R17   XLEA03FZ  T 4TW1WCV0</t>
  </si>
  <si>
    <t>PSR0V1263</t>
  </si>
  <si>
    <t>095H 205/65 R16     EP15WZ  T 8381W6V090</t>
  </si>
  <si>
    <t>PSR0V1293</t>
  </si>
  <si>
    <t>091H 195/65 R15     EL64Z   T U601A5V0</t>
  </si>
  <si>
    <t>PSR0V12B3</t>
  </si>
  <si>
    <t>091H 205/55 R16     SLT2Z   T 5   23QJ</t>
  </si>
  <si>
    <t>PSR0V12D3</t>
  </si>
  <si>
    <t>098H 215/65 R16     DTH1AZ  T     CEV0</t>
  </si>
  <si>
    <t>PSR0V12F3</t>
  </si>
  <si>
    <t>082T 175/65 R14     MLHK2Z  T 5   23V0</t>
  </si>
  <si>
    <t>PSR0V12U3</t>
  </si>
  <si>
    <t>086H 185/65 R14     SAE2Z   T 5   23QJ</t>
  </si>
  <si>
    <t>PSR0V1303</t>
  </si>
  <si>
    <t>094H 205/65 R15     EL64Z   T U601A5V0</t>
  </si>
  <si>
    <t>PSR0V1323</t>
  </si>
  <si>
    <t>091H 205/55 R16     EL64Z   T U601A5V0</t>
  </si>
  <si>
    <t>PSR0V1333</t>
  </si>
  <si>
    <t>094V 215/55 R17     EL64Z   T U601A5V0</t>
  </si>
  <si>
    <t>PSR0V1343</t>
  </si>
  <si>
    <t>095V 215/50 R17   XLEL64Z   T U601A5V0</t>
  </si>
  <si>
    <t>PSR0V1353</t>
  </si>
  <si>
    <t>092V 205/60 R16     EL64Z   T U601A5V0</t>
  </si>
  <si>
    <t>PSR0V13B3</t>
  </si>
  <si>
    <t>091V 195/65 R15     SLT2Z   T 5   23QJ</t>
  </si>
  <si>
    <t>PSR0V13D3</t>
  </si>
  <si>
    <t>102V 225/65 R17     DTH1AZ  T     CEV0</t>
  </si>
  <si>
    <t>PSR0V13F3</t>
  </si>
  <si>
    <t>086T 175/65 R14   XLMLHK2Z  T 5   23V0</t>
  </si>
  <si>
    <t>PSR0V1403</t>
  </si>
  <si>
    <t>095V 215/60 R16     EL64Z   T U601A5V0</t>
  </si>
  <si>
    <t>PSR0V1433</t>
  </si>
  <si>
    <t>075H 175/50 R15      150KZ  T  TW4L1V0</t>
  </si>
  <si>
    <t>PSR0V1453</t>
  </si>
  <si>
    <t>098V 225/60 R16     EP3AZ   T 5TW45DV0</t>
  </si>
  <si>
    <t>PSR0V1463</t>
  </si>
  <si>
    <t>093V 215/55 R16     EP3AZ   T 5TW45DV0</t>
  </si>
  <si>
    <t>PSR0V1493</t>
  </si>
  <si>
    <t>095V 205/65 R16     EP30Z   T 5TW4TDV0</t>
  </si>
  <si>
    <t>PSR0V14B3</t>
  </si>
  <si>
    <t>091H 195/65 R15     SLT2Z   T 5   23QJ</t>
  </si>
  <si>
    <t>PSR0V14D3</t>
  </si>
  <si>
    <t>108V 235/65 R17   XLDTH1AZ  T     CEV0</t>
  </si>
  <si>
    <t>PSR0V14F3</t>
  </si>
  <si>
    <t>084T 175/65 R15     MLHK2Z  T 5   23V0</t>
  </si>
  <si>
    <t>PSR0V14U3</t>
  </si>
  <si>
    <t>088H 185/60 R15   XLSAE2Z   T 5   23QJ</t>
  </si>
  <si>
    <t>PSR0V1513</t>
  </si>
  <si>
    <t>079S 165/65 R14      150EZ  T     L5V0</t>
  </si>
  <si>
    <t>PSR0V1523</t>
  </si>
  <si>
    <t>079S 165/70 R13      150EZ  T     L5V0</t>
  </si>
  <si>
    <t>PSR0V1543</t>
  </si>
  <si>
    <t>101W 235/50 R18   XLEA03FZ  T 4TW1W1V0</t>
  </si>
  <si>
    <t>PSR0V1553</t>
  </si>
  <si>
    <t>100W 245/45 R18   XLEA03FZ  T 4TW1WCV0</t>
  </si>
  <si>
    <t>PSR0V1583</t>
  </si>
  <si>
    <t>094H 205/65 R15      TECBZ  T 5TC4TEV0</t>
  </si>
  <si>
    <t>PSR0V15B3</t>
  </si>
  <si>
    <t>091T 195/65 R15     SLT2Z   T 5   23QJ</t>
  </si>
  <si>
    <t>PSR0V15D3</t>
  </si>
  <si>
    <t>096H 215/60 R17     DTH1AZ  T     CEV0</t>
  </si>
  <si>
    <t>PSR0V15F3</t>
  </si>
  <si>
    <t>082T 175/70 R13     MLHK2Z  T 5   23V0</t>
  </si>
  <si>
    <t>PSR0V15U3</t>
  </si>
  <si>
    <t>084H 185/60 R15     SAE2Z   T 5   23QJ</t>
  </si>
  <si>
    <t>PSR0V1613</t>
  </si>
  <si>
    <t>082H 175/65 R14     EL64Z   T     CEV0</t>
  </si>
  <si>
    <t>PSR0V1643</t>
  </si>
  <si>
    <t>095W 235/40 R18   XLEL64AZ  T U50AA5V0</t>
  </si>
  <si>
    <t>PSR0V1653</t>
  </si>
  <si>
    <t>084H 185/60 R15     EL64Z   T     CEV0</t>
  </si>
  <si>
    <t>PSR0V1663</t>
  </si>
  <si>
    <t>088H 185/65 R15     EL64Z   T     CEV0</t>
  </si>
  <si>
    <t>PSR0V1673</t>
  </si>
  <si>
    <t>086V 185/55 R15   XLEL64Z   T     CEV0</t>
  </si>
  <si>
    <t>PSR0V1683</t>
  </si>
  <si>
    <t>091W 215/45 R17   XLEL64AZ  T     CEV0</t>
  </si>
  <si>
    <t>PSR0V1693</t>
  </si>
  <si>
    <t>092W 225/40 R18   XLEL64AZ  T     CEV0</t>
  </si>
  <si>
    <t>PSR0V16B3</t>
  </si>
  <si>
    <t>082T 175/65 R14     SLT2Z   T 5   23QJ</t>
  </si>
  <si>
    <t>PSR0V16D3</t>
  </si>
  <si>
    <t>099V 225/60 R17     DTH1AZ  T     CEV0</t>
  </si>
  <si>
    <t>PSR0V16F3</t>
  </si>
  <si>
    <t>084T 175/70 R14     MLHK2Z  T 5   23V0</t>
  </si>
  <si>
    <t>PSR0V1703</t>
  </si>
  <si>
    <t>084H 175/65 R15     EL64Z   T     CEV0</t>
  </si>
  <si>
    <t>PSR0V1723</t>
  </si>
  <si>
    <t>098V 215/55 R17   XLEL64Z   T U601A5V0</t>
  </si>
  <si>
    <t>PSR0V1733</t>
  </si>
  <si>
    <t>091V 205/55 R16     EL64Z   T U601A5V0</t>
  </si>
  <si>
    <t>PSR0V1743</t>
  </si>
  <si>
    <t>091V 195/65 R15     EL64Z   T U601A5V0</t>
  </si>
  <si>
    <t>PSR0V1773</t>
  </si>
  <si>
    <t>075V 165/50 R16     EA04FZ  T     D0V0</t>
  </si>
  <si>
    <t>PSR0V1783</t>
  </si>
  <si>
    <t>073V 165/50 R15     EA04FZ  T     D0V0</t>
  </si>
  <si>
    <t>PSR0V1793</t>
  </si>
  <si>
    <t>075V 165/55 R15     EA04FZ  T     D0V0</t>
  </si>
  <si>
    <t>PSR0V17B3</t>
  </si>
  <si>
    <t>088H 185/65 R15     SLT2Z   T 5   23QJ</t>
  </si>
  <si>
    <t>PSR0V17D3</t>
  </si>
  <si>
    <t>102V 235/60 R17     DTH1AZ  T     CEV0</t>
  </si>
  <si>
    <t>PSR0V17F3</t>
  </si>
  <si>
    <t>088T 175/70 R14   XLMLHK2Z  T 5   23V0</t>
  </si>
  <si>
    <t>PSR0V1833</t>
  </si>
  <si>
    <t>101W 235/50 R18   XLEA04FZ  T 5TW1WCV0</t>
  </si>
  <si>
    <t>PSR0V1843</t>
  </si>
  <si>
    <t>100W 245/45 R18   XLEA04FZ  T 5TW1WCV0</t>
  </si>
  <si>
    <t>PSR0V1853</t>
  </si>
  <si>
    <t>085W 195/55 R15     EA04FZ  T 5TW1WCV0</t>
  </si>
  <si>
    <t>PSR0V1863</t>
  </si>
  <si>
    <t>094W 225/45 R17   XLEL64AZ  T     CEV0</t>
  </si>
  <si>
    <t>PSR0V1873</t>
  </si>
  <si>
    <t>097W 235/45 R17   XLEL64AZ  T     CEV0</t>
  </si>
  <si>
    <t>PSR0V18B3</t>
  </si>
  <si>
    <t>088T 185/65 R15     SLT2Z   T 5   23QJ</t>
  </si>
  <si>
    <t>PSR0V18D3</t>
  </si>
  <si>
    <t>103V 235/55 R17   XLDTH1AZ  T     CEV0</t>
  </si>
  <si>
    <t>PSR0V18F3</t>
  </si>
  <si>
    <t>088H 175/80 R14     MLHK2Z  T 5   23V0</t>
  </si>
  <si>
    <t>PSR0V18S3</t>
  </si>
  <si>
    <t>097V 235/45 R17   XL SPCAZ  T     CEV0</t>
  </si>
  <si>
    <t>PSR0V1903</t>
  </si>
  <si>
    <t>075H 165/60 R14      150EZ  T     CEV0</t>
  </si>
  <si>
    <t>PSR0V1933</t>
  </si>
  <si>
    <t>095W 215/50 R17   XLEA03FZ  T     CEV0</t>
  </si>
  <si>
    <t>PSR0V1943</t>
  </si>
  <si>
    <t>084H 185/60 R15     EP15LZ  T 5   23V0</t>
  </si>
  <si>
    <t>PSR0V1963</t>
  </si>
  <si>
    <t>102V 235/60 R17     EHL1Z   T 5   23V0</t>
  </si>
  <si>
    <t>PSR0V1973</t>
  </si>
  <si>
    <t>084V 185/60 R15     EP30Z   T 5   THV0</t>
  </si>
  <si>
    <t>PSR0V1983</t>
  </si>
  <si>
    <t>085V 195/55 R15     EP30Z   T 5   THV0</t>
  </si>
  <si>
    <t>PSR0V1993</t>
  </si>
  <si>
    <t>092V 205/60 R16     EP30Z   T 5   THV0</t>
  </si>
  <si>
    <t>PSR0V19B3</t>
  </si>
  <si>
    <t>082H 185/60 R14     SLT2Z   T 5   23QJ</t>
  </si>
  <si>
    <t>PSR0V19D3</t>
  </si>
  <si>
    <t>100V 225/60 R18     DTH1AZ  T     CEV0</t>
  </si>
  <si>
    <t>PSR0V19F3</t>
  </si>
  <si>
    <t>088T 175/80 R14     MLHK2Z  T 5   23V0</t>
  </si>
  <si>
    <t>PSR0V19S3</t>
  </si>
  <si>
    <t>084H 185/60 R15      SPCZ   T     CEV0</t>
  </si>
  <si>
    <t>PSR0V2003</t>
  </si>
  <si>
    <t>099V 205/65 R15   XLEP30Z   T 5   THV0</t>
  </si>
  <si>
    <t>PSR0V2023</t>
  </si>
  <si>
    <t>088V 195/60 R15     EP30Z   T 5   THV0</t>
  </si>
  <si>
    <t>PSR0V2033</t>
  </si>
  <si>
    <t>095V 215/60 R16     EP30Z   T 5   THV0</t>
  </si>
  <si>
    <t>PSR0V2083</t>
  </si>
  <si>
    <t>105W 255/45 R20   XLAL011Z  T     CEV0</t>
  </si>
  <si>
    <t>PSR0V20B3</t>
  </si>
  <si>
    <t>086H 185/65 R14     SLT2Z   T 5   23QJ</t>
  </si>
  <si>
    <t>PSR0V20D3</t>
  </si>
  <si>
    <t>107V 235/60 R18   XLDTH1AZ  T     CEV0</t>
  </si>
  <si>
    <t>PSR0V20F3</t>
  </si>
  <si>
    <t>080H 185/55 R14     MLHK2Z  T 5   23V0</t>
  </si>
  <si>
    <t>PSR0V20S3</t>
  </si>
  <si>
    <t>091W 215/45 R17   XL SPCAZ  T     CEV0</t>
  </si>
  <si>
    <t>PSR0V2103</t>
  </si>
  <si>
    <t>102V 245/50 R20     AL011Z  T 5   THV0</t>
  </si>
  <si>
    <t>PSR0V2113</t>
  </si>
  <si>
    <t>082H 185/60 R14      150EZ  T 5T##TEV0</t>
  </si>
  <si>
    <t>PSR0V2123</t>
  </si>
  <si>
    <t>095V 215/60 R16     EA03FZ  T 4   5AV0</t>
  </si>
  <si>
    <t>PSR0V2133</t>
  </si>
  <si>
    <t>099V 225/55 R19     AL011Z  T 5TXX23V0</t>
  </si>
  <si>
    <t>PSR0V2143</t>
  </si>
  <si>
    <t>101W 235/55 R19     AL011Z  T 5   E2V0</t>
  </si>
  <si>
    <t>PSR0V2153</t>
  </si>
  <si>
    <t>103V 245/55 R19     AL011Z  T 5TXX23V0</t>
  </si>
  <si>
    <t>PSR0V21B3</t>
  </si>
  <si>
    <t>086T 185/65 R14     SLT2Z   T 5   23QJ</t>
  </si>
  <si>
    <t>PSR0V21D3</t>
  </si>
  <si>
    <t>105H 245/60 R18     DTH1AZ  T     CEV0</t>
  </si>
  <si>
    <t>PSR0V21F</t>
  </si>
  <si>
    <t>PSR086H 185/65 R14 MLHK2Z</t>
  </si>
  <si>
    <t>PSR0V21F3</t>
  </si>
  <si>
    <t>086H 185/65 R14     MLHK2Z  T 5   23V0</t>
  </si>
  <si>
    <t>PSR0V21S3</t>
  </si>
  <si>
    <t>095W 235/40 R18   XL SPCAZ  T     CEV0</t>
  </si>
  <si>
    <t>PSR0V2203</t>
  </si>
  <si>
    <t>095V 215/60 R16     EL64Z   T U601YZV0</t>
  </si>
  <si>
    <t>PSR0V2213</t>
  </si>
  <si>
    <t>098V 215/55 R17   XLEL64Z   T U601YZV0</t>
  </si>
  <si>
    <t>PSR0V2233</t>
  </si>
  <si>
    <t>073S 155/65 R13     NEWNZ   T     D0V0</t>
  </si>
  <si>
    <t>PSR0V2243</t>
  </si>
  <si>
    <t>110H 265/60 R18     684A6Z  T 8364W2V0</t>
  </si>
  <si>
    <t>PSR0V2253</t>
  </si>
  <si>
    <t>112S 265/65 R17     693BHZ  T 8365W2V0</t>
  </si>
  <si>
    <t>PSR0V2263</t>
  </si>
  <si>
    <t>091H 195/65 R15      150EZ  T 5T##TEV080</t>
  </si>
  <si>
    <t>PSR0V2273</t>
  </si>
  <si>
    <t>091V 205/55 R16     EP30Z   T 5TW4TDV099</t>
  </si>
  <si>
    <t>PSR0V2293</t>
  </si>
  <si>
    <t>075H 155/65 R14     NEWNZ   T     D0V0</t>
  </si>
  <si>
    <t>PSR0V22B3</t>
  </si>
  <si>
    <t>088H 185/60 R15   XLSLT2Z   T 5   23QJ</t>
  </si>
  <si>
    <t>PSR0V22D3</t>
  </si>
  <si>
    <t>098V 225/55 R18     DTH1AZ  T     CEV0</t>
  </si>
  <si>
    <t>PSR0V22F3</t>
  </si>
  <si>
    <t>086T 185/65 R14     MLHK2Z  T 5   23V0</t>
  </si>
  <si>
    <t>PSR0V22S3</t>
  </si>
  <si>
    <t>100V 245/45 R18   XL SPCFZ  T     CEV0</t>
  </si>
  <si>
    <t>PSR0V2303</t>
  </si>
  <si>
    <t>088S 185/65 R15     NEWNZ   T     D0V0</t>
  </si>
  <si>
    <t>PSR0V2313</t>
  </si>
  <si>
    <t>088S 185/70 R14     NEWNZ   T     D0V0</t>
  </si>
  <si>
    <t>PSR0V2323</t>
  </si>
  <si>
    <t>084H 175/65 R15     NEWNZ   T     D0V0</t>
  </si>
  <si>
    <t>PSR0V2333</t>
  </si>
  <si>
    <t>091H 195/65 R15     NEWNZ   T     D0V0</t>
  </si>
  <si>
    <t>PSR0V2343</t>
  </si>
  <si>
    <t>075H 155/65 R14     NH2CZ   T     D0V0</t>
  </si>
  <si>
    <t>PSR0V2353</t>
  </si>
  <si>
    <t>075H 165/60 R14     NH2CZ   T     D0V0</t>
  </si>
  <si>
    <t>PSR0V2363</t>
  </si>
  <si>
    <t>082S 175/65 R14     NH2CZ   T     D0V0</t>
  </si>
  <si>
    <t>PSR0V2373</t>
  </si>
  <si>
    <t>084S 175/70 R14     NH2CZ   T     D0V0</t>
  </si>
  <si>
    <t>PSR0V2383</t>
  </si>
  <si>
    <t>088S 185/65 R15     NH2CZ   T     D0V0</t>
  </si>
  <si>
    <t>PSR0V2393</t>
  </si>
  <si>
    <t>088S 185/70 R14     NH2SZ   T     D0V0</t>
  </si>
  <si>
    <t>PSR0V23B3</t>
  </si>
  <si>
    <t>084H 185/60 R15     SLT2Z   T 5   23QJ</t>
  </si>
  <si>
    <t>PSR0V23D3</t>
  </si>
  <si>
    <t>104V 235/55 R18   XLDTH1AZ  T     CEV0</t>
  </si>
  <si>
    <t>PSR0V23F3</t>
  </si>
  <si>
    <t>088T 185/65 R15     MLHK2Z  T 5   23V0</t>
  </si>
  <si>
    <t>PSR0V23S3</t>
  </si>
  <si>
    <t>095V 215/50 R17   XL SPCFZ  T     CEV0</t>
  </si>
  <si>
    <t>PSR0V2403</t>
  </si>
  <si>
    <t>084H 185/60 R15     NH2CZ   T     D0V0</t>
  </si>
  <si>
    <t>PSR0V2433</t>
  </si>
  <si>
    <t>101W 235/55 R19     AL011Z  T 5   E2V099</t>
  </si>
  <si>
    <t>PSR0V2453</t>
  </si>
  <si>
    <t>099W 235/45 R19   XLAL01AZ  T 5   23VB90</t>
  </si>
  <si>
    <t>PSR0V2473</t>
  </si>
  <si>
    <t>089H 195/60 R16     EP15HZ  T 5   23V0</t>
  </si>
  <si>
    <t>PSR0V2483</t>
  </si>
  <si>
    <t>089V 205/50 R17     T05ABZ  T 5   23V0</t>
  </si>
  <si>
    <t>PSR0V2493</t>
  </si>
  <si>
    <t>099V 225/60 R17     AL01AZ  T 5   23VB</t>
  </si>
  <si>
    <t>PSR0V24B3</t>
  </si>
  <si>
    <t>088V 195/60 R15     SLT2Z   T 5   23QJ</t>
  </si>
  <si>
    <t>PSR0V24D3</t>
  </si>
  <si>
    <t>109V 255/55 R18   XLDTH1AZ  T     CEV0</t>
  </si>
  <si>
    <t>PSR0V24F3</t>
  </si>
  <si>
    <t>088T 185/70 R14     MLHK2Z  T 5   23V0</t>
  </si>
  <si>
    <t>PSR0V2503</t>
  </si>
  <si>
    <t>103W 235/60 R18     AL01Z   T 5T01TDV098</t>
  </si>
  <si>
    <t>PSR0V2573</t>
  </si>
  <si>
    <t>099W 235/45 R19   XLAL01AZ  T 5   23VB99</t>
  </si>
  <si>
    <t>PSR0V25B3</t>
  </si>
  <si>
    <t>088H 195/60 R15     SLT2Z   T 5   23QJ</t>
  </si>
  <si>
    <t>PSR0V25D3</t>
  </si>
  <si>
    <t>088H 185/65 R15     DTT2Z   T 5   23QJ</t>
  </si>
  <si>
    <t>PSR0V25F</t>
  </si>
  <si>
    <t>PSR091T 195/65 R15 MLHK2Z</t>
  </si>
  <si>
    <t>PSR0V25F3</t>
  </si>
  <si>
    <t>091T 195/65 R15     MLHK2Z  T 5   23V0</t>
  </si>
  <si>
    <t>PSR0V25S3</t>
  </si>
  <si>
    <t>084H 175/70 R14      SPCZ   T     CEV0</t>
  </si>
  <si>
    <t>PSR0V26D3</t>
  </si>
  <si>
    <t>082T 175/65 R14     DTT2Z   T 5   23QJ</t>
  </si>
  <si>
    <t>PSR0V26F</t>
  </si>
  <si>
    <t>PSR095T 195/65 R15 MLHK2Z</t>
  </si>
  <si>
    <t>PSR0V26F3</t>
  </si>
  <si>
    <t>095T 195/65 R15   XLMLHK2Z  T 5   23V0</t>
  </si>
  <si>
    <t>PSR0V27B3</t>
  </si>
  <si>
    <t>101V 225/55 R17   XLSL20AZ  T     D0V0</t>
  </si>
  <si>
    <t>PSR0V27D3</t>
  </si>
  <si>
    <t>094V 205/55 R16   XLDTT2Z   T 5   23QJ</t>
  </si>
  <si>
    <t>PSR0V27F3</t>
  </si>
  <si>
    <t>075S 145/80 R13     FR10AZ  T     D0V0FD</t>
  </si>
  <si>
    <t>PSR0V28B3</t>
  </si>
  <si>
    <t>092W 225/40 R18   XLSL20GZ  T     D0V0</t>
  </si>
  <si>
    <t>PSR0V28D3</t>
  </si>
  <si>
    <t>091V 195/65 R15     DTT2Z   T 5   23QJ</t>
  </si>
  <si>
    <t>PSR0V29D3</t>
  </si>
  <si>
    <t>099V 215/55 R18   XLDTH1AZ  T     CEV0</t>
  </si>
  <si>
    <t>PSR0V30B3</t>
  </si>
  <si>
    <t>094S 205/65 R15     SL10Z   T     D0V0</t>
  </si>
  <si>
    <t>PSR0V30D3</t>
  </si>
  <si>
    <t>099V 215/65 R17     DTH1AZ  T     CEV0</t>
  </si>
  <si>
    <t>PSR0V31D3</t>
  </si>
  <si>
    <t>103H 225/70 R16     DTH1AZ  T     CEV0</t>
  </si>
  <si>
    <t>PSR0V32D3</t>
  </si>
  <si>
    <t>082H 185/60 R14     DTT2Z   T 5   23QJ</t>
  </si>
  <si>
    <t>PSR0V32F3</t>
  </si>
  <si>
    <t>081S 165/70 R14     FR10AZ  T     D0V0FD</t>
  </si>
  <si>
    <t>PSR0V33D3</t>
  </si>
  <si>
    <t>086H 185/65 R14     DTT2Z   T 5   23QJ</t>
  </si>
  <si>
    <t>PSR0V33F3</t>
  </si>
  <si>
    <t>082S 175/65 R14     FR10AZ  T     D0V0FD</t>
  </si>
  <si>
    <t>PSR0V34D3</t>
  </si>
  <si>
    <t>086T 185/65 R14     DTT2Z   T 5   23QJ</t>
  </si>
  <si>
    <t>PSR0V35D3</t>
  </si>
  <si>
    <t>088H 185/60 R15   XLDTT2Z   T 5   23QJ</t>
  </si>
  <si>
    <t>PSR0V36D3</t>
  </si>
  <si>
    <t>084H 185/60 R15     DTT2Z   T 5   23QJ</t>
  </si>
  <si>
    <t>PSR0V37D3</t>
  </si>
  <si>
    <t>088V 195/60 R15     DTT2Z   T 5   23QJ</t>
  </si>
  <si>
    <t>PSR0V38F3</t>
  </si>
  <si>
    <t>088S 185/70 R14     FR10AZ  T     D0V0FD</t>
  </si>
  <si>
    <t>PSR0V39D3</t>
  </si>
  <si>
    <t>094W 225/45 R17   XLDT3NDZ  T     CEV0</t>
  </si>
  <si>
    <t>PSR0V39F3</t>
  </si>
  <si>
    <t>091S 195/65 R15     FR10Z   T     D0V0FD</t>
  </si>
  <si>
    <t>PSR0V40D3</t>
  </si>
  <si>
    <t>092W 225/40 R18   XLDT3NDZ  T     CEV0</t>
  </si>
  <si>
    <t>PSR0V41D3</t>
  </si>
  <si>
    <t>095W 225/45 R18   XLDT3NDZ  T     CEV0</t>
  </si>
  <si>
    <t>PSR0V42D3</t>
  </si>
  <si>
    <t>112V 255/60 R18   XLDTH1AZ  T     CEV0</t>
  </si>
  <si>
    <t>PSR0V43D3</t>
  </si>
  <si>
    <t>106H 235/65 R18     DTH1AZ  T     CEV0</t>
  </si>
  <si>
    <t>PSR0V45D3</t>
  </si>
  <si>
    <t>084H 175/70 R14     DT30AZ  T     CEV0</t>
  </si>
  <si>
    <t>PSR0V46D3</t>
  </si>
  <si>
    <t>086V 185/55 R15   XLDT30Z   T     CEV0</t>
  </si>
  <si>
    <t>PSR0V47D3</t>
  </si>
  <si>
    <t>092V 205/60 R16     DT30Z   T     CEV0</t>
  </si>
  <si>
    <t>PSR0V48D3</t>
  </si>
  <si>
    <t>094W 215/55 R17     DT30Z   T     CEV0</t>
  </si>
  <si>
    <t>PSR0V48F3</t>
  </si>
  <si>
    <t>096T 205/70 R15     CHAMAZ  T U606A9V0</t>
  </si>
  <si>
    <t>PSR0V49D3</t>
  </si>
  <si>
    <t>093W 205/50 R17   XLDT30FZ  T     CEV0</t>
  </si>
  <si>
    <t>PSR0V49F</t>
  </si>
  <si>
    <t>PSR088H 185/65 R15 CHAMBZ</t>
  </si>
  <si>
    <t>PSR0V49F3</t>
  </si>
  <si>
    <t>088H 185/65 R15     CHAMBZ  T U601A9V0</t>
  </si>
  <si>
    <t>PSR0V50D3</t>
  </si>
  <si>
    <t>091W 215/45 R17   XLDT30FZ  T     CEV0</t>
  </si>
  <si>
    <t>PSR0V50F3</t>
  </si>
  <si>
    <t>088H 195/60 R15     CHAMBZ  T U601A9V0</t>
  </si>
  <si>
    <t>PSR0V51D3</t>
  </si>
  <si>
    <t>094W 225/45 R17   XLDT30FZ  T     CEV0</t>
  </si>
  <si>
    <t>PSR0V51F3</t>
  </si>
  <si>
    <t>098T 215/65 R16     CHAMAZ  T U606A9V0</t>
  </si>
  <si>
    <t>PSR0V52D3</t>
  </si>
  <si>
    <t>093W 215/45 R18   XLDT30FZ  T     CEV0</t>
  </si>
  <si>
    <t>PSR0V52F3</t>
  </si>
  <si>
    <t>098H 225/60 R16     CHAMAZ  T U601A9V0</t>
  </si>
  <si>
    <t>PSR0V53D3</t>
  </si>
  <si>
    <t>084W 215/35 R18   XLDT30FZ  T     CEV0</t>
  </si>
  <si>
    <t>PSR0V53F3</t>
  </si>
  <si>
    <t>084T 185/60 R15     CHAMBZ  T U606A9V0</t>
  </si>
  <si>
    <t>PSR0V54F3</t>
  </si>
  <si>
    <t>084H 175/65 R15     CHAMBZ  T U601A9V0</t>
  </si>
  <si>
    <t>PSR0V55F3</t>
  </si>
  <si>
    <t>098T 215/70 R15     CHAMAZ  T U606A9V0</t>
  </si>
  <si>
    <t>PSR0V56F3</t>
  </si>
  <si>
    <t>102T 225/65 R17     CHAMAZ  T U606A9V0</t>
  </si>
  <si>
    <t>PSR0V57F3</t>
  </si>
  <si>
    <t>102H 235/60 R17     CHAMAZ  T U601A9V0</t>
  </si>
  <si>
    <t>PSR0V58F3</t>
  </si>
  <si>
    <t>091H 195/65 R15     CHAMBZ  T U601A9V0</t>
  </si>
  <si>
    <t>PSR0V59F3</t>
  </si>
  <si>
    <t>094H 205/65 R15     CHAMAZ  T U601A9V0</t>
  </si>
  <si>
    <t>PSR0V60F3</t>
  </si>
  <si>
    <t>092H 205/60 R16     CHAMAZ  T U601A9V0</t>
  </si>
  <si>
    <t>PSR0V61F3</t>
  </si>
  <si>
    <t>095T 215/60 R16     CHAMEZ  T U606A9V0</t>
  </si>
  <si>
    <t>PSR0V62F3</t>
  </si>
  <si>
    <t>091H 205/55 R16     CHAMAZ  T U601A9V0</t>
  </si>
  <si>
    <t>PSR0V63F3</t>
  </si>
  <si>
    <t>100H 225/65 R16     CHAMAZ  T U601A9V0</t>
  </si>
  <si>
    <t>PSR0V64F3</t>
  </si>
  <si>
    <t>095V 215/60 R16     CHAMAZ  T U601A9V0</t>
  </si>
  <si>
    <t>PSR0V65F3</t>
  </si>
  <si>
    <t>091H 205/55 R16     FHASFZ  T U481A9V0</t>
  </si>
  <si>
    <t>PSR0V66F3</t>
  </si>
  <si>
    <t>100T 235/60 R16     CHAMAZ  T U606A9V0</t>
  </si>
  <si>
    <t>PSR0V67F3</t>
  </si>
  <si>
    <t>103T 235/65 R16     CHAMAZ  T U606A9V0</t>
  </si>
  <si>
    <t>PSR0V68F3</t>
  </si>
  <si>
    <t>091H 205/60 R15     CHAMAZ  T U601A9V0</t>
  </si>
  <si>
    <t>PSR0V69F3</t>
  </si>
  <si>
    <t>094H 215/60 R15     CHAMAZ  T U601A9V0</t>
  </si>
  <si>
    <t>PSR0V70F3</t>
  </si>
  <si>
    <t>093H 215/55 R16     CHAMAZ  T U601A9V0</t>
  </si>
  <si>
    <t>PSR0V71F3</t>
  </si>
  <si>
    <t>095H 205/65 R16     CHAMAZ  T U601A9V0</t>
  </si>
  <si>
    <t>PSR0V72F3</t>
  </si>
  <si>
    <t>094W 225/50 R17     FH50FZ  T UT41A9V0</t>
  </si>
  <si>
    <t>PSR0V73F3</t>
  </si>
  <si>
    <t>091W 215/45 R17   XLFH50FZ  T UT41A9V0</t>
  </si>
  <si>
    <t>PSR0V74F3</t>
  </si>
  <si>
    <t>099W 255/40 R18   XLFH50FZ  T UT41A9V0</t>
  </si>
  <si>
    <t>PSR0V75F3</t>
  </si>
  <si>
    <t>100W 245/45 R18   XLFH50FZ  T UT41A9V0</t>
  </si>
  <si>
    <t>PSR0V76F3</t>
  </si>
  <si>
    <t>101W 235/50 R18   XLFH50FZ  T UT41A9V0</t>
  </si>
  <si>
    <t>PSR0V77F3</t>
  </si>
  <si>
    <t>097W 245/40 R18   XLFH50FZ  T UT41A9V0</t>
  </si>
  <si>
    <t>PSR0V78F3</t>
  </si>
  <si>
    <t>095W 235/40 R18   XLFH50FZ  T UT41A9V0</t>
  </si>
  <si>
    <t>PSR0V79F3</t>
  </si>
  <si>
    <t>092W 225/40 R18   XLFH50FZ  T UT41A9V0</t>
  </si>
  <si>
    <t>PSR0V80F3</t>
  </si>
  <si>
    <t>098T 225/60 R16     FSASZ   T U562A9V0</t>
  </si>
  <si>
    <t>PSR0V81F3</t>
  </si>
  <si>
    <t>094T 205/65 R15     FSASZ   T U562A9V0</t>
  </si>
  <si>
    <t>PSR0V82F3</t>
  </si>
  <si>
    <t>098T 215/70 R15     FSASZ   T U562A9V0</t>
  </si>
  <si>
    <t>PSR0V83F3</t>
  </si>
  <si>
    <t>088T 185/65 R15     FSASZ   T U562A9V0</t>
  </si>
  <si>
    <t>PSR0V84F3</t>
  </si>
  <si>
    <t>098T 215/65 R16     FSASZ   T U562A9V0</t>
  </si>
  <si>
    <t>PSR0V85F3</t>
  </si>
  <si>
    <t>103T 235/65 R16     FSASZ   T U562A9V0</t>
  </si>
  <si>
    <t>PSR0V86F3</t>
  </si>
  <si>
    <t>095T 205/65 R16     FSASZ   T U562A9V0</t>
  </si>
  <si>
    <t>PSR0V87F3</t>
  </si>
  <si>
    <t>093T 215/55 R16     FSASZ   T U562A9V0</t>
  </si>
  <si>
    <t>PSR0V88F3</t>
  </si>
  <si>
    <t>100T 225/65 R16     FSASZ   T U562A9V0</t>
  </si>
  <si>
    <t>PSR0V89F3</t>
  </si>
  <si>
    <t>084T 175/65 R15     FSASZ   T U562A9V0</t>
  </si>
  <si>
    <t>PSR0V90F3</t>
  </si>
  <si>
    <t>100T 235/60 R16     FSASZ   T U562A9V0</t>
  </si>
  <si>
    <t>PSR0V91F3</t>
  </si>
  <si>
    <t>087H 205/50 R16     FSASZ   T U562A9V0</t>
  </si>
  <si>
    <t>PSR0V92F3</t>
  </si>
  <si>
    <t>095T 215/60 R16     FSASZ   T U562A9V0</t>
  </si>
  <si>
    <t>PSR0V93F3</t>
  </si>
  <si>
    <t>091H 195/65 R15     FHASZ   T U481A9V0</t>
  </si>
  <si>
    <t>PSR0V97F3</t>
  </si>
  <si>
    <t>095V 215/60 R16     FHASZ   T U481A9V0</t>
  </si>
  <si>
    <t>PSR0VA0F3</t>
  </si>
  <si>
    <t>084V 195/50 R16     FHASFZ  T U481A9V0</t>
  </si>
  <si>
    <t>PSR0VA1F3</t>
  </si>
  <si>
    <t>091H 195/65 R15      FRHAZ  T 5   THV0</t>
  </si>
  <si>
    <t>PSR0VA2F3</t>
  </si>
  <si>
    <t>091T 195/65 R15      FRHAZ  T 5   THV0</t>
  </si>
  <si>
    <t>PSR0VA3F3</t>
  </si>
  <si>
    <t>091V 195/65 R15      FRHAZ  T 5   THV0</t>
  </si>
  <si>
    <t>PSR0VA4F3</t>
  </si>
  <si>
    <t>095T 195/65 R15   XL FRHAZ  T 5   THV0</t>
  </si>
  <si>
    <t>PSR0VA5F3</t>
  </si>
  <si>
    <t>091H 205/55 R16      FRHAZ  T 5   THV0</t>
  </si>
  <si>
    <t>PSR0VA6F3</t>
  </si>
  <si>
    <t>091V 205/55 R16      FRHAZ  T 5   THV0</t>
  </si>
  <si>
    <t>PSR0VA7F3</t>
  </si>
  <si>
    <t>091W 205/55 R16      FRHAZ  T 5   THV0</t>
  </si>
  <si>
    <t>PSR0VA9F3</t>
  </si>
  <si>
    <t>093V 215/55 R16      FRHAZ  T 5   THV0</t>
  </si>
  <si>
    <t>PSR0VB0F3</t>
  </si>
  <si>
    <t>097W 215/55 R16   XL FRHAZ  T 5   THV0</t>
  </si>
  <si>
    <t>PSR0VB3F3</t>
  </si>
  <si>
    <t>094V 205/55 R16   XL FRHAZ  T 5   THV0</t>
  </si>
  <si>
    <t>PSR0VB4F3</t>
  </si>
  <si>
    <t>084H 185/60 R15      FRHAZ  T 5   THV0</t>
  </si>
  <si>
    <t>PSR0VB5F3</t>
  </si>
  <si>
    <t>088H 185/60 R15   XL FRHAZ  T 5   THV0</t>
  </si>
  <si>
    <t>PSR0VB6F3</t>
  </si>
  <si>
    <t>084T 185/60 R15      FRHAZ  T 5   THV0</t>
  </si>
  <si>
    <t>PSR0VB7F3</t>
  </si>
  <si>
    <t>088T 185/60 R15   XL FRHAZ  T 5   THV0</t>
  </si>
  <si>
    <t>PSR0VB8F3</t>
  </si>
  <si>
    <t>088H 185/65 R15      FRHAZ  T 5   THV0</t>
  </si>
  <si>
    <t>PSR0VB9F3</t>
  </si>
  <si>
    <t>088T 185/65 R15      FRHAZ  T 5   THV0</t>
  </si>
  <si>
    <t>PSR0VC1F3</t>
  </si>
  <si>
    <t>088H 195/60 R15      FRHAZ  T 5   THV0</t>
  </si>
  <si>
    <t>PSR0VC2F3</t>
  </si>
  <si>
    <t>088V 195/60 R15      FRHAZ  T 5   THV0</t>
  </si>
  <si>
    <t>PSR0VC3F3</t>
  </si>
  <si>
    <t>073T 155/65 R13     MLHK2Z  T 5   23V0</t>
  </si>
  <si>
    <t>PSR0VC4F3</t>
  </si>
  <si>
    <t>091T 195/70 R14     MLHK2Z  T 5   23V0</t>
  </si>
  <si>
    <t>PSR0VC5F3</t>
  </si>
  <si>
    <t>075T 145/80 R13     MLHK2Z  T 5   23V0</t>
  </si>
  <si>
    <t>PSR0VC6F3</t>
  </si>
  <si>
    <t>085T 165/70 R14   XLMLHK2Z  T 5   23V0</t>
  </si>
  <si>
    <t>PSR0VC7F3</t>
  </si>
  <si>
    <t>087V 215/45 R17     CHAMCZ  T U601A9V0</t>
  </si>
  <si>
    <t>PSR0VD1F3</t>
  </si>
  <si>
    <t>094W 255/35 R18   XLFH50FZ  T UT41A9V0</t>
  </si>
  <si>
    <t>PSR0VD2F3</t>
  </si>
  <si>
    <t>094W 225/45 R17   XLFH50FZ  T UT41A9V0</t>
  </si>
  <si>
    <t>PSR0VD3F3</t>
  </si>
  <si>
    <t>095W 225/45 R18   XLFH50FZ  T UT41A9V0</t>
  </si>
  <si>
    <t>PSR0VD6F3</t>
  </si>
  <si>
    <t>097W 235/45 R17   XLFHS1FZ  T     CEV0W5</t>
  </si>
  <si>
    <t>PSR0VD7F3</t>
  </si>
  <si>
    <t>094W 225/45 R17   XLFHS1FZ  T     CEV0W5</t>
  </si>
  <si>
    <t>PSR0VD8F3</t>
  </si>
  <si>
    <t>102H 225/65 R17     FSASZ   T U482A9V0</t>
  </si>
  <si>
    <t>PSR0VD9F3</t>
  </si>
  <si>
    <t>091T 205/55 R16     FSASZ   T U562A9V0</t>
  </si>
  <si>
    <t>PSR0VE0F3</t>
  </si>
  <si>
    <t>091T 195/65 R15     FSASZ   T U562A9V0</t>
  </si>
  <si>
    <t>PSR0VE1F3</t>
  </si>
  <si>
    <t>082T 175/65 R14     F7LAZ   T UTT55HV0</t>
  </si>
  <si>
    <t>PSR0VE9F3</t>
  </si>
  <si>
    <t>088T 175/70 R14   XLF7LAZ   T UTT55HV0</t>
  </si>
  <si>
    <t>PSR0VF0F3</t>
  </si>
  <si>
    <t>084T 175/70 R14     F6LAZ   T UTT55HV0</t>
  </si>
  <si>
    <t>PSR0VF1F3</t>
  </si>
  <si>
    <t>082T 175/65 R14     F6LAZ   T UTT55HV0</t>
  </si>
  <si>
    <t>PSR0VF2F3</t>
  </si>
  <si>
    <t>088T 185/70 R14     F6LAZ   T UTT55HV0</t>
  </si>
  <si>
    <t>PSR0VF3F3</t>
  </si>
  <si>
    <t>088T 185/70 R14     F7LAZ   T UTT55HV0</t>
  </si>
  <si>
    <t>PSR0VF4F3</t>
  </si>
  <si>
    <t>091W 215/45 R17   XLFH50FZ  T UT411TV0</t>
  </si>
  <si>
    <t>PSR0VF5F3</t>
  </si>
  <si>
    <t>092W 225/40 R18   XLFH50FZ  T UT411TV0</t>
  </si>
  <si>
    <t>PSR0VF8F3</t>
  </si>
  <si>
    <t>091T 195/65 R15     FSASZ   T U5621TV0</t>
  </si>
  <si>
    <t>PSR0VF9F3</t>
  </si>
  <si>
    <t>095W 235/40 R18   XLFH50FZ  T UT411TV0</t>
  </si>
  <si>
    <t>PSR0VG1F3</t>
  </si>
  <si>
    <t>097W 245/40 R18   XLFH50FZ  T UT411TV0</t>
  </si>
  <si>
    <t>PSR0VG2F3</t>
  </si>
  <si>
    <t>100W 245/45 R18   XLFH50FZ  T UT411TV0</t>
  </si>
  <si>
    <t>PSR0VG3F3</t>
  </si>
  <si>
    <t>095W 225/45 R18   XLFH50FZ  T UT411TV0</t>
  </si>
  <si>
    <t>PSR0VH6F3</t>
  </si>
  <si>
    <t>100T 235/60 R16     FSASZ   T U5621TV0</t>
  </si>
  <si>
    <t>PSR0VJ0F3</t>
  </si>
  <si>
    <t>094W 225/50 R17     FH50FZ  T UT411TV0</t>
  </si>
  <si>
    <t>PSR0VJ7F3</t>
  </si>
  <si>
    <t>088T 185/65 R15     FSASZ   T U5621TV0</t>
  </si>
  <si>
    <t>MMA</t>
  </si>
  <si>
    <t>Giá upload</t>
  </si>
  <si>
    <t>Lượng tồn đầu kỳ</t>
  </si>
  <si>
    <t>Lượng nhập trong kỳ</t>
  </si>
  <si>
    <t>Lượng tồn cuối kỳ</t>
  </si>
  <si>
    <t>Am't đầu kỳ</t>
  </si>
  <si>
    <t>Am't nhập trong kỳ-COGM</t>
  </si>
  <si>
    <t>Am't cuối kỳ-MMA</t>
  </si>
  <si>
    <t>Giá bán MMA</t>
  </si>
  <si>
    <t>COGM-upload</t>
  </si>
  <si>
    <t>Đơn giá Pre-maintain</t>
  </si>
  <si>
    <t>Đơn giá MMA - SAP tính</t>
  </si>
  <si>
    <t>Giá nhập theo Pre</t>
  </si>
  <si>
    <t>Giá bán theo Pre</t>
  </si>
  <si>
    <t>Giá MMA</t>
  </si>
  <si>
    <t>Đơn giá COGM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</si>
</sst>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00"/>
    <numFmt numFmtId="166" formatCode="#,##0.0000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color theme="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18" fillId="0" borderId="0" xfId="0" applyFont="1"/>
    <xf numFmtId="0" fontId="0" fillId="0" borderId="0" xfId="0"/>
    <xf numFmtId="0" fontId="0" fillId="33" borderId="10" xfId="0" applyFill="1" applyBorder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34" borderId="10" xfId="0" applyFill="1" applyBorder="1"/>
    <xf numFmtId="164" fontId="0" fillId="34" borderId="10" xfId="0" applyNumberFormat="1" applyFill="1" applyBorder="1" applyAlignment="1">
      <alignment horizontal="right"/>
    </xf>
    <xf numFmtId="165" fontId="0" fillId="34" borderId="10" xfId="0" applyNumberFormat="1" applyFill="1" applyBorder="1" applyAlignment="1">
      <alignment horizontal="right"/>
    </xf>
    <xf numFmtId="4" fontId="0" fillId="34" borderId="10" xfId="0" applyNumberFormat="1" applyFill="1" applyBorder="1" applyAlignment="1">
      <alignment horizontal="right"/>
    </xf>
    <xf numFmtId="3" fontId="0" fillId="34" borderId="10" xfId="0" applyNumberFormat="1" applyFill="1" applyBorder="1" applyAlignment="1">
      <alignment horizontal="right"/>
    </xf>
    <xf numFmtId="0" fontId="18" fillId="35" borderId="0" xfId="0" applyFont="1" applyFill="1"/>
    <xf numFmtId="0" fontId="18" fillId="36" borderId="0" xfId="0" applyFont="1" applyFill="1"/>
    <xf numFmtId="0" fontId="18" fillId="37" borderId="0" xfId="0" applyFont="1" applyFill="1"/>
    <xf numFmtId="0" fontId="19" fillId="38" borderId="0" xfId="0" applyFont="1" applyFill="1"/>
    <xf numFmtId="0" fontId="18" fillId="0" borderId="11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20" xfId="0" applyFont="1" applyBorder="1"/>
    <xf numFmtId="4" fontId="18" fillId="0" borderId="0" xfId="0" applyNumberFormat="1" applyFont="1"/>
    <xf numFmtId="0" fontId="18" fillId="39" borderId="0" xfId="0" applyFont="1" applyFill="1"/>
    <xf numFmtId="0" fontId="18" fillId="39" borderId="16" xfId="0" applyFont="1" applyFill="1" applyBorder="1"/>
    <xf numFmtId="0" fontId="18" fillId="39" borderId="17" xfId="0" applyFont="1" applyFill="1" applyBorder="1"/>
    <xf numFmtId="0" fontId="18" fillId="40" borderId="13" xfId="0" applyFont="1" applyFill="1" applyBorder="1"/>
    <xf numFmtId="0" fontId="18" fillId="40" borderId="0" xfId="0" applyFont="1" applyFill="1"/>
    <xf numFmtId="0" fontId="18" fillId="40" borderId="2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E392" sqref="AE392"/>
    </sheetView>
  </sheetViews>
  <sheetFormatPr defaultColWidth="11.42578125" defaultRowHeight="12.75" x14ac:dyDescent="0.2"/>
  <cols>
    <col min="1" max="1" width="19" bestFit="1" customWidth="1"/>
    <col min="2" max="2" width="40.42578125" bestFit="1" customWidth="1"/>
    <col min="3" max="3" width="24.140625" bestFit="1" customWidth="1"/>
    <col min="4" max="4" width="19" bestFit="1" customWidth="1"/>
    <col min="5" max="5" width="22.140625" bestFit="1" customWidth="1"/>
    <col min="6" max="6" width="30.140625" bestFit="1" customWidth="1"/>
    <col min="7" max="7" width="28.85546875" bestFit="1" customWidth="1"/>
    <col min="8" max="8" width="27.140625" bestFit="1" customWidth="1"/>
    <col min="9" max="9" width="31" bestFit="1" customWidth="1"/>
    <col min="10" max="10" width="30.7109375" bestFit="1" customWidth="1"/>
    <col min="11" max="11" width="31.5703125" bestFit="1" customWidth="1"/>
    <col min="12" max="12" width="19" bestFit="1" customWidth="1"/>
    <col min="13" max="13" width="21.85546875" bestFit="1" customWidth="1"/>
    <col min="14" max="14" width="21.140625" bestFit="1" customWidth="1"/>
    <col min="15" max="15" width="19" bestFit="1" customWidth="1"/>
    <col min="16" max="16" width="21.140625" bestFit="1" customWidth="1"/>
    <col min="17" max="17" width="33.140625" bestFit="1" customWidth="1"/>
    <col min="18" max="18" width="22.85546875" bestFit="1" customWidth="1"/>
    <col min="19" max="19" width="34" bestFit="1" customWidth="1"/>
    <col min="20" max="20" width="34.7109375" bestFit="1" customWidth="1"/>
    <col min="21" max="21" width="42.7109375" bestFit="1" customWidth="1"/>
    <col min="22" max="22" width="39.7109375" bestFit="1" customWidth="1"/>
    <col min="23" max="23" width="44.140625" bestFit="1" customWidth="1"/>
    <col min="24" max="24" width="43.28515625" bestFit="1" customWidth="1"/>
    <col min="25" max="25" width="44.140625" bestFit="1" customWidth="1"/>
    <col min="26" max="26" width="31.5703125" bestFit="1" customWidth="1"/>
    <col min="27" max="27" width="34.42578125" bestFit="1" customWidth="1"/>
    <col min="28" max="28" width="33.85546875" bestFit="1" customWidth="1"/>
    <col min="29" max="29" width="23.28515625" bestFit="1" customWidth="1"/>
    <col min="30" max="30" width="25.5703125" bestFit="1" customWidth="1"/>
    <col min="31" max="31" width="24.140625" bestFit="1" customWidth="1"/>
    <col min="32" max="32" width="26.28515625" bestFit="1" customWidth="1"/>
    <col min="33" max="33" width="31.7109375" bestFit="1" customWidth="1"/>
    <col min="34" max="34" width="27.85546875" bestFit="1" customWidth="1"/>
    <col min="35" max="35" width="40.85546875" bestFit="1" customWidth="1"/>
    <col min="36" max="36" width="31.42578125" bestFit="1" customWidth="1"/>
    <col min="37" max="37" width="32.28515625" bestFit="1" customWidth="1"/>
    <col min="38" max="38" width="19.7109375" bestFit="1" customWidth="1"/>
    <col min="39" max="39" width="22.5703125" bestFit="1" customWidth="1"/>
    <col min="40" max="40" width="22" bestFit="1" customWidth="1"/>
    <col min="41" max="41" width="19.7109375" bestFit="1" customWidth="1"/>
    <col min="42" max="42" width="33.140625" bestFit="1" customWidth="1"/>
    <col min="43" max="43" width="25.5703125" bestFit="1" customWidth="1"/>
    <col min="44" max="44" width="42.42578125" bestFit="1" customWidth="1"/>
    <col min="45" max="46" width="45.7109375" bestFit="1" customWidth="1"/>
  </cols>
  <sheetData>
    <row r="1" spans="1:4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x14ac:dyDescent="0.2">
      <c r="A2" s="1" t="s">
        <v>46</v>
      </c>
      <c r="B2" s="1" t="s">
        <v>47</v>
      </c>
      <c r="C2" s="1" t="s">
        <v>48</v>
      </c>
      <c r="D2" s="3">
        <v>12</v>
      </c>
      <c r="E2" s="3">
        <v>0</v>
      </c>
      <c r="F2" s="3">
        <v>0</v>
      </c>
      <c r="G2" s="3">
        <v>12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12</v>
      </c>
      <c r="P2" s="3">
        <v>0</v>
      </c>
      <c r="Q2" s="4">
        <v>0</v>
      </c>
      <c r="R2" s="5">
        <v>21.98</v>
      </c>
      <c r="S2" s="5">
        <v>20.45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245.4</v>
      </c>
      <c r="AD2" s="6">
        <v>0</v>
      </c>
      <c r="AE2" s="5">
        <v>0</v>
      </c>
      <c r="AF2" s="5">
        <v>0</v>
      </c>
      <c r="AG2" s="5">
        <v>245.4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245.4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</row>
    <row r="3" spans="1:46" x14ac:dyDescent="0.2">
      <c r="A3" s="1" t="s">
        <v>49</v>
      </c>
      <c r="B3" s="1" t="s">
        <v>50</v>
      </c>
      <c r="C3" s="1" t="s">
        <v>48</v>
      </c>
      <c r="D3" s="3">
        <v>76</v>
      </c>
      <c r="E3" s="3">
        <v>0</v>
      </c>
      <c r="F3" s="3">
        <v>0</v>
      </c>
      <c r="G3" s="3">
        <v>76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76</v>
      </c>
      <c r="P3" s="3">
        <v>0</v>
      </c>
      <c r="Q3" s="4">
        <v>0</v>
      </c>
      <c r="R3" s="5">
        <v>23.76</v>
      </c>
      <c r="S3" s="5">
        <v>23.94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1819.82</v>
      </c>
      <c r="AD3" s="6">
        <v>0</v>
      </c>
      <c r="AE3" s="5">
        <v>0</v>
      </c>
      <c r="AF3" s="5">
        <v>0</v>
      </c>
      <c r="AG3" s="5">
        <v>1819.82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1819.82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</row>
    <row r="4" spans="1:46" x14ac:dyDescent="0.2">
      <c r="A4" s="1" t="s">
        <v>51</v>
      </c>
      <c r="B4" s="1" t="s">
        <v>52</v>
      </c>
      <c r="C4" s="1" t="s">
        <v>48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4">
        <v>0</v>
      </c>
      <c r="R4" s="5">
        <v>26.8</v>
      </c>
      <c r="S4" s="5">
        <v>27.97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6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</row>
    <row r="5" spans="1:46" x14ac:dyDescent="0.2">
      <c r="A5" s="1" t="s">
        <v>53</v>
      </c>
      <c r="B5" s="1" t="s">
        <v>54</v>
      </c>
      <c r="C5" s="1" t="s">
        <v>48</v>
      </c>
      <c r="D5" s="3">
        <v>3</v>
      </c>
      <c r="E5" s="3">
        <v>0</v>
      </c>
      <c r="F5" s="3">
        <v>0</v>
      </c>
      <c r="G5" s="3">
        <v>3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3</v>
      </c>
      <c r="P5" s="3">
        <v>0</v>
      </c>
      <c r="Q5" s="4">
        <v>0</v>
      </c>
      <c r="R5" s="5">
        <v>26.38</v>
      </c>
      <c r="S5" s="5">
        <v>31.93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95.79</v>
      </c>
      <c r="AD5" s="6">
        <v>0</v>
      </c>
      <c r="AE5" s="5">
        <v>0</v>
      </c>
      <c r="AF5" s="5">
        <v>0</v>
      </c>
      <c r="AG5" s="5">
        <v>95.79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95.79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</row>
    <row r="6" spans="1:46" x14ac:dyDescent="0.2">
      <c r="A6" s="1" t="s">
        <v>55</v>
      </c>
      <c r="B6" s="1" t="s">
        <v>56</v>
      </c>
      <c r="C6" s="1" t="s">
        <v>48</v>
      </c>
      <c r="D6" s="3">
        <v>2</v>
      </c>
      <c r="E6" s="3">
        <v>0</v>
      </c>
      <c r="F6" s="3">
        <v>0</v>
      </c>
      <c r="G6" s="3">
        <v>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</v>
      </c>
      <c r="P6" s="3">
        <v>0</v>
      </c>
      <c r="Q6" s="4">
        <v>0</v>
      </c>
      <c r="R6" s="5">
        <v>32.07</v>
      </c>
      <c r="S6" s="5">
        <v>28.89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57.77</v>
      </c>
      <c r="AD6" s="6">
        <v>0</v>
      </c>
      <c r="AE6" s="5">
        <v>0</v>
      </c>
      <c r="AF6" s="5">
        <v>0</v>
      </c>
      <c r="AG6" s="5">
        <v>57.77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57.77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</row>
    <row r="7" spans="1:46" x14ac:dyDescent="0.2">
      <c r="A7" s="1" t="s">
        <v>57</v>
      </c>
      <c r="B7" s="1" t="s">
        <v>58</v>
      </c>
      <c r="C7" s="1" t="s">
        <v>48</v>
      </c>
      <c r="D7" s="3">
        <v>2</v>
      </c>
      <c r="E7" s="3">
        <v>0</v>
      </c>
      <c r="F7" s="3">
        <v>0</v>
      </c>
      <c r="G7" s="3">
        <v>2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2</v>
      </c>
      <c r="P7" s="3">
        <v>0</v>
      </c>
      <c r="Q7" s="4">
        <v>0</v>
      </c>
      <c r="R7" s="5">
        <v>25.07</v>
      </c>
      <c r="S7" s="5">
        <v>24.47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48.94</v>
      </c>
      <c r="AD7" s="6">
        <v>0</v>
      </c>
      <c r="AE7" s="5">
        <v>0</v>
      </c>
      <c r="AF7" s="5">
        <v>0</v>
      </c>
      <c r="AG7" s="5">
        <v>48.94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48.94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</row>
    <row r="8" spans="1:46" x14ac:dyDescent="0.2">
      <c r="A8" s="1" t="s">
        <v>59</v>
      </c>
      <c r="B8" s="1" t="s">
        <v>60</v>
      </c>
      <c r="C8" s="1" t="s">
        <v>48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4">
        <v>0</v>
      </c>
      <c r="R8" s="5">
        <v>30.34</v>
      </c>
      <c r="S8" s="5">
        <v>36.17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6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</row>
    <row r="9" spans="1:46" x14ac:dyDescent="0.2">
      <c r="A9" s="1" t="s">
        <v>61</v>
      </c>
      <c r="B9" s="1" t="s">
        <v>62</v>
      </c>
      <c r="C9" s="1" t="s">
        <v>48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4">
        <v>0</v>
      </c>
      <c r="R9" s="5">
        <v>27.47</v>
      </c>
      <c r="S9" s="5">
        <v>31.69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6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</row>
    <row r="10" spans="1:46" x14ac:dyDescent="0.2">
      <c r="A10" s="1" t="s">
        <v>63</v>
      </c>
      <c r="B10" s="1" t="s">
        <v>64</v>
      </c>
      <c r="C10" s="1" t="s">
        <v>48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4">
        <v>0</v>
      </c>
      <c r="R10" s="5">
        <v>28.23</v>
      </c>
      <c r="S10" s="5">
        <v>33.119999999999997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6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</row>
    <row r="11" spans="1:46" x14ac:dyDescent="0.2">
      <c r="A11" s="1" t="s">
        <v>65</v>
      </c>
      <c r="B11" s="1" t="s">
        <v>66</v>
      </c>
      <c r="C11" s="1" t="s">
        <v>48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4">
        <v>0</v>
      </c>
      <c r="R11" s="5">
        <v>31.01</v>
      </c>
      <c r="S11" s="5">
        <v>34.71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6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</row>
    <row r="12" spans="1:46" x14ac:dyDescent="0.2">
      <c r="A12" s="1" t="s">
        <v>67</v>
      </c>
      <c r="B12" s="1" t="s">
        <v>68</v>
      </c>
      <c r="C12" s="1" t="s">
        <v>48</v>
      </c>
      <c r="D12" s="3">
        <v>5</v>
      </c>
      <c r="E12" s="3">
        <v>0</v>
      </c>
      <c r="F12" s="3">
        <v>0</v>
      </c>
      <c r="G12" s="3">
        <v>5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5</v>
      </c>
      <c r="P12" s="3">
        <v>0</v>
      </c>
      <c r="Q12" s="4">
        <v>0</v>
      </c>
      <c r="R12" s="5">
        <v>29.82</v>
      </c>
      <c r="S12" s="5">
        <v>27.86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139.32</v>
      </c>
      <c r="AD12" s="6">
        <v>0</v>
      </c>
      <c r="AE12" s="5">
        <v>0</v>
      </c>
      <c r="AF12" s="5">
        <v>0</v>
      </c>
      <c r="AG12" s="5">
        <v>139.32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139.32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</row>
    <row r="13" spans="1:46" x14ac:dyDescent="0.2">
      <c r="A13" s="1" t="s">
        <v>69</v>
      </c>
      <c r="B13" s="1" t="s">
        <v>70</v>
      </c>
      <c r="C13" s="1" t="s">
        <v>48</v>
      </c>
      <c r="D13" s="3">
        <v>43</v>
      </c>
      <c r="E13" s="3">
        <v>0</v>
      </c>
      <c r="F13" s="3">
        <v>0</v>
      </c>
      <c r="G13" s="3">
        <v>43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43</v>
      </c>
      <c r="P13" s="3">
        <v>0</v>
      </c>
      <c r="Q13" s="4">
        <v>0</v>
      </c>
      <c r="R13" s="5">
        <v>34.69</v>
      </c>
      <c r="S13" s="5">
        <v>33.4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1436.4</v>
      </c>
      <c r="AD13" s="6">
        <v>0</v>
      </c>
      <c r="AE13" s="5">
        <v>0</v>
      </c>
      <c r="AF13" s="5">
        <v>0</v>
      </c>
      <c r="AG13" s="5">
        <v>1436.4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1436.4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</row>
    <row r="14" spans="1:46" x14ac:dyDescent="0.2">
      <c r="A14" s="1" t="s">
        <v>71</v>
      </c>
      <c r="B14" s="1" t="s">
        <v>72</v>
      </c>
      <c r="C14" s="1" t="s">
        <v>48</v>
      </c>
      <c r="D14" s="3">
        <v>14</v>
      </c>
      <c r="E14" s="3">
        <v>0</v>
      </c>
      <c r="F14" s="3">
        <v>0</v>
      </c>
      <c r="G14" s="3">
        <v>14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14</v>
      </c>
      <c r="P14" s="3">
        <v>0</v>
      </c>
      <c r="Q14" s="4">
        <v>0</v>
      </c>
      <c r="R14" s="5">
        <v>37.78</v>
      </c>
      <c r="S14" s="5">
        <v>38.03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532.44000000000005</v>
      </c>
      <c r="AD14" s="6">
        <v>0</v>
      </c>
      <c r="AE14" s="5">
        <v>0</v>
      </c>
      <c r="AF14" s="5">
        <v>0</v>
      </c>
      <c r="AG14" s="5">
        <v>532.44000000000005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532.44000000000005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</row>
    <row r="15" spans="1:46" x14ac:dyDescent="0.2">
      <c r="A15" s="1" t="s">
        <v>73</v>
      </c>
      <c r="B15" s="1" t="s">
        <v>74</v>
      </c>
      <c r="C15" s="1" t="s">
        <v>48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4">
        <v>0</v>
      </c>
      <c r="R15" s="5">
        <v>28.36</v>
      </c>
      <c r="S15" s="5">
        <v>34.54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6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</row>
    <row r="16" spans="1:46" x14ac:dyDescent="0.2">
      <c r="A16" s="1" t="s">
        <v>75</v>
      </c>
      <c r="B16" s="1" t="s">
        <v>76</v>
      </c>
      <c r="C16" s="1" t="s">
        <v>48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4">
        <v>0</v>
      </c>
      <c r="R16" s="5">
        <v>28.04</v>
      </c>
      <c r="S16" s="5">
        <v>28.63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6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</row>
    <row r="17" spans="1:46" x14ac:dyDescent="0.2">
      <c r="A17" s="1" t="s">
        <v>77</v>
      </c>
      <c r="B17" s="1" t="s">
        <v>78</v>
      </c>
      <c r="C17" s="1" t="s">
        <v>48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4">
        <v>0</v>
      </c>
      <c r="R17" s="5">
        <v>42.08</v>
      </c>
      <c r="S17" s="5">
        <v>46.07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6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</row>
    <row r="18" spans="1:46" x14ac:dyDescent="0.2">
      <c r="A18" s="1" t="s">
        <v>79</v>
      </c>
      <c r="B18" s="1" t="s">
        <v>80</v>
      </c>
      <c r="C18" s="1" t="s">
        <v>48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4">
        <v>0</v>
      </c>
      <c r="R18" s="5">
        <v>37.770000000000003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6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</row>
    <row r="19" spans="1:46" x14ac:dyDescent="0.2">
      <c r="A19" s="1" t="s">
        <v>81</v>
      </c>
      <c r="B19" s="1" t="s">
        <v>82</v>
      </c>
      <c r="C19" s="1" t="s">
        <v>48</v>
      </c>
      <c r="D19" s="3">
        <v>175</v>
      </c>
      <c r="E19" s="3">
        <v>0</v>
      </c>
      <c r="F19" s="3">
        <v>0</v>
      </c>
      <c r="G19" s="3">
        <v>175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175</v>
      </c>
      <c r="P19" s="3">
        <v>0</v>
      </c>
      <c r="Q19" s="4">
        <v>0</v>
      </c>
      <c r="R19" s="5">
        <v>23.49</v>
      </c>
      <c r="S19" s="5">
        <v>24.05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4208.21</v>
      </c>
      <c r="AD19" s="6">
        <v>0</v>
      </c>
      <c r="AE19" s="5">
        <v>0</v>
      </c>
      <c r="AF19" s="5">
        <v>0</v>
      </c>
      <c r="AG19" s="5">
        <v>4208.21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4208.21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</row>
    <row r="20" spans="1:46" x14ac:dyDescent="0.2">
      <c r="A20" s="1" t="s">
        <v>83</v>
      </c>
      <c r="B20" s="1" t="s">
        <v>84</v>
      </c>
      <c r="C20" s="1" t="s">
        <v>48</v>
      </c>
      <c r="D20" s="3">
        <v>5</v>
      </c>
      <c r="E20" s="3">
        <v>0</v>
      </c>
      <c r="F20" s="3">
        <v>0</v>
      </c>
      <c r="G20" s="3">
        <v>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5</v>
      </c>
      <c r="P20" s="3">
        <v>0</v>
      </c>
      <c r="Q20" s="4">
        <v>0</v>
      </c>
      <c r="R20" s="5">
        <v>27.67</v>
      </c>
      <c r="S20" s="5">
        <v>26.71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133.54</v>
      </c>
      <c r="AD20" s="6">
        <v>0</v>
      </c>
      <c r="AE20" s="5">
        <v>0</v>
      </c>
      <c r="AF20" s="5">
        <v>0</v>
      </c>
      <c r="AG20" s="5">
        <v>133.54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133.54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</row>
    <row r="21" spans="1:46" x14ac:dyDescent="0.2">
      <c r="A21" s="1" t="s">
        <v>85</v>
      </c>
      <c r="B21" s="1" t="s">
        <v>86</v>
      </c>
      <c r="C21" s="1" t="s">
        <v>48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4">
        <v>0</v>
      </c>
      <c r="R21" s="5">
        <v>37.26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6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</row>
    <row r="22" spans="1:46" x14ac:dyDescent="0.2">
      <c r="A22" s="1" t="s">
        <v>87</v>
      </c>
      <c r="B22" s="1" t="s">
        <v>88</v>
      </c>
      <c r="C22" s="1" t="s">
        <v>48</v>
      </c>
      <c r="D22" s="3">
        <v>549</v>
      </c>
      <c r="E22" s="3">
        <v>0</v>
      </c>
      <c r="F22" s="3">
        <v>0</v>
      </c>
      <c r="G22" s="3">
        <v>549</v>
      </c>
      <c r="H22" s="3">
        <v>-549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4">
        <v>0</v>
      </c>
      <c r="R22" s="5">
        <v>29.1</v>
      </c>
      <c r="S22" s="5">
        <v>25.46</v>
      </c>
      <c r="T22" s="5">
        <v>0</v>
      </c>
      <c r="U22" s="5">
        <v>0</v>
      </c>
      <c r="V22" s="5">
        <v>-15975.9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13979.21</v>
      </c>
      <c r="AD22" s="6">
        <v>0</v>
      </c>
      <c r="AE22" s="5">
        <v>0</v>
      </c>
      <c r="AF22" s="5">
        <v>0</v>
      </c>
      <c r="AG22" s="5">
        <v>13979.21</v>
      </c>
      <c r="AH22" s="5">
        <v>-13979.21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1996.69</v>
      </c>
      <c r="AT22" s="5">
        <v>0</v>
      </c>
    </row>
    <row r="23" spans="1:46" x14ac:dyDescent="0.2">
      <c r="A23" s="1" t="s">
        <v>89</v>
      </c>
      <c r="B23" s="1" t="s">
        <v>90</v>
      </c>
      <c r="C23" s="1" t="s">
        <v>48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4">
        <v>0</v>
      </c>
      <c r="R23" s="5">
        <v>43.31</v>
      </c>
      <c r="S23" s="5">
        <v>45.29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6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</row>
    <row r="24" spans="1:46" x14ac:dyDescent="0.2">
      <c r="A24" s="1" t="s">
        <v>91</v>
      </c>
      <c r="B24" s="1" t="s">
        <v>92</v>
      </c>
      <c r="C24" s="1" t="s">
        <v>48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4">
        <v>0</v>
      </c>
      <c r="R24" s="5">
        <v>40.53</v>
      </c>
      <c r="S24" s="5">
        <v>46.4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6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</row>
    <row r="25" spans="1:46" x14ac:dyDescent="0.2">
      <c r="A25" s="1" t="s">
        <v>93</v>
      </c>
      <c r="B25" s="1" t="s">
        <v>94</v>
      </c>
      <c r="C25" s="1" t="s">
        <v>48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4">
        <v>0</v>
      </c>
      <c r="R25" s="5">
        <v>54.2</v>
      </c>
      <c r="S25" s="5">
        <v>53.4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6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</row>
    <row r="26" spans="1:46" x14ac:dyDescent="0.2">
      <c r="A26" s="1" t="s">
        <v>95</v>
      </c>
      <c r="B26" s="1" t="s">
        <v>96</v>
      </c>
      <c r="C26" s="1" t="s">
        <v>48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4">
        <v>0</v>
      </c>
      <c r="R26" s="5">
        <v>56.76</v>
      </c>
      <c r="S26" s="5">
        <v>54.02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6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</row>
    <row r="27" spans="1:46" x14ac:dyDescent="0.2">
      <c r="A27" s="1" t="s">
        <v>97</v>
      </c>
      <c r="B27" s="1" t="s">
        <v>98</v>
      </c>
      <c r="C27" s="1" t="s">
        <v>48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4">
        <v>0</v>
      </c>
      <c r="R27" s="5">
        <v>34.22</v>
      </c>
      <c r="S27" s="5">
        <v>39.33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6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</row>
    <row r="28" spans="1:46" x14ac:dyDescent="0.2">
      <c r="A28" s="1" t="s">
        <v>99</v>
      </c>
      <c r="B28" s="1" t="s">
        <v>100</v>
      </c>
      <c r="C28" s="1" t="s">
        <v>48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4">
        <v>0</v>
      </c>
      <c r="R28" s="5">
        <v>46.29</v>
      </c>
      <c r="S28" s="5">
        <v>45.46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6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</row>
    <row r="29" spans="1:46" x14ac:dyDescent="0.2">
      <c r="A29" s="1" t="s">
        <v>101</v>
      </c>
      <c r="B29" s="1" t="s">
        <v>102</v>
      </c>
      <c r="C29" s="1" t="s">
        <v>48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4">
        <v>0</v>
      </c>
      <c r="R29" s="5">
        <v>42.51</v>
      </c>
      <c r="S29" s="5">
        <v>44.98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6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</row>
    <row r="30" spans="1:46" x14ac:dyDescent="0.2">
      <c r="A30" s="1" t="s">
        <v>103</v>
      </c>
      <c r="B30" s="1" t="s">
        <v>104</v>
      </c>
      <c r="C30" s="1" t="s">
        <v>48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4">
        <v>0</v>
      </c>
      <c r="R30" s="5">
        <v>37.200000000000003</v>
      </c>
      <c r="S30" s="5">
        <v>61.59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6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</row>
    <row r="31" spans="1:46" x14ac:dyDescent="0.2">
      <c r="A31" s="1" t="s">
        <v>105</v>
      </c>
      <c r="B31" s="1" t="s">
        <v>106</v>
      </c>
      <c r="C31" s="1" t="s">
        <v>48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4">
        <v>0</v>
      </c>
      <c r="R31" s="5">
        <v>77.75</v>
      </c>
      <c r="S31" s="5">
        <v>60.9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6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</row>
    <row r="32" spans="1:46" x14ac:dyDescent="0.2">
      <c r="A32" s="1" t="s">
        <v>107</v>
      </c>
      <c r="B32" s="1" t="s">
        <v>108</v>
      </c>
      <c r="C32" s="1" t="s">
        <v>48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4">
        <v>0</v>
      </c>
      <c r="R32" s="5">
        <v>42.11</v>
      </c>
      <c r="S32" s="5">
        <v>59.98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6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</row>
    <row r="33" spans="1:46" x14ac:dyDescent="0.2">
      <c r="A33" s="1" t="s">
        <v>109</v>
      </c>
      <c r="B33" s="1" t="s">
        <v>110</v>
      </c>
      <c r="C33" s="1" t="s">
        <v>48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4">
        <v>0</v>
      </c>
      <c r="R33" s="5">
        <v>26.81</v>
      </c>
      <c r="S33" s="5">
        <v>40.78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6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</row>
    <row r="34" spans="1:46" x14ac:dyDescent="0.2">
      <c r="A34" s="1" t="s">
        <v>111</v>
      </c>
      <c r="B34" s="1" t="s">
        <v>112</v>
      </c>
      <c r="C34" s="1" t="s">
        <v>48</v>
      </c>
      <c r="D34" s="3">
        <v>148</v>
      </c>
      <c r="E34" s="3">
        <v>0</v>
      </c>
      <c r="F34" s="3">
        <v>0</v>
      </c>
      <c r="G34" s="3">
        <v>148</v>
      </c>
      <c r="H34" s="3">
        <v>-104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44</v>
      </c>
      <c r="P34" s="3">
        <v>0</v>
      </c>
      <c r="Q34" s="4">
        <v>0</v>
      </c>
      <c r="R34" s="5">
        <v>35.979999999999997</v>
      </c>
      <c r="S34" s="5">
        <v>34.68</v>
      </c>
      <c r="T34" s="5">
        <v>0</v>
      </c>
      <c r="U34" s="5">
        <v>0</v>
      </c>
      <c r="V34" s="5">
        <v>-3741.92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5133.3599999999997</v>
      </c>
      <c r="AD34" s="6">
        <v>0</v>
      </c>
      <c r="AE34" s="5">
        <v>0</v>
      </c>
      <c r="AF34" s="5">
        <v>0</v>
      </c>
      <c r="AG34" s="5">
        <v>5133.3599999999997</v>
      </c>
      <c r="AH34" s="5">
        <v>-3607.22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1526.13</v>
      </c>
      <c r="AP34" s="5">
        <v>0</v>
      </c>
      <c r="AQ34" s="5">
        <v>0</v>
      </c>
      <c r="AR34" s="5">
        <v>0</v>
      </c>
      <c r="AS34" s="5">
        <v>134.69999999999999</v>
      </c>
      <c r="AT34" s="5">
        <v>0</v>
      </c>
    </row>
    <row r="35" spans="1:46" x14ac:dyDescent="0.2">
      <c r="A35" s="1" t="s">
        <v>113</v>
      </c>
      <c r="B35" s="1" t="s">
        <v>114</v>
      </c>
      <c r="C35" s="1" t="s">
        <v>48</v>
      </c>
      <c r="D35" s="3">
        <v>34</v>
      </c>
      <c r="E35" s="3">
        <v>0</v>
      </c>
      <c r="F35" s="3">
        <v>0</v>
      </c>
      <c r="G35" s="3">
        <v>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34</v>
      </c>
      <c r="P35" s="3">
        <v>0</v>
      </c>
      <c r="Q35" s="4">
        <v>0</v>
      </c>
      <c r="R35" s="5">
        <v>28.16</v>
      </c>
      <c r="S35" s="5">
        <v>25.46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865.5</v>
      </c>
      <c r="AD35" s="6">
        <v>0</v>
      </c>
      <c r="AE35" s="5">
        <v>0</v>
      </c>
      <c r="AF35" s="5">
        <v>0</v>
      </c>
      <c r="AG35" s="5">
        <v>865.5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865.5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</row>
    <row r="36" spans="1:46" x14ac:dyDescent="0.2">
      <c r="A36" s="1" t="s">
        <v>115</v>
      </c>
      <c r="B36" s="1" t="s">
        <v>116</v>
      </c>
      <c r="C36" s="1" t="s">
        <v>48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4">
        <v>0</v>
      </c>
      <c r="R36" s="5">
        <v>43.31</v>
      </c>
      <c r="S36" s="5">
        <v>39.479999999999997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6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</row>
    <row r="37" spans="1:46" x14ac:dyDescent="0.2">
      <c r="A37" s="1" t="s">
        <v>117</v>
      </c>
      <c r="B37" s="1" t="s">
        <v>118</v>
      </c>
      <c r="C37" s="1" t="s">
        <v>48</v>
      </c>
      <c r="D37" s="3">
        <v>7</v>
      </c>
      <c r="E37" s="3">
        <v>0</v>
      </c>
      <c r="F37" s="3">
        <v>0</v>
      </c>
      <c r="G37" s="3">
        <v>7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7</v>
      </c>
      <c r="P37" s="3">
        <v>0</v>
      </c>
      <c r="Q37" s="4">
        <v>0</v>
      </c>
      <c r="R37" s="5">
        <v>22.27</v>
      </c>
      <c r="S37" s="5">
        <v>21.63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151.41</v>
      </c>
      <c r="AD37" s="6">
        <v>0</v>
      </c>
      <c r="AE37" s="5">
        <v>0</v>
      </c>
      <c r="AF37" s="5">
        <v>0</v>
      </c>
      <c r="AG37" s="5">
        <v>151.41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151.41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</row>
    <row r="38" spans="1:46" x14ac:dyDescent="0.2">
      <c r="A38" s="1" t="s">
        <v>119</v>
      </c>
      <c r="B38" s="1" t="s">
        <v>120</v>
      </c>
      <c r="C38" s="1" t="s">
        <v>48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4">
        <v>0</v>
      </c>
      <c r="R38" s="5">
        <v>25.8</v>
      </c>
      <c r="S38" s="5">
        <v>24.74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6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</row>
    <row r="39" spans="1:46" x14ac:dyDescent="0.2">
      <c r="A39" s="1" t="s">
        <v>121</v>
      </c>
      <c r="B39" s="1" t="s">
        <v>122</v>
      </c>
      <c r="C39" s="1" t="s">
        <v>48</v>
      </c>
      <c r="D39" s="3">
        <v>41</v>
      </c>
      <c r="E39" s="3">
        <v>0</v>
      </c>
      <c r="F39" s="3">
        <v>0</v>
      </c>
      <c r="G39" s="3">
        <v>41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41</v>
      </c>
      <c r="P39" s="3">
        <v>0</v>
      </c>
      <c r="Q39" s="4">
        <v>0</v>
      </c>
      <c r="R39" s="5">
        <v>25.03</v>
      </c>
      <c r="S39" s="5">
        <v>25.04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1026.45</v>
      </c>
      <c r="AD39" s="6">
        <v>0</v>
      </c>
      <c r="AE39" s="5">
        <v>0</v>
      </c>
      <c r="AF39" s="5">
        <v>0</v>
      </c>
      <c r="AG39" s="5">
        <v>1026.45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1026.45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</row>
    <row r="40" spans="1:46" x14ac:dyDescent="0.2">
      <c r="A40" s="1" t="s">
        <v>123</v>
      </c>
      <c r="B40" s="1" t="s">
        <v>124</v>
      </c>
      <c r="C40" s="1" t="s">
        <v>48</v>
      </c>
      <c r="D40" s="3">
        <v>1</v>
      </c>
      <c r="E40" s="3">
        <v>0</v>
      </c>
      <c r="F40" s="3">
        <v>0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</v>
      </c>
      <c r="P40" s="3">
        <v>0</v>
      </c>
      <c r="Q40" s="4">
        <v>0</v>
      </c>
      <c r="R40" s="5">
        <v>29.48</v>
      </c>
      <c r="S40" s="5">
        <v>35.65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35.65</v>
      </c>
      <c r="AD40" s="6">
        <v>0</v>
      </c>
      <c r="AE40" s="5">
        <v>0</v>
      </c>
      <c r="AF40" s="5">
        <v>0</v>
      </c>
      <c r="AG40" s="5">
        <v>35.65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35.65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</row>
    <row r="41" spans="1:46" x14ac:dyDescent="0.2">
      <c r="A41" s="1" t="s">
        <v>125</v>
      </c>
      <c r="B41" s="1" t="s">
        <v>126</v>
      </c>
      <c r="C41" s="1" t="s">
        <v>48</v>
      </c>
      <c r="D41" s="3">
        <v>5</v>
      </c>
      <c r="E41" s="3">
        <v>0</v>
      </c>
      <c r="F41" s="3">
        <v>0</v>
      </c>
      <c r="G41" s="3">
        <v>5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5</v>
      </c>
      <c r="P41" s="3">
        <v>0</v>
      </c>
      <c r="Q41" s="4">
        <v>0</v>
      </c>
      <c r="R41" s="5">
        <v>26.5</v>
      </c>
      <c r="S41" s="5">
        <v>24.56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122.81</v>
      </c>
      <c r="AD41" s="6">
        <v>0</v>
      </c>
      <c r="AE41" s="5">
        <v>0</v>
      </c>
      <c r="AF41" s="5">
        <v>0</v>
      </c>
      <c r="AG41" s="5">
        <v>122.81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122.81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</row>
    <row r="42" spans="1:46" x14ac:dyDescent="0.2">
      <c r="A42" s="1" t="s">
        <v>127</v>
      </c>
      <c r="B42" s="1" t="s">
        <v>128</v>
      </c>
      <c r="C42" s="1" t="s">
        <v>48</v>
      </c>
      <c r="D42" s="3">
        <v>231</v>
      </c>
      <c r="E42" s="3">
        <v>0</v>
      </c>
      <c r="F42" s="3">
        <v>0</v>
      </c>
      <c r="G42" s="3">
        <v>231</v>
      </c>
      <c r="H42" s="3">
        <v>-221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</v>
      </c>
      <c r="P42" s="3">
        <v>0</v>
      </c>
      <c r="Q42" s="4">
        <v>0</v>
      </c>
      <c r="R42" s="5">
        <v>40.380000000000003</v>
      </c>
      <c r="S42" s="5">
        <v>36.75</v>
      </c>
      <c r="T42" s="5">
        <v>0</v>
      </c>
      <c r="U42" s="5">
        <v>0</v>
      </c>
      <c r="V42" s="5">
        <v>-8923.98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8489.9500000000007</v>
      </c>
      <c r="AD42" s="6">
        <v>0</v>
      </c>
      <c r="AE42" s="5">
        <v>0</v>
      </c>
      <c r="AF42" s="5">
        <v>0</v>
      </c>
      <c r="AG42" s="5">
        <v>8489.9500000000007</v>
      </c>
      <c r="AH42" s="5">
        <v>-8122.42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367.53</v>
      </c>
      <c r="AP42" s="5">
        <v>0</v>
      </c>
      <c r="AQ42" s="5">
        <v>0</v>
      </c>
      <c r="AR42" s="5">
        <v>0</v>
      </c>
      <c r="AS42" s="5">
        <v>801.56</v>
      </c>
      <c r="AT42" s="5">
        <v>0</v>
      </c>
    </row>
    <row r="43" spans="1:46" x14ac:dyDescent="0.2">
      <c r="A43" s="1" t="s">
        <v>129</v>
      </c>
      <c r="B43" s="1" t="s">
        <v>130</v>
      </c>
      <c r="C43" s="1" t="s">
        <v>48</v>
      </c>
      <c r="D43" s="3">
        <v>4</v>
      </c>
      <c r="E43" s="3">
        <v>8</v>
      </c>
      <c r="F43" s="3">
        <v>0</v>
      </c>
      <c r="G43" s="3">
        <v>12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12</v>
      </c>
      <c r="P43" s="3">
        <v>0</v>
      </c>
      <c r="Q43" s="4">
        <v>30.708749999999998</v>
      </c>
      <c r="R43" s="5">
        <v>30.77</v>
      </c>
      <c r="S43" s="5">
        <v>29.54</v>
      </c>
      <c r="T43" s="5">
        <v>246.16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108.84</v>
      </c>
      <c r="AD43" s="6">
        <v>0</v>
      </c>
      <c r="AE43" s="5">
        <v>245.67</v>
      </c>
      <c r="AF43" s="5">
        <v>0</v>
      </c>
      <c r="AG43" s="5">
        <v>354.51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354.51</v>
      </c>
      <c r="AP43" s="5">
        <v>0</v>
      </c>
      <c r="AQ43" s="5">
        <v>0</v>
      </c>
      <c r="AR43" s="5">
        <v>-0.49</v>
      </c>
      <c r="AS43" s="5">
        <v>0</v>
      </c>
      <c r="AT43" s="5">
        <v>0</v>
      </c>
    </row>
    <row r="44" spans="1:46" x14ac:dyDescent="0.2">
      <c r="A44" s="1" t="s">
        <v>131</v>
      </c>
      <c r="B44" s="1" t="s">
        <v>132</v>
      </c>
      <c r="C44" s="1" t="s">
        <v>48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4">
        <v>0</v>
      </c>
      <c r="R44" s="5">
        <v>43.31</v>
      </c>
      <c r="S44" s="5">
        <v>82.69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6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</row>
    <row r="45" spans="1:46" x14ac:dyDescent="0.2">
      <c r="A45" s="1" t="s">
        <v>133</v>
      </c>
      <c r="B45" s="1" t="s">
        <v>134</v>
      </c>
      <c r="C45" s="1" t="s">
        <v>48</v>
      </c>
      <c r="D45" s="3">
        <v>5</v>
      </c>
      <c r="E45" s="3">
        <v>0</v>
      </c>
      <c r="F45" s="3">
        <v>0</v>
      </c>
      <c r="G45" s="3">
        <v>5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5</v>
      </c>
      <c r="P45" s="3">
        <v>0</v>
      </c>
      <c r="Q45" s="4">
        <v>0</v>
      </c>
      <c r="R45" s="5">
        <v>28.54</v>
      </c>
      <c r="S45" s="5">
        <v>32.19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160.96</v>
      </c>
      <c r="AD45" s="6">
        <v>0</v>
      </c>
      <c r="AE45" s="5">
        <v>0</v>
      </c>
      <c r="AF45" s="5">
        <v>0</v>
      </c>
      <c r="AG45" s="5">
        <v>160.96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160.96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</row>
    <row r="46" spans="1:46" x14ac:dyDescent="0.2">
      <c r="A46" s="1" t="s">
        <v>135</v>
      </c>
      <c r="B46" s="1" t="s">
        <v>136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4">
        <v>0</v>
      </c>
      <c r="R46" s="5">
        <v>34.58</v>
      </c>
      <c r="S46" s="5">
        <v>36.61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6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</row>
    <row r="47" spans="1:46" x14ac:dyDescent="0.2">
      <c r="A47" s="1" t="s">
        <v>137</v>
      </c>
      <c r="B47" s="1" t="s">
        <v>138</v>
      </c>
      <c r="C47" s="1" t="s">
        <v>48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4">
        <v>0</v>
      </c>
      <c r="R47" s="5">
        <v>46.33</v>
      </c>
      <c r="S47" s="5">
        <v>41.15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6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</row>
    <row r="48" spans="1:46" x14ac:dyDescent="0.2">
      <c r="A48" s="1" t="s">
        <v>139</v>
      </c>
      <c r="B48" s="1" t="s">
        <v>140</v>
      </c>
      <c r="C48" s="1" t="s">
        <v>48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4">
        <v>0</v>
      </c>
      <c r="R48" s="5">
        <v>36.46</v>
      </c>
      <c r="S48" s="5">
        <v>58.89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6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</row>
    <row r="49" spans="1:46" x14ac:dyDescent="0.2">
      <c r="A49" s="1" t="s">
        <v>141</v>
      </c>
      <c r="B49" s="1" t="s">
        <v>142</v>
      </c>
      <c r="C49" s="1" t="s">
        <v>48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4">
        <v>0</v>
      </c>
      <c r="R49" s="5">
        <v>83.34</v>
      </c>
      <c r="S49" s="5">
        <v>65.27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6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</row>
    <row r="50" spans="1:46" x14ac:dyDescent="0.2">
      <c r="A50" s="1" t="s">
        <v>143</v>
      </c>
      <c r="B50" s="1" t="s">
        <v>144</v>
      </c>
      <c r="C50" s="1" t="s">
        <v>48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4">
        <v>0</v>
      </c>
      <c r="R50" s="5">
        <v>59.23</v>
      </c>
      <c r="S50" s="5">
        <v>45.49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6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</row>
    <row r="51" spans="1:46" x14ac:dyDescent="0.2">
      <c r="A51" s="1" t="s">
        <v>145</v>
      </c>
      <c r="B51" s="1" t="s">
        <v>146</v>
      </c>
      <c r="C51" s="1" t="s">
        <v>48</v>
      </c>
      <c r="D51" s="3">
        <v>4</v>
      </c>
      <c r="E51" s="3">
        <v>-1</v>
      </c>
      <c r="F51" s="3">
        <v>0</v>
      </c>
      <c r="G51" s="3">
        <v>3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3</v>
      </c>
      <c r="P51" s="3">
        <v>0</v>
      </c>
      <c r="Q51" s="4">
        <v>36.04</v>
      </c>
      <c r="R51" s="5">
        <v>37.369999999999997</v>
      </c>
      <c r="S51" s="5">
        <v>36.03</v>
      </c>
      <c r="T51" s="5">
        <v>-37.369999999999997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144.13999999999999</v>
      </c>
      <c r="AD51" s="6">
        <v>0</v>
      </c>
      <c r="AE51" s="5">
        <v>-36.04</v>
      </c>
      <c r="AF51" s="5">
        <v>0</v>
      </c>
      <c r="AG51" s="5">
        <v>108.1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108.1</v>
      </c>
      <c r="AP51" s="5">
        <v>0</v>
      </c>
      <c r="AQ51" s="5">
        <v>0</v>
      </c>
      <c r="AR51" s="5">
        <v>1.33</v>
      </c>
      <c r="AS51" s="5">
        <v>0</v>
      </c>
      <c r="AT51" s="5">
        <v>0</v>
      </c>
    </row>
    <row r="52" spans="1:46" x14ac:dyDescent="0.2">
      <c r="A52" s="1" t="s">
        <v>147</v>
      </c>
      <c r="B52" s="1" t="s">
        <v>148</v>
      </c>
      <c r="C52" s="1" t="s">
        <v>48</v>
      </c>
      <c r="D52" s="3">
        <v>20</v>
      </c>
      <c r="E52" s="3">
        <v>92</v>
      </c>
      <c r="F52" s="3">
        <v>0</v>
      </c>
      <c r="G52" s="3">
        <v>112</v>
      </c>
      <c r="H52" s="3">
        <v>-38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74</v>
      </c>
      <c r="P52" s="3">
        <v>20</v>
      </c>
      <c r="Q52" s="4">
        <v>33.352826</v>
      </c>
      <c r="R52" s="5">
        <v>33.61</v>
      </c>
      <c r="S52" s="5">
        <v>32.729999999999997</v>
      </c>
      <c r="T52" s="5">
        <v>3092.12</v>
      </c>
      <c r="U52" s="5">
        <v>0</v>
      </c>
      <c r="V52" s="5">
        <v>-1277.18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597.37</v>
      </c>
      <c r="AD52" s="6">
        <v>0</v>
      </c>
      <c r="AE52" s="5">
        <v>3068.46</v>
      </c>
      <c r="AF52" s="5">
        <v>0</v>
      </c>
      <c r="AG52" s="5">
        <v>3665.83</v>
      </c>
      <c r="AH52" s="5">
        <v>-1243.76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2422.06</v>
      </c>
      <c r="AP52" s="5">
        <v>0</v>
      </c>
      <c r="AQ52" s="5">
        <v>654.61</v>
      </c>
      <c r="AR52" s="5">
        <v>-23.66</v>
      </c>
      <c r="AS52" s="5">
        <v>33.42</v>
      </c>
      <c r="AT52" s="5">
        <v>0</v>
      </c>
    </row>
    <row r="53" spans="1:46" x14ac:dyDescent="0.2">
      <c r="A53" s="1" t="s">
        <v>149</v>
      </c>
      <c r="B53" s="1" t="s">
        <v>150</v>
      </c>
      <c r="C53" s="1" t="s">
        <v>48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4">
        <v>0</v>
      </c>
      <c r="R53" s="5">
        <v>48.85</v>
      </c>
      <c r="S53" s="5">
        <v>53.22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6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</row>
    <row r="54" spans="1:46" x14ac:dyDescent="0.2">
      <c r="A54" s="1" t="s">
        <v>151</v>
      </c>
      <c r="B54" s="1" t="s">
        <v>152</v>
      </c>
      <c r="C54" s="1" t="s">
        <v>48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4">
        <v>0</v>
      </c>
      <c r="R54" s="5">
        <v>56.68</v>
      </c>
      <c r="S54" s="5">
        <v>44.38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6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</row>
    <row r="55" spans="1:46" x14ac:dyDescent="0.2">
      <c r="A55" s="1" t="s">
        <v>153</v>
      </c>
      <c r="B55" s="1" t="s">
        <v>154</v>
      </c>
      <c r="C55" s="1" t="s">
        <v>48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4">
        <v>0</v>
      </c>
      <c r="R55" s="5">
        <v>48.21</v>
      </c>
      <c r="S55" s="5">
        <v>45.76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6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</row>
    <row r="56" spans="1:46" x14ac:dyDescent="0.2">
      <c r="A56" s="1" t="s">
        <v>155</v>
      </c>
      <c r="B56" s="1" t="s">
        <v>156</v>
      </c>
      <c r="C56" s="1" t="s">
        <v>48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4">
        <v>0</v>
      </c>
      <c r="R56" s="5">
        <v>55.47</v>
      </c>
      <c r="S56" s="5">
        <v>46.96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6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</row>
    <row r="57" spans="1:46" x14ac:dyDescent="0.2">
      <c r="A57" s="1" t="s">
        <v>157</v>
      </c>
      <c r="B57" s="1" t="s">
        <v>158</v>
      </c>
      <c r="C57" s="1" t="s">
        <v>48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4">
        <v>0</v>
      </c>
      <c r="R57" s="5">
        <v>58.76</v>
      </c>
      <c r="S57" s="5">
        <v>50.04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6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</row>
    <row r="58" spans="1:46" x14ac:dyDescent="0.2">
      <c r="A58" s="1" t="s">
        <v>159</v>
      </c>
      <c r="B58" s="1" t="s">
        <v>160</v>
      </c>
      <c r="C58" s="1" t="s">
        <v>48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4">
        <v>0</v>
      </c>
      <c r="R58" s="5">
        <v>50.17</v>
      </c>
      <c r="S58" s="5">
        <v>47.39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6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</row>
    <row r="59" spans="1:46" x14ac:dyDescent="0.2">
      <c r="A59" s="1" t="s">
        <v>161</v>
      </c>
      <c r="B59" s="1" t="s">
        <v>162</v>
      </c>
      <c r="C59" s="1" t="s">
        <v>48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4">
        <v>0</v>
      </c>
      <c r="R59" s="5">
        <v>55.59</v>
      </c>
      <c r="S59" s="5">
        <v>42.06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6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</row>
    <row r="60" spans="1:46" x14ac:dyDescent="0.2">
      <c r="A60" s="1" t="s">
        <v>163</v>
      </c>
      <c r="B60" s="1" t="s">
        <v>164</v>
      </c>
      <c r="C60" s="1" t="s">
        <v>48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4">
        <v>0</v>
      </c>
      <c r="R60" s="5">
        <v>49.87</v>
      </c>
      <c r="S60" s="5">
        <v>46.94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6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</row>
    <row r="61" spans="1:46" x14ac:dyDescent="0.2">
      <c r="A61" s="1" t="s">
        <v>165</v>
      </c>
      <c r="B61" s="1" t="s">
        <v>166</v>
      </c>
      <c r="C61" s="1" t="s">
        <v>48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4">
        <v>0</v>
      </c>
      <c r="R61" s="5">
        <v>63.17</v>
      </c>
      <c r="S61" s="5">
        <v>65.42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6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</row>
    <row r="62" spans="1:46" x14ac:dyDescent="0.2">
      <c r="A62" s="1" t="s">
        <v>167</v>
      </c>
      <c r="B62" s="1" t="s">
        <v>168</v>
      </c>
      <c r="C62" s="1" t="s">
        <v>48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4">
        <v>0</v>
      </c>
      <c r="R62" s="5">
        <v>35.520000000000003</v>
      </c>
      <c r="S62" s="5">
        <v>33.57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6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</row>
    <row r="63" spans="1:46" x14ac:dyDescent="0.2">
      <c r="A63" s="1" t="s">
        <v>169</v>
      </c>
      <c r="B63" s="1" t="s">
        <v>170</v>
      </c>
      <c r="C63" s="1" t="s">
        <v>48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4">
        <v>0</v>
      </c>
      <c r="R63" s="5">
        <v>34.799999999999997</v>
      </c>
      <c r="S63" s="5">
        <v>36.15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6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</row>
    <row r="64" spans="1:46" x14ac:dyDescent="0.2">
      <c r="A64" s="1" t="s">
        <v>171</v>
      </c>
      <c r="B64" s="1" t="s">
        <v>172</v>
      </c>
      <c r="C64" s="1" t="s">
        <v>48</v>
      </c>
      <c r="D64" s="3">
        <v>1905</v>
      </c>
      <c r="E64" s="3">
        <v>530</v>
      </c>
      <c r="F64" s="3">
        <v>0</v>
      </c>
      <c r="G64" s="3">
        <v>2435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2435</v>
      </c>
      <c r="P64" s="3">
        <v>0</v>
      </c>
      <c r="Q64" s="4">
        <v>30.550339999999998</v>
      </c>
      <c r="R64" s="5">
        <v>30.96</v>
      </c>
      <c r="S64" s="5">
        <v>29.93</v>
      </c>
      <c r="T64" s="5">
        <v>16408.8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56680.47</v>
      </c>
      <c r="AD64" s="6">
        <v>0</v>
      </c>
      <c r="AE64" s="5">
        <v>16191.68</v>
      </c>
      <c r="AF64" s="5">
        <v>0</v>
      </c>
      <c r="AG64" s="5">
        <v>72872.149999999994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72872.149999999994</v>
      </c>
      <c r="AP64" s="5">
        <v>0</v>
      </c>
      <c r="AQ64" s="5">
        <v>0</v>
      </c>
      <c r="AR64" s="5">
        <v>-217.12</v>
      </c>
      <c r="AS64" s="5">
        <v>0</v>
      </c>
      <c r="AT64" s="5">
        <v>0</v>
      </c>
    </row>
    <row r="65" spans="1:46" x14ac:dyDescent="0.2">
      <c r="A65" s="1" t="s">
        <v>173</v>
      </c>
      <c r="B65" s="1" t="s">
        <v>174</v>
      </c>
      <c r="C65" s="1" t="s">
        <v>48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4">
        <v>0</v>
      </c>
      <c r="R65" s="5">
        <v>24.92</v>
      </c>
      <c r="S65" s="5">
        <v>31.18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6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</row>
    <row r="66" spans="1:46" x14ac:dyDescent="0.2">
      <c r="A66" s="1" t="s">
        <v>175</v>
      </c>
      <c r="B66" s="1" t="s">
        <v>176</v>
      </c>
      <c r="C66" s="1" t="s">
        <v>48</v>
      </c>
      <c r="D66" s="3">
        <v>8</v>
      </c>
      <c r="E66" s="3">
        <v>5</v>
      </c>
      <c r="F66" s="3">
        <v>0</v>
      </c>
      <c r="G66" s="3">
        <v>13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13</v>
      </c>
      <c r="P66" s="3">
        <v>0</v>
      </c>
      <c r="Q66" s="4">
        <v>31.045999999999999</v>
      </c>
      <c r="R66" s="5">
        <v>31.17</v>
      </c>
      <c r="S66" s="5">
        <v>29.13</v>
      </c>
      <c r="T66" s="5">
        <v>155.85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223.44</v>
      </c>
      <c r="AD66" s="6">
        <v>0</v>
      </c>
      <c r="AE66" s="5">
        <v>155.22999999999999</v>
      </c>
      <c r="AF66" s="5">
        <v>0</v>
      </c>
      <c r="AG66" s="5">
        <v>378.67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378.67</v>
      </c>
      <c r="AP66" s="5">
        <v>0</v>
      </c>
      <c r="AQ66" s="5">
        <v>0</v>
      </c>
      <c r="AR66" s="5">
        <v>-0.62</v>
      </c>
      <c r="AS66" s="5">
        <v>0</v>
      </c>
      <c r="AT66" s="5">
        <v>0</v>
      </c>
    </row>
    <row r="67" spans="1:46" x14ac:dyDescent="0.2">
      <c r="A67" s="1" t="s">
        <v>177</v>
      </c>
      <c r="B67" s="1" t="s">
        <v>178</v>
      </c>
      <c r="C67" s="1" t="s">
        <v>48</v>
      </c>
      <c r="D67" s="3">
        <v>32</v>
      </c>
      <c r="E67" s="3">
        <v>785</v>
      </c>
      <c r="F67" s="3">
        <v>0</v>
      </c>
      <c r="G67" s="3">
        <v>817</v>
      </c>
      <c r="H67" s="3">
        <v>-380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437</v>
      </c>
      <c r="P67" s="3">
        <v>0</v>
      </c>
      <c r="Q67" s="4">
        <v>33.611465000000003</v>
      </c>
      <c r="R67" s="5">
        <v>34.17</v>
      </c>
      <c r="S67" s="5">
        <v>33.450000000000003</v>
      </c>
      <c r="T67" s="5">
        <v>26823.45</v>
      </c>
      <c r="U67" s="5">
        <v>0</v>
      </c>
      <c r="V67" s="5">
        <v>-12984.6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943.65</v>
      </c>
      <c r="AD67" s="6">
        <v>0</v>
      </c>
      <c r="AE67" s="5">
        <v>26385</v>
      </c>
      <c r="AF67" s="5">
        <v>0</v>
      </c>
      <c r="AG67" s="5">
        <v>27328.65</v>
      </c>
      <c r="AH67" s="5">
        <v>-12711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14617.65</v>
      </c>
      <c r="AP67" s="5">
        <v>0</v>
      </c>
      <c r="AQ67" s="5">
        <v>0</v>
      </c>
      <c r="AR67" s="5">
        <v>-438.45</v>
      </c>
      <c r="AS67" s="5">
        <v>273.60000000000002</v>
      </c>
      <c r="AT67" s="5">
        <v>0</v>
      </c>
    </row>
    <row r="68" spans="1:46" x14ac:dyDescent="0.2">
      <c r="A68" s="1" t="s">
        <v>179</v>
      </c>
      <c r="B68" s="1" t="s">
        <v>180</v>
      </c>
      <c r="C68" s="1" t="s">
        <v>48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4">
        <v>0</v>
      </c>
      <c r="R68" s="5">
        <v>42.11</v>
      </c>
      <c r="S68" s="5">
        <v>50.2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6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</row>
    <row r="69" spans="1:46" x14ac:dyDescent="0.2">
      <c r="A69" s="1" t="s">
        <v>181</v>
      </c>
      <c r="B69" s="1" t="s">
        <v>182</v>
      </c>
      <c r="C69" s="1" t="s">
        <v>48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4">
        <v>0</v>
      </c>
      <c r="R69" s="5">
        <v>32.08</v>
      </c>
      <c r="S69" s="5">
        <v>52.65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6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</row>
    <row r="70" spans="1:46" x14ac:dyDescent="0.2">
      <c r="A70" s="1" t="s">
        <v>183</v>
      </c>
      <c r="B70" s="1" t="s">
        <v>184</v>
      </c>
      <c r="C70" s="1" t="s">
        <v>48</v>
      </c>
      <c r="D70" s="3">
        <v>61</v>
      </c>
      <c r="E70" s="3">
        <v>0</v>
      </c>
      <c r="F70" s="3">
        <v>0</v>
      </c>
      <c r="G70" s="3">
        <v>61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61</v>
      </c>
      <c r="P70" s="3">
        <v>0</v>
      </c>
      <c r="Q70" s="4">
        <v>0</v>
      </c>
      <c r="R70" s="5">
        <v>21.38</v>
      </c>
      <c r="S70" s="5">
        <v>21.63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1319.35</v>
      </c>
      <c r="AD70" s="6">
        <v>0</v>
      </c>
      <c r="AE70" s="5">
        <v>0</v>
      </c>
      <c r="AF70" s="5">
        <v>0</v>
      </c>
      <c r="AG70" s="5">
        <v>1319.35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1319.35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</row>
    <row r="71" spans="1:46" x14ac:dyDescent="0.2">
      <c r="A71" s="1" t="s">
        <v>185</v>
      </c>
      <c r="B71" s="1" t="s">
        <v>186</v>
      </c>
      <c r="C71" s="1" t="s">
        <v>48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4">
        <v>0</v>
      </c>
      <c r="R71" s="5">
        <v>43.32</v>
      </c>
      <c r="S71" s="5">
        <v>41.46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6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</row>
    <row r="72" spans="1:46" x14ac:dyDescent="0.2">
      <c r="A72" s="1" t="s">
        <v>187</v>
      </c>
      <c r="B72" s="1" t="s">
        <v>188</v>
      </c>
      <c r="C72" s="1" t="s">
        <v>48</v>
      </c>
      <c r="D72" s="3">
        <v>49</v>
      </c>
      <c r="E72" s="3">
        <v>0</v>
      </c>
      <c r="F72" s="3">
        <v>0</v>
      </c>
      <c r="G72" s="3">
        <v>49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49</v>
      </c>
      <c r="P72" s="3">
        <v>0</v>
      </c>
      <c r="Q72" s="4">
        <v>0</v>
      </c>
      <c r="R72" s="5">
        <v>24.62</v>
      </c>
      <c r="S72" s="5">
        <v>23.81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1166.49</v>
      </c>
      <c r="AD72" s="6">
        <v>0</v>
      </c>
      <c r="AE72" s="5">
        <v>0</v>
      </c>
      <c r="AF72" s="5">
        <v>0</v>
      </c>
      <c r="AG72" s="5">
        <v>1166.49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1166.49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</row>
    <row r="73" spans="1:46" x14ac:dyDescent="0.2">
      <c r="A73" s="1" t="s">
        <v>189</v>
      </c>
      <c r="B73" s="1" t="s">
        <v>190</v>
      </c>
      <c r="C73" s="1" t="s">
        <v>48</v>
      </c>
      <c r="D73" s="3">
        <v>3</v>
      </c>
      <c r="E73" s="3">
        <v>0</v>
      </c>
      <c r="F73" s="3">
        <v>0</v>
      </c>
      <c r="G73" s="3">
        <v>3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3</v>
      </c>
      <c r="P73" s="3">
        <v>0</v>
      </c>
      <c r="Q73" s="4">
        <v>0</v>
      </c>
      <c r="R73" s="5">
        <v>31.01</v>
      </c>
      <c r="S73" s="5">
        <v>30.27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90.82</v>
      </c>
      <c r="AD73" s="6">
        <v>0</v>
      </c>
      <c r="AE73" s="5">
        <v>0</v>
      </c>
      <c r="AF73" s="5">
        <v>0</v>
      </c>
      <c r="AG73" s="5">
        <v>90.82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90.82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</row>
    <row r="74" spans="1:46" x14ac:dyDescent="0.2">
      <c r="A74" s="1" t="s">
        <v>191</v>
      </c>
      <c r="B74" s="1" t="s">
        <v>192</v>
      </c>
      <c r="C74" s="1" t="s">
        <v>48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4">
        <v>0</v>
      </c>
      <c r="R74" s="5">
        <v>40.11</v>
      </c>
      <c r="S74" s="5">
        <v>38.549999999999997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6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</row>
    <row r="75" spans="1:46" x14ac:dyDescent="0.2">
      <c r="A75" s="1" t="s">
        <v>193</v>
      </c>
      <c r="B75" s="1" t="s">
        <v>194</v>
      </c>
      <c r="C75" s="1" t="s">
        <v>48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4">
        <v>0</v>
      </c>
      <c r="R75" s="5">
        <v>42.11</v>
      </c>
      <c r="S75" s="5">
        <v>82.67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6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</row>
    <row r="76" spans="1:46" x14ac:dyDescent="0.2">
      <c r="A76" s="1" t="s">
        <v>195</v>
      </c>
      <c r="B76" s="1" t="s">
        <v>196</v>
      </c>
      <c r="C76" s="1" t="s">
        <v>48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4">
        <v>0</v>
      </c>
      <c r="R76" s="5">
        <v>43.32</v>
      </c>
      <c r="S76" s="5">
        <v>82.8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6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</row>
    <row r="77" spans="1:46" x14ac:dyDescent="0.2">
      <c r="A77" s="1" t="s">
        <v>197</v>
      </c>
      <c r="B77" s="1" t="s">
        <v>198</v>
      </c>
      <c r="C77" s="1" t="s">
        <v>48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4">
        <v>0</v>
      </c>
      <c r="R77" s="5">
        <v>24.12</v>
      </c>
      <c r="S77" s="5">
        <v>38.049999999999997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6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</row>
    <row r="78" spans="1:46" x14ac:dyDescent="0.2">
      <c r="A78" s="1" t="s">
        <v>199</v>
      </c>
      <c r="B78" s="1" t="s">
        <v>200</v>
      </c>
      <c r="C78" s="1" t="s">
        <v>48</v>
      </c>
      <c r="D78" s="3">
        <v>56</v>
      </c>
      <c r="E78" s="3">
        <v>556</v>
      </c>
      <c r="F78" s="3">
        <v>0</v>
      </c>
      <c r="G78" s="3">
        <v>612</v>
      </c>
      <c r="H78" s="3">
        <v>-296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316</v>
      </c>
      <c r="P78" s="3">
        <v>0</v>
      </c>
      <c r="Q78" s="4">
        <v>41.248255</v>
      </c>
      <c r="R78" s="5">
        <v>41.99</v>
      </c>
      <c r="S78" s="5">
        <v>40.81</v>
      </c>
      <c r="T78" s="5">
        <v>23346.44</v>
      </c>
      <c r="U78" s="5">
        <v>0</v>
      </c>
      <c r="V78" s="5">
        <v>-12429.04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2041.94</v>
      </c>
      <c r="AD78" s="6">
        <v>0</v>
      </c>
      <c r="AE78" s="5">
        <v>22934.03</v>
      </c>
      <c r="AF78" s="5">
        <v>0</v>
      </c>
      <c r="AG78" s="5">
        <v>24975.97</v>
      </c>
      <c r="AH78" s="5">
        <v>-12079.88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12896.09</v>
      </c>
      <c r="AP78" s="5">
        <v>0</v>
      </c>
      <c r="AQ78" s="5">
        <v>0</v>
      </c>
      <c r="AR78" s="5">
        <v>-412.41</v>
      </c>
      <c r="AS78" s="5">
        <v>349.16</v>
      </c>
      <c r="AT78" s="5">
        <v>0</v>
      </c>
    </row>
    <row r="79" spans="1:46" x14ac:dyDescent="0.2">
      <c r="A79" s="1" t="s">
        <v>201</v>
      </c>
      <c r="B79" s="1" t="s">
        <v>202</v>
      </c>
      <c r="C79" s="1" t="s">
        <v>48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4">
        <v>0</v>
      </c>
      <c r="R79" s="5">
        <v>42.11</v>
      </c>
      <c r="S79" s="5">
        <v>70.819999999999993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6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</row>
    <row r="80" spans="1:46" x14ac:dyDescent="0.2">
      <c r="A80" s="1" t="s">
        <v>203</v>
      </c>
      <c r="B80" s="1" t="s">
        <v>204</v>
      </c>
      <c r="C80" s="1" t="s">
        <v>48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4">
        <v>0</v>
      </c>
      <c r="R80" s="5">
        <v>51.16</v>
      </c>
      <c r="S80" s="5">
        <v>46.6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6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</row>
    <row r="81" spans="1:46" x14ac:dyDescent="0.2">
      <c r="A81" s="1" t="s">
        <v>205</v>
      </c>
      <c r="B81" s="1" t="s">
        <v>206</v>
      </c>
      <c r="C81" s="1" t="s">
        <v>48</v>
      </c>
      <c r="D81" s="3">
        <v>1</v>
      </c>
      <c r="E81" s="3">
        <v>0</v>
      </c>
      <c r="F81" s="3">
        <v>0</v>
      </c>
      <c r="G81" s="3">
        <v>1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1</v>
      </c>
      <c r="P81" s="3">
        <v>0</v>
      </c>
      <c r="Q81" s="4">
        <v>0</v>
      </c>
      <c r="R81" s="5">
        <v>36.03</v>
      </c>
      <c r="S81" s="5">
        <v>32.380000000000003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32.380000000000003</v>
      </c>
      <c r="AD81" s="6">
        <v>0</v>
      </c>
      <c r="AE81" s="5">
        <v>0</v>
      </c>
      <c r="AF81" s="5">
        <v>0</v>
      </c>
      <c r="AG81" s="5">
        <v>32.380000000000003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32.380000000000003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</row>
    <row r="82" spans="1:46" x14ac:dyDescent="0.2">
      <c r="A82" s="1" t="s">
        <v>207</v>
      </c>
      <c r="B82" s="1" t="s">
        <v>208</v>
      </c>
      <c r="C82" s="1" t="s">
        <v>48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4">
        <v>0</v>
      </c>
      <c r="R82" s="5">
        <v>43.32</v>
      </c>
      <c r="S82" s="5">
        <v>45.12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6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</row>
    <row r="83" spans="1:46" x14ac:dyDescent="0.2">
      <c r="A83" s="1" t="s">
        <v>209</v>
      </c>
      <c r="B83" s="1" t="s">
        <v>210</v>
      </c>
      <c r="C83" s="1" t="s">
        <v>48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4">
        <v>0</v>
      </c>
      <c r="R83" s="5">
        <v>25.79</v>
      </c>
      <c r="S83" s="5">
        <v>39.94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6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</row>
    <row r="84" spans="1:46" x14ac:dyDescent="0.2">
      <c r="A84" s="1" t="s">
        <v>211</v>
      </c>
      <c r="B84" s="1" t="s">
        <v>212</v>
      </c>
      <c r="C84" s="1" t="s">
        <v>48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4">
        <v>0</v>
      </c>
      <c r="R84" s="5">
        <v>32.270000000000003</v>
      </c>
      <c r="S84" s="5">
        <v>39.85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6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</row>
    <row r="85" spans="1:46" x14ac:dyDescent="0.2">
      <c r="A85" s="1" t="s">
        <v>213</v>
      </c>
      <c r="B85" s="1" t="s">
        <v>214</v>
      </c>
      <c r="C85" s="1" t="s">
        <v>48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4">
        <v>0</v>
      </c>
      <c r="R85" s="5">
        <v>36.25</v>
      </c>
      <c r="S85" s="5">
        <v>39.700000000000003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6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</row>
    <row r="86" spans="1:46" x14ac:dyDescent="0.2">
      <c r="A86" s="1" t="s">
        <v>215</v>
      </c>
      <c r="B86" s="1" t="s">
        <v>216</v>
      </c>
      <c r="C86" s="1" t="s">
        <v>48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4">
        <v>0</v>
      </c>
      <c r="R86" s="5">
        <v>42.52</v>
      </c>
      <c r="S86" s="5">
        <v>74.069999999999993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6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</row>
    <row r="87" spans="1:46" x14ac:dyDescent="0.2">
      <c r="A87" s="1" t="s">
        <v>217</v>
      </c>
      <c r="B87" s="1" t="s">
        <v>218</v>
      </c>
      <c r="C87" s="1" t="s">
        <v>48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4">
        <v>0</v>
      </c>
      <c r="R87" s="5">
        <v>61.82</v>
      </c>
      <c r="S87" s="5">
        <v>49.48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6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</row>
    <row r="88" spans="1:46" x14ac:dyDescent="0.2">
      <c r="A88" s="1" t="s">
        <v>219</v>
      </c>
      <c r="B88" s="1" t="s">
        <v>220</v>
      </c>
      <c r="C88" s="1" t="s">
        <v>48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4">
        <v>0</v>
      </c>
      <c r="R88" s="5">
        <v>57.12</v>
      </c>
      <c r="S88" s="5">
        <v>49.64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6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</row>
    <row r="89" spans="1:46" x14ac:dyDescent="0.2">
      <c r="A89" s="1" t="s">
        <v>221</v>
      </c>
      <c r="B89" s="1" t="s">
        <v>222</v>
      </c>
      <c r="C89" s="1" t="s">
        <v>48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4">
        <v>0</v>
      </c>
      <c r="R89" s="5">
        <v>63.12</v>
      </c>
      <c r="S89" s="5">
        <v>49.78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6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</row>
    <row r="90" spans="1:46" x14ac:dyDescent="0.2">
      <c r="A90" s="1" t="s">
        <v>223</v>
      </c>
      <c r="B90" s="1" t="s">
        <v>224</v>
      </c>
      <c r="C90" s="1" t="s">
        <v>48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4">
        <v>0</v>
      </c>
      <c r="R90" s="5">
        <v>57.27</v>
      </c>
      <c r="S90" s="5">
        <v>50.95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6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</row>
    <row r="91" spans="1:46" x14ac:dyDescent="0.2">
      <c r="A91" s="1" t="s">
        <v>225</v>
      </c>
      <c r="B91" s="1" t="s">
        <v>226</v>
      </c>
      <c r="C91" s="1" t="s">
        <v>48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4">
        <v>0</v>
      </c>
      <c r="R91" s="5">
        <v>43.31</v>
      </c>
      <c r="S91" s="5">
        <v>88.32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6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</row>
    <row r="92" spans="1:46" x14ac:dyDescent="0.2">
      <c r="A92" s="1" t="s">
        <v>227</v>
      </c>
      <c r="B92" s="1" t="s">
        <v>228</v>
      </c>
      <c r="C92" s="1" t="s">
        <v>48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4">
        <v>0</v>
      </c>
      <c r="R92" s="5">
        <v>39.26</v>
      </c>
      <c r="S92" s="5">
        <v>40.700000000000003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6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</row>
    <row r="93" spans="1:46" x14ac:dyDescent="0.2">
      <c r="A93" s="1" t="s">
        <v>229</v>
      </c>
      <c r="B93" s="1" t="s">
        <v>230</v>
      </c>
      <c r="C93" s="1" t="s">
        <v>48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4">
        <v>0</v>
      </c>
      <c r="R93" s="5">
        <v>30.76</v>
      </c>
      <c r="S93" s="5">
        <v>30.96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6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</row>
    <row r="94" spans="1:46" x14ac:dyDescent="0.2">
      <c r="A94" s="1" t="s">
        <v>231</v>
      </c>
      <c r="B94" s="1" t="s">
        <v>232</v>
      </c>
      <c r="C94" s="1" t="s">
        <v>48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4">
        <v>0</v>
      </c>
      <c r="R94" s="5">
        <v>30.48</v>
      </c>
      <c r="S94" s="5">
        <v>29.81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6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</row>
    <row r="95" spans="1:46" x14ac:dyDescent="0.2">
      <c r="A95" s="1" t="s">
        <v>233</v>
      </c>
      <c r="B95" s="1" t="s">
        <v>234</v>
      </c>
      <c r="C95" s="1" t="s">
        <v>48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4">
        <v>0</v>
      </c>
      <c r="R95" s="5">
        <v>39.26</v>
      </c>
      <c r="S95" s="5">
        <v>54.41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6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</row>
    <row r="96" spans="1:46" x14ac:dyDescent="0.2">
      <c r="A96" s="1" t="s">
        <v>235</v>
      </c>
      <c r="B96" s="1" t="s">
        <v>236</v>
      </c>
      <c r="C96" s="1" t="s">
        <v>48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4">
        <v>0</v>
      </c>
      <c r="R96" s="5">
        <v>47.17</v>
      </c>
      <c r="S96" s="5">
        <v>42.97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6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</row>
    <row r="97" spans="1:46" x14ac:dyDescent="0.2">
      <c r="A97" s="1" t="s">
        <v>237</v>
      </c>
      <c r="B97" s="1" t="s">
        <v>238</v>
      </c>
      <c r="C97" s="1" t="s">
        <v>48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4">
        <v>0</v>
      </c>
      <c r="R97" s="5">
        <v>54.59</v>
      </c>
      <c r="S97" s="5">
        <v>44.76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6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</row>
    <row r="98" spans="1:46" x14ac:dyDescent="0.2">
      <c r="A98" s="1" t="s">
        <v>239</v>
      </c>
      <c r="B98" s="1" t="s">
        <v>240</v>
      </c>
      <c r="C98" s="1" t="s">
        <v>48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4">
        <v>0</v>
      </c>
      <c r="R98" s="5">
        <v>40.42</v>
      </c>
      <c r="S98" s="5">
        <v>50.2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6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</row>
    <row r="99" spans="1:46" x14ac:dyDescent="0.2">
      <c r="A99" s="1" t="s">
        <v>241</v>
      </c>
      <c r="B99" s="1" t="s">
        <v>242</v>
      </c>
      <c r="C99" s="1" t="s">
        <v>48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4">
        <v>0</v>
      </c>
      <c r="R99" s="5">
        <v>39.119999999999997</v>
      </c>
      <c r="S99" s="5">
        <v>51.62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6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</row>
    <row r="100" spans="1:46" x14ac:dyDescent="0.2">
      <c r="A100" s="1" t="s">
        <v>243</v>
      </c>
      <c r="B100" s="1" t="s">
        <v>244</v>
      </c>
      <c r="C100" s="1" t="s">
        <v>48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4">
        <v>0</v>
      </c>
      <c r="R100" s="5">
        <v>49.75</v>
      </c>
      <c r="S100" s="5">
        <v>45.95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6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</row>
    <row r="101" spans="1:46" x14ac:dyDescent="0.2">
      <c r="A101" s="1" t="s">
        <v>245</v>
      </c>
      <c r="B101" s="1" t="s">
        <v>246</v>
      </c>
      <c r="C101" s="1" t="s">
        <v>48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4">
        <v>0</v>
      </c>
      <c r="R101" s="5">
        <v>29.81</v>
      </c>
      <c r="S101" s="5">
        <v>29.76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6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</row>
    <row r="102" spans="1:46" x14ac:dyDescent="0.2">
      <c r="A102" s="1" t="s">
        <v>247</v>
      </c>
      <c r="B102" s="1" t="s">
        <v>248</v>
      </c>
      <c r="C102" s="1" t="s">
        <v>48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4">
        <v>0</v>
      </c>
      <c r="R102" s="5">
        <v>31.16</v>
      </c>
      <c r="S102" s="5">
        <v>36.28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6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</row>
    <row r="103" spans="1:46" x14ac:dyDescent="0.2">
      <c r="A103" s="1" t="s">
        <v>249</v>
      </c>
      <c r="B103" s="1" t="s">
        <v>250</v>
      </c>
      <c r="C103" s="1" t="s">
        <v>48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4">
        <v>0</v>
      </c>
      <c r="R103" s="5">
        <v>37.96</v>
      </c>
      <c r="S103" s="5">
        <v>38.74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6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</row>
    <row r="104" spans="1:46" x14ac:dyDescent="0.2">
      <c r="A104" s="1" t="s">
        <v>251</v>
      </c>
      <c r="B104" s="1" t="s">
        <v>252</v>
      </c>
      <c r="C104" s="1" t="s">
        <v>48</v>
      </c>
      <c r="D104" s="3">
        <v>28</v>
      </c>
      <c r="E104" s="3">
        <v>0</v>
      </c>
      <c r="F104" s="3">
        <v>0</v>
      </c>
      <c r="G104" s="3">
        <v>28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28</v>
      </c>
      <c r="P104" s="3">
        <v>0</v>
      </c>
      <c r="Q104" s="4">
        <v>0</v>
      </c>
      <c r="R104" s="5">
        <v>36.020000000000003</v>
      </c>
      <c r="S104" s="5">
        <v>35.58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996.33</v>
      </c>
      <c r="AD104" s="6">
        <v>0</v>
      </c>
      <c r="AE104" s="5">
        <v>0</v>
      </c>
      <c r="AF104" s="5">
        <v>0</v>
      </c>
      <c r="AG104" s="5">
        <v>996.33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996.33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</row>
    <row r="105" spans="1:46" x14ac:dyDescent="0.2">
      <c r="A105" s="1" t="s">
        <v>253</v>
      </c>
      <c r="B105" s="1" t="s">
        <v>254</v>
      </c>
      <c r="C105" s="1" t="s">
        <v>48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4">
        <v>0</v>
      </c>
      <c r="R105" s="5">
        <v>43.31</v>
      </c>
      <c r="S105" s="5">
        <v>45.01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6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</row>
    <row r="106" spans="1:46" x14ac:dyDescent="0.2">
      <c r="A106" s="1" t="s">
        <v>255</v>
      </c>
      <c r="B106" s="1" t="s">
        <v>256</v>
      </c>
      <c r="C106" s="1" t="s">
        <v>48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4">
        <v>0</v>
      </c>
      <c r="R106" s="5">
        <v>42.11</v>
      </c>
      <c r="S106" s="5">
        <v>59.14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6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</row>
    <row r="107" spans="1:46" x14ac:dyDescent="0.2">
      <c r="A107" s="1" t="s">
        <v>257</v>
      </c>
      <c r="B107" s="1" t="s">
        <v>258</v>
      </c>
      <c r="C107" s="1" t="s">
        <v>48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4">
        <v>0</v>
      </c>
      <c r="R107" s="5">
        <v>32.74</v>
      </c>
      <c r="S107" s="5">
        <v>30.68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6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</row>
    <row r="108" spans="1:46" x14ac:dyDescent="0.2">
      <c r="A108" s="1" t="s">
        <v>259</v>
      </c>
      <c r="B108" s="1" t="s">
        <v>260</v>
      </c>
      <c r="C108" s="1" t="s">
        <v>48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4">
        <v>0</v>
      </c>
      <c r="R108" s="5">
        <v>25.86</v>
      </c>
      <c r="S108" s="5">
        <v>33.03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6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</row>
    <row r="109" spans="1:46" x14ac:dyDescent="0.2">
      <c r="A109" s="1" t="s">
        <v>261</v>
      </c>
      <c r="B109" s="1" t="s">
        <v>262</v>
      </c>
      <c r="C109" s="1" t="s">
        <v>48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4">
        <v>0</v>
      </c>
      <c r="R109" s="5">
        <v>33.200000000000003</v>
      </c>
      <c r="S109" s="5">
        <v>35.58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6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</row>
    <row r="110" spans="1:46" x14ac:dyDescent="0.2">
      <c r="A110" s="1" t="s">
        <v>263</v>
      </c>
      <c r="B110" s="1" t="s">
        <v>264</v>
      </c>
      <c r="C110" s="1" t="s">
        <v>48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4">
        <v>0</v>
      </c>
      <c r="R110" s="5">
        <v>32.94</v>
      </c>
      <c r="S110" s="5">
        <v>36.19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6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</row>
    <row r="111" spans="1:46" x14ac:dyDescent="0.2">
      <c r="A111" s="1" t="s">
        <v>265</v>
      </c>
      <c r="B111" s="1" t="s">
        <v>266</v>
      </c>
      <c r="C111" s="1" t="s">
        <v>48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4">
        <v>0</v>
      </c>
      <c r="R111" s="5">
        <v>31.07</v>
      </c>
      <c r="S111" s="5">
        <v>33.270000000000003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6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</row>
    <row r="112" spans="1:46" x14ac:dyDescent="0.2">
      <c r="A112" s="1" t="s">
        <v>267</v>
      </c>
      <c r="B112" s="1" t="s">
        <v>268</v>
      </c>
      <c r="C112" s="1" t="s">
        <v>48</v>
      </c>
      <c r="D112" s="3">
        <v>204</v>
      </c>
      <c r="E112" s="3">
        <v>0</v>
      </c>
      <c r="F112" s="3">
        <v>0</v>
      </c>
      <c r="G112" s="3">
        <v>204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204</v>
      </c>
      <c r="P112" s="3">
        <v>0</v>
      </c>
      <c r="Q112" s="4">
        <v>0</v>
      </c>
      <c r="R112" s="5">
        <v>34.479999999999997</v>
      </c>
      <c r="S112" s="5">
        <v>41.54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8473.3700000000008</v>
      </c>
      <c r="AD112" s="6">
        <v>0</v>
      </c>
      <c r="AE112" s="5">
        <v>0</v>
      </c>
      <c r="AF112" s="5">
        <v>0</v>
      </c>
      <c r="AG112" s="5">
        <v>8473.3700000000008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8473.3700000000008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</row>
    <row r="113" spans="1:46" x14ac:dyDescent="0.2">
      <c r="A113" s="1" t="s">
        <v>269</v>
      </c>
      <c r="B113" s="1" t="s">
        <v>270</v>
      </c>
      <c r="C113" s="1" t="s">
        <v>48</v>
      </c>
      <c r="D113" s="3">
        <v>2</v>
      </c>
      <c r="E113" s="3">
        <v>0</v>
      </c>
      <c r="F113" s="3">
        <v>0</v>
      </c>
      <c r="G113" s="3">
        <v>2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2</v>
      </c>
      <c r="P113" s="3">
        <v>0</v>
      </c>
      <c r="Q113" s="4">
        <v>0</v>
      </c>
      <c r="R113" s="5">
        <v>34.36</v>
      </c>
      <c r="S113" s="5">
        <v>33.729999999999997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67.45</v>
      </c>
      <c r="AD113" s="6">
        <v>0</v>
      </c>
      <c r="AE113" s="5">
        <v>0</v>
      </c>
      <c r="AF113" s="5">
        <v>0</v>
      </c>
      <c r="AG113" s="5">
        <v>67.45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67.45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</row>
    <row r="114" spans="1:46" x14ac:dyDescent="0.2">
      <c r="A114" s="1" t="s">
        <v>271</v>
      </c>
      <c r="B114" s="1" t="s">
        <v>272</v>
      </c>
      <c r="C114" s="1" t="s">
        <v>48</v>
      </c>
      <c r="D114" s="3">
        <v>39</v>
      </c>
      <c r="E114" s="3">
        <v>0</v>
      </c>
      <c r="F114" s="3">
        <v>0</v>
      </c>
      <c r="G114" s="3">
        <v>39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39</v>
      </c>
      <c r="P114" s="3">
        <v>0</v>
      </c>
      <c r="Q114" s="4">
        <v>0</v>
      </c>
      <c r="R114" s="5">
        <v>28.51</v>
      </c>
      <c r="S114" s="5">
        <v>31.09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1212.54</v>
      </c>
      <c r="AD114" s="6">
        <v>0</v>
      </c>
      <c r="AE114" s="5">
        <v>0</v>
      </c>
      <c r="AF114" s="5">
        <v>0</v>
      </c>
      <c r="AG114" s="5">
        <v>1212.54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1212.54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</row>
    <row r="115" spans="1:46" x14ac:dyDescent="0.2">
      <c r="A115" s="1" t="s">
        <v>273</v>
      </c>
      <c r="B115" s="1" t="s">
        <v>274</v>
      </c>
      <c r="C115" s="1" t="s">
        <v>48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4">
        <v>0</v>
      </c>
      <c r="R115" s="5">
        <v>57.69</v>
      </c>
      <c r="S115" s="5">
        <v>45.21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6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</row>
    <row r="116" spans="1:46" x14ac:dyDescent="0.2">
      <c r="A116" s="1" t="s">
        <v>275</v>
      </c>
      <c r="B116" s="1" t="s">
        <v>276</v>
      </c>
      <c r="C116" s="1" t="s">
        <v>48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4">
        <v>0</v>
      </c>
      <c r="R116" s="5">
        <v>36.020000000000003</v>
      </c>
      <c r="S116" s="5">
        <v>47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6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</row>
    <row r="117" spans="1:46" x14ac:dyDescent="0.2">
      <c r="A117" s="1" t="s">
        <v>277</v>
      </c>
      <c r="B117" s="1" t="s">
        <v>278</v>
      </c>
      <c r="C117" s="1" t="s">
        <v>48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4">
        <v>0</v>
      </c>
      <c r="R117" s="5">
        <v>56.74</v>
      </c>
      <c r="S117" s="5">
        <v>32.340000000000003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6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</row>
    <row r="118" spans="1:46" x14ac:dyDescent="0.2">
      <c r="A118" s="1" t="s">
        <v>279</v>
      </c>
      <c r="B118" s="1" t="s">
        <v>280</v>
      </c>
      <c r="C118" s="1" t="s">
        <v>48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4">
        <v>0</v>
      </c>
      <c r="R118" s="5">
        <v>43.31</v>
      </c>
      <c r="S118" s="5">
        <v>87.74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6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</row>
    <row r="119" spans="1:46" x14ac:dyDescent="0.2">
      <c r="A119" s="1" t="s">
        <v>281</v>
      </c>
      <c r="B119" s="1" t="s">
        <v>282</v>
      </c>
      <c r="C119" s="1" t="s">
        <v>48</v>
      </c>
      <c r="D119" s="3">
        <v>67</v>
      </c>
      <c r="E119" s="3">
        <v>162</v>
      </c>
      <c r="F119" s="3">
        <v>0</v>
      </c>
      <c r="G119" s="3">
        <v>229</v>
      </c>
      <c r="H119" s="3">
        <v>-218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11</v>
      </c>
      <c r="P119" s="3">
        <v>17</v>
      </c>
      <c r="Q119" s="4">
        <v>42.378456999999997</v>
      </c>
      <c r="R119" s="5">
        <v>43.9</v>
      </c>
      <c r="S119" s="5">
        <v>41.15</v>
      </c>
      <c r="T119" s="5">
        <v>7111.8</v>
      </c>
      <c r="U119" s="5">
        <v>0</v>
      </c>
      <c r="V119" s="5">
        <v>-9570.2000000000007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2558.38</v>
      </c>
      <c r="AD119" s="6">
        <v>0</v>
      </c>
      <c r="AE119" s="5">
        <v>6865.31</v>
      </c>
      <c r="AF119" s="5">
        <v>0</v>
      </c>
      <c r="AG119" s="5">
        <v>9423.69</v>
      </c>
      <c r="AH119" s="5">
        <v>-8971.0300000000007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452.67</v>
      </c>
      <c r="AP119" s="5">
        <v>0</v>
      </c>
      <c r="AQ119" s="5">
        <v>699.58</v>
      </c>
      <c r="AR119" s="5">
        <v>-246.49</v>
      </c>
      <c r="AS119" s="5">
        <v>599.16999999999996</v>
      </c>
      <c r="AT119" s="5">
        <v>0</v>
      </c>
    </row>
    <row r="120" spans="1:46" x14ac:dyDescent="0.2">
      <c r="A120" s="1" t="s">
        <v>283</v>
      </c>
      <c r="B120" s="1" t="s">
        <v>284</v>
      </c>
      <c r="C120" s="1" t="s">
        <v>48</v>
      </c>
      <c r="D120" s="3">
        <v>1</v>
      </c>
      <c r="E120" s="3">
        <v>0</v>
      </c>
      <c r="F120" s="3">
        <v>0</v>
      </c>
      <c r="G120" s="3">
        <v>1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1</v>
      </c>
      <c r="P120" s="3">
        <v>0</v>
      </c>
      <c r="Q120" s="4">
        <v>0</v>
      </c>
      <c r="R120" s="5">
        <v>26.73</v>
      </c>
      <c r="S120" s="5">
        <v>28.7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28.7</v>
      </c>
      <c r="AD120" s="6">
        <v>0</v>
      </c>
      <c r="AE120" s="5">
        <v>0</v>
      </c>
      <c r="AF120" s="5">
        <v>0</v>
      </c>
      <c r="AG120" s="5">
        <v>28.7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28.7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</row>
    <row r="121" spans="1:46" x14ac:dyDescent="0.2">
      <c r="A121" s="1" t="s">
        <v>285</v>
      </c>
      <c r="B121" s="1" t="s">
        <v>286</v>
      </c>
      <c r="C121" s="1" t="s">
        <v>48</v>
      </c>
      <c r="D121" s="3">
        <v>112</v>
      </c>
      <c r="E121" s="3">
        <v>3</v>
      </c>
      <c r="F121" s="3">
        <v>0</v>
      </c>
      <c r="G121" s="3">
        <v>115</v>
      </c>
      <c r="H121" s="3">
        <v>-75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40</v>
      </c>
      <c r="P121" s="3">
        <v>0</v>
      </c>
      <c r="Q121" s="4">
        <v>33.549999999999997</v>
      </c>
      <c r="R121" s="5">
        <v>33.99</v>
      </c>
      <c r="S121" s="5">
        <v>29.59</v>
      </c>
      <c r="T121" s="5">
        <v>101.97</v>
      </c>
      <c r="U121" s="5">
        <v>0</v>
      </c>
      <c r="V121" s="5">
        <v>-2549.25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3302.7</v>
      </c>
      <c r="AD121" s="6">
        <v>0</v>
      </c>
      <c r="AE121" s="5">
        <v>100.65</v>
      </c>
      <c r="AF121" s="5">
        <v>0</v>
      </c>
      <c r="AG121" s="5">
        <v>3403.35</v>
      </c>
      <c r="AH121" s="5">
        <v>-2219.5700000000002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1183.77</v>
      </c>
      <c r="AP121" s="5">
        <v>0</v>
      </c>
      <c r="AQ121" s="5">
        <v>0</v>
      </c>
      <c r="AR121" s="5">
        <v>-1.32</v>
      </c>
      <c r="AS121" s="5">
        <v>329.68</v>
      </c>
      <c r="AT121" s="5">
        <v>0</v>
      </c>
    </row>
    <row r="122" spans="1:46" x14ac:dyDescent="0.2">
      <c r="A122" s="1" t="s">
        <v>287</v>
      </c>
      <c r="B122" s="1" t="s">
        <v>288</v>
      </c>
      <c r="C122" s="1" t="s">
        <v>48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4">
        <v>0</v>
      </c>
      <c r="R122" s="5">
        <v>36.81</v>
      </c>
      <c r="S122" s="5">
        <v>62.89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6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</row>
    <row r="123" spans="1:46" x14ac:dyDescent="0.2">
      <c r="A123" s="1" t="s">
        <v>289</v>
      </c>
      <c r="B123" s="1" t="s">
        <v>290</v>
      </c>
      <c r="C123" s="1" t="s">
        <v>48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4">
        <v>0</v>
      </c>
      <c r="R123" s="5">
        <v>35.53</v>
      </c>
      <c r="S123" s="5">
        <v>37.54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6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</row>
    <row r="124" spans="1:46" x14ac:dyDescent="0.2">
      <c r="A124" s="1" t="s">
        <v>291</v>
      </c>
      <c r="B124" s="1" t="s">
        <v>292</v>
      </c>
      <c r="C124" s="1" t="s">
        <v>48</v>
      </c>
      <c r="D124" s="3">
        <v>98</v>
      </c>
      <c r="E124" s="3">
        <v>0</v>
      </c>
      <c r="F124" s="3">
        <v>0</v>
      </c>
      <c r="G124" s="3">
        <v>98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98</v>
      </c>
      <c r="P124" s="3">
        <v>0</v>
      </c>
      <c r="Q124" s="4">
        <v>0</v>
      </c>
      <c r="R124" s="5">
        <v>37.92</v>
      </c>
      <c r="S124" s="5">
        <v>36.49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3576.4</v>
      </c>
      <c r="AD124" s="6">
        <v>0</v>
      </c>
      <c r="AE124" s="5">
        <v>0</v>
      </c>
      <c r="AF124" s="5">
        <v>0</v>
      </c>
      <c r="AG124" s="5">
        <v>3576.4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3576.4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</row>
    <row r="125" spans="1:46" x14ac:dyDescent="0.2">
      <c r="A125" s="1" t="s">
        <v>293</v>
      </c>
      <c r="B125" s="1" t="s">
        <v>294</v>
      </c>
      <c r="C125" s="1" t="s">
        <v>48</v>
      </c>
      <c r="D125" s="3">
        <v>110</v>
      </c>
      <c r="E125" s="3">
        <v>0</v>
      </c>
      <c r="F125" s="3">
        <v>0</v>
      </c>
      <c r="G125" s="3">
        <v>110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110</v>
      </c>
      <c r="P125" s="3">
        <v>0</v>
      </c>
      <c r="Q125" s="4">
        <v>0</v>
      </c>
      <c r="R125" s="5">
        <v>42.89</v>
      </c>
      <c r="S125" s="5">
        <v>44.38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4881.43</v>
      </c>
      <c r="AD125" s="6">
        <v>0</v>
      </c>
      <c r="AE125" s="5">
        <v>0</v>
      </c>
      <c r="AF125" s="5">
        <v>0</v>
      </c>
      <c r="AG125" s="5">
        <v>4881.43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4881.43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</row>
    <row r="126" spans="1:46" x14ac:dyDescent="0.2">
      <c r="A126" s="1" t="s">
        <v>295</v>
      </c>
      <c r="B126" s="1" t="s">
        <v>296</v>
      </c>
      <c r="C126" s="1" t="s">
        <v>48</v>
      </c>
      <c r="D126" s="3">
        <v>9</v>
      </c>
      <c r="E126" s="3">
        <v>0</v>
      </c>
      <c r="F126" s="3">
        <v>0</v>
      </c>
      <c r="G126" s="3">
        <v>9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9</v>
      </c>
      <c r="P126" s="3">
        <v>0</v>
      </c>
      <c r="Q126" s="4">
        <v>0</v>
      </c>
      <c r="R126" s="5">
        <v>42.67</v>
      </c>
      <c r="S126" s="5">
        <v>43.2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388.8</v>
      </c>
      <c r="AD126" s="6">
        <v>0</v>
      </c>
      <c r="AE126" s="5">
        <v>0</v>
      </c>
      <c r="AF126" s="5">
        <v>0</v>
      </c>
      <c r="AG126" s="5">
        <v>388.8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388.8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</row>
    <row r="127" spans="1:46" x14ac:dyDescent="0.2">
      <c r="A127" s="1" t="s">
        <v>297</v>
      </c>
      <c r="B127" s="1" t="s">
        <v>298</v>
      </c>
      <c r="C127" s="1" t="s">
        <v>48</v>
      </c>
      <c r="D127" s="3">
        <v>1511</v>
      </c>
      <c r="E127" s="3">
        <v>699</v>
      </c>
      <c r="F127" s="3">
        <v>0</v>
      </c>
      <c r="G127" s="3">
        <v>2210</v>
      </c>
      <c r="H127" s="3">
        <v>-1916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294</v>
      </c>
      <c r="P127" s="3">
        <v>0</v>
      </c>
      <c r="Q127" s="4">
        <v>39.174076999999997</v>
      </c>
      <c r="R127" s="5">
        <v>39.94</v>
      </c>
      <c r="S127" s="5">
        <v>36.21</v>
      </c>
      <c r="T127" s="5">
        <v>27918.06</v>
      </c>
      <c r="U127" s="5">
        <v>0</v>
      </c>
      <c r="V127" s="5">
        <v>-76525.039999999994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52633.279999999999</v>
      </c>
      <c r="AD127" s="6">
        <v>0</v>
      </c>
      <c r="AE127" s="5">
        <v>27382.68</v>
      </c>
      <c r="AF127" s="5">
        <v>0</v>
      </c>
      <c r="AG127" s="5">
        <v>80015.960000000006</v>
      </c>
      <c r="AH127" s="5">
        <v>-69371.3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10644.66</v>
      </c>
      <c r="AP127" s="5">
        <v>0</v>
      </c>
      <c r="AQ127" s="5">
        <v>0</v>
      </c>
      <c r="AR127" s="5">
        <v>-535.38</v>
      </c>
      <c r="AS127" s="5">
        <v>7153.74</v>
      </c>
      <c r="AT127" s="5">
        <v>0</v>
      </c>
    </row>
    <row r="128" spans="1:46" x14ac:dyDescent="0.2">
      <c r="A128" s="1" t="s">
        <v>299</v>
      </c>
      <c r="B128" s="1" t="s">
        <v>300</v>
      </c>
      <c r="C128" s="1" t="s">
        <v>48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4">
        <v>0</v>
      </c>
      <c r="R128" s="5">
        <v>79.52</v>
      </c>
      <c r="S128" s="5">
        <v>50.55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6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</row>
    <row r="129" spans="1:46" x14ac:dyDescent="0.2">
      <c r="A129" s="1" t="s">
        <v>301</v>
      </c>
      <c r="B129" s="1" t="s">
        <v>302</v>
      </c>
      <c r="C129" s="1" t="s">
        <v>48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4">
        <v>0</v>
      </c>
      <c r="R129" s="5">
        <v>43.31</v>
      </c>
      <c r="S129" s="5">
        <v>44.17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6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</row>
    <row r="130" spans="1:46" x14ac:dyDescent="0.2">
      <c r="A130" s="1" t="s">
        <v>303</v>
      </c>
      <c r="B130" s="1" t="s">
        <v>304</v>
      </c>
      <c r="C130" s="1" t="s">
        <v>48</v>
      </c>
      <c r="D130" s="3">
        <v>2</v>
      </c>
      <c r="E130" s="3">
        <v>168</v>
      </c>
      <c r="F130" s="3">
        <v>0</v>
      </c>
      <c r="G130" s="3">
        <v>170</v>
      </c>
      <c r="H130" s="3">
        <v>-18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152</v>
      </c>
      <c r="P130" s="3">
        <v>18</v>
      </c>
      <c r="Q130" s="4">
        <v>40.094583</v>
      </c>
      <c r="R130" s="5">
        <v>41.24</v>
      </c>
      <c r="S130" s="5">
        <v>40.049999999999997</v>
      </c>
      <c r="T130" s="5">
        <v>6928.32</v>
      </c>
      <c r="U130" s="5">
        <v>0</v>
      </c>
      <c r="V130" s="5">
        <v>-742.32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72.36</v>
      </c>
      <c r="AD130" s="6">
        <v>0</v>
      </c>
      <c r="AE130" s="5">
        <v>6735.89</v>
      </c>
      <c r="AF130" s="5">
        <v>0</v>
      </c>
      <c r="AG130" s="5">
        <v>6808.25</v>
      </c>
      <c r="AH130" s="5">
        <v>-720.87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6087.38</v>
      </c>
      <c r="AP130" s="5">
        <v>0</v>
      </c>
      <c r="AQ130" s="5">
        <v>720.87</v>
      </c>
      <c r="AR130" s="5">
        <v>-192.43</v>
      </c>
      <c r="AS130" s="5">
        <v>21.45</v>
      </c>
      <c r="AT130" s="5">
        <v>0</v>
      </c>
    </row>
    <row r="131" spans="1:46" x14ac:dyDescent="0.2">
      <c r="A131" s="1" t="s">
        <v>305</v>
      </c>
      <c r="B131" s="1" t="s">
        <v>306</v>
      </c>
      <c r="C131" s="1" t="s">
        <v>48</v>
      </c>
      <c r="D131" s="3">
        <v>1</v>
      </c>
      <c r="E131" s="3">
        <v>0</v>
      </c>
      <c r="F131" s="3">
        <v>0</v>
      </c>
      <c r="G131" s="3">
        <v>1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1</v>
      </c>
      <c r="P131" s="3">
        <v>0</v>
      </c>
      <c r="Q131" s="4">
        <v>0</v>
      </c>
      <c r="R131" s="5">
        <v>28.28</v>
      </c>
      <c r="S131" s="5">
        <v>33.96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33.96</v>
      </c>
      <c r="AD131" s="6">
        <v>0</v>
      </c>
      <c r="AE131" s="5">
        <v>0</v>
      </c>
      <c r="AF131" s="5">
        <v>0</v>
      </c>
      <c r="AG131" s="5">
        <v>33.96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33.96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</row>
    <row r="132" spans="1:46" x14ac:dyDescent="0.2">
      <c r="A132" s="1" t="s">
        <v>307</v>
      </c>
      <c r="B132" s="1" t="s">
        <v>308</v>
      </c>
      <c r="C132" s="1" t="s">
        <v>48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4">
        <v>0</v>
      </c>
      <c r="R132" s="5">
        <v>36.57</v>
      </c>
      <c r="S132" s="5">
        <v>36.770000000000003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6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</row>
    <row r="133" spans="1:46" x14ac:dyDescent="0.2">
      <c r="A133" s="1" t="s">
        <v>309</v>
      </c>
      <c r="B133" s="1" t="s">
        <v>310</v>
      </c>
      <c r="C133" s="1" t="s">
        <v>48</v>
      </c>
      <c r="D133" s="3">
        <v>148</v>
      </c>
      <c r="E133" s="3">
        <v>3</v>
      </c>
      <c r="F133" s="3">
        <v>0</v>
      </c>
      <c r="G133" s="3">
        <v>151</v>
      </c>
      <c r="H133" s="3">
        <v>-149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2</v>
      </c>
      <c r="P133" s="3">
        <v>0</v>
      </c>
      <c r="Q133" s="4">
        <v>39.803333000000002</v>
      </c>
      <c r="R133" s="5">
        <v>40.799999999999997</v>
      </c>
      <c r="S133" s="5">
        <v>37.56</v>
      </c>
      <c r="T133" s="5">
        <v>122.4</v>
      </c>
      <c r="U133" s="5">
        <v>0</v>
      </c>
      <c r="V133" s="5">
        <v>-6079.2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5551.66</v>
      </c>
      <c r="AD133" s="6">
        <v>0</v>
      </c>
      <c r="AE133" s="5">
        <v>119.41</v>
      </c>
      <c r="AF133" s="5">
        <v>0</v>
      </c>
      <c r="AG133" s="5">
        <v>5671.07</v>
      </c>
      <c r="AH133" s="5">
        <v>-5595.96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75.11</v>
      </c>
      <c r="AP133" s="5">
        <v>0</v>
      </c>
      <c r="AQ133" s="5">
        <v>0</v>
      </c>
      <c r="AR133" s="5">
        <v>-2.99</v>
      </c>
      <c r="AS133" s="5">
        <v>483.24</v>
      </c>
      <c r="AT133" s="5">
        <v>0</v>
      </c>
    </row>
    <row r="134" spans="1:46" x14ac:dyDescent="0.2">
      <c r="A134" s="1" t="s">
        <v>311</v>
      </c>
      <c r="B134" s="1" t="s">
        <v>312</v>
      </c>
      <c r="C134" s="1" t="s">
        <v>48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4">
        <v>0</v>
      </c>
      <c r="R134" s="5">
        <v>41.04</v>
      </c>
      <c r="S134" s="5">
        <v>64.069999999999993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6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</row>
    <row r="135" spans="1:46" x14ac:dyDescent="0.2">
      <c r="A135" s="1" t="s">
        <v>313</v>
      </c>
      <c r="B135" s="1" t="s">
        <v>314</v>
      </c>
      <c r="C135" s="1" t="s">
        <v>48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4">
        <v>0</v>
      </c>
      <c r="R135" s="5">
        <v>45.53</v>
      </c>
      <c r="S135" s="5">
        <v>69.930000000000007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6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</row>
    <row r="136" spans="1:46" x14ac:dyDescent="0.2">
      <c r="A136" s="1" t="s">
        <v>315</v>
      </c>
      <c r="B136" s="1" t="s">
        <v>316</v>
      </c>
      <c r="C136" s="1" t="s">
        <v>48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4">
        <v>0</v>
      </c>
      <c r="R136" s="5">
        <v>46.73</v>
      </c>
      <c r="S136" s="5">
        <v>79.86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6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</row>
    <row r="137" spans="1:46" x14ac:dyDescent="0.2">
      <c r="A137" s="1" t="s">
        <v>317</v>
      </c>
      <c r="B137" s="1" t="s">
        <v>318</v>
      </c>
      <c r="C137" s="1" t="s">
        <v>48</v>
      </c>
      <c r="D137" s="3">
        <v>1</v>
      </c>
      <c r="E137" s="3">
        <v>0</v>
      </c>
      <c r="F137" s="3">
        <v>0</v>
      </c>
      <c r="G137" s="3">
        <v>1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1</v>
      </c>
      <c r="P137" s="3">
        <v>0</v>
      </c>
      <c r="Q137" s="4">
        <v>0</v>
      </c>
      <c r="R137" s="5">
        <v>42.73</v>
      </c>
      <c r="S137" s="5">
        <v>42.57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42.57</v>
      </c>
      <c r="AD137" s="6">
        <v>0</v>
      </c>
      <c r="AE137" s="5">
        <v>0</v>
      </c>
      <c r="AF137" s="5">
        <v>0</v>
      </c>
      <c r="AG137" s="5">
        <v>42.57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42.57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</row>
    <row r="138" spans="1:46" x14ac:dyDescent="0.2">
      <c r="A138" s="1" t="s">
        <v>319</v>
      </c>
      <c r="B138" s="1" t="s">
        <v>320</v>
      </c>
      <c r="C138" s="1" t="s">
        <v>48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4">
        <v>0</v>
      </c>
      <c r="R138" s="5">
        <v>42.11</v>
      </c>
      <c r="S138" s="5">
        <v>63.56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6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</row>
    <row r="139" spans="1:46" x14ac:dyDescent="0.2">
      <c r="A139" s="1" t="s">
        <v>321</v>
      </c>
      <c r="B139" s="1" t="s">
        <v>322</v>
      </c>
      <c r="C139" s="1" t="s">
        <v>48</v>
      </c>
      <c r="D139" s="3">
        <v>48</v>
      </c>
      <c r="E139" s="3">
        <v>554</v>
      </c>
      <c r="F139" s="3">
        <v>0</v>
      </c>
      <c r="G139" s="3">
        <v>602</v>
      </c>
      <c r="H139" s="3">
        <v>-350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252</v>
      </c>
      <c r="P139" s="3">
        <v>43</v>
      </c>
      <c r="Q139" s="4">
        <v>46.736679000000002</v>
      </c>
      <c r="R139" s="5">
        <v>48.28</v>
      </c>
      <c r="S139" s="5">
        <v>46.36</v>
      </c>
      <c r="T139" s="5">
        <v>26747.119999999999</v>
      </c>
      <c r="U139" s="5">
        <v>0</v>
      </c>
      <c r="V139" s="5">
        <v>-16898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2016.11</v>
      </c>
      <c r="AD139" s="6">
        <v>0</v>
      </c>
      <c r="AE139" s="5">
        <v>25892.12</v>
      </c>
      <c r="AF139" s="5">
        <v>0</v>
      </c>
      <c r="AG139" s="5">
        <v>27908.23</v>
      </c>
      <c r="AH139" s="5">
        <v>-16225.72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11682.51</v>
      </c>
      <c r="AP139" s="5">
        <v>0</v>
      </c>
      <c r="AQ139" s="5">
        <v>1993.44</v>
      </c>
      <c r="AR139" s="5">
        <v>-855</v>
      </c>
      <c r="AS139" s="5">
        <v>672.28</v>
      </c>
      <c r="AT139" s="5">
        <v>0</v>
      </c>
    </row>
    <row r="140" spans="1:46" x14ac:dyDescent="0.2">
      <c r="A140" s="1" t="s">
        <v>323</v>
      </c>
      <c r="B140" s="1" t="s">
        <v>324</v>
      </c>
      <c r="C140" s="1" t="s">
        <v>48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4">
        <v>0</v>
      </c>
      <c r="R140" s="5">
        <v>59.01</v>
      </c>
      <c r="S140" s="5">
        <v>38.56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6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</row>
    <row r="141" spans="1:46" x14ac:dyDescent="0.2">
      <c r="A141" s="1" t="s">
        <v>325</v>
      </c>
      <c r="B141" s="1" t="s">
        <v>326</v>
      </c>
      <c r="C141" s="1" t="s">
        <v>48</v>
      </c>
      <c r="D141" s="3">
        <v>28</v>
      </c>
      <c r="E141" s="3">
        <v>0</v>
      </c>
      <c r="F141" s="3">
        <v>0</v>
      </c>
      <c r="G141" s="3">
        <v>28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28</v>
      </c>
      <c r="P141" s="3">
        <v>0</v>
      </c>
      <c r="Q141" s="4">
        <v>0</v>
      </c>
      <c r="R141" s="5">
        <v>46.26</v>
      </c>
      <c r="S141" s="5">
        <v>45.77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1281.69</v>
      </c>
      <c r="AD141" s="6">
        <v>0</v>
      </c>
      <c r="AE141" s="5">
        <v>0</v>
      </c>
      <c r="AF141" s="5">
        <v>0</v>
      </c>
      <c r="AG141" s="5">
        <v>1281.69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1281.69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</row>
    <row r="142" spans="1:46" x14ac:dyDescent="0.2">
      <c r="A142" s="1" t="s">
        <v>327</v>
      </c>
      <c r="B142" s="1" t="s">
        <v>328</v>
      </c>
      <c r="C142" s="1" t="s">
        <v>48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4">
        <v>0</v>
      </c>
      <c r="R142" s="5">
        <v>30.32</v>
      </c>
      <c r="S142" s="5">
        <v>39.159999999999997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6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</row>
    <row r="143" spans="1:46" x14ac:dyDescent="0.2">
      <c r="A143" s="1" t="s">
        <v>329</v>
      </c>
      <c r="B143" s="1" t="s">
        <v>330</v>
      </c>
      <c r="C143" s="1" t="s">
        <v>48</v>
      </c>
      <c r="D143" s="3">
        <v>15</v>
      </c>
      <c r="E143" s="3">
        <v>6</v>
      </c>
      <c r="F143" s="3">
        <v>0</v>
      </c>
      <c r="G143" s="3">
        <v>21</v>
      </c>
      <c r="H143" s="3">
        <v>-21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4">
        <v>39.89</v>
      </c>
      <c r="R143" s="5">
        <v>40.31</v>
      </c>
      <c r="S143" s="5">
        <v>37.31</v>
      </c>
      <c r="T143" s="5">
        <v>241.86</v>
      </c>
      <c r="U143" s="5">
        <v>0</v>
      </c>
      <c r="V143" s="5">
        <v>-846.51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544.22</v>
      </c>
      <c r="AD143" s="6">
        <v>0</v>
      </c>
      <c r="AE143" s="5">
        <v>239.34</v>
      </c>
      <c r="AF143" s="5">
        <v>0</v>
      </c>
      <c r="AG143" s="5">
        <v>783.56</v>
      </c>
      <c r="AH143" s="5">
        <v>-783.56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-2.52</v>
      </c>
      <c r="AS143" s="5">
        <v>62.95</v>
      </c>
      <c r="AT143" s="5">
        <v>0</v>
      </c>
    </row>
    <row r="144" spans="1:46" x14ac:dyDescent="0.2">
      <c r="A144" s="1" t="s">
        <v>331</v>
      </c>
      <c r="B144" s="1" t="s">
        <v>332</v>
      </c>
      <c r="C144" s="1" t="s">
        <v>48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4">
        <v>0</v>
      </c>
      <c r="R144" s="5">
        <v>40.18</v>
      </c>
      <c r="S144" s="5">
        <v>39.020000000000003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6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</row>
    <row r="145" spans="1:46" x14ac:dyDescent="0.2">
      <c r="A145" s="1" t="s">
        <v>333</v>
      </c>
      <c r="B145" s="1" t="s">
        <v>334</v>
      </c>
      <c r="C145" s="1" t="s">
        <v>48</v>
      </c>
      <c r="D145" s="3">
        <v>25</v>
      </c>
      <c r="E145" s="3">
        <v>2</v>
      </c>
      <c r="F145" s="3">
        <v>0</v>
      </c>
      <c r="G145" s="3">
        <v>27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27</v>
      </c>
      <c r="P145" s="3">
        <v>0</v>
      </c>
      <c r="Q145" s="4">
        <v>37.534999999999997</v>
      </c>
      <c r="R145" s="5">
        <v>38.1</v>
      </c>
      <c r="S145" s="5">
        <v>37</v>
      </c>
      <c r="T145" s="5">
        <v>76.2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923.89</v>
      </c>
      <c r="AD145" s="6">
        <v>0</v>
      </c>
      <c r="AE145" s="5">
        <v>75.069999999999993</v>
      </c>
      <c r="AF145" s="5">
        <v>0</v>
      </c>
      <c r="AG145" s="5">
        <v>998.96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998.96</v>
      </c>
      <c r="AP145" s="5">
        <v>0</v>
      </c>
      <c r="AQ145" s="5">
        <v>0</v>
      </c>
      <c r="AR145" s="5">
        <v>-1.1299999999999999</v>
      </c>
      <c r="AS145" s="5">
        <v>0</v>
      </c>
      <c r="AT145" s="5">
        <v>0</v>
      </c>
    </row>
    <row r="146" spans="1:46" x14ac:dyDescent="0.2">
      <c r="A146" s="1" t="s">
        <v>335</v>
      </c>
      <c r="B146" s="1" t="s">
        <v>336</v>
      </c>
      <c r="C146" s="1" t="s">
        <v>48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4">
        <v>0</v>
      </c>
      <c r="R146" s="5">
        <v>42.11</v>
      </c>
      <c r="S146" s="5">
        <v>86.59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6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</row>
    <row r="147" spans="1:46" x14ac:dyDescent="0.2">
      <c r="A147" s="1" t="s">
        <v>337</v>
      </c>
      <c r="B147" s="1" t="s">
        <v>338</v>
      </c>
      <c r="C147" s="1" t="s">
        <v>48</v>
      </c>
      <c r="D147" s="3">
        <v>14</v>
      </c>
      <c r="E147" s="3">
        <v>6</v>
      </c>
      <c r="F147" s="3">
        <v>0</v>
      </c>
      <c r="G147" s="3">
        <v>20</v>
      </c>
      <c r="H147" s="3">
        <v>-8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12</v>
      </c>
      <c r="P147" s="3">
        <v>0</v>
      </c>
      <c r="Q147" s="4">
        <v>51.041666999999997</v>
      </c>
      <c r="R147" s="5">
        <v>52.55</v>
      </c>
      <c r="S147" s="5">
        <v>47.26</v>
      </c>
      <c r="T147" s="5">
        <v>315.3</v>
      </c>
      <c r="U147" s="5">
        <v>0</v>
      </c>
      <c r="V147" s="5">
        <v>-420.4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639.03</v>
      </c>
      <c r="AD147" s="6">
        <v>0</v>
      </c>
      <c r="AE147" s="5">
        <v>306.25</v>
      </c>
      <c r="AF147" s="5">
        <v>0</v>
      </c>
      <c r="AG147" s="5">
        <v>945.28</v>
      </c>
      <c r="AH147" s="5">
        <v>-378.11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567.16999999999996</v>
      </c>
      <c r="AP147" s="5">
        <v>0</v>
      </c>
      <c r="AQ147" s="5">
        <v>0</v>
      </c>
      <c r="AR147" s="5">
        <v>-9.0500000000000007</v>
      </c>
      <c r="AS147" s="5">
        <v>42.29</v>
      </c>
      <c r="AT147" s="5">
        <v>0</v>
      </c>
    </row>
    <row r="148" spans="1:46" x14ac:dyDescent="0.2">
      <c r="A148" s="1" t="s">
        <v>339</v>
      </c>
      <c r="B148" s="1" t="s">
        <v>340</v>
      </c>
      <c r="C148" s="1" t="s">
        <v>48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4">
        <v>0</v>
      </c>
      <c r="R148" s="5">
        <v>32.01</v>
      </c>
      <c r="S148" s="5">
        <v>32.369999999999997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6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</row>
    <row r="149" spans="1:46" x14ac:dyDescent="0.2">
      <c r="A149" s="1" t="s">
        <v>341</v>
      </c>
      <c r="B149" s="1" t="s">
        <v>342</v>
      </c>
      <c r="C149" s="1" t="s">
        <v>48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4">
        <v>0</v>
      </c>
      <c r="R149" s="5">
        <v>37.450000000000003</v>
      </c>
      <c r="S149" s="5">
        <v>46.89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6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</row>
    <row r="150" spans="1:46" x14ac:dyDescent="0.2">
      <c r="A150" s="1" t="s">
        <v>343</v>
      </c>
      <c r="B150" s="1" t="s">
        <v>344</v>
      </c>
      <c r="C150" s="1" t="s">
        <v>48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4">
        <v>0</v>
      </c>
      <c r="R150" s="5">
        <v>27.75</v>
      </c>
      <c r="S150" s="5">
        <v>50.67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6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</row>
    <row r="151" spans="1:46" x14ac:dyDescent="0.2">
      <c r="A151" s="1" t="s">
        <v>345</v>
      </c>
      <c r="B151" s="1" t="s">
        <v>346</v>
      </c>
      <c r="C151" s="1" t="s">
        <v>48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4">
        <v>0</v>
      </c>
      <c r="R151" s="5">
        <v>25.29</v>
      </c>
      <c r="S151" s="5">
        <v>34.22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6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</row>
    <row r="152" spans="1:46" x14ac:dyDescent="0.2">
      <c r="A152" s="1" t="s">
        <v>347</v>
      </c>
      <c r="B152" s="1" t="s">
        <v>348</v>
      </c>
      <c r="C152" s="1" t="s">
        <v>48</v>
      </c>
      <c r="D152" s="3">
        <v>61</v>
      </c>
      <c r="E152" s="3">
        <v>4</v>
      </c>
      <c r="F152" s="3">
        <v>0</v>
      </c>
      <c r="G152" s="3">
        <v>65</v>
      </c>
      <c r="H152" s="3">
        <v>-54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11</v>
      </c>
      <c r="P152" s="3">
        <v>0</v>
      </c>
      <c r="Q152" s="4">
        <v>49.782499999999999</v>
      </c>
      <c r="R152" s="5">
        <v>50.79</v>
      </c>
      <c r="S152" s="5">
        <v>45.18</v>
      </c>
      <c r="T152" s="5">
        <v>203.16</v>
      </c>
      <c r="U152" s="5">
        <v>0</v>
      </c>
      <c r="V152" s="5">
        <v>-2742.66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2737.43</v>
      </c>
      <c r="AD152" s="6">
        <v>0</v>
      </c>
      <c r="AE152" s="5">
        <v>199.13</v>
      </c>
      <c r="AF152" s="5">
        <v>0</v>
      </c>
      <c r="AG152" s="5">
        <v>2936.56</v>
      </c>
      <c r="AH152" s="5">
        <v>-2439.6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496.96</v>
      </c>
      <c r="AP152" s="5">
        <v>0</v>
      </c>
      <c r="AQ152" s="5">
        <v>0</v>
      </c>
      <c r="AR152" s="5">
        <v>-4.03</v>
      </c>
      <c r="AS152" s="5">
        <v>303.06</v>
      </c>
      <c r="AT152" s="5">
        <v>0</v>
      </c>
    </row>
    <row r="153" spans="1:46" x14ac:dyDescent="0.2">
      <c r="A153" s="1" t="s">
        <v>349</v>
      </c>
      <c r="B153" s="1" t="s">
        <v>350</v>
      </c>
      <c r="C153" s="1" t="s">
        <v>48</v>
      </c>
      <c r="D153" s="3">
        <v>613</v>
      </c>
      <c r="E153" s="3">
        <v>-2</v>
      </c>
      <c r="F153" s="3">
        <v>0</v>
      </c>
      <c r="G153" s="3">
        <v>611</v>
      </c>
      <c r="H153" s="3">
        <v>-606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5</v>
      </c>
      <c r="P153" s="3">
        <v>358</v>
      </c>
      <c r="Q153" s="4">
        <v>45.93</v>
      </c>
      <c r="R153" s="5">
        <v>50.27</v>
      </c>
      <c r="S153" s="5">
        <v>45.93</v>
      </c>
      <c r="T153" s="5">
        <v>-100.54</v>
      </c>
      <c r="U153" s="5">
        <v>0</v>
      </c>
      <c r="V153" s="5">
        <v>-30463.62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28152.59</v>
      </c>
      <c r="AD153" s="6">
        <v>0</v>
      </c>
      <c r="AE153" s="5">
        <v>-91.86</v>
      </c>
      <c r="AF153" s="5">
        <v>0</v>
      </c>
      <c r="AG153" s="5">
        <v>28060.73</v>
      </c>
      <c r="AH153" s="5">
        <v>-27831.1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229.63</v>
      </c>
      <c r="AP153" s="5">
        <v>0</v>
      </c>
      <c r="AQ153" s="5">
        <v>16441.48</v>
      </c>
      <c r="AR153" s="5">
        <v>8.68</v>
      </c>
      <c r="AS153" s="5">
        <v>2632.52</v>
      </c>
      <c r="AT153" s="5">
        <v>0</v>
      </c>
    </row>
    <row r="154" spans="1:46" x14ac:dyDescent="0.2">
      <c r="A154" s="1" t="s">
        <v>351</v>
      </c>
      <c r="B154" s="1" t="s">
        <v>352</v>
      </c>
      <c r="C154" s="1" t="s">
        <v>48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4">
        <v>0</v>
      </c>
      <c r="R154" s="5">
        <v>34.869999999999997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6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</row>
    <row r="155" spans="1:46" x14ac:dyDescent="0.2">
      <c r="A155" s="1" t="s">
        <v>353</v>
      </c>
      <c r="B155" s="1" t="s">
        <v>354</v>
      </c>
      <c r="C155" s="1" t="s">
        <v>48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4">
        <v>0</v>
      </c>
      <c r="R155" s="5">
        <v>42.11</v>
      </c>
      <c r="S155" s="5">
        <v>44.6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6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</row>
    <row r="156" spans="1:46" x14ac:dyDescent="0.2">
      <c r="A156" s="1" t="s">
        <v>355</v>
      </c>
      <c r="B156" s="1" t="s">
        <v>356</v>
      </c>
      <c r="C156" s="1" t="s">
        <v>48</v>
      </c>
      <c r="D156" s="3">
        <v>7</v>
      </c>
      <c r="E156" s="3">
        <v>439</v>
      </c>
      <c r="F156" s="3">
        <v>0</v>
      </c>
      <c r="G156" s="3">
        <v>446</v>
      </c>
      <c r="H156" s="3">
        <v>-386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60</v>
      </c>
      <c r="P156" s="3">
        <v>71</v>
      </c>
      <c r="Q156" s="4">
        <v>41.202984000000001</v>
      </c>
      <c r="R156" s="5">
        <v>42.17</v>
      </c>
      <c r="S156" s="5">
        <v>41.13</v>
      </c>
      <c r="T156" s="5">
        <v>18512.63</v>
      </c>
      <c r="U156" s="5">
        <v>0</v>
      </c>
      <c r="V156" s="5">
        <v>-16277.62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258.08</v>
      </c>
      <c r="AD156" s="6">
        <v>0</v>
      </c>
      <c r="AE156" s="5">
        <v>18088.11</v>
      </c>
      <c r="AF156" s="5">
        <v>0</v>
      </c>
      <c r="AG156" s="5">
        <v>18346.189999999999</v>
      </c>
      <c r="AH156" s="5">
        <v>-15878.09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2468.1</v>
      </c>
      <c r="AP156" s="5">
        <v>0</v>
      </c>
      <c r="AQ156" s="5">
        <v>2920.58</v>
      </c>
      <c r="AR156" s="5">
        <v>-424.52</v>
      </c>
      <c r="AS156" s="5">
        <v>399.53</v>
      </c>
      <c r="AT156" s="5">
        <v>0</v>
      </c>
    </row>
    <row r="157" spans="1:46" x14ac:dyDescent="0.2">
      <c r="A157" s="1" t="s">
        <v>357</v>
      </c>
      <c r="B157" s="1" t="s">
        <v>358</v>
      </c>
      <c r="C157" s="1" t="s">
        <v>48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4">
        <v>0</v>
      </c>
      <c r="R157" s="5">
        <v>35.71</v>
      </c>
      <c r="S157" s="5">
        <v>40.24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6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</row>
    <row r="158" spans="1:46" x14ac:dyDescent="0.2">
      <c r="A158" s="1" t="s">
        <v>359</v>
      </c>
      <c r="B158" s="1" t="s">
        <v>360</v>
      </c>
      <c r="C158" s="1" t="s">
        <v>48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4">
        <v>0</v>
      </c>
      <c r="R158" s="5">
        <v>37.450000000000003</v>
      </c>
      <c r="S158" s="5">
        <v>37.92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6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</row>
    <row r="159" spans="1:46" x14ac:dyDescent="0.2">
      <c r="A159" s="1" t="s">
        <v>361</v>
      </c>
      <c r="B159" s="1" t="s">
        <v>362</v>
      </c>
      <c r="C159" s="1" t="s">
        <v>48</v>
      </c>
      <c r="D159" s="3">
        <v>2</v>
      </c>
      <c r="E159" s="3">
        <v>0</v>
      </c>
      <c r="F159" s="3">
        <v>0</v>
      </c>
      <c r="G159" s="3">
        <v>2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2</v>
      </c>
      <c r="P159" s="3">
        <v>0</v>
      </c>
      <c r="Q159" s="4">
        <v>0</v>
      </c>
      <c r="R159" s="5">
        <v>33.549999999999997</v>
      </c>
      <c r="S159" s="5">
        <v>37.92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75.84</v>
      </c>
      <c r="AD159" s="6">
        <v>0</v>
      </c>
      <c r="AE159" s="5">
        <v>0</v>
      </c>
      <c r="AF159" s="5">
        <v>0</v>
      </c>
      <c r="AG159" s="5">
        <v>75.84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75.84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</row>
    <row r="160" spans="1:46" x14ac:dyDescent="0.2">
      <c r="A160" s="1" t="s">
        <v>363</v>
      </c>
      <c r="B160" s="1" t="s">
        <v>364</v>
      </c>
      <c r="C160" s="1" t="s">
        <v>48</v>
      </c>
      <c r="D160" s="3">
        <v>36</v>
      </c>
      <c r="E160" s="3">
        <v>239</v>
      </c>
      <c r="F160" s="3">
        <v>0</v>
      </c>
      <c r="G160" s="3">
        <v>275</v>
      </c>
      <c r="H160" s="3">
        <v>-169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106</v>
      </c>
      <c r="P160" s="3">
        <v>133</v>
      </c>
      <c r="Q160" s="4">
        <v>46.305689999999998</v>
      </c>
      <c r="R160" s="5">
        <v>47.12</v>
      </c>
      <c r="S160" s="5">
        <v>45.97</v>
      </c>
      <c r="T160" s="5">
        <v>11261.68</v>
      </c>
      <c r="U160" s="5">
        <v>0</v>
      </c>
      <c r="V160" s="5">
        <v>-7963.28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1573.96</v>
      </c>
      <c r="AD160" s="6">
        <v>0</v>
      </c>
      <c r="AE160" s="5">
        <v>11067.06</v>
      </c>
      <c r="AF160" s="5">
        <v>0</v>
      </c>
      <c r="AG160" s="5">
        <v>12641.02</v>
      </c>
      <c r="AH160" s="5">
        <v>-7768.48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4872.54</v>
      </c>
      <c r="AP160" s="5">
        <v>0</v>
      </c>
      <c r="AQ160" s="5">
        <v>6113.66</v>
      </c>
      <c r="AR160" s="5">
        <v>-194.62</v>
      </c>
      <c r="AS160" s="5">
        <v>194.8</v>
      </c>
      <c r="AT160" s="5">
        <v>0</v>
      </c>
    </row>
    <row r="161" spans="1:46" x14ac:dyDescent="0.2">
      <c r="A161" s="1" t="s">
        <v>365</v>
      </c>
      <c r="B161" s="1" t="s">
        <v>366</v>
      </c>
      <c r="C161" s="1" t="s">
        <v>48</v>
      </c>
      <c r="D161" s="3">
        <v>38</v>
      </c>
      <c r="E161" s="3">
        <v>313</v>
      </c>
      <c r="F161" s="3">
        <v>0</v>
      </c>
      <c r="G161" s="3">
        <v>351</v>
      </c>
      <c r="H161" s="3">
        <v>-37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314</v>
      </c>
      <c r="P161" s="3">
        <v>0</v>
      </c>
      <c r="Q161" s="4">
        <v>34.696069999999999</v>
      </c>
      <c r="R161" s="5">
        <v>35.159999999999997</v>
      </c>
      <c r="S161" s="5">
        <v>34.340000000000003</v>
      </c>
      <c r="T161" s="5">
        <v>11005.08</v>
      </c>
      <c r="U161" s="5">
        <v>0</v>
      </c>
      <c r="V161" s="5">
        <v>-1300.92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1191.8</v>
      </c>
      <c r="AD161" s="6">
        <v>0</v>
      </c>
      <c r="AE161" s="5">
        <v>10859.87</v>
      </c>
      <c r="AF161" s="5">
        <v>0</v>
      </c>
      <c r="AG161" s="5">
        <v>12051.67</v>
      </c>
      <c r="AH161" s="5">
        <v>-1270.4000000000001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10781.26</v>
      </c>
      <c r="AP161" s="5">
        <v>0</v>
      </c>
      <c r="AQ161" s="5">
        <v>0</v>
      </c>
      <c r="AR161" s="5">
        <v>-145.21</v>
      </c>
      <c r="AS161" s="5">
        <v>30.52</v>
      </c>
      <c r="AT161" s="5">
        <v>0</v>
      </c>
    </row>
    <row r="162" spans="1:46" x14ac:dyDescent="0.2">
      <c r="A162" s="1" t="s">
        <v>367</v>
      </c>
      <c r="B162" s="1" t="s">
        <v>368</v>
      </c>
      <c r="C162" s="1" t="s">
        <v>48</v>
      </c>
      <c r="D162" s="3">
        <v>3</v>
      </c>
      <c r="E162" s="3">
        <v>7</v>
      </c>
      <c r="F162" s="3">
        <v>0</v>
      </c>
      <c r="G162" s="3">
        <v>10</v>
      </c>
      <c r="H162" s="3">
        <v>-5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5</v>
      </c>
      <c r="P162" s="3">
        <v>0</v>
      </c>
      <c r="Q162" s="4">
        <v>35.551428999999999</v>
      </c>
      <c r="R162" s="5">
        <v>36.1</v>
      </c>
      <c r="S162" s="5">
        <v>34.71</v>
      </c>
      <c r="T162" s="5">
        <v>252.7</v>
      </c>
      <c r="U162" s="5">
        <v>0</v>
      </c>
      <c r="V162" s="5">
        <v>-180.5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98.2</v>
      </c>
      <c r="AD162" s="6">
        <v>0</v>
      </c>
      <c r="AE162" s="5">
        <v>248.86</v>
      </c>
      <c r="AF162" s="5">
        <v>0</v>
      </c>
      <c r="AG162" s="5">
        <v>347.06</v>
      </c>
      <c r="AH162" s="5">
        <v>-173.53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173.53</v>
      </c>
      <c r="AP162" s="5">
        <v>0</v>
      </c>
      <c r="AQ162" s="5">
        <v>0</v>
      </c>
      <c r="AR162" s="5">
        <v>-3.84</v>
      </c>
      <c r="AS162" s="5">
        <v>6.97</v>
      </c>
      <c r="AT162" s="5">
        <v>0</v>
      </c>
    </row>
    <row r="163" spans="1:46" x14ac:dyDescent="0.2">
      <c r="A163" s="1" t="s">
        <v>369</v>
      </c>
      <c r="B163" s="1" t="s">
        <v>370</v>
      </c>
      <c r="C163" s="1" t="s">
        <v>48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4">
        <v>0</v>
      </c>
      <c r="R163" s="5">
        <v>35.840000000000003</v>
      </c>
      <c r="S163" s="5">
        <v>37.81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6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</row>
    <row r="164" spans="1:46" x14ac:dyDescent="0.2">
      <c r="A164" s="1" t="s">
        <v>371</v>
      </c>
      <c r="B164" s="1" t="s">
        <v>372</v>
      </c>
      <c r="C164" s="1" t="s">
        <v>48</v>
      </c>
      <c r="D164" s="3">
        <v>170</v>
      </c>
      <c r="E164" s="3">
        <v>0</v>
      </c>
      <c r="F164" s="3">
        <v>0</v>
      </c>
      <c r="G164" s="3">
        <v>170</v>
      </c>
      <c r="H164" s="3">
        <v>-170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4">
        <v>0</v>
      </c>
      <c r="R164" s="5">
        <v>42.25</v>
      </c>
      <c r="S164" s="5">
        <v>37.28</v>
      </c>
      <c r="T164" s="5">
        <v>0</v>
      </c>
      <c r="U164" s="5">
        <v>0</v>
      </c>
      <c r="V164" s="5">
        <v>-7182.5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6338.34</v>
      </c>
      <c r="AD164" s="6">
        <v>0</v>
      </c>
      <c r="AE164" s="5">
        <v>0</v>
      </c>
      <c r="AF164" s="5">
        <v>0</v>
      </c>
      <c r="AG164" s="5">
        <v>6338.34</v>
      </c>
      <c r="AH164" s="5">
        <v>-6338.34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844.16</v>
      </c>
      <c r="AT164" s="5">
        <v>0</v>
      </c>
    </row>
    <row r="165" spans="1:46" x14ac:dyDescent="0.2">
      <c r="A165" s="1" t="s">
        <v>373</v>
      </c>
      <c r="B165" s="1" t="s">
        <v>374</v>
      </c>
      <c r="C165" s="1" t="s">
        <v>48</v>
      </c>
      <c r="D165" s="3">
        <v>287</v>
      </c>
      <c r="E165" s="3">
        <v>234</v>
      </c>
      <c r="F165" s="3">
        <v>0</v>
      </c>
      <c r="G165" s="3">
        <v>521</v>
      </c>
      <c r="H165" s="3">
        <v>-489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32</v>
      </c>
      <c r="P165" s="3">
        <v>192</v>
      </c>
      <c r="Q165" s="4">
        <v>43.192990999999999</v>
      </c>
      <c r="R165" s="5">
        <v>43.93</v>
      </c>
      <c r="S165" s="5">
        <v>40.67</v>
      </c>
      <c r="T165" s="5">
        <v>10279.620000000001</v>
      </c>
      <c r="U165" s="5">
        <v>0</v>
      </c>
      <c r="V165" s="5">
        <v>-21481.77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11083.9</v>
      </c>
      <c r="AD165" s="6">
        <v>0</v>
      </c>
      <c r="AE165" s="5">
        <v>10107.16</v>
      </c>
      <c r="AF165" s="5">
        <v>0</v>
      </c>
      <c r="AG165" s="5">
        <v>21191.06</v>
      </c>
      <c r="AH165" s="5">
        <v>-19889.5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1301.56</v>
      </c>
      <c r="AP165" s="5">
        <v>0</v>
      </c>
      <c r="AQ165" s="5">
        <v>7809.37</v>
      </c>
      <c r="AR165" s="5">
        <v>-172.46</v>
      </c>
      <c r="AS165" s="5">
        <v>1592.27</v>
      </c>
      <c r="AT165" s="5">
        <v>0</v>
      </c>
    </row>
    <row r="166" spans="1:46" x14ac:dyDescent="0.2">
      <c r="A166" s="1" t="s">
        <v>375</v>
      </c>
      <c r="B166" s="1" t="s">
        <v>376</v>
      </c>
      <c r="C166" s="1" t="s">
        <v>48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4">
        <v>0</v>
      </c>
      <c r="R166" s="5">
        <v>36.25</v>
      </c>
      <c r="S166" s="5">
        <v>43.12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6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</row>
    <row r="167" spans="1:46" x14ac:dyDescent="0.2">
      <c r="A167" s="1" t="s">
        <v>377</v>
      </c>
      <c r="B167" s="1" t="s">
        <v>378</v>
      </c>
      <c r="C167" s="1" t="s">
        <v>48</v>
      </c>
      <c r="D167" s="3">
        <v>612</v>
      </c>
      <c r="E167" s="3">
        <v>4</v>
      </c>
      <c r="F167" s="3">
        <v>0</v>
      </c>
      <c r="G167" s="3">
        <v>616</v>
      </c>
      <c r="H167" s="3">
        <v>-569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47</v>
      </c>
      <c r="P167" s="3">
        <v>34</v>
      </c>
      <c r="Q167" s="4">
        <v>44.092500000000001</v>
      </c>
      <c r="R167" s="5">
        <v>45.53</v>
      </c>
      <c r="S167" s="5">
        <v>39.44</v>
      </c>
      <c r="T167" s="5">
        <v>182.12</v>
      </c>
      <c r="U167" s="5">
        <v>0</v>
      </c>
      <c r="V167" s="5">
        <v>-25906.57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24121.59</v>
      </c>
      <c r="AD167" s="6">
        <v>0</v>
      </c>
      <c r="AE167" s="5">
        <v>176.37</v>
      </c>
      <c r="AF167" s="5">
        <v>0</v>
      </c>
      <c r="AG167" s="5">
        <v>24297.96</v>
      </c>
      <c r="AH167" s="5">
        <v>-22444.06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1853.9</v>
      </c>
      <c r="AP167" s="5">
        <v>0</v>
      </c>
      <c r="AQ167" s="5">
        <v>1341.12</v>
      </c>
      <c r="AR167" s="5">
        <v>-5.75</v>
      </c>
      <c r="AS167" s="5">
        <v>3462.51</v>
      </c>
      <c r="AT167" s="5">
        <v>0</v>
      </c>
    </row>
    <row r="168" spans="1:46" x14ac:dyDescent="0.2">
      <c r="A168" s="1" t="s">
        <v>379</v>
      </c>
      <c r="B168" s="1" t="s">
        <v>380</v>
      </c>
      <c r="C168" s="1" t="s">
        <v>48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4">
        <v>0</v>
      </c>
      <c r="R168" s="5">
        <v>28.12</v>
      </c>
      <c r="S168" s="5">
        <v>32.89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6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</row>
    <row r="169" spans="1:46" x14ac:dyDescent="0.2">
      <c r="A169" s="1" t="s">
        <v>381</v>
      </c>
      <c r="B169" s="1" t="s">
        <v>382</v>
      </c>
      <c r="C169" s="1" t="s">
        <v>48</v>
      </c>
      <c r="D169" s="3">
        <v>225</v>
      </c>
      <c r="E169" s="3">
        <v>1</v>
      </c>
      <c r="F169" s="3">
        <v>0</v>
      </c>
      <c r="G169" s="3">
        <v>226</v>
      </c>
      <c r="H169" s="3">
        <v>-166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60</v>
      </c>
      <c r="P169" s="3">
        <v>0</v>
      </c>
      <c r="Q169" s="4">
        <v>34.85</v>
      </c>
      <c r="R169" s="5">
        <v>35.19</v>
      </c>
      <c r="S169" s="5">
        <v>31.19</v>
      </c>
      <c r="T169" s="5">
        <v>35.19</v>
      </c>
      <c r="U169" s="5">
        <v>0</v>
      </c>
      <c r="V169" s="5">
        <v>-5841.54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7013</v>
      </c>
      <c r="AD169" s="6">
        <v>0</v>
      </c>
      <c r="AE169" s="5">
        <v>34.85</v>
      </c>
      <c r="AF169" s="5">
        <v>0</v>
      </c>
      <c r="AG169" s="5">
        <v>7047.85</v>
      </c>
      <c r="AH169" s="5">
        <v>-5176.74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1871.11</v>
      </c>
      <c r="AP169" s="5">
        <v>0</v>
      </c>
      <c r="AQ169" s="5">
        <v>0</v>
      </c>
      <c r="AR169" s="5">
        <v>-0.34</v>
      </c>
      <c r="AS169" s="5">
        <v>664.8</v>
      </c>
      <c r="AT169" s="5">
        <v>0</v>
      </c>
    </row>
    <row r="170" spans="1:46" x14ac:dyDescent="0.2">
      <c r="A170" s="1" t="s">
        <v>383</v>
      </c>
      <c r="B170" s="1" t="s">
        <v>384</v>
      </c>
      <c r="C170" s="1" t="s">
        <v>48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4">
        <v>0</v>
      </c>
      <c r="R170" s="5">
        <v>48.39</v>
      </c>
      <c r="S170" s="5">
        <v>54.22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6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</row>
    <row r="171" spans="1:46" x14ac:dyDescent="0.2">
      <c r="A171" s="1" t="s">
        <v>385</v>
      </c>
      <c r="B171" s="1" t="s">
        <v>386</v>
      </c>
      <c r="C171" s="1" t="s">
        <v>48</v>
      </c>
      <c r="D171" s="3">
        <v>770</v>
      </c>
      <c r="E171" s="3">
        <v>1276</v>
      </c>
      <c r="F171" s="3">
        <v>0</v>
      </c>
      <c r="G171" s="3">
        <v>2046</v>
      </c>
      <c r="H171" s="3">
        <v>-1713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333</v>
      </c>
      <c r="P171" s="3">
        <v>517</v>
      </c>
      <c r="Q171" s="4">
        <v>41.977930999999998</v>
      </c>
      <c r="R171" s="5">
        <v>42.92</v>
      </c>
      <c r="S171" s="5">
        <v>40.79</v>
      </c>
      <c r="T171" s="5">
        <v>54765.919999999998</v>
      </c>
      <c r="U171" s="5">
        <v>0</v>
      </c>
      <c r="V171" s="5">
        <v>-73521.960000000006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29888.32</v>
      </c>
      <c r="AD171" s="6">
        <v>0</v>
      </c>
      <c r="AE171" s="5">
        <v>53563.839999999997</v>
      </c>
      <c r="AF171" s="5">
        <v>0</v>
      </c>
      <c r="AG171" s="5">
        <v>83452.160000000003</v>
      </c>
      <c r="AH171" s="5">
        <v>-69869.77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13582.39</v>
      </c>
      <c r="AP171" s="5">
        <v>0</v>
      </c>
      <c r="AQ171" s="5">
        <v>21087.37</v>
      </c>
      <c r="AR171" s="5">
        <v>-1202.08</v>
      </c>
      <c r="AS171" s="5">
        <v>3652.19</v>
      </c>
      <c r="AT171" s="5">
        <v>0</v>
      </c>
    </row>
    <row r="172" spans="1:46" x14ac:dyDescent="0.2">
      <c r="A172" s="1" t="s">
        <v>387</v>
      </c>
      <c r="B172" s="1" t="s">
        <v>388</v>
      </c>
      <c r="C172" s="1" t="s">
        <v>48</v>
      </c>
      <c r="D172" s="3">
        <v>931</v>
      </c>
      <c r="E172" s="3">
        <v>603</v>
      </c>
      <c r="F172" s="3">
        <v>0</v>
      </c>
      <c r="G172" s="3">
        <v>1534</v>
      </c>
      <c r="H172" s="3">
        <v>-952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582</v>
      </c>
      <c r="P172" s="3">
        <v>575</v>
      </c>
      <c r="Q172" s="4">
        <v>39.029336999999998</v>
      </c>
      <c r="R172" s="5">
        <v>39.99</v>
      </c>
      <c r="S172" s="5">
        <v>37.090000000000003</v>
      </c>
      <c r="T172" s="5">
        <v>24113.97</v>
      </c>
      <c r="U172" s="5">
        <v>0</v>
      </c>
      <c r="V172" s="5">
        <v>-38070.480000000003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33363.089999999997</v>
      </c>
      <c r="AD172" s="6">
        <v>0</v>
      </c>
      <c r="AE172" s="5">
        <v>23534.69</v>
      </c>
      <c r="AF172" s="5">
        <v>0</v>
      </c>
      <c r="AG172" s="5">
        <v>56897.78</v>
      </c>
      <c r="AH172" s="5">
        <v>-35310.75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21587.03</v>
      </c>
      <c r="AP172" s="5">
        <v>0</v>
      </c>
      <c r="AQ172" s="5">
        <v>21327.39</v>
      </c>
      <c r="AR172" s="5">
        <v>-579.28</v>
      </c>
      <c r="AS172" s="5">
        <v>2759.73</v>
      </c>
      <c r="AT172" s="5">
        <v>0</v>
      </c>
    </row>
    <row r="173" spans="1:46" x14ac:dyDescent="0.2">
      <c r="A173" s="1" t="s">
        <v>389</v>
      </c>
      <c r="B173" s="1" t="s">
        <v>390</v>
      </c>
      <c r="C173" s="1" t="s">
        <v>48</v>
      </c>
      <c r="D173" s="3">
        <v>112</v>
      </c>
      <c r="E173" s="3">
        <v>0</v>
      </c>
      <c r="F173" s="3">
        <v>0</v>
      </c>
      <c r="G173" s="3">
        <v>112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112</v>
      </c>
      <c r="P173" s="3">
        <v>0</v>
      </c>
      <c r="Q173" s="4">
        <v>0</v>
      </c>
      <c r="R173" s="5">
        <v>30.05</v>
      </c>
      <c r="S173" s="5">
        <v>30.59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3425.65</v>
      </c>
      <c r="AD173" s="6">
        <v>0</v>
      </c>
      <c r="AE173" s="5">
        <v>0</v>
      </c>
      <c r="AF173" s="5">
        <v>0</v>
      </c>
      <c r="AG173" s="5">
        <v>3425.65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3425.65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</row>
    <row r="174" spans="1:46" x14ac:dyDescent="0.2">
      <c r="A174" s="1" t="s">
        <v>391</v>
      </c>
      <c r="B174" s="1" t="s">
        <v>392</v>
      </c>
      <c r="C174" s="1" t="s">
        <v>48</v>
      </c>
      <c r="D174" s="3">
        <v>11</v>
      </c>
      <c r="E174" s="3">
        <v>0</v>
      </c>
      <c r="F174" s="3">
        <v>0</v>
      </c>
      <c r="G174" s="3">
        <v>11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11</v>
      </c>
      <c r="P174" s="3">
        <v>0</v>
      </c>
      <c r="Q174" s="4">
        <v>0</v>
      </c>
      <c r="R174" s="5">
        <v>28.15</v>
      </c>
      <c r="S174" s="5">
        <v>28.43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312.7</v>
      </c>
      <c r="AD174" s="6">
        <v>0</v>
      </c>
      <c r="AE174" s="5">
        <v>0</v>
      </c>
      <c r="AF174" s="5">
        <v>0</v>
      </c>
      <c r="AG174" s="5">
        <v>312.7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312.7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</row>
    <row r="175" spans="1:46" x14ac:dyDescent="0.2">
      <c r="A175" s="1" t="s">
        <v>393</v>
      </c>
      <c r="B175" s="1" t="s">
        <v>394</v>
      </c>
      <c r="C175" s="1" t="s">
        <v>48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4">
        <v>0</v>
      </c>
      <c r="R175" s="5">
        <v>29.38</v>
      </c>
      <c r="S175" s="5">
        <v>27.46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6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</row>
    <row r="176" spans="1:46" x14ac:dyDescent="0.2">
      <c r="A176" s="1" t="s">
        <v>395</v>
      </c>
      <c r="B176" s="1" t="s">
        <v>396</v>
      </c>
      <c r="C176" s="1" t="s">
        <v>48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4">
        <v>0</v>
      </c>
      <c r="R176" s="5">
        <v>39.26</v>
      </c>
      <c r="S176" s="5">
        <v>55.6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6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</row>
    <row r="177" spans="1:46" x14ac:dyDescent="0.2">
      <c r="A177" s="1" t="s">
        <v>397</v>
      </c>
      <c r="B177" s="1" t="s">
        <v>398</v>
      </c>
      <c r="C177" s="1" t="s">
        <v>48</v>
      </c>
      <c r="D177" s="3">
        <v>59</v>
      </c>
      <c r="E177" s="3">
        <v>123</v>
      </c>
      <c r="F177" s="3">
        <v>0</v>
      </c>
      <c r="G177" s="3">
        <v>182</v>
      </c>
      <c r="H177" s="3">
        <v>-57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125</v>
      </c>
      <c r="P177" s="3">
        <v>0</v>
      </c>
      <c r="Q177" s="4">
        <v>47.467804999999998</v>
      </c>
      <c r="R177" s="5">
        <v>49.02</v>
      </c>
      <c r="S177" s="5">
        <v>45.89</v>
      </c>
      <c r="T177" s="5">
        <v>6029.46</v>
      </c>
      <c r="U177" s="5">
        <v>0</v>
      </c>
      <c r="V177" s="5">
        <v>-2794.14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2512.91</v>
      </c>
      <c r="AD177" s="6">
        <v>0</v>
      </c>
      <c r="AE177" s="5">
        <v>5838.54</v>
      </c>
      <c r="AF177" s="5">
        <v>0</v>
      </c>
      <c r="AG177" s="5">
        <v>8351.4500000000007</v>
      </c>
      <c r="AH177" s="5">
        <v>-2615.56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5735.89</v>
      </c>
      <c r="AP177" s="5">
        <v>0</v>
      </c>
      <c r="AQ177" s="5">
        <v>0</v>
      </c>
      <c r="AR177" s="5">
        <v>-190.92</v>
      </c>
      <c r="AS177" s="5">
        <v>178.58</v>
      </c>
      <c r="AT177" s="5">
        <v>0</v>
      </c>
    </row>
    <row r="178" spans="1:46" x14ac:dyDescent="0.2">
      <c r="A178" s="1" t="s">
        <v>399</v>
      </c>
      <c r="B178" s="1" t="s">
        <v>400</v>
      </c>
      <c r="C178" s="1" t="s">
        <v>48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4">
        <v>0</v>
      </c>
      <c r="R178" s="5">
        <v>64.180000000000007</v>
      </c>
      <c r="S178" s="5">
        <v>44.74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6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</row>
    <row r="179" spans="1:46" x14ac:dyDescent="0.2">
      <c r="A179" s="1" t="s">
        <v>401</v>
      </c>
      <c r="B179" s="1" t="s">
        <v>402</v>
      </c>
      <c r="C179" s="1" t="s">
        <v>48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4">
        <v>0</v>
      </c>
      <c r="R179" s="5">
        <v>51.1</v>
      </c>
      <c r="S179" s="5">
        <v>55.84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6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</row>
    <row r="180" spans="1:46" x14ac:dyDescent="0.2">
      <c r="A180" s="1" t="s">
        <v>403</v>
      </c>
      <c r="B180" s="1" t="s">
        <v>404</v>
      </c>
      <c r="C180" s="1" t="s">
        <v>48</v>
      </c>
      <c r="D180" s="3">
        <v>63</v>
      </c>
      <c r="E180" s="3">
        <v>9</v>
      </c>
      <c r="F180" s="3">
        <v>0</v>
      </c>
      <c r="G180" s="3">
        <v>72</v>
      </c>
      <c r="H180" s="3">
        <v>-70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2</v>
      </c>
      <c r="P180" s="3">
        <v>10</v>
      </c>
      <c r="Q180" s="4">
        <v>48.158889000000002</v>
      </c>
      <c r="R180" s="5">
        <v>48.61</v>
      </c>
      <c r="S180" s="5">
        <v>43.75</v>
      </c>
      <c r="T180" s="5">
        <v>437.49</v>
      </c>
      <c r="U180" s="5">
        <v>0</v>
      </c>
      <c r="V180" s="5">
        <v>-3402.7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2716.59</v>
      </c>
      <c r="AD180" s="6">
        <v>0</v>
      </c>
      <c r="AE180" s="5">
        <v>433.43</v>
      </c>
      <c r="AF180" s="5">
        <v>0</v>
      </c>
      <c r="AG180" s="5">
        <v>3150.02</v>
      </c>
      <c r="AH180" s="5">
        <v>-3062.51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87.5</v>
      </c>
      <c r="AP180" s="5">
        <v>0</v>
      </c>
      <c r="AQ180" s="5">
        <v>437.5</v>
      </c>
      <c r="AR180" s="5">
        <v>-4.0599999999999996</v>
      </c>
      <c r="AS180" s="5">
        <v>340.19</v>
      </c>
      <c r="AT180" s="5">
        <v>0</v>
      </c>
    </row>
    <row r="181" spans="1:46" x14ac:dyDescent="0.2">
      <c r="A181" s="1" t="s">
        <v>405</v>
      </c>
      <c r="B181" s="1" t="s">
        <v>406</v>
      </c>
      <c r="C181" s="1" t="s">
        <v>48</v>
      </c>
      <c r="D181" s="3">
        <v>279</v>
      </c>
      <c r="E181" s="3">
        <v>0</v>
      </c>
      <c r="F181" s="3">
        <v>0</v>
      </c>
      <c r="G181" s="3">
        <v>279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279</v>
      </c>
      <c r="P181" s="3">
        <v>0</v>
      </c>
      <c r="Q181" s="4">
        <v>0</v>
      </c>
      <c r="R181" s="5">
        <v>34.75</v>
      </c>
      <c r="S181" s="5">
        <v>34.69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9678.66</v>
      </c>
      <c r="AD181" s="6">
        <v>0</v>
      </c>
      <c r="AE181" s="5">
        <v>0</v>
      </c>
      <c r="AF181" s="5">
        <v>0</v>
      </c>
      <c r="AG181" s="5">
        <v>9678.66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9678.66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</row>
    <row r="182" spans="1:46" x14ac:dyDescent="0.2">
      <c r="A182" s="1" t="s">
        <v>407</v>
      </c>
      <c r="B182" s="1" t="s">
        <v>408</v>
      </c>
      <c r="C182" s="1" t="s">
        <v>48</v>
      </c>
      <c r="D182" s="3">
        <v>317</v>
      </c>
      <c r="E182" s="3">
        <v>520</v>
      </c>
      <c r="F182" s="3">
        <v>0</v>
      </c>
      <c r="G182" s="3">
        <v>837</v>
      </c>
      <c r="H182" s="3">
        <v>-551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286</v>
      </c>
      <c r="P182" s="3">
        <v>234</v>
      </c>
      <c r="Q182" s="4">
        <v>43.618827000000003</v>
      </c>
      <c r="R182" s="5">
        <v>44.37</v>
      </c>
      <c r="S182" s="5">
        <v>41.87</v>
      </c>
      <c r="T182" s="5">
        <v>23072.400000000001</v>
      </c>
      <c r="U182" s="5">
        <v>0</v>
      </c>
      <c r="V182" s="5">
        <v>-24447.87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12365.9</v>
      </c>
      <c r="AD182" s="6">
        <v>0</v>
      </c>
      <c r="AE182" s="5">
        <v>22681.79</v>
      </c>
      <c r="AF182" s="5">
        <v>0</v>
      </c>
      <c r="AG182" s="5">
        <v>35047.69</v>
      </c>
      <c r="AH182" s="5">
        <v>-23072.01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11975.67</v>
      </c>
      <c r="AP182" s="5">
        <v>0</v>
      </c>
      <c r="AQ182" s="5">
        <v>9798.2800000000007</v>
      </c>
      <c r="AR182" s="5">
        <v>-390.61</v>
      </c>
      <c r="AS182" s="5">
        <v>1375.86</v>
      </c>
      <c r="AT182" s="5">
        <v>0</v>
      </c>
    </row>
    <row r="183" spans="1:46" x14ac:dyDescent="0.2">
      <c r="A183" s="1" t="s">
        <v>409</v>
      </c>
      <c r="B183" s="1" t="s">
        <v>410</v>
      </c>
      <c r="C183" s="1" t="s">
        <v>48</v>
      </c>
      <c r="D183" s="3">
        <v>246</v>
      </c>
      <c r="E183" s="3">
        <v>12</v>
      </c>
      <c r="F183" s="3">
        <v>0</v>
      </c>
      <c r="G183" s="3">
        <v>258</v>
      </c>
      <c r="H183" s="3">
        <v>-165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93</v>
      </c>
      <c r="P183" s="3">
        <v>0</v>
      </c>
      <c r="Q183" s="4">
        <v>45.252499999999998</v>
      </c>
      <c r="R183" s="5">
        <v>46.16</v>
      </c>
      <c r="S183" s="5">
        <v>40.9</v>
      </c>
      <c r="T183" s="5">
        <v>553.91999999999996</v>
      </c>
      <c r="U183" s="5">
        <v>0</v>
      </c>
      <c r="V183" s="5">
        <v>-7616.4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10010.25</v>
      </c>
      <c r="AD183" s="6">
        <v>0</v>
      </c>
      <c r="AE183" s="5">
        <v>543.03</v>
      </c>
      <c r="AF183" s="5">
        <v>0</v>
      </c>
      <c r="AG183" s="5">
        <v>10553.28</v>
      </c>
      <c r="AH183" s="5">
        <v>-6749.19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3804.09</v>
      </c>
      <c r="AP183" s="5">
        <v>0</v>
      </c>
      <c r="AQ183" s="5">
        <v>0</v>
      </c>
      <c r="AR183" s="5">
        <v>-10.89</v>
      </c>
      <c r="AS183" s="5">
        <v>867.21</v>
      </c>
      <c r="AT183" s="5">
        <v>0</v>
      </c>
    </row>
    <row r="184" spans="1:46" x14ac:dyDescent="0.2">
      <c r="A184" s="1" t="s">
        <v>411</v>
      </c>
      <c r="B184" s="1" t="s">
        <v>412</v>
      </c>
      <c r="C184" s="1" t="s">
        <v>48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4">
        <v>0</v>
      </c>
      <c r="R184" s="5">
        <v>39.26</v>
      </c>
      <c r="S184" s="5">
        <v>44.58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6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</row>
    <row r="185" spans="1:46" x14ac:dyDescent="0.2">
      <c r="A185" s="1" t="s">
        <v>413</v>
      </c>
      <c r="B185" s="1" t="s">
        <v>414</v>
      </c>
      <c r="C185" s="1" t="s">
        <v>48</v>
      </c>
      <c r="D185" s="3">
        <v>23</v>
      </c>
      <c r="E185" s="3">
        <v>-1</v>
      </c>
      <c r="F185" s="3">
        <v>0</v>
      </c>
      <c r="G185" s="3">
        <v>22</v>
      </c>
      <c r="H185" s="3">
        <v>-20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2</v>
      </c>
      <c r="P185" s="3">
        <v>1</v>
      </c>
      <c r="Q185" s="4">
        <v>43.43</v>
      </c>
      <c r="R185" s="5">
        <v>49.91</v>
      </c>
      <c r="S185" s="5">
        <v>43.43</v>
      </c>
      <c r="T185" s="5">
        <v>-49.91</v>
      </c>
      <c r="U185" s="5">
        <v>0</v>
      </c>
      <c r="V185" s="5">
        <v>-998.2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998.79</v>
      </c>
      <c r="AD185" s="6">
        <v>0</v>
      </c>
      <c r="AE185" s="5">
        <v>-43.43</v>
      </c>
      <c r="AF185" s="5">
        <v>0</v>
      </c>
      <c r="AG185" s="5">
        <v>955.36</v>
      </c>
      <c r="AH185" s="5">
        <v>-868.51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86.85</v>
      </c>
      <c r="AP185" s="5">
        <v>0</v>
      </c>
      <c r="AQ185" s="5">
        <v>43.43</v>
      </c>
      <c r="AR185" s="5">
        <v>6.48</v>
      </c>
      <c r="AS185" s="5">
        <v>129.69</v>
      </c>
      <c r="AT185" s="5">
        <v>0</v>
      </c>
    </row>
    <row r="186" spans="1:46" x14ac:dyDescent="0.2">
      <c r="A186" s="1" t="s">
        <v>415</v>
      </c>
      <c r="B186" s="1" t="s">
        <v>416</v>
      </c>
      <c r="C186" s="1" t="s">
        <v>48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4">
        <v>0</v>
      </c>
      <c r="R186" s="5">
        <v>31.72</v>
      </c>
      <c r="S186" s="5">
        <v>43.73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6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</row>
    <row r="187" spans="1:46" x14ac:dyDescent="0.2">
      <c r="A187" s="1" t="s">
        <v>417</v>
      </c>
      <c r="B187" s="1" t="s">
        <v>418</v>
      </c>
      <c r="C187" s="1" t="s">
        <v>48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4">
        <v>0</v>
      </c>
      <c r="R187" s="5">
        <v>44.23</v>
      </c>
      <c r="S187" s="5">
        <v>56.19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6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</row>
    <row r="188" spans="1:46" x14ac:dyDescent="0.2">
      <c r="A188" s="1" t="s">
        <v>419</v>
      </c>
      <c r="B188" s="1" t="s">
        <v>420</v>
      </c>
      <c r="C188" s="1" t="s">
        <v>48</v>
      </c>
      <c r="D188" s="3">
        <v>140</v>
      </c>
      <c r="E188" s="3">
        <v>0</v>
      </c>
      <c r="F188" s="3">
        <v>0</v>
      </c>
      <c r="G188" s="3">
        <v>140</v>
      </c>
      <c r="H188" s="3">
        <v>-33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107</v>
      </c>
      <c r="P188" s="3">
        <v>0</v>
      </c>
      <c r="Q188" s="4">
        <v>0</v>
      </c>
      <c r="R188" s="5">
        <v>27.29</v>
      </c>
      <c r="S188" s="5">
        <v>24.21</v>
      </c>
      <c r="T188" s="5">
        <v>0</v>
      </c>
      <c r="U188" s="5">
        <v>0</v>
      </c>
      <c r="V188" s="5">
        <v>-900.57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3389.74</v>
      </c>
      <c r="AD188" s="6">
        <v>0</v>
      </c>
      <c r="AE188" s="5">
        <v>0</v>
      </c>
      <c r="AF188" s="5">
        <v>0</v>
      </c>
      <c r="AG188" s="5">
        <v>3389.74</v>
      </c>
      <c r="AH188" s="5">
        <v>-799.01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2590.73</v>
      </c>
      <c r="AP188" s="5">
        <v>0</v>
      </c>
      <c r="AQ188" s="5">
        <v>0</v>
      </c>
      <c r="AR188" s="5">
        <v>0</v>
      </c>
      <c r="AS188" s="5">
        <v>101.56</v>
      </c>
      <c r="AT188" s="5">
        <v>0</v>
      </c>
    </row>
    <row r="189" spans="1:46" x14ac:dyDescent="0.2">
      <c r="A189" s="1" t="s">
        <v>421</v>
      </c>
      <c r="B189" s="1" t="s">
        <v>422</v>
      </c>
      <c r="C189" s="1" t="s">
        <v>48</v>
      </c>
      <c r="D189" s="3">
        <v>369</v>
      </c>
      <c r="E189" s="3">
        <v>835</v>
      </c>
      <c r="F189" s="3">
        <v>0</v>
      </c>
      <c r="G189" s="3">
        <v>1204</v>
      </c>
      <c r="H189" s="3">
        <v>-934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270</v>
      </c>
      <c r="P189" s="3">
        <v>192</v>
      </c>
      <c r="Q189" s="4">
        <v>44.395640999999998</v>
      </c>
      <c r="R189" s="5">
        <v>44.77</v>
      </c>
      <c r="S189" s="5">
        <v>42.88</v>
      </c>
      <c r="T189" s="5">
        <v>37382.949999999997</v>
      </c>
      <c r="U189" s="5">
        <v>0</v>
      </c>
      <c r="V189" s="5">
        <v>-41815.18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14551.9</v>
      </c>
      <c r="AD189" s="6">
        <v>0</v>
      </c>
      <c r="AE189" s="5">
        <v>37070.36</v>
      </c>
      <c r="AF189" s="5">
        <v>0</v>
      </c>
      <c r="AG189" s="5">
        <v>51622.26</v>
      </c>
      <c r="AH189" s="5">
        <v>-40045.839999999997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11576.42</v>
      </c>
      <c r="AP189" s="5">
        <v>0</v>
      </c>
      <c r="AQ189" s="5">
        <v>8232.1200000000008</v>
      </c>
      <c r="AR189" s="5">
        <v>-312.58999999999997</v>
      </c>
      <c r="AS189" s="5">
        <v>1769.34</v>
      </c>
      <c r="AT189" s="5">
        <v>0</v>
      </c>
    </row>
    <row r="190" spans="1:46" x14ac:dyDescent="0.2">
      <c r="A190" s="1" t="s">
        <v>423</v>
      </c>
      <c r="B190" s="1" t="s">
        <v>424</v>
      </c>
      <c r="C190" s="1" t="s">
        <v>48</v>
      </c>
      <c r="D190" s="3">
        <v>1541</v>
      </c>
      <c r="E190" s="3">
        <v>6818</v>
      </c>
      <c r="F190" s="3">
        <v>0</v>
      </c>
      <c r="G190" s="3">
        <v>8359</v>
      </c>
      <c r="H190" s="3">
        <v>-7052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1307</v>
      </c>
      <c r="P190" s="3">
        <v>0</v>
      </c>
      <c r="Q190" s="4">
        <v>34.733781</v>
      </c>
      <c r="R190" s="5">
        <v>35.01</v>
      </c>
      <c r="S190" s="5">
        <v>34.020000000000003</v>
      </c>
      <c r="T190" s="5">
        <v>238698.18</v>
      </c>
      <c r="U190" s="5">
        <v>0</v>
      </c>
      <c r="V190" s="5">
        <v>-246890.52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47558.87</v>
      </c>
      <c r="AD190" s="6">
        <v>0</v>
      </c>
      <c r="AE190" s="5">
        <v>236814.92</v>
      </c>
      <c r="AF190" s="5">
        <v>0</v>
      </c>
      <c r="AG190" s="5">
        <v>284373.78999999998</v>
      </c>
      <c r="AH190" s="5">
        <v>-239909.55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44464.24</v>
      </c>
      <c r="AP190" s="5">
        <v>0</v>
      </c>
      <c r="AQ190" s="5">
        <v>0</v>
      </c>
      <c r="AR190" s="5">
        <v>-1883.26</v>
      </c>
      <c r="AS190" s="5">
        <v>6980.97</v>
      </c>
      <c r="AT190" s="5">
        <v>0</v>
      </c>
    </row>
    <row r="191" spans="1:46" x14ac:dyDescent="0.2">
      <c r="A191" s="1" t="s">
        <v>425</v>
      </c>
      <c r="B191" s="1" t="s">
        <v>426</v>
      </c>
      <c r="C191" s="1" t="s">
        <v>48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4">
        <v>0</v>
      </c>
      <c r="R191" s="5">
        <v>53.72</v>
      </c>
      <c r="S191" s="5">
        <v>52.04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6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</row>
    <row r="192" spans="1:46" x14ac:dyDescent="0.2">
      <c r="A192" s="1" t="s">
        <v>427</v>
      </c>
      <c r="B192" s="1" t="s">
        <v>428</v>
      </c>
      <c r="C192" s="1" t="s">
        <v>48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4">
        <v>0</v>
      </c>
      <c r="R192" s="5">
        <v>30.92</v>
      </c>
      <c r="S192" s="5">
        <v>32.979999999999997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6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</row>
    <row r="193" spans="1:46" x14ac:dyDescent="0.2">
      <c r="A193" s="1" t="s">
        <v>429</v>
      </c>
      <c r="B193" s="1" t="s">
        <v>430</v>
      </c>
      <c r="C193" s="1" t="s">
        <v>48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4">
        <v>0</v>
      </c>
      <c r="R193" s="5">
        <v>32.869999999999997</v>
      </c>
      <c r="S193" s="5">
        <v>33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6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</row>
    <row r="194" spans="1:46" x14ac:dyDescent="0.2">
      <c r="A194" s="1" t="s">
        <v>431</v>
      </c>
      <c r="B194" s="1" t="s">
        <v>432</v>
      </c>
      <c r="C194" s="1" t="s">
        <v>48</v>
      </c>
      <c r="D194" s="3">
        <v>26</v>
      </c>
      <c r="E194" s="3">
        <v>0</v>
      </c>
      <c r="F194" s="3">
        <v>0</v>
      </c>
      <c r="G194" s="3">
        <v>26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26</v>
      </c>
      <c r="P194" s="3">
        <v>0</v>
      </c>
      <c r="Q194" s="4">
        <v>0</v>
      </c>
      <c r="R194" s="5">
        <v>38.71</v>
      </c>
      <c r="S194" s="5">
        <v>35.450000000000003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921.65</v>
      </c>
      <c r="AD194" s="6">
        <v>0</v>
      </c>
      <c r="AE194" s="5">
        <v>0</v>
      </c>
      <c r="AF194" s="5">
        <v>0</v>
      </c>
      <c r="AG194" s="5">
        <v>921.65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921.65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</row>
    <row r="195" spans="1:46" x14ac:dyDescent="0.2">
      <c r="A195" s="1" t="s">
        <v>433</v>
      </c>
      <c r="B195" s="1" t="s">
        <v>434</v>
      </c>
      <c r="C195" s="1" t="s">
        <v>48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4">
        <v>0</v>
      </c>
      <c r="R195" s="5">
        <v>36.81</v>
      </c>
      <c r="S195" s="5">
        <v>80.14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6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</row>
    <row r="196" spans="1:46" x14ac:dyDescent="0.2">
      <c r="A196" s="1" t="s">
        <v>435</v>
      </c>
      <c r="B196" s="1" t="s">
        <v>436</v>
      </c>
      <c r="C196" s="1" t="s">
        <v>48</v>
      </c>
      <c r="D196" s="3">
        <v>224</v>
      </c>
      <c r="E196" s="3">
        <v>222</v>
      </c>
      <c r="F196" s="3">
        <v>0</v>
      </c>
      <c r="G196" s="3">
        <v>446</v>
      </c>
      <c r="H196" s="3">
        <v>-215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231</v>
      </c>
      <c r="P196" s="3">
        <v>0</v>
      </c>
      <c r="Q196" s="4">
        <v>44.910044999999997</v>
      </c>
      <c r="R196" s="5">
        <v>46.46</v>
      </c>
      <c r="S196" s="5">
        <v>42.51</v>
      </c>
      <c r="T196" s="5">
        <v>10314.120000000001</v>
      </c>
      <c r="U196" s="5">
        <v>0</v>
      </c>
      <c r="V196" s="5">
        <v>-9988.9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8988.35</v>
      </c>
      <c r="AD196" s="6">
        <v>0</v>
      </c>
      <c r="AE196" s="5">
        <v>9970.0300000000007</v>
      </c>
      <c r="AF196" s="5">
        <v>0</v>
      </c>
      <c r="AG196" s="5">
        <v>18958.38</v>
      </c>
      <c r="AH196" s="5">
        <v>-9139.1299999999992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9819.25</v>
      </c>
      <c r="AP196" s="5">
        <v>0</v>
      </c>
      <c r="AQ196" s="5">
        <v>0</v>
      </c>
      <c r="AR196" s="5">
        <v>-344.09</v>
      </c>
      <c r="AS196" s="5">
        <v>849.77</v>
      </c>
      <c r="AT196" s="5">
        <v>0</v>
      </c>
    </row>
    <row r="197" spans="1:46" x14ac:dyDescent="0.2">
      <c r="A197" s="1" t="s">
        <v>437</v>
      </c>
      <c r="B197" s="1" t="s">
        <v>438</v>
      </c>
      <c r="C197" s="1" t="s">
        <v>48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4">
        <v>0</v>
      </c>
      <c r="R197" s="5">
        <v>31.72</v>
      </c>
      <c r="S197" s="5">
        <v>36.92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6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</row>
    <row r="198" spans="1:46" x14ac:dyDescent="0.2">
      <c r="A198" s="1" t="s">
        <v>439</v>
      </c>
      <c r="B198" s="1" t="s">
        <v>440</v>
      </c>
      <c r="C198" s="1" t="s">
        <v>48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4">
        <v>0</v>
      </c>
      <c r="R198" s="5">
        <v>31.61</v>
      </c>
      <c r="S198" s="5">
        <v>28.49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6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</row>
    <row r="199" spans="1:46" x14ac:dyDescent="0.2">
      <c r="A199" s="1" t="s">
        <v>441</v>
      </c>
      <c r="B199" s="1" t="s">
        <v>442</v>
      </c>
      <c r="C199" s="1" t="s">
        <v>48</v>
      </c>
      <c r="D199" s="3">
        <v>7</v>
      </c>
      <c r="E199" s="3">
        <v>0</v>
      </c>
      <c r="F199" s="3">
        <v>0</v>
      </c>
      <c r="G199" s="3">
        <v>7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7</v>
      </c>
      <c r="P199" s="3">
        <v>0</v>
      </c>
      <c r="Q199" s="4">
        <v>0</v>
      </c>
      <c r="R199" s="5">
        <v>40.090000000000003</v>
      </c>
      <c r="S199" s="5">
        <v>40.380000000000003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282.67</v>
      </c>
      <c r="AD199" s="6">
        <v>0</v>
      </c>
      <c r="AE199" s="5">
        <v>0</v>
      </c>
      <c r="AF199" s="5">
        <v>0</v>
      </c>
      <c r="AG199" s="5">
        <v>282.67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282.67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</row>
    <row r="200" spans="1:46" x14ac:dyDescent="0.2">
      <c r="A200" s="1" t="s">
        <v>443</v>
      </c>
      <c r="B200" s="1" t="s">
        <v>444</v>
      </c>
      <c r="C200" s="1" t="s">
        <v>48</v>
      </c>
      <c r="D200" s="3">
        <v>12</v>
      </c>
      <c r="E200" s="3">
        <v>0</v>
      </c>
      <c r="F200" s="3">
        <v>0</v>
      </c>
      <c r="G200" s="3">
        <v>12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12</v>
      </c>
      <c r="P200" s="3">
        <v>0</v>
      </c>
      <c r="Q200" s="4">
        <v>0</v>
      </c>
      <c r="R200" s="5">
        <v>33</v>
      </c>
      <c r="S200" s="5">
        <v>33.51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402.15</v>
      </c>
      <c r="AD200" s="6">
        <v>0</v>
      </c>
      <c r="AE200" s="5">
        <v>0</v>
      </c>
      <c r="AF200" s="5">
        <v>0</v>
      </c>
      <c r="AG200" s="5">
        <v>402.15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402.15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</row>
    <row r="201" spans="1:46" x14ac:dyDescent="0.2">
      <c r="A201" s="1" t="s">
        <v>445</v>
      </c>
      <c r="B201" s="1" t="s">
        <v>446</v>
      </c>
      <c r="C201" s="1" t="s">
        <v>48</v>
      </c>
      <c r="D201" s="3">
        <v>30</v>
      </c>
      <c r="E201" s="3">
        <v>0</v>
      </c>
      <c r="F201" s="3">
        <v>0</v>
      </c>
      <c r="G201" s="3">
        <v>30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30</v>
      </c>
      <c r="P201" s="3">
        <v>0</v>
      </c>
      <c r="Q201" s="4">
        <v>0</v>
      </c>
      <c r="R201" s="5">
        <v>39.479999999999997</v>
      </c>
      <c r="S201" s="5">
        <v>38.28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1148.3699999999999</v>
      </c>
      <c r="AD201" s="6">
        <v>0</v>
      </c>
      <c r="AE201" s="5">
        <v>0</v>
      </c>
      <c r="AF201" s="5">
        <v>0</v>
      </c>
      <c r="AG201" s="5">
        <v>1148.3699999999999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1148.3699999999999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</row>
    <row r="202" spans="1:46" x14ac:dyDescent="0.2">
      <c r="A202" s="1" t="s">
        <v>447</v>
      </c>
      <c r="B202" s="1" t="s">
        <v>448</v>
      </c>
      <c r="C202" s="1" t="s">
        <v>48</v>
      </c>
      <c r="D202" s="3">
        <v>110</v>
      </c>
      <c r="E202" s="3">
        <v>564</v>
      </c>
      <c r="F202" s="3">
        <v>0</v>
      </c>
      <c r="G202" s="3">
        <v>674</v>
      </c>
      <c r="H202" s="3">
        <v>-189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485</v>
      </c>
      <c r="P202" s="3">
        <v>0</v>
      </c>
      <c r="Q202" s="4">
        <v>60.083599</v>
      </c>
      <c r="R202" s="5">
        <v>61.71</v>
      </c>
      <c r="S202" s="5">
        <v>59.05</v>
      </c>
      <c r="T202" s="5">
        <v>34804.44</v>
      </c>
      <c r="U202" s="5">
        <v>0</v>
      </c>
      <c r="V202" s="5">
        <v>-11663.19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5914.71</v>
      </c>
      <c r="AD202" s="6">
        <v>0</v>
      </c>
      <c r="AE202" s="5">
        <v>33887.15</v>
      </c>
      <c r="AF202" s="5">
        <v>0</v>
      </c>
      <c r="AG202" s="5">
        <v>39801.86</v>
      </c>
      <c r="AH202" s="5">
        <v>-11161.06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28640.799999999999</v>
      </c>
      <c r="AP202" s="5">
        <v>0</v>
      </c>
      <c r="AQ202" s="5">
        <v>0</v>
      </c>
      <c r="AR202" s="5">
        <v>-917.29</v>
      </c>
      <c r="AS202" s="5">
        <v>502.13</v>
      </c>
      <c r="AT202" s="5">
        <v>0</v>
      </c>
    </row>
    <row r="203" spans="1:46" x14ac:dyDescent="0.2">
      <c r="A203" s="1" t="s">
        <v>449</v>
      </c>
      <c r="B203" s="1" t="s">
        <v>450</v>
      </c>
      <c r="C203" s="1" t="s">
        <v>48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4">
        <v>0</v>
      </c>
      <c r="R203" s="5">
        <v>36.57</v>
      </c>
      <c r="S203" s="5">
        <v>37.14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6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</row>
    <row r="204" spans="1:46" x14ac:dyDescent="0.2">
      <c r="A204" s="1" t="s">
        <v>451</v>
      </c>
      <c r="B204" s="1" t="s">
        <v>452</v>
      </c>
      <c r="C204" s="1" t="s">
        <v>48</v>
      </c>
      <c r="D204" s="3">
        <v>1</v>
      </c>
      <c r="E204" s="3">
        <v>90</v>
      </c>
      <c r="F204" s="3">
        <v>0</v>
      </c>
      <c r="G204" s="3">
        <v>91</v>
      </c>
      <c r="H204" s="3">
        <v>-23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68</v>
      </c>
      <c r="P204" s="3">
        <v>23</v>
      </c>
      <c r="Q204" s="4">
        <v>52.816889000000003</v>
      </c>
      <c r="R204" s="5">
        <v>54.41</v>
      </c>
      <c r="S204" s="5">
        <v>52.76</v>
      </c>
      <c r="T204" s="5">
        <v>4896.8999999999996</v>
      </c>
      <c r="U204" s="5">
        <v>0</v>
      </c>
      <c r="V204" s="5">
        <v>-1251.43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47.42</v>
      </c>
      <c r="AD204" s="6">
        <v>0</v>
      </c>
      <c r="AE204" s="5">
        <v>4753.5200000000004</v>
      </c>
      <c r="AF204" s="5">
        <v>0</v>
      </c>
      <c r="AG204" s="5">
        <v>4800.9399999999996</v>
      </c>
      <c r="AH204" s="5">
        <v>-1213.42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3587.51</v>
      </c>
      <c r="AP204" s="5">
        <v>0</v>
      </c>
      <c r="AQ204" s="5">
        <v>1213.42</v>
      </c>
      <c r="AR204" s="5">
        <v>-143.38</v>
      </c>
      <c r="AS204" s="5">
        <v>38.01</v>
      </c>
      <c r="AT204" s="5">
        <v>0</v>
      </c>
    </row>
    <row r="205" spans="1:46" x14ac:dyDescent="0.2">
      <c r="A205" s="1" t="s">
        <v>453</v>
      </c>
      <c r="B205" s="1" t="s">
        <v>454</v>
      </c>
      <c r="C205" s="1" t="s">
        <v>48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4">
        <v>0</v>
      </c>
      <c r="R205" s="5">
        <v>26.68</v>
      </c>
      <c r="S205" s="5">
        <v>28.54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6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</row>
    <row r="206" spans="1:46" x14ac:dyDescent="0.2">
      <c r="A206" s="1" t="s">
        <v>455</v>
      </c>
      <c r="B206" s="1" t="s">
        <v>456</v>
      </c>
      <c r="C206" s="1" t="s">
        <v>48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4">
        <v>0</v>
      </c>
      <c r="R206" s="5">
        <v>41.06</v>
      </c>
      <c r="S206" s="5">
        <v>47.76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6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</row>
    <row r="207" spans="1:46" x14ac:dyDescent="0.2">
      <c r="A207" s="1" t="s">
        <v>457</v>
      </c>
      <c r="B207" s="1" t="s">
        <v>458</v>
      </c>
      <c r="C207" s="1" t="s">
        <v>48</v>
      </c>
      <c r="D207" s="3">
        <v>36</v>
      </c>
      <c r="E207" s="3">
        <v>0</v>
      </c>
      <c r="F207" s="3">
        <v>0</v>
      </c>
      <c r="G207" s="3">
        <v>36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36</v>
      </c>
      <c r="P207" s="3">
        <v>0</v>
      </c>
      <c r="Q207" s="4">
        <v>0</v>
      </c>
      <c r="R207" s="5">
        <v>59.96</v>
      </c>
      <c r="S207" s="5">
        <v>52.5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1890.14</v>
      </c>
      <c r="AD207" s="6">
        <v>0</v>
      </c>
      <c r="AE207" s="5">
        <v>0</v>
      </c>
      <c r="AF207" s="5">
        <v>0</v>
      </c>
      <c r="AG207" s="5">
        <v>1890.14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1890.14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</row>
    <row r="208" spans="1:46" x14ac:dyDescent="0.2">
      <c r="A208" s="1" t="s">
        <v>459</v>
      </c>
      <c r="B208" s="1" t="s">
        <v>460</v>
      </c>
      <c r="C208" s="1" t="s">
        <v>48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4">
        <v>0</v>
      </c>
      <c r="R208" s="5">
        <v>29.69</v>
      </c>
      <c r="S208" s="5">
        <v>31.83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6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</row>
    <row r="209" spans="1:46" x14ac:dyDescent="0.2">
      <c r="A209" s="1" t="s">
        <v>461</v>
      </c>
      <c r="B209" s="1" t="s">
        <v>462</v>
      </c>
      <c r="C209" s="1" t="s">
        <v>48</v>
      </c>
      <c r="D209" s="3">
        <v>407</v>
      </c>
      <c r="E209" s="3">
        <v>-3</v>
      </c>
      <c r="F209" s="3">
        <v>0</v>
      </c>
      <c r="G209" s="3">
        <v>404</v>
      </c>
      <c r="H209" s="3">
        <v>-45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359</v>
      </c>
      <c r="P209" s="3">
        <v>0</v>
      </c>
      <c r="Q209" s="4">
        <v>40.869999999999997</v>
      </c>
      <c r="R209" s="5">
        <v>44.65</v>
      </c>
      <c r="S209" s="5">
        <v>40.869999999999997</v>
      </c>
      <c r="T209" s="5">
        <v>-133.94999999999999</v>
      </c>
      <c r="U209" s="5">
        <v>0</v>
      </c>
      <c r="V209" s="5">
        <v>-2009.25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16632.61</v>
      </c>
      <c r="AD209" s="6">
        <v>0</v>
      </c>
      <c r="AE209" s="5">
        <v>-122.61</v>
      </c>
      <c r="AF209" s="5">
        <v>0</v>
      </c>
      <c r="AG209" s="5">
        <v>16510</v>
      </c>
      <c r="AH209" s="5">
        <v>-1838.99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14671.01</v>
      </c>
      <c r="AP209" s="5">
        <v>0</v>
      </c>
      <c r="AQ209" s="5">
        <v>0</v>
      </c>
      <c r="AR209" s="5">
        <v>11.34</v>
      </c>
      <c r="AS209" s="5">
        <v>170.26</v>
      </c>
      <c r="AT209" s="5">
        <v>0</v>
      </c>
    </row>
    <row r="210" spans="1:46" x14ac:dyDescent="0.2">
      <c r="A210" s="1" t="s">
        <v>463</v>
      </c>
      <c r="B210" s="1" t="s">
        <v>464</v>
      </c>
      <c r="C210" s="1" t="s">
        <v>48</v>
      </c>
      <c r="D210" s="3">
        <v>13</v>
      </c>
      <c r="E210" s="3">
        <v>2</v>
      </c>
      <c r="F210" s="3">
        <v>0</v>
      </c>
      <c r="G210" s="3">
        <v>15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15</v>
      </c>
      <c r="P210" s="3">
        <v>0</v>
      </c>
      <c r="Q210" s="4">
        <v>50.615000000000002</v>
      </c>
      <c r="R210" s="5">
        <v>51.57</v>
      </c>
      <c r="S210" s="5">
        <v>48.11</v>
      </c>
      <c r="T210" s="5">
        <v>103.14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620.42999999999995</v>
      </c>
      <c r="AD210" s="6">
        <v>0</v>
      </c>
      <c r="AE210" s="5">
        <v>101.23</v>
      </c>
      <c r="AF210" s="5">
        <v>0</v>
      </c>
      <c r="AG210" s="5">
        <v>721.66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721.66</v>
      </c>
      <c r="AP210" s="5">
        <v>0</v>
      </c>
      <c r="AQ210" s="5">
        <v>0</v>
      </c>
      <c r="AR210" s="5">
        <v>-1.91</v>
      </c>
      <c r="AS210" s="5">
        <v>0</v>
      </c>
      <c r="AT210" s="5">
        <v>0</v>
      </c>
    </row>
    <row r="211" spans="1:46" x14ac:dyDescent="0.2">
      <c r="A211" s="1" t="s">
        <v>465</v>
      </c>
      <c r="B211" s="1" t="s">
        <v>466</v>
      </c>
      <c r="C211" s="1" t="s">
        <v>48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4">
        <v>0</v>
      </c>
      <c r="R211" s="5">
        <v>55.9</v>
      </c>
      <c r="S211" s="5">
        <v>56.64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6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</row>
    <row r="212" spans="1:46" x14ac:dyDescent="0.2">
      <c r="A212" s="1" t="s">
        <v>467</v>
      </c>
      <c r="B212" s="1" t="s">
        <v>468</v>
      </c>
      <c r="C212" s="1" t="s">
        <v>48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4">
        <v>0</v>
      </c>
      <c r="R212" s="5">
        <v>60.29</v>
      </c>
      <c r="S212" s="5">
        <v>60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6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</row>
    <row r="213" spans="1:46" x14ac:dyDescent="0.2">
      <c r="A213" s="1" t="s">
        <v>469</v>
      </c>
      <c r="B213" s="1" t="s">
        <v>470</v>
      </c>
      <c r="C213" s="1" t="s">
        <v>48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4">
        <v>0</v>
      </c>
      <c r="R213" s="5">
        <v>36.57</v>
      </c>
      <c r="S213" s="5">
        <v>43.91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6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</row>
    <row r="214" spans="1:46" x14ac:dyDescent="0.2">
      <c r="A214" s="1" t="s">
        <v>471</v>
      </c>
      <c r="B214" s="1" t="s">
        <v>472</v>
      </c>
      <c r="C214" s="1" t="s">
        <v>48</v>
      </c>
      <c r="D214" s="3">
        <v>24</v>
      </c>
      <c r="E214" s="3">
        <v>68</v>
      </c>
      <c r="F214" s="3">
        <v>0</v>
      </c>
      <c r="G214" s="3">
        <v>92</v>
      </c>
      <c r="H214" s="3">
        <v>-64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28</v>
      </c>
      <c r="P214" s="3">
        <v>0</v>
      </c>
      <c r="Q214" s="4">
        <v>53.982353000000003</v>
      </c>
      <c r="R214" s="5">
        <v>55.59</v>
      </c>
      <c r="S214" s="5">
        <v>52.5</v>
      </c>
      <c r="T214" s="5">
        <v>3780.12</v>
      </c>
      <c r="U214" s="5">
        <v>0</v>
      </c>
      <c r="V214" s="5">
        <v>-3557.76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1158.99</v>
      </c>
      <c r="AD214" s="6">
        <v>0</v>
      </c>
      <c r="AE214" s="5">
        <v>3670.8</v>
      </c>
      <c r="AF214" s="5">
        <v>0</v>
      </c>
      <c r="AG214" s="5">
        <v>4829.79</v>
      </c>
      <c r="AH214" s="5">
        <v>-3359.86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1469.94</v>
      </c>
      <c r="AP214" s="5">
        <v>0</v>
      </c>
      <c r="AQ214" s="5">
        <v>0</v>
      </c>
      <c r="AR214" s="5">
        <v>-109.32</v>
      </c>
      <c r="AS214" s="5">
        <v>197.9</v>
      </c>
      <c r="AT214" s="5">
        <v>0</v>
      </c>
    </row>
    <row r="215" spans="1:46" x14ac:dyDescent="0.2">
      <c r="A215" s="1" t="s">
        <v>473</v>
      </c>
      <c r="B215" s="1" t="s">
        <v>474</v>
      </c>
      <c r="C215" s="1" t="s">
        <v>48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4">
        <v>0</v>
      </c>
      <c r="R215" s="5">
        <v>33.049999999999997</v>
      </c>
      <c r="S215" s="5">
        <v>1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6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</row>
    <row r="216" spans="1:46" x14ac:dyDescent="0.2">
      <c r="A216" s="1" t="s">
        <v>475</v>
      </c>
      <c r="B216" s="1" t="s">
        <v>476</v>
      </c>
      <c r="C216" s="1" t="s">
        <v>48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4">
        <v>0</v>
      </c>
      <c r="R216" s="5">
        <v>30.7</v>
      </c>
      <c r="S216" s="5">
        <v>47.06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6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</row>
    <row r="217" spans="1:46" x14ac:dyDescent="0.2">
      <c r="A217" s="1" t="s">
        <v>477</v>
      </c>
      <c r="B217" s="1" t="s">
        <v>478</v>
      </c>
      <c r="C217" s="1" t="s">
        <v>48</v>
      </c>
      <c r="D217" s="3">
        <v>1</v>
      </c>
      <c r="E217" s="3">
        <v>0</v>
      </c>
      <c r="F217" s="3">
        <v>0</v>
      </c>
      <c r="G217" s="3">
        <v>1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1</v>
      </c>
      <c r="P217" s="3">
        <v>0</v>
      </c>
      <c r="Q217" s="4">
        <v>0</v>
      </c>
      <c r="R217" s="5">
        <v>44.16</v>
      </c>
      <c r="S217" s="5">
        <v>51.33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51.33</v>
      </c>
      <c r="AD217" s="6">
        <v>0</v>
      </c>
      <c r="AE217" s="5">
        <v>0</v>
      </c>
      <c r="AF217" s="5">
        <v>0</v>
      </c>
      <c r="AG217" s="5">
        <v>51.33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51.33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</row>
    <row r="218" spans="1:46" x14ac:dyDescent="0.2">
      <c r="A218" s="1" t="s">
        <v>479</v>
      </c>
      <c r="B218" s="1" t="s">
        <v>480</v>
      </c>
      <c r="C218" s="1" t="s">
        <v>48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4">
        <v>0</v>
      </c>
      <c r="R218" s="5">
        <v>45.53</v>
      </c>
      <c r="S218" s="5">
        <v>49.96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6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</row>
    <row r="219" spans="1:46" x14ac:dyDescent="0.2">
      <c r="A219" s="1" t="s">
        <v>481</v>
      </c>
      <c r="B219" s="1" t="s">
        <v>482</v>
      </c>
      <c r="C219" s="1" t="s">
        <v>48</v>
      </c>
      <c r="D219" s="3">
        <v>568</v>
      </c>
      <c r="E219" s="3">
        <v>643</v>
      </c>
      <c r="F219" s="3">
        <v>0</v>
      </c>
      <c r="G219" s="3">
        <v>1211</v>
      </c>
      <c r="H219" s="3">
        <v>-563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648</v>
      </c>
      <c r="P219" s="3">
        <v>66</v>
      </c>
      <c r="Q219" s="4">
        <v>47.760669</v>
      </c>
      <c r="R219" s="5">
        <v>48.98</v>
      </c>
      <c r="S219" s="5">
        <v>45.89</v>
      </c>
      <c r="T219" s="5">
        <v>31494.14</v>
      </c>
      <c r="U219" s="5">
        <v>0</v>
      </c>
      <c r="V219" s="5">
        <v>-27575.74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24863.3</v>
      </c>
      <c r="AD219" s="6">
        <v>0</v>
      </c>
      <c r="AE219" s="5">
        <v>30710.11</v>
      </c>
      <c r="AF219" s="5">
        <v>0</v>
      </c>
      <c r="AG219" s="5">
        <v>55573.41</v>
      </c>
      <c r="AH219" s="5">
        <v>-25836.36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29737.05</v>
      </c>
      <c r="AP219" s="5">
        <v>0</v>
      </c>
      <c r="AQ219" s="5">
        <v>3028.77</v>
      </c>
      <c r="AR219" s="5">
        <v>-784.03</v>
      </c>
      <c r="AS219" s="5">
        <v>1739.38</v>
      </c>
      <c r="AT219" s="5">
        <v>0</v>
      </c>
    </row>
    <row r="220" spans="1:46" x14ac:dyDescent="0.2">
      <c r="A220" s="1" t="s">
        <v>483</v>
      </c>
      <c r="B220" s="1" t="s">
        <v>484</v>
      </c>
      <c r="C220" s="1" t="s">
        <v>48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4">
        <v>0</v>
      </c>
      <c r="R220" s="5">
        <v>21.99</v>
      </c>
      <c r="S220" s="5">
        <v>22.9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6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</row>
    <row r="221" spans="1:46" x14ac:dyDescent="0.2">
      <c r="A221" s="1" t="s">
        <v>485</v>
      </c>
      <c r="B221" s="1" t="s">
        <v>486</v>
      </c>
      <c r="C221" s="1" t="s">
        <v>48</v>
      </c>
      <c r="D221" s="3">
        <v>239</v>
      </c>
      <c r="E221" s="3">
        <v>424</v>
      </c>
      <c r="F221" s="3">
        <v>0</v>
      </c>
      <c r="G221" s="3">
        <v>663</v>
      </c>
      <c r="H221" s="3">
        <v>-120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543</v>
      </c>
      <c r="P221" s="3">
        <v>0</v>
      </c>
      <c r="Q221" s="4">
        <v>61.967500000000001</v>
      </c>
      <c r="R221" s="5">
        <v>63.34</v>
      </c>
      <c r="S221" s="5">
        <v>61.41</v>
      </c>
      <c r="T221" s="5">
        <v>26856.16</v>
      </c>
      <c r="U221" s="5">
        <v>0</v>
      </c>
      <c r="V221" s="5">
        <v>-7600.8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14440.97</v>
      </c>
      <c r="AD221" s="6">
        <v>0</v>
      </c>
      <c r="AE221" s="5">
        <v>26274.22</v>
      </c>
      <c r="AF221" s="5">
        <v>0</v>
      </c>
      <c r="AG221" s="5">
        <v>40715.19</v>
      </c>
      <c r="AH221" s="5">
        <v>-7369.26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33345.919999999998</v>
      </c>
      <c r="AP221" s="5">
        <v>0</v>
      </c>
      <c r="AQ221" s="5">
        <v>0</v>
      </c>
      <c r="AR221" s="5">
        <v>-581.94000000000005</v>
      </c>
      <c r="AS221" s="5">
        <v>231.54</v>
      </c>
      <c r="AT221" s="5">
        <v>0</v>
      </c>
    </row>
    <row r="222" spans="1:46" x14ac:dyDescent="0.2">
      <c r="A222" s="1" t="s">
        <v>487</v>
      </c>
      <c r="B222" s="1" t="s">
        <v>488</v>
      </c>
      <c r="C222" s="1" t="s">
        <v>48</v>
      </c>
      <c r="D222" s="3">
        <v>611</v>
      </c>
      <c r="E222" s="3">
        <v>405</v>
      </c>
      <c r="F222" s="3">
        <v>0</v>
      </c>
      <c r="G222" s="3">
        <v>1016</v>
      </c>
      <c r="H222" s="3">
        <v>-204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812</v>
      </c>
      <c r="P222" s="3">
        <v>0</v>
      </c>
      <c r="Q222" s="4">
        <v>60.750123000000002</v>
      </c>
      <c r="R222" s="5">
        <v>62.14</v>
      </c>
      <c r="S222" s="5">
        <v>59.59</v>
      </c>
      <c r="T222" s="5">
        <v>25166.7</v>
      </c>
      <c r="U222" s="5">
        <v>0</v>
      </c>
      <c r="V222" s="5">
        <v>-12676.56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35936.53</v>
      </c>
      <c r="AD222" s="6">
        <v>0</v>
      </c>
      <c r="AE222" s="5">
        <v>24603.8</v>
      </c>
      <c r="AF222" s="5">
        <v>0</v>
      </c>
      <c r="AG222" s="5">
        <v>60540.33</v>
      </c>
      <c r="AH222" s="5">
        <v>-12155.73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48384.59</v>
      </c>
      <c r="AP222" s="5">
        <v>0</v>
      </c>
      <c r="AQ222" s="5">
        <v>0</v>
      </c>
      <c r="AR222" s="5">
        <v>-562.9</v>
      </c>
      <c r="AS222" s="5">
        <v>520.83000000000004</v>
      </c>
      <c r="AT222" s="5">
        <v>0</v>
      </c>
    </row>
    <row r="223" spans="1:46" x14ac:dyDescent="0.2">
      <c r="A223" s="1" t="s">
        <v>489</v>
      </c>
      <c r="B223" s="1" t="s">
        <v>490</v>
      </c>
      <c r="C223" s="1" t="s">
        <v>48</v>
      </c>
      <c r="D223" s="3">
        <v>340</v>
      </c>
      <c r="E223" s="3">
        <v>0</v>
      </c>
      <c r="F223" s="3">
        <v>0</v>
      </c>
      <c r="G223" s="3">
        <v>340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340</v>
      </c>
      <c r="P223" s="3">
        <v>0</v>
      </c>
      <c r="Q223" s="4">
        <v>0</v>
      </c>
      <c r="R223" s="5">
        <v>34.39</v>
      </c>
      <c r="S223" s="5">
        <v>40.43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13747.46</v>
      </c>
      <c r="AD223" s="6">
        <v>0</v>
      </c>
      <c r="AE223" s="5">
        <v>0</v>
      </c>
      <c r="AF223" s="5">
        <v>0</v>
      </c>
      <c r="AG223" s="5">
        <v>13747.46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13747.46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</row>
    <row r="224" spans="1:46" x14ac:dyDescent="0.2">
      <c r="A224" s="1" t="s">
        <v>491</v>
      </c>
      <c r="B224" s="1" t="s">
        <v>492</v>
      </c>
      <c r="C224" s="1" t="s">
        <v>48</v>
      </c>
      <c r="D224" s="3">
        <v>518</v>
      </c>
      <c r="E224" s="3">
        <v>1356</v>
      </c>
      <c r="F224" s="3">
        <v>0</v>
      </c>
      <c r="G224" s="3">
        <v>1874</v>
      </c>
      <c r="H224" s="3">
        <v>-792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1082</v>
      </c>
      <c r="P224" s="3">
        <v>0</v>
      </c>
      <c r="Q224" s="4">
        <v>37.346961999999998</v>
      </c>
      <c r="R224" s="5">
        <v>37.85</v>
      </c>
      <c r="S224" s="5">
        <v>36.380000000000003</v>
      </c>
      <c r="T224" s="5">
        <v>51324.6</v>
      </c>
      <c r="U224" s="5">
        <v>0</v>
      </c>
      <c r="V224" s="5">
        <v>-29977.200000000001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17538.47</v>
      </c>
      <c r="AD224" s="6">
        <v>0</v>
      </c>
      <c r="AE224" s="5">
        <v>50642.48</v>
      </c>
      <c r="AF224" s="5">
        <v>0</v>
      </c>
      <c r="AG224" s="5">
        <v>68180.95</v>
      </c>
      <c r="AH224" s="5">
        <v>-28815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39365.949999999997</v>
      </c>
      <c r="AP224" s="5">
        <v>0</v>
      </c>
      <c r="AQ224" s="5">
        <v>0</v>
      </c>
      <c r="AR224" s="5">
        <v>-682.12</v>
      </c>
      <c r="AS224" s="5">
        <v>1162.2</v>
      </c>
      <c r="AT224" s="5">
        <v>0</v>
      </c>
    </row>
    <row r="225" spans="1:46" x14ac:dyDescent="0.2">
      <c r="A225" s="1" t="s">
        <v>493</v>
      </c>
      <c r="B225" s="1" t="s">
        <v>494</v>
      </c>
      <c r="C225" s="1" t="s">
        <v>48</v>
      </c>
      <c r="D225" s="3">
        <v>101119</v>
      </c>
      <c r="E225" s="3">
        <v>60081</v>
      </c>
      <c r="F225" s="3">
        <v>0</v>
      </c>
      <c r="G225" s="3">
        <v>161200</v>
      </c>
      <c r="H225" s="3">
        <v>-7638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153562</v>
      </c>
      <c r="P225" s="3">
        <v>3749</v>
      </c>
      <c r="Q225" s="4">
        <v>23.529610000000002</v>
      </c>
      <c r="R225" s="5">
        <v>22.98</v>
      </c>
      <c r="S225" s="5">
        <v>22.11</v>
      </c>
      <c r="T225" s="5">
        <v>1380661.38</v>
      </c>
      <c r="U225" s="5">
        <v>0</v>
      </c>
      <c r="V225" s="5">
        <v>-175521.24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2150329.88</v>
      </c>
      <c r="AD225" s="6">
        <v>0</v>
      </c>
      <c r="AE225" s="5">
        <v>1413682.52</v>
      </c>
      <c r="AF225" s="5">
        <v>0</v>
      </c>
      <c r="AG225" s="5">
        <v>3564012.4</v>
      </c>
      <c r="AH225" s="5">
        <v>-168870.51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3395141.89</v>
      </c>
      <c r="AP225" s="5">
        <v>0</v>
      </c>
      <c r="AQ225" s="5">
        <v>82887.61</v>
      </c>
      <c r="AR225" s="5">
        <v>33021.14</v>
      </c>
      <c r="AS225" s="5">
        <v>6650.73</v>
      </c>
      <c r="AT225" s="5">
        <v>0</v>
      </c>
    </row>
    <row r="226" spans="1:46" x14ac:dyDescent="0.2">
      <c r="A226" s="1" t="s">
        <v>495</v>
      </c>
      <c r="B226" s="1" t="s">
        <v>496</v>
      </c>
      <c r="C226" s="1" t="s">
        <v>48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4">
        <v>0</v>
      </c>
      <c r="R226" s="5">
        <v>37.450000000000003</v>
      </c>
      <c r="S226" s="5">
        <v>38.049999999999997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6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</row>
    <row r="227" spans="1:46" x14ac:dyDescent="0.2">
      <c r="A227" s="1" t="s">
        <v>497</v>
      </c>
      <c r="B227" s="1" t="s">
        <v>498</v>
      </c>
      <c r="C227" s="1" t="s">
        <v>48</v>
      </c>
      <c r="D227" s="3">
        <v>356</v>
      </c>
      <c r="E227" s="3">
        <v>639</v>
      </c>
      <c r="F227" s="3">
        <v>0</v>
      </c>
      <c r="G227" s="3">
        <v>995</v>
      </c>
      <c r="H227" s="3">
        <v>-751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244</v>
      </c>
      <c r="P227" s="3">
        <v>229</v>
      </c>
      <c r="Q227" s="4">
        <v>45.589827999999997</v>
      </c>
      <c r="R227" s="5">
        <v>46.99</v>
      </c>
      <c r="S227" s="5">
        <v>43.78</v>
      </c>
      <c r="T227" s="5">
        <v>30026.61</v>
      </c>
      <c r="U227" s="5">
        <v>0</v>
      </c>
      <c r="V227" s="5">
        <v>-35289.49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14431.42</v>
      </c>
      <c r="AD227" s="6">
        <v>0</v>
      </c>
      <c r="AE227" s="5">
        <v>29131.9</v>
      </c>
      <c r="AF227" s="5">
        <v>0</v>
      </c>
      <c r="AG227" s="5">
        <v>43563.32</v>
      </c>
      <c r="AH227" s="5">
        <v>-32880.449999999997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10682.86</v>
      </c>
      <c r="AP227" s="5">
        <v>0</v>
      </c>
      <c r="AQ227" s="5">
        <v>10026.129999999999</v>
      </c>
      <c r="AR227" s="5">
        <v>-894.71</v>
      </c>
      <c r="AS227" s="5">
        <v>2409.04</v>
      </c>
      <c r="AT227" s="5">
        <v>0</v>
      </c>
    </row>
    <row r="228" spans="1:46" x14ac:dyDescent="0.2">
      <c r="A228" s="1" t="s">
        <v>499</v>
      </c>
      <c r="B228" s="1" t="s">
        <v>500</v>
      </c>
      <c r="C228" s="1" t="s">
        <v>48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4">
        <v>0</v>
      </c>
      <c r="R228" s="5">
        <v>30.85</v>
      </c>
      <c r="S228" s="5">
        <v>35.880000000000003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6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</row>
    <row r="229" spans="1:46" x14ac:dyDescent="0.2">
      <c r="A229" s="1" t="s">
        <v>501</v>
      </c>
      <c r="B229" s="1" t="s">
        <v>502</v>
      </c>
      <c r="C229" s="1" t="s">
        <v>48</v>
      </c>
      <c r="D229" s="3">
        <v>1</v>
      </c>
      <c r="E229" s="3">
        <v>0</v>
      </c>
      <c r="F229" s="3">
        <v>0</v>
      </c>
      <c r="G229" s="3">
        <v>1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1</v>
      </c>
      <c r="P229" s="3">
        <v>0</v>
      </c>
      <c r="Q229" s="4">
        <v>0</v>
      </c>
      <c r="R229" s="5">
        <v>46.8</v>
      </c>
      <c r="S229" s="5">
        <v>56.43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56.43</v>
      </c>
      <c r="AD229" s="6">
        <v>0</v>
      </c>
      <c r="AE229" s="5">
        <v>0</v>
      </c>
      <c r="AF229" s="5">
        <v>0</v>
      </c>
      <c r="AG229" s="5">
        <v>56.43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56.43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</row>
    <row r="230" spans="1:46" x14ac:dyDescent="0.2">
      <c r="A230" s="1" t="s">
        <v>503</v>
      </c>
      <c r="B230" s="1" t="s">
        <v>504</v>
      </c>
      <c r="C230" s="1" t="s">
        <v>48</v>
      </c>
      <c r="D230" s="3">
        <v>1908</v>
      </c>
      <c r="E230" s="3">
        <v>1</v>
      </c>
      <c r="F230" s="3">
        <v>0</v>
      </c>
      <c r="G230" s="3">
        <v>1909</v>
      </c>
      <c r="H230" s="3">
        <v>-1709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200</v>
      </c>
      <c r="P230" s="3">
        <v>120</v>
      </c>
      <c r="Q230" s="4">
        <v>30.7</v>
      </c>
      <c r="R230" s="5">
        <v>30.62</v>
      </c>
      <c r="S230" s="5">
        <v>27.33</v>
      </c>
      <c r="T230" s="5">
        <v>30.62</v>
      </c>
      <c r="U230" s="5">
        <v>0</v>
      </c>
      <c r="V230" s="5">
        <v>-52329.58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52151.44</v>
      </c>
      <c r="AD230" s="6">
        <v>0</v>
      </c>
      <c r="AE230" s="5">
        <v>30.7</v>
      </c>
      <c r="AF230" s="5">
        <v>0</v>
      </c>
      <c r="AG230" s="5">
        <v>52182.14</v>
      </c>
      <c r="AH230" s="5">
        <v>-46715.18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5466.96</v>
      </c>
      <c r="AP230" s="5">
        <v>0</v>
      </c>
      <c r="AQ230" s="5">
        <v>3280.18</v>
      </c>
      <c r="AR230" s="5">
        <v>0.08</v>
      </c>
      <c r="AS230" s="5">
        <v>5614.4</v>
      </c>
      <c r="AT230" s="5">
        <v>0</v>
      </c>
    </row>
    <row r="231" spans="1:46" x14ac:dyDescent="0.2">
      <c r="A231" s="1" t="s">
        <v>505</v>
      </c>
      <c r="B231" s="1" t="s">
        <v>506</v>
      </c>
      <c r="C231" s="1" t="s">
        <v>48</v>
      </c>
      <c r="D231" s="3">
        <v>2471</v>
      </c>
      <c r="E231" s="3">
        <v>22</v>
      </c>
      <c r="F231" s="3">
        <v>0</v>
      </c>
      <c r="G231" s="3">
        <v>2493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2493</v>
      </c>
      <c r="P231" s="3">
        <v>0</v>
      </c>
      <c r="Q231" s="4">
        <v>29.315909000000001</v>
      </c>
      <c r="R231" s="5">
        <v>29.31</v>
      </c>
      <c r="S231" s="5">
        <v>28.21</v>
      </c>
      <c r="T231" s="5">
        <v>644.82000000000005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69693.990000000005</v>
      </c>
      <c r="AD231" s="6">
        <v>0</v>
      </c>
      <c r="AE231" s="5">
        <v>644.95000000000005</v>
      </c>
      <c r="AF231" s="5">
        <v>0</v>
      </c>
      <c r="AG231" s="5">
        <v>70338.94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70338.94</v>
      </c>
      <c r="AP231" s="5">
        <v>0</v>
      </c>
      <c r="AQ231" s="5">
        <v>0</v>
      </c>
      <c r="AR231" s="5">
        <v>0.13</v>
      </c>
      <c r="AS231" s="5">
        <v>0</v>
      </c>
      <c r="AT231" s="5">
        <v>0</v>
      </c>
    </row>
    <row r="232" spans="1:46" x14ac:dyDescent="0.2">
      <c r="A232" s="1" t="s">
        <v>507</v>
      </c>
      <c r="B232" s="1" t="s">
        <v>508</v>
      </c>
      <c r="C232" s="1" t="s">
        <v>48</v>
      </c>
      <c r="D232" s="3">
        <v>3310</v>
      </c>
      <c r="E232" s="3">
        <v>5</v>
      </c>
      <c r="F232" s="3">
        <v>0</v>
      </c>
      <c r="G232" s="3">
        <v>3315</v>
      </c>
      <c r="H232" s="3">
        <v>-2192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1123</v>
      </c>
      <c r="P232" s="3">
        <v>112</v>
      </c>
      <c r="Q232" s="4">
        <v>28.85</v>
      </c>
      <c r="R232" s="5">
        <v>28.66</v>
      </c>
      <c r="S232" s="5">
        <v>25.31</v>
      </c>
      <c r="T232" s="5">
        <v>143.30000000000001</v>
      </c>
      <c r="U232" s="5">
        <v>0</v>
      </c>
      <c r="V232" s="5">
        <v>-62822.720000000001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83748.88</v>
      </c>
      <c r="AD232" s="6">
        <v>0</v>
      </c>
      <c r="AE232" s="5">
        <v>144.25</v>
      </c>
      <c r="AF232" s="5">
        <v>0</v>
      </c>
      <c r="AG232" s="5">
        <v>83893.13</v>
      </c>
      <c r="AH232" s="5">
        <v>-55473.23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28419.91</v>
      </c>
      <c r="AP232" s="5">
        <v>0</v>
      </c>
      <c r="AQ232" s="5">
        <v>2834.4</v>
      </c>
      <c r="AR232" s="5">
        <v>0.95</v>
      </c>
      <c r="AS232" s="5">
        <v>7349.49</v>
      </c>
      <c r="AT232" s="5">
        <v>0</v>
      </c>
    </row>
    <row r="233" spans="1:46" x14ac:dyDescent="0.2">
      <c r="A233" s="1" t="s">
        <v>509</v>
      </c>
      <c r="B233" s="1" t="s">
        <v>510</v>
      </c>
      <c r="C233" s="1" t="s">
        <v>48</v>
      </c>
      <c r="D233" s="3">
        <v>57</v>
      </c>
      <c r="E233" s="3">
        <v>0</v>
      </c>
      <c r="F233" s="3">
        <v>0</v>
      </c>
      <c r="G233" s="3">
        <v>57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57</v>
      </c>
      <c r="P233" s="3">
        <v>0</v>
      </c>
      <c r="Q233" s="4">
        <v>0</v>
      </c>
      <c r="R233" s="5">
        <v>31.4</v>
      </c>
      <c r="S233" s="5">
        <v>32.03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1825.55</v>
      </c>
      <c r="AD233" s="6">
        <v>0</v>
      </c>
      <c r="AE233" s="5">
        <v>0</v>
      </c>
      <c r="AF233" s="5">
        <v>0</v>
      </c>
      <c r="AG233" s="5">
        <v>1825.55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1825.55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</row>
    <row r="234" spans="1:46" x14ac:dyDescent="0.2">
      <c r="A234" s="1" t="s">
        <v>511</v>
      </c>
      <c r="B234" s="1" t="s">
        <v>512</v>
      </c>
      <c r="C234" s="1" t="s">
        <v>48</v>
      </c>
      <c r="D234" s="3">
        <v>50257</v>
      </c>
      <c r="E234" s="3">
        <v>23200</v>
      </c>
      <c r="F234" s="3">
        <v>0</v>
      </c>
      <c r="G234" s="3">
        <v>73457</v>
      </c>
      <c r="H234" s="3">
        <v>-7222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66235</v>
      </c>
      <c r="P234" s="3">
        <v>4254</v>
      </c>
      <c r="Q234" s="4">
        <v>25.245435000000001</v>
      </c>
      <c r="R234" s="5">
        <v>24.96</v>
      </c>
      <c r="S234" s="5">
        <v>23.34</v>
      </c>
      <c r="T234" s="5">
        <v>579072</v>
      </c>
      <c r="U234" s="5">
        <v>0</v>
      </c>
      <c r="V234" s="5">
        <v>-180261.12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1128599.3</v>
      </c>
      <c r="AD234" s="6">
        <v>0</v>
      </c>
      <c r="AE234" s="5">
        <v>585694.09</v>
      </c>
      <c r="AF234" s="5">
        <v>0</v>
      </c>
      <c r="AG234" s="5">
        <v>1714293.39</v>
      </c>
      <c r="AH234" s="5">
        <v>-168542.51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1545750.88</v>
      </c>
      <c r="AP234" s="5">
        <v>0</v>
      </c>
      <c r="AQ234" s="5">
        <v>99277.18</v>
      </c>
      <c r="AR234" s="5">
        <v>6622.09</v>
      </c>
      <c r="AS234" s="5">
        <v>11718.61</v>
      </c>
      <c r="AT234" s="5">
        <v>0</v>
      </c>
    </row>
    <row r="235" spans="1:46" x14ac:dyDescent="0.2">
      <c r="A235" s="1" t="s">
        <v>513</v>
      </c>
      <c r="B235" s="1" t="s">
        <v>514</v>
      </c>
      <c r="C235" s="1" t="s">
        <v>48</v>
      </c>
      <c r="D235" s="3">
        <v>2288</v>
      </c>
      <c r="E235" s="3">
        <v>85</v>
      </c>
      <c r="F235" s="3">
        <v>0</v>
      </c>
      <c r="G235" s="3">
        <v>2373</v>
      </c>
      <c r="H235" s="3">
        <v>-350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2023</v>
      </c>
      <c r="P235" s="3">
        <v>200</v>
      </c>
      <c r="Q235" s="4">
        <v>26.726353</v>
      </c>
      <c r="R235" s="5">
        <v>24.96</v>
      </c>
      <c r="S235" s="5">
        <v>24.33</v>
      </c>
      <c r="T235" s="5">
        <v>2121.6</v>
      </c>
      <c r="U235" s="5">
        <v>0</v>
      </c>
      <c r="V235" s="5">
        <v>-8736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55463.35</v>
      </c>
      <c r="AD235" s="6">
        <v>0</v>
      </c>
      <c r="AE235" s="5">
        <v>2271.7399999999998</v>
      </c>
      <c r="AF235" s="5">
        <v>0</v>
      </c>
      <c r="AG235" s="5">
        <v>57735.09</v>
      </c>
      <c r="AH235" s="5">
        <v>-8515.5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49219.59</v>
      </c>
      <c r="AP235" s="5">
        <v>0</v>
      </c>
      <c r="AQ235" s="5">
        <v>4866</v>
      </c>
      <c r="AR235" s="5">
        <v>150.13999999999999</v>
      </c>
      <c r="AS235" s="5">
        <v>220.5</v>
      </c>
      <c r="AT235" s="5">
        <v>0</v>
      </c>
    </row>
    <row r="236" spans="1:46" x14ac:dyDescent="0.2">
      <c r="A236" s="1" t="s">
        <v>515</v>
      </c>
      <c r="B236" s="1" t="s">
        <v>516</v>
      </c>
      <c r="C236" s="1" t="s">
        <v>48</v>
      </c>
      <c r="D236" s="3">
        <v>1892</v>
      </c>
      <c r="E236" s="3">
        <v>-1</v>
      </c>
      <c r="F236" s="3">
        <v>0</v>
      </c>
      <c r="G236" s="3">
        <v>1891</v>
      </c>
      <c r="H236" s="3">
        <v>-1600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291</v>
      </c>
      <c r="P236" s="3">
        <v>700</v>
      </c>
      <c r="Q236" s="4">
        <v>27.49</v>
      </c>
      <c r="R236" s="5">
        <v>24.96</v>
      </c>
      <c r="S236" s="5">
        <v>27.49</v>
      </c>
      <c r="T236" s="5">
        <v>-24.96</v>
      </c>
      <c r="U236" s="5">
        <v>0</v>
      </c>
      <c r="V236" s="5">
        <v>-39936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52019.41</v>
      </c>
      <c r="AD236" s="6">
        <v>0</v>
      </c>
      <c r="AE236" s="5">
        <v>-27.49</v>
      </c>
      <c r="AF236" s="5">
        <v>0</v>
      </c>
      <c r="AG236" s="5">
        <v>51991.92</v>
      </c>
      <c r="AH236" s="5">
        <v>-43991.05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8000.87</v>
      </c>
      <c r="AP236" s="5">
        <v>0</v>
      </c>
      <c r="AQ236" s="5">
        <v>19246.080000000002</v>
      </c>
      <c r="AR236" s="5">
        <v>-2.5299999999999998</v>
      </c>
      <c r="AS236" s="5">
        <v>-4055.05</v>
      </c>
      <c r="AT236" s="5">
        <v>0</v>
      </c>
    </row>
    <row r="237" spans="1:46" x14ac:dyDescent="0.2">
      <c r="A237" s="1" t="s">
        <v>517</v>
      </c>
      <c r="B237" s="1" t="s">
        <v>518</v>
      </c>
      <c r="C237" s="1" t="s">
        <v>48</v>
      </c>
      <c r="D237" s="3">
        <v>2007</v>
      </c>
      <c r="E237" s="3">
        <v>2686</v>
      </c>
      <c r="F237" s="3">
        <v>0</v>
      </c>
      <c r="G237" s="3">
        <v>4693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4693</v>
      </c>
      <c r="P237" s="3">
        <v>0</v>
      </c>
      <c r="Q237" s="4">
        <v>27.672599000000002</v>
      </c>
      <c r="R237" s="5">
        <v>24.96</v>
      </c>
      <c r="S237" s="5">
        <v>26.96</v>
      </c>
      <c r="T237" s="5">
        <v>67042.559999999998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52205.01</v>
      </c>
      <c r="AD237" s="6">
        <v>0</v>
      </c>
      <c r="AE237" s="5">
        <v>74328.600000000006</v>
      </c>
      <c r="AF237" s="5">
        <v>0</v>
      </c>
      <c r="AG237" s="5">
        <v>126533.61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126533.61</v>
      </c>
      <c r="AP237" s="5">
        <v>0</v>
      </c>
      <c r="AQ237" s="5">
        <v>0</v>
      </c>
      <c r="AR237" s="5">
        <v>7286.04</v>
      </c>
      <c r="AS237" s="5">
        <v>0</v>
      </c>
      <c r="AT237" s="5">
        <v>0</v>
      </c>
    </row>
    <row r="238" spans="1:46" x14ac:dyDescent="0.2">
      <c r="A238" s="1" t="s">
        <v>519</v>
      </c>
      <c r="B238" s="1" t="s">
        <v>520</v>
      </c>
      <c r="C238" s="1" t="s">
        <v>48</v>
      </c>
      <c r="D238" s="3">
        <v>8988</v>
      </c>
      <c r="E238" s="3">
        <v>-5</v>
      </c>
      <c r="F238" s="3">
        <v>0</v>
      </c>
      <c r="G238" s="3">
        <v>8983</v>
      </c>
      <c r="H238" s="3">
        <v>-1043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7940</v>
      </c>
      <c r="P238" s="3">
        <v>0</v>
      </c>
      <c r="Q238" s="4">
        <v>30.03</v>
      </c>
      <c r="R238" s="5">
        <v>30.39</v>
      </c>
      <c r="S238" s="5">
        <v>30.03</v>
      </c>
      <c r="T238" s="5">
        <v>-151.94999999999999</v>
      </c>
      <c r="U238" s="5">
        <v>0</v>
      </c>
      <c r="V238" s="5">
        <v>-31696.77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269876.36</v>
      </c>
      <c r="AD238" s="6">
        <v>0</v>
      </c>
      <c r="AE238" s="5">
        <v>-150.15</v>
      </c>
      <c r="AF238" s="5">
        <v>0</v>
      </c>
      <c r="AG238" s="5">
        <v>269726.21000000002</v>
      </c>
      <c r="AH238" s="5">
        <v>-31317.43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238408.78</v>
      </c>
      <c r="AP238" s="5">
        <v>0</v>
      </c>
      <c r="AQ238" s="5">
        <v>0</v>
      </c>
      <c r="AR238" s="5">
        <v>1.8</v>
      </c>
      <c r="AS238" s="5">
        <v>379.34</v>
      </c>
      <c r="AT238" s="5">
        <v>0</v>
      </c>
    </row>
    <row r="239" spans="1:46" x14ac:dyDescent="0.2">
      <c r="A239" s="1" t="s">
        <v>521</v>
      </c>
      <c r="B239" s="1" t="s">
        <v>522</v>
      </c>
      <c r="C239" s="1" t="s">
        <v>48</v>
      </c>
      <c r="D239" s="3">
        <v>964</v>
      </c>
      <c r="E239" s="3">
        <v>0</v>
      </c>
      <c r="F239" s="3">
        <v>0</v>
      </c>
      <c r="G239" s="3">
        <v>964</v>
      </c>
      <c r="H239" s="3">
        <v>-960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4</v>
      </c>
      <c r="P239" s="3">
        <v>460</v>
      </c>
      <c r="Q239" s="4">
        <v>0</v>
      </c>
      <c r="R239" s="5">
        <v>29.74</v>
      </c>
      <c r="S239" s="5">
        <v>31.52</v>
      </c>
      <c r="T239" s="5">
        <v>0</v>
      </c>
      <c r="U239" s="5">
        <v>0</v>
      </c>
      <c r="V239" s="5">
        <v>-28550.400000000001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30388.57</v>
      </c>
      <c r="AD239" s="6">
        <v>0</v>
      </c>
      <c r="AE239" s="5">
        <v>0</v>
      </c>
      <c r="AF239" s="5">
        <v>0</v>
      </c>
      <c r="AG239" s="5">
        <v>30388.57</v>
      </c>
      <c r="AH239" s="5">
        <v>-30262.48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126.09</v>
      </c>
      <c r="AP239" s="5">
        <v>0</v>
      </c>
      <c r="AQ239" s="5">
        <v>14500.77</v>
      </c>
      <c r="AR239" s="5">
        <v>0</v>
      </c>
      <c r="AS239" s="5">
        <v>-1712.08</v>
      </c>
      <c r="AT239" s="5">
        <v>0</v>
      </c>
    </row>
    <row r="240" spans="1:46" x14ac:dyDescent="0.2">
      <c r="A240" s="1" t="s">
        <v>523</v>
      </c>
      <c r="B240" s="1" t="s">
        <v>524</v>
      </c>
      <c r="C240" s="1" t="s">
        <v>48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4">
        <v>0</v>
      </c>
      <c r="R240" s="5">
        <v>37.450000000000003</v>
      </c>
      <c r="S240" s="5">
        <v>82.95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6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</row>
    <row r="241" spans="1:46" x14ac:dyDescent="0.2">
      <c r="A241" s="1" t="s">
        <v>525</v>
      </c>
      <c r="B241" s="1" t="s">
        <v>526</v>
      </c>
      <c r="C241" s="1" t="s">
        <v>48</v>
      </c>
      <c r="D241" s="3">
        <v>374</v>
      </c>
      <c r="E241" s="3">
        <v>2</v>
      </c>
      <c r="F241" s="3">
        <v>0</v>
      </c>
      <c r="G241" s="3">
        <v>376</v>
      </c>
      <c r="H241" s="3">
        <v>-294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82</v>
      </c>
      <c r="P241" s="3">
        <v>40</v>
      </c>
      <c r="Q241" s="4">
        <v>50.84</v>
      </c>
      <c r="R241" s="5">
        <v>52.33</v>
      </c>
      <c r="S241" s="5">
        <v>45.29</v>
      </c>
      <c r="T241" s="5">
        <v>104.66</v>
      </c>
      <c r="U241" s="5">
        <v>0</v>
      </c>
      <c r="V241" s="5">
        <v>-15385.02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16928.84</v>
      </c>
      <c r="AD241" s="6">
        <v>0</v>
      </c>
      <c r="AE241" s="5">
        <v>101.68</v>
      </c>
      <c r="AF241" s="5">
        <v>0</v>
      </c>
      <c r="AG241" s="5">
        <v>17030.52</v>
      </c>
      <c r="AH241" s="5">
        <v>-13316.42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3714.1</v>
      </c>
      <c r="AP241" s="5">
        <v>0</v>
      </c>
      <c r="AQ241" s="5">
        <v>1811.76</v>
      </c>
      <c r="AR241" s="5">
        <v>-2.98</v>
      </c>
      <c r="AS241" s="5">
        <v>2068.6</v>
      </c>
      <c r="AT241" s="5">
        <v>0</v>
      </c>
    </row>
    <row r="242" spans="1:46" x14ac:dyDescent="0.2">
      <c r="A242" s="1" t="s">
        <v>527</v>
      </c>
      <c r="B242" s="1" t="s">
        <v>528</v>
      </c>
      <c r="C242" s="1" t="s">
        <v>48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4">
        <v>0</v>
      </c>
      <c r="R242" s="5">
        <v>32.729999999999997</v>
      </c>
      <c r="S242" s="5">
        <v>33.19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6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</row>
    <row r="243" spans="1:46" x14ac:dyDescent="0.2">
      <c r="A243" s="1" t="s">
        <v>529</v>
      </c>
      <c r="B243" s="1" t="s">
        <v>530</v>
      </c>
      <c r="C243" s="1" t="s">
        <v>48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4">
        <v>0</v>
      </c>
      <c r="R243" s="5">
        <v>43.07</v>
      </c>
      <c r="S243" s="5">
        <v>59.76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6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</row>
    <row r="244" spans="1:46" x14ac:dyDescent="0.2">
      <c r="A244" s="1" t="s">
        <v>531</v>
      </c>
      <c r="B244" s="1" t="s">
        <v>532</v>
      </c>
      <c r="C244" s="1" t="s">
        <v>48</v>
      </c>
      <c r="D244" s="3">
        <v>12494</v>
      </c>
      <c r="E244" s="3">
        <v>9</v>
      </c>
      <c r="F244" s="3">
        <v>0</v>
      </c>
      <c r="G244" s="3">
        <v>12503</v>
      </c>
      <c r="H244" s="3">
        <v>-485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12018</v>
      </c>
      <c r="P244" s="3">
        <v>485</v>
      </c>
      <c r="Q244" s="4">
        <v>30.724443999999998</v>
      </c>
      <c r="R244" s="5">
        <v>30.39</v>
      </c>
      <c r="S244" s="5">
        <v>29.34</v>
      </c>
      <c r="T244" s="5">
        <v>273.51</v>
      </c>
      <c r="U244" s="5">
        <v>0</v>
      </c>
      <c r="V244" s="5">
        <v>-14739.15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366565.8</v>
      </c>
      <c r="AD244" s="6">
        <v>0</v>
      </c>
      <c r="AE244" s="5">
        <v>276.52</v>
      </c>
      <c r="AF244" s="5">
        <v>0</v>
      </c>
      <c r="AG244" s="5">
        <v>366842.32</v>
      </c>
      <c r="AH244" s="5">
        <v>-14230.07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352612.26</v>
      </c>
      <c r="AP244" s="5">
        <v>0</v>
      </c>
      <c r="AQ244" s="5">
        <v>14230.07</v>
      </c>
      <c r="AR244" s="5">
        <v>3.01</v>
      </c>
      <c r="AS244" s="5">
        <v>509.08</v>
      </c>
      <c r="AT244" s="5">
        <v>0</v>
      </c>
    </row>
    <row r="245" spans="1:46" x14ac:dyDescent="0.2">
      <c r="A245" s="1" t="s">
        <v>533</v>
      </c>
      <c r="B245" s="1" t="s">
        <v>534</v>
      </c>
      <c r="C245" s="1" t="s">
        <v>48</v>
      </c>
      <c r="D245" s="3">
        <v>514</v>
      </c>
      <c r="E245" s="3">
        <v>1412</v>
      </c>
      <c r="F245" s="3">
        <v>0</v>
      </c>
      <c r="G245" s="3">
        <v>1926</v>
      </c>
      <c r="H245" s="3">
        <v>-915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1011</v>
      </c>
      <c r="P245" s="3">
        <v>0</v>
      </c>
      <c r="Q245" s="4">
        <v>54.54954</v>
      </c>
      <c r="R245" s="5">
        <v>55.94</v>
      </c>
      <c r="S245" s="5">
        <v>53.39</v>
      </c>
      <c r="T245" s="5">
        <v>78987.28</v>
      </c>
      <c r="U245" s="5">
        <v>0</v>
      </c>
      <c r="V245" s="5">
        <v>-51185.1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25802.97</v>
      </c>
      <c r="AD245" s="6">
        <v>0</v>
      </c>
      <c r="AE245" s="5">
        <v>77023.95</v>
      </c>
      <c r="AF245" s="5">
        <v>0</v>
      </c>
      <c r="AG245" s="5">
        <v>102826.92</v>
      </c>
      <c r="AH245" s="5">
        <v>-48850.8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53976.13</v>
      </c>
      <c r="AP245" s="5">
        <v>0</v>
      </c>
      <c r="AQ245" s="5">
        <v>0</v>
      </c>
      <c r="AR245" s="5">
        <v>-1963.33</v>
      </c>
      <c r="AS245" s="5">
        <v>2334.3000000000002</v>
      </c>
      <c r="AT245" s="5">
        <v>0</v>
      </c>
    </row>
    <row r="246" spans="1:46" x14ac:dyDescent="0.2">
      <c r="A246" s="1" t="s">
        <v>535</v>
      </c>
      <c r="B246" s="1" t="s">
        <v>536</v>
      </c>
      <c r="C246" s="1" t="s">
        <v>48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4">
        <v>0</v>
      </c>
      <c r="R246" s="5">
        <v>48.27</v>
      </c>
      <c r="S246" s="5">
        <v>45.83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6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</row>
    <row r="247" spans="1:46" x14ac:dyDescent="0.2">
      <c r="A247" s="1" t="s">
        <v>537</v>
      </c>
      <c r="B247" s="1" t="s">
        <v>538</v>
      </c>
      <c r="C247" s="1" t="s">
        <v>48</v>
      </c>
      <c r="D247" s="3">
        <v>2163</v>
      </c>
      <c r="E247" s="3">
        <v>2531</v>
      </c>
      <c r="F247" s="3">
        <v>0</v>
      </c>
      <c r="G247" s="3">
        <v>4694</v>
      </c>
      <c r="H247" s="3">
        <v>-4059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635</v>
      </c>
      <c r="P247" s="3">
        <v>0</v>
      </c>
      <c r="Q247" s="4">
        <v>35.083883999999998</v>
      </c>
      <c r="R247" s="5">
        <v>35.29</v>
      </c>
      <c r="S247" s="5">
        <v>33.42</v>
      </c>
      <c r="T247" s="5">
        <v>89318.99</v>
      </c>
      <c r="U247" s="5">
        <v>0</v>
      </c>
      <c r="V247" s="5">
        <v>-143242.10999999999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68089.73</v>
      </c>
      <c r="AD247" s="6">
        <v>0</v>
      </c>
      <c r="AE247" s="5">
        <v>88797.31</v>
      </c>
      <c r="AF247" s="5">
        <v>0</v>
      </c>
      <c r="AG247" s="5">
        <v>156887.04000000001</v>
      </c>
      <c r="AH247" s="5">
        <v>-135663.51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21223.54</v>
      </c>
      <c r="AP247" s="5">
        <v>0</v>
      </c>
      <c r="AQ247" s="5">
        <v>0</v>
      </c>
      <c r="AR247" s="5">
        <v>-521.67999999999995</v>
      </c>
      <c r="AS247" s="5">
        <v>7578.6</v>
      </c>
      <c r="AT247" s="5">
        <v>0</v>
      </c>
    </row>
    <row r="248" spans="1:46" x14ac:dyDescent="0.2">
      <c r="A248" s="1" t="s">
        <v>539</v>
      </c>
      <c r="B248" s="1" t="s">
        <v>540</v>
      </c>
      <c r="C248" s="1" t="s">
        <v>48</v>
      </c>
      <c r="D248" s="3">
        <v>1139</v>
      </c>
      <c r="E248" s="3">
        <v>2194</v>
      </c>
      <c r="F248" s="3">
        <v>0</v>
      </c>
      <c r="G248" s="3">
        <v>3333</v>
      </c>
      <c r="H248" s="3">
        <v>-2268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1065</v>
      </c>
      <c r="P248" s="3">
        <v>0</v>
      </c>
      <c r="Q248" s="4">
        <v>38.546509</v>
      </c>
      <c r="R248" s="5">
        <v>38.799999999999997</v>
      </c>
      <c r="S248" s="5">
        <v>37.369999999999997</v>
      </c>
      <c r="T248" s="5">
        <v>85127.2</v>
      </c>
      <c r="U248" s="5">
        <v>0</v>
      </c>
      <c r="V248" s="5">
        <v>-87998.399999999994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39997.72</v>
      </c>
      <c r="AD248" s="6">
        <v>0</v>
      </c>
      <c r="AE248" s="5">
        <v>84571.04</v>
      </c>
      <c r="AF248" s="5">
        <v>0</v>
      </c>
      <c r="AG248" s="5">
        <v>124568.76</v>
      </c>
      <c r="AH248" s="5">
        <v>-84765.06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39803.699999999997</v>
      </c>
      <c r="AP248" s="5">
        <v>0</v>
      </c>
      <c r="AQ248" s="5">
        <v>0</v>
      </c>
      <c r="AR248" s="5">
        <v>-556.16</v>
      </c>
      <c r="AS248" s="5">
        <v>3233.34</v>
      </c>
      <c r="AT248" s="5">
        <v>0</v>
      </c>
    </row>
    <row r="249" spans="1:46" x14ac:dyDescent="0.2">
      <c r="A249" s="1" t="s">
        <v>541</v>
      </c>
      <c r="B249" s="1" t="s">
        <v>542</v>
      </c>
      <c r="C249" s="1" t="s">
        <v>48</v>
      </c>
      <c r="D249" s="3">
        <v>2062</v>
      </c>
      <c r="E249" s="3">
        <v>712</v>
      </c>
      <c r="F249" s="3">
        <v>0</v>
      </c>
      <c r="G249" s="3">
        <v>2774</v>
      </c>
      <c r="H249" s="3">
        <v>-2202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572</v>
      </c>
      <c r="P249" s="3">
        <v>0</v>
      </c>
      <c r="Q249" s="4">
        <v>42.351067</v>
      </c>
      <c r="R249" s="5">
        <v>42.89</v>
      </c>
      <c r="S249" s="5">
        <v>39.270000000000003</v>
      </c>
      <c r="T249" s="5">
        <v>30537.68</v>
      </c>
      <c r="U249" s="5">
        <v>0</v>
      </c>
      <c r="V249" s="5">
        <v>-94443.78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78780.22</v>
      </c>
      <c r="AD249" s="6">
        <v>0</v>
      </c>
      <c r="AE249" s="5">
        <v>30153.96</v>
      </c>
      <c r="AF249" s="5">
        <v>0</v>
      </c>
      <c r="AG249" s="5">
        <v>108934.18</v>
      </c>
      <c r="AH249" s="5">
        <v>-86471.91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22462.28</v>
      </c>
      <c r="AP249" s="5">
        <v>0</v>
      </c>
      <c r="AQ249" s="5">
        <v>0</v>
      </c>
      <c r="AR249" s="5">
        <v>-383.72</v>
      </c>
      <c r="AS249" s="5">
        <v>7971.87</v>
      </c>
      <c r="AT249" s="5">
        <v>0</v>
      </c>
    </row>
    <row r="250" spans="1:46" x14ac:dyDescent="0.2">
      <c r="A250" s="1" t="s">
        <v>543</v>
      </c>
      <c r="B250" s="1" t="s">
        <v>544</v>
      </c>
      <c r="C250" s="1" t="s">
        <v>48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4">
        <v>0</v>
      </c>
      <c r="R250" s="5">
        <v>40.42</v>
      </c>
      <c r="S250" s="5">
        <v>41.12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6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</row>
    <row r="251" spans="1:46" x14ac:dyDescent="0.2">
      <c r="A251" s="1" t="s">
        <v>545</v>
      </c>
      <c r="B251" s="1" t="s">
        <v>546</v>
      </c>
      <c r="C251" s="1" t="s">
        <v>48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4">
        <v>0</v>
      </c>
      <c r="R251" s="5">
        <v>57.77</v>
      </c>
      <c r="S251" s="5">
        <v>51.92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6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</row>
    <row r="252" spans="1:46" x14ac:dyDescent="0.2">
      <c r="A252" s="1" t="s">
        <v>547</v>
      </c>
      <c r="B252" s="1" t="s">
        <v>548</v>
      </c>
      <c r="C252" s="1" t="s">
        <v>48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4">
        <v>0</v>
      </c>
      <c r="R252" s="5">
        <v>41.77</v>
      </c>
      <c r="S252" s="5">
        <v>47.75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6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</row>
    <row r="253" spans="1:46" x14ac:dyDescent="0.2">
      <c r="A253" s="1" t="s">
        <v>549</v>
      </c>
      <c r="B253" s="1" t="s">
        <v>550</v>
      </c>
      <c r="C253" s="1" t="s">
        <v>48</v>
      </c>
      <c r="D253" s="3">
        <v>245</v>
      </c>
      <c r="E253" s="3">
        <v>428</v>
      </c>
      <c r="F253" s="3">
        <v>0</v>
      </c>
      <c r="G253" s="3">
        <v>673</v>
      </c>
      <c r="H253" s="3">
        <v>-350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323</v>
      </c>
      <c r="P253" s="3">
        <v>0</v>
      </c>
      <c r="Q253" s="4">
        <v>53.822617000000001</v>
      </c>
      <c r="R253" s="5">
        <v>54.41</v>
      </c>
      <c r="S253" s="5">
        <v>54.09</v>
      </c>
      <c r="T253" s="5">
        <v>23287.48</v>
      </c>
      <c r="U253" s="5">
        <v>0</v>
      </c>
      <c r="V253" s="5">
        <v>-19043.5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13369.19</v>
      </c>
      <c r="AD253" s="6">
        <v>0</v>
      </c>
      <c r="AE253" s="5">
        <v>23036.080000000002</v>
      </c>
      <c r="AF253" s="5">
        <v>0</v>
      </c>
      <c r="AG253" s="5">
        <v>36405.269999999997</v>
      </c>
      <c r="AH253" s="5">
        <v>-18932.91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17472.37</v>
      </c>
      <c r="AP253" s="5">
        <v>0</v>
      </c>
      <c r="AQ253" s="5">
        <v>0</v>
      </c>
      <c r="AR253" s="5">
        <v>-251.4</v>
      </c>
      <c r="AS253" s="5">
        <v>110.59</v>
      </c>
      <c r="AT253" s="5">
        <v>0</v>
      </c>
    </row>
    <row r="254" spans="1:46" x14ac:dyDescent="0.2">
      <c r="A254" s="1" t="s">
        <v>551</v>
      </c>
      <c r="B254" s="1" t="s">
        <v>552</v>
      </c>
      <c r="C254" s="1" t="s">
        <v>48</v>
      </c>
      <c r="D254" s="3">
        <v>1066</v>
      </c>
      <c r="E254" s="3">
        <v>541</v>
      </c>
      <c r="F254" s="3">
        <v>0</v>
      </c>
      <c r="G254" s="3">
        <v>1607</v>
      </c>
      <c r="H254" s="3">
        <v>-1216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391</v>
      </c>
      <c r="P254" s="3">
        <v>0</v>
      </c>
      <c r="Q254" s="4">
        <v>48.214768999999997</v>
      </c>
      <c r="R254" s="5">
        <v>48.89</v>
      </c>
      <c r="S254" s="5">
        <v>45.17</v>
      </c>
      <c r="T254" s="5">
        <v>26449.49</v>
      </c>
      <c r="U254" s="5">
        <v>0</v>
      </c>
      <c r="V254" s="5">
        <v>-59450.239999999998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46497.29</v>
      </c>
      <c r="AD254" s="6">
        <v>0</v>
      </c>
      <c r="AE254" s="5">
        <v>26084.19</v>
      </c>
      <c r="AF254" s="5">
        <v>0</v>
      </c>
      <c r="AG254" s="5">
        <v>72581.48</v>
      </c>
      <c r="AH254" s="5">
        <v>-54921.64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17659.84</v>
      </c>
      <c r="AP254" s="5">
        <v>0</v>
      </c>
      <c r="AQ254" s="5">
        <v>0</v>
      </c>
      <c r="AR254" s="5">
        <v>-365.3</v>
      </c>
      <c r="AS254" s="5">
        <v>4528.6000000000004</v>
      </c>
      <c r="AT254" s="5">
        <v>0</v>
      </c>
    </row>
    <row r="255" spans="1:46" x14ac:dyDescent="0.2">
      <c r="A255" s="1" t="s">
        <v>553</v>
      </c>
      <c r="B255" s="1" t="s">
        <v>554</v>
      </c>
      <c r="C255" s="1" t="s">
        <v>48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4">
        <v>0</v>
      </c>
      <c r="R255" s="5">
        <v>40.42</v>
      </c>
      <c r="S255" s="5">
        <v>73.73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6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</row>
    <row r="256" spans="1:46" x14ac:dyDescent="0.2">
      <c r="A256" s="1" t="s">
        <v>555</v>
      </c>
      <c r="B256" s="1" t="s">
        <v>556</v>
      </c>
      <c r="C256" s="1" t="s">
        <v>48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4">
        <v>0</v>
      </c>
      <c r="R256" s="5">
        <v>39.26</v>
      </c>
      <c r="S256" s="5">
        <v>40.840000000000003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6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</row>
    <row r="257" spans="1:46" x14ac:dyDescent="0.2">
      <c r="A257" s="1" t="s">
        <v>557</v>
      </c>
      <c r="B257" s="1" t="s">
        <v>558</v>
      </c>
      <c r="C257" s="1" t="s">
        <v>48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4">
        <v>0</v>
      </c>
      <c r="R257" s="5">
        <v>32.270000000000003</v>
      </c>
      <c r="S257" s="5">
        <v>1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6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</row>
    <row r="258" spans="1:46" x14ac:dyDescent="0.2">
      <c r="A258" s="1" t="s">
        <v>559</v>
      </c>
      <c r="B258" s="1" t="s">
        <v>560</v>
      </c>
      <c r="C258" s="1" t="s">
        <v>48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4">
        <v>0</v>
      </c>
      <c r="R258" s="5">
        <v>34.14</v>
      </c>
      <c r="S258" s="5">
        <v>31.45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6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</row>
    <row r="259" spans="1:46" x14ac:dyDescent="0.2">
      <c r="A259" s="1" t="s">
        <v>561</v>
      </c>
      <c r="B259" s="1" t="s">
        <v>562</v>
      </c>
      <c r="C259" s="1" t="s">
        <v>48</v>
      </c>
      <c r="D259" s="3">
        <v>37</v>
      </c>
      <c r="E259" s="3">
        <v>0</v>
      </c>
      <c r="F259" s="3">
        <v>0</v>
      </c>
      <c r="G259" s="3">
        <v>37</v>
      </c>
      <c r="H259" s="3">
        <v>-37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4">
        <v>0</v>
      </c>
      <c r="R259" s="5">
        <v>28.74</v>
      </c>
      <c r="S259" s="5">
        <v>24.97</v>
      </c>
      <c r="T259" s="5">
        <v>0</v>
      </c>
      <c r="U259" s="5">
        <v>0</v>
      </c>
      <c r="V259" s="5">
        <v>-1063.3800000000001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923.81</v>
      </c>
      <c r="AD259" s="6">
        <v>0</v>
      </c>
      <c r="AE259" s="5">
        <v>0</v>
      </c>
      <c r="AF259" s="5">
        <v>0</v>
      </c>
      <c r="AG259" s="5">
        <v>923.81</v>
      </c>
      <c r="AH259" s="5">
        <v>-923.81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139.57</v>
      </c>
      <c r="AT259" s="5">
        <v>0</v>
      </c>
    </row>
    <row r="260" spans="1:46" x14ac:dyDescent="0.2">
      <c r="A260" s="1" t="s">
        <v>563</v>
      </c>
      <c r="B260" s="1" t="s">
        <v>564</v>
      </c>
      <c r="C260" s="1" t="s">
        <v>48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4">
        <v>0</v>
      </c>
      <c r="R260" s="5">
        <v>36.25</v>
      </c>
      <c r="S260" s="5">
        <v>46.77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6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</row>
    <row r="261" spans="1:46" x14ac:dyDescent="0.2">
      <c r="A261" s="1" t="s">
        <v>565</v>
      </c>
      <c r="B261" s="1" t="s">
        <v>566</v>
      </c>
      <c r="C261" s="1" t="s">
        <v>48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4">
        <v>0</v>
      </c>
      <c r="R261" s="5">
        <v>33.03</v>
      </c>
      <c r="S261" s="5">
        <v>1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6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</row>
    <row r="262" spans="1:46" x14ac:dyDescent="0.2">
      <c r="A262" s="1" t="s">
        <v>567</v>
      </c>
      <c r="B262" s="1" t="s">
        <v>568</v>
      </c>
      <c r="C262" s="1" t="s">
        <v>48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4">
        <v>0</v>
      </c>
      <c r="R262" s="5">
        <v>36.83</v>
      </c>
      <c r="S262" s="5">
        <v>32.43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6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</row>
    <row r="263" spans="1:46" x14ac:dyDescent="0.2">
      <c r="A263" s="1" t="s">
        <v>569</v>
      </c>
      <c r="B263" s="1" t="s">
        <v>570</v>
      </c>
      <c r="C263" s="1" t="s">
        <v>48</v>
      </c>
      <c r="D263" s="3">
        <v>34</v>
      </c>
      <c r="E263" s="3">
        <v>0</v>
      </c>
      <c r="F263" s="3">
        <v>0</v>
      </c>
      <c r="G263" s="3">
        <v>34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34</v>
      </c>
      <c r="P263" s="3">
        <v>0</v>
      </c>
      <c r="Q263" s="4">
        <v>0</v>
      </c>
      <c r="R263" s="5">
        <v>47.18</v>
      </c>
      <c r="S263" s="5">
        <v>47.95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1630.32</v>
      </c>
      <c r="AD263" s="6">
        <v>0</v>
      </c>
      <c r="AE263" s="5">
        <v>0</v>
      </c>
      <c r="AF263" s="5">
        <v>0</v>
      </c>
      <c r="AG263" s="5">
        <v>1630.32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1630.32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</row>
    <row r="264" spans="1:46" x14ac:dyDescent="0.2">
      <c r="A264" s="1" t="s">
        <v>571</v>
      </c>
      <c r="B264" s="1" t="s">
        <v>572</v>
      </c>
      <c r="C264" s="1" t="s">
        <v>48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4">
        <v>0</v>
      </c>
      <c r="R264" s="5">
        <v>43.32</v>
      </c>
      <c r="S264" s="5">
        <v>100.6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6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</row>
    <row r="265" spans="1:46" x14ac:dyDescent="0.2">
      <c r="A265" s="1" t="s">
        <v>573</v>
      </c>
      <c r="B265" s="1" t="s">
        <v>574</v>
      </c>
      <c r="C265" s="1" t="s">
        <v>48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4">
        <v>0</v>
      </c>
      <c r="R265" s="5">
        <v>28.48</v>
      </c>
      <c r="S265" s="5">
        <v>28.58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6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</row>
    <row r="266" spans="1:46" x14ac:dyDescent="0.2">
      <c r="A266" s="1" t="s">
        <v>575</v>
      </c>
      <c r="B266" s="1" t="s">
        <v>576</v>
      </c>
      <c r="C266" s="1" t="s">
        <v>48</v>
      </c>
      <c r="D266" s="3">
        <v>788</v>
      </c>
      <c r="E266" s="3">
        <v>3</v>
      </c>
      <c r="F266" s="3">
        <v>0</v>
      </c>
      <c r="G266" s="3">
        <v>791</v>
      </c>
      <c r="H266" s="3">
        <v>-767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24</v>
      </c>
      <c r="P266" s="3">
        <v>567</v>
      </c>
      <c r="Q266" s="4">
        <v>40.74</v>
      </c>
      <c r="R266" s="5">
        <v>41.14</v>
      </c>
      <c r="S266" s="5">
        <v>39.409999999999997</v>
      </c>
      <c r="T266" s="5">
        <v>123.42</v>
      </c>
      <c r="U266" s="5">
        <v>0</v>
      </c>
      <c r="V266" s="5">
        <v>-31554.38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31053.55</v>
      </c>
      <c r="AD266" s="6">
        <v>0</v>
      </c>
      <c r="AE266" s="5">
        <v>122.22</v>
      </c>
      <c r="AF266" s="5">
        <v>0</v>
      </c>
      <c r="AG266" s="5">
        <v>31175.77</v>
      </c>
      <c r="AH266" s="5">
        <v>-30229.86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945.91</v>
      </c>
      <c r="AP266" s="5">
        <v>0</v>
      </c>
      <c r="AQ266" s="5">
        <v>22347.24</v>
      </c>
      <c r="AR266" s="5">
        <v>-1.2</v>
      </c>
      <c r="AS266" s="5">
        <v>1324.52</v>
      </c>
      <c r="AT266" s="5">
        <v>0</v>
      </c>
    </row>
    <row r="267" spans="1:46" x14ac:dyDescent="0.2">
      <c r="A267" s="1" t="s">
        <v>577</v>
      </c>
      <c r="B267" s="1" t="s">
        <v>578</v>
      </c>
      <c r="C267" s="1" t="s">
        <v>48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4">
        <v>0</v>
      </c>
      <c r="R267" s="5">
        <v>42.11</v>
      </c>
      <c r="S267" s="5">
        <v>44.92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6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</row>
    <row r="268" spans="1:46" x14ac:dyDescent="0.2">
      <c r="A268" s="1" t="s">
        <v>579</v>
      </c>
      <c r="B268" s="1" t="s">
        <v>580</v>
      </c>
      <c r="C268" s="1" t="s">
        <v>48</v>
      </c>
      <c r="D268" s="3">
        <v>135</v>
      </c>
      <c r="E268" s="3">
        <v>132</v>
      </c>
      <c r="F268" s="3">
        <v>0</v>
      </c>
      <c r="G268" s="3">
        <v>267</v>
      </c>
      <c r="H268" s="3">
        <v>-149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118</v>
      </c>
      <c r="P268" s="3">
        <v>8</v>
      </c>
      <c r="Q268" s="4">
        <v>47.772044999999999</v>
      </c>
      <c r="R268" s="5">
        <v>48.58</v>
      </c>
      <c r="S268" s="5">
        <v>44.84</v>
      </c>
      <c r="T268" s="5">
        <v>6412.56</v>
      </c>
      <c r="U268" s="5">
        <v>0</v>
      </c>
      <c r="V268" s="5">
        <v>-7238.42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5665.46</v>
      </c>
      <c r="AD268" s="6">
        <v>0</v>
      </c>
      <c r="AE268" s="5">
        <v>6305.91</v>
      </c>
      <c r="AF268" s="5">
        <v>0</v>
      </c>
      <c r="AG268" s="5">
        <v>11971.37</v>
      </c>
      <c r="AH268" s="5">
        <v>-6680.65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5290.72</v>
      </c>
      <c r="AP268" s="5">
        <v>0</v>
      </c>
      <c r="AQ268" s="5">
        <v>358.69</v>
      </c>
      <c r="AR268" s="5">
        <v>-106.65</v>
      </c>
      <c r="AS268" s="5">
        <v>557.77</v>
      </c>
      <c r="AT268" s="5">
        <v>0</v>
      </c>
    </row>
    <row r="269" spans="1:46" x14ac:dyDescent="0.2">
      <c r="A269" s="1" t="s">
        <v>581</v>
      </c>
      <c r="B269" s="1" t="s">
        <v>582</v>
      </c>
      <c r="C269" s="1" t="s">
        <v>48</v>
      </c>
      <c r="D269" s="3">
        <v>27</v>
      </c>
      <c r="E269" s="3">
        <v>0</v>
      </c>
      <c r="F269" s="3">
        <v>0</v>
      </c>
      <c r="G269" s="3">
        <v>27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27</v>
      </c>
      <c r="P269" s="3">
        <v>0</v>
      </c>
      <c r="Q269" s="4">
        <v>0</v>
      </c>
      <c r="R269" s="5">
        <v>35.1</v>
      </c>
      <c r="S269" s="5">
        <v>35.33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953.98</v>
      </c>
      <c r="AD269" s="6">
        <v>0</v>
      </c>
      <c r="AE269" s="5">
        <v>0</v>
      </c>
      <c r="AF269" s="5">
        <v>0</v>
      </c>
      <c r="AG269" s="5">
        <v>953.98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953.98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</row>
    <row r="270" spans="1:46" x14ac:dyDescent="0.2">
      <c r="A270" s="1" t="s">
        <v>583</v>
      </c>
      <c r="B270" s="1" t="s">
        <v>584</v>
      </c>
      <c r="C270" s="1" t="s">
        <v>48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4">
        <v>0</v>
      </c>
      <c r="R270" s="5">
        <v>46.21</v>
      </c>
      <c r="S270" s="5">
        <v>48.37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6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</row>
    <row r="271" spans="1:46" x14ac:dyDescent="0.2">
      <c r="A271" s="1" t="s">
        <v>585</v>
      </c>
      <c r="B271" s="1" t="s">
        <v>586</v>
      </c>
      <c r="C271" s="1" t="s">
        <v>48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4">
        <v>0</v>
      </c>
      <c r="R271" s="5">
        <v>48.4</v>
      </c>
      <c r="S271" s="5">
        <v>50.09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6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</row>
    <row r="272" spans="1:46" x14ac:dyDescent="0.2">
      <c r="A272" s="1" t="s">
        <v>587</v>
      </c>
      <c r="B272" s="1" t="s">
        <v>588</v>
      </c>
      <c r="C272" s="1" t="s">
        <v>48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4">
        <v>0</v>
      </c>
      <c r="R272" s="5">
        <v>36.799999999999997</v>
      </c>
      <c r="S272" s="5">
        <v>67.69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6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</row>
    <row r="273" spans="1:46" x14ac:dyDescent="0.2">
      <c r="A273" s="1" t="s">
        <v>589</v>
      </c>
      <c r="B273" s="1" t="s">
        <v>590</v>
      </c>
      <c r="C273" s="1" t="s">
        <v>48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4">
        <v>0</v>
      </c>
      <c r="R273" s="5">
        <v>31.52</v>
      </c>
      <c r="S273" s="5">
        <v>32.659999999999997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6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</row>
    <row r="274" spans="1:46" x14ac:dyDescent="0.2">
      <c r="A274" s="1" t="s">
        <v>591</v>
      </c>
      <c r="B274" s="1" t="s">
        <v>592</v>
      </c>
      <c r="C274" s="1" t="s">
        <v>48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4">
        <v>0</v>
      </c>
      <c r="R274" s="5">
        <v>36.549999999999997</v>
      </c>
      <c r="S274" s="5">
        <v>76.23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6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</row>
    <row r="275" spans="1:46" x14ac:dyDescent="0.2">
      <c r="A275" s="1" t="s">
        <v>593</v>
      </c>
      <c r="B275" s="1" t="s">
        <v>594</v>
      </c>
      <c r="C275" s="1" t="s">
        <v>48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4">
        <v>0</v>
      </c>
      <c r="R275" s="5">
        <v>33.46</v>
      </c>
      <c r="S275" s="5">
        <v>34.9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6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</row>
    <row r="276" spans="1:46" x14ac:dyDescent="0.2">
      <c r="A276" s="1" t="s">
        <v>595</v>
      </c>
      <c r="B276" s="1" t="s">
        <v>596</v>
      </c>
      <c r="C276" s="1" t="s">
        <v>48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4">
        <v>0</v>
      </c>
      <c r="R276" s="5">
        <v>36.56</v>
      </c>
      <c r="S276" s="5">
        <v>65.5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6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</row>
    <row r="277" spans="1:46" x14ac:dyDescent="0.2">
      <c r="A277" s="1" t="s">
        <v>597</v>
      </c>
      <c r="B277" s="1" t="s">
        <v>598</v>
      </c>
      <c r="C277" s="1" t="s">
        <v>48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4">
        <v>0</v>
      </c>
      <c r="R277" s="5">
        <v>37.450000000000003</v>
      </c>
      <c r="S277" s="5">
        <v>38.950000000000003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6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</row>
    <row r="278" spans="1:46" x14ac:dyDescent="0.2">
      <c r="A278" s="1" t="s">
        <v>599</v>
      </c>
      <c r="B278" s="1" t="s">
        <v>600</v>
      </c>
      <c r="C278" s="1" t="s">
        <v>48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4">
        <v>0</v>
      </c>
      <c r="R278" s="5">
        <v>37.450000000000003</v>
      </c>
      <c r="S278" s="5">
        <v>39.380000000000003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6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</row>
    <row r="279" spans="1:46" x14ac:dyDescent="0.2">
      <c r="A279" s="1" t="s">
        <v>601</v>
      </c>
      <c r="B279" s="1" t="s">
        <v>602</v>
      </c>
      <c r="C279" s="1" t="s">
        <v>48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4">
        <v>0</v>
      </c>
      <c r="R279" s="5">
        <v>40.42</v>
      </c>
      <c r="S279" s="5">
        <v>51.65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6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</row>
    <row r="280" spans="1:46" x14ac:dyDescent="0.2">
      <c r="A280" s="1" t="s">
        <v>603</v>
      </c>
      <c r="B280" s="1" t="s">
        <v>604</v>
      </c>
      <c r="C280" s="1" t="s">
        <v>48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4">
        <v>0</v>
      </c>
      <c r="R280" s="5">
        <v>37.64</v>
      </c>
      <c r="S280" s="5">
        <v>37.64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6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</row>
    <row r="281" spans="1:46" x14ac:dyDescent="0.2">
      <c r="A281" s="1" t="s">
        <v>605</v>
      </c>
      <c r="B281" s="1" t="s">
        <v>606</v>
      </c>
      <c r="C281" s="1" t="s">
        <v>48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4">
        <v>0</v>
      </c>
      <c r="R281" s="5">
        <v>40.950000000000003</v>
      </c>
      <c r="S281" s="5">
        <v>64.37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6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</row>
    <row r="282" spans="1:46" x14ac:dyDescent="0.2">
      <c r="A282" s="1" t="s">
        <v>607</v>
      </c>
      <c r="B282" s="1" t="s">
        <v>608</v>
      </c>
      <c r="C282" s="1" t="s">
        <v>48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4">
        <v>0</v>
      </c>
      <c r="R282" s="5">
        <v>31.18</v>
      </c>
      <c r="S282" s="5">
        <v>38.549999999999997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6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</row>
    <row r="283" spans="1:46" x14ac:dyDescent="0.2">
      <c r="A283" s="1" t="s">
        <v>609</v>
      </c>
      <c r="B283" s="1" t="s">
        <v>610</v>
      </c>
      <c r="C283" s="1" t="s">
        <v>48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4">
        <v>0</v>
      </c>
      <c r="R283" s="5">
        <v>41.14</v>
      </c>
      <c r="S283" s="5">
        <v>64.45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6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</row>
    <row r="284" spans="1:46" x14ac:dyDescent="0.2">
      <c r="A284" s="1" t="s">
        <v>611</v>
      </c>
      <c r="B284" s="1" t="s">
        <v>612</v>
      </c>
      <c r="C284" s="1" t="s">
        <v>48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4">
        <v>0</v>
      </c>
      <c r="R284" s="5">
        <v>42.07</v>
      </c>
      <c r="S284" s="5">
        <v>66.14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6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</row>
    <row r="285" spans="1:46" x14ac:dyDescent="0.2">
      <c r="A285" s="1" t="s">
        <v>613</v>
      </c>
      <c r="B285" s="1" t="s">
        <v>614</v>
      </c>
      <c r="C285" s="1" t="s">
        <v>48</v>
      </c>
      <c r="D285" s="3">
        <v>10</v>
      </c>
      <c r="E285" s="3">
        <v>0</v>
      </c>
      <c r="F285" s="3">
        <v>0</v>
      </c>
      <c r="G285" s="3">
        <v>10</v>
      </c>
      <c r="H285" s="3">
        <v>-10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4">
        <v>0</v>
      </c>
      <c r="R285" s="5">
        <v>58.03</v>
      </c>
      <c r="S285" s="5">
        <v>50.59</v>
      </c>
      <c r="T285" s="5">
        <v>0</v>
      </c>
      <c r="U285" s="5">
        <v>0</v>
      </c>
      <c r="V285" s="5">
        <v>-580.29999999999995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505.94</v>
      </c>
      <c r="AD285" s="6">
        <v>0</v>
      </c>
      <c r="AE285" s="5">
        <v>0</v>
      </c>
      <c r="AF285" s="5">
        <v>0</v>
      </c>
      <c r="AG285" s="5">
        <v>505.94</v>
      </c>
      <c r="AH285" s="5">
        <v>-505.94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74.36</v>
      </c>
      <c r="AT285" s="5">
        <v>0</v>
      </c>
    </row>
    <row r="286" spans="1:46" x14ac:dyDescent="0.2">
      <c r="A286" s="1" t="s">
        <v>615</v>
      </c>
      <c r="B286" s="1" t="s">
        <v>616</v>
      </c>
      <c r="C286" s="1" t="s">
        <v>48</v>
      </c>
      <c r="D286" s="3">
        <v>72</v>
      </c>
      <c r="E286" s="3">
        <v>13</v>
      </c>
      <c r="F286" s="3">
        <v>0</v>
      </c>
      <c r="G286" s="3">
        <v>85</v>
      </c>
      <c r="H286" s="3">
        <v>-78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7</v>
      </c>
      <c r="P286" s="3">
        <v>0</v>
      </c>
      <c r="Q286" s="4">
        <v>52.081538000000002</v>
      </c>
      <c r="R286" s="5">
        <v>53.26</v>
      </c>
      <c r="S286" s="5">
        <v>47.07</v>
      </c>
      <c r="T286" s="5">
        <v>692.38</v>
      </c>
      <c r="U286" s="5">
        <v>0</v>
      </c>
      <c r="V286" s="5">
        <v>-4154.28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3323.68</v>
      </c>
      <c r="AD286" s="6">
        <v>0</v>
      </c>
      <c r="AE286" s="5">
        <v>677.06</v>
      </c>
      <c r="AF286" s="5">
        <v>0</v>
      </c>
      <c r="AG286" s="5">
        <v>4000.74</v>
      </c>
      <c r="AH286" s="5">
        <v>-3671.27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329.47</v>
      </c>
      <c r="AP286" s="5">
        <v>0</v>
      </c>
      <c r="AQ286" s="5">
        <v>0</v>
      </c>
      <c r="AR286" s="5">
        <v>-15.32</v>
      </c>
      <c r="AS286" s="5">
        <v>483.01</v>
      </c>
      <c r="AT286" s="5">
        <v>0</v>
      </c>
    </row>
    <row r="287" spans="1:46" x14ac:dyDescent="0.2">
      <c r="A287" s="1" t="s">
        <v>617</v>
      </c>
      <c r="B287" s="1" t="s">
        <v>618</v>
      </c>
      <c r="C287" s="1" t="s">
        <v>48</v>
      </c>
      <c r="D287" s="3">
        <v>112</v>
      </c>
      <c r="E287" s="3">
        <v>110</v>
      </c>
      <c r="F287" s="3">
        <v>0</v>
      </c>
      <c r="G287" s="3">
        <v>222</v>
      </c>
      <c r="H287" s="3">
        <v>-185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37</v>
      </c>
      <c r="P287" s="3">
        <v>5</v>
      </c>
      <c r="Q287" s="4">
        <v>27.038817999999999</v>
      </c>
      <c r="R287" s="5">
        <v>26.88</v>
      </c>
      <c r="S287" s="5">
        <v>25.45</v>
      </c>
      <c r="T287" s="5">
        <v>2956.8</v>
      </c>
      <c r="U287" s="5">
        <v>0</v>
      </c>
      <c r="V287" s="5">
        <v>-4972.8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2675.88</v>
      </c>
      <c r="AD287" s="6">
        <v>0</v>
      </c>
      <c r="AE287" s="5">
        <v>2974.27</v>
      </c>
      <c r="AF287" s="5">
        <v>0</v>
      </c>
      <c r="AG287" s="5">
        <v>5650.15</v>
      </c>
      <c r="AH287" s="5">
        <v>-4708.46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941.69</v>
      </c>
      <c r="AP287" s="5">
        <v>0</v>
      </c>
      <c r="AQ287" s="5">
        <v>127.26</v>
      </c>
      <c r="AR287" s="5">
        <v>17.47</v>
      </c>
      <c r="AS287" s="5">
        <v>264.33999999999997</v>
      </c>
      <c r="AT287" s="5">
        <v>0</v>
      </c>
    </row>
    <row r="288" spans="1:46" x14ac:dyDescent="0.2">
      <c r="A288" s="1" t="s">
        <v>619</v>
      </c>
      <c r="B288" s="1" t="s">
        <v>620</v>
      </c>
      <c r="C288" s="1" t="s">
        <v>48</v>
      </c>
      <c r="D288" s="3">
        <v>338</v>
      </c>
      <c r="E288" s="3">
        <v>644</v>
      </c>
      <c r="F288" s="3">
        <v>0</v>
      </c>
      <c r="G288" s="3">
        <v>982</v>
      </c>
      <c r="H288" s="3">
        <v>-356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626</v>
      </c>
      <c r="P288" s="3">
        <v>0</v>
      </c>
      <c r="Q288" s="4">
        <v>32.357033999999999</v>
      </c>
      <c r="R288" s="5">
        <v>32.54</v>
      </c>
      <c r="S288" s="5">
        <v>31.04</v>
      </c>
      <c r="T288" s="5">
        <v>20955.759999999998</v>
      </c>
      <c r="U288" s="5">
        <v>0</v>
      </c>
      <c r="V288" s="5">
        <v>-11584.24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9638.9599999999991</v>
      </c>
      <c r="AD288" s="6">
        <v>0</v>
      </c>
      <c r="AE288" s="5">
        <v>20837.93</v>
      </c>
      <c r="AF288" s="5">
        <v>0</v>
      </c>
      <c r="AG288" s="5">
        <v>30476.89</v>
      </c>
      <c r="AH288" s="5">
        <v>-11048.65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19428.240000000002</v>
      </c>
      <c r="AP288" s="5">
        <v>0</v>
      </c>
      <c r="AQ288" s="5">
        <v>0</v>
      </c>
      <c r="AR288" s="5">
        <v>-117.83</v>
      </c>
      <c r="AS288" s="5">
        <v>535.59</v>
      </c>
      <c r="AT288" s="5">
        <v>0</v>
      </c>
    </row>
    <row r="289" spans="1:46" x14ac:dyDescent="0.2">
      <c r="A289" s="1" t="s">
        <v>621</v>
      </c>
      <c r="B289" s="1" t="s">
        <v>622</v>
      </c>
      <c r="C289" s="1" t="s">
        <v>48</v>
      </c>
      <c r="D289" s="3">
        <v>770</v>
      </c>
      <c r="E289" s="3">
        <v>527</v>
      </c>
      <c r="F289" s="3">
        <v>0</v>
      </c>
      <c r="G289" s="3">
        <v>1297</v>
      </c>
      <c r="H289" s="3">
        <v>-989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308</v>
      </c>
      <c r="P289" s="3">
        <v>219</v>
      </c>
      <c r="Q289" s="4">
        <v>35.597932</v>
      </c>
      <c r="R289" s="5">
        <v>35.799999999999997</v>
      </c>
      <c r="S289" s="5">
        <v>33.090000000000003</v>
      </c>
      <c r="T289" s="5">
        <v>18866.599999999999</v>
      </c>
      <c r="U289" s="5">
        <v>0</v>
      </c>
      <c r="V289" s="5">
        <v>-35406.199999999997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24162.68</v>
      </c>
      <c r="AD289" s="6">
        <v>0</v>
      </c>
      <c r="AE289" s="5">
        <v>18760.11</v>
      </c>
      <c r="AF289" s="5">
        <v>0</v>
      </c>
      <c r="AG289" s="5">
        <v>42922.79</v>
      </c>
      <c r="AH289" s="5">
        <v>-32729.87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10192.92</v>
      </c>
      <c r="AP289" s="5">
        <v>0</v>
      </c>
      <c r="AQ289" s="5">
        <v>7247.56</v>
      </c>
      <c r="AR289" s="5">
        <v>-106.49</v>
      </c>
      <c r="AS289" s="5">
        <v>2676.33</v>
      </c>
      <c r="AT289" s="5">
        <v>0</v>
      </c>
    </row>
    <row r="290" spans="1:46" x14ac:dyDescent="0.2">
      <c r="A290" s="1" t="s">
        <v>623</v>
      </c>
      <c r="B290" s="1" t="s">
        <v>624</v>
      </c>
      <c r="C290" s="1" t="s">
        <v>48</v>
      </c>
      <c r="D290" s="3">
        <v>189</v>
      </c>
      <c r="E290" s="3">
        <v>654</v>
      </c>
      <c r="F290" s="3">
        <v>0</v>
      </c>
      <c r="G290" s="3">
        <v>843</v>
      </c>
      <c r="H290" s="3">
        <v>-183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660</v>
      </c>
      <c r="P290" s="3">
        <v>0</v>
      </c>
      <c r="Q290" s="4">
        <v>38.231254</v>
      </c>
      <c r="R290" s="5">
        <v>38.92</v>
      </c>
      <c r="S290" s="5">
        <v>37.33</v>
      </c>
      <c r="T290" s="5">
        <v>25453.68</v>
      </c>
      <c r="U290" s="5">
        <v>0</v>
      </c>
      <c r="V290" s="5">
        <v>-7122.36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6463.16</v>
      </c>
      <c r="AD290" s="6">
        <v>0</v>
      </c>
      <c r="AE290" s="5">
        <v>25003.24</v>
      </c>
      <c r="AF290" s="5">
        <v>0</v>
      </c>
      <c r="AG290" s="5">
        <v>31466.400000000001</v>
      </c>
      <c r="AH290" s="5">
        <v>-6830.78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24635.62</v>
      </c>
      <c r="AP290" s="5">
        <v>0</v>
      </c>
      <c r="AQ290" s="5">
        <v>0</v>
      </c>
      <c r="AR290" s="5">
        <v>-450.44</v>
      </c>
      <c r="AS290" s="5">
        <v>291.58</v>
      </c>
      <c r="AT290" s="5">
        <v>0</v>
      </c>
    </row>
    <row r="291" spans="1:46" x14ac:dyDescent="0.2">
      <c r="A291" s="1" t="s">
        <v>625</v>
      </c>
      <c r="B291" s="1" t="s">
        <v>626</v>
      </c>
      <c r="C291" s="1" t="s">
        <v>48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4">
        <v>0</v>
      </c>
      <c r="R291" s="5">
        <v>38.33</v>
      </c>
      <c r="S291" s="5">
        <v>87.73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6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</row>
    <row r="292" spans="1:46" x14ac:dyDescent="0.2">
      <c r="A292" s="1" t="s">
        <v>627</v>
      </c>
      <c r="B292" s="1" t="s">
        <v>628</v>
      </c>
      <c r="C292" s="1" t="s">
        <v>48</v>
      </c>
      <c r="D292" s="3">
        <v>74</v>
      </c>
      <c r="E292" s="3">
        <v>548</v>
      </c>
      <c r="F292" s="3">
        <v>0</v>
      </c>
      <c r="G292" s="3">
        <v>622</v>
      </c>
      <c r="H292" s="3">
        <v>-74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548</v>
      </c>
      <c r="P292" s="3">
        <v>0</v>
      </c>
      <c r="Q292" s="4">
        <v>38.300401000000001</v>
      </c>
      <c r="R292" s="5">
        <v>38.67</v>
      </c>
      <c r="S292" s="5">
        <v>37.770000000000003</v>
      </c>
      <c r="T292" s="5">
        <v>21191.16</v>
      </c>
      <c r="U292" s="5">
        <v>0</v>
      </c>
      <c r="V292" s="5">
        <v>-2861.58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2507.42</v>
      </c>
      <c r="AD292" s="6">
        <v>0</v>
      </c>
      <c r="AE292" s="5">
        <v>20988.62</v>
      </c>
      <c r="AF292" s="5">
        <v>0</v>
      </c>
      <c r="AG292" s="5">
        <v>23496.04</v>
      </c>
      <c r="AH292" s="5">
        <v>-2795.35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20700.689999999999</v>
      </c>
      <c r="AP292" s="5">
        <v>0</v>
      </c>
      <c r="AQ292" s="5">
        <v>0</v>
      </c>
      <c r="AR292" s="5">
        <v>-202.54</v>
      </c>
      <c r="AS292" s="5">
        <v>66.23</v>
      </c>
      <c r="AT292" s="5">
        <v>0</v>
      </c>
    </row>
    <row r="293" spans="1:46" x14ac:dyDescent="0.2">
      <c r="A293" s="1" t="s">
        <v>629</v>
      </c>
      <c r="B293" s="1" t="s">
        <v>630</v>
      </c>
      <c r="C293" s="1" t="s">
        <v>48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4">
        <v>0</v>
      </c>
      <c r="R293" s="5">
        <v>40.11</v>
      </c>
      <c r="S293" s="5">
        <v>1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6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</row>
    <row r="294" spans="1:46" x14ac:dyDescent="0.2">
      <c r="A294" s="1" t="s">
        <v>631</v>
      </c>
      <c r="B294" s="1" t="s">
        <v>632</v>
      </c>
      <c r="C294" s="1" t="s">
        <v>48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4">
        <v>0</v>
      </c>
      <c r="R294" s="5">
        <v>46.36</v>
      </c>
      <c r="S294" s="5">
        <v>43.32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6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</row>
    <row r="295" spans="1:46" x14ac:dyDescent="0.2">
      <c r="A295" s="1" t="s">
        <v>633</v>
      </c>
      <c r="B295" s="1" t="s">
        <v>634</v>
      </c>
      <c r="C295" s="1" t="s">
        <v>48</v>
      </c>
      <c r="D295" s="3">
        <v>754</v>
      </c>
      <c r="E295" s="3">
        <v>927</v>
      </c>
      <c r="F295" s="3">
        <v>0</v>
      </c>
      <c r="G295" s="3">
        <v>1681</v>
      </c>
      <c r="H295" s="3">
        <v>-1273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408</v>
      </c>
      <c r="P295" s="3">
        <v>431</v>
      </c>
      <c r="Q295" s="4">
        <v>37.309569000000003</v>
      </c>
      <c r="R295" s="5">
        <v>37.61</v>
      </c>
      <c r="S295" s="5">
        <v>36.270000000000003</v>
      </c>
      <c r="T295" s="5">
        <v>34864.47</v>
      </c>
      <c r="U295" s="5">
        <v>0</v>
      </c>
      <c r="V295" s="5">
        <v>-47877.53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26377.22</v>
      </c>
      <c r="AD295" s="6">
        <v>0</v>
      </c>
      <c r="AE295" s="5">
        <v>34585.97</v>
      </c>
      <c r="AF295" s="5">
        <v>0</v>
      </c>
      <c r="AG295" s="5">
        <v>60963.19</v>
      </c>
      <c r="AH295" s="5">
        <v>-46166.65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14796.54</v>
      </c>
      <c r="AP295" s="5">
        <v>0</v>
      </c>
      <c r="AQ295" s="5">
        <v>15630.66</v>
      </c>
      <c r="AR295" s="5">
        <v>-278.5</v>
      </c>
      <c r="AS295" s="5">
        <v>1710.88</v>
      </c>
      <c r="AT295" s="5">
        <v>0</v>
      </c>
    </row>
    <row r="296" spans="1:46" x14ac:dyDescent="0.2">
      <c r="A296" s="1" t="s">
        <v>635</v>
      </c>
      <c r="B296" s="1" t="s">
        <v>636</v>
      </c>
      <c r="C296" s="1" t="s">
        <v>48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4">
        <v>0</v>
      </c>
      <c r="R296" s="5">
        <v>46.25</v>
      </c>
      <c r="S296" s="5">
        <v>49.09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6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</row>
    <row r="297" spans="1:46" x14ac:dyDescent="0.2">
      <c r="A297" s="1" t="s">
        <v>637</v>
      </c>
      <c r="B297" s="1" t="s">
        <v>638</v>
      </c>
      <c r="C297" s="1" t="s">
        <v>48</v>
      </c>
      <c r="D297" s="3">
        <v>9</v>
      </c>
      <c r="E297" s="3">
        <v>559</v>
      </c>
      <c r="F297" s="3">
        <v>0</v>
      </c>
      <c r="G297" s="3">
        <v>568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568</v>
      </c>
      <c r="P297" s="3">
        <v>0</v>
      </c>
      <c r="Q297" s="4">
        <v>39.766297000000002</v>
      </c>
      <c r="R297" s="5">
        <v>40.299999999999997</v>
      </c>
      <c r="S297" s="5">
        <v>39.700000000000003</v>
      </c>
      <c r="T297" s="5">
        <v>22527.7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320.77</v>
      </c>
      <c r="AD297" s="6">
        <v>0</v>
      </c>
      <c r="AE297" s="5">
        <v>22229.360000000001</v>
      </c>
      <c r="AF297" s="5">
        <v>0</v>
      </c>
      <c r="AG297" s="5">
        <v>22550.13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22550.13</v>
      </c>
      <c r="AP297" s="5">
        <v>0</v>
      </c>
      <c r="AQ297" s="5">
        <v>0</v>
      </c>
      <c r="AR297" s="5">
        <v>-298.33999999999997</v>
      </c>
      <c r="AS297" s="5">
        <v>0</v>
      </c>
      <c r="AT297" s="5">
        <v>0</v>
      </c>
    </row>
    <row r="298" spans="1:46" x14ac:dyDescent="0.2">
      <c r="A298" s="1" t="s">
        <v>639</v>
      </c>
      <c r="B298" s="1" t="s">
        <v>640</v>
      </c>
      <c r="C298" s="1" t="s">
        <v>48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4">
        <v>0</v>
      </c>
      <c r="R298" s="5">
        <v>52.08</v>
      </c>
      <c r="S298" s="5">
        <v>48.76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6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</row>
    <row r="299" spans="1:46" x14ac:dyDescent="0.2">
      <c r="A299" s="1" t="s">
        <v>641</v>
      </c>
      <c r="B299" s="1" t="s">
        <v>642</v>
      </c>
      <c r="C299" s="1" t="s">
        <v>48</v>
      </c>
      <c r="D299" s="3">
        <v>163</v>
      </c>
      <c r="E299" s="3">
        <v>146</v>
      </c>
      <c r="F299" s="3">
        <v>0</v>
      </c>
      <c r="G299" s="3">
        <v>309</v>
      </c>
      <c r="H299" s="3">
        <v>-174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135</v>
      </c>
      <c r="P299" s="3">
        <v>0</v>
      </c>
      <c r="Q299" s="4">
        <v>39.547466</v>
      </c>
      <c r="R299" s="5">
        <v>39.75</v>
      </c>
      <c r="S299" s="5">
        <v>37.43</v>
      </c>
      <c r="T299" s="5">
        <v>5803.5</v>
      </c>
      <c r="U299" s="5">
        <v>0</v>
      </c>
      <c r="V299" s="5">
        <v>-6916.5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5792.08</v>
      </c>
      <c r="AD299" s="6">
        <v>0</v>
      </c>
      <c r="AE299" s="5">
        <v>5773.93</v>
      </c>
      <c r="AF299" s="5">
        <v>0</v>
      </c>
      <c r="AG299" s="5">
        <v>11566.01</v>
      </c>
      <c r="AH299" s="5">
        <v>-6512.9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5053.1099999999997</v>
      </c>
      <c r="AP299" s="5">
        <v>0</v>
      </c>
      <c r="AQ299" s="5">
        <v>0</v>
      </c>
      <c r="AR299" s="5">
        <v>-29.57</v>
      </c>
      <c r="AS299" s="5">
        <v>403.6</v>
      </c>
      <c r="AT299" s="5">
        <v>0</v>
      </c>
    </row>
    <row r="300" spans="1:46" x14ac:dyDescent="0.2">
      <c r="A300" s="1" t="s">
        <v>643</v>
      </c>
      <c r="B300" s="1" t="s">
        <v>644</v>
      </c>
      <c r="C300" s="1" t="s">
        <v>48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4">
        <v>0</v>
      </c>
      <c r="R300" s="5">
        <v>41.81</v>
      </c>
      <c r="S300" s="5">
        <v>48.31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6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</row>
    <row r="301" spans="1:46" x14ac:dyDescent="0.2">
      <c r="A301" s="1" t="s">
        <v>645</v>
      </c>
      <c r="B301" s="1" t="s">
        <v>646</v>
      </c>
      <c r="C301" s="1" t="s">
        <v>48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4">
        <v>0</v>
      </c>
      <c r="R301" s="5">
        <v>37.9</v>
      </c>
      <c r="S301" s="5">
        <v>40.42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6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</row>
    <row r="302" spans="1:46" x14ac:dyDescent="0.2">
      <c r="A302" s="1" t="s">
        <v>647</v>
      </c>
      <c r="B302" s="1" t="s">
        <v>648</v>
      </c>
      <c r="C302" s="1" t="s">
        <v>48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4">
        <v>0</v>
      </c>
      <c r="R302" s="5">
        <v>32.340000000000003</v>
      </c>
      <c r="S302" s="5">
        <v>42.25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6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</row>
    <row r="303" spans="1:46" x14ac:dyDescent="0.2">
      <c r="A303" s="1" t="s">
        <v>649</v>
      </c>
      <c r="B303" s="1" t="s">
        <v>650</v>
      </c>
      <c r="C303" s="1" t="s">
        <v>48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4">
        <v>0</v>
      </c>
      <c r="R303" s="5">
        <v>31.91</v>
      </c>
      <c r="S303" s="5">
        <v>73.06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6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</row>
    <row r="304" spans="1:46" x14ac:dyDescent="0.2">
      <c r="A304" s="1" t="s">
        <v>651</v>
      </c>
      <c r="B304" s="1" t="s">
        <v>652</v>
      </c>
      <c r="C304" s="1" t="s">
        <v>48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4">
        <v>0</v>
      </c>
      <c r="R304" s="5">
        <v>42.24</v>
      </c>
      <c r="S304" s="5">
        <v>54.32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6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</row>
    <row r="305" spans="1:46" x14ac:dyDescent="0.2">
      <c r="A305" s="1" t="s">
        <v>653</v>
      </c>
      <c r="B305" s="1" t="s">
        <v>654</v>
      </c>
      <c r="C305" s="1" t="s">
        <v>48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4">
        <v>0</v>
      </c>
      <c r="R305" s="5">
        <v>49.83</v>
      </c>
      <c r="S305" s="5">
        <v>54.79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6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</row>
    <row r="306" spans="1:46" x14ac:dyDescent="0.2">
      <c r="A306" s="1" t="s">
        <v>655</v>
      </c>
      <c r="B306" s="1" t="s">
        <v>656</v>
      </c>
      <c r="C306" s="1" t="s">
        <v>48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4">
        <v>0</v>
      </c>
      <c r="R306" s="5">
        <v>46.73</v>
      </c>
      <c r="S306" s="5">
        <v>49.7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6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</row>
    <row r="307" spans="1:46" x14ac:dyDescent="0.2">
      <c r="A307" s="1" t="s">
        <v>657</v>
      </c>
      <c r="B307" s="1" t="s">
        <v>658</v>
      </c>
      <c r="C307" s="1" t="s">
        <v>48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4">
        <v>0</v>
      </c>
      <c r="R307" s="5">
        <v>35.78</v>
      </c>
      <c r="S307" s="5">
        <v>41.07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6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</row>
    <row r="308" spans="1:46" x14ac:dyDescent="0.2">
      <c r="A308" s="1" t="s">
        <v>659</v>
      </c>
      <c r="B308" s="1" t="s">
        <v>660</v>
      </c>
      <c r="C308" s="1" t="s">
        <v>48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4">
        <v>0</v>
      </c>
      <c r="R308" s="5">
        <v>44.07</v>
      </c>
      <c r="S308" s="5">
        <v>41.59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6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</row>
    <row r="309" spans="1:46" x14ac:dyDescent="0.2">
      <c r="A309" s="1" t="s">
        <v>661</v>
      </c>
      <c r="B309" s="1" t="s">
        <v>662</v>
      </c>
      <c r="C309" s="1" t="s">
        <v>48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4">
        <v>0</v>
      </c>
      <c r="R309" s="5">
        <v>47.78</v>
      </c>
      <c r="S309" s="5">
        <v>57.71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6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</row>
    <row r="310" spans="1:46" x14ac:dyDescent="0.2">
      <c r="A310" s="1" t="s">
        <v>663</v>
      </c>
      <c r="B310" s="1" t="s">
        <v>664</v>
      </c>
      <c r="C310" s="1" t="s">
        <v>48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4">
        <v>0</v>
      </c>
      <c r="R310" s="5">
        <v>40.44</v>
      </c>
      <c r="S310" s="5">
        <v>47.17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6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</row>
    <row r="311" spans="1:46" x14ac:dyDescent="0.2">
      <c r="A311" s="1" t="s">
        <v>665</v>
      </c>
      <c r="B311" s="1" t="s">
        <v>666</v>
      </c>
      <c r="C311" s="1" t="s">
        <v>48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4">
        <v>0</v>
      </c>
      <c r="R311" s="5">
        <v>50.58</v>
      </c>
      <c r="S311" s="5">
        <v>42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6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</row>
    <row r="312" spans="1:46" x14ac:dyDescent="0.2">
      <c r="A312" s="1" t="s">
        <v>667</v>
      </c>
      <c r="B312" s="1" t="s">
        <v>668</v>
      </c>
      <c r="C312" s="1" t="s">
        <v>48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4">
        <v>0</v>
      </c>
      <c r="R312" s="5">
        <v>44.49</v>
      </c>
      <c r="S312" s="5">
        <v>43.28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6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</row>
    <row r="313" spans="1:46" x14ac:dyDescent="0.2">
      <c r="A313" s="1" t="s">
        <v>669</v>
      </c>
      <c r="B313" s="1" t="s">
        <v>670</v>
      </c>
      <c r="C313" s="1" t="s">
        <v>48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4">
        <v>0</v>
      </c>
      <c r="R313" s="5">
        <v>42.42</v>
      </c>
      <c r="S313" s="5">
        <v>40.96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6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</row>
    <row r="314" spans="1:46" x14ac:dyDescent="0.2">
      <c r="A314" s="1" t="s">
        <v>671</v>
      </c>
      <c r="B314" s="1" t="s">
        <v>672</v>
      </c>
      <c r="C314" s="1" t="s">
        <v>48</v>
      </c>
      <c r="D314" s="3">
        <v>27</v>
      </c>
      <c r="E314" s="3">
        <v>0</v>
      </c>
      <c r="F314" s="3">
        <v>0</v>
      </c>
      <c r="G314" s="3">
        <v>27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27</v>
      </c>
      <c r="P314" s="3">
        <v>0</v>
      </c>
      <c r="Q314" s="4">
        <v>0</v>
      </c>
      <c r="R314" s="5">
        <v>40.85</v>
      </c>
      <c r="S314" s="5">
        <v>39.520000000000003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1067.01</v>
      </c>
      <c r="AD314" s="6">
        <v>0</v>
      </c>
      <c r="AE314" s="5">
        <v>0</v>
      </c>
      <c r="AF314" s="5">
        <v>0</v>
      </c>
      <c r="AG314" s="5">
        <v>1067.01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1067.01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</row>
    <row r="315" spans="1:46" x14ac:dyDescent="0.2">
      <c r="A315" s="1" t="s">
        <v>673</v>
      </c>
      <c r="B315" s="1" t="s">
        <v>674</v>
      </c>
      <c r="C315" s="1" t="s">
        <v>48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4">
        <v>0</v>
      </c>
      <c r="R315" s="5">
        <v>44.8</v>
      </c>
      <c r="S315" s="5">
        <v>78.180000000000007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6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</row>
    <row r="316" spans="1:46" x14ac:dyDescent="0.2">
      <c r="A316" s="1" t="s">
        <v>675</v>
      </c>
      <c r="B316" s="1" t="s">
        <v>676</v>
      </c>
      <c r="C316" s="1" t="s">
        <v>48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4">
        <v>0</v>
      </c>
      <c r="R316" s="5">
        <v>63.73</v>
      </c>
      <c r="S316" s="5">
        <v>48.49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6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</row>
    <row r="317" spans="1:46" x14ac:dyDescent="0.2">
      <c r="A317" s="1" t="s">
        <v>677</v>
      </c>
      <c r="B317" s="1" t="s">
        <v>678</v>
      </c>
      <c r="C317" s="1" t="s">
        <v>48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4">
        <v>0</v>
      </c>
      <c r="R317" s="5">
        <v>50.38</v>
      </c>
      <c r="S317" s="5">
        <v>35.25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6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</row>
    <row r="318" spans="1:46" x14ac:dyDescent="0.2">
      <c r="A318" s="1" t="s">
        <v>679</v>
      </c>
      <c r="B318" s="1" t="s">
        <v>680</v>
      </c>
      <c r="C318" s="1" t="s">
        <v>48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4">
        <v>0</v>
      </c>
      <c r="R318" s="5">
        <v>37.99</v>
      </c>
      <c r="S318" s="5">
        <v>48.57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6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</row>
    <row r="319" spans="1:46" x14ac:dyDescent="0.2">
      <c r="A319" s="1" t="s">
        <v>681</v>
      </c>
      <c r="B319" s="1" t="s">
        <v>682</v>
      </c>
      <c r="C319" s="1" t="s">
        <v>48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4">
        <v>0</v>
      </c>
      <c r="R319" s="5">
        <v>50.85</v>
      </c>
      <c r="S319" s="5">
        <v>41.43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6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</row>
    <row r="320" spans="1:46" x14ac:dyDescent="0.2">
      <c r="A320" s="1" t="s">
        <v>683</v>
      </c>
      <c r="B320" s="1" t="s">
        <v>684</v>
      </c>
      <c r="C320" s="1" t="s">
        <v>48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4">
        <v>0</v>
      </c>
      <c r="R320" s="5">
        <v>51.03</v>
      </c>
      <c r="S320" s="5">
        <v>52.69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6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</row>
    <row r="321" spans="1:46" x14ac:dyDescent="0.2">
      <c r="A321" s="1" t="s">
        <v>685</v>
      </c>
      <c r="B321" s="1" t="s">
        <v>686</v>
      </c>
      <c r="C321" s="1" t="s">
        <v>48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4">
        <v>0</v>
      </c>
      <c r="R321" s="5">
        <v>46.09</v>
      </c>
      <c r="S321" s="5">
        <v>41.72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6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</row>
    <row r="322" spans="1:46" x14ac:dyDescent="0.2">
      <c r="A322" s="1" t="s">
        <v>687</v>
      </c>
      <c r="B322" s="1" t="s">
        <v>688</v>
      </c>
      <c r="C322" s="1" t="s">
        <v>48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4">
        <v>0</v>
      </c>
      <c r="R322" s="5">
        <v>42.71</v>
      </c>
      <c r="S322" s="5">
        <v>44.45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6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</row>
    <row r="323" spans="1:46" x14ac:dyDescent="0.2">
      <c r="A323" s="1" t="s">
        <v>689</v>
      </c>
      <c r="B323" s="1" t="s">
        <v>690</v>
      </c>
      <c r="C323" s="1" t="s">
        <v>48</v>
      </c>
      <c r="D323" s="3">
        <v>1</v>
      </c>
      <c r="E323" s="3">
        <v>0</v>
      </c>
      <c r="F323" s="3">
        <v>0</v>
      </c>
      <c r="G323" s="3">
        <v>1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1</v>
      </c>
      <c r="P323" s="3">
        <v>0</v>
      </c>
      <c r="Q323" s="4">
        <v>0</v>
      </c>
      <c r="R323" s="5">
        <v>49.83</v>
      </c>
      <c r="S323" s="5">
        <v>49.96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49.96</v>
      </c>
      <c r="AD323" s="6">
        <v>0</v>
      </c>
      <c r="AE323" s="5">
        <v>0</v>
      </c>
      <c r="AF323" s="5">
        <v>0</v>
      </c>
      <c r="AG323" s="5">
        <v>49.96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49.96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</row>
    <row r="324" spans="1:46" x14ac:dyDescent="0.2">
      <c r="A324" s="1" t="s">
        <v>691</v>
      </c>
      <c r="B324" s="1" t="s">
        <v>692</v>
      </c>
      <c r="C324" s="1" t="s">
        <v>48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4">
        <v>0</v>
      </c>
      <c r="R324" s="5">
        <v>50.31</v>
      </c>
      <c r="S324" s="5">
        <v>46.11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6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</row>
    <row r="325" spans="1:46" x14ac:dyDescent="0.2">
      <c r="A325" s="1" t="s">
        <v>693</v>
      </c>
      <c r="B325" s="1" t="s">
        <v>694</v>
      </c>
      <c r="C325" s="1" t="s">
        <v>48</v>
      </c>
      <c r="D325" s="3">
        <v>270</v>
      </c>
      <c r="E325" s="3">
        <v>0</v>
      </c>
      <c r="F325" s="3">
        <v>0</v>
      </c>
      <c r="G325" s="3">
        <v>270</v>
      </c>
      <c r="H325" s="3">
        <v>-267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3</v>
      </c>
      <c r="P325" s="3">
        <v>267</v>
      </c>
      <c r="Q325" s="4">
        <v>0</v>
      </c>
      <c r="R325" s="5">
        <v>50.85</v>
      </c>
      <c r="S325" s="5">
        <v>50.94</v>
      </c>
      <c r="T325" s="5">
        <v>0</v>
      </c>
      <c r="U325" s="5">
        <v>0</v>
      </c>
      <c r="V325" s="5">
        <v>-13576.95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13753.1</v>
      </c>
      <c r="AD325" s="6">
        <v>0</v>
      </c>
      <c r="AE325" s="5">
        <v>0</v>
      </c>
      <c r="AF325" s="5">
        <v>0</v>
      </c>
      <c r="AG325" s="5">
        <v>13753.1</v>
      </c>
      <c r="AH325" s="5">
        <v>-13600.29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152.81</v>
      </c>
      <c r="AP325" s="5">
        <v>0</v>
      </c>
      <c r="AQ325" s="5">
        <v>13600.29</v>
      </c>
      <c r="AR325" s="5">
        <v>0</v>
      </c>
      <c r="AS325" s="5">
        <v>-23.34</v>
      </c>
      <c r="AT325" s="5">
        <v>0</v>
      </c>
    </row>
    <row r="326" spans="1:46" x14ac:dyDescent="0.2">
      <c r="A326" s="1" t="s">
        <v>695</v>
      </c>
      <c r="B326" s="1" t="s">
        <v>696</v>
      </c>
      <c r="C326" s="1" t="s">
        <v>48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4">
        <v>0</v>
      </c>
      <c r="R326" s="5">
        <v>48.51</v>
      </c>
      <c r="S326" s="5">
        <v>47.29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6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</row>
    <row r="327" spans="1:46" x14ac:dyDescent="0.2">
      <c r="A327" s="1" t="s">
        <v>697</v>
      </c>
      <c r="B327" s="1" t="s">
        <v>698</v>
      </c>
      <c r="C327" s="1" t="s">
        <v>48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4">
        <v>0</v>
      </c>
      <c r="R327" s="5">
        <v>45.47</v>
      </c>
      <c r="S327" s="5">
        <v>57.17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6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</row>
    <row r="328" spans="1:46" x14ac:dyDescent="0.2">
      <c r="A328" s="1" t="s">
        <v>699</v>
      </c>
      <c r="B328" s="1" t="s">
        <v>700</v>
      </c>
      <c r="C328" s="1" t="s">
        <v>48</v>
      </c>
      <c r="D328" s="3">
        <v>1</v>
      </c>
      <c r="E328" s="3">
        <v>0</v>
      </c>
      <c r="F328" s="3">
        <v>0</v>
      </c>
      <c r="G328" s="3">
        <v>1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1</v>
      </c>
      <c r="P328" s="3">
        <v>0</v>
      </c>
      <c r="Q328" s="4">
        <v>0</v>
      </c>
      <c r="R328" s="5">
        <v>43.9</v>
      </c>
      <c r="S328" s="5">
        <v>43.36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43.36</v>
      </c>
      <c r="AD328" s="6">
        <v>0</v>
      </c>
      <c r="AE328" s="5">
        <v>0</v>
      </c>
      <c r="AF328" s="5">
        <v>0</v>
      </c>
      <c r="AG328" s="5">
        <v>43.36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43.36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</row>
    <row r="329" spans="1:46" x14ac:dyDescent="0.2">
      <c r="A329" s="1" t="s">
        <v>701</v>
      </c>
      <c r="B329" s="1" t="s">
        <v>702</v>
      </c>
      <c r="C329" s="1" t="s">
        <v>48</v>
      </c>
      <c r="D329" s="3">
        <v>64</v>
      </c>
      <c r="E329" s="3">
        <v>0</v>
      </c>
      <c r="F329" s="3">
        <v>0</v>
      </c>
      <c r="G329" s="3">
        <v>64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64</v>
      </c>
      <c r="P329" s="3">
        <v>0</v>
      </c>
      <c r="Q329" s="4">
        <v>0</v>
      </c>
      <c r="R329" s="5">
        <v>39.35</v>
      </c>
      <c r="S329" s="5">
        <v>38.46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2461.6999999999998</v>
      </c>
      <c r="AD329" s="6">
        <v>0</v>
      </c>
      <c r="AE329" s="5">
        <v>0</v>
      </c>
      <c r="AF329" s="5">
        <v>0</v>
      </c>
      <c r="AG329" s="5">
        <v>2461.6999999999998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2461.6999999999998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</row>
    <row r="330" spans="1:46" x14ac:dyDescent="0.2">
      <c r="A330" s="1" t="s">
        <v>703</v>
      </c>
      <c r="B330" s="1" t="s">
        <v>704</v>
      </c>
      <c r="C330" s="1" t="s">
        <v>48</v>
      </c>
      <c r="D330" s="3">
        <v>1931</v>
      </c>
      <c r="E330" s="3">
        <v>857</v>
      </c>
      <c r="F330" s="3">
        <v>0</v>
      </c>
      <c r="G330" s="3">
        <v>2788</v>
      </c>
      <c r="H330" s="3">
        <v>-2541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247</v>
      </c>
      <c r="P330" s="3">
        <v>0</v>
      </c>
      <c r="Q330" s="4">
        <v>33.023581999999998</v>
      </c>
      <c r="R330" s="5">
        <v>33.380000000000003</v>
      </c>
      <c r="S330" s="5">
        <v>30.75</v>
      </c>
      <c r="T330" s="5">
        <v>28606.66</v>
      </c>
      <c r="U330" s="5">
        <v>0</v>
      </c>
      <c r="V330" s="5">
        <v>-84818.58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57418.29</v>
      </c>
      <c r="AD330" s="6">
        <v>0</v>
      </c>
      <c r="AE330" s="5">
        <v>28301.21</v>
      </c>
      <c r="AF330" s="5">
        <v>0</v>
      </c>
      <c r="AG330" s="5">
        <v>85719.5</v>
      </c>
      <c r="AH330" s="5">
        <v>-78125.27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7594.23</v>
      </c>
      <c r="AP330" s="5">
        <v>0</v>
      </c>
      <c r="AQ330" s="5">
        <v>0</v>
      </c>
      <c r="AR330" s="5">
        <v>-305.45</v>
      </c>
      <c r="AS330" s="5">
        <v>6693.31</v>
      </c>
      <c r="AT330" s="5">
        <v>0</v>
      </c>
    </row>
    <row r="331" spans="1:46" x14ac:dyDescent="0.2">
      <c r="A331" s="1" t="s">
        <v>705</v>
      </c>
      <c r="B331" s="1" t="s">
        <v>706</v>
      </c>
      <c r="C331" s="1" t="s">
        <v>48</v>
      </c>
      <c r="D331" s="3">
        <v>83</v>
      </c>
      <c r="E331" s="3">
        <v>1135</v>
      </c>
      <c r="F331" s="3">
        <v>0</v>
      </c>
      <c r="G331" s="3">
        <v>1218</v>
      </c>
      <c r="H331" s="3">
        <v>-83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1135</v>
      </c>
      <c r="P331" s="3">
        <v>0</v>
      </c>
      <c r="Q331" s="4">
        <v>38.547313000000003</v>
      </c>
      <c r="R331" s="5">
        <v>39.46</v>
      </c>
      <c r="S331" s="5">
        <v>38.25</v>
      </c>
      <c r="T331" s="5">
        <v>44787.1</v>
      </c>
      <c r="U331" s="5">
        <v>0</v>
      </c>
      <c r="V331" s="5">
        <v>-3275.18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2840.82</v>
      </c>
      <c r="AD331" s="6">
        <v>0</v>
      </c>
      <c r="AE331" s="5">
        <v>43751.199999999997</v>
      </c>
      <c r="AF331" s="5">
        <v>0</v>
      </c>
      <c r="AG331" s="5">
        <v>46592.02</v>
      </c>
      <c r="AH331" s="5">
        <v>-3174.99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43417.03</v>
      </c>
      <c r="AP331" s="5">
        <v>0</v>
      </c>
      <c r="AQ331" s="5">
        <v>0</v>
      </c>
      <c r="AR331" s="5">
        <v>-1035.9000000000001</v>
      </c>
      <c r="AS331" s="5">
        <v>100.19</v>
      </c>
      <c r="AT331" s="5">
        <v>0</v>
      </c>
    </row>
    <row r="332" spans="1:46" x14ac:dyDescent="0.2">
      <c r="A332" s="1" t="s">
        <v>707</v>
      </c>
      <c r="B332" s="1" t="s">
        <v>708</v>
      </c>
      <c r="C332" s="1" t="s">
        <v>48</v>
      </c>
      <c r="D332" s="3">
        <v>3</v>
      </c>
      <c r="E332" s="3">
        <v>0</v>
      </c>
      <c r="F332" s="3">
        <v>0</v>
      </c>
      <c r="G332" s="3">
        <v>3</v>
      </c>
      <c r="H332" s="3">
        <v>-3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4">
        <v>0</v>
      </c>
      <c r="R332" s="5">
        <v>30.63</v>
      </c>
      <c r="S332" s="5">
        <v>27.88</v>
      </c>
      <c r="T332" s="5">
        <v>0</v>
      </c>
      <c r="U332" s="5">
        <v>0</v>
      </c>
      <c r="V332" s="5">
        <v>-91.89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83.65</v>
      </c>
      <c r="AD332" s="6">
        <v>0</v>
      </c>
      <c r="AE332" s="5">
        <v>0</v>
      </c>
      <c r="AF332" s="5">
        <v>0</v>
      </c>
      <c r="AG332" s="5">
        <v>83.65</v>
      </c>
      <c r="AH332" s="5">
        <v>-83.65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8.24</v>
      </c>
      <c r="AT332" s="5">
        <v>0</v>
      </c>
    </row>
    <row r="333" spans="1:46" x14ac:dyDescent="0.2">
      <c r="A333" s="1" t="s">
        <v>709</v>
      </c>
      <c r="B333" s="1" t="s">
        <v>710</v>
      </c>
      <c r="C333" s="1" t="s">
        <v>48</v>
      </c>
      <c r="D333" s="3">
        <v>2086</v>
      </c>
      <c r="E333" s="3">
        <v>869</v>
      </c>
      <c r="F333" s="3">
        <v>0</v>
      </c>
      <c r="G333" s="3">
        <v>2955</v>
      </c>
      <c r="H333" s="3">
        <v>-2875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80</v>
      </c>
      <c r="P333" s="3">
        <v>248</v>
      </c>
      <c r="Q333" s="4">
        <v>39.282381999999998</v>
      </c>
      <c r="R333" s="5">
        <v>39.93</v>
      </c>
      <c r="S333" s="5">
        <v>35.99</v>
      </c>
      <c r="T333" s="5">
        <v>34699.17</v>
      </c>
      <c r="U333" s="5">
        <v>0</v>
      </c>
      <c r="V333" s="5">
        <v>-114798.75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72209.320000000007</v>
      </c>
      <c r="AD333" s="6">
        <v>0</v>
      </c>
      <c r="AE333" s="5">
        <v>34136.39</v>
      </c>
      <c r="AF333" s="5">
        <v>0</v>
      </c>
      <c r="AG333" s="5">
        <v>106345.71</v>
      </c>
      <c r="AH333" s="5">
        <v>-103466.64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2879.07</v>
      </c>
      <c r="AP333" s="5">
        <v>0</v>
      </c>
      <c r="AQ333" s="5">
        <v>8925.1200000000008</v>
      </c>
      <c r="AR333" s="5">
        <v>-562.78</v>
      </c>
      <c r="AS333" s="5">
        <v>11332.11</v>
      </c>
      <c r="AT333" s="5">
        <v>0</v>
      </c>
    </row>
    <row r="334" spans="1:46" x14ac:dyDescent="0.2">
      <c r="A334" s="1" t="s">
        <v>711</v>
      </c>
      <c r="B334" s="1" t="s">
        <v>712</v>
      </c>
      <c r="C334" s="1" t="s">
        <v>48</v>
      </c>
      <c r="D334" s="3">
        <v>114</v>
      </c>
      <c r="E334" s="3">
        <v>650</v>
      </c>
      <c r="F334" s="3">
        <v>0</v>
      </c>
      <c r="G334" s="3">
        <v>764</v>
      </c>
      <c r="H334" s="3">
        <v>-515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249</v>
      </c>
      <c r="P334" s="3">
        <v>400</v>
      </c>
      <c r="Q334" s="4">
        <v>43.866630999999998</v>
      </c>
      <c r="R334" s="5">
        <v>45.13</v>
      </c>
      <c r="S334" s="5">
        <v>43.27</v>
      </c>
      <c r="T334" s="5">
        <v>29334.5</v>
      </c>
      <c r="U334" s="5">
        <v>0</v>
      </c>
      <c r="V334" s="5">
        <v>-23241.95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4541.87</v>
      </c>
      <c r="AD334" s="6">
        <v>0</v>
      </c>
      <c r="AE334" s="5">
        <v>28513.31</v>
      </c>
      <c r="AF334" s="5">
        <v>0</v>
      </c>
      <c r="AG334" s="5">
        <v>33055.18</v>
      </c>
      <c r="AH334" s="5">
        <v>-22281.96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10773.22</v>
      </c>
      <c r="AP334" s="5">
        <v>0</v>
      </c>
      <c r="AQ334" s="5">
        <v>17306.38</v>
      </c>
      <c r="AR334" s="5">
        <v>-821.19</v>
      </c>
      <c r="AS334" s="5">
        <v>959.99</v>
      </c>
      <c r="AT334" s="5">
        <v>0</v>
      </c>
    </row>
    <row r="335" spans="1:46" x14ac:dyDescent="0.2">
      <c r="A335" s="1" t="s">
        <v>713</v>
      </c>
      <c r="B335" s="1" t="s">
        <v>714</v>
      </c>
      <c r="C335" s="1" t="s">
        <v>48</v>
      </c>
      <c r="D335" s="3">
        <v>3866</v>
      </c>
      <c r="E335" s="3">
        <v>9828</v>
      </c>
      <c r="F335" s="3">
        <v>0</v>
      </c>
      <c r="G335" s="3">
        <v>13694</v>
      </c>
      <c r="H335" s="3">
        <v>-10431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3263</v>
      </c>
      <c r="P335" s="3">
        <v>3166</v>
      </c>
      <c r="Q335" s="4">
        <v>34.515433000000002</v>
      </c>
      <c r="R335" s="5">
        <v>35.07</v>
      </c>
      <c r="S335" s="5">
        <v>33.409999999999997</v>
      </c>
      <c r="T335" s="5">
        <v>344667.96</v>
      </c>
      <c r="U335" s="5">
        <v>0</v>
      </c>
      <c r="V335" s="5">
        <v>-365815.17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118290.31</v>
      </c>
      <c r="AD335" s="6">
        <v>0</v>
      </c>
      <c r="AE335" s="5">
        <v>339217.68</v>
      </c>
      <c r="AF335" s="5">
        <v>0</v>
      </c>
      <c r="AG335" s="5">
        <v>457507.99</v>
      </c>
      <c r="AH335" s="5">
        <v>-348493.2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109014.79</v>
      </c>
      <c r="AP335" s="5">
        <v>0</v>
      </c>
      <c r="AQ335" s="5">
        <v>105774.08</v>
      </c>
      <c r="AR335" s="5">
        <v>-5450.28</v>
      </c>
      <c r="AS335" s="5">
        <v>17321.97</v>
      </c>
      <c r="AT335" s="5">
        <v>0</v>
      </c>
    </row>
    <row r="336" spans="1:46" x14ac:dyDescent="0.2">
      <c r="A336" s="1" t="s">
        <v>715</v>
      </c>
      <c r="B336" s="1" t="s">
        <v>716</v>
      </c>
      <c r="C336" s="1" t="s">
        <v>48</v>
      </c>
      <c r="D336" s="3">
        <v>2356</v>
      </c>
      <c r="E336" s="3">
        <v>6238</v>
      </c>
      <c r="F336" s="3">
        <v>0</v>
      </c>
      <c r="G336" s="3">
        <v>8594</v>
      </c>
      <c r="H336" s="3">
        <v>-6361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2233</v>
      </c>
      <c r="P336" s="3">
        <v>1876</v>
      </c>
      <c r="Q336" s="4">
        <v>34.681727000000002</v>
      </c>
      <c r="R336" s="5">
        <v>35.21</v>
      </c>
      <c r="S336" s="5">
        <v>33.659999999999997</v>
      </c>
      <c r="T336" s="5">
        <v>219639.98</v>
      </c>
      <c r="U336" s="5">
        <v>0</v>
      </c>
      <c r="V336" s="5">
        <v>-223970.81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72913.61</v>
      </c>
      <c r="AD336" s="6">
        <v>0</v>
      </c>
      <c r="AE336" s="5">
        <v>216344.61</v>
      </c>
      <c r="AF336" s="5">
        <v>0</v>
      </c>
      <c r="AG336" s="5">
        <v>289258.21999999997</v>
      </c>
      <c r="AH336" s="5">
        <v>-214099.55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75158.67</v>
      </c>
      <c r="AP336" s="5">
        <v>0</v>
      </c>
      <c r="AQ336" s="5">
        <v>63142.71</v>
      </c>
      <c r="AR336" s="5">
        <v>-3295.37</v>
      </c>
      <c r="AS336" s="5">
        <v>9871.26</v>
      </c>
      <c r="AT336" s="5">
        <v>0</v>
      </c>
    </row>
    <row r="337" spans="1:46" x14ac:dyDescent="0.2">
      <c r="A337" s="1" t="s">
        <v>717</v>
      </c>
      <c r="B337" s="1" t="s">
        <v>718</v>
      </c>
      <c r="C337" s="1" t="s">
        <v>48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4">
        <v>0</v>
      </c>
      <c r="R337" s="5">
        <v>42.47</v>
      </c>
      <c r="S337" s="5">
        <v>40.15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6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</row>
    <row r="338" spans="1:46" x14ac:dyDescent="0.2">
      <c r="A338" s="1" t="s">
        <v>719</v>
      </c>
      <c r="B338" s="1" t="s">
        <v>720</v>
      </c>
      <c r="C338" s="1" t="s">
        <v>48</v>
      </c>
      <c r="D338" s="3">
        <v>40</v>
      </c>
      <c r="E338" s="3">
        <v>2</v>
      </c>
      <c r="F338" s="3">
        <v>0</v>
      </c>
      <c r="G338" s="3">
        <v>42</v>
      </c>
      <c r="H338" s="3">
        <v>-30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12</v>
      </c>
      <c r="P338" s="3">
        <v>0</v>
      </c>
      <c r="Q338" s="4">
        <v>28.914999999999999</v>
      </c>
      <c r="R338" s="5">
        <v>29.18</v>
      </c>
      <c r="S338" s="5">
        <v>26.37</v>
      </c>
      <c r="T338" s="5">
        <v>58.36</v>
      </c>
      <c r="U338" s="5">
        <v>0</v>
      </c>
      <c r="V338" s="5">
        <v>-875.4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1049.71</v>
      </c>
      <c r="AD338" s="6">
        <v>0</v>
      </c>
      <c r="AE338" s="5">
        <v>57.83</v>
      </c>
      <c r="AF338" s="5">
        <v>0</v>
      </c>
      <c r="AG338" s="5">
        <v>1107.54</v>
      </c>
      <c r="AH338" s="5">
        <v>-791.1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316.44</v>
      </c>
      <c r="AP338" s="5">
        <v>0</v>
      </c>
      <c r="AQ338" s="5">
        <v>0</v>
      </c>
      <c r="AR338" s="5">
        <v>-0.53</v>
      </c>
      <c r="AS338" s="5">
        <v>84.3</v>
      </c>
      <c r="AT338" s="5">
        <v>0</v>
      </c>
    </row>
    <row r="339" spans="1:46" x14ac:dyDescent="0.2">
      <c r="A339" s="1" t="s">
        <v>721</v>
      </c>
      <c r="B339" s="1" t="s">
        <v>722</v>
      </c>
      <c r="C339" s="1" t="s">
        <v>48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4">
        <v>0</v>
      </c>
      <c r="R339" s="5">
        <v>43.42</v>
      </c>
      <c r="S339" s="5">
        <v>39.630000000000003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6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</row>
    <row r="340" spans="1:46" x14ac:dyDescent="0.2">
      <c r="A340" s="1" t="s">
        <v>723</v>
      </c>
      <c r="B340" s="1" t="s">
        <v>724</v>
      </c>
      <c r="C340" s="1" t="s">
        <v>48</v>
      </c>
      <c r="D340" s="3">
        <v>190</v>
      </c>
      <c r="E340" s="3">
        <v>0</v>
      </c>
      <c r="F340" s="3">
        <v>0</v>
      </c>
      <c r="G340" s="3">
        <v>190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190</v>
      </c>
      <c r="P340" s="3">
        <v>0</v>
      </c>
      <c r="Q340" s="4">
        <v>0</v>
      </c>
      <c r="R340" s="5">
        <v>34.950000000000003</v>
      </c>
      <c r="S340" s="5">
        <v>36.99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7028.65</v>
      </c>
      <c r="AD340" s="6">
        <v>0</v>
      </c>
      <c r="AE340" s="5">
        <v>0</v>
      </c>
      <c r="AF340" s="5">
        <v>0</v>
      </c>
      <c r="AG340" s="5">
        <v>7028.65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7028.65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</row>
    <row r="341" spans="1:46" x14ac:dyDescent="0.2">
      <c r="A341" s="1" t="s">
        <v>725</v>
      </c>
      <c r="B341" s="1" t="s">
        <v>726</v>
      </c>
      <c r="C341" s="1" t="s">
        <v>48</v>
      </c>
      <c r="D341" s="3">
        <v>3862</v>
      </c>
      <c r="E341" s="3">
        <v>8617</v>
      </c>
      <c r="F341" s="3">
        <v>0</v>
      </c>
      <c r="G341" s="3">
        <v>12479</v>
      </c>
      <c r="H341" s="3">
        <v>-9751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2728</v>
      </c>
      <c r="P341" s="3">
        <v>4863</v>
      </c>
      <c r="Q341" s="4">
        <v>35.331448999999999</v>
      </c>
      <c r="R341" s="5">
        <v>35.72</v>
      </c>
      <c r="S341" s="5">
        <v>34.14</v>
      </c>
      <c r="T341" s="5">
        <v>307799.24</v>
      </c>
      <c r="U341" s="5">
        <v>0</v>
      </c>
      <c r="V341" s="5">
        <v>-348305.72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121608.83</v>
      </c>
      <c r="AD341" s="6">
        <v>0</v>
      </c>
      <c r="AE341" s="5">
        <v>304451.09999999998</v>
      </c>
      <c r="AF341" s="5">
        <v>0</v>
      </c>
      <c r="AG341" s="5">
        <v>426059.93</v>
      </c>
      <c r="AH341" s="5">
        <v>-332920.13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93139.79</v>
      </c>
      <c r="AP341" s="5">
        <v>0</v>
      </c>
      <c r="AQ341" s="5">
        <v>166033.29</v>
      </c>
      <c r="AR341" s="5">
        <v>-3348.14</v>
      </c>
      <c r="AS341" s="5">
        <v>15385.59</v>
      </c>
      <c r="AT341" s="5">
        <v>0</v>
      </c>
    </row>
    <row r="342" spans="1:46" x14ac:dyDescent="0.2">
      <c r="A342" s="1" t="s">
        <v>727</v>
      </c>
      <c r="B342" s="1" t="s">
        <v>728</v>
      </c>
      <c r="C342" s="1" t="s">
        <v>48</v>
      </c>
      <c r="D342" s="3">
        <v>28</v>
      </c>
      <c r="E342" s="3">
        <v>0</v>
      </c>
      <c r="F342" s="3">
        <v>0</v>
      </c>
      <c r="G342" s="3">
        <v>28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28</v>
      </c>
      <c r="P342" s="3">
        <v>0</v>
      </c>
      <c r="Q342" s="4">
        <v>0</v>
      </c>
      <c r="R342" s="5">
        <v>35.799999999999997</v>
      </c>
      <c r="S342" s="5">
        <v>42.98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1203.3699999999999</v>
      </c>
      <c r="AD342" s="6">
        <v>0</v>
      </c>
      <c r="AE342" s="5">
        <v>0</v>
      </c>
      <c r="AF342" s="5">
        <v>0</v>
      </c>
      <c r="AG342" s="5">
        <v>1203.3699999999999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1203.3699999999999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</row>
    <row r="343" spans="1:46" x14ac:dyDescent="0.2">
      <c r="A343" s="1" t="s">
        <v>729</v>
      </c>
      <c r="B343" s="1" t="s">
        <v>730</v>
      </c>
      <c r="C343" s="1" t="s">
        <v>48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4">
        <v>0</v>
      </c>
      <c r="R343" s="5">
        <v>44.05</v>
      </c>
      <c r="S343" s="5">
        <v>46.09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6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</row>
    <row r="344" spans="1:46" x14ac:dyDescent="0.2">
      <c r="A344" s="1" t="s">
        <v>731</v>
      </c>
      <c r="B344" s="1" t="s">
        <v>732</v>
      </c>
      <c r="C344" s="1" t="s">
        <v>48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4">
        <v>0</v>
      </c>
      <c r="R344" s="5">
        <v>36.659999999999997</v>
      </c>
      <c r="S344" s="5">
        <v>34.46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6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</row>
    <row r="345" spans="1:46" x14ac:dyDescent="0.2">
      <c r="A345" s="1" t="s">
        <v>733</v>
      </c>
      <c r="B345" s="1" t="s">
        <v>734</v>
      </c>
      <c r="C345" s="1" t="s">
        <v>48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4">
        <v>0</v>
      </c>
      <c r="R345" s="5">
        <v>34.49</v>
      </c>
      <c r="S345" s="5">
        <v>36.21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6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</row>
    <row r="346" spans="1:46" x14ac:dyDescent="0.2">
      <c r="A346" s="1" t="s">
        <v>735</v>
      </c>
      <c r="B346" s="1" t="s">
        <v>736</v>
      </c>
      <c r="C346" s="1" t="s">
        <v>48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4">
        <v>0</v>
      </c>
      <c r="R346" s="5">
        <v>34.44</v>
      </c>
      <c r="S346" s="5">
        <v>35.31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6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</row>
    <row r="347" spans="1:46" x14ac:dyDescent="0.2">
      <c r="A347" s="1" t="s">
        <v>737</v>
      </c>
      <c r="B347" s="1" t="s">
        <v>738</v>
      </c>
      <c r="C347" s="1" t="s">
        <v>48</v>
      </c>
      <c r="D347" s="3">
        <v>3</v>
      </c>
      <c r="E347" s="3">
        <v>0</v>
      </c>
      <c r="F347" s="3">
        <v>0</v>
      </c>
      <c r="G347" s="3">
        <v>3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3</v>
      </c>
      <c r="P347" s="3">
        <v>0</v>
      </c>
      <c r="Q347" s="4">
        <v>0</v>
      </c>
      <c r="R347" s="5">
        <v>33.31</v>
      </c>
      <c r="S347" s="5">
        <v>32.369999999999997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97.12</v>
      </c>
      <c r="AD347" s="6">
        <v>0</v>
      </c>
      <c r="AE347" s="5">
        <v>0</v>
      </c>
      <c r="AF347" s="5">
        <v>0</v>
      </c>
      <c r="AG347" s="5">
        <v>97.12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97.12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</row>
    <row r="348" spans="1:46" x14ac:dyDescent="0.2">
      <c r="A348" s="1" t="s">
        <v>739</v>
      </c>
      <c r="B348" s="1" t="s">
        <v>740</v>
      </c>
      <c r="C348" s="1" t="s">
        <v>48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4">
        <v>0</v>
      </c>
      <c r="R348" s="5">
        <v>33.35</v>
      </c>
      <c r="S348" s="5">
        <v>32.799999999999997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6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</row>
    <row r="349" spans="1:46" x14ac:dyDescent="0.2">
      <c r="A349" s="1" t="s">
        <v>741</v>
      </c>
      <c r="B349" s="1" t="s">
        <v>742</v>
      </c>
      <c r="C349" s="1" t="s">
        <v>48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4">
        <v>0</v>
      </c>
      <c r="R349" s="5">
        <v>35.14</v>
      </c>
      <c r="S349" s="5">
        <v>35.44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6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</row>
    <row r="350" spans="1:46" x14ac:dyDescent="0.2">
      <c r="A350" s="1" t="s">
        <v>743</v>
      </c>
      <c r="B350" s="1" t="s">
        <v>744</v>
      </c>
      <c r="C350" s="1" t="s">
        <v>48</v>
      </c>
      <c r="D350" s="3">
        <v>2</v>
      </c>
      <c r="E350" s="3">
        <v>0</v>
      </c>
      <c r="F350" s="3">
        <v>0</v>
      </c>
      <c r="G350" s="3">
        <v>2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2</v>
      </c>
      <c r="P350" s="3">
        <v>0</v>
      </c>
      <c r="Q350" s="4">
        <v>0</v>
      </c>
      <c r="R350" s="5">
        <v>34</v>
      </c>
      <c r="S350" s="5">
        <v>34.44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68.88</v>
      </c>
      <c r="AD350" s="6">
        <v>0</v>
      </c>
      <c r="AE350" s="5">
        <v>0</v>
      </c>
      <c r="AF350" s="5">
        <v>0</v>
      </c>
      <c r="AG350" s="5">
        <v>68.88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68.88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</row>
    <row r="351" spans="1:46" x14ac:dyDescent="0.2">
      <c r="A351" s="1" t="s">
        <v>745</v>
      </c>
      <c r="B351" s="1" t="s">
        <v>746</v>
      </c>
      <c r="C351" s="1" t="s">
        <v>48</v>
      </c>
      <c r="D351" s="3">
        <v>1</v>
      </c>
      <c r="E351" s="3">
        <v>0</v>
      </c>
      <c r="F351" s="3">
        <v>0</v>
      </c>
      <c r="G351" s="3">
        <v>1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1</v>
      </c>
      <c r="P351" s="3">
        <v>0</v>
      </c>
      <c r="Q351" s="4">
        <v>0</v>
      </c>
      <c r="R351" s="5">
        <v>34.049999999999997</v>
      </c>
      <c r="S351" s="5">
        <v>37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37</v>
      </c>
      <c r="AD351" s="6">
        <v>0</v>
      </c>
      <c r="AE351" s="5">
        <v>0</v>
      </c>
      <c r="AF351" s="5">
        <v>0</v>
      </c>
      <c r="AG351" s="5">
        <v>37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37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</row>
    <row r="352" spans="1:46" x14ac:dyDescent="0.2">
      <c r="A352" s="1" t="s">
        <v>747</v>
      </c>
      <c r="B352" s="1" t="s">
        <v>748</v>
      </c>
      <c r="C352" s="1" t="s">
        <v>48</v>
      </c>
      <c r="D352" s="3">
        <v>1</v>
      </c>
      <c r="E352" s="3">
        <v>0</v>
      </c>
      <c r="F352" s="3">
        <v>0</v>
      </c>
      <c r="G352" s="3">
        <v>1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1</v>
      </c>
      <c r="P352" s="3">
        <v>0</v>
      </c>
      <c r="Q352" s="4">
        <v>0</v>
      </c>
      <c r="R352" s="5">
        <v>36.4</v>
      </c>
      <c r="S352" s="5">
        <v>39.799999999999997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39.799999999999997</v>
      </c>
      <c r="AD352" s="6">
        <v>0</v>
      </c>
      <c r="AE352" s="5">
        <v>0</v>
      </c>
      <c r="AF352" s="5">
        <v>0</v>
      </c>
      <c r="AG352" s="5">
        <v>39.799999999999997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39.799999999999997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</row>
    <row r="353" spans="1:46" x14ac:dyDescent="0.2">
      <c r="A353" s="1" t="s">
        <v>749</v>
      </c>
      <c r="B353" s="1" t="s">
        <v>750</v>
      </c>
      <c r="C353" s="1" t="s">
        <v>48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4">
        <v>0</v>
      </c>
      <c r="R353" s="5">
        <v>37.19</v>
      </c>
      <c r="S353" s="5">
        <v>36.619999999999997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6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</row>
    <row r="354" spans="1:46" x14ac:dyDescent="0.2">
      <c r="A354" s="1" t="s">
        <v>751</v>
      </c>
      <c r="B354" s="1" t="s">
        <v>752</v>
      </c>
      <c r="C354" s="1" t="s">
        <v>48</v>
      </c>
      <c r="D354" s="3">
        <v>1</v>
      </c>
      <c r="E354" s="3">
        <v>0</v>
      </c>
      <c r="F354" s="3">
        <v>0</v>
      </c>
      <c r="G354" s="3">
        <v>1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1</v>
      </c>
      <c r="P354" s="3">
        <v>0</v>
      </c>
      <c r="Q354" s="4">
        <v>0</v>
      </c>
      <c r="R354" s="5">
        <v>34.979999999999997</v>
      </c>
      <c r="S354" s="5">
        <v>41.62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41.62</v>
      </c>
      <c r="AD354" s="6">
        <v>0</v>
      </c>
      <c r="AE354" s="5">
        <v>0</v>
      </c>
      <c r="AF354" s="5">
        <v>0</v>
      </c>
      <c r="AG354" s="5">
        <v>41.62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41.62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</row>
    <row r="355" spans="1:46" x14ac:dyDescent="0.2">
      <c r="A355" s="1" t="s">
        <v>753</v>
      </c>
      <c r="B355" s="1" t="s">
        <v>754</v>
      </c>
      <c r="C355" s="1" t="s">
        <v>48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4">
        <v>0</v>
      </c>
      <c r="R355" s="5">
        <v>62.56</v>
      </c>
      <c r="S355" s="5">
        <v>38.22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6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</row>
    <row r="356" spans="1:46" x14ac:dyDescent="0.2">
      <c r="A356" s="1" t="s">
        <v>755</v>
      </c>
      <c r="B356" s="1" t="s">
        <v>756</v>
      </c>
      <c r="C356" s="1" t="s">
        <v>48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4">
        <v>0</v>
      </c>
      <c r="R356" s="5">
        <v>29.76</v>
      </c>
      <c r="S356" s="5">
        <v>28.66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6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</row>
    <row r="357" spans="1:46" x14ac:dyDescent="0.2">
      <c r="A357" s="1" t="s">
        <v>757</v>
      </c>
      <c r="B357" s="1" t="s">
        <v>758</v>
      </c>
      <c r="C357" s="1" t="s">
        <v>48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4">
        <v>0</v>
      </c>
      <c r="R357" s="5">
        <v>30.85</v>
      </c>
      <c r="S357" s="5">
        <v>31.25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6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</row>
    <row r="358" spans="1:46" x14ac:dyDescent="0.2">
      <c r="A358" s="1" t="s">
        <v>759</v>
      </c>
      <c r="B358" s="1" t="s">
        <v>760</v>
      </c>
      <c r="C358" s="1" t="s">
        <v>48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4">
        <v>0</v>
      </c>
      <c r="R358" s="5">
        <v>30.85</v>
      </c>
      <c r="S358" s="5">
        <v>38.58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6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</row>
    <row r="359" spans="1:46" x14ac:dyDescent="0.2">
      <c r="A359" s="1" t="s">
        <v>761</v>
      </c>
      <c r="B359" s="1" t="s">
        <v>762</v>
      </c>
      <c r="C359" s="1" t="s">
        <v>48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4">
        <v>0</v>
      </c>
      <c r="R359" s="5">
        <v>31.99</v>
      </c>
      <c r="S359" s="5">
        <v>40.42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6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</row>
    <row r="360" spans="1:46" x14ac:dyDescent="0.2">
      <c r="A360" s="1" t="s">
        <v>763</v>
      </c>
      <c r="B360" s="1" t="s">
        <v>764</v>
      </c>
      <c r="C360" s="1" t="s">
        <v>48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4">
        <v>0</v>
      </c>
      <c r="R360" s="5">
        <v>32.25</v>
      </c>
      <c r="S360" s="5">
        <v>47.39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6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</row>
    <row r="361" spans="1:46" x14ac:dyDescent="0.2">
      <c r="A361" s="1" t="s">
        <v>765</v>
      </c>
      <c r="B361" s="1" t="s">
        <v>766</v>
      </c>
      <c r="C361" s="1" t="s">
        <v>48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4">
        <v>0</v>
      </c>
      <c r="R361" s="5">
        <v>65.790000000000006</v>
      </c>
      <c r="S361" s="5">
        <v>46.24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6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</row>
    <row r="362" spans="1:46" x14ac:dyDescent="0.2">
      <c r="A362" s="1" t="s">
        <v>767</v>
      </c>
      <c r="B362" s="1" t="s">
        <v>768</v>
      </c>
      <c r="C362" s="1" t="s">
        <v>48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4">
        <v>0</v>
      </c>
      <c r="R362" s="5">
        <v>32.630000000000003</v>
      </c>
      <c r="S362" s="5">
        <v>31.04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6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</row>
    <row r="363" spans="1:46" x14ac:dyDescent="0.2">
      <c r="A363" s="1" t="s">
        <v>769</v>
      </c>
      <c r="B363" s="1" t="s">
        <v>770</v>
      </c>
      <c r="C363" s="1" t="s">
        <v>48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4">
        <v>0</v>
      </c>
      <c r="R363" s="5">
        <v>23.2</v>
      </c>
      <c r="S363" s="5">
        <v>37.39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6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</row>
    <row r="364" spans="1:46" x14ac:dyDescent="0.2">
      <c r="A364" s="1" t="s">
        <v>771</v>
      </c>
      <c r="B364" s="1" t="s">
        <v>772</v>
      </c>
      <c r="C364" s="1" t="s">
        <v>48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4">
        <v>0</v>
      </c>
      <c r="R364" s="5">
        <v>64.540000000000006</v>
      </c>
      <c r="S364" s="5">
        <v>48.09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6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</row>
    <row r="365" spans="1:46" x14ac:dyDescent="0.2">
      <c r="A365" s="1" t="s">
        <v>773</v>
      </c>
      <c r="B365" s="1" t="s">
        <v>774</v>
      </c>
      <c r="C365" s="1" t="s">
        <v>48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4">
        <v>0</v>
      </c>
      <c r="R365" s="5">
        <v>23.14</v>
      </c>
      <c r="S365" s="5">
        <v>34.71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6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</row>
    <row r="366" spans="1:46" x14ac:dyDescent="0.2">
      <c r="A366" s="1" t="s">
        <v>775</v>
      </c>
      <c r="B366" s="1" t="s">
        <v>776</v>
      </c>
      <c r="C366" s="1" t="s">
        <v>48</v>
      </c>
      <c r="D366" s="3">
        <v>26</v>
      </c>
      <c r="E366" s="3">
        <v>0</v>
      </c>
      <c r="F366" s="3">
        <v>0</v>
      </c>
      <c r="G366" s="3">
        <v>26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26</v>
      </c>
      <c r="P366" s="3">
        <v>0</v>
      </c>
      <c r="Q366" s="4">
        <v>0</v>
      </c>
      <c r="R366" s="5">
        <v>27.83</v>
      </c>
      <c r="S366" s="5">
        <v>31.02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806.44</v>
      </c>
      <c r="AD366" s="6">
        <v>0</v>
      </c>
      <c r="AE366" s="5">
        <v>0</v>
      </c>
      <c r="AF366" s="5">
        <v>0</v>
      </c>
      <c r="AG366" s="5">
        <v>806.44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806.44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</row>
    <row r="367" spans="1:46" x14ac:dyDescent="0.2">
      <c r="A367" s="1" t="s">
        <v>777</v>
      </c>
      <c r="B367" s="1" t="s">
        <v>778</v>
      </c>
      <c r="C367" s="1" t="s">
        <v>48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4">
        <v>0</v>
      </c>
      <c r="R367" s="5">
        <v>39.229999999999997</v>
      </c>
      <c r="S367" s="5">
        <v>51.42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6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</row>
    <row r="368" spans="1:46" x14ac:dyDescent="0.2">
      <c r="A368" s="1" t="s">
        <v>779</v>
      </c>
      <c r="B368" s="1" t="s">
        <v>780</v>
      </c>
      <c r="C368" s="1" t="s">
        <v>48</v>
      </c>
      <c r="D368" s="3">
        <v>30</v>
      </c>
      <c r="E368" s="3">
        <v>0</v>
      </c>
      <c r="F368" s="3">
        <v>0</v>
      </c>
      <c r="G368" s="3">
        <v>30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30</v>
      </c>
      <c r="P368" s="3">
        <v>0</v>
      </c>
      <c r="Q368" s="4">
        <v>0</v>
      </c>
      <c r="R368" s="5">
        <v>47.34</v>
      </c>
      <c r="S368" s="5">
        <v>46.35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1390.4</v>
      </c>
      <c r="AD368" s="6">
        <v>0</v>
      </c>
      <c r="AE368" s="5">
        <v>0</v>
      </c>
      <c r="AF368" s="5">
        <v>0</v>
      </c>
      <c r="AG368" s="5">
        <v>1390.4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1390.4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</row>
    <row r="369" spans="1:46" x14ac:dyDescent="0.2">
      <c r="A369" s="1" t="s">
        <v>781</v>
      </c>
      <c r="B369" s="1" t="s">
        <v>782</v>
      </c>
      <c r="C369" s="1" t="s">
        <v>48</v>
      </c>
      <c r="D369" s="3">
        <v>99</v>
      </c>
      <c r="E369" s="3">
        <v>1356</v>
      </c>
      <c r="F369" s="3">
        <v>0</v>
      </c>
      <c r="G369" s="3">
        <v>1455</v>
      </c>
      <c r="H369" s="3">
        <v>-1280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175</v>
      </c>
      <c r="P369" s="3">
        <v>930</v>
      </c>
      <c r="Q369" s="4">
        <v>43.038952999999999</v>
      </c>
      <c r="R369" s="5">
        <v>43.51</v>
      </c>
      <c r="S369" s="5">
        <v>42.72</v>
      </c>
      <c r="T369" s="5">
        <v>58999.56</v>
      </c>
      <c r="U369" s="5">
        <v>0</v>
      </c>
      <c r="V369" s="5">
        <v>-55692.800000000003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3795.33</v>
      </c>
      <c r="AD369" s="6">
        <v>0</v>
      </c>
      <c r="AE369" s="5">
        <v>58360.82</v>
      </c>
      <c r="AF369" s="5">
        <v>0</v>
      </c>
      <c r="AG369" s="5">
        <v>62156.15</v>
      </c>
      <c r="AH369" s="5">
        <v>-54680.33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7475.83</v>
      </c>
      <c r="AP369" s="5">
        <v>0</v>
      </c>
      <c r="AQ369" s="5">
        <v>39728.68</v>
      </c>
      <c r="AR369" s="5">
        <v>-638.74</v>
      </c>
      <c r="AS369" s="5">
        <v>1012.47</v>
      </c>
      <c r="AT369" s="5">
        <v>0</v>
      </c>
    </row>
    <row r="370" spans="1:46" x14ac:dyDescent="0.2">
      <c r="A370" s="1" t="s">
        <v>783</v>
      </c>
      <c r="B370" s="1" t="s">
        <v>784</v>
      </c>
      <c r="C370" s="1" t="s">
        <v>48</v>
      </c>
      <c r="D370" s="3">
        <v>80</v>
      </c>
      <c r="E370" s="3">
        <v>0</v>
      </c>
      <c r="F370" s="3">
        <v>0</v>
      </c>
      <c r="G370" s="3">
        <v>80</v>
      </c>
      <c r="H370" s="3">
        <v>-80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4">
        <v>0</v>
      </c>
      <c r="R370" s="5">
        <v>45.65</v>
      </c>
      <c r="S370" s="5">
        <v>48.1</v>
      </c>
      <c r="T370" s="5">
        <v>0</v>
      </c>
      <c r="U370" s="5">
        <v>0</v>
      </c>
      <c r="V370" s="5">
        <v>-3652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3847.64</v>
      </c>
      <c r="AD370" s="6">
        <v>0</v>
      </c>
      <c r="AE370" s="5">
        <v>0</v>
      </c>
      <c r="AF370" s="5">
        <v>0</v>
      </c>
      <c r="AG370" s="5">
        <v>3847.64</v>
      </c>
      <c r="AH370" s="5">
        <v>-3847.64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-195.64</v>
      </c>
      <c r="AT370" s="5">
        <v>0</v>
      </c>
    </row>
    <row r="371" spans="1:46" x14ac:dyDescent="0.2">
      <c r="A371" s="1" t="s">
        <v>785</v>
      </c>
      <c r="B371" s="1" t="s">
        <v>786</v>
      </c>
      <c r="C371" s="1" t="s">
        <v>48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4">
        <v>0</v>
      </c>
      <c r="R371" s="5">
        <v>42.53</v>
      </c>
      <c r="S371" s="5">
        <v>43.71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6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</row>
    <row r="372" spans="1:46" x14ac:dyDescent="0.2">
      <c r="A372" s="1" t="s">
        <v>787</v>
      </c>
      <c r="B372" s="1" t="s">
        <v>788</v>
      </c>
      <c r="C372" s="1" t="s">
        <v>48</v>
      </c>
      <c r="D372" s="3">
        <v>1</v>
      </c>
      <c r="E372" s="3">
        <v>0</v>
      </c>
      <c r="F372" s="3">
        <v>0</v>
      </c>
      <c r="G372" s="3">
        <v>1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1</v>
      </c>
      <c r="P372" s="3">
        <v>0</v>
      </c>
      <c r="Q372" s="4">
        <v>0</v>
      </c>
      <c r="R372" s="5">
        <v>41.55</v>
      </c>
      <c r="S372" s="5">
        <v>40.090000000000003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40.090000000000003</v>
      </c>
      <c r="AD372" s="6">
        <v>0</v>
      </c>
      <c r="AE372" s="5">
        <v>0</v>
      </c>
      <c r="AF372" s="5">
        <v>0</v>
      </c>
      <c r="AG372" s="5">
        <v>40.090000000000003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40.090000000000003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</row>
    <row r="373" spans="1:46" x14ac:dyDescent="0.2">
      <c r="A373" s="1" t="s">
        <v>789</v>
      </c>
      <c r="B373" s="1" t="s">
        <v>790</v>
      </c>
      <c r="C373" s="1" t="s">
        <v>48</v>
      </c>
      <c r="D373" s="3">
        <v>187</v>
      </c>
      <c r="E373" s="3">
        <v>0</v>
      </c>
      <c r="F373" s="3">
        <v>0</v>
      </c>
      <c r="G373" s="3">
        <v>187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187</v>
      </c>
      <c r="P373" s="3">
        <v>0</v>
      </c>
      <c r="Q373" s="4">
        <v>0</v>
      </c>
      <c r="R373" s="5">
        <v>47.4</v>
      </c>
      <c r="S373" s="5">
        <v>44.76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8369.2800000000007</v>
      </c>
      <c r="AD373" s="6">
        <v>0</v>
      </c>
      <c r="AE373" s="5">
        <v>0</v>
      </c>
      <c r="AF373" s="5">
        <v>0</v>
      </c>
      <c r="AG373" s="5">
        <v>8369.2800000000007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8369.2800000000007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</row>
    <row r="374" spans="1:46" x14ac:dyDescent="0.2">
      <c r="A374" s="1" t="s">
        <v>791</v>
      </c>
      <c r="B374" s="1" t="s">
        <v>792</v>
      </c>
      <c r="C374" s="1" t="s">
        <v>48</v>
      </c>
      <c r="D374" s="3">
        <v>2360</v>
      </c>
      <c r="E374" s="3">
        <v>2</v>
      </c>
      <c r="F374" s="3">
        <v>0</v>
      </c>
      <c r="G374" s="3">
        <v>2362</v>
      </c>
      <c r="H374" s="3">
        <v>-1735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627</v>
      </c>
      <c r="P374" s="3">
        <v>984</v>
      </c>
      <c r="Q374" s="4">
        <v>32.854999999999997</v>
      </c>
      <c r="R374" s="5">
        <v>33.14</v>
      </c>
      <c r="S374" s="5">
        <v>32.03</v>
      </c>
      <c r="T374" s="5">
        <v>66.28</v>
      </c>
      <c r="U374" s="5">
        <v>0</v>
      </c>
      <c r="V374" s="5">
        <v>-57497.9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75593.36</v>
      </c>
      <c r="AD374" s="6">
        <v>0</v>
      </c>
      <c r="AE374" s="5">
        <v>65.709999999999994</v>
      </c>
      <c r="AF374" s="5">
        <v>0</v>
      </c>
      <c r="AG374" s="5">
        <v>75659.070000000007</v>
      </c>
      <c r="AH374" s="5">
        <v>-55575.14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20083.93</v>
      </c>
      <c r="AP374" s="5">
        <v>0</v>
      </c>
      <c r="AQ374" s="5">
        <v>31519.27</v>
      </c>
      <c r="AR374" s="5">
        <v>-0.56999999999999995</v>
      </c>
      <c r="AS374" s="5">
        <v>1922.76</v>
      </c>
      <c r="AT374" s="5">
        <v>0</v>
      </c>
    </row>
    <row r="375" spans="1:46" x14ac:dyDescent="0.2">
      <c r="A375" s="1" t="s">
        <v>793</v>
      </c>
      <c r="B375" s="1" t="s">
        <v>794</v>
      </c>
      <c r="C375" s="1" t="s">
        <v>48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4">
        <v>0</v>
      </c>
      <c r="R375" s="5">
        <v>32.549999999999997</v>
      </c>
      <c r="S375" s="5">
        <v>30.96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6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</row>
    <row r="376" spans="1:46" x14ac:dyDescent="0.2">
      <c r="A376" s="1" t="s">
        <v>795</v>
      </c>
      <c r="B376" s="1" t="s">
        <v>796</v>
      </c>
      <c r="C376" s="1" t="s">
        <v>48</v>
      </c>
      <c r="D376" s="3">
        <v>6745</v>
      </c>
      <c r="E376" s="3">
        <v>16862</v>
      </c>
      <c r="F376" s="3">
        <v>0</v>
      </c>
      <c r="G376" s="3">
        <v>23607</v>
      </c>
      <c r="H376" s="3">
        <v>-14400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9207</v>
      </c>
      <c r="P376" s="3">
        <v>2880</v>
      </c>
      <c r="Q376" s="4">
        <v>28.66329</v>
      </c>
      <c r="R376" s="5">
        <v>28.82</v>
      </c>
      <c r="S376" s="5">
        <v>27.78</v>
      </c>
      <c r="T376" s="5">
        <v>485962.84</v>
      </c>
      <c r="U376" s="5">
        <v>0</v>
      </c>
      <c r="V376" s="5">
        <v>-415008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172523.66</v>
      </c>
      <c r="AD376" s="6">
        <v>0</v>
      </c>
      <c r="AE376" s="5">
        <v>483320.4</v>
      </c>
      <c r="AF376" s="5">
        <v>0</v>
      </c>
      <c r="AG376" s="5">
        <v>655844.06000000006</v>
      </c>
      <c r="AH376" s="5">
        <v>-400057.37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255786.68</v>
      </c>
      <c r="AP376" s="5">
        <v>0</v>
      </c>
      <c r="AQ376" s="5">
        <v>80011.47</v>
      </c>
      <c r="AR376" s="5">
        <v>-2642.44</v>
      </c>
      <c r="AS376" s="5">
        <v>14950.63</v>
      </c>
      <c r="AT376" s="5">
        <v>0</v>
      </c>
    </row>
    <row r="377" spans="1:46" x14ac:dyDescent="0.2">
      <c r="A377" s="1" t="s">
        <v>797</v>
      </c>
      <c r="B377" s="1" t="s">
        <v>798</v>
      </c>
      <c r="C377" s="1" t="s">
        <v>48</v>
      </c>
      <c r="D377" s="3">
        <v>5741</v>
      </c>
      <c r="E377" s="3">
        <v>16820</v>
      </c>
      <c r="F377" s="3">
        <v>0</v>
      </c>
      <c r="G377" s="3">
        <v>22561</v>
      </c>
      <c r="H377" s="3">
        <v>-13355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9206</v>
      </c>
      <c r="P377" s="3">
        <v>1349</v>
      </c>
      <c r="Q377" s="4">
        <v>30.249889</v>
      </c>
      <c r="R377" s="5">
        <v>30.64</v>
      </c>
      <c r="S377" s="5">
        <v>29.47</v>
      </c>
      <c r="T377" s="5">
        <v>515364.8</v>
      </c>
      <c r="U377" s="5">
        <v>0</v>
      </c>
      <c r="V377" s="5">
        <v>-409197.2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155960.63</v>
      </c>
      <c r="AD377" s="6">
        <v>0</v>
      </c>
      <c r="AE377" s="5">
        <v>508803.13</v>
      </c>
      <c r="AF377" s="5">
        <v>0</v>
      </c>
      <c r="AG377" s="5">
        <v>664763.76</v>
      </c>
      <c r="AH377" s="5">
        <v>-393507.38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271256.38</v>
      </c>
      <c r="AP377" s="5">
        <v>0</v>
      </c>
      <c r="AQ377" s="5">
        <v>39748.519999999997</v>
      </c>
      <c r="AR377" s="5">
        <v>-6561.67</v>
      </c>
      <c r="AS377" s="5">
        <v>15689.82</v>
      </c>
      <c r="AT377" s="5">
        <v>0</v>
      </c>
    </row>
    <row r="378" spans="1:46" x14ac:dyDescent="0.2">
      <c r="A378" s="1" t="s">
        <v>799</v>
      </c>
      <c r="B378" s="1" t="s">
        <v>800</v>
      </c>
      <c r="C378" s="1" t="s">
        <v>48</v>
      </c>
      <c r="D378" s="3">
        <v>4</v>
      </c>
      <c r="E378" s="3">
        <v>0</v>
      </c>
      <c r="F378" s="3">
        <v>0</v>
      </c>
      <c r="G378" s="3">
        <v>4</v>
      </c>
      <c r="H378" s="3">
        <v>-4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4">
        <v>0</v>
      </c>
      <c r="R378" s="5">
        <v>29.11</v>
      </c>
      <c r="S378" s="5">
        <v>25.26</v>
      </c>
      <c r="T378" s="5">
        <v>0</v>
      </c>
      <c r="U378" s="5">
        <v>0</v>
      </c>
      <c r="V378" s="5">
        <v>-116.44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101.02</v>
      </c>
      <c r="AD378" s="6">
        <v>0</v>
      </c>
      <c r="AE378" s="5">
        <v>0</v>
      </c>
      <c r="AF378" s="5">
        <v>0</v>
      </c>
      <c r="AG378" s="5">
        <v>101.02</v>
      </c>
      <c r="AH378" s="5">
        <v>-101.02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15.42</v>
      </c>
      <c r="AT378" s="5">
        <v>0</v>
      </c>
    </row>
    <row r="379" spans="1:46" x14ac:dyDescent="0.2">
      <c r="A379" s="1" t="s">
        <v>801</v>
      </c>
      <c r="B379" s="1" t="s">
        <v>802</v>
      </c>
      <c r="C379" s="1" t="s">
        <v>48</v>
      </c>
      <c r="D379" s="3">
        <v>6240</v>
      </c>
      <c r="E379" s="3">
        <v>11353</v>
      </c>
      <c r="F379" s="3">
        <v>0</v>
      </c>
      <c r="G379" s="3">
        <v>17593</v>
      </c>
      <c r="H379" s="3">
        <v>-15804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1789</v>
      </c>
      <c r="P379" s="3">
        <v>3160</v>
      </c>
      <c r="Q379" s="4">
        <v>28.465688</v>
      </c>
      <c r="R379" s="5">
        <v>29.11</v>
      </c>
      <c r="S379" s="5">
        <v>27.26</v>
      </c>
      <c r="T379" s="5">
        <v>330485.83</v>
      </c>
      <c r="U379" s="5">
        <v>0</v>
      </c>
      <c r="V379" s="5">
        <v>-460054.44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156360.6</v>
      </c>
      <c r="AD379" s="6">
        <v>0</v>
      </c>
      <c r="AE379" s="5">
        <v>323170.96000000002</v>
      </c>
      <c r="AF379" s="5">
        <v>0</v>
      </c>
      <c r="AG379" s="5">
        <v>479531.56</v>
      </c>
      <c r="AH379" s="5">
        <v>-430768.87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48762.69</v>
      </c>
      <c r="AP379" s="5">
        <v>0</v>
      </c>
      <c r="AQ379" s="5">
        <v>86131.97</v>
      </c>
      <c r="AR379" s="5">
        <v>-7314.87</v>
      </c>
      <c r="AS379" s="5">
        <v>29285.57</v>
      </c>
      <c r="AT379" s="5">
        <v>0</v>
      </c>
    </row>
    <row r="380" spans="1:46" x14ac:dyDescent="0.2">
      <c r="A380" s="1" t="s">
        <v>803</v>
      </c>
      <c r="B380" s="1" t="s">
        <v>804</v>
      </c>
      <c r="C380" s="1" t="s">
        <v>48</v>
      </c>
      <c r="D380" s="3">
        <v>4207</v>
      </c>
      <c r="E380" s="3">
        <v>877</v>
      </c>
      <c r="F380" s="3">
        <v>0</v>
      </c>
      <c r="G380" s="3">
        <v>5084</v>
      </c>
      <c r="H380" s="3">
        <v>-3834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1250</v>
      </c>
      <c r="P380" s="3">
        <v>0</v>
      </c>
      <c r="Q380" s="4">
        <v>29.92512</v>
      </c>
      <c r="R380" s="5">
        <v>29.11</v>
      </c>
      <c r="S380" s="5">
        <v>27.35</v>
      </c>
      <c r="T380" s="5">
        <v>25529.47</v>
      </c>
      <c r="U380" s="5">
        <v>0</v>
      </c>
      <c r="V380" s="5">
        <v>-111607.74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112828.14</v>
      </c>
      <c r="AD380" s="6">
        <v>0</v>
      </c>
      <c r="AE380" s="5">
        <v>26244.33</v>
      </c>
      <c r="AF380" s="5">
        <v>0</v>
      </c>
      <c r="AG380" s="5">
        <v>139072.47</v>
      </c>
      <c r="AH380" s="5">
        <v>-104878.8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34193.660000000003</v>
      </c>
      <c r="AP380" s="5">
        <v>0</v>
      </c>
      <c r="AQ380" s="5">
        <v>0</v>
      </c>
      <c r="AR380" s="5">
        <v>714.86</v>
      </c>
      <c r="AS380" s="5">
        <v>6728.94</v>
      </c>
      <c r="AT380" s="5">
        <v>0</v>
      </c>
    </row>
    <row r="381" spans="1:46" x14ac:dyDescent="0.2">
      <c r="A381" s="1" t="s">
        <v>805</v>
      </c>
      <c r="B381" s="1" t="s">
        <v>806</v>
      </c>
      <c r="C381" s="1" t="s">
        <v>48</v>
      </c>
      <c r="D381" s="3">
        <v>7435</v>
      </c>
      <c r="E381" s="3">
        <v>1001</v>
      </c>
      <c r="F381" s="3">
        <v>0</v>
      </c>
      <c r="G381" s="3">
        <v>8436</v>
      </c>
      <c r="H381" s="3">
        <v>-6942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1494</v>
      </c>
      <c r="P381" s="3">
        <v>0</v>
      </c>
      <c r="Q381" s="4">
        <v>29.888162000000001</v>
      </c>
      <c r="R381" s="5">
        <v>28.82</v>
      </c>
      <c r="S381" s="5">
        <v>27.03</v>
      </c>
      <c r="T381" s="5">
        <v>28848.82</v>
      </c>
      <c r="U381" s="5">
        <v>0</v>
      </c>
      <c r="V381" s="5">
        <v>-200068.44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198116.09</v>
      </c>
      <c r="AD381" s="6">
        <v>0</v>
      </c>
      <c r="AE381" s="5">
        <v>29918.05</v>
      </c>
      <c r="AF381" s="5">
        <v>0</v>
      </c>
      <c r="AG381" s="5">
        <v>228034.14</v>
      </c>
      <c r="AH381" s="5">
        <v>-187649.71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40384.42</v>
      </c>
      <c r="AP381" s="5">
        <v>0</v>
      </c>
      <c r="AQ381" s="5">
        <v>0</v>
      </c>
      <c r="AR381" s="5">
        <v>1069.23</v>
      </c>
      <c r="AS381" s="5">
        <v>12418.73</v>
      </c>
      <c r="AT381" s="5">
        <v>0</v>
      </c>
    </row>
    <row r="382" spans="1:46" x14ac:dyDescent="0.2">
      <c r="A382" s="1" t="s">
        <v>807</v>
      </c>
      <c r="B382" s="1" t="s">
        <v>808</v>
      </c>
      <c r="C382" s="1" t="s">
        <v>48</v>
      </c>
      <c r="D382" s="3">
        <v>0</v>
      </c>
      <c r="E382" s="3">
        <v>419</v>
      </c>
      <c r="F382" s="3">
        <v>0</v>
      </c>
      <c r="G382" s="3">
        <v>419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419</v>
      </c>
      <c r="P382" s="3">
        <v>0</v>
      </c>
      <c r="Q382" s="4">
        <v>42.300500999999997</v>
      </c>
      <c r="R382" s="5">
        <v>42.72</v>
      </c>
      <c r="S382" s="5">
        <v>42.3</v>
      </c>
      <c r="T382" s="5">
        <v>17899.68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6">
        <v>0</v>
      </c>
      <c r="AE382" s="5">
        <v>17723.91</v>
      </c>
      <c r="AF382" s="5">
        <v>0</v>
      </c>
      <c r="AG382" s="5">
        <v>17723.91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17723.91</v>
      </c>
      <c r="AP382" s="5">
        <v>0</v>
      </c>
      <c r="AQ382" s="5">
        <v>0</v>
      </c>
      <c r="AR382" s="5">
        <v>-175.77</v>
      </c>
      <c r="AS382" s="5">
        <v>0</v>
      </c>
      <c r="AT382" s="5">
        <v>0</v>
      </c>
    </row>
    <row r="383" spans="1:46" x14ac:dyDescent="0.2">
      <c r="A383" s="1" t="s">
        <v>809</v>
      </c>
      <c r="B383" s="1" t="s">
        <v>810</v>
      </c>
      <c r="C383" s="1" t="s">
        <v>48</v>
      </c>
      <c r="D383" s="3">
        <v>2042</v>
      </c>
      <c r="E383" s="3">
        <v>1558</v>
      </c>
      <c r="F383" s="3">
        <v>0</v>
      </c>
      <c r="G383" s="3">
        <v>3600</v>
      </c>
      <c r="H383" s="3">
        <v>-3540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60</v>
      </c>
      <c r="P383" s="3">
        <v>609</v>
      </c>
      <c r="Q383" s="4">
        <v>43.658985999999999</v>
      </c>
      <c r="R383" s="5">
        <v>43.9</v>
      </c>
      <c r="S383" s="5">
        <v>40.840000000000003</v>
      </c>
      <c r="T383" s="5">
        <v>68396.2</v>
      </c>
      <c r="U383" s="5">
        <v>0</v>
      </c>
      <c r="V383" s="5">
        <v>-155406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79014.679999999993</v>
      </c>
      <c r="AD383" s="6">
        <v>0</v>
      </c>
      <c r="AE383" s="5">
        <v>68020.7</v>
      </c>
      <c r="AF383" s="5">
        <v>0</v>
      </c>
      <c r="AG383" s="5">
        <v>147035.38</v>
      </c>
      <c r="AH383" s="5">
        <v>-144584.79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2450.59</v>
      </c>
      <c r="AP383" s="5">
        <v>0</v>
      </c>
      <c r="AQ383" s="5">
        <v>24873.49</v>
      </c>
      <c r="AR383" s="5">
        <v>-375.5</v>
      </c>
      <c r="AS383" s="5">
        <v>10821.21</v>
      </c>
      <c r="AT383" s="5">
        <v>0</v>
      </c>
    </row>
    <row r="384" spans="1:46" x14ac:dyDescent="0.2">
      <c r="A384" s="1" t="s">
        <v>811</v>
      </c>
      <c r="B384" s="1" t="s">
        <v>812</v>
      </c>
      <c r="C384" s="1" t="s">
        <v>48</v>
      </c>
      <c r="D384" s="3">
        <v>7422</v>
      </c>
      <c r="E384" s="3">
        <v>19790</v>
      </c>
      <c r="F384" s="3">
        <v>0</v>
      </c>
      <c r="G384" s="3">
        <v>27212</v>
      </c>
      <c r="H384" s="3">
        <v>-20479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6733</v>
      </c>
      <c r="P384" s="3">
        <v>6474</v>
      </c>
      <c r="Q384" s="4">
        <v>32.662140000000001</v>
      </c>
      <c r="R384" s="5">
        <v>33.020000000000003</v>
      </c>
      <c r="S384" s="5">
        <v>31.59</v>
      </c>
      <c r="T384" s="5">
        <v>653465.80000000005</v>
      </c>
      <c r="U384" s="5">
        <v>0</v>
      </c>
      <c r="V384" s="5">
        <v>-676216.58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213262.63</v>
      </c>
      <c r="AD384" s="6">
        <v>0</v>
      </c>
      <c r="AE384" s="5">
        <v>646383.76</v>
      </c>
      <c r="AF384" s="5">
        <v>0</v>
      </c>
      <c r="AG384" s="5">
        <v>859646.39</v>
      </c>
      <c r="AH384" s="5">
        <v>-646946.14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212700.25</v>
      </c>
      <c r="AP384" s="5">
        <v>0</v>
      </c>
      <c r="AQ384" s="5">
        <v>204518.25</v>
      </c>
      <c r="AR384" s="5">
        <v>-7082.04</v>
      </c>
      <c r="AS384" s="5">
        <v>29270.44</v>
      </c>
      <c r="AT384" s="5">
        <v>0</v>
      </c>
    </row>
    <row r="385" spans="1:46" x14ac:dyDescent="0.2">
      <c r="A385" s="1" t="s">
        <v>813</v>
      </c>
      <c r="B385" s="1" t="s">
        <v>814</v>
      </c>
      <c r="C385" s="1" t="s">
        <v>48</v>
      </c>
      <c r="D385" s="3">
        <v>22</v>
      </c>
      <c r="E385" s="3">
        <v>2006</v>
      </c>
      <c r="F385" s="3">
        <v>0</v>
      </c>
      <c r="G385" s="3">
        <v>2028</v>
      </c>
      <c r="H385" s="3">
        <v>-996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1032</v>
      </c>
      <c r="P385" s="3">
        <v>982</v>
      </c>
      <c r="Q385" s="4">
        <v>45.116416000000001</v>
      </c>
      <c r="R385" s="5">
        <v>45.48</v>
      </c>
      <c r="S385" s="5">
        <v>45.06</v>
      </c>
      <c r="T385" s="5">
        <v>91232.88</v>
      </c>
      <c r="U385" s="5">
        <v>0</v>
      </c>
      <c r="V385" s="5">
        <v>-45298.080000000002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886.2</v>
      </c>
      <c r="AD385" s="6">
        <v>0</v>
      </c>
      <c r="AE385" s="5">
        <v>90503.53</v>
      </c>
      <c r="AF385" s="5">
        <v>0</v>
      </c>
      <c r="AG385" s="5">
        <v>91389.73</v>
      </c>
      <c r="AH385" s="5">
        <v>-44883.72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46506.02</v>
      </c>
      <c r="AP385" s="5">
        <v>0</v>
      </c>
      <c r="AQ385" s="5">
        <v>44252.82</v>
      </c>
      <c r="AR385" s="5">
        <v>-729.35</v>
      </c>
      <c r="AS385" s="5">
        <v>414.36</v>
      </c>
      <c r="AT385" s="5">
        <v>0</v>
      </c>
    </row>
    <row r="386" spans="1:46" x14ac:dyDescent="0.2">
      <c r="A386" s="1" t="s">
        <v>815</v>
      </c>
      <c r="B386" s="1" t="s">
        <v>816</v>
      </c>
      <c r="C386" s="1" t="s">
        <v>48</v>
      </c>
      <c r="D386" s="3">
        <v>74</v>
      </c>
      <c r="E386" s="3">
        <v>768</v>
      </c>
      <c r="F386" s="3">
        <v>0</v>
      </c>
      <c r="G386" s="3">
        <v>842</v>
      </c>
      <c r="H386" s="3">
        <v>-749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93</v>
      </c>
      <c r="P386" s="3">
        <v>0</v>
      </c>
      <c r="Q386" s="4">
        <v>47.886771000000003</v>
      </c>
      <c r="R386" s="5">
        <v>48.51</v>
      </c>
      <c r="S386" s="5">
        <v>47.43</v>
      </c>
      <c r="T386" s="5">
        <v>37255.68</v>
      </c>
      <c r="U386" s="5">
        <v>0</v>
      </c>
      <c r="V386" s="5">
        <v>-36333.99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3155.27</v>
      </c>
      <c r="AD386" s="6">
        <v>0</v>
      </c>
      <c r="AE386" s="5">
        <v>36777.040000000001</v>
      </c>
      <c r="AF386" s="5">
        <v>0</v>
      </c>
      <c r="AG386" s="5">
        <v>39932.31</v>
      </c>
      <c r="AH386" s="5">
        <v>-35521.730000000003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4410.58</v>
      </c>
      <c r="AP386" s="5">
        <v>0</v>
      </c>
      <c r="AQ386" s="5">
        <v>0</v>
      </c>
      <c r="AR386" s="5">
        <v>-478.64</v>
      </c>
      <c r="AS386" s="5">
        <v>812.26</v>
      </c>
      <c r="AT386" s="5">
        <v>0</v>
      </c>
    </row>
    <row r="387" spans="1:46" x14ac:dyDescent="0.2">
      <c r="A387" s="1" t="s">
        <v>817</v>
      </c>
      <c r="B387" s="1" t="s">
        <v>818</v>
      </c>
      <c r="C387" s="1" t="s">
        <v>48</v>
      </c>
      <c r="D387" s="3">
        <v>27</v>
      </c>
      <c r="E387" s="3">
        <v>298</v>
      </c>
      <c r="F387" s="3">
        <v>0</v>
      </c>
      <c r="G387" s="3">
        <v>325</v>
      </c>
      <c r="H387" s="3">
        <v>-286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39</v>
      </c>
      <c r="P387" s="3">
        <v>266</v>
      </c>
      <c r="Q387" s="4">
        <v>49.412584000000003</v>
      </c>
      <c r="R387" s="5">
        <v>50.29</v>
      </c>
      <c r="S387" s="5">
        <v>48.98</v>
      </c>
      <c r="T387" s="5">
        <v>14986.42</v>
      </c>
      <c r="U387" s="5">
        <v>0</v>
      </c>
      <c r="V387" s="5">
        <v>-14382.94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1192.1600000000001</v>
      </c>
      <c r="AD387" s="6">
        <v>0</v>
      </c>
      <c r="AE387" s="5">
        <v>14724.95</v>
      </c>
      <c r="AF387" s="5">
        <v>0</v>
      </c>
      <c r="AG387" s="5">
        <v>15917.11</v>
      </c>
      <c r="AH387" s="5">
        <v>-14007.05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1910.05</v>
      </c>
      <c r="AP387" s="5">
        <v>0</v>
      </c>
      <c r="AQ387" s="5">
        <v>13027.54</v>
      </c>
      <c r="AR387" s="5">
        <v>-261.47000000000003</v>
      </c>
      <c r="AS387" s="5">
        <v>375.89</v>
      </c>
      <c r="AT387" s="5">
        <v>0</v>
      </c>
    </row>
    <row r="388" spans="1:46" x14ac:dyDescent="0.2">
      <c r="A388" s="1" t="s">
        <v>819</v>
      </c>
      <c r="B388" s="1" t="s">
        <v>820</v>
      </c>
      <c r="C388" s="1" t="s">
        <v>48</v>
      </c>
      <c r="D388" s="3">
        <v>12</v>
      </c>
      <c r="E388" s="3">
        <v>317</v>
      </c>
      <c r="F388" s="3">
        <v>0</v>
      </c>
      <c r="G388" s="3">
        <v>329</v>
      </c>
      <c r="H388" s="3">
        <v>-19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310</v>
      </c>
      <c r="P388" s="3">
        <v>19</v>
      </c>
      <c r="Q388" s="4">
        <v>45.594732</v>
      </c>
      <c r="R388" s="5">
        <v>45.85</v>
      </c>
      <c r="S388" s="5">
        <v>45.41</v>
      </c>
      <c r="T388" s="5">
        <v>14534.45</v>
      </c>
      <c r="U388" s="5">
        <v>0</v>
      </c>
      <c r="V388" s="5">
        <v>-871.15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485.08</v>
      </c>
      <c r="AD388" s="6">
        <v>0</v>
      </c>
      <c r="AE388" s="5">
        <v>14453.53</v>
      </c>
      <c r="AF388" s="5">
        <v>0</v>
      </c>
      <c r="AG388" s="5">
        <v>14938.61</v>
      </c>
      <c r="AH388" s="5">
        <v>-862.72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14075.89</v>
      </c>
      <c r="AP388" s="5">
        <v>0</v>
      </c>
      <c r="AQ388" s="5">
        <v>862.72</v>
      </c>
      <c r="AR388" s="5">
        <v>-80.92</v>
      </c>
      <c r="AS388" s="5">
        <v>8.43</v>
      </c>
      <c r="AT388" s="5">
        <v>0</v>
      </c>
    </row>
    <row r="389" spans="1:46" x14ac:dyDescent="0.2">
      <c r="A389" s="1" t="s">
        <v>821</v>
      </c>
      <c r="B389" s="1" t="s">
        <v>822</v>
      </c>
      <c r="C389" s="1" t="s">
        <v>48</v>
      </c>
      <c r="D389" s="3">
        <v>0</v>
      </c>
      <c r="E389" s="3">
        <v>3539</v>
      </c>
      <c r="F389" s="3">
        <v>0</v>
      </c>
      <c r="G389" s="3">
        <v>3539</v>
      </c>
      <c r="H389" s="3">
        <v>-2055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1484</v>
      </c>
      <c r="P389" s="3">
        <v>1273</v>
      </c>
      <c r="Q389" s="4">
        <v>42.492193</v>
      </c>
      <c r="R389" s="5">
        <v>43.52</v>
      </c>
      <c r="S389" s="5">
        <v>42.49</v>
      </c>
      <c r="T389" s="5">
        <v>154017.28</v>
      </c>
      <c r="U389" s="5">
        <v>0</v>
      </c>
      <c r="V389" s="5">
        <v>-89433.600000000006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6">
        <v>0</v>
      </c>
      <c r="AE389" s="5">
        <v>150379.87</v>
      </c>
      <c r="AF389" s="5">
        <v>0</v>
      </c>
      <c r="AG389" s="5">
        <v>150379.87</v>
      </c>
      <c r="AH389" s="5">
        <v>-87321.46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63058.41</v>
      </c>
      <c r="AP389" s="5">
        <v>0</v>
      </c>
      <c r="AQ389" s="5">
        <v>54092.56</v>
      </c>
      <c r="AR389" s="5">
        <v>-3637.41</v>
      </c>
      <c r="AS389" s="5">
        <v>2112.14</v>
      </c>
      <c r="AT389" s="5">
        <v>0</v>
      </c>
    </row>
    <row r="390" spans="1:46" x14ac:dyDescent="0.2">
      <c r="A390" s="1" t="s">
        <v>823</v>
      </c>
      <c r="B390" s="1" t="s">
        <v>824</v>
      </c>
      <c r="C390" s="1" t="s">
        <v>48</v>
      </c>
      <c r="D390" s="3">
        <v>0</v>
      </c>
      <c r="E390" s="3">
        <v>280</v>
      </c>
      <c r="F390" s="3">
        <v>0</v>
      </c>
      <c r="G390" s="3">
        <v>280</v>
      </c>
      <c r="H390" s="3">
        <v>-153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127</v>
      </c>
      <c r="P390" s="3">
        <v>153</v>
      </c>
      <c r="Q390" s="4">
        <v>45.274749999999997</v>
      </c>
      <c r="R390" s="5">
        <v>46.1</v>
      </c>
      <c r="S390" s="5">
        <v>45.27</v>
      </c>
      <c r="T390" s="5">
        <v>12908</v>
      </c>
      <c r="U390" s="5">
        <v>0</v>
      </c>
      <c r="V390" s="5">
        <v>-7053.3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6">
        <v>0</v>
      </c>
      <c r="AE390" s="5">
        <v>12676.93</v>
      </c>
      <c r="AF390" s="5">
        <v>0</v>
      </c>
      <c r="AG390" s="5">
        <v>12676.93</v>
      </c>
      <c r="AH390" s="5">
        <v>-6927.04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5749.89</v>
      </c>
      <c r="AP390" s="5">
        <v>0</v>
      </c>
      <c r="AQ390" s="5">
        <v>6927.04</v>
      </c>
      <c r="AR390" s="5">
        <v>-231.07</v>
      </c>
      <c r="AS390" s="5">
        <v>126.26</v>
      </c>
      <c r="AT390" s="5">
        <v>0</v>
      </c>
    </row>
    <row r="391" spans="1:46" x14ac:dyDescent="0.2">
      <c r="A391" s="1" t="s">
        <v>825</v>
      </c>
      <c r="B391" s="1" t="s">
        <v>826</v>
      </c>
      <c r="C391" s="1" t="s">
        <v>48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4">
        <v>0</v>
      </c>
      <c r="R391" s="5">
        <v>30.7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6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</row>
    <row r="392" spans="1:46" x14ac:dyDescent="0.2">
      <c r="A392" s="7"/>
      <c r="B392" s="7"/>
      <c r="C392" s="7"/>
      <c r="D392" s="8">
        <v>272917</v>
      </c>
      <c r="E392" s="8">
        <v>223030</v>
      </c>
      <c r="F392" s="8">
        <v>0</v>
      </c>
      <c r="G392" s="8">
        <v>495947</v>
      </c>
      <c r="H392" s="8">
        <v>-178853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317094</v>
      </c>
      <c r="P392" s="8">
        <v>43982</v>
      </c>
      <c r="Q392" s="9"/>
      <c r="R392" s="10"/>
      <c r="S392" s="10"/>
      <c r="T392" s="10">
        <v>6837888.1299999999</v>
      </c>
      <c r="U392" s="10">
        <v>0</v>
      </c>
      <c r="V392" s="10">
        <v>-6013686.96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6992653.2800000003</v>
      </c>
      <c r="AD392" s="11"/>
      <c r="AE392" s="10">
        <v>6822633.6100000003</v>
      </c>
      <c r="AF392" s="10">
        <v>0</v>
      </c>
      <c r="AG392" s="10">
        <v>13815286.890000001</v>
      </c>
      <c r="AH392" s="10">
        <v>-5714093.5</v>
      </c>
      <c r="AI392" s="10">
        <v>0</v>
      </c>
      <c r="AJ392" s="10">
        <v>0</v>
      </c>
      <c r="AK392" s="10">
        <v>0</v>
      </c>
      <c r="AL392" s="10">
        <v>0</v>
      </c>
      <c r="AM392" s="10">
        <v>0</v>
      </c>
      <c r="AN392" s="10">
        <v>0</v>
      </c>
      <c r="AO392" s="10">
        <v>8101193.3399999999</v>
      </c>
      <c r="AP392" s="10">
        <v>0</v>
      </c>
      <c r="AQ392" s="10">
        <v>1403010.78</v>
      </c>
      <c r="AR392" s="10">
        <v>-15254.52</v>
      </c>
      <c r="AS392" s="10">
        <v>299593.46000000002</v>
      </c>
      <c r="AT392" s="10">
        <v>0</v>
      </c>
    </row>
    <row r="393" spans="1:46" x14ac:dyDescent="0.2">
      <c r="AE393">
        <f>AE67/E67</f>
        <v>33.611464968152866</v>
      </c>
      <c r="AH393">
        <f>AH67/380</f>
        <v>-33.450000000000003</v>
      </c>
    </row>
  </sheetData>
  <autoFilter ref="A1:AT393" xr:uid="{00000000-0009-0000-0000-000000000000}"/>
  <pageMargins left="0.75" right="0.75" top="1" bottom="1" header="0.5" footer="0.5"/>
  <pageSetup paperSize="9" orientation="portrait" verticalDpi="0"/>
  <headerFooter>
    <oddHeader>&amp;C&amp;"Calibri"&amp;10&amp;K000000 Confidential S3 – Regular Business&amp;1#_x000D_</oddHeader>
    <oddFooter>&amp;C_x000D_&amp;1#&amp;"Calibri"&amp;10&amp;K000000 Confidential S3 – Regular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"/>
  <sheetViews>
    <sheetView tabSelected="1" workbookViewId="0">
      <selection activeCell="I12" sqref="I12"/>
    </sheetView>
  </sheetViews>
  <sheetFormatPr defaultRowHeight="12.75" x14ac:dyDescent="0.2"/>
  <cols>
    <col min="1" max="1" width="44" customWidth="1"/>
    <col min="2" max="2" width="12" customWidth="1"/>
    <col min="7" max="7" width="11.7109375" customWidth="1"/>
    <col min="8" max="8" width="29.5703125" customWidth="1"/>
    <col min="9" max="9" width="12.7109375" customWidth="1"/>
    <col min="10" max="10" width="13.42578125" customWidth="1"/>
    <col min="11" max="11" width="13" customWidth="1"/>
    <col min="12" max="12" width="12.5703125" customWidth="1"/>
  </cols>
  <sheetData>
    <row r="1" spans="1:12" x14ac:dyDescent="0.2">
      <c r="A1" t="s">
        <v>0</v>
      </c>
      <c r="B1" t="s">
        <v>177</v>
      </c>
    </row>
    <row r="2" spans="1:12" x14ac:dyDescent="0.2">
      <c r="A2" t="s">
        <v>1</v>
      </c>
      <c r="B2" t="s">
        <v>178</v>
      </c>
    </row>
    <row r="3" spans="1:12" x14ac:dyDescent="0.2">
      <c r="A3" t="s">
        <v>2</v>
      </c>
      <c r="B3" t="s">
        <v>48</v>
      </c>
    </row>
    <row r="4" spans="1:12" ht="13.5" thickBot="1" x14ac:dyDescent="0.25">
      <c r="A4" s="12" t="s">
        <v>3</v>
      </c>
      <c r="B4">
        <v>32</v>
      </c>
      <c r="C4" t="s">
        <v>829</v>
      </c>
      <c r="H4" s="15" t="s">
        <v>827</v>
      </c>
      <c r="I4" s="15">
        <f>B19</f>
        <v>33.450000000000003</v>
      </c>
    </row>
    <row r="5" spans="1:12" x14ac:dyDescent="0.2">
      <c r="A5" s="13" t="s">
        <v>4</v>
      </c>
      <c r="B5">
        <v>785</v>
      </c>
      <c r="C5" t="s">
        <v>830</v>
      </c>
      <c r="H5" s="16" t="s">
        <v>3</v>
      </c>
      <c r="I5" s="17">
        <f>B4</f>
        <v>32</v>
      </c>
      <c r="J5" s="17">
        <f>I5+I6</f>
        <v>817</v>
      </c>
      <c r="K5" s="28">
        <f>J7/J5</f>
        <v>33.450000000000003</v>
      </c>
      <c r="L5" s="29" t="s">
        <v>841</v>
      </c>
    </row>
    <row r="6" spans="1:12" x14ac:dyDescent="0.2">
      <c r="A6" t="s">
        <v>5</v>
      </c>
      <c r="B6">
        <v>0</v>
      </c>
      <c r="H6" s="18" t="s">
        <v>4</v>
      </c>
      <c r="I6">
        <f>B5</f>
        <v>785</v>
      </c>
      <c r="K6" s="19">
        <f>I8/I6</f>
        <v>33.611464968152866</v>
      </c>
      <c r="L6" t="s">
        <v>842</v>
      </c>
    </row>
    <row r="7" spans="1:12" x14ac:dyDescent="0.2">
      <c r="A7" t="s">
        <v>6</v>
      </c>
      <c r="B7">
        <v>817</v>
      </c>
      <c r="H7" s="18" t="s">
        <v>28</v>
      </c>
      <c r="I7">
        <f>B29</f>
        <v>943.65</v>
      </c>
      <c r="J7">
        <f>I7+I8</f>
        <v>27328.65</v>
      </c>
      <c r="K7" s="19"/>
    </row>
    <row r="8" spans="1:12" ht="13.5" thickBot="1" x14ac:dyDescent="0.25">
      <c r="A8" t="s">
        <v>7</v>
      </c>
      <c r="B8">
        <v>-380</v>
      </c>
      <c r="G8" s="25" t="s">
        <v>828</v>
      </c>
      <c r="H8" s="26" t="s">
        <v>30</v>
      </c>
      <c r="I8" s="27">
        <f>B31</f>
        <v>26385</v>
      </c>
      <c r="J8" s="20"/>
      <c r="K8" s="21"/>
    </row>
    <row r="9" spans="1:12" ht="13.5" thickBot="1" x14ac:dyDescent="0.25">
      <c r="A9" t="s">
        <v>8</v>
      </c>
      <c r="B9">
        <v>0</v>
      </c>
      <c r="H9" s="22" t="s">
        <v>40</v>
      </c>
      <c r="I9" s="23">
        <v>14617.65</v>
      </c>
      <c r="J9" s="23">
        <v>437</v>
      </c>
      <c r="K9" s="30">
        <f>I9/J9</f>
        <v>33.449999999999996</v>
      </c>
      <c r="L9" s="29" t="s">
        <v>841</v>
      </c>
    </row>
    <row r="10" spans="1:12" x14ac:dyDescent="0.2">
      <c r="A10" t="s">
        <v>9</v>
      </c>
      <c r="B10">
        <v>0</v>
      </c>
    </row>
    <row r="11" spans="1:12" x14ac:dyDescent="0.2">
      <c r="A11" t="s">
        <v>10</v>
      </c>
      <c r="B11">
        <v>0</v>
      </c>
      <c r="H11" t="s">
        <v>21</v>
      </c>
      <c r="I11">
        <v>-12984.6</v>
      </c>
      <c r="J11">
        <f>I11/I12</f>
        <v>34.17</v>
      </c>
    </row>
    <row r="12" spans="1:12" x14ac:dyDescent="0.2">
      <c r="A12" t="s">
        <v>11</v>
      </c>
      <c r="B12">
        <v>0</v>
      </c>
      <c r="H12" t="s">
        <v>7</v>
      </c>
      <c r="I12">
        <v>-380</v>
      </c>
    </row>
    <row r="13" spans="1:12" x14ac:dyDescent="0.2">
      <c r="A13" t="s">
        <v>12</v>
      </c>
      <c r="B13">
        <v>0</v>
      </c>
      <c r="H13" t="s">
        <v>33</v>
      </c>
      <c r="I13">
        <v>-12711</v>
      </c>
      <c r="J13">
        <f>I13/I12</f>
        <v>33.450000000000003</v>
      </c>
    </row>
    <row r="14" spans="1:12" x14ac:dyDescent="0.2">
      <c r="A14" t="s">
        <v>13</v>
      </c>
      <c r="B14">
        <v>0</v>
      </c>
    </row>
    <row r="15" spans="1:12" x14ac:dyDescent="0.2">
      <c r="A15" s="14" t="s">
        <v>14</v>
      </c>
      <c r="B15">
        <v>437</v>
      </c>
      <c r="C15" t="s">
        <v>831</v>
      </c>
    </row>
    <row r="16" spans="1:12" x14ac:dyDescent="0.2">
      <c r="A16" t="s">
        <v>15</v>
      </c>
      <c r="B16">
        <v>0</v>
      </c>
    </row>
    <row r="17" spans="1:12" x14ac:dyDescent="0.2">
      <c r="A17" s="25" t="s">
        <v>16</v>
      </c>
      <c r="B17" s="25">
        <v>33.611465000000003</v>
      </c>
      <c r="C17" t="s">
        <v>836</v>
      </c>
    </row>
    <row r="18" spans="1:12" x14ac:dyDescent="0.2">
      <c r="A18" t="s">
        <v>17</v>
      </c>
      <c r="B18">
        <v>34.17</v>
      </c>
      <c r="C18" t="s">
        <v>837</v>
      </c>
    </row>
    <row r="19" spans="1:12" x14ac:dyDescent="0.2">
      <c r="A19" t="s">
        <v>18</v>
      </c>
      <c r="B19">
        <v>33.450000000000003</v>
      </c>
      <c r="C19" t="s">
        <v>838</v>
      </c>
      <c r="I19" s="24"/>
      <c r="J19" s="24"/>
      <c r="K19" s="24"/>
      <c r="L19" s="24"/>
    </row>
    <row r="20" spans="1:12" x14ac:dyDescent="0.2">
      <c r="A20" t="s">
        <v>19</v>
      </c>
      <c r="B20">
        <v>26823.45</v>
      </c>
      <c r="C20" t="s">
        <v>839</v>
      </c>
    </row>
    <row r="21" spans="1:12" x14ac:dyDescent="0.2">
      <c r="A21" t="s">
        <v>20</v>
      </c>
      <c r="B21">
        <v>0</v>
      </c>
    </row>
    <row r="22" spans="1:12" x14ac:dyDescent="0.2">
      <c r="A22" t="s">
        <v>21</v>
      </c>
      <c r="B22">
        <v>-12984.6</v>
      </c>
      <c r="C22" t="s">
        <v>840</v>
      </c>
    </row>
    <row r="23" spans="1:12" x14ac:dyDescent="0.2">
      <c r="A23" t="s">
        <v>22</v>
      </c>
      <c r="B23">
        <v>0</v>
      </c>
    </row>
    <row r="24" spans="1:12" x14ac:dyDescent="0.2">
      <c r="A24" t="s">
        <v>23</v>
      </c>
      <c r="B24">
        <v>0</v>
      </c>
    </row>
    <row r="25" spans="1:12" x14ac:dyDescent="0.2">
      <c r="A25" t="s">
        <v>24</v>
      </c>
      <c r="B25">
        <v>0</v>
      </c>
    </row>
    <row r="26" spans="1:12" x14ac:dyDescent="0.2">
      <c r="A26" t="s">
        <v>25</v>
      </c>
      <c r="B26">
        <v>0</v>
      </c>
    </row>
    <row r="27" spans="1:12" x14ac:dyDescent="0.2">
      <c r="A27" t="s">
        <v>26</v>
      </c>
      <c r="B27">
        <v>0</v>
      </c>
    </row>
    <row r="28" spans="1:12" x14ac:dyDescent="0.2">
      <c r="A28" t="s">
        <v>27</v>
      </c>
      <c r="B28">
        <v>0</v>
      </c>
    </row>
    <row r="29" spans="1:12" x14ac:dyDescent="0.2">
      <c r="A29" s="12" t="s">
        <v>28</v>
      </c>
      <c r="B29">
        <v>943.65</v>
      </c>
      <c r="C29" t="s">
        <v>832</v>
      </c>
    </row>
    <row r="30" spans="1:12" x14ac:dyDescent="0.2">
      <c r="A30" t="s">
        <v>29</v>
      </c>
      <c r="B30">
        <v>0</v>
      </c>
    </row>
    <row r="31" spans="1:12" x14ac:dyDescent="0.2">
      <c r="A31" s="13" t="s">
        <v>30</v>
      </c>
      <c r="B31">
        <v>26385</v>
      </c>
      <c r="C31" t="s">
        <v>833</v>
      </c>
    </row>
    <row r="32" spans="1:12" x14ac:dyDescent="0.2">
      <c r="A32" t="s">
        <v>31</v>
      </c>
      <c r="B32">
        <v>0</v>
      </c>
    </row>
    <row r="33" spans="1:3" x14ac:dyDescent="0.2">
      <c r="A33" t="s">
        <v>32</v>
      </c>
      <c r="B33">
        <v>27328.65</v>
      </c>
    </row>
    <row r="34" spans="1:3" x14ac:dyDescent="0.2">
      <c r="A34" t="s">
        <v>33</v>
      </c>
      <c r="B34">
        <v>-12711</v>
      </c>
      <c r="C34" t="s">
        <v>835</v>
      </c>
    </row>
    <row r="35" spans="1:3" x14ac:dyDescent="0.2">
      <c r="A35" t="s">
        <v>34</v>
      </c>
      <c r="B35">
        <v>0</v>
      </c>
    </row>
    <row r="36" spans="1:3" x14ac:dyDescent="0.2">
      <c r="A36" t="s">
        <v>35</v>
      </c>
      <c r="B36">
        <v>0</v>
      </c>
    </row>
    <row r="37" spans="1:3" x14ac:dyDescent="0.2">
      <c r="A37" t="s">
        <v>36</v>
      </c>
      <c r="B37">
        <v>0</v>
      </c>
    </row>
    <row r="38" spans="1:3" x14ac:dyDescent="0.2">
      <c r="A38" t="s">
        <v>37</v>
      </c>
      <c r="B38">
        <v>0</v>
      </c>
    </row>
    <row r="39" spans="1:3" x14ac:dyDescent="0.2">
      <c r="A39" t="s">
        <v>38</v>
      </c>
      <c r="B39">
        <v>0</v>
      </c>
    </row>
    <row r="40" spans="1:3" x14ac:dyDescent="0.2">
      <c r="A40" t="s">
        <v>39</v>
      </c>
      <c r="B40">
        <v>0</v>
      </c>
    </row>
    <row r="41" spans="1:3" x14ac:dyDescent="0.2">
      <c r="A41" s="14" t="s">
        <v>40</v>
      </c>
      <c r="B41">
        <v>14617.65</v>
      </c>
      <c r="C41" t="s">
        <v>834</v>
      </c>
    </row>
    <row r="42" spans="1:3" x14ac:dyDescent="0.2">
      <c r="A42" t="s">
        <v>41</v>
      </c>
      <c r="B42">
        <v>0</v>
      </c>
    </row>
    <row r="43" spans="1:3" x14ac:dyDescent="0.2">
      <c r="A43" t="s">
        <v>42</v>
      </c>
      <c r="B43">
        <v>0</v>
      </c>
    </row>
    <row r="44" spans="1:3" x14ac:dyDescent="0.2">
      <c r="A44" t="s">
        <v>43</v>
      </c>
      <c r="B44">
        <v>-438.45</v>
      </c>
    </row>
    <row r="45" spans="1:3" x14ac:dyDescent="0.2">
      <c r="A45" t="s">
        <v>44</v>
      </c>
      <c r="B45">
        <v>273.60000000000002</v>
      </c>
    </row>
    <row r="46" spans="1:3" x14ac:dyDescent="0.2">
      <c r="A46" t="s">
        <v>45</v>
      </c>
      <c r="B46">
        <v>0</v>
      </c>
    </row>
  </sheetData>
  <pageMargins left="0.75" right="0.75" top="1" bottom="1" header="0.5" footer="0.5"/>
  <headerFooter>
    <oddHeader>&amp;C&amp;"Calibri"&amp;10&amp;K000000 Confidential S3 – Regular Business&amp;1#_x000D_</oddHeader>
    <oddFooter>&amp;C_x000D_&amp;1#&amp;"Calibri"&amp;10&amp;K000000 Confidential S3 – Regular Business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>
    <oddHeader>&amp;C&amp;"Calibri"&amp;10&amp;K000000 Confidential S3 – Regular Business&amp;1#_x000D_</oddHeader>
    <oddFooter>&amp;C_x000D_&amp;1#&amp;"Calibri"&amp;10&amp;K000000 Confidential S3 – Regular Business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Duc Anh</dc:creator>
  <cp:lastModifiedBy>Do Duc Anh</cp:lastModifiedBy>
  <dcterms:created xsi:type="dcterms:W3CDTF">2024-01-04T03:09:19Z</dcterms:created>
  <dcterms:modified xsi:type="dcterms:W3CDTF">2024-01-16T08:15:55Z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0c014b-d989-4b04-8ff1-750b5518495a_Enabled">
    <vt:lpwstr>true</vt:lpwstr>
  </property>
  <property fmtid="{D5CDD505-2E9C-101B-9397-08002B2CF9AE}" pid="3" name="MSIP_Label_700c014b-d989-4b04-8ff1-750b5518495a_SetDate">
    <vt:lpwstr>2024-01-04T03:09:56Z</vt:lpwstr>
  </property>
  <property fmtid="{D5CDD505-2E9C-101B-9397-08002B2CF9AE}" pid="4" name="MSIP_Label_700c014b-d989-4b04-8ff1-750b5518495a_Method">
    <vt:lpwstr>Privileged</vt:lpwstr>
  </property>
  <property fmtid="{D5CDD505-2E9C-101B-9397-08002B2CF9AE}" pid="5" name="MSIP_Label_700c014b-d989-4b04-8ff1-750b5518495a_Name">
    <vt:lpwstr>S3 - Regular Business</vt:lpwstr>
  </property>
  <property fmtid="{D5CDD505-2E9C-101B-9397-08002B2CF9AE}" pid="6" name="MSIP_Label_700c014b-d989-4b04-8ff1-750b5518495a_SiteId">
    <vt:lpwstr>a1fdea56-3201-4d00-9b76-661338850557</vt:lpwstr>
  </property>
  <property fmtid="{D5CDD505-2E9C-101B-9397-08002B2CF9AE}" pid="7" name="MSIP_Label_700c014b-d989-4b04-8ff1-750b5518495a_ActionId">
    <vt:lpwstr>749cc1fc-89ef-4274-b5dc-0befbeaf4be7</vt:lpwstr>
  </property>
  <property fmtid="{D5CDD505-2E9C-101B-9397-08002B2CF9AE}" pid="8" name="MSIP_Label_700c014b-d989-4b04-8ff1-750b5518495a_ContentBits">
    <vt:lpwstr>3</vt:lpwstr>
  </property>
</Properties>
</file>