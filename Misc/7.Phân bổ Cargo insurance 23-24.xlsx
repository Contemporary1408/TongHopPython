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8.29.7\BTMV-Data\4-ACCOUNTING\99.Personal files\Đức Anh\Contemporary's projects\Phân bổ cargo insurance\"/>
    </mc:Choice>
  </mc:AlternateContent>
  <xr:revisionPtr revIDLastSave="0" documentId="13_ncr:1_{BF952E70-D629-4405-A432-C9A37CCA2331}" xr6:coauthVersionLast="47" xr6:coauthVersionMax="47" xr10:uidLastSave="{00000000-0000-0000-0000-000000000000}"/>
  <bookViews>
    <workbookView xWindow="-120" yWindow="-120" windowWidth="20730" windowHeight="11040" tabRatio="423" xr2:uid="{00000000-000D-0000-FFFF-FFFF00000000}"/>
  </bookViews>
  <sheets>
    <sheet name="Allocation" sheetId="3" r:id="rId1"/>
    <sheet name="Net sales" sheetId="5" r:id="rId2"/>
    <sheet name="Sheet1" sheetId="4" r:id="rId3"/>
  </sheets>
  <definedNames>
    <definedName name="_xlnm.Print_Area" localSheetId="0">Allocation!$A$1:$H$31</definedName>
  </definedName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B12" i="5"/>
  <c r="B11" i="5"/>
  <c r="B10" i="5"/>
  <c r="B9" i="5"/>
  <c r="B8" i="5"/>
  <c r="B7" i="5"/>
  <c r="B6" i="5"/>
  <c r="B5" i="5"/>
  <c r="B4" i="5"/>
  <c r="B3" i="5"/>
  <c r="B2" i="5"/>
  <c r="C12" i="3"/>
  <c r="D24" i="3" l="1"/>
  <c r="D23" i="3"/>
  <c r="D22" i="3"/>
  <c r="D21" i="3"/>
  <c r="D20" i="3"/>
  <c r="D19" i="3"/>
  <c r="D18" i="3"/>
  <c r="C30" i="3"/>
  <c r="D31" i="3" l="1"/>
  <c r="E13" i="4" l="1"/>
  <c r="E19" i="4" s="1"/>
  <c r="D13" i="4"/>
  <c r="D19" i="4" s="1"/>
  <c r="D30" i="3" l="1"/>
  <c r="F18" i="3"/>
  <c r="F19" i="3" s="1"/>
  <c r="F20" i="3" s="1"/>
  <c r="F21" i="3" s="1"/>
  <c r="F22" i="3" l="1"/>
  <c r="B30" i="3"/>
  <c r="F23" i="3" l="1"/>
  <c r="F24" i="3" l="1"/>
  <c r="F25" i="3" l="1"/>
  <c r="F26" i="3" s="1"/>
  <c r="F27" i="3" s="1"/>
  <c r="F28" i="3" s="1"/>
  <c r="F29" i="3" s="1"/>
</calcChain>
</file>

<file path=xl/sharedStrings.xml><?xml version="1.0" encoding="utf-8"?>
<sst xmlns="http://schemas.openxmlformats.org/spreadsheetml/2006/main" count="98" uniqueCount="68">
  <si>
    <t>MSIG Insurance (Vietnam) Company Limited</t>
  </si>
  <si>
    <t>Month</t>
  </si>
  <si>
    <t>Vendor:</t>
  </si>
  <si>
    <t>Policy number:</t>
  </si>
  <si>
    <t>Period of Insurance:</t>
  </si>
  <si>
    <t>Debit Note number:</t>
  </si>
  <si>
    <t>Invoice:</t>
  </si>
  <si>
    <t>Annual rate:</t>
  </si>
  <si>
    <t>Estimated Sales amount:</t>
  </si>
  <si>
    <t>Estimated annual premium:</t>
  </si>
  <si>
    <t>Total</t>
  </si>
  <si>
    <t>Document no.</t>
  </si>
  <si>
    <t>B 20022795 MCA</t>
  </si>
  <si>
    <t>Exchange rate:</t>
  </si>
  <si>
    <t>Document No.</t>
  </si>
  <si>
    <t>Posting date:</t>
  </si>
  <si>
    <t>Estimated sales amount (A)</t>
  </si>
  <si>
    <t>Actual sales amount (B)</t>
  </si>
  <si>
    <t>No.</t>
  </si>
  <si>
    <t>Budget code:</t>
  </si>
  <si>
    <t>Hạch toán 335</t>
  </si>
  <si>
    <t>Hạch toán 242</t>
  </si>
  <si>
    <t>Premium amount:</t>
  </si>
  <si>
    <t>Accumulated</t>
  </si>
  <si>
    <t>642705023311</t>
  </si>
  <si>
    <t>SALES AMOUNT</t>
  </si>
  <si>
    <t>Unit: K.USD</t>
  </si>
  <si>
    <t>Sales information</t>
  </si>
  <si>
    <t>Data source</t>
  </si>
  <si>
    <t>Sales volume
(Pcs)</t>
  </si>
  <si>
    <t>Sales amount
(K.USD)</t>
  </si>
  <si>
    <t>Jul.21</t>
  </si>
  <si>
    <t>Q1.FCST (RT2)</t>
  </si>
  <si>
    <t>Aug.21</t>
  </si>
  <si>
    <t>Sep.21</t>
  </si>
  <si>
    <t>Oct.21</t>
  </si>
  <si>
    <t>Nov.21</t>
  </si>
  <si>
    <t>Dec.21</t>
  </si>
  <si>
    <t>Jan.22</t>
  </si>
  <si>
    <t>20MTBP/Y22
Divided by 2</t>
  </si>
  <si>
    <t>Feb.22</t>
  </si>
  <si>
    <t>Mar.22</t>
  </si>
  <si>
    <t>Apr.22</t>
  </si>
  <si>
    <t>May.22</t>
  </si>
  <si>
    <t>Jun.22</t>
  </si>
  <si>
    <t>SUM</t>
  </si>
  <si>
    <t>2002279500016</t>
  </si>
  <si>
    <t>Allocation (B x 0.0055%)</t>
  </si>
  <si>
    <t>01/07/2023 - 30/06/2024</t>
  </si>
  <si>
    <t>VND 98,787,176</t>
  </si>
  <si>
    <t>23540 VND/USD</t>
  </si>
  <si>
    <t>USD 152,602,419.56</t>
  </si>
  <si>
    <t>USD 152,602,419.56 x 0.0055% = USD 8,393.13</t>
  </si>
  <si>
    <t>AP-23-2215</t>
  </si>
  <si>
    <t>00003956</t>
  </si>
  <si>
    <t>Allocate Cargo Insurance annual 2023 - 2024</t>
  </si>
  <si>
    <t>Jan.24</t>
  </si>
  <si>
    <t>Feb.24</t>
  </si>
  <si>
    <t>Mar.24</t>
  </si>
  <si>
    <t>Apr.24</t>
  </si>
  <si>
    <t>May.24</t>
  </si>
  <si>
    <t>Jun.24</t>
  </si>
  <si>
    <t>Jul.23</t>
  </si>
  <si>
    <t>Aug.23</t>
  </si>
  <si>
    <t>Sep.23</t>
  </si>
  <si>
    <t>Oct.23</t>
  </si>
  <si>
    <t>Nov.23</t>
  </si>
  <si>
    <t>Dec.23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</si>
</sst>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_-* #,##0.00_-;\-* #,##0.00_-;_-* &quot;-&quot;??_-;_-@_-"/>
    <numFmt numFmtId="165" formatCode="_ * #,##0_ ;_ * \-#,##0_ ;_ * &quot;-&quot;_ ;_ @_ "/>
    <numFmt numFmtId="166" formatCode="0_ "/>
    <numFmt numFmtId="167" formatCode="#,##0;\-#,##0;&quot;-&quot;"/>
    <numFmt numFmtId="168" formatCode="#,##0.0_);\(#,##0.0\)"/>
    <numFmt numFmtId="169" formatCode="_(* #,##0.0000_);_(* \(#,##0.0000\);_(* &quot;-&quot;??_);_(@_)"/>
    <numFmt numFmtId="170" formatCode="#,##0.00\ &quot;F&quot;;[Red]\-#,##0.00\ &quot;F&quot;"/>
    <numFmt numFmtId="171" formatCode="_-* #,##0\ &quot;F&quot;_-;\-* #,##0\ &quot;F&quot;_-;_-* &quot;-&quot;\ &quot;F&quot;_-;_-@_-"/>
    <numFmt numFmtId="172" formatCode="0000000000000"/>
    <numFmt numFmtId="173" formatCode="0.0%;\(0.0%\)"/>
    <numFmt numFmtId="174" formatCode="_ * #,##0_)_F_ ;_ * \(#,##0\)_F_ ;_ * &quot;-&quot;_)_F_ ;_ @_ "/>
    <numFmt numFmtId="175" formatCode="[&lt;=999]000;000\-00"/>
    <numFmt numFmtId="176" formatCode="_ * #,##0.00_)&quot;￡&quot;_ ;_ * \(#,##0.00\)&quot;￡&quot;_ ;_ * &quot;-&quot;??_)&quot;￡&quot;_ ;_ @_ "/>
    <numFmt numFmtId="177" formatCode="_-* #,##0\ _F_-;\-* #,##0\ _F_-;_-* &quot;-&quot;\ _F_-;_-@_-"/>
    <numFmt numFmtId="178" formatCode="_-* #,##0.00\ &quot;F&quot;_-;\-* #,##0.00\ &quot;F&quot;_-;_-* &quot;-&quot;??\ &quot;F&quot;_-;_-@_-"/>
    <numFmt numFmtId="179" formatCode="&quot;¥&quot;#,##0;&quot;¥&quot;&quot;¥&quot;\-#,##0"/>
    <numFmt numFmtId="180" formatCode="_-&quot;$&quot;* #,##0_-;\-&quot;$&quot;* #,##0_-;_-&quot;$&quot;* &quot;-&quot;_-;_-@_-"/>
    <numFmt numFmtId="181" formatCode="&quot;$&quot;#,##0.00;[Red]\-&quot;$&quot;#,##0.00"/>
    <numFmt numFmtId="182" formatCode="[$-F800]dddd\,\ mmmm\ dd\,\ yyyy"/>
    <numFmt numFmtId="183" formatCode="0.0000%"/>
    <numFmt numFmtId="184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Helv"/>
      <family val="2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sz val="11"/>
      <name val="ตธฟ๒"/>
      <family val="2"/>
      <charset val="129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sz val="14"/>
      <name val="ＭＳ 明朝"/>
      <family val="1"/>
      <charset val="128"/>
    </font>
    <font>
      <sz val="12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28"/>
      <scheme val="minor"/>
    </font>
    <font>
      <sz val="11"/>
      <color rgb="FF9C0006"/>
      <name val="Calibri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8">
    <xf numFmtId="0" fontId="0" fillId="0" borderId="0"/>
    <xf numFmtId="43" fontId="1" fillId="0" borderId="0" applyFont="0" applyFill="0" applyBorder="0" applyAlignment="0" applyProtection="0"/>
    <xf numFmtId="0" fontId="4" fillId="0" borderId="0"/>
    <xf numFmtId="9" fontId="4" fillId="4" borderId="0"/>
    <xf numFmtId="167" fontId="5" fillId="0" borderId="0" applyFill="0" applyBorder="0" applyAlignment="0"/>
    <xf numFmtId="168" fontId="6" fillId="0" borderId="0" applyFill="0" applyBorder="0" applyAlignment="0"/>
    <xf numFmtId="169" fontId="6" fillId="0" borderId="0" applyFill="0" applyBorder="0" applyAlignment="0"/>
    <xf numFmtId="170" fontId="7" fillId="0" borderId="0" applyFill="0" applyBorder="0" applyAlignment="0"/>
    <xf numFmtId="171" fontId="7" fillId="0" borderId="0" applyFill="0" applyBorder="0" applyAlignment="0"/>
    <xf numFmtId="172" fontId="8" fillId="0" borderId="0" applyFill="0" applyBorder="0" applyAlignment="0"/>
    <xf numFmtId="173" fontId="6" fillId="0" borderId="0" applyFill="0" applyBorder="0" applyAlignment="0"/>
    <xf numFmtId="168" fontId="6" fillId="0" borderId="0" applyFill="0" applyBorder="0" applyAlignment="0"/>
    <xf numFmtId="164" fontId="4" fillId="0" borderId="0" applyFont="0" applyFill="0" applyBorder="0" applyAlignment="0" applyProtection="0"/>
    <xf numFmtId="172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4" fontId="5" fillId="0" borderId="0" applyFill="0" applyBorder="0" applyAlignment="0"/>
    <xf numFmtId="172" fontId="8" fillId="0" borderId="0" applyFill="0" applyBorder="0" applyAlignment="0"/>
    <xf numFmtId="168" fontId="6" fillId="0" borderId="0" applyFill="0" applyBorder="0" applyAlignment="0"/>
    <xf numFmtId="172" fontId="8" fillId="0" borderId="0" applyFill="0" applyBorder="0" applyAlignment="0"/>
    <xf numFmtId="173" fontId="6" fillId="0" borderId="0" applyFill="0" applyBorder="0" applyAlignment="0"/>
    <xf numFmtId="168" fontId="6" fillId="0" borderId="0" applyFill="0" applyBorder="0" applyAlignment="0"/>
    <xf numFmtId="38" fontId="9" fillId="5" borderId="0" applyNumberFormat="0" applyBorder="0" applyAlignment="0" applyProtection="0"/>
    <xf numFmtId="0" fontId="10" fillId="0" borderId="3" applyNumberFormat="0" applyAlignment="0" applyProtection="0">
      <alignment horizontal="left" vertical="center"/>
    </xf>
    <xf numFmtId="0" fontId="10" fillId="0" borderId="4">
      <alignment horizontal="left" vertical="center"/>
    </xf>
    <xf numFmtId="10" fontId="9" fillId="6" borderId="1" applyNumberFormat="0" applyBorder="0" applyAlignment="0" applyProtection="0"/>
    <xf numFmtId="172" fontId="8" fillId="0" borderId="0" applyFill="0" applyBorder="0" applyAlignment="0"/>
    <xf numFmtId="168" fontId="6" fillId="0" borderId="0" applyFill="0" applyBorder="0" applyAlignment="0"/>
    <xf numFmtId="172" fontId="8" fillId="0" borderId="0" applyFill="0" applyBorder="0" applyAlignment="0"/>
    <xf numFmtId="173" fontId="6" fillId="0" borderId="0" applyFill="0" applyBorder="0" applyAlignment="0"/>
    <xf numFmtId="168" fontId="6" fillId="0" borderId="0" applyFill="0" applyBorder="0" applyAlignment="0"/>
    <xf numFmtId="174" fontId="11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19" fillId="0" borderId="0">
      <alignment vertical="center"/>
    </xf>
    <xf numFmtId="0" fontId="4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71" fontId="7" fillId="0" borderId="0" applyFont="0" applyFill="0" applyBorder="0" applyAlignment="0" applyProtection="0"/>
    <xf numFmtId="176" fontId="8" fillId="0" borderId="0" applyFont="0" applyFill="0" applyBorder="0" applyAlignment="0" applyProtection="0"/>
    <xf numFmtId="10" fontId="4" fillId="0" borderId="0" applyFont="0" applyFill="0" applyBorder="0" applyAlignment="0" applyProtection="0"/>
    <xf numFmtId="172" fontId="8" fillId="0" borderId="0" applyFill="0" applyBorder="0" applyAlignment="0"/>
    <xf numFmtId="168" fontId="6" fillId="0" borderId="0" applyFill="0" applyBorder="0" applyAlignment="0"/>
    <xf numFmtId="172" fontId="8" fillId="0" borderId="0" applyFill="0" applyBorder="0" applyAlignment="0"/>
    <xf numFmtId="173" fontId="6" fillId="0" borderId="0" applyFill="0" applyBorder="0" applyAlignment="0"/>
    <xf numFmtId="168" fontId="6" fillId="0" borderId="0" applyFill="0" applyBorder="0" applyAlignment="0"/>
    <xf numFmtId="49" fontId="5" fillId="0" borderId="0" applyFill="0" applyBorder="0" applyAlignment="0"/>
    <xf numFmtId="177" fontId="7" fillId="0" borderId="0" applyFill="0" applyBorder="0" applyAlignment="0"/>
    <xf numFmtId="178" fontId="7" fillId="0" borderId="0" applyFill="0" applyBorder="0" applyAlignment="0"/>
    <xf numFmtId="166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80" fontId="4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/>
    <xf numFmtId="0" fontId="19" fillId="3" borderId="2" applyNumberFormat="0" applyFont="0" applyAlignment="0" applyProtection="0">
      <alignment vertical="center"/>
    </xf>
    <xf numFmtId="165" fontId="4" fillId="0" borderId="0" applyFont="0" applyFill="0" applyBorder="0" applyAlignment="0" applyProtection="0"/>
    <xf numFmtId="4" fontId="6" fillId="0" borderId="0" applyFont="0" applyFill="0" applyBorder="0" applyAlignment="0" applyProtection="0"/>
    <xf numFmtId="0" fontId="8" fillId="0" borderId="0" applyNumberFormat="0" applyFont="0" applyFill="0" applyBorder="0" applyProtection="0">
      <alignment vertical="top"/>
    </xf>
    <xf numFmtId="0" fontId="8" fillId="0" borderId="5" applyNumberFormat="0" applyFont="0" applyFill="0" applyBorder="0" applyProtection="0">
      <alignment vertical="top" wrapText="1"/>
      <protection locked="0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/>
    <xf numFmtId="0" fontId="15" fillId="0" borderId="0" applyNumberFormat="0" applyFill="0" applyBorder="0" applyAlignment="0" applyProtection="0"/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6" fillId="0" borderId="0"/>
    <xf numFmtId="38" fontId="8" fillId="0" borderId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21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/>
    <xf numFmtId="0" fontId="17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0" fillId="0" borderId="0" xfId="1" applyNumberFormat="1" applyFont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43" fontId="2" fillId="0" borderId="1" xfId="1" applyFont="1" applyBorder="1"/>
    <xf numFmtId="0" fontId="0" fillId="0" borderId="0" xfId="0" quotePrefix="1"/>
    <xf numFmtId="14" fontId="0" fillId="0" borderId="0" xfId="1" quotePrefix="1" applyNumberFormat="1" applyFont="1"/>
    <xf numFmtId="3" fontId="0" fillId="0" borderId="0" xfId="1" quotePrefix="1" applyNumberFormat="1" applyFont="1" applyAlignment="1">
      <alignment horizontal="left"/>
    </xf>
    <xf numFmtId="0" fontId="0" fillId="0" borderId="0" xfId="1" quotePrefix="1" applyNumberFormat="1" applyFont="1" applyAlignment="1">
      <alignment horizontal="left"/>
    </xf>
    <xf numFmtId="4" fontId="0" fillId="0" borderId="1" xfId="0" applyNumberFormat="1" applyBorder="1"/>
    <xf numFmtId="4" fontId="2" fillId="0" borderId="1" xfId="0" applyNumberFormat="1" applyFont="1" applyBorder="1"/>
    <xf numFmtId="0" fontId="24" fillId="0" borderId="0" xfId="0" applyFont="1"/>
    <xf numFmtId="0" fontId="25" fillId="0" borderId="0" xfId="0" applyFont="1" applyAlignment="1">
      <alignment horizontal="center" vertical="center"/>
    </xf>
    <xf numFmtId="4" fontId="23" fillId="0" borderId="1" xfId="0" applyNumberFormat="1" applyFont="1" applyBorder="1"/>
    <xf numFmtId="43" fontId="2" fillId="0" borderId="0" xfId="1" applyFont="1"/>
    <xf numFmtId="43" fontId="0" fillId="0" borderId="1" xfId="1" applyFont="1" applyBorder="1" applyAlignment="1">
      <alignment horizontal="right" vertical="center"/>
    </xf>
    <xf numFmtId="43" fontId="2" fillId="0" borderId="1" xfId="1" applyFont="1" applyBorder="1" applyAlignment="1">
      <alignment horizontal="right"/>
    </xf>
    <xf numFmtId="4" fontId="0" fillId="0" borderId="0" xfId="0" applyNumberFormat="1"/>
    <xf numFmtId="0" fontId="26" fillId="0" borderId="1" xfId="0" applyFont="1" applyBorder="1" applyAlignment="1">
      <alignment horizontal="center" vertical="center"/>
    </xf>
    <xf numFmtId="43" fontId="0" fillId="8" borderId="1" xfId="1" applyFont="1" applyFill="1" applyBorder="1"/>
    <xf numFmtId="0" fontId="0" fillId="8" borderId="1" xfId="0" applyFill="1" applyBorder="1"/>
    <xf numFmtId="43" fontId="0" fillId="8" borderId="0" xfId="0" applyNumberFormat="1" applyFill="1"/>
    <xf numFmtId="0" fontId="0" fillId="8" borderId="0" xfId="0" applyFill="1"/>
    <xf numFmtId="0" fontId="0" fillId="8" borderId="1" xfId="0" applyFill="1" applyBorder="1" applyAlignment="1">
      <alignment vertical="center"/>
    </xf>
    <xf numFmtId="0" fontId="0" fillId="7" borderId="1" xfId="0" applyFill="1" applyBorder="1"/>
    <xf numFmtId="0" fontId="0" fillId="7" borderId="0" xfId="0" applyFill="1"/>
    <xf numFmtId="0" fontId="0" fillId="7" borderId="1" xfId="0" applyFill="1" applyBorder="1" applyAlignment="1">
      <alignment vertical="center"/>
    </xf>
    <xf numFmtId="0" fontId="27" fillId="0" borderId="6" xfId="0" applyFont="1" applyBorder="1" applyAlignment="1">
      <alignment horizontal="center" vertical="center"/>
    </xf>
    <xf numFmtId="43" fontId="0" fillId="0" borderId="0" xfId="1" applyFont="1"/>
    <xf numFmtId="183" fontId="0" fillId="0" borderId="0" xfId="0" quotePrefix="1" applyNumberFormat="1" applyAlignment="1">
      <alignment horizontal="left"/>
    </xf>
    <xf numFmtId="182" fontId="0" fillId="0" borderId="0" xfId="0" applyNumberFormat="1" applyAlignment="1">
      <alignment horizontal="left"/>
    </xf>
    <xf numFmtId="43" fontId="0" fillId="7" borderId="0" xfId="1" applyFont="1" applyFill="1"/>
    <xf numFmtId="43" fontId="0" fillId="0" borderId="7" xfId="1" applyFont="1" applyBorder="1" applyAlignment="1">
      <alignment horizontal="right" vertical="center"/>
    </xf>
    <xf numFmtId="0" fontId="28" fillId="0" borderId="0" xfId="0" applyFont="1"/>
    <xf numFmtId="0" fontId="29" fillId="0" borderId="0" xfId="0" applyFont="1"/>
    <xf numFmtId="0" fontId="2" fillId="9" borderId="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4" fontId="0" fillId="0" borderId="1" xfId="1" applyNumberFormat="1" applyFont="1" applyBorder="1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1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84" fontId="2" fillId="0" borderId="1" xfId="0" applyNumberFormat="1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30" fillId="0" borderId="0" xfId="0" applyNumberFormat="1" applyFont="1"/>
    <xf numFmtId="164" fontId="0" fillId="0" borderId="0" xfId="0" applyNumberFormat="1"/>
    <xf numFmtId="4" fontId="23" fillId="0" borderId="9" xfId="0" applyNumberFormat="1" applyFont="1" applyBorder="1" applyAlignment="1">
      <alignment horizontal="right" vertical="center"/>
    </xf>
    <xf numFmtId="43" fontId="0" fillId="7" borderId="1" xfId="1" applyFont="1" applyFill="1" applyBorder="1"/>
    <xf numFmtId="0" fontId="0" fillId="7" borderId="1" xfId="1" quotePrefix="1" applyNumberFormat="1" applyFont="1" applyFill="1" applyBorder="1" applyAlignment="1">
      <alignment horizontal="right"/>
    </xf>
    <xf numFmtId="0" fontId="0" fillId="7" borderId="1" xfId="0" quotePrefix="1" applyFill="1" applyBorder="1" applyAlignment="1">
      <alignment horizontal="right"/>
    </xf>
    <xf numFmtId="43" fontId="0" fillId="0" borderId="9" xfId="1" applyFont="1" applyBorder="1" applyAlignment="1">
      <alignment vertical="center"/>
    </xf>
    <xf numFmtId="43" fontId="0" fillId="0" borderId="1" xfId="1" applyFont="1" applyBorder="1"/>
    <xf numFmtId="0" fontId="2" fillId="0" borderId="1" xfId="0" applyFont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184" fontId="0" fillId="0" borderId="9" xfId="1" applyNumberFormat="1" applyFont="1" applyBorder="1" applyAlignment="1">
      <alignment horizontal="center" vertical="center"/>
    </xf>
    <xf numFmtId="184" fontId="0" fillId="0" borderId="6" xfId="1" applyNumberFormat="1" applyFont="1" applyBorder="1" applyAlignment="1">
      <alignment horizontal="center" vertical="center"/>
    </xf>
    <xf numFmtId="184" fontId="0" fillId="0" borderId="10" xfId="1" applyNumberFormat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 wrapText="1"/>
    </xf>
  </cellXfs>
  <cellStyles count="88">
    <cellStyle name="=C:\WINDOWS\SYSTEM32\COMMAND.COM" xfId="3" xr:uid="{00000000-0005-0000-0000-000000000000}"/>
    <cellStyle name="Calc Currency (0)" xfId="4" xr:uid="{00000000-0005-0000-0000-000001000000}"/>
    <cellStyle name="Calc Currency (2)" xfId="5" xr:uid="{00000000-0005-0000-0000-000002000000}"/>
    <cellStyle name="Calc Percent (0)" xfId="6" xr:uid="{00000000-0005-0000-0000-000003000000}"/>
    <cellStyle name="Calc Percent (1)" xfId="7" xr:uid="{00000000-0005-0000-0000-000004000000}"/>
    <cellStyle name="Calc Percent (2)" xfId="8" xr:uid="{00000000-0005-0000-0000-000005000000}"/>
    <cellStyle name="Calc Units (0)" xfId="9" xr:uid="{00000000-0005-0000-0000-000006000000}"/>
    <cellStyle name="Calc Units (1)" xfId="10" xr:uid="{00000000-0005-0000-0000-000007000000}"/>
    <cellStyle name="Calc Units (2)" xfId="11" xr:uid="{00000000-0005-0000-0000-000008000000}"/>
    <cellStyle name="Comma" xfId="1" builtinId="3"/>
    <cellStyle name="Comma [00]" xfId="13" xr:uid="{00000000-0005-0000-0000-00000A000000}"/>
    <cellStyle name="Comma 2" xfId="14" xr:uid="{00000000-0005-0000-0000-00000B000000}"/>
    <cellStyle name="Comma 3" xfId="12" xr:uid="{00000000-0005-0000-0000-00000C000000}"/>
    <cellStyle name="Comma 79" xfId="15" xr:uid="{00000000-0005-0000-0000-00000D000000}"/>
    <cellStyle name="Currency [00]" xfId="16" xr:uid="{00000000-0005-0000-0000-00000E000000}"/>
    <cellStyle name="Date Short" xfId="17" xr:uid="{00000000-0005-0000-0000-00000F000000}"/>
    <cellStyle name="Enter Currency (0)" xfId="18" xr:uid="{00000000-0005-0000-0000-000010000000}"/>
    <cellStyle name="Enter Currency (2)" xfId="19" xr:uid="{00000000-0005-0000-0000-000011000000}"/>
    <cellStyle name="Enter Units (0)" xfId="20" xr:uid="{00000000-0005-0000-0000-000012000000}"/>
    <cellStyle name="Enter Units (1)" xfId="21" xr:uid="{00000000-0005-0000-0000-000013000000}"/>
    <cellStyle name="Enter Units (2)" xfId="22" xr:uid="{00000000-0005-0000-0000-000014000000}"/>
    <cellStyle name="Grey" xfId="23" xr:uid="{00000000-0005-0000-0000-000015000000}"/>
    <cellStyle name="Header1" xfId="24" xr:uid="{00000000-0005-0000-0000-000016000000}"/>
    <cellStyle name="Header2" xfId="25" xr:uid="{00000000-0005-0000-0000-000017000000}"/>
    <cellStyle name="Input [yellow]" xfId="26" xr:uid="{00000000-0005-0000-0000-000018000000}"/>
    <cellStyle name="Link Currency (0)" xfId="27" xr:uid="{00000000-0005-0000-0000-000019000000}"/>
    <cellStyle name="Link Currency (2)" xfId="28" xr:uid="{00000000-0005-0000-0000-00001A000000}"/>
    <cellStyle name="Link Units (0)" xfId="29" xr:uid="{00000000-0005-0000-0000-00001B000000}"/>
    <cellStyle name="Link Units (1)" xfId="30" xr:uid="{00000000-0005-0000-0000-00001C000000}"/>
    <cellStyle name="Link Units (2)" xfId="31" xr:uid="{00000000-0005-0000-0000-00001D000000}"/>
    <cellStyle name="Normal" xfId="0" builtinId="0"/>
    <cellStyle name="Normal - Style1" xfId="32" xr:uid="{00000000-0005-0000-0000-00001F000000}"/>
    <cellStyle name="Normal 10" xfId="33" xr:uid="{00000000-0005-0000-0000-000020000000}"/>
    <cellStyle name="Normal 11" xfId="34" xr:uid="{00000000-0005-0000-0000-000021000000}"/>
    <cellStyle name="Normal 12" xfId="35" xr:uid="{00000000-0005-0000-0000-000022000000}"/>
    <cellStyle name="Normal 13" xfId="2" xr:uid="{00000000-0005-0000-0000-000023000000}"/>
    <cellStyle name="Normal 166" xfId="36" xr:uid="{00000000-0005-0000-0000-000024000000}"/>
    <cellStyle name="Normal 2" xfId="37" xr:uid="{00000000-0005-0000-0000-000025000000}"/>
    <cellStyle name="Normal 3" xfId="38" xr:uid="{00000000-0005-0000-0000-000026000000}"/>
    <cellStyle name="Normal 4" xfId="39" xr:uid="{00000000-0005-0000-0000-000027000000}"/>
    <cellStyle name="Normal 5" xfId="40" xr:uid="{00000000-0005-0000-0000-000028000000}"/>
    <cellStyle name="Normal 6" xfId="41" xr:uid="{00000000-0005-0000-0000-000029000000}"/>
    <cellStyle name="Normal 7" xfId="42" xr:uid="{00000000-0005-0000-0000-00002A000000}"/>
    <cellStyle name="Normal 8" xfId="43" xr:uid="{00000000-0005-0000-0000-00002B000000}"/>
    <cellStyle name="Normal 9" xfId="44" xr:uid="{00000000-0005-0000-0000-00002C000000}"/>
    <cellStyle name="ParaBirimi [0]_RESULTS" xfId="45" xr:uid="{00000000-0005-0000-0000-00002D000000}"/>
    <cellStyle name="ParaBirimi_RESULTS" xfId="46" xr:uid="{00000000-0005-0000-0000-00002E000000}"/>
    <cellStyle name="Percent [0]" xfId="47" xr:uid="{00000000-0005-0000-0000-00002F000000}"/>
    <cellStyle name="Percent [00]" xfId="48" xr:uid="{00000000-0005-0000-0000-000030000000}"/>
    <cellStyle name="Percent [2]" xfId="49" xr:uid="{00000000-0005-0000-0000-000031000000}"/>
    <cellStyle name="PrePop Currency (0)" xfId="50" xr:uid="{00000000-0005-0000-0000-000032000000}"/>
    <cellStyle name="PrePop Currency (2)" xfId="51" xr:uid="{00000000-0005-0000-0000-000033000000}"/>
    <cellStyle name="PrePop Units (0)" xfId="52" xr:uid="{00000000-0005-0000-0000-000034000000}"/>
    <cellStyle name="PrePop Units (1)" xfId="53" xr:uid="{00000000-0005-0000-0000-000035000000}"/>
    <cellStyle name="PrePop Units (2)" xfId="54" xr:uid="{00000000-0005-0000-0000-000036000000}"/>
    <cellStyle name="Text Indent A" xfId="55" xr:uid="{00000000-0005-0000-0000-000037000000}"/>
    <cellStyle name="Text Indent B" xfId="56" xr:uid="{00000000-0005-0000-0000-000038000000}"/>
    <cellStyle name="Text Indent C" xfId="57" xr:uid="{00000000-0005-0000-0000-000039000000}"/>
    <cellStyle name="Virg・ [0]_RESULTS" xfId="58" xr:uid="{00000000-0005-0000-0000-00003A000000}"/>
    <cellStyle name="Virg・_RESULTS" xfId="59" xr:uid="{00000000-0005-0000-0000-00003B000000}"/>
    <cellStyle name="アンダーライン" xfId="60" xr:uid="{00000000-0005-0000-0000-00003C000000}"/>
    <cellStyle name="イタリック" xfId="61" xr:uid="{00000000-0005-0000-0000-00003D000000}"/>
    <cellStyle name="ﾄ褊褂燾・[0]_PERSONAL" xfId="62" xr:uid="{00000000-0005-0000-0000-00003E000000}"/>
    <cellStyle name="ﾄ褊褂燾饑PERSONAL" xfId="63" xr:uid="{00000000-0005-0000-0000-00003F000000}"/>
    <cellStyle name="ボールド" xfId="64" xr:uid="{00000000-0005-0000-0000-000040000000}"/>
    <cellStyle name="ﾎ磊隆_PERSONAL" xfId="65" xr:uid="{00000000-0005-0000-0000-000041000000}"/>
    <cellStyle name="メモ 2" xfId="66" xr:uid="{00000000-0005-0000-0000-000042000000}"/>
    <cellStyle name="ﾔ竟瑙糺・[0]_PERSONAL" xfId="67" xr:uid="{00000000-0005-0000-0000-000043000000}"/>
    <cellStyle name="ﾔ竟瑙糺饑PERSONAL" xfId="68" xr:uid="{00000000-0005-0000-0000-000044000000}"/>
    <cellStyle name="上詰め" xfId="69" xr:uid="{00000000-0005-0000-0000-000045000000}"/>
    <cellStyle name="上詰め＋折返し" xfId="70" xr:uid="{00000000-0005-0000-0000-000046000000}"/>
    <cellStyle name="中央詰め" xfId="71" xr:uid="{00000000-0005-0000-0000-000047000000}"/>
    <cellStyle name="中央詰め＋折返し" xfId="72" xr:uid="{00000000-0005-0000-0000-000048000000}"/>
    <cellStyle name="取り消し線" xfId="73" xr:uid="{00000000-0005-0000-0000-000049000000}"/>
    <cellStyle name="悪い 2" xfId="74" xr:uid="{00000000-0005-0000-0000-00004A000000}"/>
    <cellStyle name="悪い 3" xfId="75" xr:uid="{00000000-0005-0000-0000-00004B000000}"/>
    <cellStyle name="未定義" xfId="76" xr:uid="{00000000-0005-0000-0000-00004C000000}"/>
    <cellStyle name="桁・・・_formB-12(2001・)" xfId="77" xr:uid="{00000000-0005-0000-0000-00004D000000}"/>
    <cellStyle name="標準 2" xfId="78" xr:uid="{00000000-0005-0000-0000-00004E000000}"/>
    <cellStyle name="標準 2 2" xfId="79" xr:uid="{00000000-0005-0000-0000-00004F000000}"/>
    <cellStyle name="標準 3" xfId="80" xr:uid="{00000000-0005-0000-0000-000050000000}"/>
    <cellStyle name="標準 3 2" xfId="81" xr:uid="{00000000-0005-0000-0000-000051000000}"/>
    <cellStyle name="標準 4" xfId="82" xr:uid="{00000000-0005-0000-0000-000052000000}"/>
    <cellStyle name="標準 5" xfId="83" xr:uid="{00000000-0005-0000-0000-000053000000}"/>
    <cellStyle name="標準 6" xfId="84" xr:uid="{00000000-0005-0000-0000-000054000000}"/>
    <cellStyle name="標準_acct-chart修正後" xfId="85" xr:uid="{00000000-0005-0000-0000-000055000000}"/>
    <cellStyle name="通浦 [0.00]_laroux" xfId="86" xr:uid="{00000000-0005-0000-0000-000056000000}"/>
    <cellStyle name="通浦_laroux" xfId="87" xr:uid="{00000000-0005-0000-0000-00005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1"/>
  <sheetViews>
    <sheetView tabSelected="1" topLeftCell="A9" zoomScale="90" zoomScaleNormal="90" workbookViewId="0">
      <selection activeCell="D26" sqref="D26"/>
    </sheetView>
  </sheetViews>
  <sheetFormatPr defaultRowHeight="15"/>
  <cols>
    <col min="1" max="3" width="29.140625" customWidth="1"/>
    <col min="4" max="4" width="22.85546875" customWidth="1"/>
    <col min="5" max="5" width="25.7109375" customWidth="1"/>
    <col min="6" max="6" width="11.140625" bestFit="1" customWidth="1"/>
    <col min="9" max="9" width="14" customWidth="1"/>
  </cols>
  <sheetData>
    <row r="1" spans="1:6" ht="18.75">
      <c r="A1" s="12" t="s">
        <v>55</v>
      </c>
      <c r="B1" s="1"/>
      <c r="C1" s="1"/>
    </row>
    <row r="3" spans="1:6">
      <c r="A3" t="s">
        <v>2</v>
      </c>
      <c r="B3" t="s">
        <v>0</v>
      </c>
      <c r="D3" s="13" t="s">
        <v>53</v>
      </c>
    </row>
    <row r="4" spans="1:6">
      <c r="A4" t="s">
        <v>3</v>
      </c>
      <c r="B4" t="s">
        <v>12</v>
      </c>
    </row>
    <row r="5" spans="1:6">
      <c r="A5" t="s">
        <v>4</v>
      </c>
      <c r="B5" t="s">
        <v>48</v>
      </c>
    </row>
    <row r="6" spans="1:6">
      <c r="A6" t="s">
        <v>6</v>
      </c>
      <c r="B6" s="6" t="s">
        <v>54</v>
      </c>
    </row>
    <row r="7" spans="1:6">
      <c r="A7" t="s">
        <v>5</v>
      </c>
      <c r="B7" s="6" t="s">
        <v>46</v>
      </c>
    </row>
    <row r="8" spans="1:6">
      <c r="A8" t="s">
        <v>22</v>
      </c>
      <c r="B8" t="s">
        <v>49</v>
      </c>
    </row>
    <row r="9" spans="1:6">
      <c r="A9" t="s">
        <v>8</v>
      </c>
      <c r="B9" s="2" t="s">
        <v>51</v>
      </c>
    </row>
    <row r="10" spans="1:6">
      <c r="A10" t="s">
        <v>7</v>
      </c>
      <c r="B10" s="30">
        <v>5.5000000000000002E-5</v>
      </c>
    </row>
    <row r="11" spans="1:6">
      <c r="A11" t="s">
        <v>9</v>
      </c>
      <c r="B11" s="2" t="s">
        <v>52</v>
      </c>
    </row>
    <row r="12" spans="1:6">
      <c r="A12" t="s">
        <v>13</v>
      </c>
      <c r="B12" s="8" t="s">
        <v>50</v>
      </c>
      <c r="C12" s="29">
        <f>98787176/23540</f>
        <v>4196.5665250637212</v>
      </c>
    </row>
    <row r="13" spans="1:6">
      <c r="A13" t="s">
        <v>14</v>
      </c>
      <c r="B13" s="9">
        <v>1900001000</v>
      </c>
    </row>
    <row r="14" spans="1:6">
      <c r="A14" t="s">
        <v>15</v>
      </c>
      <c r="B14" s="31">
        <v>45119</v>
      </c>
      <c r="D14" s="7"/>
    </row>
    <row r="15" spans="1:6">
      <c r="A15" t="s">
        <v>19</v>
      </c>
      <c r="B15" s="6" t="s">
        <v>24</v>
      </c>
      <c r="D15" s="2"/>
      <c r="F15" s="15"/>
    </row>
    <row r="17" spans="1:10">
      <c r="A17" s="4" t="s">
        <v>1</v>
      </c>
      <c r="B17" s="4" t="s">
        <v>16</v>
      </c>
      <c r="C17" s="19" t="s">
        <v>17</v>
      </c>
      <c r="D17" s="19" t="s">
        <v>47</v>
      </c>
      <c r="E17" s="4" t="s">
        <v>11</v>
      </c>
      <c r="F17" s="28" t="s">
        <v>23</v>
      </c>
    </row>
    <row r="18" spans="1:10">
      <c r="A18" s="38" t="s">
        <v>62</v>
      </c>
      <c r="B18" s="16"/>
      <c r="C18" s="10">
        <v>5239855.54</v>
      </c>
      <c r="D18" s="20">
        <f>C18*0.0055%</f>
        <v>288.19205469999997</v>
      </c>
      <c r="E18" s="21">
        <v>100001228</v>
      </c>
      <c r="F18" s="22">
        <f>D18</f>
        <v>288.19205469999997</v>
      </c>
      <c r="G18" s="23" t="s">
        <v>21</v>
      </c>
      <c r="H18" s="23"/>
    </row>
    <row r="19" spans="1:10">
      <c r="A19" s="38" t="s">
        <v>63</v>
      </c>
      <c r="B19" s="16"/>
      <c r="C19" s="18">
        <v>8420324.5099999998</v>
      </c>
      <c r="D19" s="20">
        <f t="shared" ref="D19:D24" si="0">C19*0.0055%</f>
        <v>463.11784804999996</v>
      </c>
      <c r="E19" s="24">
        <v>100001428</v>
      </c>
      <c r="F19" s="22">
        <f t="shared" ref="F19:F24" si="1">F18+D19</f>
        <v>751.30990274999999</v>
      </c>
      <c r="G19" s="23" t="s">
        <v>21</v>
      </c>
      <c r="H19" s="23"/>
    </row>
    <row r="20" spans="1:10">
      <c r="A20" s="38" t="s">
        <v>64</v>
      </c>
      <c r="B20" s="16"/>
      <c r="C20" s="10">
        <v>7332671.6900000004</v>
      </c>
      <c r="D20" s="20">
        <f t="shared" si="0"/>
        <v>403.29694294999996</v>
      </c>
      <c r="E20" s="21">
        <v>100001637</v>
      </c>
      <c r="F20" s="22">
        <f t="shared" si="1"/>
        <v>1154.6068456999999</v>
      </c>
      <c r="G20" s="23" t="s">
        <v>21</v>
      </c>
      <c r="H20" s="23"/>
    </row>
    <row r="21" spans="1:10">
      <c r="A21" s="38" t="s">
        <v>65</v>
      </c>
      <c r="B21" s="16"/>
      <c r="C21" s="14">
        <v>9371819.0800000001</v>
      </c>
      <c r="D21" s="20">
        <f t="shared" si="0"/>
        <v>515.45004940000001</v>
      </c>
      <c r="E21" s="21">
        <v>100001832</v>
      </c>
      <c r="F21" s="22">
        <f t="shared" si="1"/>
        <v>1670.0568951</v>
      </c>
      <c r="G21" s="23" t="s">
        <v>21</v>
      </c>
      <c r="H21" s="23"/>
      <c r="I21" s="47"/>
    </row>
    <row r="22" spans="1:10">
      <c r="A22" s="38" t="s">
        <v>66</v>
      </c>
      <c r="B22" s="16"/>
      <c r="C22" s="48">
        <v>5690922.4900000002</v>
      </c>
      <c r="D22" s="20">
        <f t="shared" si="0"/>
        <v>313.00073694999998</v>
      </c>
      <c r="E22" s="24">
        <v>100002020</v>
      </c>
      <c r="F22" s="22">
        <f t="shared" si="1"/>
        <v>1983.0576320499999</v>
      </c>
      <c r="G22" s="23" t="s">
        <v>21</v>
      </c>
      <c r="H22" s="23"/>
      <c r="I22" s="47"/>
    </row>
    <row r="23" spans="1:10">
      <c r="A23" s="38" t="s">
        <v>67</v>
      </c>
      <c r="B23" s="33"/>
      <c r="C23" s="16">
        <v>9601196.8599999994</v>
      </c>
      <c r="D23" s="20">
        <f t="shared" si="0"/>
        <v>528.06582729999991</v>
      </c>
      <c r="E23" s="24">
        <v>100002310</v>
      </c>
      <c r="F23" s="22">
        <f t="shared" si="1"/>
        <v>2511.1234593499998</v>
      </c>
      <c r="G23" s="23" t="s">
        <v>21</v>
      </c>
      <c r="H23" s="23"/>
    </row>
    <row r="24" spans="1:10">
      <c r="A24" s="38" t="s">
        <v>56</v>
      </c>
      <c r="B24" s="33"/>
      <c r="C24" s="52"/>
      <c r="D24" s="20">
        <f t="shared" si="0"/>
        <v>0</v>
      </c>
      <c r="E24" s="24"/>
      <c r="F24" s="22">
        <f t="shared" si="1"/>
        <v>2511.1234593499998</v>
      </c>
      <c r="G24" s="23" t="s">
        <v>21</v>
      </c>
      <c r="H24" s="23"/>
      <c r="J24">
        <v>397.89</v>
      </c>
    </row>
    <row r="25" spans="1:10">
      <c r="A25" s="38" t="s">
        <v>57</v>
      </c>
      <c r="B25" s="33"/>
      <c r="C25" s="16"/>
      <c r="D25" s="49"/>
      <c r="E25" s="50"/>
      <c r="F25" s="32">
        <f>F24+D25</f>
        <v>2511.1234593499998</v>
      </c>
      <c r="G25" s="26" t="s">
        <v>20</v>
      </c>
      <c r="H25" s="26"/>
    </row>
    <row r="26" spans="1:10">
      <c r="A26" s="38" t="s">
        <v>58</v>
      </c>
      <c r="B26" s="16"/>
      <c r="C26" s="16"/>
      <c r="D26" s="49"/>
      <c r="E26" s="27"/>
      <c r="F26" s="32">
        <f t="shared" ref="F26:F29" si="2">F25+D26</f>
        <v>2511.1234593499998</v>
      </c>
      <c r="G26" s="26" t="s">
        <v>20</v>
      </c>
      <c r="H26" s="26"/>
    </row>
    <row r="27" spans="1:10">
      <c r="A27" s="38" t="s">
        <v>59</v>
      </c>
      <c r="B27" s="16"/>
      <c r="C27" s="10"/>
      <c r="D27" s="49"/>
      <c r="E27" s="51"/>
      <c r="F27" s="32">
        <f t="shared" si="2"/>
        <v>2511.1234593499998</v>
      </c>
      <c r="G27" s="26" t="s">
        <v>20</v>
      </c>
      <c r="H27" s="26"/>
    </row>
    <row r="28" spans="1:10">
      <c r="A28" s="38" t="s">
        <v>60</v>
      </c>
      <c r="B28" s="16"/>
      <c r="C28" s="10"/>
      <c r="D28" s="49"/>
      <c r="E28" s="25"/>
      <c r="F28" s="32">
        <f t="shared" si="2"/>
        <v>2511.1234593499998</v>
      </c>
      <c r="G28" s="26" t="s">
        <v>20</v>
      </c>
      <c r="H28" s="26"/>
    </row>
    <row r="29" spans="1:10">
      <c r="A29" s="38" t="s">
        <v>61</v>
      </c>
      <c r="B29" s="16"/>
      <c r="C29" s="10"/>
      <c r="D29" s="49"/>
      <c r="E29" s="25"/>
      <c r="F29" s="32">
        <f t="shared" si="2"/>
        <v>2511.1234593499998</v>
      </c>
      <c r="G29" s="26" t="s">
        <v>20</v>
      </c>
      <c r="H29" s="26"/>
    </row>
    <row r="30" spans="1:10">
      <c r="A30" s="4" t="s">
        <v>10</v>
      </c>
      <c r="B30" s="17">
        <f>SUBTOTAL(9,B18:B28)</f>
        <v>0</v>
      </c>
      <c r="C30" s="11">
        <f>SUM(C18:C28)</f>
        <v>45656790.170000002</v>
      </c>
      <c r="D30" s="5">
        <f>SUM(D18:D28)</f>
        <v>2511.1234593499998</v>
      </c>
      <c r="E30" s="3"/>
    </row>
    <row r="31" spans="1:10">
      <c r="D31" s="46">
        <f>C12-SUM(D18:D24)</f>
        <v>1685.4430657137214</v>
      </c>
    </row>
  </sheetData>
  <pageMargins left="0.2" right="0" top="0.5" bottom="0.5" header="0.3" footer="0.3"/>
  <pageSetup paperSize="9" scale="87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3C96-5897-49C7-AF95-B8DC622B27E3}">
  <dimension ref="A1:B13"/>
  <sheetViews>
    <sheetView workbookViewId="0">
      <selection activeCell="B8" sqref="B8"/>
    </sheetView>
  </sheetViews>
  <sheetFormatPr defaultRowHeight="15"/>
  <cols>
    <col min="1" max="1" width="13.7109375" customWidth="1"/>
    <col min="2" max="2" width="26.85546875" customWidth="1"/>
  </cols>
  <sheetData>
    <row r="1" spans="1:2">
      <c r="A1" s="54" t="s">
        <v>1</v>
      </c>
      <c r="B1" s="54" t="s">
        <v>17</v>
      </c>
    </row>
    <row r="2" spans="1:2">
      <c r="A2" s="3" t="s">
        <v>62</v>
      </c>
      <c r="B2" s="53">
        <f>VLOOKUP(A2,Allocation!$A$18:$C$29,3,0)</f>
        <v>5239855.54</v>
      </c>
    </row>
    <row r="3" spans="1:2">
      <c r="A3" s="3" t="s">
        <v>63</v>
      </c>
      <c r="B3" s="53">
        <f>VLOOKUP(A3,Allocation!$A$18:$C$29,3,0)</f>
        <v>8420324.5099999998</v>
      </c>
    </row>
    <row r="4" spans="1:2">
      <c r="A4" s="3" t="s">
        <v>64</v>
      </c>
      <c r="B4" s="53">
        <f>VLOOKUP(A4,Allocation!$A$18:$C$29,3,0)</f>
        <v>7332671.6900000004</v>
      </c>
    </row>
    <row r="5" spans="1:2">
      <c r="A5" s="3" t="s">
        <v>65</v>
      </c>
      <c r="B5" s="53">
        <f>VLOOKUP(A5,Allocation!$A$18:$C$29,3,0)</f>
        <v>9371819.0800000001</v>
      </c>
    </row>
    <row r="6" spans="1:2">
      <c r="A6" s="3" t="s">
        <v>66</v>
      </c>
      <c r="B6" s="53">
        <f>VLOOKUP(A6,Allocation!$A$18:$C$29,3,0)</f>
        <v>5690922.4900000002</v>
      </c>
    </row>
    <row r="7" spans="1:2">
      <c r="A7" s="3" t="s">
        <v>67</v>
      </c>
      <c r="B7" s="53">
        <f>VLOOKUP(A7,Allocation!$A$18:$C$29,3,0)</f>
        <v>9601196.8599999994</v>
      </c>
    </row>
    <row r="8" spans="1:2">
      <c r="A8" s="3" t="s">
        <v>56</v>
      </c>
      <c r="B8" s="53">
        <f>VLOOKUP(A8,Allocation!$A$18:$C$29,3,0)</f>
        <v>0</v>
      </c>
    </row>
    <row r="9" spans="1:2">
      <c r="A9" s="3" t="s">
        <v>57</v>
      </c>
      <c r="B9" s="53">
        <f>VLOOKUP(A9,Allocation!$A$18:$C$29,3,0)</f>
        <v>0</v>
      </c>
    </row>
    <row r="10" spans="1:2">
      <c r="A10" s="3" t="s">
        <v>58</v>
      </c>
      <c r="B10" s="53">
        <f>VLOOKUP(A10,Allocation!$A$18:$C$29,3,0)</f>
        <v>0</v>
      </c>
    </row>
    <row r="11" spans="1:2">
      <c r="A11" s="3" t="s">
        <v>59</v>
      </c>
      <c r="B11" s="53">
        <f>VLOOKUP(A11,Allocation!$A$18:$C$29,3,0)</f>
        <v>0</v>
      </c>
    </row>
    <row r="12" spans="1:2">
      <c r="A12" s="3" t="s">
        <v>60</v>
      </c>
      <c r="B12" s="53">
        <f>VLOOKUP(A12,Allocation!$A$18:$C$29,3,0)</f>
        <v>0</v>
      </c>
    </row>
    <row r="13" spans="1:2">
      <c r="A13" s="3" t="s">
        <v>61</v>
      </c>
      <c r="B13" s="53">
        <f>VLOOKUP(A13,Allocation!$A$18:$C$29,3,0)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9"/>
  <sheetViews>
    <sheetView workbookViewId="0">
      <selection activeCell="D13" sqref="D13:D18"/>
    </sheetView>
  </sheetViews>
  <sheetFormatPr defaultRowHeight="15"/>
  <cols>
    <col min="4" max="4" width="12.7109375" customWidth="1"/>
    <col min="5" max="5" width="12.85546875" customWidth="1"/>
    <col min="6" max="6" width="15.42578125" customWidth="1"/>
  </cols>
  <sheetData>
    <row r="1" spans="2:6" ht="21">
      <c r="B1" s="34" t="s">
        <v>25</v>
      </c>
    </row>
    <row r="2" spans="2:6">
      <c r="B2" s="35"/>
    </row>
    <row r="3" spans="2:6">
      <c r="B3" s="35" t="s">
        <v>26</v>
      </c>
    </row>
    <row r="5" spans="2:6">
      <c r="D5" s="57" t="s">
        <v>27</v>
      </c>
      <c r="E5" s="58"/>
      <c r="F5" s="59" t="s">
        <v>28</v>
      </c>
    </row>
    <row r="6" spans="2:6" ht="30">
      <c r="B6" s="36" t="s">
        <v>18</v>
      </c>
      <c r="C6" s="36" t="s">
        <v>1</v>
      </c>
      <c r="D6" s="37" t="s">
        <v>29</v>
      </c>
      <c r="E6" s="37" t="s">
        <v>30</v>
      </c>
      <c r="F6" s="60"/>
    </row>
    <row r="7" spans="2:6">
      <c r="B7" s="38">
        <v>1</v>
      </c>
      <c r="C7" s="38" t="s">
        <v>31</v>
      </c>
      <c r="D7" s="39">
        <v>142153</v>
      </c>
      <c r="E7" s="40">
        <v>6858.1876078314344</v>
      </c>
      <c r="F7" s="41" t="s">
        <v>32</v>
      </c>
    </row>
    <row r="8" spans="2:6">
      <c r="B8" s="38">
        <v>2</v>
      </c>
      <c r="C8" s="38" t="s">
        <v>33</v>
      </c>
      <c r="D8" s="39">
        <v>131217</v>
      </c>
      <c r="E8" s="40">
        <v>6306.7996831330784</v>
      </c>
      <c r="F8" s="41" t="s">
        <v>32</v>
      </c>
    </row>
    <row r="9" spans="2:6">
      <c r="B9" s="38">
        <v>3</v>
      </c>
      <c r="C9" s="38" t="s">
        <v>34</v>
      </c>
      <c r="D9" s="39">
        <v>230017</v>
      </c>
      <c r="E9" s="40">
        <v>9887.3969667115744</v>
      </c>
      <c r="F9" s="41" t="s">
        <v>32</v>
      </c>
    </row>
    <row r="10" spans="2:6">
      <c r="B10" s="38">
        <v>4</v>
      </c>
      <c r="C10" s="38" t="s">
        <v>35</v>
      </c>
      <c r="D10" s="39">
        <v>248019</v>
      </c>
      <c r="E10" s="40">
        <v>9874.8471839908216</v>
      </c>
      <c r="F10" s="41" t="s">
        <v>32</v>
      </c>
    </row>
    <row r="11" spans="2:6">
      <c r="B11" s="38">
        <v>5</v>
      </c>
      <c r="C11" s="38" t="s">
        <v>36</v>
      </c>
      <c r="D11" s="39">
        <v>187274</v>
      </c>
      <c r="E11" s="40">
        <v>9124.9073565267809</v>
      </c>
      <c r="F11" s="41" t="s">
        <v>32</v>
      </c>
    </row>
    <row r="12" spans="2:6">
      <c r="B12" s="38">
        <v>6</v>
      </c>
      <c r="C12" s="38" t="s">
        <v>37</v>
      </c>
      <c r="D12" s="39">
        <v>187810</v>
      </c>
      <c r="E12" s="40">
        <v>8260.1054726058774</v>
      </c>
      <c r="F12" s="41" t="s">
        <v>32</v>
      </c>
    </row>
    <row r="13" spans="2:6">
      <c r="B13" s="38">
        <v>7</v>
      </c>
      <c r="C13" s="42" t="s">
        <v>38</v>
      </c>
      <c r="D13" s="61">
        <f>2226903/2</f>
        <v>1113451.5</v>
      </c>
      <c r="E13" s="64">
        <f>80470.698129797/2</f>
        <v>40235.349064898503</v>
      </c>
      <c r="F13" s="67" t="s">
        <v>39</v>
      </c>
    </row>
    <row r="14" spans="2:6">
      <c r="B14" s="38">
        <v>8</v>
      </c>
      <c r="C14" s="42" t="s">
        <v>40</v>
      </c>
      <c r="D14" s="62"/>
      <c r="E14" s="65"/>
      <c r="F14" s="65"/>
    </row>
    <row r="15" spans="2:6">
      <c r="B15" s="38">
        <v>9</v>
      </c>
      <c r="C15" s="38" t="s">
        <v>41</v>
      </c>
      <c r="D15" s="62"/>
      <c r="E15" s="65"/>
      <c r="F15" s="65"/>
    </row>
    <row r="16" spans="2:6">
      <c r="B16" s="38">
        <v>10</v>
      </c>
      <c r="C16" s="38" t="s">
        <v>42</v>
      </c>
      <c r="D16" s="62"/>
      <c r="E16" s="65"/>
      <c r="F16" s="65"/>
    </row>
    <row r="17" spans="2:6">
      <c r="B17" s="38">
        <v>11</v>
      </c>
      <c r="C17" s="42" t="s">
        <v>43</v>
      </c>
      <c r="D17" s="62"/>
      <c r="E17" s="65"/>
      <c r="F17" s="65"/>
    </row>
    <row r="18" spans="2:6">
      <c r="B18" s="38">
        <v>12</v>
      </c>
      <c r="C18" s="42" t="s">
        <v>44</v>
      </c>
      <c r="D18" s="63"/>
      <c r="E18" s="66"/>
      <c r="F18" s="66"/>
    </row>
    <row r="19" spans="2:6">
      <c r="B19" s="55" t="s">
        <v>45</v>
      </c>
      <c r="C19" s="56"/>
      <c r="D19" s="43">
        <f>+SUM(D7:D18)</f>
        <v>2239941.5</v>
      </c>
      <c r="E19" s="44">
        <f>+SUM(E7:E18)</f>
        <v>90547.593335698068</v>
      </c>
      <c r="F19" s="45"/>
    </row>
  </sheetData>
  <mergeCells count="6">
    <mergeCell ref="B19:C19"/>
    <mergeCell ref="D5:E5"/>
    <mergeCell ref="F5:F6"/>
    <mergeCell ref="D13:D18"/>
    <mergeCell ref="E13:E18"/>
    <mergeCell ref="F13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Allocation</vt:lpstr>
      <vt:lpstr>Net sales</vt:lpstr>
      <vt:lpstr>Sheet1</vt:lpstr>
      <vt:lpstr>Allocation!Print_Area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Duc Anh</dc:creator>
  <cp:lastModifiedBy>Do Duc Anh</cp:lastModifiedBy>
  <cp:lastPrinted>2024-01-10T04:38:41Z</cp:lastPrinted>
  <dcterms:created xsi:type="dcterms:W3CDTF">2016-07-28T01:21:54Z</dcterms:created>
  <dcterms:modified xsi:type="dcterms:W3CDTF">2024-01-10T04:40:00Z</dcterms:modified>
</cp:coreProperties>
</file>